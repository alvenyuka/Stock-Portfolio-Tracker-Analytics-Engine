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pivotCache/pivotCacheDefinition1.xml" ContentType="application/vnd.openxmlformats-officedocument.spreadsheetml.pivotCacheDefinition+xml"/>
  <Override PartName="/xl/pivotCache/richPivotRecords1.xml" ContentType="application/vnd.openxmlformats-officedocument.spreadsheetml.richPivot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array.xml" ContentType="application/vnd.ms-excel.rdarray+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drawings/drawing1.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comments2.xml" ContentType="application/vnd.openxmlformats-officedocument.spreadsheetml.comments+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omments3.xml" ContentType="application/vnd.openxmlformats-officedocument.spreadsheetml.comments+xml"/>
  <Override PartName="/xl/comments4.xml" ContentType="application/vnd.openxmlformats-officedocument.spreadsheetml.comments+xml"/>
  <Override PartName="/xl/pivotTables/pivotTable1.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comments5.xml" ContentType="application/vnd.openxmlformats-officedocument.spreadsheetml.comments+xml"/>
  <Override PartName="/xl/threadedComments/threadedComment1.xml" ContentType="application/vnd.ms-excel.threadedcomments+xml"/>
  <Override PartName="/xl/pivotTables/pivotTable2.xml" ContentType="application/vnd.openxmlformats-officedocument.spreadsheetml.pivotTable+xml"/>
  <Override PartName="/xl/drawings/drawing3.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pivotTables/pivotTable7.xml" ContentType="application/vnd.openxmlformats-officedocument.spreadsheetml.pivotTable+xml"/>
  <Override PartName="/xl/drawings/drawing8.xml" ContentType="application/vnd.openxmlformats-officedocument.drawing+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pivotTables/pivotTable8.xml" ContentType="application/vnd.openxmlformats-officedocument.spreadsheetml.pivotTable+xml"/>
  <Override PartName="/xl/drawings/drawing9.xml" ContentType="application/vnd.openxmlformats-officedocument.drawing+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pivotTables/pivotTable9.xml" ContentType="application/vnd.openxmlformats-officedocument.spreadsheetml.pivotTable+xml"/>
  <Override PartName="/xl/drawings/drawing10.xml" ContentType="application/vnd.openxmlformats-officedocument.drawing+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pivotTables/pivotTable10.xml" ContentType="application/vnd.openxmlformats-officedocument.spreadsheetml.pivotTable+xml"/>
  <Override PartName="/xl/drawings/drawing11.xml" ContentType="application/vnd.openxmlformats-officedocument.drawing+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pivotTables/pivotTable11.xml" ContentType="application/vnd.openxmlformats-officedocument.spreadsheetml.pivotTable+xml"/>
  <Override PartName="/xl/drawings/drawing12.xml" ContentType="application/vnd.openxmlformats-officedocument.drawing+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charts/chart29.xml" ContentType="application/vnd.openxmlformats-officedocument.drawingml.chart+xml"/>
  <Override PartName="/xl/charts/style29.xml" ContentType="application/vnd.ms-office.chartstyle+xml"/>
  <Override PartName="/xl/charts/colors29.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ADMIN\Desktop\Desktop\Personal Development\Data Science\Portfolio\Stock-Portfolio-Tracker-Analytics-Engine\"/>
    </mc:Choice>
  </mc:AlternateContent>
  <xr:revisionPtr revIDLastSave="0" documentId="13_ncr:1_{0C3500F1-076F-4E86-8484-ED3714EFEC3C}" xr6:coauthVersionLast="47" xr6:coauthVersionMax="47" xr10:uidLastSave="{00000000-0000-0000-0000-000000000000}"/>
  <bookViews>
    <workbookView xWindow="380" yWindow="380" windowWidth="14400" windowHeight="7270" firstSheet="7" activeTab="10" xr2:uid="{C75A8AFE-6EF5-48AA-A1FC-E8A34D32F127}"/>
  </bookViews>
  <sheets>
    <sheet name="README" sheetId="19" r:id="rId1"/>
    <sheet name="Validation" sheetId="23" r:id="rId2"/>
    <sheet name="Dashboard" sheetId="1" r:id="rId3"/>
    <sheet name="WL Dashboard" sheetId="20" r:id="rId4"/>
    <sheet name="Analytics" sheetId="21" r:id="rId5"/>
    <sheet name="Risk Analytics" sheetId="22" r:id="rId6"/>
    <sheet name="Watchlist" sheetId="4" r:id="rId7"/>
    <sheet name="Price History" sheetId="15" r:id="rId8"/>
    <sheet name="Ledger" sheetId="2" r:id="rId9"/>
    <sheet name="AMD" sheetId="14" r:id="rId10"/>
    <sheet name="Portfolio Series" sheetId="24" r:id="rId11"/>
    <sheet name="BABA" sheetId="13" r:id="rId12"/>
    <sheet name="BAC" sheetId="12" r:id="rId13"/>
    <sheet name="COST" sheetId="11" r:id="rId14"/>
    <sheet name="DELL" sheetId="10" r:id="rId15"/>
    <sheet name="XOM" sheetId="9" r:id="rId16"/>
    <sheet name="GM" sheetId="8" r:id="rId17"/>
    <sheet name="LMT" sheetId="7" r:id="rId18"/>
    <sheet name="MSFT" sheetId="6" r:id="rId19"/>
    <sheet name="GS" sheetId="5" r:id="rId20"/>
  </sheets>
  <calcPr calcId="191029"/>
  <pivotCaches>
    <pivotCache cacheId="0" r:id="rId21"/>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7" i="23" l="1"/>
  <c r="C47" i="21"/>
  <c r="B24" i="24"/>
  <c r="B15" i="23"/>
  <c r="C8" i="22"/>
  <c r="E8" i="22" s="1"/>
  <c r="L2" i="4" a="1"/>
  <c r="L2" i="4" s="1"/>
  <c r="L3" i="4" a="1"/>
  <c r="L3" i="4" s="1"/>
  <c r="L4" i="4" a="1"/>
  <c r="L4" i="4" s="1"/>
  <c r="L5" i="4" a="1"/>
  <c r="L5" i="4" s="1"/>
  <c r="L6" i="4" a="1"/>
  <c r="L6" i="4" s="1"/>
  <c r="L7" i="4" a="1"/>
  <c r="L7" i="4" s="1"/>
  <c r="L8" i="4" a="1"/>
  <c r="L8" i="4" s="1"/>
  <c r="L9" i="4" a="1"/>
  <c r="L9" i="4" s="1"/>
  <c r="L10" i="4" a="1"/>
  <c r="L10" i="4" s="1"/>
  <c r="L11" i="4" a="1"/>
  <c r="L11" i="4" s="1"/>
  <c r="K2" i="4" a="1"/>
  <c r="K2" i="4" s="1"/>
  <c r="C8" i="20" s="1"/>
  <c r="K3" i="4" a="1"/>
  <c r="K3" i="4" s="1"/>
  <c r="C9" i="20" s="1"/>
  <c r="K4" i="4" a="1"/>
  <c r="K4" i="4" s="1"/>
  <c r="C10" i="20" s="1"/>
  <c r="K5" i="4" a="1"/>
  <c r="K5" i="4" s="1"/>
  <c r="C11" i="20" s="1"/>
  <c r="K6" i="4" a="1"/>
  <c r="K6" i="4" s="1"/>
  <c r="C12" i="20" s="1"/>
  <c r="K7" i="4" a="1"/>
  <c r="K7" i="4" s="1"/>
  <c r="C13" i="20" s="1"/>
  <c r="K8" i="4" a="1"/>
  <c r="K8" i="4" s="1"/>
  <c r="C14" i="20" s="1"/>
  <c r="K9" i="4" a="1"/>
  <c r="K9" i="4" s="1"/>
  <c r="C15" i="20" s="1"/>
  <c r="K10" i="4" a="1"/>
  <c r="K10" i="4" s="1"/>
  <c r="C16" i="20" s="1"/>
  <c r="K11" i="4" a="1"/>
  <c r="K11" i="4" s="1"/>
  <c r="C17" i="20" s="1"/>
  <c r="J2" i="4" a="1"/>
  <c r="J2" i="4" s="1"/>
  <c r="H8" i="20" s="1"/>
  <c r="J3" i="4" a="1"/>
  <c r="J3" i="4" s="1"/>
  <c r="H9" i="20" s="1"/>
  <c r="J4" i="4" a="1"/>
  <c r="J4" i="4" s="1"/>
  <c r="H10" i="20" s="1"/>
  <c r="J5" i="4" a="1"/>
  <c r="J5" i="4" s="1"/>
  <c r="J6" i="4" a="1"/>
  <c r="J6" i="4" s="1"/>
  <c r="H12" i="20" s="1"/>
  <c r="J7" i="4" a="1"/>
  <c r="J7" i="4" s="1"/>
  <c r="H13" i="20" s="1"/>
  <c r="J8" i="4" a="1"/>
  <c r="J8" i="4" s="1"/>
  <c r="H14" i="20" s="1"/>
  <c r="J9" i="4" a="1"/>
  <c r="J9" i="4" s="1"/>
  <c r="H15" i="20" s="1"/>
  <c r="J10" i="4" a="1"/>
  <c r="J10" i="4" s="1"/>
  <c r="H16" i="20" s="1"/>
  <c r="J11" i="4" a="1"/>
  <c r="J11" i="4" s="1"/>
  <c r="H17" i="20" s="1"/>
  <c r="I2" i="4" a="1"/>
  <c r="I2" i="4" s="1"/>
  <c r="I3" i="4" a="1"/>
  <c r="I3" i="4" s="1"/>
  <c r="I4" i="4" a="1"/>
  <c r="I4" i="4" s="1"/>
  <c r="I5" i="4" a="1"/>
  <c r="I5" i="4" s="1"/>
  <c r="I6" i="4" a="1"/>
  <c r="I6" i="4" s="1"/>
  <c r="I7" i="4" a="1"/>
  <c r="I7" i="4" s="1"/>
  <c r="I8" i="4" a="1"/>
  <c r="I8" i="4" s="1"/>
  <c r="I9" i="4" a="1"/>
  <c r="I9" i="4" s="1"/>
  <c r="I10" i="4" a="1"/>
  <c r="I10" i="4" s="1"/>
  <c r="I11" i="4" a="1"/>
  <c r="I11" i="4" s="1"/>
  <c r="H2" i="4" a="1"/>
  <c r="H2" i="4" s="1"/>
  <c r="H3" i="4" a="1"/>
  <c r="H3" i="4" s="1"/>
  <c r="H4" i="4" a="1"/>
  <c r="H4" i="4" s="1"/>
  <c r="H5" i="4" a="1"/>
  <c r="H5" i="4" s="1"/>
  <c r="H6" i="4" a="1"/>
  <c r="H6" i="4" s="1"/>
  <c r="H7" i="4" a="1"/>
  <c r="H7" i="4" s="1"/>
  <c r="H8" i="4" a="1"/>
  <c r="H8" i="4" s="1"/>
  <c r="H9" i="4" a="1"/>
  <c r="H9" i="4" s="1"/>
  <c r="H10" i="4" a="1"/>
  <c r="H10" i="4" s="1"/>
  <c r="H11" i="4" a="1"/>
  <c r="H11" i="4" s="1"/>
  <c r="G2" i="4" a="1"/>
  <c r="G2" i="4" s="1"/>
  <c r="G3" i="4" a="1"/>
  <c r="G3" i="4" s="1"/>
  <c r="E9" i="20" s="1"/>
  <c r="G4" i="4" a="1"/>
  <c r="G4" i="4" s="1"/>
  <c r="E10" i="20" s="1"/>
  <c r="G5" i="4" a="1"/>
  <c r="G5" i="4" s="1"/>
  <c r="E11" i="20" s="1"/>
  <c r="G6" i="4" a="1"/>
  <c r="G6" i="4" s="1"/>
  <c r="E12" i="20" s="1"/>
  <c r="G7" i="4" a="1"/>
  <c r="G7" i="4" s="1"/>
  <c r="E13" i="20" s="1"/>
  <c r="G8" i="4" a="1"/>
  <c r="G8" i="4" s="1"/>
  <c r="E14" i="20" s="1"/>
  <c r="G9" i="4" a="1"/>
  <c r="G9" i="4" s="1"/>
  <c r="E15" i="20" s="1"/>
  <c r="G10" i="4" a="1"/>
  <c r="G10" i="4" s="1"/>
  <c r="E16" i="20" s="1"/>
  <c r="G11" i="4" a="1"/>
  <c r="G11" i="4" s="1"/>
  <c r="E17" i="20" s="1"/>
  <c r="F2" i="4" a="1"/>
  <c r="F2" i="4" s="1"/>
  <c r="F3" i="4" a="1"/>
  <c r="F3" i="4" s="1"/>
  <c r="F9" i="20" s="1"/>
  <c r="C68" i="20" s="1"/>
  <c r="F4" i="4" a="1"/>
  <c r="F4" i="4" s="1"/>
  <c r="F10" i="20" s="1"/>
  <c r="C69" i="20" s="1"/>
  <c r="F5" i="4" a="1"/>
  <c r="F5" i="4" s="1"/>
  <c r="F11" i="20" s="1"/>
  <c r="C70" i="20" s="1"/>
  <c r="F6" i="4" a="1"/>
  <c r="F6" i="4" s="1"/>
  <c r="F12" i="20" s="1"/>
  <c r="C71" i="20" s="1"/>
  <c r="F7" i="4" a="1"/>
  <c r="F7" i="4" s="1"/>
  <c r="F13" i="20" s="1"/>
  <c r="F8" i="4" a="1"/>
  <c r="F8" i="4" s="1"/>
  <c r="F14" i="20" s="1"/>
  <c r="C73" i="20" s="1"/>
  <c r="F9" i="4" a="1"/>
  <c r="F9" i="4" s="1"/>
  <c r="F15" i="20" s="1"/>
  <c r="C74" i="20" s="1"/>
  <c r="F10" i="4" a="1"/>
  <c r="F10" i="4" s="1"/>
  <c r="F16" i="20" s="1"/>
  <c r="F11" i="4" a="1"/>
  <c r="F11" i="4" s="1"/>
  <c r="F17" i="20" s="1"/>
  <c r="C76" i="20" s="1"/>
  <c r="E2" i="4" a="1"/>
  <c r="E2" i="4" s="1"/>
  <c r="E3" i="4" a="1"/>
  <c r="E3" i="4" s="1"/>
  <c r="G9" i="20" s="1"/>
  <c r="E4" i="4" a="1"/>
  <c r="E4" i="4" s="1"/>
  <c r="G10" i="20" s="1"/>
  <c r="E5" i="4" a="1"/>
  <c r="E5" i="4" s="1"/>
  <c r="G11" i="20" s="1"/>
  <c r="E6" i="4" a="1"/>
  <c r="E6" i="4" s="1"/>
  <c r="G12" i="20" s="1"/>
  <c r="E7" i="4" a="1"/>
  <c r="E7" i="4" s="1"/>
  <c r="G13" i="20" s="1"/>
  <c r="E8" i="4" a="1"/>
  <c r="E8" i="4" s="1"/>
  <c r="G14" i="20" s="1"/>
  <c r="E9" i="4" a="1"/>
  <c r="E9" i="4" s="1"/>
  <c r="G15" i="20" s="1"/>
  <c r="E10" i="4" a="1"/>
  <c r="E10" i="4" s="1"/>
  <c r="G16" i="20" s="1"/>
  <c r="E11" i="4" a="1"/>
  <c r="E11" i="4" s="1"/>
  <c r="G17" i="20" s="1"/>
  <c r="D2" i="4" a="1"/>
  <c r="D2" i="4" s="1"/>
  <c r="J8" i="20" s="1"/>
  <c r="D3" i="4" a="1"/>
  <c r="D3" i="4" s="1"/>
  <c r="J9" i="20" s="1"/>
  <c r="D4" i="4" a="1"/>
  <c r="D4" i="4" s="1"/>
  <c r="J10" i="20" s="1"/>
  <c r="D5" i="4" a="1"/>
  <c r="D5" i="4" s="1"/>
  <c r="J11" i="20" s="1"/>
  <c r="D6" i="4" a="1"/>
  <c r="D6" i="4" s="1"/>
  <c r="J12" i="20" s="1"/>
  <c r="D7" i="4" a="1"/>
  <c r="D7" i="4" s="1"/>
  <c r="J13" i="20" s="1"/>
  <c r="D8" i="4" a="1"/>
  <c r="D8" i="4" s="1"/>
  <c r="J14" i="20" s="1"/>
  <c r="D9" i="4" a="1"/>
  <c r="D9" i="4" s="1"/>
  <c r="J15" i="20" s="1"/>
  <c r="D10" i="4" a="1"/>
  <c r="D10" i="4" s="1"/>
  <c r="J16" i="20" s="1"/>
  <c r="D11" i="4" a="1"/>
  <c r="D11" i="4" s="1"/>
  <c r="J17" i="20" s="1"/>
  <c r="C2" i="4" a="1"/>
  <c r="C2" i="4" s="1"/>
  <c r="I8" i="20" s="1"/>
  <c r="C3" i="4" a="1"/>
  <c r="C3" i="4" s="1"/>
  <c r="I9" i="20" s="1"/>
  <c r="C4" i="4" a="1"/>
  <c r="C4" i="4" s="1"/>
  <c r="I10" i="20" s="1"/>
  <c r="C5" i="4" a="1"/>
  <c r="C5" i="4" s="1"/>
  <c r="I11" i="20" s="1"/>
  <c r="C6" i="4" a="1"/>
  <c r="C6" i="4" s="1"/>
  <c r="I12" i="20" s="1"/>
  <c r="C7" i="4" a="1"/>
  <c r="C7" i="4" s="1"/>
  <c r="I13" i="20" s="1"/>
  <c r="C8" i="4" a="1"/>
  <c r="C8" i="4" s="1"/>
  <c r="C9" i="4" a="1"/>
  <c r="C9" i="4" s="1"/>
  <c r="I15" i="20" s="1"/>
  <c r="C10" i="4" a="1"/>
  <c r="C10" i="4" s="1"/>
  <c r="I16" i="20" s="1"/>
  <c r="C11" i="4" a="1"/>
  <c r="C11" i="4" s="1"/>
  <c r="I17" i="20" s="1"/>
  <c r="B2" i="4" a="1"/>
  <c r="B2" i="4" s="1"/>
  <c r="B8" i="20" s="1"/>
  <c r="M9" i="20" s="1"/>
  <c r="B3" i="4" a="1"/>
  <c r="B3" i="4" s="1"/>
  <c r="B9" i="20" s="1"/>
  <c r="M10" i="20" s="1"/>
  <c r="B4" i="4" a="1"/>
  <c r="B4" i="4" s="1"/>
  <c r="B10" i="20" s="1"/>
  <c r="M11" i="20" s="1"/>
  <c r="B5" i="4" a="1"/>
  <c r="B5" i="4" s="1"/>
  <c r="B11" i="20" s="1"/>
  <c r="M12" i="20" s="1"/>
  <c r="B6" i="4" a="1"/>
  <c r="B6" i="4" s="1"/>
  <c r="B12" i="20" s="1"/>
  <c r="M13" i="20" s="1"/>
  <c r="B7" i="4" a="1"/>
  <c r="B7" i="4" s="1"/>
  <c r="B13" i="20" s="1"/>
  <c r="M14" i="20" s="1"/>
  <c r="B8" i="4" a="1"/>
  <c r="B8" i="4" s="1"/>
  <c r="B14" i="20" s="1"/>
  <c r="M15" i="20" s="1"/>
  <c r="B9" i="4" a="1"/>
  <c r="B9" i="4" s="1"/>
  <c r="B15" i="20" s="1"/>
  <c r="M16" i="20" s="1"/>
  <c r="B10" i="4" a="1"/>
  <c r="B10" i="4" s="1"/>
  <c r="B16" i="20" s="1"/>
  <c r="M17" i="20" s="1"/>
  <c r="B11" i="4" a="1"/>
  <c r="B11" i="4" s="1"/>
  <c r="B17" i="20" s="1"/>
  <c r="M18" i="20" s="1"/>
  <c r="A6" i="9" a="1"/>
  <c r="C4" i="10" a="1"/>
  <c r="A6" i="8" a="1"/>
  <c r="A6" i="13" a="1"/>
  <c r="C4" i="9" a="1"/>
  <c r="A6" i="6" a="1"/>
  <c r="A6" i="14" a="1"/>
  <c r="C4" i="8" a="1"/>
  <c r="A6" i="7" a="1"/>
  <c r="C4" i="13" a="1"/>
  <c r="C4" i="14" a="1"/>
  <c r="A6" i="12" a="1"/>
  <c r="A6" i="11" a="1"/>
  <c r="C4" i="11" a="1"/>
  <c r="C4" i="12" a="1"/>
  <c r="A6" i="5" a="1"/>
  <c r="C4" i="7" a="1"/>
  <c r="C4" i="5" a="1"/>
  <c r="C4" i="6" a="1"/>
  <c r="A6" i="10" a="1"/>
  <c r="K4" i="20" l="1"/>
  <c r="B4" i="20"/>
  <c r="B67" i="20"/>
  <c r="B68" i="20"/>
  <c r="B69" i="20"/>
  <c r="B70" i="20"/>
  <c r="B71" i="20"/>
  <c r="B72" i="20"/>
  <c r="B73" i="20"/>
  <c r="B74" i="20"/>
  <c r="B75" i="20"/>
  <c r="B76" i="20"/>
  <c r="C4" i="20"/>
  <c r="C72" i="20"/>
  <c r="C75" i="20"/>
  <c r="I4" i="20"/>
  <c r="E68" i="20"/>
  <c r="E69" i="20"/>
  <c r="E70" i="20"/>
  <c r="E71" i="20"/>
  <c r="E72" i="20"/>
  <c r="E73" i="20"/>
  <c r="E74" i="20"/>
  <c r="E75" i="20"/>
  <c r="E76" i="20"/>
  <c r="J4" i="20"/>
  <c r="D4" i="20"/>
  <c r="H4" i="20" a="1"/>
  <c r="H4" i="20" s="1"/>
  <c r="F4" i="20" a="1"/>
  <c r="F4" i="20" s="1"/>
  <c r="E4" i="20" a="1"/>
  <c r="E4" i="20" s="1"/>
  <c r="G4" i="20" a="1"/>
  <c r="G4" i="20" s="1"/>
  <c r="B54" i="20" a="1"/>
  <c r="B54" i="20" s="1"/>
  <c r="D13" i="20"/>
  <c r="D12" i="20"/>
  <c r="D16" i="20"/>
  <c r="D8" i="20"/>
  <c r="D9" i="20"/>
  <c r="K14" i="20"/>
  <c r="D14" i="20"/>
  <c r="K9" i="20"/>
  <c r="D11" i="20"/>
  <c r="K13" i="20"/>
  <c r="K10" i="20"/>
  <c r="I14" i="20"/>
  <c r="K17" i="20"/>
  <c r="D15" i="20"/>
  <c r="G8" i="20"/>
  <c r="F68" i="20" s="1"/>
  <c r="E8" i="20"/>
  <c r="F8" i="20"/>
  <c r="H11" i="20"/>
  <c r="D17" i="20"/>
  <c r="D10" i="20"/>
  <c r="K11" i="20"/>
  <c r="K15" i="20"/>
  <c r="K8" i="20"/>
  <c r="K12" i="20"/>
  <c r="K16" i="20"/>
  <c r="A6" i="5"/>
  <c r="A6" i="6"/>
  <c r="A6" i="7"/>
  <c r="A6" i="8"/>
  <c r="A6" i="9"/>
  <c r="A6" i="10"/>
  <c r="A6" i="11"/>
  <c r="A6" i="12"/>
  <c r="A6" i="13"/>
  <c r="C4" i="5"/>
  <c r="C4" i="6"/>
  <c r="C4" i="7"/>
  <c r="C4" i="8"/>
  <c r="C4" i="9"/>
  <c r="C4" i="10"/>
  <c r="C4" i="11"/>
  <c r="C4" i="12"/>
  <c r="C4" i="13"/>
  <c r="A6" i="14"/>
  <c r="C4" i="14"/>
  <c r="F70" i="20" l="1"/>
  <c r="N15" i="20"/>
  <c r="H73" i="20"/>
  <c r="G73" i="20"/>
  <c r="N17" i="20"/>
  <c r="H75" i="20"/>
  <c r="G75" i="20"/>
  <c r="D76" i="20"/>
  <c r="D71" i="20"/>
  <c r="D69" i="20"/>
  <c r="D74" i="20"/>
  <c r="D70" i="20"/>
  <c r="D67" i="20"/>
  <c r="D73" i="20"/>
  <c r="D68" i="20"/>
  <c r="C67" i="20"/>
  <c r="G79" i="20" s="1"/>
  <c r="I76" i="20"/>
  <c r="I70" i="20"/>
  <c r="I68" i="20"/>
  <c r="I74" i="20"/>
  <c r="I73" i="20"/>
  <c r="I71" i="20"/>
  <c r="I69" i="20"/>
  <c r="I67" i="20"/>
  <c r="I72" i="20"/>
  <c r="F69" i="20"/>
  <c r="N9" i="20"/>
  <c r="H67" i="20"/>
  <c r="G67" i="20"/>
  <c r="F73" i="20"/>
  <c r="F75" i="20"/>
  <c r="I75" i="20"/>
  <c r="F71" i="20"/>
  <c r="F72" i="20"/>
  <c r="N13" i="20"/>
  <c r="H71" i="20"/>
  <c r="G71" i="20"/>
  <c r="N10" i="20"/>
  <c r="H68" i="20"/>
  <c r="G68" i="20"/>
  <c r="F67" i="20"/>
  <c r="E67" i="20"/>
  <c r="H79" i="20" s="1"/>
  <c r="N12" i="20"/>
  <c r="H70" i="20"/>
  <c r="G70" i="20"/>
  <c r="N18" i="20"/>
  <c r="H76" i="20"/>
  <c r="G76" i="20"/>
  <c r="N11" i="20"/>
  <c r="H69" i="20"/>
  <c r="G69" i="20"/>
  <c r="D75" i="20"/>
  <c r="F76" i="20"/>
  <c r="N16" i="20"/>
  <c r="H74" i="20"/>
  <c r="G74" i="20"/>
  <c r="N14" i="20"/>
  <c r="H72" i="20"/>
  <c r="G72" i="20"/>
  <c r="F74" i="20"/>
  <c r="D72" i="20"/>
  <c r="C54" i="20" a="1"/>
  <c r="C54" i="20" s="1"/>
  <c r="B7" i="1" a="1"/>
  <c r="H4" i="2" a="1"/>
  <c r="H4" i="2" s="1"/>
  <c r="H5" i="2" a="1"/>
  <c r="H5" i="2" s="1"/>
  <c r="H6" i="2" a="1"/>
  <c r="H6" i="2" s="1"/>
  <c r="H7" i="2" a="1"/>
  <c r="H7" i="2" s="1"/>
  <c r="H8" i="2" a="1"/>
  <c r="H8" i="2" s="1"/>
  <c r="H9" i="2" a="1"/>
  <c r="H9" i="2" s="1"/>
  <c r="H10" i="2" a="1"/>
  <c r="H10" i="2" s="1"/>
  <c r="H11" i="2" a="1"/>
  <c r="H11" i="2" s="1"/>
  <c r="H12" i="2" a="1"/>
  <c r="H12" i="2" s="1"/>
  <c r="H13" i="2" a="1"/>
  <c r="H13" i="2" s="1"/>
  <c r="H14" i="2" a="1"/>
  <c r="H14" i="2" s="1"/>
  <c r="H15" i="2" a="1"/>
  <c r="H15" i="2" s="1"/>
  <c r="H16" i="2" a="1"/>
  <c r="H16" i="2" s="1"/>
  <c r="H17" i="2" a="1"/>
  <c r="H17" i="2" s="1"/>
  <c r="H18" i="2" a="1"/>
  <c r="H18" i="2" s="1"/>
  <c r="H19" i="2" a="1"/>
  <c r="H19" i="2" s="1"/>
  <c r="H20" i="2" a="1"/>
  <c r="H20" i="2" s="1"/>
  <c r="H21" i="2" a="1"/>
  <c r="H21" i="2" s="1"/>
  <c r="H22" i="2" a="1"/>
  <c r="H22" i="2" s="1"/>
  <c r="H23" i="2" a="1"/>
  <c r="H23" i="2" s="1"/>
  <c r="H24" i="2" a="1"/>
  <c r="H24" i="2" s="1"/>
  <c r="H25" i="2" a="1"/>
  <c r="H25" i="2" s="1"/>
  <c r="H26" i="2" a="1"/>
  <c r="H26" i="2" s="1"/>
  <c r="H27" i="2" a="1"/>
  <c r="H27" i="2" s="1"/>
  <c r="H28" i="2" a="1"/>
  <c r="H28" i="2" s="1"/>
  <c r="H29" i="2" a="1"/>
  <c r="H29" i="2" s="1"/>
  <c r="H30" i="2" a="1"/>
  <c r="H30" i="2" s="1"/>
  <c r="H31" i="2" a="1"/>
  <c r="H31" i="2" s="1"/>
  <c r="H32" i="2" a="1"/>
  <c r="H32" i="2" s="1"/>
  <c r="H33" i="2" a="1"/>
  <c r="H33" i="2" s="1"/>
  <c r="H34" i="2" a="1"/>
  <c r="H34" i="2" s="1"/>
  <c r="H35" i="2" a="1"/>
  <c r="H35" i="2" s="1"/>
  <c r="H36" i="2" a="1"/>
  <c r="H36" i="2" s="1"/>
  <c r="H37" i="2" a="1"/>
  <c r="H37" i="2" s="1"/>
  <c r="H38" i="2" a="1"/>
  <c r="H38" i="2" s="1"/>
  <c r="H39" i="2" a="1"/>
  <c r="H39" i="2" s="1"/>
  <c r="H40" i="2" a="1"/>
  <c r="H40" i="2" s="1"/>
  <c r="H41" i="2" a="1"/>
  <c r="H41" i="2" s="1"/>
  <c r="H42" i="2" a="1"/>
  <c r="H42" i="2" s="1"/>
  <c r="H43" i="2" a="1"/>
  <c r="H43" i="2" s="1"/>
  <c r="H44" i="2" a="1"/>
  <c r="H44" i="2" s="1"/>
  <c r="H45" i="2" a="1"/>
  <c r="H45" i="2" s="1"/>
  <c r="H46" i="2" a="1"/>
  <c r="H46" i="2" s="1"/>
  <c r="H47" i="2" a="1"/>
  <c r="H47" i="2" s="1"/>
  <c r="H48" i="2" a="1"/>
  <c r="H48" i="2" s="1"/>
  <c r="H49" i="2" a="1"/>
  <c r="H49" i="2" s="1"/>
  <c r="H50" i="2" a="1"/>
  <c r="H50" i="2" s="1"/>
  <c r="H51" i="2" a="1"/>
  <c r="H51" i="2" s="1"/>
  <c r="H52" i="2" a="1"/>
  <c r="H52" i="2" s="1"/>
  <c r="H53" i="2" a="1"/>
  <c r="H53" i="2" s="1"/>
  <c r="H54" i="2" a="1"/>
  <c r="H54" i="2" s="1"/>
  <c r="H55" i="2" a="1"/>
  <c r="H55" i="2" s="1"/>
  <c r="H56" i="2" a="1"/>
  <c r="H56" i="2" s="1"/>
  <c r="H57" i="2" a="1"/>
  <c r="H57" i="2" s="1"/>
  <c r="H58" i="2" a="1"/>
  <c r="H58" i="2" s="1"/>
  <c r="H59" i="2" a="1"/>
  <c r="H59" i="2" s="1"/>
  <c r="H60" i="2" a="1"/>
  <c r="H60" i="2" s="1"/>
  <c r="H61" i="2" a="1"/>
  <c r="H61" i="2" s="1"/>
  <c r="H62" i="2" a="1"/>
  <c r="H62" i="2" s="1"/>
  <c r="H63" i="2" a="1"/>
  <c r="H63" i="2" s="1"/>
  <c r="H64" i="2" a="1"/>
  <c r="H64" i="2" s="1"/>
  <c r="H65" i="2" a="1"/>
  <c r="H65" i="2" s="1"/>
  <c r="H66" i="2" a="1"/>
  <c r="H66" i="2" s="1"/>
  <c r="H67" i="2" a="1"/>
  <c r="H67" i="2" s="1"/>
  <c r="H68" i="2" a="1"/>
  <c r="H68" i="2" s="1"/>
  <c r="H69" i="2" a="1"/>
  <c r="H69" i="2" s="1"/>
  <c r="H70" i="2" a="1"/>
  <c r="H70" i="2" s="1"/>
  <c r="H71" i="2" a="1"/>
  <c r="H71" i="2" s="1"/>
  <c r="H72" i="2" a="1"/>
  <c r="H72" i="2" s="1"/>
  <c r="H73" i="2" a="1"/>
  <c r="H73" i="2" s="1"/>
  <c r="H74" i="2" a="1"/>
  <c r="H74" i="2" s="1"/>
  <c r="H75" i="2" a="1"/>
  <c r="H75" i="2" s="1"/>
  <c r="H76" i="2" a="1"/>
  <c r="H76" i="2" s="1"/>
  <c r="H77" i="2" a="1"/>
  <c r="H77" i="2" s="1"/>
  <c r="H78" i="2" a="1"/>
  <c r="H78" i="2" s="1"/>
  <c r="H79" i="2" a="1"/>
  <c r="H79" i="2" s="1"/>
  <c r="H80" i="2" a="1"/>
  <c r="H80" i="2" s="1"/>
  <c r="H81" i="2" a="1"/>
  <c r="H81" i="2" s="1"/>
  <c r="H82" i="2" a="1"/>
  <c r="H82" i="2" s="1"/>
  <c r="H83" i="2" a="1"/>
  <c r="H83" i="2" s="1"/>
  <c r="H84" i="2" a="1"/>
  <c r="H84" i="2" s="1"/>
  <c r="H85" i="2" a="1"/>
  <c r="H85" i="2" s="1"/>
  <c r="H86" i="2" a="1"/>
  <c r="H86" i="2" s="1"/>
  <c r="H87" i="2" a="1"/>
  <c r="H87" i="2" s="1"/>
  <c r="H88" i="2" a="1"/>
  <c r="H88" i="2" s="1"/>
  <c r="H89" i="2" a="1"/>
  <c r="H89" i="2" s="1"/>
  <c r="H90" i="2" a="1"/>
  <c r="H90" i="2" s="1"/>
  <c r="H91" i="2" a="1"/>
  <c r="H91" i="2" s="1"/>
  <c r="H92" i="2" a="1"/>
  <c r="H92" i="2" s="1"/>
  <c r="H93" i="2" a="1"/>
  <c r="H93" i="2" s="1"/>
  <c r="H94" i="2" a="1"/>
  <c r="H94" i="2" s="1"/>
  <c r="H95" i="2" a="1"/>
  <c r="H95" i="2" s="1"/>
  <c r="H96" i="2" a="1"/>
  <c r="H96" i="2" s="1"/>
  <c r="H97" i="2" a="1"/>
  <c r="H97" i="2" s="1"/>
  <c r="H98" i="2" a="1"/>
  <c r="H98" i="2" s="1"/>
  <c r="H99" i="2" a="1"/>
  <c r="H99" i="2" s="1"/>
  <c r="H100" i="2" a="1"/>
  <c r="H100" i="2" s="1"/>
  <c r="H101" i="2" a="1"/>
  <c r="H101" i="2" s="1"/>
  <c r="H102" i="2" a="1"/>
  <c r="H102" i="2" s="1"/>
  <c r="H103" i="2" a="1"/>
  <c r="H103" i="2" s="1"/>
  <c r="H104" i="2" a="1"/>
  <c r="H104" i="2" s="1"/>
  <c r="H105" i="2" a="1"/>
  <c r="H105" i="2" s="1"/>
  <c r="H106" i="2" a="1"/>
  <c r="H106" i="2" s="1"/>
  <c r="H107" i="2" a="1"/>
  <c r="H107" i="2" s="1"/>
  <c r="H108" i="2" a="1"/>
  <c r="H108" i="2" s="1"/>
  <c r="H109" i="2" a="1"/>
  <c r="H109" i="2" s="1"/>
  <c r="H110" i="2" a="1"/>
  <c r="H110" i="2" s="1"/>
  <c r="H111" i="2" a="1"/>
  <c r="H111" i="2" s="1"/>
  <c r="H112" i="2" a="1"/>
  <c r="H112" i="2" s="1"/>
  <c r="H113" i="2" a="1"/>
  <c r="H113" i="2" s="1"/>
  <c r="H114" i="2" a="1"/>
  <c r="H114" i="2" s="1"/>
  <c r="H3" i="2" a="1"/>
  <c r="H3" i="2" s="1"/>
  <c r="G3" i="2"/>
  <c r="G4" i="2"/>
  <c r="G5" i="2"/>
  <c r="G6" i="2"/>
  <c r="G7" i="2"/>
  <c r="G8" i="2"/>
  <c r="G9" i="2"/>
  <c r="G10" i="2"/>
  <c r="G11" i="2"/>
  <c r="G12" i="2"/>
  <c r="G13" i="2"/>
  <c r="G14" i="2"/>
  <c r="G15" i="2"/>
  <c r="G16" i="2"/>
  <c r="G17" i="2"/>
  <c r="G18" i="2"/>
  <c r="G19" i="2"/>
  <c r="G20" i="2"/>
  <c r="G21" i="2"/>
  <c r="G22" i="2"/>
  <c r="G23" i="2"/>
  <c r="G24" i="2"/>
  <c r="G25" i="2"/>
  <c r="G26" i="2"/>
  <c r="G27" i="2"/>
  <c r="G28" i="2"/>
  <c r="G29" i="2"/>
  <c r="G30" i="2"/>
  <c r="G31" i="2"/>
  <c r="G32" i="2"/>
  <c r="G33" i="2"/>
  <c r="G34" i="2"/>
  <c r="G35" i="2"/>
  <c r="G36" i="2"/>
  <c r="G37" i="2"/>
  <c r="G38" i="2"/>
  <c r="G39" i="2"/>
  <c r="G40" i="2"/>
  <c r="G41" i="2"/>
  <c r="G42" i="2"/>
  <c r="G43" i="2"/>
  <c r="G44" i="2"/>
  <c r="G45" i="2"/>
  <c r="G46" i="2"/>
  <c r="G47" i="2"/>
  <c r="G48" i="2"/>
  <c r="G49" i="2"/>
  <c r="G50" i="2"/>
  <c r="G51" i="2"/>
  <c r="G52" i="2"/>
  <c r="G53" i="2"/>
  <c r="G54" i="2"/>
  <c r="G55" i="2"/>
  <c r="G56" i="2"/>
  <c r="G57" i="2"/>
  <c r="G58" i="2"/>
  <c r="G59" i="2"/>
  <c r="G60" i="2"/>
  <c r="G61" i="2"/>
  <c r="G62" i="2"/>
  <c r="G63" i="2"/>
  <c r="G64" i="2"/>
  <c r="G65" i="2"/>
  <c r="G66" i="2"/>
  <c r="G67" i="2"/>
  <c r="G68" i="2"/>
  <c r="G69" i="2"/>
  <c r="G70" i="2"/>
  <c r="G71" i="2"/>
  <c r="G72" i="2"/>
  <c r="G73" i="2"/>
  <c r="G74" i="2"/>
  <c r="G75" i="2"/>
  <c r="G76" i="2"/>
  <c r="G77" i="2"/>
  <c r="G78" i="2"/>
  <c r="G79" i="2"/>
  <c r="G80" i="2"/>
  <c r="G81" i="2"/>
  <c r="G82" i="2"/>
  <c r="G83" i="2"/>
  <c r="G84" i="2"/>
  <c r="G85" i="2"/>
  <c r="G86" i="2"/>
  <c r="G87" i="2"/>
  <c r="G88" i="2"/>
  <c r="G89" i="2"/>
  <c r="G90" i="2"/>
  <c r="G91" i="2"/>
  <c r="G92" i="2"/>
  <c r="G93" i="2"/>
  <c r="G94" i="2"/>
  <c r="G95" i="2"/>
  <c r="G96" i="2"/>
  <c r="G97" i="2"/>
  <c r="G98" i="2"/>
  <c r="G99" i="2"/>
  <c r="G100" i="2"/>
  <c r="G101" i="2"/>
  <c r="G102" i="2"/>
  <c r="G103" i="2"/>
  <c r="G104" i="2"/>
  <c r="G105" i="2"/>
  <c r="G106" i="2"/>
  <c r="G107" i="2"/>
  <c r="G108" i="2"/>
  <c r="G109" i="2"/>
  <c r="G110" i="2"/>
  <c r="G111" i="2"/>
  <c r="G112" i="2"/>
  <c r="G113" i="2"/>
  <c r="G114" i="2"/>
  <c r="I19" i="21" l="1"/>
  <c r="I11" i="21"/>
  <c r="I18" i="21"/>
  <c r="D7" i="1" a="1"/>
  <c r="I25" i="21"/>
  <c r="I17" i="21"/>
  <c r="I24" i="21"/>
  <c r="I16" i="21"/>
  <c r="I12" i="21"/>
  <c r="I23" i="21"/>
  <c r="I15" i="21"/>
  <c r="I20" i="21"/>
  <c r="I22" i="21"/>
  <c r="I14" i="21"/>
  <c r="I21" i="21"/>
  <c r="I13" i="21"/>
  <c r="D49" i="22" a="1"/>
  <c r="D49" i="22" s="1"/>
  <c r="H49" i="22" s="1"/>
  <c r="D42" i="22" a="1"/>
  <c r="D42" i="22" s="1"/>
  <c r="H42" i="22" s="1"/>
  <c r="D53" i="22" a="1"/>
  <c r="D53" i="22" s="1"/>
  <c r="H53" i="22" s="1"/>
  <c r="D46" i="22" a="1"/>
  <c r="D46" i="22" s="1"/>
  <c r="H46" i="22" s="1"/>
  <c r="D43" i="22" a="1"/>
  <c r="D43" i="22" s="1"/>
  <c r="H43" i="22" s="1"/>
  <c r="D50" i="22" a="1"/>
  <c r="D50" i="22" s="1"/>
  <c r="H50" i="22" s="1"/>
  <c r="D47" i="22" a="1"/>
  <c r="D47" i="22" s="1"/>
  <c r="H47" i="22" s="1"/>
  <c r="D40" i="22" a="1"/>
  <c r="D40" i="22" s="1"/>
  <c r="H40" i="22" s="1"/>
  <c r="D54" i="22" a="1"/>
  <c r="D54" i="22" s="1"/>
  <c r="H54" i="22" s="1"/>
  <c r="D51" i="22" a="1"/>
  <c r="D51" i="22" s="1"/>
  <c r="H51" i="22" s="1"/>
  <c r="D44" i="22" a="1"/>
  <c r="D44" i="22" s="1"/>
  <c r="H44" i="22" s="1"/>
  <c r="D48" i="22" a="1"/>
  <c r="D48" i="22" s="1"/>
  <c r="H48" i="22" s="1"/>
  <c r="D41" i="22" a="1"/>
  <c r="D41" i="22" s="1"/>
  <c r="H41" i="22" s="1"/>
  <c r="D52" i="22" a="1"/>
  <c r="D52" i="22" s="1"/>
  <c r="H52" i="22" s="1"/>
  <c r="D45" i="22" a="1"/>
  <c r="D45" i="22" s="1"/>
  <c r="H45" i="22" s="1"/>
  <c r="J75" i="20"/>
  <c r="K75" i="20" s="1"/>
  <c r="J67" i="20"/>
  <c r="K67" i="20" s="1"/>
  <c r="J72" i="20"/>
  <c r="K72" i="20" s="1"/>
  <c r="J76" i="20"/>
  <c r="K76" i="20" s="1"/>
  <c r="J69" i="20"/>
  <c r="K69" i="20" s="1"/>
  <c r="J71" i="20"/>
  <c r="K71" i="20" s="1"/>
  <c r="J73" i="20"/>
  <c r="K73" i="20" s="1"/>
  <c r="K79" i="20"/>
  <c r="J79" i="20"/>
  <c r="J74" i="20"/>
  <c r="K74" i="20" s="1"/>
  <c r="J68" i="20"/>
  <c r="K68" i="20" s="1"/>
  <c r="J70" i="20"/>
  <c r="K70" i="20" s="1"/>
  <c r="M20" i="1"/>
  <c r="B52" i="22" s="1"/>
  <c r="M15" i="1"/>
  <c r="B47" i="22" s="1"/>
  <c r="M12" i="1"/>
  <c r="B44" i="22" s="1"/>
  <c r="M22" i="1"/>
  <c r="B54" i="22" s="1"/>
  <c r="M17" i="1"/>
  <c r="B49" i="22" s="1"/>
  <c r="M10" i="1"/>
  <c r="B42" i="22" s="1"/>
  <c r="M19" i="1"/>
  <c r="B51" i="22" s="1"/>
  <c r="M14" i="1"/>
  <c r="B46" i="22" s="1"/>
  <c r="M9" i="1"/>
  <c r="B41" i="22" s="1"/>
  <c r="M18" i="1"/>
  <c r="B50" i="22" s="1"/>
  <c r="M8" i="1"/>
  <c r="B40" i="22" s="1"/>
  <c r="M11" i="1"/>
  <c r="B43" i="22" s="1"/>
  <c r="M21" i="1"/>
  <c r="B53" i="22" s="1"/>
  <c r="M16" i="1"/>
  <c r="B48" i="22" s="1"/>
  <c r="M13" i="1"/>
  <c r="B45" i="22" s="1"/>
  <c r="B7" i="1"/>
  <c r="A4" i="15"/>
  <c r="A12" i="15"/>
  <c r="A5" i="15"/>
  <c r="A13" i="15"/>
  <c r="A6" i="15"/>
  <c r="A14" i="15"/>
  <c r="A7" i="15"/>
  <c r="A15" i="15"/>
  <c r="A8" i="15"/>
  <c r="A16" i="15"/>
  <c r="A9" i="15"/>
  <c r="A17" i="15"/>
  <c r="A10" i="15"/>
  <c r="A18" i="15"/>
  <c r="A11" i="15"/>
  <c r="C7" i="1" a="1"/>
  <c r="B14" i="15" a="1"/>
  <c r="B10" i="15" a="1"/>
  <c r="B8" i="15" a="1"/>
  <c r="B6" i="15" a="1"/>
  <c r="B16" i="15" a="1"/>
  <c r="B4" i="15" a="1"/>
  <c r="B18" i="15" a="1"/>
  <c r="B7" i="15" a="1"/>
  <c r="B5" i="15" a="1"/>
  <c r="B12" i="15" a="1"/>
  <c r="B15" i="15" a="1"/>
  <c r="B17" i="15" a="1"/>
  <c r="B11" i="15" a="1"/>
  <c r="B13" i="15" a="1"/>
  <c r="B9" i="15" a="1"/>
  <c r="B4" i="15" l="1"/>
  <c r="D7" i="1"/>
  <c r="C10" i="23"/>
  <c r="D10" i="23" s="1"/>
  <c r="I10" i="21"/>
  <c r="P25" i="1" s="1"/>
  <c r="M7" i="1"/>
  <c r="B39" i="22" s="1"/>
  <c r="D39" i="22" a="1"/>
  <c r="D39" i="22" s="1"/>
  <c r="H39" i="22" s="1"/>
  <c r="G34" i="1"/>
  <c r="A14" i="21"/>
  <c r="G31" i="1"/>
  <c r="A11" i="21"/>
  <c r="G35" i="1"/>
  <c r="A15" i="21"/>
  <c r="G41" i="1"/>
  <c r="A21" i="21"/>
  <c r="G38" i="1"/>
  <c r="A18" i="21"/>
  <c r="G32" i="1"/>
  <c r="A12" i="21"/>
  <c r="G43" i="1"/>
  <c r="A23" i="21"/>
  <c r="G37" i="1"/>
  <c r="A17" i="21"/>
  <c r="G36" i="1"/>
  <c r="A16" i="21"/>
  <c r="G42" i="1"/>
  <c r="A22" i="21"/>
  <c r="G39" i="1"/>
  <c r="A19" i="21"/>
  <c r="G33" i="1"/>
  <c r="A13" i="21"/>
  <c r="G44" i="1"/>
  <c r="A24" i="21"/>
  <c r="G40" i="1"/>
  <c r="A20" i="21"/>
  <c r="G45" i="1"/>
  <c r="A25" i="21"/>
  <c r="I79" i="20"/>
  <c r="F79" i="20"/>
  <c r="D79" i="20"/>
  <c r="E79" i="20"/>
  <c r="C79" i="20"/>
  <c r="B79" i="20"/>
  <c r="AD9" i="1"/>
  <c r="AB9" i="1"/>
  <c r="AD8" i="1"/>
  <c r="AB8" i="1"/>
  <c r="AD14" i="1"/>
  <c r="AB14" i="1"/>
  <c r="AD11" i="1"/>
  <c r="AB11" i="1"/>
  <c r="AD5" i="1"/>
  <c r="AB5" i="1"/>
  <c r="AD16" i="1"/>
  <c r="AB16" i="1"/>
  <c r="AD12" i="1"/>
  <c r="AB12" i="1"/>
  <c r="AD6" i="1"/>
  <c r="AB6" i="1"/>
  <c r="AD17" i="1"/>
  <c r="AB17" i="1"/>
  <c r="AD3" i="1"/>
  <c r="AB3" i="1"/>
  <c r="AD7" i="1"/>
  <c r="AB7" i="1"/>
  <c r="AD13" i="1"/>
  <c r="AB13" i="1"/>
  <c r="AD10" i="1"/>
  <c r="AB10" i="1"/>
  <c r="AD4" i="1"/>
  <c r="AB4" i="1"/>
  <c r="AD15" i="1"/>
  <c r="AB15" i="1"/>
  <c r="Z9" i="1"/>
  <c r="U9" i="1"/>
  <c r="U11" i="1"/>
  <c r="Z11" i="1"/>
  <c r="U5" i="1"/>
  <c r="Z5" i="1"/>
  <c r="U16" i="1"/>
  <c r="Z16" i="1"/>
  <c r="Z12" i="1"/>
  <c r="U12" i="1"/>
  <c r="Z6" i="1"/>
  <c r="U6" i="1"/>
  <c r="Z17" i="1"/>
  <c r="U17" i="1"/>
  <c r="U3" i="1"/>
  <c r="Z3" i="1"/>
  <c r="U7" i="1"/>
  <c r="Z7" i="1"/>
  <c r="U13" i="1"/>
  <c r="Z13" i="1"/>
  <c r="U10" i="1"/>
  <c r="Z10" i="1"/>
  <c r="U8" i="1"/>
  <c r="Z8" i="1"/>
  <c r="Z14" i="1"/>
  <c r="U14" i="1"/>
  <c r="Z4" i="1"/>
  <c r="U4" i="1"/>
  <c r="U15" i="1"/>
  <c r="Z15" i="1"/>
  <c r="E7" i="1" a="1"/>
  <c r="A3" i="15"/>
  <c r="B11" i="15"/>
  <c r="B7" i="15"/>
  <c r="B16" i="15"/>
  <c r="B18" i="15"/>
  <c r="B14" i="15"/>
  <c r="B10" i="15"/>
  <c r="B6" i="15"/>
  <c r="B17" i="15"/>
  <c r="B13" i="15"/>
  <c r="B9" i="15"/>
  <c r="B5" i="15"/>
  <c r="B12" i="15"/>
  <c r="B8" i="15"/>
  <c r="B15" i="15"/>
  <c r="C7" i="1"/>
  <c r="B2" i="15" a="1"/>
  <c r="C25" i="23" l="1"/>
  <c r="D25" i="23" s="1"/>
  <c r="C17" i="23"/>
  <c r="D17" i="23" s="1"/>
  <c r="B10" i="24" a="1"/>
  <c r="B10" i="24" s="1"/>
  <c r="AB2" i="1"/>
  <c r="AD2" i="1"/>
  <c r="U2" i="1"/>
  <c r="A10" i="21"/>
  <c r="Z2" i="1"/>
  <c r="F6" i="21"/>
  <c r="G30" i="1"/>
  <c r="A36" i="21" a="1"/>
  <c r="A36" i="21" s="1"/>
  <c r="A32" i="21" a="1"/>
  <c r="A32" i="21" s="1"/>
  <c r="A35" i="21" a="1"/>
  <c r="A35" i="21" s="1"/>
  <c r="A31" i="21" a="1"/>
  <c r="A31" i="21" s="1"/>
  <c r="A38" i="21" a="1"/>
  <c r="A38" i="21" s="1"/>
  <c r="A34" i="21" a="1"/>
  <c r="A34" i="21" s="1"/>
  <c r="A30" i="21" a="1"/>
  <c r="A30" i="21" s="1"/>
  <c r="A37" i="21" a="1"/>
  <c r="A37" i="21" s="1"/>
  <c r="A33" i="21" a="1"/>
  <c r="A33" i="21" s="1"/>
  <c r="A29" i="21" a="1"/>
  <c r="A29" i="21" s="1"/>
  <c r="B30" i="1" a="1"/>
  <c r="B30" i="1" s="1"/>
  <c r="E7" i="1"/>
  <c r="F7" i="1" s="1" a="1"/>
  <c r="B2" i="15"/>
  <c r="Q21" i="1" l="1" a="1"/>
  <c r="Q21" i="1" s="1"/>
  <c r="Q13" i="1" a="1"/>
  <c r="Q13" i="1" s="1"/>
  <c r="Q18" i="1" a="1"/>
  <c r="Q18" i="1" s="1"/>
  <c r="Q16" i="1" a="1"/>
  <c r="Q16" i="1" s="1"/>
  <c r="Q22" i="1" a="1"/>
  <c r="Q22" i="1" s="1"/>
  <c r="Q11" i="1" a="1"/>
  <c r="Q11" i="1" s="1"/>
  <c r="Q20" i="1" a="1"/>
  <c r="Q20" i="1" s="1"/>
  <c r="Q10" i="1" a="1"/>
  <c r="Q10" i="1" s="1"/>
  <c r="Q8" i="1" a="1"/>
  <c r="Q8" i="1" s="1"/>
  <c r="Q14" i="1" a="1"/>
  <c r="Q14" i="1" s="1"/>
  <c r="Q17" i="1" a="1"/>
  <c r="Q17" i="1" s="1"/>
  <c r="Q19" i="1" a="1"/>
  <c r="Q19" i="1" s="1"/>
  <c r="Q9" i="1" a="1"/>
  <c r="Q9" i="1" s="1"/>
  <c r="Q15" i="1" a="1"/>
  <c r="Q15" i="1" s="1"/>
  <c r="Q12" i="1" a="1"/>
  <c r="Q12" i="1" s="1"/>
  <c r="B4" i="24" a="1"/>
  <c r="B5" i="24" a="1"/>
  <c r="B37" i="21"/>
  <c r="B30" i="21"/>
  <c r="G43" i="21"/>
  <c r="H43" i="21" s="1"/>
  <c r="B33" i="21"/>
  <c r="B34" i="21"/>
  <c r="C25" i="21"/>
  <c r="C24" i="21"/>
  <c r="C23" i="21"/>
  <c r="C22" i="21"/>
  <c r="C21" i="21"/>
  <c r="C20" i="21"/>
  <c r="C19" i="21"/>
  <c r="C18" i="21"/>
  <c r="C17" i="21"/>
  <c r="C16" i="21"/>
  <c r="C15" i="21"/>
  <c r="C14" i="21"/>
  <c r="C13" i="21"/>
  <c r="C12" i="21"/>
  <c r="C11" i="21"/>
  <c r="B38" i="21"/>
  <c r="B31" i="21"/>
  <c r="B35" i="21"/>
  <c r="B32" i="21"/>
  <c r="B36" i="21"/>
  <c r="G7" i="1" a="1"/>
  <c r="F7" i="1"/>
  <c r="B11" i="24" l="1" a="1"/>
  <c r="B11" i="24" s="1"/>
  <c r="Q7" i="1" a="1"/>
  <c r="Q7" i="1" s="1"/>
  <c r="G7" i="1"/>
  <c r="H7" i="1" s="1" a="1"/>
  <c r="H7" i="1" s="1"/>
  <c r="I7" i="1" a="1"/>
  <c r="I7" i="1" s="1"/>
  <c r="B4" i="24"/>
  <c r="B5" i="24"/>
  <c r="B13" i="24" s="1" a="1"/>
  <c r="B13" i="24" s="1"/>
  <c r="C6" i="24" a="1"/>
  <c r="B29" i="21"/>
  <c r="C35" i="21" s="1"/>
  <c r="D35" i="21" s="1"/>
  <c r="C7" i="23"/>
  <c r="B6" i="21"/>
  <c r="C10" i="21"/>
  <c r="L19" i="1"/>
  <c r="C30" i="1" a="1"/>
  <c r="C30" i="1" s="1"/>
  <c r="L15" i="1"/>
  <c r="L21" i="1"/>
  <c r="L18" i="1"/>
  <c r="J3" i="1" a="1"/>
  <c r="J3" i="1" s="1"/>
  <c r="B3" i="1"/>
  <c r="L22" i="1"/>
  <c r="L16" i="1"/>
  <c r="L12" i="1"/>
  <c r="L7" i="1"/>
  <c r="K25" i="1" a="1"/>
  <c r="K25" i="1" s="1"/>
  <c r="C12" i="23" s="1"/>
  <c r="L14" i="1"/>
  <c r="L20" i="1"/>
  <c r="L8" i="1"/>
  <c r="L10" i="1"/>
  <c r="L13" i="1"/>
  <c r="L11" i="1"/>
  <c r="L17" i="1"/>
  <c r="L9" i="1"/>
  <c r="B7" i="24" a="1"/>
  <c r="M3" i="1" l="1"/>
  <c r="B39" i="23"/>
  <c r="F3" i="1"/>
  <c r="D6" i="21" s="1"/>
  <c r="G3" i="1" a="1"/>
  <c r="G3" i="1" s="1"/>
  <c r="E6" i="21" s="1"/>
  <c r="B7" i="24"/>
  <c r="B18" i="24" s="1" a="1"/>
  <c r="B18" i="24" s="1"/>
  <c r="B21" i="24" s="1"/>
  <c r="B16" i="24" a="1"/>
  <c r="B16" i="24" s="1"/>
  <c r="Q3" i="1" s="1"/>
  <c r="C6" i="24"/>
  <c r="B14" i="24" s="1"/>
  <c r="C25" i="22" s="1"/>
  <c r="C18" i="22" s="1"/>
  <c r="B12" i="24"/>
  <c r="C31" i="21"/>
  <c r="D31" i="21" s="1"/>
  <c r="C37" i="21"/>
  <c r="D37" i="21" s="1"/>
  <c r="C38" i="21"/>
  <c r="D38" i="21" s="1"/>
  <c r="C33" i="21"/>
  <c r="D33" i="21" s="1"/>
  <c r="C29" i="21"/>
  <c r="D29" i="21" s="1"/>
  <c r="C30" i="21"/>
  <c r="D30" i="21" s="1"/>
  <c r="D30" i="1"/>
  <c r="E30" i="1" s="1"/>
  <c r="C16" i="23"/>
  <c r="C36" i="21"/>
  <c r="D36" i="21" s="1"/>
  <c r="B13" i="23"/>
  <c r="B12" i="23"/>
  <c r="D12" i="23" s="1"/>
  <c r="C6" i="23"/>
  <c r="D6" i="23" s="1"/>
  <c r="C34" i="21"/>
  <c r="D34" i="21" s="1"/>
  <c r="C32" i="21"/>
  <c r="D32" i="21" s="1"/>
  <c r="B16" i="23"/>
  <c r="B7" i="23"/>
  <c r="D7" i="23" s="1"/>
  <c r="F24" i="21"/>
  <c r="C53" i="22"/>
  <c r="G53" i="22" s="1"/>
  <c r="F23" i="21"/>
  <c r="C52" i="22"/>
  <c r="G52" i="22" s="1"/>
  <c r="F17" i="21"/>
  <c r="C46" i="22"/>
  <c r="G46" i="22" s="1"/>
  <c r="F21" i="21"/>
  <c r="C50" i="22"/>
  <c r="G50" i="22" s="1"/>
  <c r="F20" i="21"/>
  <c r="C49" i="22"/>
  <c r="G49" i="22" s="1"/>
  <c r="F15" i="21"/>
  <c r="C44" i="22"/>
  <c r="G44" i="22" s="1"/>
  <c r="F19" i="21"/>
  <c r="C48" i="22"/>
  <c r="G48" i="22" s="1"/>
  <c r="F22" i="21"/>
  <c r="C51" i="22"/>
  <c r="G51" i="22" s="1"/>
  <c r="F12" i="21"/>
  <c r="C41" i="22"/>
  <c r="G41" i="22" s="1"/>
  <c r="F10" i="21"/>
  <c r="C35" i="22"/>
  <c r="E35" i="22" s="1"/>
  <c r="C34" i="22" a="1"/>
  <c r="C34" i="22" s="1"/>
  <c r="E34" i="22" s="1"/>
  <c r="C62" i="22" a="1"/>
  <c r="C62" i="22" s="1"/>
  <c r="C39" i="22"/>
  <c r="F18" i="21"/>
  <c r="C47" i="22"/>
  <c r="G47" i="22" s="1"/>
  <c r="F14" i="21"/>
  <c r="C43" i="22"/>
  <c r="G43" i="22" s="1"/>
  <c r="F16" i="21"/>
  <c r="C45" i="22"/>
  <c r="G45" i="22" s="1"/>
  <c r="F13" i="21"/>
  <c r="C42" i="22"/>
  <c r="G42" i="22" s="1"/>
  <c r="F25" i="21"/>
  <c r="C54" i="22"/>
  <c r="G54" i="22" s="1"/>
  <c r="F11" i="21"/>
  <c r="C40" i="22"/>
  <c r="G40" i="22" s="1"/>
  <c r="G30" i="21"/>
  <c r="D25" i="21"/>
  <c r="D24" i="21"/>
  <c r="D23" i="21"/>
  <c r="D22" i="21"/>
  <c r="D21" i="21"/>
  <c r="D20" i="21"/>
  <c r="D19" i="21"/>
  <c r="D18" i="21"/>
  <c r="D17" i="21"/>
  <c r="D16" i="21"/>
  <c r="D15" i="21"/>
  <c r="D14" i="21"/>
  <c r="D13" i="21"/>
  <c r="D12" i="21"/>
  <c r="D11" i="21"/>
  <c r="B19" i="21"/>
  <c r="B24" i="21"/>
  <c r="B16" i="21"/>
  <c r="B14" i="21"/>
  <c r="B13" i="21"/>
  <c r="B25" i="21"/>
  <c r="B22" i="21"/>
  <c r="B23" i="21"/>
  <c r="B15" i="21"/>
  <c r="B21" i="21"/>
  <c r="B17" i="21"/>
  <c r="B18" i="21"/>
  <c r="B11" i="21"/>
  <c r="B12" i="21"/>
  <c r="B20" i="21"/>
  <c r="J41" i="1"/>
  <c r="K41" i="1" s="1"/>
  <c r="H41" i="1"/>
  <c r="H32" i="1"/>
  <c r="J32" i="1"/>
  <c r="K32" i="1" s="1"/>
  <c r="H44" i="1"/>
  <c r="J44" i="1"/>
  <c r="K44" i="1" s="1"/>
  <c r="J40" i="1"/>
  <c r="K40" i="1" s="1"/>
  <c r="H40" i="1"/>
  <c r="I34" i="1"/>
  <c r="I32" i="1"/>
  <c r="I45" i="1"/>
  <c r="I43" i="1"/>
  <c r="J30" i="1"/>
  <c r="K30" i="1" s="1"/>
  <c r="I42" i="1"/>
  <c r="I41" i="1"/>
  <c r="I30" i="1"/>
  <c r="C15" i="23" s="1"/>
  <c r="D15" i="23" s="1"/>
  <c r="I39" i="1"/>
  <c r="I37" i="1"/>
  <c r="I35" i="1"/>
  <c r="H30" i="1"/>
  <c r="I33" i="1"/>
  <c r="I44" i="1"/>
  <c r="I31" i="1"/>
  <c r="I40" i="1"/>
  <c r="I38" i="1"/>
  <c r="I36" i="1"/>
  <c r="H38" i="1"/>
  <c r="J38" i="1"/>
  <c r="K38" i="1" s="1"/>
  <c r="J33" i="1"/>
  <c r="K33" i="1" s="1"/>
  <c r="H33" i="1"/>
  <c r="J45" i="1"/>
  <c r="K45" i="1" s="1"/>
  <c r="H45" i="1"/>
  <c r="H31" i="1"/>
  <c r="J31" i="1"/>
  <c r="K31" i="1" s="1"/>
  <c r="J43" i="1"/>
  <c r="K43" i="1" s="1"/>
  <c r="H43" i="1"/>
  <c r="J37" i="1"/>
  <c r="K37" i="1" s="1"/>
  <c r="H37" i="1"/>
  <c r="H34" i="1"/>
  <c r="J34" i="1"/>
  <c r="K34" i="1" s="1"/>
  <c r="J35" i="1"/>
  <c r="K35" i="1" s="1"/>
  <c r="H35" i="1"/>
  <c r="H36" i="1"/>
  <c r="J36" i="1"/>
  <c r="K36" i="1" s="1"/>
  <c r="J39" i="1"/>
  <c r="K39" i="1" s="1"/>
  <c r="H39" i="1"/>
  <c r="J42" i="1"/>
  <c r="K42" i="1" s="1"/>
  <c r="H42" i="1"/>
  <c r="W5" i="1"/>
  <c r="AE5" i="1"/>
  <c r="W17" i="1"/>
  <c r="AE17" i="1"/>
  <c r="W3" i="1"/>
  <c r="AE3" i="1"/>
  <c r="W15" i="1"/>
  <c r="AE15" i="1"/>
  <c r="W16" i="1"/>
  <c r="AE16" i="1"/>
  <c r="W12" i="1"/>
  <c r="AE12" i="1"/>
  <c r="W2" i="1"/>
  <c r="AE2" i="1"/>
  <c r="W10" i="1"/>
  <c r="AE10" i="1"/>
  <c r="W9" i="1"/>
  <c r="AE9" i="1"/>
  <c r="W13" i="1"/>
  <c r="AE13" i="1"/>
  <c r="W4" i="1"/>
  <c r="AE4" i="1"/>
  <c r="W6" i="1"/>
  <c r="AE6" i="1"/>
  <c r="W7" i="1"/>
  <c r="AE7" i="1"/>
  <c r="W8" i="1"/>
  <c r="AE8" i="1"/>
  <c r="W11" i="1"/>
  <c r="AE11" i="1"/>
  <c r="W14" i="1"/>
  <c r="AE14" i="1"/>
  <c r="AA17" i="1"/>
  <c r="AA13" i="1"/>
  <c r="AA9" i="1"/>
  <c r="AA5" i="1"/>
  <c r="X14" i="1"/>
  <c r="X6" i="1"/>
  <c r="X11" i="1"/>
  <c r="X3" i="1"/>
  <c r="X17" i="1"/>
  <c r="X9" i="1"/>
  <c r="AA16" i="1"/>
  <c r="AA12" i="1"/>
  <c r="AA8" i="1"/>
  <c r="AA4" i="1"/>
  <c r="X12" i="1"/>
  <c r="X4" i="1"/>
  <c r="X15" i="1"/>
  <c r="X7" i="1"/>
  <c r="AA10" i="1"/>
  <c r="AA6" i="1"/>
  <c r="X16" i="1"/>
  <c r="AA15" i="1"/>
  <c r="AA11" i="1"/>
  <c r="AA7" i="1"/>
  <c r="AA3" i="1"/>
  <c r="X10" i="1"/>
  <c r="AA14" i="1"/>
  <c r="X8" i="1"/>
  <c r="X13" i="1"/>
  <c r="X5" i="1"/>
  <c r="N12" i="1"/>
  <c r="O12" i="1" s="1"/>
  <c r="G15" i="21" s="1"/>
  <c r="N11" i="1"/>
  <c r="O11" i="1" s="1"/>
  <c r="G14" i="21" s="1"/>
  <c r="N14" i="1"/>
  <c r="O14" i="1" s="1"/>
  <c r="G17" i="21" s="1"/>
  <c r="N8" i="1"/>
  <c r="O8" i="1" s="1"/>
  <c r="G11" i="21" s="1"/>
  <c r="N22" i="1"/>
  <c r="O22" i="1" s="1"/>
  <c r="G25" i="21" s="1"/>
  <c r="N10" i="1"/>
  <c r="O10" i="1" s="1"/>
  <c r="G13" i="21" s="1"/>
  <c r="N18" i="1"/>
  <c r="O18" i="1" s="1"/>
  <c r="G21" i="21" s="1"/>
  <c r="N17" i="1"/>
  <c r="O17" i="1" s="1"/>
  <c r="G20" i="21" s="1"/>
  <c r="N21" i="1"/>
  <c r="O21" i="1" s="1"/>
  <c r="G24" i="21" s="1"/>
  <c r="N19" i="1"/>
  <c r="O19" i="1" s="1"/>
  <c r="G22" i="21" s="1"/>
  <c r="N16" i="1"/>
  <c r="O16" i="1" s="1"/>
  <c r="G19" i="21" s="1"/>
  <c r="N13" i="1"/>
  <c r="O13" i="1" s="1"/>
  <c r="G16" i="21" s="1"/>
  <c r="N9" i="1"/>
  <c r="O9" i="1" s="1"/>
  <c r="G12" i="21" s="1"/>
  <c r="N15" i="1"/>
  <c r="O15" i="1" s="1"/>
  <c r="G18" i="21" s="1"/>
  <c r="N20" i="1"/>
  <c r="O20" i="1" s="1"/>
  <c r="G23" i="21" s="1"/>
  <c r="D38" i="1"/>
  <c r="E38" i="1" s="1"/>
  <c r="D32" i="1"/>
  <c r="E32" i="1" s="1"/>
  <c r="D37" i="1"/>
  <c r="E37" i="1" s="1"/>
  <c r="D33" i="1"/>
  <c r="E33" i="1" s="1"/>
  <c r="D36" i="1"/>
  <c r="E36" i="1" s="1"/>
  <c r="D39" i="1"/>
  <c r="E39" i="1" s="1"/>
  <c r="D35" i="1"/>
  <c r="E35" i="1" s="1"/>
  <c r="D31" i="1"/>
  <c r="E31" i="1" s="1"/>
  <c r="D34" i="1"/>
  <c r="E34" i="1" s="1"/>
  <c r="E25" i="1"/>
  <c r="C25" i="1"/>
  <c r="K20" i="1"/>
  <c r="K14" i="1"/>
  <c r="K22" i="1"/>
  <c r="K11" i="1"/>
  <c r="K19" i="1"/>
  <c r="K21" i="1"/>
  <c r="K8" i="1"/>
  <c r="K17" i="1"/>
  <c r="K15" i="1"/>
  <c r="K10" i="1"/>
  <c r="K9" i="1"/>
  <c r="K13" i="1"/>
  <c r="K18" i="1"/>
  <c r="K12" i="1"/>
  <c r="K16" i="1"/>
  <c r="C14" i="23"/>
  <c r="C20" i="22" l="1"/>
  <c r="C8" i="24" a="1"/>
  <c r="B17" i="24"/>
  <c r="C31" i="22" s="1"/>
  <c r="E31" i="22" s="1"/>
  <c r="B15" i="24" a="1"/>
  <c r="B15" i="24" s="1"/>
  <c r="C30" i="22" s="1"/>
  <c r="C19" i="22" s="1"/>
  <c r="D16" i="23"/>
  <c r="C13" i="23"/>
  <c r="D13" i="23" s="1"/>
  <c r="B62" i="21"/>
  <c r="D62" i="21" s="1"/>
  <c r="D39" i="21"/>
  <c r="B40" i="21" s="1"/>
  <c r="C11" i="23"/>
  <c r="D11" i="23" s="1"/>
  <c r="E62" i="22"/>
  <c r="B63" i="21"/>
  <c r="D63" i="21" s="1"/>
  <c r="B61" i="21"/>
  <c r="D61" i="21" s="1"/>
  <c r="G32" i="21"/>
  <c r="H32" i="21" s="1"/>
  <c r="E24" i="21"/>
  <c r="F53" i="22"/>
  <c r="J53" i="22" s="1"/>
  <c r="E20" i="21"/>
  <c r="F49" i="22"/>
  <c r="J49" i="22" s="1"/>
  <c r="E19" i="21"/>
  <c r="F48" i="22"/>
  <c r="J48" i="22" s="1"/>
  <c r="E11" i="21"/>
  <c r="F40" i="22"/>
  <c r="J40" i="22" s="1"/>
  <c r="E15" i="21"/>
  <c r="F44" i="22"/>
  <c r="J44" i="22" s="1"/>
  <c r="E21" i="21"/>
  <c r="F50" i="22"/>
  <c r="J50" i="22" s="1"/>
  <c r="E22" i="21"/>
  <c r="F51" i="22"/>
  <c r="J51" i="22" s="1"/>
  <c r="E16" i="21"/>
  <c r="F45" i="22"/>
  <c r="J45" i="22" s="1"/>
  <c r="E14" i="21"/>
  <c r="F43" i="22"/>
  <c r="J43" i="22" s="1"/>
  <c r="C61" i="22" a="1"/>
  <c r="C61" i="22" s="1"/>
  <c r="E61" i="22" s="1"/>
  <c r="E25" i="21"/>
  <c r="F54" i="22"/>
  <c r="J54" i="22" s="1"/>
  <c r="E13" i="21"/>
  <c r="F42" i="22"/>
  <c r="J42" i="22" s="1"/>
  <c r="E17" i="21"/>
  <c r="F46" i="22"/>
  <c r="J46" i="22" s="1"/>
  <c r="G33" i="21"/>
  <c r="H33" i="21" s="1"/>
  <c r="E12" i="21"/>
  <c r="F41" i="22"/>
  <c r="J41" i="22" s="1"/>
  <c r="E18" i="21"/>
  <c r="F47" i="22"/>
  <c r="J47" i="22" s="1"/>
  <c r="E23" i="21"/>
  <c r="F52" i="22"/>
  <c r="J52" i="22" s="1"/>
  <c r="G39" i="22"/>
  <c r="G55" i="22" s="1"/>
  <c r="C55" i="22"/>
  <c r="C38" i="23" s="1"/>
  <c r="D38" i="23" s="1"/>
  <c r="C9" i="22"/>
  <c r="H6" i="21"/>
  <c r="G6" i="21"/>
  <c r="D10" i="21"/>
  <c r="C6" i="21"/>
  <c r="A6" i="21"/>
  <c r="B10" i="21"/>
  <c r="O3" i="1"/>
  <c r="B14" i="23" s="1"/>
  <c r="D14" i="23" s="1"/>
  <c r="AA2" i="1"/>
  <c r="X2" i="1"/>
  <c r="N7" i="1"/>
  <c r="V11" i="1"/>
  <c r="P12" i="1"/>
  <c r="E44" i="22"/>
  <c r="I44" i="22" s="1"/>
  <c r="V16" i="1"/>
  <c r="V13" i="1"/>
  <c r="V14" i="1"/>
  <c r="P20" i="1"/>
  <c r="P18" i="1"/>
  <c r="E50" i="22"/>
  <c r="I50" i="22" s="1"/>
  <c r="V8" i="1"/>
  <c r="V6" i="1"/>
  <c r="P15" i="1"/>
  <c r="E47" i="22"/>
  <c r="I47" i="22" s="1"/>
  <c r="P10" i="1"/>
  <c r="E42" i="22"/>
  <c r="I42" i="22" s="1"/>
  <c r="P19" i="1"/>
  <c r="E51" i="22"/>
  <c r="I51" i="22" s="1"/>
  <c r="V3" i="1"/>
  <c r="V7" i="1"/>
  <c r="V4" i="1"/>
  <c r="V17" i="1"/>
  <c r="P9" i="1"/>
  <c r="E41" i="22"/>
  <c r="I41" i="22" s="1"/>
  <c r="E54" i="22"/>
  <c r="I54" i="22" s="1"/>
  <c r="P22" i="1"/>
  <c r="V12" i="1"/>
  <c r="P21" i="1"/>
  <c r="E53" i="22"/>
  <c r="I53" i="22" s="1"/>
  <c r="E49" i="22"/>
  <c r="I49" i="22" s="1"/>
  <c r="P17" i="1"/>
  <c r="V5" i="1"/>
  <c r="V9" i="1"/>
  <c r="P13" i="1"/>
  <c r="E45" i="22"/>
  <c r="I45" i="22" s="1"/>
  <c r="P8" i="1"/>
  <c r="E40" i="22"/>
  <c r="I40" i="22" s="1"/>
  <c r="E43" i="22"/>
  <c r="I43" i="22" s="1"/>
  <c r="P11" i="1"/>
  <c r="V10" i="1"/>
  <c r="V15" i="1"/>
  <c r="P16" i="1"/>
  <c r="P14" i="1"/>
  <c r="E46" i="22"/>
  <c r="I46" i="22" s="1"/>
  <c r="E3" i="1"/>
  <c r="I3" i="1"/>
  <c r="H3" i="1"/>
  <c r="D3" i="1"/>
  <c r="I25" i="1"/>
  <c r="K7" i="1"/>
  <c r="B25" i="1"/>
  <c r="B9" i="23" l="1"/>
  <c r="C39" i="23"/>
  <c r="D39" i="23" s="1"/>
  <c r="E60" i="22"/>
  <c r="C15" i="22"/>
  <c r="C8" i="24"/>
  <c r="B19" i="24" s="1"/>
  <c r="C36" i="23"/>
  <c r="C33" i="23"/>
  <c r="O7" i="1"/>
  <c r="G10" i="21" s="1"/>
  <c r="C8" i="23"/>
  <c r="B8" i="23"/>
  <c r="C9" i="23"/>
  <c r="B60" i="21"/>
  <c r="D60" i="21" s="1"/>
  <c r="G41" i="21"/>
  <c r="H41" i="21" s="1"/>
  <c r="B57" i="21"/>
  <c r="D57" i="21" s="1"/>
  <c r="R3" i="1"/>
  <c r="B48" i="21"/>
  <c r="D48" i="21" s="1"/>
  <c r="E29" i="22"/>
  <c r="B56" i="21"/>
  <c r="D56" i="21" s="1"/>
  <c r="H23" i="21"/>
  <c r="E52" i="22"/>
  <c r="I52" i="22" s="1"/>
  <c r="E10" i="21"/>
  <c r="G31" i="21" s="1"/>
  <c r="F39" i="22"/>
  <c r="J39" i="22" s="1"/>
  <c r="H19" i="21"/>
  <c r="E48" i="22"/>
  <c r="I48" i="22" s="1"/>
  <c r="C60" i="22"/>
  <c r="D55" i="22"/>
  <c r="E9" i="22"/>
  <c r="C10" i="22"/>
  <c r="R20" i="1"/>
  <c r="S20" i="1" s="1"/>
  <c r="F55" i="22"/>
  <c r="AC8" i="1"/>
  <c r="H16" i="21"/>
  <c r="R12" i="1"/>
  <c r="S12" i="1" s="1"/>
  <c r="H15" i="21"/>
  <c r="AC14" i="1"/>
  <c r="H22" i="21"/>
  <c r="AC13" i="1"/>
  <c r="H21" i="21"/>
  <c r="AC17" i="1"/>
  <c r="H25" i="21"/>
  <c r="G29" i="21"/>
  <c r="H30" i="21" s="1"/>
  <c r="H29" i="21"/>
  <c r="AC4" i="1"/>
  <c r="H12" i="21"/>
  <c r="AC5" i="1"/>
  <c r="H13" i="21"/>
  <c r="H35" i="21"/>
  <c r="G42" i="21"/>
  <c r="H42" i="21" s="1"/>
  <c r="G35" i="21"/>
  <c r="AC6" i="1"/>
  <c r="H14" i="21"/>
  <c r="AC12" i="1"/>
  <c r="H20" i="21"/>
  <c r="AC10" i="1"/>
  <c r="H18" i="21"/>
  <c r="AC9" i="1"/>
  <c r="H17" i="21"/>
  <c r="AC16" i="1"/>
  <c r="H24" i="21"/>
  <c r="R8" i="1"/>
  <c r="S8" i="1" s="1"/>
  <c r="H11" i="21"/>
  <c r="R15" i="1"/>
  <c r="S15" i="1" s="1"/>
  <c r="R14" i="1"/>
  <c r="S14" i="1" s="1"/>
  <c r="R21" i="1"/>
  <c r="S21" i="1" s="1"/>
  <c r="AC15" i="1"/>
  <c r="R10" i="1"/>
  <c r="S10" i="1" s="1"/>
  <c r="R9" i="1"/>
  <c r="S9" i="1" s="1"/>
  <c r="R13" i="1"/>
  <c r="S13" i="1" s="1"/>
  <c r="R18" i="1"/>
  <c r="S18" i="1" s="1"/>
  <c r="AC7" i="1"/>
  <c r="AC11" i="1"/>
  <c r="R19" i="1"/>
  <c r="S19" i="1" s="1"/>
  <c r="R11" i="1"/>
  <c r="S11" i="1" s="1"/>
  <c r="R17" i="1"/>
  <c r="S17" i="1" s="1"/>
  <c r="AC3" i="1"/>
  <c r="R22" i="1"/>
  <c r="S22" i="1" s="1"/>
  <c r="R16" i="1"/>
  <c r="S16" i="1" s="1"/>
  <c r="V2" i="1"/>
  <c r="Y11" i="1"/>
  <c r="Y3" i="1"/>
  <c r="Y4" i="1"/>
  <c r="Y12" i="1"/>
  <c r="Y10" i="1"/>
  <c r="Y6" i="1"/>
  <c r="Y17" i="1"/>
  <c r="Y8" i="1"/>
  <c r="Y16" i="1"/>
  <c r="Y14" i="1"/>
  <c r="Y5" i="1"/>
  <c r="Y13" i="1"/>
  <c r="Y9" i="1"/>
  <c r="Y7" i="1"/>
  <c r="Y15" i="1"/>
  <c r="G25" i="1"/>
  <c r="C23" i="23"/>
  <c r="D23" i="23" s="1"/>
  <c r="P3" i="1"/>
  <c r="B32" i="23"/>
  <c r="E59" i="22" l="1"/>
  <c r="J55" i="22"/>
  <c r="C59" i="22" s="1"/>
  <c r="B36" i="23"/>
  <c r="C24" i="22"/>
  <c r="C37" i="23"/>
  <c r="C11" i="22"/>
  <c r="D9" i="23"/>
  <c r="B20" i="24" a="1"/>
  <c r="B20" i="24" s="1"/>
  <c r="D36" i="23"/>
  <c r="C35" i="23"/>
  <c r="C32" i="23"/>
  <c r="D32" i="23" s="1"/>
  <c r="C21" i="23"/>
  <c r="D21" i="23" s="1"/>
  <c r="B33" i="23"/>
  <c r="D33" i="23" s="1"/>
  <c r="E39" i="22"/>
  <c r="I39" i="22" s="1"/>
  <c r="P7" i="1"/>
  <c r="D8" i="23"/>
  <c r="G34" i="21"/>
  <c r="H34" i="21" s="1"/>
  <c r="B55" i="21" a="1"/>
  <c r="B55" i="21" s="1"/>
  <c r="D55" i="21" s="1"/>
  <c r="B64" i="21"/>
  <c r="D64" i="21" s="1"/>
  <c r="E25" i="22"/>
  <c r="C66" i="22"/>
  <c r="C67" i="22" s="1"/>
  <c r="E10" i="22"/>
  <c r="H55" i="22"/>
  <c r="C29" i="22"/>
  <c r="E30" i="22"/>
  <c r="D29" i="22"/>
  <c r="Q25" i="1"/>
  <c r="C34" i="23"/>
  <c r="E55" i="22"/>
  <c r="C28" i="22"/>
  <c r="E28" i="22" s="1"/>
  <c r="R25" i="1"/>
  <c r="C24" i="23" s="1"/>
  <c r="D24" i="23" s="1"/>
  <c r="H31" i="21"/>
  <c r="G40" i="21"/>
  <c r="H40" i="21" s="1"/>
  <c r="G39" i="21"/>
  <c r="B47" i="21"/>
  <c r="E67" i="22" l="1"/>
  <c r="E66" i="22"/>
  <c r="B22" i="24"/>
  <c r="C16" i="22" s="1"/>
  <c r="C17" i="22"/>
  <c r="B51" i="21"/>
  <c r="D51" i="21" s="1"/>
  <c r="S3" i="1"/>
  <c r="C22" i="23" s="1"/>
  <c r="D22" i="23" s="1"/>
  <c r="E15" i="22"/>
  <c r="B49" i="21"/>
  <c r="D49" i="21" s="1"/>
  <c r="B37" i="23"/>
  <c r="D37" i="23" s="1"/>
  <c r="H10" i="21"/>
  <c r="AC2" i="1"/>
  <c r="Y2" i="1"/>
  <c r="R7" i="1"/>
  <c r="S7" i="1" s="1"/>
  <c r="M25" i="1" s="1"/>
  <c r="E19" i="22"/>
  <c r="B52" i="21"/>
  <c r="D52" i="21" s="1"/>
  <c r="N3" i="1"/>
  <c r="B50" i="21"/>
  <c r="D50" i="21" s="1"/>
  <c r="E20" i="22"/>
  <c r="B54" i="21"/>
  <c r="D54" i="21" s="1"/>
  <c r="C27" i="22"/>
  <c r="E27" i="22" s="1"/>
  <c r="C26" i="22"/>
  <c r="E26" i="22" s="1"/>
  <c r="E18" i="22"/>
  <c r="C68" i="22"/>
  <c r="E11" i="22"/>
  <c r="I55" i="22"/>
  <c r="D47" i="21"/>
  <c r="H39" i="21"/>
  <c r="G44" i="21"/>
  <c r="H44" i="21" s="1"/>
  <c r="S25" i="1" s="1"/>
  <c r="E17" i="22" l="1"/>
  <c r="B35" i="23"/>
  <c r="D35" i="23" s="1"/>
  <c r="N25" i="1"/>
  <c r="C20" i="23"/>
  <c r="D20" i="23" s="1"/>
  <c r="B34" i="23"/>
  <c r="D34" i="23" s="1"/>
  <c r="O25" i="1"/>
  <c r="E16" i="22"/>
  <c r="E68" i="22"/>
  <c r="B53" i="21"/>
  <c r="D53" i="21" s="1"/>
  <c r="B28" i="23" l="1" a="1"/>
  <c r="B28" i="23" s="1"/>
  <c r="C28" i="23"/>
  <c r="A28" i="23"/>
  <c r="D28" i="23"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ADMIN</author>
  </authors>
  <commentList>
    <comment ref="N3" authorId="0" shapeId="0" xr:uid="{4D6689E6-DE66-400D-B2FD-BCB46708B018}">
      <text>
        <r>
          <rPr>
            <b/>
            <sz val="9"/>
            <color indexed="81"/>
            <rFont val="Tahoma"/>
            <charset val="1"/>
          </rPr>
          <t>ADMIN:</t>
        </r>
        <r>
          <rPr>
            <sz val="9"/>
            <color indexed="81"/>
            <rFont val="Tahoma"/>
            <charset val="1"/>
          </rPr>
          <t xml:space="preserve">
Sharpe Ratio = (Rp − Rf) / σp. CFA Level I — excess return per unit of total risk. Rf = 4.25% (US 10Y), σp estimated via βp × σm.</t>
        </r>
      </text>
    </comment>
    <comment ref="R3" authorId="0" shapeId="0" xr:uid="{F8C8876F-F122-4EEE-8013-1173DB6B9233}">
      <text>
        <r>
          <rPr>
            <b/>
            <sz val="9"/>
            <color indexed="81"/>
            <rFont val="Tahoma"/>
            <charset val="1"/>
          </rPr>
          <t>ADMIN:</t>
        </r>
        <r>
          <rPr>
            <sz val="9"/>
            <color indexed="81"/>
            <rFont val="Tahoma"/>
            <charset val="1"/>
          </rPr>
          <t xml:space="preserve">
Portfolio Beta = Σ(wi × βi). Weighted-average systematic risk from Risk Analytics sheet. β &gt; 1 = more volatile than market.</t>
        </r>
      </text>
    </comment>
    <comment ref="S3" authorId="0" shapeId="0" xr:uid="{E3817B4F-A131-4D8D-8DB3-7498FD87FFAD}">
      <text>
        <r>
          <rPr>
            <b/>
            <sz val="9"/>
            <color indexed="81"/>
            <rFont val="Tahoma"/>
            <charset val="1"/>
          </rPr>
          <t>ADMIN:</t>
        </r>
        <r>
          <rPr>
            <sz val="9"/>
            <color indexed="81"/>
            <rFont val="Tahoma"/>
            <charset val="1"/>
          </rPr>
          <t xml:space="preserve">
Treynor Ratio = (Rp − Rf) / βp. Excess return per unit of systematic risk. CFA Level II metric — measures risk-adjusted performance using beta, not total volatility.</t>
        </r>
      </text>
    </comment>
    <comment ref="R7" authorId="0" shapeId="0" xr:uid="{5581BAEE-7226-47C8-9EC3-3FE5E5A71E21}">
      <text>
        <r>
          <rPr>
            <b/>
            <sz val="9"/>
            <color indexed="81"/>
            <rFont val="Tahoma"/>
            <charset val="1"/>
          </rPr>
          <t>ADMIN:</t>
        </r>
        <r>
          <rPr>
            <sz val="9"/>
            <color indexed="81"/>
            <rFont val="Tahoma"/>
            <charset val="1"/>
          </rPr>
          <t xml:space="preserve">
Multi-factor risk: HIGH if negative return OR negative CAGR OR weight &gt;20%. MEDIUM if return &lt;50% OR CAGR &lt;5% OR weight &gt;15%. LOW = stable position.</t>
        </r>
      </text>
    </comment>
    <comment ref="S7" authorId="0" shapeId="0" xr:uid="{BE60C3FA-B9CD-4071-928A-3817A9C716C4}">
      <text>
        <r>
          <rPr>
            <b/>
            <sz val="9"/>
            <color indexed="81"/>
            <rFont val="Tahoma"/>
            <charset val="1"/>
          </rPr>
          <t>ADMIN:</t>
        </r>
        <r>
          <rPr>
            <sz val="9"/>
            <color indexed="81"/>
            <rFont val="Tahoma"/>
            <charset val="1"/>
          </rPr>
          <t xml:space="preserve">
Multi-factor signal: STRONG requires CAGR&gt;10% AND Return&gt;100% AND Price/Cost&gt;1.5x AND LOW risk. REVIEW if negative return or CAGR. HOLD = everything else.</t>
        </r>
      </text>
    </comment>
    <comment ref="R8" authorId="0" shapeId="0" xr:uid="{CC64C833-0281-4930-8F82-CF581FFA8415}">
      <text>
        <r>
          <rPr>
            <b/>
            <sz val="9"/>
            <color indexed="81"/>
            <rFont val="Tahoma"/>
            <charset val="1"/>
          </rPr>
          <t>ADMIN:</t>
        </r>
        <r>
          <rPr>
            <sz val="9"/>
            <color indexed="81"/>
            <rFont val="Tahoma"/>
            <charset val="1"/>
          </rPr>
          <t xml:space="preserve">
Multi-factor risk: HIGH if negative return OR negative CAGR OR weight &gt;20%. MEDIUM if return &lt;50% OR CAGR &lt;5% OR weight &gt;15%. LOW = stable position.</t>
        </r>
      </text>
    </comment>
    <comment ref="S8" authorId="0" shapeId="0" xr:uid="{65490494-1210-463A-9DE8-D720BD8DB4D7}">
      <text>
        <r>
          <rPr>
            <b/>
            <sz val="9"/>
            <color indexed="81"/>
            <rFont val="Tahoma"/>
            <charset val="1"/>
          </rPr>
          <t>ADMIN:</t>
        </r>
        <r>
          <rPr>
            <sz val="9"/>
            <color indexed="81"/>
            <rFont val="Tahoma"/>
            <charset val="1"/>
          </rPr>
          <t xml:space="preserve">
Multi-factor signal: STRONG requires CAGR&gt;10% AND Return&gt;100% AND Price/Cost&gt;1.5x AND LOW risk. REVIEW if negative return or CAGR. HOLD = everything else.</t>
        </r>
      </text>
    </comment>
    <comment ref="R9" authorId="0" shapeId="0" xr:uid="{04695A09-92B4-4B08-968F-24F67489B20E}">
      <text>
        <r>
          <rPr>
            <b/>
            <sz val="9"/>
            <color indexed="81"/>
            <rFont val="Tahoma"/>
            <charset val="1"/>
          </rPr>
          <t>ADMIN:</t>
        </r>
        <r>
          <rPr>
            <sz val="9"/>
            <color indexed="81"/>
            <rFont val="Tahoma"/>
            <charset val="1"/>
          </rPr>
          <t xml:space="preserve">
Multi-factor risk: HIGH if negative return OR negative CAGR OR weight &gt;20%. MEDIUM if return &lt;50% OR CAGR &lt;5% OR weight &gt;15%. LOW = stable position.</t>
        </r>
      </text>
    </comment>
    <comment ref="S9" authorId="0" shapeId="0" xr:uid="{460E9846-2D65-4DD4-92C0-CDB4333F8C95}">
      <text>
        <r>
          <rPr>
            <b/>
            <sz val="9"/>
            <color indexed="81"/>
            <rFont val="Tahoma"/>
            <charset val="1"/>
          </rPr>
          <t>ADMIN:</t>
        </r>
        <r>
          <rPr>
            <sz val="9"/>
            <color indexed="81"/>
            <rFont val="Tahoma"/>
            <charset val="1"/>
          </rPr>
          <t xml:space="preserve">
Multi-factor signal: STRONG requires CAGR&gt;10% AND Return&gt;100% AND Price/Cost&gt;1.5x AND LOW risk. REVIEW if negative return or CAGR. HOLD = everything else.</t>
        </r>
      </text>
    </comment>
    <comment ref="R10" authorId="0" shapeId="0" xr:uid="{B0B71A0C-1B51-496C-B373-70DE72819A8A}">
      <text>
        <r>
          <rPr>
            <b/>
            <sz val="9"/>
            <color indexed="81"/>
            <rFont val="Tahoma"/>
            <charset val="1"/>
          </rPr>
          <t>ADMIN:</t>
        </r>
        <r>
          <rPr>
            <sz val="9"/>
            <color indexed="81"/>
            <rFont val="Tahoma"/>
            <charset val="1"/>
          </rPr>
          <t xml:space="preserve">
Multi-factor risk: HIGH if negative return OR negative CAGR OR weight &gt;20%. MEDIUM if return &lt;50% OR CAGR &lt;5% OR weight &gt;15%. LOW = stable position.</t>
        </r>
      </text>
    </comment>
    <comment ref="S10" authorId="0" shapeId="0" xr:uid="{CE6746A7-4DC0-456C-A54F-1C09D86430BF}">
      <text>
        <r>
          <rPr>
            <b/>
            <sz val="9"/>
            <color indexed="81"/>
            <rFont val="Tahoma"/>
            <charset val="1"/>
          </rPr>
          <t>ADMIN:</t>
        </r>
        <r>
          <rPr>
            <sz val="9"/>
            <color indexed="81"/>
            <rFont val="Tahoma"/>
            <charset val="1"/>
          </rPr>
          <t xml:space="preserve">
Multi-factor signal: STRONG requires CAGR&gt;10% AND Return&gt;100% AND Price/Cost&gt;1.5x AND LOW risk. REVIEW if negative return or CAGR. HOLD = everything else.</t>
        </r>
      </text>
    </comment>
    <comment ref="R11" authorId="0" shapeId="0" xr:uid="{37A4BF5B-4723-446E-A3CB-7E6606F2F6B2}">
      <text>
        <r>
          <rPr>
            <b/>
            <sz val="9"/>
            <color indexed="81"/>
            <rFont val="Tahoma"/>
            <charset val="1"/>
          </rPr>
          <t>ADMIN:</t>
        </r>
        <r>
          <rPr>
            <sz val="9"/>
            <color indexed="81"/>
            <rFont val="Tahoma"/>
            <charset val="1"/>
          </rPr>
          <t xml:space="preserve">
Multi-factor risk: HIGH if negative return OR negative CAGR OR weight &gt;20%. MEDIUM if return &lt;50% OR CAGR &lt;5% OR weight &gt;15%. LOW = stable position.</t>
        </r>
      </text>
    </comment>
    <comment ref="S11" authorId="0" shapeId="0" xr:uid="{5233627F-55CA-4ADC-92FA-63838A8CB276}">
      <text>
        <r>
          <rPr>
            <b/>
            <sz val="9"/>
            <color indexed="81"/>
            <rFont val="Tahoma"/>
            <charset val="1"/>
          </rPr>
          <t>ADMIN:</t>
        </r>
        <r>
          <rPr>
            <sz val="9"/>
            <color indexed="81"/>
            <rFont val="Tahoma"/>
            <charset val="1"/>
          </rPr>
          <t xml:space="preserve">
Multi-factor signal: STRONG requires CAGR&gt;10% AND Return&gt;100% AND Price/Cost&gt;1.5x AND LOW risk. REVIEW if negative return or CAGR. HOLD = everything else.</t>
        </r>
      </text>
    </comment>
    <comment ref="R12" authorId="0" shapeId="0" xr:uid="{8B9DA295-344B-431C-B819-2ED75D4DAB5E}">
      <text>
        <r>
          <rPr>
            <b/>
            <sz val="9"/>
            <color indexed="81"/>
            <rFont val="Tahoma"/>
            <charset val="1"/>
          </rPr>
          <t>ADMIN:</t>
        </r>
        <r>
          <rPr>
            <sz val="9"/>
            <color indexed="81"/>
            <rFont val="Tahoma"/>
            <charset val="1"/>
          </rPr>
          <t xml:space="preserve">
Multi-factor risk: HIGH if negative return OR negative CAGR OR weight &gt;20%. MEDIUM if return &lt;50% OR CAGR &lt;5% OR weight &gt;15%. LOW = stable position.</t>
        </r>
      </text>
    </comment>
    <comment ref="S12" authorId="0" shapeId="0" xr:uid="{3513CFC1-7FB5-4539-B61E-865B7A21DB0F}">
      <text>
        <r>
          <rPr>
            <b/>
            <sz val="9"/>
            <color indexed="81"/>
            <rFont val="Tahoma"/>
            <charset val="1"/>
          </rPr>
          <t>ADMIN:</t>
        </r>
        <r>
          <rPr>
            <sz val="9"/>
            <color indexed="81"/>
            <rFont val="Tahoma"/>
            <charset val="1"/>
          </rPr>
          <t xml:space="preserve">
Multi-factor signal: STRONG requires CAGR&gt;10% AND Return&gt;100% AND Price/Cost&gt;1.5x AND LOW risk. REVIEW if negative return or CAGR. HOLD = everything else.</t>
        </r>
      </text>
    </comment>
    <comment ref="R13" authorId="0" shapeId="0" xr:uid="{ACB0E3CB-505C-4409-8AF9-AFB31B5B8EA1}">
      <text>
        <r>
          <rPr>
            <b/>
            <sz val="9"/>
            <color indexed="81"/>
            <rFont val="Tahoma"/>
            <charset val="1"/>
          </rPr>
          <t>ADMIN:</t>
        </r>
        <r>
          <rPr>
            <sz val="9"/>
            <color indexed="81"/>
            <rFont val="Tahoma"/>
            <charset val="1"/>
          </rPr>
          <t xml:space="preserve">
Multi-factor risk: HIGH if negative return OR negative CAGR OR weight &gt;20%. MEDIUM if return &lt;50% OR CAGR &lt;5% OR weight &gt;15%. LOW = stable position.</t>
        </r>
      </text>
    </comment>
    <comment ref="S13" authorId="0" shapeId="0" xr:uid="{D547384D-E907-421D-9AA0-CC55E447F28A}">
      <text>
        <r>
          <rPr>
            <b/>
            <sz val="9"/>
            <color indexed="81"/>
            <rFont val="Tahoma"/>
            <charset val="1"/>
          </rPr>
          <t>ADMIN:</t>
        </r>
        <r>
          <rPr>
            <sz val="9"/>
            <color indexed="81"/>
            <rFont val="Tahoma"/>
            <charset val="1"/>
          </rPr>
          <t xml:space="preserve">
Multi-factor signal: STRONG requires CAGR&gt;10% AND Return&gt;100% AND Price/Cost&gt;1.5x AND LOW risk. REVIEW if negative return or CAGR. HOLD = everything else.</t>
        </r>
      </text>
    </comment>
    <comment ref="R14" authorId="0" shapeId="0" xr:uid="{45827600-2A23-4A2D-B648-C27BC7388CAB}">
      <text>
        <r>
          <rPr>
            <b/>
            <sz val="9"/>
            <color indexed="81"/>
            <rFont val="Tahoma"/>
            <charset val="1"/>
          </rPr>
          <t>ADMIN:</t>
        </r>
        <r>
          <rPr>
            <sz val="9"/>
            <color indexed="81"/>
            <rFont val="Tahoma"/>
            <charset val="1"/>
          </rPr>
          <t xml:space="preserve">
Multi-factor risk: HIGH if negative return OR negative CAGR OR weight &gt;20%. MEDIUM if return &lt;50% OR CAGR &lt;5% OR weight &gt;15%. LOW = stable position.</t>
        </r>
      </text>
    </comment>
    <comment ref="S14" authorId="0" shapeId="0" xr:uid="{1511816C-BBA8-4DF0-AFCC-27806F3276D7}">
      <text>
        <r>
          <rPr>
            <b/>
            <sz val="9"/>
            <color indexed="81"/>
            <rFont val="Tahoma"/>
            <charset val="1"/>
          </rPr>
          <t>ADMIN:</t>
        </r>
        <r>
          <rPr>
            <sz val="9"/>
            <color indexed="81"/>
            <rFont val="Tahoma"/>
            <charset val="1"/>
          </rPr>
          <t xml:space="preserve">
Multi-factor signal: STRONG requires CAGR&gt;10% AND Return&gt;100% AND Price/Cost&gt;1.5x AND LOW risk. REVIEW if negative return or CAGR. HOLD = everything else.</t>
        </r>
      </text>
    </comment>
    <comment ref="R15" authorId="0" shapeId="0" xr:uid="{5173A804-0FA2-4CF1-AED9-822F8D433D1A}">
      <text>
        <r>
          <rPr>
            <b/>
            <sz val="9"/>
            <color indexed="81"/>
            <rFont val="Tahoma"/>
            <charset val="1"/>
          </rPr>
          <t>ADMIN:</t>
        </r>
        <r>
          <rPr>
            <sz val="9"/>
            <color indexed="81"/>
            <rFont val="Tahoma"/>
            <charset val="1"/>
          </rPr>
          <t xml:space="preserve">
Multi-factor risk: HIGH if negative return OR negative CAGR OR weight &gt;20%. MEDIUM if return &lt;50% OR CAGR &lt;5% OR weight &gt;15%. LOW = stable position.</t>
        </r>
      </text>
    </comment>
    <comment ref="S15" authorId="0" shapeId="0" xr:uid="{13218928-075E-4CB6-892C-E064F153102F}">
      <text>
        <r>
          <rPr>
            <b/>
            <sz val="9"/>
            <color indexed="81"/>
            <rFont val="Tahoma"/>
            <charset val="1"/>
          </rPr>
          <t>ADMIN:</t>
        </r>
        <r>
          <rPr>
            <sz val="9"/>
            <color indexed="81"/>
            <rFont val="Tahoma"/>
            <charset val="1"/>
          </rPr>
          <t xml:space="preserve">
Multi-factor signal: STRONG requires CAGR&gt;10% AND Return&gt;100% AND Price/Cost&gt;1.5x AND LOW risk. REVIEW if negative return or CAGR. HOLD = everything else.</t>
        </r>
      </text>
    </comment>
    <comment ref="R16" authorId="0" shapeId="0" xr:uid="{C1DB6EE5-888C-432B-9F73-2E3B5660C1E4}">
      <text>
        <r>
          <rPr>
            <b/>
            <sz val="9"/>
            <color indexed="81"/>
            <rFont val="Tahoma"/>
            <charset val="1"/>
          </rPr>
          <t>ADMIN:</t>
        </r>
        <r>
          <rPr>
            <sz val="9"/>
            <color indexed="81"/>
            <rFont val="Tahoma"/>
            <charset val="1"/>
          </rPr>
          <t xml:space="preserve">
Multi-factor risk: HIGH if negative return OR negative CAGR OR weight &gt;20%. MEDIUM if return &lt;50% OR CAGR &lt;5% OR weight &gt;15%. LOW = stable position.</t>
        </r>
      </text>
    </comment>
    <comment ref="S16" authorId="0" shapeId="0" xr:uid="{9120CD33-1967-4FFD-8463-7D45DDD29D64}">
      <text>
        <r>
          <rPr>
            <b/>
            <sz val="9"/>
            <color indexed="81"/>
            <rFont val="Tahoma"/>
            <charset val="1"/>
          </rPr>
          <t>ADMIN:</t>
        </r>
        <r>
          <rPr>
            <sz val="9"/>
            <color indexed="81"/>
            <rFont val="Tahoma"/>
            <charset val="1"/>
          </rPr>
          <t xml:space="preserve">
Multi-factor signal: STRONG requires CAGR&gt;10% AND Return&gt;100% AND Price/Cost&gt;1.5x AND LOW risk. REVIEW if negative return or CAGR. HOLD = everything else.</t>
        </r>
      </text>
    </comment>
    <comment ref="R17" authorId="0" shapeId="0" xr:uid="{449356AD-5FED-456D-B5B4-983B43B11EB8}">
      <text>
        <r>
          <rPr>
            <b/>
            <sz val="9"/>
            <color indexed="81"/>
            <rFont val="Tahoma"/>
            <charset val="1"/>
          </rPr>
          <t>ADMIN:</t>
        </r>
        <r>
          <rPr>
            <sz val="9"/>
            <color indexed="81"/>
            <rFont val="Tahoma"/>
            <charset val="1"/>
          </rPr>
          <t xml:space="preserve">
Multi-factor risk: HIGH if negative return OR negative CAGR OR weight &gt;20%. MEDIUM if return &lt;50% OR CAGR &lt;5% OR weight &gt;15%. LOW = stable position.</t>
        </r>
      </text>
    </comment>
    <comment ref="S17" authorId="0" shapeId="0" xr:uid="{E82CC4FB-9DE7-438D-891A-2A211E017A62}">
      <text>
        <r>
          <rPr>
            <b/>
            <sz val="9"/>
            <color indexed="81"/>
            <rFont val="Tahoma"/>
            <charset val="1"/>
          </rPr>
          <t>ADMIN:</t>
        </r>
        <r>
          <rPr>
            <sz val="9"/>
            <color indexed="81"/>
            <rFont val="Tahoma"/>
            <charset val="1"/>
          </rPr>
          <t xml:space="preserve">
Multi-factor signal: STRONG requires CAGR&gt;10% AND Return&gt;100% AND Price/Cost&gt;1.5x AND LOW risk. REVIEW if negative return or CAGR. HOLD = everything else.</t>
        </r>
      </text>
    </comment>
    <comment ref="R18" authorId="0" shapeId="0" xr:uid="{ED6F4210-8D09-404C-AB55-EB43E6DCB953}">
      <text>
        <r>
          <rPr>
            <b/>
            <sz val="9"/>
            <color indexed="81"/>
            <rFont val="Tahoma"/>
            <charset val="1"/>
          </rPr>
          <t>ADMIN:</t>
        </r>
        <r>
          <rPr>
            <sz val="9"/>
            <color indexed="81"/>
            <rFont val="Tahoma"/>
            <charset val="1"/>
          </rPr>
          <t xml:space="preserve">
Multi-factor risk: HIGH if negative return OR negative CAGR OR weight &gt;20%. MEDIUM if return &lt;50% OR CAGR &lt;5% OR weight &gt;15%. LOW = stable position.</t>
        </r>
      </text>
    </comment>
    <comment ref="S18" authorId="0" shapeId="0" xr:uid="{B4EA5D5D-9665-411E-A41D-6AC2D8786F41}">
      <text>
        <r>
          <rPr>
            <b/>
            <sz val="9"/>
            <color indexed="81"/>
            <rFont val="Tahoma"/>
            <charset val="1"/>
          </rPr>
          <t>ADMIN:</t>
        </r>
        <r>
          <rPr>
            <sz val="9"/>
            <color indexed="81"/>
            <rFont val="Tahoma"/>
            <charset val="1"/>
          </rPr>
          <t xml:space="preserve">
Multi-factor signal: STRONG requires CAGR&gt;10% AND Return&gt;100% AND Price/Cost&gt;1.5x AND LOW risk. REVIEW if negative return or CAGR. HOLD = everything else.</t>
        </r>
      </text>
    </comment>
    <comment ref="R19" authorId="0" shapeId="0" xr:uid="{1248F6EC-4290-4780-9DE1-08B312438721}">
      <text>
        <r>
          <rPr>
            <b/>
            <sz val="9"/>
            <color indexed="81"/>
            <rFont val="Tahoma"/>
            <charset val="1"/>
          </rPr>
          <t>ADMIN:</t>
        </r>
        <r>
          <rPr>
            <sz val="9"/>
            <color indexed="81"/>
            <rFont val="Tahoma"/>
            <charset val="1"/>
          </rPr>
          <t xml:space="preserve">
Multi-factor risk: HIGH if negative return OR negative CAGR OR weight &gt;20%. MEDIUM if return &lt;50% OR CAGR &lt;5% OR weight &gt;15%. LOW = stable position.</t>
        </r>
      </text>
    </comment>
    <comment ref="S19" authorId="0" shapeId="0" xr:uid="{12EABA6B-8DAF-4F1A-A09C-C5F869E88CB3}">
      <text>
        <r>
          <rPr>
            <b/>
            <sz val="9"/>
            <color indexed="81"/>
            <rFont val="Tahoma"/>
            <charset val="1"/>
          </rPr>
          <t>ADMIN:</t>
        </r>
        <r>
          <rPr>
            <sz val="9"/>
            <color indexed="81"/>
            <rFont val="Tahoma"/>
            <charset val="1"/>
          </rPr>
          <t xml:space="preserve">
Multi-factor signal: STRONG requires CAGR&gt;10% AND Return&gt;100% AND Price/Cost&gt;1.5x AND LOW risk. REVIEW if negative return or CAGR. HOLD = everything else.</t>
        </r>
      </text>
    </comment>
    <comment ref="R20" authorId="0" shapeId="0" xr:uid="{A9E2E2D8-F2C2-4984-A10A-34D2E52C4AD6}">
      <text>
        <r>
          <rPr>
            <b/>
            <sz val="9"/>
            <color indexed="81"/>
            <rFont val="Tahoma"/>
            <charset val="1"/>
          </rPr>
          <t>ADMIN:</t>
        </r>
        <r>
          <rPr>
            <sz val="9"/>
            <color indexed="81"/>
            <rFont val="Tahoma"/>
            <charset val="1"/>
          </rPr>
          <t xml:space="preserve">
Multi-factor risk: HIGH if negative return OR negative CAGR OR weight &gt;20%. MEDIUM if return &lt;50% OR CAGR &lt;5% OR weight &gt;15%. LOW = stable position.</t>
        </r>
      </text>
    </comment>
    <comment ref="S20" authorId="0" shapeId="0" xr:uid="{E4032D69-1189-445A-88D6-610FE2338D4F}">
      <text>
        <r>
          <rPr>
            <b/>
            <sz val="9"/>
            <color indexed="81"/>
            <rFont val="Tahoma"/>
            <charset val="1"/>
          </rPr>
          <t>ADMIN:</t>
        </r>
        <r>
          <rPr>
            <sz val="9"/>
            <color indexed="81"/>
            <rFont val="Tahoma"/>
            <charset val="1"/>
          </rPr>
          <t xml:space="preserve">
Multi-factor signal: STRONG requires CAGR&gt;10% AND Return&gt;100% AND Price/Cost&gt;1.5x AND LOW risk. REVIEW if negative return or CAGR. HOLD = everything else.</t>
        </r>
      </text>
    </comment>
    <comment ref="R21" authorId="0" shapeId="0" xr:uid="{F3E6E584-B29E-48A1-88D7-1C040FE7D830}">
      <text>
        <r>
          <rPr>
            <b/>
            <sz val="9"/>
            <color indexed="81"/>
            <rFont val="Tahoma"/>
            <charset val="1"/>
          </rPr>
          <t>ADMIN:</t>
        </r>
        <r>
          <rPr>
            <sz val="9"/>
            <color indexed="81"/>
            <rFont val="Tahoma"/>
            <charset val="1"/>
          </rPr>
          <t xml:space="preserve">
Multi-factor risk: HIGH if negative return OR negative CAGR OR weight &gt;20%. MEDIUM if return &lt;50% OR CAGR &lt;5% OR weight &gt;15%. LOW = stable position.</t>
        </r>
      </text>
    </comment>
    <comment ref="S21" authorId="0" shapeId="0" xr:uid="{215DD00F-6E51-492E-85E3-C18D38DC307C}">
      <text>
        <r>
          <rPr>
            <b/>
            <sz val="9"/>
            <color indexed="81"/>
            <rFont val="Tahoma"/>
            <charset val="1"/>
          </rPr>
          <t>ADMIN:</t>
        </r>
        <r>
          <rPr>
            <sz val="9"/>
            <color indexed="81"/>
            <rFont val="Tahoma"/>
            <charset val="1"/>
          </rPr>
          <t xml:space="preserve">
Multi-factor signal: STRONG requires CAGR&gt;10% AND Return&gt;100% AND Price/Cost&gt;1.5x AND LOW risk. REVIEW if negative return or CAGR. HOLD = everything else.</t>
        </r>
      </text>
    </comment>
    <comment ref="R22" authorId="0" shapeId="0" xr:uid="{187B1807-1F3E-4205-A415-0B24BBDE0813}">
      <text>
        <r>
          <rPr>
            <b/>
            <sz val="9"/>
            <color indexed="81"/>
            <rFont val="Tahoma"/>
            <charset val="1"/>
          </rPr>
          <t>ADMIN:</t>
        </r>
        <r>
          <rPr>
            <sz val="9"/>
            <color indexed="81"/>
            <rFont val="Tahoma"/>
            <charset val="1"/>
          </rPr>
          <t xml:space="preserve">
Multi-factor risk: HIGH if negative return OR negative CAGR OR weight &gt;20%. MEDIUM if return &lt;50% OR CAGR &lt;5% OR weight &gt;15%. LOW = stable position.</t>
        </r>
      </text>
    </comment>
    <comment ref="S22" authorId="0" shapeId="0" xr:uid="{04E7B6A4-CF90-4435-8F31-1F59ADE8D77E}">
      <text>
        <r>
          <rPr>
            <b/>
            <sz val="9"/>
            <color indexed="81"/>
            <rFont val="Tahoma"/>
            <charset val="1"/>
          </rPr>
          <t>ADMIN:</t>
        </r>
        <r>
          <rPr>
            <sz val="9"/>
            <color indexed="81"/>
            <rFont val="Tahoma"/>
            <charset val="1"/>
          </rPr>
          <t xml:space="preserve">
Multi-factor signal: STRONG requires CAGR&gt;10% AND Return&gt;100% AND Price/Cost&gt;1.5x AND LOW risk. REVIEW if negative return or CAGR. HOLD = everything else.</t>
        </r>
      </text>
    </comment>
    <comment ref="P25" authorId="0" shapeId="0" xr:uid="{17F9B9CF-38FF-48F4-BD69-71383B18ED44}">
      <text>
        <r>
          <rPr>
            <b/>
            <sz val="9"/>
            <color indexed="81"/>
            <rFont val="Tahoma"/>
            <charset val="1"/>
          </rPr>
          <t>ADMIN:</t>
        </r>
        <r>
          <rPr>
            <sz val="9"/>
            <color indexed="81"/>
            <rFont val="Tahoma"/>
            <charset val="1"/>
          </rPr>
          <t xml:space="preserve">
Profit Factor: Total $ gains / Total $ losses. &gt;3 = excellent. Measures overall portfolio profitability efficiency.</t>
        </r>
      </text>
    </comment>
    <comment ref="Q25" authorId="0" shapeId="0" xr:uid="{3B7F0EA7-1A7E-416F-A12C-D6211F132BDB}">
      <text>
        <r>
          <rPr>
            <b/>
            <sz val="9"/>
            <color indexed="81"/>
            <rFont val="Tahoma"/>
            <charset val="1"/>
          </rPr>
          <t>ADMIN:</t>
        </r>
        <r>
          <rPr>
            <sz val="9"/>
            <color indexed="81"/>
            <rFont val="Tahoma"/>
            <charset val="1"/>
          </rPr>
          <t xml:space="preserve">
Sortino Ratio: (Avg Return - Rf) / Downside Deviation. Rf=5%. Penalises downside vol only, unlike Sharpe.</t>
        </r>
      </text>
    </comment>
    <comment ref="R25" authorId="0" shapeId="0" xr:uid="{6A32B06E-A7A0-4BD4-8FC1-FC29B8073DC3}">
      <text>
        <r>
          <rPr>
            <b/>
            <sz val="9"/>
            <color indexed="81"/>
            <rFont val="Tahoma"/>
            <charset val="1"/>
          </rPr>
          <t>ADMIN:</t>
        </r>
        <r>
          <rPr>
            <sz val="9"/>
            <color indexed="81"/>
            <rFont val="Tahoma"/>
            <charset val="1"/>
          </rPr>
          <t xml:space="preserve">
Calmar Ratio: CAGR / Max Drawdown. Measures return per unit of worst-case pain. &gt;3 = excellent.</t>
        </r>
      </text>
    </comment>
    <comment ref="I30" authorId="0" shapeId="0" xr:uid="{993ED973-4B4C-4A2B-85DD-23C980C8EC20}">
      <text>
        <r>
          <rPr>
            <b/>
            <sz val="9"/>
            <color indexed="81"/>
            <rFont val="Tahoma"/>
            <charset val="1"/>
          </rPr>
          <t>ADMIN:</t>
        </r>
        <r>
          <rPr>
            <sz val="9"/>
            <color indexed="81"/>
            <rFont val="Tahoma"/>
            <charset val="1"/>
          </rPr>
          <t xml:space="preserve">
Equal weight = 1/N where N is total number of holdings</t>
        </r>
      </text>
    </comment>
    <comment ref="J30" authorId="0" shapeId="0" xr:uid="{14593ECA-4A1E-4A55-8E5F-87ACFB1A5E3C}">
      <text>
        <r>
          <rPr>
            <b/>
            <sz val="9"/>
            <color indexed="81"/>
            <rFont val="Tahoma"/>
            <charset val="1"/>
          </rPr>
          <t>ADMIN:</t>
        </r>
        <r>
          <rPr>
            <sz val="9"/>
            <color indexed="81"/>
            <rFont val="Tahoma"/>
            <charset val="1"/>
          </rPr>
          <t xml:space="preserve">
Deviation from equal weight. Positive = overweight, Negative = underweight</t>
        </r>
      </text>
    </comment>
    <comment ref="K30" authorId="0" shapeId="0" xr:uid="{FBD8816B-D3DE-4F20-82AC-BF59CBEDDEF8}">
      <text>
        <r>
          <rPr>
            <b/>
            <sz val="9"/>
            <color indexed="81"/>
            <rFont val="Tahoma"/>
            <charset val="1"/>
          </rPr>
          <t>ADMIN:</t>
        </r>
        <r>
          <rPr>
            <sz val="9"/>
            <color indexed="81"/>
            <rFont val="Tahoma"/>
            <charset val="1"/>
          </rPr>
          <t xml:space="preserve">
Rebalancing: &gt;10% deviation = strong action (TRIM/ADD), 3-10% = mild action, &lt;3% = within tolerance</t>
        </r>
      </text>
    </comment>
    <comment ref="I31" authorId="0" shapeId="0" xr:uid="{96B5B0E0-F9FB-4CA8-A8A5-CAC3C79743C3}">
      <text>
        <r>
          <rPr>
            <b/>
            <sz val="9"/>
            <color indexed="81"/>
            <rFont val="Tahoma"/>
            <charset val="1"/>
          </rPr>
          <t>ADMIN:</t>
        </r>
        <r>
          <rPr>
            <sz val="9"/>
            <color indexed="81"/>
            <rFont val="Tahoma"/>
            <charset val="1"/>
          </rPr>
          <t xml:space="preserve">
Equal weight = 1/N where N is total number of holdings</t>
        </r>
      </text>
    </comment>
    <comment ref="J31" authorId="0" shapeId="0" xr:uid="{9ACA1625-E717-47FD-A258-159BC5555508}">
      <text>
        <r>
          <rPr>
            <b/>
            <sz val="9"/>
            <color indexed="81"/>
            <rFont val="Tahoma"/>
            <charset val="1"/>
          </rPr>
          <t>ADMIN:</t>
        </r>
        <r>
          <rPr>
            <sz val="9"/>
            <color indexed="81"/>
            <rFont val="Tahoma"/>
            <charset val="1"/>
          </rPr>
          <t xml:space="preserve">
Deviation from equal weight. Positive = overweight, Negative = underweight</t>
        </r>
      </text>
    </comment>
    <comment ref="K31" authorId="0" shapeId="0" xr:uid="{F51176AE-5AB4-4484-B894-CCC462075F23}">
      <text>
        <r>
          <rPr>
            <b/>
            <sz val="9"/>
            <color indexed="81"/>
            <rFont val="Tahoma"/>
            <charset val="1"/>
          </rPr>
          <t>ADMIN:</t>
        </r>
        <r>
          <rPr>
            <sz val="9"/>
            <color indexed="81"/>
            <rFont val="Tahoma"/>
            <charset val="1"/>
          </rPr>
          <t xml:space="preserve">
Rebalancing: &gt;10% deviation = strong action (TRIM/ADD), 3-10% = mild action, &lt;3% = within tolerance</t>
        </r>
      </text>
    </comment>
    <comment ref="I32" authorId="0" shapeId="0" xr:uid="{7F8ED243-F716-4D49-992E-3223C48DA7F9}">
      <text>
        <r>
          <rPr>
            <b/>
            <sz val="9"/>
            <color indexed="81"/>
            <rFont val="Tahoma"/>
            <charset val="1"/>
          </rPr>
          <t>ADMIN:</t>
        </r>
        <r>
          <rPr>
            <sz val="9"/>
            <color indexed="81"/>
            <rFont val="Tahoma"/>
            <charset val="1"/>
          </rPr>
          <t xml:space="preserve">
Equal weight = 1/N where N is total number of holdings</t>
        </r>
      </text>
    </comment>
    <comment ref="J32" authorId="0" shapeId="0" xr:uid="{348FF3FD-E60C-4B0D-B289-74BD2A4781BA}">
      <text>
        <r>
          <rPr>
            <b/>
            <sz val="9"/>
            <color indexed="81"/>
            <rFont val="Tahoma"/>
            <charset val="1"/>
          </rPr>
          <t>ADMIN:</t>
        </r>
        <r>
          <rPr>
            <sz val="9"/>
            <color indexed="81"/>
            <rFont val="Tahoma"/>
            <charset val="1"/>
          </rPr>
          <t xml:space="preserve">
Deviation from equal weight. Positive = overweight, Negative = underweight</t>
        </r>
      </text>
    </comment>
    <comment ref="K32" authorId="0" shapeId="0" xr:uid="{808AB392-51FF-4F84-8FCB-EDE7EA662B8C}">
      <text>
        <r>
          <rPr>
            <b/>
            <sz val="9"/>
            <color indexed="81"/>
            <rFont val="Tahoma"/>
            <charset val="1"/>
          </rPr>
          <t>ADMIN:</t>
        </r>
        <r>
          <rPr>
            <sz val="9"/>
            <color indexed="81"/>
            <rFont val="Tahoma"/>
            <charset val="1"/>
          </rPr>
          <t xml:space="preserve">
Rebalancing: &gt;10% deviation = strong action (TRIM/ADD), 3-10% = mild action, &lt;3% = within tolerance</t>
        </r>
      </text>
    </comment>
    <comment ref="I33" authorId="0" shapeId="0" xr:uid="{79386DF2-BCA6-42D3-8313-9CE9A62836F1}">
      <text>
        <r>
          <rPr>
            <b/>
            <sz val="9"/>
            <color indexed="81"/>
            <rFont val="Tahoma"/>
            <charset val="1"/>
          </rPr>
          <t>ADMIN:</t>
        </r>
        <r>
          <rPr>
            <sz val="9"/>
            <color indexed="81"/>
            <rFont val="Tahoma"/>
            <charset val="1"/>
          </rPr>
          <t xml:space="preserve">
Equal weight = 1/N where N is total number of holdings</t>
        </r>
      </text>
    </comment>
    <comment ref="J33" authorId="0" shapeId="0" xr:uid="{92AE1BEF-3311-466A-9C50-175D7BB0759A}">
      <text>
        <r>
          <rPr>
            <b/>
            <sz val="9"/>
            <color indexed="81"/>
            <rFont val="Tahoma"/>
            <charset val="1"/>
          </rPr>
          <t>ADMIN:</t>
        </r>
        <r>
          <rPr>
            <sz val="9"/>
            <color indexed="81"/>
            <rFont val="Tahoma"/>
            <charset val="1"/>
          </rPr>
          <t xml:space="preserve">
Deviation from equal weight. Positive = overweight, Negative = underweight</t>
        </r>
      </text>
    </comment>
    <comment ref="K33" authorId="0" shapeId="0" xr:uid="{F8B80FF5-C2AE-45A2-B415-90450E17FF37}">
      <text>
        <r>
          <rPr>
            <b/>
            <sz val="9"/>
            <color indexed="81"/>
            <rFont val="Tahoma"/>
            <charset val="1"/>
          </rPr>
          <t>ADMIN:</t>
        </r>
        <r>
          <rPr>
            <sz val="9"/>
            <color indexed="81"/>
            <rFont val="Tahoma"/>
            <charset val="1"/>
          </rPr>
          <t xml:space="preserve">
Rebalancing: &gt;10% deviation = strong action (TRIM/ADD), 3-10% = mild action, &lt;3% = within tolerance</t>
        </r>
      </text>
    </comment>
    <comment ref="I34" authorId="0" shapeId="0" xr:uid="{659542B8-6B0C-40AA-9CD6-AA28F6BDA3FE}">
      <text>
        <r>
          <rPr>
            <b/>
            <sz val="9"/>
            <color indexed="81"/>
            <rFont val="Tahoma"/>
            <charset val="1"/>
          </rPr>
          <t>ADMIN:</t>
        </r>
        <r>
          <rPr>
            <sz val="9"/>
            <color indexed="81"/>
            <rFont val="Tahoma"/>
            <charset val="1"/>
          </rPr>
          <t xml:space="preserve">
Equal weight = 1/N where N is total number of holdings</t>
        </r>
      </text>
    </comment>
    <comment ref="J34" authorId="0" shapeId="0" xr:uid="{1B9C54E0-89C1-4208-B6FF-25B767805EC0}">
      <text>
        <r>
          <rPr>
            <b/>
            <sz val="9"/>
            <color indexed="81"/>
            <rFont val="Tahoma"/>
            <charset val="1"/>
          </rPr>
          <t>ADMIN:</t>
        </r>
        <r>
          <rPr>
            <sz val="9"/>
            <color indexed="81"/>
            <rFont val="Tahoma"/>
            <charset val="1"/>
          </rPr>
          <t xml:space="preserve">
Deviation from equal weight. Positive = overweight, Negative = underweight</t>
        </r>
      </text>
    </comment>
    <comment ref="K34" authorId="0" shapeId="0" xr:uid="{1004B7C5-A64D-4D74-BE30-1EC58A05CA25}">
      <text>
        <r>
          <rPr>
            <b/>
            <sz val="9"/>
            <color indexed="81"/>
            <rFont val="Tahoma"/>
            <charset val="1"/>
          </rPr>
          <t>ADMIN:</t>
        </r>
        <r>
          <rPr>
            <sz val="9"/>
            <color indexed="81"/>
            <rFont val="Tahoma"/>
            <charset val="1"/>
          </rPr>
          <t xml:space="preserve">
Rebalancing: &gt;10% deviation = strong action (TRIM/ADD), 3-10% = mild action, &lt;3% = within tolerance</t>
        </r>
      </text>
    </comment>
    <comment ref="I35" authorId="0" shapeId="0" xr:uid="{6737A640-FFF7-4FA7-AA38-6AA7FD402AC0}">
      <text>
        <r>
          <rPr>
            <b/>
            <sz val="9"/>
            <color indexed="81"/>
            <rFont val="Tahoma"/>
            <charset val="1"/>
          </rPr>
          <t>ADMIN:</t>
        </r>
        <r>
          <rPr>
            <sz val="9"/>
            <color indexed="81"/>
            <rFont val="Tahoma"/>
            <charset val="1"/>
          </rPr>
          <t xml:space="preserve">
Equal weight = 1/N where N is total number of holdings</t>
        </r>
      </text>
    </comment>
    <comment ref="J35" authorId="0" shapeId="0" xr:uid="{55F95BB7-CB4F-41EC-9516-29DC28E99811}">
      <text>
        <r>
          <rPr>
            <b/>
            <sz val="9"/>
            <color indexed="81"/>
            <rFont val="Tahoma"/>
            <charset val="1"/>
          </rPr>
          <t>ADMIN:</t>
        </r>
        <r>
          <rPr>
            <sz val="9"/>
            <color indexed="81"/>
            <rFont val="Tahoma"/>
            <charset val="1"/>
          </rPr>
          <t xml:space="preserve">
Deviation from equal weight. Positive = overweight, Negative = underweight</t>
        </r>
      </text>
    </comment>
    <comment ref="K35" authorId="0" shapeId="0" xr:uid="{D9B6CA23-C6F4-47A4-8F11-127E4CEA296F}">
      <text>
        <r>
          <rPr>
            <b/>
            <sz val="9"/>
            <color indexed="81"/>
            <rFont val="Tahoma"/>
            <charset val="1"/>
          </rPr>
          <t>ADMIN:</t>
        </r>
        <r>
          <rPr>
            <sz val="9"/>
            <color indexed="81"/>
            <rFont val="Tahoma"/>
            <charset val="1"/>
          </rPr>
          <t xml:space="preserve">
Rebalancing: &gt;10% deviation = strong action (TRIM/ADD), 3-10% = mild action, &lt;3% = within tolerance</t>
        </r>
      </text>
    </comment>
    <comment ref="I36" authorId="0" shapeId="0" xr:uid="{95AF88F1-8B82-4F42-99E6-7D2453A5C662}">
      <text>
        <r>
          <rPr>
            <b/>
            <sz val="9"/>
            <color indexed="81"/>
            <rFont val="Tahoma"/>
            <charset val="1"/>
          </rPr>
          <t>ADMIN:</t>
        </r>
        <r>
          <rPr>
            <sz val="9"/>
            <color indexed="81"/>
            <rFont val="Tahoma"/>
            <charset val="1"/>
          </rPr>
          <t xml:space="preserve">
Equal weight = 1/N where N is total number of holdings</t>
        </r>
      </text>
    </comment>
    <comment ref="J36" authorId="0" shapeId="0" xr:uid="{E00C0619-85D4-40F4-BB55-C42BF3AD66E7}">
      <text>
        <r>
          <rPr>
            <b/>
            <sz val="9"/>
            <color indexed="81"/>
            <rFont val="Tahoma"/>
            <charset val="1"/>
          </rPr>
          <t>ADMIN:</t>
        </r>
        <r>
          <rPr>
            <sz val="9"/>
            <color indexed="81"/>
            <rFont val="Tahoma"/>
            <charset val="1"/>
          </rPr>
          <t xml:space="preserve">
Deviation from equal weight. Positive = overweight, Negative = underweight</t>
        </r>
      </text>
    </comment>
    <comment ref="K36" authorId="0" shapeId="0" xr:uid="{F6D854EE-07A0-4B3F-B695-CCCD563B2C52}">
      <text>
        <r>
          <rPr>
            <b/>
            <sz val="9"/>
            <color indexed="81"/>
            <rFont val="Tahoma"/>
            <charset val="1"/>
          </rPr>
          <t>ADMIN:</t>
        </r>
        <r>
          <rPr>
            <sz val="9"/>
            <color indexed="81"/>
            <rFont val="Tahoma"/>
            <charset val="1"/>
          </rPr>
          <t xml:space="preserve">
Rebalancing: &gt;10% deviation = strong action (TRIM/ADD), 3-10% = mild action, &lt;3% = within tolerance</t>
        </r>
      </text>
    </comment>
    <comment ref="I37" authorId="0" shapeId="0" xr:uid="{0D5A2284-ACF5-4A5F-9654-A45355C65843}">
      <text>
        <r>
          <rPr>
            <b/>
            <sz val="9"/>
            <color indexed="81"/>
            <rFont val="Tahoma"/>
            <charset val="1"/>
          </rPr>
          <t>ADMIN:</t>
        </r>
        <r>
          <rPr>
            <sz val="9"/>
            <color indexed="81"/>
            <rFont val="Tahoma"/>
            <charset val="1"/>
          </rPr>
          <t xml:space="preserve">
Equal weight = 1/N where N is total number of holdings</t>
        </r>
      </text>
    </comment>
    <comment ref="J37" authorId="0" shapeId="0" xr:uid="{5EDE6EFE-A849-440C-89F9-B9D92CB89E48}">
      <text>
        <r>
          <rPr>
            <b/>
            <sz val="9"/>
            <color indexed="81"/>
            <rFont val="Tahoma"/>
            <charset val="1"/>
          </rPr>
          <t>ADMIN:</t>
        </r>
        <r>
          <rPr>
            <sz val="9"/>
            <color indexed="81"/>
            <rFont val="Tahoma"/>
            <charset val="1"/>
          </rPr>
          <t xml:space="preserve">
Deviation from equal weight. Positive = overweight, Negative = underweight</t>
        </r>
      </text>
    </comment>
    <comment ref="K37" authorId="0" shapeId="0" xr:uid="{6A0BA8D3-3156-43AB-A626-E1D7029BA2F7}">
      <text>
        <r>
          <rPr>
            <b/>
            <sz val="9"/>
            <color indexed="81"/>
            <rFont val="Tahoma"/>
            <charset val="1"/>
          </rPr>
          <t>ADMIN:</t>
        </r>
        <r>
          <rPr>
            <sz val="9"/>
            <color indexed="81"/>
            <rFont val="Tahoma"/>
            <charset val="1"/>
          </rPr>
          <t xml:space="preserve">
Rebalancing: &gt;10% deviation = strong action (TRIM/ADD), 3-10% = mild action, &lt;3% = within tolerance</t>
        </r>
      </text>
    </comment>
    <comment ref="I38" authorId="0" shapeId="0" xr:uid="{830929FD-423E-4657-90EE-336BE122CDAA}">
      <text>
        <r>
          <rPr>
            <b/>
            <sz val="9"/>
            <color indexed="81"/>
            <rFont val="Tahoma"/>
            <charset val="1"/>
          </rPr>
          <t>ADMIN:</t>
        </r>
        <r>
          <rPr>
            <sz val="9"/>
            <color indexed="81"/>
            <rFont val="Tahoma"/>
            <charset val="1"/>
          </rPr>
          <t xml:space="preserve">
Equal weight = 1/N where N is total number of holdings</t>
        </r>
      </text>
    </comment>
    <comment ref="J38" authorId="0" shapeId="0" xr:uid="{90F7D811-6AED-4E6A-9F2B-35FA1D7A26BE}">
      <text>
        <r>
          <rPr>
            <b/>
            <sz val="9"/>
            <color indexed="81"/>
            <rFont val="Tahoma"/>
            <charset val="1"/>
          </rPr>
          <t>ADMIN:</t>
        </r>
        <r>
          <rPr>
            <sz val="9"/>
            <color indexed="81"/>
            <rFont val="Tahoma"/>
            <charset val="1"/>
          </rPr>
          <t xml:space="preserve">
Deviation from equal weight. Positive = overweight, Negative = underweight</t>
        </r>
      </text>
    </comment>
    <comment ref="K38" authorId="0" shapeId="0" xr:uid="{33E313F4-D4C8-43C8-BCF6-FE03509ABE09}">
      <text>
        <r>
          <rPr>
            <b/>
            <sz val="9"/>
            <color indexed="81"/>
            <rFont val="Tahoma"/>
            <charset val="1"/>
          </rPr>
          <t>ADMIN:</t>
        </r>
        <r>
          <rPr>
            <sz val="9"/>
            <color indexed="81"/>
            <rFont val="Tahoma"/>
            <charset val="1"/>
          </rPr>
          <t xml:space="preserve">
Rebalancing: &gt;10% deviation = strong action (TRIM/ADD), 3-10% = mild action, &lt;3% = within tolerance</t>
        </r>
      </text>
    </comment>
    <comment ref="I39" authorId="0" shapeId="0" xr:uid="{094203DB-2396-48CC-8F93-C3AF14F60798}">
      <text>
        <r>
          <rPr>
            <b/>
            <sz val="9"/>
            <color indexed="81"/>
            <rFont val="Tahoma"/>
            <charset val="1"/>
          </rPr>
          <t>ADMIN:</t>
        </r>
        <r>
          <rPr>
            <sz val="9"/>
            <color indexed="81"/>
            <rFont val="Tahoma"/>
            <charset val="1"/>
          </rPr>
          <t xml:space="preserve">
Equal weight = 1/N where N is total number of holdings</t>
        </r>
      </text>
    </comment>
    <comment ref="J39" authorId="0" shapeId="0" xr:uid="{E5136CB9-89F9-41D0-8125-6B7BB174E336}">
      <text>
        <r>
          <rPr>
            <b/>
            <sz val="9"/>
            <color indexed="81"/>
            <rFont val="Tahoma"/>
            <charset val="1"/>
          </rPr>
          <t>ADMIN:</t>
        </r>
        <r>
          <rPr>
            <sz val="9"/>
            <color indexed="81"/>
            <rFont val="Tahoma"/>
            <charset val="1"/>
          </rPr>
          <t xml:space="preserve">
Deviation from equal weight. Positive = overweight, Negative = underweight</t>
        </r>
      </text>
    </comment>
    <comment ref="K39" authorId="0" shapeId="0" xr:uid="{E07F7764-283E-483E-A8F9-BC861874DCB5}">
      <text>
        <r>
          <rPr>
            <b/>
            <sz val="9"/>
            <color indexed="81"/>
            <rFont val="Tahoma"/>
            <charset val="1"/>
          </rPr>
          <t>ADMIN:</t>
        </r>
        <r>
          <rPr>
            <sz val="9"/>
            <color indexed="81"/>
            <rFont val="Tahoma"/>
            <charset val="1"/>
          </rPr>
          <t xml:space="preserve">
Rebalancing: &gt;10% deviation = strong action (TRIM/ADD), 3-10% = mild action, &lt;3% = within tolerance</t>
        </r>
      </text>
    </comment>
    <comment ref="I40" authorId="0" shapeId="0" xr:uid="{9A2B6311-1ECF-4908-A075-0CD640ADC38A}">
      <text>
        <r>
          <rPr>
            <b/>
            <sz val="9"/>
            <color indexed="81"/>
            <rFont val="Tahoma"/>
            <charset val="1"/>
          </rPr>
          <t>ADMIN:</t>
        </r>
        <r>
          <rPr>
            <sz val="9"/>
            <color indexed="81"/>
            <rFont val="Tahoma"/>
            <charset val="1"/>
          </rPr>
          <t xml:space="preserve">
Equal weight = 1/N where N is total number of holdings</t>
        </r>
      </text>
    </comment>
    <comment ref="J40" authorId="0" shapeId="0" xr:uid="{8990E957-756E-481E-8536-3571289A8456}">
      <text>
        <r>
          <rPr>
            <b/>
            <sz val="9"/>
            <color indexed="81"/>
            <rFont val="Tahoma"/>
            <charset val="1"/>
          </rPr>
          <t>ADMIN:</t>
        </r>
        <r>
          <rPr>
            <sz val="9"/>
            <color indexed="81"/>
            <rFont val="Tahoma"/>
            <charset val="1"/>
          </rPr>
          <t xml:space="preserve">
Deviation from equal weight. Positive = overweight, Negative = underweight</t>
        </r>
      </text>
    </comment>
    <comment ref="K40" authorId="0" shapeId="0" xr:uid="{D4C38F27-884C-4E9A-96CA-E7C3EFB36B0A}">
      <text>
        <r>
          <rPr>
            <b/>
            <sz val="9"/>
            <color indexed="81"/>
            <rFont val="Tahoma"/>
            <charset val="1"/>
          </rPr>
          <t>ADMIN:</t>
        </r>
        <r>
          <rPr>
            <sz val="9"/>
            <color indexed="81"/>
            <rFont val="Tahoma"/>
            <charset val="1"/>
          </rPr>
          <t xml:space="preserve">
Rebalancing: &gt;10% deviation = strong action (TRIM/ADD), 3-10% = mild action, &lt;3% = within tolerance</t>
        </r>
      </text>
    </comment>
    <comment ref="I41" authorId="0" shapeId="0" xr:uid="{5B6F890D-C142-49D1-9920-FDD3B2BA3F56}">
      <text>
        <r>
          <rPr>
            <b/>
            <sz val="9"/>
            <color indexed="81"/>
            <rFont val="Tahoma"/>
            <charset val="1"/>
          </rPr>
          <t>ADMIN:</t>
        </r>
        <r>
          <rPr>
            <sz val="9"/>
            <color indexed="81"/>
            <rFont val="Tahoma"/>
            <charset val="1"/>
          </rPr>
          <t xml:space="preserve">
Equal weight = 1/N where N is total number of holdings</t>
        </r>
      </text>
    </comment>
    <comment ref="J41" authorId="0" shapeId="0" xr:uid="{DCCC14F5-905E-4625-B224-5B0D9C7E78D6}">
      <text>
        <r>
          <rPr>
            <b/>
            <sz val="9"/>
            <color indexed="81"/>
            <rFont val="Tahoma"/>
            <charset val="1"/>
          </rPr>
          <t>ADMIN:</t>
        </r>
        <r>
          <rPr>
            <sz val="9"/>
            <color indexed="81"/>
            <rFont val="Tahoma"/>
            <charset val="1"/>
          </rPr>
          <t xml:space="preserve">
Deviation from equal weight. Positive = overweight, Negative = underweight</t>
        </r>
      </text>
    </comment>
    <comment ref="K41" authorId="0" shapeId="0" xr:uid="{E354B54C-2A0C-4284-B0F5-3FE6C465FE09}">
      <text>
        <r>
          <rPr>
            <b/>
            <sz val="9"/>
            <color indexed="81"/>
            <rFont val="Tahoma"/>
            <charset val="1"/>
          </rPr>
          <t>ADMIN:</t>
        </r>
        <r>
          <rPr>
            <sz val="9"/>
            <color indexed="81"/>
            <rFont val="Tahoma"/>
            <charset val="1"/>
          </rPr>
          <t xml:space="preserve">
Rebalancing: &gt;10% deviation = strong action (TRIM/ADD), 3-10% = mild action, &lt;3% = within tolerance</t>
        </r>
      </text>
    </comment>
    <comment ref="I42" authorId="0" shapeId="0" xr:uid="{9257CDAF-451B-40C7-B783-E5BB29B3ABB5}">
      <text>
        <r>
          <rPr>
            <b/>
            <sz val="9"/>
            <color indexed="81"/>
            <rFont val="Tahoma"/>
            <charset val="1"/>
          </rPr>
          <t>ADMIN:</t>
        </r>
        <r>
          <rPr>
            <sz val="9"/>
            <color indexed="81"/>
            <rFont val="Tahoma"/>
            <charset val="1"/>
          </rPr>
          <t xml:space="preserve">
Equal weight = 1/N where N is total number of holdings</t>
        </r>
      </text>
    </comment>
    <comment ref="J42" authorId="0" shapeId="0" xr:uid="{321C662A-56BA-4D3C-ABE2-F8A42DFD4783}">
      <text>
        <r>
          <rPr>
            <b/>
            <sz val="9"/>
            <color indexed="81"/>
            <rFont val="Tahoma"/>
            <charset val="1"/>
          </rPr>
          <t>ADMIN:</t>
        </r>
        <r>
          <rPr>
            <sz val="9"/>
            <color indexed="81"/>
            <rFont val="Tahoma"/>
            <charset val="1"/>
          </rPr>
          <t xml:space="preserve">
Deviation from equal weight. Positive = overweight, Negative = underweight</t>
        </r>
      </text>
    </comment>
    <comment ref="K42" authorId="0" shapeId="0" xr:uid="{54D468A9-B146-49DD-92A8-B82B29DC25DB}">
      <text>
        <r>
          <rPr>
            <b/>
            <sz val="9"/>
            <color indexed="81"/>
            <rFont val="Tahoma"/>
            <charset val="1"/>
          </rPr>
          <t>ADMIN:</t>
        </r>
        <r>
          <rPr>
            <sz val="9"/>
            <color indexed="81"/>
            <rFont val="Tahoma"/>
            <charset val="1"/>
          </rPr>
          <t xml:space="preserve">
Rebalancing: &gt;10% deviation = strong action (TRIM/ADD), 3-10% = mild action, &lt;3% = within tolerance</t>
        </r>
      </text>
    </comment>
    <comment ref="I43" authorId="0" shapeId="0" xr:uid="{9683DB19-4FC4-4ACE-B2E3-DB156BB4E2C0}">
      <text>
        <r>
          <rPr>
            <b/>
            <sz val="9"/>
            <color indexed="81"/>
            <rFont val="Tahoma"/>
            <charset val="1"/>
          </rPr>
          <t>ADMIN:</t>
        </r>
        <r>
          <rPr>
            <sz val="9"/>
            <color indexed="81"/>
            <rFont val="Tahoma"/>
            <charset val="1"/>
          </rPr>
          <t xml:space="preserve">
Equal weight = 1/N where N is total number of holdings</t>
        </r>
      </text>
    </comment>
    <comment ref="J43" authorId="0" shapeId="0" xr:uid="{1A1AB0B6-F7C3-4843-82AE-7A5F39C552B7}">
      <text>
        <r>
          <rPr>
            <b/>
            <sz val="9"/>
            <color indexed="81"/>
            <rFont val="Tahoma"/>
            <charset val="1"/>
          </rPr>
          <t>ADMIN:</t>
        </r>
        <r>
          <rPr>
            <sz val="9"/>
            <color indexed="81"/>
            <rFont val="Tahoma"/>
            <charset val="1"/>
          </rPr>
          <t xml:space="preserve">
Deviation from equal weight. Positive = overweight, Negative = underweight</t>
        </r>
      </text>
    </comment>
    <comment ref="K43" authorId="0" shapeId="0" xr:uid="{19E692BF-D79D-40FC-B3BA-56B74A2C4C5D}">
      <text>
        <r>
          <rPr>
            <b/>
            <sz val="9"/>
            <color indexed="81"/>
            <rFont val="Tahoma"/>
            <charset val="1"/>
          </rPr>
          <t>ADMIN:</t>
        </r>
        <r>
          <rPr>
            <sz val="9"/>
            <color indexed="81"/>
            <rFont val="Tahoma"/>
            <charset val="1"/>
          </rPr>
          <t xml:space="preserve">
Rebalancing: &gt;10% deviation = strong action (TRIM/ADD), 3-10% = mild action, &lt;3% = within tolerance</t>
        </r>
      </text>
    </comment>
    <comment ref="I44" authorId="0" shapeId="0" xr:uid="{0B6E595D-6BAD-4545-8182-0B94A3862706}">
      <text>
        <r>
          <rPr>
            <b/>
            <sz val="9"/>
            <color indexed="81"/>
            <rFont val="Tahoma"/>
            <charset val="1"/>
          </rPr>
          <t>ADMIN:</t>
        </r>
        <r>
          <rPr>
            <sz val="9"/>
            <color indexed="81"/>
            <rFont val="Tahoma"/>
            <charset val="1"/>
          </rPr>
          <t xml:space="preserve">
Equal weight = 1/N where N is total number of holdings</t>
        </r>
      </text>
    </comment>
    <comment ref="J44" authorId="0" shapeId="0" xr:uid="{FBEC9406-5117-48E5-9A00-2C38B3F32578}">
      <text>
        <r>
          <rPr>
            <b/>
            <sz val="9"/>
            <color indexed="81"/>
            <rFont val="Tahoma"/>
            <charset val="1"/>
          </rPr>
          <t>ADMIN:</t>
        </r>
        <r>
          <rPr>
            <sz val="9"/>
            <color indexed="81"/>
            <rFont val="Tahoma"/>
            <charset val="1"/>
          </rPr>
          <t xml:space="preserve">
Deviation from equal weight. Positive = overweight, Negative = underweight</t>
        </r>
      </text>
    </comment>
    <comment ref="K44" authorId="0" shapeId="0" xr:uid="{AB6968DA-20D7-4392-BEDE-19DDB0EFC092}">
      <text>
        <r>
          <rPr>
            <b/>
            <sz val="9"/>
            <color indexed="81"/>
            <rFont val="Tahoma"/>
            <charset val="1"/>
          </rPr>
          <t>ADMIN:</t>
        </r>
        <r>
          <rPr>
            <sz val="9"/>
            <color indexed="81"/>
            <rFont val="Tahoma"/>
            <charset val="1"/>
          </rPr>
          <t xml:space="preserve">
Rebalancing: &gt;10% deviation = strong action (TRIM/ADD), 3-10% = mild action, &lt;3% = within tolerance</t>
        </r>
      </text>
    </comment>
    <comment ref="I45" authorId="0" shapeId="0" xr:uid="{E95703AD-E351-4ED5-8F6A-D80243F16D42}">
      <text>
        <r>
          <rPr>
            <b/>
            <sz val="9"/>
            <color indexed="81"/>
            <rFont val="Tahoma"/>
            <charset val="1"/>
          </rPr>
          <t>ADMIN:</t>
        </r>
        <r>
          <rPr>
            <sz val="9"/>
            <color indexed="81"/>
            <rFont val="Tahoma"/>
            <charset val="1"/>
          </rPr>
          <t xml:space="preserve">
Equal weight = 1/N where N is total number of holdings</t>
        </r>
      </text>
    </comment>
    <comment ref="J45" authorId="0" shapeId="0" xr:uid="{C4829BB4-84C6-417B-A5C0-B2926841D822}">
      <text>
        <r>
          <rPr>
            <b/>
            <sz val="9"/>
            <color indexed="81"/>
            <rFont val="Tahoma"/>
            <charset val="1"/>
          </rPr>
          <t>ADMIN:</t>
        </r>
        <r>
          <rPr>
            <sz val="9"/>
            <color indexed="81"/>
            <rFont val="Tahoma"/>
            <charset val="1"/>
          </rPr>
          <t xml:space="preserve">
Deviation from equal weight. Positive = overweight, Negative = underweight</t>
        </r>
      </text>
    </comment>
    <comment ref="K45" authorId="0" shapeId="0" xr:uid="{334B9D01-84DC-44FA-96CA-1A9EAEAC0B17}">
      <text>
        <r>
          <rPr>
            <b/>
            <sz val="9"/>
            <color indexed="81"/>
            <rFont val="Tahoma"/>
            <charset val="1"/>
          </rPr>
          <t>ADMIN:</t>
        </r>
        <r>
          <rPr>
            <sz val="9"/>
            <color indexed="81"/>
            <rFont val="Tahoma"/>
            <charset val="1"/>
          </rPr>
          <t xml:space="preserve">
Rebalancing: &gt;10% deviation = strong action (TRIM/ADD), 3-10% = mild action, &lt;3% = within tolerance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ADMIN</author>
  </authors>
  <commentList>
    <comment ref="D67" authorId="0" shapeId="0" xr:uid="{87C0F481-8431-4DC2-AE1F-52E5C0625E9C}">
      <text>
        <r>
          <rPr>
            <b/>
            <sz val="9"/>
            <color indexed="81"/>
            <rFont val="Tahoma"/>
            <family val="2"/>
          </rPr>
          <t>ADMIN:</t>
        </r>
        <r>
          <rPr>
            <sz val="9"/>
            <color indexed="81"/>
            <rFont val="Tahoma"/>
            <family val="2"/>
          </rPr>
          <t xml:space="preserve">
Lower P/E = better value = higher rank (ascending)</t>
        </r>
      </text>
    </comment>
    <comment ref="F67" authorId="0" shapeId="0" xr:uid="{6EF5CAE9-5B9D-408D-9186-70DCC4C19BEF}">
      <text>
        <r>
          <rPr>
            <b/>
            <sz val="9"/>
            <color indexed="81"/>
            <rFont val="Tahoma"/>
            <family val="2"/>
          </rPr>
          <t>ADMIN:</t>
        </r>
        <r>
          <rPr>
            <sz val="9"/>
            <color indexed="81"/>
            <rFont val="Tahoma"/>
            <family val="2"/>
          </rPr>
          <t xml:space="preserve">
Lower Beta = lower risk = higher rank (ascending)</t>
        </r>
      </text>
    </comment>
    <comment ref="H67" authorId="0" shapeId="0" xr:uid="{1DC4066F-C81A-43CD-ADC3-3728D0F9D81F}">
      <text>
        <r>
          <rPr>
            <b/>
            <sz val="9"/>
            <color indexed="81"/>
            <rFont val="Tahoma"/>
            <family val="2"/>
          </rPr>
          <t>ADMIN:</t>
        </r>
        <r>
          <rPr>
            <sz val="9"/>
            <color indexed="81"/>
            <rFont val="Tahoma"/>
            <family val="2"/>
          </rPr>
          <t xml:space="preserve">
Momentum based on 52W range position: &gt;70% = near highs, &lt;30% = near lows</t>
        </r>
      </text>
    </comment>
    <comment ref="I67" authorId="0" shapeId="0" xr:uid="{38C689E0-F830-42BB-BA23-7E73C6B8AC1E}">
      <text>
        <r>
          <rPr>
            <b/>
            <sz val="9"/>
            <color indexed="81"/>
            <rFont val="Tahoma"/>
            <family val="2"/>
          </rPr>
          <t>ADMIN:</t>
        </r>
        <r>
          <rPr>
            <sz val="9"/>
            <color indexed="81"/>
            <rFont val="Tahoma"/>
            <family val="2"/>
          </rPr>
          <t xml:space="preserve">
Composite Value Score: 40% P/E rank + 30% Beta rank + 30% Momentum rank. Lower = better overall value-risk-momentum profile.</t>
        </r>
      </text>
    </comment>
    <comment ref="J67" authorId="0" shapeId="0" xr:uid="{808DD0CB-C158-4241-B5F1-71A9C0FD7F6C}">
      <text>
        <r>
          <rPr>
            <b/>
            <sz val="9"/>
            <color indexed="81"/>
            <rFont val="Tahoma"/>
            <family val="2"/>
          </rPr>
          <t>ADMIN:</t>
        </r>
        <r>
          <rPr>
            <sz val="9"/>
            <color indexed="81"/>
            <rFont val="Tahoma"/>
            <family val="2"/>
          </rPr>
          <t xml:space="preserve">
Final composite ranking: #1 = best combination of value, low risk, and momentum</t>
        </r>
      </text>
    </comment>
    <comment ref="K67" authorId="0" shapeId="0" xr:uid="{C4B1C791-C77D-4206-847C-646EB84BB7D0}">
      <text>
        <r>
          <rPr>
            <b/>
            <sz val="9"/>
            <color indexed="81"/>
            <rFont val="Tahoma"/>
            <family val="2"/>
          </rPr>
          <t>ADMIN:</t>
        </r>
        <r>
          <rPr>
            <sz val="9"/>
            <color indexed="81"/>
            <rFont val="Tahoma"/>
            <family val="2"/>
          </rPr>
          <t xml:space="preserve">
Top 3 = Buy signal, 4-7 = Watch, 8-10 = Avoid based on multi-factor model</t>
        </r>
      </text>
    </comment>
    <comment ref="D68" authorId="0" shapeId="0" xr:uid="{144D08E5-EB02-4CBF-96AC-C640D2EA6AC5}">
      <text>
        <r>
          <rPr>
            <b/>
            <sz val="9"/>
            <color indexed="81"/>
            <rFont val="Tahoma"/>
            <family val="2"/>
          </rPr>
          <t>ADMIN:</t>
        </r>
        <r>
          <rPr>
            <sz val="9"/>
            <color indexed="81"/>
            <rFont val="Tahoma"/>
            <family val="2"/>
          </rPr>
          <t xml:space="preserve">
Lower P/E = better value = higher rank (ascending)</t>
        </r>
      </text>
    </comment>
    <comment ref="F68" authorId="0" shapeId="0" xr:uid="{9AC88936-7F5B-427B-9E4E-6B443E0E7C16}">
      <text>
        <r>
          <rPr>
            <b/>
            <sz val="9"/>
            <color indexed="81"/>
            <rFont val="Tahoma"/>
            <family val="2"/>
          </rPr>
          <t>ADMIN:</t>
        </r>
        <r>
          <rPr>
            <sz val="9"/>
            <color indexed="81"/>
            <rFont val="Tahoma"/>
            <family val="2"/>
          </rPr>
          <t xml:space="preserve">
Lower Beta = lower risk = higher rank (ascending)</t>
        </r>
      </text>
    </comment>
    <comment ref="H68" authorId="0" shapeId="0" xr:uid="{5D806301-2D04-4B28-B532-BF32BF9A2092}">
      <text>
        <r>
          <rPr>
            <b/>
            <sz val="9"/>
            <color indexed="81"/>
            <rFont val="Tahoma"/>
            <family val="2"/>
          </rPr>
          <t>ADMIN:</t>
        </r>
        <r>
          <rPr>
            <sz val="9"/>
            <color indexed="81"/>
            <rFont val="Tahoma"/>
            <family val="2"/>
          </rPr>
          <t xml:space="preserve">
Momentum based on 52W range position: &gt;70% = near highs, &lt;30% = near lows</t>
        </r>
      </text>
    </comment>
    <comment ref="I68" authorId="0" shapeId="0" xr:uid="{B4C9501C-9D87-4AB9-8C63-23757B62BC2A}">
      <text>
        <r>
          <rPr>
            <b/>
            <sz val="9"/>
            <color indexed="81"/>
            <rFont val="Tahoma"/>
            <family val="2"/>
          </rPr>
          <t>ADMIN:</t>
        </r>
        <r>
          <rPr>
            <sz val="9"/>
            <color indexed="81"/>
            <rFont val="Tahoma"/>
            <family val="2"/>
          </rPr>
          <t xml:space="preserve">
Composite Value Score: 40% P/E rank + 30% Beta rank + 30% Momentum rank. Lower = better overall value-risk-momentum profile.</t>
        </r>
      </text>
    </comment>
    <comment ref="J68" authorId="0" shapeId="0" xr:uid="{B6EE23DC-DE2F-4608-9C27-87AF6751B7C4}">
      <text>
        <r>
          <rPr>
            <b/>
            <sz val="9"/>
            <color indexed="81"/>
            <rFont val="Tahoma"/>
            <family val="2"/>
          </rPr>
          <t>ADMIN:</t>
        </r>
        <r>
          <rPr>
            <sz val="9"/>
            <color indexed="81"/>
            <rFont val="Tahoma"/>
            <family val="2"/>
          </rPr>
          <t xml:space="preserve">
Final composite ranking: #1 = best combination of value, low risk, and momentum</t>
        </r>
      </text>
    </comment>
    <comment ref="K68" authorId="0" shapeId="0" xr:uid="{FB152FFA-5EE2-417D-ADBF-1C12C416BFF7}">
      <text>
        <r>
          <rPr>
            <b/>
            <sz val="9"/>
            <color indexed="81"/>
            <rFont val="Tahoma"/>
            <family val="2"/>
          </rPr>
          <t>ADMIN:</t>
        </r>
        <r>
          <rPr>
            <sz val="9"/>
            <color indexed="81"/>
            <rFont val="Tahoma"/>
            <family val="2"/>
          </rPr>
          <t xml:space="preserve">
Top 3 = Buy signal, 4-7 = Watch, 8-10 = Avoid based on multi-factor model</t>
        </r>
      </text>
    </comment>
    <comment ref="D69" authorId="0" shapeId="0" xr:uid="{9C6F4D75-1B73-4235-9988-27344A17DE33}">
      <text>
        <r>
          <rPr>
            <b/>
            <sz val="9"/>
            <color indexed="81"/>
            <rFont val="Tahoma"/>
            <family val="2"/>
          </rPr>
          <t>ADMIN:</t>
        </r>
        <r>
          <rPr>
            <sz val="9"/>
            <color indexed="81"/>
            <rFont val="Tahoma"/>
            <family val="2"/>
          </rPr>
          <t xml:space="preserve">
Lower P/E = better value = higher rank (ascending)</t>
        </r>
      </text>
    </comment>
    <comment ref="F69" authorId="0" shapeId="0" xr:uid="{145082E9-2520-4634-AD4E-A3E05051CF62}">
      <text>
        <r>
          <rPr>
            <b/>
            <sz val="9"/>
            <color indexed="81"/>
            <rFont val="Tahoma"/>
            <family val="2"/>
          </rPr>
          <t>ADMIN:</t>
        </r>
        <r>
          <rPr>
            <sz val="9"/>
            <color indexed="81"/>
            <rFont val="Tahoma"/>
            <family val="2"/>
          </rPr>
          <t xml:space="preserve">
Lower Beta = lower risk = higher rank (ascending)</t>
        </r>
      </text>
    </comment>
    <comment ref="H69" authorId="0" shapeId="0" xr:uid="{3B076122-833B-44D8-889E-287F38F1E037}">
      <text>
        <r>
          <rPr>
            <b/>
            <sz val="9"/>
            <color indexed="81"/>
            <rFont val="Tahoma"/>
            <family val="2"/>
          </rPr>
          <t>ADMIN:</t>
        </r>
        <r>
          <rPr>
            <sz val="9"/>
            <color indexed="81"/>
            <rFont val="Tahoma"/>
            <family val="2"/>
          </rPr>
          <t xml:space="preserve">
Momentum based on 52W range position: &gt;70% = near highs, &lt;30% = near lows</t>
        </r>
      </text>
    </comment>
    <comment ref="I69" authorId="0" shapeId="0" xr:uid="{819EEF51-DB93-439E-A693-1840C3D519F1}">
      <text>
        <r>
          <rPr>
            <b/>
            <sz val="9"/>
            <color indexed="81"/>
            <rFont val="Tahoma"/>
            <family val="2"/>
          </rPr>
          <t>ADMIN:</t>
        </r>
        <r>
          <rPr>
            <sz val="9"/>
            <color indexed="81"/>
            <rFont val="Tahoma"/>
            <family val="2"/>
          </rPr>
          <t xml:space="preserve">
Composite Value Score: 40% P/E rank + 30% Beta rank + 30% Momentum rank. Lower = better overall value-risk-momentum profile.</t>
        </r>
      </text>
    </comment>
    <comment ref="J69" authorId="0" shapeId="0" xr:uid="{B9898058-6D33-467E-976B-9FA289BFD048}">
      <text>
        <r>
          <rPr>
            <b/>
            <sz val="9"/>
            <color indexed="81"/>
            <rFont val="Tahoma"/>
            <family val="2"/>
          </rPr>
          <t>ADMIN:</t>
        </r>
        <r>
          <rPr>
            <sz val="9"/>
            <color indexed="81"/>
            <rFont val="Tahoma"/>
            <family val="2"/>
          </rPr>
          <t xml:space="preserve">
Final composite ranking: #1 = best combination of value, low risk, and momentum</t>
        </r>
      </text>
    </comment>
    <comment ref="K69" authorId="0" shapeId="0" xr:uid="{EC4F5CAD-F39C-42DF-BFBB-8CE6D3AC90CF}">
      <text>
        <r>
          <rPr>
            <b/>
            <sz val="9"/>
            <color indexed="81"/>
            <rFont val="Tahoma"/>
            <family val="2"/>
          </rPr>
          <t>ADMIN:</t>
        </r>
        <r>
          <rPr>
            <sz val="9"/>
            <color indexed="81"/>
            <rFont val="Tahoma"/>
            <family val="2"/>
          </rPr>
          <t xml:space="preserve">
Top 3 = Buy signal, 4-7 = Watch, 8-10 = Avoid based on multi-factor model</t>
        </r>
      </text>
    </comment>
    <comment ref="D70" authorId="0" shapeId="0" xr:uid="{FA13A2E0-0C8B-437B-A83C-EDCA30118EEE}">
      <text>
        <r>
          <rPr>
            <b/>
            <sz val="9"/>
            <color indexed="81"/>
            <rFont val="Tahoma"/>
            <family val="2"/>
          </rPr>
          <t>ADMIN:</t>
        </r>
        <r>
          <rPr>
            <sz val="9"/>
            <color indexed="81"/>
            <rFont val="Tahoma"/>
            <family val="2"/>
          </rPr>
          <t xml:space="preserve">
Lower P/E = better value = higher rank (ascending)</t>
        </r>
      </text>
    </comment>
    <comment ref="F70" authorId="0" shapeId="0" xr:uid="{637ACD47-A867-449B-9226-64FE9DC37A3C}">
      <text>
        <r>
          <rPr>
            <b/>
            <sz val="9"/>
            <color indexed="81"/>
            <rFont val="Tahoma"/>
            <family val="2"/>
          </rPr>
          <t>ADMIN:</t>
        </r>
        <r>
          <rPr>
            <sz val="9"/>
            <color indexed="81"/>
            <rFont val="Tahoma"/>
            <family val="2"/>
          </rPr>
          <t xml:space="preserve">
Lower Beta = lower risk = higher rank (ascending)</t>
        </r>
      </text>
    </comment>
    <comment ref="H70" authorId="0" shapeId="0" xr:uid="{657F66B5-565C-4571-80DB-2D09F6EDA063}">
      <text>
        <r>
          <rPr>
            <b/>
            <sz val="9"/>
            <color indexed="81"/>
            <rFont val="Tahoma"/>
            <family val="2"/>
          </rPr>
          <t>ADMIN:</t>
        </r>
        <r>
          <rPr>
            <sz val="9"/>
            <color indexed="81"/>
            <rFont val="Tahoma"/>
            <family val="2"/>
          </rPr>
          <t xml:space="preserve">
Momentum based on 52W range position: &gt;70% = near highs, &lt;30% = near lows</t>
        </r>
      </text>
    </comment>
    <comment ref="I70" authorId="0" shapeId="0" xr:uid="{6702BC48-44E8-4C06-B4F2-4128D8CCE47E}">
      <text>
        <r>
          <rPr>
            <b/>
            <sz val="9"/>
            <color indexed="81"/>
            <rFont val="Tahoma"/>
            <family val="2"/>
          </rPr>
          <t>ADMIN:</t>
        </r>
        <r>
          <rPr>
            <sz val="9"/>
            <color indexed="81"/>
            <rFont val="Tahoma"/>
            <family val="2"/>
          </rPr>
          <t xml:space="preserve">
Composite Value Score: 40% P/E rank + 30% Beta rank + 30% Momentum rank. Lower = better overall value-risk-momentum profile.</t>
        </r>
      </text>
    </comment>
    <comment ref="J70" authorId="0" shapeId="0" xr:uid="{C786CB44-33A6-485F-AAF8-8EFD8AA7A99A}">
      <text>
        <r>
          <rPr>
            <b/>
            <sz val="9"/>
            <color indexed="81"/>
            <rFont val="Tahoma"/>
            <family val="2"/>
          </rPr>
          <t>ADMIN:</t>
        </r>
        <r>
          <rPr>
            <sz val="9"/>
            <color indexed="81"/>
            <rFont val="Tahoma"/>
            <family val="2"/>
          </rPr>
          <t xml:space="preserve">
Final composite ranking: #1 = best combination of value, low risk, and momentum</t>
        </r>
      </text>
    </comment>
    <comment ref="K70" authorId="0" shapeId="0" xr:uid="{B228B96C-794E-4604-B9D7-967E3CA1D843}">
      <text>
        <r>
          <rPr>
            <b/>
            <sz val="9"/>
            <color indexed="81"/>
            <rFont val="Tahoma"/>
            <family val="2"/>
          </rPr>
          <t>ADMIN:</t>
        </r>
        <r>
          <rPr>
            <sz val="9"/>
            <color indexed="81"/>
            <rFont val="Tahoma"/>
            <family val="2"/>
          </rPr>
          <t xml:space="preserve">
Top 3 = Buy signal, 4-7 = Watch, 8-10 = Avoid based on multi-factor model</t>
        </r>
      </text>
    </comment>
    <comment ref="D71" authorId="0" shapeId="0" xr:uid="{A05A1E44-7D02-4128-9003-6CDCB793BF01}">
      <text>
        <r>
          <rPr>
            <b/>
            <sz val="9"/>
            <color indexed="81"/>
            <rFont val="Tahoma"/>
            <family val="2"/>
          </rPr>
          <t>ADMIN:</t>
        </r>
        <r>
          <rPr>
            <sz val="9"/>
            <color indexed="81"/>
            <rFont val="Tahoma"/>
            <family val="2"/>
          </rPr>
          <t xml:space="preserve">
Lower P/E = better value = higher rank (ascending)</t>
        </r>
      </text>
    </comment>
    <comment ref="F71" authorId="0" shapeId="0" xr:uid="{07C0B4FB-3F20-4A43-9523-C92814247BE8}">
      <text>
        <r>
          <rPr>
            <b/>
            <sz val="9"/>
            <color indexed="81"/>
            <rFont val="Tahoma"/>
            <family val="2"/>
          </rPr>
          <t>ADMIN:</t>
        </r>
        <r>
          <rPr>
            <sz val="9"/>
            <color indexed="81"/>
            <rFont val="Tahoma"/>
            <family val="2"/>
          </rPr>
          <t xml:space="preserve">
Lower Beta = lower risk = higher rank (ascending)</t>
        </r>
      </text>
    </comment>
    <comment ref="H71" authorId="0" shapeId="0" xr:uid="{EF828EEB-D572-4E74-B1AE-460C99F6D823}">
      <text>
        <r>
          <rPr>
            <b/>
            <sz val="9"/>
            <color indexed="81"/>
            <rFont val="Tahoma"/>
            <family val="2"/>
          </rPr>
          <t>ADMIN:</t>
        </r>
        <r>
          <rPr>
            <sz val="9"/>
            <color indexed="81"/>
            <rFont val="Tahoma"/>
            <family val="2"/>
          </rPr>
          <t xml:space="preserve">
Momentum based on 52W range position: &gt;70% = near highs, &lt;30% = near lows</t>
        </r>
      </text>
    </comment>
    <comment ref="I71" authorId="0" shapeId="0" xr:uid="{F73560D8-6E22-45AD-AA66-ED999CA06EED}">
      <text>
        <r>
          <rPr>
            <b/>
            <sz val="9"/>
            <color indexed="81"/>
            <rFont val="Tahoma"/>
            <family val="2"/>
          </rPr>
          <t>ADMIN:</t>
        </r>
        <r>
          <rPr>
            <sz val="9"/>
            <color indexed="81"/>
            <rFont val="Tahoma"/>
            <family val="2"/>
          </rPr>
          <t xml:space="preserve">
Composite Value Score: 40% P/E rank + 30% Beta rank + 30% Momentum rank. Lower = better overall value-risk-momentum profile.</t>
        </r>
      </text>
    </comment>
    <comment ref="J71" authorId="0" shapeId="0" xr:uid="{6C19A3D9-97B0-4DEC-8DBF-33BCC7B96F49}">
      <text>
        <r>
          <rPr>
            <b/>
            <sz val="9"/>
            <color indexed="81"/>
            <rFont val="Tahoma"/>
            <family val="2"/>
          </rPr>
          <t>ADMIN:</t>
        </r>
        <r>
          <rPr>
            <sz val="9"/>
            <color indexed="81"/>
            <rFont val="Tahoma"/>
            <family val="2"/>
          </rPr>
          <t xml:space="preserve">
Final composite ranking: #1 = best combination of value, low risk, and momentum</t>
        </r>
      </text>
    </comment>
    <comment ref="K71" authorId="0" shapeId="0" xr:uid="{3A0AD059-9F67-405B-AF73-74C982F078EC}">
      <text>
        <r>
          <rPr>
            <b/>
            <sz val="9"/>
            <color indexed="81"/>
            <rFont val="Tahoma"/>
            <family val="2"/>
          </rPr>
          <t>ADMIN:</t>
        </r>
        <r>
          <rPr>
            <sz val="9"/>
            <color indexed="81"/>
            <rFont val="Tahoma"/>
            <family val="2"/>
          </rPr>
          <t xml:space="preserve">
Top 3 = Buy signal, 4-7 = Watch, 8-10 = Avoid based on multi-factor model</t>
        </r>
      </text>
    </comment>
    <comment ref="D72" authorId="0" shapeId="0" xr:uid="{D9BA88FD-68DF-4A40-8EBB-8E8852DD087D}">
      <text>
        <r>
          <rPr>
            <b/>
            <sz val="9"/>
            <color indexed="81"/>
            <rFont val="Tahoma"/>
            <family val="2"/>
          </rPr>
          <t>ADMIN:</t>
        </r>
        <r>
          <rPr>
            <sz val="9"/>
            <color indexed="81"/>
            <rFont val="Tahoma"/>
            <family val="2"/>
          </rPr>
          <t xml:space="preserve">
Lower P/E = better value = higher rank (ascending)</t>
        </r>
      </text>
    </comment>
    <comment ref="F72" authorId="0" shapeId="0" xr:uid="{E87146CE-8775-4C14-B7D8-9E6FEB607513}">
      <text>
        <r>
          <rPr>
            <b/>
            <sz val="9"/>
            <color indexed="81"/>
            <rFont val="Tahoma"/>
            <family val="2"/>
          </rPr>
          <t>ADMIN:</t>
        </r>
        <r>
          <rPr>
            <sz val="9"/>
            <color indexed="81"/>
            <rFont val="Tahoma"/>
            <family val="2"/>
          </rPr>
          <t xml:space="preserve">
Lower Beta = lower risk = higher rank (ascending)</t>
        </r>
      </text>
    </comment>
    <comment ref="H72" authorId="0" shapeId="0" xr:uid="{A549EB54-04F1-45E5-B0D0-671DA4C6F5A5}">
      <text>
        <r>
          <rPr>
            <b/>
            <sz val="9"/>
            <color indexed="81"/>
            <rFont val="Tahoma"/>
            <family val="2"/>
          </rPr>
          <t>ADMIN:</t>
        </r>
        <r>
          <rPr>
            <sz val="9"/>
            <color indexed="81"/>
            <rFont val="Tahoma"/>
            <family val="2"/>
          </rPr>
          <t xml:space="preserve">
Momentum based on 52W range position: &gt;70% = near highs, &lt;30% = near lows</t>
        </r>
      </text>
    </comment>
    <comment ref="I72" authorId="0" shapeId="0" xr:uid="{035F45C7-3DAC-4057-81BA-983E6379D9A1}">
      <text>
        <r>
          <rPr>
            <b/>
            <sz val="9"/>
            <color indexed="81"/>
            <rFont val="Tahoma"/>
            <family val="2"/>
          </rPr>
          <t>ADMIN:</t>
        </r>
        <r>
          <rPr>
            <sz val="9"/>
            <color indexed="81"/>
            <rFont val="Tahoma"/>
            <family val="2"/>
          </rPr>
          <t xml:space="preserve">
Composite Value Score: 40% P/E rank + 30% Beta rank + 30% Momentum rank. Lower = better overall value-risk-momentum profile.</t>
        </r>
      </text>
    </comment>
    <comment ref="J72" authorId="0" shapeId="0" xr:uid="{CB02EB42-7F6C-4097-80E7-5126E40CC57D}">
      <text>
        <r>
          <rPr>
            <b/>
            <sz val="9"/>
            <color indexed="81"/>
            <rFont val="Tahoma"/>
            <family val="2"/>
          </rPr>
          <t>ADMIN:</t>
        </r>
        <r>
          <rPr>
            <sz val="9"/>
            <color indexed="81"/>
            <rFont val="Tahoma"/>
            <family val="2"/>
          </rPr>
          <t xml:space="preserve">
Final composite ranking: #1 = best combination of value, low risk, and momentum</t>
        </r>
      </text>
    </comment>
    <comment ref="K72" authorId="0" shapeId="0" xr:uid="{9DCE5F8E-5C19-4F3E-AA28-D3174FB4BD52}">
      <text>
        <r>
          <rPr>
            <b/>
            <sz val="9"/>
            <color indexed="81"/>
            <rFont val="Tahoma"/>
            <family val="2"/>
          </rPr>
          <t>ADMIN:</t>
        </r>
        <r>
          <rPr>
            <sz val="9"/>
            <color indexed="81"/>
            <rFont val="Tahoma"/>
            <family val="2"/>
          </rPr>
          <t xml:space="preserve">
Top 3 = Buy signal, 4-7 = Watch, 8-10 = Avoid based on multi-factor model</t>
        </r>
      </text>
    </comment>
    <comment ref="D73" authorId="0" shapeId="0" xr:uid="{EE5FDBA5-9746-45BD-BA5F-0DE6345048BA}">
      <text>
        <r>
          <rPr>
            <b/>
            <sz val="9"/>
            <color indexed="81"/>
            <rFont val="Tahoma"/>
            <family val="2"/>
          </rPr>
          <t>ADMIN:</t>
        </r>
        <r>
          <rPr>
            <sz val="9"/>
            <color indexed="81"/>
            <rFont val="Tahoma"/>
            <family val="2"/>
          </rPr>
          <t xml:space="preserve">
Lower P/E = better value = higher rank (ascending)</t>
        </r>
      </text>
    </comment>
    <comment ref="F73" authorId="0" shapeId="0" xr:uid="{93FA79E6-38C6-499F-8D52-C118D8F45CF2}">
      <text>
        <r>
          <rPr>
            <b/>
            <sz val="9"/>
            <color indexed="81"/>
            <rFont val="Tahoma"/>
            <family val="2"/>
          </rPr>
          <t>ADMIN:</t>
        </r>
        <r>
          <rPr>
            <sz val="9"/>
            <color indexed="81"/>
            <rFont val="Tahoma"/>
            <family val="2"/>
          </rPr>
          <t xml:space="preserve">
Lower Beta = lower risk = higher rank (ascending)</t>
        </r>
      </text>
    </comment>
    <comment ref="H73" authorId="0" shapeId="0" xr:uid="{C0A2EB6A-2D0C-4EDD-A793-7837334367D3}">
      <text>
        <r>
          <rPr>
            <b/>
            <sz val="9"/>
            <color indexed="81"/>
            <rFont val="Tahoma"/>
            <family val="2"/>
          </rPr>
          <t>ADMIN:</t>
        </r>
        <r>
          <rPr>
            <sz val="9"/>
            <color indexed="81"/>
            <rFont val="Tahoma"/>
            <family val="2"/>
          </rPr>
          <t xml:space="preserve">
Momentum based on 52W range position: &gt;70% = near highs, &lt;30% = near lows</t>
        </r>
      </text>
    </comment>
    <comment ref="I73" authorId="0" shapeId="0" xr:uid="{395FDE96-5B5A-4270-A722-312EEF5E33C0}">
      <text>
        <r>
          <rPr>
            <b/>
            <sz val="9"/>
            <color indexed="81"/>
            <rFont val="Tahoma"/>
            <family val="2"/>
          </rPr>
          <t>ADMIN:</t>
        </r>
        <r>
          <rPr>
            <sz val="9"/>
            <color indexed="81"/>
            <rFont val="Tahoma"/>
            <family val="2"/>
          </rPr>
          <t xml:space="preserve">
Composite Value Score: 40% P/E rank + 30% Beta rank + 30% Momentum rank. Lower = better overall value-risk-momentum profile.</t>
        </r>
      </text>
    </comment>
    <comment ref="J73" authorId="0" shapeId="0" xr:uid="{F97B7189-DF46-4FA5-A441-226D46A6CA08}">
      <text>
        <r>
          <rPr>
            <b/>
            <sz val="9"/>
            <color indexed="81"/>
            <rFont val="Tahoma"/>
            <family val="2"/>
          </rPr>
          <t>ADMIN:</t>
        </r>
        <r>
          <rPr>
            <sz val="9"/>
            <color indexed="81"/>
            <rFont val="Tahoma"/>
            <family val="2"/>
          </rPr>
          <t xml:space="preserve">
Final composite ranking: #1 = best combination of value, low risk, and momentum</t>
        </r>
      </text>
    </comment>
    <comment ref="K73" authorId="0" shapeId="0" xr:uid="{467C7171-4CDA-42B0-9D07-C96ACD258112}">
      <text>
        <r>
          <rPr>
            <b/>
            <sz val="9"/>
            <color indexed="81"/>
            <rFont val="Tahoma"/>
            <family val="2"/>
          </rPr>
          <t>ADMIN:</t>
        </r>
        <r>
          <rPr>
            <sz val="9"/>
            <color indexed="81"/>
            <rFont val="Tahoma"/>
            <family val="2"/>
          </rPr>
          <t xml:space="preserve">
Top 3 = Buy signal, 4-7 = Watch, 8-10 = Avoid based on multi-factor model</t>
        </r>
      </text>
    </comment>
    <comment ref="D74" authorId="0" shapeId="0" xr:uid="{E48104D6-B487-4FF1-AC08-1B439054D83D}">
      <text>
        <r>
          <rPr>
            <b/>
            <sz val="9"/>
            <color indexed="81"/>
            <rFont val="Tahoma"/>
            <family val="2"/>
          </rPr>
          <t>ADMIN:</t>
        </r>
        <r>
          <rPr>
            <sz val="9"/>
            <color indexed="81"/>
            <rFont val="Tahoma"/>
            <family val="2"/>
          </rPr>
          <t xml:space="preserve">
Lower P/E = better value = higher rank (ascending)</t>
        </r>
      </text>
    </comment>
    <comment ref="F74" authorId="0" shapeId="0" xr:uid="{0B8CFD06-5D91-4EB1-94A1-6491F4F3A5D6}">
      <text>
        <r>
          <rPr>
            <b/>
            <sz val="9"/>
            <color indexed="81"/>
            <rFont val="Tahoma"/>
            <family val="2"/>
          </rPr>
          <t>ADMIN:</t>
        </r>
        <r>
          <rPr>
            <sz val="9"/>
            <color indexed="81"/>
            <rFont val="Tahoma"/>
            <family val="2"/>
          </rPr>
          <t xml:space="preserve">
Lower Beta = lower risk = higher rank (ascending)</t>
        </r>
      </text>
    </comment>
    <comment ref="H74" authorId="0" shapeId="0" xr:uid="{94240B88-427B-4F84-8D26-43CE0D20F1C6}">
      <text>
        <r>
          <rPr>
            <b/>
            <sz val="9"/>
            <color indexed="81"/>
            <rFont val="Tahoma"/>
            <family val="2"/>
          </rPr>
          <t>ADMIN:</t>
        </r>
        <r>
          <rPr>
            <sz val="9"/>
            <color indexed="81"/>
            <rFont val="Tahoma"/>
            <family val="2"/>
          </rPr>
          <t xml:space="preserve">
Momentum based on 52W range position: &gt;70% = near highs, &lt;30% = near lows</t>
        </r>
      </text>
    </comment>
    <comment ref="I74" authorId="0" shapeId="0" xr:uid="{FAA50476-EDBC-4629-81F1-655E62EE48CF}">
      <text>
        <r>
          <rPr>
            <b/>
            <sz val="9"/>
            <color indexed="81"/>
            <rFont val="Tahoma"/>
            <family val="2"/>
          </rPr>
          <t>ADMIN:</t>
        </r>
        <r>
          <rPr>
            <sz val="9"/>
            <color indexed="81"/>
            <rFont val="Tahoma"/>
            <family val="2"/>
          </rPr>
          <t xml:space="preserve">
Composite Value Score: 40% P/E rank + 30% Beta rank + 30% Momentum rank. Lower = better overall value-risk-momentum profile.</t>
        </r>
      </text>
    </comment>
    <comment ref="J74" authorId="0" shapeId="0" xr:uid="{D362607C-F81C-4C55-BE44-DDC339A0F7F8}">
      <text>
        <r>
          <rPr>
            <b/>
            <sz val="9"/>
            <color indexed="81"/>
            <rFont val="Tahoma"/>
            <family val="2"/>
          </rPr>
          <t>ADMIN:</t>
        </r>
        <r>
          <rPr>
            <sz val="9"/>
            <color indexed="81"/>
            <rFont val="Tahoma"/>
            <family val="2"/>
          </rPr>
          <t xml:space="preserve">
Final composite ranking: #1 = best combination of value, low risk, and momentum</t>
        </r>
      </text>
    </comment>
    <comment ref="K74" authorId="0" shapeId="0" xr:uid="{3F58CB12-776E-4304-AF9E-886AAB84C5CD}">
      <text>
        <r>
          <rPr>
            <b/>
            <sz val="9"/>
            <color indexed="81"/>
            <rFont val="Tahoma"/>
            <family val="2"/>
          </rPr>
          <t>ADMIN:</t>
        </r>
        <r>
          <rPr>
            <sz val="9"/>
            <color indexed="81"/>
            <rFont val="Tahoma"/>
            <family val="2"/>
          </rPr>
          <t xml:space="preserve">
Top 3 = Buy signal, 4-7 = Watch, 8-10 = Avoid based on multi-factor model</t>
        </r>
      </text>
    </comment>
    <comment ref="D75" authorId="0" shapeId="0" xr:uid="{6BC95B32-2EA8-421E-8271-AEA0DAC46A21}">
      <text>
        <r>
          <rPr>
            <b/>
            <sz val="9"/>
            <color indexed="81"/>
            <rFont val="Tahoma"/>
            <family val="2"/>
          </rPr>
          <t>ADMIN:</t>
        </r>
        <r>
          <rPr>
            <sz val="9"/>
            <color indexed="81"/>
            <rFont val="Tahoma"/>
            <family val="2"/>
          </rPr>
          <t xml:space="preserve">
Lower P/E = better value = higher rank (ascending)</t>
        </r>
      </text>
    </comment>
    <comment ref="F75" authorId="0" shapeId="0" xr:uid="{A5F6A941-42F4-43EB-8C33-C134A8B78957}">
      <text>
        <r>
          <rPr>
            <b/>
            <sz val="9"/>
            <color indexed="81"/>
            <rFont val="Tahoma"/>
            <family val="2"/>
          </rPr>
          <t>ADMIN:</t>
        </r>
        <r>
          <rPr>
            <sz val="9"/>
            <color indexed="81"/>
            <rFont val="Tahoma"/>
            <family val="2"/>
          </rPr>
          <t xml:space="preserve">
Lower Beta = lower risk = higher rank (ascending)</t>
        </r>
      </text>
    </comment>
    <comment ref="H75" authorId="0" shapeId="0" xr:uid="{611F0E32-E9E1-4148-B8A6-CB28FFD64153}">
      <text>
        <r>
          <rPr>
            <b/>
            <sz val="9"/>
            <color indexed="81"/>
            <rFont val="Tahoma"/>
            <family val="2"/>
          </rPr>
          <t>ADMIN:</t>
        </r>
        <r>
          <rPr>
            <sz val="9"/>
            <color indexed="81"/>
            <rFont val="Tahoma"/>
            <family val="2"/>
          </rPr>
          <t xml:space="preserve">
Momentum based on 52W range position: &gt;70% = near highs, &lt;30% = near lows</t>
        </r>
      </text>
    </comment>
    <comment ref="I75" authorId="0" shapeId="0" xr:uid="{343CBDEC-9A05-46F5-9218-C6FE0A1109B4}">
      <text>
        <r>
          <rPr>
            <b/>
            <sz val="9"/>
            <color indexed="81"/>
            <rFont val="Tahoma"/>
            <family val="2"/>
          </rPr>
          <t>ADMIN:</t>
        </r>
        <r>
          <rPr>
            <sz val="9"/>
            <color indexed="81"/>
            <rFont val="Tahoma"/>
            <family val="2"/>
          </rPr>
          <t xml:space="preserve">
Composite Value Score: 40% P/E rank + 30% Beta rank + 30% Momentum rank. Lower = better overall value-risk-momentum profile.</t>
        </r>
      </text>
    </comment>
    <comment ref="J75" authorId="0" shapeId="0" xr:uid="{464682F3-D40C-4D0D-A5CA-2FB7A5154514}">
      <text>
        <r>
          <rPr>
            <b/>
            <sz val="9"/>
            <color indexed="81"/>
            <rFont val="Tahoma"/>
            <family val="2"/>
          </rPr>
          <t>ADMIN:</t>
        </r>
        <r>
          <rPr>
            <sz val="9"/>
            <color indexed="81"/>
            <rFont val="Tahoma"/>
            <family val="2"/>
          </rPr>
          <t xml:space="preserve">
Final composite ranking: #1 = best combination of value, low risk, and momentum</t>
        </r>
      </text>
    </comment>
    <comment ref="K75" authorId="0" shapeId="0" xr:uid="{520D4366-BE45-496A-BC7F-AD6AC78FB702}">
      <text>
        <r>
          <rPr>
            <b/>
            <sz val="9"/>
            <color indexed="81"/>
            <rFont val="Tahoma"/>
            <family val="2"/>
          </rPr>
          <t>ADMIN:</t>
        </r>
        <r>
          <rPr>
            <sz val="9"/>
            <color indexed="81"/>
            <rFont val="Tahoma"/>
            <family val="2"/>
          </rPr>
          <t xml:space="preserve">
Top 3 = Buy signal, 4-7 = Watch, 8-10 = Avoid based on multi-factor model</t>
        </r>
      </text>
    </comment>
    <comment ref="D76" authorId="0" shapeId="0" xr:uid="{46CF3CE6-1B01-4D42-919D-23D8DA3BDFED}">
      <text>
        <r>
          <rPr>
            <b/>
            <sz val="9"/>
            <color indexed="81"/>
            <rFont val="Tahoma"/>
            <family val="2"/>
          </rPr>
          <t>ADMIN:</t>
        </r>
        <r>
          <rPr>
            <sz val="9"/>
            <color indexed="81"/>
            <rFont val="Tahoma"/>
            <family val="2"/>
          </rPr>
          <t xml:space="preserve">
Lower P/E = better value = higher rank (ascending)</t>
        </r>
      </text>
    </comment>
    <comment ref="F76" authorId="0" shapeId="0" xr:uid="{9686FDC9-203D-4881-BD0A-2767F351E6E1}">
      <text>
        <r>
          <rPr>
            <b/>
            <sz val="9"/>
            <color indexed="81"/>
            <rFont val="Tahoma"/>
            <family val="2"/>
          </rPr>
          <t>ADMIN:</t>
        </r>
        <r>
          <rPr>
            <sz val="9"/>
            <color indexed="81"/>
            <rFont val="Tahoma"/>
            <family val="2"/>
          </rPr>
          <t xml:space="preserve">
Lower Beta = lower risk = higher rank (ascending)</t>
        </r>
      </text>
    </comment>
    <comment ref="H76" authorId="0" shapeId="0" xr:uid="{B4B797F0-D5F3-4D35-B1FA-67FCEB8CC730}">
      <text>
        <r>
          <rPr>
            <b/>
            <sz val="9"/>
            <color indexed="81"/>
            <rFont val="Tahoma"/>
            <family val="2"/>
          </rPr>
          <t>ADMIN:</t>
        </r>
        <r>
          <rPr>
            <sz val="9"/>
            <color indexed="81"/>
            <rFont val="Tahoma"/>
            <family val="2"/>
          </rPr>
          <t xml:space="preserve">
Momentum based on 52W range position: &gt;70% = near highs, &lt;30% = near lows</t>
        </r>
      </text>
    </comment>
    <comment ref="I76" authorId="0" shapeId="0" xr:uid="{11BEA430-0CA1-401C-BFD5-651D504C9EDC}">
      <text>
        <r>
          <rPr>
            <b/>
            <sz val="9"/>
            <color indexed="81"/>
            <rFont val="Tahoma"/>
            <family val="2"/>
          </rPr>
          <t>ADMIN:</t>
        </r>
        <r>
          <rPr>
            <sz val="9"/>
            <color indexed="81"/>
            <rFont val="Tahoma"/>
            <family val="2"/>
          </rPr>
          <t xml:space="preserve">
Composite Value Score: 40% P/E rank + 30% Beta rank + 30% Momentum rank. Lower = better overall value-risk-momentum profile.</t>
        </r>
      </text>
    </comment>
    <comment ref="J76" authorId="0" shapeId="0" xr:uid="{01A29CED-C17C-4DE4-A4BE-B117F6F39E72}">
      <text>
        <r>
          <rPr>
            <b/>
            <sz val="9"/>
            <color indexed="81"/>
            <rFont val="Tahoma"/>
            <family val="2"/>
          </rPr>
          <t>ADMIN:</t>
        </r>
        <r>
          <rPr>
            <sz val="9"/>
            <color indexed="81"/>
            <rFont val="Tahoma"/>
            <family val="2"/>
          </rPr>
          <t xml:space="preserve">
Final composite ranking: #1 = best combination of value, low risk, and momentum</t>
        </r>
      </text>
    </comment>
    <comment ref="K76" authorId="0" shapeId="0" xr:uid="{591087DC-4406-4EE3-9672-01118464BE39}">
      <text>
        <r>
          <rPr>
            <b/>
            <sz val="9"/>
            <color indexed="81"/>
            <rFont val="Tahoma"/>
            <family val="2"/>
          </rPr>
          <t>ADMIN:</t>
        </r>
        <r>
          <rPr>
            <sz val="9"/>
            <color indexed="81"/>
            <rFont val="Tahoma"/>
            <family val="2"/>
          </rPr>
          <t xml:space="preserve">
Top 3 = Buy signal, 4-7 = Watch, 8-10 = Avoid based on multi-factor model</t>
        </r>
      </text>
    </comment>
    <comment ref="E79" authorId="0" shapeId="0" xr:uid="{1BD9ED5A-E1B5-41AA-AEA6-784AE6B62924}">
      <text>
        <r>
          <rPr>
            <b/>
            <sz val="9"/>
            <color indexed="81"/>
            <rFont val="Tahoma"/>
            <charset val="1"/>
          </rPr>
          <t>ADMIN:</t>
        </r>
        <r>
          <rPr>
            <sz val="9"/>
            <color indexed="81"/>
            <rFont val="Tahoma"/>
            <charset val="1"/>
          </rPr>
          <t xml:space="preserve">
Average P/E of stocks with BUY signal</t>
        </r>
      </text>
    </comment>
    <comment ref="F79" authorId="0" shapeId="0" xr:uid="{354F9C62-517D-4F19-921B-04B257E64C02}">
      <text>
        <r>
          <rPr>
            <b/>
            <sz val="9"/>
            <color indexed="81"/>
            <rFont val="Tahoma"/>
            <charset val="1"/>
          </rPr>
          <t>ADMIN:</t>
        </r>
        <r>
          <rPr>
            <sz val="9"/>
            <color indexed="81"/>
            <rFont val="Tahoma"/>
            <charset val="1"/>
          </rPr>
          <t xml:space="preserve">
Average Beta of stocks with BUY signal</t>
        </r>
      </text>
    </comment>
    <comment ref="G79" authorId="0" shapeId="0" xr:uid="{67996C81-62DC-45B2-BC9C-A3133C28C657}">
      <text>
        <r>
          <rPr>
            <b/>
            <sz val="9"/>
            <color indexed="81"/>
            <rFont val="Tahoma"/>
            <charset val="1"/>
          </rPr>
          <t>ADMIN:</t>
        </r>
        <r>
          <rPr>
            <sz val="9"/>
            <color indexed="81"/>
            <rFont val="Tahoma"/>
            <charset val="1"/>
          </rPr>
          <t xml:space="preserve">
Lowest P/E = cheapest valuation</t>
        </r>
      </text>
    </comment>
    <comment ref="H79" authorId="0" shapeId="0" xr:uid="{2D1DE8BC-FC63-4E23-B793-F85917D42080}">
      <text>
        <r>
          <rPr>
            <b/>
            <sz val="9"/>
            <color indexed="81"/>
            <rFont val="Tahoma"/>
            <charset val="1"/>
          </rPr>
          <t>ADMIN:</t>
        </r>
        <r>
          <rPr>
            <sz val="9"/>
            <color indexed="81"/>
            <rFont val="Tahoma"/>
            <charset val="1"/>
          </rPr>
          <t xml:space="preserve">
Highest Beta = most volatile/risky</t>
        </r>
      </text>
    </comment>
    <comment ref="I79" authorId="0" shapeId="0" xr:uid="{A7403E6F-AA66-467C-BE36-7DA2AACF1682}">
      <text>
        <r>
          <rPr>
            <b/>
            <sz val="9"/>
            <color indexed="81"/>
            <rFont val="Tahoma"/>
            <charset val="1"/>
          </rPr>
          <t>ADMIN:</t>
        </r>
        <r>
          <rPr>
            <sz val="9"/>
            <color indexed="81"/>
            <rFont val="Tahoma"/>
            <charset val="1"/>
          </rPr>
          <t xml:space="preserve">
Rank #1 composite = best combined value, risk, and momentum profile</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ADMIN</author>
  </authors>
  <commentList>
    <comment ref="G39" authorId="0" shapeId="0" xr:uid="{96E20A98-EC9A-4D66-AC4C-93BCEA050099}">
      <text>
        <r>
          <rPr>
            <b/>
            <sz val="9"/>
            <color indexed="81"/>
            <rFont val="Tahoma"/>
            <charset val="1"/>
          </rPr>
          <t>ADMIN:</t>
        </r>
        <r>
          <rPr>
            <sz val="9"/>
            <color indexed="81"/>
            <rFont val="Tahoma"/>
            <charset val="1"/>
          </rPr>
          <t xml:space="preserve">
CAGR scoring: &gt;15%=10, &gt;10%=8, &gt;5%=6, &gt;0%=4, else=2</t>
        </r>
      </text>
    </comment>
    <comment ref="G40" authorId="0" shapeId="0" xr:uid="{2AC3108F-D102-494A-92A1-AE9D8F4F4C9E}">
      <text>
        <r>
          <rPr>
            <b/>
            <sz val="9"/>
            <color indexed="81"/>
            <rFont val="Tahoma"/>
            <charset val="1"/>
          </rPr>
          <t>ADMIN:</t>
        </r>
        <r>
          <rPr>
            <sz val="9"/>
            <color indexed="81"/>
            <rFont val="Tahoma"/>
            <charset val="1"/>
          </rPr>
          <t xml:space="preserve">
Max loss scoring: &gt;-5%=10, &gt;-10%=8, &gt;-20%=6, &gt;-50%=4, else=2</t>
        </r>
      </text>
    </comment>
    <comment ref="C47" authorId="0" shapeId="0" xr:uid="{1E6A89D5-1453-4915-9E3C-E628EE85FA4D}">
      <text>
        <r>
          <rPr>
            <b/>
            <sz val="9"/>
            <color indexed="81"/>
            <rFont val="Tahoma"/>
            <charset val="1"/>
          </rPr>
          <t>ADMIN:</t>
        </r>
        <r>
          <rPr>
            <sz val="9"/>
            <color indexed="81"/>
            <rFont val="Tahoma"/>
            <charset val="1"/>
          </rPr>
          <t xml:space="preserve">
S&amp;P 500 long-term avg CAGR ~10%</t>
        </r>
      </text>
    </comment>
    <comment ref="A49" authorId="0" shapeId="0" xr:uid="{1B5603C4-798A-4330-9103-3C63BE5AF245}">
      <text>
        <r>
          <rPr>
            <b/>
            <sz val="9"/>
            <color indexed="81"/>
            <rFont val="Tahoma"/>
            <charset val="1"/>
          </rPr>
          <t>ADMIN:</t>
        </r>
        <r>
          <rPr>
            <sz val="9"/>
            <color indexed="81"/>
            <rFont val="Tahoma"/>
            <charset val="1"/>
          </rPr>
          <t xml:space="preserve">
CFA Level II: αp = Rp − [Rf + βp(Rm − Rf)]. Measures risk-adjusted excess return above CAPM prediction.</t>
        </r>
      </text>
    </comment>
    <comment ref="B49" authorId="0" shapeId="0" xr:uid="{02EE274A-0A60-4E5C-BD53-7ED6E1B82643}">
      <text>
        <r>
          <rPr>
            <b/>
            <sz val="9"/>
            <color indexed="81"/>
            <rFont val="Tahoma"/>
            <charset val="1"/>
          </rPr>
          <t>ADMIN:</t>
        </r>
        <r>
          <rPr>
            <sz val="9"/>
            <color indexed="81"/>
            <rFont val="Tahoma"/>
            <charset val="1"/>
          </rPr>
          <t xml:space="preserve">
Sharpe = (Rp - Rf) / StdDev. Rf=5% (US 10Y Treasury). Measures excess return per unit of total risk.</t>
        </r>
      </text>
    </comment>
    <comment ref="A50" authorId="0" shapeId="0" xr:uid="{3C3FC46F-C71B-4198-8BB9-43E4B810026D}">
      <text>
        <r>
          <rPr>
            <b/>
            <sz val="9"/>
            <color indexed="81"/>
            <rFont val="Tahoma"/>
            <charset val="1"/>
          </rPr>
          <t>ADMIN:</t>
        </r>
        <r>
          <rPr>
            <sz val="9"/>
            <color indexed="81"/>
            <rFont val="Tahoma"/>
            <charset val="1"/>
          </rPr>
          <t xml:space="preserve">
CFA Level I: Upgraded to use estimated portfolio volatility (βp × σm) rather than cross-sectional stock dispersion.</t>
        </r>
      </text>
    </comment>
    <comment ref="B50" authorId="0" shapeId="0" xr:uid="{65E29266-B911-4AFF-8503-C0E83FA7928E}">
      <text>
        <r>
          <rPr>
            <b/>
            <sz val="9"/>
            <color indexed="81"/>
            <rFont val="Tahoma"/>
            <charset val="1"/>
          </rPr>
          <t>ADMIN:</t>
        </r>
        <r>
          <rPr>
            <sz val="9"/>
            <color indexed="81"/>
            <rFont val="Tahoma"/>
            <charset val="1"/>
          </rPr>
          <t xml:space="preserve">
Sortino = (Rp - Rf) / Downside Deviation. Only penalises negative returns. Very high because only 2/16 positions negative.</t>
        </r>
      </text>
    </comment>
    <comment ref="A51" authorId="0" shapeId="0" xr:uid="{E630DD5D-7553-4B81-AEB8-24B112E9BBCF}">
      <text>
        <r>
          <rPr>
            <b/>
            <sz val="9"/>
            <color indexed="81"/>
            <rFont val="Tahoma"/>
            <charset val="1"/>
          </rPr>
          <t>ADMIN:</t>
        </r>
        <r>
          <rPr>
            <sz val="9"/>
            <color indexed="81"/>
            <rFont val="Tahoma"/>
            <charset val="1"/>
          </rPr>
          <t xml:space="preserve">
CFA Level II: Excess return per unit of systematic (beta) risk. Unlike Sharpe, only penalises non-diversifiable risk.</t>
        </r>
      </text>
    </comment>
    <comment ref="B51" authorId="0" shapeId="0" xr:uid="{F3028A7C-A560-4943-8177-44C35A08D5DD}">
      <text>
        <r>
          <rPr>
            <b/>
            <sz val="9"/>
            <color indexed="81"/>
            <rFont val="Tahoma"/>
            <charset val="1"/>
          </rPr>
          <t>ADMIN:</t>
        </r>
        <r>
          <rPr>
            <sz val="9"/>
            <color indexed="81"/>
            <rFont val="Tahoma"/>
            <charset val="1"/>
          </rPr>
          <t xml:space="preserve">
CAGR / Max Loss. Measures return per unit of worst-case pain.</t>
        </r>
      </text>
    </comment>
    <comment ref="B52" authorId="0" shapeId="0" xr:uid="{4F6A3977-FB88-4F05-8ED7-F44B97D0C04E}">
      <text>
        <r>
          <rPr>
            <b/>
            <sz val="9"/>
            <color indexed="81"/>
            <rFont val="Tahoma"/>
            <charset val="1"/>
          </rPr>
          <t>ADMIN:</t>
        </r>
        <r>
          <rPr>
            <sz val="9"/>
            <color indexed="81"/>
            <rFont val="Tahoma"/>
            <charset val="1"/>
          </rPr>
          <t xml:space="preserve">
Avg winning return / Avg losing return. Higher = better payoff asymmetry.</t>
        </r>
      </text>
    </comment>
    <comment ref="A53" authorId="0" shapeId="0" xr:uid="{F969BA0A-FE1F-402A-B080-759298620660}">
      <text>
        <r>
          <rPr>
            <b/>
            <sz val="9"/>
            <color indexed="81"/>
            <rFont val="Tahoma"/>
            <charset val="1"/>
          </rPr>
          <t>ADMIN:</t>
        </r>
        <r>
          <rPr>
            <sz val="9"/>
            <color indexed="81"/>
            <rFont val="Tahoma"/>
            <charset val="1"/>
          </rPr>
          <t xml:space="preserve">
CFA Level II: Risk-adjusted return measure. Converts Sharpe into percentage return at market-level risk. M² &gt; 0 = risk-adjusted outperformance vs market.</t>
        </r>
      </text>
    </comment>
    <comment ref="B53" authorId="0" shapeId="0" xr:uid="{A1725B26-28CE-4277-8F8D-EB86F58AD808}">
      <text>
        <r>
          <rPr>
            <b/>
            <sz val="9"/>
            <color indexed="81"/>
            <rFont val="Tahoma"/>
            <charset val="1"/>
          </rPr>
          <t>ADMIN:</t>
        </r>
        <r>
          <rPr>
            <sz val="9"/>
            <color indexed="81"/>
            <rFont val="Tahoma"/>
            <charset val="1"/>
          </rPr>
          <t xml:space="preserve">
Total $ gains / Total $ losses. Measures overall profitability efficiency.</t>
        </r>
      </text>
    </comment>
    <comment ref="B56" authorId="0" shapeId="0" xr:uid="{DFB7E045-1101-4EDB-8143-FDD078CF0203}">
      <text>
        <r>
          <rPr>
            <b/>
            <sz val="9"/>
            <color indexed="81"/>
            <rFont val="Tahoma"/>
            <charset val="1"/>
          </rPr>
          <t>ADMIN:</t>
        </r>
        <r>
          <rPr>
            <sz val="9"/>
            <color indexed="81"/>
            <rFont val="Tahoma"/>
            <charset val="1"/>
          </rPr>
          <t xml:space="preserve">
Total $ gains / Total $ losses. Measures overall profitability efficiency.</t>
        </r>
      </text>
    </comment>
    <comment ref="B57" authorId="0" shapeId="0" xr:uid="{9172BB45-2A25-4E94-8F66-387B2737B508}">
      <text>
        <r>
          <rPr>
            <b/>
            <sz val="9"/>
            <color indexed="81"/>
            <rFont val="Tahoma"/>
            <charset val="1"/>
          </rPr>
          <t>ADMIN:</t>
        </r>
        <r>
          <rPr>
            <sz val="9"/>
            <color indexed="81"/>
            <rFont val="Tahoma"/>
            <charset val="1"/>
          </rPr>
          <t xml:space="preserve">
Inverse HHI = equivalent number of equally-weighted positions</t>
        </r>
      </text>
    </comment>
    <comment ref="B58" authorId="0" shapeId="0" xr:uid="{DA590322-B4A2-431B-AD6F-DAFE042AA879}">
      <text>
        <r>
          <rPr>
            <b/>
            <sz val="9"/>
            <color indexed="81"/>
            <rFont val="Tahoma"/>
            <charset val="1"/>
          </rPr>
          <t>ADMIN:</t>
        </r>
        <r>
          <rPr>
            <sz val="9"/>
            <color indexed="81"/>
            <rFont val="Tahoma"/>
            <charset val="1"/>
          </rPr>
          <t xml:space="preserve">
Ratio of largest to smallest position weight</t>
        </r>
      </text>
    </comment>
    <comment ref="B60" authorId="0" shapeId="0" xr:uid="{16670ECA-32C6-436B-9C33-2442B69312B2}">
      <text>
        <r>
          <rPr>
            <b/>
            <sz val="9"/>
            <color indexed="81"/>
            <rFont val="Tahoma"/>
            <charset val="1"/>
          </rPr>
          <t>Inverse HHI = equivalent number of equally-weighted positions</t>
        </r>
      </text>
    </comment>
    <comment ref="B61" authorId="0" shapeId="0" xr:uid="{FB39822D-56E7-4A2D-AA0E-527826EAF155}">
      <text>
        <r>
          <rPr>
            <b/>
            <sz val="9"/>
            <color indexed="81"/>
            <rFont val="Tahoma"/>
            <charset val="1"/>
          </rPr>
          <t>ADMIN:</t>
        </r>
        <r>
          <rPr>
            <sz val="9"/>
            <color indexed="81"/>
            <rFont val="Tahoma"/>
            <charset val="1"/>
          </rPr>
          <t xml:space="preserve">
Ratio of largest to smallest position weight</t>
        </r>
      </text>
    </comment>
    <comment ref="A63" authorId="0" shapeId="0" xr:uid="{F8E8F66F-B1EE-44E7-808A-6EEF01804EAF}">
      <text>
        <r>
          <rPr>
            <b/>
            <sz val="9"/>
            <color indexed="81"/>
            <rFont val="Tahoma"/>
            <charset val="1"/>
          </rPr>
          <t>ADMIN:</t>
        </r>
        <r>
          <rPr>
            <sz val="9"/>
            <color indexed="81"/>
            <rFont val="Tahoma"/>
            <charset val="1"/>
          </rPr>
          <t xml:space="preserve">
CFA Level III: Measures how different the portfolio is from equal-weight. Higher = more active conviction bets.</t>
        </r>
      </text>
    </comment>
    <comment ref="B64" authorId="0" shapeId="0" xr:uid="{CF188DCD-BABA-468E-A8FB-F262CA67F9AF}">
      <text>
        <r>
          <rPr>
            <b/>
            <sz val="9"/>
            <color indexed="81"/>
            <rFont val="Tahoma"/>
            <charset val="1"/>
          </rPr>
          <t>ADMIN:</t>
        </r>
        <r>
          <rPr>
            <sz val="9"/>
            <color indexed="81"/>
            <rFont val="Tahoma"/>
            <charset val="1"/>
          </rPr>
          <t xml:space="preserve">
Weight × Return for each stock, summed. Represents portfolio-weighted total return contribution.</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ADMIN</author>
  </authors>
  <commentList>
    <comment ref="C6" authorId="0" shapeId="0" xr:uid="{0BA038C5-01A7-45B8-AB32-728A759767C1}">
      <text>
        <r>
          <rPr>
            <b/>
            <sz val="9"/>
            <color indexed="81"/>
            <rFont val="Tahoma"/>
            <charset val="1"/>
          </rPr>
          <t>ADMIN:</t>
        </r>
        <r>
          <rPr>
            <sz val="9"/>
            <color indexed="81"/>
            <rFont val="Tahoma"/>
            <charset val="1"/>
          </rPr>
          <t xml:space="preserve">
US 10-Year Treasury Yield (approximate). CFA Level I: Risk-free rate is the theoretical return of a zero-risk investment, typically proxied by government bond yields.</t>
        </r>
      </text>
    </comment>
    <comment ref="C7" authorId="0" shapeId="0" xr:uid="{ECD39E26-0A4A-4682-A2B5-F315BDD7D660}">
      <text>
        <r>
          <rPr>
            <b/>
            <sz val="9"/>
            <color indexed="81"/>
            <rFont val="Tahoma"/>
            <charset val="1"/>
          </rPr>
          <t>ADMIN:</t>
        </r>
        <r>
          <rPr>
            <sz val="9"/>
            <color indexed="81"/>
            <rFont val="Tahoma"/>
            <charset val="1"/>
          </rPr>
          <t xml:space="preserve">
S&amp;P 500 long-term average annual return (~10%). CFA Level I: Expected market return is the expected return of the broad market portfolio.</t>
        </r>
      </text>
    </comment>
    <comment ref="C8" authorId="0" shapeId="0" xr:uid="{063953C1-ED39-482A-8A47-3A3EB0AFDD37}">
      <text>
        <r>
          <rPr>
            <b/>
            <sz val="9"/>
            <color indexed="81"/>
            <rFont val="Tahoma"/>
            <charset val="1"/>
          </rPr>
          <t>ADMIN:</t>
        </r>
        <r>
          <rPr>
            <sz val="9"/>
            <color indexed="81"/>
            <rFont val="Tahoma"/>
            <charset val="1"/>
          </rPr>
          <t xml:space="preserve">
CFA Level I: Equity Risk Premium = Expected Market Return minus Risk-Free Rate. Compensation for bearing systematic (market) risk.</t>
        </r>
      </text>
    </comment>
    <comment ref="B9" authorId="0" shapeId="0" xr:uid="{EA3ACBEB-0344-4CE7-BB94-D4CFC215707F}">
      <text>
        <r>
          <rPr>
            <b/>
            <sz val="9"/>
            <color indexed="81"/>
            <rFont val="Tahoma"/>
            <charset val="1"/>
          </rPr>
          <t>ADMIN:</t>
        </r>
        <r>
          <rPr>
            <sz val="9"/>
            <color indexed="81"/>
            <rFont val="Tahoma"/>
            <charset val="1"/>
          </rPr>
          <t xml:space="preserve">
CFA Level I: Portfolio Beta = Σ(wi × βi). Measures systematic risk relative to the market. β=1 means market-like risk, β&gt;1 = more volatile, β&lt;1 = less volatile.</t>
        </r>
      </text>
    </comment>
    <comment ref="B10" authorId="0" shapeId="0" xr:uid="{EB8FF9F8-079F-44BE-A4C6-04266F02F3F3}">
      <text>
        <r>
          <rPr>
            <b/>
            <sz val="9"/>
            <color indexed="81"/>
            <rFont val="Tahoma"/>
            <charset val="1"/>
          </rPr>
          <t>ADMIN:</t>
        </r>
        <r>
          <rPr>
            <sz val="9"/>
            <color indexed="81"/>
            <rFont val="Tahoma"/>
            <charset val="1"/>
          </rPr>
          <t xml:space="preserve">
CFA Level I: Capital Asset Pricing Model. Expected return equals risk-free rate plus beta times the equity risk premium. Assumes only systematic risk is priced.</t>
        </r>
      </text>
    </comment>
    <comment ref="B11" authorId="0" shapeId="0" xr:uid="{9040B6F2-12E0-4059-8BE3-A734734E9A86}">
      <text>
        <r>
          <rPr>
            <b/>
            <sz val="9"/>
            <color indexed="81"/>
            <rFont val="Tahoma"/>
            <charset val="1"/>
          </rPr>
          <t>ADMIN:</t>
        </r>
        <r>
          <rPr>
            <sz val="9"/>
            <color indexed="81"/>
            <rFont val="Tahoma"/>
            <charset val="1"/>
          </rPr>
          <t xml:space="preserve">
CFA Level II: Jensen's Alpha measures risk-adjusted excess return. Positive alpha = outperformance vs CAPM prediction. It isolates manager skill from market exposure.</t>
        </r>
      </text>
    </comment>
    <comment ref="B15" authorId="0" shapeId="0" xr:uid="{F50FD265-FF7B-4306-B2B5-26A5B2D8B2A4}">
      <text>
        <r>
          <rPr>
            <b/>
            <sz val="9"/>
            <color indexed="81"/>
            <rFont val="Tahoma"/>
            <charset val="1"/>
          </rPr>
          <t>ADMIN:</t>
        </r>
        <r>
          <rPr>
            <sz val="9"/>
            <color indexed="81"/>
            <rFont val="Tahoma"/>
            <charset val="1"/>
          </rPr>
          <t xml:space="preserve">
CFA Level II: Treynor Ratio measures excess return per unit of SYSTEMATIC risk (beta). Unlike Sharpe which uses total risk (std dev), Treynor only considers non-diversifiable risk. Higher = better risk-adjusted performance.</t>
        </r>
      </text>
    </comment>
    <comment ref="B16" authorId="0" shapeId="0" xr:uid="{5169E216-53BD-4A78-B162-7255EAA7D0B3}">
      <text>
        <r>
          <rPr>
            <b/>
            <sz val="9"/>
            <color indexed="81"/>
            <rFont val="Tahoma"/>
            <charset val="1"/>
          </rPr>
          <t>ADMIN:</t>
        </r>
        <r>
          <rPr>
            <sz val="9"/>
            <color indexed="81"/>
            <rFont val="Tahoma"/>
            <charset val="1"/>
          </rPr>
          <t xml:space="preserve">
CFA Level III: Information Ratio measures alpha per unit of active risk. IR &gt; 0.5 is good, &gt; 1.0 is exceptional. Used to evaluate active management skill relative to benchmark tracking error.</t>
        </r>
      </text>
    </comment>
    <comment ref="B17" authorId="0" shapeId="0" xr:uid="{EF00CB90-C362-4339-9FAF-33EEFEFB9D03}">
      <text>
        <r>
          <rPr>
            <b/>
            <sz val="9"/>
            <color indexed="81"/>
            <rFont val="Tahoma"/>
            <charset val="1"/>
          </rPr>
          <t>ADMIN:</t>
        </r>
        <r>
          <rPr>
            <sz val="9"/>
            <color indexed="81"/>
            <rFont val="Tahoma"/>
            <charset val="1"/>
          </rPr>
          <t xml:space="preserve">
CFA Level III: Tracking Error = Standard Deviation of (Portfolio Returns − Benchmark Returns). Measures the consistency of active returns. Low TE = index-like, High TE = concentrated active bets.</t>
        </r>
      </text>
    </comment>
    <comment ref="B18" authorId="0" shapeId="0" xr:uid="{B6729B8F-3B2C-4E65-8B5D-87E97ED7A243}">
      <text>
        <r>
          <rPr>
            <b/>
            <sz val="9"/>
            <color indexed="81"/>
            <rFont val="Tahoma"/>
            <charset val="1"/>
          </rPr>
          <t>ADMIN:</t>
        </r>
        <r>
          <rPr>
            <sz val="9"/>
            <color indexed="81"/>
            <rFont val="Tahoma"/>
            <charset val="1"/>
          </rPr>
          <t xml:space="preserve">
CFA Level I: Sharpe Ratio measures excess return per unit of TOTAL risk (standard deviation). The most widely used risk-adjusted performance measure. Higher = better compensation for risk taken.</t>
        </r>
      </text>
    </comment>
    <comment ref="B19" authorId="0" shapeId="0" xr:uid="{0D2C0C69-204C-44CD-BB23-E090BCAB46C3}">
      <text>
        <r>
          <rPr>
            <b/>
            <sz val="9"/>
            <color indexed="81"/>
            <rFont val="Tahoma"/>
            <charset val="1"/>
          </rPr>
          <t>ADMIN:</t>
        </r>
        <r>
          <rPr>
            <sz val="9"/>
            <color indexed="81"/>
            <rFont val="Tahoma"/>
            <charset val="1"/>
          </rPr>
          <t xml:space="preserve">
CFA Level II: Sortino Ratio modifies Sharpe by using only DOWNSIDE deviation (negative returns). Penalises harmful volatility only. Better for asymmetric return distributions.</t>
        </r>
      </text>
    </comment>
    <comment ref="B20" authorId="0" shapeId="0" xr:uid="{7FD5C6DD-B9D8-4FA7-A9C9-E770A6AFC82D}">
      <text>
        <r>
          <rPr>
            <b/>
            <sz val="9"/>
            <color indexed="81"/>
            <rFont val="Tahoma"/>
            <charset val="1"/>
          </rPr>
          <t>ADMIN:</t>
        </r>
        <r>
          <rPr>
            <sz val="9"/>
            <color indexed="81"/>
            <rFont val="Tahoma"/>
            <charset val="1"/>
          </rPr>
          <t xml:space="preserve">
CFA Level III / Hedge Fund: Calmar Ratio measures return per unit of maximum drawdown. Used by hedge funds and CTAs. Ratio &gt; 1 indicates return exceeds worst-case loss.</t>
        </r>
      </text>
    </comment>
    <comment ref="C25" authorId="0" shapeId="0" xr:uid="{2BBE40A6-B8C9-42F4-94C8-FB9D7AA55ABE}">
      <text>
        <r>
          <rPr>
            <b/>
            <sz val="9"/>
            <color indexed="81"/>
            <rFont val="Tahoma"/>
            <charset val="1"/>
          </rPr>
          <t>ADMIN:</t>
        </r>
        <r>
          <rPr>
            <sz val="9"/>
            <color indexed="81"/>
            <rFont val="Tahoma"/>
            <charset val="1"/>
          </rPr>
          <t xml:space="preserve">
Estimated Portfolio Volatility using βp × σm (market vol ≈ 15.5%). This estimates systematic risk contribution. CFA Level I: σp ≈ βp × σm for well-diversified portfolios.</t>
        </r>
      </text>
    </comment>
    <comment ref="B26" authorId="0" shapeId="0" xr:uid="{56B74419-6A29-4C4B-9D32-C33812EEEEF3}">
      <text>
        <r>
          <rPr>
            <b/>
            <sz val="9"/>
            <color indexed="81"/>
            <rFont val="Tahoma"/>
            <charset val="1"/>
          </rPr>
          <t>ADMIN:</t>
        </r>
        <r>
          <rPr>
            <sz val="9"/>
            <color indexed="81"/>
            <rFont val="Tahoma"/>
            <charset val="1"/>
          </rPr>
          <t xml:space="preserve">
CFA Level II: Value at Risk = μ − zσ. The maximum expected loss at the 95% confidence level over 1 year, assuming normally distributed returns. VaR(95%) uses z=1.645.</t>
        </r>
      </text>
    </comment>
    <comment ref="B27" authorId="0" shapeId="0" xr:uid="{8AA1B720-67ED-436B-9486-DDD20A98A8EE}">
      <text>
        <r>
          <rPr>
            <b/>
            <sz val="9"/>
            <color indexed="81"/>
            <rFont val="Tahoma"/>
            <charset val="1"/>
          </rPr>
          <t>ADMIN:</t>
        </r>
        <r>
          <rPr>
            <sz val="9"/>
            <color indexed="81"/>
            <rFont val="Tahoma"/>
            <charset val="1"/>
          </rPr>
          <t xml:space="preserve">
CFA Level II: VaR at 99% confidence uses z=2.326. More conservative estimate — only 1% chance of loss exceeding this amount.</t>
        </r>
      </text>
    </comment>
    <comment ref="B28" authorId="0" shapeId="0" xr:uid="{4D01BEE0-EFB9-4E90-BC02-A0233C08719A}">
      <text>
        <r>
          <rPr>
            <b/>
            <sz val="9"/>
            <color indexed="81"/>
            <rFont val="Tahoma"/>
            <charset val="1"/>
          </rPr>
          <t>ADMIN:</t>
        </r>
        <r>
          <rPr>
            <sz val="9"/>
            <color indexed="81"/>
            <rFont val="Tahoma"/>
            <charset val="1"/>
          </rPr>
          <t xml:space="preserve">
CFA Level III: Conditional VaR (Expected Shortfall) = Expected loss GIVEN that the loss exceeds VaR. Captures tail risk better than VaR. CVaR(95%) ≈ μ − σ × φ(z)/α where φ(1.645)/0.05 ≈ 2.063.</t>
        </r>
      </text>
    </comment>
    <comment ref="B30" authorId="0" shapeId="0" xr:uid="{C8FA5B15-AC40-4931-902E-D0D24AAB3B7B}">
      <text>
        <r>
          <rPr>
            <b/>
            <sz val="9"/>
            <color indexed="81"/>
            <rFont val="Tahoma"/>
            <charset val="1"/>
          </rPr>
          <t>ADMIN:</t>
        </r>
        <r>
          <rPr>
            <sz val="9"/>
            <color indexed="81"/>
            <rFont val="Tahoma"/>
            <charset val="1"/>
          </rPr>
          <t xml:space="preserve">
CFA Level II: Downside deviation only considers returns below zero (or a target). Used in Sortino Ratio calculation. Captures 'bad' volatility that investors actually care about.</t>
        </r>
      </text>
    </comment>
    <comment ref="B34" authorId="0" shapeId="0" xr:uid="{E03C2C9F-9D95-4283-B534-0596AE5ABF22}">
      <text>
        <r>
          <rPr>
            <b/>
            <sz val="9"/>
            <color indexed="81"/>
            <rFont val="Tahoma"/>
            <charset val="1"/>
          </rPr>
          <t>ADMIN:</t>
        </r>
        <r>
          <rPr>
            <sz val="9"/>
            <color indexed="81"/>
            <rFont val="Tahoma"/>
            <charset val="1"/>
          </rPr>
          <t xml:space="preserve">
CFA Level III: Effective N = 1/HHI. An equally-weighted 16-stock portfolio would have Effective N = 16. Lower values indicate concentration in fewer names.</t>
        </r>
      </text>
    </comment>
    <comment ref="B35" authorId="0" shapeId="0" xr:uid="{AA32DB0A-D71B-462C-AF89-9B3680845A6F}">
      <text>
        <r>
          <rPr>
            <b/>
            <sz val="9"/>
            <color indexed="81"/>
            <rFont val="Tahoma"/>
            <charset val="1"/>
          </rPr>
          <t>ADMIN:</t>
        </r>
        <r>
          <rPr>
            <sz val="9"/>
            <color indexed="81"/>
            <rFont val="Tahoma"/>
            <charset val="1"/>
          </rPr>
          <t xml:space="preserve">
Measures position size dispersion. Ratios above 5x indicate extreme concentration risk in specific names. Institutional best practice: keep below 5x.</t>
        </r>
      </text>
    </comment>
    <comment ref="D39" authorId="0" shapeId="0" xr:uid="{E39D3F74-1D79-41ED-8FE4-A826565B9CF6}">
      <text>
        <r>
          <rPr>
            <b/>
            <sz val="9"/>
            <color indexed="81"/>
            <rFont val="Tahoma"/>
            <charset val="1"/>
          </rPr>
          <t>ADMIN:</t>
        </r>
        <r>
          <rPr>
            <sz val="9"/>
            <color indexed="81"/>
            <rFont val="Tahoma"/>
            <charset val="1"/>
          </rPr>
          <t xml:space="preserve">
Beta sourced from Excel Linked Data Type. If unavailable, defaults to 1.0 (market beta).</t>
        </r>
      </text>
    </comment>
    <comment ref="G39" authorId="0" shapeId="0" xr:uid="{B1BFEAD5-789B-404E-8332-0DC5FFC76438}">
      <text>
        <r>
          <rPr>
            <b/>
            <sz val="9"/>
            <color indexed="81"/>
            <rFont val="Tahoma"/>
            <charset val="1"/>
          </rPr>
          <t>ADMIN:</t>
        </r>
        <r>
          <rPr>
            <sz val="9"/>
            <color indexed="81"/>
            <rFont val="Tahoma"/>
            <charset val="1"/>
          </rPr>
          <t xml:space="preserve">
Risk Contribution = Weight × Beta. Shows each stock's contribution to overall portfolio systematic risk.</t>
        </r>
      </text>
    </comment>
    <comment ref="H39" authorId="0" shapeId="0" xr:uid="{9D527F05-30F6-41DC-92A3-66CB092AABFB}">
      <text>
        <r>
          <rPr>
            <b/>
            <sz val="9"/>
            <color indexed="81"/>
            <rFont val="Tahoma"/>
            <charset val="1"/>
          </rPr>
          <t>ADMIN:</t>
        </r>
        <r>
          <rPr>
            <sz val="9"/>
            <color indexed="81"/>
            <rFont val="Tahoma"/>
            <charset val="1"/>
          </rPr>
          <t xml:space="preserve">
CAPM Expected Return = Rf + βi(Rm - Rf). The return predicted by CAPM given this stock's beta.</t>
        </r>
      </text>
    </comment>
    <comment ref="I39" authorId="0" shapeId="0" xr:uid="{08841EDE-6C38-4D7C-B867-B8CAC60A5189}">
      <text>
        <r>
          <rPr>
            <b/>
            <sz val="9"/>
            <color indexed="81"/>
            <rFont val="Tahoma"/>
            <charset val="1"/>
          </rPr>
          <t>ADMIN:</t>
        </r>
        <r>
          <rPr>
            <sz val="9"/>
            <color indexed="81"/>
            <rFont val="Tahoma"/>
            <charset val="1"/>
          </rPr>
          <t xml:space="preserve">
Jensen's Alpha for individual stock. Positive = stock outperformed CAPM prediction.</t>
        </r>
      </text>
    </comment>
    <comment ref="D40" authorId="0" shapeId="0" xr:uid="{78D42927-F8FE-4D50-8C8F-F441ED4DE40F}">
      <text>
        <r>
          <rPr>
            <b/>
            <sz val="9"/>
            <color indexed="81"/>
            <rFont val="Tahoma"/>
            <charset val="1"/>
          </rPr>
          <t>ADMIN:</t>
        </r>
        <r>
          <rPr>
            <sz val="9"/>
            <color indexed="81"/>
            <rFont val="Tahoma"/>
            <charset val="1"/>
          </rPr>
          <t xml:space="preserve">
Beta sourced from Excel Linked Data Type. If unavailable, defaults to 1.0 (market beta).</t>
        </r>
      </text>
    </comment>
    <comment ref="G40" authorId="0" shapeId="0" xr:uid="{4CEAC812-194E-41DE-81E4-FA75FCDE6B52}">
      <text>
        <r>
          <rPr>
            <b/>
            <sz val="9"/>
            <color indexed="81"/>
            <rFont val="Tahoma"/>
            <charset val="1"/>
          </rPr>
          <t>ADMIN:</t>
        </r>
        <r>
          <rPr>
            <sz val="9"/>
            <color indexed="81"/>
            <rFont val="Tahoma"/>
            <charset val="1"/>
          </rPr>
          <t xml:space="preserve">
Risk Contribution = Weight × Beta. Shows each stock's contribution to overall portfolio systematic risk.</t>
        </r>
      </text>
    </comment>
    <comment ref="H40" authorId="0" shapeId="0" xr:uid="{4D98F101-7668-4B50-9D92-9E79137E7799}">
      <text>
        <r>
          <rPr>
            <b/>
            <sz val="9"/>
            <color indexed="81"/>
            <rFont val="Tahoma"/>
            <charset val="1"/>
          </rPr>
          <t>ADMIN:</t>
        </r>
        <r>
          <rPr>
            <sz val="9"/>
            <color indexed="81"/>
            <rFont val="Tahoma"/>
            <charset val="1"/>
          </rPr>
          <t xml:space="preserve">
CAPM Expected Return = Rf + βi(Rm - Rf). The return predicted by CAPM given this stock's beta.</t>
        </r>
      </text>
    </comment>
    <comment ref="I40" authorId="0" shapeId="0" xr:uid="{0C757AA5-0900-48A8-AC8E-6AFF9761FCC6}">
      <text>
        <r>
          <rPr>
            <b/>
            <sz val="9"/>
            <color indexed="81"/>
            <rFont val="Tahoma"/>
            <charset val="1"/>
          </rPr>
          <t>ADMIN:</t>
        </r>
        <r>
          <rPr>
            <sz val="9"/>
            <color indexed="81"/>
            <rFont val="Tahoma"/>
            <charset val="1"/>
          </rPr>
          <t xml:space="preserve">
Jensen's Alpha for individual stock. Positive = stock outperformed CAPM prediction.</t>
        </r>
      </text>
    </comment>
    <comment ref="D41" authorId="0" shapeId="0" xr:uid="{008C9268-B88E-4CB6-A024-10EFA83742E3}">
      <text>
        <r>
          <rPr>
            <b/>
            <sz val="9"/>
            <color indexed="81"/>
            <rFont val="Tahoma"/>
            <charset val="1"/>
          </rPr>
          <t>ADMIN:</t>
        </r>
        <r>
          <rPr>
            <sz val="9"/>
            <color indexed="81"/>
            <rFont val="Tahoma"/>
            <charset val="1"/>
          </rPr>
          <t xml:space="preserve">
Beta sourced from Excel Linked Data Type. If unavailable, defaults to 1.0 (market beta).</t>
        </r>
      </text>
    </comment>
    <comment ref="G41" authorId="0" shapeId="0" xr:uid="{68D5FF17-DDCF-4EF8-9B70-6ED22AA8A319}">
      <text>
        <r>
          <rPr>
            <b/>
            <sz val="9"/>
            <color indexed="81"/>
            <rFont val="Tahoma"/>
            <charset val="1"/>
          </rPr>
          <t>ADMIN:</t>
        </r>
        <r>
          <rPr>
            <sz val="9"/>
            <color indexed="81"/>
            <rFont val="Tahoma"/>
            <charset val="1"/>
          </rPr>
          <t xml:space="preserve">
Risk Contribution = Weight × Beta. Shows each stock's contribution to overall portfolio systematic risk.</t>
        </r>
      </text>
    </comment>
    <comment ref="H41" authorId="0" shapeId="0" xr:uid="{8576B420-1541-4129-845C-453D727AE8E5}">
      <text>
        <r>
          <rPr>
            <b/>
            <sz val="9"/>
            <color indexed="81"/>
            <rFont val="Tahoma"/>
            <charset val="1"/>
          </rPr>
          <t>ADMIN:</t>
        </r>
        <r>
          <rPr>
            <sz val="9"/>
            <color indexed="81"/>
            <rFont val="Tahoma"/>
            <charset val="1"/>
          </rPr>
          <t xml:space="preserve">
CAPM Expected Return = Rf + βi(Rm - Rf). The return predicted by CAPM given this stock's beta.</t>
        </r>
      </text>
    </comment>
    <comment ref="I41" authorId="0" shapeId="0" xr:uid="{E9F8EA9C-543E-45A2-BA7B-34A539C3A93C}">
      <text>
        <r>
          <rPr>
            <b/>
            <sz val="9"/>
            <color indexed="81"/>
            <rFont val="Tahoma"/>
            <charset val="1"/>
          </rPr>
          <t>ADMIN:</t>
        </r>
        <r>
          <rPr>
            <sz val="9"/>
            <color indexed="81"/>
            <rFont val="Tahoma"/>
            <charset val="1"/>
          </rPr>
          <t xml:space="preserve">
Jensen's Alpha for individual stock. Positive = stock outperformed CAPM prediction.</t>
        </r>
      </text>
    </comment>
    <comment ref="D42" authorId="0" shapeId="0" xr:uid="{B4FB9AA3-EC25-4273-BB2B-7B53B10BC4D0}">
      <text>
        <r>
          <rPr>
            <b/>
            <sz val="9"/>
            <color indexed="81"/>
            <rFont val="Tahoma"/>
            <charset val="1"/>
          </rPr>
          <t>ADMIN:</t>
        </r>
        <r>
          <rPr>
            <sz val="9"/>
            <color indexed="81"/>
            <rFont val="Tahoma"/>
            <charset val="1"/>
          </rPr>
          <t xml:space="preserve">
Beta sourced from Excel Linked Data Type. If unavailable, defaults to 1.0 (market beta).</t>
        </r>
      </text>
    </comment>
    <comment ref="G42" authorId="0" shapeId="0" xr:uid="{8E58B943-6D42-4F3E-BC42-A26D6C849F1C}">
      <text>
        <r>
          <rPr>
            <b/>
            <sz val="9"/>
            <color indexed="81"/>
            <rFont val="Tahoma"/>
            <charset val="1"/>
          </rPr>
          <t>ADMIN:</t>
        </r>
        <r>
          <rPr>
            <sz val="9"/>
            <color indexed="81"/>
            <rFont val="Tahoma"/>
            <charset val="1"/>
          </rPr>
          <t xml:space="preserve">
Risk Contribution = Weight × Beta. Shows each stock's contribution to overall portfolio systematic risk.</t>
        </r>
      </text>
    </comment>
    <comment ref="H42" authorId="0" shapeId="0" xr:uid="{06980353-C39A-4303-95D8-5F9ECD93F64C}">
      <text>
        <r>
          <rPr>
            <b/>
            <sz val="9"/>
            <color indexed="81"/>
            <rFont val="Tahoma"/>
            <charset val="1"/>
          </rPr>
          <t>ADMIN:</t>
        </r>
        <r>
          <rPr>
            <sz val="9"/>
            <color indexed="81"/>
            <rFont val="Tahoma"/>
            <charset val="1"/>
          </rPr>
          <t xml:space="preserve">
CAPM Expected Return = Rf + βi(Rm - Rf). The return predicted by CAPM given this stock's beta.</t>
        </r>
      </text>
    </comment>
    <comment ref="I42" authorId="0" shapeId="0" xr:uid="{E0E9D966-6EC1-4A6F-A30C-B3E5E5E4FB01}">
      <text>
        <r>
          <rPr>
            <b/>
            <sz val="9"/>
            <color indexed="81"/>
            <rFont val="Tahoma"/>
            <charset val="1"/>
          </rPr>
          <t>ADMIN:</t>
        </r>
        <r>
          <rPr>
            <sz val="9"/>
            <color indexed="81"/>
            <rFont val="Tahoma"/>
            <charset val="1"/>
          </rPr>
          <t xml:space="preserve">
Jensen's Alpha for individual stock. Positive = stock outperformed CAPM prediction.</t>
        </r>
      </text>
    </comment>
    <comment ref="D43" authorId="0" shapeId="0" xr:uid="{CCC0A96A-CE16-4496-A494-57EB41E40EE9}">
      <text>
        <r>
          <rPr>
            <b/>
            <sz val="9"/>
            <color indexed="81"/>
            <rFont val="Tahoma"/>
            <charset val="1"/>
          </rPr>
          <t>ADMIN:</t>
        </r>
        <r>
          <rPr>
            <sz val="9"/>
            <color indexed="81"/>
            <rFont val="Tahoma"/>
            <charset val="1"/>
          </rPr>
          <t xml:space="preserve">
Beta sourced from Excel Linked Data Type. If unavailable, defaults to 1.0 (market beta).</t>
        </r>
      </text>
    </comment>
    <comment ref="G43" authorId="0" shapeId="0" xr:uid="{94B67AEA-A967-46E0-9C4C-78221D63F4AB}">
      <text>
        <r>
          <rPr>
            <b/>
            <sz val="9"/>
            <color indexed="81"/>
            <rFont val="Tahoma"/>
            <charset val="1"/>
          </rPr>
          <t>ADMIN:</t>
        </r>
        <r>
          <rPr>
            <sz val="9"/>
            <color indexed="81"/>
            <rFont val="Tahoma"/>
            <charset val="1"/>
          </rPr>
          <t xml:space="preserve">
Risk Contribution = Weight × Beta. Shows each stock's contribution to overall portfolio systematic risk.</t>
        </r>
      </text>
    </comment>
    <comment ref="H43" authorId="0" shapeId="0" xr:uid="{5FACF22F-3BCF-4F2A-9AB2-EB1633BCD717}">
      <text>
        <r>
          <rPr>
            <b/>
            <sz val="9"/>
            <color indexed="81"/>
            <rFont val="Tahoma"/>
            <charset val="1"/>
          </rPr>
          <t>ADMIN:</t>
        </r>
        <r>
          <rPr>
            <sz val="9"/>
            <color indexed="81"/>
            <rFont val="Tahoma"/>
            <charset val="1"/>
          </rPr>
          <t xml:space="preserve">
CAPM Expected Return = Rf + βi(Rm - Rf). The return predicted by CAPM given this stock's beta.</t>
        </r>
      </text>
    </comment>
    <comment ref="I43" authorId="0" shapeId="0" xr:uid="{18A0EBAD-1642-4AD0-8C10-3161D213ED8B}">
      <text>
        <r>
          <rPr>
            <b/>
            <sz val="9"/>
            <color indexed="81"/>
            <rFont val="Tahoma"/>
            <charset val="1"/>
          </rPr>
          <t>ADMIN:</t>
        </r>
        <r>
          <rPr>
            <sz val="9"/>
            <color indexed="81"/>
            <rFont val="Tahoma"/>
            <charset val="1"/>
          </rPr>
          <t xml:space="preserve">
Jensen's Alpha for individual stock. Positive = stock outperformed CAPM prediction.</t>
        </r>
      </text>
    </comment>
    <comment ref="D44" authorId="0" shapeId="0" xr:uid="{163BD66E-0137-4DFC-8511-815FC4312A78}">
      <text>
        <r>
          <rPr>
            <b/>
            <sz val="9"/>
            <color indexed="81"/>
            <rFont val="Tahoma"/>
            <charset val="1"/>
          </rPr>
          <t>ADMIN:</t>
        </r>
        <r>
          <rPr>
            <sz val="9"/>
            <color indexed="81"/>
            <rFont val="Tahoma"/>
            <charset val="1"/>
          </rPr>
          <t xml:space="preserve">
Beta sourced from Excel Linked Data Type. If unavailable, defaults to 1.0 (market beta).</t>
        </r>
      </text>
    </comment>
    <comment ref="G44" authorId="0" shapeId="0" xr:uid="{07EBF065-6A61-402A-BA34-44FC80E71DBB}">
      <text>
        <r>
          <rPr>
            <b/>
            <sz val="9"/>
            <color indexed="81"/>
            <rFont val="Tahoma"/>
            <charset val="1"/>
          </rPr>
          <t>ADMIN:</t>
        </r>
        <r>
          <rPr>
            <sz val="9"/>
            <color indexed="81"/>
            <rFont val="Tahoma"/>
            <charset val="1"/>
          </rPr>
          <t xml:space="preserve">
Risk Contribution = Weight × Beta. Shows each stock's contribution to overall portfolio systematic risk.</t>
        </r>
      </text>
    </comment>
    <comment ref="H44" authorId="0" shapeId="0" xr:uid="{33029A19-0B76-41EE-8CFB-6A8A1BDCE62D}">
      <text>
        <r>
          <rPr>
            <b/>
            <sz val="9"/>
            <color indexed="81"/>
            <rFont val="Tahoma"/>
            <charset val="1"/>
          </rPr>
          <t>ADMIN:</t>
        </r>
        <r>
          <rPr>
            <sz val="9"/>
            <color indexed="81"/>
            <rFont val="Tahoma"/>
            <charset val="1"/>
          </rPr>
          <t xml:space="preserve">
CAPM Expected Return = Rf + βi(Rm - Rf). The return predicted by CAPM given this stock's beta.</t>
        </r>
      </text>
    </comment>
    <comment ref="I44" authorId="0" shapeId="0" xr:uid="{63D592D5-C01A-4A55-807D-E02DCDE468ED}">
      <text>
        <r>
          <rPr>
            <b/>
            <sz val="9"/>
            <color indexed="81"/>
            <rFont val="Tahoma"/>
            <charset val="1"/>
          </rPr>
          <t>ADMIN:</t>
        </r>
        <r>
          <rPr>
            <sz val="9"/>
            <color indexed="81"/>
            <rFont val="Tahoma"/>
            <charset val="1"/>
          </rPr>
          <t xml:space="preserve">
Jensen's Alpha for individual stock. Positive = stock outperformed CAPM prediction.</t>
        </r>
      </text>
    </comment>
    <comment ref="D45" authorId="0" shapeId="0" xr:uid="{4748382E-000B-439E-9174-6FC005F93209}">
      <text>
        <r>
          <rPr>
            <b/>
            <sz val="9"/>
            <color indexed="81"/>
            <rFont val="Tahoma"/>
            <charset val="1"/>
          </rPr>
          <t>ADMIN:</t>
        </r>
        <r>
          <rPr>
            <sz val="9"/>
            <color indexed="81"/>
            <rFont val="Tahoma"/>
            <charset val="1"/>
          </rPr>
          <t xml:space="preserve">
Beta sourced from Excel Linked Data Type. If unavailable, defaults to 1.0 (market beta).</t>
        </r>
      </text>
    </comment>
    <comment ref="G45" authorId="0" shapeId="0" xr:uid="{EE8017E3-D344-42FD-A834-7BD0869A2D11}">
      <text>
        <r>
          <rPr>
            <b/>
            <sz val="9"/>
            <color indexed="81"/>
            <rFont val="Tahoma"/>
            <charset val="1"/>
          </rPr>
          <t>ADMIN:</t>
        </r>
        <r>
          <rPr>
            <sz val="9"/>
            <color indexed="81"/>
            <rFont val="Tahoma"/>
            <charset val="1"/>
          </rPr>
          <t xml:space="preserve">
Risk Contribution = Weight × Beta. Shows each stock's contribution to overall portfolio systematic risk.</t>
        </r>
      </text>
    </comment>
    <comment ref="H45" authorId="0" shapeId="0" xr:uid="{26F6C1D1-5DCB-47D0-82D5-71FD9A6C1B24}">
      <text>
        <r>
          <rPr>
            <b/>
            <sz val="9"/>
            <color indexed="81"/>
            <rFont val="Tahoma"/>
            <charset val="1"/>
          </rPr>
          <t>ADMIN:</t>
        </r>
        <r>
          <rPr>
            <sz val="9"/>
            <color indexed="81"/>
            <rFont val="Tahoma"/>
            <charset val="1"/>
          </rPr>
          <t xml:space="preserve">
CAPM Expected Return = Rf + βi(Rm - Rf). The return predicted by CAPM given this stock's beta.</t>
        </r>
      </text>
    </comment>
    <comment ref="I45" authorId="0" shapeId="0" xr:uid="{3737A89C-3E3F-422B-A860-A15B650D2A4A}">
      <text>
        <r>
          <rPr>
            <b/>
            <sz val="9"/>
            <color indexed="81"/>
            <rFont val="Tahoma"/>
            <charset val="1"/>
          </rPr>
          <t>ADMIN:</t>
        </r>
        <r>
          <rPr>
            <sz val="9"/>
            <color indexed="81"/>
            <rFont val="Tahoma"/>
            <charset val="1"/>
          </rPr>
          <t xml:space="preserve">
Jensen's Alpha for individual stock. Positive = stock outperformed CAPM prediction.</t>
        </r>
      </text>
    </comment>
    <comment ref="D46" authorId="0" shapeId="0" xr:uid="{BC08A530-A25E-4034-B6A5-48FA603B1806}">
      <text>
        <r>
          <rPr>
            <b/>
            <sz val="9"/>
            <color indexed="81"/>
            <rFont val="Tahoma"/>
            <charset val="1"/>
          </rPr>
          <t>ADMIN:</t>
        </r>
        <r>
          <rPr>
            <sz val="9"/>
            <color indexed="81"/>
            <rFont val="Tahoma"/>
            <charset val="1"/>
          </rPr>
          <t xml:space="preserve">
Beta sourced from Excel Linked Data Type. If unavailable, defaults to 1.0 (market beta).</t>
        </r>
      </text>
    </comment>
    <comment ref="G46" authorId="0" shapeId="0" xr:uid="{FEE6DF62-8D74-41E7-8423-2B3D51593340}">
      <text>
        <r>
          <rPr>
            <b/>
            <sz val="9"/>
            <color indexed="81"/>
            <rFont val="Tahoma"/>
            <charset val="1"/>
          </rPr>
          <t>ADMIN:</t>
        </r>
        <r>
          <rPr>
            <sz val="9"/>
            <color indexed="81"/>
            <rFont val="Tahoma"/>
            <charset val="1"/>
          </rPr>
          <t xml:space="preserve">
Risk Contribution = Weight × Beta. Shows each stock's contribution to overall portfolio systematic risk.</t>
        </r>
      </text>
    </comment>
    <comment ref="H46" authorId="0" shapeId="0" xr:uid="{2EE902E8-5851-4AE3-88AB-A3633B2E9C5C}">
      <text>
        <r>
          <rPr>
            <b/>
            <sz val="9"/>
            <color indexed="81"/>
            <rFont val="Tahoma"/>
            <charset val="1"/>
          </rPr>
          <t>ADMIN:</t>
        </r>
        <r>
          <rPr>
            <sz val="9"/>
            <color indexed="81"/>
            <rFont val="Tahoma"/>
            <charset val="1"/>
          </rPr>
          <t xml:space="preserve">
CAPM Expected Return = Rf + βi(Rm - Rf). The return predicted by CAPM given this stock's beta.</t>
        </r>
      </text>
    </comment>
    <comment ref="I46" authorId="0" shapeId="0" xr:uid="{6BFCD5FF-F298-4E21-8B56-B2D6AD161F17}">
      <text>
        <r>
          <rPr>
            <b/>
            <sz val="9"/>
            <color indexed="81"/>
            <rFont val="Tahoma"/>
            <charset val="1"/>
          </rPr>
          <t>ADMIN:</t>
        </r>
        <r>
          <rPr>
            <sz val="9"/>
            <color indexed="81"/>
            <rFont val="Tahoma"/>
            <charset val="1"/>
          </rPr>
          <t xml:space="preserve">
Jensen's Alpha for individual stock. Positive = stock outperformed CAPM prediction.</t>
        </r>
      </text>
    </comment>
    <comment ref="D47" authorId="0" shapeId="0" xr:uid="{89A7996D-F8D2-4FB4-903A-DB6B6E434CBE}">
      <text>
        <r>
          <rPr>
            <b/>
            <sz val="9"/>
            <color indexed="81"/>
            <rFont val="Tahoma"/>
            <charset val="1"/>
          </rPr>
          <t>ADMIN:</t>
        </r>
        <r>
          <rPr>
            <sz val="9"/>
            <color indexed="81"/>
            <rFont val="Tahoma"/>
            <charset val="1"/>
          </rPr>
          <t xml:space="preserve">
Beta sourced from Excel Linked Data Type. If unavailable, defaults to 1.0 (market beta).</t>
        </r>
      </text>
    </comment>
    <comment ref="G47" authorId="0" shapeId="0" xr:uid="{13902F8A-1B18-4379-8B3E-A62A0EECA103}">
      <text>
        <r>
          <rPr>
            <b/>
            <sz val="9"/>
            <color indexed="81"/>
            <rFont val="Tahoma"/>
            <charset val="1"/>
          </rPr>
          <t>ADMIN:</t>
        </r>
        <r>
          <rPr>
            <sz val="9"/>
            <color indexed="81"/>
            <rFont val="Tahoma"/>
            <charset val="1"/>
          </rPr>
          <t xml:space="preserve">
Risk Contribution = Weight × Beta. Shows each stock's contribution to overall portfolio systematic risk.</t>
        </r>
      </text>
    </comment>
    <comment ref="H47" authorId="0" shapeId="0" xr:uid="{F7901676-26F7-4EFD-B62D-AD7BDA7C75F0}">
      <text>
        <r>
          <rPr>
            <b/>
            <sz val="9"/>
            <color indexed="81"/>
            <rFont val="Tahoma"/>
            <charset val="1"/>
          </rPr>
          <t>ADMIN:</t>
        </r>
        <r>
          <rPr>
            <sz val="9"/>
            <color indexed="81"/>
            <rFont val="Tahoma"/>
            <charset val="1"/>
          </rPr>
          <t xml:space="preserve">
CAPM Expected Return = Rf + βi(Rm - Rf). The return predicted by CAPM given this stock's beta.</t>
        </r>
      </text>
    </comment>
    <comment ref="I47" authorId="0" shapeId="0" xr:uid="{8AC51CA6-DDD0-4020-BDF2-77390B95A82A}">
      <text>
        <r>
          <rPr>
            <b/>
            <sz val="9"/>
            <color indexed="81"/>
            <rFont val="Tahoma"/>
            <charset val="1"/>
          </rPr>
          <t>ADMIN:</t>
        </r>
        <r>
          <rPr>
            <sz val="9"/>
            <color indexed="81"/>
            <rFont val="Tahoma"/>
            <charset val="1"/>
          </rPr>
          <t xml:space="preserve">
Jensen's Alpha for individual stock. Positive = stock outperformed CAPM prediction.</t>
        </r>
      </text>
    </comment>
    <comment ref="D48" authorId="0" shapeId="0" xr:uid="{D3F93564-48C7-4A8A-870C-4FC647AD9459}">
      <text>
        <r>
          <rPr>
            <b/>
            <sz val="9"/>
            <color indexed="81"/>
            <rFont val="Tahoma"/>
            <charset val="1"/>
          </rPr>
          <t>ADMIN:</t>
        </r>
        <r>
          <rPr>
            <sz val="9"/>
            <color indexed="81"/>
            <rFont val="Tahoma"/>
            <charset val="1"/>
          </rPr>
          <t xml:space="preserve">
Beta sourced from Excel Linked Data Type. If unavailable, defaults to 1.0 (market beta).</t>
        </r>
      </text>
    </comment>
    <comment ref="G48" authorId="0" shapeId="0" xr:uid="{392F57EA-783D-487B-B710-2A94F7D43A57}">
      <text>
        <r>
          <rPr>
            <b/>
            <sz val="9"/>
            <color indexed="81"/>
            <rFont val="Tahoma"/>
            <charset val="1"/>
          </rPr>
          <t>ADMIN:</t>
        </r>
        <r>
          <rPr>
            <sz val="9"/>
            <color indexed="81"/>
            <rFont val="Tahoma"/>
            <charset val="1"/>
          </rPr>
          <t xml:space="preserve">
Risk Contribution = Weight × Beta. Shows each stock's contribution to overall portfolio systematic risk.</t>
        </r>
      </text>
    </comment>
    <comment ref="H48" authorId="0" shapeId="0" xr:uid="{5B005780-2E98-441F-9BDC-DFA05F71E2BB}">
      <text>
        <r>
          <rPr>
            <b/>
            <sz val="9"/>
            <color indexed="81"/>
            <rFont val="Tahoma"/>
            <charset val="1"/>
          </rPr>
          <t>ADMIN:</t>
        </r>
        <r>
          <rPr>
            <sz val="9"/>
            <color indexed="81"/>
            <rFont val="Tahoma"/>
            <charset val="1"/>
          </rPr>
          <t xml:space="preserve">
CAPM Expected Return = Rf + βi(Rm - Rf). The return predicted by CAPM given this stock's beta.</t>
        </r>
      </text>
    </comment>
    <comment ref="I48" authorId="0" shapeId="0" xr:uid="{E31EA851-909A-49CD-9D8F-CF45CE7A7EC3}">
      <text>
        <r>
          <rPr>
            <b/>
            <sz val="9"/>
            <color indexed="81"/>
            <rFont val="Tahoma"/>
            <charset val="1"/>
          </rPr>
          <t>ADMIN:</t>
        </r>
        <r>
          <rPr>
            <sz val="9"/>
            <color indexed="81"/>
            <rFont val="Tahoma"/>
            <charset val="1"/>
          </rPr>
          <t xml:space="preserve">
Jensen's Alpha for individual stock. Positive = stock outperformed CAPM prediction.</t>
        </r>
      </text>
    </comment>
    <comment ref="D49" authorId="0" shapeId="0" xr:uid="{327467DE-C3C2-4D1E-991D-1D91F1EFADDE}">
      <text>
        <r>
          <rPr>
            <b/>
            <sz val="9"/>
            <color indexed="81"/>
            <rFont val="Tahoma"/>
            <charset val="1"/>
          </rPr>
          <t>ADMIN:</t>
        </r>
        <r>
          <rPr>
            <sz val="9"/>
            <color indexed="81"/>
            <rFont val="Tahoma"/>
            <charset val="1"/>
          </rPr>
          <t xml:space="preserve">
Beta sourced from Excel Linked Data Type. If unavailable, defaults to 1.0 (market beta).</t>
        </r>
      </text>
    </comment>
    <comment ref="G49" authorId="0" shapeId="0" xr:uid="{2E509177-C01F-45AF-B8AB-CB4696CA46FD}">
      <text>
        <r>
          <rPr>
            <b/>
            <sz val="9"/>
            <color indexed="81"/>
            <rFont val="Tahoma"/>
            <charset val="1"/>
          </rPr>
          <t>ADMIN:</t>
        </r>
        <r>
          <rPr>
            <sz val="9"/>
            <color indexed="81"/>
            <rFont val="Tahoma"/>
            <charset val="1"/>
          </rPr>
          <t xml:space="preserve">
Risk Contribution = Weight × Beta. Shows each stock's contribution to overall portfolio systematic risk.</t>
        </r>
      </text>
    </comment>
    <comment ref="H49" authorId="0" shapeId="0" xr:uid="{8C500D6A-B713-4E6A-BE28-17034967E3A5}">
      <text>
        <r>
          <rPr>
            <b/>
            <sz val="9"/>
            <color indexed="81"/>
            <rFont val="Tahoma"/>
            <charset val="1"/>
          </rPr>
          <t>ADMIN:</t>
        </r>
        <r>
          <rPr>
            <sz val="9"/>
            <color indexed="81"/>
            <rFont val="Tahoma"/>
            <charset val="1"/>
          </rPr>
          <t xml:space="preserve">
CAPM Expected Return = Rf + βi(Rm - Rf). The return predicted by CAPM given this stock's beta.</t>
        </r>
      </text>
    </comment>
    <comment ref="I49" authorId="0" shapeId="0" xr:uid="{5746678A-4249-40AE-9D91-CB31C04F4268}">
      <text>
        <r>
          <rPr>
            <b/>
            <sz val="9"/>
            <color indexed="81"/>
            <rFont val="Tahoma"/>
            <charset val="1"/>
          </rPr>
          <t>ADMIN:</t>
        </r>
        <r>
          <rPr>
            <sz val="9"/>
            <color indexed="81"/>
            <rFont val="Tahoma"/>
            <charset val="1"/>
          </rPr>
          <t xml:space="preserve">
Jensen's Alpha for individual stock. Positive = stock outperformed CAPM prediction.</t>
        </r>
      </text>
    </comment>
    <comment ref="D50" authorId="0" shapeId="0" xr:uid="{92254B98-8FC0-4127-B2AF-CA2876597D44}">
      <text>
        <r>
          <rPr>
            <b/>
            <sz val="9"/>
            <color indexed="81"/>
            <rFont val="Tahoma"/>
            <charset val="1"/>
          </rPr>
          <t>ADMIN:</t>
        </r>
        <r>
          <rPr>
            <sz val="9"/>
            <color indexed="81"/>
            <rFont val="Tahoma"/>
            <charset val="1"/>
          </rPr>
          <t xml:space="preserve">
Beta sourced from Excel Linked Data Type. If unavailable, defaults to 1.0 (market beta).</t>
        </r>
      </text>
    </comment>
    <comment ref="G50" authorId="0" shapeId="0" xr:uid="{5DD16958-0AB8-4045-8989-008BC4A381C3}">
      <text>
        <r>
          <rPr>
            <b/>
            <sz val="9"/>
            <color indexed="81"/>
            <rFont val="Tahoma"/>
            <charset val="1"/>
          </rPr>
          <t>ADMIN:</t>
        </r>
        <r>
          <rPr>
            <sz val="9"/>
            <color indexed="81"/>
            <rFont val="Tahoma"/>
            <charset val="1"/>
          </rPr>
          <t xml:space="preserve">
Risk Contribution = Weight × Beta. Shows each stock's contribution to overall portfolio systematic risk.</t>
        </r>
      </text>
    </comment>
    <comment ref="H50" authorId="0" shapeId="0" xr:uid="{DA13C548-1389-40C0-A7C1-9A939CD0F470}">
      <text>
        <r>
          <rPr>
            <b/>
            <sz val="9"/>
            <color indexed="81"/>
            <rFont val="Tahoma"/>
            <charset val="1"/>
          </rPr>
          <t>ADMIN:</t>
        </r>
        <r>
          <rPr>
            <sz val="9"/>
            <color indexed="81"/>
            <rFont val="Tahoma"/>
            <charset val="1"/>
          </rPr>
          <t xml:space="preserve">
CAPM Expected Return = Rf + βi(Rm - Rf). The return predicted by CAPM given this stock's beta.</t>
        </r>
      </text>
    </comment>
    <comment ref="I50" authorId="0" shapeId="0" xr:uid="{EB431DE9-BBF4-4063-8C14-E05D0084972B}">
      <text>
        <r>
          <rPr>
            <b/>
            <sz val="9"/>
            <color indexed="81"/>
            <rFont val="Tahoma"/>
            <charset val="1"/>
          </rPr>
          <t>ADMIN:</t>
        </r>
        <r>
          <rPr>
            <sz val="9"/>
            <color indexed="81"/>
            <rFont val="Tahoma"/>
            <charset val="1"/>
          </rPr>
          <t xml:space="preserve">
Jensen's Alpha for individual stock. Positive = stock outperformed CAPM prediction.</t>
        </r>
      </text>
    </comment>
    <comment ref="D51" authorId="0" shapeId="0" xr:uid="{58C6867D-7B50-4907-9EBC-7E70FBE20A7A}">
      <text>
        <r>
          <rPr>
            <b/>
            <sz val="9"/>
            <color indexed="81"/>
            <rFont val="Tahoma"/>
            <charset val="1"/>
          </rPr>
          <t>ADMIN:</t>
        </r>
        <r>
          <rPr>
            <sz val="9"/>
            <color indexed="81"/>
            <rFont val="Tahoma"/>
            <charset val="1"/>
          </rPr>
          <t xml:space="preserve">
Beta sourced from Excel Linked Data Type. If unavailable, defaults to 1.0 (market beta).</t>
        </r>
      </text>
    </comment>
    <comment ref="G51" authorId="0" shapeId="0" xr:uid="{0191E0F9-A52A-4633-B441-4E4920A0B447}">
      <text>
        <r>
          <rPr>
            <b/>
            <sz val="9"/>
            <color indexed="81"/>
            <rFont val="Tahoma"/>
            <charset val="1"/>
          </rPr>
          <t>ADMIN:</t>
        </r>
        <r>
          <rPr>
            <sz val="9"/>
            <color indexed="81"/>
            <rFont val="Tahoma"/>
            <charset val="1"/>
          </rPr>
          <t xml:space="preserve">
Risk Contribution = Weight × Beta. Shows each stock's contribution to overall portfolio systematic risk.</t>
        </r>
      </text>
    </comment>
    <comment ref="H51" authorId="0" shapeId="0" xr:uid="{92A0FCED-B776-4BAE-966D-287996045DF6}">
      <text>
        <r>
          <rPr>
            <b/>
            <sz val="9"/>
            <color indexed="81"/>
            <rFont val="Tahoma"/>
            <charset val="1"/>
          </rPr>
          <t>ADMIN:</t>
        </r>
        <r>
          <rPr>
            <sz val="9"/>
            <color indexed="81"/>
            <rFont val="Tahoma"/>
            <charset val="1"/>
          </rPr>
          <t xml:space="preserve">
CAPM Expected Return = Rf + βi(Rm - Rf). The return predicted by CAPM given this stock's beta.</t>
        </r>
      </text>
    </comment>
    <comment ref="I51" authorId="0" shapeId="0" xr:uid="{87200B63-8BD2-4DCC-9B67-2A108C743651}">
      <text>
        <r>
          <rPr>
            <b/>
            <sz val="9"/>
            <color indexed="81"/>
            <rFont val="Tahoma"/>
            <charset val="1"/>
          </rPr>
          <t>ADMIN:</t>
        </r>
        <r>
          <rPr>
            <sz val="9"/>
            <color indexed="81"/>
            <rFont val="Tahoma"/>
            <charset val="1"/>
          </rPr>
          <t xml:space="preserve">
Jensen's Alpha for individual stock. Positive = stock outperformed CAPM prediction.</t>
        </r>
      </text>
    </comment>
    <comment ref="D52" authorId="0" shapeId="0" xr:uid="{8B8CF11D-71B6-41E3-935E-E2B86A954969}">
      <text>
        <r>
          <rPr>
            <b/>
            <sz val="9"/>
            <color indexed="81"/>
            <rFont val="Tahoma"/>
            <charset val="1"/>
          </rPr>
          <t>ADMIN:</t>
        </r>
        <r>
          <rPr>
            <sz val="9"/>
            <color indexed="81"/>
            <rFont val="Tahoma"/>
            <charset val="1"/>
          </rPr>
          <t xml:space="preserve">
Beta sourced from Excel Linked Data Type. If unavailable, defaults to 1.0 (market beta).</t>
        </r>
      </text>
    </comment>
    <comment ref="G52" authorId="0" shapeId="0" xr:uid="{63D082DA-A5A5-4E0F-9E6D-9713974F529D}">
      <text>
        <r>
          <rPr>
            <b/>
            <sz val="9"/>
            <color indexed="81"/>
            <rFont val="Tahoma"/>
            <charset val="1"/>
          </rPr>
          <t>ADMIN:</t>
        </r>
        <r>
          <rPr>
            <sz val="9"/>
            <color indexed="81"/>
            <rFont val="Tahoma"/>
            <charset val="1"/>
          </rPr>
          <t xml:space="preserve">
Risk Contribution = Weight × Beta. Shows each stock's contribution to overall portfolio systematic risk.</t>
        </r>
      </text>
    </comment>
    <comment ref="H52" authorId="0" shapeId="0" xr:uid="{9775BD17-253F-4DC2-90D9-C78B2FE15BFF}">
      <text>
        <r>
          <rPr>
            <b/>
            <sz val="9"/>
            <color indexed="81"/>
            <rFont val="Tahoma"/>
            <charset val="1"/>
          </rPr>
          <t>ADMIN:</t>
        </r>
        <r>
          <rPr>
            <sz val="9"/>
            <color indexed="81"/>
            <rFont val="Tahoma"/>
            <charset val="1"/>
          </rPr>
          <t xml:space="preserve">
CAPM Expected Return = Rf + βi(Rm - Rf). The return predicted by CAPM given this stock's beta.</t>
        </r>
      </text>
    </comment>
    <comment ref="I52" authorId="0" shapeId="0" xr:uid="{A2B5BB0D-2DF7-4433-9B95-81A25106D79F}">
      <text>
        <r>
          <rPr>
            <b/>
            <sz val="9"/>
            <color indexed="81"/>
            <rFont val="Tahoma"/>
            <charset val="1"/>
          </rPr>
          <t>ADMIN:</t>
        </r>
        <r>
          <rPr>
            <sz val="9"/>
            <color indexed="81"/>
            <rFont val="Tahoma"/>
            <charset val="1"/>
          </rPr>
          <t xml:space="preserve">
Jensen's Alpha for individual stock. Positive = stock outperformed CAPM prediction.</t>
        </r>
      </text>
    </comment>
    <comment ref="D53" authorId="0" shapeId="0" xr:uid="{FF028DC3-B58D-4DB1-ACCD-EA7979445B8C}">
      <text>
        <r>
          <rPr>
            <b/>
            <sz val="9"/>
            <color indexed="81"/>
            <rFont val="Tahoma"/>
            <charset val="1"/>
          </rPr>
          <t>ADMIN:</t>
        </r>
        <r>
          <rPr>
            <sz val="9"/>
            <color indexed="81"/>
            <rFont val="Tahoma"/>
            <charset val="1"/>
          </rPr>
          <t xml:space="preserve">
Beta sourced from Excel Linked Data Type. If unavailable, defaults to 1.0 (market beta).</t>
        </r>
      </text>
    </comment>
    <comment ref="G53" authorId="0" shapeId="0" xr:uid="{0BEA1A95-3EAE-4594-9DF2-4667E497F5AF}">
      <text>
        <r>
          <rPr>
            <b/>
            <sz val="9"/>
            <color indexed="81"/>
            <rFont val="Tahoma"/>
            <charset val="1"/>
          </rPr>
          <t>ADMIN:</t>
        </r>
        <r>
          <rPr>
            <sz val="9"/>
            <color indexed="81"/>
            <rFont val="Tahoma"/>
            <charset val="1"/>
          </rPr>
          <t xml:space="preserve">
Risk Contribution = Weight × Beta. Shows each stock's contribution to overall portfolio systematic risk.</t>
        </r>
      </text>
    </comment>
    <comment ref="H53" authorId="0" shapeId="0" xr:uid="{90E7D9B5-DF0F-4EFD-986A-5CCCAE0E67B8}">
      <text>
        <r>
          <rPr>
            <b/>
            <sz val="9"/>
            <color indexed="81"/>
            <rFont val="Tahoma"/>
            <charset val="1"/>
          </rPr>
          <t>ADMIN:</t>
        </r>
        <r>
          <rPr>
            <sz val="9"/>
            <color indexed="81"/>
            <rFont val="Tahoma"/>
            <charset val="1"/>
          </rPr>
          <t xml:space="preserve">
CAPM Expected Return = Rf + βi(Rm - Rf). The return predicted by CAPM given this stock's beta.</t>
        </r>
      </text>
    </comment>
    <comment ref="I53" authorId="0" shapeId="0" xr:uid="{7C79DB70-48C7-4664-A665-5BC3673A7E52}">
      <text>
        <r>
          <rPr>
            <b/>
            <sz val="9"/>
            <color indexed="81"/>
            <rFont val="Tahoma"/>
            <charset val="1"/>
          </rPr>
          <t>ADMIN:</t>
        </r>
        <r>
          <rPr>
            <sz val="9"/>
            <color indexed="81"/>
            <rFont val="Tahoma"/>
            <charset val="1"/>
          </rPr>
          <t xml:space="preserve">
Jensen's Alpha for individual stock. Positive = stock outperformed CAPM prediction.</t>
        </r>
      </text>
    </comment>
    <comment ref="D54" authorId="0" shapeId="0" xr:uid="{31D16CA9-6CA5-496C-9B9C-9DD8D7F16ECF}">
      <text>
        <r>
          <rPr>
            <b/>
            <sz val="9"/>
            <color indexed="81"/>
            <rFont val="Tahoma"/>
            <charset val="1"/>
          </rPr>
          <t>ADMIN:</t>
        </r>
        <r>
          <rPr>
            <sz val="9"/>
            <color indexed="81"/>
            <rFont val="Tahoma"/>
            <charset val="1"/>
          </rPr>
          <t xml:space="preserve">
Beta sourced from Excel Linked Data Type. If unavailable, defaults to 1.0 (market beta).</t>
        </r>
      </text>
    </comment>
    <comment ref="G54" authorId="0" shapeId="0" xr:uid="{849E8399-9368-4B9A-AC0D-B1F6826DDC19}">
      <text>
        <r>
          <rPr>
            <b/>
            <sz val="9"/>
            <color indexed="81"/>
            <rFont val="Tahoma"/>
            <charset val="1"/>
          </rPr>
          <t>ADMIN:</t>
        </r>
        <r>
          <rPr>
            <sz val="9"/>
            <color indexed="81"/>
            <rFont val="Tahoma"/>
            <charset val="1"/>
          </rPr>
          <t xml:space="preserve">
Risk Contribution = Weight × Beta. Shows each stock's contribution to overall portfolio systematic risk.</t>
        </r>
      </text>
    </comment>
    <comment ref="H54" authorId="0" shapeId="0" xr:uid="{376C0FB8-6160-4304-B3BE-0BAA3B1C1DFE}">
      <text>
        <r>
          <rPr>
            <b/>
            <sz val="9"/>
            <color indexed="81"/>
            <rFont val="Tahoma"/>
            <charset val="1"/>
          </rPr>
          <t>ADMIN:</t>
        </r>
        <r>
          <rPr>
            <sz val="9"/>
            <color indexed="81"/>
            <rFont val="Tahoma"/>
            <charset val="1"/>
          </rPr>
          <t xml:space="preserve">
CAPM Expected Return = Rf + βi(Rm - Rf). The return predicted by CAPM given this stock's beta.</t>
        </r>
      </text>
    </comment>
    <comment ref="I54" authorId="0" shapeId="0" xr:uid="{EF2CD1F3-4E2A-46C2-ABAA-A430B16B7212}">
      <text>
        <r>
          <rPr>
            <b/>
            <sz val="9"/>
            <color indexed="81"/>
            <rFont val="Tahoma"/>
            <charset val="1"/>
          </rPr>
          <t>ADMIN:</t>
        </r>
        <r>
          <rPr>
            <sz val="9"/>
            <color indexed="81"/>
            <rFont val="Tahoma"/>
            <charset val="1"/>
          </rPr>
          <t xml:space="preserve">
Jensen's Alpha for individual stock. Positive = stock outperformed CAPM prediction.</t>
        </r>
      </text>
    </comment>
    <comment ref="B59" authorId="0" shapeId="0" xr:uid="{B08AAE2B-0C79-4CFA-9C85-4D4466718C7C}">
      <text>
        <r>
          <rPr>
            <b/>
            <sz val="9"/>
            <color indexed="81"/>
            <rFont val="Tahoma"/>
            <charset val="1"/>
          </rPr>
          <t>ADMIN:</t>
        </r>
        <r>
          <rPr>
            <sz val="9"/>
            <color indexed="81"/>
            <rFont val="Tahoma"/>
            <charset val="1"/>
          </rPr>
          <t xml:space="preserve">
CFA Level II / Fama-French: Growth stocks have high returns and momentum; Value stocks have low price-to-fundamentals ratios. Classified by total return: &gt;150% = Growth, 50-150% = Blend, &lt;50% = Value.</t>
        </r>
      </text>
    </comment>
    <comment ref="B60" authorId="0" shapeId="0" xr:uid="{450D9546-37A9-4F7E-A164-D73C6C0D77DB}">
      <text>
        <r>
          <rPr>
            <b/>
            <sz val="9"/>
            <color indexed="81"/>
            <rFont val="Tahoma"/>
            <charset val="1"/>
          </rPr>
          <t>ADMIN:</t>
        </r>
        <r>
          <rPr>
            <sz val="9"/>
            <color indexed="81"/>
            <rFont val="Tahoma"/>
            <charset val="1"/>
          </rPr>
          <t xml:space="preserve">
CFA Level II / Fama-French SMB: Portfolio Beta as size proxy. High-beta stocks tend to be growth/momentum names. Low beta = defensive/large-cap tilt.</t>
        </r>
      </text>
    </comment>
    <comment ref="B61" authorId="0" shapeId="0" xr:uid="{F2ECEA1A-EC72-484A-A0DE-B1EFF7ADCE7C}">
      <text>
        <r>
          <rPr>
            <b/>
            <sz val="9"/>
            <color indexed="81"/>
            <rFont val="Tahoma"/>
            <charset val="1"/>
          </rPr>
          <t>ADMIN:</t>
        </r>
        <r>
          <rPr>
            <sz val="9"/>
            <color indexed="81"/>
            <rFont val="Tahoma"/>
            <charset val="1"/>
          </rPr>
          <t xml:space="preserve">
Herfindahl-Hirschman Index at the sector level. HHI &lt; 0.15 = diversified, 0.15-0.25 = moderate concentration, &gt; 0.25 = concentrated.</t>
        </r>
      </text>
    </comment>
    <comment ref="B62" authorId="0" shapeId="0" xr:uid="{E4FC1605-3B71-4D59-A1F3-F9E9B87DB70B}">
      <text>
        <r>
          <rPr>
            <b/>
            <sz val="9"/>
            <color indexed="81"/>
            <rFont val="Tahoma"/>
            <charset val="1"/>
          </rPr>
          <t>ADMIN:</t>
        </r>
        <r>
          <rPr>
            <sz val="9"/>
            <color indexed="81"/>
            <rFont val="Tahoma"/>
            <charset val="1"/>
          </rPr>
          <t xml:space="preserve">
CFA Level III: Active Share measures how different a portfolio is from its benchmark. Calculated as ½ × Σ|wi - wbench|. Higher = more active management. &gt; 60% = stock picker, &lt; 20% = closet indexer.</t>
        </r>
      </text>
    </comment>
    <comment ref="B66" authorId="0" shapeId="0" xr:uid="{F175ACBD-2699-4BB4-AD5B-2E6650544946}">
      <text>
        <r>
          <rPr>
            <b/>
            <sz val="9"/>
            <color indexed="81"/>
            <rFont val="Tahoma"/>
            <charset val="1"/>
          </rPr>
          <t>ADMIN:</t>
        </r>
        <r>
          <rPr>
            <sz val="9"/>
            <color indexed="81"/>
            <rFont val="Tahoma"/>
            <charset val="1"/>
          </rPr>
          <t xml:space="preserve">
CFA Level I: The Capital Market Line shows the efficient frontier when mixing the risk-free asset with the market portfolio. CML Return = Rf + (Rm-Rf)/σm × σp. S&amp;P 500 σ ≈ 15-16%.</t>
        </r>
      </text>
    </comment>
    <comment ref="B68" authorId="0" shapeId="0" xr:uid="{9BC8DE52-BD46-4F10-815C-D52579FB5EBC}">
      <text>
        <r>
          <rPr>
            <b/>
            <sz val="9"/>
            <color indexed="81"/>
            <rFont val="Tahoma"/>
            <charset val="1"/>
          </rPr>
          <t>ADMIN:</t>
        </r>
        <r>
          <rPr>
            <sz val="9"/>
            <color indexed="81"/>
            <rFont val="Tahoma"/>
            <charset val="1"/>
          </rPr>
          <t xml:space="preserve">
CFA Level II: M-squared converts Sharpe into a return measure by leveraging/deleveraging portfolio to match market risk. M² &gt; 0 = portfolio beats market on risk-adjusted basis.</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tc={66467F6D-DABC-45D1-B614-591E4386DF82}</author>
    <author>tc={A3D7E361-DF7D-462B-9512-A07692D75D73}</author>
    <author>tc={776F7F36-7336-4CB3-800A-957F560E1950}</author>
    <author>tc={57596535-F847-4820-A7E2-BD1AB08797F1}</author>
    <author>tc={2B352DEA-3806-415A-9D3A-CC4FBFF81028}</author>
    <author>tc={A71A3EF7-FD6B-4424-91AF-F1A05924C6F1}</author>
    <author>tc={39B24EC7-2523-4CF7-91BE-E41FDB249421}</author>
    <author>tc={698966FD-6A35-4DEF-91B0-DD474F0E8922}</author>
    <author>tc={79C1DF0A-1431-4A66-945A-B4391E50131B}</author>
    <author>tc={BCA9D662-D0E1-4ADA-A7A1-1D8CEF0D6099}</author>
    <author>tc={B1922484-F502-4206-83DC-87FDE9C2C985}</author>
    <author>tc={2CD90182-CBE6-4725-AB97-2C08A2469AA3}</author>
    <author>tc={A61CA121-1B3E-4104-9E4F-392D00D1AB7B}</author>
    <author>tc={3FDAAE89-7E25-455E-AF5F-BCE2AD0EFF52}</author>
    <author>tc={99F7585A-F853-412B-A3B2-2708EDD4CD92}</author>
    <author>tc={D233A964-621A-4BD1-BC1D-4A8E285712AC}</author>
  </authors>
  <commentList>
    <comment ref="E3" authorId="0" shapeId="0" xr:uid="{66467F6D-DABC-45D1-B614-591E4386DF82}">
      <text>
        <t>[Threaded comment]
Your version of Excel allows you to read this threaded comment; however, any edits to it will get removed if the file is opened in a newer version of Excel. Learn more: https://go.microsoft.com/fwlink/?linkid=870924
Comment:
    Source: Historical closing prices (split-adjusted) for first trading day of each year. Data from Nasdaq.com and Yahoo Finance historical data.</t>
      </text>
    </comment>
    <comment ref="E10" authorId="1" shapeId="0" xr:uid="{A3D7E361-DF7D-462B-9512-A07692D75D73}">
      <text>
        <t>[Threaded comment]
Your version of Excel allows you to read this threaded comment; however, any edits to it will get removed if the file is opened in a newer version of Excel. Learn more: https://go.microsoft.com/fwlink/?linkid=870924
Comment:
    Source: Historical closing prices (split-adjusted) for first trading day of each year. Data from Nasdaq.com and Yahoo Finance historical data.</t>
      </text>
    </comment>
    <comment ref="E17" authorId="2" shapeId="0" xr:uid="{776F7F36-7336-4CB3-800A-957F560E1950}">
      <text>
        <t>[Threaded comment]
Your version of Excel allows you to read this threaded comment; however, any edits to it will get removed if the file is opened in a newer version of Excel. Learn more: https://go.microsoft.com/fwlink/?linkid=870924
Comment:
    Source: Historical closing prices (split-adjusted) for first trading day of each year. Data from Nasdaq.com and Yahoo Finance historical data.</t>
      </text>
    </comment>
    <comment ref="E24" authorId="3" shapeId="0" xr:uid="{57596535-F847-4820-A7E2-BD1AB08797F1}">
      <text>
        <t>[Threaded comment]
Your version of Excel allows you to read this threaded comment; however, any edits to it will get removed if the file is opened in a newer version of Excel. Learn more: https://go.microsoft.com/fwlink/?linkid=870924
Comment:
    Source: Historical closing prices (split-adjusted) for first trading day of each year. Data from Nasdaq.com and Yahoo Finance historical data.</t>
      </text>
    </comment>
    <comment ref="E31" authorId="4" shapeId="0" xr:uid="{2B352DEA-3806-415A-9D3A-CC4FBFF81028}">
      <text>
        <t>[Threaded comment]
Your version of Excel allows you to read this threaded comment; however, any edits to it will get removed if the file is opened in a newer version of Excel. Learn more: https://go.microsoft.com/fwlink/?linkid=870924
Comment:
    Source: Historical closing prices (split-adjusted) for first trading day of each year. Data from Nasdaq.com and Yahoo Finance historical data.</t>
      </text>
    </comment>
    <comment ref="E38" authorId="5" shapeId="0" xr:uid="{A71A3EF7-FD6B-4424-91AF-F1A05924C6F1}">
      <text>
        <t>[Threaded comment]
Your version of Excel allows you to read this threaded comment; however, any edits to it will get removed if the file is opened in a newer version of Excel. Learn more: https://go.microsoft.com/fwlink/?linkid=870924
Comment:
    Source: Historical closing prices (split-adjusted) for first trading day of each year. Data from Nasdaq.com and Yahoo Finance historical data.</t>
      </text>
    </comment>
    <comment ref="E45" authorId="6" shapeId="0" xr:uid="{39B24EC7-2523-4CF7-91BE-E41FDB249421}">
      <text>
        <t>[Threaded comment]
Your version of Excel allows you to read this threaded comment; however, any edits to it will get removed if the file is opened in a newer version of Excel. Learn more: https://go.microsoft.com/fwlink/?linkid=870924
Comment:
    Source: Historical closing prices (split-adjusted) for first trading day of each year. Data from Nasdaq.com and Yahoo Finance historical data.</t>
      </text>
    </comment>
    <comment ref="E52" authorId="7" shapeId="0" xr:uid="{698966FD-6A35-4DEF-91B0-DD474F0E8922}">
      <text>
        <t>[Threaded comment]
Your version of Excel allows you to read this threaded comment; however, any edits to it will get removed if the file is opened in a newer version of Excel. Learn more: https://go.microsoft.com/fwlink/?linkid=870924
Comment:
    Source: Historical closing prices (split-adjusted) for first trading day of each year. Data from Nasdaq.com and Yahoo Finance historical data.</t>
      </text>
    </comment>
    <comment ref="E59" authorId="8" shapeId="0" xr:uid="{79C1DF0A-1431-4A66-945A-B4391E50131B}">
      <text>
        <t>[Threaded comment]
Your version of Excel allows you to read this threaded comment; however, any edits to it will get removed if the file is opened in a newer version of Excel. Learn more: https://go.microsoft.com/fwlink/?linkid=870924
Comment:
    Source: Historical closing prices (split-adjusted) for first trading day of each year. Data from Nasdaq.com and Yahoo Finance historical data.</t>
      </text>
    </comment>
    <comment ref="E66" authorId="9" shapeId="0" xr:uid="{BCA9D662-D0E1-4ADA-A7A1-1D8CEF0D6099}">
      <text>
        <t>[Threaded comment]
Your version of Excel allows you to read this threaded comment; however, any edits to it will get removed if the file is opened in a newer version of Excel. Learn more: https://go.microsoft.com/fwlink/?linkid=870924
Comment:
    Source: Historical closing prices (split-adjusted) for first trading day of each year. Data from Nasdaq.com and Yahoo Finance historical data.</t>
      </text>
    </comment>
    <comment ref="E73" authorId="10" shapeId="0" xr:uid="{B1922484-F502-4206-83DC-87FDE9C2C985}">
      <text>
        <t>[Threaded comment]
Your version of Excel allows you to read this threaded comment; however, any edits to it will get removed if the file is opened in a newer version of Excel. Learn more: https://go.microsoft.com/fwlink/?linkid=870924
Comment:
    Source: Historical closing prices (split-adjusted) for first trading day of each year. Data from Nasdaq.com and Yahoo Finance historical data.</t>
      </text>
    </comment>
    <comment ref="E80" authorId="11" shapeId="0" xr:uid="{2CD90182-CBE6-4725-AB97-2C08A2469AA3}">
      <text>
        <t>[Threaded comment]
Your version of Excel allows you to read this threaded comment; however, any edits to it will get removed if the file is opened in a newer version of Excel. Learn more: https://go.microsoft.com/fwlink/?linkid=870924
Comment:
    Source: Historical closing prices (split-adjusted) for first trading day of each year. Data from Nasdaq.com and Yahoo Finance historical data.</t>
      </text>
    </comment>
    <comment ref="E87" authorId="12" shapeId="0" xr:uid="{A61CA121-1B3E-4104-9E4F-392D00D1AB7B}">
      <text>
        <t>[Threaded comment]
Your version of Excel allows you to read this threaded comment; however, any edits to it will get removed if the file is opened in a newer version of Excel. Learn more: https://go.microsoft.com/fwlink/?linkid=870924
Comment:
    Source: Historical closing prices (split-adjusted) for first trading day of each year. Data from Nasdaq.com and Yahoo Finance historical data.</t>
      </text>
    </comment>
    <comment ref="E94" authorId="13" shapeId="0" xr:uid="{3FDAAE89-7E25-455E-AF5F-BCE2AD0EFF52}">
      <text>
        <t>[Threaded comment]
Your version of Excel allows you to read this threaded comment; however, any edits to it will get removed if the file is opened in a newer version of Excel. Learn more: https://go.microsoft.com/fwlink/?linkid=870924
Comment:
    Source: Historical closing prices (split-adjusted) for first trading day of each year. Data from Nasdaq.com and Yahoo Finance historical data.</t>
      </text>
    </comment>
    <comment ref="E101" authorId="14" shapeId="0" xr:uid="{99F7585A-F853-412B-A3B2-2708EDD4CD92}">
      <text>
        <t>[Threaded comment]
Your version of Excel allows you to read this threaded comment; however, any edits to it will get removed if the file is opened in a newer version of Excel. Learn more: https://go.microsoft.com/fwlink/?linkid=870924
Comment:
    Source: Historical closing prices (split-adjusted) for first trading day of each year. Data from Nasdaq.com and Yahoo Finance historical data.</t>
      </text>
    </comment>
    <comment ref="E108" authorId="15" shapeId="0" xr:uid="{D233A964-621A-4BD1-BC1D-4A8E285712AC}">
      <text>
        <t>[Threaded comment]
Your version of Excel allows you to read this threaded comment; however, any edits to it will get removed if the file is opened in a newer version of Excel. Learn more: https://go.microsoft.com/fwlink/?linkid=870924
Comment:
    Source: Historical closing prices (split-adjusted) for first trading day of each year. Data from Nasdaq.com and Yahoo Finance historical data.</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RICHVALUE" minSupportedVersion="120000" copy="1" pasteAll="1" pasteValues="1" merge="1" splitFirst="1" rowColShift="1" clearFormats="1" clearComments="1" assign="1" coerce="1"/>
    <metadataType name="XLDAPR" minSupportedVersion="120000" copy="1" pasteAll="1" pasteValues="1" merge="1" splitFirst="1" rowColShift="1" clearFormats="1" clearComments="1" assign="1" coerce="1" cellMeta="1"/>
  </metadataTypes>
  <futureMetadata name="XLRICHVALUE" count="6556">
    <bk>
      <extLst>
        <ext uri="{3e2802c4-a4d2-4d8b-9148-e3be6c30e623}">
          <xlrd:rvb i="2"/>
        </ext>
      </extLst>
    </bk>
    <bk>
      <extLst>
        <ext uri="{3e2802c4-a4d2-4d8b-9148-e3be6c30e623}">
          <xlrd:rvb i="5"/>
        </ext>
      </extLst>
    </bk>
    <bk>
      <extLst>
        <ext uri="{3e2802c4-a4d2-4d8b-9148-e3be6c30e623}">
          <xlrd:rvb i="8"/>
        </ext>
      </extLst>
    </bk>
    <bk>
      <extLst>
        <ext uri="{3e2802c4-a4d2-4d8b-9148-e3be6c30e623}">
          <xlrd:rvb i="11"/>
        </ext>
      </extLst>
    </bk>
    <bk>
      <extLst>
        <ext uri="{3e2802c4-a4d2-4d8b-9148-e3be6c30e623}">
          <xlrd:rvb i="14"/>
        </ext>
      </extLst>
    </bk>
    <bk>
      <extLst>
        <ext uri="{3e2802c4-a4d2-4d8b-9148-e3be6c30e623}">
          <xlrd:rvb i="17"/>
        </ext>
      </extLst>
    </bk>
    <bk>
      <extLst>
        <ext uri="{3e2802c4-a4d2-4d8b-9148-e3be6c30e623}">
          <xlrd:rvb i="20"/>
        </ext>
      </extLst>
    </bk>
    <bk>
      <extLst>
        <ext uri="{3e2802c4-a4d2-4d8b-9148-e3be6c30e623}">
          <xlrd:rvb i="27"/>
        </ext>
      </extLst>
    </bk>
    <bk>
      <extLst>
        <ext uri="{3e2802c4-a4d2-4d8b-9148-e3be6c30e623}">
          <xlrd:rvb i="33"/>
        </ext>
      </extLst>
    </bk>
    <bk>
      <extLst>
        <ext uri="{3e2802c4-a4d2-4d8b-9148-e3be6c30e623}">
          <xlrd:rvb i="36"/>
        </ext>
      </extLst>
    </bk>
    <bk>
      <extLst>
        <ext uri="{3e2802c4-a4d2-4d8b-9148-e3be6c30e623}">
          <xlrd:rvb i="39"/>
        </ext>
      </extLst>
    </bk>
    <bk>
      <extLst>
        <ext uri="{3e2802c4-a4d2-4d8b-9148-e3be6c30e623}">
          <xlrd:rvb i="42"/>
        </ext>
      </extLst>
    </bk>
    <bk>
      <extLst>
        <ext uri="{3e2802c4-a4d2-4d8b-9148-e3be6c30e623}">
          <xlrd:rvb i="45"/>
        </ext>
      </extLst>
    </bk>
    <bk>
      <extLst>
        <ext uri="{3e2802c4-a4d2-4d8b-9148-e3be6c30e623}">
          <xlrd:rvb i="48"/>
        </ext>
      </extLst>
    </bk>
    <bk>
      <extLst>
        <ext uri="{3e2802c4-a4d2-4d8b-9148-e3be6c30e623}">
          <xlrd:rvb i="51"/>
        </ext>
      </extLst>
    </bk>
    <bk>
      <extLst>
        <ext uri="{3e2802c4-a4d2-4d8b-9148-e3be6c30e623}">
          <xlrd:rvb i="54"/>
        </ext>
      </extLst>
    </bk>
    <bk>
      <extLst>
        <ext uri="{3e2802c4-a4d2-4d8b-9148-e3be6c30e623}">
          <xlrd:rvb i="60"/>
        </ext>
      </extLst>
    </bk>
    <bk>
      <extLst>
        <ext uri="{3e2802c4-a4d2-4d8b-9148-e3be6c30e623}">
          <xlrd:rvb i="63"/>
        </ext>
      </extLst>
    </bk>
    <bk>
      <extLst>
        <ext uri="{3e2802c4-a4d2-4d8b-9148-e3be6c30e623}">
          <xlrd:rvb i="66"/>
        </ext>
      </extLst>
    </bk>
    <bk>
      <extLst>
        <ext uri="{3e2802c4-a4d2-4d8b-9148-e3be6c30e623}">
          <xlrd:rvb i="69"/>
        </ext>
      </extLst>
    </bk>
    <bk>
      <extLst>
        <ext uri="{3e2802c4-a4d2-4d8b-9148-e3be6c30e623}">
          <xlrd:rvb i="72"/>
        </ext>
      </extLst>
    </bk>
    <bk>
      <extLst>
        <ext uri="{3e2802c4-a4d2-4d8b-9148-e3be6c30e623}">
          <xlrd:rvb i="75"/>
        </ext>
      </extLst>
    </bk>
    <bk>
      <extLst>
        <ext uri="{3e2802c4-a4d2-4d8b-9148-e3be6c30e623}">
          <xlrd:rvb i="78"/>
        </ext>
      </extLst>
    </bk>
    <bk>
      <extLst>
        <ext uri="{3e2802c4-a4d2-4d8b-9148-e3be6c30e623}">
          <xlrd:rvb i="81"/>
        </ext>
      </extLst>
    </bk>
    <bk>
      <extLst>
        <ext uri="{3e2802c4-a4d2-4d8b-9148-e3be6c30e623}">
          <xlrd:rvb i="84"/>
        </ext>
      </extLst>
    </bk>
    <bk>
      <extLst>
        <ext uri="{3e2802c4-a4d2-4d8b-9148-e3be6c30e623}">
          <xlrd:rvb i="85"/>
        </ext>
      </extLst>
    </bk>
    <bk>
      <extLst>
        <ext uri="{3e2802c4-a4d2-4d8b-9148-e3be6c30e623}">
          <xlrd:rvb i="86"/>
        </ext>
      </extLst>
    </bk>
    <bk>
      <extLst>
        <ext uri="{3e2802c4-a4d2-4d8b-9148-e3be6c30e623}">
          <xlrd:rvb i="87"/>
        </ext>
      </extLst>
    </bk>
    <bk>
      <extLst>
        <ext uri="{3e2802c4-a4d2-4d8b-9148-e3be6c30e623}">
          <xlrd:rvb i="88"/>
        </ext>
      </extLst>
    </bk>
    <bk>
      <extLst>
        <ext uri="{3e2802c4-a4d2-4d8b-9148-e3be6c30e623}">
          <xlrd:rvb i="89"/>
        </ext>
      </extLst>
    </bk>
    <bk>
      <extLst>
        <ext uri="{3e2802c4-a4d2-4d8b-9148-e3be6c30e623}">
          <xlrd:rvb i="90"/>
        </ext>
      </extLst>
    </bk>
    <bk>
      <extLst>
        <ext uri="{3e2802c4-a4d2-4d8b-9148-e3be6c30e623}">
          <xlrd:rvb i="91"/>
        </ext>
      </extLst>
    </bk>
    <bk>
      <extLst>
        <ext uri="{3e2802c4-a4d2-4d8b-9148-e3be6c30e623}">
          <xlrd:rvb i="92"/>
        </ext>
      </extLst>
    </bk>
    <bk>
      <extLst>
        <ext uri="{3e2802c4-a4d2-4d8b-9148-e3be6c30e623}">
          <xlrd:rvb i="93"/>
        </ext>
      </extLst>
    </bk>
    <bk>
      <extLst>
        <ext uri="{3e2802c4-a4d2-4d8b-9148-e3be6c30e623}">
          <xlrd:rvb i="94"/>
        </ext>
      </extLst>
    </bk>
    <bk>
      <extLst>
        <ext uri="{3e2802c4-a4d2-4d8b-9148-e3be6c30e623}">
          <xlrd:rvb i="95"/>
        </ext>
      </extLst>
    </bk>
    <bk>
      <extLst>
        <ext uri="{3e2802c4-a4d2-4d8b-9148-e3be6c30e623}">
          <xlrd:rvb i="96"/>
        </ext>
      </extLst>
    </bk>
    <bk>
      <extLst>
        <ext uri="{3e2802c4-a4d2-4d8b-9148-e3be6c30e623}">
          <xlrd:rvb i="97"/>
        </ext>
      </extLst>
    </bk>
    <bk>
      <extLst>
        <ext uri="{3e2802c4-a4d2-4d8b-9148-e3be6c30e623}">
          <xlrd:rvb i="98"/>
        </ext>
      </extLst>
    </bk>
    <bk>
      <extLst>
        <ext uri="{3e2802c4-a4d2-4d8b-9148-e3be6c30e623}">
          <xlrd:rvb i="99"/>
        </ext>
      </extLst>
    </bk>
    <bk>
      <extLst>
        <ext uri="{3e2802c4-a4d2-4d8b-9148-e3be6c30e623}">
          <xlrd:rvb i="100"/>
        </ext>
      </extLst>
    </bk>
    <bk>
      <extLst>
        <ext uri="{3e2802c4-a4d2-4d8b-9148-e3be6c30e623}">
          <xlrd:rvb i="101"/>
        </ext>
      </extLst>
    </bk>
    <bk>
      <extLst>
        <ext uri="{3e2802c4-a4d2-4d8b-9148-e3be6c30e623}">
          <xlrd:rvb i="102"/>
        </ext>
      </extLst>
    </bk>
    <bk>
      <extLst>
        <ext uri="{3e2802c4-a4d2-4d8b-9148-e3be6c30e623}">
          <xlrd:rvb i="103"/>
        </ext>
      </extLst>
    </bk>
    <bk>
      <extLst>
        <ext uri="{3e2802c4-a4d2-4d8b-9148-e3be6c30e623}">
          <xlrd:rvb i="104"/>
        </ext>
      </extLst>
    </bk>
    <bk>
      <extLst>
        <ext uri="{3e2802c4-a4d2-4d8b-9148-e3be6c30e623}">
          <xlrd:rvb i="105"/>
        </ext>
      </extLst>
    </bk>
    <bk>
      <extLst>
        <ext uri="{3e2802c4-a4d2-4d8b-9148-e3be6c30e623}">
          <xlrd:rvb i="106"/>
        </ext>
      </extLst>
    </bk>
    <bk>
      <extLst>
        <ext uri="{3e2802c4-a4d2-4d8b-9148-e3be6c30e623}">
          <xlrd:rvb i="107"/>
        </ext>
      </extLst>
    </bk>
    <bk>
      <extLst>
        <ext uri="{3e2802c4-a4d2-4d8b-9148-e3be6c30e623}">
          <xlrd:rvb i="108"/>
        </ext>
      </extLst>
    </bk>
    <bk>
      <extLst>
        <ext uri="{3e2802c4-a4d2-4d8b-9148-e3be6c30e623}">
          <xlrd:rvb i="109"/>
        </ext>
      </extLst>
    </bk>
    <bk>
      <extLst>
        <ext uri="{3e2802c4-a4d2-4d8b-9148-e3be6c30e623}">
          <xlrd:rvb i="110"/>
        </ext>
      </extLst>
    </bk>
    <bk>
      <extLst>
        <ext uri="{3e2802c4-a4d2-4d8b-9148-e3be6c30e623}">
          <xlrd:rvb i="111"/>
        </ext>
      </extLst>
    </bk>
    <bk>
      <extLst>
        <ext uri="{3e2802c4-a4d2-4d8b-9148-e3be6c30e623}">
          <xlrd:rvb i="112"/>
        </ext>
      </extLst>
    </bk>
    <bk>
      <extLst>
        <ext uri="{3e2802c4-a4d2-4d8b-9148-e3be6c30e623}">
          <xlrd:rvb i="113"/>
        </ext>
      </extLst>
    </bk>
    <bk>
      <extLst>
        <ext uri="{3e2802c4-a4d2-4d8b-9148-e3be6c30e623}">
          <xlrd:rvb i="114"/>
        </ext>
      </extLst>
    </bk>
    <bk>
      <extLst>
        <ext uri="{3e2802c4-a4d2-4d8b-9148-e3be6c30e623}">
          <xlrd:rvb i="115"/>
        </ext>
      </extLst>
    </bk>
    <bk>
      <extLst>
        <ext uri="{3e2802c4-a4d2-4d8b-9148-e3be6c30e623}">
          <xlrd:rvb i="116"/>
        </ext>
      </extLst>
    </bk>
    <bk>
      <extLst>
        <ext uri="{3e2802c4-a4d2-4d8b-9148-e3be6c30e623}">
          <xlrd:rvb i="117"/>
        </ext>
      </extLst>
    </bk>
    <bk>
      <extLst>
        <ext uri="{3e2802c4-a4d2-4d8b-9148-e3be6c30e623}">
          <xlrd:rvb i="118"/>
        </ext>
      </extLst>
    </bk>
    <bk>
      <extLst>
        <ext uri="{3e2802c4-a4d2-4d8b-9148-e3be6c30e623}">
          <xlrd:rvb i="119"/>
        </ext>
      </extLst>
    </bk>
    <bk>
      <extLst>
        <ext uri="{3e2802c4-a4d2-4d8b-9148-e3be6c30e623}">
          <xlrd:rvb i="120"/>
        </ext>
      </extLst>
    </bk>
    <bk>
      <extLst>
        <ext uri="{3e2802c4-a4d2-4d8b-9148-e3be6c30e623}">
          <xlrd:rvb i="121"/>
        </ext>
      </extLst>
    </bk>
    <bk>
      <extLst>
        <ext uri="{3e2802c4-a4d2-4d8b-9148-e3be6c30e623}">
          <xlrd:rvb i="122"/>
        </ext>
      </extLst>
    </bk>
    <bk>
      <extLst>
        <ext uri="{3e2802c4-a4d2-4d8b-9148-e3be6c30e623}">
          <xlrd:rvb i="123"/>
        </ext>
      </extLst>
    </bk>
    <bk>
      <extLst>
        <ext uri="{3e2802c4-a4d2-4d8b-9148-e3be6c30e623}">
          <xlrd:rvb i="124"/>
        </ext>
      </extLst>
    </bk>
    <bk>
      <extLst>
        <ext uri="{3e2802c4-a4d2-4d8b-9148-e3be6c30e623}">
          <xlrd:rvb i="125"/>
        </ext>
      </extLst>
    </bk>
    <bk>
      <extLst>
        <ext uri="{3e2802c4-a4d2-4d8b-9148-e3be6c30e623}">
          <xlrd:rvb i="126"/>
        </ext>
      </extLst>
    </bk>
    <bk>
      <extLst>
        <ext uri="{3e2802c4-a4d2-4d8b-9148-e3be6c30e623}">
          <xlrd:rvb i="127"/>
        </ext>
      </extLst>
    </bk>
    <bk>
      <extLst>
        <ext uri="{3e2802c4-a4d2-4d8b-9148-e3be6c30e623}">
          <xlrd:rvb i="128"/>
        </ext>
      </extLst>
    </bk>
    <bk>
      <extLst>
        <ext uri="{3e2802c4-a4d2-4d8b-9148-e3be6c30e623}">
          <xlrd:rvb i="129"/>
        </ext>
      </extLst>
    </bk>
    <bk>
      <extLst>
        <ext uri="{3e2802c4-a4d2-4d8b-9148-e3be6c30e623}">
          <xlrd:rvb i="130"/>
        </ext>
      </extLst>
    </bk>
    <bk>
      <extLst>
        <ext uri="{3e2802c4-a4d2-4d8b-9148-e3be6c30e623}">
          <xlrd:rvb i="131"/>
        </ext>
      </extLst>
    </bk>
    <bk>
      <extLst>
        <ext uri="{3e2802c4-a4d2-4d8b-9148-e3be6c30e623}">
          <xlrd:rvb i="132"/>
        </ext>
      </extLst>
    </bk>
    <bk>
      <extLst>
        <ext uri="{3e2802c4-a4d2-4d8b-9148-e3be6c30e623}">
          <xlrd:rvb i="133"/>
        </ext>
      </extLst>
    </bk>
    <bk>
      <extLst>
        <ext uri="{3e2802c4-a4d2-4d8b-9148-e3be6c30e623}">
          <xlrd:rvb i="134"/>
        </ext>
      </extLst>
    </bk>
    <bk>
      <extLst>
        <ext uri="{3e2802c4-a4d2-4d8b-9148-e3be6c30e623}">
          <xlrd:rvb i="135"/>
        </ext>
      </extLst>
    </bk>
    <bk>
      <extLst>
        <ext uri="{3e2802c4-a4d2-4d8b-9148-e3be6c30e623}">
          <xlrd:rvb i="136"/>
        </ext>
      </extLst>
    </bk>
    <bk>
      <extLst>
        <ext uri="{3e2802c4-a4d2-4d8b-9148-e3be6c30e623}">
          <xlrd:rvb i="137"/>
        </ext>
      </extLst>
    </bk>
    <bk>
      <extLst>
        <ext uri="{3e2802c4-a4d2-4d8b-9148-e3be6c30e623}">
          <xlrd:rvb i="138"/>
        </ext>
      </extLst>
    </bk>
    <bk>
      <extLst>
        <ext uri="{3e2802c4-a4d2-4d8b-9148-e3be6c30e623}">
          <xlrd:rvb i="139"/>
        </ext>
      </extLst>
    </bk>
    <bk>
      <extLst>
        <ext uri="{3e2802c4-a4d2-4d8b-9148-e3be6c30e623}">
          <xlrd:rvb i="140"/>
        </ext>
      </extLst>
    </bk>
    <bk>
      <extLst>
        <ext uri="{3e2802c4-a4d2-4d8b-9148-e3be6c30e623}">
          <xlrd:rvb i="141"/>
        </ext>
      </extLst>
    </bk>
    <bk>
      <extLst>
        <ext uri="{3e2802c4-a4d2-4d8b-9148-e3be6c30e623}">
          <xlrd:rvb i="142"/>
        </ext>
      </extLst>
    </bk>
    <bk>
      <extLst>
        <ext uri="{3e2802c4-a4d2-4d8b-9148-e3be6c30e623}">
          <xlrd:rvb i="143"/>
        </ext>
      </extLst>
    </bk>
    <bk>
      <extLst>
        <ext uri="{3e2802c4-a4d2-4d8b-9148-e3be6c30e623}">
          <xlrd:rvb i="144"/>
        </ext>
      </extLst>
    </bk>
    <bk>
      <extLst>
        <ext uri="{3e2802c4-a4d2-4d8b-9148-e3be6c30e623}">
          <xlrd:rvb i="145"/>
        </ext>
      </extLst>
    </bk>
    <bk>
      <extLst>
        <ext uri="{3e2802c4-a4d2-4d8b-9148-e3be6c30e623}">
          <xlrd:rvb i="146"/>
        </ext>
      </extLst>
    </bk>
    <bk>
      <extLst>
        <ext uri="{3e2802c4-a4d2-4d8b-9148-e3be6c30e623}">
          <xlrd:rvb i="147"/>
        </ext>
      </extLst>
    </bk>
    <bk>
      <extLst>
        <ext uri="{3e2802c4-a4d2-4d8b-9148-e3be6c30e623}">
          <xlrd:rvb i="148"/>
        </ext>
      </extLst>
    </bk>
    <bk>
      <extLst>
        <ext uri="{3e2802c4-a4d2-4d8b-9148-e3be6c30e623}">
          <xlrd:rvb i="149"/>
        </ext>
      </extLst>
    </bk>
    <bk>
      <extLst>
        <ext uri="{3e2802c4-a4d2-4d8b-9148-e3be6c30e623}">
          <xlrd:rvb i="150"/>
        </ext>
      </extLst>
    </bk>
    <bk>
      <extLst>
        <ext uri="{3e2802c4-a4d2-4d8b-9148-e3be6c30e623}">
          <xlrd:rvb i="151"/>
        </ext>
      </extLst>
    </bk>
    <bk>
      <extLst>
        <ext uri="{3e2802c4-a4d2-4d8b-9148-e3be6c30e623}">
          <xlrd:rvb i="152"/>
        </ext>
      </extLst>
    </bk>
    <bk>
      <extLst>
        <ext uri="{3e2802c4-a4d2-4d8b-9148-e3be6c30e623}">
          <xlrd:rvb i="153"/>
        </ext>
      </extLst>
    </bk>
    <bk>
      <extLst>
        <ext uri="{3e2802c4-a4d2-4d8b-9148-e3be6c30e623}">
          <xlrd:rvb i="154"/>
        </ext>
      </extLst>
    </bk>
    <bk>
      <extLst>
        <ext uri="{3e2802c4-a4d2-4d8b-9148-e3be6c30e623}">
          <xlrd:rvb i="155"/>
        </ext>
      </extLst>
    </bk>
    <bk>
      <extLst>
        <ext uri="{3e2802c4-a4d2-4d8b-9148-e3be6c30e623}">
          <xlrd:rvb i="156"/>
        </ext>
      </extLst>
    </bk>
    <bk>
      <extLst>
        <ext uri="{3e2802c4-a4d2-4d8b-9148-e3be6c30e623}">
          <xlrd:rvb i="157"/>
        </ext>
      </extLst>
    </bk>
    <bk>
      <extLst>
        <ext uri="{3e2802c4-a4d2-4d8b-9148-e3be6c30e623}">
          <xlrd:rvb i="158"/>
        </ext>
      </extLst>
    </bk>
    <bk>
      <extLst>
        <ext uri="{3e2802c4-a4d2-4d8b-9148-e3be6c30e623}">
          <xlrd:rvb i="159"/>
        </ext>
      </extLst>
    </bk>
    <bk>
      <extLst>
        <ext uri="{3e2802c4-a4d2-4d8b-9148-e3be6c30e623}">
          <xlrd:rvb i="160"/>
        </ext>
      </extLst>
    </bk>
    <bk>
      <extLst>
        <ext uri="{3e2802c4-a4d2-4d8b-9148-e3be6c30e623}">
          <xlrd:rvb i="161"/>
        </ext>
      </extLst>
    </bk>
    <bk>
      <extLst>
        <ext uri="{3e2802c4-a4d2-4d8b-9148-e3be6c30e623}">
          <xlrd:rvb i="162"/>
        </ext>
      </extLst>
    </bk>
    <bk>
      <extLst>
        <ext uri="{3e2802c4-a4d2-4d8b-9148-e3be6c30e623}">
          <xlrd:rvb i="163"/>
        </ext>
      </extLst>
    </bk>
    <bk>
      <extLst>
        <ext uri="{3e2802c4-a4d2-4d8b-9148-e3be6c30e623}">
          <xlrd:rvb i="164"/>
        </ext>
      </extLst>
    </bk>
    <bk>
      <extLst>
        <ext uri="{3e2802c4-a4d2-4d8b-9148-e3be6c30e623}">
          <xlrd:rvb i="165"/>
        </ext>
      </extLst>
    </bk>
    <bk>
      <extLst>
        <ext uri="{3e2802c4-a4d2-4d8b-9148-e3be6c30e623}">
          <xlrd:rvb i="166"/>
        </ext>
      </extLst>
    </bk>
    <bk>
      <extLst>
        <ext uri="{3e2802c4-a4d2-4d8b-9148-e3be6c30e623}">
          <xlrd:rvb i="167"/>
        </ext>
      </extLst>
    </bk>
    <bk>
      <extLst>
        <ext uri="{3e2802c4-a4d2-4d8b-9148-e3be6c30e623}">
          <xlrd:rvb i="168"/>
        </ext>
      </extLst>
    </bk>
    <bk>
      <extLst>
        <ext uri="{3e2802c4-a4d2-4d8b-9148-e3be6c30e623}">
          <xlrd:rvb i="169"/>
        </ext>
      </extLst>
    </bk>
    <bk>
      <extLst>
        <ext uri="{3e2802c4-a4d2-4d8b-9148-e3be6c30e623}">
          <xlrd:rvb i="170"/>
        </ext>
      </extLst>
    </bk>
    <bk>
      <extLst>
        <ext uri="{3e2802c4-a4d2-4d8b-9148-e3be6c30e623}">
          <xlrd:rvb i="171"/>
        </ext>
      </extLst>
    </bk>
    <bk>
      <extLst>
        <ext uri="{3e2802c4-a4d2-4d8b-9148-e3be6c30e623}">
          <xlrd:rvb i="172"/>
        </ext>
      </extLst>
    </bk>
    <bk>
      <extLst>
        <ext uri="{3e2802c4-a4d2-4d8b-9148-e3be6c30e623}">
          <xlrd:rvb i="173"/>
        </ext>
      </extLst>
    </bk>
    <bk>
      <extLst>
        <ext uri="{3e2802c4-a4d2-4d8b-9148-e3be6c30e623}">
          <xlrd:rvb i="174"/>
        </ext>
      </extLst>
    </bk>
    <bk>
      <extLst>
        <ext uri="{3e2802c4-a4d2-4d8b-9148-e3be6c30e623}">
          <xlrd:rvb i="175"/>
        </ext>
      </extLst>
    </bk>
    <bk>
      <extLst>
        <ext uri="{3e2802c4-a4d2-4d8b-9148-e3be6c30e623}">
          <xlrd:rvb i="176"/>
        </ext>
      </extLst>
    </bk>
    <bk>
      <extLst>
        <ext uri="{3e2802c4-a4d2-4d8b-9148-e3be6c30e623}">
          <xlrd:rvb i="177"/>
        </ext>
      </extLst>
    </bk>
    <bk>
      <extLst>
        <ext uri="{3e2802c4-a4d2-4d8b-9148-e3be6c30e623}">
          <xlrd:rvb i="178"/>
        </ext>
      </extLst>
    </bk>
    <bk>
      <extLst>
        <ext uri="{3e2802c4-a4d2-4d8b-9148-e3be6c30e623}">
          <xlrd:rvb i="179"/>
        </ext>
      </extLst>
    </bk>
    <bk>
      <extLst>
        <ext uri="{3e2802c4-a4d2-4d8b-9148-e3be6c30e623}">
          <xlrd:rvb i="180"/>
        </ext>
      </extLst>
    </bk>
    <bk>
      <extLst>
        <ext uri="{3e2802c4-a4d2-4d8b-9148-e3be6c30e623}">
          <xlrd:rvb i="181"/>
        </ext>
      </extLst>
    </bk>
    <bk>
      <extLst>
        <ext uri="{3e2802c4-a4d2-4d8b-9148-e3be6c30e623}">
          <xlrd:rvb i="182"/>
        </ext>
      </extLst>
    </bk>
    <bk>
      <extLst>
        <ext uri="{3e2802c4-a4d2-4d8b-9148-e3be6c30e623}">
          <xlrd:rvb i="183"/>
        </ext>
      </extLst>
    </bk>
    <bk>
      <extLst>
        <ext uri="{3e2802c4-a4d2-4d8b-9148-e3be6c30e623}">
          <xlrd:rvb i="184"/>
        </ext>
      </extLst>
    </bk>
    <bk>
      <extLst>
        <ext uri="{3e2802c4-a4d2-4d8b-9148-e3be6c30e623}">
          <xlrd:rvb i="185"/>
        </ext>
      </extLst>
    </bk>
    <bk>
      <extLst>
        <ext uri="{3e2802c4-a4d2-4d8b-9148-e3be6c30e623}">
          <xlrd:rvb i="186"/>
        </ext>
      </extLst>
    </bk>
    <bk>
      <extLst>
        <ext uri="{3e2802c4-a4d2-4d8b-9148-e3be6c30e623}">
          <xlrd:rvb i="187"/>
        </ext>
      </extLst>
    </bk>
    <bk>
      <extLst>
        <ext uri="{3e2802c4-a4d2-4d8b-9148-e3be6c30e623}">
          <xlrd:rvb i="188"/>
        </ext>
      </extLst>
    </bk>
    <bk>
      <extLst>
        <ext uri="{3e2802c4-a4d2-4d8b-9148-e3be6c30e623}">
          <xlrd:rvb i="189"/>
        </ext>
      </extLst>
    </bk>
    <bk>
      <extLst>
        <ext uri="{3e2802c4-a4d2-4d8b-9148-e3be6c30e623}">
          <xlrd:rvb i="190"/>
        </ext>
      </extLst>
    </bk>
    <bk>
      <extLst>
        <ext uri="{3e2802c4-a4d2-4d8b-9148-e3be6c30e623}">
          <xlrd:rvb i="191"/>
        </ext>
      </extLst>
    </bk>
    <bk>
      <extLst>
        <ext uri="{3e2802c4-a4d2-4d8b-9148-e3be6c30e623}">
          <xlrd:rvb i="192"/>
        </ext>
      </extLst>
    </bk>
    <bk>
      <extLst>
        <ext uri="{3e2802c4-a4d2-4d8b-9148-e3be6c30e623}">
          <xlrd:rvb i="193"/>
        </ext>
      </extLst>
    </bk>
    <bk>
      <extLst>
        <ext uri="{3e2802c4-a4d2-4d8b-9148-e3be6c30e623}">
          <xlrd:rvb i="194"/>
        </ext>
      </extLst>
    </bk>
    <bk>
      <extLst>
        <ext uri="{3e2802c4-a4d2-4d8b-9148-e3be6c30e623}">
          <xlrd:rvb i="195"/>
        </ext>
      </extLst>
    </bk>
    <bk>
      <extLst>
        <ext uri="{3e2802c4-a4d2-4d8b-9148-e3be6c30e623}">
          <xlrd:rvb i="196"/>
        </ext>
      </extLst>
    </bk>
    <bk>
      <extLst>
        <ext uri="{3e2802c4-a4d2-4d8b-9148-e3be6c30e623}">
          <xlrd:rvb i="197"/>
        </ext>
      </extLst>
    </bk>
    <bk>
      <extLst>
        <ext uri="{3e2802c4-a4d2-4d8b-9148-e3be6c30e623}">
          <xlrd:rvb i="198"/>
        </ext>
      </extLst>
    </bk>
    <bk>
      <extLst>
        <ext uri="{3e2802c4-a4d2-4d8b-9148-e3be6c30e623}">
          <xlrd:rvb i="199"/>
        </ext>
      </extLst>
    </bk>
    <bk>
      <extLst>
        <ext uri="{3e2802c4-a4d2-4d8b-9148-e3be6c30e623}">
          <xlrd:rvb i="200"/>
        </ext>
      </extLst>
    </bk>
    <bk>
      <extLst>
        <ext uri="{3e2802c4-a4d2-4d8b-9148-e3be6c30e623}">
          <xlrd:rvb i="201"/>
        </ext>
      </extLst>
    </bk>
    <bk>
      <extLst>
        <ext uri="{3e2802c4-a4d2-4d8b-9148-e3be6c30e623}">
          <xlrd:rvb i="202"/>
        </ext>
      </extLst>
    </bk>
    <bk>
      <extLst>
        <ext uri="{3e2802c4-a4d2-4d8b-9148-e3be6c30e623}">
          <xlrd:rvb i="203"/>
        </ext>
      </extLst>
    </bk>
    <bk>
      <extLst>
        <ext uri="{3e2802c4-a4d2-4d8b-9148-e3be6c30e623}">
          <xlrd:rvb i="204"/>
        </ext>
      </extLst>
    </bk>
    <bk>
      <extLst>
        <ext uri="{3e2802c4-a4d2-4d8b-9148-e3be6c30e623}">
          <xlrd:rvb i="205"/>
        </ext>
      </extLst>
    </bk>
    <bk>
      <extLst>
        <ext uri="{3e2802c4-a4d2-4d8b-9148-e3be6c30e623}">
          <xlrd:rvb i="206"/>
        </ext>
      </extLst>
    </bk>
    <bk>
      <extLst>
        <ext uri="{3e2802c4-a4d2-4d8b-9148-e3be6c30e623}">
          <xlrd:rvb i="207"/>
        </ext>
      </extLst>
    </bk>
    <bk>
      <extLst>
        <ext uri="{3e2802c4-a4d2-4d8b-9148-e3be6c30e623}">
          <xlrd:rvb i="208"/>
        </ext>
      </extLst>
    </bk>
    <bk>
      <extLst>
        <ext uri="{3e2802c4-a4d2-4d8b-9148-e3be6c30e623}">
          <xlrd:rvb i="209"/>
        </ext>
      </extLst>
    </bk>
    <bk>
      <extLst>
        <ext uri="{3e2802c4-a4d2-4d8b-9148-e3be6c30e623}">
          <xlrd:rvb i="210"/>
        </ext>
      </extLst>
    </bk>
    <bk>
      <extLst>
        <ext uri="{3e2802c4-a4d2-4d8b-9148-e3be6c30e623}">
          <xlrd:rvb i="211"/>
        </ext>
      </extLst>
    </bk>
    <bk>
      <extLst>
        <ext uri="{3e2802c4-a4d2-4d8b-9148-e3be6c30e623}">
          <xlrd:rvb i="212"/>
        </ext>
      </extLst>
    </bk>
    <bk>
      <extLst>
        <ext uri="{3e2802c4-a4d2-4d8b-9148-e3be6c30e623}">
          <xlrd:rvb i="213"/>
        </ext>
      </extLst>
    </bk>
    <bk>
      <extLst>
        <ext uri="{3e2802c4-a4d2-4d8b-9148-e3be6c30e623}">
          <xlrd:rvb i="214"/>
        </ext>
      </extLst>
    </bk>
    <bk>
      <extLst>
        <ext uri="{3e2802c4-a4d2-4d8b-9148-e3be6c30e623}">
          <xlrd:rvb i="215"/>
        </ext>
      </extLst>
    </bk>
    <bk>
      <extLst>
        <ext uri="{3e2802c4-a4d2-4d8b-9148-e3be6c30e623}">
          <xlrd:rvb i="216"/>
        </ext>
      </extLst>
    </bk>
    <bk>
      <extLst>
        <ext uri="{3e2802c4-a4d2-4d8b-9148-e3be6c30e623}">
          <xlrd:rvb i="217"/>
        </ext>
      </extLst>
    </bk>
    <bk>
      <extLst>
        <ext uri="{3e2802c4-a4d2-4d8b-9148-e3be6c30e623}">
          <xlrd:rvb i="218"/>
        </ext>
      </extLst>
    </bk>
    <bk>
      <extLst>
        <ext uri="{3e2802c4-a4d2-4d8b-9148-e3be6c30e623}">
          <xlrd:rvb i="219"/>
        </ext>
      </extLst>
    </bk>
    <bk>
      <extLst>
        <ext uri="{3e2802c4-a4d2-4d8b-9148-e3be6c30e623}">
          <xlrd:rvb i="220"/>
        </ext>
      </extLst>
    </bk>
    <bk>
      <extLst>
        <ext uri="{3e2802c4-a4d2-4d8b-9148-e3be6c30e623}">
          <xlrd:rvb i="221"/>
        </ext>
      </extLst>
    </bk>
    <bk>
      <extLst>
        <ext uri="{3e2802c4-a4d2-4d8b-9148-e3be6c30e623}">
          <xlrd:rvb i="222"/>
        </ext>
      </extLst>
    </bk>
    <bk>
      <extLst>
        <ext uri="{3e2802c4-a4d2-4d8b-9148-e3be6c30e623}">
          <xlrd:rvb i="223"/>
        </ext>
      </extLst>
    </bk>
    <bk>
      <extLst>
        <ext uri="{3e2802c4-a4d2-4d8b-9148-e3be6c30e623}">
          <xlrd:rvb i="224"/>
        </ext>
      </extLst>
    </bk>
    <bk>
      <extLst>
        <ext uri="{3e2802c4-a4d2-4d8b-9148-e3be6c30e623}">
          <xlrd:rvb i="225"/>
        </ext>
      </extLst>
    </bk>
    <bk>
      <extLst>
        <ext uri="{3e2802c4-a4d2-4d8b-9148-e3be6c30e623}">
          <xlrd:rvb i="226"/>
        </ext>
      </extLst>
    </bk>
    <bk>
      <extLst>
        <ext uri="{3e2802c4-a4d2-4d8b-9148-e3be6c30e623}">
          <xlrd:rvb i="227"/>
        </ext>
      </extLst>
    </bk>
    <bk>
      <extLst>
        <ext uri="{3e2802c4-a4d2-4d8b-9148-e3be6c30e623}">
          <xlrd:rvb i="228"/>
        </ext>
      </extLst>
    </bk>
    <bk>
      <extLst>
        <ext uri="{3e2802c4-a4d2-4d8b-9148-e3be6c30e623}">
          <xlrd:rvb i="229"/>
        </ext>
      </extLst>
    </bk>
    <bk>
      <extLst>
        <ext uri="{3e2802c4-a4d2-4d8b-9148-e3be6c30e623}">
          <xlrd:rvb i="230"/>
        </ext>
      </extLst>
    </bk>
    <bk>
      <extLst>
        <ext uri="{3e2802c4-a4d2-4d8b-9148-e3be6c30e623}">
          <xlrd:rvb i="231"/>
        </ext>
      </extLst>
    </bk>
    <bk>
      <extLst>
        <ext uri="{3e2802c4-a4d2-4d8b-9148-e3be6c30e623}">
          <xlrd:rvb i="232"/>
        </ext>
      </extLst>
    </bk>
    <bk>
      <extLst>
        <ext uri="{3e2802c4-a4d2-4d8b-9148-e3be6c30e623}">
          <xlrd:rvb i="233"/>
        </ext>
      </extLst>
    </bk>
    <bk>
      <extLst>
        <ext uri="{3e2802c4-a4d2-4d8b-9148-e3be6c30e623}">
          <xlrd:rvb i="234"/>
        </ext>
      </extLst>
    </bk>
    <bk>
      <extLst>
        <ext uri="{3e2802c4-a4d2-4d8b-9148-e3be6c30e623}">
          <xlrd:rvb i="235"/>
        </ext>
      </extLst>
    </bk>
    <bk>
      <extLst>
        <ext uri="{3e2802c4-a4d2-4d8b-9148-e3be6c30e623}">
          <xlrd:rvb i="236"/>
        </ext>
      </extLst>
    </bk>
    <bk>
      <extLst>
        <ext uri="{3e2802c4-a4d2-4d8b-9148-e3be6c30e623}">
          <xlrd:rvb i="237"/>
        </ext>
      </extLst>
    </bk>
    <bk>
      <extLst>
        <ext uri="{3e2802c4-a4d2-4d8b-9148-e3be6c30e623}">
          <xlrd:rvb i="238"/>
        </ext>
      </extLst>
    </bk>
    <bk>
      <extLst>
        <ext uri="{3e2802c4-a4d2-4d8b-9148-e3be6c30e623}">
          <xlrd:rvb i="239"/>
        </ext>
      </extLst>
    </bk>
    <bk>
      <extLst>
        <ext uri="{3e2802c4-a4d2-4d8b-9148-e3be6c30e623}">
          <xlrd:rvb i="240"/>
        </ext>
      </extLst>
    </bk>
    <bk>
      <extLst>
        <ext uri="{3e2802c4-a4d2-4d8b-9148-e3be6c30e623}">
          <xlrd:rvb i="241"/>
        </ext>
      </extLst>
    </bk>
    <bk>
      <extLst>
        <ext uri="{3e2802c4-a4d2-4d8b-9148-e3be6c30e623}">
          <xlrd:rvb i="242"/>
        </ext>
      </extLst>
    </bk>
    <bk>
      <extLst>
        <ext uri="{3e2802c4-a4d2-4d8b-9148-e3be6c30e623}">
          <xlrd:rvb i="243"/>
        </ext>
      </extLst>
    </bk>
    <bk>
      <extLst>
        <ext uri="{3e2802c4-a4d2-4d8b-9148-e3be6c30e623}">
          <xlrd:rvb i="244"/>
        </ext>
      </extLst>
    </bk>
    <bk>
      <extLst>
        <ext uri="{3e2802c4-a4d2-4d8b-9148-e3be6c30e623}">
          <xlrd:rvb i="245"/>
        </ext>
      </extLst>
    </bk>
    <bk>
      <extLst>
        <ext uri="{3e2802c4-a4d2-4d8b-9148-e3be6c30e623}">
          <xlrd:rvb i="246"/>
        </ext>
      </extLst>
    </bk>
    <bk>
      <extLst>
        <ext uri="{3e2802c4-a4d2-4d8b-9148-e3be6c30e623}">
          <xlrd:rvb i="247"/>
        </ext>
      </extLst>
    </bk>
    <bk>
      <extLst>
        <ext uri="{3e2802c4-a4d2-4d8b-9148-e3be6c30e623}">
          <xlrd:rvb i="248"/>
        </ext>
      </extLst>
    </bk>
    <bk>
      <extLst>
        <ext uri="{3e2802c4-a4d2-4d8b-9148-e3be6c30e623}">
          <xlrd:rvb i="249"/>
        </ext>
      </extLst>
    </bk>
    <bk>
      <extLst>
        <ext uri="{3e2802c4-a4d2-4d8b-9148-e3be6c30e623}">
          <xlrd:rvb i="250"/>
        </ext>
      </extLst>
    </bk>
    <bk>
      <extLst>
        <ext uri="{3e2802c4-a4d2-4d8b-9148-e3be6c30e623}">
          <xlrd:rvb i="251"/>
        </ext>
      </extLst>
    </bk>
    <bk>
      <extLst>
        <ext uri="{3e2802c4-a4d2-4d8b-9148-e3be6c30e623}">
          <xlrd:rvb i="252"/>
        </ext>
      </extLst>
    </bk>
    <bk>
      <extLst>
        <ext uri="{3e2802c4-a4d2-4d8b-9148-e3be6c30e623}">
          <xlrd:rvb i="253"/>
        </ext>
      </extLst>
    </bk>
    <bk>
      <extLst>
        <ext uri="{3e2802c4-a4d2-4d8b-9148-e3be6c30e623}">
          <xlrd:rvb i="254"/>
        </ext>
      </extLst>
    </bk>
    <bk>
      <extLst>
        <ext uri="{3e2802c4-a4d2-4d8b-9148-e3be6c30e623}">
          <xlrd:rvb i="255"/>
        </ext>
      </extLst>
    </bk>
    <bk>
      <extLst>
        <ext uri="{3e2802c4-a4d2-4d8b-9148-e3be6c30e623}">
          <xlrd:rvb i="256"/>
        </ext>
      </extLst>
    </bk>
    <bk>
      <extLst>
        <ext uri="{3e2802c4-a4d2-4d8b-9148-e3be6c30e623}">
          <xlrd:rvb i="257"/>
        </ext>
      </extLst>
    </bk>
    <bk>
      <extLst>
        <ext uri="{3e2802c4-a4d2-4d8b-9148-e3be6c30e623}">
          <xlrd:rvb i="258"/>
        </ext>
      </extLst>
    </bk>
    <bk>
      <extLst>
        <ext uri="{3e2802c4-a4d2-4d8b-9148-e3be6c30e623}">
          <xlrd:rvb i="259"/>
        </ext>
      </extLst>
    </bk>
    <bk>
      <extLst>
        <ext uri="{3e2802c4-a4d2-4d8b-9148-e3be6c30e623}">
          <xlrd:rvb i="260"/>
        </ext>
      </extLst>
    </bk>
    <bk>
      <extLst>
        <ext uri="{3e2802c4-a4d2-4d8b-9148-e3be6c30e623}">
          <xlrd:rvb i="261"/>
        </ext>
      </extLst>
    </bk>
    <bk>
      <extLst>
        <ext uri="{3e2802c4-a4d2-4d8b-9148-e3be6c30e623}">
          <xlrd:rvb i="262"/>
        </ext>
      </extLst>
    </bk>
    <bk>
      <extLst>
        <ext uri="{3e2802c4-a4d2-4d8b-9148-e3be6c30e623}">
          <xlrd:rvb i="263"/>
        </ext>
      </extLst>
    </bk>
    <bk>
      <extLst>
        <ext uri="{3e2802c4-a4d2-4d8b-9148-e3be6c30e623}">
          <xlrd:rvb i="264"/>
        </ext>
      </extLst>
    </bk>
    <bk>
      <extLst>
        <ext uri="{3e2802c4-a4d2-4d8b-9148-e3be6c30e623}">
          <xlrd:rvb i="265"/>
        </ext>
      </extLst>
    </bk>
    <bk>
      <extLst>
        <ext uri="{3e2802c4-a4d2-4d8b-9148-e3be6c30e623}">
          <xlrd:rvb i="266"/>
        </ext>
      </extLst>
    </bk>
    <bk>
      <extLst>
        <ext uri="{3e2802c4-a4d2-4d8b-9148-e3be6c30e623}">
          <xlrd:rvb i="267"/>
        </ext>
      </extLst>
    </bk>
    <bk>
      <extLst>
        <ext uri="{3e2802c4-a4d2-4d8b-9148-e3be6c30e623}">
          <xlrd:rvb i="268"/>
        </ext>
      </extLst>
    </bk>
    <bk>
      <extLst>
        <ext uri="{3e2802c4-a4d2-4d8b-9148-e3be6c30e623}">
          <xlrd:rvb i="269"/>
        </ext>
      </extLst>
    </bk>
    <bk>
      <extLst>
        <ext uri="{3e2802c4-a4d2-4d8b-9148-e3be6c30e623}">
          <xlrd:rvb i="270"/>
        </ext>
      </extLst>
    </bk>
    <bk>
      <extLst>
        <ext uri="{3e2802c4-a4d2-4d8b-9148-e3be6c30e623}">
          <xlrd:rvb i="271"/>
        </ext>
      </extLst>
    </bk>
    <bk>
      <extLst>
        <ext uri="{3e2802c4-a4d2-4d8b-9148-e3be6c30e623}">
          <xlrd:rvb i="272"/>
        </ext>
      </extLst>
    </bk>
    <bk>
      <extLst>
        <ext uri="{3e2802c4-a4d2-4d8b-9148-e3be6c30e623}">
          <xlrd:rvb i="273"/>
        </ext>
      </extLst>
    </bk>
    <bk>
      <extLst>
        <ext uri="{3e2802c4-a4d2-4d8b-9148-e3be6c30e623}">
          <xlrd:rvb i="274"/>
        </ext>
      </extLst>
    </bk>
    <bk>
      <extLst>
        <ext uri="{3e2802c4-a4d2-4d8b-9148-e3be6c30e623}">
          <xlrd:rvb i="275"/>
        </ext>
      </extLst>
    </bk>
    <bk>
      <extLst>
        <ext uri="{3e2802c4-a4d2-4d8b-9148-e3be6c30e623}">
          <xlrd:rvb i="276"/>
        </ext>
      </extLst>
    </bk>
    <bk>
      <extLst>
        <ext uri="{3e2802c4-a4d2-4d8b-9148-e3be6c30e623}">
          <xlrd:rvb i="277"/>
        </ext>
      </extLst>
    </bk>
    <bk>
      <extLst>
        <ext uri="{3e2802c4-a4d2-4d8b-9148-e3be6c30e623}">
          <xlrd:rvb i="278"/>
        </ext>
      </extLst>
    </bk>
    <bk>
      <extLst>
        <ext uri="{3e2802c4-a4d2-4d8b-9148-e3be6c30e623}">
          <xlrd:rvb i="279"/>
        </ext>
      </extLst>
    </bk>
    <bk>
      <extLst>
        <ext uri="{3e2802c4-a4d2-4d8b-9148-e3be6c30e623}">
          <xlrd:rvb i="280"/>
        </ext>
      </extLst>
    </bk>
    <bk>
      <extLst>
        <ext uri="{3e2802c4-a4d2-4d8b-9148-e3be6c30e623}">
          <xlrd:rvb i="281"/>
        </ext>
      </extLst>
    </bk>
    <bk>
      <extLst>
        <ext uri="{3e2802c4-a4d2-4d8b-9148-e3be6c30e623}">
          <xlrd:rvb i="282"/>
        </ext>
      </extLst>
    </bk>
    <bk>
      <extLst>
        <ext uri="{3e2802c4-a4d2-4d8b-9148-e3be6c30e623}">
          <xlrd:rvb i="283"/>
        </ext>
      </extLst>
    </bk>
    <bk>
      <extLst>
        <ext uri="{3e2802c4-a4d2-4d8b-9148-e3be6c30e623}">
          <xlrd:rvb i="284"/>
        </ext>
      </extLst>
    </bk>
    <bk>
      <extLst>
        <ext uri="{3e2802c4-a4d2-4d8b-9148-e3be6c30e623}">
          <xlrd:rvb i="285"/>
        </ext>
      </extLst>
    </bk>
    <bk>
      <extLst>
        <ext uri="{3e2802c4-a4d2-4d8b-9148-e3be6c30e623}">
          <xlrd:rvb i="286"/>
        </ext>
      </extLst>
    </bk>
    <bk>
      <extLst>
        <ext uri="{3e2802c4-a4d2-4d8b-9148-e3be6c30e623}">
          <xlrd:rvb i="287"/>
        </ext>
      </extLst>
    </bk>
    <bk>
      <extLst>
        <ext uri="{3e2802c4-a4d2-4d8b-9148-e3be6c30e623}">
          <xlrd:rvb i="288"/>
        </ext>
      </extLst>
    </bk>
    <bk>
      <extLst>
        <ext uri="{3e2802c4-a4d2-4d8b-9148-e3be6c30e623}">
          <xlrd:rvb i="289"/>
        </ext>
      </extLst>
    </bk>
    <bk>
      <extLst>
        <ext uri="{3e2802c4-a4d2-4d8b-9148-e3be6c30e623}">
          <xlrd:rvb i="290"/>
        </ext>
      </extLst>
    </bk>
    <bk>
      <extLst>
        <ext uri="{3e2802c4-a4d2-4d8b-9148-e3be6c30e623}">
          <xlrd:rvb i="291"/>
        </ext>
      </extLst>
    </bk>
    <bk>
      <extLst>
        <ext uri="{3e2802c4-a4d2-4d8b-9148-e3be6c30e623}">
          <xlrd:rvb i="292"/>
        </ext>
      </extLst>
    </bk>
    <bk>
      <extLst>
        <ext uri="{3e2802c4-a4d2-4d8b-9148-e3be6c30e623}">
          <xlrd:rvb i="293"/>
        </ext>
      </extLst>
    </bk>
    <bk>
      <extLst>
        <ext uri="{3e2802c4-a4d2-4d8b-9148-e3be6c30e623}">
          <xlrd:rvb i="294"/>
        </ext>
      </extLst>
    </bk>
    <bk>
      <extLst>
        <ext uri="{3e2802c4-a4d2-4d8b-9148-e3be6c30e623}">
          <xlrd:rvb i="295"/>
        </ext>
      </extLst>
    </bk>
    <bk>
      <extLst>
        <ext uri="{3e2802c4-a4d2-4d8b-9148-e3be6c30e623}">
          <xlrd:rvb i="296"/>
        </ext>
      </extLst>
    </bk>
    <bk>
      <extLst>
        <ext uri="{3e2802c4-a4d2-4d8b-9148-e3be6c30e623}">
          <xlrd:rvb i="297"/>
        </ext>
      </extLst>
    </bk>
    <bk>
      <extLst>
        <ext uri="{3e2802c4-a4d2-4d8b-9148-e3be6c30e623}">
          <xlrd:rvb i="298"/>
        </ext>
      </extLst>
    </bk>
    <bk>
      <extLst>
        <ext uri="{3e2802c4-a4d2-4d8b-9148-e3be6c30e623}">
          <xlrd:rvb i="299"/>
        </ext>
      </extLst>
    </bk>
    <bk>
      <extLst>
        <ext uri="{3e2802c4-a4d2-4d8b-9148-e3be6c30e623}">
          <xlrd:rvb i="300"/>
        </ext>
      </extLst>
    </bk>
    <bk>
      <extLst>
        <ext uri="{3e2802c4-a4d2-4d8b-9148-e3be6c30e623}">
          <xlrd:rvb i="301"/>
        </ext>
      </extLst>
    </bk>
    <bk>
      <extLst>
        <ext uri="{3e2802c4-a4d2-4d8b-9148-e3be6c30e623}">
          <xlrd:rvb i="302"/>
        </ext>
      </extLst>
    </bk>
    <bk>
      <extLst>
        <ext uri="{3e2802c4-a4d2-4d8b-9148-e3be6c30e623}">
          <xlrd:rvb i="303"/>
        </ext>
      </extLst>
    </bk>
    <bk>
      <extLst>
        <ext uri="{3e2802c4-a4d2-4d8b-9148-e3be6c30e623}">
          <xlrd:rvb i="304"/>
        </ext>
      </extLst>
    </bk>
    <bk>
      <extLst>
        <ext uri="{3e2802c4-a4d2-4d8b-9148-e3be6c30e623}">
          <xlrd:rvb i="305"/>
        </ext>
      </extLst>
    </bk>
    <bk>
      <extLst>
        <ext uri="{3e2802c4-a4d2-4d8b-9148-e3be6c30e623}">
          <xlrd:rvb i="306"/>
        </ext>
      </extLst>
    </bk>
    <bk>
      <extLst>
        <ext uri="{3e2802c4-a4d2-4d8b-9148-e3be6c30e623}">
          <xlrd:rvb i="307"/>
        </ext>
      </extLst>
    </bk>
    <bk>
      <extLst>
        <ext uri="{3e2802c4-a4d2-4d8b-9148-e3be6c30e623}">
          <xlrd:rvb i="308"/>
        </ext>
      </extLst>
    </bk>
    <bk>
      <extLst>
        <ext uri="{3e2802c4-a4d2-4d8b-9148-e3be6c30e623}">
          <xlrd:rvb i="309"/>
        </ext>
      </extLst>
    </bk>
    <bk>
      <extLst>
        <ext uri="{3e2802c4-a4d2-4d8b-9148-e3be6c30e623}">
          <xlrd:rvb i="310"/>
        </ext>
      </extLst>
    </bk>
    <bk>
      <extLst>
        <ext uri="{3e2802c4-a4d2-4d8b-9148-e3be6c30e623}">
          <xlrd:rvb i="311"/>
        </ext>
      </extLst>
    </bk>
    <bk>
      <extLst>
        <ext uri="{3e2802c4-a4d2-4d8b-9148-e3be6c30e623}">
          <xlrd:rvb i="312"/>
        </ext>
      </extLst>
    </bk>
    <bk>
      <extLst>
        <ext uri="{3e2802c4-a4d2-4d8b-9148-e3be6c30e623}">
          <xlrd:rvb i="313"/>
        </ext>
      </extLst>
    </bk>
    <bk>
      <extLst>
        <ext uri="{3e2802c4-a4d2-4d8b-9148-e3be6c30e623}">
          <xlrd:rvb i="314"/>
        </ext>
      </extLst>
    </bk>
    <bk>
      <extLst>
        <ext uri="{3e2802c4-a4d2-4d8b-9148-e3be6c30e623}">
          <xlrd:rvb i="315"/>
        </ext>
      </extLst>
    </bk>
    <bk>
      <extLst>
        <ext uri="{3e2802c4-a4d2-4d8b-9148-e3be6c30e623}">
          <xlrd:rvb i="316"/>
        </ext>
      </extLst>
    </bk>
    <bk>
      <extLst>
        <ext uri="{3e2802c4-a4d2-4d8b-9148-e3be6c30e623}">
          <xlrd:rvb i="317"/>
        </ext>
      </extLst>
    </bk>
    <bk>
      <extLst>
        <ext uri="{3e2802c4-a4d2-4d8b-9148-e3be6c30e623}">
          <xlrd:rvb i="318"/>
        </ext>
      </extLst>
    </bk>
    <bk>
      <extLst>
        <ext uri="{3e2802c4-a4d2-4d8b-9148-e3be6c30e623}">
          <xlrd:rvb i="319"/>
        </ext>
      </extLst>
    </bk>
    <bk>
      <extLst>
        <ext uri="{3e2802c4-a4d2-4d8b-9148-e3be6c30e623}">
          <xlrd:rvb i="320"/>
        </ext>
      </extLst>
    </bk>
    <bk>
      <extLst>
        <ext uri="{3e2802c4-a4d2-4d8b-9148-e3be6c30e623}">
          <xlrd:rvb i="321"/>
        </ext>
      </extLst>
    </bk>
    <bk>
      <extLst>
        <ext uri="{3e2802c4-a4d2-4d8b-9148-e3be6c30e623}">
          <xlrd:rvb i="322"/>
        </ext>
      </extLst>
    </bk>
    <bk>
      <extLst>
        <ext uri="{3e2802c4-a4d2-4d8b-9148-e3be6c30e623}">
          <xlrd:rvb i="323"/>
        </ext>
      </extLst>
    </bk>
    <bk>
      <extLst>
        <ext uri="{3e2802c4-a4d2-4d8b-9148-e3be6c30e623}">
          <xlrd:rvb i="324"/>
        </ext>
      </extLst>
    </bk>
    <bk>
      <extLst>
        <ext uri="{3e2802c4-a4d2-4d8b-9148-e3be6c30e623}">
          <xlrd:rvb i="325"/>
        </ext>
      </extLst>
    </bk>
    <bk>
      <extLst>
        <ext uri="{3e2802c4-a4d2-4d8b-9148-e3be6c30e623}">
          <xlrd:rvb i="326"/>
        </ext>
      </extLst>
    </bk>
    <bk>
      <extLst>
        <ext uri="{3e2802c4-a4d2-4d8b-9148-e3be6c30e623}">
          <xlrd:rvb i="327"/>
        </ext>
      </extLst>
    </bk>
    <bk>
      <extLst>
        <ext uri="{3e2802c4-a4d2-4d8b-9148-e3be6c30e623}">
          <xlrd:rvb i="328"/>
        </ext>
      </extLst>
    </bk>
    <bk>
      <extLst>
        <ext uri="{3e2802c4-a4d2-4d8b-9148-e3be6c30e623}">
          <xlrd:rvb i="329"/>
        </ext>
      </extLst>
    </bk>
    <bk>
      <extLst>
        <ext uri="{3e2802c4-a4d2-4d8b-9148-e3be6c30e623}">
          <xlrd:rvb i="330"/>
        </ext>
      </extLst>
    </bk>
    <bk>
      <extLst>
        <ext uri="{3e2802c4-a4d2-4d8b-9148-e3be6c30e623}">
          <xlrd:rvb i="331"/>
        </ext>
      </extLst>
    </bk>
    <bk>
      <extLst>
        <ext uri="{3e2802c4-a4d2-4d8b-9148-e3be6c30e623}">
          <xlrd:rvb i="332"/>
        </ext>
      </extLst>
    </bk>
    <bk>
      <extLst>
        <ext uri="{3e2802c4-a4d2-4d8b-9148-e3be6c30e623}">
          <xlrd:rvb i="333"/>
        </ext>
      </extLst>
    </bk>
    <bk>
      <extLst>
        <ext uri="{3e2802c4-a4d2-4d8b-9148-e3be6c30e623}">
          <xlrd:rvb i="334"/>
        </ext>
      </extLst>
    </bk>
    <bk>
      <extLst>
        <ext uri="{3e2802c4-a4d2-4d8b-9148-e3be6c30e623}">
          <xlrd:rvb i="335"/>
        </ext>
      </extLst>
    </bk>
    <bk>
      <extLst>
        <ext uri="{3e2802c4-a4d2-4d8b-9148-e3be6c30e623}">
          <xlrd:rvb i="336"/>
        </ext>
      </extLst>
    </bk>
    <bk>
      <extLst>
        <ext uri="{3e2802c4-a4d2-4d8b-9148-e3be6c30e623}">
          <xlrd:rvb i="337"/>
        </ext>
      </extLst>
    </bk>
    <bk>
      <extLst>
        <ext uri="{3e2802c4-a4d2-4d8b-9148-e3be6c30e623}">
          <xlrd:rvb i="338"/>
        </ext>
      </extLst>
    </bk>
    <bk>
      <extLst>
        <ext uri="{3e2802c4-a4d2-4d8b-9148-e3be6c30e623}">
          <xlrd:rvb i="339"/>
        </ext>
      </extLst>
    </bk>
    <bk>
      <extLst>
        <ext uri="{3e2802c4-a4d2-4d8b-9148-e3be6c30e623}">
          <xlrd:rvb i="340"/>
        </ext>
      </extLst>
    </bk>
    <bk>
      <extLst>
        <ext uri="{3e2802c4-a4d2-4d8b-9148-e3be6c30e623}">
          <xlrd:rvb i="341"/>
        </ext>
      </extLst>
    </bk>
    <bk>
      <extLst>
        <ext uri="{3e2802c4-a4d2-4d8b-9148-e3be6c30e623}">
          <xlrd:rvb i="342"/>
        </ext>
      </extLst>
    </bk>
    <bk>
      <extLst>
        <ext uri="{3e2802c4-a4d2-4d8b-9148-e3be6c30e623}">
          <xlrd:rvb i="343"/>
        </ext>
      </extLst>
    </bk>
    <bk>
      <extLst>
        <ext uri="{3e2802c4-a4d2-4d8b-9148-e3be6c30e623}">
          <xlrd:rvb i="344"/>
        </ext>
      </extLst>
    </bk>
    <bk>
      <extLst>
        <ext uri="{3e2802c4-a4d2-4d8b-9148-e3be6c30e623}">
          <xlrd:rvb i="345"/>
        </ext>
      </extLst>
    </bk>
    <bk>
      <extLst>
        <ext uri="{3e2802c4-a4d2-4d8b-9148-e3be6c30e623}">
          <xlrd:rvb i="346"/>
        </ext>
      </extLst>
    </bk>
    <bk>
      <extLst>
        <ext uri="{3e2802c4-a4d2-4d8b-9148-e3be6c30e623}">
          <xlrd:rvb i="347"/>
        </ext>
      </extLst>
    </bk>
    <bk>
      <extLst>
        <ext uri="{3e2802c4-a4d2-4d8b-9148-e3be6c30e623}">
          <xlrd:rvb i="348"/>
        </ext>
      </extLst>
    </bk>
    <bk>
      <extLst>
        <ext uri="{3e2802c4-a4d2-4d8b-9148-e3be6c30e623}">
          <xlrd:rvb i="349"/>
        </ext>
      </extLst>
    </bk>
    <bk>
      <extLst>
        <ext uri="{3e2802c4-a4d2-4d8b-9148-e3be6c30e623}">
          <xlrd:rvb i="350"/>
        </ext>
      </extLst>
    </bk>
    <bk>
      <extLst>
        <ext uri="{3e2802c4-a4d2-4d8b-9148-e3be6c30e623}">
          <xlrd:rvb i="351"/>
        </ext>
      </extLst>
    </bk>
    <bk>
      <extLst>
        <ext uri="{3e2802c4-a4d2-4d8b-9148-e3be6c30e623}">
          <xlrd:rvb i="352"/>
        </ext>
      </extLst>
    </bk>
    <bk>
      <extLst>
        <ext uri="{3e2802c4-a4d2-4d8b-9148-e3be6c30e623}">
          <xlrd:rvb i="353"/>
        </ext>
      </extLst>
    </bk>
    <bk>
      <extLst>
        <ext uri="{3e2802c4-a4d2-4d8b-9148-e3be6c30e623}">
          <xlrd:rvb i="354"/>
        </ext>
      </extLst>
    </bk>
    <bk>
      <extLst>
        <ext uri="{3e2802c4-a4d2-4d8b-9148-e3be6c30e623}">
          <xlrd:rvb i="355"/>
        </ext>
      </extLst>
    </bk>
    <bk>
      <extLst>
        <ext uri="{3e2802c4-a4d2-4d8b-9148-e3be6c30e623}">
          <xlrd:rvb i="356"/>
        </ext>
      </extLst>
    </bk>
    <bk>
      <extLst>
        <ext uri="{3e2802c4-a4d2-4d8b-9148-e3be6c30e623}">
          <xlrd:rvb i="357"/>
        </ext>
      </extLst>
    </bk>
    <bk>
      <extLst>
        <ext uri="{3e2802c4-a4d2-4d8b-9148-e3be6c30e623}">
          <xlrd:rvb i="358"/>
        </ext>
      </extLst>
    </bk>
    <bk>
      <extLst>
        <ext uri="{3e2802c4-a4d2-4d8b-9148-e3be6c30e623}">
          <xlrd:rvb i="359"/>
        </ext>
      </extLst>
    </bk>
    <bk>
      <extLst>
        <ext uri="{3e2802c4-a4d2-4d8b-9148-e3be6c30e623}">
          <xlrd:rvb i="360"/>
        </ext>
      </extLst>
    </bk>
    <bk>
      <extLst>
        <ext uri="{3e2802c4-a4d2-4d8b-9148-e3be6c30e623}">
          <xlrd:rvb i="361"/>
        </ext>
      </extLst>
    </bk>
    <bk>
      <extLst>
        <ext uri="{3e2802c4-a4d2-4d8b-9148-e3be6c30e623}">
          <xlrd:rvb i="362"/>
        </ext>
      </extLst>
    </bk>
    <bk>
      <extLst>
        <ext uri="{3e2802c4-a4d2-4d8b-9148-e3be6c30e623}">
          <xlrd:rvb i="363"/>
        </ext>
      </extLst>
    </bk>
    <bk>
      <extLst>
        <ext uri="{3e2802c4-a4d2-4d8b-9148-e3be6c30e623}">
          <xlrd:rvb i="364"/>
        </ext>
      </extLst>
    </bk>
    <bk>
      <extLst>
        <ext uri="{3e2802c4-a4d2-4d8b-9148-e3be6c30e623}">
          <xlrd:rvb i="365"/>
        </ext>
      </extLst>
    </bk>
    <bk>
      <extLst>
        <ext uri="{3e2802c4-a4d2-4d8b-9148-e3be6c30e623}">
          <xlrd:rvb i="366"/>
        </ext>
      </extLst>
    </bk>
    <bk>
      <extLst>
        <ext uri="{3e2802c4-a4d2-4d8b-9148-e3be6c30e623}">
          <xlrd:rvb i="367"/>
        </ext>
      </extLst>
    </bk>
    <bk>
      <extLst>
        <ext uri="{3e2802c4-a4d2-4d8b-9148-e3be6c30e623}">
          <xlrd:rvb i="368"/>
        </ext>
      </extLst>
    </bk>
    <bk>
      <extLst>
        <ext uri="{3e2802c4-a4d2-4d8b-9148-e3be6c30e623}">
          <xlrd:rvb i="369"/>
        </ext>
      </extLst>
    </bk>
    <bk>
      <extLst>
        <ext uri="{3e2802c4-a4d2-4d8b-9148-e3be6c30e623}">
          <xlrd:rvb i="370"/>
        </ext>
      </extLst>
    </bk>
    <bk>
      <extLst>
        <ext uri="{3e2802c4-a4d2-4d8b-9148-e3be6c30e623}">
          <xlrd:rvb i="371"/>
        </ext>
      </extLst>
    </bk>
    <bk>
      <extLst>
        <ext uri="{3e2802c4-a4d2-4d8b-9148-e3be6c30e623}">
          <xlrd:rvb i="372"/>
        </ext>
      </extLst>
    </bk>
    <bk>
      <extLst>
        <ext uri="{3e2802c4-a4d2-4d8b-9148-e3be6c30e623}">
          <xlrd:rvb i="373"/>
        </ext>
      </extLst>
    </bk>
    <bk>
      <extLst>
        <ext uri="{3e2802c4-a4d2-4d8b-9148-e3be6c30e623}">
          <xlrd:rvb i="374"/>
        </ext>
      </extLst>
    </bk>
    <bk>
      <extLst>
        <ext uri="{3e2802c4-a4d2-4d8b-9148-e3be6c30e623}">
          <xlrd:rvb i="375"/>
        </ext>
      </extLst>
    </bk>
    <bk>
      <extLst>
        <ext uri="{3e2802c4-a4d2-4d8b-9148-e3be6c30e623}">
          <xlrd:rvb i="376"/>
        </ext>
      </extLst>
    </bk>
    <bk>
      <extLst>
        <ext uri="{3e2802c4-a4d2-4d8b-9148-e3be6c30e623}">
          <xlrd:rvb i="377"/>
        </ext>
      </extLst>
    </bk>
    <bk>
      <extLst>
        <ext uri="{3e2802c4-a4d2-4d8b-9148-e3be6c30e623}">
          <xlrd:rvb i="378"/>
        </ext>
      </extLst>
    </bk>
    <bk>
      <extLst>
        <ext uri="{3e2802c4-a4d2-4d8b-9148-e3be6c30e623}">
          <xlrd:rvb i="379"/>
        </ext>
      </extLst>
    </bk>
    <bk>
      <extLst>
        <ext uri="{3e2802c4-a4d2-4d8b-9148-e3be6c30e623}">
          <xlrd:rvb i="380"/>
        </ext>
      </extLst>
    </bk>
    <bk>
      <extLst>
        <ext uri="{3e2802c4-a4d2-4d8b-9148-e3be6c30e623}">
          <xlrd:rvb i="381"/>
        </ext>
      </extLst>
    </bk>
    <bk>
      <extLst>
        <ext uri="{3e2802c4-a4d2-4d8b-9148-e3be6c30e623}">
          <xlrd:rvb i="382"/>
        </ext>
      </extLst>
    </bk>
    <bk>
      <extLst>
        <ext uri="{3e2802c4-a4d2-4d8b-9148-e3be6c30e623}">
          <xlrd:rvb i="383"/>
        </ext>
      </extLst>
    </bk>
    <bk>
      <extLst>
        <ext uri="{3e2802c4-a4d2-4d8b-9148-e3be6c30e623}">
          <xlrd:rvb i="384"/>
        </ext>
      </extLst>
    </bk>
    <bk>
      <extLst>
        <ext uri="{3e2802c4-a4d2-4d8b-9148-e3be6c30e623}">
          <xlrd:rvb i="385"/>
        </ext>
      </extLst>
    </bk>
    <bk>
      <extLst>
        <ext uri="{3e2802c4-a4d2-4d8b-9148-e3be6c30e623}">
          <xlrd:rvb i="386"/>
        </ext>
      </extLst>
    </bk>
    <bk>
      <extLst>
        <ext uri="{3e2802c4-a4d2-4d8b-9148-e3be6c30e623}">
          <xlrd:rvb i="387"/>
        </ext>
      </extLst>
    </bk>
    <bk>
      <extLst>
        <ext uri="{3e2802c4-a4d2-4d8b-9148-e3be6c30e623}">
          <xlrd:rvb i="388"/>
        </ext>
      </extLst>
    </bk>
    <bk>
      <extLst>
        <ext uri="{3e2802c4-a4d2-4d8b-9148-e3be6c30e623}">
          <xlrd:rvb i="389"/>
        </ext>
      </extLst>
    </bk>
    <bk>
      <extLst>
        <ext uri="{3e2802c4-a4d2-4d8b-9148-e3be6c30e623}">
          <xlrd:rvb i="390"/>
        </ext>
      </extLst>
    </bk>
    <bk>
      <extLst>
        <ext uri="{3e2802c4-a4d2-4d8b-9148-e3be6c30e623}">
          <xlrd:rvb i="391"/>
        </ext>
      </extLst>
    </bk>
    <bk>
      <extLst>
        <ext uri="{3e2802c4-a4d2-4d8b-9148-e3be6c30e623}">
          <xlrd:rvb i="392"/>
        </ext>
      </extLst>
    </bk>
    <bk>
      <extLst>
        <ext uri="{3e2802c4-a4d2-4d8b-9148-e3be6c30e623}">
          <xlrd:rvb i="393"/>
        </ext>
      </extLst>
    </bk>
    <bk>
      <extLst>
        <ext uri="{3e2802c4-a4d2-4d8b-9148-e3be6c30e623}">
          <xlrd:rvb i="394"/>
        </ext>
      </extLst>
    </bk>
    <bk>
      <extLst>
        <ext uri="{3e2802c4-a4d2-4d8b-9148-e3be6c30e623}">
          <xlrd:rvb i="395"/>
        </ext>
      </extLst>
    </bk>
    <bk>
      <extLst>
        <ext uri="{3e2802c4-a4d2-4d8b-9148-e3be6c30e623}">
          <xlrd:rvb i="396"/>
        </ext>
      </extLst>
    </bk>
    <bk>
      <extLst>
        <ext uri="{3e2802c4-a4d2-4d8b-9148-e3be6c30e623}">
          <xlrd:rvb i="397"/>
        </ext>
      </extLst>
    </bk>
    <bk>
      <extLst>
        <ext uri="{3e2802c4-a4d2-4d8b-9148-e3be6c30e623}">
          <xlrd:rvb i="398"/>
        </ext>
      </extLst>
    </bk>
    <bk>
      <extLst>
        <ext uri="{3e2802c4-a4d2-4d8b-9148-e3be6c30e623}">
          <xlrd:rvb i="399"/>
        </ext>
      </extLst>
    </bk>
    <bk>
      <extLst>
        <ext uri="{3e2802c4-a4d2-4d8b-9148-e3be6c30e623}">
          <xlrd:rvb i="400"/>
        </ext>
      </extLst>
    </bk>
    <bk>
      <extLst>
        <ext uri="{3e2802c4-a4d2-4d8b-9148-e3be6c30e623}">
          <xlrd:rvb i="401"/>
        </ext>
      </extLst>
    </bk>
    <bk>
      <extLst>
        <ext uri="{3e2802c4-a4d2-4d8b-9148-e3be6c30e623}">
          <xlrd:rvb i="402"/>
        </ext>
      </extLst>
    </bk>
    <bk>
      <extLst>
        <ext uri="{3e2802c4-a4d2-4d8b-9148-e3be6c30e623}">
          <xlrd:rvb i="403"/>
        </ext>
      </extLst>
    </bk>
    <bk>
      <extLst>
        <ext uri="{3e2802c4-a4d2-4d8b-9148-e3be6c30e623}">
          <xlrd:rvb i="404"/>
        </ext>
      </extLst>
    </bk>
    <bk>
      <extLst>
        <ext uri="{3e2802c4-a4d2-4d8b-9148-e3be6c30e623}">
          <xlrd:rvb i="405"/>
        </ext>
      </extLst>
    </bk>
    <bk>
      <extLst>
        <ext uri="{3e2802c4-a4d2-4d8b-9148-e3be6c30e623}">
          <xlrd:rvb i="406"/>
        </ext>
      </extLst>
    </bk>
    <bk>
      <extLst>
        <ext uri="{3e2802c4-a4d2-4d8b-9148-e3be6c30e623}">
          <xlrd:rvb i="407"/>
        </ext>
      </extLst>
    </bk>
    <bk>
      <extLst>
        <ext uri="{3e2802c4-a4d2-4d8b-9148-e3be6c30e623}">
          <xlrd:rvb i="408"/>
        </ext>
      </extLst>
    </bk>
    <bk>
      <extLst>
        <ext uri="{3e2802c4-a4d2-4d8b-9148-e3be6c30e623}">
          <xlrd:rvb i="409"/>
        </ext>
      </extLst>
    </bk>
    <bk>
      <extLst>
        <ext uri="{3e2802c4-a4d2-4d8b-9148-e3be6c30e623}">
          <xlrd:rvb i="410"/>
        </ext>
      </extLst>
    </bk>
    <bk>
      <extLst>
        <ext uri="{3e2802c4-a4d2-4d8b-9148-e3be6c30e623}">
          <xlrd:rvb i="411"/>
        </ext>
      </extLst>
    </bk>
    <bk>
      <extLst>
        <ext uri="{3e2802c4-a4d2-4d8b-9148-e3be6c30e623}">
          <xlrd:rvb i="412"/>
        </ext>
      </extLst>
    </bk>
    <bk>
      <extLst>
        <ext uri="{3e2802c4-a4d2-4d8b-9148-e3be6c30e623}">
          <xlrd:rvb i="413"/>
        </ext>
      </extLst>
    </bk>
    <bk>
      <extLst>
        <ext uri="{3e2802c4-a4d2-4d8b-9148-e3be6c30e623}">
          <xlrd:rvb i="414"/>
        </ext>
      </extLst>
    </bk>
    <bk>
      <extLst>
        <ext uri="{3e2802c4-a4d2-4d8b-9148-e3be6c30e623}">
          <xlrd:rvb i="415"/>
        </ext>
      </extLst>
    </bk>
    <bk>
      <extLst>
        <ext uri="{3e2802c4-a4d2-4d8b-9148-e3be6c30e623}">
          <xlrd:rvb i="416"/>
        </ext>
      </extLst>
    </bk>
    <bk>
      <extLst>
        <ext uri="{3e2802c4-a4d2-4d8b-9148-e3be6c30e623}">
          <xlrd:rvb i="417"/>
        </ext>
      </extLst>
    </bk>
    <bk>
      <extLst>
        <ext uri="{3e2802c4-a4d2-4d8b-9148-e3be6c30e623}">
          <xlrd:rvb i="418"/>
        </ext>
      </extLst>
    </bk>
    <bk>
      <extLst>
        <ext uri="{3e2802c4-a4d2-4d8b-9148-e3be6c30e623}">
          <xlrd:rvb i="419"/>
        </ext>
      </extLst>
    </bk>
    <bk>
      <extLst>
        <ext uri="{3e2802c4-a4d2-4d8b-9148-e3be6c30e623}">
          <xlrd:rvb i="420"/>
        </ext>
      </extLst>
    </bk>
    <bk>
      <extLst>
        <ext uri="{3e2802c4-a4d2-4d8b-9148-e3be6c30e623}">
          <xlrd:rvb i="421"/>
        </ext>
      </extLst>
    </bk>
    <bk>
      <extLst>
        <ext uri="{3e2802c4-a4d2-4d8b-9148-e3be6c30e623}">
          <xlrd:rvb i="422"/>
        </ext>
      </extLst>
    </bk>
    <bk>
      <extLst>
        <ext uri="{3e2802c4-a4d2-4d8b-9148-e3be6c30e623}">
          <xlrd:rvb i="423"/>
        </ext>
      </extLst>
    </bk>
    <bk>
      <extLst>
        <ext uri="{3e2802c4-a4d2-4d8b-9148-e3be6c30e623}">
          <xlrd:rvb i="424"/>
        </ext>
      </extLst>
    </bk>
    <bk>
      <extLst>
        <ext uri="{3e2802c4-a4d2-4d8b-9148-e3be6c30e623}">
          <xlrd:rvb i="425"/>
        </ext>
      </extLst>
    </bk>
    <bk>
      <extLst>
        <ext uri="{3e2802c4-a4d2-4d8b-9148-e3be6c30e623}">
          <xlrd:rvb i="426"/>
        </ext>
      </extLst>
    </bk>
    <bk>
      <extLst>
        <ext uri="{3e2802c4-a4d2-4d8b-9148-e3be6c30e623}">
          <xlrd:rvb i="427"/>
        </ext>
      </extLst>
    </bk>
    <bk>
      <extLst>
        <ext uri="{3e2802c4-a4d2-4d8b-9148-e3be6c30e623}">
          <xlrd:rvb i="428"/>
        </ext>
      </extLst>
    </bk>
    <bk>
      <extLst>
        <ext uri="{3e2802c4-a4d2-4d8b-9148-e3be6c30e623}">
          <xlrd:rvb i="429"/>
        </ext>
      </extLst>
    </bk>
    <bk>
      <extLst>
        <ext uri="{3e2802c4-a4d2-4d8b-9148-e3be6c30e623}">
          <xlrd:rvb i="430"/>
        </ext>
      </extLst>
    </bk>
    <bk>
      <extLst>
        <ext uri="{3e2802c4-a4d2-4d8b-9148-e3be6c30e623}">
          <xlrd:rvb i="431"/>
        </ext>
      </extLst>
    </bk>
    <bk>
      <extLst>
        <ext uri="{3e2802c4-a4d2-4d8b-9148-e3be6c30e623}">
          <xlrd:rvb i="432"/>
        </ext>
      </extLst>
    </bk>
    <bk>
      <extLst>
        <ext uri="{3e2802c4-a4d2-4d8b-9148-e3be6c30e623}">
          <xlrd:rvb i="433"/>
        </ext>
      </extLst>
    </bk>
    <bk>
      <extLst>
        <ext uri="{3e2802c4-a4d2-4d8b-9148-e3be6c30e623}">
          <xlrd:rvb i="434"/>
        </ext>
      </extLst>
    </bk>
    <bk>
      <extLst>
        <ext uri="{3e2802c4-a4d2-4d8b-9148-e3be6c30e623}">
          <xlrd:rvb i="435"/>
        </ext>
      </extLst>
    </bk>
    <bk>
      <extLst>
        <ext uri="{3e2802c4-a4d2-4d8b-9148-e3be6c30e623}">
          <xlrd:rvb i="436"/>
        </ext>
      </extLst>
    </bk>
    <bk>
      <extLst>
        <ext uri="{3e2802c4-a4d2-4d8b-9148-e3be6c30e623}">
          <xlrd:rvb i="437"/>
        </ext>
      </extLst>
    </bk>
    <bk>
      <extLst>
        <ext uri="{3e2802c4-a4d2-4d8b-9148-e3be6c30e623}">
          <xlrd:rvb i="438"/>
        </ext>
      </extLst>
    </bk>
    <bk>
      <extLst>
        <ext uri="{3e2802c4-a4d2-4d8b-9148-e3be6c30e623}">
          <xlrd:rvb i="439"/>
        </ext>
      </extLst>
    </bk>
    <bk>
      <extLst>
        <ext uri="{3e2802c4-a4d2-4d8b-9148-e3be6c30e623}">
          <xlrd:rvb i="440"/>
        </ext>
      </extLst>
    </bk>
    <bk>
      <extLst>
        <ext uri="{3e2802c4-a4d2-4d8b-9148-e3be6c30e623}">
          <xlrd:rvb i="441"/>
        </ext>
      </extLst>
    </bk>
    <bk>
      <extLst>
        <ext uri="{3e2802c4-a4d2-4d8b-9148-e3be6c30e623}">
          <xlrd:rvb i="442"/>
        </ext>
      </extLst>
    </bk>
    <bk>
      <extLst>
        <ext uri="{3e2802c4-a4d2-4d8b-9148-e3be6c30e623}">
          <xlrd:rvb i="443"/>
        </ext>
      </extLst>
    </bk>
    <bk>
      <extLst>
        <ext uri="{3e2802c4-a4d2-4d8b-9148-e3be6c30e623}">
          <xlrd:rvb i="444"/>
        </ext>
      </extLst>
    </bk>
    <bk>
      <extLst>
        <ext uri="{3e2802c4-a4d2-4d8b-9148-e3be6c30e623}">
          <xlrd:rvb i="445"/>
        </ext>
      </extLst>
    </bk>
    <bk>
      <extLst>
        <ext uri="{3e2802c4-a4d2-4d8b-9148-e3be6c30e623}">
          <xlrd:rvb i="446"/>
        </ext>
      </extLst>
    </bk>
    <bk>
      <extLst>
        <ext uri="{3e2802c4-a4d2-4d8b-9148-e3be6c30e623}">
          <xlrd:rvb i="447"/>
        </ext>
      </extLst>
    </bk>
    <bk>
      <extLst>
        <ext uri="{3e2802c4-a4d2-4d8b-9148-e3be6c30e623}">
          <xlrd:rvb i="448"/>
        </ext>
      </extLst>
    </bk>
    <bk>
      <extLst>
        <ext uri="{3e2802c4-a4d2-4d8b-9148-e3be6c30e623}">
          <xlrd:rvb i="449"/>
        </ext>
      </extLst>
    </bk>
    <bk>
      <extLst>
        <ext uri="{3e2802c4-a4d2-4d8b-9148-e3be6c30e623}">
          <xlrd:rvb i="450"/>
        </ext>
      </extLst>
    </bk>
    <bk>
      <extLst>
        <ext uri="{3e2802c4-a4d2-4d8b-9148-e3be6c30e623}">
          <xlrd:rvb i="451"/>
        </ext>
      </extLst>
    </bk>
    <bk>
      <extLst>
        <ext uri="{3e2802c4-a4d2-4d8b-9148-e3be6c30e623}">
          <xlrd:rvb i="452"/>
        </ext>
      </extLst>
    </bk>
    <bk>
      <extLst>
        <ext uri="{3e2802c4-a4d2-4d8b-9148-e3be6c30e623}">
          <xlrd:rvb i="453"/>
        </ext>
      </extLst>
    </bk>
    <bk>
      <extLst>
        <ext uri="{3e2802c4-a4d2-4d8b-9148-e3be6c30e623}">
          <xlrd:rvb i="454"/>
        </ext>
      </extLst>
    </bk>
    <bk>
      <extLst>
        <ext uri="{3e2802c4-a4d2-4d8b-9148-e3be6c30e623}">
          <xlrd:rvb i="455"/>
        </ext>
      </extLst>
    </bk>
    <bk>
      <extLst>
        <ext uri="{3e2802c4-a4d2-4d8b-9148-e3be6c30e623}">
          <xlrd:rvb i="456"/>
        </ext>
      </extLst>
    </bk>
    <bk>
      <extLst>
        <ext uri="{3e2802c4-a4d2-4d8b-9148-e3be6c30e623}">
          <xlrd:rvb i="457"/>
        </ext>
      </extLst>
    </bk>
    <bk>
      <extLst>
        <ext uri="{3e2802c4-a4d2-4d8b-9148-e3be6c30e623}">
          <xlrd:rvb i="458"/>
        </ext>
      </extLst>
    </bk>
    <bk>
      <extLst>
        <ext uri="{3e2802c4-a4d2-4d8b-9148-e3be6c30e623}">
          <xlrd:rvb i="459"/>
        </ext>
      </extLst>
    </bk>
    <bk>
      <extLst>
        <ext uri="{3e2802c4-a4d2-4d8b-9148-e3be6c30e623}">
          <xlrd:rvb i="460"/>
        </ext>
      </extLst>
    </bk>
    <bk>
      <extLst>
        <ext uri="{3e2802c4-a4d2-4d8b-9148-e3be6c30e623}">
          <xlrd:rvb i="461"/>
        </ext>
      </extLst>
    </bk>
    <bk>
      <extLst>
        <ext uri="{3e2802c4-a4d2-4d8b-9148-e3be6c30e623}">
          <xlrd:rvb i="462"/>
        </ext>
      </extLst>
    </bk>
    <bk>
      <extLst>
        <ext uri="{3e2802c4-a4d2-4d8b-9148-e3be6c30e623}">
          <xlrd:rvb i="463"/>
        </ext>
      </extLst>
    </bk>
    <bk>
      <extLst>
        <ext uri="{3e2802c4-a4d2-4d8b-9148-e3be6c30e623}">
          <xlrd:rvb i="464"/>
        </ext>
      </extLst>
    </bk>
    <bk>
      <extLst>
        <ext uri="{3e2802c4-a4d2-4d8b-9148-e3be6c30e623}">
          <xlrd:rvb i="465"/>
        </ext>
      </extLst>
    </bk>
    <bk>
      <extLst>
        <ext uri="{3e2802c4-a4d2-4d8b-9148-e3be6c30e623}">
          <xlrd:rvb i="466"/>
        </ext>
      </extLst>
    </bk>
    <bk>
      <extLst>
        <ext uri="{3e2802c4-a4d2-4d8b-9148-e3be6c30e623}">
          <xlrd:rvb i="467"/>
        </ext>
      </extLst>
    </bk>
    <bk>
      <extLst>
        <ext uri="{3e2802c4-a4d2-4d8b-9148-e3be6c30e623}">
          <xlrd:rvb i="468"/>
        </ext>
      </extLst>
    </bk>
    <bk>
      <extLst>
        <ext uri="{3e2802c4-a4d2-4d8b-9148-e3be6c30e623}">
          <xlrd:rvb i="469"/>
        </ext>
      </extLst>
    </bk>
    <bk>
      <extLst>
        <ext uri="{3e2802c4-a4d2-4d8b-9148-e3be6c30e623}">
          <xlrd:rvb i="470"/>
        </ext>
      </extLst>
    </bk>
    <bk>
      <extLst>
        <ext uri="{3e2802c4-a4d2-4d8b-9148-e3be6c30e623}">
          <xlrd:rvb i="471"/>
        </ext>
      </extLst>
    </bk>
    <bk>
      <extLst>
        <ext uri="{3e2802c4-a4d2-4d8b-9148-e3be6c30e623}">
          <xlrd:rvb i="472"/>
        </ext>
      </extLst>
    </bk>
    <bk>
      <extLst>
        <ext uri="{3e2802c4-a4d2-4d8b-9148-e3be6c30e623}">
          <xlrd:rvb i="473"/>
        </ext>
      </extLst>
    </bk>
    <bk>
      <extLst>
        <ext uri="{3e2802c4-a4d2-4d8b-9148-e3be6c30e623}">
          <xlrd:rvb i="474"/>
        </ext>
      </extLst>
    </bk>
    <bk>
      <extLst>
        <ext uri="{3e2802c4-a4d2-4d8b-9148-e3be6c30e623}">
          <xlrd:rvb i="475"/>
        </ext>
      </extLst>
    </bk>
    <bk>
      <extLst>
        <ext uri="{3e2802c4-a4d2-4d8b-9148-e3be6c30e623}">
          <xlrd:rvb i="476"/>
        </ext>
      </extLst>
    </bk>
    <bk>
      <extLst>
        <ext uri="{3e2802c4-a4d2-4d8b-9148-e3be6c30e623}">
          <xlrd:rvb i="477"/>
        </ext>
      </extLst>
    </bk>
    <bk>
      <extLst>
        <ext uri="{3e2802c4-a4d2-4d8b-9148-e3be6c30e623}">
          <xlrd:rvb i="478"/>
        </ext>
      </extLst>
    </bk>
    <bk>
      <extLst>
        <ext uri="{3e2802c4-a4d2-4d8b-9148-e3be6c30e623}">
          <xlrd:rvb i="479"/>
        </ext>
      </extLst>
    </bk>
    <bk>
      <extLst>
        <ext uri="{3e2802c4-a4d2-4d8b-9148-e3be6c30e623}">
          <xlrd:rvb i="480"/>
        </ext>
      </extLst>
    </bk>
    <bk>
      <extLst>
        <ext uri="{3e2802c4-a4d2-4d8b-9148-e3be6c30e623}">
          <xlrd:rvb i="481"/>
        </ext>
      </extLst>
    </bk>
    <bk>
      <extLst>
        <ext uri="{3e2802c4-a4d2-4d8b-9148-e3be6c30e623}">
          <xlrd:rvb i="482"/>
        </ext>
      </extLst>
    </bk>
    <bk>
      <extLst>
        <ext uri="{3e2802c4-a4d2-4d8b-9148-e3be6c30e623}">
          <xlrd:rvb i="483"/>
        </ext>
      </extLst>
    </bk>
    <bk>
      <extLst>
        <ext uri="{3e2802c4-a4d2-4d8b-9148-e3be6c30e623}">
          <xlrd:rvb i="484"/>
        </ext>
      </extLst>
    </bk>
    <bk>
      <extLst>
        <ext uri="{3e2802c4-a4d2-4d8b-9148-e3be6c30e623}">
          <xlrd:rvb i="485"/>
        </ext>
      </extLst>
    </bk>
    <bk>
      <extLst>
        <ext uri="{3e2802c4-a4d2-4d8b-9148-e3be6c30e623}">
          <xlrd:rvb i="486"/>
        </ext>
      </extLst>
    </bk>
    <bk>
      <extLst>
        <ext uri="{3e2802c4-a4d2-4d8b-9148-e3be6c30e623}">
          <xlrd:rvb i="487"/>
        </ext>
      </extLst>
    </bk>
    <bk>
      <extLst>
        <ext uri="{3e2802c4-a4d2-4d8b-9148-e3be6c30e623}">
          <xlrd:rvb i="488"/>
        </ext>
      </extLst>
    </bk>
    <bk>
      <extLst>
        <ext uri="{3e2802c4-a4d2-4d8b-9148-e3be6c30e623}">
          <xlrd:rvb i="489"/>
        </ext>
      </extLst>
    </bk>
    <bk>
      <extLst>
        <ext uri="{3e2802c4-a4d2-4d8b-9148-e3be6c30e623}">
          <xlrd:rvb i="490"/>
        </ext>
      </extLst>
    </bk>
    <bk>
      <extLst>
        <ext uri="{3e2802c4-a4d2-4d8b-9148-e3be6c30e623}">
          <xlrd:rvb i="491"/>
        </ext>
      </extLst>
    </bk>
    <bk>
      <extLst>
        <ext uri="{3e2802c4-a4d2-4d8b-9148-e3be6c30e623}">
          <xlrd:rvb i="492"/>
        </ext>
      </extLst>
    </bk>
    <bk>
      <extLst>
        <ext uri="{3e2802c4-a4d2-4d8b-9148-e3be6c30e623}">
          <xlrd:rvb i="493"/>
        </ext>
      </extLst>
    </bk>
    <bk>
      <extLst>
        <ext uri="{3e2802c4-a4d2-4d8b-9148-e3be6c30e623}">
          <xlrd:rvb i="494"/>
        </ext>
      </extLst>
    </bk>
    <bk>
      <extLst>
        <ext uri="{3e2802c4-a4d2-4d8b-9148-e3be6c30e623}">
          <xlrd:rvb i="495"/>
        </ext>
      </extLst>
    </bk>
    <bk>
      <extLst>
        <ext uri="{3e2802c4-a4d2-4d8b-9148-e3be6c30e623}">
          <xlrd:rvb i="496"/>
        </ext>
      </extLst>
    </bk>
    <bk>
      <extLst>
        <ext uri="{3e2802c4-a4d2-4d8b-9148-e3be6c30e623}">
          <xlrd:rvb i="497"/>
        </ext>
      </extLst>
    </bk>
    <bk>
      <extLst>
        <ext uri="{3e2802c4-a4d2-4d8b-9148-e3be6c30e623}">
          <xlrd:rvb i="498"/>
        </ext>
      </extLst>
    </bk>
    <bk>
      <extLst>
        <ext uri="{3e2802c4-a4d2-4d8b-9148-e3be6c30e623}">
          <xlrd:rvb i="499"/>
        </ext>
      </extLst>
    </bk>
    <bk>
      <extLst>
        <ext uri="{3e2802c4-a4d2-4d8b-9148-e3be6c30e623}">
          <xlrd:rvb i="500"/>
        </ext>
      </extLst>
    </bk>
    <bk>
      <extLst>
        <ext uri="{3e2802c4-a4d2-4d8b-9148-e3be6c30e623}">
          <xlrd:rvb i="501"/>
        </ext>
      </extLst>
    </bk>
    <bk>
      <extLst>
        <ext uri="{3e2802c4-a4d2-4d8b-9148-e3be6c30e623}">
          <xlrd:rvb i="502"/>
        </ext>
      </extLst>
    </bk>
    <bk>
      <extLst>
        <ext uri="{3e2802c4-a4d2-4d8b-9148-e3be6c30e623}">
          <xlrd:rvb i="503"/>
        </ext>
      </extLst>
    </bk>
    <bk>
      <extLst>
        <ext uri="{3e2802c4-a4d2-4d8b-9148-e3be6c30e623}">
          <xlrd:rvb i="504"/>
        </ext>
      </extLst>
    </bk>
    <bk>
      <extLst>
        <ext uri="{3e2802c4-a4d2-4d8b-9148-e3be6c30e623}">
          <xlrd:rvb i="505"/>
        </ext>
      </extLst>
    </bk>
    <bk>
      <extLst>
        <ext uri="{3e2802c4-a4d2-4d8b-9148-e3be6c30e623}">
          <xlrd:rvb i="506"/>
        </ext>
      </extLst>
    </bk>
    <bk>
      <extLst>
        <ext uri="{3e2802c4-a4d2-4d8b-9148-e3be6c30e623}">
          <xlrd:rvb i="507"/>
        </ext>
      </extLst>
    </bk>
    <bk>
      <extLst>
        <ext uri="{3e2802c4-a4d2-4d8b-9148-e3be6c30e623}">
          <xlrd:rvb i="508"/>
        </ext>
      </extLst>
    </bk>
    <bk>
      <extLst>
        <ext uri="{3e2802c4-a4d2-4d8b-9148-e3be6c30e623}">
          <xlrd:rvb i="509"/>
        </ext>
      </extLst>
    </bk>
    <bk>
      <extLst>
        <ext uri="{3e2802c4-a4d2-4d8b-9148-e3be6c30e623}">
          <xlrd:rvb i="510"/>
        </ext>
      </extLst>
    </bk>
    <bk>
      <extLst>
        <ext uri="{3e2802c4-a4d2-4d8b-9148-e3be6c30e623}">
          <xlrd:rvb i="511"/>
        </ext>
      </extLst>
    </bk>
    <bk>
      <extLst>
        <ext uri="{3e2802c4-a4d2-4d8b-9148-e3be6c30e623}">
          <xlrd:rvb i="512"/>
        </ext>
      </extLst>
    </bk>
    <bk>
      <extLst>
        <ext uri="{3e2802c4-a4d2-4d8b-9148-e3be6c30e623}">
          <xlrd:rvb i="513"/>
        </ext>
      </extLst>
    </bk>
    <bk>
      <extLst>
        <ext uri="{3e2802c4-a4d2-4d8b-9148-e3be6c30e623}">
          <xlrd:rvb i="514"/>
        </ext>
      </extLst>
    </bk>
    <bk>
      <extLst>
        <ext uri="{3e2802c4-a4d2-4d8b-9148-e3be6c30e623}">
          <xlrd:rvb i="515"/>
        </ext>
      </extLst>
    </bk>
    <bk>
      <extLst>
        <ext uri="{3e2802c4-a4d2-4d8b-9148-e3be6c30e623}">
          <xlrd:rvb i="516"/>
        </ext>
      </extLst>
    </bk>
    <bk>
      <extLst>
        <ext uri="{3e2802c4-a4d2-4d8b-9148-e3be6c30e623}">
          <xlrd:rvb i="517"/>
        </ext>
      </extLst>
    </bk>
    <bk>
      <extLst>
        <ext uri="{3e2802c4-a4d2-4d8b-9148-e3be6c30e623}">
          <xlrd:rvb i="518"/>
        </ext>
      </extLst>
    </bk>
    <bk>
      <extLst>
        <ext uri="{3e2802c4-a4d2-4d8b-9148-e3be6c30e623}">
          <xlrd:rvb i="519"/>
        </ext>
      </extLst>
    </bk>
    <bk>
      <extLst>
        <ext uri="{3e2802c4-a4d2-4d8b-9148-e3be6c30e623}">
          <xlrd:rvb i="520"/>
        </ext>
      </extLst>
    </bk>
    <bk>
      <extLst>
        <ext uri="{3e2802c4-a4d2-4d8b-9148-e3be6c30e623}">
          <xlrd:rvb i="521"/>
        </ext>
      </extLst>
    </bk>
    <bk>
      <extLst>
        <ext uri="{3e2802c4-a4d2-4d8b-9148-e3be6c30e623}">
          <xlrd:rvb i="522"/>
        </ext>
      </extLst>
    </bk>
    <bk>
      <extLst>
        <ext uri="{3e2802c4-a4d2-4d8b-9148-e3be6c30e623}">
          <xlrd:rvb i="523"/>
        </ext>
      </extLst>
    </bk>
    <bk>
      <extLst>
        <ext uri="{3e2802c4-a4d2-4d8b-9148-e3be6c30e623}">
          <xlrd:rvb i="524"/>
        </ext>
      </extLst>
    </bk>
    <bk>
      <extLst>
        <ext uri="{3e2802c4-a4d2-4d8b-9148-e3be6c30e623}">
          <xlrd:rvb i="525"/>
        </ext>
      </extLst>
    </bk>
    <bk>
      <extLst>
        <ext uri="{3e2802c4-a4d2-4d8b-9148-e3be6c30e623}">
          <xlrd:rvb i="526"/>
        </ext>
      </extLst>
    </bk>
    <bk>
      <extLst>
        <ext uri="{3e2802c4-a4d2-4d8b-9148-e3be6c30e623}">
          <xlrd:rvb i="527"/>
        </ext>
      </extLst>
    </bk>
    <bk>
      <extLst>
        <ext uri="{3e2802c4-a4d2-4d8b-9148-e3be6c30e623}">
          <xlrd:rvb i="528"/>
        </ext>
      </extLst>
    </bk>
    <bk>
      <extLst>
        <ext uri="{3e2802c4-a4d2-4d8b-9148-e3be6c30e623}">
          <xlrd:rvb i="529"/>
        </ext>
      </extLst>
    </bk>
    <bk>
      <extLst>
        <ext uri="{3e2802c4-a4d2-4d8b-9148-e3be6c30e623}">
          <xlrd:rvb i="530"/>
        </ext>
      </extLst>
    </bk>
    <bk>
      <extLst>
        <ext uri="{3e2802c4-a4d2-4d8b-9148-e3be6c30e623}">
          <xlrd:rvb i="531"/>
        </ext>
      </extLst>
    </bk>
    <bk>
      <extLst>
        <ext uri="{3e2802c4-a4d2-4d8b-9148-e3be6c30e623}">
          <xlrd:rvb i="532"/>
        </ext>
      </extLst>
    </bk>
    <bk>
      <extLst>
        <ext uri="{3e2802c4-a4d2-4d8b-9148-e3be6c30e623}">
          <xlrd:rvb i="533"/>
        </ext>
      </extLst>
    </bk>
    <bk>
      <extLst>
        <ext uri="{3e2802c4-a4d2-4d8b-9148-e3be6c30e623}">
          <xlrd:rvb i="534"/>
        </ext>
      </extLst>
    </bk>
    <bk>
      <extLst>
        <ext uri="{3e2802c4-a4d2-4d8b-9148-e3be6c30e623}">
          <xlrd:rvb i="535"/>
        </ext>
      </extLst>
    </bk>
    <bk>
      <extLst>
        <ext uri="{3e2802c4-a4d2-4d8b-9148-e3be6c30e623}">
          <xlrd:rvb i="536"/>
        </ext>
      </extLst>
    </bk>
    <bk>
      <extLst>
        <ext uri="{3e2802c4-a4d2-4d8b-9148-e3be6c30e623}">
          <xlrd:rvb i="537"/>
        </ext>
      </extLst>
    </bk>
    <bk>
      <extLst>
        <ext uri="{3e2802c4-a4d2-4d8b-9148-e3be6c30e623}">
          <xlrd:rvb i="538"/>
        </ext>
      </extLst>
    </bk>
    <bk>
      <extLst>
        <ext uri="{3e2802c4-a4d2-4d8b-9148-e3be6c30e623}">
          <xlrd:rvb i="539"/>
        </ext>
      </extLst>
    </bk>
    <bk>
      <extLst>
        <ext uri="{3e2802c4-a4d2-4d8b-9148-e3be6c30e623}">
          <xlrd:rvb i="540"/>
        </ext>
      </extLst>
    </bk>
    <bk>
      <extLst>
        <ext uri="{3e2802c4-a4d2-4d8b-9148-e3be6c30e623}">
          <xlrd:rvb i="541"/>
        </ext>
      </extLst>
    </bk>
    <bk>
      <extLst>
        <ext uri="{3e2802c4-a4d2-4d8b-9148-e3be6c30e623}">
          <xlrd:rvb i="542"/>
        </ext>
      </extLst>
    </bk>
    <bk>
      <extLst>
        <ext uri="{3e2802c4-a4d2-4d8b-9148-e3be6c30e623}">
          <xlrd:rvb i="543"/>
        </ext>
      </extLst>
    </bk>
    <bk>
      <extLst>
        <ext uri="{3e2802c4-a4d2-4d8b-9148-e3be6c30e623}">
          <xlrd:rvb i="544"/>
        </ext>
      </extLst>
    </bk>
    <bk>
      <extLst>
        <ext uri="{3e2802c4-a4d2-4d8b-9148-e3be6c30e623}">
          <xlrd:rvb i="545"/>
        </ext>
      </extLst>
    </bk>
    <bk>
      <extLst>
        <ext uri="{3e2802c4-a4d2-4d8b-9148-e3be6c30e623}">
          <xlrd:rvb i="546"/>
        </ext>
      </extLst>
    </bk>
    <bk>
      <extLst>
        <ext uri="{3e2802c4-a4d2-4d8b-9148-e3be6c30e623}">
          <xlrd:rvb i="547"/>
        </ext>
      </extLst>
    </bk>
    <bk>
      <extLst>
        <ext uri="{3e2802c4-a4d2-4d8b-9148-e3be6c30e623}">
          <xlrd:rvb i="548"/>
        </ext>
      </extLst>
    </bk>
    <bk>
      <extLst>
        <ext uri="{3e2802c4-a4d2-4d8b-9148-e3be6c30e623}">
          <xlrd:rvb i="549"/>
        </ext>
      </extLst>
    </bk>
    <bk>
      <extLst>
        <ext uri="{3e2802c4-a4d2-4d8b-9148-e3be6c30e623}">
          <xlrd:rvb i="550"/>
        </ext>
      </extLst>
    </bk>
    <bk>
      <extLst>
        <ext uri="{3e2802c4-a4d2-4d8b-9148-e3be6c30e623}">
          <xlrd:rvb i="551"/>
        </ext>
      </extLst>
    </bk>
    <bk>
      <extLst>
        <ext uri="{3e2802c4-a4d2-4d8b-9148-e3be6c30e623}">
          <xlrd:rvb i="552"/>
        </ext>
      </extLst>
    </bk>
    <bk>
      <extLst>
        <ext uri="{3e2802c4-a4d2-4d8b-9148-e3be6c30e623}">
          <xlrd:rvb i="553"/>
        </ext>
      </extLst>
    </bk>
    <bk>
      <extLst>
        <ext uri="{3e2802c4-a4d2-4d8b-9148-e3be6c30e623}">
          <xlrd:rvb i="554"/>
        </ext>
      </extLst>
    </bk>
    <bk>
      <extLst>
        <ext uri="{3e2802c4-a4d2-4d8b-9148-e3be6c30e623}">
          <xlrd:rvb i="555"/>
        </ext>
      </extLst>
    </bk>
    <bk>
      <extLst>
        <ext uri="{3e2802c4-a4d2-4d8b-9148-e3be6c30e623}">
          <xlrd:rvb i="556"/>
        </ext>
      </extLst>
    </bk>
    <bk>
      <extLst>
        <ext uri="{3e2802c4-a4d2-4d8b-9148-e3be6c30e623}">
          <xlrd:rvb i="557"/>
        </ext>
      </extLst>
    </bk>
    <bk>
      <extLst>
        <ext uri="{3e2802c4-a4d2-4d8b-9148-e3be6c30e623}">
          <xlrd:rvb i="558"/>
        </ext>
      </extLst>
    </bk>
    <bk>
      <extLst>
        <ext uri="{3e2802c4-a4d2-4d8b-9148-e3be6c30e623}">
          <xlrd:rvb i="559"/>
        </ext>
      </extLst>
    </bk>
    <bk>
      <extLst>
        <ext uri="{3e2802c4-a4d2-4d8b-9148-e3be6c30e623}">
          <xlrd:rvb i="560"/>
        </ext>
      </extLst>
    </bk>
    <bk>
      <extLst>
        <ext uri="{3e2802c4-a4d2-4d8b-9148-e3be6c30e623}">
          <xlrd:rvb i="561"/>
        </ext>
      </extLst>
    </bk>
    <bk>
      <extLst>
        <ext uri="{3e2802c4-a4d2-4d8b-9148-e3be6c30e623}">
          <xlrd:rvb i="562"/>
        </ext>
      </extLst>
    </bk>
    <bk>
      <extLst>
        <ext uri="{3e2802c4-a4d2-4d8b-9148-e3be6c30e623}">
          <xlrd:rvb i="563"/>
        </ext>
      </extLst>
    </bk>
    <bk>
      <extLst>
        <ext uri="{3e2802c4-a4d2-4d8b-9148-e3be6c30e623}">
          <xlrd:rvb i="564"/>
        </ext>
      </extLst>
    </bk>
    <bk>
      <extLst>
        <ext uri="{3e2802c4-a4d2-4d8b-9148-e3be6c30e623}">
          <xlrd:rvb i="565"/>
        </ext>
      </extLst>
    </bk>
    <bk>
      <extLst>
        <ext uri="{3e2802c4-a4d2-4d8b-9148-e3be6c30e623}">
          <xlrd:rvb i="566"/>
        </ext>
      </extLst>
    </bk>
    <bk>
      <extLst>
        <ext uri="{3e2802c4-a4d2-4d8b-9148-e3be6c30e623}">
          <xlrd:rvb i="567"/>
        </ext>
      </extLst>
    </bk>
    <bk>
      <extLst>
        <ext uri="{3e2802c4-a4d2-4d8b-9148-e3be6c30e623}">
          <xlrd:rvb i="568"/>
        </ext>
      </extLst>
    </bk>
    <bk>
      <extLst>
        <ext uri="{3e2802c4-a4d2-4d8b-9148-e3be6c30e623}">
          <xlrd:rvb i="569"/>
        </ext>
      </extLst>
    </bk>
    <bk>
      <extLst>
        <ext uri="{3e2802c4-a4d2-4d8b-9148-e3be6c30e623}">
          <xlrd:rvb i="570"/>
        </ext>
      </extLst>
    </bk>
    <bk>
      <extLst>
        <ext uri="{3e2802c4-a4d2-4d8b-9148-e3be6c30e623}">
          <xlrd:rvb i="571"/>
        </ext>
      </extLst>
    </bk>
    <bk>
      <extLst>
        <ext uri="{3e2802c4-a4d2-4d8b-9148-e3be6c30e623}">
          <xlrd:rvb i="572"/>
        </ext>
      </extLst>
    </bk>
    <bk>
      <extLst>
        <ext uri="{3e2802c4-a4d2-4d8b-9148-e3be6c30e623}">
          <xlrd:rvb i="573"/>
        </ext>
      </extLst>
    </bk>
    <bk>
      <extLst>
        <ext uri="{3e2802c4-a4d2-4d8b-9148-e3be6c30e623}">
          <xlrd:rvb i="574"/>
        </ext>
      </extLst>
    </bk>
    <bk>
      <extLst>
        <ext uri="{3e2802c4-a4d2-4d8b-9148-e3be6c30e623}">
          <xlrd:rvb i="575"/>
        </ext>
      </extLst>
    </bk>
    <bk>
      <extLst>
        <ext uri="{3e2802c4-a4d2-4d8b-9148-e3be6c30e623}">
          <xlrd:rvb i="576"/>
        </ext>
      </extLst>
    </bk>
    <bk>
      <extLst>
        <ext uri="{3e2802c4-a4d2-4d8b-9148-e3be6c30e623}">
          <xlrd:rvb i="577"/>
        </ext>
      </extLst>
    </bk>
    <bk>
      <extLst>
        <ext uri="{3e2802c4-a4d2-4d8b-9148-e3be6c30e623}">
          <xlrd:rvb i="578"/>
        </ext>
      </extLst>
    </bk>
    <bk>
      <extLst>
        <ext uri="{3e2802c4-a4d2-4d8b-9148-e3be6c30e623}">
          <xlrd:rvb i="579"/>
        </ext>
      </extLst>
    </bk>
    <bk>
      <extLst>
        <ext uri="{3e2802c4-a4d2-4d8b-9148-e3be6c30e623}">
          <xlrd:rvb i="580"/>
        </ext>
      </extLst>
    </bk>
    <bk>
      <extLst>
        <ext uri="{3e2802c4-a4d2-4d8b-9148-e3be6c30e623}">
          <xlrd:rvb i="581"/>
        </ext>
      </extLst>
    </bk>
    <bk>
      <extLst>
        <ext uri="{3e2802c4-a4d2-4d8b-9148-e3be6c30e623}">
          <xlrd:rvb i="582"/>
        </ext>
      </extLst>
    </bk>
    <bk>
      <extLst>
        <ext uri="{3e2802c4-a4d2-4d8b-9148-e3be6c30e623}">
          <xlrd:rvb i="583"/>
        </ext>
      </extLst>
    </bk>
    <bk>
      <extLst>
        <ext uri="{3e2802c4-a4d2-4d8b-9148-e3be6c30e623}">
          <xlrd:rvb i="584"/>
        </ext>
      </extLst>
    </bk>
    <bk>
      <extLst>
        <ext uri="{3e2802c4-a4d2-4d8b-9148-e3be6c30e623}">
          <xlrd:rvb i="585"/>
        </ext>
      </extLst>
    </bk>
    <bk>
      <extLst>
        <ext uri="{3e2802c4-a4d2-4d8b-9148-e3be6c30e623}">
          <xlrd:rvb i="586"/>
        </ext>
      </extLst>
    </bk>
    <bk>
      <extLst>
        <ext uri="{3e2802c4-a4d2-4d8b-9148-e3be6c30e623}">
          <xlrd:rvb i="587"/>
        </ext>
      </extLst>
    </bk>
    <bk>
      <extLst>
        <ext uri="{3e2802c4-a4d2-4d8b-9148-e3be6c30e623}">
          <xlrd:rvb i="588"/>
        </ext>
      </extLst>
    </bk>
    <bk>
      <extLst>
        <ext uri="{3e2802c4-a4d2-4d8b-9148-e3be6c30e623}">
          <xlrd:rvb i="589"/>
        </ext>
      </extLst>
    </bk>
    <bk>
      <extLst>
        <ext uri="{3e2802c4-a4d2-4d8b-9148-e3be6c30e623}">
          <xlrd:rvb i="590"/>
        </ext>
      </extLst>
    </bk>
    <bk>
      <extLst>
        <ext uri="{3e2802c4-a4d2-4d8b-9148-e3be6c30e623}">
          <xlrd:rvb i="591"/>
        </ext>
      </extLst>
    </bk>
    <bk>
      <extLst>
        <ext uri="{3e2802c4-a4d2-4d8b-9148-e3be6c30e623}">
          <xlrd:rvb i="592"/>
        </ext>
      </extLst>
    </bk>
    <bk>
      <extLst>
        <ext uri="{3e2802c4-a4d2-4d8b-9148-e3be6c30e623}">
          <xlrd:rvb i="593"/>
        </ext>
      </extLst>
    </bk>
    <bk>
      <extLst>
        <ext uri="{3e2802c4-a4d2-4d8b-9148-e3be6c30e623}">
          <xlrd:rvb i="594"/>
        </ext>
      </extLst>
    </bk>
    <bk>
      <extLst>
        <ext uri="{3e2802c4-a4d2-4d8b-9148-e3be6c30e623}">
          <xlrd:rvb i="595"/>
        </ext>
      </extLst>
    </bk>
    <bk>
      <extLst>
        <ext uri="{3e2802c4-a4d2-4d8b-9148-e3be6c30e623}">
          <xlrd:rvb i="596"/>
        </ext>
      </extLst>
    </bk>
    <bk>
      <extLst>
        <ext uri="{3e2802c4-a4d2-4d8b-9148-e3be6c30e623}">
          <xlrd:rvb i="597"/>
        </ext>
      </extLst>
    </bk>
    <bk>
      <extLst>
        <ext uri="{3e2802c4-a4d2-4d8b-9148-e3be6c30e623}">
          <xlrd:rvb i="598"/>
        </ext>
      </extLst>
    </bk>
    <bk>
      <extLst>
        <ext uri="{3e2802c4-a4d2-4d8b-9148-e3be6c30e623}">
          <xlrd:rvb i="599"/>
        </ext>
      </extLst>
    </bk>
    <bk>
      <extLst>
        <ext uri="{3e2802c4-a4d2-4d8b-9148-e3be6c30e623}">
          <xlrd:rvb i="600"/>
        </ext>
      </extLst>
    </bk>
    <bk>
      <extLst>
        <ext uri="{3e2802c4-a4d2-4d8b-9148-e3be6c30e623}">
          <xlrd:rvb i="601"/>
        </ext>
      </extLst>
    </bk>
    <bk>
      <extLst>
        <ext uri="{3e2802c4-a4d2-4d8b-9148-e3be6c30e623}">
          <xlrd:rvb i="602"/>
        </ext>
      </extLst>
    </bk>
    <bk>
      <extLst>
        <ext uri="{3e2802c4-a4d2-4d8b-9148-e3be6c30e623}">
          <xlrd:rvb i="603"/>
        </ext>
      </extLst>
    </bk>
    <bk>
      <extLst>
        <ext uri="{3e2802c4-a4d2-4d8b-9148-e3be6c30e623}">
          <xlrd:rvb i="604"/>
        </ext>
      </extLst>
    </bk>
    <bk>
      <extLst>
        <ext uri="{3e2802c4-a4d2-4d8b-9148-e3be6c30e623}">
          <xlrd:rvb i="605"/>
        </ext>
      </extLst>
    </bk>
    <bk>
      <extLst>
        <ext uri="{3e2802c4-a4d2-4d8b-9148-e3be6c30e623}">
          <xlrd:rvb i="606"/>
        </ext>
      </extLst>
    </bk>
    <bk>
      <extLst>
        <ext uri="{3e2802c4-a4d2-4d8b-9148-e3be6c30e623}">
          <xlrd:rvb i="607"/>
        </ext>
      </extLst>
    </bk>
    <bk>
      <extLst>
        <ext uri="{3e2802c4-a4d2-4d8b-9148-e3be6c30e623}">
          <xlrd:rvb i="608"/>
        </ext>
      </extLst>
    </bk>
    <bk>
      <extLst>
        <ext uri="{3e2802c4-a4d2-4d8b-9148-e3be6c30e623}">
          <xlrd:rvb i="609"/>
        </ext>
      </extLst>
    </bk>
    <bk>
      <extLst>
        <ext uri="{3e2802c4-a4d2-4d8b-9148-e3be6c30e623}">
          <xlrd:rvb i="610"/>
        </ext>
      </extLst>
    </bk>
    <bk>
      <extLst>
        <ext uri="{3e2802c4-a4d2-4d8b-9148-e3be6c30e623}">
          <xlrd:rvb i="611"/>
        </ext>
      </extLst>
    </bk>
    <bk>
      <extLst>
        <ext uri="{3e2802c4-a4d2-4d8b-9148-e3be6c30e623}">
          <xlrd:rvb i="612"/>
        </ext>
      </extLst>
    </bk>
    <bk>
      <extLst>
        <ext uri="{3e2802c4-a4d2-4d8b-9148-e3be6c30e623}">
          <xlrd:rvb i="613"/>
        </ext>
      </extLst>
    </bk>
    <bk>
      <extLst>
        <ext uri="{3e2802c4-a4d2-4d8b-9148-e3be6c30e623}">
          <xlrd:rvb i="614"/>
        </ext>
      </extLst>
    </bk>
    <bk>
      <extLst>
        <ext uri="{3e2802c4-a4d2-4d8b-9148-e3be6c30e623}">
          <xlrd:rvb i="615"/>
        </ext>
      </extLst>
    </bk>
    <bk>
      <extLst>
        <ext uri="{3e2802c4-a4d2-4d8b-9148-e3be6c30e623}">
          <xlrd:rvb i="616"/>
        </ext>
      </extLst>
    </bk>
    <bk>
      <extLst>
        <ext uri="{3e2802c4-a4d2-4d8b-9148-e3be6c30e623}">
          <xlrd:rvb i="617"/>
        </ext>
      </extLst>
    </bk>
    <bk>
      <extLst>
        <ext uri="{3e2802c4-a4d2-4d8b-9148-e3be6c30e623}">
          <xlrd:rvb i="618"/>
        </ext>
      </extLst>
    </bk>
    <bk>
      <extLst>
        <ext uri="{3e2802c4-a4d2-4d8b-9148-e3be6c30e623}">
          <xlrd:rvb i="619"/>
        </ext>
      </extLst>
    </bk>
    <bk>
      <extLst>
        <ext uri="{3e2802c4-a4d2-4d8b-9148-e3be6c30e623}">
          <xlrd:rvb i="620"/>
        </ext>
      </extLst>
    </bk>
    <bk>
      <extLst>
        <ext uri="{3e2802c4-a4d2-4d8b-9148-e3be6c30e623}">
          <xlrd:rvb i="621"/>
        </ext>
      </extLst>
    </bk>
    <bk>
      <extLst>
        <ext uri="{3e2802c4-a4d2-4d8b-9148-e3be6c30e623}">
          <xlrd:rvb i="622"/>
        </ext>
      </extLst>
    </bk>
    <bk>
      <extLst>
        <ext uri="{3e2802c4-a4d2-4d8b-9148-e3be6c30e623}">
          <xlrd:rvb i="623"/>
        </ext>
      </extLst>
    </bk>
    <bk>
      <extLst>
        <ext uri="{3e2802c4-a4d2-4d8b-9148-e3be6c30e623}">
          <xlrd:rvb i="624"/>
        </ext>
      </extLst>
    </bk>
    <bk>
      <extLst>
        <ext uri="{3e2802c4-a4d2-4d8b-9148-e3be6c30e623}">
          <xlrd:rvb i="625"/>
        </ext>
      </extLst>
    </bk>
    <bk>
      <extLst>
        <ext uri="{3e2802c4-a4d2-4d8b-9148-e3be6c30e623}">
          <xlrd:rvb i="626"/>
        </ext>
      </extLst>
    </bk>
    <bk>
      <extLst>
        <ext uri="{3e2802c4-a4d2-4d8b-9148-e3be6c30e623}">
          <xlrd:rvb i="627"/>
        </ext>
      </extLst>
    </bk>
    <bk>
      <extLst>
        <ext uri="{3e2802c4-a4d2-4d8b-9148-e3be6c30e623}">
          <xlrd:rvb i="628"/>
        </ext>
      </extLst>
    </bk>
    <bk>
      <extLst>
        <ext uri="{3e2802c4-a4d2-4d8b-9148-e3be6c30e623}">
          <xlrd:rvb i="629"/>
        </ext>
      </extLst>
    </bk>
    <bk>
      <extLst>
        <ext uri="{3e2802c4-a4d2-4d8b-9148-e3be6c30e623}">
          <xlrd:rvb i="630"/>
        </ext>
      </extLst>
    </bk>
    <bk>
      <extLst>
        <ext uri="{3e2802c4-a4d2-4d8b-9148-e3be6c30e623}">
          <xlrd:rvb i="631"/>
        </ext>
      </extLst>
    </bk>
    <bk>
      <extLst>
        <ext uri="{3e2802c4-a4d2-4d8b-9148-e3be6c30e623}">
          <xlrd:rvb i="632"/>
        </ext>
      </extLst>
    </bk>
    <bk>
      <extLst>
        <ext uri="{3e2802c4-a4d2-4d8b-9148-e3be6c30e623}">
          <xlrd:rvb i="633"/>
        </ext>
      </extLst>
    </bk>
    <bk>
      <extLst>
        <ext uri="{3e2802c4-a4d2-4d8b-9148-e3be6c30e623}">
          <xlrd:rvb i="634"/>
        </ext>
      </extLst>
    </bk>
    <bk>
      <extLst>
        <ext uri="{3e2802c4-a4d2-4d8b-9148-e3be6c30e623}">
          <xlrd:rvb i="635"/>
        </ext>
      </extLst>
    </bk>
    <bk>
      <extLst>
        <ext uri="{3e2802c4-a4d2-4d8b-9148-e3be6c30e623}">
          <xlrd:rvb i="636"/>
        </ext>
      </extLst>
    </bk>
    <bk>
      <extLst>
        <ext uri="{3e2802c4-a4d2-4d8b-9148-e3be6c30e623}">
          <xlrd:rvb i="637"/>
        </ext>
      </extLst>
    </bk>
    <bk>
      <extLst>
        <ext uri="{3e2802c4-a4d2-4d8b-9148-e3be6c30e623}">
          <xlrd:rvb i="638"/>
        </ext>
      </extLst>
    </bk>
    <bk>
      <extLst>
        <ext uri="{3e2802c4-a4d2-4d8b-9148-e3be6c30e623}">
          <xlrd:rvb i="639"/>
        </ext>
      </extLst>
    </bk>
    <bk>
      <extLst>
        <ext uri="{3e2802c4-a4d2-4d8b-9148-e3be6c30e623}">
          <xlrd:rvb i="640"/>
        </ext>
      </extLst>
    </bk>
    <bk>
      <extLst>
        <ext uri="{3e2802c4-a4d2-4d8b-9148-e3be6c30e623}">
          <xlrd:rvb i="641"/>
        </ext>
      </extLst>
    </bk>
    <bk>
      <extLst>
        <ext uri="{3e2802c4-a4d2-4d8b-9148-e3be6c30e623}">
          <xlrd:rvb i="642"/>
        </ext>
      </extLst>
    </bk>
    <bk>
      <extLst>
        <ext uri="{3e2802c4-a4d2-4d8b-9148-e3be6c30e623}">
          <xlrd:rvb i="643"/>
        </ext>
      </extLst>
    </bk>
    <bk>
      <extLst>
        <ext uri="{3e2802c4-a4d2-4d8b-9148-e3be6c30e623}">
          <xlrd:rvb i="644"/>
        </ext>
      </extLst>
    </bk>
    <bk>
      <extLst>
        <ext uri="{3e2802c4-a4d2-4d8b-9148-e3be6c30e623}">
          <xlrd:rvb i="645"/>
        </ext>
      </extLst>
    </bk>
    <bk>
      <extLst>
        <ext uri="{3e2802c4-a4d2-4d8b-9148-e3be6c30e623}">
          <xlrd:rvb i="646"/>
        </ext>
      </extLst>
    </bk>
    <bk>
      <extLst>
        <ext uri="{3e2802c4-a4d2-4d8b-9148-e3be6c30e623}">
          <xlrd:rvb i="647"/>
        </ext>
      </extLst>
    </bk>
    <bk>
      <extLst>
        <ext uri="{3e2802c4-a4d2-4d8b-9148-e3be6c30e623}">
          <xlrd:rvb i="648"/>
        </ext>
      </extLst>
    </bk>
    <bk>
      <extLst>
        <ext uri="{3e2802c4-a4d2-4d8b-9148-e3be6c30e623}">
          <xlrd:rvb i="649"/>
        </ext>
      </extLst>
    </bk>
    <bk>
      <extLst>
        <ext uri="{3e2802c4-a4d2-4d8b-9148-e3be6c30e623}">
          <xlrd:rvb i="650"/>
        </ext>
      </extLst>
    </bk>
    <bk>
      <extLst>
        <ext uri="{3e2802c4-a4d2-4d8b-9148-e3be6c30e623}">
          <xlrd:rvb i="651"/>
        </ext>
      </extLst>
    </bk>
    <bk>
      <extLst>
        <ext uri="{3e2802c4-a4d2-4d8b-9148-e3be6c30e623}">
          <xlrd:rvb i="652"/>
        </ext>
      </extLst>
    </bk>
    <bk>
      <extLst>
        <ext uri="{3e2802c4-a4d2-4d8b-9148-e3be6c30e623}">
          <xlrd:rvb i="653"/>
        </ext>
      </extLst>
    </bk>
    <bk>
      <extLst>
        <ext uri="{3e2802c4-a4d2-4d8b-9148-e3be6c30e623}">
          <xlrd:rvb i="654"/>
        </ext>
      </extLst>
    </bk>
    <bk>
      <extLst>
        <ext uri="{3e2802c4-a4d2-4d8b-9148-e3be6c30e623}">
          <xlrd:rvb i="655"/>
        </ext>
      </extLst>
    </bk>
    <bk>
      <extLst>
        <ext uri="{3e2802c4-a4d2-4d8b-9148-e3be6c30e623}">
          <xlrd:rvb i="656"/>
        </ext>
      </extLst>
    </bk>
    <bk>
      <extLst>
        <ext uri="{3e2802c4-a4d2-4d8b-9148-e3be6c30e623}">
          <xlrd:rvb i="657"/>
        </ext>
      </extLst>
    </bk>
    <bk>
      <extLst>
        <ext uri="{3e2802c4-a4d2-4d8b-9148-e3be6c30e623}">
          <xlrd:rvb i="658"/>
        </ext>
      </extLst>
    </bk>
    <bk>
      <extLst>
        <ext uri="{3e2802c4-a4d2-4d8b-9148-e3be6c30e623}">
          <xlrd:rvb i="659"/>
        </ext>
      </extLst>
    </bk>
    <bk>
      <extLst>
        <ext uri="{3e2802c4-a4d2-4d8b-9148-e3be6c30e623}">
          <xlrd:rvb i="660"/>
        </ext>
      </extLst>
    </bk>
    <bk>
      <extLst>
        <ext uri="{3e2802c4-a4d2-4d8b-9148-e3be6c30e623}">
          <xlrd:rvb i="661"/>
        </ext>
      </extLst>
    </bk>
    <bk>
      <extLst>
        <ext uri="{3e2802c4-a4d2-4d8b-9148-e3be6c30e623}">
          <xlrd:rvb i="662"/>
        </ext>
      </extLst>
    </bk>
    <bk>
      <extLst>
        <ext uri="{3e2802c4-a4d2-4d8b-9148-e3be6c30e623}">
          <xlrd:rvb i="663"/>
        </ext>
      </extLst>
    </bk>
    <bk>
      <extLst>
        <ext uri="{3e2802c4-a4d2-4d8b-9148-e3be6c30e623}">
          <xlrd:rvb i="664"/>
        </ext>
      </extLst>
    </bk>
    <bk>
      <extLst>
        <ext uri="{3e2802c4-a4d2-4d8b-9148-e3be6c30e623}">
          <xlrd:rvb i="665"/>
        </ext>
      </extLst>
    </bk>
    <bk>
      <extLst>
        <ext uri="{3e2802c4-a4d2-4d8b-9148-e3be6c30e623}">
          <xlrd:rvb i="666"/>
        </ext>
      </extLst>
    </bk>
    <bk>
      <extLst>
        <ext uri="{3e2802c4-a4d2-4d8b-9148-e3be6c30e623}">
          <xlrd:rvb i="667"/>
        </ext>
      </extLst>
    </bk>
    <bk>
      <extLst>
        <ext uri="{3e2802c4-a4d2-4d8b-9148-e3be6c30e623}">
          <xlrd:rvb i="668"/>
        </ext>
      </extLst>
    </bk>
    <bk>
      <extLst>
        <ext uri="{3e2802c4-a4d2-4d8b-9148-e3be6c30e623}">
          <xlrd:rvb i="669"/>
        </ext>
      </extLst>
    </bk>
    <bk>
      <extLst>
        <ext uri="{3e2802c4-a4d2-4d8b-9148-e3be6c30e623}">
          <xlrd:rvb i="670"/>
        </ext>
      </extLst>
    </bk>
    <bk>
      <extLst>
        <ext uri="{3e2802c4-a4d2-4d8b-9148-e3be6c30e623}">
          <xlrd:rvb i="671"/>
        </ext>
      </extLst>
    </bk>
    <bk>
      <extLst>
        <ext uri="{3e2802c4-a4d2-4d8b-9148-e3be6c30e623}">
          <xlrd:rvb i="672"/>
        </ext>
      </extLst>
    </bk>
    <bk>
      <extLst>
        <ext uri="{3e2802c4-a4d2-4d8b-9148-e3be6c30e623}">
          <xlrd:rvb i="673"/>
        </ext>
      </extLst>
    </bk>
    <bk>
      <extLst>
        <ext uri="{3e2802c4-a4d2-4d8b-9148-e3be6c30e623}">
          <xlrd:rvb i="674"/>
        </ext>
      </extLst>
    </bk>
    <bk>
      <extLst>
        <ext uri="{3e2802c4-a4d2-4d8b-9148-e3be6c30e623}">
          <xlrd:rvb i="675"/>
        </ext>
      </extLst>
    </bk>
    <bk>
      <extLst>
        <ext uri="{3e2802c4-a4d2-4d8b-9148-e3be6c30e623}">
          <xlrd:rvb i="676"/>
        </ext>
      </extLst>
    </bk>
    <bk>
      <extLst>
        <ext uri="{3e2802c4-a4d2-4d8b-9148-e3be6c30e623}">
          <xlrd:rvb i="677"/>
        </ext>
      </extLst>
    </bk>
    <bk>
      <extLst>
        <ext uri="{3e2802c4-a4d2-4d8b-9148-e3be6c30e623}">
          <xlrd:rvb i="678"/>
        </ext>
      </extLst>
    </bk>
    <bk>
      <extLst>
        <ext uri="{3e2802c4-a4d2-4d8b-9148-e3be6c30e623}">
          <xlrd:rvb i="679"/>
        </ext>
      </extLst>
    </bk>
    <bk>
      <extLst>
        <ext uri="{3e2802c4-a4d2-4d8b-9148-e3be6c30e623}">
          <xlrd:rvb i="680"/>
        </ext>
      </extLst>
    </bk>
    <bk>
      <extLst>
        <ext uri="{3e2802c4-a4d2-4d8b-9148-e3be6c30e623}">
          <xlrd:rvb i="681"/>
        </ext>
      </extLst>
    </bk>
    <bk>
      <extLst>
        <ext uri="{3e2802c4-a4d2-4d8b-9148-e3be6c30e623}">
          <xlrd:rvb i="682"/>
        </ext>
      </extLst>
    </bk>
    <bk>
      <extLst>
        <ext uri="{3e2802c4-a4d2-4d8b-9148-e3be6c30e623}">
          <xlrd:rvb i="683"/>
        </ext>
      </extLst>
    </bk>
    <bk>
      <extLst>
        <ext uri="{3e2802c4-a4d2-4d8b-9148-e3be6c30e623}">
          <xlrd:rvb i="684"/>
        </ext>
      </extLst>
    </bk>
    <bk>
      <extLst>
        <ext uri="{3e2802c4-a4d2-4d8b-9148-e3be6c30e623}">
          <xlrd:rvb i="685"/>
        </ext>
      </extLst>
    </bk>
    <bk>
      <extLst>
        <ext uri="{3e2802c4-a4d2-4d8b-9148-e3be6c30e623}">
          <xlrd:rvb i="686"/>
        </ext>
      </extLst>
    </bk>
    <bk>
      <extLst>
        <ext uri="{3e2802c4-a4d2-4d8b-9148-e3be6c30e623}">
          <xlrd:rvb i="687"/>
        </ext>
      </extLst>
    </bk>
    <bk>
      <extLst>
        <ext uri="{3e2802c4-a4d2-4d8b-9148-e3be6c30e623}">
          <xlrd:rvb i="688"/>
        </ext>
      </extLst>
    </bk>
    <bk>
      <extLst>
        <ext uri="{3e2802c4-a4d2-4d8b-9148-e3be6c30e623}">
          <xlrd:rvb i="689"/>
        </ext>
      </extLst>
    </bk>
    <bk>
      <extLst>
        <ext uri="{3e2802c4-a4d2-4d8b-9148-e3be6c30e623}">
          <xlrd:rvb i="690"/>
        </ext>
      </extLst>
    </bk>
    <bk>
      <extLst>
        <ext uri="{3e2802c4-a4d2-4d8b-9148-e3be6c30e623}">
          <xlrd:rvb i="691"/>
        </ext>
      </extLst>
    </bk>
    <bk>
      <extLst>
        <ext uri="{3e2802c4-a4d2-4d8b-9148-e3be6c30e623}">
          <xlrd:rvb i="692"/>
        </ext>
      </extLst>
    </bk>
    <bk>
      <extLst>
        <ext uri="{3e2802c4-a4d2-4d8b-9148-e3be6c30e623}">
          <xlrd:rvb i="693"/>
        </ext>
      </extLst>
    </bk>
    <bk>
      <extLst>
        <ext uri="{3e2802c4-a4d2-4d8b-9148-e3be6c30e623}">
          <xlrd:rvb i="694"/>
        </ext>
      </extLst>
    </bk>
    <bk>
      <extLst>
        <ext uri="{3e2802c4-a4d2-4d8b-9148-e3be6c30e623}">
          <xlrd:rvb i="695"/>
        </ext>
      </extLst>
    </bk>
    <bk>
      <extLst>
        <ext uri="{3e2802c4-a4d2-4d8b-9148-e3be6c30e623}">
          <xlrd:rvb i="696"/>
        </ext>
      </extLst>
    </bk>
    <bk>
      <extLst>
        <ext uri="{3e2802c4-a4d2-4d8b-9148-e3be6c30e623}">
          <xlrd:rvb i="697"/>
        </ext>
      </extLst>
    </bk>
    <bk>
      <extLst>
        <ext uri="{3e2802c4-a4d2-4d8b-9148-e3be6c30e623}">
          <xlrd:rvb i="698"/>
        </ext>
      </extLst>
    </bk>
    <bk>
      <extLst>
        <ext uri="{3e2802c4-a4d2-4d8b-9148-e3be6c30e623}">
          <xlrd:rvb i="699"/>
        </ext>
      </extLst>
    </bk>
    <bk>
      <extLst>
        <ext uri="{3e2802c4-a4d2-4d8b-9148-e3be6c30e623}">
          <xlrd:rvb i="700"/>
        </ext>
      </extLst>
    </bk>
    <bk>
      <extLst>
        <ext uri="{3e2802c4-a4d2-4d8b-9148-e3be6c30e623}">
          <xlrd:rvb i="701"/>
        </ext>
      </extLst>
    </bk>
    <bk>
      <extLst>
        <ext uri="{3e2802c4-a4d2-4d8b-9148-e3be6c30e623}">
          <xlrd:rvb i="702"/>
        </ext>
      </extLst>
    </bk>
    <bk>
      <extLst>
        <ext uri="{3e2802c4-a4d2-4d8b-9148-e3be6c30e623}">
          <xlrd:rvb i="703"/>
        </ext>
      </extLst>
    </bk>
    <bk>
      <extLst>
        <ext uri="{3e2802c4-a4d2-4d8b-9148-e3be6c30e623}">
          <xlrd:rvb i="704"/>
        </ext>
      </extLst>
    </bk>
    <bk>
      <extLst>
        <ext uri="{3e2802c4-a4d2-4d8b-9148-e3be6c30e623}">
          <xlrd:rvb i="705"/>
        </ext>
      </extLst>
    </bk>
    <bk>
      <extLst>
        <ext uri="{3e2802c4-a4d2-4d8b-9148-e3be6c30e623}">
          <xlrd:rvb i="706"/>
        </ext>
      </extLst>
    </bk>
    <bk>
      <extLst>
        <ext uri="{3e2802c4-a4d2-4d8b-9148-e3be6c30e623}">
          <xlrd:rvb i="707"/>
        </ext>
      </extLst>
    </bk>
    <bk>
      <extLst>
        <ext uri="{3e2802c4-a4d2-4d8b-9148-e3be6c30e623}">
          <xlrd:rvb i="708"/>
        </ext>
      </extLst>
    </bk>
    <bk>
      <extLst>
        <ext uri="{3e2802c4-a4d2-4d8b-9148-e3be6c30e623}">
          <xlrd:rvb i="709"/>
        </ext>
      </extLst>
    </bk>
    <bk>
      <extLst>
        <ext uri="{3e2802c4-a4d2-4d8b-9148-e3be6c30e623}">
          <xlrd:rvb i="710"/>
        </ext>
      </extLst>
    </bk>
    <bk>
      <extLst>
        <ext uri="{3e2802c4-a4d2-4d8b-9148-e3be6c30e623}">
          <xlrd:rvb i="711"/>
        </ext>
      </extLst>
    </bk>
    <bk>
      <extLst>
        <ext uri="{3e2802c4-a4d2-4d8b-9148-e3be6c30e623}">
          <xlrd:rvb i="712"/>
        </ext>
      </extLst>
    </bk>
    <bk>
      <extLst>
        <ext uri="{3e2802c4-a4d2-4d8b-9148-e3be6c30e623}">
          <xlrd:rvb i="713"/>
        </ext>
      </extLst>
    </bk>
    <bk>
      <extLst>
        <ext uri="{3e2802c4-a4d2-4d8b-9148-e3be6c30e623}">
          <xlrd:rvb i="714"/>
        </ext>
      </extLst>
    </bk>
    <bk>
      <extLst>
        <ext uri="{3e2802c4-a4d2-4d8b-9148-e3be6c30e623}">
          <xlrd:rvb i="715"/>
        </ext>
      </extLst>
    </bk>
    <bk>
      <extLst>
        <ext uri="{3e2802c4-a4d2-4d8b-9148-e3be6c30e623}">
          <xlrd:rvb i="716"/>
        </ext>
      </extLst>
    </bk>
    <bk>
      <extLst>
        <ext uri="{3e2802c4-a4d2-4d8b-9148-e3be6c30e623}">
          <xlrd:rvb i="717"/>
        </ext>
      </extLst>
    </bk>
    <bk>
      <extLst>
        <ext uri="{3e2802c4-a4d2-4d8b-9148-e3be6c30e623}">
          <xlrd:rvb i="718"/>
        </ext>
      </extLst>
    </bk>
    <bk>
      <extLst>
        <ext uri="{3e2802c4-a4d2-4d8b-9148-e3be6c30e623}">
          <xlrd:rvb i="719"/>
        </ext>
      </extLst>
    </bk>
    <bk>
      <extLst>
        <ext uri="{3e2802c4-a4d2-4d8b-9148-e3be6c30e623}">
          <xlrd:rvb i="720"/>
        </ext>
      </extLst>
    </bk>
    <bk>
      <extLst>
        <ext uri="{3e2802c4-a4d2-4d8b-9148-e3be6c30e623}">
          <xlrd:rvb i="721"/>
        </ext>
      </extLst>
    </bk>
    <bk>
      <extLst>
        <ext uri="{3e2802c4-a4d2-4d8b-9148-e3be6c30e623}">
          <xlrd:rvb i="722"/>
        </ext>
      </extLst>
    </bk>
    <bk>
      <extLst>
        <ext uri="{3e2802c4-a4d2-4d8b-9148-e3be6c30e623}">
          <xlrd:rvb i="723"/>
        </ext>
      </extLst>
    </bk>
    <bk>
      <extLst>
        <ext uri="{3e2802c4-a4d2-4d8b-9148-e3be6c30e623}">
          <xlrd:rvb i="724"/>
        </ext>
      </extLst>
    </bk>
    <bk>
      <extLst>
        <ext uri="{3e2802c4-a4d2-4d8b-9148-e3be6c30e623}">
          <xlrd:rvb i="725"/>
        </ext>
      </extLst>
    </bk>
    <bk>
      <extLst>
        <ext uri="{3e2802c4-a4d2-4d8b-9148-e3be6c30e623}">
          <xlrd:rvb i="726"/>
        </ext>
      </extLst>
    </bk>
    <bk>
      <extLst>
        <ext uri="{3e2802c4-a4d2-4d8b-9148-e3be6c30e623}">
          <xlrd:rvb i="727"/>
        </ext>
      </extLst>
    </bk>
    <bk>
      <extLst>
        <ext uri="{3e2802c4-a4d2-4d8b-9148-e3be6c30e623}">
          <xlrd:rvb i="728"/>
        </ext>
      </extLst>
    </bk>
    <bk>
      <extLst>
        <ext uri="{3e2802c4-a4d2-4d8b-9148-e3be6c30e623}">
          <xlrd:rvb i="729"/>
        </ext>
      </extLst>
    </bk>
    <bk>
      <extLst>
        <ext uri="{3e2802c4-a4d2-4d8b-9148-e3be6c30e623}">
          <xlrd:rvb i="730"/>
        </ext>
      </extLst>
    </bk>
    <bk>
      <extLst>
        <ext uri="{3e2802c4-a4d2-4d8b-9148-e3be6c30e623}">
          <xlrd:rvb i="731"/>
        </ext>
      </extLst>
    </bk>
    <bk>
      <extLst>
        <ext uri="{3e2802c4-a4d2-4d8b-9148-e3be6c30e623}">
          <xlrd:rvb i="732"/>
        </ext>
      </extLst>
    </bk>
    <bk>
      <extLst>
        <ext uri="{3e2802c4-a4d2-4d8b-9148-e3be6c30e623}">
          <xlrd:rvb i="733"/>
        </ext>
      </extLst>
    </bk>
    <bk>
      <extLst>
        <ext uri="{3e2802c4-a4d2-4d8b-9148-e3be6c30e623}">
          <xlrd:rvb i="734"/>
        </ext>
      </extLst>
    </bk>
    <bk>
      <extLst>
        <ext uri="{3e2802c4-a4d2-4d8b-9148-e3be6c30e623}">
          <xlrd:rvb i="735"/>
        </ext>
      </extLst>
    </bk>
    <bk>
      <extLst>
        <ext uri="{3e2802c4-a4d2-4d8b-9148-e3be6c30e623}">
          <xlrd:rvb i="736"/>
        </ext>
      </extLst>
    </bk>
    <bk>
      <extLst>
        <ext uri="{3e2802c4-a4d2-4d8b-9148-e3be6c30e623}">
          <xlrd:rvb i="737"/>
        </ext>
      </extLst>
    </bk>
    <bk>
      <extLst>
        <ext uri="{3e2802c4-a4d2-4d8b-9148-e3be6c30e623}">
          <xlrd:rvb i="738"/>
        </ext>
      </extLst>
    </bk>
    <bk>
      <extLst>
        <ext uri="{3e2802c4-a4d2-4d8b-9148-e3be6c30e623}">
          <xlrd:rvb i="739"/>
        </ext>
      </extLst>
    </bk>
    <bk>
      <extLst>
        <ext uri="{3e2802c4-a4d2-4d8b-9148-e3be6c30e623}">
          <xlrd:rvb i="740"/>
        </ext>
      </extLst>
    </bk>
    <bk>
      <extLst>
        <ext uri="{3e2802c4-a4d2-4d8b-9148-e3be6c30e623}">
          <xlrd:rvb i="741"/>
        </ext>
      </extLst>
    </bk>
    <bk>
      <extLst>
        <ext uri="{3e2802c4-a4d2-4d8b-9148-e3be6c30e623}">
          <xlrd:rvb i="742"/>
        </ext>
      </extLst>
    </bk>
    <bk>
      <extLst>
        <ext uri="{3e2802c4-a4d2-4d8b-9148-e3be6c30e623}">
          <xlrd:rvb i="743"/>
        </ext>
      </extLst>
    </bk>
    <bk>
      <extLst>
        <ext uri="{3e2802c4-a4d2-4d8b-9148-e3be6c30e623}">
          <xlrd:rvb i="744"/>
        </ext>
      </extLst>
    </bk>
    <bk>
      <extLst>
        <ext uri="{3e2802c4-a4d2-4d8b-9148-e3be6c30e623}">
          <xlrd:rvb i="745"/>
        </ext>
      </extLst>
    </bk>
    <bk>
      <extLst>
        <ext uri="{3e2802c4-a4d2-4d8b-9148-e3be6c30e623}">
          <xlrd:rvb i="746"/>
        </ext>
      </extLst>
    </bk>
    <bk>
      <extLst>
        <ext uri="{3e2802c4-a4d2-4d8b-9148-e3be6c30e623}">
          <xlrd:rvb i="747"/>
        </ext>
      </extLst>
    </bk>
    <bk>
      <extLst>
        <ext uri="{3e2802c4-a4d2-4d8b-9148-e3be6c30e623}">
          <xlrd:rvb i="748"/>
        </ext>
      </extLst>
    </bk>
    <bk>
      <extLst>
        <ext uri="{3e2802c4-a4d2-4d8b-9148-e3be6c30e623}">
          <xlrd:rvb i="749"/>
        </ext>
      </extLst>
    </bk>
    <bk>
      <extLst>
        <ext uri="{3e2802c4-a4d2-4d8b-9148-e3be6c30e623}">
          <xlrd:rvb i="750"/>
        </ext>
      </extLst>
    </bk>
    <bk>
      <extLst>
        <ext uri="{3e2802c4-a4d2-4d8b-9148-e3be6c30e623}">
          <xlrd:rvb i="751"/>
        </ext>
      </extLst>
    </bk>
    <bk>
      <extLst>
        <ext uri="{3e2802c4-a4d2-4d8b-9148-e3be6c30e623}">
          <xlrd:rvb i="752"/>
        </ext>
      </extLst>
    </bk>
    <bk>
      <extLst>
        <ext uri="{3e2802c4-a4d2-4d8b-9148-e3be6c30e623}">
          <xlrd:rvb i="753"/>
        </ext>
      </extLst>
    </bk>
    <bk>
      <extLst>
        <ext uri="{3e2802c4-a4d2-4d8b-9148-e3be6c30e623}">
          <xlrd:rvb i="754"/>
        </ext>
      </extLst>
    </bk>
    <bk>
      <extLst>
        <ext uri="{3e2802c4-a4d2-4d8b-9148-e3be6c30e623}">
          <xlrd:rvb i="755"/>
        </ext>
      </extLst>
    </bk>
    <bk>
      <extLst>
        <ext uri="{3e2802c4-a4d2-4d8b-9148-e3be6c30e623}">
          <xlrd:rvb i="756"/>
        </ext>
      </extLst>
    </bk>
    <bk>
      <extLst>
        <ext uri="{3e2802c4-a4d2-4d8b-9148-e3be6c30e623}">
          <xlrd:rvb i="757"/>
        </ext>
      </extLst>
    </bk>
    <bk>
      <extLst>
        <ext uri="{3e2802c4-a4d2-4d8b-9148-e3be6c30e623}">
          <xlrd:rvb i="758"/>
        </ext>
      </extLst>
    </bk>
    <bk>
      <extLst>
        <ext uri="{3e2802c4-a4d2-4d8b-9148-e3be6c30e623}">
          <xlrd:rvb i="759"/>
        </ext>
      </extLst>
    </bk>
    <bk>
      <extLst>
        <ext uri="{3e2802c4-a4d2-4d8b-9148-e3be6c30e623}">
          <xlrd:rvb i="760"/>
        </ext>
      </extLst>
    </bk>
    <bk>
      <extLst>
        <ext uri="{3e2802c4-a4d2-4d8b-9148-e3be6c30e623}">
          <xlrd:rvb i="761"/>
        </ext>
      </extLst>
    </bk>
    <bk>
      <extLst>
        <ext uri="{3e2802c4-a4d2-4d8b-9148-e3be6c30e623}">
          <xlrd:rvb i="762"/>
        </ext>
      </extLst>
    </bk>
    <bk>
      <extLst>
        <ext uri="{3e2802c4-a4d2-4d8b-9148-e3be6c30e623}">
          <xlrd:rvb i="763"/>
        </ext>
      </extLst>
    </bk>
    <bk>
      <extLst>
        <ext uri="{3e2802c4-a4d2-4d8b-9148-e3be6c30e623}">
          <xlrd:rvb i="764"/>
        </ext>
      </extLst>
    </bk>
    <bk>
      <extLst>
        <ext uri="{3e2802c4-a4d2-4d8b-9148-e3be6c30e623}">
          <xlrd:rvb i="765"/>
        </ext>
      </extLst>
    </bk>
    <bk>
      <extLst>
        <ext uri="{3e2802c4-a4d2-4d8b-9148-e3be6c30e623}">
          <xlrd:rvb i="766"/>
        </ext>
      </extLst>
    </bk>
    <bk>
      <extLst>
        <ext uri="{3e2802c4-a4d2-4d8b-9148-e3be6c30e623}">
          <xlrd:rvb i="767"/>
        </ext>
      </extLst>
    </bk>
    <bk>
      <extLst>
        <ext uri="{3e2802c4-a4d2-4d8b-9148-e3be6c30e623}">
          <xlrd:rvb i="768"/>
        </ext>
      </extLst>
    </bk>
    <bk>
      <extLst>
        <ext uri="{3e2802c4-a4d2-4d8b-9148-e3be6c30e623}">
          <xlrd:rvb i="769"/>
        </ext>
      </extLst>
    </bk>
    <bk>
      <extLst>
        <ext uri="{3e2802c4-a4d2-4d8b-9148-e3be6c30e623}">
          <xlrd:rvb i="770"/>
        </ext>
      </extLst>
    </bk>
    <bk>
      <extLst>
        <ext uri="{3e2802c4-a4d2-4d8b-9148-e3be6c30e623}">
          <xlrd:rvb i="771"/>
        </ext>
      </extLst>
    </bk>
    <bk>
      <extLst>
        <ext uri="{3e2802c4-a4d2-4d8b-9148-e3be6c30e623}">
          <xlrd:rvb i="772"/>
        </ext>
      </extLst>
    </bk>
    <bk>
      <extLst>
        <ext uri="{3e2802c4-a4d2-4d8b-9148-e3be6c30e623}">
          <xlrd:rvb i="773"/>
        </ext>
      </extLst>
    </bk>
    <bk>
      <extLst>
        <ext uri="{3e2802c4-a4d2-4d8b-9148-e3be6c30e623}">
          <xlrd:rvb i="774"/>
        </ext>
      </extLst>
    </bk>
    <bk>
      <extLst>
        <ext uri="{3e2802c4-a4d2-4d8b-9148-e3be6c30e623}">
          <xlrd:rvb i="775"/>
        </ext>
      </extLst>
    </bk>
    <bk>
      <extLst>
        <ext uri="{3e2802c4-a4d2-4d8b-9148-e3be6c30e623}">
          <xlrd:rvb i="776"/>
        </ext>
      </extLst>
    </bk>
    <bk>
      <extLst>
        <ext uri="{3e2802c4-a4d2-4d8b-9148-e3be6c30e623}">
          <xlrd:rvb i="777"/>
        </ext>
      </extLst>
    </bk>
    <bk>
      <extLst>
        <ext uri="{3e2802c4-a4d2-4d8b-9148-e3be6c30e623}">
          <xlrd:rvb i="778"/>
        </ext>
      </extLst>
    </bk>
    <bk>
      <extLst>
        <ext uri="{3e2802c4-a4d2-4d8b-9148-e3be6c30e623}">
          <xlrd:rvb i="779"/>
        </ext>
      </extLst>
    </bk>
    <bk>
      <extLst>
        <ext uri="{3e2802c4-a4d2-4d8b-9148-e3be6c30e623}">
          <xlrd:rvb i="780"/>
        </ext>
      </extLst>
    </bk>
    <bk>
      <extLst>
        <ext uri="{3e2802c4-a4d2-4d8b-9148-e3be6c30e623}">
          <xlrd:rvb i="781"/>
        </ext>
      </extLst>
    </bk>
    <bk>
      <extLst>
        <ext uri="{3e2802c4-a4d2-4d8b-9148-e3be6c30e623}">
          <xlrd:rvb i="782"/>
        </ext>
      </extLst>
    </bk>
    <bk>
      <extLst>
        <ext uri="{3e2802c4-a4d2-4d8b-9148-e3be6c30e623}">
          <xlrd:rvb i="783"/>
        </ext>
      </extLst>
    </bk>
    <bk>
      <extLst>
        <ext uri="{3e2802c4-a4d2-4d8b-9148-e3be6c30e623}">
          <xlrd:rvb i="784"/>
        </ext>
      </extLst>
    </bk>
    <bk>
      <extLst>
        <ext uri="{3e2802c4-a4d2-4d8b-9148-e3be6c30e623}">
          <xlrd:rvb i="785"/>
        </ext>
      </extLst>
    </bk>
    <bk>
      <extLst>
        <ext uri="{3e2802c4-a4d2-4d8b-9148-e3be6c30e623}">
          <xlrd:rvb i="786"/>
        </ext>
      </extLst>
    </bk>
    <bk>
      <extLst>
        <ext uri="{3e2802c4-a4d2-4d8b-9148-e3be6c30e623}">
          <xlrd:rvb i="787"/>
        </ext>
      </extLst>
    </bk>
    <bk>
      <extLst>
        <ext uri="{3e2802c4-a4d2-4d8b-9148-e3be6c30e623}">
          <xlrd:rvb i="788"/>
        </ext>
      </extLst>
    </bk>
    <bk>
      <extLst>
        <ext uri="{3e2802c4-a4d2-4d8b-9148-e3be6c30e623}">
          <xlrd:rvb i="789"/>
        </ext>
      </extLst>
    </bk>
    <bk>
      <extLst>
        <ext uri="{3e2802c4-a4d2-4d8b-9148-e3be6c30e623}">
          <xlrd:rvb i="790"/>
        </ext>
      </extLst>
    </bk>
    <bk>
      <extLst>
        <ext uri="{3e2802c4-a4d2-4d8b-9148-e3be6c30e623}">
          <xlrd:rvb i="791"/>
        </ext>
      </extLst>
    </bk>
    <bk>
      <extLst>
        <ext uri="{3e2802c4-a4d2-4d8b-9148-e3be6c30e623}">
          <xlrd:rvb i="792"/>
        </ext>
      </extLst>
    </bk>
    <bk>
      <extLst>
        <ext uri="{3e2802c4-a4d2-4d8b-9148-e3be6c30e623}">
          <xlrd:rvb i="793"/>
        </ext>
      </extLst>
    </bk>
    <bk>
      <extLst>
        <ext uri="{3e2802c4-a4d2-4d8b-9148-e3be6c30e623}">
          <xlrd:rvb i="794"/>
        </ext>
      </extLst>
    </bk>
    <bk>
      <extLst>
        <ext uri="{3e2802c4-a4d2-4d8b-9148-e3be6c30e623}">
          <xlrd:rvb i="795"/>
        </ext>
      </extLst>
    </bk>
    <bk>
      <extLst>
        <ext uri="{3e2802c4-a4d2-4d8b-9148-e3be6c30e623}">
          <xlrd:rvb i="796"/>
        </ext>
      </extLst>
    </bk>
    <bk>
      <extLst>
        <ext uri="{3e2802c4-a4d2-4d8b-9148-e3be6c30e623}">
          <xlrd:rvb i="797"/>
        </ext>
      </extLst>
    </bk>
    <bk>
      <extLst>
        <ext uri="{3e2802c4-a4d2-4d8b-9148-e3be6c30e623}">
          <xlrd:rvb i="798"/>
        </ext>
      </extLst>
    </bk>
    <bk>
      <extLst>
        <ext uri="{3e2802c4-a4d2-4d8b-9148-e3be6c30e623}">
          <xlrd:rvb i="799"/>
        </ext>
      </extLst>
    </bk>
    <bk>
      <extLst>
        <ext uri="{3e2802c4-a4d2-4d8b-9148-e3be6c30e623}">
          <xlrd:rvb i="800"/>
        </ext>
      </extLst>
    </bk>
    <bk>
      <extLst>
        <ext uri="{3e2802c4-a4d2-4d8b-9148-e3be6c30e623}">
          <xlrd:rvb i="801"/>
        </ext>
      </extLst>
    </bk>
    <bk>
      <extLst>
        <ext uri="{3e2802c4-a4d2-4d8b-9148-e3be6c30e623}">
          <xlrd:rvb i="802"/>
        </ext>
      </extLst>
    </bk>
    <bk>
      <extLst>
        <ext uri="{3e2802c4-a4d2-4d8b-9148-e3be6c30e623}">
          <xlrd:rvb i="803"/>
        </ext>
      </extLst>
    </bk>
    <bk>
      <extLst>
        <ext uri="{3e2802c4-a4d2-4d8b-9148-e3be6c30e623}">
          <xlrd:rvb i="804"/>
        </ext>
      </extLst>
    </bk>
    <bk>
      <extLst>
        <ext uri="{3e2802c4-a4d2-4d8b-9148-e3be6c30e623}">
          <xlrd:rvb i="805"/>
        </ext>
      </extLst>
    </bk>
    <bk>
      <extLst>
        <ext uri="{3e2802c4-a4d2-4d8b-9148-e3be6c30e623}">
          <xlrd:rvb i="806"/>
        </ext>
      </extLst>
    </bk>
    <bk>
      <extLst>
        <ext uri="{3e2802c4-a4d2-4d8b-9148-e3be6c30e623}">
          <xlrd:rvb i="807"/>
        </ext>
      </extLst>
    </bk>
    <bk>
      <extLst>
        <ext uri="{3e2802c4-a4d2-4d8b-9148-e3be6c30e623}">
          <xlrd:rvb i="808"/>
        </ext>
      </extLst>
    </bk>
    <bk>
      <extLst>
        <ext uri="{3e2802c4-a4d2-4d8b-9148-e3be6c30e623}">
          <xlrd:rvb i="809"/>
        </ext>
      </extLst>
    </bk>
    <bk>
      <extLst>
        <ext uri="{3e2802c4-a4d2-4d8b-9148-e3be6c30e623}">
          <xlrd:rvb i="810"/>
        </ext>
      </extLst>
    </bk>
    <bk>
      <extLst>
        <ext uri="{3e2802c4-a4d2-4d8b-9148-e3be6c30e623}">
          <xlrd:rvb i="811"/>
        </ext>
      </extLst>
    </bk>
    <bk>
      <extLst>
        <ext uri="{3e2802c4-a4d2-4d8b-9148-e3be6c30e623}">
          <xlrd:rvb i="812"/>
        </ext>
      </extLst>
    </bk>
    <bk>
      <extLst>
        <ext uri="{3e2802c4-a4d2-4d8b-9148-e3be6c30e623}">
          <xlrd:rvb i="813"/>
        </ext>
      </extLst>
    </bk>
    <bk>
      <extLst>
        <ext uri="{3e2802c4-a4d2-4d8b-9148-e3be6c30e623}">
          <xlrd:rvb i="814"/>
        </ext>
      </extLst>
    </bk>
    <bk>
      <extLst>
        <ext uri="{3e2802c4-a4d2-4d8b-9148-e3be6c30e623}">
          <xlrd:rvb i="815"/>
        </ext>
      </extLst>
    </bk>
    <bk>
      <extLst>
        <ext uri="{3e2802c4-a4d2-4d8b-9148-e3be6c30e623}">
          <xlrd:rvb i="816"/>
        </ext>
      </extLst>
    </bk>
    <bk>
      <extLst>
        <ext uri="{3e2802c4-a4d2-4d8b-9148-e3be6c30e623}">
          <xlrd:rvb i="817"/>
        </ext>
      </extLst>
    </bk>
    <bk>
      <extLst>
        <ext uri="{3e2802c4-a4d2-4d8b-9148-e3be6c30e623}">
          <xlrd:rvb i="818"/>
        </ext>
      </extLst>
    </bk>
    <bk>
      <extLst>
        <ext uri="{3e2802c4-a4d2-4d8b-9148-e3be6c30e623}">
          <xlrd:rvb i="819"/>
        </ext>
      </extLst>
    </bk>
    <bk>
      <extLst>
        <ext uri="{3e2802c4-a4d2-4d8b-9148-e3be6c30e623}">
          <xlrd:rvb i="820"/>
        </ext>
      </extLst>
    </bk>
    <bk>
      <extLst>
        <ext uri="{3e2802c4-a4d2-4d8b-9148-e3be6c30e623}">
          <xlrd:rvb i="821"/>
        </ext>
      </extLst>
    </bk>
    <bk>
      <extLst>
        <ext uri="{3e2802c4-a4d2-4d8b-9148-e3be6c30e623}">
          <xlrd:rvb i="822"/>
        </ext>
      </extLst>
    </bk>
    <bk>
      <extLst>
        <ext uri="{3e2802c4-a4d2-4d8b-9148-e3be6c30e623}">
          <xlrd:rvb i="823"/>
        </ext>
      </extLst>
    </bk>
    <bk>
      <extLst>
        <ext uri="{3e2802c4-a4d2-4d8b-9148-e3be6c30e623}">
          <xlrd:rvb i="824"/>
        </ext>
      </extLst>
    </bk>
    <bk>
      <extLst>
        <ext uri="{3e2802c4-a4d2-4d8b-9148-e3be6c30e623}">
          <xlrd:rvb i="825"/>
        </ext>
      </extLst>
    </bk>
    <bk>
      <extLst>
        <ext uri="{3e2802c4-a4d2-4d8b-9148-e3be6c30e623}">
          <xlrd:rvb i="826"/>
        </ext>
      </extLst>
    </bk>
    <bk>
      <extLst>
        <ext uri="{3e2802c4-a4d2-4d8b-9148-e3be6c30e623}">
          <xlrd:rvb i="827"/>
        </ext>
      </extLst>
    </bk>
    <bk>
      <extLst>
        <ext uri="{3e2802c4-a4d2-4d8b-9148-e3be6c30e623}">
          <xlrd:rvb i="828"/>
        </ext>
      </extLst>
    </bk>
    <bk>
      <extLst>
        <ext uri="{3e2802c4-a4d2-4d8b-9148-e3be6c30e623}">
          <xlrd:rvb i="829"/>
        </ext>
      </extLst>
    </bk>
    <bk>
      <extLst>
        <ext uri="{3e2802c4-a4d2-4d8b-9148-e3be6c30e623}">
          <xlrd:rvb i="830"/>
        </ext>
      </extLst>
    </bk>
    <bk>
      <extLst>
        <ext uri="{3e2802c4-a4d2-4d8b-9148-e3be6c30e623}">
          <xlrd:rvb i="831"/>
        </ext>
      </extLst>
    </bk>
    <bk>
      <extLst>
        <ext uri="{3e2802c4-a4d2-4d8b-9148-e3be6c30e623}">
          <xlrd:rvb i="832"/>
        </ext>
      </extLst>
    </bk>
    <bk>
      <extLst>
        <ext uri="{3e2802c4-a4d2-4d8b-9148-e3be6c30e623}">
          <xlrd:rvb i="833"/>
        </ext>
      </extLst>
    </bk>
    <bk>
      <extLst>
        <ext uri="{3e2802c4-a4d2-4d8b-9148-e3be6c30e623}">
          <xlrd:rvb i="834"/>
        </ext>
      </extLst>
    </bk>
    <bk>
      <extLst>
        <ext uri="{3e2802c4-a4d2-4d8b-9148-e3be6c30e623}">
          <xlrd:rvb i="835"/>
        </ext>
      </extLst>
    </bk>
    <bk>
      <extLst>
        <ext uri="{3e2802c4-a4d2-4d8b-9148-e3be6c30e623}">
          <xlrd:rvb i="836"/>
        </ext>
      </extLst>
    </bk>
    <bk>
      <extLst>
        <ext uri="{3e2802c4-a4d2-4d8b-9148-e3be6c30e623}">
          <xlrd:rvb i="837"/>
        </ext>
      </extLst>
    </bk>
    <bk>
      <extLst>
        <ext uri="{3e2802c4-a4d2-4d8b-9148-e3be6c30e623}">
          <xlrd:rvb i="838"/>
        </ext>
      </extLst>
    </bk>
    <bk>
      <extLst>
        <ext uri="{3e2802c4-a4d2-4d8b-9148-e3be6c30e623}">
          <xlrd:rvb i="839"/>
        </ext>
      </extLst>
    </bk>
    <bk>
      <extLst>
        <ext uri="{3e2802c4-a4d2-4d8b-9148-e3be6c30e623}">
          <xlrd:rvb i="840"/>
        </ext>
      </extLst>
    </bk>
    <bk>
      <extLst>
        <ext uri="{3e2802c4-a4d2-4d8b-9148-e3be6c30e623}">
          <xlrd:rvb i="841"/>
        </ext>
      </extLst>
    </bk>
    <bk>
      <extLst>
        <ext uri="{3e2802c4-a4d2-4d8b-9148-e3be6c30e623}">
          <xlrd:rvb i="842"/>
        </ext>
      </extLst>
    </bk>
    <bk>
      <extLst>
        <ext uri="{3e2802c4-a4d2-4d8b-9148-e3be6c30e623}">
          <xlrd:rvb i="843"/>
        </ext>
      </extLst>
    </bk>
    <bk>
      <extLst>
        <ext uri="{3e2802c4-a4d2-4d8b-9148-e3be6c30e623}">
          <xlrd:rvb i="844"/>
        </ext>
      </extLst>
    </bk>
    <bk>
      <extLst>
        <ext uri="{3e2802c4-a4d2-4d8b-9148-e3be6c30e623}">
          <xlrd:rvb i="845"/>
        </ext>
      </extLst>
    </bk>
    <bk>
      <extLst>
        <ext uri="{3e2802c4-a4d2-4d8b-9148-e3be6c30e623}">
          <xlrd:rvb i="846"/>
        </ext>
      </extLst>
    </bk>
    <bk>
      <extLst>
        <ext uri="{3e2802c4-a4d2-4d8b-9148-e3be6c30e623}">
          <xlrd:rvb i="847"/>
        </ext>
      </extLst>
    </bk>
    <bk>
      <extLst>
        <ext uri="{3e2802c4-a4d2-4d8b-9148-e3be6c30e623}">
          <xlrd:rvb i="848"/>
        </ext>
      </extLst>
    </bk>
    <bk>
      <extLst>
        <ext uri="{3e2802c4-a4d2-4d8b-9148-e3be6c30e623}">
          <xlrd:rvb i="849"/>
        </ext>
      </extLst>
    </bk>
    <bk>
      <extLst>
        <ext uri="{3e2802c4-a4d2-4d8b-9148-e3be6c30e623}">
          <xlrd:rvb i="850"/>
        </ext>
      </extLst>
    </bk>
    <bk>
      <extLst>
        <ext uri="{3e2802c4-a4d2-4d8b-9148-e3be6c30e623}">
          <xlrd:rvb i="851"/>
        </ext>
      </extLst>
    </bk>
    <bk>
      <extLst>
        <ext uri="{3e2802c4-a4d2-4d8b-9148-e3be6c30e623}">
          <xlrd:rvb i="852"/>
        </ext>
      </extLst>
    </bk>
    <bk>
      <extLst>
        <ext uri="{3e2802c4-a4d2-4d8b-9148-e3be6c30e623}">
          <xlrd:rvb i="853"/>
        </ext>
      </extLst>
    </bk>
    <bk>
      <extLst>
        <ext uri="{3e2802c4-a4d2-4d8b-9148-e3be6c30e623}">
          <xlrd:rvb i="854"/>
        </ext>
      </extLst>
    </bk>
    <bk>
      <extLst>
        <ext uri="{3e2802c4-a4d2-4d8b-9148-e3be6c30e623}">
          <xlrd:rvb i="855"/>
        </ext>
      </extLst>
    </bk>
    <bk>
      <extLst>
        <ext uri="{3e2802c4-a4d2-4d8b-9148-e3be6c30e623}">
          <xlrd:rvb i="856"/>
        </ext>
      </extLst>
    </bk>
    <bk>
      <extLst>
        <ext uri="{3e2802c4-a4d2-4d8b-9148-e3be6c30e623}">
          <xlrd:rvb i="857"/>
        </ext>
      </extLst>
    </bk>
    <bk>
      <extLst>
        <ext uri="{3e2802c4-a4d2-4d8b-9148-e3be6c30e623}">
          <xlrd:rvb i="858"/>
        </ext>
      </extLst>
    </bk>
    <bk>
      <extLst>
        <ext uri="{3e2802c4-a4d2-4d8b-9148-e3be6c30e623}">
          <xlrd:rvb i="859"/>
        </ext>
      </extLst>
    </bk>
    <bk>
      <extLst>
        <ext uri="{3e2802c4-a4d2-4d8b-9148-e3be6c30e623}">
          <xlrd:rvb i="860"/>
        </ext>
      </extLst>
    </bk>
    <bk>
      <extLst>
        <ext uri="{3e2802c4-a4d2-4d8b-9148-e3be6c30e623}">
          <xlrd:rvb i="861"/>
        </ext>
      </extLst>
    </bk>
    <bk>
      <extLst>
        <ext uri="{3e2802c4-a4d2-4d8b-9148-e3be6c30e623}">
          <xlrd:rvb i="862"/>
        </ext>
      </extLst>
    </bk>
    <bk>
      <extLst>
        <ext uri="{3e2802c4-a4d2-4d8b-9148-e3be6c30e623}">
          <xlrd:rvb i="863"/>
        </ext>
      </extLst>
    </bk>
    <bk>
      <extLst>
        <ext uri="{3e2802c4-a4d2-4d8b-9148-e3be6c30e623}">
          <xlrd:rvb i="864"/>
        </ext>
      </extLst>
    </bk>
    <bk>
      <extLst>
        <ext uri="{3e2802c4-a4d2-4d8b-9148-e3be6c30e623}">
          <xlrd:rvb i="865"/>
        </ext>
      </extLst>
    </bk>
    <bk>
      <extLst>
        <ext uri="{3e2802c4-a4d2-4d8b-9148-e3be6c30e623}">
          <xlrd:rvb i="866"/>
        </ext>
      </extLst>
    </bk>
    <bk>
      <extLst>
        <ext uri="{3e2802c4-a4d2-4d8b-9148-e3be6c30e623}">
          <xlrd:rvb i="867"/>
        </ext>
      </extLst>
    </bk>
    <bk>
      <extLst>
        <ext uri="{3e2802c4-a4d2-4d8b-9148-e3be6c30e623}">
          <xlrd:rvb i="868"/>
        </ext>
      </extLst>
    </bk>
    <bk>
      <extLst>
        <ext uri="{3e2802c4-a4d2-4d8b-9148-e3be6c30e623}">
          <xlrd:rvb i="869"/>
        </ext>
      </extLst>
    </bk>
    <bk>
      <extLst>
        <ext uri="{3e2802c4-a4d2-4d8b-9148-e3be6c30e623}">
          <xlrd:rvb i="870"/>
        </ext>
      </extLst>
    </bk>
    <bk>
      <extLst>
        <ext uri="{3e2802c4-a4d2-4d8b-9148-e3be6c30e623}">
          <xlrd:rvb i="871"/>
        </ext>
      </extLst>
    </bk>
    <bk>
      <extLst>
        <ext uri="{3e2802c4-a4d2-4d8b-9148-e3be6c30e623}">
          <xlrd:rvb i="872"/>
        </ext>
      </extLst>
    </bk>
    <bk>
      <extLst>
        <ext uri="{3e2802c4-a4d2-4d8b-9148-e3be6c30e623}">
          <xlrd:rvb i="873"/>
        </ext>
      </extLst>
    </bk>
    <bk>
      <extLst>
        <ext uri="{3e2802c4-a4d2-4d8b-9148-e3be6c30e623}">
          <xlrd:rvb i="874"/>
        </ext>
      </extLst>
    </bk>
    <bk>
      <extLst>
        <ext uri="{3e2802c4-a4d2-4d8b-9148-e3be6c30e623}">
          <xlrd:rvb i="875"/>
        </ext>
      </extLst>
    </bk>
    <bk>
      <extLst>
        <ext uri="{3e2802c4-a4d2-4d8b-9148-e3be6c30e623}">
          <xlrd:rvb i="876"/>
        </ext>
      </extLst>
    </bk>
    <bk>
      <extLst>
        <ext uri="{3e2802c4-a4d2-4d8b-9148-e3be6c30e623}">
          <xlrd:rvb i="877"/>
        </ext>
      </extLst>
    </bk>
    <bk>
      <extLst>
        <ext uri="{3e2802c4-a4d2-4d8b-9148-e3be6c30e623}">
          <xlrd:rvb i="878"/>
        </ext>
      </extLst>
    </bk>
    <bk>
      <extLst>
        <ext uri="{3e2802c4-a4d2-4d8b-9148-e3be6c30e623}">
          <xlrd:rvb i="879"/>
        </ext>
      </extLst>
    </bk>
    <bk>
      <extLst>
        <ext uri="{3e2802c4-a4d2-4d8b-9148-e3be6c30e623}">
          <xlrd:rvb i="880"/>
        </ext>
      </extLst>
    </bk>
    <bk>
      <extLst>
        <ext uri="{3e2802c4-a4d2-4d8b-9148-e3be6c30e623}">
          <xlrd:rvb i="881"/>
        </ext>
      </extLst>
    </bk>
    <bk>
      <extLst>
        <ext uri="{3e2802c4-a4d2-4d8b-9148-e3be6c30e623}">
          <xlrd:rvb i="882"/>
        </ext>
      </extLst>
    </bk>
    <bk>
      <extLst>
        <ext uri="{3e2802c4-a4d2-4d8b-9148-e3be6c30e623}">
          <xlrd:rvb i="883"/>
        </ext>
      </extLst>
    </bk>
    <bk>
      <extLst>
        <ext uri="{3e2802c4-a4d2-4d8b-9148-e3be6c30e623}">
          <xlrd:rvb i="884"/>
        </ext>
      </extLst>
    </bk>
    <bk>
      <extLst>
        <ext uri="{3e2802c4-a4d2-4d8b-9148-e3be6c30e623}">
          <xlrd:rvb i="885"/>
        </ext>
      </extLst>
    </bk>
    <bk>
      <extLst>
        <ext uri="{3e2802c4-a4d2-4d8b-9148-e3be6c30e623}">
          <xlrd:rvb i="886"/>
        </ext>
      </extLst>
    </bk>
    <bk>
      <extLst>
        <ext uri="{3e2802c4-a4d2-4d8b-9148-e3be6c30e623}">
          <xlrd:rvb i="887"/>
        </ext>
      </extLst>
    </bk>
    <bk>
      <extLst>
        <ext uri="{3e2802c4-a4d2-4d8b-9148-e3be6c30e623}">
          <xlrd:rvb i="888"/>
        </ext>
      </extLst>
    </bk>
    <bk>
      <extLst>
        <ext uri="{3e2802c4-a4d2-4d8b-9148-e3be6c30e623}">
          <xlrd:rvb i="889"/>
        </ext>
      </extLst>
    </bk>
    <bk>
      <extLst>
        <ext uri="{3e2802c4-a4d2-4d8b-9148-e3be6c30e623}">
          <xlrd:rvb i="890"/>
        </ext>
      </extLst>
    </bk>
    <bk>
      <extLst>
        <ext uri="{3e2802c4-a4d2-4d8b-9148-e3be6c30e623}">
          <xlrd:rvb i="891"/>
        </ext>
      </extLst>
    </bk>
    <bk>
      <extLst>
        <ext uri="{3e2802c4-a4d2-4d8b-9148-e3be6c30e623}">
          <xlrd:rvb i="892"/>
        </ext>
      </extLst>
    </bk>
    <bk>
      <extLst>
        <ext uri="{3e2802c4-a4d2-4d8b-9148-e3be6c30e623}">
          <xlrd:rvb i="893"/>
        </ext>
      </extLst>
    </bk>
    <bk>
      <extLst>
        <ext uri="{3e2802c4-a4d2-4d8b-9148-e3be6c30e623}">
          <xlrd:rvb i="894"/>
        </ext>
      </extLst>
    </bk>
    <bk>
      <extLst>
        <ext uri="{3e2802c4-a4d2-4d8b-9148-e3be6c30e623}">
          <xlrd:rvb i="895"/>
        </ext>
      </extLst>
    </bk>
    <bk>
      <extLst>
        <ext uri="{3e2802c4-a4d2-4d8b-9148-e3be6c30e623}">
          <xlrd:rvb i="896"/>
        </ext>
      </extLst>
    </bk>
    <bk>
      <extLst>
        <ext uri="{3e2802c4-a4d2-4d8b-9148-e3be6c30e623}">
          <xlrd:rvb i="897"/>
        </ext>
      </extLst>
    </bk>
    <bk>
      <extLst>
        <ext uri="{3e2802c4-a4d2-4d8b-9148-e3be6c30e623}">
          <xlrd:rvb i="898"/>
        </ext>
      </extLst>
    </bk>
    <bk>
      <extLst>
        <ext uri="{3e2802c4-a4d2-4d8b-9148-e3be6c30e623}">
          <xlrd:rvb i="899"/>
        </ext>
      </extLst>
    </bk>
    <bk>
      <extLst>
        <ext uri="{3e2802c4-a4d2-4d8b-9148-e3be6c30e623}">
          <xlrd:rvb i="900"/>
        </ext>
      </extLst>
    </bk>
    <bk>
      <extLst>
        <ext uri="{3e2802c4-a4d2-4d8b-9148-e3be6c30e623}">
          <xlrd:rvb i="901"/>
        </ext>
      </extLst>
    </bk>
    <bk>
      <extLst>
        <ext uri="{3e2802c4-a4d2-4d8b-9148-e3be6c30e623}">
          <xlrd:rvb i="902"/>
        </ext>
      </extLst>
    </bk>
    <bk>
      <extLst>
        <ext uri="{3e2802c4-a4d2-4d8b-9148-e3be6c30e623}">
          <xlrd:rvb i="903"/>
        </ext>
      </extLst>
    </bk>
    <bk>
      <extLst>
        <ext uri="{3e2802c4-a4d2-4d8b-9148-e3be6c30e623}">
          <xlrd:rvb i="904"/>
        </ext>
      </extLst>
    </bk>
    <bk>
      <extLst>
        <ext uri="{3e2802c4-a4d2-4d8b-9148-e3be6c30e623}">
          <xlrd:rvb i="905"/>
        </ext>
      </extLst>
    </bk>
    <bk>
      <extLst>
        <ext uri="{3e2802c4-a4d2-4d8b-9148-e3be6c30e623}">
          <xlrd:rvb i="906"/>
        </ext>
      </extLst>
    </bk>
    <bk>
      <extLst>
        <ext uri="{3e2802c4-a4d2-4d8b-9148-e3be6c30e623}">
          <xlrd:rvb i="907"/>
        </ext>
      </extLst>
    </bk>
    <bk>
      <extLst>
        <ext uri="{3e2802c4-a4d2-4d8b-9148-e3be6c30e623}">
          <xlrd:rvb i="908"/>
        </ext>
      </extLst>
    </bk>
    <bk>
      <extLst>
        <ext uri="{3e2802c4-a4d2-4d8b-9148-e3be6c30e623}">
          <xlrd:rvb i="909"/>
        </ext>
      </extLst>
    </bk>
    <bk>
      <extLst>
        <ext uri="{3e2802c4-a4d2-4d8b-9148-e3be6c30e623}">
          <xlrd:rvb i="910"/>
        </ext>
      </extLst>
    </bk>
    <bk>
      <extLst>
        <ext uri="{3e2802c4-a4d2-4d8b-9148-e3be6c30e623}">
          <xlrd:rvb i="911"/>
        </ext>
      </extLst>
    </bk>
    <bk>
      <extLst>
        <ext uri="{3e2802c4-a4d2-4d8b-9148-e3be6c30e623}">
          <xlrd:rvb i="912"/>
        </ext>
      </extLst>
    </bk>
    <bk>
      <extLst>
        <ext uri="{3e2802c4-a4d2-4d8b-9148-e3be6c30e623}">
          <xlrd:rvb i="913"/>
        </ext>
      </extLst>
    </bk>
    <bk>
      <extLst>
        <ext uri="{3e2802c4-a4d2-4d8b-9148-e3be6c30e623}">
          <xlrd:rvb i="914"/>
        </ext>
      </extLst>
    </bk>
    <bk>
      <extLst>
        <ext uri="{3e2802c4-a4d2-4d8b-9148-e3be6c30e623}">
          <xlrd:rvb i="915"/>
        </ext>
      </extLst>
    </bk>
    <bk>
      <extLst>
        <ext uri="{3e2802c4-a4d2-4d8b-9148-e3be6c30e623}">
          <xlrd:rvb i="916"/>
        </ext>
      </extLst>
    </bk>
    <bk>
      <extLst>
        <ext uri="{3e2802c4-a4d2-4d8b-9148-e3be6c30e623}">
          <xlrd:rvb i="917"/>
        </ext>
      </extLst>
    </bk>
    <bk>
      <extLst>
        <ext uri="{3e2802c4-a4d2-4d8b-9148-e3be6c30e623}">
          <xlrd:rvb i="918"/>
        </ext>
      </extLst>
    </bk>
    <bk>
      <extLst>
        <ext uri="{3e2802c4-a4d2-4d8b-9148-e3be6c30e623}">
          <xlrd:rvb i="919"/>
        </ext>
      </extLst>
    </bk>
    <bk>
      <extLst>
        <ext uri="{3e2802c4-a4d2-4d8b-9148-e3be6c30e623}">
          <xlrd:rvb i="920"/>
        </ext>
      </extLst>
    </bk>
    <bk>
      <extLst>
        <ext uri="{3e2802c4-a4d2-4d8b-9148-e3be6c30e623}">
          <xlrd:rvb i="921"/>
        </ext>
      </extLst>
    </bk>
    <bk>
      <extLst>
        <ext uri="{3e2802c4-a4d2-4d8b-9148-e3be6c30e623}">
          <xlrd:rvb i="922"/>
        </ext>
      </extLst>
    </bk>
    <bk>
      <extLst>
        <ext uri="{3e2802c4-a4d2-4d8b-9148-e3be6c30e623}">
          <xlrd:rvb i="923"/>
        </ext>
      </extLst>
    </bk>
    <bk>
      <extLst>
        <ext uri="{3e2802c4-a4d2-4d8b-9148-e3be6c30e623}">
          <xlrd:rvb i="924"/>
        </ext>
      </extLst>
    </bk>
    <bk>
      <extLst>
        <ext uri="{3e2802c4-a4d2-4d8b-9148-e3be6c30e623}">
          <xlrd:rvb i="925"/>
        </ext>
      </extLst>
    </bk>
    <bk>
      <extLst>
        <ext uri="{3e2802c4-a4d2-4d8b-9148-e3be6c30e623}">
          <xlrd:rvb i="926"/>
        </ext>
      </extLst>
    </bk>
    <bk>
      <extLst>
        <ext uri="{3e2802c4-a4d2-4d8b-9148-e3be6c30e623}">
          <xlrd:rvb i="927"/>
        </ext>
      </extLst>
    </bk>
    <bk>
      <extLst>
        <ext uri="{3e2802c4-a4d2-4d8b-9148-e3be6c30e623}">
          <xlrd:rvb i="928"/>
        </ext>
      </extLst>
    </bk>
    <bk>
      <extLst>
        <ext uri="{3e2802c4-a4d2-4d8b-9148-e3be6c30e623}">
          <xlrd:rvb i="929"/>
        </ext>
      </extLst>
    </bk>
    <bk>
      <extLst>
        <ext uri="{3e2802c4-a4d2-4d8b-9148-e3be6c30e623}">
          <xlrd:rvb i="930"/>
        </ext>
      </extLst>
    </bk>
    <bk>
      <extLst>
        <ext uri="{3e2802c4-a4d2-4d8b-9148-e3be6c30e623}">
          <xlrd:rvb i="931"/>
        </ext>
      </extLst>
    </bk>
    <bk>
      <extLst>
        <ext uri="{3e2802c4-a4d2-4d8b-9148-e3be6c30e623}">
          <xlrd:rvb i="932"/>
        </ext>
      </extLst>
    </bk>
    <bk>
      <extLst>
        <ext uri="{3e2802c4-a4d2-4d8b-9148-e3be6c30e623}">
          <xlrd:rvb i="933"/>
        </ext>
      </extLst>
    </bk>
    <bk>
      <extLst>
        <ext uri="{3e2802c4-a4d2-4d8b-9148-e3be6c30e623}">
          <xlrd:rvb i="934"/>
        </ext>
      </extLst>
    </bk>
    <bk>
      <extLst>
        <ext uri="{3e2802c4-a4d2-4d8b-9148-e3be6c30e623}">
          <xlrd:rvb i="935"/>
        </ext>
      </extLst>
    </bk>
    <bk>
      <extLst>
        <ext uri="{3e2802c4-a4d2-4d8b-9148-e3be6c30e623}">
          <xlrd:rvb i="936"/>
        </ext>
      </extLst>
    </bk>
    <bk>
      <extLst>
        <ext uri="{3e2802c4-a4d2-4d8b-9148-e3be6c30e623}">
          <xlrd:rvb i="937"/>
        </ext>
      </extLst>
    </bk>
    <bk>
      <extLst>
        <ext uri="{3e2802c4-a4d2-4d8b-9148-e3be6c30e623}">
          <xlrd:rvb i="938"/>
        </ext>
      </extLst>
    </bk>
    <bk>
      <extLst>
        <ext uri="{3e2802c4-a4d2-4d8b-9148-e3be6c30e623}">
          <xlrd:rvb i="939"/>
        </ext>
      </extLst>
    </bk>
    <bk>
      <extLst>
        <ext uri="{3e2802c4-a4d2-4d8b-9148-e3be6c30e623}">
          <xlrd:rvb i="940"/>
        </ext>
      </extLst>
    </bk>
    <bk>
      <extLst>
        <ext uri="{3e2802c4-a4d2-4d8b-9148-e3be6c30e623}">
          <xlrd:rvb i="941"/>
        </ext>
      </extLst>
    </bk>
    <bk>
      <extLst>
        <ext uri="{3e2802c4-a4d2-4d8b-9148-e3be6c30e623}">
          <xlrd:rvb i="942"/>
        </ext>
      </extLst>
    </bk>
    <bk>
      <extLst>
        <ext uri="{3e2802c4-a4d2-4d8b-9148-e3be6c30e623}">
          <xlrd:rvb i="943"/>
        </ext>
      </extLst>
    </bk>
    <bk>
      <extLst>
        <ext uri="{3e2802c4-a4d2-4d8b-9148-e3be6c30e623}">
          <xlrd:rvb i="944"/>
        </ext>
      </extLst>
    </bk>
    <bk>
      <extLst>
        <ext uri="{3e2802c4-a4d2-4d8b-9148-e3be6c30e623}">
          <xlrd:rvb i="945"/>
        </ext>
      </extLst>
    </bk>
    <bk>
      <extLst>
        <ext uri="{3e2802c4-a4d2-4d8b-9148-e3be6c30e623}">
          <xlrd:rvb i="946"/>
        </ext>
      </extLst>
    </bk>
    <bk>
      <extLst>
        <ext uri="{3e2802c4-a4d2-4d8b-9148-e3be6c30e623}">
          <xlrd:rvb i="947"/>
        </ext>
      </extLst>
    </bk>
    <bk>
      <extLst>
        <ext uri="{3e2802c4-a4d2-4d8b-9148-e3be6c30e623}">
          <xlrd:rvb i="948"/>
        </ext>
      </extLst>
    </bk>
    <bk>
      <extLst>
        <ext uri="{3e2802c4-a4d2-4d8b-9148-e3be6c30e623}">
          <xlrd:rvb i="949"/>
        </ext>
      </extLst>
    </bk>
    <bk>
      <extLst>
        <ext uri="{3e2802c4-a4d2-4d8b-9148-e3be6c30e623}">
          <xlrd:rvb i="950"/>
        </ext>
      </extLst>
    </bk>
    <bk>
      <extLst>
        <ext uri="{3e2802c4-a4d2-4d8b-9148-e3be6c30e623}">
          <xlrd:rvb i="951"/>
        </ext>
      </extLst>
    </bk>
    <bk>
      <extLst>
        <ext uri="{3e2802c4-a4d2-4d8b-9148-e3be6c30e623}">
          <xlrd:rvb i="952"/>
        </ext>
      </extLst>
    </bk>
    <bk>
      <extLst>
        <ext uri="{3e2802c4-a4d2-4d8b-9148-e3be6c30e623}">
          <xlrd:rvb i="953"/>
        </ext>
      </extLst>
    </bk>
    <bk>
      <extLst>
        <ext uri="{3e2802c4-a4d2-4d8b-9148-e3be6c30e623}">
          <xlrd:rvb i="954"/>
        </ext>
      </extLst>
    </bk>
    <bk>
      <extLst>
        <ext uri="{3e2802c4-a4d2-4d8b-9148-e3be6c30e623}">
          <xlrd:rvb i="955"/>
        </ext>
      </extLst>
    </bk>
    <bk>
      <extLst>
        <ext uri="{3e2802c4-a4d2-4d8b-9148-e3be6c30e623}">
          <xlrd:rvb i="956"/>
        </ext>
      </extLst>
    </bk>
    <bk>
      <extLst>
        <ext uri="{3e2802c4-a4d2-4d8b-9148-e3be6c30e623}">
          <xlrd:rvb i="957"/>
        </ext>
      </extLst>
    </bk>
    <bk>
      <extLst>
        <ext uri="{3e2802c4-a4d2-4d8b-9148-e3be6c30e623}">
          <xlrd:rvb i="958"/>
        </ext>
      </extLst>
    </bk>
    <bk>
      <extLst>
        <ext uri="{3e2802c4-a4d2-4d8b-9148-e3be6c30e623}">
          <xlrd:rvb i="959"/>
        </ext>
      </extLst>
    </bk>
    <bk>
      <extLst>
        <ext uri="{3e2802c4-a4d2-4d8b-9148-e3be6c30e623}">
          <xlrd:rvb i="960"/>
        </ext>
      </extLst>
    </bk>
    <bk>
      <extLst>
        <ext uri="{3e2802c4-a4d2-4d8b-9148-e3be6c30e623}">
          <xlrd:rvb i="961"/>
        </ext>
      </extLst>
    </bk>
    <bk>
      <extLst>
        <ext uri="{3e2802c4-a4d2-4d8b-9148-e3be6c30e623}">
          <xlrd:rvb i="962"/>
        </ext>
      </extLst>
    </bk>
    <bk>
      <extLst>
        <ext uri="{3e2802c4-a4d2-4d8b-9148-e3be6c30e623}">
          <xlrd:rvb i="963"/>
        </ext>
      </extLst>
    </bk>
    <bk>
      <extLst>
        <ext uri="{3e2802c4-a4d2-4d8b-9148-e3be6c30e623}">
          <xlrd:rvb i="964"/>
        </ext>
      </extLst>
    </bk>
    <bk>
      <extLst>
        <ext uri="{3e2802c4-a4d2-4d8b-9148-e3be6c30e623}">
          <xlrd:rvb i="965"/>
        </ext>
      </extLst>
    </bk>
    <bk>
      <extLst>
        <ext uri="{3e2802c4-a4d2-4d8b-9148-e3be6c30e623}">
          <xlrd:rvb i="966"/>
        </ext>
      </extLst>
    </bk>
    <bk>
      <extLst>
        <ext uri="{3e2802c4-a4d2-4d8b-9148-e3be6c30e623}">
          <xlrd:rvb i="967"/>
        </ext>
      </extLst>
    </bk>
    <bk>
      <extLst>
        <ext uri="{3e2802c4-a4d2-4d8b-9148-e3be6c30e623}">
          <xlrd:rvb i="968"/>
        </ext>
      </extLst>
    </bk>
    <bk>
      <extLst>
        <ext uri="{3e2802c4-a4d2-4d8b-9148-e3be6c30e623}">
          <xlrd:rvb i="969"/>
        </ext>
      </extLst>
    </bk>
    <bk>
      <extLst>
        <ext uri="{3e2802c4-a4d2-4d8b-9148-e3be6c30e623}">
          <xlrd:rvb i="970"/>
        </ext>
      </extLst>
    </bk>
    <bk>
      <extLst>
        <ext uri="{3e2802c4-a4d2-4d8b-9148-e3be6c30e623}">
          <xlrd:rvb i="971"/>
        </ext>
      </extLst>
    </bk>
    <bk>
      <extLst>
        <ext uri="{3e2802c4-a4d2-4d8b-9148-e3be6c30e623}">
          <xlrd:rvb i="972"/>
        </ext>
      </extLst>
    </bk>
    <bk>
      <extLst>
        <ext uri="{3e2802c4-a4d2-4d8b-9148-e3be6c30e623}">
          <xlrd:rvb i="973"/>
        </ext>
      </extLst>
    </bk>
    <bk>
      <extLst>
        <ext uri="{3e2802c4-a4d2-4d8b-9148-e3be6c30e623}">
          <xlrd:rvb i="974"/>
        </ext>
      </extLst>
    </bk>
    <bk>
      <extLst>
        <ext uri="{3e2802c4-a4d2-4d8b-9148-e3be6c30e623}">
          <xlrd:rvb i="975"/>
        </ext>
      </extLst>
    </bk>
    <bk>
      <extLst>
        <ext uri="{3e2802c4-a4d2-4d8b-9148-e3be6c30e623}">
          <xlrd:rvb i="976"/>
        </ext>
      </extLst>
    </bk>
    <bk>
      <extLst>
        <ext uri="{3e2802c4-a4d2-4d8b-9148-e3be6c30e623}">
          <xlrd:rvb i="977"/>
        </ext>
      </extLst>
    </bk>
    <bk>
      <extLst>
        <ext uri="{3e2802c4-a4d2-4d8b-9148-e3be6c30e623}">
          <xlrd:rvb i="978"/>
        </ext>
      </extLst>
    </bk>
    <bk>
      <extLst>
        <ext uri="{3e2802c4-a4d2-4d8b-9148-e3be6c30e623}">
          <xlrd:rvb i="979"/>
        </ext>
      </extLst>
    </bk>
    <bk>
      <extLst>
        <ext uri="{3e2802c4-a4d2-4d8b-9148-e3be6c30e623}">
          <xlrd:rvb i="980"/>
        </ext>
      </extLst>
    </bk>
    <bk>
      <extLst>
        <ext uri="{3e2802c4-a4d2-4d8b-9148-e3be6c30e623}">
          <xlrd:rvb i="981"/>
        </ext>
      </extLst>
    </bk>
    <bk>
      <extLst>
        <ext uri="{3e2802c4-a4d2-4d8b-9148-e3be6c30e623}">
          <xlrd:rvb i="982"/>
        </ext>
      </extLst>
    </bk>
    <bk>
      <extLst>
        <ext uri="{3e2802c4-a4d2-4d8b-9148-e3be6c30e623}">
          <xlrd:rvb i="983"/>
        </ext>
      </extLst>
    </bk>
    <bk>
      <extLst>
        <ext uri="{3e2802c4-a4d2-4d8b-9148-e3be6c30e623}">
          <xlrd:rvb i="984"/>
        </ext>
      </extLst>
    </bk>
    <bk>
      <extLst>
        <ext uri="{3e2802c4-a4d2-4d8b-9148-e3be6c30e623}">
          <xlrd:rvb i="985"/>
        </ext>
      </extLst>
    </bk>
    <bk>
      <extLst>
        <ext uri="{3e2802c4-a4d2-4d8b-9148-e3be6c30e623}">
          <xlrd:rvb i="986"/>
        </ext>
      </extLst>
    </bk>
    <bk>
      <extLst>
        <ext uri="{3e2802c4-a4d2-4d8b-9148-e3be6c30e623}">
          <xlrd:rvb i="987"/>
        </ext>
      </extLst>
    </bk>
    <bk>
      <extLst>
        <ext uri="{3e2802c4-a4d2-4d8b-9148-e3be6c30e623}">
          <xlrd:rvb i="988"/>
        </ext>
      </extLst>
    </bk>
    <bk>
      <extLst>
        <ext uri="{3e2802c4-a4d2-4d8b-9148-e3be6c30e623}">
          <xlrd:rvb i="989"/>
        </ext>
      </extLst>
    </bk>
    <bk>
      <extLst>
        <ext uri="{3e2802c4-a4d2-4d8b-9148-e3be6c30e623}">
          <xlrd:rvb i="990"/>
        </ext>
      </extLst>
    </bk>
    <bk>
      <extLst>
        <ext uri="{3e2802c4-a4d2-4d8b-9148-e3be6c30e623}">
          <xlrd:rvb i="991"/>
        </ext>
      </extLst>
    </bk>
    <bk>
      <extLst>
        <ext uri="{3e2802c4-a4d2-4d8b-9148-e3be6c30e623}">
          <xlrd:rvb i="992"/>
        </ext>
      </extLst>
    </bk>
    <bk>
      <extLst>
        <ext uri="{3e2802c4-a4d2-4d8b-9148-e3be6c30e623}">
          <xlrd:rvb i="993"/>
        </ext>
      </extLst>
    </bk>
    <bk>
      <extLst>
        <ext uri="{3e2802c4-a4d2-4d8b-9148-e3be6c30e623}">
          <xlrd:rvb i="994"/>
        </ext>
      </extLst>
    </bk>
    <bk>
      <extLst>
        <ext uri="{3e2802c4-a4d2-4d8b-9148-e3be6c30e623}">
          <xlrd:rvb i="995"/>
        </ext>
      </extLst>
    </bk>
    <bk>
      <extLst>
        <ext uri="{3e2802c4-a4d2-4d8b-9148-e3be6c30e623}">
          <xlrd:rvb i="996"/>
        </ext>
      </extLst>
    </bk>
    <bk>
      <extLst>
        <ext uri="{3e2802c4-a4d2-4d8b-9148-e3be6c30e623}">
          <xlrd:rvb i="997"/>
        </ext>
      </extLst>
    </bk>
    <bk>
      <extLst>
        <ext uri="{3e2802c4-a4d2-4d8b-9148-e3be6c30e623}">
          <xlrd:rvb i="998"/>
        </ext>
      </extLst>
    </bk>
    <bk>
      <extLst>
        <ext uri="{3e2802c4-a4d2-4d8b-9148-e3be6c30e623}">
          <xlrd:rvb i="999"/>
        </ext>
      </extLst>
    </bk>
    <bk>
      <extLst>
        <ext uri="{3e2802c4-a4d2-4d8b-9148-e3be6c30e623}">
          <xlrd:rvb i="1000"/>
        </ext>
      </extLst>
    </bk>
    <bk>
      <extLst>
        <ext uri="{3e2802c4-a4d2-4d8b-9148-e3be6c30e623}">
          <xlrd:rvb i="1001"/>
        </ext>
      </extLst>
    </bk>
    <bk>
      <extLst>
        <ext uri="{3e2802c4-a4d2-4d8b-9148-e3be6c30e623}">
          <xlrd:rvb i="1002"/>
        </ext>
      </extLst>
    </bk>
    <bk>
      <extLst>
        <ext uri="{3e2802c4-a4d2-4d8b-9148-e3be6c30e623}">
          <xlrd:rvb i="1003"/>
        </ext>
      </extLst>
    </bk>
    <bk>
      <extLst>
        <ext uri="{3e2802c4-a4d2-4d8b-9148-e3be6c30e623}">
          <xlrd:rvb i="1004"/>
        </ext>
      </extLst>
    </bk>
    <bk>
      <extLst>
        <ext uri="{3e2802c4-a4d2-4d8b-9148-e3be6c30e623}">
          <xlrd:rvb i="1005"/>
        </ext>
      </extLst>
    </bk>
    <bk>
      <extLst>
        <ext uri="{3e2802c4-a4d2-4d8b-9148-e3be6c30e623}">
          <xlrd:rvb i="1006"/>
        </ext>
      </extLst>
    </bk>
    <bk>
      <extLst>
        <ext uri="{3e2802c4-a4d2-4d8b-9148-e3be6c30e623}">
          <xlrd:rvb i="1007"/>
        </ext>
      </extLst>
    </bk>
    <bk>
      <extLst>
        <ext uri="{3e2802c4-a4d2-4d8b-9148-e3be6c30e623}">
          <xlrd:rvb i="1008"/>
        </ext>
      </extLst>
    </bk>
    <bk>
      <extLst>
        <ext uri="{3e2802c4-a4d2-4d8b-9148-e3be6c30e623}">
          <xlrd:rvb i="1009"/>
        </ext>
      </extLst>
    </bk>
    <bk>
      <extLst>
        <ext uri="{3e2802c4-a4d2-4d8b-9148-e3be6c30e623}">
          <xlrd:rvb i="1010"/>
        </ext>
      </extLst>
    </bk>
    <bk>
      <extLst>
        <ext uri="{3e2802c4-a4d2-4d8b-9148-e3be6c30e623}">
          <xlrd:rvb i="1011"/>
        </ext>
      </extLst>
    </bk>
    <bk>
      <extLst>
        <ext uri="{3e2802c4-a4d2-4d8b-9148-e3be6c30e623}">
          <xlrd:rvb i="1012"/>
        </ext>
      </extLst>
    </bk>
    <bk>
      <extLst>
        <ext uri="{3e2802c4-a4d2-4d8b-9148-e3be6c30e623}">
          <xlrd:rvb i="1013"/>
        </ext>
      </extLst>
    </bk>
    <bk>
      <extLst>
        <ext uri="{3e2802c4-a4d2-4d8b-9148-e3be6c30e623}">
          <xlrd:rvb i="1014"/>
        </ext>
      </extLst>
    </bk>
    <bk>
      <extLst>
        <ext uri="{3e2802c4-a4d2-4d8b-9148-e3be6c30e623}">
          <xlrd:rvb i="1015"/>
        </ext>
      </extLst>
    </bk>
    <bk>
      <extLst>
        <ext uri="{3e2802c4-a4d2-4d8b-9148-e3be6c30e623}">
          <xlrd:rvb i="1016"/>
        </ext>
      </extLst>
    </bk>
    <bk>
      <extLst>
        <ext uri="{3e2802c4-a4d2-4d8b-9148-e3be6c30e623}">
          <xlrd:rvb i="1017"/>
        </ext>
      </extLst>
    </bk>
    <bk>
      <extLst>
        <ext uri="{3e2802c4-a4d2-4d8b-9148-e3be6c30e623}">
          <xlrd:rvb i="1018"/>
        </ext>
      </extLst>
    </bk>
    <bk>
      <extLst>
        <ext uri="{3e2802c4-a4d2-4d8b-9148-e3be6c30e623}">
          <xlrd:rvb i="1019"/>
        </ext>
      </extLst>
    </bk>
    <bk>
      <extLst>
        <ext uri="{3e2802c4-a4d2-4d8b-9148-e3be6c30e623}">
          <xlrd:rvb i="1020"/>
        </ext>
      </extLst>
    </bk>
    <bk>
      <extLst>
        <ext uri="{3e2802c4-a4d2-4d8b-9148-e3be6c30e623}">
          <xlrd:rvb i="1021"/>
        </ext>
      </extLst>
    </bk>
    <bk>
      <extLst>
        <ext uri="{3e2802c4-a4d2-4d8b-9148-e3be6c30e623}">
          <xlrd:rvb i="1022"/>
        </ext>
      </extLst>
    </bk>
    <bk>
      <extLst>
        <ext uri="{3e2802c4-a4d2-4d8b-9148-e3be6c30e623}">
          <xlrd:rvb i="1023"/>
        </ext>
      </extLst>
    </bk>
    <bk>
      <extLst>
        <ext uri="{3e2802c4-a4d2-4d8b-9148-e3be6c30e623}">
          <xlrd:rvb i="1024"/>
        </ext>
      </extLst>
    </bk>
    <bk>
      <extLst>
        <ext uri="{3e2802c4-a4d2-4d8b-9148-e3be6c30e623}">
          <xlrd:rvb i="1025"/>
        </ext>
      </extLst>
    </bk>
    <bk>
      <extLst>
        <ext uri="{3e2802c4-a4d2-4d8b-9148-e3be6c30e623}">
          <xlrd:rvb i="1026"/>
        </ext>
      </extLst>
    </bk>
    <bk>
      <extLst>
        <ext uri="{3e2802c4-a4d2-4d8b-9148-e3be6c30e623}">
          <xlrd:rvb i="1027"/>
        </ext>
      </extLst>
    </bk>
    <bk>
      <extLst>
        <ext uri="{3e2802c4-a4d2-4d8b-9148-e3be6c30e623}">
          <xlrd:rvb i="1028"/>
        </ext>
      </extLst>
    </bk>
    <bk>
      <extLst>
        <ext uri="{3e2802c4-a4d2-4d8b-9148-e3be6c30e623}">
          <xlrd:rvb i="1029"/>
        </ext>
      </extLst>
    </bk>
    <bk>
      <extLst>
        <ext uri="{3e2802c4-a4d2-4d8b-9148-e3be6c30e623}">
          <xlrd:rvb i="1030"/>
        </ext>
      </extLst>
    </bk>
    <bk>
      <extLst>
        <ext uri="{3e2802c4-a4d2-4d8b-9148-e3be6c30e623}">
          <xlrd:rvb i="1031"/>
        </ext>
      </extLst>
    </bk>
    <bk>
      <extLst>
        <ext uri="{3e2802c4-a4d2-4d8b-9148-e3be6c30e623}">
          <xlrd:rvb i="1032"/>
        </ext>
      </extLst>
    </bk>
    <bk>
      <extLst>
        <ext uri="{3e2802c4-a4d2-4d8b-9148-e3be6c30e623}">
          <xlrd:rvb i="1033"/>
        </ext>
      </extLst>
    </bk>
    <bk>
      <extLst>
        <ext uri="{3e2802c4-a4d2-4d8b-9148-e3be6c30e623}">
          <xlrd:rvb i="1034"/>
        </ext>
      </extLst>
    </bk>
    <bk>
      <extLst>
        <ext uri="{3e2802c4-a4d2-4d8b-9148-e3be6c30e623}">
          <xlrd:rvb i="1035"/>
        </ext>
      </extLst>
    </bk>
    <bk>
      <extLst>
        <ext uri="{3e2802c4-a4d2-4d8b-9148-e3be6c30e623}">
          <xlrd:rvb i="1036"/>
        </ext>
      </extLst>
    </bk>
    <bk>
      <extLst>
        <ext uri="{3e2802c4-a4d2-4d8b-9148-e3be6c30e623}">
          <xlrd:rvb i="1037"/>
        </ext>
      </extLst>
    </bk>
    <bk>
      <extLst>
        <ext uri="{3e2802c4-a4d2-4d8b-9148-e3be6c30e623}">
          <xlrd:rvb i="1038"/>
        </ext>
      </extLst>
    </bk>
    <bk>
      <extLst>
        <ext uri="{3e2802c4-a4d2-4d8b-9148-e3be6c30e623}">
          <xlrd:rvb i="1039"/>
        </ext>
      </extLst>
    </bk>
    <bk>
      <extLst>
        <ext uri="{3e2802c4-a4d2-4d8b-9148-e3be6c30e623}">
          <xlrd:rvb i="1040"/>
        </ext>
      </extLst>
    </bk>
    <bk>
      <extLst>
        <ext uri="{3e2802c4-a4d2-4d8b-9148-e3be6c30e623}">
          <xlrd:rvb i="1041"/>
        </ext>
      </extLst>
    </bk>
    <bk>
      <extLst>
        <ext uri="{3e2802c4-a4d2-4d8b-9148-e3be6c30e623}">
          <xlrd:rvb i="1042"/>
        </ext>
      </extLst>
    </bk>
    <bk>
      <extLst>
        <ext uri="{3e2802c4-a4d2-4d8b-9148-e3be6c30e623}">
          <xlrd:rvb i="1043"/>
        </ext>
      </extLst>
    </bk>
    <bk>
      <extLst>
        <ext uri="{3e2802c4-a4d2-4d8b-9148-e3be6c30e623}">
          <xlrd:rvb i="1044"/>
        </ext>
      </extLst>
    </bk>
    <bk>
      <extLst>
        <ext uri="{3e2802c4-a4d2-4d8b-9148-e3be6c30e623}">
          <xlrd:rvb i="1045"/>
        </ext>
      </extLst>
    </bk>
    <bk>
      <extLst>
        <ext uri="{3e2802c4-a4d2-4d8b-9148-e3be6c30e623}">
          <xlrd:rvb i="1046"/>
        </ext>
      </extLst>
    </bk>
    <bk>
      <extLst>
        <ext uri="{3e2802c4-a4d2-4d8b-9148-e3be6c30e623}">
          <xlrd:rvb i="1047"/>
        </ext>
      </extLst>
    </bk>
    <bk>
      <extLst>
        <ext uri="{3e2802c4-a4d2-4d8b-9148-e3be6c30e623}">
          <xlrd:rvb i="1048"/>
        </ext>
      </extLst>
    </bk>
    <bk>
      <extLst>
        <ext uri="{3e2802c4-a4d2-4d8b-9148-e3be6c30e623}">
          <xlrd:rvb i="1049"/>
        </ext>
      </extLst>
    </bk>
    <bk>
      <extLst>
        <ext uri="{3e2802c4-a4d2-4d8b-9148-e3be6c30e623}">
          <xlrd:rvb i="1050"/>
        </ext>
      </extLst>
    </bk>
    <bk>
      <extLst>
        <ext uri="{3e2802c4-a4d2-4d8b-9148-e3be6c30e623}">
          <xlrd:rvb i="1051"/>
        </ext>
      </extLst>
    </bk>
    <bk>
      <extLst>
        <ext uri="{3e2802c4-a4d2-4d8b-9148-e3be6c30e623}">
          <xlrd:rvb i="1052"/>
        </ext>
      </extLst>
    </bk>
    <bk>
      <extLst>
        <ext uri="{3e2802c4-a4d2-4d8b-9148-e3be6c30e623}">
          <xlrd:rvb i="1053"/>
        </ext>
      </extLst>
    </bk>
    <bk>
      <extLst>
        <ext uri="{3e2802c4-a4d2-4d8b-9148-e3be6c30e623}">
          <xlrd:rvb i="1054"/>
        </ext>
      </extLst>
    </bk>
    <bk>
      <extLst>
        <ext uri="{3e2802c4-a4d2-4d8b-9148-e3be6c30e623}">
          <xlrd:rvb i="1055"/>
        </ext>
      </extLst>
    </bk>
    <bk>
      <extLst>
        <ext uri="{3e2802c4-a4d2-4d8b-9148-e3be6c30e623}">
          <xlrd:rvb i="1056"/>
        </ext>
      </extLst>
    </bk>
    <bk>
      <extLst>
        <ext uri="{3e2802c4-a4d2-4d8b-9148-e3be6c30e623}">
          <xlrd:rvb i="1057"/>
        </ext>
      </extLst>
    </bk>
    <bk>
      <extLst>
        <ext uri="{3e2802c4-a4d2-4d8b-9148-e3be6c30e623}">
          <xlrd:rvb i="1058"/>
        </ext>
      </extLst>
    </bk>
    <bk>
      <extLst>
        <ext uri="{3e2802c4-a4d2-4d8b-9148-e3be6c30e623}">
          <xlrd:rvb i="1059"/>
        </ext>
      </extLst>
    </bk>
    <bk>
      <extLst>
        <ext uri="{3e2802c4-a4d2-4d8b-9148-e3be6c30e623}">
          <xlrd:rvb i="1060"/>
        </ext>
      </extLst>
    </bk>
    <bk>
      <extLst>
        <ext uri="{3e2802c4-a4d2-4d8b-9148-e3be6c30e623}">
          <xlrd:rvb i="1061"/>
        </ext>
      </extLst>
    </bk>
    <bk>
      <extLst>
        <ext uri="{3e2802c4-a4d2-4d8b-9148-e3be6c30e623}">
          <xlrd:rvb i="1062"/>
        </ext>
      </extLst>
    </bk>
    <bk>
      <extLst>
        <ext uri="{3e2802c4-a4d2-4d8b-9148-e3be6c30e623}">
          <xlrd:rvb i="1063"/>
        </ext>
      </extLst>
    </bk>
    <bk>
      <extLst>
        <ext uri="{3e2802c4-a4d2-4d8b-9148-e3be6c30e623}">
          <xlrd:rvb i="1064"/>
        </ext>
      </extLst>
    </bk>
    <bk>
      <extLst>
        <ext uri="{3e2802c4-a4d2-4d8b-9148-e3be6c30e623}">
          <xlrd:rvb i="1065"/>
        </ext>
      </extLst>
    </bk>
    <bk>
      <extLst>
        <ext uri="{3e2802c4-a4d2-4d8b-9148-e3be6c30e623}">
          <xlrd:rvb i="1066"/>
        </ext>
      </extLst>
    </bk>
    <bk>
      <extLst>
        <ext uri="{3e2802c4-a4d2-4d8b-9148-e3be6c30e623}">
          <xlrd:rvb i="1067"/>
        </ext>
      </extLst>
    </bk>
    <bk>
      <extLst>
        <ext uri="{3e2802c4-a4d2-4d8b-9148-e3be6c30e623}">
          <xlrd:rvb i="1068"/>
        </ext>
      </extLst>
    </bk>
    <bk>
      <extLst>
        <ext uri="{3e2802c4-a4d2-4d8b-9148-e3be6c30e623}">
          <xlrd:rvb i="1069"/>
        </ext>
      </extLst>
    </bk>
    <bk>
      <extLst>
        <ext uri="{3e2802c4-a4d2-4d8b-9148-e3be6c30e623}">
          <xlrd:rvb i="1070"/>
        </ext>
      </extLst>
    </bk>
    <bk>
      <extLst>
        <ext uri="{3e2802c4-a4d2-4d8b-9148-e3be6c30e623}">
          <xlrd:rvb i="1071"/>
        </ext>
      </extLst>
    </bk>
    <bk>
      <extLst>
        <ext uri="{3e2802c4-a4d2-4d8b-9148-e3be6c30e623}">
          <xlrd:rvb i="1072"/>
        </ext>
      </extLst>
    </bk>
    <bk>
      <extLst>
        <ext uri="{3e2802c4-a4d2-4d8b-9148-e3be6c30e623}">
          <xlrd:rvb i="1073"/>
        </ext>
      </extLst>
    </bk>
    <bk>
      <extLst>
        <ext uri="{3e2802c4-a4d2-4d8b-9148-e3be6c30e623}">
          <xlrd:rvb i="1074"/>
        </ext>
      </extLst>
    </bk>
    <bk>
      <extLst>
        <ext uri="{3e2802c4-a4d2-4d8b-9148-e3be6c30e623}">
          <xlrd:rvb i="1075"/>
        </ext>
      </extLst>
    </bk>
    <bk>
      <extLst>
        <ext uri="{3e2802c4-a4d2-4d8b-9148-e3be6c30e623}">
          <xlrd:rvb i="1076"/>
        </ext>
      </extLst>
    </bk>
    <bk>
      <extLst>
        <ext uri="{3e2802c4-a4d2-4d8b-9148-e3be6c30e623}">
          <xlrd:rvb i="1077"/>
        </ext>
      </extLst>
    </bk>
    <bk>
      <extLst>
        <ext uri="{3e2802c4-a4d2-4d8b-9148-e3be6c30e623}">
          <xlrd:rvb i="1078"/>
        </ext>
      </extLst>
    </bk>
    <bk>
      <extLst>
        <ext uri="{3e2802c4-a4d2-4d8b-9148-e3be6c30e623}">
          <xlrd:rvb i="1079"/>
        </ext>
      </extLst>
    </bk>
    <bk>
      <extLst>
        <ext uri="{3e2802c4-a4d2-4d8b-9148-e3be6c30e623}">
          <xlrd:rvb i="1080"/>
        </ext>
      </extLst>
    </bk>
    <bk>
      <extLst>
        <ext uri="{3e2802c4-a4d2-4d8b-9148-e3be6c30e623}">
          <xlrd:rvb i="1081"/>
        </ext>
      </extLst>
    </bk>
    <bk>
      <extLst>
        <ext uri="{3e2802c4-a4d2-4d8b-9148-e3be6c30e623}">
          <xlrd:rvb i="1082"/>
        </ext>
      </extLst>
    </bk>
    <bk>
      <extLst>
        <ext uri="{3e2802c4-a4d2-4d8b-9148-e3be6c30e623}">
          <xlrd:rvb i="1083"/>
        </ext>
      </extLst>
    </bk>
    <bk>
      <extLst>
        <ext uri="{3e2802c4-a4d2-4d8b-9148-e3be6c30e623}">
          <xlrd:rvb i="1084"/>
        </ext>
      </extLst>
    </bk>
    <bk>
      <extLst>
        <ext uri="{3e2802c4-a4d2-4d8b-9148-e3be6c30e623}">
          <xlrd:rvb i="1085"/>
        </ext>
      </extLst>
    </bk>
    <bk>
      <extLst>
        <ext uri="{3e2802c4-a4d2-4d8b-9148-e3be6c30e623}">
          <xlrd:rvb i="1086"/>
        </ext>
      </extLst>
    </bk>
    <bk>
      <extLst>
        <ext uri="{3e2802c4-a4d2-4d8b-9148-e3be6c30e623}">
          <xlrd:rvb i="1087"/>
        </ext>
      </extLst>
    </bk>
    <bk>
      <extLst>
        <ext uri="{3e2802c4-a4d2-4d8b-9148-e3be6c30e623}">
          <xlrd:rvb i="1088"/>
        </ext>
      </extLst>
    </bk>
    <bk>
      <extLst>
        <ext uri="{3e2802c4-a4d2-4d8b-9148-e3be6c30e623}">
          <xlrd:rvb i="1089"/>
        </ext>
      </extLst>
    </bk>
    <bk>
      <extLst>
        <ext uri="{3e2802c4-a4d2-4d8b-9148-e3be6c30e623}">
          <xlrd:rvb i="1090"/>
        </ext>
      </extLst>
    </bk>
    <bk>
      <extLst>
        <ext uri="{3e2802c4-a4d2-4d8b-9148-e3be6c30e623}">
          <xlrd:rvb i="1091"/>
        </ext>
      </extLst>
    </bk>
    <bk>
      <extLst>
        <ext uri="{3e2802c4-a4d2-4d8b-9148-e3be6c30e623}">
          <xlrd:rvb i="1092"/>
        </ext>
      </extLst>
    </bk>
    <bk>
      <extLst>
        <ext uri="{3e2802c4-a4d2-4d8b-9148-e3be6c30e623}">
          <xlrd:rvb i="1093"/>
        </ext>
      </extLst>
    </bk>
    <bk>
      <extLst>
        <ext uri="{3e2802c4-a4d2-4d8b-9148-e3be6c30e623}">
          <xlrd:rvb i="1094"/>
        </ext>
      </extLst>
    </bk>
    <bk>
      <extLst>
        <ext uri="{3e2802c4-a4d2-4d8b-9148-e3be6c30e623}">
          <xlrd:rvb i="1095"/>
        </ext>
      </extLst>
    </bk>
    <bk>
      <extLst>
        <ext uri="{3e2802c4-a4d2-4d8b-9148-e3be6c30e623}">
          <xlrd:rvb i="1096"/>
        </ext>
      </extLst>
    </bk>
    <bk>
      <extLst>
        <ext uri="{3e2802c4-a4d2-4d8b-9148-e3be6c30e623}">
          <xlrd:rvb i="1097"/>
        </ext>
      </extLst>
    </bk>
    <bk>
      <extLst>
        <ext uri="{3e2802c4-a4d2-4d8b-9148-e3be6c30e623}">
          <xlrd:rvb i="1098"/>
        </ext>
      </extLst>
    </bk>
    <bk>
      <extLst>
        <ext uri="{3e2802c4-a4d2-4d8b-9148-e3be6c30e623}">
          <xlrd:rvb i="1099"/>
        </ext>
      </extLst>
    </bk>
    <bk>
      <extLst>
        <ext uri="{3e2802c4-a4d2-4d8b-9148-e3be6c30e623}">
          <xlrd:rvb i="1100"/>
        </ext>
      </extLst>
    </bk>
    <bk>
      <extLst>
        <ext uri="{3e2802c4-a4d2-4d8b-9148-e3be6c30e623}">
          <xlrd:rvb i="1101"/>
        </ext>
      </extLst>
    </bk>
    <bk>
      <extLst>
        <ext uri="{3e2802c4-a4d2-4d8b-9148-e3be6c30e623}">
          <xlrd:rvb i="1102"/>
        </ext>
      </extLst>
    </bk>
    <bk>
      <extLst>
        <ext uri="{3e2802c4-a4d2-4d8b-9148-e3be6c30e623}">
          <xlrd:rvb i="1103"/>
        </ext>
      </extLst>
    </bk>
    <bk>
      <extLst>
        <ext uri="{3e2802c4-a4d2-4d8b-9148-e3be6c30e623}">
          <xlrd:rvb i="1104"/>
        </ext>
      </extLst>
    </bk>
    <bk>
      <extLst>
        <ext uri="{3e2802c4-a4d2-4d8b-9148-e3be6c30e623}">
          <xlrd:rvb i="1105"/>
        </ext>
      </extLst>
    </bk>
    <bk>
      <extLst>
        <ext uri="{3e2802c4-a4d2-4d8b-9148-e3be6c30e623}">
          <xlrd:rvb i="1106"/>
        </ext>
      </extLst>
    </bk>
    <bk>
      <extLst>
        <ext uri="{3e2802c4-a4d2-4d8b-9148-e3be6c30e623}">
          <xlrd:rvb i="1107"/>
        </ext>
      </extLst>
    </bk>
    <bk>
      <extLst>
        <ext uri="{3e2802c4-a4d2-4d8b-9148-e3be6c30e623}">
          <xlrd:rvb i="1108"/>
        </ext>
      </extLst>
    </bk>
    <bk>
      <extLst>
        <ext uri="{3e2802c4-a4d2-4d8b-9148-e3be6c30e623}">
          <xlrd:rvb i="1109"/>
        </ext>
      </extLst>
    </bk>
    <bk>
      <extLst>
        <ext uri="{3e2802c4-a4d2-4d8b-9148-e3be6c30e623}">
          <xlrd:rvb i="1110"/>
        </ext>
      </extLst>
    </bk>
    <bk>
      <extLst>
        <ext uri="{3e2802c4-a4d2-4d8b-9148-e3be6c30e623}">
          <xlrd:rvb i="1111"/>
        </ext>
      </extLst>
    </bk>
    <bk>
      <extLst>
        <ext uri="{3e2802c4-a4d2-4d8b-9148-e3be6c30e623}">
          <xlrd:rvb i="1112"/>
        </ext>
      </extLst>
    </bk>
    <bk>
      <extLst>
        <ext uri="{3e2802c4-a4d2-4d8b-9148-e3be6c30e623}">
          <xlrd:rvb i="1113"/>
        </ext>
      </extLst>
    </bk>
    <bk>
      <extLst>
        <ext uri="{3e2802c4-a4d2-4d8b-9148-e3be6c30e623}">
          <xlrd:rvb i="1114"/>
        </ext>
      </extLst>
    </bk>
    <bk>
      <extLst>
        <ext uri="{3e2802c4-a4d2-4d8b-9148-e3be6c30e623}">
          <xlrd:rvb i="1115"/>
        </ext>
      </extLst>
    </bk>
    <bk>
      <extLst>
        <ext uri="{3e2802c4-a4d2-4d8b-9148-e3be6c30e623}">
          <xlrd:rvb i="1116"/>
        </ext>
      </extLst>
    </bk>
    <bk>
      <extLst>
        <ext uri="{3e2802c4-a4d2-4d8b-9148-e3be6c30e623}">
          <xlrd:rvb i="1117"/>
        </ext>
      </extLst>
    </bk>
    <bk>
      <extLst>
        <ext uri="{3e2802c4-a4d2-4d8b-9148-e3be6c30e623}">
          <xlrd:rvb i="1118"/>
        </ext>
      </extLst>
    </bk>
    <bk>
      <extLst>
        <ext uri="{3e2802c4-a4d2-4d8b-9148-e3be6c30e623}">
          <xlrd:rvb i="1119"/>
        </ext>
      </extLst>
    </bk>
    <bk>
      <extLst>
        <ext uri="{3e2802c4-a4d2-4d8b-9148-e3be6c30e623}">
          <xlrd:rvb i="1120"/>
        </ext>
      </extLst>
    </bk>
    <bk>
      <extLst>
        <ext uri="{3e2802c4-a4d2-4d8b-9148-e3be6c30e623}">
          <xlrd:rvb i="1121"/>
        </ext>
      </extLst>
    </bk>
    <bk>
      <extLst>
        <ext uri="{3e2802c4-a4d2-4d8b-9148-e3be6c30e623}">
          <xlrd:rvb i="1122"/>
        </ext>
      </extLst>
    </bk>
    <bk>
      <extLst>
        <ext uri="{3e2802c4-a4d2-4d8b-9148-e3be6c30e623}">
          <xlrd:rvb i="1123"/>
        </ext>
      </extLst>
    </bk>
    <bk>
      <extLst>
        <ext uri="{3e2802c4-a4d2-4d8b-9148-e3be6c30e623}">
          <xlrd:rvb i="1124"/>
        </ext>
      </extLst>
    </bk>
    <bk>
      <extLst>
        <ext uri="{3e2802c4-a4d2-4d8b-9148-e3be6c30e623}">
          <xlrd:rvb i="1125"/>
        </ext>
      </extLst>
    </bk>
    <bk>
      <extLst>
        <ext uri="{3e2802c4-a4d2-4d8b-9148-e3be6c30e623}">
          <xlrd:rvb i="1126"/>
        </ext>
      </extLst>
    </bk>
    <bk>
      <extLst>
        <ext uri="{3e2802c4-a4d2-4d8b-9148-e3be6c30e623}">
          <xlrd:rvb i="1127"/>
        </ext>
      </extLst>
    </bk>
    <bk>
      <extLst>
        <ext uri="{3e2802c4-a4d2-4d8b-9148-e3be6c30e623}">
          <xlrd:rvb i="1128"/>
        </ext>
      </extLst>
    </bk>
    <bk>
      <extLst>
        <ext uri="{3e2802c4-a4d2-4d8b-9148-e3be6c30e623}">
          <xlrd:rvb i="1129"/>
        </ext>
      </extLst>
    </bk>
    <bk>
      <extLst>
        <ext uri="{3e2802c4-a4d2-4d8b-9148-e3be6c30e623}">
          <xlrd:rvb i="1130"/>
        </ext>
      </extLst>
    </bk>
    <bk>
      <extLst>
        <ext uri="{3e2802c4-a4d2-4d8b-9148-e3be6c30e623}">
          <xlrd:rvb i="1131"/>
        </ext>
      </extLst>
    </bk>
    <bk>
      <extLst>
        <ext uri="{3e2802c4-a4d2-4d8b-9148-e3be6c30e623}">
          <xlrd:rvb i="1132"/>
        </ext>
      </extLst>
    </bk>
    <bk>
      <extLst>
        <ext uri="{3e2802c4-a4d2-4d8b-9148-e3be6c30e623}">
          <xlrd:rvb i="1133"/>
        </ext>
      </extLst>
    </bk>
    <bk>
      <extLst>
        <ext uri="{3e2802c4-a4d2-4d8b-9148-e3be6c30e623}">
          <xlrd:rvb i="1134"/>
        </ext>
      </extLst>
    </bk>
    <bk>
      <extLst>
        <ext uri="{3e2802c4-a4d2-4d8b-9148-e3be6c30e623}">
          <xlrd:rvb i="1135"/>
        </ext>
      </extLst>
    </bk>
    <bk>
      <extLst>
        <ext uri="{3e2802c4-a4d2-4d8b-9148-e3be6c30e623}">
          <xlrd:rvb i="1136"/>
        </ext>
      </extLst>
    </bk>
    <bk>
      <extLst>
        <ext uri="{3e2802c4-a4d2-4d8b-9148-e3be6c30e623}">
          <xlrd:rvb i="1137"/>
        </ext>
      </extLst>
    </bk>
    <bk>
      <extLst>
        <ext uri="{3e2802c4-a4d2-4d8b-9148-e3be6c30e623}">
          <xlrd:rvb i="1138"/>
        </ext>
      </extLst>
    </bk>
    <bk>
      <extLst>
        <ext uri="{3e2802c4-a4d2-4d8b-9148-e3be6c30e623}">
          <xlrd:rvb i="1139"/>
        </ext>
      </extLst>
    </bk>
    <bk>
      <extLst>
        <ext uri="{3e2802c4-a4d2-4d8b-9148-e3be6c30e623}">
          <xlrd:rvb i="1140"/>
        </ext>
      </extLst>
    </bk>
    <bk>
      <extLst>
        <ext uri="{3e2802c4-a4d2-4d8b-9148-e3be6c30e623}">
          <xlrd:rvb i="1141"/>
        </ext>
      </extLst>
    </bk>
    <bk>
      <extLst>
        <ext uri="{3e2802c4-a4d2-4d8b-9148-e3be6c30e623}">
          <xlrd:rvb i="1142"/>
        </ext>
      </extLst>
    </bk>
    <bk>
      <extLst>
        <ext uri="{3e2802c4-a4d2-4d8b-9148-e3be6c30e623}">
          <xlrd:rvb i="1143"/>
        </ext>
      </extLst>
    </bk>
    <bk>
      <extLst>
        <ext uri="{3e2802c4-a4d2-4d8b-9148-e3be6c30e623}">
          <xlrd:rvb i="1144"/>
        </ext>
      </extLst>
    </bk>
    <bk>
      <extLst>
        <ext uri="{3e2802c4-a4d2-4d8b-9148-e3be6c30e623}">
          <xlrd:rvb i="1145"/>
        </ext>
      </extLst>
    </bk>
    <bk>
      <extLst>
        <ext uri="{3e2802c4-a4d2-4d8b-9148-e3be6c30e623}">
          <xlrd:rvb i="1146"/>
        </ext>
      </extLst>
    </bk>
    <bk>
      <extLst>
        <ext uri="{3e2802c4-a4d2-4d8b-9148-e3be6c30e623}">
          <xlrd:rvb i="1147"/>
        </ext>
      </extLst>
    </bk>
    <bk>
      <extLst>
        <ext uri="{3e2802c4-a4d2-4d8b-9148-e3be6c30e623}">
          <xlrd:rvb i="1148"/>
        </ext>
      </extLst>
    </bk>
    <bk>
      <extLst>
        <ext uri="{3e2802c4-a4d2-4d8b-9148-e3be6c30e623}">
          <xlrd:rvb i="1149"/>
        </ext>
      </extLst>
    </bk>
    <bk>
      <extLst>
        <ext uri="{3e2802c4-a4d2-4d8b-9148-e3be6c30e623}">
          <xlrd:rvb i="1150"/>
        </ext>
      </extLst>
    </bk>
    <bk>
      <extLst>
        <ext uri="{3e2802c4-a4d2-4d8b-9148-e3be6c30e623}">
          <xlrd:rvb i="1151"/>
        </ext>
      </extLst>
    </bk>
    <bk>
      <extLst>
        <ext uri="{3e2802c4-a4d2-4d8b-9148-e3be6c30e623}">
          <xlrd:rvb i="1152"/>
        </ext>
      </extLst>
    </bk>
    <bk>
      <extLst>
        <ext uri="{3e2802c4-a4d2-4d8b-9148-e3be6c30e623}">
          <xlrd:rvb i="1153"/>
        </ext>
      </extLst>
    </bk>
    <bk>
      <extLst>
        <ext uri="{3e2802c4-a4d2-4d8b-9148-e3be6c30e623}">
          <xlrd:rvb i="1154"/>
        </ext>
      </extLst>
    </bk>
    <bk>
      <extLst>
        <ext uri="{3e2802c4-a4d2-4d8b-9148-e3be6c30e623}">
          <xlrd:rvb i="1155"/>
        </ext>
      </extLst>
    </bk>
    <bk>
      <extLst>
        <ext uri="{3e2802c4-a4d2-4d8b-9148-e3be6c30e623}">
          <xlrd:rvb i="1156"/>
        </ext>
      </extLst>
    </bk>
    <bk>
      <extLst>
        <ext uri="{3e2802c4-a4d2-4d8b-9148-e3be6c30e623}">
          <xlrd:rvb i="1157"/>
        </ext>
      </extLst>
    </bk>
    <bk>
      <extLst>
        <ext uri="{3e2802c4-a4d2-4d8b-9148-e3be6c30e623}">
          <xlrd:rvb i="1158"/>
        </ext>
      </extLst>
    </bk>
    <bk>
      <extLst>
        <ext uri="{3e2802c4-a4d2-4d8b-9148-e3be6c30e623}">
          <xlrd:rvb i="1159"/>
        </ext>
      </extLst>
    </bk>
    <bk>
      <extLst>
        <ext uri="{3e2802c4-a4d2-4d8b-9148-e3be6c30e623}">
          <xlrd:rvb i="1160"/>
        </ext>
      </extLst>
    </bk>
    <bk>
      <extLst>
        <ext uri="{3e2802c4-a4d2-4d8b-9148-e3be6c30e623}">
          <xlrd:rvb i="1161"/>
        </ext>
      </extLst>
    </bk>
    <bk>
      <extLst>
        <ext uri="{3e2802c4-a4d2-4d8b-9148-e3be6c30e623}">
          <xlrd:rvb i="1162"/>
        </ext>
      </extLst>
    </bk>
    <bk>
      <extLst>
        <ext uri="{3e2802c4-a4d2-4d8b-9148-e3be6c30e623}">
          <xlrd:rvb i="1163"/>
        </ext>
      </extLst>
    </bk>
    <bk>
      <extLst>
        <ext uri="{3e2802c4-a4d2-4d8b-9148-e3be6c30e623}">
          <xlrd:rvb i="1164"/>
        </ext>
      </extLst>
    </bk>
    <bk>
      <extLst>
        <ext uri="{3e2802c4-a4d2-4d8b-9148-e3be6c30e623}">
          <xlrd:rvb i="1165"/>
        </ext>
      </extLst>
    </bk>
    <bk>
      <extLst>
        <ext uri="{3e2802c4-a4d2-4d8b-9148-e3be6c30e623}">
          <xlrd:rvb i="1166"/>
        </ext>
      </extLst>
    </bk>
    <bk>
      <extLst>
        <ext uri="{3e2802c4-a4d2-4d8b-9148-e3be6c30e623}">
          <xlrd:rvb i="1167"/>
        </ext>
      </extLst>
    </bk>
    <bk>
      <extLst>
        <ext uri="{3e2802c4-a4d2-4d8b-9148-e3be6c30e623}">
          <xlrd:rvb i="1168"/>
        </ext>
      </extLst>
    </bk>
    <bk>
      <extLst>
        <ext uri="{3e2802c4-a4d2-4d8b-9148-e3be6c30e623}">
          <xlrd:rvb i="1169"/>
        </ext>
      </extLst>
    </bk>
    <bk>
      <extLst>
        <ext uri="{3e2802c4-a4d2-4d8b-9148-e3be6c30e623}">
          <xlrd:rvb i="1170"/>
        </ext>
      </extLst>
    </bk>
    <bk>
      <extLst>
        <ext uri="{3e2802c4-a4d2-4d8b-9148-e3be6c30e623}">
          <xlrd:rvb i="1171"/>
        </ext>
      </extLst>
    </bk>
    <bk>
      <extLst>
        <ext uri="{3e2802c4-a4d2-4d8b-9148-e3be6c30e623}">
          <xlrd:rvb i="1172"/>
        </ext>
      </extLst>
    </bk>
    <bk>
      <extLst>
        <ext uri="{3e2802c4-a4d2-4d8b-9148-e3be6c30e623}">
          <xlrd:rvb i="1173"/>
        </ext>
      </extLst>
    </bk>
    <bk>
      <extLst>
        <ext uri="{3e2802c4-a4d2-4d8b-9148-e3be6c30e623}">
          <xlrd:rvb i="1174"/>
        </ext>
      </extLst>
    </bk>
    <bk>
      <extLst>
        <ext uri="{3e2802c4-a4d2-4d8b-9148-e3be6c30e623}">
          <xlrd:rvb i="1175"/>
        </ext>
      </extLst>
    </bk>
    <bk>
      <extLst>
        <ext uri="{3e2802c4-a4d2-4d8b-9148-e3be6c30e623}">
          <xlrd:rvb i="1176"/>
        </ext>
      </extLst>
    </bk>
    <bk>
      <extLst>
        <ext uri="{3e2802c4-a4d2-4d8b-9148-e3be6c30e623}">
          <xlrd:rvb i="1177"/>
        </ext>
      </extLst>
    </bk>
    <bk>
      <extLst>
        <ext uri="{3e2802c4-a4d2-4d8b-9148-e3be6c30e623}">
          <xlrd:rvb i="1178"/>
        </ext>
      </extLst>
    </bk>
    <bk>
      <extLst>
        <ext uri="{3e2802c4-a4d2-4d8b-9148-e3be6c30e623}">
          <xlrd:rvb i="1179"/>
        </ext>
      </extLst>
    </bk>
    <bk>
      <extLst>
        <ext uri="{3e2802c4-a4d2-4d8b-9148-e3be6c30e623}">
          <xlrd:rvb i="1180"/>
        </ext>
      </extLst>
    </bk>
    <bk>
      <extLst>
        <ext uri="{3e2802c4-a4d2-4d8b-9148-e3be6c30e623}">
          <xlrd:rvb i="1181"/>
        </ext>
      </extLst>
    </bk>
    <bk>
      <extLst>
        <ext uri="{3e2802c4-a4d2-4d8b-9148-e3be6c30e623}">
          <xlrd:rvb i="1182"/>
        </ext>
      </extLst>
    </bk>
    <bk>
      <extLst>
        <ext uri="{3e2802c4-a4d2-4d8b-9148-e3be6c30e623}">
          <xlrd:rvb i="1183"/>
        </ext>
      </extLst>
    </bk>
    <bk>
      <extLst>
        <ext uri="{3e2802c4-a4d2-4d8b-9148-e3be6c30e623}">
          <xlrd:rvb i="1184"/>
        </ext>
      </extLst>
    </bk>
    <bk>
      <extLst>
        <ext uri="{3e2802c4-a4d2-4d8b-9148-e3be6c30e623}">
          <xlrd:rvb i="1185"/>
        </ext>
      </extLst>
    </bk>
    <bk>
      <extLst>
        <ext uri="{3e2802c4-a4d2-4d8b-9148-e3be6c30e623}">
          <xlrd:rvb i="1186"/>
        </ext>
      </extLst>
    </bk>
    <bk>
      <extLst>
        <ext uri="{3e2802c4-a4d2-4d8b-9148-e3be6c30e623}">
          <xlrd:rvb i="1187"/>
        </ext>
      </extLst>
    </bk>
    <bk>
      <extLst>
        <ext uri="{3e2802c4-a4d2-4d8b-9148-e3be6c30e623}">
          <xlrd:rvb i="1188"/>
        </ext>
      </extLst>
    </bk>
    <bk>
      <extLst>
        <ext uri="{3e2802c4-a4d2-4d8b-9148-e3be6c30e623}">
          <xlrd:rvb i="1189"/>
        </ext>
      </extLst>
    </bk>
    <bk>
      <extLst>
        <ext uri="{3e2802c4-a4d2-4d8b-9148-e3be6c30e623}">
          <xlrd:rvb i="1190"/>
        </ext>
      </extLst>
    </bk>
    <bk>
      <extLst>
        <ext uri="{3e2802c4-a4d2-4d8b-9148-e3be6c30e623}">
          <xlrd:rvb i="1191"/>
        </ext>
      </extLst>
    </bk>
    <bk>
      <extLst>
        <ext uri="{3e2802c4-a4d2-4d8b-9148-e3be6c30e623}">
          <xlrd:rvb i="1192"/>
        </ext>
      </extLst>
    </bk>
    <bk>
      <extLst>
        <ext uri="{3e2802c4-a4d2-4d8b-9148-e3be6c30e623}">
          <xlrd:rvb i="1193"/>
        </ext>
      </extLst>
    </bk>
    <bk>
      <extLst>
        <ext uri="{3e2802c4-a4d2-4d8b-9148-e3be6c30e623}">
          <xlrd:rvb i="1194"/>
        </ext>
      </extLst>
    </bk>
    <bk>
      <extLst>
        <ext uri="{3e2802c4-a4d2-4d8b-9148-e3be6c30e623}">
          <xlrd:rvb i="1195"/>
        </ext>
      </extLst>
    </bk>
    <bk>
      <extLst>
        <ext uri="{3e2802c4-a4d2-4d8b-9148-e3be6c30e623}">
          <xlrd:rvb i="1196"/>
        </ext>
      </extLst>
    </bk>
    <bk>
      <extLst>
        <ext uri="{3e2802c4-a4d2-4d8b-9148-e3be6c30e623}">
          <xlrd:rvb i="1197"/>
        </ext>
      </extLst>
    </bk>
    <bk>
      <extLst>
        <ext uri="{3e2802c4-a4d2-4d8b-9148-e3be6c30e623}">
          <xlrd:rvb i="1198"/>
        </ext>
      </extLst>
    </bk>
    <bk>
      <extLst>
        <ext uri="{3e2802c4-a4d2-4d8b-9148-e3be6c30e623}">
          <xlrd:rvb i="1199"/>
        </ext>
      </extLst>
    </bk>
    <bk>
      <extLst>
        <ext uri="{3e2802c4-a4d2-4d8b-9148-e3be6c30e623}">
          <xlrd:rvb i="1200"/>
        </ext>
      </extLst>
    </bk>
    <bk>
      <extLst>
        <ext uri="{3e2802c4-a4d2-4d8b-9148-e3be6c30e623}">
          <xlrd:rvb i="1201"/>
        </ext>
      </extLst>
    </bk>
    <bk>
      <extLst>
        <ext uri="{3e2802c4-a4d2-4d8b-9148-e3be6c30e623}">
          <xlrd:rvb i="1202"/>
        </ext>
      </extLst>
    </bk>
    <bk>
      <extLst>
        <ext uri="{3e2802c4-a4d2-4d8b-9148-e3be6c30e623}">
          <xlrd:rvb i="1203"/>
        </ext>
      </extLst>
    </bk>
    <bk>
      <extLst>
        <ext uri="{3e2802c4-a4d2-4d8b-9148-e3be6c30e623}">
          <xlrd:rvb i="1204"/>
        </ext>
      </extLst>
    </bk>
    <bk>
      <extLst>
        <ext uri="{3e2802c4-a4d2-4d8b-9148-e3be6c30e623}">
          <xlrd:rvb i="1205"/>
        </ext>
      </extLst>
    </bk>
    <bk>
      <extLst>
        <ext uri="{3e2802c4-a4d2-4d8b-9148-e3be6c30e623}">
          <xlrd:rvb i="1206"/>
        </ext>
      </extLst>
    </bk>
    <bk>
      <extLst>
        <ext uri="{3e2802c4-a4d2-4d8b-9148-e3be6c30e623}">
          <xlrd:rvb i="1207"/>
        </ext>
      </extLst>
    </bk>
    <bk>
      <extLst>
        <ext uri="{3e2802c4-a4d2-4d8b-9148-e3be6c30e623}">
          <xlrd:rvb i="1208"/>
        </ext>
      </extLst>
    </bk>
    <bk>
      <extLst>
        <ext uri="{3e2802c4-a4d2-4d8b-9148-e3be6c30e623}">
          <xlrd:rvb i="1209"/>
        </ext>
      </extLst>
    </bk>
    <bk>
      <extLst>
        <ext uri="{3e2802c4-a4d2-4d8b-9148-e3be6c30e623}">
          <xlrd:rvb i="1210"/>
        </ext>
      </extLst>
    </bk>
    <bk>
      <extLst>
        <ext uri="{3e2802c4-a4d2-4d8b-9148-e3be6c30e623}">
          <xlrd:rvb i="1211"/>
        </ext>
      </extLst>
    </bk>
    <bk>
      <extLst>
        <ext uri="{3e2802c4-a4d2-4d8b-9148-e3be6c30e623}">
          <xlrd:rvb i="1212"/>
        </ext>
      </extLst>
    </bk>
    <bk>
      <extLst>
        <ext uri="{3e2802c4-a4d2-4d8b-9148-e3be6c30e623}">
          <xlrd:rvb i="1213"/>
        </ext>
      </extLst>
    </bk>
    <bk>
      <extLst>
        <ext uri="{3e2802c4-a4d2-4d8b-9148-e3be6c30e623}">
          <xlrd:rvb i="1214"/>
        </ext>
      </extLst>
    </bk>
    <bk>
      <extLst>
        <ext uri="{3e2802c4-a4d2-4d8b-9148-e3be6c30e623}">
          <xlrd:rvb i="1215"/>
        </ext>
      </extLst>
    </bk>
    <bk>
      <extLst>
        <ext uri="{3e2802c4-a4d2-4d8b-9148-e3be6c30e623}">
          <xlrd:rvb i="1216"/>
        </ext>
      </extLst>
    </bk>
    <bk>
      <extLst>
        <ext uri="{3e2802c4-a4d2-4d8b-9148-e3be6c30e623}">
          <xlrd:rvb i="1217"/>
        </ext>
      </extLst>
    </bk>
    <bk>
      <extLst>
        <ext uri="{3e2802c4-a4d2-4d8b-9148-e3be6c30e623}">
          <xlrd:rvb i="1218"/>
        </ext>
      </extLst>
    </bk>
    <bk>
      <extLst>
        <ext uri="{3e2802c4-a4d2-4d8b-9148-e3be6c30e623}">
          <xlrd:rvb i="1219"/>
        </ext>
      </extLst>
    </bk>
    <bk>
      <extLst>
        <ext uri="{3e2802c4-a4d2-4d8b-9148-e3be6c30e623}">
          <xlrd:rvb i="1220"/>
        </ext>
      </extLst>
    </bk>
    <bk>
      <extLst>
        <ext uri="{3e2802c4-a4d2-4d8b-9148-e3be6c30e623}">
          <xlrd:rvb i="1221"/>
        </ext>
      </extLst>
    </bk>
    <bk>
      <extLst>
        <ext uri="{3e2802c4-a4d2-4d8b-9148-e3be6c30e623}">
          <xlrd:rvb i="1222"/>
        </ext>
      </extLst>
    </bk>
    <bk>
      <extLst>
        <ext uri="{3e2802c4-a4d2-4d8b-9148-e3be6c30e623}">
          <xlrd:rvb i="1223"/>
        </ext>
      </extLst>
    </bk>
    <bk>
      <extLst>
        <ext uri="{3e2802c4-a4d2-4d8b-9148-e3be6c30e623}">
          <xlrd:rvb i="1224"/>
        </ext>
      </extLst>
    </bk>
    <bk>
      <extLst>
        <ext uri="{3e2802c4-a4d2-4d8b-9148-e3be6c30e623}">
          <xlrd:rvb i="1225"/>
        </ext>
      </extLst>
    </bk>
    <bk>
      <extLst>
        <ext uri="{3e2802c4-a4d2-4d8b-9148-e3be6c30e623}">
          <xlrd:rvb i="1226"/>
        </ext>
      </extLst>
    </bk>
    <bk>
      <extLst>
        <ext uri="{3e2802c4-a4d2-4d8b-9148-e3be6c30e623}">
          <xlrd:rvb i="1227"/>
        </ext>
      </extLst>
    </bk>
    <bk>
      <extLst>
        <ext uri="{3e2802c4-a4d2-4d8b-9148-e3be6c30e623}">
          <xlrd:rvb i="1228"/>
        </ext>
      </extLst>
    </bk>
    <bk>
      <extLst>
        <ext uri="{3e2802c4-a4d2-4d8b-9148-e3be6c30e623}">
          <xlrd:rvb i="1229"/>
        </ext>
      </extLst>
    </bk>
    <bk>
      <extLst>
        <ext uri="{3e2802c4-a4d2-4d8b-9148-e3be6c30e623}">
          <xlrd:rvb i="1230"/>
        </ext>
      </extLst>
    </bk>
    <bk>
      <extLst>
        <ext uri="{3e2802c4-a4d2-4d8b-9148-e3be6c30e623}">
          <xlrd:rvb i="1231"/>
        </ext>
      </extLst>
    </bk>
    <bk>
      <extLst>
        <ext uri="{3e2802c4-a4d2-4d8b-9148-e3be6c30e623}">
          <xlrd:rvb i="1232"/>
        </ext>
      </extLst>
    </bk>
    <bk>
      <extLst>
        <ext uri="{3e2802c4-a4d2-4d8b-9148-e3be6c30e623}">
          <xlrd:rvb i="1233"/>
        </ext>
      </extLst>
    </bk>
    <bk>
      <extLst>
        <ext uri="{3e2802c4-a4d2-4d8b-9148-e3be6c30e623}">
          <xlrd:rvb i="1234"/>
        </ext>
      </extLst>
    </bk>
    <bk>
      <extLst>
        <ext uri="{3e2802c4-a4d2-4d8b-9148-e3be6c30e623}">
          <xlrd:rvb i="1235"/>
        </ext>
      </extLst>
    </bk>
    <bk>
      <extLst>
        <ext uri="{3e2802c4-a4d2-4d8b-9148-e3be6c30e623}">
          <xlrd:rvb i="1236"/>
        </ext>
      </extLst>
    </bk>
    <bk>
      <extLst>
        <ext uri="{3e2802c4-a4d2-4d8b-9148-e3be6c30e623}">
          <xlrd:rvb i="1237"/>
        </ext>
      </extLst>
    </bk>
    <bk>
      <extLst>
        <ext uri="{3e2802c4-a4d2-4d8b-9148-e3be6c30e623}">
          <xlrd:rvb i="1238"/>
        </ext>
      </extLst>
    </bk>
    <bk>
      <extLst>
        <ext uri="{3e2802c4-a4d2-4d8b-9148-e3be6c30e623}">
          <xlrd:rvb i="1239"/>
        </ext>
      </extLst>
    </bk>
    <bk>
      <extLst>
        <ext uri="{3e2802c4-a4d2-4d8b-9148-e3be6c30e623}">
          <xlrd:rvb i="1240"/>
        </ext>
      </extLst>
    </bk>
    <bk>
      <extLst>
        <ext uri="{3e2802c4-a4d2-4d8b-9148-e3be6c30e623}">
          <xlrd:rvb i="1241"/>
        </ext>
      </extLst>
    </bk>
    <bk>
      <extLst>
        <ext uri="{3e2802c4-a4d2-4d8b-9148-e3be6c30e623}">
          <xlrd:rvb i="1242"/>
        </ext>
      </extLst>
    </bk>
    <bk>
      <extLst>
        <ext uri="{3e2802c4-a4d2-4d8b-9148-e3be6c30e623}">
          <xlrd:rvb i="1243"/>
        </ext>
      </extLst>
    </bk>
    <bk>
      <extLst>
        <ext uri="{3e2802c4-a4d2-4d8b-9148-e3be6c30e623}">
          <xlrd:rvb i="1244"/>
        </ext>
      </extLst>
    </bk>
    <bk>
      <extLst>
        <ext uri="{3e2802c4-a4d2-4d8b-9148-e3be6c30e623}">
          <xlrd:rvb i="1245"/>
        </ext>
      </extLst>
    </bk>
    <bk>
      <extLst>
        <ext uri="{3e2802c4-a4d2-4d8b-9148-e3be6c30e623}">
          <xlrd:rvb i="1246"/>
        </ext>
      </extLst>
    </bk>
    <bk>
      <extLst>
        <ext uri="{3e2802c4-a4d2-4d8b-9148-e3be6c30e623}">
          <xlrd:rvb i="1247"/>
        </ext>
      </extLst>
    </bk>
    <bk>
      <extLst>
        <ext uri="{3e2802c4-a4d2-4d8b-9148-e3be6c30e623}">
          <xlrd:rvb i="1248"/>
        </ext>
      </extLst>
    </bk>
    <bk>
      <extLst>
        <ext uri="{3e2802c4-a4d2-4d8b-9148-e3be6c30e623}">
          <xlrd:rvb i="1249"/>
        </ext>
      </extLst>
    </bk>
    <bk>
      <extLst>
        <ext uri="{3e2802c4-a4d2-4d8b-9148-e3be6c30e623}">
          <xlrd:rvb i="1250"/>
        </ext>
      </extLst>
    </bk>
    <bk>
      <extLst>
        <ext uri="{3e2802c4-a4d2-4d8b-9148-e3be6c30e623}">
          <xlrd:rvb i="1251"/>
        </ext>
      </extLst>
    </bk>
    <bk>
      <extLst>
        <ext uri="{3e2802c4-a4d2-4d8b-9148-e3be6c30e623}">
          <xlrd:rvb i="1252"/>
        </ext>
      </extLst>
    </bk>
    <bk>
      <extLst>
        <ext uri="{3e2802c4-a4d2-4d8b-9148-e3be6c30e623}">
          <xlrd:rvb i="1253"/>
        </ext>
      </extLst>
    </bk>
    <bk>
      <extLst>
        <ext uri="{3e2802c4-a4d2-4d8b-9148-e3be6c30e623}">
          <xlrd:rvb i="1254"/>
        </ext>
      </extLst>
    </bk>
    <bk>
      <extLst>
        <ext uri="{3e2802c4-a4d2-4d8b-9148-e3be6c30e623}">
          <xlrd:rvb i="1255"/>
        </ext>
      </extLst>
    </bk>
    <bk>
      <extLst>
        <ext uri="{3e2802c4-a4d2-4d8b-9148-e3be6c30e623}">
          <xlrd:rvb i="1256"/>
        </ext>
      </extLst>
    </bk>
    <bk>
      <extLst>
        <ext uri="{3e2802c4-a4d2-4d8b-9148-e3be6c30e623}">
          <xlrd:rvb i="1257"/>
        </ext>
      </extLst>
    </bk>
    <bk>
      <extLst>
        <ext uri="{3e2802c4-a4d2-4d8b-9148-e3be6c30e623}">
          <xlrd:rvb i="1258"/>
        </ext>
      </extLst>
    </bk>
    <bk>
      <extLst>
        <ext uri="{3e2802c4-a4d2-4d8b-9148-e3be6c30e623}">
          <xlrd:rvb i="1259"/>
        </ext>
      </extLst>
    </bk>
    <bk>
      <extLst>
        <ext uri="{3e2802c4-a4d2-4d8b-9148-e3be6c30e623}">
          <xlrd:rvb i="1260"/>
        </ext>
      </extLst>
    </bk>
    <bk>
      <extLst>
        <ext uri="{3e2802c4-a4d2-4d8b-9148-e3be6c30e623}">
          <xlrd:rvb i="1261"/>
        </ext>
      </extLst>
    </bk>
    <bk>
      <extLst>
        <ext uri="{3e2802c4-a4d2-4d8b-9148-e3be6c30e623}">
          <xlrd:rvb i="1262"/>
        </ext>
      </extLst>
    </bk>
    <bk>
      <extLst>
        <ext uri="{3e2802c4-a4d2-4d8b-9148-e3be6c30e623}">
          <xlrd:rvb i="1263"/>
        </ext>
      </extLst>
    </bk>
    <bk>
      <extLst>
        <ext uri="{3e2802c4-a4d2-4d8b-9148-e3be6c30e623}">
          <xlrd:rvb i="1264"/>
        </ext>
      </extLst>
    </bk>
    <bk>
      <extLst>
        <ext uri="{3e2802c4-a4d2-4d8b-9148-e3be6c30e623}">
          <xlrd:rvb i="1265"/>
        </ext>
      </extLst>
    </bk>
    <bk>
      <extLst>
        <ext uri="{3e2802c4-a4d2-4d8b-9148-e3be6c30e623}">
          <xlrd:rvb i="1266"/>
        </ext>
      </extLst>
    </bk>
    <bk>
      <extLst>
        <ext uri="{3e2802c4-a4d2-4d8b-9148-e3be6c30e623}">
          <xlrd:rvb i="1267"/>
        </ext>
      </extLst>
    </bk>
    <bk>
      <extLst>
        <ext uri="{3e2802c4-a4d2-4d8b-9148-e3be6c30e623}">
          <xlrd:rvb i="1268"/>
        </ext>
      </extLst>
    </bk>
    <bk>
      <extLst>
        <ext uri="{3e2802c4-a4d2-4d8b-9148-e3be6c30e623}">
          <xlrd:rvb i="1269"/>
        </ext>
      </extLst>
    </bk>
    <bk>
      <extLst>
        <ext uri="{3e2802c4-a4d2-4d8b-9148-e3be6c30e623}">
          <xlrd:rvb i="1270"/>
        </ext>
      </extLst>
    </bk>
    <bk>
      <extLst>
        <ext uri="{3e2802c4-a4d2-4d8b-9148-e3be6c30e623}">
          <xlrd:rvb i="1271"/>
        </ext>
      </extLst>
    </bk>
    <bk>
      <extLst>
        <ext uri="{3e2802c4-a4d2-4d8b-9148-e3be6c30e623}">
          <xlrd:rvb i="1272"/>
        </ext>
      </extLst>
    </bk>
    <bk>
      <extLst>
        <ext uri="{3e2802c4-a4d2-4d8b-9148-e3be6c30e623}">
          <xlrd:rvb i="1273"/>
        </ext>
      </extLst>
    </bk>
    <bk>
      <extLst>
        <ext uri="{3e2802c4-a4d2-4d8b-9148-e3be6c30e623}">
          <xlrd:rvb i="1274"/>
        </ext>
      </extLst>
    </bk>
    <bk>
      <extLst>
        <ext uri="{3e2802c4-a4d2-4d8b-9148-e3be6c30e623}">
          <xlrd:rvb i="1275"/>
        </ext>
      </extLst>
    </bk>
    <bk>
      <extLst>
        <ext uri="{3e2802c4-a4d2-4d8b-9148-e3be6c30e623}">
          <xlrd:rvb i="1276"/>
        </ext>
      </extLst>
    </bk>
    <bk>
      <extLst>
        <ext uri="{3e2802c4-a4d2-4d8b-9148-e3be6c30e623}">
          <xlrd:rvb i="1277"/>
        </ext>
      </extLst>
    </bk>
    <bk>
      <extLst>
        <ext uri="{3e2802c4-a4d2-4d8b-9148-e3be6c30e623}">
          <xlrd:rvb i="1278"/>
        </ext>
      </extLst>
    </bk>
    <bk>
      <extLst>
        <ext uri="{3e2802c4-a4d2-4d8b-9148-e3be6c30e623}">
          <xlrd:rvb i="1279"/>
        </ext>
      </extLst>
    </bk>
    <bk>
      <extLst>
        <ext uri="{3e2802c4-a4d2-4d8b-9148-e3be6c30e623}">
          <xlrd:rvb i="1280"/>
        </ext>
      </extLst>
    </bk>
    <bk>
      <extLst>
        <ext uri="{3e2802c4-a4d2-4d8b-9148-e3be6c30e623}">
          <xlrd:rvb i="1281"/>
        </ext>
      </extLst>
    </bk>
    <bk>
      <extLst>
        <ext uri="{3e2802c4-a4d2-4d8b-9148-e3be6c30e623}">
          <xlrd:rvb i="1282"/>
        </ext>
      </extLst>
    </bk>
    <bk>
      <extLst>
        <ext uri="{3e2802c4-a4d2-4d8b-9148-e3be6c30e623}">
          <xlrd:rvb i="1283"/>
        </ext>
      </extLst>
    </bk>
    <bk>
      <extLst>
        <ext uri="{3e2802c4-a4d2-4d8b-9148-e3be6c30e623}">
          <xlrd:rvb i="1284"/>
        </ext>
      </extLst>
    </bk>
    <bk>
      <extLst>
        <ext uri="{3e2802c4-a4d2-4d8b-9148-e3be6c30e623}">
          <xlrd:rvb i="1285"/>
        </ext>
      </extLst>
    </bk>
    <bk>
      <extLst>
        <ext uri="{3e2802c4-a4d2-4d8b-9148-e3be6c30e623}">
          <xlrd:rvb i="1286"/>
        </ext>
      </extLst>
    </bk>
    <bk>
      <extLst>
        <ext uri="{3e2802c4-a4d2-4d8b-9148-e3be6c30e623}">
          <xlrd:rvb i="1287"/>
        </ext>
      </extLst>
    </bk>
    <bk>
      <extLst>
        <ext uri="{3e2802c4-a4d2-4d8b-9148-e3be6c30e623}">
          <xlrd:rvb i="1288"/>
        </ext>
      </extLst>
    </bk>
    <bk>
      <extLst>
        <ext uri="{3e2802c4-a4d2-4d8b-9148-e3be6c30e623}">
          <xlrd:rvb i="1289"/>
        </ext>
      </extLst>
    </bk>
    <bk>
      <extLst>
        <ext uri="{3e2802c4-a4d2-4d8b-9148-e3be6c30e623}">
          <xlrd:rvb i="1290"/>
        </ext>
      </extLst>
    </bk>
    <bk>
      <extLst>
        <ext uri="{3e2802c4-a4d2-4d8b-9148-e3be6c30e623}">
          <xlrd:rvb i="1291"/>
        </ext>
      </extLst>
    </bk>
    <bk>
      <extLst>
        <ext uri="{3e2802c4-a4d2-4d8b-9148-e3be6c30e623}">
          <xlrd:rvb i="1292"/>
        </ext>
      </extLst>
    </bk>
    <bk>
      <extLst>
        <ext uri="{3e2802c4-a4d2-4d8b-9148-e3be6c30e623}">
          <xlrd:rvb i="1293"/>
        </ext>
      </extLst>
    </bk>
    <bk>
      <extLst>
        <ext uri="{3e2802c4-a4d2-4d8b-9148-e3be6c30e623}">
          <xlrd:rvb i="1294"/>
        </ext>
      </extLst>
    </bk>
    <bk>
      <extLst>
        <ext uri="{3e2802c4-a4d2-4d8b-9148-e3be6c30e623}">
          <xlrd:rvb i="1295"/>
        </ext>
      </extLst>
    </bk>
    <bk>
      <extLst>
        <ext uri="{3e2802c4-a4d2-4d8b-9148-e3be6c30e623}">
          <xlrd:rvb i="1296"/>
        </ext>
      </extLst>
    </bk>
    <bk>
      <extLst>
        <ext uri="{3e2802c4-a4d2-4d8b-9148-e3be6c30e623}">
          <xlrd:rvb i="1297"/>
        </ext>
      </extLst>
    </bk>
    <bk>
      <extLst>
        <ext uri="{3e2802c4-a4d2-4d8b-9148-e3be6c30e623}">
          <xlrd:rvb i="1298"/>
        </ext>
      </extLst>
    </bk>
    <bk>
      <extLst>
        <ext uri="{3e2802c4-a4d2-4d8b-9148-e3be6c30e623}">
          <xlrd:rvb i="1299"/>
        </ext>
      </extLst>
    </bk>
    <bk>
      <extLst>
        <ext uri="{3e2802c4-a4d2-4d8b-9148-e3be6c30e623}">
          <xlrd:rvb i="1300"/>
        </ext>
      </extLst>
    </bk>
    <bk>
      <extLst>
        <ext uri="{3e2802c4-a4d2-4d8b-9148-e3be6c30e623}">
          <xlrd:rvb i="1301"/>
        </ext>
      </extLst>
    </bk>
    <bk>
      <extLst>
        <ext uri="{3e2802c4-a4d2-4d8b-9148-e3be6c30e623}">
          <xlrd:rvb i="1302"/>
        </ext>
      </extLst>
    </bk>
    <bk>
      <extLst>
        <ext uri="{3e2802c4-a4d2-4d8b-9148-e3be6c30e623}">
          <xlrd:rvb i="1303"/>
        </ext>
      </extLst>
    </bk>
    <bk>
      <extLst>
        <ext uri="{3e2802c4-a4d2-4d8b-9148-e3be6c30e623}">
          <xlrd:rvb i="1304"/>
        </ext>
      </extLst>
    </bk>
    <bk>
      <extLst>
        <ext uri="{3e2802c4-a4d2-4d8b-9148-e3be6c30e623}">
          <xlrd:rvb i="1305"/>
        </ext>
      </extLst>
    </bk>
    <bk>
      <extLst>
        <ext uri="{3e2802c4-a4d2-4d8b-9148-e3be6c30e623}">
          <xlrd:rvb i="1306"/>
        </ext>
      </extLst>
    </bk>
    <bk>
      <extLst>
        <ext uri="{3e2802c4-a4d2-4d8b-9148-e3be6c30e623}">
          <xlrd:rvb i="1307"/>
        </ext>
      </extLst>
    </bk>
    <bk>
      <extLst>
        <ext uri="{3e2802c4-a4d2-4d8b-9148-e3be6c30e623}">
          <xlrd:rvb i="1308"/>
        </ext>
      </extLst>
    </bk>
    <bk>
      <extLst>
        <ext uri="{3e2802c4-a4d2-4d8b-9148-e3be6c30e623}">
          <xlrd:rvb i="1309"/>
        </ext>
      </extLst>
    </bk>
    <bk>
      <extLst>
        <ext uri="{3e2802c4-a4d2-4d8b-9148-e3be6c30e623}">
          <xlrd:rvb i="1310"/>
        </ext>
      </extLst>
    </bk>
    <bk>
      <extLst>
        <ext uri="{3e2802c4-a4d2-4d8b-9148-e3be6c30e623}">
          <xlrd:rvb i="1311"/>
        </ext>
      </extLst>
    </bk>
    <bk>
      <extLst>
        <ext uri="{3e2802c4-a4d2-4d8b-9148-e3be6c30e623}">
          <xlrd:rvb i="1312"/>
        </ext>
      </extLst>
    </bk>
    <bk>
      <extLst>
        <ext uri="{3e2802c4-a4d2-4d8b-9148-e3be6c30e623}">
          <xlrd:rvb i="1313"/>
        </ext>
      </extLst>
    </bk>
    <bk>
      <extLst>
        <ext uri="{3e2802c4-a4d2-4d8b-9148-e3be6c30e623}">
          <xlrd:rvb i="1314"/>
        </ext>
      </extLst>
    </bk>
    <bk>
      <extLst>
        <ext uri="{3e2802c4-a4d2-4d8b-9148-e3be6c30e623}">
          <xlrd:rvb i="1315"/>
        </ext>
      </extLst>
    </bk>
    <bk>
      <extLst>
        <ext uri="{3e2802c4-a4d2-4d8b-9148-e3be6c30e623}">
          <xlrd:rvb i="1316"/>
        </ext>
      </extLst>
    </bk>
    <bk>
      <extLst>
        <ext uri="{3e2802c4-a4d2-4d8b-9148-e3be6c30e623}">
          <xlrd:rvb i="1317"/>
        </ext>
      </extLst>
    </bk>
    <bk>
      <extLst>
        <ext uri="{3e2802c4-a4d2-4d8b-9148-e3be6c30e623}">
          <xlrd:rvb i="1318"/>
        </ext>
      </extLst>
    </bk>
    <bk>
      <extLst>
        <ext uri="{3e2802c4-a4d2-4d8b-9148-e3be6c30e623}">
          <xlrd:rvb i="1319"/>
        </ext>
      </extLst>
    </bk>
    <bk>
      <extLst>
        <ext uri="{3e2802c4-a4d2-4d8b-9148-e3be6c30e623}">
          <xlrd:rvb i="1320"/>
        </ext>
      </extLst>
    </bk>
    <bk>
      <extLst>
        <ext uri="{3e2802c4-a4d2-4d8b-9148-e3be6c30e623}">
          <xlrd:rvb i="1321"/>
        </ext>
      </extLst>
    </bk>
    <bk>
      <extLst>
        <ext uri="{3e2802c4-a4d2-4d8b-9148-e3be6c30e623}">
          <xlrd:rvb i="1322"/>
        </ext>
      </extLst>
    </bk>
    <bk>
      <extLst>
        <ext uri="{3e2802c4-a4d2-4d8b-9148-e3be6c30e623}">
          <xlrd:rvb i="1323"/>
        </ext>
      </extLst>
    </bk>
    <bk>
      <extLst>
        <ext uri="{3e2802c4-a4d2-4d8b-9148-e3be6c30e623}">
          <xlrd:rvb i="1324"/>
        </ext>
      </extLst>
    </bk>
    <bk>
      <extLst>
        <ext uri="{3e2802c4-a4d2-4d8b-9148-e3be6c30e623}">
          <xlrd:rvb i="1325"/>
        </ext>
      </extLst>
    </bk>
    <bk>
      <extLst>
        <ext uri="{3e2802c4-a4d2-4d8b-9148-e3be6c30e623}">
          <xlrd:rvb i="1326"/>
        </ext>
      </extLst>
    </bk>
    <bk>
      <extLst>
        <ext uri="{3e2802c4-a4d2-4d8b-9148-e3be6c30e623}">
          <xlrd:rvb i="1327"/>
        </ext>
      </extLst>
    </bk>
    <bk>
      <extLst>
        <ext uri="{3e2802c4-a4d2-4d8b-9148-e3be6c30e623}">
          <xlrd:rvb i="1328"/>
        </ext>
      </extLst>
    </bk>
    <bk>
      <extLst>
        <ext uri="{3e2802c4-a4d2-4d8b-9148-e3be6c30e623}">
          <xlrd:rvb i="1329"/>
        </ext>
      </extLst>
    </bk>
    <bk>
      <extLst>
        <ext uri="{3e2802c4-a4d2-4d8b-9148-e3be6c30e623}">
          <xlrd:rvb i="1330"/>
        </ext>
      </extLst>
    </bk>
    <bk>
      <extLst>
        <ext uri="{3e2802c4-a4d2-4d8b-9148-e3be6c30e623}">
          <xlrd:rvb i="1331"/>
        </ext>
      </extLst>
    </bk>
    <bk>
      <extLst>
        <ext uri="{3e2802c4-a4d2-4d8b-9148-e3be6c30e623}">
          <xlrd:rvb i="1332"/>
        </ext>
      </extLst>
    </bk>
    <bk>
      <extLst>
        <ext uri="{3e2802c4-a4d2-4d8b-9148-e3be6c30e623}">
          <xlrd:rvb i="1333"/>
        </ext>
      </extLst>
    </bk>
    <bk>
      <extLst>
        <ext uri="{3e2802c4-a4d2-4d8b-9148-e3be6c30e623}">
          <xlrd:rvb i="1334"/>
        </ext>
      </extLst>
    </bk>
    <bk>
      <extLst>
        <ext uri="{3e2802c4-a4d2-4d8b-9148-e3be6c30e623}">
          <xlrd:rvb i="1335"/>
        </ext>
      </extLst>
    </bk>
    <bk>
      <extLst>
        <ext uri="{3e2802c4-a4d2-4d8b-9148-e3be6c30e623}">
          <xlrd:rvb i="1336"/>
        </ext>
      </extLst>
    </bk>
    <bk>
      <extLst>
        <ext uri="{3e2802c4-a4d2-4d8b-9148-e3be6c30e623}">
          <xlrd:rvb i="1337"/>
        </ext>
      </extLst>
    </bk>
    <bk>
      <extLst>
        <ext uri="{3e2802c4-a4d2-4d8b-9148-e3be6c30e623}">
          <xlrd:rvb i="1338"/>
        </ext>
      </extLst>
    </bk>
    <bk>
      <extLst>
        <ext uri="{3e2802c4-a4d2-4d8b-9148-e3be6c30e623}">
          <xlrd:rvb i="1339"/>
        </ext>
      </extLst>
    </bk>
    <bk>
      <extLst>
        <ext uri="{3e2802c4-a4d2-4d8b-9148-e3be6c30e623}">
          <xlrd:rvb i="1340"/>
        </ext>
      </extLst>
    </bk>
    <bk>
      <extLst>
        <ext uri="{3e2802c4-a4d2-4d8b-9148-e3be6c30e623}">
          <xlrd:rvb i="1341"/>
        </ext>
      </extLst>
    </bk>
    <bk>
      <extLst>
        <ext uri="{3e2802c4-a4d2-4d8b-9148-e3be6c30e623}">
          <xlrd:rvb i="1342"/>
        </ext>
      </extLst>
    </bk>
    <bk>
      <extLst>
        <ext uri="{3e2802c4-a4d2-4d8b-9148-e3be6c30e623}">
          <xlrd:rvb i="1343"/>
        </ext>
      </extLst>
    </bk>
    <bk>
      <extLst>
        <ext uri="{3e2802c4-a4d2-4d8b-9148-e3be6c30e623}">
          <xlrd:rvb i="1344"/>
        </ext>
      </extLst>
    </bk>
    <bk>
      <extLst>
        <ext uri="{3e2802c4-a4d2-4d8b-9148-e3be6c30e623}">
          <xlrd:rvb i="1345"/>
        </ext>
      </extLst>
    </bk>
    <bk>
      <extLst>
        <ext uri="{3e2802c4-a4d2-4d8b-9148-e3be6c30e623}">
          <xlrd:rvb i="1346"/>
        </ext>
      </extLst>
    </bk>
    <bk>
      <extLst>
        <ext uri="{3e2802c4-a4d2-4d8b-9148-e3be6c30e623}">
          <xlrd:rvb i="1347"/>
        </ext>
      </extLst>
    </bk>
    <bk>
      <extLst>
        <ext uri="{3e2802c4-a4d2-4d8b-9148-e3be6c30e623}">
          <xlrd:rvb i="1348"/>
        </ext>
      </extLst>
    </bk>
    <bk>
      <extLst>
        <ext uri="{3e2802c4-a4d2-4d8b-9148-e3be6c30e623}">
          <xlrd:rvb i="1349"/>
        </ext>
      </extLst>
    </bk>
    <bk>
      <extLst>
        <ext uri="{3e2802c4-a4d2-4d8b-9148-e3be6c30e623}">
          <xlrd:rvb i="1350"/>
        </ext>
      </extLst>
    </bk>
    <bk>
      <extLst>
        <ext uri="{3e2802c4-a4d2-4d8b-9148-e3be6c30e623}">
          <xlrd:rvb i="1351"/>
        </ext>
      </extLst>
    </bk>
    <bk>
      <extLst>
        <ext uri="{3e2802c4-a4d2-4d8b-9148-e3be6c30e623}">
          <xlrd:rvb i="1352"/>
        </ext>
      </extLst>
    </bk>
    <bk>
      <extLst>
        <ext uri="{3e2802c4-a4d2-4d8b-9148-e3be6c30e623}">
          <xlrd:rvb i="1353"/>
        </ext>
      </extLst>
    </bk>
    <bk>
      <extLst>
        <ext uri="{3e2802c4-a4d2-4d8b-9148-e3be6c30e623}">
          <xlrd:rvb i="1354"/>
        </ext>
      </extLst>
    </bk>
    <bk>
      <extLst>
        <ext uri="{3e2802c4-a4d2-4d8b-9148-e3be6c30e623}">
          <xlrd:rvb i="1355"/>
        </ext>
      </extLst>
    </bk>
    <bk>
      <extLst>
        <ext uri="{3e2802c4-a4d2-4d8b-9148-e3be6c30e623}">
          <xlrd:rvb i="1356"/>
        </ext>
      </extLst>
    </bk>
    <bk>
      <extLst>
        <ext uri="{3e2802c4-a4d2-4d8b-9148-e3be6c30e623}">
          <xlrd:rvb i="1357"/>
        </ext>
      </extLst>
    </bk>
    <bk>
      <extLst>
        <ext uri="{3e2802c4-a4d2-4d8b-9148-e3be6c30e623}">
          <xlrd:rvb i="1358"/>
        </ext>
      </extLst>
    </bk>
    <bk>
      <extLst>
        <ext uri="{3e2802c4-a4d2-4d8b-9148-e3be6c30e623}">
          <xlrd:rvb i="1359"/>
        </ext>
      </extLst>
    </bk>
    <bk>
      <extLst>
        <ext uri="{3e2802c4-a4d2-4d8b-9148-e3be6c30e623}">
          <xlrd:rvb i="1360"/>
        </ext>
      </extLst>
    </bk>
    <bk>
      <extLst>
        <ext uri="{3e2802c4-a4d2-4d8b-9148-e3be6c30e623}">
          <xlrd:rvb i="1361"/>
        </ext>
      </extLst>
    </bk>
    <bk>
      <extLst>
        <ext uri="{3e2802c4-a4d2-4d8b-9148-e3be6c30e623}">
          <xlrd:rvb i="1362"/>
        </ext>
      </extLst>
    </bk>
    <bk>
      <extLst>
        <ext uri="{3e2802c4-a4d2-4d8b-9148-e3be6c30e623}">
          <xlrd:rvb i="1363"/>
        </ext>
      </extLst>
    </bk>
    <bk>
      <extLst>
        <ext uri="{3e2802c4-a4d2-4d8b-9148-e3be6c30e623}">
          <xlrd:rvb i="1364"/>
        </ext>
      </extLst>
    </bk>
    <bk>
      <extLst>
        <ext uri="{3e2802c4-a4d2-4d8b-9148-e3be6c30e623}">
          <xlrd:rvb i="1365"/>
        </ext>
      </extLst>
    </bk>
    <bk>
      <extLst>
        <ext uri="{3e2802c4-a4d2-4d8b-9148-e3be6c30e623}">
          <xlrd:rvb i="1366"/>
        </ext>
      </extLst>
    </bk>
    <bk>
      <extLst>
        <ext uri="{3e2802c4-a4d2-4d8b-9148-e3be6c30e623}">
          <xlrd:rvb i="1367"/>
        </ext>
      </extLst>
    </bk>
    <bk>
      <extLst>
        <ext uri="{3e2802c4-a4d2-4d8b-9148-e3be6c30e623}">
          <xlrd:rvb i="1368"/>
        </ext>
      </extLst>
    </bk>
    <bk>
      <extLst>
        <ext uri="{3e2802c4-a4d2-4d8b-9148-e3be6c30e623}">
          <xlrd:rvb i="1369"/>
        </ext>
      </extLst>
    </bk>
    <bk>
      <extLst>
        <ext uri="{3e2802c4-a4d2-4d8b-9148-e3be6c30e623}">
          <xlrd:rvb i="1370"/>
        </ext>
      </extLst>
    </bk>
    <bk>
      <extLst>
        <ext uri="{3e2802c4-a4d2-4d8b-9148-e3be6c30e623}">
          <xlrd:rvb i="1371"/>
        </ext>
      </extLst>
    </bk>
    <bk>
      <extLst>
        <ext uri="{3e2802c4-a4d2-4d8b-9148-e3be6c30e623}">
          <xlrd:rvb i="1372"/>
        </ext>
      </extLst>
    </bk>
    <bk>
      <extLst>
        <ext uri="{3e2802c4-a4d2-4d8b-9148-e3be6c30e623}">
          <xlrd:rvb i="1373"/>
        </ext>
      </extLst>
    </bk>
    <bk>
      <extLst>
        <ext uri="{3e2802c4-a4d2-4d8b-9148-e3be6c30e623}">
          <xlrd:rvb i="1374"/>
        </ext>
      </extLst>
    </bk>
    <bk>
      <extLst>
        <ext uri="{3e2802c4-a4d2-4d8b-9148-e3be6c30e623}">
          <xlrd:rvb i="1375"/>
        </ext>
      </extLst>
    </bk>
    <bk>
      <extLst>
        <ext uri="{3e2802c4-a4d2-4d8b-9148-e3be6c30e623}">
          <xlrd:rvb i="1376"/>
        </ext>
      </extLst>
    </bk>
    <bk>
      <extLst>
        <ext uri="{3e2802c4-a4d2-4d8b-9148-e3be6c30e623}">
          <xlrd:rvb i="1377"/>
        </ext>
      </extLst>
    </bk>
    <bk>
      <extLst>
        <ext uri="{3e2802c4-a4d2-4d8b-9148-e3be6c30e623}">
          <xlrd:rvb i="1378"/>
        </ext>
      </extLst>
    </bk>
    <bk>
      <extLst>
        <ext uri="{3e2802c4-a4d2-4d8b-9148-e3be6c30e623}">
          <xlrd:rvb i="1379"/>
        </ext>
      </extLst>
    </bk>
    <bk>
      <extLst>
        <ext uri="{3e2802c4-a4d2-4d8b-9148-e3be6c30e623}">
          <xlrd:rvb i="1380"/>
        </ext>
      </extLst>
    </bk>
    <bk>
      <extLst>
        <ext uri="{3e2802c4-a4d2-4d8b-9148-e3be6c30e623}">
          <xlrd:rvb i="1381"/>
        </ext>
      </extLst>
    </bk>
    <bk>
      <extLst>
        <ext uri="{3e2802c4-a4d2-4d8b-9148-e3be6c30e623}">
          <xlrd:rvb i="1382"/>
        </ext>
      </extLst>
    </bk>
    <bk>
      <extLst>
        <ext uri="{3e2802c4-a4d2-4d8b-9148-e3be6c30e623}">
          <xlrd:rvb i="1383"/>
        </ext>
      </extLst>
    </bk>
    <bk>
      <extLst>
        <ext uri="{3e2802c4-a4d2-4d8b-9148-e3be6c30e623}">
          <xlrd:rvb i="1384"/>
        </ext>
      </extLst>
    </bk>
    <bk>
      <extLst>
        <ext uri="{3e2802c4-a4d2-4d8b-9148-e3be6c30e623}">
          <xlrd:rvb i="1385"/>
        </ext>
      </extLst>
    </bk>
    <bk>
      <extLst>
        <ext uri="{3e2802c4-a4d2-4d8b-9148-e3be6c30e623}">
          <xlrd:rvb i="1386"/>
        </ext>
      </extLst>
    </bk>
    <bk>
      <extLst>
        <ext uri="{3e2802c4-a4d2-4d8b-9148-e3be6c30e623}">
          <xlrd:rvb i="1387"/>
        </ext>
      </extLst>
    </bk>
    <bk>
      <extLst>
        <ext uri="{3e2802c4-a4d2-4d8b-9148-e3be6c30e623}">
          <xlrd:rvb i="1388"/>
        </ext>
      </extLst>
    </bk>
    <bk>
      <extLst>
        <ext uri="{3e2802c4-a4d2-4d8b-9148-e3be6c30e623}">
          <xlrd:rvb i="1389"/>
        </ext>
      </extLst>
    </bk>
    <bk>
      <extLst>
        <ext uri="{3e2802c4-a4d2-4d8b-9148-e3be6c30e623}">
          <xlrd:rvb i="1390"/>
        </ext>
      </extLst>
    </bk>
    <bk>
      <extLst>
        <ext uri="{3e2802c4-a4d2-4d8b-9148-e3be6c30e623}">
          <xlrd:rvb i="1391"/>
        </ext>
      </extLst>
    </bk>
    <bk>
      <extLst>
        <ext uri="{3e2802c4-a4d2-4d8b-9148-e3be6c30e623}">
          <xlrd:rvb i="1392"/>
        </ext>
      </extLst>
    </bk>
    <bk>
      <extLst>
        <ext uri="{3e2802c4-a4d2-4d8b-9148-e3be6c30e623}">
          <xlrd:rvb i="1393"/>
        </ext>
      </extLst>
    </bk>
    <bk>
      <extLst>
        <ext uri="{3e2802c4-a4d2-4d8b-9148-e3be6c30e623}">
          <xlrd:rvb i="1394"/>
        </ext>
      </extLst>
    </bk>
    <bk>
      <extLst>
        <ext uri="{3e2802c4-a4d2-4d8b-9148-e3be6c30e623}">
          <xlrd:rvb i="1395"/>
        </ext>
      </extLst>
    </bk>
    <bk>
      <extLst>
        <ext uri="{3e2802c4-a4d2-4d8b-9148-e3be6c30e623}">
          <xlrd:rvb i="1396"/>
        </ext>
      </extLst>
    </bk>
    <bk>
      <extLst>
        <ext uri="{3e2802c4-a4d2-4d8b-9148-e3be6c30e623}">
          <xlrd:rvb i="1397"/>
        </ext>
      </extLst>
    </bk>
    <bk>
      <extLst>
        <ext uri="{3e2802c4-a4d2-4d8b-9148-e3be6c30e623}">
          <xlrd:rvb i="1398"/>
        </ext>
      </extLst>
    </bk>
    <bk>
      <extLst>
        <ext uri="{3e2802c4-a4d2-4d8b-9148-e3be6c30e623}">
          <xlrd:rvb i="1399"/>
        </ext>
      </extLst>
    </bk>
    <bk>
      <extLst>
        <ext uri="{3e2802c4-a4d2-4d8b-9148-e3be6c30e623}">
          <xlrd:rvb i="1400"/>
        </ext>
      </extLst>
    </bk>
    <bk>
      <extLst>
        <ext uri="{3e2802c4-a4d2-4d8b-9148-e3be6c30e623}">
          <xlrd:rvb i="1401"/>
        </ext>
      </extLst>
    </bk>
    <bk>
      <extLst>
        <ext uri="{3e2802c4-a4d2-4d8b-9148-e3be6c30e623}">
          <xlrd:rvb i="1402"/>
        </ext>
      </extLst>
    </bk>
    <bk>
      <extLst>
        <ext uri="{3e2802c4-a4d2-4d8b-9148-e3be6c30e623}">
          <xlrd:rvb i="1403"/>
        </ext>
      </extLst>
    </bk>
    <bk>
      <extLst>
        <ext uri="{3e2802c4-a4d2-4d8b-9148-e3be6c30e623}">
          <xlrd:rvb i="1404"/>
        </ext>
      </extLst>
    </bk>
    <bk>
      <extLst>
        <ext uri="{3e2802c4-a4d2-4d8b-9148-e3be6c30e623}">
          <xlrd:rvb i="1405"/>
        </ext>
      </extLst>
    </bk>
    <bk>
      <extLst>
        <ext uri="{3e2802c4-a4d2-4d8b-9148-e3be6c30e623}">
          <xlrd:rvb i="1406"/>
        </ext>
      </extLst>
    </bk>
    <bk>
      <extLst>
        <ext uri="{3e2802c4-a4d2-4d8b-9148-e3be6c30e623}">
          <xlrd:rvb i="1407"/>
        </ext>
      </extLst>
    </bk>
    <bk>
      <extLst>
        <ext uri="{3e2802c4-a4d2-4d8b-9148-e3be6c30e623}">
          <xlrd:rvb i="1408"/>
        </ext>
      </extLst>
    </bk>
    <bk>
      <extLst>
        <ext uri="{3e2802c4-a4d2-4d8b-9148-e3be6c30e623}">
          <xlrd:rvb i="1409"/>
        </ext>
      </extLst>
    </bk>
    <bk>
      <extLst>
        <ext uri="{3e2802c4-a4d2-4d8b-9148-e3be6c30e623}">
          <xlrd:rvb i="1410"/>
        </ext>
      </extLst>
    </bk>
    <bk>
      <extLst>
        <ext uri="{3e2802c4-a4d2-4d8b-9148-e3be6c30e623}">
          <xlrd:rvb i="1411"/>
        </ext>
      </extLst>
    </bk>
    <bk>
      <extLst>
        <ext uri="{3e2802c4-a4d2-4d8b-9148-e3be6c30e623}">
          <xlrd:rvb i="1412"/>
        </ext>
      </extLst>
    </bk>
    <bk>
      <extLst>
        <ext uri="{3e2802c4-a4d2-4d8b-9148-e3be6c30e623}">
          <xlrd:rvb i="1413"/>
        </ext>
      </extLst>
    </bk>
    <bk>
      <extLst>
        <ext uri="{3e2802c4-a4d2-4d8b-9148-e3be6c30e623}">
          <xlrd:rvb i="1414"/>
        </ext>
      </extLst>
    </bk>
    <bk>
      <extLst>
        <ext uri="{3e2802c4-a4d2-4d8b-9148-e3be6c30e623}">
          <xlrd:rvb i="1415"/>
        </ext>
      </extLst>
    </bk>
    <bk>
      <extLst>
        <ext uri="{3e2802c4-a4d2-4d8b-9148-e3be6c30e623}">
          <xlrd:rvb i="1416"/>
        </ext>
      </extLst>
    </bk>
    <bk>
      <extLst>
        <ext uri="{3e2802c4-a4d2-4d8b-9148-e3be6c30e623}">
          <xlrd:rvb i="1417"/>
        </ext>
      </extLst>
    </bk>
    <bk>
      <extLst>
        <ext uri="{3e2802c4-a4d2-4d8b-9148-e3be6c30e623}">
          <xlrd:rvb i="1418"/>
        </ext>
      </extLst>
    </bk>
    <bk>
      <extLst>
        <ext uri="{3e2802c4-a4d2-4d8b-9148-e3be6c30e623}">
          <xlrd:rvb i="1419"/>
        </ext>
      </extLst>
    </bk>
    <bk>
      <extLst>
        <ext uri="{3e2802c4-a4d2-4d8b-9148-e3be6c30e623}">
          <xlrd:rvb i="1420"/>
        </ext>
      </extLst>
    </bk>
    <bk>
      <extLst>
        <ext uri="{3e2802c4-a4d2-4d8b-9148-e3be6c30e623}">
          <xlrd:rvb i="1421"/>
        </ext>
      </extLst>
    </bk>
    <bk>
      <extLst>
        <ext uri="{3e2802c4-a4d2-4d8b-9148-e3be6c30e623}">
          <xlrd:rvb i="1422"/>
        </ext>
      </extLst>
    </bk>
    <bk>
      <extLst>
        <ext uri="{3e2802c4-a4d2-4d8b-9148-e3be6c30e623}">
          <xlrd:rvb i="1423"/>
        </ext>
      </extLst>
    </bk>
    <bk>
      <extLst>
        <ext uri="{3e2802c4-a4d2-4d8b-9148-e3be6c30e623}">
          <xlrd:rvb i="1424"/>
        </ext>
      </extLst>
    </bk>
    <bk>
      <extLst>
        <ext uri="{3e2802c4-a4d2-4d8b-9148-e3be6c30e623}">
          <xlrd:rvb i="1425"/>
        </ext>
      </extLst>
    </bk>
    <bk>
      <extLst>
        <ext uri="{3e2802c4-a4d2-4d8b-9148-e3be6c30e623}">
          <xlrd:rvb i="1426"/>
        </ext>
      </extLst>
    </bk>
    <bk>
      <extLst>
        <ext uri="{3e2802c4-a4d2-4d8b-9148-e3be6c30e623}">
          <xlrd:rvb i="1427"/>
        </ext>
      </extLst>
    </bk>
    <bk>
      <extLst>
        <ext uri="{3e2802c4-a4d2-4d8b-9148-e3be6c30e623}">
          <xlrd:rvb i="1428"/>
        </ext>
      </extLst>
    </bk>
    <bk>
      <extLst>
        <ext uri="{3e2802c4-a4d2-4d8b-9148-e3be6c30e623}">
          <xlrd:rvb i="1429"/>
        </ext>
      </extLst>
    </bk>
    <bk>
      <extLst>
        <ext uri="{3e2802c4-a4d2-4d8b-9148-e3be6c30e623}">
          <xlrd:rvb i="1430"/>
        </ext>
      </extLst>
    </bk>
    <bk>
      <extLst>
        <ext uri="{3e2802c4-a4d2-4d8b-9148-e3be6c30e623}">
          <xlrd:rvb i="1431"/>
        </ext>
      </extLst>
    </bk>
    <bk>
      <extLst>
        <ext uri="{3e2802c4-a4d2-4d8b-9148-e3be6c30e623}">
          <xlrd:rvb i="1432"/>
        </ext>
      </extLst>
    </bk>
    <bk>
      <extLst>
        <ext uri="{3e2802c4-a4d2-4d8b-9148-e3be6c30e623}">
          <xlrd:rvb i="1433"/>
        </ext>
      </extLst>
    </bk>
    <bk>
      <extLst>
        <ext uri="{3e2802c4-a4d2-4d8b-9148-e3be6c30e623}">
          <xlrd:rvb i="1434"/>
        </ext>
      </extLst>
    </bk>
    <bk>
      <extLst>
        <ext uri="{3e2802c4-a4d2-4d8b-9148-e3be6c30e623}">
          <xlrd:rvb i="1435"/>
        </ext>
      </extLst>
    </bk>
    <bk>
      <extLst>
        <ext uri="{3e2802c4-a4d2-4d8b-9148-e3be6c30e623}">
          <xlrd:rvb i="1436"/>
        </ext>
      </extLst>
    </bk>
    <bk>
      <extLst>
        <ext uri="{3e2802c4-a4d2-4d8b-9148-e3be6c30e623}">
          <xlrd:rvb i="1437"/>
        </ext>
      </extLst>
    </bk>
    <bk>
      <extLst>
        <ext uri="{3e2802c4-a4d2-4d8b-9148-e3be6c30e623}">
          <xlrd:rvb i="1438"/>
        </ext>
      </extLst>
    </bk>
    <bk>
      <extLst>
        <ext uri="{3e2802c4-a4d2-4d8b-9148-e3be6c30e623}">
          <xlrd:rvb i="1439"/>
        </ext>
      </extLst>
    </bk>
    <bk>
      <extLst>
        <ext uri="{3e2802c4-a4d2-4d8b-9148-e3be6c30e623}">
          <xlrd:rvb i="1440"/>
        </ext>
      </extLst>
    </bk>
    <bk>
      <extLst>
        <ext uri="{3e2802c4-a4d2-4d8b-9148-e3be6c30e623}">
          <xlrd:rvb i="1441"/>
        </ext>
      </extLst>
    </bk>
    <bk>
      <extLst>
        <ext uri="{3e2802c4-a4d2-4d8b-9148-e3be6c30e623}">
          <xlrd:rvb i="1442"/>
        </ext>
      </extLst>
    </bk>
    <bk>
      <extLst>
        <ext uri="{3e2802c4-a4d2-4d8b-9148-e3be6c30e623}">
          <xlrd:rvb i="1443"/>
        </ext>
      </extLst>
    </bk>
    <bk>
      <extLst>
        <ext uri="{3e2802c4-a4d2-4d8b-9148-e3be6c30e623}">
          <xlrd:rvb i="1444"/>
        </ext>
      </extLst>
    </bk>
    <bk>
      <extLst>
        <ext uri="{3e2802c4-a4d2-4d8b-9148-e3be6c30e623}">
          <xlrd:rvb i="1445"/>
        </ext>
      </extLst>
    </bk>
    <bk>
      <extLst>
        <ext uri="{3e2802c4-a4d2-4d8b-9148-e3be6c30e623}">
          <xlrd:rvb i="1446"/>
        </ext>
      </extLst>
    </bk>
    <bk>
      <extLst>
        <ext uri="{3e2802c4-a4d2-4d8b-9148-e3be6c30e623}">
          <xlrd:rvb i="1447"/>
        </ext>
      </extLst>
    </bk>
    <bk>
      <extLst>
        <ext uri="{3e2802c4-a4d2-4d8b-9148-e3be6c30e623}">
          <xlrd:rvb i="1448"/>
        </ext>
      </extLst>
    </bk>
    <bk>
      <extLst>
        <ext uri="{3e2802c4-a4d2-4d8b-9148-e3be6c30e623}">
          <xlrd:rvb i="1449"/>
        </ext>
      </extLst>
    </bk>
    <bk>
      <extLst>
        <ext uri="{3e2802c4-a4d2-4d8b-9148-e3be6c30e623}">
          <xlrd:rvb i="1450"/>
        </ext>
      </extLst>
    </bk>
    <bk>
      <extLst>
        <ext uri="{3e2802c4-a4d2-4d8b-9148-e3be6c30e623}">
          <xlrd:rvb i="1451"/>
        </ext>
      </extLst>
    </bk>
    <bk>
      <extLst>
        <ext uri="{3e2802c4-a4d2-4d8b-9148-e3be6c30e623}">
          <xlrd:rvb i="1452"/>
        </ext>
      </extLst>
    </bk>
    <bk>
      <extLst>
        <ext uri="{3e2802c4-a4d2-4d8b-9148-e3be6c30e623}">
          <xlrd:rvb i="1453"/>
        </ext>
      </extLst>
    </bk>
    <bk>
      <extLst>
        <ext uri="{3e2802c4-a4d2-4d8b-9148-e3be6c30e623}">
          <xlrd:rvb i="1454"/>
        </ext>
      </extLst>
    </bk>
    <bk>
      <extLst>
        <ext uri="{3e2802c4-a4d2-4d8b-9148-e3be6c30e623}">
          <xlrd:rvb i="1455"/>
        </ext>
      </extLst>
    </bk>
    <bk>
      <extLst>
        <ext uri="{3e2802c4-a4d2-4d8b-9148-e3be6c30e623}">
          <xlrd:rvb i="1456"/>
        </ext>
      </extLst>
    </bk>
    <bk>
      <extLst>
        <ext uri="{3e2802c4-a4d2-4d8b-9148-e3be6c30e623}">
          <xlrd:rvb i="1457"/>
        </ext>
      </extLst>
    </bk>
    <bk>
      <extLst>
        <ext uri="{3e2802c4-a4d2-4d8b-9148-e3be6c30e623}">
          <xlrd:rvb i="1458"/>
        </ext>
      </extLst>
    </bk>
    <bk>
      <extLst>
        <ext uri="{3e2802c4-a4d2-4d8b-9148-e3be6c30e623}">
          <xlrd:rvb i="1459"/>
        </ext>
      </extLst>
    </bk>
    <bk>
      <extLst>
        <ext uri="{3e2802c4-a4d2-4d8b-9148-e3be6c30e623}">
          <xlrd:rvb i="1460"/>
        </ext>
      </extLst>
    </bk>
    <bk>
      <extLst>
        <ext uri="{3e2802c4-a4d2-4d8b-9148-e3be6c30e623}">
          <xlrd:rvb i="1461"/>
        </ext>
      </extLst>
    </bk>
    <bk>
      <extLst>
        <ext uri="{3e2802c4-a4d2-4d8b-9148-e3be6c30e623}">
          <xlrd:rvb i="1462"/>
        </ext>
      </extLst>
    </bk>
    <bk>
      <extLst>
        <ext uri="{3e2802c4-a4d2-4d8b-9148-e3be6c30e623}">
          <xlrd:rvb i="1463"/>
        </ext>
      </extLst>
    </bk>
    <bk>
      <extLst>
        <ext uri="{3e2802c4-a4d2-4d8b-9148-e3be6c30e623}">
          <xlrd:rvb i="1464"/>
        </ext>
      </extLst>
    </bk>
    <bk>
      <extLst>
        <ext uri="{3e2802c4-a4d2-4d8b-9148-e3be6c30e623}">
          <xlrd:rvb i="1465"/>
        </ext>
      </extLst>
    </bk>
    <bk>
      <extLst>
        <ext uri="{3e2802c4-a4d2-4d8b-9148-e3be6c30e623}">
          <xlrd:rvb i="1466"/>
        </ext>
      </extLst>
    </bk>
    <bk>
      <extLst>
        <ext uri="{3e2802c4-a4d2-4d8b-9148-e3be6c30e623}">
          <xlrd:rvb i="1467"/>
        </ext>
      </extLst>
    </bk>
    <bk>
      <extLst>
        <ext uri="{3e2802c4-a4d2-4d8b-9148-e3be6c30e623}">
          <xlrd:rvb i="1468"/>
        </ext>
      </extLst>
    </bk>
    <bk>
      <extLst>
        <ext uri="{3e2802c4-a4d2-4d8b-9148-e3be6c30e623}">
          <xlrd:rvb i="1469"/>
        </ext>
      </extLst>
    </bk>
    <bk>
      <extLst>
        <ext uri="{3e2802c4-a4d2-4d8b-9148-e3be6c30e623}">
          <xlrd:rvb i="1470"/>
        </ext>
      </extLst>
    </bk>
    <bk>
      <extLst>
        <ext uri="{3e2802c4-a4d2-4d8b-9148-e3be6c30e623}">
          <xlrd:rvb i="1471"/>
        </ext>
      </extLst>
    </bk>
    <bk>
      <extLst>
        <ext uri="{3e2802c4-a4d2-4d8b-9148-e3be6c30e623}">
          <xlrd:rvb i="1472"/>
        </ext>
      </extLst>
    </bk>
    <bk>
      <extLst>
        <ext uri="{3e2802c4-a4d2-4d8b-9148-e3be6c30e623}">
          <xlrd:rvb i="1473"/>
        </ext>
      </extLst>
    </bk>
    <bk>
      <extLst>
        <ext uri="{3e2802c4-a4d2-4d8b-9148-e3be6c30e623}">
          <xlrd:rvb i="1474"/>
        </ext>
      </extLst>
    </bk>
    <bk>
      <extLst>
        <ext uri="{3e2802c4-a4d2-4d8b-9148-e3be6c30e623}">
          <xlrd:rvb i="1475"/>
        </ext>
      </extLst>
    </bk>
    <bk>
      <extLst>
        <ext uri="{3e2802c4-a4d2-4d8b-9148-e3be6c30e623}">
          <xlrd:rvb i="1476"/>
        </ext>
      </extLst>
    </bk>
    <bk>
      <extLst>
        <ext uri="{3e2802c4-a4d2-4d8b-9148-e3be6c30e623}">
          <xlrd:rvb i="1477"/>
        </ext>
      </extLst>
    </bk>
    <bk>
      <extLst>
        <ext uri="{3e2802c4-a4d2-4d8b-9148-e3be6c30e623}">
          <xlrd:rvb i="1478"/>
        </ext>
      </extLst>
    </bk>
    <bk>
      <extLst>
        <ext uri="{3e2802c4-a4d2-4d8b-9148-e3be6c30e623}">
          <xlrd:rvb i="1479"/>
        </ext>
      </extLst>
    </bk>
    <bk>
      <extLst>
        <ext uri="{3e2802c4-a4d2-4d8b-9148-e3be6c30e623}">
          <xlrd:rvb i="1480"/>
        </ext>
      </extLst>
    </bk>
    <bk>
      <extLst>
        <ext uri="{3e2802c4-a4d2-4d8b-9148-e3be6c30e623}">
          <xlrd:rvb i="1481"/>
        </ext>
      </extLst>
    </bk>
    <bk>
      <extLst>
        <ext uri="{3e2802c4-a4d2-4d8b-9148-e3be6c30e623}">
          <xlrd:rvb i="1482"/>
        </ext>
      </extLst>
    </bk>
    <bk>
      <extLst>
        <ext uri="{3e2802c4-a4d2-4d8b-9148-e3be6c30e623}">
          <xlrd:rvb i="1483"/>
        </ext>
      </extLst>
    </bk>
    <bk>
      <extLst>
        <ext uri="{3e2802c4-a4d2-4d8b-9148-e3be6c30e623}">
          <xlrd:rvb i="1484"/>
        </ext>
      </extLst>
    </bk>
    <bk>
      <extLst>
        <ext uri="{3e2802c4-a4d2-4d8b-9148-e3be6c30e623}">
          <xlrd:rvb i="1485"/>
        </ext>
      </extLst>
    </bk>
    <bk>
      <extLst>
        <ext uri="{3e2802c4-a4d2-4d8b-9148-e3be6c30e623}">
          <xlrd:rvb i="1486"/>
        </ext>
      </extLst>
    </bk>
    <bk>
      <extLst>
        <ext uri="{3e2802c4-a4d2-4d8b-9148-e3be6c30e623}">
          <xlrd:rvb i="1487"/>
        </ext>
      </extLst>
    </bk>
    <bk>
      <extLst>
        <ext uri="{3e2802c4-a4d2-4d8b-9148-e3be6c30e623}">
          <xlrd:rvb i="1488"/>
        </ext>
      </extLst>
    </bk>
    <bk>
      <extLst>
        <ext uri="{3e2802c4-a4d2-4d8b-9148-e3be6c30e623}">
          <xlrd:rvb i="1489"/>
        </ext>
      </extLst>
    </bk>
    <bk>
      <extLst>
        <ext uri="{3e2802c4-a4d2-4d8b-9148-e3be6c30e623}">
          <xlrd:rvb i="1490"/>
        </ext>
      </extLst>
    </bk>
    <bk>
      <extLst>
        <ext uri="{3e2802c4-a4d2-4d8b-9148-e3be6c30e623}">
          <xlrd:rvb i="1491"/>
        </ext>
      </extLst>
    </bk>
    <bk>
      <extLst>
        <ext uri="{3e2802c4-a4d2-4d8b-9148-e3be6c30e623}">
          <xlrd:rvb i="1492"/>
        </ext>
      </extLst>
    </bk>
    <bk>
      <extLst>
        <ext uri="{3e2802c4-a4d2-4d8b-9148-e3be6c30e623}">
          <xlrd:rvb i="1493"/>
        </ext>
      </extLst>
    </bk>
    <bk>
      <extLst>
        <ext uri="{3e2802c4-a4d2-4d8b-9148-e3be6c30e623}">
          <xlrd:rvb i="1494"/>
        </ext>
      </extLst>
    </bk>
    <bk>
      <extLst>
        <ext uri="{3e2802c4-a4d2-4d8b-9148-e3be6c30e623}">
          <xlrd:rvb i="1495"/>
        </ext>
      </extLst>
    </bk>
    <bk>
      <extLst>
        <ext uri="{3e2802c4-a4d2-4d8b-9148-e3be6c30e623}">
          <xlrd:rvb i="1496"/>
        </ext>
      </extLst>
    </bk>
    <bk>
      <extLst>
        <ext uri="{3e2802c4-a4d2-4d8b-9148-e3be6c30e623}">
          <xlrd:rvb i="1497"/>
        </ext>
      </extLst>
    </bk>
    <bk>
      <extLst>
        <ext uri="{3e2802c4-a4d2-4d8b-9148-e3be6c30e623}">
          <xlrd:rvb i="1498"/>
        </ext>
      </extLst>
    </bk>
    <bk>
      <extLst>
        <ext uri="{3e2802c4-a4d2-4d8b-9148-e3be6c30e623}">
          <xlrd:rvb i="1499"/>
        </ext>
      </extLst>
    </bk>
    <bk>
      <extLst>
        <ext uri="{3e2802c4-a4d2-4d8b-9148-e3be6c30e623}">
          <xlrd:rvb i="1500"/>
        </ext>
      </extLst>
    </bk>
    <bk>
      <extLst>
        <ext uri="{3e2802c4-a4d2-4d8b-9148-e3be6c30e623}">
          <xlrd:rvb i="1501"/>
        </ext>
      </extLst>
    </bk>
    <bk>
      <extLst>
        <ext uri="{3e2802c4-a4d2-4d8b-9148-e3be6c30e623}">
          <xlrd:rvb i="1502"/>
        </ext>
      </extLst>
    </bk>
    <bk>
      <extLst>
        <ext uri="{3e2802c4-a4d2-4d8b-9148-e3be6c30e623}">
          <xlrd:rvb i="1503"/>
        </ext>
      </extLst>
    </bk>
    <bk>
      <extLst>
        <ext uri="{3e2802c4-a4d2-4d8b-9148-e3be6c30e623}">
          <xlrd:rvb i="1504"/>
        </ext>
      </extLst>
    </bk>
    <bk>
      <extLst>
        <ext uri="{3e2802c4-a4d2-4d8b-9148-e3be6c30e623}">
          <xlrd:rvb i="1505"/>
        </ext>
      </extLst>
    </bk>
    <bk>
      <extLst>
        <ext uri="{3e2802c4-a4d2-4d8b-9148-e3be6c30e623}">
          <xlrd:rvb i="1506"/>
        </ext>
      </extLst>
    </bk>
    <bk>
      <extLst>
        <ext uri="{3e2802c4-a4d2-4d8b-9148-e3be6c30e623}">
          <xlrd:rvb i="1507"/>
        </ext>
      </extLst>
    </bk>
    <bk>
      <extLst>
        <ext uri="{3e2802c4-a4d2-4d8b-9148-e3be6c30e623}">
          <xlrd:rvb i="1508"/>
        </ext>
      </extLst>
    </bk>
    <bk>
      <extLst>
        <ext uri="{3e2802c4-a4d2-4d8b-9148-e3be6c30e623}">
          <xlrd:rvb i="1509"/>
        </ext>
      </extLst>
    </bk>
    <bk>
      <extLst>
        <ext uri="{3e2802c4-a4d2-4d8b-9148-e3be6c30e623}">
          <xlrd:rvb i="1510"/>
        </ext>
      </extLst>
    </bk>
    <bk>
      <extLst>
        <ext uri="{3e2802c4-a4d2-4d8b-9148-e3be6c30e623}">
          <xlrd:rvb i="1511"/>
        </ext>
      </extLst>
    </bk>
    <bk>
      <extLst>
        <ext uri="{3e2802c4-a4d2-4d8b-9148-e3be6c30e623}">
          <xlrd:rvb i="1512"/>
        </ext>
      </extLst>
    </bk>
    <bk>
      <extLst>
        <ext uri="{3e2802c4-a4d2-4d8b-9148-e3be6c30e623}">
          <xlrd:rvb i="1513"/>
        </ext>
      </extLst>
    </bk>
    <bk>
      <extLst>
        <ext uri="{3e2802c4-a4d2-4d8b-9148-e3be6c30e623}">
          <xlrd:rvb i="1514"/>
        </ext>
      </extLst>
    </bk>
    <bk>
      <extLst>
        <ext uri="{3e2802c4-a4d2-4d8b-9148-e3be6c30e623}">
          <xlrd:rvb i="1515"/>
        </ext>
      </extLst>
    </bk>
    <bk>
      <extLst>
        <ext uri="{3e2802c4-a4d2-4d8b-9148-e3be6c30e623}">
          <xlrd:rvb i="1516"/>
        </ext>
      </extLst>
    </bk>
    <bk>
      <extLst>
        <ext uri="{3e2802c4-a4d2-4d8b-9148-e3be6c30e623}">
          <xlrd:rvb i="1517"/>
        </ext>
      </extLst>
    </bk>
    <bk>
      <extLst>
        <ext uri="{3e2802c4-a4d2-4d8b-9148-e3be6c30e623}">
          <xlrd:rvb i="1518"/>
        </ext>
      </extLst>
    </bk>
    <bk>
      <extLst>
        <ext uri="{3e2802c4-a4d2-4d8b-9148-e3be6c30e623}">
          <xlrd:rvb i="1519"/>
        </ext>
      </extLst>
    </bk>
    <bk>
      <extLst>
        <ext uri="{3e2802c4-a4d2-4d8b-9148-e3be6c30e623}">
          <xlrd:rvb i="1520"/>
        </ext>
      </extLst>
    </bk>
    <bk>
      <extLst>
        <ext uri="{3e2802c4-a4d2-4d8b-9148-e3be6c30e623}">
          <xlrd:rvb i="1521"/>
        </ext>
      </extLst>
    </bk>
    <bk>
      <extLst>
        <ext uri="{3e2802c4-a4d2-4d8b-9148-e3be6c30e623}">
          <xlrd:rvb i="1522"/>
        </ext>
      </extLst>
    </bk>
    <bk>
      <extLst>
        <ext uri="{3e2802c4-a4d2-4d8b-9148-e3be6c30e623}">
          <xlrd:rvb i="1523"/>
        </ext>
      </extLst>
    </bk>
    <bk>
      <extLst>
        <ext uri="{3e2802c4-a4d2-4d8b-9148-e3be6c30e623}">
          <xlrd:rvb i="1524"/>
        </ext>
      </extLst>
    </bk>
    <bk>
      <extLst>
        <ext uri="{3e2802c4-a4d2-4d8b-9148-e3be6c30e623}">
          <xlrd:rvb i="1525"/>
        </ext>
      </extLst>
    </bk>
    <bk>
      <extLst>
        <ext uri="{3e2802c4-a4d2-4d8b-9148-e3be6c30e623}">
          <xlrd:rvb i="1526"/>
        </ext>
      </extLst>
    </bk>
    <bk>
      <extLst>
        <ext uri="{3e2802c4-a4d2-4d8b-9148-e3be6c30e623}">
          <xlrd:rvb i="1527"/>
        </ext>
      </extLst>
    </bk>
    <bk>
      <extLst>
        <ext uri="{3e2802c4-a4d2-4d8b-9148-e3be6c30e623}">
          <xlrd:rvb i="1528"/>
        </ext>
      </extLst>
    </bk>
    <bk>
      <extLst>
        <ext uri="{3e2802c4-a4d2-4d8b-9148-e3be6c30e623}">
          <xlrd:rvb i="1529"/>
        </ext>
      </extLst>
    </bk>
    <bk>
      <extLst>
        <ext uri="{3e2802c4-a4d2-4d8b-9148-e3be6c30e623}">
          <xlrd:rvb i="1530"/>
        </ext>
      </extLst>
    </bk>
    <bk>
      <extLst>
        <ext uri="{3e2802c4-a4d2-4d8b-9148-e3be6c30e623}">
          <xlrd:rvb i="1531"/>
        </ext>
      </extLst>
    </bk>
    <bk>
      <extLst>
        <ext uri="{3e2802c4-a4d2-4d8b-9148-e3be6c30e623}">
          <xlrd:rvb i="1532"/>
        </ext>
      </extLst>
    </bk>
    <bk>
      <extLst>
        <ext uri="{3e2802c4-a4d2-4d8b-9148-e3be6c30e623}">
          <xlrd:rvb i="1533"/>
        </ext>
      </extLst>
    </bk>
    <bk>
      <extLst>
        <ext uri="{3e2802c4-a4d2-4d8b-9148-e3be6c30e623}">
          <xlrd:rvb i="1534"/>
        </ext>
      </extLst>
    </bk>
    <bk>
      <extLst>
        <ext uri="{3e2802c4-a4d2-4d8b-9148-e3be6c30e623}">
          <xlrd:rvb i="1535"/>
        </ext>
      </extLst>
    </bk>
    <bk>
      <extLst>
        <ext uri="{3e2802c4-a4d2-4d8b-9148-e3be6c30e623}">
          <xlrd:rvb i="1536"/>
        </ext>
      </extLst>
    </bk>
    <bk>
      <extLst>
        <ext uri="{3e2802c4-a4d2-4d8b-9148-e3be6c30e623}">
          <xlrd:rvb i="1537"/>
        </ext>
      </extLst>
    </bk>
    <bk>
      <extLst>
        <ext uri="{3e2802c4-a4d2-4d8b-9148-e3be6c30e623}">
          <xlrd:rvb i="1538"/>
        </ext>
      </extLst>
    </bk>
    <bk>
      <extLst>
        <ext uri="{3e2802c4-a4d2-4d8b-9148-e3be6c30e623}">
          <xlrd:rvb i="1539"/>
        </ext>
      </extLst>
    </bk>
    <bk>
      <extLst>
        <ext uri="{3e2802c4-a4d2-4d8b-9148-e3be6c30e623}">
          <xlrd:rvb i="1540"/>
        </ext>
      </extLst>
    </bk>
    <bk>
      <extLst>
        <ext uri="{3e2802c4-a4d2-4d8b-9148-e3be6c30e623}">
          <xlrd:rvb i="1541"/>
        </ext>
      </extLst>
    </bk>
    <bk>
      <extLst>
        <ext uri="{3e2802c4-a4d2-4d8b-9148-e3be6c30e623}">
          <xlrd:rvb i="1542"/>
        </ext>
      </extLst>
    </bk>
    <bk>
      <extLst>
        <ext uri="{3e2802c4-a4d2-4d8b-9148-e3be6c30e623}">
          <xlrd:rvb i="1543"/>
        </ext>
      </extLst>
    </bk>
    <bk>
      <extLst>
        <ext uri="{3e2802c4-a4d2-4d8b-9148-e3be6c30e623}">
          <xlrd:rvb i="1544"/>
        </ext>
      </extLst>
    </bk>
    <bk>
      <extLst>
        <ext uri="{3e2802c4-a4d2-4d8b-9148-e3be6c30e623}">
          <xlrd:rvb i="1545"/>
        </ext>
      </extLst>
    </bk>
    <bk>
      <extLst>
        <ext uri="{3e2802c4-a4d2-4d8b-9148-e3be6c30e623}">
          <xlrd:rvb i="1546"/>
        </ext>
      </extLst>
    </bk>
    <bk>
      <extLst>
        <ext uri="{3e2802c4-a4d2-4d8b-9148-e3be6c30e623}">
          <xlrd:rvb i="1547"/>
        </ext>
      </extLst>
    </bk>
    <bk>
      <extLst>
        <ext uri="{3e2802c4-a4d2-4d8b-9148-e3be6c30e623}">
          <xlrd:rvb i="1548"/>
        </ext>
      </extLst>
    </bk>
    <bk>
      <extLst>
        <ext uri="{3e2802c4-a4d2-4d8b-9148-e3be6c30e623}">
          <xlrd:rvb i="1549"/>
        </ext>
      </extLst>
    </bk>
    <bk>
      <extLst>
        <ext uri="{3e2802c4-a4d2-4d8b-9148-e3be6c30e623}">
          <xlrd:rvb i="1550"/>
        </ext>
      </extLst>
    </bk>
    <bk>
      <extLst>
        <ext uri="{3e2802c4-a4d2-4d8b-9148-e3be6c30e623}">
          <xlrd:rvb i="1551"/>
        </ext>
      </extLst>
    </bk>
    <bk>
      <extLst>
        <ext uri="{3e2802c4-a4d2-4d8b-9148-e3be6c30e623}">
          <xlrd:rvb i="1552"/>
        </ext>
      </extLst>
    </bk>
    <bk>
      <extLst>
        <ext uri="{3e2802c4-a4d2-4d8b-9148-e3be6c30e623}">
          <xlrd:rvb i="1553"/>
        </ext>
      </extLst>
    </bk>
    <bk>
      <extLst>
        <ext uri="{3e2802c4-a4d2-4d8b-9148-e3be6c30e623}">
          <xlrd:rvb i="1554"/>
        </ext>
      </extLst>
    </bk>
    <bk>
      <extLst>
        <ext uri="{3e2802c4-a4d2-4d8b-9148-e3be6c30e623}">
          <xlrd:rvb i="1555"/>
        </ext>
      </extLst>
    </bk>
    <bk>
      <extLst>
        <ext uri="{3e2802c4-a4d2-4d8b-9148-e3be6c30e623}">
          <xlrd:rvb i="1556"/>
        </ext>
      </extLst>
    </bk>
    <bk>
      <extLst>
        <ext uri="{3e2802c4-a4d2-4d8b-9148-e3be6c30e623}">
          <xlrd:rvb i="1557"/>
        </ext>
      </extLst>
    </bk>
    <bk>
      <extLst>
        <ext uri="{3e2802c4-a4d2-4d8b-9148-e3be6c30e623}">
          <xlrd:rvb i="1558"/>
        </ext>
      </extLst>
    </bk>
    <bk>
      <extLst>
        <ext uri="{3e2802c4-a4d2-4d8b-9148-e3be6c30e623}">
          <xlrd:rvb i="1559"/>
        </ext>
      </extLst>
    </bk>
    <bk>
      <extLst>
        <ext uri="{3e2802c4-a4d2-4d8b-9148-e3be6c30e623}">
          <xlrd:rvb i="1560"/>
        </ext>
      </extLst>
    </bk>
    <bk>
      <extLst>
        <ext uri="{3e2802c4-a4d2-4d8b-9148-e3be6c30e623}">
          <xlrd:rvb i="1561"/>
        </ext>
      </extLst>
    </bk>
    <bk>
      <extLst>
        <ext uri="{3e2802c4-a4d2-4d8b-9148-e3be6c30e623}">
          <xlrd:rvb i="1562"/>
        </ext>
      </extLst>
    </bk>
    <bk>
      <extLst>
        <ext uri="{3e2802c4-a4d2-4d8b-9148-e3be6c30e623}">
          <xlrd:rvb i="1563"/>
        </ext>
      </extLst>
    </bk>
    <bk>
      <extLst>
        <ext uri="{3e2802c4-a4d2-4d8b-9148-e3be6c30e623}">
          <xlrd:rvb i="1564"/>
        </ext>
      </extLst>
    </bk>
    <bk>
      <extLst>
        <ext uri="{3e2802c4-a4d2-4d8b-9148-e3be6c30e623}">
          <xlrd:rvb i="1565"/>
        </ext>
      </extLst>
    </bk>
    <bk>
      <extLst>
        <ext uri="{3e2802c4-a4d2-4d8b-9148-e3be6c30e623}">
          <xlrd:rvb i="1566"/>
        </ext>
      </extLst>
    </bk>
    <bk>
      <extLst>
        <ext uri="{3e2802c4-a4d2-4d8b-9148-e3be6c30e623}">
          <xlrd:rvb i="1567"/>
        </ext>
      </extLst>
    </bk>
    <bk>
      <extLst>
        <ext uri="{3e2802c4-a4d2-4d8b-9148-e3be6c30e623}">
          <xlrd:rvb i="1568"/>
        </ext>
      </extLst>
    </bk>
    <bk>
      <extLst>
        <ext uri="{3e2802c4-a4d2-4d8b-9148-e3be6c30e623}">
          <xlrd:rvb i="1569"/>
        </ext>
      </extLst>
    </bk>
    <bk>
      <extLst>
        <ext uri="{3e2802c4-a4d2-4d8b-9148-e3be6c30e623}">
          <xlrd:rvb i="1570"/>
        </ext>
      </extLst>
    </bk>
    <bk>
      <extLst>
        <ext uri="{3e2802c4-a4d2-4d8b-9148-e3be6c30e623}">
          <xlrd:rvb i="1571"/>
        </ext>
      </extLst>
    </bk>
    <bk>
      <extLst>
        <ext uri="{3e2802c4-a4d2-4d8b-9148-e3be6c30e623}">
          <xlrd:rvb i="1572"/>
        </ext>
      </extLst>
    </bk>
    <bk>
      <extLst>
        <ext uri="{3e2802c4-a4d2-4d8b-9148-e3be6c30e623}">
          <xlrd:rvb i="1573"/>
        </ext>
      </extLst>
    </bk>
    <bk>
      <extLst>
        <ext uri="{3e2802c4-a4d2-4d8b-9148-e3be6c30e623}">
          <xlrd:rvb i="1574"/>
        </ext>
      </extLst>
    </bk>
    <bk>
      <extLst>
        <ext uri="{3e2802c4-a4d2-4d8b-9148-e3be6c30e623}">
          <xlrd:rvb i="1575"/>
        </ext>
      </extLst>
    </bk>
    <bk>
      <extLst>
        <ext uri="{3e2802c4-a4d2-4d8b-9148-e3be6c30e623}">
          <xlrd:rvb i="1576"/>
        </ext>
      </extLst>
    </bk>
    <bk>
      <extLst>
        <ext uri="{3e2802c4-a4d2-4d8b-9148-e3be6c30e623}">
          <xlrd:rvb i="1577"/>
        </ext>
      </extLst>
    </bk>
    <bk>
      <extLst>
        <ext uri="{3e2802c4-a4d2-4d8b-9148-e3be6c30e623}">
          <xlrd:rvb i="1578"/>
        </ext>
      </extLst>
    </bk>
    <bk>
      <extLst>
        <ext uri="{3e2802c4-a4d2-4d8b-9148-e3be6c30e623}">
          <xlrd:rvb i="1579"/>
        </ext>
      </extLst>
    </bk>
    <bk>
      <extLst>
        <ext uri="{3e2802c4-a4d2-4d8b-9148-e3be6c30e623}">
          <xlrd:rvb i="1580"/>
        </ext>
      </extLst>
    </bk>
    <bk>
      <extLst>
        <ext uri="{3e2802c4-a4d2-4d8b-9148-e3be6c30e623}">
          <xlrd:rvb i="1581"/>
        </ext>
      </extLst>
    </bk>
    <bk>
      <extLst>
        <ext uri="{3e2802c4-a4d2-4d8b-9148-e3be6c30e623}">
          <xlrd:rvb i="1582"/>
        </ext>
      </extLst>
    </bk>
    <bk>
      <extLst>
        <ext uri="{3e2802c4-a4d2-4d8b-9148-e3be6c30e623}">
          <xlrd:rvb i="1583"/>
        </ext>
      </extLst>
    </bk>
    <bk>
      <extLst>
        <ext uri="{3e2802c4-a4d2-4d8b-9148-e3be6c30e623}">
          <xlrd:rvb i="1584"/>
        </ext>
      </extLst>
    </bk>
    <bk>
      <extLst>
        <ext uri="{3e2802c4-a4d2-4d8b-9148-e3be6c30e623}">
          <xlrd:rvb i="1585"/>
        </ext>
      </extLst>
    </bk>
    <bk>
      <extLst>
        <ext uri="{3e2802c4-a4d2-4d8b-9148-e3be6c30e623}">
          <xlrd:rvb i="1586"/>
        </ext>
      </extLst>
    </bk>
    <bk>
      <extLst>
        <ext uri="{3e2802c4-a4d2-4d8b-9148-e3be6c30e623}">
          <xlrd:rvb i="1587"/>
        </ext>
      </extLst>
    </bk>
    <bk>
      <extLst>
        <ext uri="{3e2802c4-a4d2-4d8b-9148-e3be6c30e623}">
          <xlrd:rvb i="1588"/>
        </ext>
      </extLst>
    </bk>
    <bk>
      <extLst>
        <ext uri="{3e2802c4-a4d2-4d8b-9148-e3be6c30e623}">
          <xlrd:rvb i="1589"/>
        </ext>
      </extLst>
    </bk>
    <bk>
      <extLst>
        <ext uri="{3e2802c4-a4d2-4d8b-9148-e3be6c30e623}">
          <xlrd:rvb i="1590"/>
        </ext>
      </extLst>
    </bk>
    <bk>
      <extLst>
        <ext uri="{3e2802c4-a4d2-4d8b-9148-e3be6c30e623}">
          <xlrd:rvb i="1591"/>
        </ext>
      </extLst>
    </bk>
    <bk>
      <extLst>
        <ext uri="{3e2802c4-a4d2-4d8b-9148-e3be6c30e623}">
          <xlrd:rvb i="1592"/>
        </ext>
      </extLst>
    </bk>
    <bk>
      <extLst>
        <ext uri="{3e2802c4-a4d2-4d8b-9148-e3be6c30e623}">
          <xlrd:rvb i="1593"/>
        </ext>
      </extLst>
    </bk>
    <bk>
      <extLst>
        <ext uri="{3e2802c4-a4d2-4d8b-9148-e3be6c30e623}">
          <xlrd:rvb i="1594"/>
        </ext>
      </extLst>
    </bk>
    <bk>
      <extLst>
        <ext uri="{3e2802c4-a4d2-4d8b-9148-e3be6c30e623}">
          <xlrd:rvb i="1595"/>
        </ext>
      </extLst>
    </bk>
    <bk>
      <extLst>
        <ext uri="{3e2802c4-a4d2-4d8b-9148-e3be6c30e623}">
          <xlrd:rvb i="1596"/>
        </ext>
      </extLst>
    </bk>
    <bk>
      <extLst>
        <ext uri="{3e2802c4-a4d2-4d8b-9148-e3be6c30e623}">
          <xlrd:rvb i="1597"/>
        </ext>
      </extLst>
    </bk>
    <bk>
      <extLst>
        <ext uri="{3e2802c4-a4d2-4d8b-9148-e3be6c30e623}">
          <xlrd:rvb i="1598"/>
        </ext>
      </extLst>
    </bk>
    <bk>
      <extLst>
        <ext uri="{3e2802c4-a4d2-4d8b-9148-e3be6c30e623}">
          <xlrd:rvb i="1599"/>
        </ext>
      </extLst>
    </bk>
    <bk>
      <extLst>
        <ext uri="{3e2802c4-a4d2-4d8b-9148-e3be6c30e623}">
          <xlrd:rvb i="1600"/>
        </ext>
      </extLst>
    </bk>
    <bk>
      <extLst>
        <ext uri="{3e2802c4-a4d2-4d8b-9148-e3be6c30e623}">
          <xlrd:rvb i="1601"/>
        </ext>
      </extLst>
    </bk>
    <bk>
      <extLst>
        <ext uri="{3e2802c4-a4d2-4d8b-9148-e3be6c30e623}">
          <xlrd:rvb i="1602"/>
        </ext>
      </extLst>
    </bk>
    <bk>
      <extLst>
        <ext uri="{3e2802c4-a4d2-4d8b-9148-e3be6c30e623}">
          <xlrd:rvb i="1603"/>
        </ext>
      </extLst>
    </bk>
    <bk>
      <extLst>
        <ext uri="{3e2802c4-a4d2-4d8b-9148-e3be6c30e623}">
          <xlrd:rvb i="1604"/>
        </ext>
      </extLst>
    </bk>
    <bk>
      <extLst>
        <ext uri="{3e2802c4-a4d2-4d8b-9148-e3be6c30e623}">
          <xlrd:rvb i="1605"/>
        </ext>
      </extLst>
    </bk>
    <bk>
      <extLst>
        <ext uri="{3e2802c4-a4d2-4d8b-9148-e3be6c30e623}">
          <xlrd:rvb i="1606"/>
        </ext>
      </extLst>
    </bk>
    <bk>
      <extLst>
        <ext uri="{3e2802c4-a4d2-4d8b-9148-e3be6c30e623}">
          <xlrd:rvb i="1607"/>
        </ext>
      </extLst>
    </bk>
    <bk>
      <extLst>
        <ext uri="{3e2802c4-a4d2-4d8b-9148-e3be6c30e623}">
          <xlrd:rvb i="1608"/>
        </ext>
      </extLst>
    </bk>
    <bk>
      <extLst>
        <ext uri="{3e2802c4-a4d2-4d8b-9148-e3be6c30e623}">
          <xlrd:rvb i="1609"/>
        </ext>
      </extLst>
    </bk>
    <bk>
      <extLst>
        <ext uri="{3e2802c4-a4d2-4d8b-9148-e3be6c30e623}">
          <xlrd:rvb i="1610"/>
        </ext>
      </extLst>
    </bk>
    <bk>
      <extLst>
        <ext uri="{3e2802c4-a4d2-4d8b-9148-e3be6c30e623}">
          <xlrd:rvb i="1611"/>
        </ext>
      </extLst>
    </bk>
    <bk>
      <extLst>
        <ext uri="{3e2802c4-a4d2-4d8b-9148-e3be6c30e623}">
          <xlrd:rvb i="1612"/>
        </ext>
      </extLst>
    </bk>
    <bk>
      <extLst>
        <ext uri="{3e2802c4-a4d2-4d8b-9148-e3be6c30e623}">
          <xlrd:rvb i="1613"/>
        </ext>
      </extLst>
    </bk>
    <bk>
      <extLst>
        <ext uri="{3e2802c4-a4d2-4d8b-9148-e3be6c30e623}">
          <xlrd:rvb i="1614"/>
        </ext>
      </extLst>
    </bk>
    <bk>
      <extLst>
        <ext uri="{3e2802c4-a4d2-4d8b-9148-e3be6c30e623}">
          <xlrd:rvb i="1615"/>
        </ext>
      </extLst>
    </bk>
    <bk>
      <extLst>
        <ext uri="{3e2802c4-a4d2-4d8b-9148-e3be6c30e623}">
          <xlrd:rvb i="1616"/>
        </ext>
      </extLst>
    </bk>
    <bk>
      <extLst>
        <ext uri="{3e2802c4-a4d2-4d8b-9148-e3be6c30e623}">
          <xlrd:rvb i="1617"/>
        </ext>
      </extLst>
    </bk>
    <bk>
      <extLst>
        <ext uri="{3e2802c4-a4d2-4d8b-9148-e3be6c30e623}">
          <xlrd:rvb i="1618"/>
        </ext>
      </extLst>
    </bk>
    <bk>
      <extLst>
        <ext uri="{3e2802c4-a4d2-4d8b-9148-e3be6c30e623}">
          <xlrd:rvb i="1619"/>
        </ext>
      </extLst>
    </bk>
    <bk>
      <extLst>
        <ext uri="{3e2802c4-a4d2-4d8b-9148-e3be6c30e623}">
          <xlrd:rvb i="1620"/>
        </ext>
      </extLst>
    </bk>
    <bk>
      <extLst>
        <ext uri="{3e2802c4-a4d2-4d8b-9148-e3be6c30e623}">
          <xlrd:rvb i="1621"/>
        </ext>
      </extLst>
    </bk>
    <bk>
      <extLst>
        <ext uri="{3e2802c4-a4d2-4d8b-9148-e3be6c30e623}">
          <xlrd:rvb i="1622"/>
        </ext>
      </extLst>
    </bk>
    <bk>
      <extLst>
        <ext uri="{3e2802c4-a4d2-4d8b-9148-e3be6c30e623}">
          <xlrd:rvb i="1623"/>
        </ext>
      </extLst>
    </bk>
    <bk>
      <extLst>
        <ext uri="{3e2802c4-a4d2-4d8b-9148-e3be6c30e623}">
          <xlrd:rvb i="1624"/>
        </ext>
      </extLst>
    </bk>
    <bk>
      <extLst>
        <ext uri="{3e2802c4-a4d2-4d8b-9148-e3be6c30e623}">
          <xlrd:rvb i="1625"/>
        </ext>
      </extLst>
    </bk>
    <bk>
      <extLst>
        <ext uri="{3e2802c4-a4d2-4d8b-9148-e3be6c30e623}">
          <xlrd:rvb i="1626"/>
        </ext>
      </extLst>
    </bk>
    <bk>
      <extLst>
        <ext uri="{3e2802c4-a4d2-4d8b-9148-e3be6c30e623}">
          <xlrd:rvb i="1627"/>
        </ext>
      </extLst>
    </bk>
    <bk>
      <extLst>
        <ext uri="{3e2802c4-a4d2-4d8b-9148-e3be6c30e623}">
          <xlrd:rvb i="1628"/>
        </ext>
      </extLst>
    </bk>
    <bk>
      <extLst>
        <ext uri="{3e2802c4-a4d2-4d8b-9148-e3be6c30e623}">
          <xlrd:rvb i="1629"/>
        </ext>
      </extLst>
    </bk>
    <bk>
      <extLst>
        <ext uri="{3e2802c4-a4d2-4d8b-9148-e3be6c30e623}">
          <xlrd:rvb i="1630"/>
        </ext>
      </extLst>
    </bk>
    <bk>
      <extLst>
        <ext uri="{3e2802c4-a4d2-4d8b-9148-e3be6c30e623}">
          <xlrd:rvb i="1631"/>
        </ext>
      </extLst>
    </bk>
    <bk>
      <extLst>
        <ext uri="{3e2802c4-a4d2-4d8b-9148-e3be6c30e623}">
          <xlrd:rvb i="1632"/>
        </ext>
      </extLst>
    </bk>
    <bk>
      <extLst>
        <ext uri="{3e2802c4-a4d2-4d8b-9148-e3be6c30e623}">
          <xlrd:rvb i="1633"/>
        </ext>
      </extLst>
    </bk>
    <bk>
      <extLst>
        <ext uri="{3e2802c4-a4d2-4d8b-9148-e3be6c30e623}">
          <xlrd:rvb i="1634"/>
        </ext>
      </extLst>
    </bk>
    <bk>
      <extLst>
        <ext uri="{3e2802c4-a4d2-4d8b-9148-e3be6c30e623}">
          <xlrd:rvb i="1635"/>
        </ext>
      </extLst>
    </bk>
    <bk>
      <extLst>
        <ext uri="{3e2802c4-a4d2-4d8b-9148-e3be6c30e623}">
          <xlrd:rvb i="1636"/>
        </ext>
      </extLst>
    </bk>
    <bk>
      <extLst>
        <ext uri="{3e2802c4-a4d2-4d8b-9148-e3be6c30e623}">
          <xlrd:rvb i="1637"/>
        </ext>
      </extLst>
    </bk>
    <bk>
      <extLst>
        <ext uri="{3e2802c4-a4d2-4d8b-9148-e3be6c30e623}">
          <xlrd:rvb i="1638"/>
        </ext>
      </extLst>
    </bk>
    <bk>
      <extLst>
        <ext uri="{3e2802c4-a4d2-4d8b-9148-e3be6c30e623}">
          <xlrd:rvb i="1639"/>
        </ext>
      </extLst>
    </bk>
    <bk>
      <extLst>
        <ext uri="{3e2802c4-a4d2-4d8b-9148-e3be6c30e623}">
          <xlrd:rvb i="1640"/>
        </ext>
      </extLst>
    </bk>
    <bk>
      <extLst>
        <ext uri="{3e2802c4-a4d2-4d8b-9148-e3be6c30e623}">
          <xlrd:rvb i="1641"/>
        </ext>
      </extLst>
    </bk>
    <bk>
      <extLst>
        <ext uri="{3e2802c4-a4d2-4d8b-9148-e3be6c30e623}">
          <xlrd:rvb i="1642"/>
        </ext>
      </extLst>
    </bk>
    <bk>
      <extLst>
        <ext uri="{3e2802c4-a4d2-4d8b-9148-e3be6c30e623}">
          <xlrd:rvb i="1643"/>
        </ext>
      </extLst>
    </bk>
    <bk>
      <extLst>
        <ext uri="{3e2802c4-a4d2-4d8b-9148-e3be6c30e623}">
          <xlrd:rvb i="1644"/>
        </ext>
      </extLst>
    </bk>
    <bk>
      <extLst>
        <ext uri="{3e2802c4-a4d2-4d8b-9148-e3be6c30e623}">
          <xlrd:rvb i="1645"/>
        </ext>
      </extLst>
    </bk>
    <bk>
      <extLst>
        <ext uri="{3e2802c4-a4d2-4d8b-9148-e3be6c30e623}">
          <xlrd:rvb i="1646"/>
        </ext>
      </extLst>
    </bk>
    <bk>
      <extLst>
        <ext uri="{3e2802c4-a4d2-4d8b-9148-e3be6c30e623}">
          <xlrd:rvb i="1647"/>
        </ext>
      </extLst>
    </bk>
    <bk>
      <extLst>
        <ext uri="{3e2802c4-a4d2-4d8b-9148-e3be6c30e623}">
          <xlrd:rvb i="1648"/>
        </ext>
      </extLst>
    </bk>
    <bk>
      <extLst>
        <ext uri="{3e2802c4-a4d2-4d8b-9148-e3be6c30e623}">
          <xlrd:rvb i="1649"/>
        </ext>
      </extLst>
    </bk>
    <bk>
      <extLst>
        <ext uri="{3e2802c4-a4d2-4d8b-9148-e3be6c30e623}">
          <xlrd:rvb i="1650"/>
        </ext>
      </extLst>
    </bk>
    <bk>
      <extLst>
        <ext uri="{3e2802c4-a4d2-4d8b-9148-e3be6c30e623}">
          <xlrd:rvb i="1651"/>
        </ext>
      </extLst>
    </bk>
    <bk>
      <extLst>
        <ext uri="{3e2802c4-a4d2-4d8b-9148-e3be6c30e623}">
          <xlrd:rvb i="1652"/>
        </ext>
      </extLst>
    </bk>
    <bk>
      <extLst>
        <ext uri="{3e2802c4-a4d2-4d8b-9148-e3be6c30e623}">
          <xlrd:rvb i="1653"/>
        </ext>
      </extLst>
    </bk>
    <bk>
      <extLst>
        <ext uri="{3e2802c4-a4d2-4d8b-9148-e3be6c30e623}">
          <xlrd:rvb i="1654"/>
        </ext>
      </extLst>
    </bk>
    <bk>
      <extLst>
        <ext uri="{3e2802c4-a4d2-4d8b-9148-e3be6c30e623}">
          <xlrd:rvb i="1655"/>
        </ext>
      </extLst>
    </bk>
    <bk>
      <extLst>
        <ext uri="{3e2802c4-a4d2-4d8b-9148-e3be6c30e623}">
          <xlrd:rvb i="1656"/>
        </ext>
      </extLst>
    </bk>
    <bk>
      <extLst>
        <ext uri="{3e2802c4-a4d2-4d8b-9148-e3be6c30e623}">
          <xlrd:rvb i="1657"/>
        </ext>
      </extLst>
    </bk>
    <bk>
      <extLst>
        <ext uri="{3e2802c4-a4d2-4d8b-9148-e3be6c30e623}">
          <xlrd:rvb i="1658"/>
        </ext>
      </extLst>
    </bk>
    <bk>
      <extLst>
        <ext uri="{3e2802c4-a4d2-4d8b-9148-e3be6c30e623}">
          <xlrd:rvb i="1659"/>
        </ext>
      </extLst>
    </bk>
    <bk>
      <extLst>
        <ext uri="{3e2802c4-a4d2-4d8b-9148-e3be6c30e623}">
          <xlrd:rvb i="1660"/>
        </ext>
      </extLst>
    </bk>
    <bk>
      <extLst>
        <ext uri="{3e2802c4-a4d2-4d8b-9148-e3be6c30e623}">
          <xlrd:rvb i="1661"/>
        </ext>
      </extLst>
    </bk>
    <bk>
      <extLst>
        <ext uri="{3e2802c4-a4d2-4d8b-9148-e3be6c30e623}">
          <xlrd:rvb i="1662"/>
        </ext>
      </extLst>
    </bk>
    <bk>
      <extLst>
        <ext uri="{3e2802c4-a4d2-4d8b-9148-e3be6c30e623}">
          <xlrd:rvb i="1663"/>
        </ext>
      </extLst>
    </bk>
    <bk>
      <extLst>
        <ext uri="{3e2802c4-a4d2-4d8b-9148-e3be6c30e623}">
          <xlrd:rvb i="1664"/>
        </ext>
      </extLst>
    </bk>
    <bk>
      <extLst>
        <ext uri="{3e2802c4-a4d2-4d8b-9148-e3be6c30e623}">
          <xlrd:rvb i="1665"/>
        </ext>
      </extLst>
    </bk>
    <bk>
      <extLst>
        <ext uri="{3e2802c4-a4d2-4d8b-9148-e3be6c30e623}">
          <xlrd:rvb i="1666"/>
        </ext>
      </extLst>
    </bk>
    <bk>
      <extLst>
        <ext uri="{3e2802c4-a4d2-4d8b-9148-e3be6c30e623}">
          <xlrd:rvb i="1667"/>
        </ext>
      </extLst>
    </bk>
    <bk>
      <extLst>
        <ext uri="{3e2802c4-a4d2-4d8b-9148-e3be6c30e623}">
          <xlrd:rvb i="1668"/>
        </ext>
      </extLst>
    </bk>
    <bk>
      <extLst>
        <ext uri="{3e2802c4-a4d2-4d8b-9148-e3be6c30e623}">
          <xlrd:rvb i="1669"/>
        </ext>
      </extLst>
    </bk>
    <bk>
      <extLst>
        <ext uri="{3e2802c4-a4d2-4d8b-9148-e3be6c30e623}">
          <xlrd:rvb i="1670"/>
        </ext>
      </extLst>
    </bk>
    <bk>
      <extLst>
        <ext uri="{3e2802c4-a4d2-4d8b-9148-e3be6c30e623}">
          <xlrd:rvb i="1671"/>
        </ext>
      </extLst>
    </bk>
    <bk>
      <extLst>
        <ext uri="{3e2802c4-a4d2-4d8b-9148-e3be6c30e623}">
          <xlrd:rvb i="1672"/>
        </ext>
      </extLst>
    </bk>
    <bk>
      <extLst>
        <ext uri="{3e2802c4-a4d2-4d8b-9148-e3be6c30e623}">
          <xlrd:rvb i="1673"/>
        </ext>
      </extLst>
    </bk>
    <bk>
      <extLst>
        <ext uri="{3e2802c4-a4d2-4d8b-9148-e3be6c30e623}">
          <xlrd:rvb i="1674"/>
        </ext>
      </extLst>
    </bk>
    <bk>
      <extLst>
        <ext uri="{3e2802c4-a4d2-4d8b-9148-e3be6c30e623}">
          <xlrd:rvb i="1675"/>
        </ext>
      </extLst>
    </bk>
    <bk>
      <extLst>
        <ext uri="{3e2802c4-a4d2-4d8b-9148-e3be6c30e623}">
          <xlrd:rvb i="1676"/>
        </ext>
      </extLst>
    </bk>
    <bk>
      <extLst>
        <ext uri="{3e2802c4-a4d2-4d8b-9148-e3be6c30e623}">
          <xlrd:rvb i="1677"/>
        </ext>
      </extLst>
    </bk>
    <bk>
      <extLst>
        <ext uri="{3e2802c4-a4d2-4d8b-9148-e3be6c30e623}">
          <xlrd:rvb i="1678"/>
        </ext>
      </extLst>
    </bk>
    <bk>
      <extLst>
        <ext uri="{3e2802c4-a4d2-4d8b-9148-e3be6c30e623}">
          <xlrd:rvb i="1679"/>
        </ext>
      </extLst>
    </bk>
    <bk>
      <extLst>
        <ext uri="{3e2802c4-a4d2-4d8b-9148-e3be6c30e623}">
          <xlrd:rvb i="1680"/>
        </ext>
      </extLst>
    </bk>
    <bk>
      <extLst>
        <ext uri="{3e2802c4-a4d2-4d8b-9148-e3be6c30e623}">
          <xlrd:rvb i="1681"/>
        </ext>
      </extLst>
    </bk>
    <bk>
      <extLst>
        <ext uri="{3e2802c4-a4d2-4d8b-9148-e3be6c30e623}">
          <xlrd:rvb i="1682"/>
        </ext>
      </extLst>
    </bk>
    <bk>
      <extLst>
        <ext uri="{3e2802c4-a4d2-4d8b-9148-e3be6c30e623}">
          <xlrd:rvb i="1683"/>
        </ext>
      </extLst>
    </bk>
    <bk>
      <extLst>
        <ext uri="{3e2802c4-a4d2-4d8b-9148-e3be6c30e623}">
          <xlrd:rvb i="1684"/>
        </ext>
      </extLst>
    </bk>
    <bk>
      <extLst>
        <ext uri="{3e2802c4-a4d2-4d8b-9148-e3be6c30e623}">
          <xlrd:rvb i="1685"/>
        </ext>
      </extLst>
    </bk>
    <bk>
      <extLst>
        <ext uri="{3e2802c4-a4d2-4d8b-9148-e3be6c30e623}">
          <xlrd:rvb i="1686"/>
        </ext>
      </extLst>
    </bk>
    <bk>
      <extLst>
        <ext uri="{3e2802c4-a4d2-4d8b-9148-e3be6c30e623}">
          <xlrd:rvb i="1687"/>
        </ext>
      </extLst>
    </bk>
    <bk>
      <extLst>
        <ext uri="{3e2802c4-a4d2-4d8b-9148-e3be6c30e623}">
          <xlrd:rvb i="1688"/>
        </ext>
      </extLst>
    </bk>
    <bk>
      <extLst>
        <ext uri="{3e2802c4-a4d2-4d8b-9148-e3be6c30e623}">
          <xlrd:rvb i="1689"/>
        </ext>
      </extLst>
    </bk>
    <bk>
      <extLst>
        <ext uri="{3e2802c4-a4d2-4d8b-9148-e3be6c30e623}">
          <xlrd:rvb i="1690"/>
        </ext>
      </extLst>
    </bk>
    <bk>
      <extLst>
        <ext uri="{3e2802c4-a4d2-4d8b-9148-e3be6c30e623}">
          <xlrd:rvb i="1691"/>
        </ext>
      </extLst>
    </bk>
    <bk>
      <extLst>
        <ext uri="{3e2802c4-a4d2-4d8b-9148-e3be6c30e623}">
          <xlrd:rvb i="1692"/>
        </ext>
      </extLst>
    </bk>
    <bk>
      <extLst>
        <ext uri="{3e2802c4-a4d2-4d8b-9148-e3be6c30e623}">
          <xlrd:rvb i="1693"/>
        </ext>
      </extLst>
    </bk>
    <bk>
      <extLst>
        <ext uri="{3e2802c4-a4d2-4d8b-9148-e3be6c30e623}">
          <xlrd:rvb i="1694"/>
        </ext>
      </extLst>
    </bk>
    <bk>
      <extLst>
        <ext uri="{3e2802c4-a4d2-4d8b-9148-e3be6c30e623}">
          <xlrd:rvb i="1695"/>
        </ext>
      </extLst>
    </bk>
    <bk>
      <extLst>
        <ext uri="{3e2802c4-a4d2-4d8b-9148-e3be6c30e623}">
          <xlrd:rvb i="1696"/>
        </ext>
      </extLst>
    </bk>
    <bk>
      <extLst>
        <ext uri="{3e2802c4-a4d2-4d8b-9148-e3be6c30e623}">
          <xlrd:rvb i="1697"/>
        </ext>
      </extLst>
    </bk>
    <bk>
      <extLst>
        <ext uri="{3e2802c4-a4d2-4d8b-9148-e3be6c30e623}">
          <xlrd:rvb i="1698"/>
        </ext>
      </extLst>
    </bk>
    <bk>
      <extLst>
        <ext uri="{3e2802c4-a4d2-4d8b-9148-e3be6c30e623}">
          <xlrd:rvb i="1699"/>
        </ext>
      </extLst>
    </bk>
    <bk>
      <extLst>
        <ext uri="{3e2802c4-a4d2-4d8b-9148-e3be6c30e623}">
          <xlrd:rvb i="1700"/>
        </ext>
      </extLst>
    </bk>
    <bk>
      <extLst>
        <ext uri="{3e2802c4-a4d2-4d8b-9148-e3be6c30e623}">
          <xlrd:rvb i="1701"/>
        </ext>
      </extLst>
    </bk>
    <bk>
      <extLst>
        <ext uri="{3e2802c4-a4d2-4d8b-9148-e3be6c30e623}">
          <xlrd:rvb i="1702"/>
        </ext>
      </extLst>
    </bk>
    <bk>
      <extLst>
        <ext uri="{3e2802c4-a4d2-4d8b-9148-e3be6c30e623}">
          <xlrd:rvb i="1703"/>
        </ext>
      </extLst>
    </bk>
    <bk>
      <extLst>
        <ext uri="{3e2802c4-a4d2-4d8b-9148-e3be6c30e623}">
          <xlrd:rvb i="1704"/>
        </ext>
      </extLst>
    </bk>
    <bk>
      <extLst>
        <ext uri="{3e2802c4-a4d2-4d8b-9148-e3be6c30e623}">
          <xlrd:rvb i="1705"/>
        </ext>
      </extLst>
    </bk>
    <bk>
      <extLst>
        <ext uri="{3e2802c4-a4d2-4d8b-9148-e3be6c30e623}">
          <xlrd:rvb i="1706"/>
        </ext>
      </extLst>
    </bk>
    <bk>
      <extLst>
        <ext uri="{3e2802c4-a4d2-4d8b-9148-e3be6c30e623}">
          <xlrd:rvb i="1707"/>
        </ext>
      </extLst>
    </bk>
    <bk>
      <extLst>
        <ext uri="{3e2802c4-a4d2-4d8b-9148-e3be6c30e623}">
          <xlrd:rvb i="1708"/>
        </ext>
      </extLst>
    </bk>
    <bk>
      <extLst>
        <ext uri="{3e2802c4-a4d2-4d8b-9148-e3be6c30e623}">
          <xlrd:rvb i="1709"/>
        </ext>
      </extLst>
    </bk>
    <bk>
      <extLst>
        <ext uri="{3e2802c4-a4d2-4d8b-9148-e3be6c30e623}">
          <xlrd:rvb i="1710"/>
        </ext>
      </extLst>
    </bk>
    <bk>
      <extLst>
        <ext uri="{3e2802c4-a4d2-4d8b-9148-e3be6c30e623}">
          <xlrd:rvb i="1711"/>
        </ext>
      </extLst>
    </bk>
    <bk>
      <extLst>
        <ext uri="{3e2802c4-a4d2-4d8b-9148-e3be6c30e623}">
          <xlrd:rvb i="1712"/>
        </ext>
      </extLst>
    </bk>
    <bk>
      <extLst>
        <ext uri="{3e2802c4-a4d2-4d8b-9148-e3be6c30e623}">
          <xlrd:rvb i="1713"/>
        </ext>
      </extLst>
    </bk>
    <bk>
      <extLst>
        <ext uri="{3e2802c4-a4d2-4d8b-9148-e3be6c30e623}">
          <xlrd:rvb i="1714"/>
        </ext>
      </extLst>
    </bk>
    <bk>
      <extLst>
        <ext uri="{3e2802c4-a4d2-4d8b-9148-e3be6c30e623}">
          <xlrd:rvb i="1715"/>
        </ext>
      </extLst>
    </bk>
    <bk>
      <extLst>
        <ext uri="{3e2802c4-a4d2-4d8b-9148-e3be6c30e623}">
          <xlrd:rvb i="1716"/>
        </ext>
      </extLst>
    </bk>
    <bk>
      <extLst>
        <ext uri="{3e2802c4-a4d2-4d8b-9148-e3be6c30e623}">
          <xlrd:rvb i="1717"/>
        </ext>
      </extLst>
    </bk>
    <bk>
      <extLst>
        <ext uri="{3e2802c4-a4d2-4d8b-9148-e3be6c30e623}">
          <xlrd:rvb i="1718"/>
        </ext>
      </extLst>
    </bk>
    <bk>
      <extLst>
        <ext uri="{3e2802c4-a4d2-4d8b-9148-e3be6c30e623}">
          <xlrd:rvb i="1719"/>
        </ext>
      </extLst>
    </bk>
    <bk>
      <extLst>
        <ext uri="{3e2802c4-a4d2-4d8b-9148-e3be6c30e623}">
          <xlrd:rvb i="1720"/>
        </ext>
      </extLst>
    </bk>
    <bk>
      <extLst>
        <ext uri="{3e2802c4-a4d2-4d8b-9148-e3be6c30e623}">
          <xlrd:rvb i="1721"/>
        </ext>
      </extLst>
    </bk>
    <bk>
      <extLst>
        <ext uri="{3e2802c4-a4d2-4d8b-9148-e3be6c30e623}">
          <xlrd:rvb i="1722"/>
        </ext>
      </extLst>
    </bk>
    <bk>
      <extLst>
        <ext uri="{3e2802c4-a4d2-4d8b-9148-e3be6c30e623}">
          <xlrd:rvb i="1723"/>
        </ext>
      </extLst>
    </bk>
    <bk>
      <extLst>
        <ext uri="{3e2802c4-a4d2-4d8b-9148-e3be6c30e623}">
          <xlrd:rvb i="1724"/>
        </ext>
      </extLst>
    </bk>
    <bk>
      <extLst>
        <ext uri="{3e2802c4-a4d2-4d8b-9148-e3be6c30e623}">
          <xlrd:rvb i="1725"/>
        </ext>
      </extLst>
    </bk>
    <bk>
      <extLst>
        <ext uri="{3e2802c4-a4d2-4d8b-9148-e3be6c30e623}">
          <xlrd:rvb i="1726"/>
        </ext>
      </extLst>
    </bk>
    <bk>
      <extLst>
        <ext uri="{3e2802c4-a4d2-4d8b-9148-e3be6c30e623}">
          <xlrd:rvb i="1727"/>
        </ext>
      </extLst>
    </bk>
    <bk>
      <extLst>
        <ext uri="{3e2802c4-a4d2-4d8b-9148-e3be6c30e623}">
          <xlrd:rvb i="1728"/>
        </ext>
      </extLst>
    </bk>
    <bk>
      <extLst>
        <ext uri="{3e2802c4-a4d2-4d8b-9148-e3be6c30e623}">
          <xlrd:rvb i="1729"/>
        </ext>
      </extLst>
    </bk>
    <bk>
      <extLst>
        <ext uri="{3e2802c4-a4d2-4d8b-9148-e3be6c30e623}">
          <xlrd:rvb i="1730"/>
        </ext>
      </extLst>
    </bk>
    <bk>
      <extLst>
        <ext uri="{3e2802c4-a4d2-4d8b-9148-e3be6c30e623}">
          <xlrd:rvb i="1731"/>
        </ext>
      </extLst>
    </bk>
    <bk>
      <extLst>
        <ext uri="{3e2802c4-a4d2-4d8b-9148-e3be6c30e623}">
          <xlrd:rvb i="1732"/>
        </ext>
      </extLst>
    </bk>
    <bk>
      <extLst>
        <ext uri="{3e2802c4-a4d2-4d8b-9148-e3be6c30e623}">
          <xlrd:rvb i="1733"/>
        </ext>
      </extLst>
    </bk>
    <bk>
      <extLst>
        <ext uri="{3e2802c4-a4d2-4d8b-9148-e3be6c30e623}">
          <xlrd:rvb i="1734"/>
        </ext>
      </extLst>
    </bk>
    <bk>
      <extLst>
        <ext uri="{3e2802c4-a4d2-4d8b-9148-e3be6c30e623}">
          <xlrd:rvb i="1735"/>
        </ext>
      </extLst>
    </bk>
    <bk>
      <extLst>
        <ext uri="{3e2802c4-a4d2-4d8b-9148-e3be6c30e623}">
          <xlrd:rvb i="1736"/>
        </ext>
      </extLst>
    </bk>
    <bk>
      <extLst>
        <ext uri="{3e2802c4-a4d2-4d8b-9148-e3be6c30e623}">
          <xlrd:rvb i="1737"/>
        </ext>
      </extLst>
    </bk>
    <bk>
      <extLst>
        <ext uri="{3e2802c4-a4d2-4d8b-9148-e3be6c30e623}">
          <xlrd:rvb i="1738"/>
        </ext>
      </extLst>
    </bk>
    <bk>
      <extLst>
        <ext uri="{3e2802c4-a4d2-4d8b-9148-e3be6c30e623}">
          <xlrd:rvb i="1739"/>
        </ext>
      </extLst>
    </bk>
    <bk>
      <extLst>
        <ext uri="{3e2802c4-a4d2-4d8b-9148-e3be6c30e623}">
          <xlrd:rvb i="1740"/>
        </ext>
      </extLst>
    </bk>
    <bk>
      <extLst>
        <ext uri="{3e2802c4-a4d2-4d8b-9148-e3be6c30e623}">
          <xlrd:rvb i="1741"/>
        </ext>
      </extLst>
    </bk>
    <bk>
      <extLst>
        <ext uri="{3e2802c4-a4d2-4d8b-9148-e3be6c30e623}">
          <xlrd:rvb i="1742"/>
        </ext>
      </extLst>
    </bk>
    <bk>
      <extLst>
        <ext uri="{3e2802c4-a4d2-4d8b-9148-e3be6c30e623}">
          <xlrd:rvb i="1743"/>
        </ext>
      </extLst>
    </bk>
    <bk>
      <extLst>
        <ext uri="{3e2802c4-a4d2-4d8b-9148-e3be6c30e623}">
          <xlrd:rvb i="1744"/>
        </ext>
      </extLst>
    </bk>
    <bk>
      <extLst>
        <ext uri="{3e2802c4-a4d2-4d8b-9148-e3be6c30e623}">
          <xlrd:rvb i="1745"/>
        </ext>
      </extLst>
    </bk>
    <bk>
      <extLst>
        <ext uri="{3e2802c4-a4d2-4d8b-9148-e3be6c30e623}">
          <xlrd:rvb i="1746"/>
        </ext>
      </extLst>
    </bk>
    <bk>
      <extLst>
        <ext uri="{3e2802c4-a4d2-4d8b-9148-e3be6c30e623}">
          <xlrd:rvb i="1747"/>
        </ext>
      </extLst>
    </bk>
    <bk>
      <extLst>
        <ext uri="{3e2802c4-a4d2-4d8b-9148-e3be6c30e623}">
          <xlrd:rvb i="1748"/>
        </ext>
      </extLst>
    </bk>
    <bk>
      <extLst>
        <ext uri="{3e2802c4-a4d2-4d8b-9148-e3be6c30e623}">
          <xlrd:rvb i="1749"/>
        </ext>
      </extLst>
    </bk>
    <bk>
      <extLst>
        <ext uri="{3e2802c4-a4d2-4d8b-9148-e3be6c30e623}">
          <xlrd:rvb i="1750"/>
        </ext>
      </extLst>
    </bk>
    <bk>
      <extLst>
        <ext uri="{3e2802c4-a4d2-4d8b-9148-e3be6c30e623}">
          <xlrd:rvb i="1751"/>
        </ext>
      </extLst>
    </bk>
    <bk>
      <extLst>
        <ext uri="{3e2802c4-a4d2-4d8b-9148-e3be6c30e623}">
          <xlrd:rvb i="1752"/>
        </ext>
      </extLst>
    </bk>
    <bk>
      <extLst>
        <ext uri="{3e2802c4-a4d2-4d8b-9148-e3be6c30e623}">
          <xlrd:rvb i="1753"/>
        </ext>
      </extLst>
    </bk>
    <bk>
      <extLst>
        <ext uri="{3e2802c4-a4d2-4d8b-9148-e3be6c30e623}">
          <xlrd:rvb i="1754"/>
        </ext>
      </extLst>
    </bk>
    <bk>
      <extLst>
        <ext uri="{3e2802c4-a4d2-4d8b-9148-e3be6c30e623}">
          <xlrd:rvb i="1755"/>
        </ext>
      </extLst>
    </bk>
    <bk>
      <extLst>
        <ext uri="{3e2802c4-a4d2-4d8b-9148-e3be6c30e623}">
          <xlrd:rvb i="1756"/>
        </ext>
      </extLst>
    </bk>
    <bk>
      <extLst>
        <ext uri="{3e2802c4-a4d2-4d8b-9148-e3be6c30e623}">
          <xlrd:rvb i="1757"/>
        </ext>
      </extLst>
    </bk>
    <bk>
      <extLst>
        <ext uri="{3e2802c4-a4d2-4d8b-9148-e3be6c30e623}">
          <xlrd:rvb i="1758"/>
        </ext>
      </extLst>
    </bk>
    <bk>
      <extLst>
        <ext uri="{3e2802c4-a4d2-4d8b-9148-e3be6c30e623}">
          <xlrd:rvb i="1759"/>
        </ext>
      </extLst>
    </bk>
    <bk>
      <extLst>
        <ext uri="{3e2802c4-a4d2-4d8b-9148-e3be6c30e623}">
          <xlrd:rvb i="1760"/>
        </ext>
      </extLst>
    </bk>
    <bk>
      <extLst>
        <ext uri="{3e2802c4-a4d2-4d8b-9148-e3be6c30e623}">
          <xlrd:rvb i="1761"/>
        </ext>
      </extLst>
    </bk>
    <bk>
      <extLst>
        <ext uri="{3e2802c4-a4d2-4d8b-9148-e3be6c30e623}">
          <xlrd:rvb i="1762"/>
        </ext>
      </extLst>
    </bk>
    <bk>
      <extLst>
        <ext uri="{3e2802c4-a4d2-4d8b-9148-e3be6c30e623}">
          <xlrd:rvb i="1763"/>
        </ext>
      </extLst>
    </bk>
    <bk>
      <extLst>
        <ext uri="{3e2802c4-a4d2-4d8b-9148-e3be6c30e623}">
          <xlrd:rvb i="1764"/>
        </ext>
      </extLst>
    </bk>
    <bk>
      <extLst>
        <ext uri="{3e2802c4-a4d2-4d8b-9148-e3be6c30e623}">
          <xlrd:rvb i="1765"/>
        </ext>
      </extLst>
    </bk>
    <bk>
      <extLst>
        <ext uri="{3e2802c4-a4d2-4d8b-9148-e3be6c30e623}">
          <xlrd:rvb i="1766"/>
        </ext>
      </extLst>
    </bk>
    <bk>
      <extLst>
        <ext uri="{3e2802c4-a4d2-4d8b-9148-e3be6c30e623}">
          <xlrd:rvb i="1767"/>
        </ext>
      </extLst>
    </bk>
    <bk>
      <extLst>
        <ext uri="{3e2802c4-a4d2-4d8b-9148-e3be6c30e623}">
          <xlrd:rvb i="1768"/>
        </ext>
      </extLst>
    </bk>
    <bk>
      <extLst>
        <ext uri="{3e2802c4-a4d2-4d8b-9148-e3be6c30e623}">
          <xlrd:rvb i="1769"/>
        </ext>
      </extLst>
    </bk>
    <bk>
      <extLst>
        <ext uri="{3e2802c4-a4d2-4d8b-9148-e3be6c30e623}">
          <xlrd:rvb i="1770"/>
        </ext>
      </extLst>
    </bk>
    <bk>
      <extLst>
        <ext uri="{3e2802c4-a4d2-4d8b-9148-e3be6c30e623}">
          <xlrd:rvb i="1771"/>
        </ext>
      </extLst>
    </bk>
    <bk>
      <extLst>
        <ext uri="{3e2802c4-a4d2-4d8b-9148-e3be6c30e623}">
          <xlrd:rvb i="1772"/>
        </ext>
      </extLst>
    </bk>
    <bk>
      <extLst>
        <ext uri="{3e2802c4-a4d2-4d8b-9148-e3be6c30e623}">
          <xlrd:rvb i="1773"/>
        </ext>
      </extLst>
    </bk>
    <bk>
      <extLst>
        <ext uri="{3e2802c4-a4d2-4d8b-9148-e3be6c30e623}">
          <xlrd:rvb i="1774"/>
        </ext>
      </extLst>
    </bk>
    <bk>
      <extLst>
        <ext uri="{3e2802c4-a4d2-4d8b-9148-e3be6c30e623}">
          <xlrd:rvb i="1775"/>
        </ext>
      </extLst>
    </bk>
    <bk>
      <extLst>
        <ext uri="{3e2802c4-a4d2-4d8b-9148-e3be6c30e623}">
          <xlrd:rvb i="1776"/>
        </ext>
      </extLst>
    </bk>
    <bk>
      <extLst>
        <ext uri="{3e2802c4-a4d2-4d8b-9148-e3be6c30e623}">
          <xlrd:rvb i="1777"/>
        </ext>
      </extLst>
    </bk>
    <bk>
      <extLst>
        <ext uri="{3e2802c4-a4d2-4d8b-9148-e3be6c30e623}">
          <xlrd:rvb i="1778"/>
        </ext>
      </extLst>
    </bk>
    <bk>
      <extLst>
        <ext uri="{3e2802c4-a4d2-4d8b-9148-e3be6c30e623}">
          <xlrd:rvb i="1779"/>
        </ext>
      </extLst>
    </bk>
    <bk>
      <extLst>
        <ext uri="{3e2802c4-a4d2-4d8b-9148-e3be6c30e623}">
          <xlrd:rvb i="1780"/>
        </ext>
      </extLst>
    </bk>
    <bk>
      <extLst>
        <ext uri="{3e2802c4-a4d2-4d8b-9148-e3be6c30e623}">
          <xlrd:rvb i="1781"/>
        </ext>
      </extLst>
    </bk>
    <bk>
      <extLst>
        <ext uri="{3e2802c4-a4d2-4d8b-9148-e3be6c30e623}">
          <xlrd:rvb i="1782"/>
        </ext>
      </extLst>
    </bk>
    <bk>
      <extLst>
        <ext uri="{3e2802c4-a4d2-4d8b-9148-e3be6c30e623}">
          <xlrd:rvb i="1783"/>
        </ext>
      </extLst>
    </bk>
    <bk>
      <extLst>
        <ext uri="{3e2802c4-a4d2-4d8b-9148-e3be6c30e623}">
          <xlrd:rvb i="1784"/>
        </ext>
      </extLst>
    </bk>
    <bk>
      <extLst>
        <ext uri="{3e2802c4-a4d2-4d8b-9148-e3be6c30e623}">
          <xlrd:rvb i="1785"/>
        </ext>
      </extLst>
    </bk>
    <bk>
      <extLst>
        <ext uri="{3e2802c4-a4d2-4d8b-9148-e3be6c30e623}">
          <xlrd:rvb i="1786"/>
        </ext>
      </extLst>
    </bk>
    <bk>
      <extLst>
        <ext uri="{3e2802c4-a4d2-4d8b-9148-e3be6c30e623}">
          <xlrd:rvb i="1787"/>
        </ext>
      </extLst>
    </bk>
    <bk>
      <extLst>
        <ext uri="{3e2802c4-a4d2-4d8b-9148-e3be6c30e623}">
          <xlrd:rvb i="1788"/>
        </ext>
      </extLst>
    </bk>
    <bk>
      <extLst>
        <ext uri="{3e2802c4-a4d2-4d8b-9148-e3be6c30e623}">
          <xlrd:rvb i="1789"/>
        </ext>
      </extLst>
    </bk>
    <bk>
      <extLst>
        <ext uri="{3e2802c4-a4d2-4d8b-9148-e3be6c30e623}">
          <xlrd:rvb i="1790"/>
        </ext>
      </extLst>
    </bk>
    <bk>
      <extLst>
        <ext uri="{3e2802c4-a4d2-4d8b-9148-e3be6c30e623}">
          <xlrd:rvb i="1791"/>
        </ext>
      </extLst>
    </bk>
    <bk>
      <extLst>
        <ext uri="{3e2802c4-a4d2-4d8b-9148-e3be6c30e623}">
          <xlrd:rvb i="1792"/>
        </ext>
      </extLst>
    </bk>
    <bk>
      <extLst>
        <ext uri="{3e2802c4-a4d2-4d8b-9148-e3be6c30e623}">
          <xlrd:rvb i="1793"/>
        </ext>
      </extLst>
    </bk>
    <bk>
      <extLst>
        <ext uri="{3e2802c4-a4d2-4d8b-9148-e3be6c30e623}">
          <xlrd:rvb i="1794"/>
        </ext>
      </extLst>
    </bk>
    <bk>
      <extLst>
        <ext uri="{3e2802c4-a4d2-4d8b-9148-e3be6c30e623}">
          <xlrd:rvb i="1795"/>
        </ext>
      </extLst>
    </bk>
    <bk>
      <extLst>
        <ext uri="{3e2802c4-a4d2-4d8b-9148-e3be6c30e623}">
          <xlrd:rvb i="1796"/>
        </ext>
      </extLst>
    </bk>
    <bk>
      <extLst>
        <ext uri="{3e2802c4-a4d2-4d8b-9148-e3be6c30e623}">
          <xlrd:rvb i="1797"/>
        </ext>
      </extLst>
    </bk>
    <bk>
      <extLst>
        <ext uri="{3e2802c4-a4d2-4d8b-9148-e3be6c30e623}">
          <xlrd:rvb i="1798"/>
        </ext>
      </extLst>
    </bk>
    <bk>
      <extLst>
        <ext uri="{3e2802c4-a4d2-4d8b-9148-e3be6c30e623}">
          <xlrd:rvb i="1799"/>
        </ext>
      </extLst>
    </bk>
    <bk>
      <extLst>
        <ext uri="{3e2802c4-a4d2-4d8b-9148-e3be6c30e623}">
          <xlrd:rvb i="1800"/>
        </ext>
      </extLst>
    </bk>
    <bk>
      <extLst>
        <ext uri="{3e2802c4-a4d2-4d8b-9148-e3be6c30e623}">
          <xlrd:rvb i="1801"/>
        </ext>
      </extLst>
    </bk>
    <bk>
      <extLst>
        <ext uri="{3e2802c4-a4d2-4d8b-9148-e3be6c30e623}">
          <xlrd:rvb i="1802"/>
        </ext>
      </extLst>
    </bk>
    <bk>
      <extLst>
        <ext uri="{3e2802c4-a4d2-4d8b-9148-e3be6c30e623}">
          <xlrd:rvb i="1803"/>
        </ext>
      </extLst>
    </bk>
    <bk>
      <extLst>
        <ext uri="{3e2802c4-a4d2-4d8b-9148-e3be6c30e623}">
          <xlrd:rvb i="1804"/>
        </ext>
      </extLst>
    </bk>
    <bk>
      <extLst>
        <ext uri="{3e2802c4-a4d2-4d8b-9148-e3be6c30e623}">
          <xlrd:rvb i="1805"/>
        </ext>
      </extLst>
    </bk>
    <bk>
      <extLst>
        <ext uri="{3e2802c4-a4d2-4d8b-9148-e3be6c30e623}">
          <xlrd:rvb i="1806"/>
        </ext>
      </extLst>
    </bk>
    <bk>
      <extLst>
        <ext uri="{3e2802c4-a4d2-4d8b-9148-e3be6c30e623}">
          <xlrd:rvb i="1807"/>
        </ext>
      </extLst>
    </bk>
    <bk>
      <extLst>
        <ext uri="{3e2802c4-a4d2-4d8b-9148-e3be6c30e623}">
          <xlrd:rvb i="1808"/>
        </ext>
      </extLst>
    </bk>
    <bk>
      <extLst>
        <ext uri="{3e2802c4-a4d2-4d8b-9148-e3be6c30e623}">
          <xlrd:rvb i="1809"/>
        </ext>
      </extLst>
    </bk>
    <bk>
      <extLst>
        <ext uri="{3e2802c4-a4d2-4d8b-9148-e3be6c30e623}">
          <xlrd:rvb i="1810"/>
        </ext>
      </extLst>
    </bk>
    <bk>
      <extLst>
        <ext uri="{3e2802c4-a4d2-4d8b-9148-e3be6c30e623}">
          <xlrd:rvb i="1811"/>
        </ext>
      </extLst>
    </bk>
    <bk>
      <extLst>
        <ext uri="{3e2802c4-a4d2-4d8b-9148-e3be6c30e623}">
          <xlrd:rvb i="1812"/>
        </ext>
      </extLst>
    </bk>
    <bk>
      <extLst>
        <ext uri="{3e2802c4-a4d2-4d8b-9148-e3be6c30e623}">
          <xlrd:rvb i="1813"/>
        </ext>
      </extLst>
    </bk>
    <bk>
      <extLst>
        <ext uri="{3e2802c4-a4d2-4d8b-9148-e3be6c30e623}">
          <xlrd:rvb i="1814"/>
        </ext>
      </extLst>
    </bk>
    <bk>
      <extLst>
        <ext uri="{3e2802c4-a4d2-4d8b-9148-e3be6c30e623}">
          <xlrd:rvb i="1815"/>
        </ext>
      </extLst>
    </bk>
    <bk>
      <extLst>
        <ext uri="{3e2802c4-a4d2-4d8b-9148-e3be6c30e623}">
          <xlrd:rvb i="1816"/>
        </ext>
      </extLst>
    </bk>
    <bk>
      <extLst>
        <ext uri="{3e2802c4-a4d2-4d8b-9148-e3be6c30e623}">
          <xlrd:rvb i="1817"/>
        </ext>
      </extLst>
    </bk>
    <bk>
      <extLst>
        <ext uri="{3e2802c4-a4d2-4d8b-9148-e3be6c30e623}">
          <xlrd:rvb i="1818"/>
        </ext>
      </extLst>
    </bk>
    <bk>
      <extLst>
        <ext uri="{3e2802c4-a4d2-4d8b-9148-e3be6c30e623}">
          <xlrd:rvb i="1819"/>
        </ext>
      </extLst>
    </bk>
    <bk>
      <extLst>
        <ext uri="{3e2802c4-a4d2-4d8b-9148-e3be6c30e623}">
          <xlrd:rvb i="1820"/>
        </ext>
      </extLst>
    </bk>
    <bk>
      <extLst>
        <ext uri="{3e2802c4-a4d2-4d8b-9148-e3be6c30e623}">
          <xlrd:rvb i="1821"/>
        </ext>
      </extLst>
    </bk>
    <bk>
      <extLst>
        <ext uri="{3e2802c4-a4d2-4d8b-9148-e3be6c30e623}">
          <xlrd:rvb i="1822"/>
        </ext>
      </extLst>
    </bk>
    <bk>
      <extLst>
        <ext uri="{3e2802c4-a4d2-4d8b-9148-e3be6c30e623}">
          <xlrd:rvb i="1823"/>
        </ext>
      </extLst>
    </bk>
    <bk>
      <extLst>
        <ext uri="{3e2802c4-a4d2-4d8b-9148-e3be6c30e623}">
          <xlrd:rvb i="1824"/>
        </ext>
      </extLst>
    </bk>
    <bk>
      <extLst>
        <ext uri="{3e2802c4-a4d2-4d8b-9148-e3be6c30e623}">
          <xlrd:rvb i="1825"/>
        </ext>
      </extLst>
    </bk>
    <bk>
      <extLst>
        <ext uri="{3e2802c4-a4d2-4d8b-9148-e3be6c30e623}">
          <xlrd:rvb i="1826"/>
        </ext>
      </extLst>
    </bk>
    <bk>
      <extLst>
        <ext uri="{3e2802c4-a4d2-4d8b-9148-e3be6c30e623}">
          <xlrd:rvb i="1827"/>
        </ext>
      </extLst>
    </bk>
    <bk>
      <extLst>
        <ext uri="{3e2802c4-a4d2-4d8b-9148-e3be6c30e623}">
          <xlrd:rvb i="1828"/>
        </ext>
      </extLst>
    </bk>
    <bk>
      <extLst>
        <ext uri="{3e2802c4-a4d2-4d8b-9148-e3be6c30e623}">
          <xlrd:rvb i="1829"/>
        </ext>
      </extLst>
    </bk>
    <bk>
      <extLst>
        <ext uri="{3e2802c4-a4d2-4d8b-9148-e3be6c30e623}">
          <xlrd:rvb i="1830"/>
        </ext>
      </extLst>
    </bk>
    <bk>
      <extLst>
        <ext uri="{3e2802c4-a4d2-4d8b-9148-e3be6c30e623}">
          <xlrd:rvb i="1831"/>
        </ext>
      </extLst>
    </bk>
    <bk>
      <extLst>
        <ext uri="{3e2802c4-a4d2-4d8b-9148-e3be6c30e623}">
          <xlrd:rvb i="1832"/>
        </ext>
      </extLst>
    </bk>
    <bk>
      <extLst>
        <ext uri="{3e2802c4-a4d2-4d8b-9148-e3be6c30e623}">
          <xlrd:rvb i="1833"/>
        </ext>
      </extLst>
    </bk>
    <bk>
      <extLst>
        <ext uri="{3e2802c4-a4d2-4d8b-9148-e3be6c30e623}">
          <xlrd:rvb i="1834"/>
        </ext>
      </extLst>
    </bk>
    <bk>
      <extLst>
        <ext uri="{3e2802c4-a4d2-4d8b-9148-e3be6c30e623}">
          <xlrd:rvb i="1835"/>
        </ext>
      </extLst>
    </bk>
    <bk>
      <extLst>
        <ext uri="{3e2802c4-a4d2-4d8b-9148-e3be6c30e623}">
          <xlrd:rvb i="1836"/>
        </ext>
      </extLst>
    </bk>
    <bk>
      <extLst>
        <ext uri="{3e2802c4-a4d2-4d8b-9148-e3be6c30e623}">
          <xlrd:rvb i="1837"/>
        </ext>
      </extLst>
    </bk>
    <bk>
      <extLst>
        <ext uri="{3e2802c4-a4d2-4d8b-9148-e3be6c30e623}">
          <xlrd:rvb i="1838"/>
        </ext>
      </extLst>
    </bk>
    <bk>
      <extLst>
        <ext uri="{3e2802c4-a4d2-4d8b-9148-e3be6c30e623}">
          <xlrd:rvb i="1839"/>
        </ext>
      </extLst>
    </bk>
    <bk>
      <extLst>
        <ext uri="{3e2802c4-a4d2-4d8b-9148-e3be6c30e623}">
          <xlrd:rvb i="1840"/>
        </ext>
      </extLst>
    </bk>
    <bk>
      <extLst>
        <ext uri="{3e2802c4-a4d2-4d8b-9148-e3be6c30e623}">
          <xlrd:rvb i="1841"/>
        </ext>
      </extLst>
    </bk>
    <bk>
      <extLst>
        <ext uri="{3e2802c4-a4d2-4d8b-9148-e3be6c30e623}">
          <xlrd:rvb i="1842"/>
        </ext>
      </extLst>
    </bk>
    <bk>
      <extLst>
        <ext uri="{3e2802c4-a4d2-4d8b-9148-e3be6c30e623}">
          <xlrd:rvb i="1843"/>
        </ext>
      </extLst>
    </bk>
    <bk>
      <extLst>
        <ext uri="{3e2802c4-a4d2-4d8b-9148-e3be6c30e623}">
          <xlrd:rvb i="1844"/>
        </ext>
      </extLst>
    </bk>
    <bk>
      <extLst>
        <ext uri="{3e2802c4-a4d2-4d8b-9148-e3be6c30e623}">
          <xlrd:rvb i="1845"/>
        </ext>
      </extLst>
    </bk>
    <bk>
      <extLst>
        <ext uri="{3e2802c4-a4d2-4d8b-9148-e3be6c30e623}">
          <xlrd:rvb i="1846"/>
        </ext>
      </extLst>
    </bk>
    <bk>
      <extLst>
        <ext uri="{3e2802c4-a4d2-4d8b-9148-e3be6c30e623}">
          <xlrd:rvb i="1847"/>
        </ext>
      </extLst>
    </bk>
    <bk>
      <extLst>
        <ext uri="{3e2802c4-a4d2-4d8b-9148-e3be6c30e623}">
          <xlrd:rvb i="1848"/>
        </ext>
      </extLst>
    </bk>
    <bk>
      <extLst>
        <ext uri="{3e2802c4-a4d2-4d8b-9148-e3be6c30e623}">
          <xlrd:rvb i="1849"/>
        </ext>
      </extLst>
    </bk>
    <bk>
      <extLst>
        <ext uri="{3e2802c4-a4d2-4d8b-9148-e3be6c30e623}">
          <xlrd:rvb i="1850"/>
        </ext>
      </extLst>
    </bk>
    <bk>
      <extLst>
        <ext uri="{3e2802c4-a4d2-4d8b-9148-e3be6c30e623}">
          <xlrd:rvb i="1851"/>
        </ext>
      </extLst>
    </bk>
    <bk>
      <extLst>
        <ext uri="{3e2802c4-a4d2-4d8b-9148-e3be6c30e623}">
          <xlrd:rvb i="1852"/>
        </ext>
      </extLst>
    </bk>
    <bk>
      <extLst>
        <ext uri="{3e2802c4-a4d2-4d8b-9148-e3be6c30e623}">
          <xlrd:rvb i="1853"/>
        </ext>
      </extLst>
    </bk>
    <bk>
      <extLst>
        <ext uri="{3e2802c4-a4d2-4d8b-9148-e3be6c30e623}">
          <xlrd:rvb i="1854"/>
        </ext>
      </extLst>
    </bk>
    <bk>
      <extLst>
        <ext uri="{3e2802c4-a4d2-4d8b-9148-e3be6c30e623}">
          <xlrd:rvb i="1855"/>
        </ext>
      </extLst>
    </bk>
    <bk>
      <extLst>
        <ext uri="{3e2802c4-a4d2-4d8b-9148-e3be6c30e623}">
          <xlrd:rvb i="1856"/>
        </ext>
      </extLst>
    </bk>
    <bk>
      <extLst>
        <ext uri="{3e2802c4-a4d2-4d8b-9148-e3be6c30e623}">
          <xlrd:rvb i="1857"/>
        </ext>
      </extLst>
    </bk>
    <bk>
      <extLst>
        <ext uri="{3e2802c4-a4d2-4d8b-9148-e3be6c30e623}">
          <xlrd:rvb i="1858"/>
        </ext>
      </extLst>
    </bk>
    <bk>
      <extLst>
        <ext uri="{3e2802c4-a4d2-4d8b-9148-e3be6c30e623}">
          <xlrd:rvb i="1859"/>
        </ext>
      </extLst>
    </bk>
    <bk>
      <extLst>
        <ext uri="{3e2802c4-a4d2-4d8b-9148-e3be6c30e623}">
          <xlrd:rvb i="1860"/>
        </ext>
      </extLst>
    </bk>
    <bk>
      <extLst>
        <ext uri="{3e2802c4-a4d2-4d8b-9148-e3be6c30e623}">
          <xlrd:rvb i="1861"/>
        </ext>
      </extLst>
    </bk>
    <bk>
      <extLst>
        <ext uri="{3e2802c4-a4d2-4d8b-9148-e3be6c30e623}">
          <xlrd:rvb i="1862"/>
        </ext>
      </extLst>
    </bk>
    <bk>
      <extLst>
        <ext uri="{3e2802c4-a4d2-4d8b-9148-e3be6c30e623}">
          <xlrd:rvb i="1863"/>
        </ext>
      </extLst>
    </bk>
    <bk>
      <extLst>
        <ext uri="{3e2802c4-a4d2-4d8b-9148-e3be6c30e623}">
          <xlrd:rvb i="1864"/>
        </ext>
      </extLst>
    </bk>
    <bk>
      <extLst>
        <ext uri="{3e2802c4-a4d2-4d8b-9148-e3be6c30e623}">
          <xlrd:rvb i="1865"/>
        </ext>
      </extLst>
    </bk>
    <bk>
      <extLst>
        <ext uri="{3e2802c4-a4d2-4d8b-9148-e3be6c30e623}">
          <xlrd:rvb i="1866"/>
        </ext>
      </extLst>
    </bk>
    <bk>
      <extLst>
        <ext uri="{3e2802c4-a4d2-4d8b-9148-e3be6c30e623}">
          <xlrd:rvb i="1867"/>
        </ext>
      </extLst>
    </bk>
    <bk>
      <extLst>
        <ext uri="{3e2802c4-a4d2-4d8b-9148-e3be6c30e623}">
          <xlrd:rvb i="1868"/>
        </ext>
      </extLst>
    </bk>
    <bk>
      <extLst>
        <ext uri="{3e2802c4-a4d2-4d8b-9148-e3be6c30e623}">
          <xlrd:rvb i="1869"/>
        </ext>
      </extLst>
    </bk>
    <bk>
      <extLst>
        <ext uri="{3e2802c4-a4d2-4d8b-9148-e3be6c30e623}">
          <xlrd:rvb i="1870"/>
        </ext>
      </extLst>
    </bk>
    <bk>
      <extLst>
        <ext uri="{3e2802c4-a4d2-4d8b-9148-e3be6c30e623}">
          <xlrd:rvb i="1871"/>
        </ext>
      </extLst>
    </bk>
    <bk>
      <extLst>
        <ext uri="{3e2802c4-a4d2-4d8b-9148-e3be6c30e623}">
          <xlrd:rvb i="1872"/>
        </ext>
      </extLst>
    </bk>
    <bk>
      <extLst>
        <ext uri="{3e2802c4-a4d2-4d8b-9148-e3be6c30e623}">
          <xlrd:rvb i="1873"/>
        </ext>
      </extLst>
    </bk>
    <bk>
      <extLst>
        <ext uri="{3e2802c4-a4d2-4d8b-9148-e3be6c30e623}">
          <xlrd:rvb i="1874"/>
        </ext>
      </extLst>
    </bk>
    <bk>
      <extLst>
        <ext uri="{3e2802c4-a4d2-4d8b-9148-e3be6c30e623}">
          <xlrd:rvb i="1875"/>
        </ext>
      </extLst>
    </bk>
    <bk>
      <extLst>
        <ext uri="{3e2802c4-a4d2-4d8b-9148-e3be6c30e623}">
          <xlrd:rvb i="1876"/>
        </ext>
      </extLst>
    </bk>
    <bk>
      <extLst>
        <ext uri="{3e2802c4-a4d2-4d8b-9148-e3be6c30e623}">
          <xlrd:rvb i="1877"/>
        </ext>
      </extLst>
    </bk>
    <bk>
      <extLst>
        <ext uri="{3e2802c4-a4d2-4d8b-9148-e3be6c30e623}">
          <xlrd:rvb i="1878"/>
        </ext>
      </extLst>
    </bk>
    <bk>
      <extLst>
        <ext uri="{3e2802c4-a4d2-4d8b-9148-e3be6c30e623}">
          <xlrd:rvb i="1879"/>
        </ext>
      </extLst>
    </bk>
    <bk>
      <extLst>
        <ext uri="{3e2802c4-a4d2-4d8b-9148-e3be6c30e623}">
          <xlrd:rvb i="1880"/>
        </ext>
      </extLst>
    </bk>
    <bk>
      <extLst>
        <ext uri="{3e2802c4-a4d2-4d8b-9148-e3be6c30e623}">
          <xlrd:rvb i="1881"/>
        </ext>
      </extLst>
    </bk>
    <bk>
      <extLst>
        <ext uri="{3e2802c4-a4d2-4d8b-9148-e3be6c30e623}">
          <xlrd:rvb i="1882"/>
        </ext>
      </extLst>
    </bk>
    <bk>
      <extLst>
        <ext uri="{3e2802c4-a4d2-4d8b-9148-e3be6c30e623}">
          <xlrd:rvb i="1883"/>
        </ext>
      </extLst>
    </bk>
    <bk>
      <extLst>
        <ext uri="{3e2802c4-a4d2-4d8b-9148-e3be6c30e623}">
          <xlrd:rvb i="1884"/>
        </ext>
      </extLst>
    </bk>
    <bk>
      <extLst>
        <ext uri="{3e2802c4-a4d2-4d8b-9148-e3be6c30e623}">
          <xlrd:rvb i="1885"/>
        </ext>
      </extLst>
    </bk>
    <bk>
      <extLst>
        <ext uri="{3e2802c4-a4d2-4d8b-9148-e3be6c30e623}">
          <xlrd:rvb i="1886"/>
        </ext>
      </extLst>
    </bk>
    <bk>
      <extLst>
        <ext uri="{3e2802c4-a4d2-4d8b-9148-e3be6c30e623}">
          <xlrd:rvb i="1887"/>
        </ext>
      </extLst>
    </bk>
    <bk>
      <extLst>
        <ext uri="{3e2802c4-a4d2-4d8b-9148-e3be6c30e623}">
          <xlrd:rvb i="1888"/>
        </ext>
      </extLst>
    </bk>
    <bk>
      <extLst>
        <ext uri="{3e2802c4-a4d2-4d8b-9148-e3be6c30e623}">
          <xlrd:rvb i="1889"/>
        </ext>
      </extLst>
    </bk>
    <bk>
      <extLst>
        <ext uri="{3e2802c4-a4d2-4d8b-9148-e3be6c30e623}">
          <xlrd:rvb i="1890"/>
        </ext>
      </extLst>
    </bk>
    <bk>
      <extLst>
        <ext uri="{3e2802c4-a4d2-4d8b-9148-e3be6c30e623}">
          <xlrd:rvb i="1891"/>
        </ext>
      </extLst>
    </bk>
    <bk>
      <extLst>
        <ext uri="{3e2802c4-a4d2-4d8b-9148-e3be6c30e623}">
          <xlrd:rvb i="1892"/>
        </ext>
      </extLst>
    </bk>
    <bk>
      <extLst>
        <ext uri="{3e2802c4-a4d2-4d8b-9148-e3be6c30e623}">
          <xlrd:rvb i="1893"/>
        </ext>
      </extLst>
    </bk>
    <bk>
      <extLst>
        <ext uri="{3e2802c4-a4d2-4d8b-9148-e3be6c30e623}">
          <xlrd:rvb i="1894"/>
        </ext>
      </extLst>
    </bk>
    <bk>
      <extLst>
        <ext uri="{3e2802c4-a4d2-4d8b-9148-e3be6c30e623}">
          <xlrd:rvb i="1895"/>
        </ext>
      </extLst>
    </bk>
    <bk>
      <extLst>
        <ext uri="{3e2802c4-a4d2-4d8b-9148-e3be6c30e623}">
          <xlrd:rvb i="1896"/>
        </ext>
      </extLst>
    </bk>
    <bk>
      <extLst>
        <ext uri="{3e2802c4-a4d2-4d8b-9148-e3be6c30e623}">
          <xlrd:rvb i="1897"/>
        </ext>
      </extLst>
    </bk>
    <bk>
      <extLst>
        <ext uri="{3e2802c4-a4d2-4d8b-9148-e3be6c30e623}">
          <xlrd:rvb i="1898"/>
        </ext>
      </extLst>
    </bk>
    <bk>
      <extLst>
        <ext uri="{3e2802c4-a4d2-4d8b-9148-e3be6c30e623}">
          <xlrd:rvb i="1899"/>
        </ext>
      </extLst>
    </bk>
    <bk>
      <extLst>
        <ext uri="{3e2802c4-a4d2-4d8b-9148-e3be6c30e623}">
          <xlrd:rvb i="1900"/>
        </ext>
      </extLst>
    </bk>
    <bk>
      <extLst>
        <ext uri="{3e2802c4-a4d2-4d8b-9148-e3be6c30e623}">
          <xlrd:rvb i="1901"/>
        </ext>
      </extLst>
    </bk>
    <bk>
      <extLst>
        <ext uri="{3e2802c4-a4d2-4d8b-9148-e3be6c30e623}">
          <xlrd:rvb i="1902"/>
        </ext>
      </extLst>
    </bk>
    <bk>
      <extLst>
        <ext uri="{3e2802c4-a4d2-4d8b-9148-e3be6c30e623}">
          <xlrd:rvb i="1903"/>
        </ext>
      </extLst>
    </bk>
    <bk>
      <extLst>
        <ext uri="{3e2802c4-a4d2-4d8b-9148-e3be6c30e623}">
          <xlrd:rvb i="1904"/>
        </ext>
      </extLst>
    </bk>
    <bk>
      <extLst>
        <ext uri="{3e2802c4-a4d2-4d8b-9148-e3be6c30e623}">
          <xlrd:rvb i="1905"/>
        </ext>
      </extLst>
    </bk>
    <bk>
      <extLst>
        <ext uri="{3e2802c4-a4d2-4d8b-9148-e3be6c30e623}">
          <xlrd:rvb i="1906"/>
        </ext>
      </extLst>
    </bk>
    <bk>
      <extLst>
        <ext uri="{3e2802c4-a4d2-4d8b-9148-e3be6c30e623}">
          <xlrd:rvb i="1907"/>
        </ext>
      </extLst>
    </bk>
    <bk>
      <extLst>
        <ext uri="{3e2802c4-a4d2-4d8b-9148-e3be6c30e623}">
          <xlrd:rvb i="1908"/>
        </ext>
      </extLst>
    </bk>
    <bk>
      <extLst>
        <ext uri="{3e2802c4-a4d2-4d8b-9148-e3be6c30e623}">
          <xlrd:rvb i="1909"/>
        </ext>
      </extLst>
    </bk>
    <bk>
      <extLst>
        <ext uri="{3e2802c4-a4d2-4d8b-9148-e3be6c30e623}">
          <xlrd:rvb i="1910"/>
        </ext>
      </extLst>
    </bk>
    <bk>
      <extLst>
        <ext uri="{3e2802c4-a4d2-4d8b-9148-e3be6c30e623}">
          <xlrd:rvb i="1911"/>
        </ext>
      </extLst>
    </bk>
    <bk>
      <extLst>
        <ext uri="{3e2802c4-a4d2-4d8b-9148-e3be6c30e623}">
          <xlrd:rvb i="1912"/>
        </ext>
      </extLst>
    </bk>
    <bk>
      <extLst>
        <ext uri="{3e2802c4-a4d2-4d8b-9148-e3be6c30e623}">
          <xlrd:rvb i="1913"/>
        </ext>
      </extLst>
    </bk>
    <bk>
      <extLst>
        <ext uri="{3e2802c4-a4d2-4d8b-9148-e3be6c30e623}">
          <xlrd:rvb i="1914"/>
        </ext>
      </extLst>
    </bk>
    <bk>
      <extLst>
        <ext uri="{3e2802c4-a4d2-4d8b-9148-e3be6c30e623}">
          <xlrd:rvb i="1915"/>
        </ext>
      </extLst>
    </bk>
    <bk>
      <extLst>
        <ext uri="{3e2802c4-a4d2-4d8b-9148-e3be6c30e623}">
          <xlrd:rvb i="1916"/>
        </ext>
      </extLst>
    </bk>
    <bk>
      <extLst>
        <ext uri="{3e2802c4-a4d2-4d8b-9148-e3be6c30e623}">
          <xlrd:rvb i="1917"/>
        </ext>
      </extLst>
    </bk>
    <bk>
      <extLst>
        <ext uri="{3e2802c4-a4d2-4d8b-9148-e3be6c30e623}">
          <xlrd:rvb i="1918"/>
        </ext>
      </extLst>
    </bk>
    <bk>
      <extLst>
        <ext uri="{3e2802c4-a4d2-4d8b-9148-e3be6c30e623}">
          <xlrd:rvb i="1919"/>
        </ext>
      </extLst>
    </bk>
    <bk>
      <extLst>
        <ext uri="{3e2802c4-a4d2-4d8b-9148-e3be6c30e623}">
          <xlrd:rvb i="1920"/>
        </ext>
      </extLst>
    </bk>
    <bk>
      <extLst>
        <ext uri="{3e2802c4-a4d2-4d8b-9148-e3be6c30e623}">
          <xlrd:rvb i="1921"/>
        </ext>
      </extLst>
    </bk>
    <bk>
      <extLst>
        <ext uri="{3e2802c4-a4d2-4d8b-9148-e3be6c30e623}">
          <xlrd:rvb i="1922"/>
        </ext>
      </extLst>
    </bk>
    <bk>
      <extLst>
        <ext uri="{3e2802c4-a4d2-4d8b-9148-e3be6c30e623}">
          <xlrd:rvb i="1923"/>
        </ext>
      </extLst>
    </bk>
    <bk>
      <extLst>
        <ext uri="{3e2802c4-a4d2-4d8b-9148-e3be6c30e623}">
          <xlrd:rvb i="1924"/>
        </ext>
      </extLst>
    </bk>
    <bk>
      <extLst>
        <ext uri="{3e2802c4-a4d2-4d8b-9148-e3be6c30e623}">
          <xlrd:rvb i="1925"/>
        </ext>
      </extLst>
    </bk>
    <bk>
      <extLst>
        <ext uri="{3e2802c4-a4d2-4d8b-9148-e3be6c30e623}">
          <xlrd:rvb i="1926"/>
        </ext>
      </extLst>
    </bk>
    <bk>
      <extLst>
        <ext uri="{3e2802c4-a4d2-4d8b-9148-e3be6c30e623}">
          <xlrd:rvb i="1927"/>
        </ext>
      </extLst>
    </bk>
    <bk>
      <extLst>
        <ext uri="{3e2802c4-a4d2-4d8b-9148-e3be6c30e623}">
          <xlrd:rvb i="1928"/>
        </ext>
      </extLst>
    </bk>
    <bk>
      <extLst>
        <ext uri="{3e2802c4-a4d2-4d8b-9148-e3be6c30e623}">
          <xlrd:rvb i="1929"/>
        </ext>
      </extLst>
    </bk>
    <bk>
      <extLst>
        <ext uri="{3e2802c4-a4d2-4d8b-9148-e3be6c30e623}">
          <xlrd:rvb i="1930"/>
        </ext>
      </extLst>
    </bk>
    <bk>
      <extLst>
        <ext uri="{3e2802c4-a4d2-4d8b-9148-e3be6c30e623}">
          <xlrd:rvb i="1931"/>
        </ext>
      </extLst>
    </bk>
    <bk>
      <extLst>
        <ext uri="{3e2802c4-a4d2-4d8b-9148-e3be6c30e623}">
          <xlrd:rvb i="1932"/>
        </ext>
      </extLst>
    </bk>
    <bk>
      <extLst>
        <ext uri="{3e2802c4-a4d2-4d8b-9148-e3be6c30e623}">
          <xlrd:rvb i="1933"/>
        </ext>
      </extLst>
    </bk>
    <bk>
      <extLst>
        <ext uri="{3e2802c4-a4d2-4d8b-9148-e3be6c30e623}">
          <xlrd:rvb i="1934"/>
        </ext>
      </extLst>
    </bk>
    <bk>
      <extLst>
        <ext uri="{3e2802c4-a4d2-4d8b-9148-e3be6c30e623}">
          <xlrd:rvb i="1935"/>
        </ext>
      </extLst>
    </bk>
    <bk>
      <extLst>
        <ext uri="{3e2802c4-a4d2-4d8b-9148-e3be6c30e623}">
          <xlrd:rvb i="1936"/>
        </ext>
      </extLst>
    </bk>
    <bk>
      <extLst>
        <ext uri="{3e2802c4-a4d2-4d8b-9148-e3be6c30e623}">
          <xlrd:rvb i="1937"/>
        </ext>
      </extLst>
    </bk>
    <bk>
      <extLst>
        <ext uri="{3e2802c4-a4d2-4d8b-9148-e3be6c30e623}">
          <xlrd:rvb i="1938"/>
        </ext>
      </extLst>
    </bk>
    <bk>
      <extLst>
        <ext uri="{3e2802c4-a4d2-4d8b-9148-e3be6c30e623}">
          <xlrd:rvb i="1939"/>
        </ext>
      </extLst>
    </bk>
    <bk>
      <extLst>
        <ext uri="{3e2802c4-a4d2-4d8b-9148-e3be6c30e623}">
          <xlrd:rvb i="1940"/>
        </ext>
      </extLst>
    </bk>
    <bk>
      <extLst>
        <ext uri="{3e2802c4-a4d2-4d8b-9148-e3be6c30e623}">
          <xlrd:rvb i="1941"/>
        </ext>
      </extLst>
    </bk>
    <bk>
      <extLst>
        <ext uri="{3e2802c4-a4d2-4d8b-9148-e3be6c30e623}">
          <xlrd:rvb i="1942"/>
        </ext>
      </extLst>
    </bk>
    <bk>
      <extLst>
        <ext uri="{3e2802c4-a4d2-4d8b-9148-e3be6c30e623}">
          <xlrd:rvb i="1943"/>
        </ext>
      </extLst>
    </bk>
    <bk>
      <extLst>
        <ext uri="{3e2802c4-a4d2-4d8b-9148-e3be6c30e623}">
          <xlrd:rvb i="1944"/>
        </ext>
      </extLst>
    </bk>
    <bk>
      <extLst>
        <ext uri="{3e2802c4-a4d2-4d8b-9148-e3be6c30e623}">
          <xlrd:rvb i="1945"/>
        </ext>
      </extLst>
    </bk>
    <bk>
      <extLst>
        <ext uri="{3e2802c4-a4d2-4d8b-9148-e3be6c30e623}">
          <xlrd:rvb i="1946"/>
        </ext>
      </extLst>
    </bk>
    <bk>
      <extLst>
        <ext uri="{3e2802c4-a4d2-4d8b-9148-e3be6c30e623}">
          <xlrd:rvb i="1947"/>
        </ext>
      </extLst>
    </bk>
    <bk>
      <extLst>
        <ext uri="{3e2802c4-a4d2-4d8b-9148-e3be6c30e623}">
          <xlrd:rvb i="1948"/>
        </ext>
      </extLst>
    </bk>
    <bk>
      <extLst>
        <ext uri="{3e2802c4-a4d2-4d8b-9148-e3be6c30e623}">
          <xlrd:rvb i="1949"/>
        </ext>
      </extLst>
    </bk>
    <bk>
      <extLst>
        <ext uri="{3e2802c4-a4d2-4d8b-9148-e3be6c30e623}">
          <xlrd:rvb i="1950"/>
        </ext>
      </extLst>
    </bk>
    <bk>
      <extLst>
        <ext uri="{3e2802c4-a4d2-4d8b-9148-e3be6c30e623}">
          <xlrd:rvb i="1951"/>
        </ext>
      </extLst>
    </bk>
    <bk>
      <extLst>
        <ext uri="{3e2802c4-a4d2-4d8b-9148-e3be6c30e623}">
          <xlrd:rvb i="1952"/>
        </ext>
      </extLst>
    </bk>
    <bk>
      <extLst>
        <ext uri="{3e2802c4-a4d2-4d8b-9148-e3be6c30e623}">
          <xlrd:rvb i="1953"/>
        </ext>
      </extLst>
    </bk>
    <bk>
      <extLst>
        <ext uri="{3e2802c4-a4d2-4d8b-9148-e3be6c30e623}">
          <xlrd:rvb i="1954"/>
        </ext>
      </extLst>
    </bk>
    <bk>
      <extLst>
        <ext uri="{3e2802c4-a4d2-4d8b-9148-e3be6c30e623}">
          <xlrd:rvb i="1955"/>
        </ext>
      </extLst>
    </bk>
    <bk>
      <extLst>
        <ext uri="{3e2802c4-a4d2-4d8b-9148-e3be6c30e623}">
          <xlrd:rvb i="1956"/>
        </ext>
      </extLst>
    </bk>
    <bk>
      <extLst>
        <ext uri="{3e2802c4-a4d2-4d8b-9148-e3be6c30e623}">
          <xlrd:rvb i="1957"/>
        </ext>
      </extLst>
    </bk>
    <bk>
      <extLst>
        <ext uri="{3e2802c4-a4d2-4d8b-9148-e3be6c30e623}">
          <xlrd:rvb i="1958"/>
        </ext>
      </extLst>
    </bk>
    <bk>
      <extLst>
        <ext uri="{3e2802c4-a4d2-4d8b-9148-e3be6c30e623}">
          <xlrd:rvb i="1959"/>
        </ext>
      </extLst>
    </bk>
    <bk>
      <extLst>
        <ext uri="{3e2802c4-a4d2-4d8b-9148-e3be6c30e623}">
          <xlrd:rvb i="1960"/>
        </ext>
      </extLst>
    </bk>
    <bk>
      <extLst>
        <ext uri="{3e2802c4-a4d2-4d8b-9148-e3be6c30e623}">
          <xlrd:rvb i="1961"/>
        </ext>
      </extLst>
    </bk>
    <bk>
      <extLst>
        <ext uri="{3e2802c4-a4d2-4d8b-9148-e3be6c30e623}">
          <xlrd:rvb i="1962"/>
        </ext>
      </extLst>
    </bk>
    <bk>
      <extLst>
        <ext uri="{3e2802c4-a4d2-4d8b-9148-e3be6c30e623}">
          <xlrd:rvb i="1963"/>
        </ext>
      </extLst>
    </bk>
    <bk>
      <extLst>
        <ext uri="{3e2802c4-a4d2-4d8b-9148-e3be6c30e623}">
          <xlrd:rvb i="1964"/>
        </ext>
      </extLst>
    </bk>
    <bk>
      <extLst>
        <ext uri="{3e2802c4-a4d2-4d8b-9148-e3be6c30e623}">
          <xlrd:rvb i="1965"/>
        </ext>
      </extLst>
    </bk>
    <bk>
      <extLst>
        <ext uri="{3e2802c4-a4d2-4d8b-9148-e3be6c30e623}">
          <xlrd:rvb i="1966"/>
        </ext>
      </extLst>
    </bk>
    <bk>
      <extLst>
        <ext uri="{3e2802c4-a4d2-4d8b-9148-e3be6c30e623}">
          <xlrd:rvb i="1967"/>
        </ext>
      </extLst>
    </bk>
    <bk>
      <extLst>
        <ext uri="{3e2802c4-a4d2-4d8b-9148-e3be6c30e623}">
          <xlrd:rvb i="1968"/>
        </ext>
      </extLst>
    </bk>
    <bk>
      <extLst>
        <ext uri="{3e2802c4-a4d2-4d8b-9148-e3be6c30e623}">
          <xlrd:rvb i="1969"/>
        </ext>
      </extLst>
    </bk>
    <bk>
      <extLst>
        <ext uri="{3e2802c4-a4d2-4d8b-9148-e3be6c30e623}">
          <xlrd:rvb i="1970"/>
        </ext>
      </extLst>
    </bk>
    <bk>
      <extLst>
        <ext uri="{3e2802c4-a4d2-4d8b-9148-e3be6c30e623}">
          <xlrd:rvb i="1971"/>
        </ext>
      </extLst>
    </bk>
    <bk>
      <extLst>
        <ext uri="{3e2802c4-a4d2-4d8b-9148-e3be6c30e623}">
          <xlrd:rvb i="1972"/>
        </ext>
      </extLst>
    </bk>
    <bk>
      <extLst>
        <ext uri="{3e2802c4-a4d2-4d8b-9148-e3be6c30e623}">
          <xlrd:rvb i="1973"/>
        </ext>
      </extLst>
    </bk>
    <bk>
      <extLst>
        <ext uri="{3e2802c4-a4d2-4d8b-9148-e3be6c30e623}">
          <xlrd:rvb i="1974"/>
        </ext>
      </extLst>
    </bk>
    <bk>
      <extLst>
        <ext uri="{3e2802c4-a4d2-4d8b-9148-e3be6c30e623}">
          <xlrd:rvb i="1975"/>
        </ext>
      </extLst>
    </bk>
    <bk>
      <extLst>
        <ext uri="{3e2802c4-a4d2-4d8b-9148-e3be6c30e623}">
          <xlrd:rvb i="1976"/>
        </ext>
      </extLst>
    </bk>
    <bk>
      <extLst>
        <ext uri="{3e2802c4-a4d2-4d8b-9148-e3be6c30e623}">
          <xlrd:rvb i="1977"/>
        </ext>
      </extLst>
    </bk>
    <bk>
      <extLst>
        <ext uri="{3e2802c4-a4d2-4d8b-9148-e3be6c30e623}">
          <xlrd:rvb i="1978"/>
        </ext>
      </extLst>
    </bk>
    <bk>
      <extLst>
        <ext uri="{3e2802c4-a4d2-4d8b-9148-e3be6c30e623}">
          <xlrd:rvb i="1979"/>
        </ext>
      </extLst>
    </bk>
    <bk>
      <extLst>
        <ext uri="{3e2802c4-a4d2-4d8b-9148-e3be6c30e623}">
          <xlrd:rvb i="1980"/>
        </ext>
      </extLst>
    </bk>
    <bk>
      <extLst>
        <ext uri="{3e2802c4-a4d2-4d8b-9148-e3be6c30e623}">
          <xlrd:rvb i="1981"/>
        </ext>
      </extLst>
    </bk>
    <bk>
      <extLst>
        <ext uri="{3e2802c4-a4d2-4d8b-9148-e3be6c30e623}">
          <xlrd:rvb i="1982"/>
        </ext>
      </extLst>
    </bk>
    <bk>
      <extLst>
        <ext uri="{3e2802c4-a4d2-4d8b-9148-e3be6c30e623}">
          <xlrd:rvb i="1983"/>
        </ext>
      </extLst>
    </bk>
    <bk>
      <extLst>
        <ext uri="{3e2802c4-a4d2-4d8b-9148-e3be6c30e623}">
          <xlrd:rvb i="1984"/>
        </ext>
      </extLst>
    </bk>
    <bk>
      <extLst>
        <ext uri="{3e2802c4-a4d2-4d8b-9148-e3be6c30e623}">
          <xlrd:rvb i="1985"/>
        </ext>
      </extLst>
    </bk>
    <bk>
      <extLst>
        <ext uri="{3e2802c4-a4d2-4d8b-9148-e3be6c30e623}">
          <xlrd:rvb i="1986"/>
        </ext>
      </extLst>
    </bk>
    <bk>
      <extLst>
        <ext uri="{3e2802c4-a4d2-4d8b-9148-e3be6c30e623}">
          <xlrd:rvb i="1987"/>
        </ext>
      </extLst>
    </bk>
    <bk>
      <extLst>
        <ext uri="{3e2802c4-a4d2-4d8b-9148-e3be6c30e623}">
          <xlrd:rvb i="1988"/>
        </ext>
      </extLst>
    </bk>
    <bk>
      <extLst>
        <ext uri="{3e2802c4-a4d2-4d8b-9148-e3be6c30e623}">
          <xlrd:rvb i="1989"/>
        </ext>
      </extLst>
    </bk>
    <bk>
      <extLst>
        <ext uri="{3e2802c4-a4d2-4d8b-9148-e3be6c30e623}">
          <xlrd:rvb i="1990"/>
        </ext>
      </extLst>
    </bk>
    <bk>
      <extLst>
        <ext uri="{3e2802c4-a4d2-4d8b-9148-e3be6c30e623}">
          <xlrd:rvb i="1991"/>
        </ext>
      </extLst>
    </bk>
    <bk>
      <extLst>
        <ext uri="{3e2802c4-a4d2-4d8b-9148-e3be6c30e623}">
          <xlrd:rvb i="1992"/>
        </ext>
      </extLst>
    </bk>
    <bk>
      <extLst>
        <ext uri="{3e2802c4-a4d2-4d8b-9148-e3be6c30e623}">
          <xlrd:rvb i="1993"/>
        </ext>
      </extLst>
    </bk>
    <bk>
      <extLst>
        <ext uri="{3e2802c4-a4d2-4d8b-9148-e3be6c30e623}">
          <xlrd:rvb i="1994"/>
        </ext>
      </extLst>
    </bk>
    <bk>
      <extLst>
        <ext uri="{3e2802c4-a4d2-4d8b-9148-e3be6c30e623}">
          <xlrd:rvb i="1995"/>
        </ext>
      </extLst>
    </bk>
    <bk>
      <extLst>
        <ext uri="{3e2802c4-a4d2-4d8b-9148-e3be6c30e623}">
          <xlrd:rvb i="1996"/>
        </ext>
      </extLst>
    </bk>
    <bk>
      <extLst>
        <ext uri="{3e2802c4-a4d2-4d8b-9148-e3be6c30e623}">
          <xlrd:rvb i="1997"/>
        </ext>
      </extLst>
    </bk>
    <bk>
      <extLst>
        <ext uri="{3e2802c4-a4d2-4d8b-9148-e3be6c30e623}">
          <xlrd:rvb i="1998"/>
        </ext>
      </extLst>
    </bk>
    <bk>
      <extLst>
        <ext uri="{3e2802c4-a4d2-4d8b-9148-e3be6c30e623}">
          <xlrd:rvb i="1999"/>
        </ext>
      </extLst>
    </bk>
    <bk>
      <extLst>
        <ext uri="{3e2802c4-a4d2-4d8b-9148-e3be6c30e623}">
          <xlrd:rvb i="2000"/>
        </ext>
      </extLst>
    </bk>
    <bk>
      <extLst>
        <ext uri="{3e2802c4-a4d2-4d8b-9148-e3be6c30e623}">
          <xlrd:rvb i="2001"/>
        </ext>
      </extLst>
    </bk>
    <bk>
      <extLst>
        <ext uri="{3e2802c4-a4d2-4d8b-9148-e3be6c30e623}">
          <xlrd:rvb i="2002"/>
        </ext>
      </extLst>
    </bk>
    <bk>
      <extLst>
        <ext uri="{3e2802c4-a4d2-4d8b-9148-e3be6c30e623}">
          <xlrd:rvb i="2003"/>
        </ext>
      </extLst>
    </bk>
    <bk>
      <extLst>
        <ext uri="{3e2802c4-a4d2-4d8b-9148-e3be6c30e623}">
          <xlrd:rvb i="2004"/>
        </ext>
      </extLst>
    </bk>
    <bk>
      <extLst>
        <ext uri="{3e2802c4-a4d2-4d8b-9148-e3be6c30e623}">
          <xlrd:rvb i="2005"/>
        </ext>
      </extLst>
    </bk>
    <bk>
      <extLst>
        <ext uri="{3e2802c4-a4d2-4d8b-9148-e3be6c30e623}">
          <xlrd:rvb i="2006"/>
        </ext>
      </extLst>
    </bk>
    <bk>
      <extLst>
        <ext uri="{3e2802c4-a4d2-4d8b-9148-e3be6c30e623}">
          <xlrd:rvb i="2007"/>
        </ext>
      </extLst>
    </bk>
    <bk>
      <extLst>
        <ext uri="{3e2802c4-a4d2-4d8b-9148-e3be6c30e623}">
          <xlrd:rvb i="2008"/>
        </ext>
      </extLst>
    </bk>
    <bk>
      <extLst>
        <ext uri="{3e2802c4-a4d2-4d8b-9148-e3be6c30e623}">
          <xlrd:rvb i="2009"/>
        </ext>
      </extLst>
    </bk>
    <bk>
      <extLst>
        <ext uri="{3e2802c4-a4d2-4d8b-9148-e3be6c30e623}">
          <xlrd:rvb i="2010"/>
        </ext>
      </extLst>
    </bk>
    <bk>
      <extLst>
        <ext uri="{3e2802c4-a4d2-4d8b-9148-e3be6c30e623}">
          <xlrd:rvb i="2011"/>
        </ext>
      </extLst>
    </bk>
    <bk>
      <extLst>
        <ext uri="{3e2802c4-a4d2-4d8b-9148-e3be6c30e623}">
          <xlrd:rvb i="2012"/>
        </ext>
      </extLst>
    </bk>
    <bk>
      <extLst>
        <ext uri="{3e2802c4-a4d2-4d8b-9148-e3be6c30e623}">
          <xlrd:rvb i="2013"/>
        </ext>
      </extLst>
    </bk>
    <bk>
      <extLst>
        <ext uri="{3e2802c4-a4d2-4d8b-9148-e3be6c30e623}">
          <xlrd:rvb i="2014"/>
        </ext>
      </extLst>
    </bk>
    <bk>
      <extLst>
        <ext uri="{3e2802c4-a4d2-4d8b-9148-e3be6c30e623}">
          <xlrd:rvb i="2015"/>
        </ext>
      </extLst>
    </bk>
    <bk>
      <extLst>
        <ext uri="{3e2802c4-a4d2-4d8b-9148-e3be6c30e623}">
          <xlrd:rvb i="2016"/>
        </ext>
      </extLst>
    </bk>
    <bk>
      <extLst>
        <ext uri="{3e2802c4-a4d2-4d8b-9148-e3be6c30e623}">
          <xlrd:rvb i="2017"/>
        </ext>
      </extLst>
    </bk>
    <bk>
      <extLst>
        <ext uri="{3e2802c4-a4d2-4d8b-9148-e3be6c30e623}">
          <xlrd:rvb i="2018"/>
        </ext>
      </extLst>
    </bk>
    <bk>
      <extLst>
        <ext uri="{3e2802c4-a4d2-4d8b-9148-e3be6c30e623}">
          <xlrd:rvb i="2019"/>
        </ext>
      </extLst>
    </bk>
    <bk>
      <extLst>
        <ext uri="{3e2802c4-a4d2-4d8b-9148-e3be6c30e623}">
          <xlrd:rvb i="2020"/>
        </ext>
      </extLst>
    </bk>
    <bk>
      <extLst>
        <ext uri="{3e2802c4-a4d2-4d8b-9148-e3be6c30e623}">
          <xlrd:rvb i="2021"/>
        </ext>
      </extLst>
    </bk>
    <bk>
      <extLst>
        <ext uri="{3e2802c4-a4d2-4d8b-9148-e3be6c30e623}">
          <xlrd:rvb i="2022"/>
        </ext>
      </extLst>
    </bk>
    <bk>
      <extLst>
        <ext uri="{3e2802c4-a4d2-4d8b-9148-e3be6c30e623}">
          <xlrd:rvb i="2023"/>
        </ext>
      </extLst>
    </bk>
    <bk>
      <extLst>
        <ext uri="{3e2802c4-a4d2-4d8b-9148-e3be6c30e623}">
          <xlrd:rvb i="2024"/>
        </ext>
      </extLst>
    </bk>
    <bk>
      <extLst>
        <ext uri="{3e2802c4-a4d2-4d8b-9148-e3be6c30e623}">
          <xlrd:rvb i="2025"/>
        </ext>
      </extLst>
    </bk>
    <bk>
      <extLst>
        <ext uri="{3e2802c4-a4d2-4d8b-9148-e3be6c30e623}">
          <xlrd:rvb i="2026"/>
        </ext>
      </extLst>
    </bk>
    <bk>
      <extLst>
        <ext uri="{3e2802c4-a4d2-4d8b-9148-e3be6c30e623}">
          <xlrd:rvb i="2027"/>
        </ext>
      </extLst>
    </bk>
    <bk>
      <extLst>
        <ext uri="{3e2802c4-a4d2-4d8b-9148-e3be6c30e623}">
          <xlrd:rvb i="2028"/>
        </ext>
      </extLst>
    </bk>
    <bk>
      <extLst>
        <ext uri="{3e2802c4-a4d2-4d8b-9148-e3be6c30e623}">
          <xlrd:rvb i="2029"/>
        </ext>
      </extLst>
    </bk>
    <bk>
      <extLst>
        <ext uri="{3e2802c4-a4d2-4d8b-9148-e3be6c30e623}">
          <xlrd:rvb i="2030"/>
        </ext>
      </extLst>
    </bk>
    <bk>
      <extLst>
        <ext uri="{3e2802c4-a4d2-4d8b-9148-e3be6c30e623}">
          <xlrd:rvb i="2031"/>
        </ext>
      </extLst>
    </bk>
    <bk>
      <extLst>
        <ext uri="{3e2802c4-a4d2-4d8b-9148-e3be6c30e623}">
          <xlrd:rvb i="2032"/>
        </ext>
      </extLst>
    </bk>
    <bk>
      <extLst>
        <ext uri="{3e2802c4-a4d2-4d8b-9148-e3be6c30e623}">
          <xlrd:rvb i="2033"/>
        </ext>
      </extLst>
    </bk>
    <bk>
      <extLst>
        <ext uri="{3e2802c4-a4d2-4d8b-9148-e3be6c30e623}">
          <xlrd:rvb i="2034"/>
        </ext>
      </extLst>
    </bk>
    <bk>
      <extLst>
        <ext uri="{3e2802c4-a4d2-4d8b-9148-e3be6c30e623}">
          <xlrd:rvb i="2035"/>
        </ext>
      </extLst>
    </bk>
    <bk>
      <extLst>
        <ext uri="{3e2802c4-a4d2-4d8b-9148-e3be6c30e623}">
          <xlrd:rvb i="2036"/>
        </ext>
      </extLst>
    </bk>
    <bk>
      <extLst>
        <ext uri="{3e2802c4-a4d2-4d8b-9148-e3be6c30e623}">
          <xlrd:rvb i="2037"/>
        </ext>
      </extLst>
    </bk>
    <bk>
      <extLst>
        <ext uri="{3e2802c4-a4d2-4d8b-9148-e3be6c30e623}">
          <xlrd:rvb i="2038"/>
        </ext>
      </extLst>
    </bk>
    <bk>
      <extLst>
        <ext uri="{3e2802c4-a4d2-4d8b-9148-e3be6c30e623}">
          <xlrd:rvb i="2039"/>
        </ext>
      </extLst>
    </bk>
    <bk>
      <extLst>
        <ext uri="{3e2802c4-a4d2-4d8b-9148-e3be6c30e623}">
          <xlrd:rvb i="2040"/>
        </ext>
      </extLst>
    </bk>
    <bk>
      <extLst>
        <ext uri="{3e2802c4-a4d2-4d8b-9148-e3be6c30e623}">
          <xlrd:rvb i="2041"/>
        </ext>
      </extLst>
    </bk>
    <bk>
      <extLst>
        <ext uri="{3e2802c4-a4d2-4d8b-9148-e3be6c30e623}">
          <xlrd:rvb i="2042"/>
        </ext>
      </extLst>
    </bk>
    <bk>
      <extLst>
        <ext uri="{3e2802c4-a4d2-4d8b-9148-e3be6c30e623}">
          <xlrd:rvb i="2043"/>
        </ext>
      </extLst>
    </bk>
    <bk>
      <extLst>
        <ext uri="{3e2802c4-a4d2-4d8b-9148-e3be6c30e623}">
          <xlrd:rvb i="2044"/>
        </ext>
      </extLst>
    </bk>
    <bk>
      <extLst>
        <ext uri="{3e2802c4-a4d2-4d8b-9148-e3be6c30e623}">
          <xlrd:rvb i="2045"/>
        </ext>
      </extLst>
    </bk>
    <bk>
      <extLst>
        <ext uri="{3e2802c4-a4d2-4d8b-9148-e3be6c30e623}">
          <xlrd:rvb i="2046"/>
        </ext>
      </extLst>
    </bk>
    <bk>
      <extLst>
        <ext uri="{3e2802c4-a4d2-4d8b-9148-e3be6c30e623}">
          <xlrd:rvb i="2047"/>
        </ext>
      </extLst>
    </bk>
    <bk>
      <extLst>
        <ext uri="{3e2802c4-a4d2-4d8b-9148-e3be6c30e623}">
          <xlrd:rvb i="2048"/>
        </ext>
      </extLst>
    </bk>
    <bk>
      <extLst>
        <ext uri="{3e2802c4-a4d2-4d8b-9148-e3be6c30e623}">
          <xlrd:rvb i="2049"/>
        </ext>
      </extLst>
    </bk>
    <bk>
      <extLst>
        <ext uri="{3e2802c4-a4d2-4d8b-9148-e3be6c30e623}">
          <xlrd:rvb i="2050"/>
        </ext>
      </extLst>
    </bk>
    <bk>
      <extLst>
        <ext uri="{3e2802c4-a4d2-4d8b-9148-e3be6c30e623}">
          <xlrd:rvb i="2051"/>
        </ext>
      </extLst>
    </bk>
    <bk>
      <extLst>
        <ext uri="{3e2802c4-a4d2-4d8b-9148-e3be6c30e623}">
          <xlrd:rvb i="2052"/>
        </ext>
      </extLst>
    </bk>
    <bk>
      <extLst>
        <ext uri="{3e2802c4-a4d2-4d8b-9148-e3be6c30e623}">
          <xlrd:rvb i="2053"/>
        </ext>
      </extLst>
    </bk>
    <bk>
      <extLst>
        <ext uri="{3e2802c4-a4d2-4d8b-9148-e3be6c30e623}">
          <xlrd:rvb i="2054"/>
        </ext>
      </extLst>
    </bk>
    <bk>
      <extLst>
        <ext uri="{3e2802c4-a4d2-4d8b-9148-e3be6c30e623}">
          <xlrd:rvb i="2055"/>
        </ext>
      </extLst>
    </bk>
    <bk>
      <extLst>
        <ext uri="{3e2802c4-a4d2-4d8b-9148-e3be6c30e623}">
          <xlrd:rvb i="2056"/>
        </ext>
      </extLst>
    </bk>
    <bk>
      <extLst>
        <ext uri="{3e2802c4-a4d2-4d8b-9148-e3be6c30e623}">
          <xlrd:rvb i="2057"/>
        </ext>
      </extLst>
    </bk>
    <bk>
      <extLst>
        <ext uri="{3e2802c4-a4d2-4d8b-9148-e3be6c30e623}">
          <xlrd:rvb i="2058"/>
        </ext>
      </extLst>
    </bk>
    <bk>
      <extLst>
        <ext uri="{3e2802c4-a4d2-4d8b-9148-e3be6c30e623}">
          <xlrd:rvb i="2059"/>
        </ext>
      </extLst>
    </bk>
    <bk>
      <extLst>
        <ext uri="{3e2802c4-a4d2-4d8b-9148-e3be6c30e623}">
          <xlrd:rvb i="2060"/>
        </ext>
      </extLst>
    </bk>
    <bk>
      <extLst>
        <ext uri="{3e2802c4-a4d2-4d8b-9148-e3be6c30e623}">
          <xlrd:rvb i="2061"/>
        </ext>
      </extLst>
    </bk>
    <bk>
      <extLst>
        <ext uri="{3e2802c4-a4d2-4d8b-9148-e3be6c30e623}">
          <xlrd:rvb i="2062"/>
        </ext>
      </extLst>
    </bk>
    <bk>
      <extLst>
        <ext uri="{3e2802c4-a4d2-4d8b-9148-e3be6c30e623}">
          <xlrd:rvb i="2063"/>
        </ext>
      </extLst>
    </bk>
    <bk>
      <extLst>
        <ext uri="{3e2802c4-a4d2-4d8b-9148-e3be6c30e623}">
          <xlrd:rvb i="2064"/>
        </ext>
      </extLst>
    </bk>
    <bk>
      <extLst>
        <ext uri="{3e2802c4-a4d2-4d8b-9148-e3be6c30e623}">
          <xlrd:rvb i="2065"/>
        </ext>
      </extLst>
    </bk>
    <bk>
      <extLst>
        <ext uri="{3e2802c4-a4d2-4d8b-9148-e3be6c30e623}">
          <xlrd:rvb i="2066"/>
        </ext>
      </extLst>
    </bk>
    <bk>
      <extLst>
        <ext uri="{3e2802c4-a4d2-4d8b-9148-e3be6c30e623}">
          <xlrd:rvb i="2067"/>
        </ext>
      </extLst>
    </bk>
    <bk>
      <extLst>
        <ext uri="{3e2802c4-a4d2-4d8b-9148-e3be6c30e623}">
          <xlrd:rvb i="2068"/>
        </ext>
      </extLst>
    </bk>
    <bk>
      <extLst>
        <ext uri="{3e2802c4-a4d2-4d8b-9148-e3be6c30e623}">
          <xlrd:rvb i="2069"/>
        </ext>
      </extLst>
    </bk>
    <bk>
      <extLst>
        <ext uri="{3e2802c4-a4d2-4d8b-9148-e3be6c30e623}">
          <xlrd:rvb i="2070"/>
        </ext>
      </extLst>
    </bk>
    <bk>
      <extLst>
        <ext uri="{3e2802c4-a4d2-4d8b-9148-e3be6c30e623}">
          <xlrd:rvb i="2071"/>
        </ext>
      </extLst>
    </bk>
    <bk>
      <extLst>
        <ext uri="{3e2802c4-a4d2-4d8b-9148-e3be6c30e623}">
          <xlrd:rvb i="2072"/>
        </ext>
      </extLst>
    </bk>
    <bk>
      <extLst>
        <ext uri="{3e2802c4-a4d2-4d8b-9148-e3be6c30e623}">
          <xlrd:rvb i="2073"/>
        </ext>
      </extLst>
    </bk>
    <bk>
      <extLst>
        <ext uri="{3e2802c4-a4d2-4d8b-9148-e3be6c30e623}">
          <xlrd:rvb i="2074"/>
        </ext>
      </extLst>
    </bk>
    <bk>
      <extLst>
        <ext uri="{3e2802c4-a4d2-4d8b-9148-e3be6c30e623}">
          <xlrd:rvb i="2075"/>
        </ext>
      </extLst>
    </bk>
    <bk>
      <extLst>
        <ext uri="{3e2802c4-a4d2-4d8b-9148-e3be6c30e623}">
          <xlrd:rvb i="2076"/>
        </ext>
      </extLst>
    </bk>
    <bk>
      <extLst>
        <ext uri="{3e2802c4-a4d2-4d8b-9148-e3be6c30e623}">
          <xlrd:rvb i="2077"/>
        </ext>
      </extLst>
    </bk>
    <bk>
      <extLst>
        <ext uri="{3e2802c4-a4d2-4d8b-9148-e3be6c30e623}">
          <xlrd:rvb i="2078"/>
        </ext>
      </extLst>
    </bk>
    <bk>
      <extLst>
        <ext uri="{3e2802c4-a4d2-4d8b-9148-e3be6c30e623}">
          <xlrd:rvb i="2079"/>
        </ext>
      </extLst>
    </bk>
    <bk>
      <extLst>
        <ext uri="{3e2802c4-a4d2-4d8b-9148-e3be6c30e623}">
          <xlrd:rvb i="2080"/>
        </ext>
      </extLst>
    </bk>
    <bk>
      <extLst>
        <ext uri="{3e2802c4-a4d2-4d8b-9148-e3be6c30e623}">
          <xlrd:rvb i="2081"/>
        </ext>
      </extLst>
    </bk>
    <bk>
      <extLst>
        <ext uri="{3e2802c4-a4d2-4d8b-9148-e3be6c30e623}">
          <xlrd:rvb i="2082"/>
        </ext>
      </extLst>
    </bk>
    <bk>
      <extLst>
        <ext uri="{3e2802c4-a4d2-4d8b-9148-e3be6c30e623}">
          <xlrd:rvb i="2083"/>
        </ext>
      </extLst>
    </bk>
    <bk>
      <extLst>
        <ext uri="{3e2802c4-a4d2-4d8b-9148-e3be6c30e623}">
          <xlrd:rvb i="2084"/>
        </ext>
      </extLst>
    </bk>
    <bk>
      <extLst>
        <ext uri="{3e2802c4-a4d2-4d8b-9148-e3be6c30e623}">
          <xlrd:rvb i="2085"/>
        </ext>
      </extLst>
    </bk>
    <bk>
      <extLst>
        <ext uri="{3e2802c4-a4d2-4d8b-9148-e3be6c30e623}">
          <xlrd:rvb i="2086"/>
        </ext>
      </extLst>
    </bk>
    <bk>
      <extLst>
        <ext uri="{3e2802c4-a4d2-4d8b-9148-e3be6c30e623}">
          <xlrd:rvb i="2087"/>
        </ext>
      </extLst>
    </bk>
    <bk>
      <extLst>
        <ext uri="{3e2802c4-a4d2-4d8b-9148-e3be6c30e623}">
          <xlrd:rvb i="2088"/>
        </ext>
      </extLst>
    </bk>
    <bk>
      <extLst>
        <ext uri="{3e2802c4-a4d2-4d8b-9148-e3be6c30e623}">
          <xlrd:rvb i="2089"/>
        </ext>
      </extLst>
    </bk>
    <bk>
      <extLst>
        <ext uri="{3e2802c4-a4d2-4d8b-9148-e3be6c30e623}">
          <xlrd:rvb i="2090"/>
        </ext>
      </extLst>
    </bk>
    <bk>
      <extLst>
        <ext uri="{3e2802c4-a4d2-4d8b-9148-e3be6c30e623}">
          <xlrd:rvb i="2091"/>
        </ext>
      </extLst>
    </bk>
    <bk>
      <extLst>
        <ext uri="{3e2802c4-a4d2-4d8b-9148-e3be6c30e623}">
          <xlrd:rvb i="2092"/>
        </ext>
      </extLst>
    </bk>
    <bk>
      <extLst>
        <ext uri="{3e2802c4-a4d2-4d8b-9148-e3be6c30e623}">
          <xlrd:rvb i="2093"/>
        </ext>
      </extLst>
    </bk>
    <bk>
      <extLst>
        <ext uri="{3e2802c4-a4d2-4d8b-9148-e3be6c30e623}">
          <xlrd:rvb i="2094"/>
        </ext>
      </extLst>
    </bk>
    <bk>
      <extLst>
        <ext uri="{3e2802c4-a4d2-4d8b-9148-e3be6c30e623}">
          <xlrd:rvb i="2095"/>
        </ext>
      </extLst>
    </bk>
    <bk>
      <extLst>
        <ext uri="{3e2802c4-a4d2-4d8b-9148-e3be6c30e623}">
          <xlrd:rvb i="2096"/>
        </ext>
      </extLst>
    </bk>
    <bk>
      <extLst>
        <ext uri="{3e2802c4-a4d2-4d8b-9148-e3be6c30e623}">
          <xlrd:rvb i="2097"/>
        </ext>
      </extLst>
    </bk>
    <bk>
      <extLst>
        <ext uri="{3e2802c4-a4d2-4d8b-9148-e3be6c30e623}">
          <xlrd:rvb i="2098"/>
        </ext>
      </extLst>
    </bk>
    <bk>
      <extLst>
        <ext uri="{3e2802c4-a4d2-4d8b-9148-e3be6c30e623}">
          <xlrd:rvb i="2099"/>
        </ext>
      </extLst>
    </bk>
    <bk>
      <extLst>
        <ext uri="{3e2802c4-a4d2-4d8b-9148-e3be6c30e623}">
          <xlrd:rvb i="2100"/>
        </ext>
      </extLst>
    </bk>
    <bk>
      <extLst>
        <ext uri="{3e2802c4-a4d2-4d8b-9148-e3be6c30e623}">
          <xlrd:rvb i="2101"/>
        </ext>
      </extLst>
    </bk>
    <bk>
      <extLst>
        <ext uri="{3e2802c4-a4d2-4d8b-9148-e3be6c30e623}">
          <xlrd:rvb i="2102"/>
        </ext>
      </extLst>
    </bk>
    <bk>
      <extLst>
        <ext uri="{3e2802c4-a4d2-4d8b-9148-e3be6c30e623}">
          <xlrd:rvb i="2103"/>
        </ext>
      </extLst>
    </bk>
    <bk>
      <extLst>
        <ext uri="{3e2802c4-a4d2-4d8b-9148-e3be6c30e623}">
          <xlrd:rvb i="2104"/>
        </ext>
      </extLst>
    </bk>
    <bk>
      <extLst>
        <ext uri="{3e2802c4-a4d2-4d8b-9148-e3be6c30e623}">
          <xlrd:rvb i="2105"/>
        </ext>
      </extLst>
    </bk>
    <bk>
      <extLst>
        <ext uri="{3e2802c4-a4d2-4d8b-9148-e3be6c30e623}">
          <xlrd:rvb i="2106"/>
        </ext>
      </extLst>
    </bk>
    <bk>
      <extLst>
        <ext uri="{3e2802c4-a4d2-4d8b-9148-e3be6c30e623}">
          <xlrd:rvb i="2107"/>
        </ext>
      </extLst>
    </bk>
    <bk>
      <extLst>
        <ext uri="{3e2802c4-a4d2-4d8b-9148-e3be6c30e623}">
          <xlrd:rvb i="2108"/>
        </ext>
      </extLst>
    </bk>
    <bk>
      <extLst>
        <ext uri="{3e2802c4-a4d2-4d8b-9148-e3be6c30e623}">
          <xlrd:rvb i="2109"/>
        </ext>
      </extLst>
    </bk>
    <bk>
      <extLst>
        <ext uri="{3e2802c4-a4d2-4d8b-9148-e3be6c30e623}">
          <xlrd:rvb i="2110"/>
        </ext>
      </extLst>
    </bk>
    <bk>
      <extLst>
        <ext uri="{3e2802c4-a4d2-4d8b-9148-e3be6c30e623}">
          <xlrd:rvb i="2111"/>
        </ext>
      </extLst>
    </bk>
    <bk>
      <extLst>
        <ext uri="{3e2802c4-a4d2-4d8b-9148-e3be6c30e623}">
          <xlrd:rvb i="2112"/>
        </ext>
      </extLst>
    </bk>
    <bk>
      <extLst>
        <ext uri="{3e2802c4-a4d2-4d8b-9148-e3be6c30e623}">
          <xlrd:rvb i="2113"/>
        </ext>
      </extLst>
    </bk>
    <bk>
      <extLst>
        <ext uri="{3e2802c4-a4d2-4d8b-9148-e3be6c30e623}">
          <xlrd:rvb i="2114"/>
        </ext>
      </extLst>
    </bk>
    <bk>
      <extLst>
        <ext uri="{3e2802c4-a4d2-4d8b-9148-e3be6c30e623}">
          <xlrd:rvb i="2115"/>
        </ext>
      </extLst>
    </bk>
    <bk>
      <extLst>
        <ext uri="{3e2802c4-a4d2-4d8b-9148-e3be6c30e623}">
          <xlrd:rvb i="2116"/>
        </ext>
      </extLst>
    </bk>
    <bk>
      <extLst>
        <ext uri="{3e2802c4-a4d2-4d8b-9148-e3be6c30e623}">
          <xlrd:rvb i="2117"/>
        </ext>
      </extLst>
    </bk>
    <bk>
      <extLst>
        <ext uri="{3e2802c4-a4d2-4d8b-9148-e3be6c30e623}">
          <xlrd:rvb i="2118"/>
        </ext>
      </extLst>
    </bk>
    <bk>
      <extLst>
        <ext uri="{3e2802c4-a4d2-4d8b-9148-e3be6c30e623}">
          <xlrd:rvb i="2119"/>
        </ext>
      </extLst>
    </bk>
    <bk>
      <extLst>
        <ext uri="{3e2802c4-a4d2-4d8b-9148-e3be6c30e623}">
          <xlrd:rvb i="2120"/>
        </ext>
      </extLst>
    </bk>
    <bk>
      <extLst>
        <ext uri="{3e2802c4-a4d2-4d8b-9148-e3be6c30e623}">
          <xlrd:rvb i="2121"/>
        </ext>
      </extLst>
    </bk>
    <bk>
      <extLst>
        <ext uri="{3e2802c4-a4d2-4d8b-9148-e3be6c30e623}">
          <xlrd:rvb i="2122"/>
        </ext>
      </extLst>
    </bk>
    <bk>
      <extLst>
        <ext uri="{3e2802c4-a4d2-4d8b-9148-e3be6c30e623}">
          <xlrd:rvb i="2123"/>
        </ext>
      </extLst>
    </bk>
    <bk>
      <extLst>
        <ext uri="{3e2802c4-a4d2-4d8b-9148-e3be6c30e623}">
          <xlrd:rvb i="2124"/>
        </ext>
      </extLst>
    </bk>
    <bk>
      <extLst>
        <ext uri="{3e2802c4-a4d2-4d8b-9148-e3be6c30e623}">
          <xlrd:rvb i="2125"/>
        </ext>
      </extLst>
    </bk>
    <bk>
      <extLst>
        <ext uri="{3e2802c4-a4d2-4d8b-9148-e3be6c30e623}">
          <xlrd:rvb i="2126"/>
        </ext>
      </extLst>
    </bk>
    <bk>
      <extLst>
        <ext uri="{3e2802c4-a4d2-4d8b-9148-e3be6c30e623}">
          <xlrd:rvb i="2127"/>
        </ext>
      </extLst>
    </bk>
    <bk>
      <extLst>
        <ext uri="{3e2802c4-a4d2-4d8b-9148-e3be6c30e623}">
          <xlrd:rvb i="2128"/>
        </ext>
      </extLst>
    </bk>
    <bk>
      <extLst>
        <ext uri="{3e2802c4-a4d2-4d8b-9148-e3be6c30e623}">
          <xlrd:rvb i="2129"/>
        </ext>
      </extLst>
    </bk>
    <bk>
      <extLst>
        <ext uri="{3e2802c4-a4d2-4d8b-9148-e3be6c30e623}">
          <xlrd:rvb i="2130"/>
        </ext>
      </extLst>
    </bk>
    <bk>
      <extLst>
        <ext uri="{3e2802c4-a4d2-4d8b-9148-e3be6c30e623}">
          <xlrd:rvb i="2131"/>
        </ext>
      </extLst>
    </bk>
    <bk>
      <extLst>
        <ext uri="{3e2802c4-a4d2-4d8b-9148-e3be6c30e623}">
          <xlrd:rvb i="2132"/>
        </ext>
      </extLst>
    </bk>
    <bk>
      <extLst>
        <ext uri="{3e2802c4-a4d2-4d8b-9148-e3be6c30e623}">
          <xlrd:rvb i="2133"/>
        </ext>
      </extLst>
    </bk>
    <bk>
      <extLst>
        <ext uri="{3e2802c4-a4d2-4d8b-9148-e3be6c30e623}">
          <xlrd:rvb i="2134"/>
        </ext>
      </extLst>
    </bk>
    <bk>
      <extLst>
        <ext uri="{3e2802c4-a4d2-4d8b-9148-e3be6c30e623}">
          <xlrd:rvb i="2135"/>
        </ext>
      </extLst>
    </bk>
    <bk>
      <extLst>
        <ext uri="{3e2802c4-a4d2-4d8b-9148-e3be6c30e623}">
          <xlrd:rvb i="2136"/>
        </ext>
      </extLst>
    </bk>
    <bk>
      <extLst>
        <ext uri="{3e2802c4-a4d2-4d8b-9148-e3be6c30e623}">
          <xlrd:rvb i="2137"/>
        </ext>
      </extLst>
    </bk>
    <bk>
      <extLst>
        <ext uri="{3e2802c4-a4d2-4d8b-9148-e3be6c30e623}">
          <xlrd:rvb i="2138"/>
        </ext>
      </extLst>
    </bk>
    <bk>
      <extLst>
        <ext uri="{3e2802c4-a4d2-4d8b-9148-e3be6c30e623}">
          <xlrd:rvb i="2139"/>
        </ext>
      </extLst>
    </bk>
    <bk>
      <extLst>
        <ext uri="{3e2802c4-a4d2-4d8b-9148-e3be6c30e623}">
          <xlrd:rvb i="2140"/>
        </ext>
      </extLst>
    </bk>
    <bk>
      <extLst>
        <ext uri="{3e2802c4-a4d2-4d8b-9148-e3be6c30e623}">
          <xlrd:rvb i="2141"/>
        </ext>
      </extLst>
    </bk>
    <bk>
      <extLst>
        <ext uri="{3e2802c4-a4d2-4d8b-9148-e3be6c30e623}">
          <xlrd:rvb i="2142"/>
        </ext>
      </extLst>
    </bk>
    <bk>
      <extLst>
        <ext uri="{3e2802c4-a4d2-4d8b-9148-e3be6c30e623}">
          <xlrd:rvb i="2143"/>
        </ext>
      </extLst>
    </bk>
    <bk>
      <extLst>
        <ext uri="{3e2802c4-a4d2-4d8b-9148-e3be6c30e623}">
          <xlrd:rvb i="2144"/>
        </ext>
      </extLst>
    </bk>
    <bk>
      <extLst>
        <ext uri="{3e2802c4-a4d2-4d8b-9148-e3be6c30e623}">
          <xlrd:rvb i="2145"/>
        </ext>
      </extLst>
    </bk>
    <bk>
      <extLst>
        <ext uri="{3e2802c4-a4d2-4d8b-9148-e3be6c30e623}">
          <xlrd:rvb i="2146"/>
        </ext>
      </extLst>
    </bk>
    <bk>
      <extLst>
        <ext uri="{3e2802c4-a4d2-4d8b-9148-e3be6c30e623}">
          <xlrd:rvb i="2147"/>
        </ext>
      </extLst>
    </bk>
    <bk>
      <extLst>
        <ext uri="{3e2802c4-a4d2-4d8b-9148-e3be6c30e623}">
          <xlrd:rvb i="2148"/>
        </ext>
      </extLst>
    </bk>
    <bk>
      <extLst>
        <ext uri="{3e2802c4-a4d2-4d8b-9148-e3be6c30e623}">
          <xlrd:rvb i="2149"/>
        </ext>
      </extLst>
    </bk>
    <bk>
      <extLst>
        <ext uri="{3e2802c4-a4d2-4d8b-9148-e3be6c30e623}">
          <xlrd:rvb i="2150"/>
        </ext>
      </extLst>
    </bk>
    <bk>
      <extLst>
        <ext uri="{3e2802c4-a4d2-4d8b-9148-e3be6c30e623}">
          <xlrd:rvb i="2151"/>
        </ext>
      </extLst>
    </bk>
    <bk>
      <extLst>
        <ext uri="{3e2802c4-a4d2-4d8b-9148-e3be6c30e623}">
          <xlrd:rvb i="2152"/>
        </ext>
      </extLst>
    </bk>
    <bk>
      <extLst>
        <ext uri="{3e2802c4-a4d2-4d8b-9148-e3be6c30e623}">
          <xlrd:rvb i="2153"/>
        </ext>
      </extLst>
    </bk>
    <bk>
      <extLst>
        <ext uri="{3e2802c4-a4d2-4d8b-9148-e3be6c30e623}">
          <xlrd:rvb i="2154"/>
        </ext>
      </extLst>
    </bk>
    <bk>
      <extLst>
        <ext uri="{3e2802c4-a4d2-4d8b-9148-e3be6c30e623}">
          <xlrd:rvb i="2155"/>
        </ext>
      </extLst>
    </bk>
    <bk>
      <extLst>
        <ext uri="{3e2802c4-a4d2-4d8b-9148-e3be6c30e623}">
          <xlrd:rvb i="2156"/>
        </ext>
      </extLst>
    </bk>
    <bk>
      <extLst>
        <ext uri="{3e2802c4-a4d2-4d8b-9148-e3be6c30e623}">
          <xlrd:rvb i="2157"/>
        </ext>
      </extLst>
    </bk>
    <bk>
      <extLst>
        <ext uri="{3e2802c4-a4d2-4d8b-9148-e3be6c30e623}">
          <xlrd:rvb i="2158"/>
        </ext>
      </extLst>
    </bk>
    <bk>
      <extLst>
        <ext uri="{3e2802c4-a4d2-4d8b-9148-e3be6c30e623}">
          <xlrd:rvb i="2159"/>
        </ext>
      </extLst>
    </bk>
    <bk>
      <extLst>
        <ext uri="{3e2802c4-a4d2-4d8b-9148-e3be6c30e623}">
          <xlrd:rvb i="2160"/>
        </ext>
      </extLst>
    </bk>
    <bk>
      <extLst>
        <ext uri="{3e2802c4-a4d2-4d8b-9148-e3be6c30e623}">
          <xlrd:rvb i="2161"/>
        </ext>
      </extLst>
    </bk>
    <bk>
      <extLst>
        <ext uri="{3e2802c4-a4d2-4d8b-9148-e3be6c30e623}">
          <xlrd:rvb i="2162"/>
        </ext>
      </extLst>
    </bk>
    <bk>
      <extLst>
        <ext uri="{3e2802c4-a4d2-4d8b-9148-e3be6c30e623}">
          <xlrd:rvb i="2163"/>
        </ext>
      </extLst>
    </bk>
    <bk>
      <extLst>
        <ext uri="{3e2802c4-a4d2-4d8b-9148-e3be6c30e623}">
          <xlrd:rvb i="2164"/>
        </ext>
      </extLst>
    </bk>
    <bk>
      <extLst>
        <ext uri="{3e2802c4-a4d2-4d8b-9148-e3be6c30e623}">
          <xlrd:rvb i="2165"/>
        </ext>
      </extLst>
    </bk>
    <bk>
      <extLst>
        <ext uri="{3e2802c4-a4d2-4d8b-9148-e3be6c30e623}">
          <xlrd:rvb i="2166"/>
        </ext>
      </extLst>
    </bk>
    <bk>
      <extLst>
        <ext uri="{3e2802c4-a4d2-4d8b-9148-e3be6c30e623}">
          <xlrd:rvb i="2167"/>
        </ext>
      </extLst>
    </bk>
    <bk>
      <extLst>
        <ext uri="{3e2802c4-a4d2-4d8b-9148-e3be6c30e623}">
          <xlrd:rvb i="2168"/>
        </ext>
      </extLst>
    </bk>
    <bk>
      <extLst>
        <ext uri="{3e2802c4-a4d2-4d8b-9148-e3be6c30e623}">
          <xlrd:rvb i="2169"/>
        </ext>
      </extLst>
    </bk>
    <bk>
      <extLst>
        <ext uri="{3e2802c4-a4d2-4d8b-9148-e3be6c30e623}">
          <xlrd:rvb i="2170"/>
        </ext>
      </extLst>
    </bk>
    <bk>
      <extLst>
        <ext uri="{3e2802c4-a4d2-4d8b-9148-e3be6c30e623}">
          <xlrd:rvb i="2171"/>
        </ext>
      </extLst>
    </bk>
    <bk>
      <extLst>
        <ext uri="{3e2802c4-a4d2-4d8b-9148-e3be6c30e623}">
          <xlrd:rvb i="2172"/>
        </ext>
      </extLst>
    </bk>
    <bk>
      <extLst>
        <ext uri="{3e2802c4-a4d2-4d8b-9148-e3be6c30e623}">
          <xlrd:rvb i="2173"/>
        </ext>
      </extLst>
    </bk>
    <bk>
      <extLst>
        <ext uri="{3e2802c4-a4d2-4d8b-9148-e3be6c30e623}">
          <xlrd:rvb i="2174"/>
        </ext>
      </extLst>
    </bk>
    <bk>
      <extLst>
        <ext uri="{3e2802c4-a4d2-4d8b-9148-e3be6c30e623}">
          <xlrd:rvb i="2175"/>
        </ext>
      </extLst>
    </bk>
    <bk>
      <extLst>
        <ext uri="{3e2802c4-a4d2-4d8b-9148-e3be6c30e623}">
          <xlrd:rvb i="2176"/>
        </ext>
      </extLst>
    </bk>
    <bk>
      <extLst>
        <ext uri="{3e2802c4-a4d2-4d8b-9148-e3be6c30e623}">
          <xlrd:rvb i="2177"/>
        </ext>
      </extLst>
    </bk>
    <bk>
      <extLst>
        <ext uri="{3e2802c4-a4d2-4d8b-9148-e3be6c30e623}">
          <xlrd:rvb i="2178"/>
        </ext>
      </extLst>
    </bk>
    <bk>
      <extLst>
        <ext uri="{3e2802c4-a4d2-4d8b-9148-e3be6c30e623}">
          <xlrd:rvb i="2179"/>
        </ext>
      </extLst>
    </bk>
    <bk>
      <extLst>
        <ext uri="{3e2802c4-a4d2-4d8b-9148-e3be6c30e623}">
          <xlrd:rvb i="2180"/>
        </ext>
      </extLst>
    </bk>
    <bk>
      <extLst>
        <ext uri="{3e2802c4-a4d2-4d8b-9148-e3be6c30e623}">
          <xlrd:rvb i="2181"/>
        </ext>
      </extLst>
    </bk>
    <bk>
      <extLst>
        <ext uri="{3e2802c4-a4d2-4d8b-9148-e3be6c30e623}">
          <xlrd:rvb i="2182"/>
        </ext>
      </extLst>
    </bk>
    <bk>
      <extLst>
        <ext uri="{3e2802c4-a4d2-4d8b-9148-e3be6c30e623}">
          <xlrd:rvb i="2183"/>
        </ext>
      </extLst>
    </bk>
    <bk>
      <extLst>
        <ext uri="{3e2802c4-a4d2-4d8b-9148-e3be6c30e623}">
          <xlrd:rvb i="2184"/>
        </ext>
      </extLst>
    </bk>
    <bk>
      <extLst>
        <ext uri="{3e2802c4-a4d2-4d8b-9148-e3be6c30e623}">
          <xlrd:rvb i="2185"/>
        </ext>
      </extLst>
    </bk>
    <bk>
      <extLst>
        <ext uri="{3e2802c4-a4d2-4d8b-9148-e3be6c30e623}">
          <xlrd:rvb i="2186"/>
        </ext>
      </extLst>
    </bk>
    <bk>
      <extLst>
        <ext uri="{3e2802c4-a4d2-4d8b-9148-e3be6c30e623}">
          <xlrd:rvb i="2187"/>
        </ext>
      </extLst>
    </bk>
    <bk>
      <extLst>
        <ext uri="{3e2802c4-a4d2-4d8b-9148-e3be6c30e623}">
          <xlrd:rvb i="2188"/>
        </ext>
      </extLst>
    </bk>
    <bk>
      <extLst>
        <ext uri="{3e2802c4-a4d2-4d8b-9148-e3be6c30e623}">
          <xlrd:rvb i="2189"/>
        </ext>
      </extLst>
    </bk>
    <bk>
      <extLst>
        <ext uri="{3e2802c4-a4d2-4d8b-9148-e3be6c30e623}">
          <xlrd:rvb i="2190"/>
        </ext>
      </extLst>
    </bk>
    <bk>
      <extLst>
        <ext uri="{3e2802c4-a4d2-4d8b-9148-e3be6c30e623}">
          <xlrd:rvb i="2191"/>
        </ext>
      </extLst>
    </bk>
    <bk>
      <extLst>
        <ext uri="{3e2802c4-a4d2-4d8b-9148-e3be6c30e623}">
          <xlrd:rvb i="2192"/>
        </ext>
      </extLst>
    </bk>
    <bk>
      <extLst>
        <ext uri="{3e2802c4-a4d2-4d8b-9148-e3be6c30e623}">
          <xlrd:rvb i="2193"/>
        </ext>
      </extLst>
    </bk>
    <bk>
      <extLst>
        <ext uri="{3e2802c4-a4d2-4d8b-9148-e3be6c30e623}">
          <xlrd:rvb i="2194"/>
        </ext>
      </extLst>
    </bk>
    <bk>
      <extLst>
        <ext uri="{3e2802c4-a4d2-4d8b-9148-e3be6c30e623}">
          <xlrd:rvb i="2195"/>
        </ext>
      </extLst>
    </bk>
    <bk>
      <extLst>
        <ext uri="{3e2802c4-a4d2-4d8b-9148-e3be6c30e623}">
          <xlrd:rvb i="2196"/>
        </ext>
      </extLst>
    </bk>
    <bk>
      <extLst>
        <ext uri="{3e2802c4-a4d2-4d8b-9148-e3be6c30e623}">
          <xlrd:rvb i="2197"/>
        </ext>
      </extLst>
    </bk>
    <bk>
      <extLst>
        <ext uri="{3e2802c4-a4d2-4d8b-9148-e3be6c30e623}">
          <xlrd:rvb i="2198"/>
        </ext>
      </extLst>
    </bk>
    <bk>
      <extLst>
        <ext uri="{3e2802c4-a4d2-4d8b-9148-e3be6c30e623}">
          <xlrd:rvb i="2199"/>
        </ext>
      </extLst>
    </bk>
    <bk>
      <extLst>
        <ext uri="{3e2802c4-a4d2-4d8b-9148-e3be6c30e623}">
          <xlrd:rvb i="2200"/>
        </ext>
      </extLst>
    </bk>
    <bk>
      <extLst>
        <ext uri="{3e2802c4-a4d2-4d8b-9148-e3be6c30e623}">
          <xlrd:rvb i="2201"/>
        </ext>
      </extLst>
    </bk>
    <bk>
      <extLst>
        <ext uri="{3e2802c4-a4d2-4d8b-9148-e3be6c30e623}">
          <xlrd:rvb i="2202"/>
        </ext>
      </extLst>
    </bk>
    <bk>
      <extLst>
        <ext uri="{3e2802c4-a4d2-4d8b-9148-e3be6c30e623}">
          <xlrd:rvb i="2203"/>
        </ext>
      </extLst>
    </bk>
    <bk>
      <extLst>
        <ext uri="{3e2802c4-a4d2-4d8b-9148-e3be6c30e623}">
          <xlrd:rvb i="2204"/>
        </ext>
      </extLst>
    </bk>
    <bk>
      <extLst>
        <ext uri="{3e2802c4-a4d2-4d8b-9148-e3be6c30e623}">
          <xlrd:rvb i="2205"/>
        </ext>
      </extLst>
    </bk>
    <bk>
      <extLst>
        <ext uri="{3e2802c4-a4d2-4d8b-9148-e3be6c30e623}">
          <xlrd:rvb i="2206"/>
        </ext>
      </extLst>
    </bk>
    <bk>
      <extLst>
        <ext uri="{3e2802c4-a4d2-4d8b-9148-e3be6c30e623}">
          <xlrd:rvb i="2207"/>
        </ext>
      </extLst>
    </bk>
    <bk>
      <extLst>
        <ext uri="{3e2802c4-a4d2-4d8b-9148-e3be6c30e623}">
          <xlrd:rvb i="2208"/>
        </ext>
      </extLst>
    </bk>
    <bk>
      <extLst>
        <ext uri="{3e2802c4-a4d2-4d8b-9148-e3be6c30e623}">
          <xlrd:rvb i="2209"/>
        </ext>
      </extLst>
    </bk>
    <bk>
      <extLst>
        <ext uri="{3e2802c4-a4d2-4d8b-9148-e3be6c30e623}">
          <xlrd:rvb i="2210"/>
        </ext>
      </extLst>
    </bk>
    <bk>
      <extLst>
        <ext uri="{3e2802c4-a4d2-4d8b-9148-e3be6c30e623}">
          <xlrd:rvb i="2211"/>
        </ext>
      </extLst>
    </bk>
    <bk>
      <extLst>
        <ext uri="{3e2802c4-a4d2-4d8b-9148-e3be6c30e623}">
          <xlrd:rvb i="2212"/>
        </ext>
      </extLst>
    </bk>
    <bk>
      <extLst>
        <ext uri="{3e2802c4-a4d2-4d8b-9148-e3be6c30e623}">
          <xlrd:rvb i="2213"/>
        </ext>
      </extLst>
    </bk>
    <bk>
      <extLst>
        <ext uri="{3e2802c4-a4d2-4d8b-9148-e3be6c30e623}">
          <xlrd:rvb i="2214"/>
        </ext>
      </extLst>
    </bk>
    <bk>
      <extLst>
        <ext uri="{3e2802c4-a4d2-4d8b-9148-e3be6c30e623}">
          <xlrd:rvb i="2215"/>
        </ext>
      </extLst>
    </bk>
    <bk>
      <extLst>
        <ext uri="{3e2802c4-a4d2-4d8b-9148-e3be6c30e623}">
          <xlrd:rvb i="2216"/>
        </ext>
      </extLst>
    </bk>
    <bk>
      <extLst>
        <ext uri="{3e2802c4-a4d2-4d8b-9148-e3be6c30e623}">
          <xlrd:rvb i="2217"/>
        </ext>
      </extLst>
    </bk>
    <bk>
      <extLst>
        <ext uri="{3e2802c4-a4d2-4d8b-9148-e3be6c30e623}">
          <xlrd:rvb i="2218"/>
        </ext>
      </extLst>
    </bk>
    <bk>
      <extLst>
        <ext uri="{3e2802c4-a4d2-4d8b-9148-e3be6c30e623}">
          <xlrd:rvb i="2219"/>
        </ext>
      </extLst>
    </bk>
    <bk>
      <extLst>
        <ext uri="{3e2802c4-a4d2-4d8b-9148-e3be6c30e623}">
          <xlrd:rvb i="2220"/>
        </ext>
      </extLst>
    </bk>
    <bk>
      <extLst>
        <ext uri="{3e2802c4-a4d2-4d8b-9148-e3be6c30e623}">
          <xlrd:rvb i="2221"/>
        </ext>
      </extLst>
    </bk>
    <bk>
      <extLst>
        <ext uri="{3e2802c4-a4d2-4d8b-9148-e3be6c30e623}">
          <xlrd:rvb i="2222"/>
        </ext>
      </extLst>
    </bk>
    <bk>
      <extLst>
        <ext uri="{3e2802c4-a4d2-4d8b-9148-e3be6c30e623}">
          <xlrd:rvb i="2223"/>
        </ext>
      </extLst>
    </bk>
    <bk>
      <extLst>
        <ext uri="{3e2802c4-a4d2-4d8b-9148-e3be6c30e623}">
          <xlrd:rvb i="2224"/>
        </ext>
      </extLst>
    </bk>
    <bk>
      <extLst>
        <ext uri="{3e2802c4-a4d2-4d8b-9148-e3be6c30e623}">
          <xlrd:rvb i="2225"/>
        </ext>
      </extLst>
    </bk>
    <bk>
      <extLst>
        <ext uri="{3e2802c4-a4d2-4d8b-9148-e3be6c30e623}">
          <xlrd:rvb i="2226"/>
        </ext>
      </extLst>
    </bk>
    <bk>
      <extLst>
        <ext uri="{3e2802c4-a4d2-4d8b-9148-e3be6c30e623}">
          <xlrd:rvb i="2227"/>
        </ext>
      </extLst>
    </bk>
    <bk>
      <extLst>
        <ext uri="{3e2802c4-a4d2-4d8b-9148-e3be6c30e623}">
          <xlrd:rvb i="2228"/>
        </ext>
      </extLst>
    </bk>
    <bk>
      <extLst>
        <ext uri="{3e2802c4-a4d2-4d8b-9148-e3be6c30e623}">
          <xlrd:rvb i="2229"/>
        </ext>
      </extLst>
    </bk>
    <bk>
      <extLst>
        <ext uri="{3e2802c4-a4d2-4d8b-9148-e3be6c30e623}">
          <xlrd:rvb i="2230"/>
        </ext>
      </extLst>
    </bk>
    <bk>
      <extLst>
        <ext uri="{3e2802c4-a4d2-4d8b-9148-e3be6c30e623}">
          <xlrd:rvb i="2231"/>
        </ext>
      </extLst>
    </bk>
    <bk>
      <extLst>
        <ext uri="{3e2802c4-a4d2-4d8b-9148-e3be6c30e623}">
          <xlrd:rvb i="2232"/>
        </ext>
      </extLst>
    </bk>
    <bk>
      <extLst>
        <ext uri="{3e2802c4-a4d2-4d8b-9148-e3be6c30e623}">
          <xlrd:rvb i="2233"/>
        </ext>
      </extLst>
    </bk>
    <bk>
      <extLst>
        <ext uri="{3e2802c4-a4d2-4d8b-9148-e3be6c30e623}">
          <xlrd:rvb i="2234"/>
        </ext>
      </extLst>
    </bk>
    <bk>
      <extLst>
        <ext uri="{3e2802c4-a4d2-4d8b-9148-e3be6c30e623}">
          <xlrd:rvb i="2235"/>
        </ext>
      </extLst>
    </bk>
    <bk>
      <extLst>
        <ext uri="{3e2802c4-a4d2-4d8b-9148-e3be6c30e623}">
          <xlrd:rvb i="2236"/>
        </ext>
      </extLst>
    </bk>
    <bk>
      <extLst>
        <ext uri="{3e2802c4-a4d2-4d8b-9148-e3be6c30e623}">
          <xlrd:rvb i="2237"/>
        </ext>
      </extLst>
    </bk>
    <bk>
      <extLst>
        <ext uri="{3e2802c4-a4d2-4d8b-9148-e3be6c30e623}">
          <xlrd:rvb i="2238"/>
        </ext>
      </extLst>
    </bk>
    <bk>
      <extLst>
        <ext uri="{3e2802c4-a4d2-4d8b-9148-e3be6c30e623}">
          <xlrd:rvb i="2239"/>
        </ext>
      </extLst>
    </bk>
    <bk>
      <extLst>
        <ext uri="{3e2802c4-a4d2-4d8b-9148-e3be6c30e623}">
          <xlrd:rvb i="2240"/>
        </ext>
      </extLst>
    </bk>
    <bk>
      <extLst>
        <ext uri="{3e2802c4-a4d2-4d8b-9148-e3be6c30e623}">
          <xlrd:rvb i="2241"/>
        </ext>
      </extLst>
    </bk>
    <bk>
      <extLst>
        <ext uri="{3e2802c4-a4d2-4d8b-9148-e3be6c30e623}">
          <xlrd:rvb i="2242"/>
        </ext>
      </extLst>
    </bk>
    <bk>
      <extLst>
        <ext uri="{3e2802c4-a4d2-4d8b-9148-e3be6c30e623}">
          <xlrd:rvb i="2243"/>
        </ext>
      </extLst>
    </bk>
    <bk>
      <extLst>
        <ext uri="{3e2802c4-a4d2-4d8b-9148-e3be6c30e623}">
          <xlrd:rvb i="2244"/>
        </ext>
      </extLst>
    </bk>
    <bk>
      <extLst>
        <ext uri="{3e2802c4-a4d2-4d8b-9148-e3be6c30e623}">
          <xlrd:rvb i="2245"/>
        </ext>
      </extLst>
    </bk>
    <bk>
      <extLst>
        <ext uri="{3e2802c4-a4d2-4d8b-9148-e3be6c30e623}">
          <xlrd:rvb i="2246"/>
        </ext>
      </extLst>
    </bk>
    <bk>
      <extLst>
        <ext uri="{3e2802c4-a4d2-4d8b-9148-e3be6c30e623}">
          <xlrd:rvb i="2247"/>
        </ext>
      </extLst>
    </bk>
    <bk>
      <extLst>
        <ext uri="{3e2802c4-a4d2-4d8b-9148-e3be6c30e623}">
          <xlrd:rvb i="2248"/>
        </ext>
      </extLst>
    </bk>
    <bk>
      <extLst>
        <ext uri="{3e2802c4-a4d2-4d8b-9148-e3be6c30e623}">
          <xlrd:rvb i="2249"/>
        </ext>
      </extLst>
    </bk>
    <bk>
      <extLst>
        <ext uri="{3e2802c4-a4d2-4d8b-9148-e3be6c30e623}">
          <xlrd:rvb i="2250"/>
        </ext>
      </extLst>
    </bk>
    <bk>
      <extLst>
        <ext uri="{3e2802c4-a4d2-4d8b-9148-e3be6c30e623}">
          <xlrd:rvb i="2251"/>
        </ext>
      </extLst>
    </bk>
    <bk>
      <extLst>
        <ext uri="{3e2802c4-a4d2-4d8b-9148-e3be6c30e623}">
          <xlrd:rvb i="2252"/>
        </ext>
      </extLst>
    </bk>
    <bk>
      <extLst>
        <ext uri="{3e2802c4-a4d2-4d8b-9148-e3be6c30e623}">
          <xlrd:rvb i="2253"/>
        </ext>
      </extLst>
    </bk>
    <bk>
      <extLst>
        <ext uri="{3e2802c4-a4d2-4d8b-9148-e3be6c30e623}">
          <xlrd:rvb i="2254"/>
        </ext>
      </extLst>
    </bk>
    <bk>
      <extLst>
        <ext uri="{3e2802c4-a4d2-4d8b-9148-e3be6c30e623}">
          <xlrd:rvb i="2255"/>
        </ext>
      </extLst>
    </bk>
    <bk>
      <extLst>
        <ext uri="{3e2802c4-a4d2-4d8b-9148-e3be6c30e623}">
          <xlrd:rvb i="2256"/>
        </ext>
      </extLst>
    </bk>
    <bk>
      <extLst>
        <ext uri="{3e2802c4-a4d2-4d8b-9148-e3be6c30e623}">
          <xlrd:rvb i="2257"/>
        </ext>
      </extLst>
    </bk>
    <bk>
      <extLst>
        <ext uri="{3e2802c4-a4d2-4d8b-9148-e3be6c30e623}">
          <xlrd:rvb i="2258"/>
        </ext>
      </extLst>
    </bk>
    <bk>
      <extLst>
        <ext uri="{3e2802c4-a4d2-4d8b-9148-e3be6c30e623}">
          <xlrd:rvb i="2259"/>
        </ext>
      </extLst>
    </bk>
    <bk>
      <extLst>
        <ext uri="{3e2802c4-a4d2-4d8b-9148-e3be6c30e623}">
          <xlrd:rvb i="2260"/>
        </ext>
      </extLst>
    </bk>
    <bk>
      <extLst>
        <ext uri="{3e2802c4-a4d2-4d8b-9148-e3be6c30e623}">
          <xlrd:rvb i="2261"/>
        </ext>
      </extLst>
    </bk>
    <bk>
      <extLst>
        <ext uri="{3e2802c4-a4d2-4d8b-9148-e3be6c30e623}">
          <xlrd:rvb i="2262"/>
        </ext>
      </extLst>
    </bk>
    <bk>
      <extLst>
        <ext uri="{3e2802c4-a4d2-4d8b-9148-e3be6c30e623}">
          <xlrd:rvb i="2263"/>
        </ext>
      </extLst>
    </bk>
    <bk>
      <extLst>
        <ext uri="{3e2802c4-a4d2-4d8b-9148-e3be6c30e623}">
          <xlrd:rvb i="2264"/>
        </ext>
      </extLst>
    </bk>
    <bk>
      <extLst>
        <ext uri="{3e2802c4-a4d2-4d8b-9148-e3be6c30e623}">
          <xlrd:rvb i="2265"/>
        </ext>
      </extLst>
    </bk>
    <bk>
      <extLst>
        <ext uri="{3e2802c4-a4d2-4d8b-9148-e3be6c30e623}">
          <xlrd:rvb i="2266"/>
        </ext>
      </extLst>
    </bk>
    <bk>
      <extLst>
        <ext uri="{3e2802c4-a4d2-4d8b-9148-e3be6c30e623}">
          <xlrd:rvb i="2267"/>
        </ext>
      </extLst>
    </bk>
    <bk>
      <extLst>
        <ext uri="{3e2802c4-a4d2-4d8b-9148-e3be6c30e623}">
          <xlrd:rvb i="2268"/>
        </ext>
      </extLst>
    </bk>
    <bk>
      <extLst>
        <ext uri="{3e2802c4-a4d2-4d8b-9148-e3be6c30e623}">
          <xlrd:rvb i="2269"/>
        </ext>
      </extLst>
    </bk>
    <bk>
      <extLst>
        <ext uri="{3e2802c4-a4d2-4d8b-9148-e3be6c30e623}">
          <xlrd:rvb i="2270"/>
        </ext>
      </extLst>
    </bk>
    <bk>
      <extLst>
        <ext uri="{3e2802c4-a4d2-4d8b-9148-e3be6c30e623}">
          <xlrd:rvb i="2271"/>
        </ext>
      </extLst>
    </bk>
    <bk>
      <extLst>
        <ext uri="{3e2802c4-a4d2-4d8b-9148-e3be6c30e623}">
          <xlrd:rvb i="2272"/>
        </ext>
      </extLst>
    </bk>
    <bk>
      <extLst>
        <ext uri="{3e2802c4-a4d2-4d8b-9148-e3be6c30e623}">
          <xlrd:rvb i="2273"/>
        </ext>
      </extLst>
    </bk>
    <bk>
      <extLst>
        <ext uri="{3e2802c4-a4d2-4d8b-9148-e3be6c30e623}">
          <xlrd:rvb i="2274"/>
        </ext>
      </extLst>
    </bk>
    <bk>
      <extLst>
        <ext uri="{3e2802c4-a4d2-4d8b-9148-e3be6c30e623}">
          <xlrd:rvb i="2275"/>
        </ext>
      </extLst>
    </bk>
    <bk>
      <extLst>
        <ext uri="{3e2802c4-a4d2-4d8b-9148-e3be6c30e623}">
          <xlrd:rvb i="2276"/>
        </ext>
      </extLst>
    </bk>
    <bk>
      <extLst>
        <ext uri="{3e2802c4-a4d2-4d8b-9148-e3be6c30e623}">
          <xlrd:rvb i="2277"/>
        </ext>
      </extLst>
    </bk>
    <bk>
      <extLst>
        <ext uri="{3e2802c4-a4d2-4d8b-9148-e3be6c30e623}">
          <xlrd:rvb i="2278"/>
        </ext>
      </extLst>
    </bk>
    <bk>
      <extLst>
        <ext uri="{3e2802c4-a4d2-4d8b-9148-e3be6c30e623}">
          <xlrd:rvb i="2279"/>
        </ext>
      </extLst>
    </bk>
    <bk>
      <extLst>
        <ext uri="{3e2802c4-a4d2-4d8b-9148-e3be6c30e623}">
          <xlrd:rvb i="2280"/>
        </ext>
      </extLst>
    </bk>
    <bk>
      <extLst>
        <ext uri="{3e2802c4-a4d2-4d8b-9148-e3be6c30e623}">
          <xlrd:rvb i="2281"/>
        </ext>
      </extLst>
    </bk>
    <bk>
      <extLst>
        <ext uri="{3e2802c4-a4d2-4d8b-9148-e3be6c30e623}">
          <xlrd:rvb i="2282"/>
        </ext>
      </extLst>
    </bk>
    <bk>
      <extLst>
        <ext uri="{3e2802c4-a4d2-4d8b-9148-e3be6c30e623}">
          <xlrd:rvb i="2283"/>
        </ext>
      </extLst>
    </bk>
    <bk>
      <extLst>
        <ext uri="{3e2802c4-a4d2-4d8b-9148-e3be6c30e623}">
          <xlrd:rvb i="2284"/>
        </ext>
      </extLst>
    </bk>
    <bk>
      <extLst>
        <ext uri="{3e2802c4-a4d2-4d8b-9148-e3be6c30e623}">
          <xlrd:rvb i="2285"/>
        </ext>
      </extLst>
    </bk>
    <bk>
      <extLst>
        <ext uri="{3e2802c4-a4d2-4d8b-9148-e3be6c30e623}">
          <xlrd:rvb i="2286"/>
        </ext>
      </extLst>
    </bk>
    <bk>
      <extLst>
        <ext uri="{3e2802c4-a4d2-4d8b-9148-e3be6c30e623}">
          <xlrd:rvb i="2287"/>
        </ext>
      </extLst>
    </bk>
    <bk>
      <extLst>
        <ext uri="{3e2802c4-a4d2-4d8b-9148-e3be6c30e623}">
          <xlrd:rvb i="2288"/>
        </ext>
      </extLst>
    </bk>
    <bk>
      <extLst>
        <ext uri="{3e2802c4-a4d2-4d8b-9148-e3be6c30e623}">
          <xlrd:rvb i="2289"/>
        </ext>
      </extLst>
    </bk>
    <bk>
      <extLst>
        <ext uri="{3e2802c4-a4d2-4d8b-9148-e3be6c30e623}">
          <xlrd:rvb i="2290"/>
        </ext>
      </extLst>
    </bk>
    <bk>
      <extLst>
        <ext uri="{3e2802c4-a4d2-4d8b-9148-e3be6c30e623}">
          <xlrd:rvb i="2291"/>
        </ext>
      </extLst>
    </bk>
    <bk>
      <extLst>
        <ext uri="{3e2802c4-a4d2-4d8b-9148-e3be6c30e623}">
          <xlrd:rvb i="2292"/>
        </ext>
      </extLst>
    </bk>
    <bk>
      <extLst>
        <ext uri="{3e2802c4-a4d2-4d8b-9148-e3be6c30e623}">
          <xlrd:rvb i="2293"/>
        </ext>
      </extLst>
    </bk>
    <bk>
      <extLst>
        <ext uri="{3e2802c4-a4d2-4d8b-9148-e3be6c30e623}">
          <xlrd:rvb i="2294"/>
        </ext>
      </extLst>
    </bk>
    <bk>
      <extLst>
        <ext uri="{3e2802c4-a4d2-4d8b-9148-e3be6c30e623}">
          <xlrd:rvb i="2295"/>
        </ext>
      </extLst>
    </bk>
    <bk>
      <extLst>
        <ext uri="{3e2802c4-a4d2-4d8b-9148-e3be6c30e623}">
          <xlrd:rvb i="2296"/>
        </ext>
      </extLst>
    </bk>
    <bk>
      <extLst>
        <ext uri="{3e2802c4-a4d2-4d8b-9148-e3be6c30e623}">
          <xlrd:rvb i="2297"/>
        </ext>
      </extLst>
    </bk>
    <bk>
      <extLst>
        <ext uri="{3e2802c4-a4d2-4d8b-9148-e3be6c30e623}">
          <xlrd:rvb i="2298"/>
        </ext>
      </extLst>
    </bk>
    <bk>
      <extLst>
        <ext uri="{3e2802c4-a4d2-4d8b-9148-e3be6c30e623}">
          <xlrd:rvb i="2299"/>
        </ext>
      </extLst>
    </bk>
    <bk>
      <extLst>
        <ext uri="{3e2802c4-a4d2-4d8b-9148-e3be6c30e623}">
          <xlrd:rvb i="2300"/>
        </ext>
      </extLst>
    </bk>
    <bk>
      <extLst>
        <ext uri="{3e2802c4-a4d2-4d8b-9148-e3be6c30e623}">
          <xlrd:rvb i="2301"/>
        </ext>
      </extLst>
    </bk>
    <bk>
      <extLst>
        <ext uri="{3e2802c4-a4d2-4d8b-9148-e3be6c30e623}">
          <xlrd:rvb i="2302"/>
        </ext>
      </extLst>
    </bk>
    <bk>
      <extLst>
        <ext uri="{3e2802c4-a4d2-4d8b-9148-e3be6c30e623}">
          <xlrd:rvb i="2303"/>
        </ext>
      </extLst>
    </bk>
    <bk>
      <extLst>
        <ext uri="{3e2802c4-a4d2-4d8b-9148-e3be6c30e623}">
          <xlrd:rvb i="2304"/>
        </ext>
      </extLst>
    </bk>
    <bk>
      <extLst>
        <ext uri="{3e2802c4-a4d2-4d8b-9148-e3be6c30e623}">
          <xlrd:rvb i="2305"/>
        </ext>
      </extLst>
    </bk>
    <bk>
      <extLst>
        <ext uri="{3e2802c4-a4d2-4d8b-9148-e3be6c30e623}">
          <xlrd:rvb i="2306"/>
        </ext>
      </extLst>
    </bk>
    <bk>
      <extLst>
        <ext uri="{3e2802c4-a4d2-4d8b-9148-e3be6c30e623}">
          <xlrd:rvb i="2307"/>
        </ext>
      </extLst>
    </bk>
    <bk>
      <extLst>
        <ext uri="{3e2802c4-a4d2-4d8b-9148-e3be6c30e623}">
          <xlrd:rvb i="2308"/>
        </ext>
      </extLst>
    </bk>
    <bk>
      <extLst>
        <ext uri="{3e2802c4-a4d2-4d8b-9148-e3be6c30e623}">
          <xlrd:rvb i="2309"/>
        </ext>
      </extLst>
    </bk>
    <bk>
      <extLst>
        <ext uri="{3e2802c4-a4d2-4d8b-9148-e3be6c30e623}">
          <xlrd:rvb i="2310"/>
        </ext>
      </extLst>
    </bk>
    <bk>
      <extLst>
        <ext uri="{3e2802c4-a4d2-4d8b-9148-e3be6c30e623}">
          <xlrd:rvb i="2311"/>
        </ext>
      </extLst>
    </bk>
    <bk>
      <extLst>
        <ext uri="{3e2802c4-a4d2-4d8b-9148-e3be6c30e623}">
          <xlrd:rvb i="2312"/>
        </ext>
      </extLst>
    </bk>
    <bk>
      <extLst>
        <ext uri="{3e2802c4-a4d2-4d8b-9148-e3be6c30e623}">
          <xlrd:rvb i="2313"/>
        </ext>
      </extLst>
    </bk>
    <bk>
      <extLst>
        <ext uri="{3e2802c4-a4d2-4d8b-9148-e3be6c30e623}">
          <xlrd:rvb i="2314"/>
        </ext>
      </extLst>
    </bk>
    <bk>
      <extLst>
        <ext uri="{3e2802c4-a4d2-4d8b-9148-e3be6c30e623}">
          <xlrd:rvb i="2315"/>
        </ext>
      </extLst>
    </bk>
    <bk>
      <extLst>
        <ext uri="{3e2802c4-a4d2-4d8b-9148-e3be6c30e623}">
          <xlrd:rvb i="2316"/>
        </ext>
      </extLst>
    </bk>
    <bk>
      <extLst>
        <ext uri="{3e2802c4-a4d2-4d8b-9148-e3be6c30e623}">
          <xlrd:rvb i="2317"/>
        </ext>
      </extLst>
    </bk>
    <bk>
      <extLst>
        <ext uri="{3e2802c4-a4d2-4d8b-9148-e3be6c30e623}">
          <xlrd:rvb i="2318"/>
        </ext>
      </extLst>
    </bk>
    <bk>
      <extLst>
        <ext uri="{3e2802c4-a4d2-4d8b-9148-e3be6c30e623}">
          <xlrd:rvb i="2319"/>
        </ext>
      </extLst>
    </bk>
    <bk>
      <extLst>
        <ext uri="{3e2802c4-a4d2-4d8b-9148-e3be6c30e623}">
          <xlrd:rvb i="2320"/>
        </ext>
      </extLst>
    </bk>
    <bk>
      <extLst>
        <ext uri="{3e2802c4-a4d2-4d8b-9148-e3be6c30e623}">
          <xlrd:rvb i="2321"/>
        </ext>
      </extLst>
    </bk>
    <bk>
      <extLst>
        <ext uri="{3e2802c4-a4d2-4d8b-9148-e3be6c30e623}">
          <xlrd:rvb i="2322"/>
        </ext>
      </extLst>
    </bk>
    <bk>
      <extLst>
        <ext uri="{3e2802c4-a4d2-4d8b-9148-e3be6c30e623}">
          <xlrd:rvb i="2323"/>
        </ext>
      </extLst>
    </bk>
    <bk>
      <extLst>
        <ext uri="{3e2802c4-a4d2-4d8b-9148-e3be6c30e623}">
          <xlrd:rvb i="2324"/>
        </ext>
      </extLst>
    </bk>
    <bk>
      <extLst>
        <ext uri="{3e2802c4-a4d2-4d8b-9148-e3be6c30e623}">
          <xlrd:rvb i="2325"/>
        </ext>
      </extLst>
    </bk>
    <bk>
      <extLst>
        <ext uri="{3e2802c4-a4d2-4d8b-9148-e3be6c30e623}">
          <xlrd:rvb i="2326"/>
        </ext>
      </extLst>
    </bk>
    <bk>
      <extLst>
        <ext uri="{3e2802c4-a4d2-4d8b-9148-e3be6c30e623}">
          <xlrd:rvb i="2327"/>
        </ext>
      </extLst>
    </bk>
    <bk>
      <extLst>
        <ext uri="{3e2802c4-a4d2-4d8b-9148-e3be6c30e623}">
          <xlrd:rvb i="2328"/>
        </ext>
      </extLst>
    </bk>
    <bk>
      <extLst>
        <ext uri="{3e2802c4-a4d2-4d8b-9148-e3be6c30e623}">
          <xlrd:rvb i="2329"/>
        </ext>
      </extLst>
    </bk>
    <bk>
      <extLst>
        <ext uri="{3e2802c4-a4d2-4d8b-9148-e3be6c30e623}">
          <xlrd:rvb i="2330"/>
        </ext>
      </extLst>
    </bk>
    <bk>
      <extLst>
        <ext uri="{3e2802c4-a4d2-4d8b-9148-e3be6c30e623}">
          <xlrd:rvb i="2331"/>
        </ext>
      </extLst>
    </bk>
    <bk>
      <extLst>
        <ext uri="{3e2802c4-a4d2-4d8b-9148-e3be6c30e623}">
          <xlrd:rvb i="2332"/>
        </ext>
      </extLst>
    </bk>
    <bk>
      <extLst>
        <ext uri="{3e2802c4-a4d2-4d8b-9148-e3be6c30e623}">
          <xlrd:rvb i="2333"/>
        </ext>
      </extLst>
    </bk>
    <bk>
      <extLst>
        <ext uri="{3e2802c4-a4d2-4d8b-9148-e3be6c30e623}">
          <xlrd:rvb i="2334"/>
        </ext>
      </extLst>
    </bk>
    <bk>
      <extLst>
        <ext uri="{3e2802c4-a4d2-4d8b-9148-e3be6c30e623}">
          <xlrd:rvb i="2335"/>
        </ext>
      </extLst>
    </bk>
    <bk>
      <extLst>
        <ext uri="{3e2802c4-a4d2-4d8b-9148-e3be6c30e623}">
          <xlrd:rvb i="2336"/>
        </ext>
      </extLst>
    </bk>
    <bk>
      <extLst>
        <ext uri="{3e2802c4-a4d2-4d8b-9148-e3be6c30e623}">
          <xlrd:rvb i="2337"/>
        </ext>
      </extLst>
    </bk>
    <bk>
      <extLst>
        <ext uri="{3e2802c4-a4d2-4d8b-9148-e3be6c30e623}">
          <xlrd:rvb i="2338"/>
        </ext>
      </extLst>
    </bk>
    <bk>
      <extLst>
        <ext uri="{3e2802c4-a4d2-4d8b-9148-e3be6c30e623}">
          <xlrd:rvb i="2339"/>
        </ext>
      </extLst>
    </bk>
    <bk>
      <extLst>
        <ext uri="{3e2802c4-a4d2-4d8b-9148-e3be6c30e623}">
          <xlrd:rvb i="2340"/>
        </ext>
      </extLst>
    </bk>
    <bk>
      <extLst>
        <ext uri="{3e2802c4-a4d2-4d8b-9148-e3be6c30e623}">
          <xlrd:rvb i="2341"/>
        </ext>
      </extLst>
    </bk>
    <bk>
      <extLst>
        <ext uri="{3e2802c4-a4d2-4d8b-9148-e3be6c30e623}">
          <xlrd:rvb i="2342"/>
        </ext>
      </extLst>
    </bk>
    <bk>
      <extLst>
        <ext uri="{3e2802c4-a4d2-4d8b-9148-e3be6c30e623}">
          <xlrd:rvb i="2343"/>
        </ext>
      </extLst>
    </bk>
    <bk>
      <extLst>
        <ext uri="{3e2802c4-a4d2-4d8b-9148-e3be6c30e623}">
          <xlrd:rvb i="2344"/>
        </ext>
      </extLst>
    </bk>
    <bk>
      <extLst>
        <ext uri="{3e2802c4-a4d2-4d8b-9148-e3be6c30e623}">
          <xlrd:rvb i="2345"/>
        </ext>
      </extLst>
    </bk>
    <bk>
      <extLst>
        <ext uri="{3e2802c4-a4d2-4d8b-9148-e3be6c30e623}">
          <xlrd:rvb i="2346"/>
        </ext>
      </extLst>
    </bk>
    <bk>
      <extLst>
        <ext uri="{3e2802c4-a4d2-4d8b-9148-e3be6c30e623}">
          <xlrd:rvb i="2347"/>
        </ext>
      </extLst>
    </bk>
    <bk>
      <extLst>
        <ext uri="{3e2802c4-a4d2-4d8b-9148-e3be6c30e623}">
          <xlrd:rvb i="2348"/>
        </ext>
      </extLst>
    </bk>
    <bk>
      <extLst>
        <ext uri="{3e2802c4-a4d2-4d8b-9148-e3be6c30e623}">
          <xlrd:rvb i="2349"/>
        </ext>
      </extLst>
    </bk>
    <bk>
      <extLst>
        <ext uri="{3e2802c4-a4d2-4d8b-9148-e3be6c30e623}">
          <xlrd:rvb i="2350"/>
        </ext>
      </extLst>
    </bk>
    <bk>
      <extLst>
        <ext uri="{3e2802c4-a4d2-4d8b-9148-e3be6c30e623}">
          <xlrd:rvb i="2351"/>
        </ext>
      </extLst>
    </bk>
    <bk>
      <extLst>
        <ext uri="{3e2802c4-a4d2-4d8b-9148-e3be6c30e623}">
          <xlrd:rvb i="2352"/>
        </ext>
      </extLst>
    </bk>
    <bk>
      <extLst>
        <ext uri="{3e2802c4-a4d2-4d8b-9148-e3be6c30e623}">
          <xlrd:rvb i="2353"/>
        </ext>
      </extLst>
    </bk>
    <bk>
      <extLst>
        <ext uri="{3e2802c4-a4d2-4d8b-9148-e3be6c30e623}">
          <xlrd:rvb i="2354"/>
        </ext>
      </extLst>
    </bk>
    <bk>
      <extLst>
        <ext uri="{3e2802c4-a4d2-4d8b-9148-e3be6c30e623}">
          <xlrd:rvb i="2355"/>
        </ext>
      </extLst>
    </bk>
    <bk>
      <extLst>
        <ext uri="{3e2802c4-a4d2-4d8b-9148-e3be6c30e623}">
          <xlrd:rvb i="2356"/>
        </ext>
      </extLst>
    </bk>
    <bk>
      <extLst>
        <ext uri="{3e2802c4-a4d2-4d8b-9148-e3be6c30e623}">
          <xlrd:rvb i="2357"/>
        </ext>
      </extLst>
    </bk>
    <bk>
      <extLst>
        <ext uri="{3e2802c4-a4d2-4d8b-9148-e3be6c30e623}">
          <xlrd:rvb i="2358"/>
        </ext>
      </extLst>
    </bk>
    <bk>
      <extLst>
        <ext uri="{3e2802c4-a4d2-4d8b-9148-e3be6c30e623}">
          <xlrd:rvb i="2359"/>
        </ext>
      </extLst>
    </bk>
    <bk>
      <extLst>
        <ext uri="{3e2802c4-a4d2-4d8b-9148-e3be6c30e623}">
          <xlrd:rvb i="2360"/>
        </ext>
      </extLst>
    </bk>
    <bk>
      <extLst>
        <ext uri="{3e2802c4-a4d2-4d8b-9148-e3be6c30e623}">
          <xlrd:rvb i="2361"/>
        </ext>
      </extLst>
    </bk>
    <bk>
      <extLst>
        <ext uri="{3e2802c4-a4d2-4d8b-9148-e3be6c30e623}">
          <xlrd:rvb i="2362"/>
        </ext>
      </extLst>
    </bk>
    <bk>
      <extLst>
        <ext uri="{3e2802c4-a4d2-4d8b-9148-e3be6c30e623}">
          <xlrd:rvb i="2363"/>
        </ext>
      </extLst>
    </bk>
    <bk>
      <extLst>
        <ext uri="{3e2802c4-a4d2-4d8b-9148-e3be6c30e623}">
          <xlrd:rvb i="2364"/>
        </ext>
      </extLst>
    </bk>
    <bk>
      <extLst>
        <ext uri="{3e2802c4-a4d2-4d8b-9148-e3be6c30e623}">
          <xlrd:rvb i="2365"/>
        </ext>
      </extLst>
    </bk>
    <bk>
      <extLst>
        <ext uri="{3e2802c4-a4d2-4d8b-9148-e3be6c30e623}">
          <xlrd:rvb i="2366"/>
        </ext>
      </extLst>
    </bk>
    <bk>
      <extLst>
        <ext uri="{3e2802c4-a4d2-4d8b-9148-e3be6c30e623}">
          <xlrd:rvb i="2367"/>
        </ext>
      </extLst>
    </bk>
    <bk>
      <extLst>
        <ext uri="{3e2802c4-a4d2-4d8b-9148-e3be6c30e623}">
          <xlrd:rvb i="2368"/>
        </ext>
      </extLst>
    </bk>
    <bk>
      <extLst>
        <ext uri="{3e2802c4-a4d2-4d8b-9148-e3be6c30e623}">
          <xlrd:rvb i="2369"/>
        </ext>
      </extLst>
    </bk>
    <bk>
      <extLst>
        <ext uri="{3e2802c4-a4d2-4d8b-9148-e3be6c30e623}">
          <xlrd:rvb i="2370"/>
        </ext>
      </extLst>
    </bk>
    <bk>
      <extLst>
        <ext uri="{3e2802c4-a4d2-4d8b-9148-e3be6c30e623}">
          <xlrd:rvb i="2371"/>
        </ext>
      </extLst>
    </bk>
    <bk>
      <extLst>
        <ext uri="{3e2802c4-a4d2-4d8b-9148-e3be6c30e623}">
          <xlrd:rvb i="2372"/>
        </ext>
      </extLst>
    </bk>
    <bk>
      <extLst>
        <ext uri="{3e2802c4-a4d2-4d8b-9148-e3be6c30e623}">
          <xlrd:rvb i="2373"/>
        </ext>
      </extLst>
    </bk>
    <bk>
      <extLst>
        <ext uri="{3e2802c4-a4d2-4d8b-9148-e3be6c30e623}">
          <xlrd:rvb i="2374"/>
        </ext>
      </extLst>
    </bk>
    <bk>
      <extLst>
        <ext uri="{3e2802c4-a4d2-4d8b-9148-e3be6c30e623}">
          <xlrd:rvb i="2375"/>
        </ext>
      </extLst>
    </bk>
    <bk>
      <extLst>
        <ext uri="{3e2802c4-a4d2-4d8b-9148-e3be6c30e623}">
          <xlrd:rvb i="2376"/>
        </ext>
      </extLst>
    </bk>
    <bk>
      <extLst>
        <ext uri="{3e2802c4-a4d2-4d8b-9148-e3be6c30e623}">
          <xlrd:rvb i="2377"/>
        </ext>
      </extLst>
    </bk>
    <bk>
      <extLst>
        <ext uri="{3e2802c4-a4d2-4d8b-9148-e3be6c30e623}">
          <xlrd:rvb i="2378"/>
        </ext>
      </extLst>
    </bk>
    <bk>
      <extLst>
        <ext uri="{3e2802c4-a4d2-4d8b-9148-e3be6c30e623}">
          <xlrd:rvb i="2379"/>
        </ext>
      </extLst>
    </bk>
    <bk>
      <extLst>
        <ext uri="{3e2802c4-a4d2-4d8b-9148-e3be6c30e623}">
          <xlrd:rvb i="2380"/>
        </ext>
      </extLst>
    </bk>
    <bk>
      <extLst>
        <ext uri="{3e2802c4-a4d2-4d8b-9148-e3be6c30e623}">
          <xlrd:rvb i="2381"/>
        </ext>
      </extLst>
    </bk>
    <bk>
      <extLst>
        <ext uri="{3e2802c4-a4d2-4d8b-9148-e3be6c30e623}">
          <xlrd:rvb i="2382"/>
        </ext>
      </extLst>
    </bk>
    <bk>
      <extLst>
        <ext uri="{3e2802c4-a4d2-4d8b-9148-e3be6c30e623}">
          <xlrd:rvb i="2383"/>
        </ext>
      </extLst>
    </bk>
    <bk>
      <extLst>
        <ext uri="{3e2802c4-a4d2-4d8b-9148-e3be6c30e623}">
          <xlrd:rvb i="2384"/>
        </ext>
      </extLst>
    </bk>
    <bk>
      <extLst>
        <ext uri="{3e2802c4-a4d2-4d8b-9148-e3be6c30e623}">
          <xlrd:rvb i="2385"/>
        </ext>
      </extLst>
    </bk>
    <bk>
      <extLst>
        <ext uri="{3e2802c4-a4d2-4d8b-9148-e3be6c30e623}">
          <xlrd:rvb i="2386"/>
        </ext>
      </extLst>
    </bk>
    <bk>
      <extLst>
        <ext uri="{3e2802c4-a4d2-4d8b-9148-e3be6c30e623}">
          <xlrd:rvb i="2387"/>
        </ext>
      </extLst>
    </bk>
    <bk>
      <extLst>
        <ext uri="{3e2802c4-a4d2-4d8b-9148-e3be6c30e623}">
          <xlrd:rvb i="2388"/>
        </ext>
      </extLst>
    </bk>
    <bk>
      <extLst>
        <ext uri="{3e2802c4-a4d2-4d8b-9148-e3be6c30e623}">
          <xlrd:rvb i="2389"/>
        </ext>
      </extLst>
    </bk>
    <bk>
      <extLst>
        <ext uri="{3e2802c4-a4d2-4d8b-9148-e3be6c30e623}">
          <xlrd:rvb i="2390"/>
        </ext>
      </extLst>
    </bk>
    <bk>
      <extLst>
        <ext uri="{3e2802c4-a4d2-4d8b-9148-e3be6c30e623}">
          <xlrd:rvb i="2391"/>
        </ext>
      </extLst>
    </bk>
    <bk>
      <extLst>
        <ext uri="{3e2802c4-a4d2-4d8b-9148-e3be6c30e623}">
          <xlrd:rvb i="2392"/>
        </ext>
      </extLst>
    </bk>
    <bk>
      <extLst>
        <ext uri="{3e2802c4-a4d2-4d8b-9148-e3be6c30e623}">
          <xlrd:rvb i="2393"/>
        </ext>
      </extLst>
    </bk>
    <bk>
      <extLst>
        <ext uri="{3e2802c4-a4d2-4d8b-9148-e3be6c30e623}">
          <xlrd:rvb i="2394"/>
        </ext>
      </extLst>
    </bk>
    <bk>
      <extLst>
        <ext uri="{3e2802c4-a4d2-4d8b-9148-e3be6c30e623}">
          <xlrd:rvb i="2395"/>
        </ext>
      </extLst>
    </bk>
    <bk>
      <extLst>
        <ext uri="{3e2802c4-a4d2-4d8b-9148-e3be6c30e623}">
          <xlrd:rvb i="2396"/>
        </ext>
      </extLst>
    </bk>
    <bk>
      <extLst>
        <ext uri="{3e2802c4-a4d2-4d8b-9148-e3be6c30e623}">
          <xlrd:rvb i="2397"/>
        </ext>
      </extLst>
    </bk>
    <bk>
      <extLst>
        <ext uri="{3e2802c4-a4d2-4d8b-9148-e3be6c30e623}">
          <xlrd:rvb i="2398"/>
        </ext>
      </extLst>
    </bk>
    <bk>
      <extLst>
        <ext uri="{3e2802c4-a4d2-4d8b-9148-e3be6c30e623}">
          <xlrd:rvb i="2399"/>
        </ext>
      </extLst>
    </bk>
    <bk>
      <extLst>
        <ext uri="{3e2802c4-a4d2-4d8b-9148-e3be6c30e623}">
          <xlrd:rvb i="2400"/>
        </ext>
      </extLst>
    </bk>
    <bk>
      <extLst>
        <ext uri="{3e2802c4-a4d2-4d8b-9148-e3be6c30e623}">
          <xlrd:rvb i="2401"/>
        </ext>
      </extLst>
    </bk>
    <bk>
      <extLst>
        <ext uri="{3e2802c4-a4d2-4d8b-9148-e3be6c30e623}">
          <xlrd:rvb i="2402"/>
        </ext>
      </extLst>
    </bk>
    <bk>
      <extLst>
        <ext uri="{3e2802c4-a4d2-4d8b-9148-e3be6c30e623}">
          <xlrd:rvb i="2403"/>
        </ext>
      </extLst>
    </bk>
    <bk>
      <extLst>
        <ext uri="{3e2802c4-a4d2-4d8b-9148-e3be6c30e623}">
          <xlrd:rvb i="2404"/>
        </ext>
      </extLst>
    </bk>
    <bk>
      <extLst>
        <ext uri="{3e2802c4-a4d2-4d8b-9148-e3be6c30e623}">
          <xlrd:rvb i="2405"/>
        </ext>
      </extLst>
    </bk>
    <bk>
      <extLst>
        <ext uri="{3e2802c4-a4d2-4d8b-9148-e3be6c30e623}">
          <xlrd:rvb i="2406"/>
        </ext>
      </extLst>
    </bk>
    <bk>
      <extLst>
        <ext uri="{3e2802c4-a4d2-4d8b-9148-e3be6c30e623}">
          <xlrd:rvb i="2407"/>
        </ext>
      </extLst>
    </bk>
    <bk>
      <extLst>
        <ext uri="{3e2802c4-a4d2-4d8b-9148-e3be6c30e623}">
          <xlrd:rvb i="2408"/>
        </ext>
      </extLst>
    </bk>
    <bk>
      <extLst>
        <ext uri="{3e2802c4-a4d2-4d8b-9148-e3be6c30e623}">
          <xlrd:rvb i="2409"/>
        </ext>
      </extLst>
    </bk>
    <bk>
      <extLst>
        <ext uri="{3e2802c4-a4d2-4d8b-9148-e3be6c30e623}">
          <xlrd:rvb i="2410"/>
        </ext>
      </extLst>
    </bk>
    <bk>
      <extLst>
        <ext uri="{3e2802c4-a4d2-4d8b-9148-e3be6c30e623}">
          <xlrd:rvb i="2411"/>
        </ext>
      </extLst>
    </bk>
    <bk>
      <extLst>
        <ext uri="{3e2802c4-a4d2-4d8b-9148-e3be6c30e623}">
          <xlrd:rvb i="2412"/>
        </ext>
      </extLst>
    </bk>
    <bk>
      <extLst>
        <ext uri="{3e2802c4-a4d2-4d8b-9148-e3be6c30e623}">
          <xlrd:rvb i="2413"/>
        </ext>
      </extLst>
    </bk>
    <bk>
      <extLst>
        <ext uri="{3e2802c4-a4d2-4d8b-9148-e3be6c30e623}">
          <xlrd:rvb i="2414"/>
        </ext>
      </extLst>
    </bk>
    <bk>
      <extLst>
        <ext uri="{3e2802c4-a4d2-4d8b-9148-e3be6c30e623}">
          <xlrd:rvb i="2415"/>
        </ext>
      </extLst>
    </bk>
    <bk>
      <extLst>
        <ext uri="{3e2802c4-a4d2-4d8b-9148-e3be6c30e623}">
          <xlrd:rvb i="2416"/>
        </ext>
      </extLst>
    </bk>
    <bk>
      <extLst>
        <ext uri="{3e2802c4-a4d2-4d8b-9148-e3be6c30e623}">
          <xlrd:rvb i="2417"/>
        </ext>
      </extLst>
    </bk>
    <bk>
      <extLst>
        <ext uri="{3e2802c4-a4d2-4d8b-9148-e3be6c30e623}">
          <xlrd:rvb i="2418"/>
        </ext>
      </extLst>
    </bk>
    <bk>
      <extLst>
        <ext uri="{3e2802c4-a4d2-4d8b-9148-e3be6c30e623}">
          <xlrd:rvb i="2419"/>
        </ext>
      </extLst>
    </bk>
    <bk>
      <extLst>
        <ext uri="{3e2802c4-a4d2-4d8b-9148-e3be6c30e623}">
          <xlrd:rvb i="2420"/>
        </ext>
      </extLst>
    </bk>
    <bk>
      <extLst>
        <ext uri="{3e2802c4-a4d2-4d8b-9148-e3be6c30e623}">
          <xlrd:rvb i="2421"/>
        </ext>
      </extLst>
    </bk>
    <bk>
      <extLst>
        <ext uri="{3e2802c4-a4d2-4d8b-9148-e3be6c30e623}">
          <xlrd:rvb i="2422"/>
        </ext>
      </extLst>
    </bk>
    <bk>
      <extLst>
        <ext uri="{3e2802c4-a4d2-4d8b-9148-e3be6c30e623}">
          <xlrd:rvb i="2423"/>
        </ext>
      </extLst>
    </bk>
    <bk>
      <extLst>
        <ext uri="{3e2802c4-a4d2-4d8b-9148-e3be6c30e623}">
          <xlrd:rvb i="2424"/>
        </ext>
      </extLst>
    </bk>
    <bk>
      <extLst>
        <ext uri="{3e2802c4-a4d2-4d8b-9148-e3be6c30e623}">
          <xlrd:rvb i="2425"/>
        </ext>
      </extLst>
    </bk>
    <bk>
      <extLst>
        <ext uri="{3e2802c4-a4d2-4d8b-9148-e3be6c30e623}">
          <xlrd:rvb i="2426"/>
        </ext>
      </extLst>
    </bk>
    <bk>
      <extLst>
        <ext uri="{3e2802c4-a4d2-4d8b-9148-e3be6c30e623}">
          <xlrd:rvb i="2427"/>
        </ext>
      </extLst>
    </bk>
    <bk>
      <extLst>
        <ext uri="{3e2802c4-a4d2-4d8b-9148-e3be6c30e623}">
          <xlrd:rvb i="2428"/>
        </ext>
      </extLst>
    </bk>
    <bk>
      <extLst>
        <ext uri="{3e2802c4-a4d2-4d8b-9148-e3be6c30e623}">
          <xlrd:rvb i="2429"/>
        </ext>
      </extLst>
    </bk>
    <bk>
      <extLst>
        <ext uri="{3e2802c4-a4d2-4d8b-9148-e3be6c30e623}">
          <xlrd:rvb i="2430"/>
        </ext>
      </extLst>
    </bk>
    <bk>
      <extLst>
        <ext uri="{3e2802c4-a4d2-4d8b-9148-e3be6c30e623}">
          <xlrd:rvb i="2431"/>
        </ext>
      </extLst>
    </bk>
    <bk>
      <extLst>
        <ext uri="{3e2802c4-a4d2-4d8b-9148-e3be6c30e623}">
          <xlrd:rvb i="2432"/>
        </ext>
      </extLst>
    </bk>
    <bk>
      <extLst>
        <ext uri="{3e2802c4-a4d2-4d8b-9148-e3be6c30e623}">
          <xlrd:rvb i="2433"/>
        </ext>
      </extLst>
    </bk>
    <bk>
      <extLst>
        <ext uri="{3e2802c4-a4d2-4d8b-9148-e3be6c30e623}">
          <xlrd:rvb i="2434"/>
        </ext>
      </extLst>
    </bk>
    <bk>
      <extLst>
        <ext uri="{3e2802c4-a4d2-4d8b-9148-e3be6c30e623}">
          <xlrd:rvb i="2435"/>
        </ext>
      </extLst>
    </bk>
    <bk>
      <extLst>
        <ext uri="{3e2802c4-a4d2-4d8b-9148-e3be6c30e623}">
          <xlrd:rvb i="2436"/>
        </ext>
      </extLst>
    </bk>
    <bk>
      <extLst>
        <ext uri="{3e2802c4-a4d2-4d8b-9148-e3be6c30e623}">
          <xlrd:rvb i="2437"/>
        </ext>
      </extLst>
    </bk>
    <bk>
      <extLst>
        <ext uri="{3e2802c4-a4d2-4d8b-9148-e3be6c30e623}">
          <xlrd:rvb i="2438"/>
        </ext>
      </extLst>
    </bk>
    <bk>
      <extLst>
        <ext uri="{3e2802c4-a4d2-4d8b-9148-e3be6c30e623}">
          <xlrd:rvb i="2439"/>
        </ext>
      </extLst>
    </bk>
    <bk>
      <extLst>
        <ext uri="{3e2802c4-a4d2-4d8b-9148-e3be6c30e623}">
          <xlrd:rvb i="2440"/>
        </ext>
      </extLst>
    </bk>
    <bk>
      <extLst>
        <ext uri="{3e2802c4-a4d2-4d8b-9148-e3be6c30e623}">
          <xlrd:rvb i="2441"/>
        </ext>
      </extLst>
    </bk>
    <bk>
      <extLst>
        <ext uri="{3e2802c4-a4d2-4d8b-9148-e3be6c30e623}">
          <xlrd:rvb i="2442"/>
        </ext>
      </extLst>
    </bk>
    <bk>
      <extLst>
        <ext uri="{3e2802c4-a4d2-4d8b-9148-e3be6c30e623}">
          <xlrd:rvb i="2443"/>
        </ext>
      </extLst>
    </bk>
    <bk>
      <extLst>
        <ext uri="{3e2802c4-a4d2-4d8b-9148-e3be6c30e623}">
          <xlrd:rvb i="2444"/>
        </ext>
      </extLst>
    </bk>
    <bk>
      <extLst>
        <ext uri="{3e2802c4-a4d2-4d8b-9148-e3be6c30e623}">
          <xlrd:rvb i="2445"/>
        </ext>
      </extLst>
    </bk>
    <bk>
      <extLst>
        <ext uri="{3e2802c4-a4d2-4d8b-9148-e3be6c30e623}">
          <xlrd:rvb i="2446"/>
        </ext>
      </extLst>
    </bk>
    <bk>
      <extLst>
        <ext uri="{3e2802c4-a4d2-4d8b-9148-e3be6c30e623}">
          <xlrd:rvb i="2447"/>
        </ext>
      </extLst>
    </bk>
    <bk>
      <extLst>
        <ext uri="{3e2802c4-a4d2-4d8b-9148-e3be6c30e623}">
          <xlrd:rvb i="2448"/>
        </ext>
      </extLst>
    </bk>
    <bk>
      <extLst>
        <ext uri="{3e2802c4-a4d2-4d8b-9148-e3be6c30e623}">
          <xlrd:rvb i="2449"/>
        </ext>
      </extLst>
    </bk>
    <bk>
      <extLst>
        <ext uri="{3e2802c4-a4d2-4d8b-9148-e3be6c30e623}">
          <xlrd:rvb i="2450"/>
        </ext>
      </extLst>
    </bk>
    <bk>
      <extLst>
        <ext uri="{3e2802c4-a4d2-4d8b-9148-e3be6c30e623}">
          <xlrd:rvb i="2451"/>
        </ext>
      </extLst>
    </bk>
    <bk>
      <extLst>
        <ext uri="{3e2802c4-a4d2-4d8b-9148-e3be6c30e623}">
          <xlrd:rvb i="2452"/>
        </ext>
      </extLst>
    </bk>
    <bk>
      <extLst>
        <ext uri="{3e2802c4-a4d2-4d8b-9148-e3be6c30e623}">
          <xlrd:rvb i="2453"/>
        </ext>
      </extLst>
    </bk>
    <bk>
      <extLst>
        <ext uri="{3e2802c4-a4d2-4d8b-9148-e3be6c30e623}">
          <xlrd:rvb i="2454"/>
        </ext>
      </extLst>
    </bk>
    <bk>
      <extLst>
        <ext uri="{3e2802c4-a4d2-4d8b-9148-e3be6c30e623}">
          <xlrd:rvb i="2455"/>
        </ext>
      </extLst>
    </bk>
    <bk>
      <extLst>
        <ext uri="{3e2802c4-a4d2-4d8b-9148-e3be6c30e623}">
          <xlrd:rvb i="2456"/>
        </ext>
      </extLst>
    </bk>
    <bk>
      <extLst>
        <ext uri="{3e2802c4-a4d2-4d8b-9148-e3be6c30e623}">
          <xlrd:rvb i="2457"/>
        </ext>
      </extLst>
    </bk>
    <bk>
      <extLst>
        <ext uri="{3e2802c4-a4d2-4d8b-9148-e3be6c30e623}">
          <xlrd:rvb i="2458"/>
        </ext>
      </extLst>
    </bk>
    <bk>
      <extLst>
        <ext uri="{3e2802c4-a4d2-4d8b-9148-e3be6c30e623}">
          <xlrd:rvb i="2459"/>
        </ext>
      </extLst>
    </bk>
    <bk>
      <extLst>
        <ext uri="{3e2802c4-a4d2-4d8b-9148-e3be6c30e623}">
          <xlrd:rvb i="2460"/>
        </ext>
      </extLst>
    </bk>
    <bk>
      <extLst>
        <ext uri="{3e2802c4-a4d2-4d8b-9148-e3be6c30e623}">
          <xlrd:rvb i="2461"/>
        </ext>
      </extLst>
    </bk>
    <bk>
      <extLst>
        <ext uri="{3e2802c4-a4d2-4d8b-9148-e3be6c30e623}">
          <xlrd:rvb i="2462"/>
        </ext>
      </extLst>
    </bk>
    <bk>
      <extLst>
        <ext uri="{3e2802c4-a4d2-4d8b-9148-e3be6c30e623}">
          <xlrd:rvb i="2463"/>
        </ext>
      </extLst>
    </bk>
    <bk>
      <extLst>
        <ext uri="{3e2802c4-a4d2-4d8b-9148-e3be6c30e623}">
          <xlrd:rvb i="2464"/>
        </ext>
      </extLst>
    </bk>
    <bk>
      <extLst>
        <ext uri="{3e2802c4-a4d2-4d8b-9148-e3be6c30e623}">
          <xlrd:rvb i="2465"/>
        </ext>
      </extLst>
    </bk>
    <bk>
      <extLst>
        <ext uri="{3e2802c4-a4d2-4d8b-9148-e3be6c30e623}">
          <xlrd:rvb i="2466"/>
        </ext>
      </extLst>
    </bk>
    <bk>
      <extLst>
        <ext uri="{3e2802c4-a4d2-4d8b-9148-e3be6c30e623}">
          <xlrd:rvb i="2467"/>
        </ext>
      </extLst>
    </bk>
    <bk>
      <extLst>
        <ext uri="{3e2802c4-a4d2-4d8b-9148-e3be6c30e623}">
          <xlrd:rvb i="2468"/>
        </ext>
      </extLst>
    </bk>
    <bk>
      <extLst>
        <ext uri="{3e2802c4-a4d2-4d8b-9148-e3be6c30e623}">
          <xlrd:rvb i="2469"/>
        </ext>
      </extLst>
    </bk>
    <bk>
      <extLst>
        <ext uri="{3e2802c4-a4d2-4d8b-9148-e3be6c30e623}">
          <xlrd:rvb i="2470"/>
        </ext>
      </extLst>
    </bk>
    <bk>
      <extLst>
        <ext uri="{3e2802c4-a4d2-4d8b-9148-e3be6c30e623}">
          <xlrd:rvb i="2471"/>
        </ext>
      </extLst>
    </bk>
    <bk>
      <extLst>
        <ext uri="{3e2802c4-a4d2-4d8b-9148-e3be6c30e623}">
          <xlrd:rvb i="2472"/>
        </ext>
      </extLst>
    </bk>
    <bk>
      <extLst>
        <ext uri="{3e2802c4-a4d2-4d8b-9148-e3be6c30e623}">
          <xlrd:rvb i="2473"/>
        </ext>
      </extLst>
    </bk>
    <bk>
      <extLst>
        <ext uri="{3e2802c4-a4d2-4d8b-9148-e3be6c30e623}">
          <xlrd:rvb i="2474"/>
        </ext>
      </extLst>
    </bk>
    <bk>
      <extLst>
        <ext uri="{3e2802c4-a4d2-4d8b-9148-e3be6c30e623}">
          <xlrd:rvb i="2475"/>
        </ext>
      </extLst>
    </bk>
    <bk>
      <extLst>
        <ext uri="{3e2802c4-a4d2-4d8b-9148-e3be6c30e623}">
          <xlrd:rvb i="2476"/>
        </ext>
      </extLst>
    </bk>
    <bk>
      <extLst>
        <ext uri="{3e2802c4-a4d2-4d8b-9148-e3be6c30e623}">
          <xlrd:rvb i="2477"/>
        </ext>
      </extLst>
    </bk>
    <bk>
      <extLst>
        <ext uri="{3e2802c4-a4d2-4d8b-9148-e3be6c30e623}">
          <xlrd:rvb i="2478"/>
        </ext>
      </extLst>
    </bk>
    <bk>
      <extLst>
        <ext uri="{3e2802c4-a4d2-4d8b-9148-e3be6c30e623}">
          <xlrd:rvb i="2479"/>
        </ext>
      </extLst>
    </bk>
    <bk>
      <extLst>
        <ext uri="{3e2802c4-a4d2-4d8b-9148-e3be6c30e623}">
          <xlrd:rvb i="2480"/>
        </ext>
      </extLst>
    </bk>
    <bk>
      <extLst>
        <ext uri="{3e2802c4-a4d2-4d8b-9148-e3be6c30e623}">
          <xlrd:rvb i="2481"/>
        </ext>
      </extLst>
    </bk>
    <bk>
      <extLst>
        <ext uri="{3e2802c4-a4d2-4d8b-9148-e3be6c30e623}">
          <xlrd:rvb i="2482"/>
        </ext>
      </extLst>
    </bk>
    <bk>
      <extLst>
        <ext uri="{3e2802c4-a4d2-4d8b-9148-e3be6c30e623}">
          <xlrd:rvb i="2483"/>
        </ext>
      </extLst>
    </bk>
    <bk>
      <extLst>
        <ext uri="{3e2802c4-a4d2-4d8b-9148-e3be6c30e623}">
          <xlrd:rvb i="2484"/>
        </ext>
      </extLst>
    </bk>
    <bk>
      <extLst>
        <ext uri="{3e2802c4-a4d2-4d8b-9148-e3be6c30e623}">
          <xlrd:rvb i="2485"/>
        </ext>
      </extLst>
    </bk>
    <bk>
      <extLst>
        <ext uri="{3e2802c4-a4d2-4d8b-9148-e3be6c30e623}">
          <xlrd:rvb i="2486"/>
        </ext>
      </extLst>
    </bk>
    <bk>
      <extLst>
        <ext uri="{3e2802c4-a4d2-4d8b-9148-e3be6c30e623}">
          <xlrd:rvb i="2487"/>
        </ext>
      </extLst>
    </bk>
    <bk>
      <extLst>
        <ext uri="{3e2802c4-a4d2-4d8b-9148-e3be6c30e623}">
          <xlrd:rvb i="2488"/>
        </ext>
      </extLst>
    </bk>
    <bk>
      <extLst>
        <ext uri="{3e2802c4-a4d2-4d8b-9148-e3be6c30e623}">
          <xlrd:rvb i="2489"/>
        </ext>
      </extLst>
    </bk>
    <bk>
      <extLst>
        <ext uri="{3e2802c4-a4d2-4d8b-9148-e3be6c30e623}">
          <xlrd:rvb i="2490"/>
        </ext>
      </extLst>
    </bk>
    <bk>
      <extLst>
        <ext uri="{3e2802c4-a4d2-4d8b-9148-e3be6c30e623}">
          <xlrd:rvb i="2491"/>
        </ext>
      </extLst>
    </bk>
    <bk>
      <extLst>
        <ext uri="{3e2802c4-a4d2-4d8b-9148-e3be6c30e623}">
          <xlrd:rvb i="2492"/>
        </ext>
      </extLst>
    </bk>
    <bk>
      <extLst>
        <ext uri="{3e2802c4-a4d2-4d8b-9148-e3be6c30e623}">
          <xlrd:rvb i="2493"/>
        </ext>
      </extLst>
    </bk>
    <bk>
      <extLst>
        <ext uri="{3e2802c4-a4d2-4d8b-9148-e3be6c30e623}">
          <xlrd:rvb i="2494"/>
        </ext>
      </extLst>
    </bk>
    <bk>
      <extLst>
        <ext uri="{3e2802c4-a4d2-4d8b-9148-e3be6c30e623}">
          <xlrd:rvb i="2495"/>
        </ext>
      </extLst>
    </bk>
    <bk>
      <extLst>
        <ext uri="{3e2802c4-a4d2-4d8b-9148-e3be6c30e623}">
          <xlrd:rvb i="2496"/>
        </ext>
      </extLst>
    </bk>
    <bk>
      <extLst>
        <ext uri="{3e2802c4-a4d2-4d8b-9148-e3be6c30e623}">
          <xlrd:rvb i="2497"/>
        </ext>
      </extLst>
    </bk>
    <bk>
      <extLst>
        <ext uri="{3e2802c4-a4d2-4d8b-9148-e3be6c30e623}">
          <xlrd:rvb i="2498"/>
        </ext>
      </extLst>
    </bk>
    <bk>
      <extLst>
        <ext uri="{3e2802c4-a4d2-4d8b-9148-e3be6c30e623}">
          <xlrd:rvb i="2499"/>
        </ext>
      </extLst>
    </bk>
    <bk>
      <extLst>
        <ext uri="{3e2802c4-a4d2-4d8b-9148-e3be6c30e623}">
          <xlrd:rvb i="2500"/>
        </ext>
      </extLst>
    </bk>
    <bk>
      <extLst>
        <ext uri="{3e2802c4-a4d2-4d8b-9148-e3be6c30e623}">
          <xlrd:rvb i="2501"/>
        </ext>
      </extLst>
    </bk>
    <bk>
      <extLst>
        <ext uri="{3e2802c4-a4d2-4d8b-9148-e3be6c30e623}">
          <xlrd:rvb i="2502"/>
        </ext>
      </extLst>
    </bk>
    <bk>
      <extLst>
        <ext uri="{3e2802c4-a4d2-4d8b-9148-e3be6c30e623}">
          <xlrd:rvb i="2503"/>
        </ext>
      </extLst>
    </bk>
    <bk>
      <extLst>
        <ext uri="{3e2802c4-a4d2-4d8b-9148-e3be6c30e623}">
          <xlrd:rvb i="2504"/>
        </ext>
      </extLst>
    </bk>
    <bk>
      <extLst>
        <ext uri="{3e2802c4-a4d2-4d8b-9148-e3be6c30e623}">
          <xlrd:rvb i="2505"/>
        </ext>
      </extLst>
    </bk>
    <bk>
      <extLst>
        <ext uri="{3e2802c4-a4d2-4d8b-9148-e3be6c30e623}">
          <xlrd:rvb i="2506"/>
        </ext>
      </extLst>
    </bk>
    <bk>
      <extLst>
        <ext uri="{3e2802c4-a4d2-4d8b-9148-e3be6c30e623}">
          <xlrd:rvb i="2507"/>
        </ext>
      </extLst>
    </bk>
    <bk>
      <extLst>
        <ext uri="{3e2802c4-a4d2-4d8b-9148-e3be6c30e623}">
          <xlrd:rvb i="2508"/>
        </ext>
      </extLst>
    </bk>
    <bk>
      <extLst>
        <ext uri="{3e2802c4-a4d2-4d8b-9148-e3be6c30e623}">
          <xlrd:rvb i="2509"/>
        </ext>
      </extLst>
    </bk>
    <bk>
      <extLst>
        <ext uri="{3e2802c4-a4d2-4d8b-9148-e3be6c30e623}">
          <xlrd:rvb i="2510"/>
        </ext>
      </extLst>
    </bk>
    <bk>
      <extLst>
        <ext uri="{3e2802c4-a4d2-4d8b-9148-e3be6c30e623}">
          <xlrd:rvb i="2511"/>
        </ext>
      </extLst>
    </bk>
    <bk>
      <extLst>
        <ext uri="{3e2802c4-a4d2-4d8b-9148-e3be6c30e623}">
          <xlrd:rvb i="2512"/>
        </ext>
      </extLst>
    </bk>
    <bk>
      <extLst>
        <ext uri="{3e2802c4-a4d2-4d8b-9148-e3be6c30e623}">
          <xlrd:rvb i="2513"/>
        </ext>
      </extLst>
    </bk>
    <bk>
      <extLst>
        <ext uri="{3e2802c4-a4d2-4d8b-9148-e3be6c30e623}">
          <xlrd:rvb i="2514"/>
        </ext>
      </extLst>
    </bk>
    <bk>
      <extLst>
        <ext uri="{3e2802c4-a4d2-4d8b-9148-e3be6c30e623}">
          <xlrd:rvb i="2515"/>
        </ext>
      </extLst>
    </bk>
    <bk>
      <extLst>
        <ext uri="{3e2802c4-a4d2-4d8b-9148-e3be6c30e623}">
          <xlrd:rvb i="2516"/>
        </ext>
      </extLst>
    </bk>
    <bk>
      <extLst>
        <ext uri="{3e2802c4-a4d2-4d8b-9148-e3be6c30e623}">
          <xlrd:rvb i="2517"/>
        </ext>
      </extLst>
    </bk>
    <bk>
      <extLst>
        <ext uri="{3e2802c4-a4d2-4d8b-9148-e3be6c30e623}">
          <xlrd:rvb i="2518"/>
        </ext>
      </extLst>
    </bk>
    <bk>
      <extLst>
        <ext uri="{3e2802c4-a4d2-4d8b-9148-e3be6c30e623}">
          <xlrd:rvb i="2519"/>
        </ext>
      </extLst>
    </bk>
    <bk>
      <extLst>
        <ext uri="{3e2802c4-a4d2-4d8b-9148-e3be6c30e623}">
          <xlrd:rvb i="2520"/>
        </ext>
      </extLst>
    </bk>
    <bk>
      <extLst>
        <ext uri="{3e2802c4-a4d2-4d8b-9148-e3be6c30e623}">
          <xlrd:rvb i="2521"/>
        </ext>
      </extLst>
    </bk>
    <bk>
      <extLst>
        <ext uri="{3e2802c4-a4d2-4d8b-9148-e3be6c30e623}">
          <xlrd:rvb i="2522"/>
        </ext>
      </extLst>
    </bk>
    <bk>
      <extLst>
        <ext uri="{3e2802c4-a4d2-4d8b-9148-e3be6c30e623}">
          <xlrd:rvb i="2523"/>
        </ext>
      </extLst>
    </bk>
    <bk>
      <extLst>
        <ext uri="{3e2802c4-a4d2-4d8b-9148-e3be6c30e623}">
          <xlrd:rvb i="2524"/>
        </ext>
      </extLst>
    </bk>
    <bk>
      <extLst>
        <ext uri="{3e2802c4-a4d2-4d8b-9148-e3be6c30e623}">
          <xlrd:rvb i="2525"/>
        </ext>
      </extLst>
    </bk>
    <bk>
      <extLst>
        <ext uri="{3e2802c4-a4d2-4d8b-9148-e3be6c30e623}">
          <xlrd:rvb i="2526"/>
        </ext>
      </extLst>
    </bk>
    <bk>
      <extLst>
        <ext uri="{3e2802c4-a4d2-4d8b-9148-e3be6c30e623}">
          <xlrd:rvb i="2527"/>
        </ext>
      </extLst>
    </bk>
    <bk>
      <extLst>
        <ext uri="{3e2802c4-a4d2-4d8b-9148-e3be6c30e623}">
          <xlrd:rvb i="2528"/>
        </ext>
      </extLst>
    </bk>
    <bk>
      <extLst>
        <ext uri="{3e2802c4-a4d2-4d8b-9148-e3be6c30e623}">
          <xlrd:rvb i="2529"/>
        </ext>
      </extLst>
    </bk>
    <bk>
      <extLst>
        <ext uri="{3e2802c4-a4d2-4d8b-9148-e3be6c30e623}">
          <xlrd:rvb i="2530"/>
        </ext>
      </extLst>
    </bk>
    <bk>
      <extLst>
        <ext uri="{3e2802c4-a4d2-4d8b-9148-e3be6c30e623}">
          <xlrd:rvb i="2531"/>
        </ext>
      </extLst>
    </bk>
    <bk>
      <extLst>
        <ext uri="{3e2802c4-a4d2-4d8b-9148-e3be6c30e623}">
          <xlrd:rvb i="2532"/>
        </ext>
      </extLst>
    </bk>
    <bk>
      <extLst>
        <ext uri="{3e2802c4-a4d2-4d8b-9148-e3be6c30e623}">
          <xlrd:rvb i="2533"/>
        </ext>
      </extLst>
    </bk>
    <bk>
      <extLst>
        <ext uri="{3e2802c4-a4d2-4d8b-9148-e3be6c30e623}">
          <xlrd:rvb i="2534"/>
        </ext>
      </extLst>
    </bk>
    <bk>
      <extLst>
        <ext uri="{3e2802c4-a4d2-4d8b-9148-e3be6c30e623}">
          <xlrd:rvb i="2535"/>
        </ext>
      </extLst>
    </bk>
    <bk>
      <extLst>
        <ext uri="{3e2802c4-a4d2-4d8b-9148-e3be6c30e623}">
          <xlrd:rvb i="2536"/>
        </ext>
      </extLst>
    </bk>
    <bk>
      <extLst>
        <ext uri="{3e2802c4-a4d2-4d8b-9148-e3be6c30e623}">
          <xlrd:rvb i="2537"/>
        </ext>
      </extLst>
    </bk>
    <bk>
      <extLst>
        <ext uri="{3e2802c4-a4d2-4d8b-9148-e3be6c30e623}">
          <xlrd:rvb i="2538"/>
        </ext>
      </extLst>
    </bk>
    <bk>
      <extLst>
        <ext uri="{3e2802c4-a4d2-4d8b-9148-e3be6c30e623}">
          <xlrd:rvb i="2539"/>
        </ext>
      </extLst>
    </bk>
    <bk>
      <extLst>
        <ext uri="{3e2802c4-a4d2-4d8b-9148-e3be6c30e623}">
          <xlrd:rvb i="2540"/>
        </ext>
      </extLst>
    </bk>
    <bk>
      <extLst>
        <ext uri="{3e2802c4-a4d2-4d8b-9148-e3be6c30e623}">
          <xlrd:rvb i="2541"/>
        </ext>
      </extLst>
    </bk>
    <bk>
      <extLst>
        <ext uri="{3e2802c4-a4d2-4d8b-9148-e3be6c30e623}">
          <xlrd:rvb i="2542"/>
        </ext>
      </extLst>
    </bk>
    <bk>
      <extLst>
        <ext uri="{3e2802c4-a4d2-4d8b-9148-e3be6c30e623}">
          <xlrd:rvb i="2543"/>
        </ext>
      </extLst>
    </bk>
    <bk>
      <extLst>
        <ext uri="{3e2802c4-a4d2-4d8b-9148-e3be6c30e623}">
          <xlrd:rvb i="2544"/>
        </ext>
      </extLst>
    </bk>
    <bk>
      <extLst>
        <ext uri="{3e2802c4-a4d2-4d8b-9148-e3be6c30e623}">
          <xlrd:rvb i="2545"/>
        </ext>
      </extLst>
    </bk>
    <bk>
      <extLst>
        <ext uri="{3e2802c4-a4d2-4d8b-9148-e3be6c30e623}">
          <xlrd:rvb i="2546"/>
        </ext>
      </extLst>
    </bk>
    <bk>
      <extLst>
        <ext uri="{3e2802c4-a4d2-4d8b-9148-e3be6c30e623}">
          <xlrd:rvb i="2547"/>
        </ext>
      </extLst>
    </bk>
    <bk>
      <extLst>
        <ext uri="{3e2802c4-a4d2-4d8b-9148-e3be6c30e623}">
          <xlrd:rvb i="2548"/>
        </ext>
      </extLst>
    </bk>
    <bk>
      <extLst>
        <ext uri="{3e2802c4-a4d2-4d8b-9148-e3be6c30e623}">
          <xlrd:rvb i="2549"/>
        </ext>
      </extLst>
    </bk>
    <bk>
      <extLst>
        <ext uri="{3e2802c4-a4d2-4d8b-9148-e3be6c30e623}">
          <xlrd:rvb i="2550"/>
        </ext>
      </extLst>
    </bk>
    <bk>
      <extLst>
        <ext uri="{3e2802c4-a4d2-4d8b-9148-e3be6c30e623}">
          <xlrd:rvb i="2551"/>
        </ext>
      </extLst>
    </bk>
    <bk>
      <extLst>
        <ext uri="{3e2802c4-a4d2-4d8b-9148-e3be6c30e623}">
          <xlrd:rvb i="2552"/>
        </ext>
      </extLst>
    </bk>
    <bk>
      <extLst>
        <ext uri="{3e2802c4-a4d2-4d8b-9148-e3be6c30e623}">
          <xlrd:rvb i="2553"/>
        </ext>
      </extLst>
    </bk>
    <bk>
      <extLst>
        <ext uri="{3e2802c4-a4d2-4d8b-9148-e3be6c30e623}">
          <xlrd:rvb i="2554"/>
        </ext>
      </extLst>
    </bk>
    <bk>
      <extLst>
        <ext uri="{3e2802c4-a4d2-4d8b-9148-e3be6c30e623}">
          <xlrd:rvb i="2555"/>
        </ext>
      </extLst>
    </bk>
    <bk>
      <extLst>
        <ext uri="{3e2802c4-a4d2-4d8b-9148-e3be6c30e623}">
          <xlrd:rvb i="2556"/>
        </ext>
      </extLst>
    </bk>
    <bk>
      <extLst>
        <ext uri="{3e2802c4-a4d2-4d8b-9148-e3be6c30e623}">
          <xlrd:rvb i="2557"/>
        </ext>
      </extLst>
    </bk>
    <bk>
      <extLst>
        <ext uri="{3e2802c4-a4d2-4d8b-9148-e3be6c30e623}">
          <xlrd:rvb i="2558"/>
        </ext>
      </extLst>
    </bk>
    <bk>
      <extLst>
        <ext uri="{3e2802c4-a4d2-4d8b-9148-e3be6c30e623}">
          <xlrd:rvb i="2559"/>
        </ext>
      </extLst>
    </bk>
    <bk>
      <extLst>
        <ext uri="{3e2802c4-a4d2-4d8b-9148-e3be6c30e623}">
          <xlrd:rvb i="2560"/>
        </ext>
      </extLst>
    </bk>
    <bk>
      <extLst>
        <ext uri="{3e2802c4-a4d2-4d8b-9148-e3be6c30e623}">
          <xlrd:rvb i="2561"/>
        </ext>
      </extLst>
    </bk>
    <bk>
      <extLst>
        <ext uri="{3e2802c4-a4d2-4d8b-9148-e3be6c30e623}">
          <xlrd:rvb i="2562"/>
        </ext>
      </extLst>
    </bk>
    <bk>
      <extLst>
        <ext uri="{3e2802c4-a4d2-4d8b-9148-e3be6c30e623}">
          <xlrd:rvb i="2563"/>
        </ext>
      </extLst>
    </bk>
    <bk>
      <extLst>
        <ext uri="{3e2802c4-a4d2-4d8b-9148-e3be6c30e623}">
          <xlrd:rvb i="2564"/>
        </ext>
      </extLst>
    </bk>
    <bk>
      <extLst>
        <ext uri="{3e2802c4-a4d2-4d8b-9148-e3be6c30e623}">
          <xlrd:rvb i="2565"/>
        </ext>
      </extLst>
    </bk>
    <bk>
      <extLst>
        <ext uri="{3e2802c4-a4d2-4d8b-9148-e3be6c30e623}">
          <xlrd:rvb i="2566"/>
        </ext>
      </extLst>
    </bk>
    <bk>
      <extLst>
        <ext uri="{3e2802c4-a4d2-4d8b-9148-e3be6c30e623}">
          <xlrd:rvb i="2567"/>
        </ext>
      </extLst>
    </bk>
    <bk>
      <extLst>
        <ext uri="{3e2802c4-a4d2-4d8b-9148-e3be6c30e623}">
          <xlrd:rvb i="2568"/>
        </ext>
      </extLst>
    </bk>
    <bk>
      <extLst>
        <ext uri="{3e2802c4-a4d2-4d8b-9148-e3be6c30e623}">
          <xlrd:rvb i="2569"/>
        </ext>
      </extLst>
    </bk>
    <bk>
      <extLst>
        <ext uri="{3e2802c4-a4d2-4d8b-9148-e3be6c30e623}">
          <xlrd:rvb i="2570"/>
        </ext>
      </extLst>
    </bk>
    <bk>
      <extLst>
        <ext uri="{3e2802c4-a4d2-4d8b-9148-e3be6c30e623}">
          <xlrd:rvb i="2571"/>
        </ext>
      </extLst>
    </bk>
    <bk>
      <extLst>
        <ext uri="{3e2802c4-a4d2-4d8b-9148-e3be6c30e623}">
          <xlrd:rvb i="2572"/>
        </ext>
      </extLst>
    </bk>
    <bk>
      <extLst>
        <ext uri="{3e2802c4-a4d2-4d8b-9148-e3be6c30e623}">
          <xlrd:rvb i="2573"/>
        </ext>
      </extLst>
    </bk>
    <bk>
      <extLst>
        <ext uri="{3e2802c4-a4d2-4d8b-9148-e3be6c30e623}">
          <xlrd:rvb i="2574"/>
        </ext>
      </extLst>
    </bk>
    <bk>
      <extLst>
        <ext uri="{3e2802c4-a4d2-4d8b-9148-e3be6c30e623}">
          <xlrd:rvb i="2575"/>
        </ext>
      </extLst>
    </bk>
    <bk>
      <extLst>
        <ext uri="{3e2802c4-a4d2-4d8b-9148-e3be6c30e623}">
          <xlrd:rvb i="2576"/>
        </ext>
      </extLst>
    </bk>
    <bk>
      <extLst>
        <ext uri="{3e2802c4-a4d2-4d8b-9148-e3be6c30e623}">
          <xlrd:rvb i="2577"/>
        </ext>
      </extLst>
    </bk>
    <bk>
      <extLst>
        <ext uri="{3e2802c4-a4d2-4d8b-9148-e3be6c30e623}">
          <xlrd:rvb i="2578"/>
        </ext>
      </extLst>
    </bk>
    <bk>
      <extLst>
        <ext uri="{3e2802c4-a4d2-4d8b-9148-e3be6c30e623}">
          <xlrd:rvb i="2579"/>
        </ext>
      </extLst>
    </bk>
    <bk>
      <extLst>
        <ext uri="{3e2802c4-a4d2-4d8b-9148-e3be6c30e623}">
          <xlrd:rvb i="2580"/>
        </ext>
      </extLst>
    </bk>
    <bk>
      <extLst>
        <ext uri="{3e2802c4-a4d2-4d8b-9148-e3be6c30e623}">
          <xlrd:rvb i="2581"/>
        </ext>
      </extLst>
    </bk>
    <bk>
      <extLst>
        <ext uri="{3e2802c4-a4d2-4d8b-9148-e3be6c30e623}">
          <xlrd:rvb i="2582"/>
        </ext>
      </extLst>
    </bk>
    <bk>
      <extLst>
        <ext uri="{3e2802c4-a4d2-4d8b-9148-e3be6c30e623}">
          <xlrd:rvb i="2583"/>
        </ext>
      </extLst>
    </bk>
    <bk>
      <extLst>
        <ext uri="{3e2802c4-a4d2-4d8b-9148-e3be6c30e623}">
          <xlrd:rvb i="2584"/>
        </ext>
      </extLst>
    </bk>
    <bk>
      <extLst>
        <ext uri="{3e2802c4-a4d2-4d8b-9148-e3be6c30e623}">
          <xlrd:rvb i="2585"/>
        </ext>
      </extLst>
    </bk>
    <bk>
      <extLst>
        <ext uri="{3e2802c4-a4d2-4d8b-9148-e3be6c30e623}">
          <xlrd:rvb i="2586"/>
        </ext>
      </extLst>
    </bk>
    <bk>
      <extLst>
        <ext uri="{3e2802c4-a4d2-4d8b-9148-e3be6c30e623}">
          <xlrd:rvb i="2587"/>
        </ext>
      </extLst>
    </bk>
    <bk>
      <extLst>
        <ext uri="{3e2802c4-a4d2-4d8b-9148-e3be6c30e623}">
          <xlrd:rvb i="2588"/>
        </ext>
      </extLst>
    </bk>
    <bk>
      <extLst>
        <ext uri="{3e2802c4-a4d2-4d8b-9148-e3be6c30e623}">
          <xlrd:rvb i="2589"/>
        </ext>
      </extLst>
    </bk>
    <bk>
      <extLst>
        <ext uri="{3e2802c4-a4d2-4d8b-9148-e3be6c30e623}">
          <xlrd:rvb i="2590"/>
        </ext>
      </extLst>
    </bk>
    <bk>
      <extLst>
        <ext uri="{3e2802c4-a4d2-4d8b-9148-e3be6c30e623}">
          <xlrd:rvb i="2591"/>
        </ext>
      </extLst>
    </bk>
    <bk>
      <extLst>
        <ext uri="{3e2802c4-a4d2-4d8b-9148-e3be6c30e623}">
          <xlrd:rvb i="2592"/>
        </ext>
      </extLst>
    </bk>
    <bk>
      <extLst>
        <ext uri="{3e2802c4-a4d2-4d8b-9148-e3be6c30e623}">
          <xlrd:rvb i="2593"/>
        </ext>
      </extLst>
    </bk>
    <bk>
      <extLst>
        <ext uri="{3e2802c4-a4d2-4d8b-9148-e3be6c30e623}">
          <xlrd:rvb i="2594"/>
        </ext>
      </extLst>
    </bk>
    <bk>
      <extLst>
        <ext uri="{3e2802c4-a4d2-4d8b-9148-e3be6c30e623}">
          <xlrd:rvb i="2595"/>
        </ext>
      </extLst>
    </bk>
    <bk>
      <extLst>
        <ext uri="{3e2802c4-a4d2-4d8b-9148-e3be6c30e623}">
          <xlrd:rvb i="2596"/>
        </ext>
      </extLst>
    </bk>
    <bk>
      <extLst>
        <ext uri="{3e2802c4-a4d2-4d8b-9148-e3be6c30e623}">
          <xlrd:rvb i="2597"/>
        </ext>
      </extLst>
    </bk>
    <bk>
      <extLst>
        <ext uri="{3e2802c4-a4d2-4d8b-9148-e3be6c30e623}">
          <xlrd:rvb i="2598"/>
        </ext>
      </extLst>
    </bk>
    <bk>
      <extLst>
        <ext uri="{3e2802c4-a4d2-4d8b-9148-e3be6c30e623}">
          <xlrd:rvb i="2599"/>
        </ext>
      </extLst>
    </bk>
    <bk>
      <extLst>
        <ext uri="{3e2802c4-a4d2-4d8b-9148-e3be6c30e623}">
          <xlrd:rvb i="2600"/>
        </ext>
      </extLst>
    </bk>
    <bk>
      <extLst>
        <ext uri="{3e2802c4-a4d2-4d8b-9148-e3be6c30e623}">
          <xlrd:rvb i="2601"/>
        </ext>
      </extLst>
    </bk>
    <bk>
      <extLst>
        <ext uri="{3e2802c4-a4d2-4d8b-9148-e3be6c30e623}">
          <xlrd:rvb i="2602"/>
        </ext>
      </extLst>
    </bk>
    <bk>
      <extLst>
        <ext uri="{3e2802c4-a4d2-4d8b-9148-e3be6c30e623}">
          <xlrd:rvb i="2603"/>
        </ext>
      </extLst>
    </bk>
    <bk>
      <extLst>
        <ext uri="{3e2802c4-a4d2-4d8b-9148-e3be6c30e623}">
          <xlrd:rvb i="2604"/>
        </ext>
      </extLst>
    </bk>
    <bk>
      <extLst>
        <ext uri="{3e2802c4-a4d2-4d8b-9148-e3be6c30e623}">
          <xlrd:rvb i="2605"/>
        </ext>
      </extLst>
    </bk>
    <bk>
      <extLst>
        <ext uri="{3e2802c4-a4d2-4d8b-9148-e3be6c30e623}">
          <xlrd:rvb i="2606"/>
        </ext>
      </extLst>
    </bk>
    <bk>
      <extLst>
        <ext uri="{3e2802c4-a4d2-4d8b-9148-e3be6c30e623}">
          <xlrd:rvb i="2607"/>
        </ext>
      </extLst>
    </bk>
    <bk>
      <extLst>
        <ext uri="{3e2802c4-a4d2-4d8b-9148-e3be6c30e623}">
          <xlrd:rvb i="2608"/>
        </ext>
      </extLst>
    </bk>
    <bk>
      <extLst>
        <ext uri="{3e2802c4-a4d2-4d8b-9148-e3be6c30e623}">
          <xlrd:rvb i="2609"/>
        </ext>
      </extLst>
    </bk>
    <bk>
      <extLst>
        <ext uri="{3e2802c4-a4d2-4d8b-9148-e3be6c30e623}">
          <xlrd:rvb i="2610"/>
        </ext>
      </extLst>
    </bk>
    <bk>
      <extLst>
        <ext uri="{3e2802c4-a4d2-4d8b-9148-e3be6c30e623}">
          <xlrd:rvb i="2611"/>
        </ext>
      </extLst>
    </bk>
    <bk>
      <extLst>
        <ext uri="{3e2802c4-a4d2-4d8b-9148-e3be6c30e623}">
          <xlrd:rvb i="2612"/>
        </ext>
      </extLst>
    </bk>
    <bk>
      <extLst>
        <ext uri="{3e2802c4-a4d2-4d8b-9148-e3be6c30e623}">
          <xlrd:rvb i="2613"/>
        </ext>
      </extLst>
    </bk>
    <bk>
      <extLst>
        <ext uri="{3e2802c4-a4d2-4d8b-9148-e3be6c30e623}">
          <xlrd:rvb i="2614"/>
        </ext>
      </extLst>
    </bk>
    <bk>
      <extLst>
        <ext uri="{3e2802c4-a4d2-4d8b-9148-e3be6c30e623}">
          <xlrd:rvb i="2615"/>
        </ext>
      </extLst>
    </bk>
    <bk>
      <extLst>
        <ext uri="{3e2802c4-a4d2-4d8b-9148-e3be6c30e623}">
          <xlrd:rvb i="2616"/>
        </ext>
      </extLst>
    </bk>
    <bk>
      <extLst>
        <ext uri="{3e2802c4-a4d2-4d8b-9148-e3be6c30e623}">
          <xlrd:rvb i="2617"/>
        </ext>
      </extLst>
    </bk>
    <bk>
      <extLst>
        <ext uri="{3e2802c4-a4d2-4d8b-9148-e3be6c30e623}">
          <xlrd:rvb i="2618"/>
        </ext>
      </extLst>
    </bk>
    <bk>
      <extLst>
        <ext uri="{3e2802c4-a4d2-4d8b-9148-e3be6c30e623}">
          <xlrd:rvb i="2619"/>
        </ext>
      </extLst>
    </bk>
    <bk>
      <extLst>
        <ext uri="{3e2802c4-a4d2-4d8b-9148-e3be6c30e623}">
          <xlrd:rvb i="2620"/>
        </ext>
      </extLst>
    </bk>
    <bk>
      <extLst>
        <ext uri="{3e2802c4-a4d2-4d8b-9148-e3be6c30e623}">
          <xlrd:rvb i="2621"/>
        </ext>
      </extLst>
    </bk>
    <bk>
      <extLst>
        <ext uri="{3e2802c4-a4d2-4d8b-9148-e3be6c30e623}">
          <xlrd:rvb i="2622"/>
        </ext>
      </extLst>
    </bk>
    <bk>
      <extLst>
        <ext uri="{3e2802c4-a4d2-4d8b-9148-e3be6c30e623}">
          <xlrd:rvb i="2623"/>
        </ext>
      </extLst>
    </bk>
    <bk>
      <extLst>
        <ext uri="{3e2802c4-a4d2-4d8b-9148-e3be6c30e623}">
          <xlrd:rvb i="2624"/>
        </ext>
      </extLst>
    </bk>
    <bk>
      <extLst>
        <ext uri="{3e2802c4-a4d2-4d8b-9148-e3be6c30e623}">
          <xlrd:rvb i="2625"/>
        </ext>
      </extLst>
    </bk>
    <bk>
      <extLst>
        <ext uri="{3e2802c4-a4d2-4d8b-9148-e3be6c30e623}">
          <xlrd:rvb i="2626"/>
        </ext>
      </extLst>
    </bk>
    <bk>
      <extLst>
        <ext uri="{3e2802c4-a4d2-4d8b-9148-e3be6c30e623}">
          <xlrd:rvb i="2627"/>
        </ext>
      </extLst>
    </bk>
    <bk>
      <extLst>
        <ext uri="{3e2802c4-a4d2-4d8b-9148-e3be6c30e623}">
          <xlrd:rvb i="2628"/>
        </ext>
      </extLst>
    </bk>
    <bk>
      <extLst>
        <ext uri="{3e2802c4-a4d2-4d8b-9148-e3be6c30e623}">
          <xlrd:rvb i="2629"/>
        </ext>
      </extLst>
    </bk>
    <bk>
      <extLst>
        <ext uri="{3e2802c4-a4d2-4d8b-9148-e3be6c30e623}">
          <xlrd:rvb i="2630"/>
        </ext>
      </extLst>
    </bk>
    <bk>
      <extLst>
        <ext uri="{3e2802c4-a4d2-4d8b-9148-e3be6c30e623}">
          <xlrd:rvb i="2631"/>
        </ext>
      </extLst>
    </bk>
    <bk>
      <extLst>
        <ext uri="{3e2802c4-a4d2-4d8b-9148-e3be6c30e623}">
          <xlrd:rvb i="2632"/>
        </ext>
      </extLst>
    </bk>
    <bk>
      <extLst>
        <ext uri="{3e2802c4-a4d2-4d8b-9148-e3be6c30e623}">
          <xlrd:rvb i="2633"/>
        </ext>
      </extLst>
    </bk>
    <bk>
      <extLst>
        <ext uri="{3e2802c4-a4d2-4d8b-9148-e3be6c30e623}">
          <xlrd:rvb i="2634"/>
        </ext>
      </extLst>
    </bk>
    <bk>
      <extLst>
        <ext uri="{3e2802c4-a4d2-4d8b-9148-e3be6c30e623}">
          <xlrd:rvb i="2635"/>
        </ext>
      </extLst>
    </bk>
    <bk>
      <extLst>
        <ext uri="{3e2802c4-a4d2-4d8b-9148-e3be6c30e623}">
          <xlrd:rvb i="2636"/>
        </ext>
      </extLst>
    </bk>
    <bk>
      <extLst>
        <ext uri="{3e2802c4-a4d2-4d8b-9148-e3be6c30e623}">
          <xlrd:rvb i="2637"/>
        </ext>
      </extLst>
    </bk>
    <bk>
      <extLst>
        <ext uri="{3e2802c4-a4d2-4d8b-9148-e3be6c30e623}">
          <xlrd:rvb i="2638"/>
        </ext>
      </extLst>
    </bk>
    <bk>
      <extLst>
        <ext uri="{3e2802c4-a4d2-4d8b-9148-e3be6c30e623}">
          <xlrd:rvb i="2639"/>
        </ext>
      </extLst>
    </bk>
    <bk>
      <extLst>
        <ext uri="{3e2802c4-a4d2-4d8b-9148-e3be6c30e623}">
          <xlrd:rvb i="2640"/>
        </ext>
      </extLst>
    </bk>
    <bk>
      <extLst>
        <ext uri="{3e2802c4-a4d2-4d8b-9148-e3be6c30e623}">
          <xlrd:rvb i="2641"/>
        </ext>
      </extLst>
    </bk>
    <bk>
      <extLst>
        <ext uri="{3e2802c4-a4d2-4d8b-9148-e3be6c30e623}">
          <xlrd:rvb i="2642"/>
        </ext>
      </extLst>
    </bk>
    <bk>
      <extLst>
        <ext uri="{3e2802c4-a4d2-4d8b-9148-e3be6c30e623}">
          <xlrd:rvb i="2643"/>
        </ext>
      </extLst>
    </bk>
    <bk>
      <extLst>
        <ext uri="{3e2802c4-a4d2-4d8b-9148-e3be6c30e623}">
          <xlrd:rvb i="2644"/>
        </ext>
      </extLst>
    </bk>
    <bk>
      <extLst>
        <ext uri="{3e2802c4-a4d2-4d8b-9148-e3be6c30e623}">
          <xlrd:rvb i="2645"/>
        </ext>
      </extLst>
    </bk>
    <bk>
      <extLst>
        <ext uri="{3e2802c4-a4d2-4d8b-9148-e3be6c30e623}">
          <xlrd:rvb i="2646"/>
        </ext>
      </extLst>
    </bk>
    <bk>
      <extLst>
        <ext uri="{3e2802c4-a4d2-4d8b-9148-e3be6c30e623}">
          <xlrd:rvb i="2647"/>
        </ext>
      </extLst>
    </bk>
    <bk>
      <extLst>
        <ext uri="{3e2802c4-a4d2-4d8b-9148-e3be6c30e623}">
          <xlrd:rvb i="2648"/>
        </ext>
      </extLst>
    </bk>
    <bk>
      <extLst>
        <ext uri="{3e2802c4-a4d2-4d8b-9148-e3be6c30e623}">
          <xlrd:rvb i="2649"/>
        </ext>
      </extLst>
    </bk>
    <bk>
      <extLst>
        <ext uri="{3e2802c4-a4d2-4d8b-9148-e3be6c30e623}">
          <xlrd:rvb i="2650"/>
        </ext>
      </extLst>
    </bk>
    <bk>
      <extLst>
        <ext uri="{3e2802c4-a4d2-4d8b-9148-e3be6c30e623}">
          <xlrd:rvb i="2651"/>
        </ext>
      </extLst>
    </bk>
    <bk>
      <extLst>
        <ext uri="{3e2802c4-a4d2-4d8b-9148-e3be6c30e623}">
          <xlrd:rvb i="2652"/>
        </ext>
      </extLst>
    </bk>
    <bk>
      <extLst>
        <ext uri="{3e2802c4-a4d2-4d8b-9148-e3be6c30e623}">
          <xlrd:rvb i="2653"/>
        </ext>
      </extLst>
    </bk>
    <bk>
      <extLst>
        <ext uri="{3e2802c4-a4d2-4d8b-9148-e3be6c30e623}">
          <xlrd:rvb i="2654"/>
        </ext>
      </extLst>
    </bk>
    <bk>
      <extLst>
        <ext uri="{3e2802c4-a4d2-4d8b-9148-e3be6c30e623}">
          <xlrd:rvb i="2655"/>
        </ext>
      </extLst>
    </bk>
    <bk>
      <extLst>
        <ext uri="{3e2802c4-a4d2-4d8b-9148-e3be6c30e623}">
          <xlrd:rvb i="2656"/>
        </ext>
      </extLst>
    </bk>
    <bk>
      <extLst>
        <ext uri="{3e2802c4-a4d2-4d8b-9148-e3be6c30e623}">
          <xlrd:rvb i="2657"/>
        </ext>
      </extLst>
    </bk>
    <bk>
      <extLst>
        <ext uri="{3e2802c4-a4d2-4d8b-9148-e3be6c30e623}">
          <xlrd:rvb i="2658"/>
        </ext>
      </extLst>
    </bk>
    <bk>
      <extLst>
        <ext uri="{3e2802c4-a4d2-4d8b-9148-e3be6c30e623}">
          <xlrd:rvb i="2659"/>
        </ext>
      </extLst>
    </bk>
    <bk>
      <extLst>
        <ext uri="{3e2802c4-a4d2-4d8b-9148-e3be6c30e623}">
          <xlrd:rvb i="2660"/>
        </ext>
      </extLst>
    </bk>
    <bk>
      <extLst>
        <ext uri="{3e2802c4-a4d2-4d8b-9148-e3be6c30e623}">
          <xlrd:rvb i="2661"/>
        </ext>
      </extLst>
    </bk>
    <bk>
      <extLst>
        <ext uri="{3e2802c4-a4d2-4d8b-9148-e3be6c30e623}">
          <xlrd:rvb i="2662"/>
        </ext>
      </extLst>
    </bk>
    <bk>
      <extLst>
        <ext uri="{3e2802c4-a4d2-4d8b-9148-e3be6c30e623}">
          <xlrd:rvb i="2663"/>
        </ext>
      </extLst>
    </bk>
    <bk>
      <extLst>
        <ext uri="{3e2802c4-a4d2-4d8b-9148-e3be6c30e623}">
          <xlrd:rvb i="2664"/>
        </ext>
      </extLst>
    </bk>
    <bk>
      <extLst>
        <ext uri="{3e2802c4-a4d2-4d8b-9148-e3be6c30e623}">
          <xlrd:rvb i="2665"/>
        </ext>
      </extLst>
    </bk>
    <bk>
      <extLst>
        <ext uri="{3e2802c4-a4d2-4d8b-9148-e3be6c30e623}">
          <xlrd:rvb i="2666"/>
        </ext>
      </extLst>
    </bk>
    <bk>
      <extLst>
        <ext uri="{3e2802c4-a4d2-4d8b-9148-e3be6c30e623}">
          <xlrd:rvb i="2667"/>
        </ext>
      </extLst>
    </bk>
    <bk>
      <extLst>
        <ext uri="{3e2802c4-a4d2-4d8b-9148-e3be6c30e623}">
          <xlrd:rvb i="2668"/>
        </ext>
      </extLst>
    </bk>
    <bk>
      <extLst>
        <ext uri="{3e2802c4-a4d2-4d8b-9148-e3be6c30e623}">
          <xlrd:rvb i="2669"/>
        </ext>
      </extLst>
    </bk>
    <bk>
      <extLst>
        <ext uri="{3e2802c4-a4d2-4d8b-9148-e3be6c30e623}">
          <xlrd:rvb i="2670"/>
        </ext>
      </extLst>
    </bk>
    <bk>
      <extLst>
        <ext uri="{3e2802c4-a4d2-4d8b-9148-e3be6c30e623}">
          <xlrd:rvb i="2671"/>
        </ext>
      </extLst>
    </bk>
    <bk>
      <extLst>
        <ext uri="{3e2802c4-a4d2-4d8b-9148-e3be6c30e623}">
          <xlrd:rvb i="2672"/>
        </ext>
      </extLst>
    </bk>
    <bk>
      <extLst>
        <ext uri="{3e2802c4-a4d2-4d8b-9148-e3be6c30e623}">
          <xlrd:rvb i="2673"/>
        </ext>
      </extLst>
    </bk>
    <bk>
      <extLst>
        <ext uri="{3e2802c4-a4d2-4d8b-9148-e3be6c30e623}">
          <xlrd:rvb i="2674"/>
        </ext>
      </extLst>
    </bk>
    <bk>
      <extLst>
        <ext uri="{3e2802c4-a4d2-4d8b-9148-e3be6c30e623}">
          <xlrd:rvb i="2675"/>
        </ext>
      </extLst>
    </bk>
    <bk>
      <extLst>
        <ext uri="{3e2802c4-a4d2-4d8b-9148-e3be6c30e623}">
          <xlrd:rvb i="2676"/>
        </ext>
      </extLst>
    </bk>
    <bk>
      <extLst>
        <ext uri="{3e2802c4-a4d2-4d8b-9148-e3be6c30e623}">
          <xlrd:rvb i="2677"/>
        </ext>
      </extLst>
    </bk>
    <bk>
      <extLst>
        <ext uri="{3e2802c4-a4d2-4d8b-9148-e3be6c30e623}">
          <xlrd:rvb i="2678"/>
        </ext>
      </extLst>
    </bk>
    <bk>
      <extLst>
        <ext uri="{3e2802c4-a4d2-4d8b-9148-e3be6c30e623}">
          <xlrd:rvb i="2679"/>
        </ext>
      </extLst>
    </bk>
    <bk>
      <extLst>
        <ext uri="{3e2802c4-a4d2-4d8b-9148-e3be6c30e623}">
          <xlrd:rvb i="2680"/>
        </ext>
      </extLst>
    </bk>
    <bk>
      <extLst>
        <ext uri="{3e2802c4-a4d2-4d8b-9148-e3be6c30e623}">
          <xlrd:rvb i="2681"/>
        </ext>
      </extLst>
    </bk>
    <bk>
      <extLst>
        <ext uri="{3e2802c4-a4d2-4d8b-9148-e3be6c30e623}">
          <xlrd:rvb i="2682"/>
        </ext>
      </extLst>
    </bk>
    <bk>
      <extLst>
        <ext uri="{3e2802c4-a4d2-4d8b-9148-e3be6c30e623}">
          <xlrd:rvb i="2683"/>
        </ext>
      </extLst>
    </bk>
    <bk>
      <extLst>
        <ext uri="{3e2802c4-a4d2-4d8b-9148-e3be6c30e623}">
          <xlrd:rvb i="2684"/>
        </ext>
      </extLst>
    </bk>
    <bk>
      <extLst>
        <ext uri="{3e2802c4-a4d2-4d8b-9148-e3be6c30e623}">
          <xlrd:rvb i="2685"/>
        </ext>
      </extLst>
    </bk>
    <bk>
      <extLst>
        <ext uri="{3e2802c4-a4d2-4d8b-9148-e3be6c30e623}">
          <xlrd:rvb i="2686"/>
        </ext>
      </extLst>
    </bk>
    <bk>
      <extLst>
        <ext uri="{3e2802c4-a4d2-4d8b-9148-e3be6c30e623}">
          <xlrd:rvb i="2687"/>
        </ext>
      </extLst>
    </bk>
    <bk>
      <extLst>
        <ext uri="{3e2802c4-a4d2-4d8b-9148-e3be6c30e623}">
          <xlrd:rvb i="2688"/>
        </ext>
      </extLst>
    </bk>
    <bk>
      <extLst>
        <ext uri="{3e2802c4-a4d2-4d8b-9148-e3be6c30e623}">
          <xlrd:rvb i="2689"/>
        </ext>
      </extLst>
    </bk>
    <bk>
      <extLst>
        <ext uri="{3e2802c4-a4d2-4d8b-9148-e3be6c30e623}">
          <xlrd:rvb i="2690"/>
        </ext>
      </extLst>
    </bk>
    <bk>
      <extLst>
        <ext uri="{3e2802c4-a4d2-4d8b-9148-e3be6c30e623}">
          <xlrd:rvb i="2691"/>
        </ext>
      </extLst>
    </bk>
    <bk>
      <extLst>
        <ext uri="{3e2802c4-a4d2-4d8b-9148-e3be6c30e623}">
          <xlrd:rvb i="2692"/>
        </ext>
      </extLst>
    </bk>
    <bk>
      <extLst>
        <ext uri="{3e2802c4-a4d2-4d8b-9148-e3be6c30e623}">
          <xlrd:rvb i="2693"/>
        </ext>
      </extLst>
    </bk>
    <bk>
      <extLst>
        <ext uri="{3e2802c4-a4d2-4d8b-9148-e3be6c30e623}">
          <xlrd:rvb i="2694"/>
        </ext>
      </extLst>
    </bk>
    <bk>
      <extLst>
        <ext uri="{3e2802c4-a4d2-4d8b-9148-e3be6c30e623}">
          <xlrd:rvb i="2695"/>
        </ext>
      </extLst>
    </bk>
    <bk>
      <extLst>
        <ext uri="{3e2802c4-a4d2-4d8b-9148-e3be6c30e623}">
          <xlrd:rvb i="2696"/>
        </ext>
      </extLst>
    </bk>
    <bk>
      <extLst>
        <ext uri="{3e2802c4-a4d2-4d8b-9148-e3be6c30e623}">
          <xlrd:rvb i="2697"/>
        </ext>
      </extLst>
    </bk>
    <bk>
      <extLst>
        <ext uri="{3e2802c4-a4d2-4d8b-9148-e3be6c30e623}">
          <xlrd:rvb i="2698"/>
        </ext>
      </extLst>
    </bk>
    <bk>
      <extLst>
        <ext uri="{3e2802c4-a4d2-4d8b-9148-e3be6c30e623}">
          <xlrd:rvb i="2699"/>
        </ext>
      </extLst>
    </bk>
    <bk>
      <extLst>
        <ext uri="{3e2802c4-a4d2-4d8b-9148-e3be6c30e623}">
          <xlrd:rvb i="2700"/>
        </ext>
      </extLst>
    </bk>
    <bk>
      <extLst>
        <ext uri="{3e2802c4-a4d2-4d8b-9148-e3be6c30e623}">
          <xlrd:rvb i="2701"/>
        </ext>
      </extLst>
    </bk>
    <bk>
      <extLst>
        <ext uri="{3e2802c4-a4d2-4d8b-9148-e3be6c30e623}">
          <xlrd:rvb i="2702"/>
        </ext>
      </extLst>
    </bk>
    <bk>
      <extLst>
        <ext uri="{3e2802c4-a4d2-4d8b-9148-e3be6c30e623}">
          <xlrd:rvb i="2703"/>
        </ext>
      </extLst>
    </bk>
    <bk>
      <extLst>
        <ext uri="{3e2802c4-a4d2-4d8b-9148-e3be6c30e623}">
          <xlrd:rvb i="2704"/>
        </ext>
      </extLst>
    </bk>
    <bk>
      <extLst>
        <ext uri="{3e2802c4-a4d2-4d8b-9148-e3be6c30e623}">
          <xlrd:rvb i="2705"/>
        </ext>
      </extLst>
    </bk>
    <bk>
      <extLst>
        <ext uri="{3e2802c4-a4d2-4d8b-9148-e3be6c30e623}">
          <xlrd:rvb i="2706"/>
        </ext>
      </extLst>
    </bk>
    <bk>
      <extLst>
        <ext uri="{3e2802c4-a4d2-4d8b-9148-e3be6c30e623}">
          <xlrd:rvb i="2707"/>
        </ext>
      </extLst>
    </bk>
    <bk>
      <extLst>
        <ext uri="{3e2802c4-a4d2-4d8b-9148-e3be6c30e623}">
          <xlrd:rvb i="2708"/>
        </ext>
      </extLst>
    </bk>
    <bk>
      <extLst>
        <ext uri="{3e2802c4-a4d2-4d8b-9148-e3be6c30e623}">
          <xlrd:rvb i="2709"/>
        </ext>
      </extLst>
    </bk>
    <bk>
      <extLst>
        <ext uri="{3e2802c4-a4d2-4d8b-9148-e3be6c30e623}">
          <xlrd:rvb i="2710"/>
        </ext>
      </extLst>
    </bk>
    <bk>
      <extLst>
        <ext uri="{3e2802c4-a4d2-4d8b-9148-e3be6c30e623}">
          <xlrd:rvb i="2711"/>
        </ext>
      </extLst>
    </bk>
    <bk>
      <extLst>
        <ext uri="{3e2802c4-a4d2-4d8b-9148-e3be6c30e623}">
          <xlrd:rvb i="2712"/>
        </ext>
      </extLst>
    </bk>
    <bk>
      <extLst>
        <ext uri="{3e2802c4-a4d2-4d8b-9148-e3be6c30e623}">
          <xlrd:rvb i="2713"/>
        </ext>
      </extLst>
    </bk>
    <bk>
      <extLst>
        <ext uri="{3e2802c4-a4d2-4d8b-9148-e3be6c30e623}">
          <xlrd:rvb i="2714"/>
        </ext>
      </extLst>
    </bk>
    <bk>
      <extLst>
        <ext uri="{3e2802c4-a4d2-4d8b-9148-e3be6c30e623}">
          <xlrd:rvb i="2715"/>
        </ext>
      </extLst>
    </bk>
    <bk>
      <extLst>
        <ext uri="{3e2802c4-a4d2-4d8b-9148-e3be6c30e623}">
          <xlrd:rvb i="2716"/>
        </ext>
      </extLst>
    </bk>
    <bk>
      <extLst>
        <ext uri="{3e2802c4-a4d2-4d8b-9148-e3be6c30e623}">
          <xlrd:rvb i="2717"/>
        </ext>
      </extLst>
    </bk>
    <bk>
      <extLst>
        <ext uri="{3e2802c4-a4d2-4d8b-9148-e3be6c30e623}">
          <xlrd:rvb i="2718"/>
        </ext>
      </extLst>
    </bk>
    <bk>
      <extLst>
        <ext uri="{3e2802c4-a4d2-4d8b-9148-e3be6c30e623}">
          <xlrd:rvb i="2719"/>
        </ext>
      </extLst>
    </bk>
    <bk>
      <extLst>
        <ext uri="{3e2802c4-a4d2-4d8b-9148-e3be6c30e623}">
          <xlrd:rvb i="2720"/>
        </ext>
      </extLst>
    </bk>
    <bk>
      <extLst>
        <ext uri="{3e2802c4-a4d2-4d8b-9148-e3be6c30e623}">
          <xlrd:rvb i="2721"/>
        </ext>
      </extLst>
    </bk>
    <bk>
      <extLst>
        <ext uri="{3e2802c4-a4d2-4d8b-9148-e3be6c30e623}">
          <xlrd:rvb i="2722"/>
        </ext>
      </extLst>
    </bk>
    <bk>
      <extLst>
        <ext uri="{3e2802c4-a4d2-4d8b-9148-e3be6c30e623}">
          <xlrd:rvb i="2723"/>
        </ext>
      </extLst>
    </bk>
    <bk>
      <extLst>
        <ext uri="{3e2802c4-a4d2-4d8b-9148-e3be6c30e623}">
          <xlrd:rvb i="2724"/>
        </ext>
      </extLst>
    </bk>
    <bk>
      <extLst>
        <ext uri="{3e2802c4-a4d2-4d8b-9148-e3be6c30e623}">
          <xlrd:rvb i="2725"/>
        </ext>
      </extLst>
    </bk>
    <bk>
      <extLst>
        <ext uri="{3e2802c4-a4d2-4d8b-9148-e3be6c30e623}">
          <xlrd:rvb i="2726"/>
        </ext>
      </extLst>
    </bk>
    <bk>
      <extLst>
        <ext uri="{3e2802c4-a4d2-4d8b-9148-e3be6c30e623}">
          <xlrd:rvb i="2727"/>
        </ext>
      </extLst>
    </bk>
    <bk>
      <extLst>
        <ext uri="{3e2802c4-a4d2-4d8b-9148-e3be6c30e623}">
          <xlrd:rvb i="2728"/>
        </ext>
      </extLst>
    </bk>
    <bk>
      <extLst>
        <ext uri="{3e2802c4-a4d2-4d8b-9148-e3be6c30e623}">
          <xlrd:rvb i="2729"/>
        </ext>
      </extLst>
    </bk>
    <bk>
      <extLst>
        <ext uri="{3e2802c4-a4d2-4d8b-9148-e3be6c30e623}">
          <xlrd:rvb i="2730"/>
        </ext>
      </extLst>
    </bk>
    <bk>
      <extLst>
        <ext uri="{3e2802c4-a4d2-4d8b-9148-e3be6c30e623}">
          <xlrd:rvb i="2731"/>
        </ext>
      </extLst>
    </bk>
    <bk>
      <extLst>
        <ext uri="{3e2802c4-a4d2-4d8b-9148-e3be6c30e623}">
          <xlrd:rvb i="2732"/>
        </ext>
      </extLst>
    </bk>
    <bk>
      <extLst>
        <ext uri="{3e2802c4-a4d2-4d8b-9148-e3be6c30e623}">
          <xlrd:rvb i="2733"/>
        </ext>
      </extLst>
    </bk>
    <bk>
      <extLst>
        <ext uri="{3e2802c4-a4d2-4d8b-9148-e3be6c30e623}">
          <xlrd:rvb i="2734"/>
        </ext>
      </extLst>
    </bk>
    <bk>
      <extLst>
        <ext uri="{3e2802c4-a4d2-4d8b-9148-e3be6c30e623}">
          <xlrd:rvb i="2735"/>
        </ext>
      </extLst>
    </bk>
    <bk>
      <extLst>
        <ext uri="{3e2802c4-a4d2-4d8b-9148-e3be6c30e623}">
          <xlrd:rvb i="2736"/>
        </ext>
      </extLst>
    </bk>
    <bk>
      <extLst>
        <ext uri="{3e2802c4-a4d2-4d8b-9148-e3be6c30e623}">
          <xlrd:rvb i="2737"/>
        </ext>
      </extLst>
    </bk>
    <bk>
      <extLst>
        <ext uri="{3e2802c4-a4d2-4d8b-9148-e3be6c30e623}">
          <xlrd:rvb i="2738"/>
        </ext>
      </extLst>
    </bk>
    <bk>
      <extLst>
        <ext uri="{3e2802c4-a4d2-4d8b-9148-e3be6c30e623}">
          <xlrd:rvb i="2739"/>
        </ext>
      </extLst>
    </bk>
    <bk>
      <extLst>
        <ext uri="{3e2802c4-a4d2-4d8b-9148-e3be6c30e623}">
          <xlrd:rvb i="2740"/>
        </ext>
      </extLst>
    </bk>
    <bk>
      <extLst>
        <ext uri="{3e2802c4-a4d2-4d8b-9148-e3be6c30e623}">
          <xlrd:rvb i="2741"/>
        </ext>
      </extLst>
    </bk>
    <bk>
      <extLst>
        <ext uri="{3e2802c4-a4d2-4d8b-9148-e3be6c30e623}">
          <xlrd:rvb i="2742"/>
        </ext>
      </extLst>
    </bk>
    <bk>
      <extLst>
        <ext uri="{3e2802c4-a4d2-4d8b-9148-e3be6c30e623}">
          <xlrd:rvb i="2743"/>
        </ext>
      </extLst>
    </bk>
    <bk>
      <extLst>
        <ext uri="{3e2802c4-a4d2-4d8b-9148-e3be6c30e623}">
          <xlrd:rvb i="2744"/>
        </ext>
      </extLst>
    </bk>
    <bk>
      <extLst>
        <ext uri="{3e2802c4-a4d2-4d8b-9148-e3be6c30e623}">
          <xlrd:rvb i="2745"/>
        </ext>
      </extLst>
    </bk>
    <bk>
      <extLst>
        <ext uri="{3e2802c4-a4d2-4d8b-9148-e3be6c30e623}">
          <xlrd:rvb i="2746"/>
        </ext>
      </extLst>
    </bk>
    <bk>
      <extLst>
        <ext uri="{3e2802c4-a4d2-4d8b-9148-e3be6c30e623}">
          <xlrd:rvb i="2747"/>
        </ext>
      </extLst>
    </bk>
    <bk>
      <extLst>
        <ext uri="{3e2802c4-a4d2-4d8b-9148-e3be6c30e623}">
          <xlrd:rvb i="2748"/>
        </ext>
      </extLst>
    </bk>
    <bk>
      <extLst>
        <ext uri="{3e2802c4-a4d2-4d8b-9148-e3be6c30e623}">
          <xlrd:rvb i="2749"/>
        </ext>
      </extLst>
    </bk>
    <bk>
      <extLst>
        <ext uri="{3e2802c4-a4d2-4d8b-9148-e3be6c30e623}">
          <xlrd:rvb i="2750"/>
        </ext>
      </extLst>
    </bk>
    <bk>
      <extLst>
        <ext uri="{3e2802c4-a4d2-4d8b-9148-e3be6c30e623}">
          <xlrd:rvb i="2751"/>
        </ext>
      </extLst>
    </bk>
    <bk>
      <extLst>
        <ext uri="{3e2802c4-a4d2-4d8b-9148-e3be6c30e623}">
          <xlrd:rvb i="2752"/>
        </ext>
      </extLst>
    </bk>
    <bk>
      <extLst>
        <ext uri="{3e2802c4-a4d2-4d8b-9148-e3be6c30e623}">
          <xlrd:rvb i="2753"/>
        </ext>
      </extLst>
    </bk>
    <bk>
      <extLst>
        <ext uri="{3e2802c4-a4d2-4d8b-9148-e3be6c30e623}">
          <xlrd:rvb i="2754"/>
        </ext>
      </extLst>
    </bk>
    <bk>
      <extLst>
        <ext uri="{3e2802c4-a4d2-4d8b-9148-e3be6c30e623}">
          <xlrd:rvb i="2755"/>
        </ext>
      </extLst>
    </bk>
    <bk>
      <extLst>
        <ext uri="{3e2802c4-a4d2-4d8b-9148-e3be6c30e623}">
          <xlrd:rvb i="2756"/>
        </ext>
      </extLst>
    </bk>
    <bk>
      <extLst>
        <ext uri="{3e2802c4-a4d2-4d8b-9148-e3be6c30e623}">
          <xlrd:rvb i="2757"/>
        </ext>
      </extLst>
    </bk>
    <bk>
      <extLst>
        <ext uri="{3e2802c4-a4d2-4d8b-9148-e3be6c30e623}">
          <xlrd:rvb i="2758"/>
        </ext>
      </extLst>
    </bk>
    <bk>
      <extLst>
        <ext uri="{3e2802c4-a4d2-4d8b-9148-e3be6c30e623}">
          <xlrd:rvb i="2759"/>
        </ext>
      </extLst>
    </bk>
    <bk>
      <extLst>
        <ext uri="{3e2802c4-a4d2-4d8b-9148-e3be6c30e623}">
          <xlrd:rvb i="2760"/>
        </ext>
      </extLst>
    </bk>
    <bk>
      <extLst>
        <ext uri="{3e2802c4-a4d2-4d8b-9148-e3be6c30e623}">
          <xlrd:rvb i="2761"/>
        </ext>
      </extLst>
    </bk>
    <bk>
      <extLst>
        <ext uri="{3e2802c4-a4d2-4d8b-9148-e3be6c30e623}">
          <xlrd:rvb i="2762"/>
        </ext>
      </extLst>
    </bk>
    <bk>
      <extLst>
        <ext uri="{3e2802c4-a4d2-4d8b-9148-e3be6c30e623}">
          <xlrd:rvb i="2763"/>
        </ext>
      </extLst>
    </bk>
    <bk>
      <extLst>
        <ext uri="{3e2802c4-a4d2-4d8b-9148-e3be6c30e623}">
          <xlrd:rvb i="2764"/>
        </ext>
      </extLst>
    </bk>
    <bk>
      <extLst>
        <ext uri="{3e2802c4-a4d2-4d8b-9148-e3be6c30e623}">
          <xlrd:rvb i="2765"/>
        </ext>
      </extLst>
    </bk>
    <bk>
      <extLst>
        <ext uri="{3e2802c4-a4d2-4d8b-9148-e3be6c30e623}">
          <xlrd:rvb i="2766"/>
        </ext>
      </extLst>
    </bk>
    <bk>
      <extLst>
        <ext uri="{3e2802c4-a4d2-4d8b-9148-e3be6c30e623}">
          <xlrd:rvb i="2767"/>
        </ext>
      </extLst>
    </bk>
    <bk>
      <extLst>
        <ext uri="{3e2802c4-a4d2-4d8b-9148-e3be6c30e623}">
          <xlrd:rvb i="2768"/>
        </ext>
      </extLst>
    </bk>
    <bk>
      <extLst>
        <ext uri="{3e2802c4-a4d2-4d8b-9148-e3be6c30e623}">
          <xlrd:rvb i="2769"/>
        </ext>
      </extLst>
    </bk>
    <bk>
      <extLst>
        <ext uri="{3e2802c4-a4d2-4d8b-9148-e3be6c30e623}">
          <xlrd:rvb i="2770"/>
        </ext>
      </extLst>
    </bk>
    <bk>
      <extLst>
        <ext uri="{3e2802c4-a4d2-4d8b-9148-e3be6c30e623}">
          <xlrd:rvb i="2771"/>
        </ext>
      </extLst>
    </bk>
    <bk>
      <extLst>
        <ext uri="{3e2802c4-a4d2-4d8b-9148-e3be6c30e623}">
          <xlrd:rvb i="2772"/>
        </ext>
      </extLst>
    </bk>
    <bk>
      <extLst>
        <ext uri="{3e2802c4-a4d2-4d8b-9148-e3be6c30e623}">
          <xlrd:rvb i="2773"/>
        </ext>
      </extLst>
    </bk>
    <bk>
      <extLst>
        <ext uri="{3e2802c4-a4d2-4d8b-9148-e3be6c30e623}">
          <xlrd:rvb i="2774"/>
        </ext>
      </extLst>
    </bk>
    <bk>
      <extLst>
        <ext uri="{3e2802c4-a4d2-4d8b-9148-e3be6c30e623}">
          <xlrd:rvb i="2775"/>
        </ext>
      </extLst>
    </bk>
    <bk>
      <extLst>
        <ext uri="{3e2802c4-a4d2-4d8b-9148-e3be6c30e623}">
          <xlrd:rvb i="2776"/>
        </ext>
      </extLst>
    </bk>
    <bk>
      <extLst>
        <ext uri="{3e2802c4-a4d2-4d8b-9148-e3be6c30e623}">
          <xlrd:rvb i="2777"/>
        </ext>
      </extLst>
    </bk>
    <bk>
      <extLst>
        <ext uri="{3e2802c4-a4d2-4d8b-9148-e3be6c30e623}">
          <xlrd:rvb i="2778"/>
        </ext>
      </extLst>
    </bk>
    <bk>
      <extLst>
        <ext uri="{3e2802c4-a4d2-4d8b-9148-e3be6c30e623}">
          <xlrd:rvb i="2779"/>
        </ext>
      </extLst>
    </bk>
    <bk>
      <extLst>
        <ext uri="{3e2802c4-a4d2-4d8b-9148-e3be6c30e623}">
          <xlrd:rvb i="2780"/>
        </ext>
      </extLst>
    </bk>
    <bk>
      <extLst>
        <ext uri="{3e2802c4-a4d2-4d8b-9148-e3be6c30e623}">
          <xlrd:rvb i="2781"/>
        </ext>
      </extLst>
    </bk>
    <bk>
      <extLst>
        <ext uri="{3e2802c4-a4d2-4d8b-9148-e3be6c30e623}">
          <xlrd:rvb i="2782"/>
        </ext>
      </extLst>
    </bk>
    <bk>
      <extLst>
        <ext uri="{3e2802c4-a4d2-4d8b-9148-e3be6c30e623}">
          <xlrd:rvb i="2783"/>
        </ext>
      </extLst>
    </bk>
    <bk>
      <extLst>
        <ext uri="{3e2802c4-a4d2-4d8b-9148-e3be6c30e623}">
          <xlrd:rvb i="2784"/>
        </ext>
      </extLst>
    </bk>
    <bk>
      <extLst>
        <ext uri="{3e2802c4-a4d2-4d8b-9148-e3be6c30e623}">
          <xlrd:rvb i="2785"/>
        </ext>
      </extLst>
    </bk>
    <bk>
      <extLst>
        <ext uri="{3e2802c4-a4d2-4d8b-9148-e3be6c30e623}">
          <xlrd:rvb i="2786"/>
        </ext>
      </extLst>
    </bk>
    <bk>
      <extLst>
        <ext uri="{3e2802c4-a4d2-4d8b-9148-e3be6c30e623}">
          <xlrd:rvb i="2787"/>
        </ext>
      </extLst>
    </bk>
    <bk>
      <extLst>
        <ext uri="{3e2802c4-a4d2-4d8b-9148-e3be6c30e623}">
          <xlrd:rvb i="2788"/>
        </ext>
      </extLst>
    </bk>
    <bk>
      <extLst>
        <ext uri="{3e2802c4-a4d2-4d8b-9148-e3be6c30e623}">
          <xlrd:rvb i="2789"/>
        </ext>
      </extLst>
    </bk>
    <bk>
      <extLst>
        <ext uri="{3e2802c4-a4d2-4d8b-9148-e3be6c30e623}">
          <xlrd:rvb i="2790"/>
        </ext>
      </extLst>
    </bk>
    <bk>
      <extLst>
        <ext uri="{3e2802c4-a4d2-4d8b-9148-e3be6c30e623}">
          <xlrd:rvb i="2791"/>
        </ext>
      </extLst>
    </bk>
    <bk>
      <extLst>
        <ext uri="{3e2802c4-a4d2-4d8b-9148-e3be6c30e623}">
          <xlrd:rvb i="2792"/>
        </ext>
      </extLst>
    </bk>
    <bk>
      <extLst>
        <ext uri="{3e2802c4-a4d2-4d8b-9148-e3be6c30e623}">
          <xlrd:rvb i="2793"/>
        </ext>
      </extLst>
    </bk>
    <bk>
      <extLst>
        <ext uri="{3e2802c4-a4d2-4d8b-9148-e3be6c30e623}">
          <xlrd:rvb i="2794"/>
        </ext>
      </extLst>
    </bk>
    <bk>
      <extLst>
        <ext uri="{3e2802c4-a4d2-4d8b-9148-e3be6c30e623}">
          <xlrd:rvb i="2795"/>
        </ext>
      </extLst>
    </bk>
    <bk>
      <extLst>
        <ext uri="{3e2802c4-a4d2-4d8b-9148-e3be6c30e623}">
          <xlrd:rvb i="2796"/>
        </ext>
      </extLst>
    </bk>
    <bk>
      <extLst>
        <ext uri="{3e2802c4-a4d2-4d8b-9148-e3be6c30e623}">
          <xlrd:rvb i="2797"/>
        </ext>
      </extLst>
    </bk>
    <bk>
      <extLst>
        <ext uri="{3e2802c4-a4d2-4d8b-9148-e3be6c30e623}">
          <xlrd:rvb i="2798"/>
        </ext>
      </extLst>
    </bk>
    <bk>
      <extLst>
        <ext uri="{3e2802c4-a4d2-4d8b-9148-e3be6c30e623}">
          <xlrd:rvb i="2799"/>
        </ext>
      </extLst>
    </bk>
    <bk>
      <extLst>
        <ext uri="{3e2802c4-a4d2-4d8b-9148-e3be6c30e623}">
          <xlrd:rvb i="2800"/>
        </ext>
      </extLst>
    </bk>
    <bk>
      <extLst>
        <ext uri="{3e2802c4-a4d2-4d8b-9148-e3be6c30e623}">
          <xlrd:rvb i="2801"/>
        </ext>
      </extLst>
    </bk>
    <bk>
      <extLst>
        <ext uri="{3e2802c4-a4d2-4d8b-9148-e3be6c30e623}">
          <xlrd:rvb i="2802"/>
        </ext>
      </extLst>
    </bk>
    <bk>
      <extLst>
        <ext uri="{3e2802c4-a4d2-4d8b-9148-e3be6c30e623}">
          <xlrd:rvb i="2803"/>
        </ext>
      </extLst>
    </bk>
    <bk>
      <extLst>
        <ext uri="{3e2802c4-a4d2-4d8b-9148-e3be6c30e623}">
          <xlrd:rvb i="2804"/>
        </ext>
      </extLst>
    </bk>
    <bk>
      <extLst>
        <ext uri="{3e2802c4-a4d2-4d8b-9148-e3be6c30e623}">
          <xlrd:rvb i="2805"/>
        </ext>
      </extLst>
    </bk>
    <bk>
      <extLst>
        <ext uri="{3e2802c4-a4d2-4d8b-9148-e3be6c30e623}">
          <xlrd:rvb i="2806"/>
        </ext>
      </extLst>
    </bk>
    <bk>
      <extLst>
        <ext uri="{3e2802c4-a4d2-4d8b-9148-e3be6c30e623}">
          <xlrd:rvb i="2807"/>
        </ext>
      </extLst>
    </bk>
    <bk>
      <extLst>
        <ext uri="{3e2802c4-a4d2-4d8b-9148-e3be6c30e623}">
          <xlrd:rvb i="2808"/>
        </ext>
      </extLst>
    </bk>
    <bk>
      <extLst>
        <ext uri="{3e2802c4-a4d2-4d8b-9148-e3be6c30e623}">
          <xlrd:rvb i="2809"/>
        </ext>
      </extLst>
    </bk>
    <bk>
      <extLst>
        <ext uri="{3e2802c4-a4d2-4d8b-9148-e3be6c30e623}">
          <xlrd:rvb i="2810"/>
        </ext>
      </extLst>
    </bk>
    <bk>
      <extLst>
        <ext uri="{3e2802c4-a4d2-4d8b-9148-e3be6c30e623}">
          <xlrd:rvb i="2811"/>
        </ext>
      </extLst>
    </bk>
    <bk>
      <extLst>
        <ext uri="{3e2802c4-a4d2-4d8b-9148-e3be6c30e623}">
          <xlrd:rvb i="2812"/>
        </ext>
      </extLst>
    </bk>
    <bk>
      <extLst>
        <ext uri="{3e2802c4-a4d2-4d8b-9148-e3be6c30e623}">
          <xlrd:rvb i="2813"/>
        </ext>
      </extLst>
    </bk>
    <bk>
      <extLst>
        <ext uri="{3e2802c4-a4d2-4d8b-9148-e3be6c30e623}">
          <xlrd:rvb i="2814"/>
        </ext>
      </extLst>
    </bk>
    <bk>
      <extLst>
        <ext uri="{3e2802c4-a4d2-4d8b-9148-e3be6c30e623}">
          <xlrd:rvb i="2815"/>
        </ext>
      </extLst>
    </bk>
    <bk>
      <extLst>
        <ext uri="{3e2802c4-a4d2-4d8b-9148-e3be6c30e623}">
          <xlrd:rvb i="2816"/>
        </ext>
      </extLst>
    </bk>
    <bk>
      <extLst>
        <ext uri="{3e2802c4-a4d2-4d8b-9148-e3be6c30e623}">
          <xlrd:rvb i="2817"/>
        </ext>
      </extLst>
    </bk>
    <bk>
      <extLst>
        <ext uri="{3e2802c4-a4d2-4d8b-9148-e3be6c30e623}">
          <xlrd:rvb i="2818"/>
        </ext>
      </extLst>
    </bk>
    <bk>
      <extLst>
        <ext uri="{3e2802c4-a4d2-4d8b-9148-e3be6c30e623}">
          <xlrd:rvb i="2819"/>
        </ext>
      </extLst>
    </bk>
    <bk>
      <extLst>
        <ext uri="{3e2802c4-a4d2-4d8b-9148-e3be6c30e623}">
          <xlrd:rvb i="2820"/>
        </ext>
      </extLst>
    </bk>
    <bk>
      <extLst>
        <ext uri="{3e2802c4-a4d2-4d8b-9148-e3be6c30e623}">
          <xlrd:rvb i="2821"/>
        </ext>
      </extLst>
    </bk>
    <bk>
      <extLst>
        <ext uri="{3e2802c4-a4d2-4d8b-9148-e3be6c30e623}">
          <xlrd:rvb i="2822"/>
        </ext>
      </extLst>
    </bk>
    <bk>
      <extLst>
        <ext uri="{3e2802c4-a4d2-4d8b-9148-e3be6c30e623}">
          <xlrd:rvb i="2823"/>
        </ext>
      </extLst>
    </bk>
    <bk>
      <extLst>
        <ext uri="{3e2802c4-a4d2-4d8b-9148-e3be6c30e623}">
          <xlrd:rvb i="2824"/>
        </ext>
      </extLst>
    </bk>
    <bk>
      <extLst>
        <ext uri="{3e2802c4-a4d2-4d8b-9148-e3be6c30e623}">
          <xlrd:rvb i="2825"/>
        </ext>
      </extLst>
    </bk>
    <bk>
      <extLst>
        <ext uri="{3e2802c4-a4d2-4d8b-9148-e3be6c30e623}">
          <xlrd:rvb i="2826"/>
        </ext>
      </extLst>
    </bk>
    <bk>
      <extLst>
        <ext uri="{3e2802c4-a4d2-4d8b-9148-e3be6c30e623}">
          <xlrd:rvb i="2827"/>
        </ext>
      </extLst>
    </bk>
    <bk>
      <extLst>
        <ext uri="{3e2802c4-a4d2-4d8b-9148-e3be6c30e623}">
          <xlrd:rvb i="2828"/>
        </ext>
      </extLst>
    </bk>
    <bk>
      <extLst>
        <ext uri="{3e2802c4-a4d2-4d8b-9148-e3be6c30e623}">
          <xlrd:rvb i="2829"/>
        </ext>
      </extLst>
    </bk>
    <bk>
      <extLst>
        <ext uri="{3e2802c4-a4d2-4d8b-9148-e3be6c30e623}">
          <xlrd:rvb i="2830"/>
        </ext>
      </extLst>
    </bk>
    <bk>
      <extLst>
        <ext uri="{3e2802c4-a4d2-4d8b-9148-e3be6c30e623}">
          <xlrd:rvb i="2831"/>
        </ext>
      </extLst>
    </bk>
    <bk>
      <extLst>
        <ext uri="{3e2802c4-a4d2-4d8b-9148-e3be6c30e623}">
          <xlrd:rvb i="2832"/>
        </ext>
      </extLst>
    </bk>
    <bk>
      <extLst>
        <ext uri="{3e2802c4-a4d2-4d8b-9148-e3be6c30e623}">
          <xlrd:rvb i="2833"/>
        </ext>
      </extLst>
    </bk>
    <bk>
      <extLst>
        <ext uri="{3e2802c4-a4d2-4d8b-9148-e3be6c30e623}">
          <xlrd:rvb i="2834"/>
        </ext>
      </extLst>
    </bk>
    <bk>
      <extLst>
        <ext uri="{3e2802c4-a4d2-4d8b-9148-e3be6c30e623}">
          <xlrd:rvb i="2835"/>
        </ext>
      </extLst>
    </bk>
    <bk>
      <extLst>
        <ext uri="{3e2802c4-a4d2-4d8b-9148-e3be6c30e623}">
          <xlrd:rvb i="2836"/>
        </ext>
      </extLst>
    </bk>
    <bk>
      <extLst>
        <ext uri="{3e2802c4-a4d2-4d8b-9148-e3be6c30e623}">
          <xlrd:rvb i="2837"/>
        </ext>
      </extLst>
    </bk>
    <bk>
      <extLst>
        <ext uri="{3e2802c4-a4d2-4d8b-9148-e3be6c30e623}">
          <xlrd:rvb i="2838"/>
        </ext>
      </extLst>
    </bk>
    <bk>
      <extLst>
        <ext uri="{3e2802c4-a4d2-4d8b-9148-e3be6c30e623}">
          <xlrd:rvb i="2839"/>
        </ext>
      </extLst>
    </bk>
    <bk>
      <extLst>
        <ext uri="{3e2802c4-a4d2-4d8b-9148-e3be6c30e623}">
          <xlrd:rvb i="2840"/>
        </ext>
      </extLst>
    </bk>
    <bk>
      <extLst>
        <ext uri="{3e2802c4-a4d2-4d8b-9148-e3be6c30e623}">
          <xlrd:rvb i="2841"/>
        </ext>
      </extLst>
    </bk>
    <bk>
      <extLst>
        <ext uri="{3e2802c4-a4d2-4d8b-9148-e3be6c30e623}">
          <xlrd:rvb i="2842"/>
        </ext>
      </extLst>
    </bk>
    <bk>
      <extLst>
        <ext uri="{3e2802c4-a4d2-4d8b-9148-e3be6c30e623}">
          <xlrd:rvb i="2843"/>
        </ext>
      </extLst>
    </bk>
    <bk>
      <extLst>
        <ext uri="{3e2802c4-a4d2-4d8b-9148-e3be6c30e623}">
          <xlrd:rvb i="2844"/>
        </ext>
      </extLst>
    </bk>
    <bk>
      <extLst>
        <ext uri="{3e2802c4-a4d2-4d8b-9148-e3be6c30e623}">
          <xlrd:rvb i="2845"/>
        </ext>
      </extLst>
    </bk>
    <bk>
      <extLst>
        <ext uri="{3e2802c4-a4d2-4d8b-9148-e3be6c30e623}">
          <xlrd:rvb i="2846"/>
        </ext>
      </extLst>
    </bk>
    <bk>
      <extLst>
        <ext uri="{3e2802c4-a4d2-4d8b-9148-e3be6c30e623}">
          <xlrd:rvb i="2847"/>
        </ext>
      </extLst>
    </bk>
    <bk>
      <extLst>
        <ext uri="{3e2802c4-a4d2-4d8b-9148-e3be6c30e623}">
          <xlrd:rvb i="2848"/>
        </ext>
      </extLst>
    </bk>
    <bk>
      <extLst>
        <ext uri="{3e2802c4-a4d2-4d8b-9148-e3be6c30e623}">
          <xlrd:rvb i="2849"/>
        </ext>
      </extLst>
    </bk>
    <bk>
      <extLst>
        <ext uri="{3e2802c4-a4d2-4d8b-9148-e3be6c30e623}">
          <xlrd:rvb i="2850"/>
        </ext>
      </extLst>
    </bk>
    <bk>
      <extLst>
        <ext uri="{3e2802c4-a4d2-4d8b-9148-e3be6c30e623}">
          <xlrd:rvb i="2851"/>
        </ext>
      </extLst>
    </bk>
    <bk>
      <extLst>
        <ext uri="{3e2802c4-a4d2-4d8b-9148-e3be6c30e623}">
          <xlrd:rvb i="2852"/>
        </ext>
      </extLst>
    </bk>
    <bk>
      <extLst>
        <ext uri="{3e2802c4-a4d2-4d8b-9148-e3be6c30e623}">
          <xlrd:rvb i="2853"/>
        </ext>
      </extLst>
    </bk>
    <bk>
      <extLst>
        <ext uri="{3e2802c4-a4d2-4d8b-9148-e3be6c30e623}">
          <xlrd:rvb i="2854"/>
        </ext>
      </extLst>
    </bk>
    <bk>
      <extLst>
        <ext uri="{3e2802c4-a4d2-4d8b-9148-e3be6c30e623}">
          <xlrd:rvb i="2855"/>
        </ext>
      </extLst>
    </bk>
    <bk>
      <extLst>
        <ext uri="{3e2802c4-a4d2-4d8b-9148-e3be6c30e623}">
          <xlrd:rvb i="2856"/>
        </ext>
      </extLst>
    </bk>
    <bk>
      <extLst>
        <ext uri="{3e2802c4-a4d2-4d8b-9148-e3be6c30e623}">
          <xlrd:rvb i="2857"/>
        </ext>
      </extLst>
    </bk>
    <bk>
      <extLst>
        <ext uri="{3e2802c4-a4d2-4d8b-9148-e3be6c30e623}">
          <xlrd:rvb i="2858"/>
        </ext>
      </extLst>
    </bk>
    <bk>
      <extLst>
        <ext uri="{3e2802c4-a4d2-4d8b-9148-e3be6c30e623}">
          <xlrd:rvb i="2859"/>
        </ext>
      </extLst>
    </bk>
    <bk>
      <extLst>
        <ext uri="{3e2802c4-a4d2-4d8b-9148-e3be6c30e623}">
          <xlrd:rvb i="2860"/>
        </ext>
      </extLst>
    </bk>
    <bk>
      <extLst>
        <ext uri="{3e2802c4-a4d2-4d8b-9148-e3be6c30e623}">
          <xlrd:rvb i="2861"/>
        </ext>
      </extLst>
    </bk>
    <bk>
      <extLst>
        <ext uri="{3e2802c4-a4d2-4d8b-9148-e3be6c30e623}">
          <xlrd:rvb i="2862"/>
        </ext>
      </extLst>
    </bk>
    <bk>
      <extLst>
        <ext uri="{3e2802c4-a4d2-4d8b-9148-e3be6c30e623}">
          <xlrd:rvb i="2863"/>
        </ext>
      </extLst>
    </bk>
    <bk>
      <extLst>
        <ext uri="{3e2802c4-a4d2-4d8b-9148-e3be6c30e623}">
          <xlrd:rvb i="2864"/>
        </ext>
      </extLst>
    </bk>
    <bk>
      <extLst>
        <ext uri="{3e2802c4-a4d2-4d8b-9148-e3be6c30e623}">
          <xlrd:rvb i="2865"/>
        </ext>
      </extLst>
    </bk>
    <bk>
      <extLst>
        <ext uri="{3e2802c4-a4d2-4d8b-9148-e3be6c30e623}">
          <xlrd:rvb i="2866"/>
        </ext>
      </extLst>
    </bk>
    <bk>
      <extLst>
        <ext uri="{3e2802c4-a4d2-4d8b-9148-e3be6c30e623}">
          <xlrd:rvb i="2867"/>
        </ext>
      </extLst>
    </bk>
    <bk>
      <extLst>
        <ext uri="{3e2802c4-a4d2-4d8b-9148-e3be6c30e623}">
          <xlrd:rvb i="2868"/>
        </ext>
      </extLst>
    </bk>
    <bk>
      <extLst>
        <ext uri="{3e2802c4-a4d2-4d8b-9148-e3be6c30e623}">
          <xlrd:rvb i="2869"/>
        </ext>
      </extLst>
    </bk>
    <bk>
      <extLst>
        <ext uri="{3e2802c4-a4d2-4d8b-9148-e3be6c30e623}">
          <xlrd:rvb i="2870"/>
        </ext>
      </extLst>
    </bk>
    <bk>
      <extLst>
        <ext uri="{3e2802c4-a4d2-4d8b-9148-e3be6c30e623}">
          <xlrd:rvb i="2871"/>
        </ext>
      </extLst>
    </bk>
    <bk>
      <extLst>
        <ext uri="{3e2802c4-a4d2-4d8b-9148-e3be6c30e623}">
          <xlrd:rvb i="2872"/>
        </ext>
      </extLst>
    </bk>
    <bk>
      <extLst>
        <ext uri="{3e2802c4-a4d2-4d8b-9148-e3be6c30e623}">
          <xlrd:rvb i="2873"/>
        </ext>
      </extLst>
    </bk>
    <bk>
      <extLst>
        <ext uri="{3e2802c4-a4d2-4d8b-9148-e3be6c30e623}">
          <xlrd:rvb i="2874"/>
        </ext>
      </extLst>
    </bk>
    <bk>
      <extLst>
        <ext uri="{3e2802c4-a4d2-4d8b-9148-e3be6c30e623}">
          <xlrd:rvb i="2875"/>
        </ext>
      </extLst>
    </bk>
    <bk>
      <extLst>
        <ext uri="{3e2802c4-a4d2-4d8b-9148-e3be6c30e623}">
          <xlrd:rvb i="2876"/>
        </ext>
      </extLst>
    </bk>
    <bk>
      <extLst>
        <ext uri="{3e2802c4-a4d2-4d8b-9148-e3be6c30e623}">
          <xlrd:rvb i="2877"/>
        </ext>
      </extLst>
    </bk>
    <bk>
      <extLst>
        <ext uri="{3e2802c4-a4d2-4d8b-9148-e3be6c30e623}">
          <xlrd:rvb i="2878"/>
        </ext>
      </extLst>
    </bk>
    <bk>
      <extLst>
        <ext uri="{3e2802c4-a4d2-4d8b-9148-e3be6c30e623}">
          <xlrd:rvb i="2879"/>
        </ext>
      </extLst>
    </bk>
    <bk>
      <extLst>
        <ext uri="{3e2802c4-a4d2-4d8b-9148-e3be6c30e623}">
          <xlrd:rvb i="2880"/>
        </ext>
      </extLst>
    </bk>
    <bk>
      <extLst>
        <ext uri="{3e2802c4-a4d2-4d8b-9148-e3be6c30e623}">
          <xlrd:rvb i="2881"/>
        </ext>
      </extLst>
    </bk>
    <bk>
      <extLst>
        <ext uri="{3e2802c4-a4d2-4d8b-9148-e3be6c30e623}">
          <xlrd:rvb i="2882"/>
        </ext>
      </extLst>
    </bk>
    <bk>
      <extLst>
        <ext uri="{3e2802c4-a4d2-4d8b-9148-e3be6c30e623}">
          <xlrd:rvb i="2883"/>
        </ext>
      </extLst>
    </bk>
    <bk>
      <extLst>
        <ext uri="{3e2802c4-a4d2-4d8b-9148-e3be6c30e623}">
          <xlrd:rvb i="2884"/>
        </ext>
      </extLst>
    </bk>
    <bk>
      <extLst>
        <ext uri="{3e2802c4-a4d2-4d8b-9148-e3be6c30e623}">
          <xlrd:rvb i="2885"/>
        </ext>
      </extLst>
    </bk>
    <bk>
      <extLst>
        <ext uri="{3e2802c4-a4d2-4d8b-9148-e3be6c30e623}">
          <xlrd:rvb i="2886"/>
        </ext>
      </extLst>
    </bk>
    <bk>
      <extLst>
        <ext uri="{3e2802c4-a4d2-4d8b-9148-e3be6c30e623}">
          <xlrd:rvb i="2887"/>
        </ext>
      </extLst>
    </bk>
    <bk>
      <extLst>
        <ext uri="{3e2802c4-a4d2-4d8b-9148-e3be6c30e623}">
          <xlrd:rvb i="2888"/>
        </ext>
      </extLst>
    </bk>
    <bk>
      <extLst>
        <ext uri="{3e2802c4-a4d2-4d8b-9148-e3be6c30e623}">
          <xlrd:rvb i="2889"/>
        </ext>
      </extLst>
    </bk>
    <bk>
      <extLst>
        <ext uri="{3e2802c4-a4d2-4d8b-9148-e3be6c30e623}">
          <xlrd:rvb i="2890"/>
        </ext>
      </extLst>
    </bk>
    <bk>
      <extLst>
        <ext uri="{3e2802c4-a4d2-4d8b-9148-e3be6c30e623}">
          <xlrd:rvb i="2891"/>
        </ext>
      </extLst>
    </bk>
    <bk>
      <extLst>
        <ext uri="{3e2802c4-a4d2-4d8b-9148-e3be6c30e623}">
          <xlrd:rvb i="2892"/>
        </ext>
      </extLst>
    </bk>
    <bk>
      <extLst>
        <ext uri="{3e2802c4-a4d2-4d8b-9148-e3be6c30e623}">
          <xlrd:rvb i="2893"/>
        </ext>
      </extLst>
    </bk>
    <bk>
      <extLst>
        <ext uri="{3e2802c4-a4d2-4d8b-9148-e3be6c30e623}">
          <xlrd:rvb i="2894"/>
        </ext>
      </extLst>
    </bk>
    <bk>
      <extLst>
        <ext uri="{3e2802c4-a4d2-4d8b-9148-e3be6c30e623}">
          <xlrd:rvb i="2895"/>
        </ext>
      </extLst>
    </bk>
    <bk>
      <extLst>
        <ext uri="{3e2802c4-a4d2-4d8b-9148-e3be6c30e623}">
          <xlrd:rvb i="2896"/>
        </ext>
      </extLst>
    </bk>
    <bk>
      <extLst>
        <ext uri="{3e2802c4-a4d2-4d8b-9148-e3be6c30e623}">
          <xlrd:rvb i="2897"/>
        </ext>
      </extLst>
    </bk>
    <bk>
      <extLst>
        <ext uri="{3e2802c4-a4d2-4d8b-9148-e3be6c30e623}">
          <xlrd:rvb i="2898"/>
        </ext>
      </extLst>
    </bk>
    <bk>
      <extLst>
        <ext uri="{3e2802c4-a4d2-4d8b-9148-e3be6c30e623}">
          <xlrd:rvb i="2899"/>
        </ext>
      </extLst>
    </bk>
    <bk>
      <extLst>
        <ext uri="{3e2802c4-a4d2-4d8b-9148-e3be6c30e623}">
          <xlrd:rvb i="2900"/>
        </ext>
      </extLst>
    </bk>
    <bk>
      <extLst>
        <ext uri="{3e2802c4-a4d2-4d8b-9148-e3be6c30e623}">
          <xlrd:rvb i="2901"/>
        </ext>
      </extLst>
    </bk>
    <bk>
      <extLst>
        <ext uri="{3e2802c4-a4d2-4d8b-9148-e3be6c30e623}">
          <xlrd:rvb i="2902"/>
        </ext>
      </extLst>
    </bk>
    <bk>
      <extLst>
        <ext uri="{3e2802c4-a4d2-4d8b-9148-e3be6c30e623}">
          <xlrd:rvb i="2903"/>
        </ext>
      </extLst>
    </bk>
    <bk>
      <extLst>
        <ext uri="{3e2802c4-a4d2-4d8b-9148-e3be6c30e623}">
          <xlrd:rvb i="2904"/>
        </ext>
      </extLst>
    </bk>
    <bk>
      <extLst>
        <ext uri="{3e2802c4-a4d2-4d8b-9148-e3be6c30e623}">
          <xlrd:rvb i="2905"/>
        </ext>
      </extLst>
    </bk>
    <bk>
      <extLst>
        <ext uri="{3e2802c4-a4d2-4d8b-9148-e3be6c30e623}">
          <xlrd:rvb i="2906"/>
        </ext>
      </extLst>
    </bk>
    <bk>
      <extLst>
        <ext uri="{3e2802c4-a4d2-4d8b-9148-e3be6c30e623}">
          <xlrd:rvb i="2907"/>
        </ext>
      </extLst>
    </bk>
    <bk>
      <extLst>
        <ext uri="{3e2802c4-a4d2-4d8b-9148-e3be6c30e623}">
          <xlrd:rvb i="2908"/>
        </ext>
      </extLst>
    </bk>
    <bk>
      <extLst>
        <ext uri="{3e2802c4-a4d2-4d8b-9148-e3be6c30e623}">
          <xlrd:rvb i="2909"/>
        </ext>
      </extLst>
    </bk>
    <bk>
      <extLst>
        <ext uri="{3e2802c4-a4d2-4d8b-9148-e3be6c30e623}">
          <xlrd:rvb i="2910"/>
        </ext>
      </extLst>
    </bk>
    <bk>
      <extLst>
        <ext uri="{3e2802c4-a4d2-4d8b-9148-e3be6c30e623}">
          <xlrd:rvb i="2911"/>
        </ext>
      </extLst>
    </bk>
    <bk>
      <extLst>
        <ext uri="{3e2802c4-a4d2-4d8b-9148-e3be6c30e623}">
          <xlrd:rvb i="2912"/>
        </ext>
      </extLst>
    </bk>
    <bk>
      <extLst>
        <ext uri="{3e2802c4-a4d2-4d8b-9148-e3be6c30e623}">
          <xlrd:rvb i="2913"/>
        </ext>
      </extLst>
    </bk>
    <bk>
      <extLst>
        <ext uri="{3e2802c4-a4d2-4d8b-9148-e3be6c30e623}">
          <xlrd:rvb i="2914"/>
        </ext>
      </extLst>
    </bk>
    <bk>
      <extLst>
        <ext uri="{3e2802c4-a4d2-4d8b-9148-e3be6c30e623}">
          <xlrd:rvb i="2915"/>
        </ext>
      </extLst>
    </bk>
    <bk>
      <extLst>
        <ext uri="{3e2802c4-a4d2-4d8b-9148-e3be6c30e623}">
          <xlrd:rvb i="2916"/>
        </ext>
      </extLst>
    </bk>
    <bk>
      <extLst>
        <ext uri="{3e2802c4-a4d2-4d8b-9148-e3be6c30e623}">
          <xlrd:rvb i="2917"/>
        </ext>
      </extLst>
    </bk>
    <bk>
      <extLst>
        <ext uri="{3e2802c4-a4d2-4d8b-9148-e3be6c30e623}">
          <xlrd:rvb i="2918"/>
        </ext>
      </extLst>
    </bk>
    <bk>
      <extLst>
        <ext uri="{3e2802c4-a4d2-4d8b-9148-e3be6c30e623}">
          <xlrd:rvb i="2919"/>
        </ext>
      </extLst>
    </bk>
    <bk>
      <extLst>
        <ext uri="{3e2802c4-a4d2-4d8b-9148-e3be6c30e623}">
          <xlrd:rvb i="2920"/>
        </ext>
      </extLst>
    </bk>
    <bk>
      <extLst>
        <ext uri="{3e2802c4-a4d2-4d8b-9148-e3be6c30e623}">
          <xlrd:rvb i="2921"/>
        </ext>
      </extLst>
    </bk>
    <bk>
      <extLst>
        <ext uri="{3e2802c4-a4d2-4d8b-9148-e3be6c30e623}">
          <xlrd:rvb i="2922"/>
        </ext>
      </extLst>
    </bk>
    <bk>
      <extLst>
        <ext uri="{3e2802c4-a4d2-4d8b-9148-e3be6c30e623}">
          <xlrd:rvb i="2923"/>
        </ext>
      </extLst>
    </bk>
    <bk>
      <extLst>
        <ext uri="{3e2802c4-a4d2-4d8b-9148-e3be6c30e623}">
          <xlrd:rvb i="2924"/>
        </ext>
      </extLst>
    </bk>
    <bk>
      <extLst>
        <ext uri="{3e2802c4-a4d2-4d8b-9148-e3be6c30e623}">
          <xlrd:rvb i="2925"/>
        </ext>
      </extLst>
    </bk>
    <bk>
      <extLst>
        <ext uri="{3e2802c4-a4d2-4d8b-9148-e3be6c30e623}">
          <xlrd:rvb i="2926"/>
        </ext>
      </extLst>
    </bk>
    <bk>
      <extLst>
        <ext uri="{3e2802c4-a4d2-4d8b-9148-e3be6c30e623}">
          <xlrd:rvb i="2927"/>
        </ext>
      </extLst>
    </bk>
    <bk>
      <extLst>
        <ext uri="{3e2802c4-a4d2-4d8b-9148-e3be6c30e623}">
          <xlrd:rvb i="2928"/>
        </ext>
      </extLst>
    </bk>
    <bk>
      <extLst>
        <ext uri="{3e2802c4-a4d2-4d8b-9148-e3be6c30e623}">
          <xlrd:rvb i="2929"/>
        </ext>
      </extLst>
    </bk>
    <bk>
      <extLst>
        <ext uri="{3e2802c4-a4d2-4d8b-9148-e3be6c30e623}">
          <xlrd:rvb i="2930"/>
        </ext>
      </extLst>
    </bk>
    <bk>
      <extLst>
        <ext uri="{3e2802c4-a4d2-4d8b-9148-e3be6c30e623}">
          <xlrd:rvb i="2931"/>
        </ext>
      </extLst>
    </bk>
    <bk>
      <extLst>
        <ext uri="{3e2802c4-a4d2-4d8b-9148-e3be6c30e623}">
          <xlrd:rvb i="2932"/>
        </ext>
      </extLst>
    </bk>
    <bk>
      <extLst>
        <ext uri="{3e2802c4-a4d2-4d8b-9148-e3be6c30e623}">
          <xlrd:rvb i="2933"/>
        </ext>
      </extLst>
    </bk>
    <bk>
      <extLst>
        <ext uri="{3e2802c4-a4d2-4d8b-9148-e3be6c30e623}">
          <xlrd:rvb i="2934"/>
        </ext>
      </extLst>
    </bk>
    <bk>
      <extLst>
        <ext uri="{3e2802c4-a4d2-4d8b-9148-e3be6c30e623}">
          <xlrd:rvb i="2935"/>
        </ext>
      </extLst>
    </bk>
    <bk>
      <extLst>
        <ext uri="{3e2802c4-a4d2-4d8b-9148-e3be6c30e623}">
          <xlrd:rvb i="2936"/>
        </ext>
      </extLst>
    </bk>
    <bk>
      <extLst>
        <ext uri="{3e2802c4-a4d2-4d8b-9148-e3be6c30e623}">
          <xlrd:rvb i="2937"/>
        </ext>
      </extLst>
    </bk>
    <bk>
      <extLst>
        <ext uri="{3e2802c4-a4d2-4d8b-9148-e3be6c30e623}">
          <xlrd:rvb i="2938"/>
        </ext>
      </extLst>
    </bk>
    <bk>
      <extLst>
        <ext uri="{3e2802c4-a4d2-4d8b-9148-e3be6c30e623}">
          <xlrd:rvb i="2939"/>
        </ext>
      </extLst>
    </bk>
    <bk>
      <extLst>
        <ext uri="{3e2802c4-a4d2-4d8b-9148-e3be6c30e623}">
          <xlrd:rvb i="2940"/>
        </ext>
      </extLst>
    </bk>
    <bk>
      <extLst>
        <ext uri="{3e2802c4-a4d2-4d8b-9148-e3be6c30e623}">
          <xlrd:rvb i="2941"/>
        </ext>
      </extLst>
    </bk>
    <bk>
      <extLst>
        <ext uri="{3e2802c4-a4d2-4d8b-9148-e3be6c30e623}">
          <xlrd:rvb i="2942"/>
        </ext>
      </extLst>
    </bk>
    <bk>
      <extLst>
        <ext uri="{3e2802c4-a4d2-4d8b-9148-e3be6c30e623}">
          <xlrd:rvb i="2943"/>
        </ext>
      </extLst>
    </bk>
    <bk>
      <extLst>
        <ext uri="{3e2802c4-a4d2-4d8b-9148-e3be6c30e623}">
          <xlrd:rvb i="2944"/>
        </ext>
      </extLst>
    </bk>
    <bk>
      <extLst>
        <ext uri="{3e2802c4-a4d2-4d8b-9148-e3be6c30e623}">
          <xlrd:rvb i="2945"/>
        </ext>
      </extLst>
    </bk>
    <bk>
      <extLst>
        <ext uri="{3e2802c4-a4d2-4d8b-9148-e3be6c30e623}">
          <xlrd:rvb i="2946"/>
        </ext>
      </extLst>
    </bk>
    <bk>
      <extLst>
        <ext uri="{3e2802c4-a4d2-4d8b-9148-e3be6c30e623}">
          <xlrd:rvb i="2947"/>
        </ext>
      </extLst>
    </bk>
    <bk>
      <extLst>
        <ext uri="{3e2802c4-a4d2-4d8b-9148-e3be6c30e623}">
          <xlrd:rvb i="2948"/>
        </ext>
      </extLst>
    </bk>
    <bk>
      <extLst>
        <ext uri="{3e2802c4-a4d2-4d8b-9148-e3be6c30e623}">
          <xlrd:rvb i="2949"/>
        </ext>
      </extLst>
    </bk>
    <bk>
      <extLst>
        <ext uri="{3e2802c4-a4d2-4d8b-9148-e3be6c30e623}">
          <xlrd:rvb i="2950"/>
        </ext>
      </extLst>
    </bk>
    <bk>
      <extLst>
        <ext uri="{3e2802c4-a4d2-4d8b-9148-e3be6c30e623}">
          <xlrd:rvb i="2951"/>
        </ext>
      </extLst>
    </bk>
    <bk>
      <extLst>
        <ext uri="{3e2802c4-a4d2-4d8b-9148-e3be6c30e623}">
          <xlrd:rvb i="2952"/>
        </ext>
      </extLst>
    </bk>
    <bk>
      <extLst>
        <ext uri="{3e2802c4-a4d2-4d8b-9148-e3be6c30e623}">
          <xlrd:rvb i="2953"/>
        </ext>
      </extLst>
    </bk>
    <bk>
      <extLst>
        <ext uri="{3e2802c4-a4d2-4d8b-9148-e3be6c30e623}">
          <xlrd:rvb i="2954"/>
        </ext>
      </extLst>
    </bk>
    <bk>
      <extLst>
        <ext uri="{3e2802c4-a4d2-4d8b-9148-e3be6c30e623}">
          <xlrd:rvb i="2955"/>
        </ext>
      </extLst>
    </bk>
    <bk>
      <extLst>
        <ext uri="{3e2802c4-a4d2-4d8b-9148-e3be6c30e623}">
          <xlrd:rvb i="2956"/>
        </ext>
      </extLst>
    </bk>
    <bk>
      <extLst>
        <ext uri="{3e2802c4-a4d2-4d8b-9148-e3be6c30e623}">
          <xlrd:rvb i="2957"/>
        </ext>
      </extLst>
    </bk>
    <bk>
      <extLst>
        <ext uri="{3e2802c4-a4d2-4d8b-9148-e3be6c30e623}">
          <xlrd:rvb i="2958"/>
        </ext>
      </extLst>
    </bk>
    <bk>
      <extLst>
        <ext uri="{3e2802c4-a4d2-4d8b-9148-e3be6c30e623}">
          <xlrd:rvb i="2959"/>
        </ext>
      </extLst>
    </bk>
    <bk>
      <extLst>
        <ext uri="{3e2802c4-a4d2-4d8b-9148-e3be6c30e623}">
          <xlrd:rvb i="2960"/>
        </ext>
      </extLst>
    </bk>
    <bk>
      <extLst>
        <ext uri="{3e2802c4-a4d2-4d8b-9148-e3be6c30e623}">
          <xlrd:rvb i="2961"/>
        </ext>
      </extLst>
    </bk>
    <bk>
      <extLst>
        <ext uri="{3e2802c4-a4d2-4d8b-9148-e3be6c30e623}">
          <xlrd:rvb i="2962"/>
        </ext>
      </extLst>
    </bk>
    <bk>
      <extLst>
        <ext uri="{3e2802c4-a4d2-4d8b-9148-e3be6c30e623}">
          <xlrd:rvb i="2963"/>
        </ext>
      </extLst>
    </bk>
    <bk>
      <extLst>
        <ext uri="{3e2802c4-a4d2-4d8b-9148-e3be6c30e623}">
          <xlrd:rvb i="2964"/>
        </ext>
      </extLst>
    </bk>
    <bk>
      <extLst>
        <ext uri="{3e2802c4-a4d2-4d8b-9148-e3be6c30e623}">
          <xlrd:rvb i="2965"/>
        </ext>
      </extLst>
    </bk>
    <bk>
      <extLst>
        <ext uri="{3e2802c4-a4d2-4d8b-9148-e3be6c30e623}">
          <xlrd:rvb i="2966"/>
        </ext>
      </extLst>
    </bk>
    <bk>
      <extLst>
        <ext uri="{3e2802c4-a4d2-4d8b-9148-e3be6c30e623}">
          <xlrd:rvb i="2967"/>
        </ext>
      </extLst>
    </bk>
    <bk>
      <extLst>
        <ext uri="{3e2802c4-a4d2-4d8b-9148-e3be6c30e623}">
          <xlrd:rvb i="2968"/>
        </ext>
      </extLst>
    </bk>
    <bk>
      <extLst>
        <ext uri="{3e2802c4-a4d2-4d8b-9148-e3be6c30e623}">
          <xlrd:rvb i="2969"/>
        </ext>
      </extLst>
    </bk>
    <bk>
      <extLst>
        <ext uri="{3e2802c4-a4d2-4d8b-9148-e3be6c30e623}">
          <xlrd:rvb i="2970"/>
        </ext>
      </extLst>
    </bk>
    <bk>
      <extLst>
        <ext uri="{3e2802c4-a4d2-4d8b-9148-e3be6c30e623}">
          <xlrd:rvb i="2971"/>
        </ext>
      </extLst>
    </bk>
    <bk>
      <extLst>
        <ext uri="{3e2802c4-a4d2-4d8b-9148-e3be6c30e623}">
          <xlrd:rvb i="2972"/>
        </ext>
      </extLst>
    </bk>
    <bk>
      <extLst>
        <ext uri="{3e2802c4-a4d2-4d8b-9148-e3be6c30e623}">
          <xlrd:rvb i="2973"/>
        </ext>
      </extLst>
    </bk>
    <bk>
      <extLst>
        <ext uri="{3e2802c4-a4d2-4d8b-9148-e3be6c30e623}">
          <xlrd:rvb i="2974"/>
        </ext>
      </extLst>
    </bk>
    <bk>
      <extLst>
        <ext uri="{3e2802c4-a4d2-4d8b-9148-e3be6c30e623}">
          <xlrd:rvb i="2975"/>
        </ext>
      </extLst>
    </bk>
    <bk>
      <extLst>
        <ext uri="{3e2802c4-a4d2-4d8b-9148-e3be6c30e623}">
          <xlrd:rvb i="2976"/>
        </ext>
      </extLst>
    </bk>
    <bk>
      <extLst>
        <ext uri="{3e2802c4-a4d2-4d8b-9148-e3be6c30e623}">
          <xlrd:rvb i="2977"/>
        </ext>
      </extLst>
    </bk>
    <bk>
      <extLst>
        <ext uri="{3e2802c4-a4d2-4d8b-9148-e3be6c30e623}">
          <xlrd:rvb i="2978"/>
        </ext>
      </extLst>
    </bk>
    <bk>
      <extLst>
        <ext uri="{3e2802c4-a4d2-4d8b-9148-e3be6c30e623}">
          <xlrd:rvb i="2979"/>
        </ext>
      </extLst>
    </bk>
    <bk>
      <extLst>
        <ext uri="{3e2802c4-a4d2-4d8b-9148-e3be6c30e623}">
          <xlrd:rvb i="2980"/>
        </ext>
      </extLst>
    </bk>
    <bk>
      <extLst>
        <ext uri="{3e2802c4-a4d2-4d8b-9148-e3be6c30e623}">
          <xlrd:rvb i="2981"/>
        </ext>
      </extLst>
    </bk>
    <bk>
      <extLst>
        <ext uri="{3e2802c4-a4d2-4d8b-9148-e3be6c30e623}">
          <xlrd:rvb i="2982"/>
        </ext>
      </extLst>
    </bk>
    <bk>
      <extLst>
        <ext uri="{3e2802c4-a4d2-4d8b-9148-e3be6c30e623}">
          <xlrd:rvb i="2983"/>
        </ext>
      </extLst>
    </bk>
    <bk>
      <extLst>
        <ext uri="{3e2802c4-a4d2-4d8b-9148-e3be6c30e623}">
          <xlrd:rvb i="2984"/>
        </ext>
      </extLst>
    </bk>
    <bk>
      <extLst>
        <ext uri="{3e2802c4-a4d2-4d8b-9148-e3be6c30e623}">
          <xlrd:rvb i="2985"/>
        </ext>
      </extLst>
    </bk>
    <bk>
      <extLst>
        <ext uri="{3e2802c4-a4d2-4d8b-9148-e3be6c30e623}">
          <xlrd:rvb i="2986"/>
        </ext>
      </extLst>
    </bk>
    <bk>
      <extLst>
        <ext uri="{3e2802c4-a4d2-4d8b-9148-e3be6c30e623}">
          <xlrd:rvb i="2987"/>
        </ext>
      </extLst>
    </bk>
    <bk>
      <extLst>
        <ext uri="{3e2802c4-a4d2-4d8b-9148-e3be6c30e623}">
          <xlrd:rvb i="2988"/>
        </ext>
      </extLst>
    </bk>
    <bk>
      <extLst>
        <ext uri="{3e2802c4-a4d2-4d8b-9148-e3be6c30e623}">
          <xlrd:rvb i="2989"/>
        </ext>
      </extLst>
    </bk>
    <bk>
      <extLst>
        <ext uri="{3e2802c4-a4d2-4d8b-9148-e3be6c30e623}">
          <xlrd:rvb i="2990"/>
        </ext>
      </extLst>
    </bk>
    <bk>
      <extLst>
        <ext uri="{3e2802c4-a4d2-4d8b-9148-e3be6c30e623}">
          <xlrd:rvb i="2991"/>
        </ext>
      </extLst>
    </bk>
    <bk>
      <extLst>
        <ext uri="{3e2802c4-a4d2-4d8b-9148-e3be6c30e623}">
          <xlrd:rvb i="2992"/>
        </ext>
      </extLst>
    </bk>
    <bk>
      <extLst>
        <ext uri="{3e2802c4-a4d2-4d8b-9148-e3be6c30e623}">
          <xlrd:rvb i="2993"/>
        </ext>
      </extLst>
    </bk>
    <bk>
      <extLst>
        <ext uri="{3e2802c4-a4d2-4d8b-9148-e3be6c30e623}">
          <xlrd:rvb i="2994"/>
        </ext>
      </extLst>
    </bk>
    <bk>
      <extLst>
        <ext uri="{3e2802c4-a4d2-4d8b-9148-e3be6c30e623}">
          <xlrd:rvb i="2995"/>
        </ext>
      </extLst>
    </bk>
    <bk>
      <extLst>
        <ext uri="{3e2802c4-a4d2-4d8b-9148-e3be6c30e623}">
          <xlrd:rvb i="2996"/>
        </ext>
      </extLst>
    </bk>
    <bk>
      <extLst>
        <ext uri="{3e2802c4-a4d2-4d8b-9148-e3be6c30e623}">
          <xlrd:rvb i="2997"/>
        </ext>
      </extLst>
    </bk>
    <bk>
      <extLst>
        <ext uri="{3e2802c4-a4d2-4d8b-9148-e3be6c30e623}">
          <xlrd:rvb i="2998"/>
        </ext>
      </extLst>
    </bk>
    <bk>
      <extLst>
        <ext uri="{3e2802c4-a4d2-4d8b-9148-e3be6c30e623}">
          <xlrd:rvb i="2999"/>
        </ext>
      </extLst>
    </bk>
    <bk>
      <extLst>
        <ext uri="{3e2802c4-a4d2-4d8b-9148-e3be6c30e623}">
          <xlrd:rvb i="3000"/>
        </ext>
      </extLst>
    </bk>
    <bk>
      <extLst>
        <ext uri="{3e2802c4-a4d2-4d8b-9148-e3be6c30e623}">
          <xlrd:rvb i="3001"/>
        </ext>
      </extLst>
    </bk>
    <bk>
      <extLst>
        <ext uri="{3e2802c4-a4d2-4d8b-9148-e3be6c30e623}">
          <xlrd:rvb i="3002"/>
        </ext>
      </extLst>
    </bk>
    <bk>
      <extLst>
        <ext uri="{3e2802c4-a4d2-4d8b-9148-e3be6c30e623}">
          <xlrd:rvb i="3003"/>
        </ext>
      </extLst>
    </bk>
    <bk>
      <extLst>
        <ext uri="{3e2802c4-a4d2-4d8b-9148-e3be6c30e623}">
          <xlrd:rvb i="3004"/>
        </ext>
      </extLst>
    </bk>
    <bk>
      <extLst>
        <ext uri="{3e2802c4-a4d2-4d8b-9148-e3be6c30e623}">
          <xlrd:rvb i="3005"/>
        </ext>
      </extLst>
    </bk>
    <bk>
      <extLst>
        <ext uri="{3e2802c4-a4d2-4d8b-9148-e3be6c30e623}">
          <xlrd:rvb i="3006"/>
        </ext>
      </extLst>
    </bk>
    <bk>
      <extLst>
        <ext uri="{3e2802c4-a4d2-4d8b-9148-e3be6c30e623}">
          <xlrd:rvb i="3007"/>
        </ext>
      </extLst>
    </bk>
    <bk>
      <extLst>
        <ext uri="{3e2802c4-a4d2-4d8b-9148-e3be6c30e623}">
          <xlrd:rvb i="3008"/>
        </ext>
      </extLst>
    </bk>
    <bk>
      <extLst>
        <ext uri="{3e2802c4-a4d2-4d8b-9148-e3be6c30e623}">
          <xlrd:rvb i="3009"/>
        </ext>
      </extLst>
    </bk>
    <bk>
      <extLst>
        <ext uri="{3e2802c4-a4d2-4d8b-9148-e3be6c30e623}">
          <xlrd:rvb i="3010"/>
        </ext>
      </extLst>
    </bk>
    <bk>
      <extLst>
        <ext uri="{3e2802c4-a4d2-4d8b-9148-e3be6c30e623}">
          <xlrd:rvb i="3011"/>
        </ext>
      </extLst>
    </bk>
    <bk>
      <extLst>
        <ext uri="{3e2802c4-a4d2-4d8b-9148-e3be6c30e623}">
          <xlrd:rvb i="3012"/>
        </ext>
      </extLst>
    </bk>
    <bk>
      <extLst>
        <ext uri="{3e2802c4-a4d2-4d8b-9148-e3be6c30e623}">
          <xlrd:rvb i="3013"/>
        </ext>
      </extLst>
    </bk>
    <bk>
      <extLst>
        <ext uri="{3e2802c4-a4d2-4d8b-9148-e3be6c30e623}">
          <xlrd:rvb i="3014"/>
        </ext>
      </extLst>
    </bk>
    <bk>
      <extLst>
        <ext uri="{3e2802c4-a4d2-4d8b-9148-e3be6c30e623}">
          <xlrd:rvb i="3015"/>
        </ext>
      </extLst>
    </bk>
    <bk>
      <extLst>
        <ext uri="{3e2802c4-a4d2-4d8b-9148-e3be6c30e623}">
          <xlrd:rvb i="3016"/>
        </ext>
      </extLst>
    </bk>
    <bk>
      <extLst>
        <ext uri="{3e2802c4-a4d2-4d8b-9148-e3be6c30e623}">
          <xlrd:rvb i="3017"/>
        </ext>
      </extLst>
    </bk>
    <bk>
      <extLst>
        <ext uri="{3e2802c4-a4d2-4d8b-9148-e3be6c30e623}">
          <xlrd:rvb i="3018"/>
        </ext>
      </extLst>
    </bk>
    <bk>
      <extLst>
        <ext uri="{3e2802c4-a4d2-4d8b-9148-e3be6c30e623}">
          <xlrd:rvb i="3019"/>
        </ext>
      </extLst>
    </bk>
    <bk>
      <extLst>
        <ext uri="{3e2802c4-a4d2-4d8b-9148-e3be6c30e623}">
          <xlrd:rvb i="3020"/>
        </ext>
      </extLst>
    </bk>
    <bk>
      <extLst>
        <ext uri="{3e2802c4-a4d2-4d8b-9148-e3be6c30e623}">
          <xlrd:rvb i="3021"/>
        </ext>
      </extLst>
    </bk>
    <bk>
      <extLst>
        <ext uri="{3e2802c4-a4d2-4d8b-9148-e3be6c30e623}">
          <xlrd:rvb i="3022"/>
        </ext>
      </extLst>
    </bk>
    <bk>
      <extLst>
        <ext uri="{3e2802c4-a4d2-4d8b-9148-e3be6c30e623}">
          <xlrd:rvb i="3023"/>
        </ext>
      </extLst>
    </bk>
    <bk>
      <extLst>
        <ext uri="{3e2802c4-a4d2-4d8b-9148-e3be6c30e623}">
          <xlrd:rvb i="3024"/>
        </ext>
      </extLst>
    </bk>
    <bk>
      <extLst>
        <ext uri="{3e2802c4-a4d2-4d8b-9148-e3be6c30e623}">
          <xlrd:rvb i="3025"/>
        </ext>
      </extLst>
    </bk>
    <bk>
      <extLst>
        <ext uri="{3e2802c4-a4d2-4d8b-9148-e3be6c30e623}">
          <xlrd:rvb i="3026"/>
        </ext>
      </extLst>
    </bk>
    <bk>
      <extLst>
        <ext uri="{3e2802c4-a4d2-4d8b-9148-e3be6c30e623}">
          <xlrd:rvb i="3027"/>
        </ext>
      </extLst>
    </bk>
    <bk>
      <extLst>
        <ext uri="{3e2802c4-a4d2-4d8b-9148-e3be6c30e623}">
          <xlrd:rvb i="3028"/>
        </ext>
      </extLst>
    </bk>
    <bk>
      <extLst>
        <ext uri="{3e2802c4-a4d2-4d8b-9148-e3be6c30e623}">
          <xlrd:rvb i="3029"/>
        </ext>
      </extLst>
    </bk>
    <bk>
      <extLst>
        <ext uri="{3e2802c4-a4d2-4d8b-9148-e3be6c30e623}">
          <xlrd:rvb i="3030"/>
        </ext>
      </extLst>
    </bk>
    <bk>
      <extLst>
        <ext uri="{3e2802c4-a4d2-4d8b-9148-e3be6c30e623}">
          <xlrd:rvb i="3031"/>
        </ext>
      </extLst>
    </bk>
    <bk>
      <extLst>
        <ext uri="{3e2802c4-a4d2-4d8b-9148-e3be6c30e623}">
          <xlrd:rvb i="3032"/>
        </ext>
      </extLst>
    </bk>
    <bk>
      <extLst>
        <ext uri="{3e2802c4-a4d2-4d8b-9148-e3be6c30e623}">
          <xlrd:rvb i="3033"/>
        </ext>
      </extLst>
    </bk>
    <bk>
      <extLst>
        <ext uri="{3e2802c4-a4d2-4d8b-9148-e3be6c30e623}">
          <xlrd:rvb i="3034"/>
        </ext>
      </extLst>
    </bk>
    <bk>
      <extLst>
        <ext uri="{3e2802c4-a4d2-4d8b-9148-e3be6c30e623}">
          <xlrd:rvb i="3035"/>
        </ext>
      </extLst>
    </bk>
    <bk>
      <extLst>
        <ext uri="{3e2802c4-a4d2-4d8b-9148-e3be6c30e623}">
          <xlrd:rvb i="3036"/>
        </ext>
      </extLst>
    </bk>
    <bk>
      <extLst>
        <ext uri="{3e2802c4-a4d2-4d8b-9148-e3be6c30e623}">
          <xlrd:rvb i="3037"/>
        </ext>
      </extLst>
    </bk>
    <bk>
      <extLst>
        <ext uri="{3e2802c4-a4d2-4d8b-9148-e3be6c30e623}">
          <xlrd:rvb i="3038"/>
        </ext>
      </extLst>
    </bk>
    <bk>
      <extLst>
        <ext uri="{3e2802c4-a4d2-4d8b-9148-e3be6c30e623}">
          <xlrd:rvb i="3039"/>
        </ext>
      </extLst>
    </bk>
    <bk>
      <extLst>
        <ext uri="{3e2802c4-a4d2-4d8b-9148-e3be6c30e623}">
          <xlrd:rvb i="3040"/>
        </ext>
      </extLst>
    </bk>
    <bk>
      <extLst>
        <ext uri="{3e2802c4-a4d2-4d8b-9148-e3be6c30e623}">
          <xlrd:rvb i="3041"/>
        </ext>
      </extLst>
    </bk>
    <bk>
      <extLst>
        <ext uri="{3e2802c4-a4d2-4d8b-9148-e3be6c30e623}">
          <xlrd:rvb i="3042"/>
        </ext>
      </extLst>
    </bk>
    <bk>
      <extLst>
        <ext uri="{3e2802c4-a4d2-4d8b-9148-e3be6c30e623}">
          <xlrd:rvb i="3043"/>
        </ext>
      </extLst>
    </bk>
    <bk>
      <extLst>
        <ext uri="{3e2802c4-a4d2-4d8b-9148-e3be6c30e623}">
          <xlrd:rvb i="3044"/>
        </ext>
      </extLst>
    </bk>
    <bk>
      <extLst>
        <ext uri="{3e2802c4-a4d2-4d8b-9148-e3be6c30e623}">
          <xlrd:rvb i="3045"/>
        </ext>
      </extLst>
    </bk>
    <bk>
      <extLst>
        <ext uri="{3e2802c4-a4d2-4d8b-9148-e3be6c30e623}">
          <xlrd:rvb i="3046"/>
        </ext>
      </extLst>
    </bk>
    <bk>
      <extLst>
        <ext uri="{3e2802c4-a4d2-4d8b-9148-e3be6c30e623}">
          <xlrd:rvb i="3047"/>
        </ext>
      </extLst>
    </bk>
    <bk>
      <extLst>
        <ext uri="{3e2802c4-a4d2-4d8b-9148-e3be6c30e623}">
          <xlrd:rvb i="3048"/>
        </ext>
      </extLst>
    </bk>
    <bk>
      <extLst>
        <ext uri="{3e2802c4-a4d2-4d8b-9148-e3be6c30e623}">
          <xlrd:rvb i="3049"/>
        </ext>
      </extLst>
    </bk>
    <bk>
      <extLst>
        <ext uri="{3e2802c4-a4d2-4d8b-9148-e3be6c30e623}">
          <xlrd:rvb i="3050"/>
        </ext>
      </extLst>
    </bk>
    <bk>
      <extLst>
        <ext uri="{3e2802c4-a4d2-4d8b-9148-e3be6c30e623}">
          <xlrd:rvb i="3051"/>
        </ext>
      </extLst>
    </bk>
    <bk>
      <extLst>
        <ext uri="{3e2802c4-a4d2-4d8b-9148-e3be6c30e623}">
          <xlrd:rvb i="3052"/>
        </ext>
      </extLst>
    </bk>
    <bk>
      <extLst>
        <ext uri="{3e2802c4-a4d2-4d8b-9148-e3be6c30e623}">
          <xlrd:rvb i="3053"/>
        </ext>
      </extLst>
    </bk>
    <bk>
      <extLst>
        <ext uri="{3e2802c4-a4d2-4d8b-9148-e3be6c30e623}">
          <xlrd:rvb i="3054"/>
        </ext>
      </extLst>
    </bk>
    <bk>
      <extLst>
        <ext uri="{3e2802c4-a4d2-4d8b-9148-e3be6c30e623}">
          <xlrd:rvb i="3055"/>
        </ext>
      </extLst>
    </bk>
    <bk>
      <extLst>
        <ext uri="{3e2802c4-a4d2-4d8b-9148-e3be6c30e623}">
          <xlrd:rvb i="3056"/>
        </ext>
      </extLst>
    </bk>
    <bk>
      <extLst>
        <ext uri="{3e2802c4-a4d2-4d8b-9148-e3be6c30e623}">
          <xlrd:rvb i="3057"/>
        </ext>
      </extLst>
    </bk>
    <bk>
      <extLst>
        <ext uri="{3e2802c4-a4d2-4d8b-9148-e3be6c30e623}">
          <xlrd:rvb i="3058"/>
        </ext>
      </extLst>
    </bk>
    <bk>
      <extLst>
        <ext uri="{3e2802c4-a4d2-4d8b-9148-e3be6c30e623}">
          <xlrd:rvb i="3059"/>
        </ext>
      </extLst>
    </bk>
    <bk>
      <extLst>
        <ext uri="{3e2802c4-a4d2-4d8b-9148-e3be6c30e623}">
          <xlrd:rvb i="3060"/>
        </ext>
      </extLst>
    </bk>
    <bk>
      <extLst>
        <ext uri="{3e2802c4-a4d2-4d8b-9148-e3be6c30e623}">
          <xlrd:rvb i="3061"/>
        </ext>
      </extLst>
    </bk>
    <bk>
      <extLst>
        <ext uri="{3e2802c4-a4d2-4d8b-9148-e3be6c30e623}">
          <xlrd:rvb i="3062"/>
        </ext>
      </extLst>
    </bk>
    <bk>
      <extLst>
        <ext uri="{3e2802c4-a4d2-4d8b-9148-e3be6c30e623}">
          <xlrd:rvb i="3063"/>
        </ext>
      </extLst>
    </bk>
    <bk>
      <extLst>
        <ext uri="{3e2802c4-a4d2-4d8b-9148-e3be6c30e623}">
          <xlrd:rvb i="3064"/>
        </ext>
      </extLst>
    </bk>
    <bk>
      <extLst>
        <ext uri="{3e2802c4-a4d2-4d8b-9148-e3be6c30e623}">
          <xlrd:rvb i="3065"/>
        </ext>
      </extLst>
    </bk>
    <bk>
      <extLst>
        <ext uri="{3e2802c4-a4d2-4d8b-9148-e3be6c30e623}">
          <xlrd:rvb i="3066"/>
        </ext>
      </extLst>
    </bk>
    <bk>
      <extLst>
        <ext uri="{3e2802c4-a4d2-4d8b-9148-e3be6c30e623}">
          <xlrd:rvb i="3067"/>
        </ext>
      </extLst>
    </bk>
    <bk>
      <extLst>
        <ext uri="{3e2802c4-a4d2-4d8b-9148-e3be6c30e623}">
          <xlrd:rvb i="3068"/>
        </ext>
      </extLst>
    </bk>
    <bk>
      <extLst>
        <ext uri="{3e2802c4-a4d2-4d8b-9148-e3be6c30e623}">
          <xlrd:rvb i="3069"/>
        </ext>
      </extLst>
    </bk>
    <bk>
      <extLst>
        <ext uri="{3e2802c4-a4d2-4d8b-9148-e3be6c30e623}">
          <xlrd:rvb i="3070"/>
        </ext>
      </extLst>
    </bk>
    <bk>
      <extLst>
        <ext uri="{3e2802c4-a4d2-4d8b-9148-e3be6c30e623}">
          <xlrd:rvb i="3071"/>
        </ext>
      </extLst>
    </bk>
    <bk>
      <extLst>
        <ext uri="{3e2802c4-a4d2-4d8b-9148-e3be6c30e623}">
          <xlrd:rvb i="3072"/>
        </ext>
      </extLst>
    </bk>
    <bk>
      <extLst>
        <ext uri="{3e2802c4-a4d2-4d8b-9148-e3be6c30e623}">
          <xlrd:rvb i="3073"/>
        </ext>
      </extLst>
    </bk>
    <bk>
      <extLst>
        <ext uri="{3e2802c4-a4d2-4d8b-9148-e3be6c30e623}">
          <xlrd:rvb i="3074"/>
        </ext>
      </extLst>
    </bk>
    <bk>
      <extLst>
        <ext uri="{3e2802c4-a4d2-4d8b-9148-e3be6c30e623}">
          <xlrd:rvb i="3075"/>
        </ext>
      </extLst>
    </bk>
    <bk>
      <extLst>
        <ext uri="{3e2802c4-a4d2-4d8b-9148-e3be6c30e623}">
          <xlrd:rvb i="3076"/>
        </ext>
      </extLst>
    </bk>
    <bk>
      <extLst>
        <ext uri="{3e2802c4-a4d2-4d8b-9148-e3be6c30e623}">
          <xlrd:rvb i="3077"/>
        </ext>
      </extLst>
    </bk>
    <bk>
      <extLst>
        <ext uri="{3e2802c4-a4d2-4d8b-9148-e3be6c30e623}">
          <xlrd:rvb i="3078"/>
        </ext>
      </extLst>
    </bk>
    <bk>
      <extLst>
        <ext uri="{3e2802c4-a4d2-4d8b-9148-e3be6c30e623}">
          <xlrd:rvb i="3079"/>
        </ext>
      </extLst>
    </bk>
    <bk>
      <extLst>
        <ext uri="{3e2802c4-a4d2-4d8b-9148-e3be6c30e623}">
          <xlrd:rvb i="3080"/>
        </ext>
      </extLst>
    </bk>
    <bk>
      <extLst>
        <ext uri="{3e2802c4-a4d2-4d8b-9148-e3be6c30e623}">
          <xlrd:rvb i="3081"/>
        </ext>
      </extLst>
    </bk>
    <bk>
      <extLst>
        <ext uri="{3e2802c4-a4d2-4d8b-9148-e3be6c30e623}">
          <xlrd:rvb i="3082"/>
        </ext>
      </extLst>
    </bk>
    <bk>
      <extLst>
        <ext uri="{3e2802c4-a4d2-4d8b-9148-e3be6c30e623}">
          <xlrd:rvb i="3083"/>
        </ext>
      </extLst>
    </bk>
    <bk>
      <extLst>
        <ext uri="{3e2802c4-a4d2-4d8b-9148-e3be6c30e623}">
          <xlrd:rvb i="3084"/>
        </ext>
      </extLst>
    </bk>
    <bk>
      <extLst>
        <ext uri="{3e2802c4-a4d2-4d8b-9148-e3be6c30e623}">
          <xlrd:rvb i="3085"/>
        </ext>
      </extLst>
    </bk>
    <bk>
      <extLst>
        <ext uri="{3e2802c4-a4d2-4d8b-9148-e3be6c30e623}">
          <xlrd:rvb i="3086"/>
        </ext>
      </extLst>
    </bk>
    <bk>
      <extLst>
        <ext uri="{3e2802c4-a4d2-4d8b-9148-e3be6c30e623}">
          <xlrd:rvb i="3087"/>
        </ext>
      </extLst>
    </bk>
    <bk>
      <extLst>
        <ext uri="{3e2802c4-a4d2-4d8b-9148-e3be6c30e623}">
          <xlrd:rvb i="3088"/>
        </ext>
      </extLst>
    </bk>
    <bk>
      <extLst>
        <ext uri="{3e2802c4-a4d2-4d8b-9148-e3be6c30e623}">
          <xlrd:rvb i="3089"/>
        </ext>
      </extLst>
    </bk>
    <bk>
      <extLst>
        <ext uri="{3e2802c4-a4d2-4d8b-9148-e3be6c30e623}">
          <xlrd:rvb i="3090"/>
        </ext>
      </extLst>
    </bk>
    <bk>
      <extLst>
        <ext uri="{3e2802c4-a4d2-4d8b-9148-e3be6c30e623}">
          <xlrd:rvb i="3091"/>
        </ext>
      </extLst>
    </bk>
    <bk>
      <extLst>
        <ext uri="{3e2802c4-a4d2-4d8b-9148-e3be6c30e623}">
          <xlrd:rvb i="3092"/>
        </ext>
      </extLst>
    </bk>
    <bk>
      <extLst>
        <ext uri="{3e2802c4-a4d2-4d8b-9148-e3be6c30e623}">
          <xlrd:rvb i="3093"/>
        </ext>
      </extLst>
    </bk>
    <bk>
      <extLst>
        <ext uri="{3e2802c4-a4d2-4d8b-9148-e3be6c30e623}">
          <xlrd:rvb i="3094"/>
        </ext>
      </extLst>
    </bk>
    <bk>
      <extLst>
        <ext uri="{3e2802c4-a4d2-4d8b-9148-e3be6c30e623}">
          <xlrd:rvb i="3095"/>
        </ext>
      </extLst>
    </bk>
    <bk>
      <extLst>
        <ext uri="{3e2802c4-a4d2-4d8b-9148-e3be6c30e623}">
          <xlrd:rvb i="3096"/>
        </ext>
      </extLst>
    </bk>
    <bk>
      <extLst>
        <ext uri="{3e2802c4-a4d2-4d8b-9148-e3be6c30e623}">
          <xlrd:rvb i="3097"/>
        </ext>
      </extLst>
    </bk>
    <bk>
      <extLst>
        <ext uri="{3e2802c4-a4d2-4d8b-9148-e3be6c30e623}">
          <xlrd:rvb i="3098"/>
        </ext>
      </extLst>
    </bk>
    <bk>
      <extLst>
        <ext uri="{3e2802c4-a4d2-4d8b-9148-e3be6c30e623}">
          <xlrd:rvb i="3099"/>
        </ext>
      </extLst>
    </bk>
    <bk>
      <extLst>
        <ext uri="{3e2802c4-a4d2-4d8b-9148-e3be6c30e623}">
          <xlrd:rvb i="3100"/>
        </ext>
      </extLst>
    </bk>
    <bk>
      <extLst>
        <ext uri="{3e2802c4-a4d2-4d8b-9148-e3be6c30e623}">
          <xlrd:rvb i="3101"/>
        </ext>
      </extLst>
    </bk>
    <bk>
      <extLst>
        <ext uri="{3e2802c4-a4d2-4d8b-9148-e3be6c30e623}">
          <xlrd:rvb i="3102"/>
        </ext>
      </extLst>
    </bk>
    <bk>
      <extLst>
        <ext uri="{3e2802c4-a4d2-4d8b-9148-e3be6c30e623}">
          <xlrd:rvb i="3103"/>
        </ext>
      </extLst>
    </bk>
    <bk>
      <extLst>
        <ext uri="{3e2802c4-a4d2-4d8b-9148-e3be6c30e623}">
          <xlrd:rvb i="3104"/>
        </ext>
      </extLst>
    </bk>
    <bk>
      <extLst>
        <ext uri="{3e2802c4-a4d2-4d8b-9148-e3be6c30e623}">
          <xlrd:rvb i="3105"/>
        </ext>
      </extLst>
    </bk>
    <bk>
      <extLst>
        <ext uri="{3e2802c4-a4d2-4d8b-9148-e3be6c30e623}">
          <xlrd:rvb i="3106"/>
        </ext>
      </extLst>
    </bk>
    <bk>
      <extLst>
        <ext uri="{3e2802c4-a4d2-4d8b-9148-e3be6c30e623}">
          <xlrd:rvb i="3107"/>
        </ext>
      </extLst>
    </bk>
    <bk>
      <extLst>
        <ext uri="{3e2802c4-a4d2-4d8b-9148-e3be6c30e623}">
          <xlrd:rvb i="3108"/>
        </ext>
      </extLst>
    </bk>
    <bk>
      <extLst>
        <ext uri="{3e2802c4-a4d2-4d8b-9148-e3be6c30e623}">
          <xlrd:rvb i="3109"/>
        </ext>
      </extLst>
    </bk>
    <bk>
      <extLst>
        <ext uri="{3e2802c4-a4d2-4d8b-9148-e3be6c30e623}">
          <xlrd:rvb i="3110"/>
        </ext>
      </extLst>
    </bk>
    <bk>
      <extLst>
        <ext uri="{3e2802c4-a4d2-4d8b-9148-e3be6c30e623}">
          <xlrd:rvb i="3111"/>
        </ext>
      </extLst>
    </bk>
    <bk>
      <extLst>
        <ext uri="{3e2802c4-a4d2-4d8b-9148-e3be6c30e623}">
          <xlrd:rvb i="3112"/>
        </ext>
      </extLst>
    </bk>
    <bk>
      <extLst>
        <ext uri="{3e2802c4-a4d2-4d8b-9148-e3be6c30e623}">
          <xlrd:rvb i="3113"/>
        </ext>
      </extLst>
    </bk>
    <bk>
      <extLst>
        <ext uri="{3e2802c4-a4d2-4d8b-9148-e3be6c30e623}">
          <xlrd:rvb i="3114"/>
        </ext>
      </extLst>
    </bk>
    <bk>
      <extLst>
        <ext uri="{3e2802c4-a4d2-4d8b-9148-e3be6c30e623}">
          <xlrd:rvb i="3115"/>
        </ext>
      </extLst>
    </bk>
    <bk>
      <extLst>
        <ext uri="{3e2802c4-a4d2-4d8b-9148-e3be6c30e623}">
          <xlrd:rvb i="3116"/>
        </ext>
      </extLst>
    </bk>
    <bk>
      <extLst>
        <ext uri="{3e2802c4-a4d2-4d8b-9148-e3be6c30e623}">
          <xlrd:rvb i="3117"/>
        </ext>
      </extLst>
    </bk>
    <bk>
      <extLst>
        <ext uri="{3e2802c4-a4d2-4d8b-9148-e3be6c30e623}">
          <xlrd:rvb i="3118"/>
        </ext>
      </extLst>
    </bk>
    <bk>
      <extLst>
        <ext uri="{3e2802c4-a4d2-4d8b-9148-e3be6c30e623}">
          <xlrd:rvb i="3119"/>
        </ext>
      </extLst>
    </bk>
    <bk>
      <extLst>
        <ext uri="{3e2802c4-a4d2-4d8b-9148-e3be6c30e623}">
          <xlrd:rvb i="3120"/>
        </ext>
      </extLst>
    </bk>
    <bk>
      <extLst>
        <ext uri="{3e2802c4-a4d2-4d8b-9148-e3be6c30e623}">
          <xlrd:rvb i="3121"/>
        </ext>
      </extLst>
    </bk>
    <bk>
      <extLst>
        <ext uri="{3e2802c4-a4d2-4d8b-9148-e3be6c30e623}">
          <xlrd:rvb i="3122"/>
        </ext>
      </extLst>
    </bk>
    <bk>
      <extLst>
        <ext uri="{3e2802c4-a4d2-4d8b-9148-e3be6c30e623}">
          <xlrd:rvb i="3123"/>
        </ext>
      </extLst>
    </bk>
    <bk>
      <extLst>
        <ext uri="{3e2802c4-a4d2-4d8b-9148-e3be6c30e623}">
          <xlrd:rvb i="3124"/>
        </ext>
      </extLst>
    </bk>
    <bk>
      <extLst>
        <ext uri="{3e2802c4-a4d2-4d8b-9148-e3be6c30e623}">
          <xlrd:rvb i="3125"/>
        </ext>
      </extLst>
    </bk>
    <bk>
      <extLst>
        <ext uri="{3e2802c4-a4d2-4d8b-9148-e3be6c30e623}">
          <xlrd:rvb i="3126"/>
        </ext>
      </extLst>
    </bk>
    <bk>
      <extLst>
        <ext uri="{3e2802c4-a4d2-4d8b-9148-e3be6c30e623}">
          <xlrd:rvb i="3127"/>
        </ext>
      </extLst>
    </bk>
    <bk>
      <extLst>
        <ext uri="{3e2802c4-a4d2-4d8b-9148-e3be6c30e623}">
          <xlrd:rvb i="3128"/>
        </ext>
      </extLst>
    </bk>
    <bk>
      <extLst>
        <ext uri="{3e2802c4-a4d2-4d8b-9148-e3be6c30e623}">
          <xlrd:rvb i="3129"/>
        </ext>
      </extLst>
    </bk>
    <bk>
      <extLst>
        <ext uri="{3e2802c4-a4d2-4d8b-9148-e3be6c30e623}">
          <xlrd:rvb i="3130"/>
        </ext>
      </extLst>
    </bk>
    <bk>
      <extLst>
        <ext uri="{3e2802c4-a4d2-4d8b-9148-e3be6c30e623}">
          <xlrd:rvb i="3131"/>
        </ext>
      </extLst>
    </bk>
    <bk>
      <extLst>
        <ext uri="{3e2802c4-a4d2-4d8b-9148-e3be6c30e623}">
          <xlrd:rvb i="3132"/>
        </ext>
      </extLst>
    </bk>
    <bk>
      <extLst>
        <ext uri="{3e2802c4-a4d2-4d8b-9148-e3be6c30e623}">
          <xlrd:rvb i="3133"/>
        </ext>
      </extLst>
    </bk>
    <bk>
      <extLst>
        <ext uri="{3e2802c4-a4d2-4d8b-9148-e3be6c30e623}">
          <xlrd:rvb i="3134"/>
        </ext>
      </extLst>
    </bk>
    <bk>
      <extLst>
        <ext uri="{3e2802c4-a4d2-4d8b-9148-e3be6c30e623}">
          <xlrd:rvb i="3135"/>
        </ext>
      </extLst>
    </bk>
    <bk>
      <extLst>
        <ext uri="{3e2802c4-a4d2-4d8b-9148-e3be6c30e623}">
          <xlrd:rvb i="3136"/>
        </ext>
      </extLst>
    </bk>
    <bk>
      <extLst>
        <ext uri="{3e2802c4-a4d2-4d8b-9148-e3be6c30e623}">
          <xlrd:rvb i="3137"/>
        </ext>
      </extLst>
    </bk>
    <bk>
      <extLst>
        <ext uri="{3e2802c4-a4d2-4d8b-9148-e3be6c30e623}">
          <xlrd:rvb i="3138"/>
        </ext>
      </extLst>
    </bk>
    <bk>
      <extLst>
        <ext uri="{3e2802c4-a4d2-4d8b-9148-e3be6c30e623}">
          <xlrd:rvb i="3139"/>
        </ext>
      </extLst>
    </bk>
    <bk>
      <extLst>
        <ext uri="{3e2802c4-a4d2-4d8b-9148-e3be6c30e623}">
          <xlrd:rvb i="3140"/>
        </ext>
      </extLst>
    </bk>
    <bk>
      <extLst>
        <ext uri="{3e2802c4-a4d2-4d8b-9148-e3be6c30e623}">
          <xlrd:rvb i="3141"/>
        </ext>
      </extLst>
    </bk>
    <bk>
      <extLst>
        <ext uri="{3e2802c4-a4d2-4d8b-9148-e3be6c30e623}">
          <xlrd:rvb i="3142"/>
        </ext>
      </extLst>
    </bk>
    <bk>
      <extLst>
        <ext uri="{3e2802c4-a4d2-4d8b-9148-e3be6c30e623}">
          <xlrd:rvb i="3143"/>
        </ext>
      </extLst>
    </bk>
    <bk>
      <extLst>
        <ext uri="{3e2802c4-a4d2-4d8b-9148-e3be6c30e623}">
          <xlrd:rvb i="3144"/>
        </ext>
      </extLst>
    </bk>
    <bk>
      <extLst>
        <ext uri="{3e2802c4-a4d2-4d8b-9148-e3be6c30e623}">
          <xlrd:rvb i="3145"/>
        </ext>
      </extLst>
    </bk>
    <bk>
      <extLst>
        <ext uri="{3e2802c4-a4d2-4d8b-9148-e3be6c30e623}">
          <xlrd:rvb i="3146"/>
        </ext>
      </extLst>
    </bk>
    <bk>
      <extLst>
        <ext uri="{3e2802c4-a4d2-4d8b-9148-e3be6c30e623}">
          <xlrd:rvb i="3147"/>
        </ext>
      </extLst>
    </bk>
    <bk>
      <extLst>
        <ext uri="{3e2802c4-a4d2-4d8b-9148-e3be6c30e623}">
          <xlrd:rvb i="3148"/>
        </ext>
      </extLst>
    </bk>
    <bk>
      <extLst>
        <ext uri="{3e2802c4-a4d2-4d8b-9148-e3be6c30e623}">
          <xlrd:rvb i="3149"/>
        </ext>
      </extLst>
    </bk>
    <bk>
      <extLst>
        <ext uri="{3e2802c4-a4d2-4d8b-9148-e3be6c30e623}">
          <xlrd:rvb i="3150"/>
        </ext>
      </extLst>
    </bk>
    <bk>
      <extLst>
        <ext uri="{3e2802c4-a4d2-4d8b-9148-e3be6c30e623}">
          <xlrd:rvb i="3151"/>
        </ext>
      </extLst>
    </bk>
    <bk>
      <extLst>
        <ext uri="{3e2802c4-a4d2-4d8b-9148-e3be6c30e623}">
          <xlrd:rvb i="3152"/>
        </ext>
      </extLst>
    </bk>
    <bk>
      <extLst>
        <ext uri="{3e2802c4-a4d2-4d8b-9148-e3be6c30e623}">
          <xlrd:rvb i="3153"/>
        </ext>
      </extLst>
    </bk>
    <bk>
      <extLst>
        <ext uri="{3e2802c4-a4d2-4d8b-9148-e3be6c30e623}">
          <xlrd:rvb i="3154"/>
        </ext>
      </extLst>
    </bk>
    <bk>
      <extLst>
        <ext uri="{3e2802c4-a4d2-4d8b-9148-e3be6c30e623}">
          <xlrd:rvb i="3155"/>
        </ext>
      </extLst>
    </bk>
    <bk>
      <extLst>
        <ext uri="{3e2802c4-a4d2-4d8b-9148-e3be6c30e623}">
          <xlrd:rvb i="3156"/>
        </ext>
      </extLst>
    </bk>
    <bk>
      <extLst>
        <ext uri="{3e2802c4-a4d2-4d8b-9148-e3be6c30e623}">
          <xlrd:rvb i="3157"/>
        </ext>
      </extLst>
    </bk>
    <bk>
      <extLst>
        <ext uri="{3e2802c4-a4d2-4d8b-9148-e3be6c30e623}">
          <xlrd:rvb i="3158"/>
        </ext>
      </extLst>
    </bk>
    <bk>
      <extLst>
        <ext uri="{3e2802c4-a4d2-4d8b-9148-e3be6c30e623}">
          <xlrd:rvb i="3159"/>
        </ext>
      </extLst>
    </bk>
    <bk>
      <extLst>
        <ext uri="{3e2802c4-a4d2-4d8b-9148-e3be6c30e623}">
          <xlrd:rvb i="3160"/>
        </ext>
      </extLst>
    </bk>
    <bk>
      <extLst>
        <ext uri="{3e2802c4-a4d2-4d8b-9148-e3be6c30e623}">
          <xlrd:rvb i="3161"/>
        </ext>
      </extLst>
    </bk>
    <bk>
      <extLst>
        <ext uri="{3e2802c4-a4d2-4d8b-9148-e3be6c30e623}">
          <xlrd:rvb i="3162"/>
        </ext>
      </extLst>
    </bk>
    <bk>
      <extLst>
        <ext uri="{3e2802c4-a4d2-4d8b-9148-e3be6c30e623}">
          <xlrd:rvb i="3163"/>
        </ext>
      </extLst>
    </bk>
    <bk>
      <extLst>
        <ext uri="{3e2802c4-a4d2-4d8b-9148-e3be6c30e623}">
          <xlrd:rvb i="3164"/>
        </ext>
      </extLst>
    </bk>
    <bk>
      <extLst>
        <ext uri="{3e2802c4-a4d2-4d8b-9148-e3be6c30e623}">
          <xlrd:rvb i="3165"/>
        </ext>
      </extLst>
    </bk>
    <bk>
      <extLst>
        <ext uri="{3e2802c4-a4d2-4d8b-9148-e3be6c30e623}">
          <xlrd:rvb i="3166"/>
        </ext>
      </extLst>
    </bk>
    <bk>
      <extLst>
        <ext uri="{3e2802c4-a4d2-4d8b-9148-e3be6c30e623}">
          <xlrd:rvb i="3167"/>
        </ext>
      </extLst>
    </bk>
    <bk>
      <extLst>
        <ext uri="{3e2802c4-a4d2-4d8b-9148-e3be6c30e623}">
          <xlrd:rvb i="3168"/>
        </ext>
      </extLst>
    </bk>
    <bk>
      <extLst>
        <ext uri="{3e2802c4-a4d2-4d8b-9148-e3be6c30e623}">
          <xlrd:rvb i="3169"/>
        </ext>
      </extLst>
    </bk>
    <bk>
      <extLst>
        <ext uri="{3e2802c4-a4d2-4d8b-9148-e3be6c30e623}">
          <xlrd:rvb i="3170"/>
        </ext>
      </extLst>
    </bk>
    <bk>
      <extLst>
        <ext uri="{3e2802c4-a4d2-4d8b-9148-e3be6c30e623}">
          <xlrd:rvb i="3171"/>
        </ext>
      </extLst>
    </bk>
    <bk>
      <extLst>
        <ext uri="{3e2802c4-a4d2-4d8b-9148-e3be6c30e623}">
          <xlrd:rvb i="3172"/>
        </ext>
      </extLst>
    </bk>
    <bk>
      <extLst>
        <ext uri="{3e2802c4-a4d2-4d8b-9148-e3be6c30e623}">
          <xlrd:rvb i="3173"/>
        </ext>
      </extLst>
    </bk>
    <bk>
      <extLst>
        <ext uri="{3e2802c4-a4d2-4d8b-9148-e3be6c30e623}">
          <xlrd:rvb i="3174"/>
        </ext>
      </extLst>
    </bk>
    <bk>
      <extLst>
        <ext uri="{3e2802c4-a4d2-4d8b-9148-e3be6c30e623}">
          <xlrd:rvb i="3175"/>
        </ext>
      </extLst>
    </bk>
    <bk>
      <extLst>
        <ext uri="{3e2802c4-a4d2-4d8b-9148-e3be6c30e623}">
          <xlrd:rvb i="3176"/>
        </ext>
      </extLst>
    </bk>
    <bk>
      <extLst>
        <ext uri="{3e2802c4-a4d2-4d8b-9148-e3be6c30e623}">
          <xlrd:rvb i="3177"/>
        </ext>
      </extLst>
    </bk>
    <bk>
      <extLst>
        <ext uri="{3e2802c4-a4d2-4d8b-9148-e3be6c30e623}">
          <xlrd:rvb i="3178"/>
        </ext>
      </extLst>
    </bk>
    <bk>
      <extLst>
        <ext uri="{3e2802c4-a4d2-4d8b-9148-e3be6c30e623}">
          <xlrd:rvb i="3179"/>
        </ext>
      </extLst>
    </bk>
    <bk>
      <extLst>
        <ext uri="{3e2802c4-a4d2-4d8b-9148-e3be6c30e623}">
          <xlrd:rvb i="3180"/>
        </ext>
      </extLst>
    </bk>
    <bk>
      <extLst>
        <ext uri="{3e2802c4-a4d2-4d8b-9148-e3be6c30e623}">
          <xlrd:rvb i="3181"/>
        </ext>
      </extLst>
    </bk>
    <bk>
      <extLst>
        <ext uri="{3e2802c4-a4d2-4d8b-9148-e3be6c30e623}">
          <xlrd:rvb i="3182"/>
        </ext>
      </extLst>
    </bk>
    <bk>
      <extLst>
        <ext uri="{3e2802c4-a4d2-4d8b-9148-e3be6c30e623}">
          <xlrd:rvb i="3183"/>
        </ext>
      </extLst>
    </bk>
    <bk>
      <extLst>
        <ext uri="{3e2802c4-a4d2-4d8b-9148-e3be6c30e623}">
          <xlrd:rvb i="3184"/>
        </ext>
      </extLst>
    </bk>
    <bk>
      <extLst>
        <ext uri="{3e2802c4-a4d2-4d8b-9148-e3be6c30e623}">
          <xlrd:rvb i="3185"/>
        </ext>
      </extLst>
    </bk>
    <bk>
      <extLst>
        <ext uri="{3e2802c4-a4d2-4d8b-9148-e3be6c30e623}">
          <xlrd:rvb i="3186"/>
        </ext>
      </extLst>
    </bk>
    <bk>
      <extLst>
        <ext uri="{3e2802c4-a4d2-4d8b-9148-e3be6c30e623}">
          <xlrd:rvb i="3187"/>
        </ext>
      </extLst>
    </bk>
    <bk>
      <extLst>
        <ext uri="{3e2802c4-a4d2-4d8b-9148-e3be6c30e623}">
          <xlrd:rvb i="3188"/>
        </ext>
      </extLst>
    </bk>
    <bk>
      <extLst>
        <ext uri="{3e2802c4-a4d2-4d8b-9148-e3be6c30e623}">
          <xlrd:rvb i="3189"/>
        </ext>
      </extLst>
    </bk>
    <bk>
      <extLst>
        <ext uri="{3e2802c4-a4d2-4d8b-9148-e3be6c30e623}">
          <xlrd:rvb i="3190"/>
        </ext>
      </extLst>
    </bk>
    <bk>
      <extLst>
        <ext uri="{3e2802c4-a4d2-4d8b-9148-e3be6c30e623}">
          <xlrd:rvb i="3191"/>
        </ext>
      </extLst>
    </bk>
    <bk>
      <extLst>
        <ext uri="{3e2802c4-a4d2-4d8b-9148-e3be6c30e623}">
          <xlrd:rvb i="3192"/>
        </ext>
      </extLst>
    </bk>
    <bk>
      <extLst>
        <ext uri="{3e2802c4-a4d2-4d8b-9148-e3be6c30e623}">
          <xlrd:rvb i="3193"/>
        </ext>
      </extLst>
    </bk>
    <bk>
      <extLst>
        <ext uri="{3e2802c4-a4d2-4d8b-9148-e3be6c30e623}">
          <xlrd:rvb i="3194"/>
        </ext>
      </extLst>
    </bk>
    <bk>
      <extLst>
        <ext uri="{3e2802c4-a4d2-4d8b-9148-e3be6c30e623}">
          <xlrd:rvb i="3195"/>
        </ext>
      </extLst>
    </bk>
    <bk>
      <extLst>
        <ext uri="{3e2802c4-a4d2-4d8b-9148-e3be6c30e623}">
          <xlrd:rvb i="3196"/>
        </ext>
      </extLst>
    </bk>
    <bk>
      <extLst>
        <ext uri="{3e2802c4-a4d2-4d8b-9148-e3be6c30e623}">
          <xlrd:rvb i="3197"/>
        </ext>
      </extLst>
    </bk>
    <bk>
      <extLst>
        <ext uri="{3e2802c4-a4d2-4d8b-9148-e3be6c30e623}">
          <xlrd:rvb i="3198"/>
        </ext>
      </extLst>
    </bk>
    <bk>
      <extLst>
        <ext uri="{3e2802c4-a4d2-4d8b-9148-e3be6c30e623}">
          <xlrd:rvb i="3199"/>
        </ext>
      </extLst>
    </bk>
    <bk>
      <extLst>
        <ext uri="{3e2802c4-a4d2-4d8b-9148-e3be6c30e623}">
          <xlrd:rvb i="3200"/>
        </ext>
      </extLst>
    </bk>
    <bk>
      <extLst>
        <ext uri="{3e2802c4-a4d2-4d8b-9148-e3be6c30e623}">
          <xlrd:rvb i="3201"/>
        </ext>
      </extLst>
    </bk>
    <bk>
      <extLst>
        <ext uri="{3e2802c4-a4d2-4d8b-9148-e3be6c30e623}">
          <xlrd:rvb i="3202"/>
        </ext>
      </extLst>
    </bk>
    <bk>
      <extLst>
        <ext uri="{3e2802c4-a4d2-4d8b-9148-e3be6c30e623}">
          <xlrd:rvb i="3203"/>
        </ext>
      </extLst>
    </bk>
    <bk>
      <extLst>
        <ext uri="{3e2802c4-a4d2-4d8b-9148-e3be6c30e623}">
          <xlrd:rvb i="3204"/>
        </ext>
      </extLst>
    </bk>
    <bk>
      <extLst>
        <ext uri="{3e2802c4-a4d2-4d8b-9148-e3be6c30e623}">
          <xlrd:rvb i="3205"/>
        </ext>
      </extLst>
    </bk>
    <bk>
      <extLst>
        <ext uri="{3e2802c4-a4d2-4d8b-9148-e3be6c30e623}">
          <xlrd:rvb i="3206"/>
        </ext>
      </extLst>
    </bk>
    <bk>
      <extLst>
        <ext uri="{3e2802c4-a4d2-4d8b-9148-e3be6c30e623}">
          <xlrd:rvb i="3207"/>
        </ext>
      </extLst>
    </bk>
    <bk>
      <extLst>
        <ext uri="{3e2802c4-a4d2-4d8b-9148-e3be6c30e623}">
          <xlrd:rvb i="3208"/>
        </ext>
      </extLst>
    </bk>
    <bk>
      <extLst>
        <ext uri="{3e2802c4-a4d2-4d8b-9148-e3be6c30e623}">
          <xlrd:rvb i="3209"/>
        </ext>
      </extLst>
    </bk>
    <bk>
      <extLst>
        <ext uri="{3e2802c4-a4d2-4d8b-9148-e3be6c30e623}">
          <xlrd:rvb i="3210"/>
        </ext>
      </extLst>
    </bk>
    <bk>
      <extLst>
        <ext uri="{3e2802c4-a4d2-4d8b-9148-e3be6c30e623}">
          <xlrd:rvb i="3211"/>
        </ext>
      </extLst>
    </bk>
    <bk>
      <extLst>
        <ext uri="{3e2802c4-a4d2-4d8b-9148-e3be6c30e623}">
          <xlrd:rvb i="3212"/>
        </ext>
      </extLst>
    </bk>
    <bk>
      <extLst>
        <ext uri="{3e2802c4-a4d2-4d8b-9148-e3be6c30e623}">
          <xlrd:rvb i="3213"/>
        </ext>
      </extLst>
    </bk>
    <bk>
      <extLst>
        <ext uri="{3e2802c4-a4d2-4d8b-9148-e3be6c30e623}">
          <xlrd:rvb i="3214"/>
        </ext>
      </extLst>
    </bk>
    <bk>
      <extLst>
        <ext uri="{3e2802c4-a4d2-4d8b-9148-e3be6c30e623}">
          <xlrd:rvb i="3215"/>
        </ext>
      </extLst>
    </bk>
    <bk>
      <extLst>
        <ext uri="{3e2802c4-a4d2-4d8b-9148-e3be6c30e623}">
          <xlrd:rvb i="3216"/>
        </ext>
      </extLst>
    </bk>
    <bk>
      <extLst>
        <ext uri="{3e2802c4-a4d2-4d8b-9148-e3be6c30e623}">
          <xlrd:rvb i="3217"/>
        </ext>
      </extLst>
    </bk>
    <bk>
      <extLst>
        <ext uri="{3e2802c4-a4d2-4d8b-9148-e3be6c30e623}">
          <xlrd:rvb i="3218"/>
        </ext>
      </extLst>
    </bk>
    <bk>
      <extLst>
        <ext uri="{3e2802c4-a4d2-4d8b-9148-e3be6c30e623}">
          <xlrd:rvb i="3219"/>
        </ext>
      </extLst>
    </bk>
    <bk>
      <extLst>
        <ext uri="{3e2802c4-a4d2-4d8b-9148-e3be6c30e623}">
          <xlrd:rvb i="3220"/>
        </ext>
      </extLst>
    </bk>
    <bk>
      <extLst>
        <ext uri="{3e2802c4-a4d2-4d8b-9148-e3be6c30e623}">
          <xlrd:rvb i="3221"/>
        </ext>
      </extLst>
    </bk>
    <bk>
      <extLst>
        <ext uri="{3e2802c4-a4d2-4d8b-9148-e3be6c30e623}">
          <xlrd:rvb i="3222"/>
        </ext>
      </extLst>
    </bk>
    <bk>
      <extLst>
        <ext uri="{3e2802c4-a4d2-4d8b-9148-e3be6c30e623}">
          <xlrd:rvb i="3223"/>
        </ext>
      </extLst>
    </bk>
    <bk>
      <extLst>
        <ext uri="{3e2802c4-a4d2-4d8b-9148-e3be6c30e623}">
          <xlrd:rvb i="3224"/>
        </ext>
      </extLst>
    </bk>
    <bk>
      <extLst>
        <ext uri="{3e2802c4-a4d2-4d8b-9148-e3be6c30e623}">
          <xlrd:rvb i="3225"/>
        </ext>
      </extLst>
    </bk>
    <bk>
      <extLst>
        <ext uri="{3e2802c4-a4d2-4d8b-9148-e3be6c30e623}">
          <xlrd:rvb i="3226"/>
        </ext>
      </extLst>
    </bk>
    <bk>
      <extLst>
        <ext uri="{3e2802c4-a4d2-4d8b-9148-e3be6c30e623}">
          <xlrd:rvb i="3227"/>
        </ext>
      </extLst>
    </bk>
    <bk>
      <extLst>
        <ext uri="{3e2802c4-a4d2-4d8b-9148-e3be6c30e623}">
          <xlrd:rvb i="3228"/>
        </ext>
      </extLst>
    </bk>
    <bk>
      <extLst>
        <ext uri="{3e2802c4-a4d2-4d8b-9148-e3be6c30e623}">
          <xlrd:rvb i="3229"/>
        </ext>
      </extLst>
    </bk>
    <bk>
      <extLst>
        <ext uri="{3e2802c4-a4d2-4d8b-9148-e3be6c30e623}">
          <xlrd:rvb i="3230"/>
        </ext>
      </extLst>
    </bk>
    <bk>
      <extLst>
        <ext uri="{3e2802c4-a4d2-4d8b-9148-e3be6c30e623}">
          <xlrd:rvb i="3231"/>
        </ext>
      </extLst>
    </bk>
    <bk>
      <extLst>
        <ext uri="{3e2802c4-a4d2-4d8b-9148-e3be6c30e623}">
          <xlrd:rvb i="3232"/>
        </ext>
      </extLst>
    </bk>
    <bk>
      <extLst>
        <ext uri="{3e2802c4-a4d2-4d8b-9148-e3be6c30e623}">
          <xlrd:rvb i="3233"/>
        </ext>
      </extLst>
    </bk>
    <bk>
      <extLst>
        <ext uri="{3e2802c4-a4d2-4d8b-9148-e3be6c30e623}">
          <xlrd:rvb i="3234"/>
        </ext>
      </extLst>
    </bk>
    <bk>
      <extLst>
        <ext uri="{3e2802c4-a4d2-4d8b-9148-e3be6c30e623}">
          <xlrd:rvb i="3235"/>
        </ext>
      </extLst>
    </bk>
    <bk>
      <extLst>
        <ext uri="{3e2802c4-a4d2-4d8b-9148-e3be6c30e623}">
          <xlrd:rvb i="3236"/>
        </ext>
      </extLst>
    </bk>
    <bk>
      <extLst>
        <ext uri="{3e2802c4-a4d2-4d8b-9148-e3be6c30e623}">
          <xlrd:rvb i="3237"/>
        </ext>
      </extLst>
    </bk>
    <bk>
      <extLst>
        <ext uri="{3e2802c4-a4d2-4d8b-9148-e3be6c30e623}">
          <xlrd:rvb i="3238"/>
        </ext>
      </extLst>
    </bk>
    <bk>
      <extLst>
        <ext uri="{3e2802c4-a4d2-4d8b-9148-e3be6c30e623}">
          <xlrd:rvb i="3239"/>
        </ext>
      </extLst>
    </bk>
    <bk>
      <extLst>
        <ext uri="{3e2802c4-a4d2-4d8b-9148-e3be6c30e623}">
          <xlrd:rvb i="3240"/>
        </ext>
      </extLst>
    </bk>
    <bk>
      <extLst>
        <ext uri="{3e2802c4-a4d2-4d8b-9148-e3be6c30e623}">
          <xlrd:rvb i="3241"/>
        </ext>
      </extLst>
    </bk>
    <bk>
      <extLst>
        <ext uri="{3e2802c4-a4d2-4d8b-9148-e3be6c30e623}">
          <xlrd:rvb i="3242"/>
        </ext>
      </extLst>
    </bk>
    <bk>
      <extLst>
        <ext uri="{3e2802c4-a4d2-4d8b-9148-e3be6c30e623}">
          <xlrd:rvb i="3243"/>
        </ext>
      </extLst>
    </bk>
    <bk>
      <extLst>
        <ext uri="{3e2802c4-a4d2-4d8b-9148-e3be6c30e623}">
          <xlrd:rvb i="3244"/>
        </ext>
      </extLst>
    </bk>
    <bk>
      <extLst>
        <ext uri="{3e2802c4-a4d2-4d8b-9148-e3be6c30e623}">
          <xlrd:rvb i="3245"/>
        </ext>
      </extLst>
    </bk>
    <bk>
      <extLst>
        <ext uri="{3e2802c4-a4d2-4d8b-9148-e3be6c30e623}">
          <xlrd:rvb i="3246"/>
        </ext>
      </extLst>
    </bk>
    <bk>
      <extLst>
        <ext uri="{3e2802c4-a4d2-4d8b-9148-e3be6c30e623}">
          <xlrd:rvb i="3247"/>
        </ext>
      </extLst>
    </bk>
    <bk>
      <extLst>
        <ext uri="{3e2802c4-a4d2-4d8b-9148-e3be6c30e623}">
          <xlrd:rvb i="3248"/>
        </ext>
      </extLst>
    </bk>
    <bk>
      <extLst>
        <ext uri="{3e2802c4-a4d2-4d8b-9148-e3be6c30e623}">
          <xlrd:rvb i="3249"/>
        </ext>
      </extLst>
    </bk>
    <bk>
      <extLst>
        <ext uri="{3e2802c4-a4d2-4d8b-9148-e3be6c30e623}">
          <xlrd:rvb i="3250"/>
        </ext>
      </extLst>
    </bk>
    <bk>
      <extLst>
        <ext uri="{3e2802c4-a4d2-4d8b-9148-e3be6c30e623}">
          <xlrd:rvb i="3251"/>
        </ext>
      </extLst>
    </bk>
    <bk>
      <extLst>
        <ext uri="{3e2802c4-a4d2-4d8b-9148-e3be6c30e623}">
          <xlrd:rvb i="3252"/>
        </ext>
      </extLst>
    </bk>
    <bk>
      <extLst>
        <ext uri="{3e2802c4-a4d2-4d8b-9148-e3be6c30e623}">
          <xlrd:rvb i="3253"/>
        </ext>
      </extLst>
    </bk>
    <bk>
      <extLst>
        <ext uri="{3e2802c4-a4d2-4d8b-9148-e3be6c30e623}">
          <xlrd:rvb i="3254"/>
        </ext>
      </extLst>
    </bk>
    <bk>
      <extLst>
        <ext uri="{3e2802c4-a4d2-4d8b-9148-e3be6c30e623}">
          <xlrd:rvb i="3255"/>
        </ext>
      </extLst>
    </bk>
    <bk>
      <extLst>
        <ext uri="{3e2802c4-a4d2-4d8b-9148-e3be6c30e623}">
          <xlrd:rvb i="3256"/>
        </ext>
      </extLst>
    </bk>
    <bk>
      <extLst>
        <ext uri="{3e2802c4-a4d2-4d8b-9148-e3be6c30e623}">
          <xlrd:rvb i="3257"/>
        </ext>
      </extLst>
    </bk>
    <bk>
      <extLst>
        <ext uri="{3e2802c4-a4d2-4d8b-9148-e3be6c30e623}">
          <xlrd:rvb i="3258"/>
        </ext>
      </extLst>
    </bk>
    <bk>
      <extLst>
        <ext uri="{3e2802c4-a4d2-4d8b-9148-e3be6c30e623}">
          <xlrd:rvb i="3259"/>
        </ext>
      </extLst>
    </bk>
    <bk>
      <extLst>
        <ext uri="{3e2802c4-a4d2-4d8b-9148-e3be6c30e623}">
          <xlrd:rvb i="3260"/>
        </ext>
      </extLst>
    </bk>
    <bk>
      <extLst>
        <ext uri="{3e2802c4-a4d2-4d8b-9148-e3be6c30e623}">
          <xlrd:rvb i="3261"/>
        </ext>
      </extLst>
    </bk>
    <bk>
      <extLst>
        <ext uri="{3e2802c4-a4d2-4d8b-9148-e3be6c30e623}">
          <xlrd:rvb i="3262"/>
        </ext>
      </extLst>
    </bk>
    <bk>
      <extLst>
        <ext uri="{3e2802c4-a4d2-4d8b-9148-e3be6c30e623}">
          <xlrd:rvb i="3263"/>
        </ext>
      </extLst>
    </bk>
    <bk>
      <extLst>
        <ext uri="{3e2802c4-a4d2-4d8b-9148-e3be6c30e623}">
          <xlrd:rvb i="3264"/>
        </ext>
      </extLst>
    </bk>
    <bk>
      <extLst>
        <ext uri="{3e2802c4-a4d2-4d8b-9148-e3be6c30e623}">
          <xlrd:rvb i="3265"/>
        </ext>
      </extLst>
    </bk>
    <bk>
      <extLst>
        <ext uri="{3e2802c4-a4d2-4d8b-9148-e3be6c30e623}">
          <xlrd:rvb i="3266"/>
        </ext>
      </extLst>
    </bk>
    <bk>
      <extLst>
        <ext uri="{3e2802c4-a4d2-4d8b-9148-e3be6c30e623}">
          <xlrd:rvb i="3267"/>
        </ext>
      </extLst>
    </bk>
    <bk>
      <extLst>
        <ext uri="{3e2802c4-a4d2-4d8b-9148-e3be6c30e623}">
          <xlrd:rvb i="3268"/>
        </ext>
      </extLst>
    </bk>
    <bk>
      <extLst>
        <ext uri="{3e2802c4-a4d2-4d8b-9148-e3be6c30e623}">
          <xlrd:rvb i="3269"/>
        </ext>
      </extLst>
    </bk>
    <bk>
      <extLst>
        <ext uri="{3e2802c4-a4d2-4d8b-9148-e3be6c30e623}">
          <xlrd:rvb i="3270"/>
        </ext>
      </extLst>
    </bk>
    <bk>
      <extLst>
        <ext uri="{3e2802c4-a4d2-4d8b-9148-e3be6c30e623}">
          <xlrd:rvb i="3271"/>
        </ext>
      </extLst>
    </bk>
    <bk>
      <extLst>
        <ext uri="{3e2802c4-a4d2-4d8b-9148-e3be6c30e623}">
          <xlrd:rvb i="3272"/>
        </ext>
      </extLst>
    </bk>
    <bk>
      <extLst>
        <ext uri="{3e2802c4-a4d2-4d8b-9148-e3be6c30e623}">
          <xlrd:rvb i="3273"/>
        </ext>
      </extLst>
    </bk>
    <bk>
      <extLst>
        <ext uri="{3e2802c4-a4d2-4d8b-9148-e3be6c30e623}">
          <xlrd:rvb i="3274"/>
        </ext>
      </extLst>
    </bk>
    <bk>
      <extLst>
        <ext uri="{3e2802c4-a4d2-4d8b-9148-e3be6c30e623}">
          <xlrd:rvb i="3275"/>
        </ext>
      </extLst>
    </bk>
    <bk>
      <extLst>
        <ext uri="{3e2802c4-a4d2-4d8b-9148-e3be6c30e623}">
          <xlrd:rvb i="3276"/>
        </ext>
      </extLst>
    </bk>
    <bk>
      <extLst>
        <ext uri="{3e2802c4-a4d2-4d8b-9148-e3be6c30e623}">
          <xlrd:rvb i="3277"/>
        </ext>
      </extLst>
    </bk>
    <bk>
      <extLst>
        <ext uri="{3e2802c4-a4d2-4d8b-9148-e3be6c30e623}">
          <xlrd:rvb i="3278"/>
        </ext>
      </extLst>
    </bk>
    <bk>
      <extLst>
        <ext uri="{3e2802c4-a4d2-4d8b-9148-e3be6c30e623}">
          <xlrd:rvb i="3279"/>
        </ext>
      </extLst>
    </bk>
    <bk>
      <extLst>
        <ext uri="{3e2802c4-a4d2-4d8b-9148-e3be6c30e623}">
          <xlrd:rvb i="3280"/>
        </ext>
      </extLst>
    </bk>
    <bk>
      <extLst>
        <ext uri="{3e2802c4-a4d2-4d8b-9148-e3be6c30e623}">
          <xlrd:rvb i="3281"/>
        </ext>
      </extLst>
    </bk>
    <bk>
      <extLst>
        <ext uri="{3e2802c4-a4d2-4d8b-9148-e3be6c30e623}">
          <xlrd:rvb i="3282"/>
        </ext>
      </extLst>
    </bk>
    <bk>
      <extLst>
        <ext uri="{3e2802c4-a4d2-4d8b-9148-e3be6c30e623}">
          <xlrd:rvb i="3283"/>
        </ext>
      </extLst>
    </bk>
    <bk>
      <extLst>
        <ext uri="{3e2802c4-a4d2-4d8b-9148-e3be6c30e623}">
          <xlrd:rvb i="3284"/>
        </ext>
      </extLst>
    </bk>
    <bk>
      <extLst>
        <ext uri="{3e2802c4-a4d2-4d8b-9148-e3be6c30e623}">
          <xlrd:rvb i="3285"/>
        </ext>
      </extLst>
    </bk>
    <bk>
      <extLst>
        <ext uri="{3e2802c4-a4d2-4d8b-9148-e3be6c30e623}">
          <xlrd:rvb i="3286"/>
        </ext>
      </extLst>
    </bk>
    <bk>
      <extLst>
        <ext uri="{3e2802c4-a4d2-4d8b-9148-e3be6c30e623}">
          <xlrd:rvb i="3287"/>
        </ext>
      </extLst>
    </bk>
    <bk>
      <extLst>
        <ext uri="{3e2802c4-a4d2-4d8b-9148-e3be6c30e623}">
          <xlrd:rvb i="3288"/>
        </ext>
      </extLst>
    </bk>
    <bk>
      <extLst>
        <ext uri="{3e2802c4-a4d2-4d8b-9148-e3be6c30e623}">
          <xlrd:rvb i="3289"/>
        </ext>
      </extLst>
    </bk>
    <bk>
      <extLst>
        <ext uri="{3e2802c4-a4d2-4d8b-9148-e3be6c30e623}">
          <xlrd:rvb i="3290"/>
        </ext>
      </extLst>
    </bk>
    <bk>
      <extLst>
        <ext uri="{3e2802c4-a4d2-4d8b-9148-e3be6c30e623}">
          <xlrd:rvb i="3291"/>
        </ext>
      </extLst>
    </bk>
    <bk>
      <extLst>
        <ext uri="{3e2802c4-a4d2-4d8b-9148-e3be6c30e623}">
          <xlrd:rvb i="3292"/>
        </ext>
      </extLst>
    </bk>
    <bk>
      <extLst>
        <ext uri="{3e2802c4-a4d2-4d8b-9148-e3be6c30e623}">
          <xlrd:rvb i="3293"/>
        </ext>
      </extLst>
    </bk>
    <bk>
      <extLst>
        <ext uri="{3e2802c4-a4d2-4d8b-9148-e3be6c30e623}">
          <xlrd:rvb i="3294"/>
        </ext>
      </extLst>
    </bk>
    <bk>
      <extLst>
        <ext uri="{3e2802c4-a4d2-4d8b-9148-e3be6c30e623}">
          <xlrd:rvb i="3295"/>
        </ext>
      </extLst>
    </bk>
    <bk>
      <extLst>
        <ext uri="{3e2802c4-a4d2-4d8b-9148-e3be6c30e623}">
          <xlrd:rvb i="3296"/>
        </ext>
      </extLst>
    </bk>
    <bk>
      <extLst>
        <ext uri="{3e2802c4-a4d2-4d8b-9148-e3be6c30e623}">
          <xlrd:rvb i="3297"/>
        </ext>
      </extLst>
    </bk>
    <bk>
      <extLst>
        <ext uri="{3e2802c4-a4d2-4d8b-9148-e3be6c30e623}">
          <xlrd:rvb i="3298"/>
        </ext>
      </extLst>
    </bk>
    <bk>
      <extLst>
        <ext uri="{3e2802c4-a4d2-4d8b-9148-e3be6c30e623}">
          <xlrd:rvb i="3299"/>
        </ext>
      </extLst>
    </bk>
    <bk>
      <extLst>
        <ext uri="{3e2802c4-a4d2-4d8b-9148-e3be6c30e623}">
          <xlrd:rvb i="3300"/>
        </ext>
      </extLst>
    </bk>
    <bk>
      <extLst>
        <ext uri="{3e2802c4-a4d2-4d8b-9148-e3be6c30e623}">
          <xlrd:rvb i="3301"/>
        </ext>
      </extLst>
    </bk>
    <bk>
      <extLst>
        <ext uri="{3e2802c4-a4d2-4d8b-9148-e3be6c30e623}">
          <xlrd:rvb i="3302"/>
        </ext>
      </extLst>
    </bk>
    <bk>
      <extLst>
        <ext uri="{3e2802c4-a4d2-4d8b-9148-e3be6c30e623}">
          <xlrd:rvb i="3303"/>
        </ext>
      </extLst>
    </bk>
    <bk>
      <extLst>
        <ext uri="{3e2802c4-a4d2-4d8b-9148-e3be6c30e623}">
          <xlrd:rvb i="3304"/>
        </ext>
      </extLst>
    </bk>
    <bk>
      <extLst>
        <ext uri="{3e2802c4-a4d2-4d8b-9148-e3be6c30e623}">
          <xlrd:rvb i="3305"/>
        </ext>
      </extLst>
    </bk>
    <bk>
      <extLst>
        <ext uri="{3e2802c4-a4d2-4d8b-9148-e3be6c30e623}">
          <xlrd:rvb i="3306"/>
        </ext>
      </extLst>
    </bk>
    <bk>
      <extLst>
        <ext uri="{3e2802c4-a4d2-4d8b-9148-e3be6c30e623}">
          <xlrd:rvb i="3307"/>
        </ext>
      </extLst>
    </bk>
    <bk>
      <extLst>
        <ext uri="{3e2802c4-a4d2-4d8b-9148-e3be6c30e623}">
          <xlrd:rvb i="3308"/>
        </ext>
      </extLst>
    </bk>
    <bk>
      <extLst>
        <ext uri="{3e2802c4-a4d2-4d8b-9148-e3be6c30e623}">
          <xlrd:rvb i="3309"/>
        </ext>
      </extLst>
    </bk>
    <bk>
      <extLst>
        <ext uri="{3e2802c4-a4d2-4d8b-9148-e3be6c30e623}">
          <xlrd:rvb i="3310"/>
        </ext>
      </extLst>
    </bk>
    <bk>
      <extLst>
        <ext uri="{3e2802c4-a4d2-4d8b-9148-e3be6c30e623}">
          <xlrd:rvb i="3311"/>
        </ext>
      </extLst>
    </bk>
    <bk>
      <extLst>
        <ext uri="{3e2802c4-a4d2-4d8b-9148-e3be6c30e623}">
          <xlrd:rvb i="3312"/>
        </ext>
      </extLst>
    </bk>
    <bk>
      <extLst>
        <ext uri="{3e2802c4-a4d2-4d8b-9148-e3be6c30e623}">
          <xlrd:rvb i="3313"/>
        </ext>
      </extLst>
    </bk>
    <bk>
      <extLst>
        <ext uri="{3e2802c4-a4d2-4d8b-9148-e3be6c30e623}">
          <xlrd:rvb i="3314"/>
        </ext>
      </extLst>
    </bk>
    <bk>
      <extLst>
        <ext uri="{3e2802c4-a4d2-4d8b-9148-e3be6c30e623}">
          <xlrd:rvb i="3315"/>
        </ext>
      </extLst>
    </bk>
    <bk>
      <extLst>
        <ext uri="{3e2802c4-a4d2-4d8b-9148-e3be6c30e623}">
          <xlrd:rvb i="3316"/>
        </ext>
      </extLst>
    </bk>
    <bk>
      <extLst>
        <ext uri="{3e2802c4-a4d2-4d8b-9148-e3be6c30e623}">
          <xlrd:rvb i="3317"/>
        </ext>
      </extLst>
    </bk>
    <bk>
      <extLst>
        <ext uri="{3e2802c4-a4d2-4d8b-9148-e3be6c30e623}">
          <xlrd:rvb i="3318"/>
        </ext>
      </extLst>
    </bk>
    <bk>
      <extLst>
        <ext uri="{3e2802c4-a4d2-4d8b-9148-e3be6c30e623}">
          <xlrd:rvb i="3319"/>
        </ext>
      </extLst>
    </bk>
    <bk>
      <extLst>
        <ext uri="{3e2802c4-a4d2-4d8b-9148-e3be6c30e623}">
          <xlrd:rvb i="3320"/>
        </ext>
      </extLst>
    </bk>
    <bk>
      <extLst>
        <ext uri="{3e2802c4-a4d2-4d8b-9148-e3be6c30e623}">
          <xlrd:rvb i="3321"/>
        </ext>
      </extLst>
    </bk>
    <bk>
      <extLst>
        <ext uri="{3e2802c4-a4d2-4d8b-9148-e3be6c30e623}">
          <xlrd:rvb i="3322"/>
        </ext>
      </extLst>
    </bk>
    <bk>
      <extLst>
        <ext uri="{3e2802c4-a4d2-4d8b-9148-e3be6c30e623}">
          <xlrd:rvb i="3323"/>
        </ext>
      </extLst>
    </bk>
    <bk>
      <extLst>
        <ext uri="{3e2802c4-a4d2-4d8b-9148-e3be6c30e623}">
          <xlrd:rvb i="3324"/>
        </ext>
      </extLst>
    </bk>
    <bk>
      <extLst>
        <ext uri="{3e2802c4-a4d2-4d8b-9148-e3be6c30e623}">
          <xlrd:rvb i="3325"/>
        </ext>
      </extLst>
    </bk>
    <bk>
      <extLst>
        <ext uri="{3e2802c4-a4d2-4d8b-9148-e3be6c30e623}">
          <xlrd:rvb i="3326"/>
        </ext>
      </extLst>
    </bk>
    <bk>
      <extLst>
        <ext uri="{3e2802c4-a4d2-4d8b-9148-e3be6c30e623}">
          <xlrd:rvb i="3327"/>
        </ext>
      </extLst>
    </bk>
    <bk>
      <extLst>
        <ext uri="{3e2802c4-a4d2-4d8b-9148-e3be6c30e623}">
          <xlrd:rvb i="3328"/>
        </ext>
      </extLst>
    </bk>
    <bk>
      <extLst>
        <ext uri="{3e2802c4-a4d2-4d8b-9148-e3be6c30e623}">
          <xlrd:rvb i="3329"/>
        </ext>
      </extLst>
    </bk>
    <bk>
      <extLst>
        <ext uri="{3e2802c4-a4d2-4d8b-9148-e3be6c30e623}">
          <xlrd:rvb i="3330"/>
        </ext>
      </extLst>
    </bk>
    <bk>
      <extLst>
        <ext uri="{3e2802c4-a4d2-4d8b-9148-e3be6c30e623}">
          <xlrd:rvb i="3331"/>
        </ext>
      </extLst>
    </bk>
    <bk>
      <extLst>
        <ext uri="{3e2802c4-a4d2-4d8b-9148-e3be6c30e623}">
          <xlrd:rvb i="3332"/>
        </ext>
      </extLst>
    </bk>
    <bk>
      <extLst>
        <ext uri="{3e2802c4-a4d2-4d8b-9148-e3be6c30e623}">
          <xlrd:rvb i="3333"/>
        </ext>
      </extLst>
    </bk>
    <bk>
      <extLst>
        <ext uri="{3e2802c4-a4d2-4d8b-9148-e3be6c30e623}">
          <xlrd:rvb i="3334"/>
        </ext>
      </extLst>
    </bk>
    <bk>
      <extLst>
        <ext uri="{3e2802c4-a4d2-4d8b-9148-e3be6c30e623}">
          <xlrd:rvb i="3335"/>
        </ext>
      </extLst>
    </bk>
    <bk>
      <extLst>
        <ext uri="{3e2802c4-a4d2-4d8b-9148-e3be6c30e623}">
          <xlrd:rvb i="3336"/>
        </ext>
      </extLst>
    </bk>
    <bk>
      <extLst>
        <ext uri="{3e2802c4-a4d2-4d8b-9148-e3be6c30e623}">
          <xlrd:rvb i="3337"/>
        </ext>
      </extLst>
    </bk>
    <bk>
      <extLst>
        <ext uri="{3e2802c4-a4d2-4d8b-9148-e3be6c30e623}">
          <xlrd:rvb i="3338"/>
        </ext>
      </extLst>
    </bk>
    <bk>
      <extLst>
        <ext uri="{3e2802c4-a4d2-4d8b-9148-e3be6c30e623}">
          <xlrd:rvb i="3339"/>
        </ext>
      </extLst>
    </bk>
    <bk>
      <extLst>
        <ext uri="{3e2802c4-a4d2-4d8b-9148-e3be6c30e623}">
          <xlrd:rvb i="3340"/>
        </ext>
      </extLst>
    </bk>
    <bk>
      <extLst>
        <ext uri="{3e2802c4-a4d2-4d8b-9148-e3be6c30e623}">
          <xlrd:rvb i="3341"/>
        </ext>
      </extLst>
    </bk>
    <bk>
      <extLst>
        <ext uri="{3e2802c4-a4d2-4d8b-9148-e3be6c30e623}">
          <xlrd:rvb i="3342"/>
        </ext>
      </extLst>
    </bk>
    <bk>
      <extLst>
        <ext uri="{3e2802c4-a4d2-4d8b-9148-e3be6c30e623}">
          <xlrd:rvb i="3343"/>
        </ext>
      </extLst>
    </bk>
    <bk>
      <extLst>
        <ext uri="{3e2802c4-a4d2-4d8b-9148-e3be6c30e623}">
          <xlrd:rvb i="3344"/>
        </ext>
      </extLst>
    </bk>
    <bk>
      <extLst>
        <ext uri="{3e2802c4-a4d2-4d8b-9148-e3be6c30e623}">
          <xlrd:rvb i="3345"/>
        </ext>
      </extLst>
    </bk>
    <bk>
      <extLst>
        <ext uri="{3e2802c4-a4d2-4d8b-9148-e3be6c30e623}">
          <xlrd:rvb i="3346"/>
        </ext>
      </extLst>
    </bk>
    <bk>
      <extLst>
        <ext uri="{3e2802c4-a4d2-4d8b-9148-e3be6c30e623}">
          <xlrd:rvb i="3347"/>
        </ext>
      </extLst>
    </bk>
    <bk>
      <extLst>
        <ext uri="{3e2802c4-a4d2-4d8b-9148-e3be6c30e623}">
          <xlrd:rvb i="3348"/>
        </ext>
      </extLst>
    </bk>
    <bk>
      <extLst>
        <ext uri="{3e2802c4-a4d2-4d8b-9148-e3be6c30e623}">
          <xlrd:rvb i="3349"/>
        </ext>
      </extLst>
    </bk>
    <bk>
      <extLst>
        <ext uri="{3e2802c4-a4d2-4d8b-9148-e3be6c30e623}">
          <xlrd:rvb i="3350"/>
        </ext>
      </extLst>
    </bk>
    <bk>
      <extLst>
        <ext uri="{3e2802c4-a4d2-4d8b-9148-e3be6c30e623}">
          <xlrd:rvb i="3351"/>
        </ext>
      </extLst>
    </bk>
    <bk>
      <extLst>
        <ext uri="{3e2802c4-a4d2-4d8b-9148-e3be6c30e623}">
          <xlrd:rvb i="3352"/>
        </ext>
      </extLst>
    </bk>
    <bk>
      <extLst>
        <ext uri="{3e2802c4-a4d2-4d8b-9148-e3be6c30e623}">
          <xlrd:rvb i="3353"/>
        </ext>
      </extLst>
    </bk>
    <bk>
      <extLst>
        <ext uri="{3e2802c4-a4d2-4d8b-9148-e3be6c30e623}">
          <xlrd:rvb i="3354"/>
        </ext>
      </extLst>
    </bk>
    <bk>
      <extLst>
        <ext uri="{3e2802c4-a4d2-4d8b-9148-e3be6c30e623}">
          <xlrd:rvb i="3355"/>
        </ext>
      </extLst>
    </bk>
    <bk>
      <extLst>
        <ext uri="{3e2802c4-a4d2-4d8b-9148-e3be6c30e623}">
          <xlrd:rvb i="3356"/>
        </ext>
      </extLst>
    </bk>
    <bk>
      <extLst>
        <ext uri="{3e2802c4-a4d2-4d8b-9148-e3be6c30e623}">
          <xlrd:rvb i="3357"/>
        </ext>
      </extLst>
    </bk>
    <bk>
      <extLst>
        <ext uri="{3e2802c4-a4d2-4d8b-9148-e3be6c30e623}">
          <xlrd:rvb i="3358"/>
        </ext>
      </extLst>
    </bk>
    <bk>
      <extLst>
        <ext uri="{3e2802c4-a4d2-4d8b-9148-e3be6c30e623}">
          <xlrd:rvb i="3359"/>
        </ext>
      </extLst>
    </bk>
    <bk>
      <extLst>
        <ext uri="{3e2802c4-a4d2-4d8b-9148-e3be6c30e623}">
          <xlrd:rvb i="3360"/>
        </ext>
      </extLst>
    </bk>
    <bk>
      <extLst>
        <ext uri="{3e2802c4-a4d2-4d8b-9148-e3be6c30e623}">
          <xlrd:rvb i="3361"/>
        </ext>
      </extLst>
    </bk>
    <bk>
      <extLst>
        <ext uri="{3e2802c4-a4d2-4d8b-9148-e3be6c30e623}">
          <xlrd:rvb i="3362"/>
        </ext>
      </extLst>
    </bk>
    <bk>
      <extLst>
        <ext uri="{3e2802c4-a4d2-4d8b-9148-e3be6c30e623}">
          <xlrd:rvb i="3363"/>
        </ext>
      </extLst>
    </bk>
    <bk>
      <extLst>
        <ext uri="{3e2802c4-a4d2-4d8b-9148-e3be6c30e623}">
          <xlrd:rvb i="3364"/>
        </ext>
      </extLst>
    </bk>
    <bk>
      <extLst>
        <ext uri="{3e2802c4-a4d2-4d8b-9148-e3be6c30e623}">
          <xlrd:rvb i="3365"/>
        </ext>
      </extLst>
    </bk>
    <bk>
      <extLst>
        <ext uri="{3e2802c4-a4d2-4d8b-9148-e3be6c30e623}">
          <xlrd:rvb i="3366"/>
        </ext>
      </extLst>
    </bk>
    <bk>
      <extLst>
        <ext uri="{3e2802c4-a4d2-4d8b-9148-e3be6c30e623}">
          <xlrd:rvb i="3367"/>
        </ext>
      </extLst>
    </bk>
    <bk>
      <extLst>
        <ext uri="{3e2802c4-a4d2-4d8b-9148-e3be6c30e623}">
          <xlrd:rvb i="3368"/>
        </ext>
      </extLst>
    </bk>
    <bk>
      <extLst>
        <ext uri="{3e2802c4-a4d2-4d8b-9148-e3be6c30e623}">
          <xlrd:rvb i="3369"/>
        </ext>
      </extLst>
    </bk>
    <bk>
      <extLst>
        <ext uri="{3e2802c4-a4d2-4d8b-9148-e3be6c30e623}">
          <xlrd:rvb i="3370"/>
        </ext>
      </extLst>
    </bk>
    <bk>
      <extLst>
        <ext uri="{3e2802c4-a4d2-4d8b-9148-e3be6c30e623}">
          <xlrd:rvb i="3371"/>
        </ext>
      </extLst>
    </bk>
    <bk>
      <extLst>
        <ext uri="{3e2802c4-a4d2-4d8b-9148-e3be6c30e623}">
          <xlrd:rvb i="3372"/>
        </ext>
      </extLst>
    </bk>
    <bk>
      <extLst>
        <ext uri="{3e2802c4-a4d2-4d8b-9148-e3be6c30e623}">
          <xlrd:rvb i="3373"/>
        </ext>
      </extLst>
    </bk>
    <bk>
      <extLst>
        <ext uri="{3e2802c4-a4d2-4d8b-9148-e3be6c30e623}">
          <xlrd:rvb i="3374"/>
        </ext>
      </extLst>
    </bk>
    <bk>
      <extLst>
        <ext uri="{3e2802c4-a4d2-4d8b-9148-e3be6c30e623}">
          <xlrd:rvb i="3375"/>
        </ext>
      </extLst>
    </bk>
    <bk>
      <extLst>
        <ext uri="{3e2802c4-a4d2-4d8b-9148-e3be6c30e623}">
          <xlrd:rvb i="3376"/>
        </ext>
      </extLst>
    </bk>
    <bk>
      <extLst>
        <ext uri="{3e2802c4-a4d2-4d8b-9148-e3be6c30e623}">
          <xlrd:rvb i="3377"/>
        </ext>
      </extLst>
    </bk>
    <bk>
      <extLst>
        <ext uri="{3e2802c4-a4d2-4d8b-9148-e3be6c30e623}">
          <xlrd:rvb i="3378"/>
        </ext>
      </extLst>
    </bk>
    <bk>
      <extLst>
        <ext uri="{3e2802c4-a4d2-4d8b-9148-e3be6c30e623}">
          <xlrd:rvb i="3379"/>
        </ext>
      </extLst>
    </bk>
    <bk>
      <extLst>
        <ext uri="{3e2802c4-a4d2-4d8b-9148-e3be6c30e623}">
          <xlrd:rvb i="3380"/>
        </ext>
      </extLst>
    </bk>
    <bk>
      <extLst>
        <ext uri="{3e2802c4-a4d2-4d8b-9148-e3be6c30e623}">
          <xlrd:rvb i="3381"/>
        </ext>
      </extLst>
    </bk>
    <bk>
      <extLst>
        <ext uri="{3e2802c4-a4d2-4d8b-9148-e3be6c30e623}">
          <xlrd:rvb i="3382"/>
        </ext>
      </extLst>
    </bk>
    <bk>
      <extLst>
        <ext uri="{3e2802c4-a4d2-4d8b-9148-e3be6c30e623}">
          <xlrd:rvb i="3383"/>
        </ext>
      </extLst>
    </bk>
    <bk>
      <extLst>
        <ext uri="{3e2802c4-a4d2-4d8b-9148-e3be6c30e623}">
          <xlrd:rvb i="3384"/>
        </ext>
      </extLst>
    </bk>
    <bk>
      <extLst>
        <ext uri="{3e2802c4-a4d2-4d8b-9148-e3be6c30e623}">
          <xlrd:rvb i="3385"/>
        </ext>
      </extLst>
    </bk>
    <bk>
      <extLst>
        <ext uri="{3e2802c4-a4d2-4d8b-9148-e3be6c30e623}">
          <xlrd:rvb i="3386"/>
        </ext>
      </extLst>
    </bk>
    <bk>
      <extLst>
        <ext uri="{3e2802c4-a4d2-4d8b-9148-e3be6c30e623}">
          <xlrd:rvb i="3387"/>
        </ext>
      </extLst>
    </bk>
    <bk>
      <extLst>
        <ext uri="{3e2802c4-a4d2-4d8b-9148-e3be6c30e623}">
          <xlrd:rvb i="3388"/>
        </ext>
      </extLst>
    </bk>
    <bk>
      <extLst>
        <ext uri="{3e2802c4-a4d2-4d8b-9148-e3be6c30e623}">
          <xlrd:rvb i="3389"/>
        </ext>
      </extLst>
    </bk>
    <bk>
      <extLst>
        <ext uri="{3e2802c4-a4d2-4d8b-9148-e3be6c30e623}">
          <xlrd:rvb i="3390"/>
        </ext>
      </extLst>
    </bk>
    <bk>
      <extLst>
        <ext uri="{3e2802c4-a4d2-4d8b-9148-e3be6c30e623}">
          <xlrd:rvb i="3391"/>
        </ext>
      </extLst>
    </bk>
    <bk>
      <extLst>
        <ext uri="{3e2802c4-a4d2-4d8b-9148-e3be6c30e623}">
          <xlrd:rvb i="3392"/>
        </ext>
      </extLst>
    </bk>
    <bk>
      <extLst>
        <ext uri="{3e2802c4-a4d2-4d8b-9148-e3be6c30e623}">
          <xlrd:rvb i="3393"/>
        </ext>
      </extLst>
    </bk>
    <bk>
      <extLst>
        <ext uri="{3e2802c4-a4d2-4d8b-9148-e3be6c30e623}">
          <xlrd:rvb i="3394"/>
        </ext>
      </extLst>
    </bk>
    <bk>
      <extLst>
        <ext uri="{3e2802c4-a4d2-4d8b-9148-e3be6c30e623}">
          <xlrd:rvb i="3395"/>
        </ext>
      </extLst>
    </bk>
    <bk>
      <extLst>
        <ext uri="{3e2802c4-a4d2-4d8b-9148-e3be6c30e623}">
          <xlrd:rvb i="3396"/>
        </ext>
      </extLst>
    </bk>
    <bk>
      <extLst>
        <ext uri="{3e2802c4-a4d2-4d8b-9148-e3be6c30e623}">
          <xlrd:rvb i="3397"/>
        </ext>
      </extLst>
    </bk>
    <bk>
      <extLst>
        <ext uri="{3e2802c4-a4d2-4d8b-9148-e3be6c30e623}">
          <xlrd:rvb i="3398"/>
        </ext>
      </extLst>
    </bk>
    <bk>
      <extLst>
        <ext uri="{3e2802c4-a4d2-4d8b-9148-e3be6c30e623}">
          <xlrd:rvb i="3399"/>
        </ext>
      </extLst>
    </bk>
    <bk>
      <extLst>
        <ext uri="{3e2802c4-a4d2-4d8b-9148-e3be6c30e623}">
          <xlrd:rvb i="3400"/>
        </ext>
      </extLst>
    </bk>
    <bk>
      <extLst>
        <ext uri="{3e2802c4-a4d2-4d8b-9148-e3be6c30e623}">
          <xlrd:rvb i="3401"/>
        </ext>
      </extLst>
    </bk>
    <bk>
      <extLst>
        <ext uri="{3e2802c4-a4d2-4d8b-9148-e3be6c30e623}">
          <xlrd:rvb i="3402"/>
        </ext>
      </extLst>
    </bk>
    <bk>
      <extLst>
        <ext uri="{3e2802c4-a4d2-4d8b-9148-e3be6c30e623}">
          <xlrd:rvb i="3403"/>
        </ext>
      </extLst>
    </bk>
    <bk>
      <extLst>
        <ext uri="{3e2802c4-a4d2-4d8b-9148-e3be6c30e623}">
          <xlrd:rvb i="3404"/>
        </ext>
      </extLst>
    </bk>
    <bk>
      <extLst>
        <ext uri="{3e2802c4-a4d2-4d8b-9148-e3be6c30e623}">
          <xlrd:rvb i="3405"/>
        </ext>
      </extLst>
    </bk>
    <bk>
      <extLst>
        <ext uri="{3e2802c4-a4d2-4d8b-9148-e3be6c30e623}">
          <xlrd:rvb i="3406"/>
        </ext>
      </extLst>
    </bk>
    <bk>
      <extLst>
        <ext uri="{3e2802c4-a4d2-4d8b-9148-e3be6c30e623}">
          <xlrd:rvb i="3407"/>
        </ext>
      </extLst>
    </bk>
    <bk>
      <extLst>
        <ext uri="{3e2802c4-a4d2-4d8b-9148-e3be6c30e623}">
          <xlrd:rvb i="3408"/>
        </ext>
      </extLst>
    </bk>
    <bk>
      <extLst>
        <ext uri="{3e2802c4-a4d2-4d8b-9148-e3be6c30e623}">
          <xlrd:rvb i="3409"/>
        </ext>
      </extLst>
    </bk>
    <bk>
      <extLst>
        <ext uri="{3e2802c4-a4d2-4d8b-9148-e3be6c30e623}">
          <xlrd:rvb i="3410"/>
        </ext>
      </extLst>
    </bk>
    <bk>
      <extLst>
        <ext uri="{3e2802c4-a4d2-4d8b-9148-e3be6c30e623}">
          <xlrd:rvb i="3411"/>
        </ext>
      </extLst>
    </bk>
    <bk>
      <extLst>
        <ext uri="{3e2802c4-a4d2-4d8b-9148-e3be6c30e623}">
          <xlrd:rvb i="3412"/>
        </ext>
      </extLst>
    </bk>
    <bk>
      <extLst>
        <ext uri="{3e2802c4-a4d2-4d8b-9148-e3be6c30e623}">
          <xlrd:rvb i="3413"/>
        </ext>
      </extLst>
    </bk>
    <bk>
      <extLst>
        <ext uri="{3e2802c4-a4d2-4d8b-9148-e3be6c30e623}">
          <xlrd:rvb i="3414"/>
        </ext>
      </extLst>
    </bk>
    <bk>
      <extLst>
        <ext uri="{3e2802c4-a4d2-4d8b-9148-e3be6c30e623}">
          <xlrd:rvb i="3415"/>
        </ext>
      </extLst>
    </bk>
    <bk>
      <extLst>
        <ext uri="{3e2802c4-a4d2-4d8b-9148-e3be6c30e623}">
          <xlrd:rvb i="3416"/>
        </ext>
      </extLst>
    </bk>
    <bk>
      <extLst>
        <ext uri="{3e2802c4-a4d2-4d8b-9148-e3be6c30e623}">
          <xlrd:rvb i="3417"/>
        </ext>
      </extLst>
    </bk>
    <bk>
      <extLst>
        <ext uri="{3e2802c4-a4d2-4d8b-9148-e3be6c30e623}">
          <xlrd:rvb i="3418"/>
        </ext>
      </extLst>
    </bk>
    <bk>
      <extLst>
        <ext uri="{3e2802c4-a4d2-4d8b-9148-e3be6c30e623}">
          <xlrd:rvb i="3419"/>
        </ext>
      </extLst>
    </bk>
    <bk>
      <extLst>
        <ext uri="{3e2802c4-a4d2-4d8b-9148-e3be6c30e623}">
          <xlrd:rvb i="3420"/>
        </ext>
      </extLst>
    </bk>
    <bk>
      <extLst>
        <ext uri="{3e2802c4-a4d2-4d8b-9148-e3be6c30e623}">
          <xlrd:rvb i="3421"/>
        </ext>
      </extLst>
    </bk>
    <bk>
      <extLst>
        <ext uri="{3e2802c4-a4d2-4d8b-9148-e3be6c30e623}">
          <xlrd:rvb i="3422"/>
        </ext>
      </extLst>
    </bk>
    <bk>
      <extLst>
        <ext uri="{3e2802c4-a4d2-4d8b-9148-e3be6c30e623}">
          <xlrd:rvb i="3423"/>
        </ext>
      </extLst>
    </bk>
    <bk>
      <extLst>
        <ext uri="{3e2802c4-a4d2-4d8b-9148-e3be6c30e623}">
          <xlrd:rvb i="3424"/>
        </ext>
      </extLst>
    </bk>
    <bk>
      <extLst>
        <ext uri="{3e2802c4-a4d2-4d8b-9148-e3be6c30e623}">
          <xlrd:rvb i="3425"/>
        </ext>
      </extLst>
    </bk>
    <bk>
      <extLst>
        <ext uri="{3e2802c4-a4d2-4d8b-9148-e3be6c30e623}">
          <xlrd:rvb i="3426"/>
        </ext>
      </extLst>
    </bk>
    <bk>
      <extLst>
        <ext uri="{3e2802c4-a4d2-4d8b-9148-e3be6c30e623}">
          <xlrd:rvb i="3427"/>
        </ext>
      </extLst>
    </bk>
    <bk>
      <extLst>
        <ext uri="{3e2802c4-a4d2-4d8b-9148-e3be6c30e623}">
          <xlrd:rvb i="3428"/>
        </ext>
      </extLst>
    </bk>
    <bk>
      <extLst>
        <ext uri="{3e2802c4-a4d2-4d8b-9148-e3be6c30e623}">
          <xlrd:rvb i="3429"/>
        </ext>
      </extLst>
    </bk>
    <bk>
      <extLst>
        <ext uri="{3e2802c4-a4d2-4d8b-9148-e3be6c30e623}">
          <xlrd:rvb i="3430"/>
        </ext>
      </extLst>
    </bk>
    <bk>
      <extLst>
        <ext uri="{3e2802c4-a4d2-4d8b-9148-e3be6c30e623}">
          <xlrd:rvb i="3431"/>
        </ext>
      </extLst>
    </bk>
    <bk>
      <extLst>
        <ext uri="{3e2802c4-a4d2-4d8b-9148-e3be6c30e623}">
          <xlrd:rvb i="3432"/>
        </ext>
      </extLst>
    </bk>
    <bk>
      <extLst>
        <ext uri="{3e2802c4-a4d2-4d8b-9148-e3be6c30e623}">
          <xlrd:rvb i="3433"/>
        </ext>
      </extLst>
    </bk>
    <bk>
      <extLst>
        <ext uri="{3e2802c4-a4d2-4d8b-9148-e3be6c30e623}">
          <xlrd:rvb i="3434"/>
        </ext>
      </extLst>
    </bk>
    <bk>
      <extLst>
        <ext uri="{3e2802c4-a4d2-4d8b-9148-e3be6c30e623}">
          <xlrd:rvb i="3435"/>
        </ext>
      </extLst>
    </bk>
    <bk>
      <extLst>
        <ext uri="{3e2802c4-a4d2-4d8b-9148-e3be6c30e623}">
          <xlrd:rvb i="3436"/>
        </ext>
      </extLst>
    </bk>
    <bk>
      <extLst>
        <ext uri="{3e2802c4-a4d2-4d8b-9148-e3be6c30e623}">
          <xlrd:rvb i="3437"/>
        </ext>
      </extLst>
    </bk>
    <bk>
      <extLst>
        <ext uri="{3e2802c4-a4d2-4d8b-9148-e3be6c30e623}">
          <xlrd:rvb i="3438"/>
        </ext>
      </extLst>
    </bk>
    <bk>
      <extLst>
        <ext uri="{3e2802c4-a4d2-4d8b-9148-e3be6c30e623}">
          <xlrd:rvb i="3439"/>
        </ext>
      </extLst>
    </bk>
    <bk>
      <extLst>
        <ext uri="{3e2802c4-a4d2-4d8b-9148-e3be6c30e623}">
          <xlrd:rvb i="3440"/>
        </ext>
      </extLst>
    </bk>
    <bk>
      <extLst>
        <ext uri="{3e2802c4-a4d2-4d8b-9148-e3be6c30e623}">
          <xlrd:rvb i="3441"/>
        </ext>
      </extLst>
    </bk>
    <bk>
      <extLst>
        <ext uri="{3e2802c4-a4d2-4d8b-9148-e3be6c30e623}">
          <xlrd:rvb i="3442"/>
        </ext>
      </extLst>
    </bk>
    <bk>
      <extLst>
        <ext uri="{3e2802c4-a4d2-4d8b-9148-e3be6c30e623}">
          <xlrd:rvb i="3443"/>
        </ext>
      </extLst>
    </bk>
    <bk>
      <extLst>
        <ext uri="{3e2802c4-a4d2-4d8b-9148-e3be6c30e623}">
          <xlrd:rvb i="3444"/>
        </ext>
      </extLst>
    </bk>
    <bk>
      <extLst>
        <ext uri="{3e2802c4-a4d2-4d8b-9148-e3be6c30e623}">
          <xlrd:rvb i="3445"/>
        </ext>
      </extLst>
    </bk>
    <bk>
      <extLst>
        <ext uri="{3e2802c4-a4d2-4d8b-9148-e3be6c30e623}">
          <xlrd:rvb i="3446"/>
        </ext>
      </extLst>
    </bk>
    <bk>
      <extLst>
        <ext uri="{3e2802c4-a4d2-4d8b-9148-e3be6c30e623}">
          <xlrd:rvb i="3447"/>
        </ext>
      </extLst>
    </bk>
    <bk>
      <extLst>
        <ext uri="{3e2802c4-a4d2-4d8b-9148-e3be6c30e623}">
          <xlrd:rvb i="3448"/>
        </ext>
      </extLst>
    </bk>
    <bk>
      <extLst>
        <ext uri="{3e2802c4-a4d2-4d8b-9148-e3be6c30e623}">
          <xlrd:rvb i="3449"/>
        </ext>
      </extLst>
    </bk>
    <bk>
      <extLst>
        <ext uri="{3e2802c4-a4d2-4d8b-9148-e3be6c30e623}">
          <xlrd:rvb i="3450"/>
        </ext>
      </extLst>
    </bk>
    <bk>
      <extLst>
        <ext uri="{3e2802c4-a4d2-4d8b-9148-e3be6c30e623}">
          <xlrd:rvb i="3451"/>
        </ext>
      </extLst>
    </bk>
    <bk>
      <extLst>
        <ext uri="{3e2802c4-a4d2-4d8b-9148-e3be6c30e623}">
          <xlrd:rvb i="3452"/>
        </ext>
      </extLst>
    </bk>
    <bk>
      <extLst>
        <ext uri="{3e2802c4-a4d2-4d8b-9148-e3be6c30e623}">
          <xlrd:rvb i="3453"/>
        </ext>
      </extLst>
    </bk>
    <bk>
      <extLst>
        <ext uri="{3e2802c4-a4d2-4d8b-9148-e3be6c30e623}">
          <xlrd:rvb i="3454"/>
        </ext>
      </extLst>
    </bk>
    <bk>
      <extLst>
        <ext uri="{3e2802c4-a4d2-4d8b-9148-e3be6c30e623}">
          <xlrd:rvb i="3455"/>
        </ext>
      </extLst>
    </bk>
    <bk>
      <extLst>
        <ext uri="{3e2802c4-a4d2-4d8b-9148-e3be6c30e623}">
          <xlrd:rvb i="3456"/>
        </ext>
      </extLst>
    </bk>
    <bk>
      <extLst>
        <ext uri="{3e2802c4-a4d2-4d8b-9148-e3be6c30e623}">
          <xlrd:rvb i="3457"/>
        </ext>
      </extLst>
    </bk>
    <bk>
      <extLst>
        <ext uri="{3e2802c4-a4d2-4d8b-9148-e3be6c30e623}">
          <xlrd:rvb i="3458"/>
        </ext>
      </extLst>
    </bk>
    <bk>
      <extLst>
        <ext uri="{3e2802c4-a4d2-4d8b-9148-e3be6c30e623}">
          <xlrd:rvb i="3459"/>
        </ext>
      </extLst>
    </bk>
    <bk>
      <extLst>
        <ext uri="{3e2802c4-a4d2-4d8b-9148-e3be6c30e623}">
          <xlrd:rvb i="3460"/>
        </ext>
      </extLst>
    </bk>
    <bk>
      <extLst>
        <ext uri="{3e2802c4-a4d2-4d8b-9148-e3be6c30e623}">
          <xlrd:rvb i="3461"/>
        </ext>
      </extLst>
    </bk>
    <bk>
      <extLst>
        <ext uri="{3e2802c4-a4d2-4d8b-9148-e3be6c30e623}">
          <xlrd:rvb i="3462"/>
        </ext>
      </extLst>
    </bk>
    <bk>
      <extLst>
        <ext uri="{3e2802c4-a4d2-4d8b-9148-e3be6c30e623}">
          <xlrd:rvb i="3463"/>
        </ext>
      </extLst>
    </bk>
    <bk>
      <extLst>
        <ext uri="{3e2802c4-a4d2-4d8b-9148-e3be6c30e623}">
          <xlrd:rvb i="3464"/>
        </ext>
      </extLst>
    </bk>
    <bk>
      <extLst>
        <ext uri="{3e2802c4-a4d2-4d8b-9148-e3be6c30e623}">
          <xlrd:rvb i="3465"/>
        </ext>
      </extLst>
    </bk>
    <bk>
      <extLst>
        <ext uri="{3e2802c4-a4d2-4d8b-9148-e3be6c30e623}">
          <xlrd:rvb i="3466"/>
        </ext>
      </extLst>
    </bk>
    <bk>
      <extLst>
        <ext uri="{3e2802c4-a4d2-4d8b-9148-e3be6c30e623}">
          <xlrd:rvb i="3467"/>
        </ext>
      </extLst>
    </bk>
    <bk>
      <extLst>
        <ext uri="{3e2802c4-a4d2-4d8b-9148-e3be6c30e623}">
          <xlrd:rvb i="3468"/>
        </ext>
      </extLst>
    </bk>
    <bk>
      <extLst>
        <ext uri="{3e2802c4-a4d2-4d8b-9148-e3be6c30e623}">
          <xlrd:rvb i="3469"/>
        </ext>
      </extLst>
    </bk>
    <bk>
      <extLst>
        <ext uri="{3e2802c4-a4d2-4d8b-9148-e3be6c30e623}">
          <xlrd:rvb i="3470"/>
        </ext>
      </extLst>
    </bk>
    <bk>
      <extLst>
        <ext uri="{3e2802c4-a4d2-4d8b-9148-e3be6c30e623}">
          <xlrd:rvb i="3471"/>
        </ext>
      </extLst>
    </bk>
    <bk>
      <extLst>
        <ext uri="{3e2802c4-a4d2-4d8b-9148-e3be6c30e623}">
          <xlrd:rvb i="3472"/>
        </ext>
      </extLst>
    </bk>
    <bk>
      <extLst>
        <ext uri="{3e2802c4-a4d2-4d8b-9148-e3be6c30e623}">
          <xlrd:rvb i="3473"/>
        </ext>
      </extLst>
    </bk>
    <bk>
      <extLst>
        <ext uri="{3e2802c4-a4d2-4d8b-9148-e3be6c30e623}">
          <xlrd:rvb i="3474"/>
        </ext>
      </extLst>
    </bk>
    <bk>
      <extLst>
        <ext uri="{3e2802c4-a4d2-4d8b-9148-e3be6c30e623}">
          <xlrd:rvb i="3475"/>
        </ext>
      </extLst>
    </bk>
    <bk>
      <extLst>
        <ext uri="{3e2802c4-a4d2-4d8b-9148-e3be6c30e623}">
          <xlrd:rvb i="3476"/>
        </ext>
      </extLst>
    </bk>
    <bk>
      <extLst>
        <ext uri="{3e2802c4-a4d2-4d8b-9148-e3be6c30e623}">
          <xlrd:rvb i="3477"/>
        </ext>
      </extLst>
    </bk>
    <bk>
      <extLst>
        <ext uri="{3e2802c4-a4d2-4d8b-9148-e3be6c30e623}">
          <xlrd:rvb i="3478"/>
        </ext>
      </extLst>
    </bk>
    <bk>
      <extLst>
        <ext uri="{3e2802c4-a4d2-4d8b-9148-e3be6c30e623}">
          <xlrd:rvb i="3479"/>
        </ext>
      </extLst>
    </bk>
    <bk>
      <extLst>
        <ext uri="{3e2802c4-a4d2-4d8b-9148-e3be6c30e623}">
          <xlrd:rvb i="3480"/>
        </ext>
      </extLst>
    </bk>
    <bk>
      <extLst>
        <ext uri="{3e2802c4-a4d2-4d8b-9148-e3be6c30e623}">
          <xlrd:rvb i="3481"/>
        </ext>
      </extLst>
    </bk>
    <bk>
      <extLst>
        <ext uri="{3e2802c4-a4d2-4d8b-9148-e3be6c30e623}">
          <xlrd:rvb i="3482"/>
        </ext>
      </extLst>
    </bk>
    <bk>
      <extLst>
        <ext uri="{3e2802c4-a4d2-4d8b-9148-e3be6c30e623}">
          <xlrd:rvb i="3483"/>
        </ext>
      </extLst>
    </bk>
    <bk>
      <extLst>
        <ext uri="{3e2802c4-a4d2-4d8b-9148-e3be6c30e623}">
          <xlrd:rvb i="3484"/>
        </ext>
      </extLst>
    </bk>
    <bk>
      <extLst>
        <ext uri="{3e2802c4-a4d2-4d8b-9148-e3be6c30e623}">
          <xlrd:rvb i="3485"/>
        </ext>
      </extLst>
    </bk>
    <bk>
      <extLst>
        <ext uri="{3e2802c4-a4d2-4d8b-9148-e3be6c30e623}">
          <xlrd:rvb i="3486"/>
        </ext>
      </extLst>
    </bk>
    <bk>
      <extLst>
        <ext uri="{3e2802c4-a4d2-4d8b-9148-e3be6c30e623}">
          <xlrd:rvb i="3487"/>
        </ext>
      </extLst>
    </bk>
    <bk>
      <extLst>
        <ext uri="{3e2802c4-a4d2-4d8b-9148-e3be6c30e623}">
          <xlrd:rvb i="3488"/>
        </ext>
      </extLst>
    </bk>
    <bk>
      <extLst>
        <ext uri="{3e2802c4-a4d2-4d8b-9148-e3be6c30e623}">
          <xlrd:rvb i="3489"/>
        </ext>
      </extLst>
    </bk>
    <bk>
      <extLst>
        <ext uri="{3e2802c4-a4d2-4d8b-9148-e3be6c30e623}">
          <xlrd:rvb i="3490"/>
        </ext>
      </extLst>
    </bk>
    <bk>
      <extLst>
        <ext uri="{3e2802c4-a4d2-4d8b-9148-e3be6c30e623}">
          <xlrd:rvb i="3491"/>
        </ext>
      </extLst>
    </bk>
    <bk>
      <extLst>
        <ext uri="{3e2802c4-a4d2-4d8b-9148-e3be6c30e623}">
          <xlrd:rvb i="3492"/>
        </ext>
      </extLst>
    </bk>
    <bk>
      <extLst>
        <ext uri="{3e2802c4-a4d2-4d8b-9148-e3be6c30e623}">
          <xlrd:rvb i="3493"/>
        </ext>
      </extLst>
    </bk>
    <bk>
      <extLst>
        <ext uri="{3e2802c4-a4d2-4d8b-9148-e3be6c30e623}">
          <xlrd:rvb i="3494"/>
        </ext>
      </extLst>
    </bk>
    <bk>
      <extLst>
        <ext uri="{3e2802c4-a4d2-4d8b-9148-e3be6c30e623}">
          <xlrd:rvb i="3495"/>
        </ext>
      </extLst>
    </bk>
    <bk>
      <extLst>
        <ext uri="{3e2802c4-a4d2-4d8b-9148-e3be6c30e623}">
          <xlrd:rvb i="3496"/>
        </ext>
      </extLst>
    </bk>
    <bk>
      <extLst>
        <ext uri="{3e2802c4-a4d2-4d8b-9148-e3be6c30e623}">
          <xlrd:rvb i="3497"/>
        </ext>
      </extLst>
    </bk>
    <bk>
      <extLst>
        <ext uri="{3e2802c4-a4d2-4d8b-9148-e3be6c30e623}">
          <xlrd:rvb i="3498"/>
        </ext>
      </extLst>
    </bk>
    <bk>
      <extLst>
        <ext uri="{3e2802c4-a4d2-4d8b-9148-e3be6c30e623}">
          <xlrd:rvb i="3499"/>
        </ext>
      </extLst>
    </bk>
    <bk>
      <extLst>
        <ext uri="{3e2802c4-a4d2-4d8b-9148-e3be6c30e623}">
          <xlrd:rvb i="3500"/>
        </ext>
      </extLst>
    </bk>
    <bk>
      <extLst>
        <ext uri="{3e2802c4-a4d2-4d8b-9148-e3be6c30e623}">
          <xlrd:rvb i="3501"/>
        </ext>
      </extLst>
    </bk>
    <bk>
      <extLst>
        <ext uri="{3e2802c4-a4d2-4d8b-9148-e3be6c30e623}">
          <xlrd:rvb i="3502"/>
        </ext>
      </extLst>
    </bk>
    <bk>
      <extLst>
        <ext uri="{3e2802c4-a4d2-4d8b-9148-e3be6c30e623}">
          <xlrd:rvb i="3503"/>
        </ext>
      </extLst>
    </bk>
    <bk>
      <extLst>
        <ext uri="{3e2802c4-a4d2-4d8b-9148-e3be6c30e623}">
          <xlrd:rvb i="3504"/>
        </ext>
      </extLst>
    </bk>
    <bk>
      <extLst>
        <ext uri="{3e2802c4-a4d2-4d8b-9148-e3be6c30e623}">
          <xlrd:rvb i="3505"/>
        </ext>
      </extLst>
    </bk>
    <bk>
      <extLst>
        <ext uri="{3e2802c4-a4d2-4d8b-9148-e3be6c30e623}">
          <xlrd:rvb i="3506"/>
        </ext>
      </extLst>
    </bk>
    <bk>
      <extLst>
        <ext uri="{3e2802c4-a4d2-4d8b-9148-e3be6c30e623}">
          <xlrd:rvb i="3507"/>
        </ext>
      </extLst>
    </bk>
    <bk>
      <extLst>
        <ext uri="{3e2802c4-a4d2-4d8b-9148-e3be6c30e623}">
          <xlrd:rvb i="3508"/>
        </ext>
      </extLst>
    </bk>
    <bk>
      <extLst>
        <ext uri="{3e2802c4-a4d2-4d8b-9148-e3be6c30e623}">
          <xlrd:rvb i="3509"/>
        </ext>
      </extLst>
    </bk>
    <bk>
      <extLst>
        <ext uri="{3e2802c4-a4d2-4d8b-9148-e3be6c30e623}">
          <xlrd:rvb i="3510"/>
        </ext>
      </extLst>
    </bk>
    <bk>
      <extLst>
        <ext uri="{3e2802c4-a4d2-4d8b-9148-e3be6c30e623}">
          <xlrd:rvb i="3511"/>
        </ext>
      </extLst>
    </bk>
    <bk>
      <extLst>
        <ext uri="{3e2802c4-a4d2-4d8b-9148-e3be6c30e623}">
          <xlrd:rvb i="3512"/>
        </ext>
      </extLst>
    </bk>
    <bk>
      <extLst>
        <ext uri="{3e2802c4-a4d2-4d8b-9148-e3be6c30e623}">
          <xlrd:rvb i="3513"/>
        </ext>
      </extLst>
    </bk>
    <bk>
      <extLst>
        <ext uri="{3e2802c4-a4d2-4d8b-9148-e3be6c30e623}">
          <xlrd:rvb i="3514"/>
        </ext>
      </extLst>
    </bk>
    <bk>
      <extLst>
        <ext uri="{3e2802c4-a4d2-4d8b-9148-e3be6c30e623}">
          <xlrd:rvb i="3515"/>
        </ext>
      </extLst>
    </bk>
    <bk>
      <extLst>
        <ext uri="{3e2802c4-a4d2-4d8b-9148-e3be6c30e623}">
          <xlrd:rvb i="3516"/>
        </ext>
      </extLst>
    </bk>
    <bk>
      <extLst>
        <ext uri="{3e2802c4-a4d2-4d8b-9148-e3be6c30e623}">
          <xlrd:rvb i="3517"/>
        </ext>
      </extLst>
    </bk>
    <bk>
      <extLst>
        <ext uri="{3e2802c4-a4d2-4d8b-9148-e3be6c30e623}">
          <xlrd:rvb i="3518"/>
        </ext>
      </extLst>
    </bk>
    <bk>
      <extLst>
        <ext uri="{3e2802c4-a4d2-4d8b-9148-e3be6c30e623}">
          <xlrd:rvb i="3519"/>
        </ext>
      </extLst>
    </bk>
    <bk>
      <extLst>
        <ext uri="{3e2802c4-a4d2-4d8b-9148-e3be6c30e623}">
          <xlrd:rvb i="3520"/>
        </ext>
      </extLst>
    </bk>
    <bk>
      <extLst>
        <ext uri="{3e2802c4-a4d2-4d8b-9148-e3be6c30e623}">
          <xlrd:rvb i="3521"/>
        </ext>
      </extLst>
    </bk>
    <bk>
      <extLst>
        <ext uri="{3e2802c4-a4d2-4d8b-9148-e3be6c30e623}">
          <xlrd:rvb i="3522"/>
        </ext>
      </extLst>
    </bk>
    <bk>
      <extLst>
        <ext uri="{3e2802c4-a4d2-4d8b-9148-e3be6c30e623}">
          <xlrd:rvb i="3523"/>
        </ext>
      </extLst>
    </bk>
    <bk>
      <extLst>
        <ext uri="{3e2802c4-a4d2-4d8b-9148-e3be6c30e623}">
          <xlrd:rvb i="3524"/>
        </ext>
      </extLst>
    </bk>
    <bk>
      <extLst>
        <ext uri="{3e2802c4-a4d2-4d8b-9148-e3be6c30e623}">
          <xlrd:rvb i="3525"/>
        </ext>
      </extLst>
    </bk>
    <bk>
      <extLst>
        <ext uri="{3e2802c4-a4d2-4d8b-9148-e3be6c30e623}">
          <xlrd:rvb i="3526"/>
        </ext>
      </extLst>
    </bk>
    <bk>
      <extLst>
        <ext uri="{3e2802c4-a4d2-4d8b-9148-e3be6c30e623}">
          <xlrd:rvb i="3527"/>
        </ext>
      </extLst>
    </bk>
    <bk>
      <extLst>
        <ext uri="{3e2802c4-a4d2-4d8b-9148-e3be6c30e623}">
          <xlrd:rvb i="3528"/>
        </ext>
      </extLst>
    </bk>
    <bk>
      <extLst>
        <ext uri="{3e2802c4-a4d2-4d8b-9148-e3be6c30e623}">
          <xlrd:rvb i="3529"/>
        </ext>
      </extLst>
    </bk>
    <bk>
      <extLst>
        <ext uri="{3e2802c4-a4d2-4d8b-9148-e3be6c30e623}">
          <xlrd:rvb i="3530"/>
        </ext>
      </extLst>
    </bk>
    <bk>
      <extLst>
        <ext uri="{3e2802c4-a4d2-4d8b-9148-e3be6c30e623}">
          <xlrd:rvb i="3531"/>
        </ext>
      </extLst>
    </bk>
    <bk>
      <extLst>
        <ext uri="{3e2802c4-a4d2-4d8b-9148-e3be6c30e623}">
          <xlrd:rvb i="3532"/>
        </ext>
      </extLst>
    </bk>
    <bk>
      <extLst>
        <ext uri="{3e2802c4-a4d2-4d8b-9148-e3be6c30e623}">
          <xlrd:rvb i="3533"/>
        </ext>
      </extLst>
    </bk>
    <bk>
      <extLst>
        <ext uri="{3e2802c4-a4d2-4d8b-9148-e3be6c30e623}">
          <xlrd:rvb i="3534"/>
        </ext>
      </extLst>
    </bk>
    <bk>
      <extLst>
        <ext uri="{3e2802c4-a4d2-4d8b-9148-e3be6c30e623}">
          <xlrd:rvb i="3535"/>
        </ext>
      </extLst>
    </bk>
    <bk>
      <extLst>
        <ext uri="{3e2802c4-a4d2-4d8b-9148-e3be6c30e623}">
          <xlrd:rvb i="3536"/>
        </ext>
      </extLst>
    </bk>
    <bk>
      <extLst>
        <ext uri="{3e2802c4-a4d2-4d8b-9148-e3be6c30e623}">
          <xlrd:rvb i="3537"/>
        </ext>
      </extLst>
    </bk>
    <bk>
      <extLst>
        <ext uri="{3e2802c4-a4d2-4d8b-9148-e3be6c30e623}">
          <xlrd:rvb i="3538"/>
        </ext>
      </extLst>
    </bk>
    <bk>
      <extLst>
        <ext uri="{3e2802c4-a4d2-4d8b-9148-e3be6c30e623}">
          <xlrd:rvb i="3539"/>
        </ext>
      </extLst>
    </bk>
    <bk>
      <extLst>
        <ext uri="{3e2802c4-a4d2-4d8b-9148-e3be6c30e623}">
          <xlrd:rvb i="3540"/>
        </ext>
      </extLst>
    </bk>
    <bk>
      <extLst>
        <ext uri="{3e2802c4-a4d2-4d8b-9148-e3be6c30e623}">
          <xlrd:rvb i="3541"/>
        </ext>
      </extLst>
    </bk>
    <bk>
      <extLst>
        <ext uri="{3e2802c4-a4d2-4d8b-9148-e3be6c30e623}">
          <xlrd:rvb i="3542"/>
        </ext>
      </extLst>
    </bk>
    <bk>
      <extLst>
        <ext uri="{3e2802c4-a4d2-4d8b-9148-e3be6c30e623}">
          <xlrd:rvb i="3543"/>
        </ext>
      </extLst>
    </bk>
    <bk>
      <extLst>
        <ext uri="{3e2802c4-a4d2-4d8b-9148-e3be6c30e623}">
          <xlrd:rvb i="3544"/>
        </ext>
      </extLst>
    </bk>
    <bk>
      <extLst>
        <ext uri="{3e2802c4-a4d2-4d8b-9148-e3be6c30e623}">
          <xlrd:rvb i="3545"/>
        </ext>
      </extLst>
    </bk>
    <bk>
      <extLst>
        <ext uri="{3e2802c4-a4d2-4d8b-9148-e3be6c30e623}">
          <xlrd:rvb i="3546"/>
        </ext>
      </extLst>
    </bk>
    <bk>
      <extLst>
        <ext uri="{3e2802c4-a4d2-4d8b-9148-e3be6c30e623}">
          <xlrd:rvb i="3547"/>
        </ext>
      </extLst>
    </bk>
    <bk>
      <extLst>
        <ext uri="{3e2802c4-a4d2-4d8b-9148-e3be6c30e623}">
          <xlrd:rvb i="3548"/>
        </ext>
      </extLst>
    </bk>
    <bk>
      <extLst>
        <ext uri="{3e2802c4-a4d2-4d8b-9148-e3be6c30e623}">
          <xlrd:rvb i="3549"/>
        </ext>
      </extLst>
    </bk>
    <bk>
      <extLst>
        <ext uri="{3e2802c4-a4d2-4d8b-9148-e3be6c30e623}">
          <xlrd:rvb i="3550"/>
        </ext>
      </extLst>
    </bk>
    <bk>
      <extLst>
        <ext uri="{3e2802c4-a4d2-4d8b-9148-e3be6c30e623}">
          <xlrd:rvb i="3551"/>
        </ext>
      </extLst>
    </bk>
    <bk>
      <extLst>
        <ext uri="{3e2802c4-a4d2-4d8b-9148-e3be6c30e623}">
          <xlrd:rvb i="3552"/>
        </ext>
      </extLst>
    </bk>
    <bk>
      <extLst>
        <ext uri="{3e2802c4-a4d2-4d8b-9148-e3be6c30e623}">
          <xlrd:rvb i="3553"/>
        </ext>
      </extLst>
    </bk>
    <bk>
      <extLst>
        <ext uri="{3e2802c4-a4d2-4d8b-9148-e3be6c30e623}">
          <xlrd:rvb i="3554"/>
        </ext>
      </extLst>
    </bk>
    <bk>
      <extLst>
        <ext uri="{3e2802c4-a4d2-4d8b-9148-e3be6c30e623}">
          <xlrd:rvb i="3555"/>
        </ext>
      </extLst>
    </bk>
    <bk>
      <extLst>
        <ext uri="{3e2802c4-a4d2-4d8b-9148-e3be6c30e623}">
          <xlrd:rvb i="3556"/>
        </ext>
      </extLst>
    </bk>
    <bk>
      <extLst>
        <ext uri="{3e2802c4-a4d2-4d8b-9148-e3be6c30e623}">
          <xlrd:rvb i="3557"/>
        </ext>
      </extLst>
    </bk>
    <bk>
      <extLst>
        <ext uri="{3e2802c4-a4d2-4d8b-9148-e3be6c30e623}">
          <xlrd:rvb i="3558"/>
        </ext>
      </extLst>
    </bk>
    <bk>
      <extLst>
        <ext uri="{3e2802c4-a4d2-4d8b-9148-e3be6c30e623}">
          <xlrd:rvb i="3559"/>
        </ext>
      </extLst>
    </bk>
    <bk>
      <extLst>
        <ext uri="{3e2802c4-a4d2-4d8b-9148-e3be6c30e623}">
          <xlrd:rvb i="3560"/>
        </ext>
      </extLst>
    </bk>
    <bk>
      <extLst>
        <ext uri="{3e2802c4-a4d2-4d8b-9148-e3be6c30e623}">
          <xlrd:rvb i="3561"/>
        </ext>
      </extLst>
    </bk>
    <bk>
      <extLst>
        <ext uri="{3e2802c4-a4d2-4d8b-9148-e3be6c30e623}">
          <xlrd:rvb i="3562"/>
        </ext>
      </extLst>
    </bk>
    <bk>
      <extLst>
        <ext uri="{3e2802c4-a4d2-4d8b-9148-e3be6c30e623}">
          <xlrd:rvb i="3563"/>
        </ext>
      </extLst>
    </bk>
    <bk>
      <extLst>
        <ext uri="{3e2802c4-a4d2-4d8b-9148-e3be6c30e623}">
          <xlrd:rvb i="3564"/>
        </ext>
      </extLst>
    </bk>
    <bk>
      <extLst>
        <ext uri="{3e2802c4-a4d2-4d8b-9148-e3be6c30e623}">
          <xlrd:rvb i="3565"/>
        </ext>
      </extLst>
    </bk>
    <bk>
      <extLst>
        <ext uri="{3e2802c4-a4d2-4d8b-9148-e3be6c30e623}">
          <xlrd:rvb i="3566"/>
        </ext>
      </extLst>
    </bk>
    <bk>
      <extLst>
        <ext uri="{3e2802c4-a4d2-4d8b-9148-e3be6c30e623}">
          <xlrd:rvb i="3567"/>
        </ext>
      </extLst>
    </bk>
    <bk>
      <extLst>
        <ext uri="{3e2802c4-a4d2-4d8b-9148-e3be6c30e623}">
          <xlrd:rvb i="3568"/>
        </ext>
      </extLst>
    </bk>
    <bk>
      <extLst>
        <ext uri="{3e2802c4-a4d2-4d8b-9148-e3be6c30e623}">
          <xlrd:rvb i="3569"/>
        </ext>
      </extLst>
    </bk>
    <bk>
      <extLst>
        <ext uri="{3e2802c4-a4d2-4d8b-9148-e3be6c30e623}">
          <xlrd:rvb i="3570"/>
        </ext>
      </extLst>
    </bk>
    <bk>
      <extLst>
        <ext uri="{3e2802c4-a4d2-4d8b-9148-e3be6c30e623}">
          <xlrd:rvb i="3571"/>
        </ext>
      </extLst>
    </bk>
    <bk>
      <extLst>
        <ext uri="{3e2802c4-a4d2-4d8b-9148-e3be6c30e623}">
          <xlrd:rvb i="3572"/>
        </ext>
      </extLst>
    </bk>
    <bk>
      <extLst>
        <ext uri="{3e2802c4-a4d2-4d8b-9148-e3be6c30e623}">
          <xlrd:rvb i="3573"/>
        </ext>
      </extLst>
    </bk>
    <bk>
      <extLst>
        <ext uri="{3e2802c4-a4d2-4d8b-9148-e3be6c30e623}">
          <xlrd:rvb i="3574"/>
        </ext>
      </extLst>
    </bk>
    <bk>
      <extLst>
        <ext uri="{3e2802c4-a4d2-4d8b-9148-e3be6c30e623}">
          <xlrd:rvb i="3575"/>
        </ext>
      </extLst>
    </bk>
    <bk>
      <extLst>
        <ext uri="{3e2802c4-a4d2-4d8b-9148-e3be6c30e623}">
          <xlrd:rvb i="3576"/>
        </ext>
      </extLst>
    </bk>
    <bk>
      <extLst>
        <ext uri="{3e2802c4-a4d2-4d8b-9148-e3be6c30e623}">
          <xlrd:rvb i="3577"/>
        </ext>
      </extLst>
    </bk>
    <bk>
      <extLst>
        <ext uri="{3e2802c4-a4d2-4d8b-9148-e3be6c30e623}">
          <xlrd:rvb i="3578"/>
        </ext>
      </extLst>
    </bk>
    <bk>
      <extLst>
        <ext uri="{3e2802c4-a4d2-4d8b-9148-e3be6c30e623}">
          <xlrd:rvb i="3579"/>
        </ext>
      </extLst>
    </bk>
    <bk>
      <extLst>
        <ext uri="{3e2802c4-a4d2-4d8b-9148-e3be6c30e623}">
          <xlrd:rvb i="3580"/>
        </ext>
      </extLst>
    </bk>
    <bk>
      <extLst>
        <ext uri="{3e2802c4-a4d2-4d8b-9148-e3be6c30e623}">
          <xlrd:rvb i="3581"/>
        </ext>
      </extLst>
    </bk>
    <bk>
      <extLst>
        <ext uri="{3e2802c4-a4d2-4d8b-9148-e3be6c30e623}">
          <xlrd:rvb i="3582"/>
        </ext>
      </extLst>
    </bk>
    <bk>
      <extLst>
        <ext uri="{3e2802c4-a4d2-4d8b-9148-e3be6c30e623}">
          <xlrd:rvb i="3583"/>
        </ext>
      </extLst>
    </bk>
    <bk>
      <extLst>
        <ext uri="{3e2802c4-a4d2-4d8b-9148-e3be6c30e623}">
          <xlrd:rvb i="3584"/>
        </ext>
      </extLst>
    </bk>
    <bk>
      <extLst>
        <ext uri="{3e2802c4-a4d2-4d8b-9148-e3be6c30e623}">
          <xlrd:rvb i="3585"/>
        </ext>
      </extLst>
    </bk>
    <bk>
      <extLst>
        <ext uri="{3e2802c4-a4d2-4d8b-9148-e3be6c30e623}">
          <xlrd:rvb i="3586"/>
        </ext>
      </extLst>
    </bk>
    <bk>
      <extLst>
        <ext uri="{3e2802c4-a4d2-4d8b-9148-e3be6c30e623}">
          <xlrd:rvb i="3587"/>
        </ext>
      </extLst>
    </bk>
    <bk>
      <extLst>
        <ext uri="{3e2802c4-a4d2-4d8b-9148-e3be6c30e623}">
          <xlrd:rvb i="3588"/>
        </ext>
      </extLst>
    </bk>
    <bk>
      <extLst>
        <ext uri="{3e2802c4-a4d2-4d8b-9148-e3be6c30e623}">
          <xlrd:rvb i="3589"/>
        </ext>
      </extLst>
    </bk>
    <bk>
      <extLst>
        <ext uri="{3e2802c4-a4d2-4d8b-9148-e3be6c30e623}">
          <xlrd:rvb i="3590"/>
        </ext>
      </extLst>
    </bk>
    <bk>
      <extLst>
        <ext uri="{3e2802c4-a4d2-4d8b-9148-e3be6c30e623}">
          <xlrd:rvb i="3591"/>
        </ext>
      </extLst>
    </bk>
    <bk>
      <extLst>
        <ext uri="{3e2802c4-a4d2-4d8b-9148-e3be6c30e623}">
          <xlrd:rvb i="3592"/>
        </ext>
      </extLst>
    </bk>
    <bk>
      <extLst>
        <ext uri="{3e2802c4-a4d2-4d8b-9148-e3be6c30e623}">
          <xlrd:rvb i="3593"/>
        </ext>
      </extLst>
    </bk>
    <bk>
      <extLst>
        <ext uri="{3e2802c4-a4d2-4d8b-9148-e3be6c30e623}">
          <xlrd:rvb i="3594"/>
        </ext>
      </extLst>
    </bk>
    <bk>
      <extLst>
        <ext uri="{3e2802c4-a4d2-4d8b-9148-e3be6c30e623}">
          <xlrd:rvb i="3595"/>
        </ext>
      </extLst>
    </bk>
    <bk>
      <extLst>
        <ext uri="{3e2802c4-a4d2-4d8b-9148-e3be6c30e623}">
          <xlrd:rvb i="3596"/>
        </ext>
      </extLst>
    </bk>
    <bk>
      <extLst>
        <ext uri="{3e2802c4-a4d2-4d8b-9148-e3be6c30e623}">
          <xlrd:rvb i="3597"/>
        </ext>
      </extLst>
    </bk>
    <bk>
      <extLst>
        <ext uri="{3e2802c4-a4d2-4d8b-9148-e3be6c30e623}">
          <xlrd:rvb i="3598"/>
        </ext>
      </extLst>
    </bk>
    <bk>
      <extLst>
        <ext uri="{3e2802c4-a4d2-4d8b-9148-e3be6c30e623}">
          <xlrd:rvb i="3599"/>
        </ext>
      </extLst>
    </bk>
    <bk>
      <extLst>
        <ext uri="{3e2802c4-a4d2-4d8b-9148-e3be6c30e623}">
          <xlrd:rvb i="3600"/>
        </ext>
      </extLst>
    </bk>
    <bk>
      <extLst>
        <ext uri="{3e2802c4-a4d2-4d8b-9148-e3be6c30e623}">
          <xlrd:rvb i="3601"/>
        </ext>
      </extLst>
    </bk>
    <bk>
      <extLst>
        <ext uri="{3e2802c4-a4d2-4d8b-9148-e3be6c30e623}">
          <xlrd:rvb i="3602"/>
        </ext>
      </extLst>
    </bk>
    <bk>
      <extLst>
        <ext uri="{3e2802c4-a4d2-4d8b-9148-e3be6c30e623}">
          <xlrd:rvb i="3603"/>
        </ext>
      </extLst>
    </bk>
    <bk>
      <extLst>
        <ext uri="{3e2802c4-a4d2-4d8b-9148-e3be6c30e623}">
          <xlrd:rvb i="3604"/>
        </ext>
      </extLst>
    </bk>
    <bk>
      <extLst>
        <ext uri="{3e2802c4-a4d2-4d8b-9148-e3be6c30e623}">
          <xlrd:rvb i="3605"/>
        </ext>
      </extLst>
    </bk>
    <bk>
      <extLst>
        <ext uri="{3e2802c4-a4d2-4d8b-9148-e3be6c30e623}">
          <xlrd:rvb i="3606"/>
        </ext>
      </extLst>
    </bk>
    <bk>
      <extLst>
        <ext uri="{3e2802c4-a4d2-4d8b-9148-e3be6c30e623}">
          <xlrd:rvb i="3607"/>
        </ext>
      </extLst>
    </bk>
    <bk>
      <extLst>
        <ext uri="{3e2802c4-a4d2-4d8b-9148-e3be6c30e623}">
          <xlrd:rvb i="3608"/>
        </ext>
      </extLst>
    </bk>
    <bk>
      <extLst>
        <ext uri="{3e2802c4-a4d2-4d8b-9148-e3be6c30e623}">
          <xlrd:rvb i="3609"/>
        </ext>
      </extLst>
    </bk>
    <bk>
      <extLst>
        <ext uri="{3e2802c4-a4d2-4d8b-9148-e3be6c30e623}">
          <xlrd:rvb i="3610"/>
        </ext>
      </extLst>
    </bk>
    <bk>
      <extLst>
        <ext uri="{3e2802c4-a4d2-4d8b-9148-e3be6c30e623}">
          <xlrd:rvb i="3611"/>
        </ext>
      </extLst>
    </bk>
    <bk>
      <extLst>
        <ext uri="{3e2802c4-a4d2-4d8b-9148-e3be6c30e623}">
          <xlrd:rvb i="3612"/>
        </ext>
      </extLst>
    </bk>
    <bk>
      <extLst>
        <ext uri="{3e2802c4-a4d2-4d8b-9148-e3be6c30e623}">
          <xlrd:rvb i="3613"/>
        </ext>
      </extLst>
    </bk>
    <bk>
      <extLst>
        <ext uri="{3e2802c4-a4d2-4d8b-9148-e3be6c30e623}">
          <xlrd:rvb i="3614"/>
        </ext>
      </extLst>
    </bk>
    <bk>
      <extLst>
        <ext uri="{3e2802c4-a4d2-4d8b-9148-e3be6c30e623}">
          <xlrd:rvb i="3615"/>
        </ext>
      </extLst>
    </bk>
    <bk>
      <extLst>
        <ext uri="{3e2802c4-a4d2-4d8b-9148-e3be6c30e623}">
          <xlrd:rvb i="3616"/>
        </ext>
      </extLst>
    </bk>
    <bk>
      <extLst>
        <ext uri="{3e2802c4-a4d2-4d8b-9148-e3be6c30e623}">
          <xlrd:rvb i="3617"/>
        </ext>
      </extLst>
    </bk>
    <bk>
      <extLst>
        <ext uri="{3e2802c4-a4d2-4d8b-9148-e3be6c30e623}">
          <xlrd:rvb i="3618"/>
        </ext>
      </extLst>
    </bk>
    <bk>
      <extLst>
        <ext uri="{3e2802c4-a4d2-4d8b-9148-e3be6c30e623}">
          <xlrd:rvb i="3619"/>
        </ext>
      </extLst>
    </bk>
    <bk>
      <extLst>
        <ext uri="{3e2802c4-a4d2-4d8b-9148-e3be6c30e623}">
          <xlrd:rvb i="3620"/>
        </ext>
      </extLst>
    </bk>
    <bk>
      <extLst>
        <ext uri="{3e2802c4-a4d2-4d8b-9148-e3be6c30e623}">
          <xlrd:rvb i="3621"/>
        </ext>
      </extLst>
    </bk>
    <bk>
      <extLst>
        <ext uri="{3e2802c4-a4d2-4d8b-9148-e3be6c30e623}">
          <xlrd:rvb i="3622"/>
        </ext>
      </extLst>
    </bk>
    <bk>
      <extLst>
        <ext uri="{3e2802c4-a4d2-4d8b-9148-e3be6c30e623}">
          <xlrd:rvb i="3623"/>
        </ext>
      </extLst>
    </bk>
    <bk>
      <extLst>
        <ext uri="{3e2802c4-a4d2-4d8b-9148-e3be6c30e623}">
          <xlrd:rvb i="3624"/>
        </ext>
      </extLst>
    </bk>
    <bk>
      <extLst>
        <ext uri="{3e2802c4-a4d2-4d8b-9148-e3be6c30e623}">
          <xlrd:rvb i="3625"/>
        </ext>
      </extLst>
    </bk>
    <bk>
      <extLst>
        <ext uri="{3e2802c4-a4d2-4d8b-9148-e3be6c30e623}">
          <xlrd:rvb i="3626"/>
        </ext>
      </extLst>
    </bk>
    <bk>
      <extLst>
        <ext uri="{3e2802c4-a4d2-4d8b-9148-e3be6c30e623}">
          <xlrd:rvb i="3627"/>
        </ext>
      </extLst>
    </bk>
    <bk>
      <extLst>
        <ext uri="{3e2802c4-a4d2-4d8b-9148-e3be6c30e623}">
          <xlrd:rvb i="3628"/>
        </ext>
      </extLst>
    </bk>
    <bk>
      <extLst>
        <ext uri="{3e2802c4-a4d2-4d8b-9148-e3be6c30e623}">
          <xlrd:rvb i="3629"/>
        </ext>
      </extLst>
    </bk>
    <bk>
      <extLst>
        <ext uri="{3e2802c4-a4d2-4d8b-9148-e3be6c30e623}">
          <xlrd:rvb i="3630"/>
        </ext>
      </extLst>
    </bk>
    <bk>
      <extLst>
        <ext uri="{3e2802c4-a4d2-4d8b-9148-e3be6c30e623}">
          <xlrd:rvb i="3631"/>
        </ext>
      </extLst>
    </bk>
    <bk>
      <extLst>
        <ext uri="{3e2802c4-a4d2-4d8b-9148-e3be6c30e623}">
          <xlrd:rvb i="3632"/>
        </ext>
      </extLst>
    </bk>
    <bk>
      <extLst>
        <ext uri="{3e2802c4-a4d2-4d8b-9148-e3be6c30e623}">
          <xlrd:rvb i="3633"/>
        </ext>
      </extLst>
    </bk>
    <bk>
      <extLst>
        <ext uri="{3e2802c4-a4d2-4d8b-9148-e3be6c30e623}">
          <xlrd:rvb i="3634"/>
        </ext>
      </extLst>
    </bk>
    <bk>
      <extLst>
        <ext uri="{3e2802c4-a4d2-4d8b-9148-e3be6c30e623}">
          <xlrd:rvb i="3635"/>
        </ext>
      </extLst>
    </bk>
    <bk>
      <extLst>
        <ext uri="{3e2802c4-a4d2-4d8b-9148-e3be6c30e623}">
          <xlrd:rvb i="3636"/>
        </ext>
      </extLst>
    </bk>
    <bk>
      <extLst>
        <ext uri="{3e2802c4-a4d2-4d8b-9148-e3be6c30e623}">
          <xlrd:rvb i="3637"/>
        </ext>
      </extLst>
    </bk>
    <bk>
      <extLst>
        <ext uri="{3e2802c4-a4d2-4d8b-9148-e3be6c30e623}">
          <xlrd:rvb i="3638"/>
        </ext>
      </extLst>
    </bk>
    <bk>
      <extLst>
        <ext uri="{3e2802c4-a4d2-4d8b-9148-e3be6c30e623}">
          <xlrd:rvb i="3639"/>
        </ext>
      </extLst>
    </bk>
    <bk>
      <extLst>
        <ext uri="{3e2802c4-a4d2-4d8b-9148-e3be6c30e623}">
          <xlrd:rvb i="3640"/>
        </ext>
      </extLst>
    </bk>
    <bk>
      <extLst>
        <ext uri="{3e2802c4-a4d2-4d8b-9148-e3be6c30e623}">
          <xlrd:rvb i="3641"/>
        </ext>
      </extLst>
    </bk>
    <bk>
      <extLst>
        <ext uri="{3e2802c4-a4d2-4d8b-9148-e3be6c30e623}">
          <xlrd:rvb i="3642"/>
        </ext>
      </extLst>
    </bk>
    <bk>
      <extLst>
        <ext uri="{3e2802c4-a4d2-4d8b-9148-e3be6c30e623}">
          <xlrd:rvb i="3643"/>
        </ext>
      </extLst>
    </bk>
    <bk>
      <extLst>
        <ext uri="{3e2802c4-a4d2-4d8b-9148-e3be6c30e623}">
          <xlrd:rvb i="3644"/>
        </ext>
      </extLst>
    </bk>
    <bk>
      <extLst>
        <ext uri="{3e2802c4-a4d2-4d8b-9148-e3be6c30e623}">
          <xlrd:rvb i="3645"/>
        </ext>
      </extLst>
    </bk>
    <bk>
      <extLst>
        <ext uri="{3e2802c4-a4d2-4d8b-9148-e3be6c30e623}">
          <xlrd:rvb i="3646"/>
        </ext>
      </extLst>
    </bk>
    <bk>
      <extLst>
        <ext uri="{3e2802c4-a4d2-4d8b-9148-e3be6c30e623}">
          <xlrd:rvb i="3647"/>
        </ext>
      </extLst>
    </bk>
    <bk>
      <extLst>
        <ext uri="{3e2802c4-a4d2-4d8b-9148-e3be6c30e623}">
          <xlrd:rvb i="3648"/>
        </ext>
      </extLst>
    </bk>
    <bk>
      <extLst>
        <ext uri="{3e2802c4-a4d2-4d8b-9148-e3be6c30e623}">
          <xlrd:rvb i="3649"/>
        </ext>
      </extLst>
    </bk>
    <bk>
      <extLst>
        <ext uri="{3e2802c4-a4d2-4d8b-9148-e3be6c30e623}">
          <xlrd:rvb i="3650"/>
        </ext>
      </extLst>
    </bk>
    <bk>
      <extLst>
        <ext uri="{3e2802c4-a4d2-4d8b-9148-e3be6c30e623}">
          <xlrd:rvb i="3651"/>
        </ext>
      </extLst>
    </bk>
    <bk>
      <extLst>
        <ext uri="{3e2802c4-a4d2-4d8b-9148-e3be6c30e623}">
          <xlrd:rvb i="3652"/>
        </ext>
      </extLst>
    </bk>
    <bk>
      <extLst>
        <ext uri="{3e2802c4-a4d2-4d8b-9148-e3be6c30e623}">
          <xlrd:rvb i="3653"/>
        </ext>
      </extLst>
    </bk>
    <bk>
      <extLst>
        <ext uri="{3e2802c4-a4d2-4d8b-9148-e3be6c30e623}">
          <xlrd:rvb i="3654"/>
        </ext>
      </extLst>
    </bk>
    <bk>
      <extLst>
        <ext uri="{3e2802c4-a4d2-4d8b-9148-e3be6c30e623}">
          <xlrd:rvb i="3655"/>
        </ext>
      </extLst>
    </bk>
    <bk>
      <extLst>
        <ext uri="{3e2802c4-a4d2-4d8b-9148-e3be6c30e623}">
          <xlrd:rvb i="3656"/>
        </ext>
      </extLst>
    </bk>
    <bk>
      <extLst>
        <ext uri="{3e2802c4-a4d2-4d8b-9148-e3be6c30e623}">
          <xlrd:rvb i="3657"/>
        </ext>
      </extLst>
    </bk>
    <bk>
      <extLst>
        <ext uri="{3e2802c4-a4d2-4d8b-9148-e3be6c30e623}">
          <xlrd:rvb i="3658"/>
        </ext>
      </extLst>
    </bk>
    <bk>
      <extLst>
        <ext uri="{3e2802c4-a4d2-4d8b-9148-e3be6c30e623}">
          <xlrd:rvb i="3659"/>
        </ext>
      </extLst>
    </bk>
    <bk>
      <extLst>
        <ext uri="{3e2802c4-a4d2-4d8b-9148-e3be6c30e623}">
          <xlrd:rvb i="3660"/>
        </ext>
      </extLst>
    </bk>
    <bk>
      <extLst>
        <ext uri="{3e2802c4-a4d2-4d8b-9148-e3be6c30e623}">
          <xlrd:rvb i="3661"/>
        </ext>
      </extLst>
    </bk>
    <bk>
      <extLst>
        <ext uri="{3e2802c4-a4d2-4d8b-9148-e3be6c30e623}">
          <xlrd:rvb i="3662"/>
        </ext>
      </extLst>
    </bk>
    <bk>
      <extLst>
        <ext uri="{3e2802c4-a4d2-4d8b-9148-e3be6c30e623}">
          <xlrd:rvb i="3663"/>
        </ext>
      </extLst>
    </bk>
    <bk>
      <extLst>
        <ext uri="{3e2802c4-a4d2-4d8b-9148-e3be6c30e623}">
          <xlrd:rvb i="3664"/>
        </ext>
      </extLst>
    </bk>
    <bk>
      <extLst>
        <ext uri="{3e2802c4-a4d2-4d8b-9148-e3be6c30e623}">
          <xlrd:rvb i="3665"/>
        </ext>
      </extLst>
    </bk>
    <bk>
      <extLst>
        <ext uri="{3e2802c4-a4d2-4d8b-9148-e3be6c30e623}">
          <xlrd:rvb i="3666"/>
        </ext>
      </extLst>
    </bk>
    <bk>
      <extLst>
        <ext uri="{3e2802c4-a4d2-4d8b-9148-e3be6c30e623}">
          <xlrd:rvb i="3667"/>
        </ext>
      </extLst>
    </bk>
    <bk>
      <extLst>
        <ext uri="{3e2802c4-a4d2-4d8b-9148-e3be6c30e623}">
          <xlrd:rvb i="3668"/>
        </ext>
      </extLst>
    </bk>
    <bk>
      <extLst>
        <ext uri="{3e2802c4-a4d2-4d8b-9148-e3be6c30e623}">
          <xlrd:rvb i="3669"/>
        </ext>
      </extLst>
    </bk>
    <bk>
      <extLst>
        <ext uri="{3e2802c4-a4d2-4d8b-9148-e3be6c30e623}">
          <xlrd:rvb i="3670"/>
        </ext>
      </extLst>
    </bk>
    <bk>
      <extLst>
        <ext uri="{3e2802c4-a4d2-4d8b-9148-e3be6c30e623}">
          <xlrd:rvb i="3671"/>
        </ext>
      </extLst>
    </bk>
    <bk>
      <extLst>
        <ext uri="{3e2802c4-a4d2-4d8b-9148-e3be6c30e623}">
          <xlrd:rvb i="3672"/>
        </ext>
      </extLst>
    </bk>
    <bk>
      <extLst>
        <ext uri="{3e2802c4-a4d2-4d8b-9148-e3be6c30e623}">
          <xlrd:rvb i="3673"/>
        </ext>
      </extLst>
    </bk>
    <bk>
      <extLst>
        <ext uri="{3e2802c4-a4d2-4d8b-9148-e3be6c30e623}">
          <xlrd:rvb i="3674"/>
        </ext>
      </extLst>
    </bk>
    <bk>
      <extLst>
        <ext uri="{3e2802c4-a4d2-4d8b-9148-e3be6c30e623}">
          <xlrd:rvb i="3675"/>
        </ext>
      </extLst>
    </bk>
    <bk>
      <extLst>
        <ext uri="{3e2802c4-a4d2-4d8b-9148-e3be6c30e623}">
          <xlrd:rvb i="3676"/>
        </ext>
      </extLst>
    </bk>
    <bk>
      <extLst>
        <ext uri="{3e2802c4-a4d2-4d8b-9148-e3be6c30e623}">
          <xlrd:rvb i="3677"/>
        </ext>
      </extLst>
    </bk>
    <bk>
      <extLst>
        <ext uri="{3e2802c4-a4d2-4d8b-9148-e3be6c30e623}">
          <xlrd:rvb i="3678"/>
        </ext>
      </extLst>
    </bk>
    <bk>
      <extLst>
        <ext uri="{3e2802c4-a4d2-4d8b-9148-e3be6c30e623}">
          <xlrd:rvb i="3679"/>
        </ext>
      </extLst>
    </bk>
    <bk>
      <extLst>
        <ext uri="{3e2802c4-a4d2-4d8b-9148-e3be6c30e623}">
          <xlrd:rvb i="3680"/>
        </ext>
      </extLst>
    </bk>
    <bk>
      <extLst>
        <ext uri="{3e2802c4-a4d2-4d8b-9148-e3be6c30e623}">
          <xlrd:rvb i="3681"/>
        </ext>
      </extLst>
    </bk>
    <bk>
      <extLst>
        <ext uri="{3e2802c4-a4d2-4d8b-9148-e3be6c30e623}">
          <xlrd:rvb i="3682"/>
        </ext>
      </extLst>
    </bk>
    <bk>
      <extLst>
        <ext uri="{3e2802c4-a4d2-4d8b-9148-e3be6c30e623}">
          <xlrd:rvb i="3683"/>
        </ext>
      </extLst>
    </bk>
    <bk>
      <extLst>
        <ext uri="{3e2802c4-a4d2-4d8b-9148-e3be6c30e623}">
          <xlrd:rvb i="3684"/>
        </ext>
      </extLst>
    </bk>
    <bk>
      <extLst>
        <ext uri="{3e2802c4-a4d2-4d8b-9148-e3be6c30e623}">
          <xlrd:rvb i="3685"/>
        </ext>
      </extLst>
    </bk>
    <bk>
      <extLst>
        <ext uri="{3e2802c4-a4d2-4d8b-9148-e3be6c30e623}">
          <xlrd:rvb i="3686"/>
        </ext>
      </extLst>
    </bk>
    <bk>
      <extLst>
        <ext uri="{3e2802c4-a4d2-4d8b-9148-e3be6c30e623}">
          <xlrd:rvb i="3687"/>
        </ext>
      </extLst>
    </bk>
    <bk>
      <extLst>
        <ext uri="{3e2802c4-a4d2-4d8b-9148-e3be6c30e623}">
          <xlrd:rvb i="3688"/>
        </ext>
      </extLst>
    </bk>
    <bk>
      <extLst>
        <ext uri="{3e2802c4-a4d2-4d8b-9148-e3be6c30e623}">
          <xlrd:rvb i="3689"/>
        </ext>
      </extLst>
    </bk>
    <bk>
      <extLst>
        <ext uri="{3e2802c4-a4d2-4d8b-9148-e3be6c30e623}">
          <xlrd:rvb i="3690"/>
        </ext>
      </extLst>
    </bk>
    <bk>
      <extLst>
        <ext uri="{3e2802c4-a4d2-4d8b-9148-e3be6c30e623}">
          <xlrd:rvb i="3691"/>
        </ext>
      </extLst>
    </bk>
    <bk>
      <extLst>
        <ext uri="{3e2802c4-a4d2-4d8b-9148-e3be6c30e623}">
          <xlrd:rvb i="3692"/>
        </ext>
      </extLst>
    </bk>
    <bk>
      <extLst>
        <ext uri="{3e2802c4-a4d2-4d8b-9148-e3be6c30e623}">
          <xlrd:rvb i="3693"/>
        </ext>
      </extLst>
    </bk>
    <bk>
      <extLst>
        <ext uri="{3e2802c4-a4d2-4d8b-9148-e3be6c30e623}">
          <xlrd:rvb i="3694"/>
        </ext>
      </extLst>
    </bk>
    <bk>
      <extLst>
        <ext uri="{3e2802c4-a4d2-4d8b-9148-e3be6c30e623}">
          <xlrd:rvb i="3695"/>
        </ext>
      </extLst>
    </bk>
    <bk>
      <extLst>
        <ext uri="{3e2802c4-a4d2-4d8b-9148-e3be6c30e623}">
          <xlrd:rvb i="3696"/>
        </ext>
      </extLst>
    </bk>
    <bk>
      <extLst>
        <ext uri="{3e2802c4-a4d2-4d8b-9148-e3be6c30e623}">
          <xlrd:rvb i="3697"/>
        </ext>
      </extLst>
    </bk>
    <bk>
      <extLst>
        <ext uri="{3e2802c4-a4d2-4d8b-9148-e3be6c30e623}">
          <xlrd:rvb i="3698"/>
        </ext>
      </extLst>
    </bk>
    <bk>
      <extLst>
        <ext uri="{3e2802c4-a4d2-4d8b-9148-e3be6c30e623}">
          <xlrd:rvb i="3699"/>
        </ext>
      </extLst>
    </bk>
    <bk>
      <extLst>
        <ext uri="{3e2802c4-a4d2-4d8b-9148-e3be6c30e623}">
          <xlrd:rvb i="3700"/>
        </ext>
      </extLst>
    </bk>
    <bk>
      <extLst>
        <ext uri="{3e2802c4-a4d2-4d8b-9148-e3be6c30e623}">
          <xlrd:rvb i="3701"/>
        </ext>
      </extLst>
    </bk>
    <bk>
      <extLst>
        <ext uri="{3e2802c4-a4d2-4d8b-9148-e3be6c30e623}">
          <xlrd:rvb i="3702"/>
        </ext>
      </extLst>
    </bk>
    <bk>
      <extLst>
        <ext uri="{3e2802c4-a4d2-4d8b-9148-e3be6c30e623}">
          <xlrd:rvb i="3703"/>
        </ext>
      </extLst>
    </bk>
    <bk>
      <extLst>
        <ext uri="{3e2802c4-a4d2-4d8b-9148-e3be6c30e623}">
          <xlrd:rvb i="3704"/>
        </ext>
      </extLst>
    </bk>
    <bk>
      <extLst>
        <ext uri="{3e2802c4-a4d2-4d8b-9148-e3be6c30e623}">
          <xlrd:rvb i="3705"/>
        </ext>
      </extLst>
    </bk>
    <bk>
      <extLst>
        <ext uri="{3e2802c4-a4d2-4d8b-9148-e3be6c30e623}">
          <xlrd:rvb i="3706"/>
        </ext>
      </extLst>
    </bk>
    <bk>
      <extLst>
        <ext uri="{3e2802c4-a4d2-4d8b-9148-e3be6c30e623}">
          <xlrd:rvb i="3707"/>
        </ext>
      </extLst>
    </bk>
    <bk>
      <extLst>
        <ext uri="{3e2802c4-a4d2-4d8b-9148-e3be6c30e623}">
          <xlrd:rvb i="3708"/>
        </ext>
      </extLst>
    </bk>
    <bk>
      <extLst>
        <ext uri="{3e2802c4-a4d2-4d8b-9148-e3be6c30e623}">
          <xlrd:rvb i="3709"/>
        </ext>
      </extLst>
    </bk>
    <bk>
      <extLst>
        <ext uri="{3e2802c4-a4d2-4d8b-9148-e3be6c30e623}">
          <xlrd:rvb i="3710"/>
        </ext>
      </extLst>
    </bk>
    <bk>
      <extLst>
        <ext uri="{3e2802c4-a4d2-4d8b-9148-e3be6c30e623}">
          <xlrd:rvb i="3711"/>
        </ext>
      </extLst>
    </bk>
    <bk>
      <extLst>
        <ext uri="{3e2802c4-a4d2-4d8b-9148-e3be6c30e623}">
          <xlrd:rvb i="3712"/>
        </ext>
      </extLst>
    </bk>
    <bk>
      <extLst>
        <ext uri="{3e2802c4-a4d2-4d8b-9148-e3be6c30e623}">
          <xlrd:rvb i="3713"/>
        </ext>
      </extLst>
    </bk>
    <bk>
      <extLst>
        <ext uri="{3e2802c4-a4d2-4d8b-9148-e3be6c30e623}">
          <xlrd:rvb i="3714"/>
        </ext>
      </extLst>
    </bk>
    <bk>
      <extLst>
        <ext uri="{3e2802c4-a4d2-4d8b-9148-e3be6c30e623}">
          <xlrd:rvb i="3715"/>
        </ext>
      </extLst>
    </bk>
    <bk>
      <extLst>
        <ext uri="{3e2802c4-a4d2-4d8b-9148-e3be6c30e623}">
          <xlrd:rvb i="3716"/>
        </ext>
      </extLst>
    </bk>
    <bk>
      <extLst>
        <ext uri="{3e2802c4-a4d2-4d8b-9148-e3be6c30e623}">
          <xlrd:rvb i="3717"/>
        </ext>
      </extLst>
    </bk>
    <bk>
      <extLst>
        <ext uri="{3e2802c4-a4d2-4d8b-9148-e3be6c30e623}">
          <xlrd:rvb i="3718"/>
        </ext>
      </extLst>
    </bk>
    <bk>
      <extLst>
        <ext uri="{3e2802c4-a4d2-4d8b-9148-e3be6c30e623}">
          <xlrd:rvb i="3719"/>
        </ext>
      </extLst>
    </bk>
    <bk>
      <extLst>
        <ext uri="{3e2802c4-a4d2-4d8b-9148-e3be6c30e623}">
          <xlrd:rvb i="3720"/>
        </ext>
      </extLst>
    </bk>
    <bk>
      <extLst>
        <ext uri="{3e2802c4-a4d2-4d8b-9148-e3be6c30e623}">
          <xlrd:rvb i="3721"/>
        </ext>
      </extLst>
    </bk>
    <bk>
      <extLst>
        <ext uri="{3e2802c4-a4d2-4d8b-9148-e3be6c30e623}">
          <xlrd:rvb i="3722"/>
        </ext>
      </extLst>
    </bk>
    <bk>
      <extLst>
        <ext uri="{3e2802c4-a4d2-4d8b-9148-e3be6c30e623}">
          <xlrd:rvb i="3723"/>
        </ext>
      </extLst>
    </bk>
    <bk>
      <extLst>
        <ext uri="{3e2802c4-a4d2-4d8b-9148-e3be6c30e623}">
          <xlrd:rvb i="3724"/>
        </ext>
      </extLst>
    </bk>
    <bk>
      <extLst>
        <ext uri="{3e2802c4-a4d2-4d8b-9148-e3be6c30e623}">
          <xlrd:rvb i="3725"/>
        </ext>
      </extLst>
    </bk>
    <bk>
      <extLst>
        <ext uri="{3e2802c4-a4d2-4d8b-9148-e3be6c30e623}">
          <xlrd:rvb i="3726"/>
        </ext>
      </extLst>
    </bk>
    <bk>
      <extLst>
        <ext uri="{3e2802c4-a4d2-4d8b-9148-e3be6c30e623}">
          <xlrd:rvb i="3727"/>
        </ext>
      </extLst>
    </bk>
    <bk>
      <extLst>
        <ext uri="{3e2802c4-a4d2-4d8b-9148-e3be6c30e623}">
          <xlrd:rvb i="3728"/>
        </ext>
      </extLst>
    </bk>
    <bk>
      <extLst>
        <ext uri="{3e2802c4-a4d2-4d8b-9148-e3be6c30e623}">
          <xlrd:rvb i="3729"/>
        </ext>
      </extLst>
    </bk>
    <bk>
      <extLst>
        <ext uri="{3e2802c4-a4d2-4d8b-9148-e3be6c30e623}">
          <xlrd:rvb i="3730"/>
        </ext>
      </extLst>
    </bk>
    <bk>
      <extLst>
        <ext uri="{3e2802c4-a4d2-4d8b-9148-e3be6c30e623}">
          <xlrd:rvb i="3731"/>
        </ext>
      </extLst>
    </bk>
    <bk>
      <extLst>
        <ext uri="{3e2802c4-a4d2-4d8b-9148-e3be6c30e623}">
          <xlrd:rvb i="3732"/>
        </ext>
      </extLst>
    </bk>
    <bk>
      <extLst>
        <ext uri="{3e2802c4-a4d2-4d8b-9148-e3be6c30e623}">
          <xlrd:rvb i="3733"/>
        </ext>
      </extLst>
    </bk>
    <bk>
      <extLst>
        <ext uri="{3e2802c4-a4d2-4d8b-9148-e3be6c30e623}">
          <xlrd:rvb i="3734"/>
        </ext>
      </extLst>
    </bk>
    <bk>
      <extLst>
        <ext uri="{3e2802c4-a4d2-4d8b-9148-e3be6c30e623}">
          <xlrd:rvb i="3735"/>
        </ext>
      </extLst>
    </bk>
    <bk>
      <extLst>
        <ext uri="{3e2802c4-a4d2-4d8b-9148-e3be6c30e623}">
          <xlrd:rvb i="3736"/>
        </ext>
      </extLst>
    </bk>
    <bk>
      <extLst>
        <ext uri="{3e2802c4-a4d2-4d8b-9148-e3be6c30e623}">
          <xlrd:rvb i="3737"/>
        </ext>
      </extLst>
    </bk>
    <bk>
      <extLst>
        <ext uri="{3e2802c4-a4d2-4d8b-9148-e3be6c30e623}">
          <xlrd:rvb i="3738"/>
        </ext>
      </extLst>
    </bk>
    <bk>
      <extLst>
        <ext uri="{3e2802c4-a4d2-4d8b-9148-e3be6c30e623}">
          <xlrd:rvb i="3739"/>
        </ext>
      </extLst>
    </bk>
    <bk>
      <extLst>
        <ext uri="{3e2802c4-a4d2-4d8b-9148-e3be6c30e623}">
          <xlrd:rvb i="3740"/>
        </ext>
      </extLst>
    </bk>
    <bk>
      <extLst>
        <ext uri="{3e2802c4-a4d2-4d8b-9148-e3be6c30e623}">
          <xlrd:rvb i="3741"/>
        </ext>
      </extLst>
    </bk>
    <bk>
      <extLst>
        <ext uri="{3e2802c4-a4d2-4d8b-9148-e3be6c30e623}">
          <xlrd:rvb i="3742"/>
        </ext>
      </extLst>
    </bk>
    <bk>
      <extLst>
        <ext uri="{3e2802c4-a4d2-4d8b-9148-e3be6c30e623}">
          <xlrd:rvb i="3743"/>
        </ext>
      </extLst>
    </bk>
    <bk>
      <extLst>
        <ext uri="{3e2802c4-a4d2-4d8b-9148-e3be6c30e623}">
          <xlrd:rvb i="3744"/>
        </ext>
      </extLst>
    </bk>
    <bk>
      <extLst>
        <ext uri="{3e2802c4-a4d2-4d8b-9148-e3be6c30e623}">
          <xlrd:rvb i="3745"/>
        </ext>
      </extLst>
    </bk>
    <bk>
      <extLst>
        <ext uri="{3e2802c4-a4d2-4d8b-9148-e3be6c30e623}">
          <xlrd:rvb i="3746"/>
        </ext>
      </extLst>
    </bk>
    <bk>
      <extLst>
        <ext uri="{3e2802c4-a4d2-4d8b-9148-e3be6c30e623}">
          <xlrd:rvb i="3747"/>
        </ext>
      </extLst>
    </bk>
    <bk>
      <extLst>
        <ext uri="{3e2802c4-a4d2-4d8b-9148-e3be6c30e623}">
          <xlrd:rvb i="3748"/>
        </ext>
      </extLst>
    </bk>
    <bk>
      <extLst>
        <ext uri="{3e2802c4-a4d2-4d8b-9148-e3be6c30e623}">
          <xlrd:rvb i="3749"/>
        </ext>
      </extLst>
    </bk>
    <bk>
      <extLst>
        <ext uri="{3e2802c4-a4d2-4d8b-9148-e3be6c30e623}">
          <xlrd:rvb i="3750"/>
        </ext>
      </extLst>
    </bk>
    <bk>
      <extLst>
        <ext uri="{3e2802c4-a4d2-4d8b-9148-e3be6c30e623}">
          <xlrd:rvb i="3751"/>
        </ext>
      </extLst>
    </bk>
    <bk>
      <extLst>
        <ext uri="{3e2802c4-a4d2-4d8b-9148-e3be6c30e623}">
          <xlrd:rvb i="3752"/>
        </ext>
      </extLst>
    </bk>
    <bk>
      <extLst>
        <ext uri="{3e2802c4-a4d2-4d8b-9148-e3be6c30e623}">
          <xlrd:rvb i="3753"/>
        </ext>
      </extLst>
    </bk>
    <bk>
      <extLst>
        <ext uri="{3e2802c4-a4d2-4d8b-9148-e3be6c30e623}">
          <xlrd:rvb i="3754"/>
        </ext>
      </extLst>
    </bk>
    <bk>
      <extLst>
        <ext uri="{3e2802c4-a4d2-4d8b-9148-e3be6c30e623}">
          <xlrd:rvb i="3755"/>
        </ext>
      </extLst>
    </bk>
    <bk>
      <extLst>
        <ext uri="{3e2802c4-a4d2-4d8b-9148-e3be6c30e623}">
          <xlrd:rvb i="3756"/>
        </ext>
      </extLst>
    </bk>
    <bk>
      <extLst>
        <ext uri="{3e2802c4-a4d2-4d8b-9148-e3be6c30e623}">
          <xlrd:rvb i="3757"/>
        </ext>
      </extLst>
    </bk>
    <bk>
      <extLst>
        <ext uri="{3e2802c4-a4d2-4d8b-9148-e3be6c30e623}">
          <xlrd:rvb i="3758"/>
        </ext>
      </extLst>
    </bk>
    <bk>
      <extLst>
        <ext uri="{3e2802c4-a4d2-4d8b-9148-e3be6c30e623}">
          <xlrd:rvb i="3759"/>
        </ext>
      </extLst>
    </bk>
    <bk>
      <extLst>
        <ext uri="{3e2802c4-a4d2-4d8b-9148-e3be6c30e623}">
          <xlrd:rvb i="3760"/>
        </ext>
      </extLst>
    </bk>
    <bk>
      <extLst>
        <ext uri="{3e2802c4-a4d2-4d8b-9148-e3be6c30e623}">
          <xlrd:rvb i="3761"/>
        </ext>
      </extLst>
    </bk>
    <bk>
      <extLst>
        <ext uri="{3e2802c4-a4d2-4d8b-9148-e3be6c30e623}">
          <xlrd:rvb i="3762"/>
        </ext>
      </extLst>
    </bk>
    <bk>
      <extLst>
        <ext uri="{3e2802c4-a4d2-4d8b-9148-e3be6c30e623}">
          <xlrd:rvb i="3763"/>
        </ext>
      </extLst>
    </bk>
    <bk>
      <extLst>
        <ext uri="{3e2802c4-a4d2-4d8b-9148-e3be6c30e623}">
          <xlrd:rvb i="3764"/>
        </ext>
      </extLst>
    </bk>
    <bk>
      <extLst>
        <ext uri="{3e2802c4-a4d2-4d8b-9148-e3be6c30e623}">
          <xlrd:rvb i="3765"/>
        </ext>
      </extLst>
    </bk>
    <bk>
      <extLst>
        <ext uri="{3e2802c4-a4d2-4d8b-9148-e3be6c30e623}">
          <xlrd:rvb i="3766"/>
        </ext>
      </extLst>
    </bk>
    <bk>
      <extLst>
        <ext uri="{3e2802c4-a4d2-4d8b-9148-e3be6c30e623}">
          <xlrd:rvb i="3767"/>
        </ext>
      </extLst>
    </bk>
    <bk>
      <extLst>
        <ext uri="{3e2802c4-a4d2-4d8b-9148-e3be6c30e623}">
          <xlrd:rvb i="3768"/>
        </ext>
      </extLst>
    </bk>
    <bk>
      <extLst>
        <ext uri="{3e2802c4-a4d2-4d8b-9148-e3be6c30e623}">
          <xlrd:rvb i="3769"/>
        </ext>
      </extLst>
    </bk>
    <bk>
      <extLst>
        <ext uri="{3e2802c4-a4d2-4d8b-9148-e3be6c30e623}">
          <xlrd:rvb i="3770"/>
        </ext>
      </extLst>
    </bk>
    <bk>
      <extLst>
        <ext uri="{3e2802c4-a4d2-4d8b-9148-e3be6c30e623}">
          <xlrd:rvb i="3771"/>
        </ext>
      </extLst>
    </bk>
    <bk>
      <extLst>
        <ext uri="{3e2802c4-a4d2-4d8b-9148-e3be6c30e623}">
          <xlrd:rvb i="3772"/>
        </ext>
      </extLst>
    </bk>
    <bk>
      <extLst>
        <ext uri="{3e2802c4-a4d2-4d8b-9148-e3be6c30e623}">
          <xlrd:rvb i="3773"/>
        </ext>
      </extLst>
    </bk>
    <bk>
      <extLst>
        <ext uri="{3e2802c4-a4d2-4d8b-9148-e3be6c30e623}">
          <xlrd:rvb i="3774"/>
        </ext>
      </extLst>
    </bk>
    <bk>
      <extLst>
        <ext uri="{3e2802c4-a4d2-4d8b-9148-e3be6c30e623}">
          <xlrd:rvb i="3775"/>
        </ext>
      </extLst>
    </bk>
    <bk>
      <extLst>
        <ext uri="{3e2802c4-a4d2-4d8b-9148-e3be6c30e623}">
          <xlrd:rvb i="3776"/>
        </ext>
      </extLst>
    </bk>
    <bk>
      <extLst>
        <ext uri="{3e2802c4-a4d2-4d8b-9148-e3be6c30e623}">
          <xlrd:rvb i="3777"/>
        </ext>
      </extLst>
    </bk>
    <bk>
      <extLst>
        <ext uri="{3e2802c4-a4d2-4d8b-9148-e3be6c30e623}">
          <xlrd:rvb i="3778"/>
        </ext>
      </extLst>
    </bk>
    <bk>
      <extLst>
        <ext uri="{3e2802c4-a4d2-4d8b-9148-e3be6c30e623}">
          <xlrd:rvb i="3779"/>
        </ext>
      </extLst>
    </bk>
    <bk>
      <extLst>
        <ext uri="{3e2802c4-a4d2-4d8b-9148-e3be6c30e623}">
          <xlrd:rvb i="3780"/>
        </ext>
      </extLst>
    </bk>
    <bk>
      <extLst>
        <ext uri="{3e2802c4-a4d2-4d8b-9148-e3be6c30e623}">
          <xlrd:rvb i="3781"/>
        </ext>
      </extLst>
    </bk>
    <bk>
      <extLst>
        <ext uri="{3e2802c4-a4d2-4d8b-9148-e3be6c30e623}">
          <xlrd:rvb i="3782"/>
        </ext>
      </extLst>
    </bk>
    <bk>
      <extLst>
        <ext uri="{3e2802c4-a4d2-4d8b-9148-e3be6c30e623}">
          <xlrd:rvb i="3783"/>
        </ext>
      </extLst>
    </bk>
    <bk>
      <extLst>
        <ext uri="{3e2802c4-a4d2-4d8b-9148-e3be6c30e623}">
          <xlrd:rvb i="3784"/>
        </ext>
      </extLst>
    </bk>
    <bk>
      <extLst>
        <ext uri="{3e2802c4-a4d2-4d8b-9148-e3be6c30e623}">
          <xlrd:rvb i="3785"/>
        </ext>
      </extLst>
    </bk>
    <bk>
      <extLst>
        <ext uri="{3e2802c4-a4d2-4d8b-9148-e3be6c30e623}">
          <xlrd:rvb i="3786"/>
        </ext>
      </extLst>
    </bk>
    <bk>
      <extLst>
        <ext uri="{3e2802c4-a4d2-4d8b-9148-e3be6c30e623}">
          <xlrd:rvb i="3787"/>
        </ext>
      </extLst>
    </bk>
    <bk>
      <extLst>
        <ext uri="{3e2802c4-a4d2-4d8b-9148-e3be6c30e623}">
          <xlrd:rvb i="3788"/>
        </ext>
      </extLst>
    </bk>
    <bk>
      <extLst>
        <ext uri="{3e2802c4-a4d2-4d8b-9148-e3be6c30e623}">
          <xlrd:rvb i="3789"/>
        </ext>
      </extLst>
    </bk>
    <bk>
      <extLst>
        <ext uri="{3e2802c4-a4d2-4d8b-9148-e3be6c30e623}">
          <xlrd:rvb i="3790"/>
        </ext>
      </extLst>
    </bk>
    <bk>
      <extLst>
        <ext uri="{3e2802c4-a4d2-4d8b-9148-e3be6c30e623}">
          <xlrd:rvb i="3791"/>
        </ext>
      </extLst>
    </bk>
    <bk>
      <extLst>
        <ext uri="{3e2802c4-a4d2-4d8b-9148-e3be6c30e623}">
          <xlrd:rvb i="3792"/>
        </ext>
      </extLst>
    </bk>
    <bk>
      <extLst>
        <ext uri="{3e2802c4-a4d2-4d8b-9148-e3be6c30e623}">
          <xlrd:rvb i="3793"/>
        </ext>
      </extLst>
    </bk>
    <bk>
      <extLst>
        <ext uri="{3e2802c4-a4d2-4d8b-9148-e3be6c30e623}">
          <xlrd:rvb i="3794"/>
        </ext>
      </extLst>
    </bk>
    <bk>
      <extLst>
        <ext uri="{3e2802c4-a4d2-4d8b-9148-e3be6c30e623}">
          <xlrd:rvb i="3795"/>
        </ext>
      </extLst>
    </bk>
    <bk>
      <extLst>
        <ext uri="{3e2802c4-a4d2-4d8b-9148-e3be6c30e623}">
          <xlrd:rvb i="3796"/>
        </ext>
      </extLst>
    </bk>
    <bk>
      <extLst>
        <ext uri="{3e2802c4-a4d2-4d8b-9148-e3be6c30e623}">
          <xlrd:rvb i="3797"/>
        </ext>
      </extLst>
    </bk>
    <bk>
      <extLst>
        <ext uri="{3e2802c4-a4d2-4d8b-9148-e3be6c30e623}">
          <xlrd:rvb i="3798"/>
        </ext>
      </extLst>
    </bk>
    <bk>
      <extLst>
        <ext uri="{3e2802c4-a4d2-4d8b-9148-e3be6c30e623}">
          <xlrd:rvb i="3799"/>
        </ext>
      </extLst>
    </bk>
    <bk>
      <extLst>
        <ext uri="{3e2802c4-a4d2-4d8b-9148-e3be6c30e623}">
          <xlrd:rvb i="3800"/>
        </ext>
      </extLst>
    </bk>
    <bk>
      <extLst>
        <ext uri="{3e2802c4-a4d2-4d8b-9148-e3be6c30e623}">
          <xlrd:rvb i="3801"/>
        </ext>
      </extLst>
    </bk>
    <bk>
      <extLst>
        <ext uri="{3e2802c4-a4d2-4d8b-9148-e3be6c30e623}">
          <xlrd:rvb i="3802"/>
        </ext>
      </extLst>
    </bk>
    <bk>
      <extLst>
        <ext uri="{3e2802c4-a4d2-4d8b-9148-e3be6c30e623}">
          <xlrd:rvb i="3803"/>
        </ext>
      </extLst>
    </bk>
    <bk>
      <extLst>
        <ext uri="{3e2802c4-a4d2-4d8b-9148-e3be6c30e623}">
          <xlrd:rvb i="3804"/>
        </ext>
      </extLst>
    </bk>
    <bk>
      <extLst>
        <ext uri="{3e2802c4-a4d2-4d8b-9148-e3be6c30e623}">
          <xlrd:rvb i="3805"/>
        </ext>
      </extLst>
    </bk>
    <bk>
      <extLst>
        <ext uri="{3e2802c4-a4d2-4d8b-9148-e3be6c30e623}">
          <xlrd:rvb i="3806"/>
        </ext>
      </extLst>
    </bk>
    <bk>
      <extLst>
        <ext uri="{3e2802c4-a4d2-4d8b-9148-e3be6c30e623}">
          <xlrd:rvb i="3807"/>
        </ext>
      </extLst>
    </bk>
    <bk>
      <extLst>
        <ext uri="{3e2802c4-a4d2-4d8b-9148-e3be6c30e623}">
          <xlrd:rvb i="3808"/>
        </ext>
      </extLst>
    </bk>
    <bk>
      <extLst>
        <ext uri="{3e2802c4-a4d2-4d8b-9148-e3be6c30e623}">
          <xlrd:rvb i="3809"/>
        </ext>
      </extLst>
    </bk>
    <bk>
      <extLst>
        <ext uri="{3e2802c4-a4d2-4d8b-9148-e3be6c30e623}">
          <xlrd:rvb i="3810"/>
        </ext>
      </extLst>
    </bk>
    <bk>
      <extLst>
        <ext uri="{3e2802c4-a4d2-4d8b-9148-e3be6c30e623}">
          <xlrd:rvb i="3811"/>
        </ext>
      </extLst>
    </bk>
    <bk>
      <extLst>
        <ext uri="{3e2802c4-a4d2-4d8b-9148-e3be6c30e623}">
          <xlrd:rvb i="3812"/>
        </ext>
      </extLst>
    </bk>
    <bk>
      <extLst>
        <ext uri="{3e2802c4-a4d2-4d8b-9148-e3be6c30e623}">
          <xlrd:rvb i="3813"/>
        </ext>
      </extLst>
    </bk>
    <bk>
      <extLst>
        <ext uri="{3e2802c4-a4d2-4d8b-9148-e3be6c30e623}">
          <xlrd:rvb i="3814"/>
        </ext>
      </extLst>
    </bk>
    <bk>
      <extLst>
        <ext uri="{3e2802c4-a4d2-4d8b-9148-e3be6c30e623}">
          <xlrd:rvb i="3815"/>
        </ext>
      </extLst>
    </bk>
    <bk>
      <extLst>
        <ext uri="{3e2802c4-a4d2-4d8b-9148-e3be6c30e623}">
          <xlrd:rvb i="3816"/>
        </ext>
      </extLst>
    </bk>
    <bk>
      <extLst>
        <ext uri="{3e2802c4-a4d2-4d8b-9148-e3be6c30e623}">
          <xlrd:rvb i="3817"/>
        </ext>
      </extLst>
    </bk>
    <bk>
      <extLst>
        <ext uri="{3e2802c4-a4d2-4d8b-9148-e3be6c30e623}">
          <xlrd:rvb i="3818"/>
        </ext>
      </extLst>
    </bk>
    <bk>
      <extLst>
        <ext uri="{3e2802c4-a4d2-4d8b-9148-e3be6c30e623}">
          <xlrd:rvb i="3819"/>
        </ext>
      </extLst>
    </bk>
    <bk>
      <extLst>
        <ext uri="{3e2802c4-a4d2-4d8b-9148-e3be6c30e623}">
          <xlrd:rvb i="3820"/>
        </ext>
      </extLst>
    </bk>
    <bk>
      <extLst>
        <ext uri="{3e2802c4-a4d2-4d8b-9148-e3be6c30e623}">
          <xlrd:rvb i="3821"/>
        </ext>
      </extLst>
    </bk>
    <bk>
      <extLst>
        <ext uri="{3e2802c4-a4d2-4d8b-9148-e3be6c30e623}">
          <xlrd:rvb i="3822"/>
        </ext>
      </extLst>
    </bk>
    <bk>
      <extLst>
        <ext uri="{3e2802c4-a4d2-4d8b-9148-e3be6c30e623}">
          <xlrd:rvb i="3823"/>
        </ext>
      </extLst>
    </bk>
    <bk>
      <extLst>
        <ext uri="{3e2802c4-a4d2-4d8b-9148-e3be6c30e623}">
          <xlrd:rvb i="3824"/>
        </ext>
      </extLst>
    </bk>
    <bk>
      <extLst>
        <ext uri="{3e2802c4-a4d2-4d8b-9148-e3be6c30e623}">
          <xlrd:rvb i="3825"/>
        </ext>
      </extLst>
    </bk>
    <bk>
      <extLst>
        <ext uri="{3e2802c4-a4d2-4d8b-9148-e3be6c30e623}">
          <xlrd:rvb i="3826"/>
        </ext>
      </extLst>
    </bk>
    <bk>
      <extLst>
        <ext uri="{3e2802c4-a4d2-4d8b-9148-e3be6c30e623}">
          <xlrd:rvb i="3827"/>
        </ext>
      </extLst>
    </bk>
    <bk>
      <extLst>
        <ext uri="{3e2802c4-a4d2-4d8b-9148-e3be6c30e623}">
          <xlrd:rvb i="3828"/>
        </ext>
      </extLst>
    </bk>
    <bk>
      <extLst>
        <ext uri="{3e2802c4-a4d2-4d8b-9148-e3be6c30e623}">
          <xlrd:rvb i="3829"/>
        </ext>
      </extLst>
    </bk>
    <bk>
      <extLst>
        <ext uri="{3e2802c4-a4d2-4d8b-9148-e3be6c30e623}">
          <xlrd:rvb i="3830"/>
        </ext>
      </extLst>
    </bk>
    <bk>
      <extLst>
        <ext uri="{3e2802c4-a4d2-4d8b-9148-e3be6c30e623}">
          <xlrd:rvb i="3831"/>
        </ext>
      </extLst>
    </bk>
    <bk>
      <extLst>
        <ext uri="{3e2802c4-a4d2-4d8b-9148-e3be6c30e623}">
          <xlrd:rvb i="3832"/>
        </ext>
      </extLst>
    </bk>
    <bk>
      <extLst>
        <ext uri="{3e2802c4-a4d2-4d8b-9148-e3be6c30e623}">
          <xlrd:rvb i="3833"/>
        </ext>
      </extLst>
    </bk>
    <bk>
      <extLst>
        <ext uri="{3e2802c4-a4d2-4d8b-9148-e3be6c30e623}">
          <xlrd:rvb i="3834"/>
        </ext>
      </extLst>
    </bk>
    <bk>
      <extLst>
        <ext uri="{3e2802c4-a4d2-4d8b-9148-e3be6c30e623}">
          <xlrd:rvb i="3835"/>
        </ext>
      </extLst>
    </bk>
    <bk>
      <extLst>
        <ext uri="{3e2802c4-a4d2-4d8b-9148-e3be6c30e623}">
          <xlrd:rvb i="3836"/>
        </ext>
      </extLst>
    </bk>
    <bk>
      <extLst>
        <ext uri="{3e2802c4-a4d2-4d8b-9148-e3be6c30e623}">
          <xlrd:rvb i="3837"/>
        </ext>
      </extLst>
    </bk>
    <bk>
      <extLst>
        <ext uri="{3e2802c4-a4d2-4d8b-9148-e3be6c30e623}">
          <xlrd:rvb i="3838"/>
        </ext>
      </extLst>
    </bk>
    <bk>
      <extLst>
        <ext uri="{3e2802c4-a4d2-4d8b-9148-e3be6c30e623}">
          <xlrd:rvb i="3839"/>
        </ext>
      </extLst>
    </bk>
    <bk>
      <extLst>
        <ext uri="{3e2802c4-a4d2-4d8b-9148-e3be6c30e623}">
          <xlrd:rvb i="3840"/>
        </ext>
      </extLst>
    </bk>
    <bk>
      <extLst>
        <ext uri="{3e2802c4-a4d2-4d8b-9148-e3be6c30e623}">
          <xlrd:rvb i="3841"/>
        </ext>
      </extLst>
    </bk>
    <bk>
      <extLst>
        <ext uri="{3e2802c4-a4d2-4d8b-9148-e3be6c30e623}">
          <xlrd:rvb i="3842"/>
        </ext>
      </extLst>
    </bk>
    <bk>
      <extLst>
        <ext uri="{3e2802c4-a4d2-4d8b-9148-e3be6c30e623}">
          <xlrd:rvb i="3843"/>
        </ext>
      </extLst>
    </bk>
    <bk>
      <extLst>
        <ext uri="{3e2802c4-a4d2-4d8b-9148-e3be6c30e623}">
          <xlrd:rvb i="3844"/>
        </ext>
      </extLst>
    </bk>
    <bk>
      <extLst>
        <ext uri="{3e2802c4-a4d2-4d8b-9148-e3be6c30e623}">
          <xlrd:rvb i="3845"/>
        </ext>
      </extLst>
    </bk>
    <bk>
      <extLst>
        <ext uri="{3e2802c4-a4d2-4d8b-9148-e3be6c30e623}">
          <xlrd:rvb i="3846"/>
        </ext>
      </extLst>
    </bk>
    <bk>
      <extLst>
        <ext uri="{3e2802c4-a4d2-4d8b-9148-e3be6c30e623}">
          <xlrd:rvb i="3847"/>
        </ext>
      </extLst>
    </bk>
    <bk>
      <extLst>
        <ext uri="{3e2802c4-a4d2-4d8b-9148-e3be6c30e623}">
          <xlrd:rvb i="3848"/>
        </ext>
      </extLst>
    </bk>
    <bk>
      <extLst>
        <ext uri="{3e2802c4-a4d2-4d8b-9148-e3be6c30e623}">
          <xlrd:rvb i="3849"/>
        </ext>
      </extLst>
    </bk>
    <bk>
      <extLst>
        <ext uri="{3e2802c4-a4d2-4d8b-9148-e3be6c30e623}">
          <xlrd:rvb i="3850"/>
        </ext>
      </extLst>
    </bk>
    <bk>
      <extLst>
        <ext uri="{3e2802c4-a4d2-4d8b-9148-e3be6c30e623}">
          <xlrd:rvb i="3851"/>
        </ext>
      </extLst>
    </bk>
    <bk>
      <extLst>
        <ext uri="{3e2802c4-a4d2-4d8b-9148-e3be6c30e623}">
          <xlrd:rvb i="3852"/>
        </ext>
      </extLst>
    </bk>
    <bk>
      <extLst>
        <ext uri="{3e2802c4-a4d2-4d8b-9148-e3be6c30e623}">
          <xlrd:rvb i="3853"/>
        </ext>
      </extLst>
    </bk>
    <bk>
      <extLst>
        <ext uri="{3e2802c4-a4d2-4d8b-9148-e3be6c30e623}">
          <xlrd:rvb i="3854"/>
        </ext>
      </extLst>
    </bk>
    <bk>
      <extLst>
        <ext uri="{3e2802c4-a4d2-4d8b-9148-e3be6c30e623}">
          <xlrd:rvb i="3855"/>
        </ext>
      </extLst>
    </bk>
    <bk>
      <extLst>
        <ext uri="{3e2802c4-a4d2-4d8b-9148-e3be6c30e623}">
          <xlrd:rvb i="3856"/>
        </ext>
      </extLst>
    </bk>
    <bk>
      <extLst>
        <ext uri="{3e2802c4-a4d2-4d8b-9148-e3be6c30e623}">
          <xlrd:rvb i="3857"/>
        </ext>
      </extLst>
    </bk>
    <bk>
      <extLst>
        <ext uri="{3e2802c4-a4d2-4d8b-9148-e3be6c30e623}">
          <xlrd:rvb i="3858"/>
        </ext>
      </extLst>
    </bk>
    <bk>
      <extLst>
        <ext uri="{3e2802c4-a4d2-4d8b-9148-e3be6c30e623}">
          <xlrd:rvb i="3859"/>
        </ext>
      </extLst>
    </bk>
    <bk>
      <extLst>
        <ext uri="{3e2802c4-a4d2-4d8b-9148-e3be6c30e623}">
          <xlrd:rvb i="3860"/>
        </ext>
      </extLst>
    </bk>
    <bk>
      <extLst>
        <ext uri="{3e2802c4-a4d2-4d8b-9148-e3be6c30e623}">
          <xlrd:rvb i="3861"/>
        </ext>
      </extLst>
    </bk>
    <bk>
      <extLst>
        <ext uri="{3e2802c4-a4d2-4d8b-9148-e3be6c30e623}">
          <xlrd:rvb i="3862"/>
        </ext>
      </extLst>
    </bk>
    <bk>
      <extLst>
        <ext uri="{3e2802c4-a4d2-4d8b-9148-e3be6c30e623}">
          <xlrd:rvb i="3863"/>
        </ext>
      </extLst>
    </bk>
    <bk>
      <extLst>
        <ext uri="{3e2802c4-a4d2-4d8b-9148-e3be6c30e623}">
          <xlrd:rvb i="3864"/>
        </ext>
      </extLst>
    </bk>
    <bk>
      <extLst>
        <ext uri="{3e2802c4-a4d2-4d8b-9148-e3be6c30e623}">
          <xlrd:rvb i="3865"/>
        </ext>
      </extLst>
    </bk>
    <bk>
      <extLst>
        <ext uri="{3e2802c4-a4d2-4d8b-9148-e3be6c30e623}">
          <xlrd:rvb i="3866"/>
        </ext>
      </extLst>
    </bk>
    <bk>
      <extLst>
        <ext uri="{3e2802c4-a4d2-4d8b-9148-e3be6c30e623}">
          <xlrd:rvb i="3867"/>
        </ext>
      </extLst>
    </bk>
    <bk>
      <extLst>
        <ext uri="{3e2802c4-a4d2-4d8b-9148-e3be6c30e623}">
          <xlrd:rvb i="3868"/>
        </ext>
      </extLst>
    </bk>
    <bk>
      <extLst>
        <ext uri="{3e2802c4-a4d2-4d8b-9148-e3be6c30e623}">
          <xlrd:rvb i="3869"/>
        </ext>
      </extLst>
    </bk>
    <bk>
      <extLst>
        <ext uri="{3e2802c4-a4d2-4d8b-9148-e3be6c30e623}">
          <xlrd:rvb i="3870"/>
        </ext>
      </extLst>
    </bk>
    <bk>
      <extLst>
        <ext uri="{3e2802c4-a4d2-4d8b-9148-e3be6c30e623}">
          <xlrd:rvb i="3871"/>
        </ext>
      </extLst>
    </bk>
    <bk>
      <extLst>
        <ext uri="{3e2802c4-a4d2-4d8b-9148-e3be6c30e623}">
          <xlrd:rvb i="3872"/>
        </ext>
      </extLst>
    </bk>
    <bk>
      <extLst>
        <ext uri="{3e2802c4-a4d2-4d8b-9148-e3be6c30e623}">
          <xlrd:rvb i="3873"/>
        </ext>
      </extLst>
    </bk>
    <bk>
      <extLst>
        <ext uri="{3e2802c4-a4d2-4d8b-9148-e3be6c30e623}">
          <xlrd:rvb i="3874"/>
        </ext>
      </extLst>
    </bk>
    <bk>
      <extLst>
        <ext uri="{3e2802c4-a4d2-4d8b-9148-e3be6c30e623}">
          <xlrd:rvb i="3875"/>
        </ext>
      </extLst>
    </bk>
    <bk>
      <extLst>
        <ext uri="{3e2802c4-a4d2-4d8b-9148-e3be6c30e623}">
          <xlrd:rvb i="3876"/>
        </ext>
      </extLst>
    </bk>
    <bk>
      <extLst>
        <ext uri="{3e2802c4-a4d2-4d8b-9148-e3be6c30e623}">
          <xlrd:rvb i="3877"/>
        </ext>
      </extLst>
    </bk>
    <bk>
      <extLst>
        <ext uri="{3e2802c4-a4d2-4d8b-9148-e3be6c30e623}">
          <xlrd:rvb i="3878"/>
        </ext>
      </extLst>
    </bk>
    <bk>
      <extLst>
        <ext uri="{3e2802c4-a4d2-4d8b-9148-e3be6c30e623}">
          <xlrd:rvb i="3879"/>
        </ext>
      </extLst>
    </bk>
    <bk>
      <extLst>
        <ext uri="{3e2802c4-a4d2-4d8b-9148-e3be6c30e623}">
          <xlrd:rvb i="3880"/>
        </ext>
      </extLst>
    </bk>
    <bk>
      <extLst>
        <ext uri="{3e2802c4-a4d2-4d8b-9148-e3be6c30e623}">
          <xlrd:rvb i="3881"/>
        </ext>
      </extLst>
    </bk>
    <bk>
      <extLst>
        <ext uri="{3e2802c4-a4d2-4d8b-9148-e3be6c30e623}">
          <xlrd:rvb i="3882"/>
        </ext>
      </extLst>
    </bk>
    <bk>
      <extLst>
        <ext uri="{3e2802c4-a4d2-4d8b-9148-e3be6c30e623}">
          <xlrd:rvb i="3883"/>
        </ext>
      </extLst>
    </bk>
    <bk>
      <extLst>
        <ext uri="{3e2802c4-a4d2-4d8b-9148-e3be6c30e623}">
          <xlrd:rvb i="3884"/>
        </ext>
      </extLst>
    </bk>
    <bk>
      <extLst>
        <ext uri="{3e2802c4-a4d2-4d8b-9148-e3be6c30e623}">
          <xlrd:rvb i="3885"/>
        </ext>
      </extLst>
    </bk>
    <bk>
      <extLst>
        <ext uri="{3e2802c4-a4d2-4d8b-9148-e3be6c30e623}">
          <xlrd:rvb i="3886"/>
        </ext>
      </extLst>
    </bk>
    <bk>
      <extLst>
        <ext uri="{3e2802c4-a4d2-4d8b-9148-e3be6c30e623}">
          <xlrd:rvb i="3887"/>
        </ext>
      </extLst>
    </bk>
    <bk>
      <extLst>
        <ext uri="{3e2802c4-a4d2-4d8b-9148-e3be6c30e623}">
          <xlrd:rvb i="3888"/>
        </ext>
      </extLst>
    </bk>
    <bk>
      <extLst>
        <ext uri="{3e2802c4-a4d2-4d8b-9148-e3be6c30e623}">
          <xlrd:rvb i="3889"/>
        </ext>
      </extLst>
    </bk>
    <bk>
      <extLst>
        <ext uri="{3e2802c4-a4d2-4d8b-9148-e3be6c30e623}">
          <xlrd:rvb i="3890"/>
        </ext>
      </extLst>
    </bk>
    <bk>
      <extLst>
        <ext uri="{3e2802c4-a4d2-4d8b-9148-e3be6c30e623}">
          <xlrd:rvb i="3891"/>
        </ext>
      </extLst>
    </bk>
    <bk>
      <extLst>
        <ext uri="{3e2802c4-a4d2-4d8b-9148-e3be6c30e623}">
          <xlrd:rvb i="3892"/>
        </ext>
      </extLst>
    </bk>
    <bk>
      <extLst>
        <ext uri="{3e2802c4-a4d2-4d8b-9148-e3be6c30e623}">
          <xlrd:rvb i="3893"/>
        </ext>
      </extLst>
    </bk>
    <bk>
      <extLst>
        <ext uri="{3e2802c4-a4d2-4d8b-9148-e3be6c30e623}">
          <xlrd:rvb i="3894"/>
        </ext>
      </extLst>
    </bk>
    <bk>
      <extLst>
        <ext uri="{3e2802c4-a4d2-4d8b-9148-e3be6c30e623}">
          <xlrd:rvb i="3895"/>
        </ext>
      </extLst>
    </bk>
    <bk>
      <extLst>
        <ext uri="{3e2802c4-a4d2-4d8b-9148-e3be6c30e623}">
          <xlrd:rvb i="3896"/>
        </ext>
      </extLst>
    </bk>
    <bk>
      <extLst>
        <ext uri="{3e2802c4-a4d2-4d8b-9148-e3be6c30e623}">
          <xlrd:rvb i="3897"/>
        </ext>
      </extLst>
    </bk>
    <bk>
      <extLst>
        <ext uri="{3e2802c4-a4d2-4d8b-9148-e3be6c30e623}">
          <xlrd:rvb i="3898"/>
        </ext>
      </extLst>
    </bk>
    <bk>
      <extLst>
        <ext uri="{3e2802c4-a4d2-4d8b-9148-e3be6c30e623}">
          <xlrd:rvb i="3899"/>
        </ext>
      </extLst>
    </bk>
    <bk>
      <extLst>
        <ext uri="{3e2802c4-a4d2-4d8b-9148-e3be6c30e623}">
          <xlrd:rvb i="3900"/>
        </ext>
      </extLst>
    </bk>
    <bk>
      <extLst>
        <ext uri="{3e2802c4-a4d2-4d8b-9148-e3be6c30e623}">
          <xlrd:rvb i="3901"/>
        </ext>
      </extLst>
    </bk>
    <bk>
      <extLst>
        <ext uri="{3e2802c4-a4d2-4d8b-9148-e3be6c30e623}">
          <xlrd:rvb i="3902"/>
        </ext>
      </extLst>
    </bk>
    <bk>
      <extLst>
        <ext uri="{3e2802c4-a4d2-4d8b-9148-e3be6c30e623}">
          <xlrd:rvb i="3903"/>
        </ext>
      </extLst>
    </bk>
    <bk>
      <extLst>
        <ext uri="{3e2802c4-a4d2-4d8b-9148-e3be6c30e623}">
          <xlrd:rvb i="3904"/>
        </ext>
      </extLst>
    </bk>
    <bk>
      <extLst>
        <ext uri="{3e2802c4-a4d2-4d8b-9148-e3be6c30e623}">
          <xlrd:rvb i="3905"/>
        </ext>
      </extLst>
    </bk>
    <bk>
      <extLst>
        <ext uri="{3e2802c4-a4d2-4d8b-9148-e3be6c30e623}">
          <xlrd:rvb i="3906"/>
        </ext>
      </extLst>
    </bk>
    <bk>
      <extLst>
        <ext uri="{3e2802c4-a4d2-4d8b-9148-e3be6c30e623}">
          <xlrd:rvb i="3907"/>
        </ext>
      </extLst>
    </bk>
    <bk>
      <extLst>
        <ext uri="{3e2802c4-a4d2-4d8b-9148-e3be6c30e623}">
          <xlrd:rvb i="3908"/>
        </ext>
      </extLst>
    </bk>
    <bk>
      <extLst>
        <ext uri="{3e2802c4-a4d2-4d8b-9148-e3be6c30e623}">
          <xlrd:rvb i="3909"/>
        </ext>
      </extLst>
    </bk>
    <bk>
      <extLst>
        <ext uri="{3e2802c4-a4d2-4d8b-9148-e3be6c30e623}">
          <xlrd:rvb i="3910"/>
        </ext>
      </extLst>
    </bk>
    <bk>
      <extLst>
        <ext uri="{3e2802c4-a4d2-4d8b-9148-e3be6c30e623}">
          <xlrd:rvb i="3911"/>
        </ext>
      </extLst>
    </bk>
    <bk>
      <extLst>
        <ext uri="{3e2802c4-a4d2-4d8b-9148-e3be6c30e623}">
          <xlrd:rvb i="3912"/>
        </ext>
      </extLst>
    </bk>
    <bk>
      <extLst>
        <ext uri="{3e2802c4-a4d2-4d8b-9148-e3be6c30e623}">
          <xlrd:rvb i="3913"/>
        </ext>
      </extLst>
    </bk>
    <bk>
      <extLst>
        <ext uri="{3e2802c4-a4d2-4d8b-9148-e3be6c30e623}">
          <xlrd:rvb i="3914"/>
        </ext>
      </extLst>
    </bk>
    <bk>
      <extLst>
        <ext uri="{3e2802c4-a4d2-4d8b-9148-e3be6c30e623}">
          <xlrd:rvb i="3915"/>
        </ext>
      </extLst>
    </bk>
    <bk>
      <extLst>
        <ext uri="{3e2802c4-a4d2-4d8b-9148-e3be6c30e623}">
          <xlrd:rvb i="3916"/>
        </ext>
      </extLst>
    </bk>
    <bk>
      <extLst>
        <ext uri="{3e2802c4-a4d2-4d8b-9148-e3be6c30e623}">
          <xlrd:rvb i="3917"/>
        </ext>
      </extLst>
    </bk>
    <bk>
      <extLst>
        <ext uri="{3e2802c4-a4d2-4d8b-9148-e3be6c30e623}">
          <xlrd:rvb i="3918"/>
        </ext>
      </extLst>
    </bk>
    <bk>
      <extLst>
        <ext uri="{3e2802c4-a4d2-4d8b-9148-e3be6c30e623}">
          <xlrd:rvb i="3919"/>
        </ext>
      </extLst>
    </bk>
    <bk>
      <extLst>
        <ext uri="{3e2802c4-a4d2-4d8b-9148-e3be6c30e623}">
          <xlrd:rvb i="3920"/>
        </ext>
      </extLst>
    </bk>
    <bk>
      <extLst>
        <ext uri="{3e2802c4-a4d2-4d8b-9148-e3be6c30e623}">
          <xlrd:rvb i="3921"/>
        </ext>
      </extLst>
    </bk>
    <bk>
      <extLst>
        <ext uri="{3e2802c4-a4d2-4d8b-9148-e3be6c30e623}">
          <xlrd:rvb i="3922"/>
        </ext>
      </extLst>
    </bk>
    <bk>
      <extLst>
        <ext uri="{3e2802c4-a4d2-4d8b-9148-e3be6c30e623}">
          <xlrd:rvb i="3923"/>
        </ext>
      </extLst>
    </bk>
    <bk>
      <extLst>
        <ext uri="{3e2802c4-a4d2-4d8b-9148-e3be6c30e623}">
          <xlrd:rvb i="3924"/>
        </ext>
      </extLst>
    </bk>
    <bk>
      <extLst>
        <ext uri="{3e2802c4-a4d2-4d8b-9148-e3be6c30e623}">
          <xlrd:rvb i="3925"/>
        </ext>
      </extLst>
    </bk>
    <bk>
      <extLst>
        <ext uri="{3e2802c4-a4d2-4d8b-9148-e3be6c30e623}">
          <xlrd:rvb i="3926"/>
        </ext>
      </extLst>
    </bk>
    <bk>
      <extLst>
        <ext uri="{3e2802c4-a4d2-4d8b-9148-e3be6c30e623}">
          <xlrd:rvb i="3927"/>
        </ext>
      </extLst>
    </bk>
    <bk>
      <extLst>
        <ext uri="{3e2802c4-a4d2-4d8b-9148-e3be6c30e623}">
          <xlrd:rvb i="3928"/>
        </ext>
      </extLst>
    </bk>
    <bk>
      <extLst>
        <ext uri="{3e2802c4-a4d2-4d8b-9148-e3be6c30e623}">
          <xlrd:rvb i="3929"/>
        </ext>
      </extLst>
    </bk>
    <bk>
      <extLst>
        <ext uri="{3e2802c4-a4d2-4d8b-9148-e3be6c30e623}">
          <xlrd:rvb i="3930"/>
        </ext>
      </extLst>
    </bk>
    <bk>
      <extLst>
        <ext uri="{3e2802c4-a4d2-4d8b-9148-e3be6c30e623}">
          <xlrd:rvb i="3931"/>
        </ext>
      </extLst>
    </bk>
    <bk>
      <extLst>
        <ext uri="{3e2802c4-a4d2-4d8b-9148-e3be6c30e623}">
          <xlrd:rvb i="3932"/>
        </ext>
      </extLst>
    </bk>
    <bk>
      <extLst>
        <ext uri="{3e2802c4-a4d2-4d8b-9148-e3be6c30e623}">
          <xlrd:rvb i="3933"/>
        </ext>
      </extLst>
    </bk>
    <bk>
      <extLst>
        <ext uri="{3e2802c4-a4d2-4d8b-9148-e3be6c30e623}">
          <xlrd:rvb i="3934"/>
        </ext>
      </extLst>
    </bk>
    <bk>
      <extLst>
        <ext uri="{3e2802c4-a4d2-4d8b-9148-e3be6c30e623}">
          <xlrd:rvb i="3935"/>
        </ext>
      </extLst>
    </bk>
    <bk>
      <extLst>
        <ext uri="{3e2802c4-a4d2-4d8b-9148-e3be6c30e623}">
          <xlrd:rvb i="3936"/>
        </ext>
      </extLst>
    </bk>
    <bk>
      <extLst>
        <ext uri="{3e2802c4-a4d2-4d8b-9148-e3be6c30e623}">
          <xlrd:rvb i="3937"/>
        </ext>
      </extLst>
    </bk>
    <bk>
      <extLst>
        <ext uri="{3e2802c4-a4d2-4d8b-9148-e3be6c30e623}">
          <xlrd:rvb i="3938"/>
        </ext>
      </extLst>
    </bk>
    <bk>
      <extLst>
        <ext uri="{3e2802c4-a4d2-4d8b-9148-e3be6c30e623}">
          <xlrd:rvb i="3939"/>
        </ext>
      </extLst>
    </bk>
    <bk>
      <extLst>
        <ext uri="{3e2802c4-a4d2-4d8b-9148-e3be6c30e623}">
          <xlrd:rvb i="3940"/>
        </ext>
      </extLst>
    </bk>
    <bk>
      <extLst>
        <ext uri="{3e2802c4-a4d2-4d8b-9148-e3be6c30e623}">
          <xlrd:rvb i="3941"/>
        </ext>
      </extLst>
    </bk>
    <bk>
      <extLst>
        <ext uri="{3e2802c4-a4d2-4d8b-9148-e3be6c30e623}">
          <xlrd:rvb i="3942"/>
        </ext>
      </extLst>
    </bk>
    <bk>
      <extLst>
        <ext uri="{3e2802c4-a4d2-4d8b-9148-e3be6c30e623}">
          <xlrd:rvb i="3943"/>
        </ext>
      </extLst>
    </bk>
    <bk>
      <extLst>
        <ext uri="{3e2802c4-a4d2-4d8b-9148-e3be6c30e623}">
          <xlrd:rvb i="3944"/>
        </ext>
      </extLst>
    </bk>
    <bk>
      <extLst>
        <ext uri="{3e2802c4-a4d2-4d8b-9148-e3be6c30e623}">
          <xlrd:rvb i="3945"/>
        </ext>
      </extLst>
    </bk>
    <bk>
      <extLst>
        <ext uri="{3e2802c4-a4d2-4d8b-9148-e3be6c30e623}">
          <xlrd:rvb i="3946"/>
        </ext>
      </extLst>
    </bk>
    <bk>
      <extLst>
        <ext uri="{3e2802c4-a4d2-4d8b-9148-e3be6c30e623}">
          <xlrd:rvb i="3947"/>
        </ext>
      </extLst>
    </bk>
    <bk>
      <extLst>
        <ext uri="{3e2802c4-a4d2-4d8b-9148-e3be6c30e623}">
          <xlrd:rvb i="3948"/>
        </ext>
      </extLst>
    </bk>
    <bk>
      <extLst>
        <ext uri="{3e2802c4-a4d2-4d8b-9148-e3be6c30e623}">
          <xlrd:rvb i="3949"/>
        </ext>
      </extLst>
    </bk>
    <bk>
      <extLst>
        <ext uri="{3e2802c4-a4d2-4d8b-9148-e3be6c30e623}">
          <xlrd:rvb i="3950"/>
        </ext>
      </extLst>
    </bk>
    <bk>
      <extLst>
        <ext uri="{3e2802c4-a4d2-4d8b-9148-e3be6c30e623}">
          <xlrd:rvb i="3951"/>
        </ext>
      </extLst>
    </bk>
    <bk>
      <extLst>
        <ext uri="{3e2802c4-a4d2-4d8b-9148-e3be6c30e623}">
          <xlrd:rvb i="3952"/>
        </ext>
      </extLst>
    </bk>
    <bk>
      <extLst>
        <ext uri="{3e2802c4-a4d2-4d8b-9148-e3be6c30e623}">
          <xlrd:rvb i="3953"/>
        </ext>
      </extLst>
    </bk>
    <bk>
      <extLst>
        <ext uri="{3e2802c4-a4d2-4d8b-9148-e3be6c30e623}">
          <xlrd:rvb i="3954"/>
        </ext>
      </extLst>
    </bk>
    <bk>
      <extLst>
        <ext uri="{3e2802c4-a4d2-4d8b-9148-e3be6c30e623}">
          <xlrd:rvb i="3955"/>
        </ext>
      </extLst>
    </bk>
    <bk>
      <extLst>
        <ext uri="{3e2802c4-a4d2-4d8b-9148-e3be6c30e623}">
          <xlrd:rvb i="3956"/>
        </ext>
      </extLst>
    </bk>
    <bk>
      <extLst>
        <ext uri="{3e2802c4-a4d2-4d8b-9148-e3be6c30e623}">
          <xlrd:rvb i="3957"/>
        </ext>
      </extLst>
    </bk>
    <bk>
      <extLst>
        <ext uri="{3e2802c4-a4d2-4d8b-9148-e3be6c30e623}">
          <xlrd:rvb i="3958"/>
        </ext>
      </extLst>
    </bk>
    <bk>
      <extLst>
        <ext uri="{3e2802c4-a4d2-4d8b-9148-e3be6c30e623}">
          <xlrd:rvb i="3959"/>
        </ext>
      </extLst>
    </bk>
    <bk>
      <extLst>
        <ext uri="{3e2802c4-a4d2-4d8b-9148-e3be6c30e623}">
          <xlrd:rvb i="3960"/>
        </ext>
      </extLst>
    </bk>
    <bk>
      <extLst>
        <ext uri="{3e2802c4-a4d2-4d8b-9148-e3be6c30e623}">
          <xlrd:rvb i="3961"/>
        </ext>
      </extLst>
    </bk>
    <bk>
      <extLst>
        <ext uri="{3e2802c4-a4d2-4d8b-9148-e3be6c30e623}">
          <xlrd:rvb i="3962"/>
        </ext>
      </extLst>
    </bk>
    <bk>
      <extLst>
        <ext uri="{3e2802c4-a4d2-4d8b-9148-e3be6c30e623}">
          <xlrd:rvb i="3963"/>
        </ext>
      </extLst>
    </bk>
    <bk>
      <extLst>
        <ext uri="{3e2802c4-a4d2-4d8b-9148-e3be6c30e623}">
          <xlrd:rvb i="3964"/>
        </ext>
      </extLst>
    </bk>
    <bk>
      <extLst>
        <ext uri="{3e2802c4-a4d2-4d8b-9148-e3be6c30e623}">
          <xlrd:rvb i="3965"/>
        </ext>
      </extLst>
    </bk>
    <bk>
      <extLst>
        <ext uri="{3e2802c4-a4d2-4d8b-9148-e3be6c30e623}">
          <xlrd:rvb i="3966"/>
        </ext>
      </extLst>
    </bk>
    <bk>
      <extLst>
        <ext uri="{3e2802c4-a4d2-4d8b-9148-e3be6c30e623}">
          <xlrd:rvb i="3967"/>
        </ext>
      </extLst>
    </bk>
    <bk>
      <extLst>
        <ext uri="{3e2802c4-a4d2-4d8b-9148-e3be6c30e623}">
          <xlrd:rvb i="3968"/>
        </ext>
      </extLst>
    </bk>
    <bk>
      <extLst>
        <ext uri="{3e2802c4-a4d2-4d8b-9148-e3be6c30e623}">
          <xlrd:rvb i="3969"/>
        </ext>
      </extLst>
    </bk>
    <bk>
      <extLst>
        <ext uri="{3e2802c4-a4d2-4d8b-9148-e3be6c30e623}">
          <xlrd:rvb i="3970"/>
        </ext>
      </extLst>
    </bk>
    <bk>
      <extLst>
        <ext uri="{3e2802c4-a4d2-4d8b-9148-e3be6c30e623}">
          <xlrd:rvb i="3971"/>
        </ext>
      </extLst>
    </bk>
    <bk>
      <extLst>
        <ext uri="{3e2802c4-a4d2-4d8b-9148-e3be6c30e623}">
          <xlrd:rvb i="3972"/>
        </ext>
      </extLst>
    </bk>
    <bk>
      <extLst>
        <ext uri="{3e2802c4-a4d2-4d8b-9148-e3be6c30e623}">
          <xlrd:rvb i="3973"/>
        </ext>
      </extLst>
    </bk>
    <bk>
      <extLst>
        <ext uri="{3e2802c4-a4d2-4d8b-9148-e3be6c30e623}">
          <xlrd:rvb i="3974"/>
        </ext>
      </extLst>
    </bk>
    <bk>
      <extLst>
        <ext uri="{3e2802c4-a4d2-4d8b-9148-e3be6c30e623}">
          <xlrd:rvb i="3975"/>
        </ext>
      </extLst>
    </bk>
    <bk>
      <extLst>
        <ext uri="{3e2802c4-a4d2-4d8b-9148-e3be6c30e623}">
          <xlrd:rvb i="3976"/>
        </ext>
      </extLst>
    </bk>
    <bk>
      <extLst>
        <ext uri="{3e2802c4-a4d2-4d8b-9148-e3be6c30e623}">
          <xlrd:rvb i="3977"/>
        </ext>
      </extLst>
    </bk>
    <bk>
      <extLst>
        <ext uri="{3e2802c4-a4d2-4d8b-9148-e3be6c30e623}">
          <xlrd:rvb i="3978"/>
        </ext>
      </extLst>
    </bk>
    <bk>
      <extLst>
        <ext uri="{3e2802c4-a4d2-4d8b-9148-e3be6c30e623}">
          <xlrd:rvb i="3979"/>
        </ext>
      </extLst>
    </bk>
    <bk>
      <extLst>
        <ext uri="{3e2802c4-a4d2-4d8b-9148-e3be6c30e623}">
          <xlrd:rvb i="3980"/>
        </ext>
      </extLst>
    </bk>
    <bk>
      <extLst>
        <ext uri="{3e2802c4-a4d2-4d8b-9148-e3be6c30e623}">
          <xlrd:rvb i="3981"/>
        </ext>
      </extLst>
    </bk>
    <bk>
      <extLst>
        <ext uri="{3e2802c4-a4d2-4d8b-9148-e3be6c30e623}">
          <xlrd:rvb i="3982"/>
        </ext>
      </extLst>
    </bk>
    <bk>
      <extLst>
        <ext uri="{3e2802c4-a4d2-4d8b-9148-e3be6c30e623}">
          <xlrd:rvb i="3983"/>
        </ext>
      </extLst>
    </bk>
    <bk>
      <extLst>
        <ext uri="{3e2802c4-a4d2-4d8b-9148-e3be6c30e623}">
          <xlrd:rvb i="3984"/>
        </ext>
      </extLst>
    </bk>
    <bk>
      <extLst>
        <ext uri="{3e2802c4-a4d2-4d8b-9148-e3be6c30e623}">
          <xlrd:rvb i="3985"/>
        </ext>
      </extLst>
    </bk>
    <bk>
      <extLst>
        <ext uri="{3e2802c4-a4d2-4d8b-9148-e3be6c30e623}">
          <xlrd:rvb i="3986"/>
        </ext>
      </extLst>
    </bk>
    <bk>
      <extLst>
        <ext uri="{3e2802c4-a4d2-4d8b-9148-e3be6c30e623}">
          <xlrd:rvb i="3987"/>
        </ext>
      </extLst>
    </bk>
    <bk>
      <extLst>
        <ext uri="{3e2802c4-a4d2-4d8b-9148-e3be6c30e623}">
          <xlrd:rvb i="3988"/>
        </ext>
      </extLst>
    </bk>
    <bk>
      <extLst>
        <ext uri="{3e2802c4-a4d2-4d8b-9148-e3be6c30e623}">
          <xlrd:rvb i="3989"/>
        </ext>
      </extLst>
    </bk>
    <bk>
      <extLst>
        <ext uri="{3e2802c4-a4d2-4d8b-9148-e3be6c30e623}">
          <xlrd:rvb i="3990"/>
        </ext>
      </extLst>
    </bk>
    <bk>
      <extLst>
        <ext uri="{3e2802c4-a4d2-4d8b-9148-e3be6c30e623}">
          <xlrd:rvb i="3991"/>
        </ext>
      </extLst>
    </bk>
    <bk>
      <extLst>
        <ext uri="{3e2802c4-a4d2-4d8b-9148-e3be6c30e623}">
          <xlrd:rvb i="3992"/>
        </ext>
      </extLst>
    </bk>
    <bk>
      <extLst>
        <ext uri="{3e2802c4-a4d2-4d8b-9148-e3be6c30e623}">
          <xlrd:rvb i="3993"/>
        </ext>
      </extLst>
    </bk>
    <bk>
      <extLst>
        <ext uri="{3e2802c4-a4d2-4d8b-9148-e3be6c30e623}">
          <xlrd:rvb i="3994"/>
        </ext>
      </extLst>
    </bk>
    <bk>
      <extLst>
        <ext uri="{3e2802c4-a4d2-4d8b-9148-e3be6c30e623}">
          <xlrd:rvb i="3995"/>
        </ext>
      </extLst>
    </bk>
    <bk>
      <extLst>
        <ext uri="{3e2802c4-a4d2-4d8b-9148-e3be6c30e623}">
          <xlrd:rvb i="3996"/>
        </ext>
      </extLst>
    </bk>
    <bk>
      <extLst>
        <ext uri="{3e2802c4-a4d2-4d8b-9148-e3be6c30e623}">
          <xlrd:rvb i="3997"/>
        </ext>
      </extLst>
    </bk>
    <bk>
      <extLst>
        <ext uri="{3e2802c4-a4d2-4d8b-9148-e3be6c30e623}">
          <xlrd:rvb i="3998"/>
        </ext>
      </extLst>
    </bk>
    <bk>
      <extLst>
        <ext uri="{3e2802c4-a4d2-4d8b-9148-e3be6c30e623}">
          <xlrd:rvb i="3999"/>
        </ext>
      </extLst>
    </bk>
    <bk>
      <extLst>
        <ext uri="{3e2802c4-a4d2-4d8b-9148-e3be6c30e623}">
          <xlrd:rvb i="4000"/>
        </ext>
      </extLst>
    </bk>
    <bk>
      <extLst>
        <ext uri="{3e2802c4-a4d2-4d8b-9148-e3be6c30e623}">
          <xlrd:rvb i="4001"/>
        </ext>
      </extLst>
    </bk>
    <bk>
      <extLst>
        <ext uri="{3e2802c4-a4d2-4d8b-9148-e3be6c30e623}">
          <xlrd:rvb i="4002"/>
        </ext>
      </extLst>
    </bk>
    <bk>
      <extLst>
        <ext uri="{3e2802c4-a4d2-4d8b-9148-e3be6c30e623}">
          <xlrd:rvb i="4003"/>
        </ext>
      </extLst>
    </bk>
    <bk>
      <extLst>
        <ext uri="{3e2802c4-a4d2-4d8b-9148-e3be6c30e623}">
          <xlrd:rvb i="4004"/>
        </ext>
      </extLst>
    </bk>
    <bk>
      <extLst>
        <ext uri="{3e2802c4-a4d2-4d8b-9148-e3be6c30e623}">
          <xlrd:rvb i="4005"/>
        </ext>
      </extLst>
    </bk>
    <bk>
      <extLst>
        <ext uri="{3e2802c4-a4d2-4d8b-9148-e3be6c30e623}">
          <xlrd:rvb i="4006"/>
        </ext>
      </extLst>
    </bk>
    <bk>
      <extLst>
        <ext uri="{3e2802c4-a4d2-4d8b-9148-e3be6c30e623}">
          <xlrd:rvb i="4007"/>
        </ext>
      </extLst>
    </bk>
    <bk>
      <extLst>
        <ext uri="{3e2802c4-a4d2-4d8b-9148-e3be6c30e623}">
          <xlrd:rvb i="4008"/>
        </ext>
      </extLst>
    </bk>
    <bk>
      <extLst>
        <ext uri="{3e2802c4-a4d2-4d8b-9148-e3be6c30e623}">
          <xlrd:rvb i="4009"/>
        </ext>
      </extLst>
    </bk>
    <bk>
      <extLst>
        <ext uri="{3e2802c4-a4d2-4d8b-9148-e3be6c30e623}">
          <xlrd:rvb i="4010"/>
        </ext>
      </extLst>
    </bk>
    <bk>
      <extLst>
        <ext uri="{3e2802c4-a4d2-4d8b-9148-e3be6c30e623}">
          <xlrd:rvb i="4011"/>
        </ext>
      </extLst>
    </bk>
    <bk>
      <extLst>
        <ext uri="{3e2802c4-a4d2-4d8b-9148-e3be6c30e623}">
          <xlrd:rvb i="4012"/>
        </ext>
      </extLst>
    </bk>
    <bk>
      <extLst>
        <ext uri="{3e2802c4-a4d2-4d8b-9148-e3be6c30e623}">
          <xlrd:rvb i="4013"/>
        </ext>
      </extLst>
    </bk>
    <bk>
      <extLst>
        <ext uri="{3e2802c4-a4d2-4d8b-9148-e3be6c30e623}">
          <xlrd:rvb i="4014"/>
        </ext>
      </extLst>
    </bk>
    <bk>
      <extLst>
        <ext uri="{3e2802c4-a4d2-4d8b-9148-e3be6c30e623}">
          <xlrd:rvb i="4015"/>
        </ext>
      </extLst>
    </bk>
    <bk>
      <extLst>
        <ext uri="{3e2802c4-a4d2-4d8b-9148-e3be6c30e623}">
          <xlrd:rvb i="4016"/>
        </ext>
      </extLst>
    </bk>
    <bk>
      <extLst>
        <ext uri="{3e2802c4-a4d2-4d8b-9148-e3be6c30e623}">
          <xlrd:rvb i="4017"/>
        </ext>
      </extLst>
    </bk>
    <bk>
      <extLst>
        <ext uri="{3e2802c4-a4d2-4d8b-9148-e3be6c30e623}">
          <xlrd:rvb i="4018"/>
        </ext>
      </extLst>
    </bk>
    <bk>
      <extLst>
        <ext uri="{3e2802c4-a4d2-4d8b-9148-e3be6c30e623}">
          <xlrd:rvb i="4019"/>
        </ext>
      </extLst>
    </bk>
    <bk>
      <extLst>
        <ext uri="{3e2802c4-a4d2-4d8b-9148-e3be6c30e623}">
          <xlrd:rvb i="4020"/>
        </ext>
      </extLst>
    </bk>
    <bk>
      <extLst>
        <ext uri="{3e2802c4-a4d2-4d8b-9148-e3be6c30e623}">
          <xlrd:rvb i="4021"/>
        </ext>
      </extLst>
    </bk>
    <bk>
      <extLst>
        <ext uri="{3e2802c4-a4d2-4d8b-9148-e3be6c30e623}">
          <xlrd:rvb i="4022"/>
        </ext>
      </extLst>
    </bk>
    <bk>
      <extLst>
        <ext uri="{3e2802c4-a4d2-4d8b-9148-e3be6c30e623}">
          <xlrd:rvb i="4023"/>
        </ext>
      </extLst>
    </bk>
    <bk>
      <extLst>
        <ext uri="{3e2802c4-a4d2-4d8b-9148-e3be6c30e623}">
          <xlrd:rvb i="4024"/>
        </ext>
      </extLst>
    </bk>
    <bk>
      <extLst>
        <ext uri="{3e2802c4-a4d2-4d8b-9148-e3be6c30e623}">
          <xlrd:rvb i="4025"/>
        </ext>
      </extLst>
    </bk>
    <bk>
      <extLst>
        <ext uri="{3e2802c4-a4d2-4d8b-9148-e3be6c30e623}">
          <xlrd:rvb i="4026"/>
        </ext>
      </extLst>
    </bk>
    <bk>
      <extLst>
        <ext uri="{3e2802c4-a4d2-4d8b-9148-e3be6c30e623}">
          <xlrd:rvb i="4027"/>
        </ext>
      </extLst>
    </bk>
    <bk>
      <extLst>
        <ext uri="{3e2802c4-a4d2-4d8b-9148-e3be6c30e623}">
          <xlrd:rvb i="4028"/>
        </ext>
      </extLst>
    </bk>
    <bk>
      <extLst>
        <ext uri="{3e2802c4-a4d2-4d8b-9148-e3be6c30e623}">
          <xlrd:rvb i="4029"/>
        </ext>
      </extLst>
    </bk>
    <bk>
      <extLst>
        <ext uri="{3e2802c4-a4d2-4d8b-9148-e3be6c30e623}">
          <xlrd:rvb i="4030"/>
        </ext>
      </extLst>
    </bk>
    <bk>
      <extLst>
        <ext uri="{3e2802c4-a4d2-4d8b-9148-e3be6c30e623}">
          <xlrd:rvb i="4031"/>
        </ext>
      </extLst>
    </bk>
    <bk>
      <extLst>
        <ext uri="{3e2802c4-a4d2-4d8b-9148-e3be6c30e623}">
          <xlrd:rvb i="4032"/>
        </ext>
      </extLst>
    </bk>
    <bk>
      <extLst>
        <ext uri="{3e2802c4-a4d2-4d8b-9148-e3be6c30e623}">
          <xlrd:rvb i="4033"/>
        </ext>
      </extLst>
    </bk>
    <bk>
      <extLst>
        <ext uri="{3e2802c4-a4d2-4d8b-9148-e3be6c30e623}">
          <xlrd:rvb i="4034"/>
        </ext>
      </extLst>
    </bk>
    <bk>
      <extLst>
        <ext uri="{3e2802c4-a4d2-4d8b-9148-e3be6c30e623}">
          <xlrd:rvb i="4035"/>
        </ext>
      </extLst>
    </bk>
    <bk>
      <extLst>
        <ext uri="{3e2802c4-a4d2-4d8b-9148-e3be6c30e623}">
          <xlrd:rvb i="4036"/>
        </ext>
      </extLst>
    </bk>
    <bk>
      <extLst>
        <ext uri="{3e2802c4-a4d2-4d8b-9148-e3be6c30e623}">
          <xlrd:rvb i="4037"/>
        </ext>
      </extLst>
    </bk>
    <bk>
      <extLst>
        <ext uri="{3e2802c4-a4d2-4d8b-9148-e3be6c30e623}">
          <xlrd:rvb i="4038"/>
        </ext>
      </extLst>
    </bk>
    <bk>
      <extLst>
        <ext uri="{3e2802c4-a4d2-4d8b-9148-e3be6c30e623}">
          <xlrd:rvb i="4039"/>
        </ext>
      </extLst>
    </bk>
    <bk>
      <extLst>
        <ext uri="{3e2802c4-a4d2-4d8b-9148-e3be6c30e623}">
          <xlrd:rvb i="4040"/>
        </ext>
      </extLst>
    </bk>
    <bk>
      <extLst>
        <ext uri="{3e2802c4-a4d2-4d8b-9148-e3be6c30e623}">
          <xlrd:rvb i="4041"/>
        </ext>
      </extLst>
    </bk>
    <bk>
      <extLst>
        <ext uri="{3e2802c4-a4d2-4d8b-9148-e3be6c30e623}">
          <xlrd:rvb i="4042"/>
        </ext>
      </extLst>
    </bk>
    <bk>
      <extLst>
        <ext uri="{3e2802c4-a4d2-4d8b-9148-e3be6c30e623}">
          <xlrd:rvb i="4043"/>
        </ext>
      </extLst>
    </bk>
    <bk>
      <extLst>
        <ext uri="{3e2802c4-a4d2-4d8b-9148-e3be6c30e623}">
          <xlrd:rvb i="4044"/>
        </ext>
      </extLst>
    </bk>
    <bk>
      <extLst>
        <ext uri="{3e2802c4-a4d2-4d8b-9148-e3be6c30e623}">
          <xlrd:rvb i="4045"/>
        </ext>
      </extLst>
    </bk>
    <bk>
      <extLst>
        <ext uri="{3e2802c4-a4d2-4d8b-9148-e3be6c30e623}">
          <xlrd:rvb i="4046"/>
        </ext>
      </extLst>
    </bk>
    <bk>
      <extLst>
        <ext uri="{3e2802c4-a4d2-4d8b-9148-e3be6c30e623}">
          <xlrd:rvb i="4047"/>
        </ext>
      </extLst>
    </bk>
    <bk>
      <extLst>
        <ext uri="{3e2802c4-a4d2-4d8b-9148-e3be6c30e623}">
          <xlrd:rvb i="4048"/>
        </ext>
      </extLst>
    </bk>
    <bk>
      <extLst>
        <ext uri="{3e2802c4-a4d2-4d8b-9148-e3be6c30e623}">
          <xlrd:rvb i="4049"/>
        </ext>
      </extLst>
    </bk>
    <bk>
      <extLst>
        <ext uri="{3e2802c4-a4d2-4d8b-9148-e3be6c30e623}">
          <xlrd:rvb i="4050"/>
        </ext>
      </extLst>
    </bk>
    <bk>
      <extLst>
        <ext uri="{3e2802c4-a4d2-4d8b-9148-e3be6c30e623}">
          <xlrd:rvb i="4051"/>
        </ext>
      </extLst>
    </bk>
    <bk>
      <extLst>
        <ext uri="{3e2802c4-a4d2-4d8b-9148-e3be6c30e623}">
          <xlrd:rvb i="4052"/>
        </ext>
      </extLst>
    </bk>
    <bk>
      <extLst>
        <ext uri="{3e2802c4-a4d2-4d8b-9148-e3be6c30e623}">
          <xlrd:rvb i="4053"/>
        </ext>
      </extLst>
    </bk>
    <bk>
      <extLst>
        <ext uri="{3e2802c4-a4d2-4d8b-9148-e3be6c30e623}">
          <xlrd:rvb i="4054"/>
        </ext>
      </extLst>
    </bk>
    <bk>
      <extLst>
        <ext uri="{3e2802c4-a4d2-4d8b-9148-e3be6c30e623}">
          <xlrd:rvb i="4055"/>
        </ext>
      </extLst>
    </bk>
    <bk>
      <extLst>
        <ext uri="{3e2802c4-a4d2-4d8b-9148-e3be6c30e623}">
          <xlrd:rvb i="4056"/>
        </ext>
      </extLst>
    </bk>
    <bk>
      <extLst>
        <ext uri="{3e2802c4-a4d2-4d8b-9148-e3be6c30e623}">
          <xlrd:rvb i="4057"/>
        </ext>
      </extLst>
    </bk>
    <bk>
      <extLst>
        <ext uri="{3e2802c4-a4d2-4d8b-9148-e3be6c30e623}">
          <xlrd:rvb i="4058"/>
        </ext>
      </extLst>
    </bk>
    <bk>
      <extLst>
        <ext uri="{3e2802c4-a4d2-4d8b-9148-e3be6c30e623}">
          <xlrd:rvb i="4059"/>
        </ext>
      </extLst>
    </bk>
    <bk>
      <extLst>
        <ext uri="{3e2802c4-a4d2-4d8b-9148-e3be6c30e623}">
          <xlrd:rvb i="4060"/>
        </ext>
      </extLst>
    </bk>
    <bk>
      <extLst>
        <ext uri="{3e2802c4-a4d2-4d8b-9148-e3be6c30e623}">
          <xlrd:rvb i="4061"/>
        </ext>
      </extLst>
    </bk>
    <bk>
      <extLst>
        <ext uri="{3e2802c4-a4d2-4d8b-9148-e3be6c30e623}">
          <xlrd:rvb i="4062"/>
        </ext>
      </extLst>
    </bk>
    <bk>
      <extLst>
        <ext uri="{3e2802c4-a4d2-4d8b-9148-e3be6c30e623}">
          <xlrd:rvb i="4063"/>
        </ext>
      </extLst>
    </bk>
    <bk>
      <extLst>
        <ext uri="{3e2802c4-a4d2-4d8b-9148-e3be6c30e623}">
          <xlrd:rvb i="4064"/>
        </ext>
      </extLst>
    </bk>
    <bk>
      <extLst>
        <ext uri="{3e2802c4-a4d2-4d8b-9148-e3be6c30e623}">
          <xlrd:rvb i="4065"/>
        </ext>
      </extLst>
    </bk>
    <bk>
      <extLst>
        <ext uri="{3e2802c4-a4d2-4d8b-9148-e3be6c30e623}">
          <xlrd:rvb i="4066"/>
        </ext>
      </extLst>
    </bk>
    <bk>
      <extLst>
        <ext uri="{3e2802c4-a4d2-4d8b-9148-e3be6c30e623}">
          <xlrd:rvb i="4067"/>
        </ext>
      </extLst>
    </bk>
    <bk>
      <extLst>
        <ext uri="{3e2802c4-a4d2-4d8b-9148-e3be6c30e623}">
          <xlrd:rvb i="4068"/>
        </ext>
      </extLst>
    </bk>
    <bk>
      <extLst>
        <ext uri="{3e2802c4-a4d2-4d8b-9148-e3be6c30e623}">
          <xlrd:rvb i="4069"/>
        </ext>
      </extLst>
    </bk>
    <bk>
      <extLst>
        <ext uri="{3e2802c4-a4d2-4d8b-9148-e3be6c30e623}">
          <xlrd:rvb i="4070"/>
        </ext>
      </extLst>
    </bk>
    <bk>
      <extLst>
        <ext uri="{3e2802c4-a4d2-4d8b-9148-e3be6c30e623}">
          <xlrd:rvb i="4071"/>
        </ext>
      </extLst>
    </bk>
    <bk>
      <extLst>
        <ext uri="{3e2802c4-a4d2-4d8b-9148-e3be6c30e623}">
          <xlrd:rvb i="4072"/>
        </ext>
      </extLst>
    </bk>
    <bk>
      <extLst>
        <ext uri="{3e2802c4-a4d2-4d8b-9148-e3be6c30e623}">
          <xlrd:rvb i="4073"/>
        </ext>
      </extLst>
    </bk>
    <bk>
      <extLst>
        <ext uri="{3e2802c4-a4d2-4d8b-9148-e3be6c30e623}">
          <xlrd:rvb i="4074"/>
        </ext>
      </extLst>
    </bk>
    <bk>
      <extLst>
        <ext uri="{3e2802c4-a4d2-4d8b-9148-e3be6c30e623}">
          <xlrd:rvb i="4075"/>
        </ext>
      </extLst>
    </bk>
    <bk>
      <extLst>
        <ext uri="{3e2802c4-a4d2-4d8b-9148-e3be6c30e623}">
          <xlrd:rvb i="4076"/>
        </ext>
      </extLst>
    </bk>
    <bk>
      <extLst>
        <ext uri="{3e2802c4-a4d2-4d8b-9148-e3be6c30e623}">
          <xlrd:rvb i="4077"/>
        </ext>
      </extLst>
    </bk>
    <bk>
      <extLst>
        <ext uri="{3e2802c4-a4d2-4d8b-9148-e3be6c30e623}">
          <xlrd:rvb i="4078"/>
        </ext>
      </extLst>
    </bk>
    <bk>
      <extLst>
        <ext uri="{3e2802c4-a4d2-4d8b-9148-e3be6c30e623}">
          <xlrd:rvb i="4079"/>
        </ext>
      </extLst>
    </bk>
    <bk>
      <extLst>
        <ext uri="{3e2802c4-a4d2-4d8b-9148-e3be6c30e623}">
          <xlrd:rvb i="4080"/>
        </ext>
      </extLst>
    </bk>
    <bk>
      <extLst>
        <ext uri="{3e2802c4-a4d2-4d8b-9148-e3be6c30e623}">
          <xlrd:rvb i="4081"/>
        </ext>
      </extLst>
    </bk>
    <bk>
      <extLst>
        <ext uri="{3e2802c4-a4d2-4d8b-9148-e3be6c30e623}">
          <xlrd:rvb i="4082"/>
        </ext>
      </extLst>
    </bk>
    <bk>
      <extLst>
        <ext uri="{3e2802c4-a4d2-4d8b-9148-e3be6c30e623}">
          <xlrd:rvb i="4083"/>
        </ext>
      </extLst>
    </bk>
    <bk>
      <extLst>
        <ext uri="{3e2802c4-a4d2-4d8b-9148-e3be6c30e623}">
          <xlrd:rvb i="4084"/>
        </ext>
      </extLst>
    </bk>
    <bk>
      <extLst>
        <ext uri="{3e2802c4-a4d2-4d8b-9148-e3be6c30e623}">
          <xlrd:rvb i="4085"/>
        </ext>
      </extLst>
    </bk>
    <bk>
      <extLst>
        <ext uri="{3e2802c4-a4d2-4d8b-9148-e3be6c30e623}">
          <xlrd:rvb i="4086"/>
        </ext>
      </extLst>
    </bk>
    <bk>
      <extLst>
        <ext uri="{3e2802c4-a4d2-4d8b-9148-e3be6c30e623}">
          <xlrd:rvb i="4087"/>
        </ext>
      </extLst>
    </bk>
    <bk>
      <extLst>
        <ext uri="{3e2802c4-a4d2-4d8b-9148-e3be6c30e623}">
          <xlrd:rvb i="4088"/>
        </ext>
      </extLst>
    </bk>
    <bk>
      <extLst>
        <ext uri="{3e2802c4-a4d2-4d8b-9148-e3be6c30e623}">
          <xlrd:rvb i="4089"/>
        </ext>
      </extLst>
    </bk>
    <bk>
      <extLst>
        <ext uri="{3e2802c4-a4d2-4d8b-9148-e3be6c30e623}">
          <xlrd:rvb i="4090"/>
        </ext>
      </extLst>
    </bk>
    <bk>
      <extLst>
        <ext uri="{3e2802c4-a4d2-4d8b-9148-e3be6c30e623}">
          <xlrd:rvb i="4091"/>
        </ext>
      </extLst>
    </bk>
    <bk>
      <extLst>
        <ext uri="{3e2802c4-a4d2-4d8b-9148-e3be6c30e623}">
          <xlrd:rvb i="4092"/>
        </ext>
      </extLst>
    </bk>
    <bk>
      <extLst>
        <ext uri="{3e2802c4-a4d2-4d8b-9148-e3be6c30e623}">
          <xlrd:rvb i="4093"/>
        </ext>
      </extLst>
    </bk>
    <bk>
      <extLst>
        <ext uri="{3e2802c4-a4d2-4d8b-9148-e3be6c30e623}">
          <xlrd:rvb i="4094"/>
        </ext>
      </extLst>
    </bk>
    <bk>
      <extLst>
        <ext uri="{3e2802c4-a4d2-4d8b-9148-e3be6c30e623}">
          <xlrd:rvb i="4095"/>
        </ext>
      </extLst>
    </bk>
    <bk>
      <extLst>
        <ext uri="{3e2802c4-a4d2-4d8b-9148-e3be6c30e623}">
          <xlrd:rvb i="4096"/>
        </ext>
      </extLst>
    </bk>
    <bk>
      <extLst>
        <ext uri="{3e2802c4-a4d2-4d8b-9148-e3be6c30e623}">
          <xlrd:rvb i="4097"/>
        </ext>
      </extLst>
    </bk>
    <bk>
      <extLst>
        <ext uri="{3e2802c4-a4d2-4d8b-9148-e3be6c30e623}">
          <xlrd:rvb i="4098"/>
        </ext>
      </extLst>
    </bk>
    <bk>
      <extLst>
        <ext uri="{3e2802c4-a4d2-4d8b-9148-e3be6c30e623}">
          <xlrd:rvb i="4099"/>
        </ext>
      </extLst>
    </bk>
    <bk>
      <extLst>
        <ext uri="{3e2802c4-a4d2-4d8b-9148-e3be6c30e623}">
          <xlrd:rvb i="4100"/>
        </ext>
      </extLst>
    </bk>
    <bk>
      <extLst>
        <ext uri="{3e2802c4-a4d2-4d8b-9148-e3be6c30e623}">
          <xlrd:rvb i="4101"/>
        </ext>
      </extLst>
    </bk>
    <bk>
      <extLst>
        <ext uri="{3e2802c4-a4d2-4d8b-9148-e3be6c30e623}">
          <xlrd:rvb i="4102"/>
        </ext>
      </extLst>
    </bk>
    <bk>
      <extLst>
        <ext uri="{3e2802c4-a4d2-4d8b-9148-e3be6c30e623}">
          <xlrd:rvb i="4103"/>
        </ext>
      </extLst>
    </bk>
    <bk>
      <extLst>
        <ext uri="{3e2802c4-a4d2-4d8b-9148-e3be6c30e623}">
          <xlrd:rvb i="4104"/>
        </ext>
      </extLst>
    </bk>
    <bk>
      <extLst>
        <ext uri="{3e2802c4-a4d2-4d8b-9148-e3be6c30e623}">
          <xlrd:rvb i="4105"/>
        </ext>
      </extLst>
    </bk>
    <bk>
      <extLst>
        <ext uri="{3e2802c4-a4d2-4d8b-9148-e3be6c30e623}">
          <xlrd:rvb i="4106"/>
        </ext>
      </extLst>
    </bk>
    <bk>
      <extLst>
        <ext uri="{3e2802c4-a4d2-4d8b-9148-e3be6c30e623}">
          <xlrd:rvb i="4107"/>
        </ext>
      </extLst>
    </bk>
    <bk>
      <extLst>
        <ext uri="{3e2802c4-a4d2-4d8b-9148-e3be6c30e623}">
          <xlrd:rvb i="4108"/>
        </ext>
      </extLst>
    </bk>
    <bk>
      <extLst>
        <ext uri="{3e2802c4-a4d2-4d8b-9148-e3be6c30e623}">
          <xlrd:rvb i="4109"/>
        </ext>
      </extLst>
    </bk>
    <bk>
      <extLst>
        <ext uri="{3e2802c4-a4d2-4d8b-9148-e3be6c30e623}">
          <xlrd:rvb i="4110"/>
        </ext>
      </extLst>
    </bk>
    <bk>
      <extLst>
        <ext uri="{3e2802c4-a4d2-4d8b-9148-e3be6c30e623}">
          <xlrd:rvb i="4111"/>
        </ext>
      </extLst>
    </bk>
    <bk>
      <extLst>
        <ext uri="{3e2802c4-a4d2-4d8b-9148-e3be6c30e623}">
          <xlrd:rvb i="4112"/>
        </ext>
      </extLst>
    </bk>
    <bk>
      <extLst>
        <ext uri="{3e2802c4-a4d2-4d8b-9148-e3be6c30e623}">
          <xlrd:rvb i="4113"/>
        </ext>
      </extLst>
    </bk>
    <bk>
      <extLst>
        <ext uri="{3e2802c4-a4d2-4d8b-9148-e3be6c30e623}">
          <xlrd:rvb i="4114"/>
        </ext>
      </extLst>
    </bk>
    <bk>
      <extLst>
        <ext uri="{3e2802c4-a4d2-4d8b-9148-e3be6c30e623}">
          <xlrd:rvb i="4115"/>
        </ext>
      </extLst>
    </bk>
    <bk>
      <extLst>
        <ext uri="{3e2802c4-a4d2-4d8b-9148-e3be6c30e623}">
          <xlrd:rvb i="4116"/>
        </ext>
      </extLst>
    </bk>
    <bk>
      <extLst>
        <ext uri="{3e2802c4-a4d2-4d8b-9148-e3be6c30e623}">
          <xlrd:rvb i="4117"/>
        </ext>
      </extLst>
    </bk>
    <bk>
      <extLst>
        <ext uri="{3e2802c4-a4d2-4d8b-9148-e3be6c30e623}">
          <xlrd:rvb i="4118"/>
        </ext>
      </extLst>
    </bk>
    <bk>
      <extLst>
        <ext uri="{3e2802c4-a4d2-4d8b-9148-e3be6c30e623}">
          <xlrd:rvb i="4119"/>
        </ext>
      </extLst>
    </bk>
    <bk>
      <extLst>
        <ext uri="{3e2802c4-a4d2-4d8b-9148-e3be6c30e623}">
          <xlrd:rvb i="4120"/>
        </ext>
      </extLst>
    </bk>
    <bk>
      <extLst>
        <ext uri="{3e2802c4-a4d2-4d8b-9148-e3be6c30e623}">
          <xlrd:rvb i="4121"/>
        </ext>
      </extLst>
    </bk>
    <bk>
      <extLst>
        <ext uri="{3e2802c4-a4d2-4d8b-9148-e3be6c30e623}">
          <xlrd:rvb i="4122"/>
        </ext>
      </extLst>
    </bk>
    <bk>
      <extLst>
        <ext uri="{3e2802c4-a4d2-4d8b-9148-e3be6c30e623}">
          <xlrd:rvb i="4123"/>
        </ext>
      </extLst>
    </bk>
    <bk>
      <extLst>
        <ext uri="{3e2802c4-a4d2-4d8b-9148-e3be6c30e623}">
          <xlrd:rvb i="4124"/>
        </ext>
      </extLst>
    </bk>
    <bk>
      <extLst>
        <ext uri="{3e2802c4-a4d2-4d8b-9148-e3be6c30e623}">
          <xlrd:rvb i="4125"/>
        </ext>
      </extLst>
    </bk>
    <bk>
      <extLst>
        <ext uri="{3e2802c4-a4d2-4d8b-9148-e3be6c30e623}">
          <xlrd:rvb i="4126"/>
        </ext>
      </extLst>
    </bk>
    <bk>
      <extLst>
        <ext uri="{3e2802c4-a4d2-4d8b-9148-e3be6c30e623}">
          <xlrd:rvb i="4127"/>
        </ext>
      </extLst>
    </bk>
    <bk>
      <extLst>
        <ext uri="{3e2802c4-a4d2-4d8b-9148-e3be6c30e623}">
          <xlrd:rvb i="4128"/>
        </ext>
      </extLst>
    </bk>
    <bk>
      <extLst>
        <ext uri="{3e2802c4-a4d2-4d8b-9148-e3be6c30e623}">
          <xlrd:rvb i="4129"/>
        </ext>
      </extLst>
    </bk>
    <bk>
      <extLst>
        <ext uri="{3e2802c4-a4d2-4d8b-9148-e3be6c30e623}">
          <xlrd:rvb i="4130"/>
        </ext>
      </extLst>
    </bk>
    <bk>
      <extLst>
        <ext uri="{3e2802c4-a4d2-4d8b-9148-e3be6c30e623}">
          <xlrd:rvb i="4131"/>
        </ext>
      </extLst>
    </bk>
    <bk>
      <extLst>
        <ext uri="{3e2802c4-a4d2-4d8b-9148-e3be6c30e623}">
          <xlrd:rvb i="4132"/>
        </ext>
      </extLst>
    </bk>
    <bk>
      <extLst>
        <ext uri="{3e2802c4-a4d2-4d8b-9148-e3be6c30e623}">
          <xlrd:rvb i="4133"/>
        </ext>
      </extLst>
    </bk>
    <bk>
      <extLst>
        <ext uri="{3e2802c4-a4d2-4d8b-9148-e3be6c30e623}">
          <xlrd:rvb i="4134"/>
        </ext>
      </extLst>
    </bk>
    <bk>
      <extLst>
        <ext uri="{3e2802c4-a4d2-4d8b-9148-e3be6c30e623}">
          <xlrd:rvb i="4135"/>
        </ext>
      </extLst>
    </bk>
    <bk>
      <extLst>
        <ext uri="{3e2802c4-a4d2-4d8b-9148-e3be6c30e623}">
          <xlrd:rvb i="4136"/>
        </ext>
      </extLst>
    </bk>
    <bk>
      <extLst>
        <ext uri="{3e2802c4-a4d2-4d8b-9148-e3be6c30e623}">
          <xlrd:rvb i="4137"/>
        </ext>
      </extLst>
    </bk>
    <bk>
      <extLst>
        <ext uri="{3e2802c4-a4d2-4d8b-9148-e3be6c30e623}">
          <xlrd:rvb i="4138"/>
        </ext>
      </extLst>
    </bk>
    <bk>
      <extLst>
        <ext uri="{3e2802c4-a4d2-4d8b-9148-e3be6c30e623}">
          <xlrd:rvb i="4139"/>
        </ext>
      </extLst>
    </bk>
    <bk>
      <extLst>
        <ext uri="{3e2802c4-a4d2-4d8b-9148-e3be6c30e623}">
          <xlrd:rvb i="4140"/>
        </ext>
      </extLst>
    </bk>
    <bk>
      <extLst>
        <ext uri="{3e2802c4-a4d2-4d8b-9148-e3be6c30e623}">
          <xlrd:rvb i="4141"/>
        </ext>
      </extLst>
    </bk>
    <bk>
      <extLst>
        <ext uri="{3e2802c4-a4d2-4d8b-9148-e3be6c30e623}">
          <xlrd:rvb i="4142"/>
        </ext>
      </extLst>
    </bk>
    <bk>
      <extLst>
        <ext uri="{3e2802c4-a4d2-4d8b-9148-e3be6c30e623}">
          <xlrd:rvb i="4143"/>
        </ext>
      </extLst>
    </bk>
    <bk>
      <extLst>
        <ext uri="{3e2802c4-a4d2-4d8b-9148-e3be6c30e623}">
          <xlrd:rvb i="4144"/>
        </ext>
      </extLst>
    </bk>
    <bk>
      <extLst>
        <ext uri="{3e2802c4-a4d2-4d8b-9148-e3be6c30e623}">
          <xlrd:rvb i="4145"/>
        </ext>
      </extLst>
    </bk>
    <bk>
      <extLst>
        <ext uri="{3e2802c4-a4d2-4d8b-9148-e3be6c30e623}">
          <xlrd:rvb i="4146"/>
        </ext>
      </extLst>
    </bk>
    <bk>
      <extLst>
        <ext uri="{3e2802c4-a4d2-4d8b-9148-e3be6c30e623}">
          <xlrd:rvb i="4147"/>
        </ext>
      </extLst>
    </bk>
    <bk>
      <extLst>
        <ext uri="{3e2802c4-a4d2-4d8b-9148-e3be6c30e623}">
          <xlrd:rvb i="4148"/>
        </ext>
      </extLst>
    </bk>
    <bk>
      <extLst>
        <ext uri="{3e2802c4-a4d2-4d8b-9148-e3be6c30e623}">
          <xlrd:rvb i="4149"/>
        </ext>
      </extLst>
    </bk>
    <bk>
      <extLst>
        <ext uri="{3e2802c4-a4d2-4d8b-9148-e3be6c30e623}">
          <xlrd:rvb i="4150"/>
        </ext>
      </extLst>
    </bk>
    <bk>
      <extLst>
        <ext uri="{3e2802c4-a4d2-4d8b-9148-e3be6c30e623}">
          <xlrd:rvb i="4151"/>
        </ext>
      </extLst>
    </bk>
    <bk>
      <extLst>
        <ext uri="{3e2802c4-a4d2-4d8b-9148-e3be6c30e623}">
          <xlrd:rvb i="4152"/>
        </ext>
      </extLst>
    </bk>
    <bk>
      <extLst>
        <ext uri="{3e2802c4-a4d2-4d8b-9148-e3be6c30e623}">
          <xlrd:rvb i="4153"/>
        </ext>
      </extLst>
    </bk>
    <bk>
      <extLst>
        <ext uri="{3e2802c4-a4d2-4d8b-9148-e3be6c30e623}">
          <xlrd:rvb i="4154"/>
        </ext>
      </extLst>
    </bk>
    <bk>
      <extLst>
        <ext uri="{3e2802c4-a4d2-4d8b-9148-e3be6c30e623}">
          <xlrd:rvb i="4155"/>
        </ext>
      </extLst>
    </bk>
    <bk>
      <extLst>
        <ext uri="{3e2802c4-a4d2-4d8b-9148-e3be6c30e623}">
          <xlrd:rvb i="4156"/>
        </ext>
      </extLst>
    </bk>
    <bk>
      <extLst>
        <ext uri="{3e2802c4-a4d2-4d8b-9148-e3be6c30e623}">
          <xlrd:rvb i="4157"/>
        </ext>
      </extLst>
    </bk>
    <bk>
      <extLst>
        <ext uri="{3e2802c4-a4d2-4d8b-9148-e3be6c30e623}">
          <xlrd:rvb i="4158"/>
        </ext>
      </extLst>
    </bk>
    <bk>
      <extLst>
        <ext uri="{3e2802c4-a4d2-4d8b-9148-e3be6c30e623}">
          <xlrd:rvb i="4159"/>
        </ext>
      </extLst>
    </bk>
    <bk>
      <extLst>
        <ext uri="{3e2802c4-a4d2-4d8b-9148-e3be6c30e623}">
          <xlrd:rvb i="4160"/>
        </ext>
      </extLst>
    </bk>
    <bk>
      <extLst>
        <ext uri="{3e2802c4-a4d2-4d8b-9148-e3be6c30e623}">
          <xlrd:rvb i="4161"/>
        </ext>
      </extLst>
    </bk>
    <bk>
      <extLst>
        <ext uri="{3e2802c4-a4d2-4d8b-9148-e3be6c30e623}">
          <xlrd:rvb i="4162"/>
        </ext>
      </extLst>
    </bk>
    <bk>
      <extLst>
        <ext uri="{3e2802c4-a4d2-4d8b-9148-e3be6c30e623}">
          <xlrd:rvb i="4163"/>
        </ext>
      </extLst>
    </bk>
    <bk>
      <extLst>
        <ext uri="{3e2802c4-a4d2-4d8b-9148-e3be6c30e623}">
          <xlrd:rvb i="4164"/>
        </ext>
      </extLst>
    </bk>
    <bk>
      <extLst>
        <ext uri="{3e2802c4-a4d2-4d8b-9148-e3be6c30e623}">
          <xlrd:rvb i="4165"/>
        </ext>
      </extLst>
    </bk>
    <bk>
      <extLst>
        <ext uri="{3e2802c4-a4d2-4d8b-9148-e3be6c30e623}">
          <xlrd:rvb i="4166"/>
        </ext>
      </extLst>
    </bk>
    <bk>
      <extLst>
        <ext uri="{3e2802c4-a4d2-4d8b-9148-e3be6c30e623}">
          <xlrd:rvb i="4167"/>
        </ext>
      </extLst>
    </bk>
    <bk>
      <extLst>
        <ext uri="{3e2802c4-a4d2-4d8b-9148-e3be6c30e623}">
          <xlrd:rvb i="4168"/>
        </ext>
      </extLst>
    </bk>
    <bk>
      <extLst>
        <ext uri="{3e2802c4-a4d2-4d8b-9148-e3be6c30e623}">
          <xlrd:rvb i="4169"/>
        </ext>
      </extLst>
    </bk>
    <bk>
      <extLst>
        <ext uri="{3e2802c4-a4d2-4d8b-9148-e3be6c30e623}">
          <xlrd:rvb i="4170"/>
        </ext>
      </extLst>
    </bk>
    <bk>
      <extLst>
        <ext uri="{3e2802c4-a4d2-4d8b-9148-e3be6c30e623}">
          <xlrd:rvb i="4171"/>
        </ext>
      </extLst>
    </bk>
    <bk>
      <extLst>
        <ext uri="{3e2802c4-a4d2-4d8b-9148-e3be6c30e623}">
          <xlrd:rvb i="4172"/>
        </ext>
      </extLst>
    </bk>
    <bk>
      <extLst>
        <ext uri="{3e2802c4-a4d2-4d8b-9148-e3be6c30e623}">
          <xlrd:rvb i="4173"/>
        </ext>
      </extLst>
    </bk>
    <bk>
      <extLst>
        <ext uri="{3e2802c4-a4d2-4d8b-9148-e3be6c30e623}">
          <xlrd:rvb i="4174"/>
        </ext>
      </extLst>
    </bk>
    <bk>
      <extLst>
        <ext uri="{3e2802c4-a4d2-4d8b-9148-e3be6c30e623}">
          <xlrd:rvb i="4175"/>
        </ext>
      </extLst>
    </bk>
    <bk>
      <extLst>
        <ext uri="{3e2802c4-a4d2-4d8b-9148-e3be6c30e623}">
          <xlrd:rvb i="4176"/>
        </ext>
      </extLst>
    </bk>
    <bk>
      <extLst>
        <ext uri="{3e2802c4-a4d2-4d8b-9148-e3be6c30e623}">
          <xlrd:rvb i="4177"/>
        </ext>
      </extLst>
    </bk>
    <bk>
      <extLst>
        <ext uri="{3e2802c4-a4d2-4d8b-9148-e3be6c30e623}">
          <xlrd:rvb i="4178"/>
        </ext>
      </extLst>
    </bk>
    <bk>
      <extLst>
        <ext uri="{3e2802c4-a4d2-4d8b-9148-e3be6c30e623}">
          <xlrd:rvb i="4179"/>
        </ext>
      </extLst>
    </bk>
    <bk>
      <extLst>
        <ext uri="{3e2802c4-a4d2-4d8b-9148-e3be6c30e623}">
          <xlrd:rvb i="4180"/>
        </ext>
      </extLst>
    </bk>
    <bk>
      <extLst>
        <ext uri="{3e2802c4-a4d2-4d8b-9148-e3be6c30e623}">
          <xlrd:rvb i="4181"/>
        </ext>
      </extLst>
    </bk>
    <bk>
      <extLst>
        <ext uri="{3e2802c4-a4d2-4d8b-9148-e3be6c30e623}">
          <xlrd:rvb i="4182"/>
        </ext>
      </extLst>
    </bk>
    <bk>
      <extLst>
        <ext uri="{3e2802c4-a4d2-4d8b-9148-e3be6c30e623}">
          <xlrd:rvb i="4183"/>
        </ext>
      </extLst>
    </bk>
    <bk>
      <extLst>
        <ext uri="{3e2802c4-a4d2-4d8b-9148-e3be6c30e623}">
          <xlrd:rvb i="4184"/>
        </ext>
      </extLst>
    </bk>
    <bk>
      <extLst>
        <ext uri="{3e2802c4-a4d2-4d8b-9148-e3be6c30e623}">
          <xlrd:rvb i="4185"/>
        </ext>
      </extLst>
    </bk>
    <bk>
      <extLst>
        <ext uri="{3e2802c4-a4d2-4d8b-9148-e3be6c30e623}">
          <xlrd:rvb i="4186"/>
        </ext>
      </extLst>
    </bk>
    <bk>
      <extLst>
        <ext uri="{3e2802c4-a4d2-4d8b-9148-e3be6c30e623}">
          <xlrd:rvb i="4187"/>
        </ext>
      </extLst>
    </bk>
    <bk>
      <extLst>
        <ext uri="{3e2802c4-a4d2-4d8b-9148-e3be6c30e623}">
          <xlrd:rvb i="4188"/>
        </ext>
      </extLst>
    </bk>
    <bk>
      <extLst>
        <ext uri="{3e2802c4-a4d2-4d8b-9148-e3be6c30e623}">
          <xlrd:rvb i="4189"/>
        </ext>
      </extLst>
    </bk>
    <bk>
      <extLst>
        <ext uri="{3e2802c4-a4d2-4d8b-9148-e3be6c30e623}">
          <xlrd:rvb i="4190"/>
        </ext>
      </extLst>
    </bk>
    <bk>
      <extLst>
        <ext uri="{3e2802c4-a4d2-4d8b-9148-e3be6c30e623}">
          <xlrd:rvb i="4191"/>
        </ext>
      </extLst>
    </bk>
    <bk>
      <extLst>
        <ext uri="{3e2802c4-a4d2-4d8b-9148-e3be6c30e623}">
          <xlrd:rvb i="4192"/>
        </ext>
      </extLst>
    </bk>
    <bk>
      <extLst>
        <ext uri="{3e2802c4-a4d2-4d8b-9148-e3be6c30e623}">
          <xlrd:rvb i="4193"/>
        </ext>
      </extLst>
    </bk>
    <bk>
      <extLst>
        <ext uri="{3e2802c4-a4d2-4d8b-9148-e3be6c30e623}">
          <xlrd:rvb i="4194"/>
        </ext>
      </extLst>
    </bk>
    <bk>
      <extLst>
        <ext uri="{3e2802c4-a4d2-4d8b-9148-e3be6c30e623}">
          <xlrd:rvb i="4195"/>
        </ext>
      </extLst>
    </bk>
    <bk>
      <extLst>
        <ext uri="{3e2802c4-a4d2-4d8b-9148-e3be6c30e623}">
          <xlrd:rvb i="4196"/>
        </ext>
      </extLst>
    </bk>
    <bk>
      <extLst>
        <ext uri="{3e2802c4-a4d2-4d8b-9148-e3be6c30e623}">
          <xlrd:rvb i="4197"/>
        </ext>
      </extLst>
    </bk>
    <bk>
      <extLst>
        <ext uri="{3e2802c4-a4d2-4d8b-9148-e3be6c30e623}">
          <xlrd:rvb i="4198"/>
        </ext>
      </extLst>
    </bk>
    <bk>
      <extLst>
        <ext uri="{3e2802c4-a4d2-4d8b-9148-e3be6c30e623}">
          <xlrd:rvb i="4199"/>
        </ext>
      </extLst>
    </bk>
    <bk>
      <extLst>
        <ext uri="{3e2802c4-a4d2-4d8b-9148-e3be6c30e623}">
          <xlrd:rvb i="4200"/>
        </ext>
      </extLst>
    </bk>
    <bk>
      <extLst>
        <ext uri="{3e2802c4-a4d2-4d8b-9148-e3be6c30e623}">
          <xlrd:rvb i="4201"/>
        </ext>
      </extLst>
    </bk>
    <bk>
      <extLst>
        <ext uri="{3e2802c4-a4d2-4d8b-9148-e3be6c30e623}">
          <xlrd:rvb i="4202"/>
        </ext>
      </extLst>
    </bk>
    <bk>
      <extLst>
        <ext uri="{3e2802c4-a4d2-4d8b-9148-e3be6c30e623}">
          <xlrd:rvb i="4203"/>
        </ext>
      </extLst>
    </bk>
    <bk>
      <extLst>
        <ext uri="{3e2802c4-a4d2-4d8b-9148-e3be6c30e623}">
          <xlrd:rvb i="4204"/>
        </ext>
      </extLst>
    </bk>
    <bk>
      <extLst>
        <ext uri="{3e2802c4-a4d2-4d8b-9148-e3be6c30e623}">
          <xlrd:rvb i="4205"/>
        </ext>
      </extLst>
    </bk>
    <bk>
      <extLst>
        <ext uri="{3e2802c4-a4d2-4d8b-9148-e3be6c30e623}">
          <xlrd:rvb i="4206"/>
        </ext>
      </extLst>
    </bk>
    <bk>
      <extLst>
        <ext uri="{3e2802c4-a4d2-4d8b-9148-e3be6c30e623}">
          <xlrd:rvb i="4207"/>
        </ext>
      </extLst>
    </bk>
    <bk>
      <extLst>
        <ext uri="{3e2802c4-a4d2-4d8b-9148-e3be6c30e623}">
          <xlrd:rvb i="4208"/>
        </ext>
      </extLst>
    </bk>
    <bk>
      <extLst>
        <ext uri="{3e2802c4-a4d2-4d8b-9148-e3be6c30e623}">
          <xlrd:rvb i="4209"/>
        </ext>
      </extLst>
    </bk>
    <bk>
      <extLst>
        <ext uri="{3e2802c4-a4d2-4d8b-9148-e3be6c30e623}">
          <xlrd:rvb i="4210"/>
        </ext>
      </extLst>
    </bk>
    <bk>
      <extLst>
        <ext uri="{3e2802c4-a4d2-4d8b-9148-e3be6c30e623}">
          <xlrd:rvb i="4211"/>
        </ext>
      </extLst>
    </bk>
    <bk>
      <extLst>
        <ext uri="{3e2802c4-a4d2-4d8b-9148-e3be6c30e623}">
          <xlrd:rvb i="4212"/>
        </ext>
      </extLst>
    </bk>
    <bk>
      <extLst>
        <ext uri="{3e2802c4-a4d2-4d8b-9148-e3be6c30e623}">
          <xlrd:rvb i="4213"/>
        </ext>
      </extLst>
    </bk>
    <bk>
      <extLst>
        <ext uri="{3e2802c4-a4d2-4d8b-9148-e3be6c30e623}">
          <xlrd:rvb i="4214"/>
        </ext>
      </extLst>
    </bk>
    <bk>
      <extLst>
        <ext uri="{3e2802c4-a4d2-4d8b-9148-e3be6c30e623}">
          <xlrd:rvb i="4215"/>
        </ext>
      </extLst>
    </bk>
    <bk>
      <extLst>
        <ext uri="{3e2802c4-a4d2-4d8b-9148-e3be6c30e623}">
          <xlrd:rvb i="4216"/>
        </ext>
      </extLst>
    </bk>
    <bk>
      <extLst>
        <ext uri="{3e2802c4-a4d2-4d8b-9148-e3be6c30e623}">
          <xlrd:rvb i="4217"/>
        </ext>
      </extLst>
    </bk>
    <bk>
      <extLst>
        <ext uri="{3e2802c4-a4d2-4d8b-9148-e3be6c30e623}">
          <xlrd:rvb i="4218"/>
        </ext>
      </extLst>
    </bk>
    <bk>
      <extLst>
        <ext uri="{3e2802c4-a4d2-4d8b-9148-e3be6c30e623}">
          <xlrd:rvb i="4219"/>
        </ext>
      </extLst>
    </bk>
    <bk>
      <extLst>
        <ext uri="{3e2802c4-a4d2-4d8b-9148-e3be6c30e623}">
          <xlrd:rvb i="4220"/>
        </ext>
      </extLst>
    </bk>
    <bk>
      <extLst>
        <ext uri="{3e2802c4-a4d2-4d8b-9148-e3be6c30e623}">
          <xlrd:rvb i="4221"/>
        </ext>
      </extLst>
    </bk>
    <bk>
      <extLst>
        <ext uri="{3e2802c4-a4d2-4d8b-9148-e3be6c30e623}">
          <xlrd:rvb i="4222"/>
        </ext>
      </extLst>
    </bk>
    <bk>
      <extLst>
        <ext uri="{3e2802c4-a4d2-4d8b-9148-e3be6c30e623}">
          <xlrd:rvb i="4223"/>
        </ext>
      </extLst>
    </bk>
    <bk>
      <extLst>
        <ext uri="{3e2802c4-a4d2-4d8b-9148-e3be6c30e623}">
          <xlrd:rvb i="4224"/>
        </ext>
      </extLst>
    </bk>
    <bk>
      <extLst>
        <ext uri="{3e2802c4-a4d2-4d8b-9148-e3be6c30e623}">
          <xlrd:rvb i="4225"/>
        </ext>
      </extLst>
    </bk>
    <bk>
      <extLst>
        <ext uri="{3e2802c4-a4d2-4d8b-9148-e3be6c30e623}">
          <xlrd:rvb i="4226"/>
        </ext>
      </extLst>
    </bk>
    <bk>
      <extLst>
        <ext uri="{3e2802c4-a4d2-4d8b-9148-e3be6c30e623}">
          <xlrd:rvb i="4227"/>
        </ext>
      </extLst>
    </bk>
    <bk>
      <extLst>
        <ext uri="{3e2802c4-a4d2-4d8b-9148-e3be6c30e623}">
          <xlrd:rvb i="4228"/>
        </ext>
      </extLst>
    </bk>
    <bk>
      <extLst>
        <ext uri="{3e2802c4-a4d2-4d8b-9148-e3be6c30e623}">
          <xlrd:rvb i="4229"/>
        </ext>
      </extLst>
    </bk>
    <bk>
      <extLst>
        <ext uri="{3e2802c4-a4d2-4d8b-9148-e3be6c30e623}">
          <xlrd:rvb i="4230"/>
        </ext>
      </extLst>
    </bk>
    <bk>
      <extLst>
        <ext uri="{3e2802c4-a4d2-4d8b-9148-e3be6c30e623}">
          <xlrd:rvb i="4231"/>
        </ext>
      </extLst>
    </bk>
    <bk>
      <extLst>
        <ext uri="{3e2802c4-a4d2-4d8b-9148-e3be6c30e623}">
          <xlrd:rvb i="4232"/>
        </ext>
      </extLst>
    </bk>
    <bk>
      <extLst>
        <ext uri="{3e2802c4-a4d2-4d8b-9148-e3be6c30e623}">
          <xlrd:rvb i="4233"/>
        </ext>
      </extLst>
    </bk>
    <bk>
      <extLst>
        <ext uri="{3e2802c4-a4d2-4d8b-9148-e3be6c30e623}">
          <xlrd:rvb i="4234"/>
        </ext>
      </extLst>
    </bk>
    <bk>
      <extLst>
        <ext uri="{3e2802c4-a4d2-4d8b-9148-e3be6c30e623}">
          <xlrd:rvb i="4235"/>
        </ext>
      </extLst>
    </bk>
    <bk>
      <extLst>
        <ext uri="{3e2802c4-a4d2-4d8b-9148-e3be6c30e623}">
          <xlrd:rvb i="4236"/>
        </ext>
      </extLst>
    </bk>
    <bk>
      <extLst>
        <ext uri="{3e2802c4-a4d2-4d8b-9148-e3be6c30e623}">
          <xlrd:rvb i="4237"/>
        </ext>
      </extLst>
    </bk>
    <bk>
      <extLst>
        <ext uri="{3e2802c4-a4d2-4d8b-9148-e3be6c30e623}">
          <xlrd:rvb i="4238"/>
        </ext>
      </extLst>
    </bk>
    <bk>
      <extLst>
        <ext uri="{3e2802c4-a4d2-4d8b-9148-e3be6c30e623}">
          <xlrd:rvb i="4239"/>
        </ext>
      </extLst>
    </bk>
    <bk>
      <extLst>
        <ext uri="{3e2802c4-a4d2-4d8b-9148-e3be6c30e623}">
          <xlrd:rvb i="4240"/>
        </ext>
      </extLst>
    </bk>
    <bk>
      <extLst>
        <ext uri="{3e2802c4-a4d2-4d8b-9148-e3be6c30e623}">
          <xlrd:rvb i="4241"/>
        </ext>
      </extLst>
    </bk>
    <bk>
      <extLst>
        <ext uri="{3e2802c4-a4d2-4d8b-9148-e3be6c30e623}">
          <xlrd:rvb i="4242"/>
        </ext>
      </extLst>
    </bk>
    <bk>
      <extLst>
        <ext uri="{3e2802c4-a4d2-4d8b-9148-e3be6c30e623}">
          <xlrd:rvb i="4243"/>
        </ext>
      </extLst>
    </bk>
    <bk>
      <extLst>
        <ext uri="{3e2802c4-a4d2-4d8b-9148-e3be6c30e623}">
          <xlrd:rvb i="4244"/>
        </ext>
      </extLst>
    </bk>
    <bk>
      <extLst>
        <ext uri="{3e2802c4-a4d2-4d8b-9148-e3be6c30e623}">
          <xlrd:rvb i="4245"/>
        </ext>
      </extLst>
    </bk>
    <bk>
      <extLst>
        <ext uri="{3e2802c4-a4d2-4d8b-9148-e3be6c30e623}">
          <xlrd:rvb i="4246"/>
        </ext>
      </extLst>
    </bk>
    <bk>
      <extLst>
        <ext uri="{3e2802c4-a4d2-4d8b-9148-e3be6c30e623}">
          <xlrd:rvb i="4247"/>
        </ext>
      </extLst>
    </bk>
    <bk>
      <extLst>
        <ext uri="{3e2802c4-a4d2-4d8b-9148-e3be6c30e623}">
          <xlrd:rvb i="4248"/>
        </ext>
      </extLst>
    </bk>
    <bk>
      <extLst>
        <ext uri="{3e2802c4-a4d2-4d8b-9148-e3be6c30e623}">
          <xlrd:rvb i="4249"/>
        </ext>
      </extLst>
    </bk>
    <bk>
      <extLst>
        <ext uri="{3e2802c4-a4d2-4d8b-9148-e3be6c30e623}">
          <xlrd:rvb i="4250"/>
        </ext>
      </extLst>
    </bk>
    <bk>
      <extLst>
        <ext uri="{3e2802c4-a4d2-4d8b-9148-e3be6c30e623}">
          <xlrd:rvb i="4251"/>
        </ext>
      </extLst>
    </bk>
    <bk>
      <extLst>
        <ext uri="{3e2802c4-a4d2-4d8b-9148-e3be6c30e623}">
          <xlrd:rvb i="4252"/>
        </ext>
      </extLst>
    </bk>
    <bk>
      <extLst>
        <ext uri="{3e2802c4-a4d2-4d8b-9148-e3be6c30e623}">
          <xlrd:rvb i="4253"/>
        </ext>
      </extLst>
    </bk>
    <bk>
      <extLst>
        <ext uri="{3e2802c4-a4d2-4d8b-9148-e3be6c30e623}">
          <xlrd:rvb i="4254"/>
        </ext>
      </extLst>
    </bk>
    <bk>
      <extLst>
        <ext uri="{3e2802c4-a4d2-4d8b-9148-e3be6c30e623}">
          <xlrd:rvb i="4255"/>
        </ext>
      </extLst>
    </bk>
    <bk>
      <extLst>
        <ext uri="{3e2802c4-a4d2-4d8b-9148-e3be6c30e623}">
          <xlrd:rvb i="4256"/>
        </ext>
      </extLst>
    </bk>
    <bk>
      <extLst>
        <ext uri="{3e2802c4-a4d2-4d8b-9148-e3be6c30e623}">
          <xlrd:rvb i="4257"/>
        </ext>
      </extLst>
    </bk>
    <bk>
      <extLst>
        <ext uri="{3e2802c4-a4d2-4d8b-9148-e3be6c30e623}">
          <xlrd:rvb i="4258"/>
        </ext>
      </extLst>
    </bk>
    <bk>
      <extLst>
        <ext uri="{3e2802c4-a4d2-4d8b-9148-e3be6c30e623}">
          <xlrd:rvb i="4259"/>
        </ext>
      </extLst>
    </bk>
    <bk>
      <extLst>
        <ext uri="{3e2802c4-a4d2-4d8b-9148-e3be6c30e623}">
          <xlrd:rvb i="4260"/>
        </ext>
      </extLst>
    </bk>
    <bk>
      <extLst>
        <ext uri="{3e2802c4-a4d2-4d8b-9148-e3be6c30e623}">
          <xlrd:rvb i="4261"/>
        </ext>
      </extLst>
    </bk>
    <bk>
      <extLst>
        <ext uri="{3e2802c4-a4d2-4d8b-9148-e3be6c30e623}">
          <xlrd:rvb i="4262"/>
        </ext>
      </extLst>
    </bk>
    <bk>
      <extLst>
        <ext uri="{3e2802c4-a4d2-4d8b-9148-e3be6c30e623}">
          <xlrd:rvb i="4263"/>
        </ext>
      </extLst>
    </bk>
    <bk>
      <extLst>
        <ext uri="{3e2802c4-a4d2-4d8b-9148-e3be6c30e623}">
          <xlrd:rvb i="4264"/>
        </ext>
      </extLst>
    </bk>
    <bk>
      <extLst>
        <ext uri="{3e2802c4-a4d2-4d8b-9148-e3be6c30e623}">
          <xlrd:rvb i="4265"/>
        </ext>
      </extLst>
    </bk>
    <bk>
      <extLst>
        <ext uri="{3e2802c4-a4d2-4d8b-9148-e3be6c30e623}">
          <xlrd:rvb i="4266"/>
        </ext>
      </extLst>
    </bk>
    <bk>
      <extLst>
        <ext uri="{3e2802c4-a4d2-4d8b-9148-e3be6c30e623}">
          <xlrd:rvb i="4267"/>
        </ext>
      </extLst>
    </bk>
    <bk>
      <extLst>
        <ext uri="{3e2802c4-a4d2-4d8b-9148-e3be6c30e623}">
          <xlrd:rvb i="4268"/>
        </ext>
      </extLst>
    </bk>
    <bk>
      <extLst>
        <ext uri="{3e2802c4-a4d2-4d8b-9148-e3be6c30e623}">
          <xlrd:rvb i="4269"/>
        </ext>
      </extLst>
    </bk>
    <bk>
      <extLst>
        <ext uri="{3e2802c4-a4d2-4d8b-9148-e3be6c30e623}">
          <xlrd:rvb i="4270"/>
        </ext>
      </extLst>
    </bk>
    <bk>
      <extLst>
        <ext uri="{3e2802c4-a4d2-4d8b-9148-e3be6c30e623}">
          <xlrd:rvb i="4271"/>
        </ext>
      </extLst>
    </bk>
    <bk>
      <extLst>
        <ext uri="{3e2802c4-a4d2-4d8b-9148-e3be6c30e623}">
          <xlrd:rvb i="4272"/>
        </ext>
      </extLst>
    </bk>
    <bk>
      <extLst>
        <ext uri="{3e2802c4-a4d2-4d8b-9148-e3be6c30e623}">
          <xlrd:rvb i="4273"/>
        </ext>
      </extLst>
    </bk>
    <bk>
      <extLst>
        <ext uri="{3e2802c4-a4d2-4d8b-9148-e3be6c30e623}">
          <xlrd:rvb i="4274"/>
        </ext>
      </extLst>
    </bk>
    <bk>
      <extLst>
        <ext uri="{3e2802c4-a4d2-4d8b-9148-e3be6c30e623}">
          <xlrd:rvb i="4275"/>
        </ext>
      </extLst>
    </bk>
    <bk>
      <extLst>
        <ext uri="{3e2802c4-a4d2-4d8b-9148-e3be6c30e623}">
          <xlrd:rvb i="4276"/>
        </ext>
      </extLst>
    </bk>
    <bk>
      <extLst>
        <ext uri="{3e2802c4-a4d2-4d8b-9148-e3be6c30e623}">
          <xlrd:rvb i="4277"/>
        </ext>
      </extLst>
    </bk>
    <bk>
      <extLst>
        <ext uri="{3e2802c4-a4d2-4d8b-9148-e3be6c30e623}">
          <xlrd:rvb i="4278"/>
        </ext>
      </extLst>
    </bk>
    <bk>
      <extLst>
        <ext uri="{3e2802c4-a4d2-4d8b-9148-e3be6c30e623}">
          <xlrd:rvb i="4279"/>
        </ext>
      </extLst>
    </bk>
    <bk>
      <extLst>
        <ext uri="{3e2802c4-a4d2-4d8b-9148-e3be6c30e623}">
          <xlrd:rvb i="4280"/>
        </ext>
      </extLst>
    </bk>
    <bk>
      <extLst>
        <ext uri="{3e2802c4-a4d2-4d8b-9148-e3be6c30e623}">
          <xlrd:rvb i="4281"/>
        </ext>
      </extLst>
    </bk>
    <bk>
      <extLst>
        <ext uri="{3e2802c4-a4d2-4d8b-9148-e3be6c30e623}">
          <xlrd:rvb i="4282"/>
        </ext>
      </extLst>
    </bk>
    <bk>
      <extLst>
        <ext uri="{3e2802c4-a4d2-4d8b-9148-e3be6c30e623}">
          <xlrd:rvb i="4283"/>
        </ext>
      </extLst>
    </bk>
    <bk>
      <extLst>
        <ext uri="{3e2802c4-a4d2-4d8b-9148-e3be6c30e623}">
          <xlrd:rvb i="4284"/>
        </ext>
      </extLst>
    </bk>
    <bk>
      <extLst>
        <ext uri="{3e2802c4-a4d2-4d8b-9148-e3be6c30e623}">
          <xlrd:rvb i="4285"/>
        </ext>
      </extLst>
    </bk>
    <bk>
      <extLst>
        <ext uri="{3e2802c4-a4d2-4d8b-9148-e3be6c30e623}">
          <xlrd:rvb i="4286"/>
        </ext>
      </extLst>
    </bk>
    <bk>
      <extLst>
        <ext uri="{3e2802c4-a4d2-4d8b-9148-e3be6c30e623}">
          <xlrd:rvb i="4287"/>
        </ext>
      </extLst>
    </bk>
    <bk>
      <extLst>
        <ext uri="{3e2802c4-a4d2-4d8b-9148-e3be6c30e623}">
          <xlrd:rvb i="4288"/>
        </ext>
      </extLst>
    </bk>
    <bk>
      <extLst>
        <ext uri="{3e2802c4-a4d2-4d8b-9148-e3be6c30e623}">
          <xlrd:rvb i="4289"/>
        </ext>
      </extLst>
    </bk>
    <bk>
      <extLst>
        <ext uri="{3e2802c4-a4d2-4d8b-9148-e3be6c30e623}">
          <xlrd:rvb i="4290"/>
        </ext>
      </extLst>
    </bk>
    <bk>
      <extLst>
        <ext uri="{3e2802c4-a4d2-4d8b-9148-e3be6c30e623}">
          <xlrd:rvb i="4291"/>
        </ext>
      </extLst>
    </bk>
    <bk>
      <extLst>
        <ext uri="{3e2802c4-a4d2-4d8b-9148-e3be6c30e623}">
          <xlrd:rvb i="4292"/>
        </ext>
      </extLst>
    </bk>
    <bk>
      <extLst>
        <ext uri="{3e2802c4-a4d2-4d8b-9148-e3be6c30e623}">
          <xlrd:rvb i="4293"/>
        </ext>
      </extLst>
    </bk>
    <bk>
      <extLst>
        <ext uri="{3e2802c4-a4d2-4d8b-9148-e3be6c30e623}">
          <xlrd:rvb i="4294"/>
        </ext>
      </extLst>
    </bk>
    <bk>
      <extLst>
        <ext uri="{3e2802c4-a4d2-4d8b-9148-e3be6c30e623}">
          <xlrd:rvb i="4295"/>
        </ext>
      </extLst>
    </bk>
    <bk>
      <extLst>
        <ext uri="{3e2802c4-a4d2-4d8b-9148-e3be6c30e623}">
          <xlrd:rvb i="4296"/>
        </ext>
      </extLst>
    </bk>
    <bk>
      <extLst>
        <ext uri="{3e2802c4-a4d2-4d8b-9148-e3be6c30e623}">
          <xlrd:rvb i="4297"/>
        </ext>
      </extLst>
    </bk>
    <bk>
      <extLst>
        <ext uri="{3e2802c4-a4d2-4d8b-9148-e3be6c30e623}">
          <xlrd:rvb i="4298"/>
        </ext>
      </extLst>
    </bk>
    <bk>
      <extLst>
        <ext uri="{3e2802c4-a4d2-4d8b-9148-e3be6c30e623}">
          <xlrd:rvb i="4299"/>
        </ext>
      </extLst>
    </bk>
    <bk>
      <extLst>
        <ext uri="{3e2802c4-a4d2-4d8b-9148-e3be6c30e623}">
          <xlrd:rvb i="4300"/>
        </ext>
      </extLst>
    </bk>
    <bk>
      <extLst>
        <ext uri="{3e2802c4-a4d2-4d8b-9148-e3be6c30e623}">
          <xlrd:rvb i="4301"/>
        </ext>
      </extLst>
    </bk>
    <bk>
      <extLst>
        <ext uri="{3e2802c4-a4d2-4d8b-9148-e3be6c30e623}">
          <xlrd:rvb i="4302"/>
        </ext>
      </extLst>
    </bk>
    <bk>
      <extLst>
        <ext uri="{3e2802c4-a4d2-4d8b-9148-e3be6c30e623}">
          <xlrd:rvb i="4303"/>
        </ext>
      </extLst>
    </bk>
    <bk>
      <extLst>
        <ext uri="{3e2802c4-a4d2-4d8b-9148-e3be6c30e623}">
          <xlrd:rvb i="4304"/>
        </ext>
      </extLst>
    </bk>
    <bk>
      <extLst>
        <ext uri="{3e2802c4-a4d2-4d8b-9148-e3be6c30e623}">
          <xlrd:rvb i="4305"/>
        </ext>
      </extLst>
    </bk>
    <bk>
      <extLst>
        <ext uri="{3e2802c4-a4d2-4d8b-9148-e3be6c30e623}">
          <xlrd:rvb i="4306"/>
        </ext>
      </extLst>
    </bk>
    <bk>
      <extLst>
        <ext uri="{3e2802c4-a4d2-4d8b-9148-e3be6c30e623}">
          <xlrd:rvb i="4307"/>
        </ext>
      </extLst>
    </bk>
    <bk>
      <extLst>
        <ext uri="{3e2802c4-a4d2-4d8b-9148-e3be6c30e623}">
          <xlrd:rvb i="4308"/>
        </ext>
      </extLst>
    </bk>
    <bk>
      <extLst>
        <ext uri="{3e2802c4-a4d2-4d8b-9148-e3be6c30e623}">
          <xlrd:rvb i="4309"/>
        </ext>
      </extLst>
    </bk>
    <bk>
      <extLst>
        <ext uri="{3e2802c4-a4d2-4d8b-9148-e3be6c30e623}">
          <xlrd:rvb i="4310"/>
        </ext>
      </extLst>
    </bk>
    <bk>
      <extLst>
        <ext uri="{3e2802c4-a4d2-4d8b-9148-e3be6c30e623}">
          <xlrd:rvb i="4311"/>
        </ext>
      </extLst>
    </bk>
    <bk>
      <extLst>
        <ext uri="{3e2802c4-a4d2-4d8b-9148-e3be6c30e623}">
          <xlrd:rvb i="4312"/>
        </ext>
      </extLst>
    </bk>
    <bk>
      <extLst>
        <ext uri="{3e2802c4-a4d2-4d8b-9148-e3be6c30e623}">
          <xlrd:rvb i="4313"/>
        </ext>
      </extLst>
    </bk>
    <bk>
      <extLst>
        <ext uri="{3e2802c4-a4d2-4d8b-9148-e3be6c30e623}">
          <xlrd:rvb i="4314"/>
        </ext>
      </extLst>
    </bk>
    <bk>
      <extLst>
        <ext uri="{3e2802c4-a4d2-4d8b-9148-e3be6c30e623}">
          <xlrd:rvb i="4315"/>
        </ext>
      </extLst>
    </bk>
    <bk>
      <extLst>
        <ext uri="{3e2802c4-a4d2-4d8b-9148-e3be6c30e623}">
          <xlrd:rvb i="4316"/>
        </ext>
      </extLst>
    </bk>
    <bk>
      <extLst>
        <ext uri="{3e2802c4-a4d2-4d8b-9148-e3be6c30e623}">
          <xlrd:rvb i="4317"/>
        </ext>
      </extLst>
    </bk>
    <bk>
      <extLst>
        <ext uri="{3e2802c4-a4d2-4d8b-9148-e3be6c30e623}">
          <xlrd:rvb i="4318"/>
        </ext>
      </extLst>
    </bk>
    <bk>
      <extLst>
        <ext uri="{3e2802c4-a4d2-4d8b-9148-e3be6c30e623}">
          <xlrd:rvb i="4319"/>
        </ext>
      </extLst>
    </bk>
    <bk>
      <extLst>
        <ext uri="{3e2802c4-a4d2-4d8b-9148-e3be6c30e623}">
          <xlrd:rvb i="4320"/>
        </ext>
      </extLst>
    </bk>
    <bk>
      <extLst>
        <ext uri="{3e2802c4-a4d2-4d8b-9148-e3be6c30e623}">
          <xlrd:rvb i="4321"/>
        </ext>
      </extLst>
    </bk>
    <bk>
      <extLst>
        <ext uri="{3e2802c4-a4d2-4d8b-9148-e3be6c30e623}">
          <xlrd:rvb i="4322"/>
        </ext>
      </extLst>
    </bk>
    <bk>
      <extLst>
        <ext uri="{3e2802c4-a4d2-4d8b-9148-e3be6c30e623}">
          <xlrd:rvb i="4323"/>
        </ext>
      </extLst>
    </bk>
    <bk>
      <extLst>
        <ext uri="{3e2802c4-a4d2-4d8b-9148-e3be6c30e623}">
          <xlrd:rvb i="4324"/>
        </ext>
      </extLst>
    </bk>
    <bk>
      <extLst>
        <ext uri="{3e2802c4-a4d2-4d8b-9148-e3be6c30e623}">
          <xlrd:rvb i="4325"/>
        </ext>
      </extLst>
    </bk>
    <bk>
      <extLst>
        <ext uri="{3e2802c4-a4d2-4d8b-9148-e3be6c30e623}">
          <xlrd:rvb i="4326"/>
        </ext>
      </extLst>
    </bk>
    <bk>
      <extLst>
        <ext uri="{3e2802c4-a4d2-4d8b-9148-e3be6c30e623}">
          <xlrd:rvb i="4327"/>
        </ext>
      </extLst>
    </bk>
    <bk>
      <extLst>
        <ext uri="{3e2802c4-a4d2-4d8b-9148-e3be6c30e623}">
          <xlrd:rvb i="4328"/>
        </ext>
      </extLst>
    </bk>
    <bk>
      <extLst>
        <ext uri="{3e2802c4-a4d2-4d8b-9148-e3be6c30e623}">
          <xlrd:rvb i="4329"/>
        </ext>
      </extLst>
    </bk>
    <bk>
      <extLst>
        <ext uri="{3e2802c4-a4d2-4d8b-9148-e3be6c30e623}">
          <xlrd:rvb i="4330"/>
        </ext>
      </extLst>
    </bk>
    <bk>
      <extLst>
        <ext uri="{3e2802c4-a4d2-4d8b-9148-e3be6c30e623}">
          <xlrd:rvb i="4331"/>
        </ext>
      </extLst>
    </bk>
    <bk>
      <extLst>
        <ext uri="{3e2802c4-a4d2-4d8b-9148-e3be6c30e623}">
          <xlrd:rvb i="4332"/>
        </ext>
      </extLst>
    </bk>
    <bk>
      <extLst>
        <ext uri="{3e2802c4-a4d2-4d8b-9148-e3be6c30e623}">
          <xlrd:rvb i="4333"/>
        </ext>
      </extLst>
    </bk>
    <bk>
      <extLst>
        <ext uri="{3e2802c4-a4d2-4d8b-9148-e3be6c30e623}">
          <xlrd:rvb i="4334"/>
        </ext>
      </extLst>
    </bk>
    <bk>
      <extLst>
        <ext uri="{3e2802c4-a4d2-4d8b-9148-e3be6c30e623}">
          <xlrd:rvb i="4335"/>
        </ext>
      </extLst>
    </bk>
    <bk>
      <extLst>
        <ext uri="{3e2802c4-a4d2-4d8b-9148-e3be6c30e623}">
          <xlrd:rvb i="4336"/>
        </ext>
      </extLst>
    </bk>
    <bk>
      <extLst>
        <ext uri="{3e2802c4-a4d2-4d8b-9148-e3be6c30e623}">
          <xlrd:rvb i="4337"/>
        </ext>
      </extLst>
    </bk>
    <bk>
      <extLst>
        <ext uri="{3e2802c4-a4d2-4d8b-9148-e3be6c30e623}">
          <xlrd:rvb i="4338"/>
        </ext>
      </extLst>
    </bk>
    <bk>
      <extLst>
        <ext uri="{3e2802c4-a4d2-4d8b-9148-e3be6c30e623}">
          <xlrd:rvb i="4339"/>
        </ext>
      </extLst>
    </bk>
    <bk>
      <extLst>
        <ext uri="{3e2802c4-a4d2-4d8b-9148-e3be6c30e623}">
          <xlrd:rvb i="4340"/>
        </ext>
      </extLst>
    </bk>
    <bk>
      <extLst>
        <ext uri="{3e2802c4-a4d2-4d8b-9148-e3be6c30e623}">
          <xlrd:rvb i="4341"/>
        </ext>
      </extLst>
    </bk>
    <bk>
      <extLst>
        <ext uri="{3e2802c4-a4d2-4d8b-9148-e3be6c30e623}">
          <xlrd:rvb i="4342"/>
        </ext>
      </extLst>
    </bk>
    <bk>
      <extLst>
        <ext uri="{3e2802c4-a4d2-4d8b-9148-e3be6c30e623}">
          <xlrd:rvb i="4343"/>
        </ext>
      </extLst>
    </bk>
    <bk>
      <extLst>
        <ext uri="{3e2802c4-a4d2-4d8b-9148-e3be6c30e623}">
          <xlrd:rvb i="4344"/>
        </ext>
      </extLst>
    </bk>
    <bk>
      <extLst>
        <ext uri="{3e2802c4-a4d2-4d8b-9148-e3be6c30e623}">
          <xlrd:rvb i="4345"/>
        </ext>
      </extLst>
    </bk>
    <bk>
      <extLst>
        <ext uri="{3e2802c4-a4d2-4d8b-9148-e3be6c30e623}">
          <xlrd:rvb i="4346"/>
        </ext>
      </extLst>
    </bk>
    <bk>
      <extLst>
        <ext uri="{3e2802c4-a4d2-4d8b-9148-e3be6c30e623}">
          <xlrd:rvb i="4347"/>
        </ext>
      </extLst>
    </bk>
    <bk>
      <extLst>
        <ext uri="{3e2802c4-a4d2-4d8b-9148-e3be6c30e623}">
          <xlrd:rvb i="4348"/>
        </ext>
      </extLst>
    </bk>
    <bk>
      <extLst>
        <ext uri="{3e2802c4-a4d2-4d8b-9148-e3be6c30e623}">
          <xlrd:rvb i="4349"/>
        </ext>
      </extLst>
    </bk>
    <bk>
      <extLst>
        <ext uri="{3e2802c4-a4d2-4d8b-9148-e3be6c30e623}">
          <xlrd:rvb i="4350"/>
        </ext>
      </extLst>
    </bk>
    <bk>
      <extLst>
        <ext uri="{3e2802c4-a4d2-4d8b-9148-e3be6c30e623}">
          <xlrd:rvb i="4351"/>
        </ext>
      </extLst>
    </bk>
    <bk>
      <extLst>
        <ext uri="{3e2802c4-a4d2-4d8b-9148-e3be6c30e623}">
          <xlrd:rvb i="4352"/>
        </ext>
      </extLst>
    </bk>
    <bk>
      <extLst>
        <ext uri="{3e2802c4-a4d2-4d8b-9148-e3be6c30e623}">
          <xlrd:rvb i="4353"/>
        </ext>
      </extLst>
    </bk>
    <bk>
      <extLst>
        <ext uri="{3e2802c4-a4d2-4d8b-9148-e3be6c30e623}">
          <xlrd:rvb i="4354"/>
        </ext>
      </extLst>
    </bk>
    <bk>
      <extLst>
        <ext uri="{3e2802c4-a4d2-4d8b-9148-e3be6c30e623}">
          <xlrd:rvb i="4355"/>
        </ext>
      </extLst>
    </bk>
    <bk>
      <extLst>
        <ext uri="{3e2802c4-a4d2-4d8b-9148-e3be6c30e623}">
          <xlrd:rvb i="4356"/>
        </ext>
      </extLst>
    </bk>
    <bk>
      <extLst>
        <ext uri="{3e2802c4-a4d2-4d8b-9148-e3be6c30e623}">
          <xlrd:rvb i="4357"/>
        </ext>
      </extLst>
    </bk>
    <bk>
      <extLst>
        <ext uri="{3e2802c4-a4d2-4d8b-9148-e3be6c30e623}">
          <xlrd:rvb i="4358"/>
        </ext>
      </extLst>
    </bk>
    <bk>
      <extLst>
        <ext uri="{3e2802c4-a4d2-4d8b-9148-e3be6c30e623}">
          <xlrd:rvb i="4359"/>
        </ext>
      </extLst>
    </bk>
    <bk>
      <extLst>
        <ext uri="{3e2802c4-a4d2-4d8b-9148-e3be6c30e623}">
          <xlrd:rvb i="4360"/>
        </ext>
      </extLst>
    </bk>
    <bk>
      <extLst>
        <ext uri="{3e2802c4-a4d2-4d8b-9148-e3be6c30e623}">
          <xlrd:rvb i="4361"/>
        </ext>
      </extLst>
    </bk>
    <bk>
      <extLst>
        <ext uri="{3e2802c4-a4d2-4d8b-9148-e3be6c30e623}">
          <xlrd:rvb i="4362"/>
        </ext>
      </extLst>
    </bk>
    <bk>
      <extLst>
        <ext uri="{3e2802c4-a4d2-4d8b-9148-e3be6c30e623}">
          <xlrd:rvb i="4363"/>
        </ext>
      </extLst>
    </bk>
    <bk>
      <extLst>
        <ext uri="{3e2802c4-a4d2-4d8b-9148-e3be6c30e623}">
          <xlrd:rvb i="4364"/>
        </ext>
      </extLst>
    </bk>
    <bk>
      <extLst>
        <ext uri="{3e2802c4-a4d2-4d8b-9148-e3be6c30e623}">
          <xlrd:rvb i="4365"/>
        </ext>
      </extLst>
    </bk>
    <bk>
      <extLst>
        <ext uri="{3e2802c4-a4d2-4d8b-9148-e3be6c30e623}">
          <xlrd:rvb i="4366"/>
        </ext>
      </extLst>
    </bk>
    <bk>
      <extLst>
        <ext uri="{3e2802c4-a4d2-4d8b-9148-e3be6c30e623}">
          <xlrd:rvb i="4367"/>
        </ext>
      </extLst>
    </bk>
    <bk>
      <extLst>
        <ext uri="{3e2802c4-a4d2-4d8b-9148-e3be6c30e623}">
          <xlrd:rvb i="4368"/>
        </ext>
      </extLst>
    </bk>
    <bk>
      <extLst>
        <ext uri="{3e2802c4-a4d2-4d8b-9148-e3be6c30e623}">
          <xlrd:rvb i="4369"/>
        </ext>
      </extLst>
    </bk>
    <bk>
      <extLst>
        <ext uri="{3e2802c4-a4d2-4d8b-9148-e3be6c30e623}">
          <xlrd:rvb i="4370"/>
        </ext>
      </extLst>
    </bk>
    <bk>
      <extLst>
        <ext uri="{3e2802c4-a4d2-4d8b-9148-e3be6c30e623}">
          <xlrd:rvb i="4371"/>
        </ext>
      </extLst>
    </bk>
    <bk>
      <extLst>
        <ext uri="{3e2802c4-a4d2-4d8b-9148-e3be6c30e623}">
          <xlrd:rvb i="4372"/>
        </ext>
      </extLst>
    </bk>
    <bk>
      <extLst>
        <ext uri="{3e2802c4-a4d2-4d8b-9148-e3be6c30e623}">
          <xlrd:rvb i="4373"/>
        </ext>
      </extLst>
    </bk>
    <bk>
      <extLst>
        <ext uri="{3e2802c4-a4d2-4d8b-9148-e3be6c30e623}">
          <xlrd:rvb i="4374"/>
        </ext>
      </extLst>
    </bk>
    <bk>
      <extLst>
        <ext uri="{3e2802c4-a4d2-4d8b-9148-e3be6c30e623}">
          <xlrd:rvb i="4375"/>
        </ext>
      </extLst>
    </bk>
    <bk>
      <extLst>
        <ext uri="{3e2802c4-a4d2-4d8b-9148-e3be6c30e623}">
          <xlrd:rvb i="4376"/>
        </ext>
      </extLst>
    </bk>
    <bk>
      <extLst>
        <ext uri="{3e2802c4-a4d2-4d8b-9148-e3be6c30e623}">
          <xlrd:rvb i="4377"/>
        </ext>
      </extLst>
    </bk>
    <bk>
      <extLst>
        <ext uri="{3e2802c4-a4d2-4d8b-9148-e3be6c30e623}">
          <xlrd:rvb i="4378"/>
        </ext>
      </extLst>
    </bk>
    <bk>
      <extLst>
        <ext uri="{3e2802c4-a4d2-4d8b-9148-e3be6c30e623}">
          <xlrd:rvb i="4379"/>
        </ext>
      </extLst>
    </bk>
    <bk>
      <extLst>
        <ext uri="{3e2802c4-a4d2-4d8b-9148-e3be6c30e623}">
          <xlrd:rvb i="4380"/>
        </ext>
      </extLst>
    </bk>
    <bk>
      <extLst>
        <ext uri="{3e2802c4-a4d2-4d8b-9148-e3be6c30e623}">
          <xlrd:rvb i="4381"/>
        </ext>
      </extLst>
    </bk>
    <bk>
      <extLst>
        <ext uri="{3e2802c4-a4d2-4d8b-9148-e3be6c30e623}">
          <xlrd:rvb i="4382"/>
        </ext>
      </extLst>
    </bk>
    <bk>
      <extLst>
        <ext uri="{3e2802c4-a4d2-4d8b-9148-e3be6c30e623}">
          <xlrd:rvb i="4383"/>
        </ext>
      </extLst>
    </bk>
    <bk>
      <extLst>
        <ext uri="{3e2802c4-a4d2-4d8b-9148-e3be6c30e623}">
          <xlrd:rvb i="4384"/>
        </ext>
      </extLst>
    </bk>
    <bk>
      <extLst>
        <ext uri="{3e2802c4-a4d2-4d8b-9148-e3be6c30e623}">
          <xlrd:rvb i="4385"/>
        </ext>
      </extLst>
    </bk>
    <bk>
      <extLst>
        <ext uri="{3e2802c4-a4d2-4d8b-9148-e3be6c30e623}">
          <xlrd:rvb i="4386"/>
        </ext>
      </extLst>
    </bk>
    <bk>
      <extLst>
        <ext uri="{3e2802c4-a4d2-4d8b-9148-e3be6c30e623}">
          <xlrd:rvb i="4387"/>
        </ext>
      </extLst>
    </bk>
    <bk>
      <extLst>
        <ext uri="{3e2802c4-a4d2-4d8b-9148-e3be6c30e623}">
          <xlrd:rvb i="4388"/>
        </ext>
      </extLst>
    </bk>
    <bk>
      <extLst>
        <ext uri="{3e2802c4-a4d2-4d8b-9148-e3be6c30e623}">
          <xlrd:rvb i="4389"/>
        </ext>
      </extLst>
    </bk>
    <bk>
      <extLst>
        <ext uri="{3e2802c4-a4d2-4d8b-9148-e3be6c30e623}">
          <xlrd:rvb i="4390"/>
        </ext>
      </extLst>
    </bk>
    <bk>
      <extLst>
        <ext uri="{3e2802c4-a4d2-4d8b-9148-e3be6c30e623}">
          <xlrd:rvb i="4391"/>
        </ext>
      </extLst>
    </bk>
    <bk>
      <extLst>
        <ext uri="{3e2802c4-a4d2-4d8b-9148-e3be6c30e623}">
          <xlrd:rvb i="4392"/>
        </ext>
      </extLst>
    </bk>
    <bk>
      <extLst>
        <ext uri="{3e2802c4-a4d2-4d8b-9148-e3be6c30e623}">
          <xlrd:rvb i="4393"/>
        </ext>
      </extLst>
    </bk>
    <bk>
      <extLst>
        <ext uri="{3e2802c4-a4d2-4d8b-9148-e3be6c30e623}">
          <xlrd:rvb i="4394"/>
        </ext>
      </extLst>
    </bk>
    <bk>
      <extLst>
        <ext uri="{3e2802c4-a4d2-4d8b-9148-e3be6c30e623}">
          <xlrd:rvb i="4395"/>
        </ext>
      </extLst>
    </bk>
    <bk>
      <extLst>
        <ext uri="{3e2802c4-a4d2-4d8b-9148-e3be6c30e623}">
          <xlrd:rvb i="4396"/>
        </ext>
      </extLst>
    </bk>
    <bk>
      <extLst>
        <ext uri="{3e2802c4-a4d2-4d8b-9148-e3be6c30e623}">
          <xlrd:rvb i="4397"/>
        </ext>
      </extLst>
    </bk>
    <bk>
      <extLst>
        <ext uri="{3e2802c4-a4d2-4d8b-9148-e3be6c30e623}">
          <xlrd:rvb i="4398"/>
        </ext>
      </extLst>
    </bk>
    <bk>
      <extLst>
        <ext uri="{3e2802c4-a4d2-4d8b-9148-e3be6c30e623}">
          <xlrd:rvb i="4399"/>
        </ext>
      </extLst>
    </bk>
    <bk>
      <extLst>
        <ext uri="{3e2802c4-a4d2-4d8b-9148-e3be6c30e623}">
          <xlrd:rvb i="4400"/>
        </ext>
      </extLst>
    </bk>
    <bk>
      <extLst>
        <ext uri="{3e2802c4-a4d2-4d8b-9148-e3be6c30e623}">
          <xlrd:rvb i="4401"/>
        </ext>
      </extLst>
    </bk>
    <bk>
      <extLst>
        <ext uri="{3e2802c4-a4d2-4d8b-9148-e3be6c30e623}">
          <xlrd:rvb i="4402"/>
        </ext>
      </extLst>
    </bk>
    <bk>
      <extLst>
        <ext uri="{3e2802c4-a4d2-4d8b-9148-e3be6c30e623}">
          <xlrd:rvb i="4403"/>
        </ext>
      </extLst>
    </bk>
    <bk>
      <extLst>
        <ext uri="{3e2802c4-a4d2-4d8b-9148-e3be6c30e623}">
          <xlrd:rvb i="4404"/>
        </ext>
      </extLst>
    </bk>
    <bk>
      <extLst>
        <ext uri="{3e2802c4-a4d2-4d8b-9148-e3be6c30e623}">
          <xlrd:rvb i="4405"/>
        </ext>
      </extLst>
    </bk>
    <bk>
      <extLst>
        <ext uri="{3e2802c4-a4d2-4d8b-9148-e3be6c30e623}">
          <xlrd:rvb i="4406"/>
        </ext>
      </extLst>
    </bk>
    <bk>
      <extLst>
        <ext uri="{3e2802c4-a4d2-4d8b-9148-e3be6c30e623}">
          <xlrd:rvb i="4407"/>
        </ext>
      </extLst>
    </bk>
    <bk>
      <extLst>
        <ext uri="{3e2802c4-a4d2-4d8b-9148-e3be6c30e623}">
          <xlrd:rvb i="4408"/>
        </ext>
      </extLst>
    </bk>
    <bk>
      <extLst>
        <ext uri="{3e2802c4-a4d2-4d8b-9148-e3be6c30e623}">
          <xlrd:rvb i="4409"/>
        </ext>
      </extLst>
    </bk>
    <bk>
      <extLst>
        <ext uri="{3e2802c4-a4d2-4d8b-9148-e3be6c30e623}">
          <xlrd:rvb i="4410"/>
        </ext>
      </extLst>
    </bk>
    <bk>
      <extLst>
        <ext uri="{3e2802c4-a4d2-4d8b-9148-e3be6c30e623}">
          <xlrd:rvb i="4411"/>
        </ext>
      </extLst>
    </bk>
    <bk>
      <extLst>
        <ext uri="{3e2802c4-a4d2-4d8b-9148-e3be6c30e623}">
          <xlrd:rvb i="4412"/>
        </ext>
      </extLst>
    </bk>
    <bk>
      <extLst>
        <ext uri="{3e2802c4-a4d2-4d8b-9148-e3be6c30e623}">
          <xlrd:rvb i="4413"/>
        </ext>
      </extLst>
    </bk>
    <bk>
      <extLst>
        <ext uri="{3e2802c4-a4d2-4d8b-9148-e3be6c30e623}">
          <xlrd:rvb i="4414"/>
        </ext>
      </extLst>
    </bk>
    <bk>
      <extLst>
        <ext uri="{3e2802c4-a4d2-4d8b-9148-e3be6c30e623}">
          <xlrd:rvb i="4415"/>
        </ext>
      </extLst>
    </bk>
    <bk>
      <extLst>
        <ext uri="{3e2802c4-a4d2-4d8b-9148-e3be6c30e623}">
          <xlrd:rvb i="4416"/>
        </ext>
      </extLst>
    </bk>
    <bk>
      <extLst>
        <ext uri="{3e2802c4-a4d2-4d8b-9148-e3be6c30e623}">
          <xlrd:rvb i="4417"/>
        </ext>
      </extLst>
    </bk>
    <bk>
      <extLst>
        <ext uri="{3e2802c4-a4d2-4d8b-9148-e3be6c30e623}">
          <xlrd:rvb i="4418"/>
        </ext>
      </extLst>
    </bk>
    <bk>
      <extLst>
        <ext uri="{3e2802c4-a4d2-4d8b-9148-e3be6c30e623}">
          <xlrd:rvb i="4419"/>
        </ext>
      </extLst>
    </bk>
    <bk>
      <extLst>
        <ext uri="{3e2802c4-a4d2-4d8b-9148-e3be6c30e623}">
          <xlrd:rvb i="4420"/>
        </ext>
      </extLst>
    </bk>
    <bk>
      <extLst>
        <ext uri="{3e2802c4-a4d2-4d8b-9148-e3be6c30e623}">
          <xlrd:rvb i="4421"/>
        </ext>
      </extLst>
    </bk>
    <bk>
      <extLst>
        <ext uri="{3e2802c4-a4d2-4d8b-9148-e3be6c30e623}">
          <xlrd:rvb i="4422"/>
        </ext>
      </extLst>
    </bk>
    <bk>
      <extLst>
        <ext uri="{3e2802c4-a4d2-4d8b-9148-e3be6c30e623}">
          <xlrd:rvb i="4423"/>
        </ext>
      </extLst>
    </bk>
    <bk>
      <extLst>
        <ext uri="{3e2802c4-a4d2-4d8b-9148-e3be6c30e623}">
          <xlrd:rvb i="4424"/>
        </ext>
      </extLst>
    </bk>
    <bk>
      <extLst>
        <ext uri="{3e2802c4-a4d2-4d8b-9148-e3be6c30e623}">
          <xlrd:rvb i="4425"/>
        </ext>
      </extLst>
    </bk>
    <bk>
      <extLst>
        <ext uri="{3e2802c4-a4d2-4d8b-9148-e3be6c30e623}">
          <xlrd:rvb i="4426"/>
        </ext>
      </extLst>
    </bk>
    <bk>
      <extLst>
        <ext uri="{3e2802c4-a4d2-4d8b-9148-e3be6c30e623}">
          <xlrd:rvb i="4427"/>
        </ext>
      </extLst>
    </bk>
    <bk>
      <extLst>
        <ext uri="{3e2802c4-a4d2-4d8b-9148-e3be6c30e623}">
          <xlrd:rvb i="4428"/>
        </ext>
      </extLst>
    </bk>
    <bk>
      <extLst>
        <ext uri="{3e2802c4-a4d2-4d8b-9148-e3be6c30e623}">
          <xlrd:rvb i="4429"/>
        </ext>
      </extLst>
    </bk>
    <bk>
      <extLst>
        <ext uri="{3e2802c4-a4d2-4d8b-9148-e3be6c30e623}">
          <xlrd:rvb i="4430"/>
        </ext>
      </extLst>
    </bk>
    <bk>
      <extLst>
        <ext uri="{3e2802c4-a4d2-4d8b-9148-e3be6c30e623}">
          <xlrd:rvb i="4431"/>
        </ext>
      </extLst>
    </bk>
    <bk>
      <extLst>
        <ext uri="{3e2802c4-a4d2-4d8b-9148-e3be6c30e623}">
          <xlrd:rvb i="4432"/>
        </ext>
      </extLst>
    </bk>
    <bk>
      <extLst>
        <ext uri="{3e2802c4-a4d2-4d8b-9148-e3be6c30e623}">
          <xlrd:rvb i="4433"/>
        </ext>
      </extLst>
    </bk>
    <bk>
      <extLst>
        <ext uri="{3e2802c4-a4d2-4d8b-9148-e3be6c30e623}">
          <xlrd:rvb i="4434"/>
        </ext>
      </extLst>
    </bk>
    <bk>
      <extLst>
        <ext uri="{3e2802c4-a4d2-4d8b-9148-e3be6c30e623}">
          <xlrd:rvb i="4435"/>
        </ext>
      </extLst>
    </bk>
    <bk>
      <extLst>
        <ext uri="{3e2802c4-a4d2-4d8b-9148-e3be6c30e623}">
          <xlrd:rvb i="4436"/>
        </ext>
      </extLst>
    </bk>
    <bk>
      <extLst>
        <ext uri="{3e2802c4-a4d2-4d8b-9148-e3be6c30e623}">
          <xlrd:rvb i="4437"/>
        </ext>
      </extLst>
    </bk>
    <bk>
      <extLst>
        <ext uri="{3e2802c4-a4d2-4d8b-9148-e3be6c30e623}">
          <xlrd:rvb i="4438"/>
        </ext>
      </extLst>
    </bk>
    <bk>
      <extLst>
        <ext uri="{3e2802c4-a4d2-4d8b-9148-e3be6c30e623}">
          <xlrd:rvb i="4439"/>
        </ext>
      </extLst>
    </bk>
    <bk>
      <extLst>
        <ext uri="{3e2802c4-a4d2-4d8b-9148-e3be6c30e623}">
          <xlrd:rvb i="4440"/>
        </ext>
      </extLst>
    </bk>
    <bk>
      <extLst>
        <ext uri="{3e2802c4-a4d2-4d8b-9148-e3be6c30e623}">
          <xlrd:rvb i="4441"/>
        </ext>
      </extLst>
    </bk>
    <bk>
      <extLst>
        <ext uri="{3e2802c4-a4d2-4d8b-9148-e3be6c30e623}">
          <xlrd:rvb i="4442"/>
        </ext>
      </extLst>
    </bk>
    <bk>
      <extLst>
        <ext uri="{3e2802c4-a4d2-4d8b-9148-e3be6c30e623}">
          <xlrd:rvb i="4443"/>
        </ext>
      </extLst>
    </bk>
    <bk>
      <extLst>
        <ext uri="{3e2802c4-a4d2-4d8b-9148-e3be6c30e623}">
          <xlrd:rvb i="4444"/>
        </ext>
      </extLst>
    </bk>
    <bk>
      <extLst>
        <ext uri="{3e2802c4-a4d2-4d8b-9148-e3be6c30e623}">
          <xlrd:rvb i="4445"/>
        </ext>
      </extLst>
    </bk>
    <bk>
      <extLst>
        <ext uri="{3e2802c4-a4d2-4d8b-9148-e3be6c30e623}">
          <xlrd:rvb i="4446"/>
        </ext>
      </extLst>
    </bk>
    <bk>
      <extLst>
        <ext uri="{3e2802c4-a4d2-4d8b-9148-e3be6c30e623}">
          <xlrd:rvb i="4447"/>
        </ext>
      </extLst>
    </bk>
    <bk>
      <extLst>
        <ext uri="{3e2802c4-a4d2-4d8b-9148-e3be6c30e623}">
          <xlrd:rvb i="4448"/>
        </ext>
      </extLst>
    </bk>
    <bk>
      <extLst>
        <ext uri="{3e2802c4-a4d2-4d8b-9148-e3be6c30e623}">
          <xlrd:rvb i="4449"/>
        </ext>
      </extLst>
    </bk>
    <bk>
      <extLst>
        <ext uri="{3e2802c4-a4d2-4d8b-9148-e3be6c30e623}">
          <xlrd:rvb i="4450"/>
        </ext>
      </extLst>
    </bk>
    <bk>
      <extLst>
        <ext uri="{3e2802c4-a4d2-4d8b-9148-e3be6c30e623}">
          <xlrd:rvb i="4451"/>
        </ext>
      </extLst>
    </bk>
    <bk>
      <extLst>
        <ext uri="{3e2802c4-a4d2-4d8b-9148-e3be6c30e623}">
          <xlrd:rvb i="4452"/>
        </ext>
      </extLst>
    </bk>
    <bk>
      <extLst>
        <ext uri="{3e2802c4-a4d2-4d8b-9148-e3be6c30e623}">
          <xlrd:rvb i="4453"/>
        </ext>
      </extLst>
    </bk>
    <bk>
      <extLst>
        <ext uri="{3e2802c4-a4d2-4d8b-9148-e3be6c30e623}">
          <xlrd:rvb i="4454"/>
        </ext>
      </extLst>
    </bk>
    <bk>
      <extLst>
        <ext uri="{3e2802c4-a4d2-4d8b-9148-e3be6c30e623}">
          <xlrd:rvb i="4455"/>
        </ext>
      </extLst>
    </bk>
    <bk>
      <extLst>
        <ext uri="{3e2802c4-a4d2-4d8b-9148-e3be6c30e623}">
          <xlrd:rvb i="4456"/>
        </ext>
      </extLst>
    </bk>
    <bk>
      <extLst>
        <ext uri="{3e2802c4-a4d2-4d8b-9148-e3be6c30e623}">
          <xlrd:rvb i="4457"/>
        </ext>
      </extLst>
    </bk>
    <bk>
      <extLst>
        <ext uri="{3e2802c4-a4d2-4d8b-9148-e3be6c30e623}">
          <xlrd:rvb i="4458"/>
        </ext>
      </extLst>
    </bk>
    <bk>
      <extLst>
        <ext uri="{3e2802c4-a4d2-4d8b-9148-e3be6c30e623}">
          <xlrd:rvb i="4459"/>
        </ext>
      </extLst>
    </bk>
    <bk>
      <extLst>
        <ext uri="{3e2802c4-a4d2-4d8b-9148-e3be6c30e623}">
          <xlrd:rvb i="4460"/>
        </ext>
      </extLst>
    </bk>
    <bk>
      <extLst>
        <ext uri="{3e2802c4-a4d2-4d8b-9148-e3be6c30e623}">
          <xlrd:rvb i="4461"/>
        </ext>
      </extLst>
    </bk>
    <bk>
      <extLst>
        <ext uri="{3e2802c4-a4d2-4d8b-9148-e3be6c30e623}">
          <xlrd:rvb i="4462"/>
        </ext>
      </extLst>
    </bk>
    <bk>
      <extLst>
        <ext uri="{3e2802c4-a4d2-4d8b-9148-e3be6c30e623}">
          <xlrd:rvb i="4463"/>
        </ext>
      </extLst>
    </bk>
    <bk>
      <extLst>
        <ext uri="{3e2802c4-a4d2-4d8b-9148-e3be6c30e623}">
          <xlrd:rvb i="4464"/>
        </ext>
      </extLst>
    </bk>
    <bk>
      <extLst>
        <ext uri="{3e2802c4-a4d2-4d8b-9148-e3be6c30e623}">
          <xlrd:rvb i="4465"/>
        </ext>
      </extLst>
    </bk>
    <bk>
      <extLst>
        <ext uri="{3e2802c4-a4d2-4d8b-9148-e3be6c30e623}">
          <xlrd:rvb i="4466"/>
        </ext>
      </extLst>
    </bk>
    <bk>
      <extLst>
        <ext uri="{3e2802c4-a4d2-4d8b-9148-e3be6c30e623}">
          <xlrd:rvb i="4467"/>
        </ext>
      </extLst>
    </bk>
    <bk>
      <extLst>
        <ext uri="{3e2802c4-a4d2-4d8b-9148-e3be6c30e623}">
          <xlrd:rvb i="4468"/>
        </ext>
      </extLst>
    </bk>
    <bk>
      <extLst>
        <ext uri="{3e2802c4-a4d2-4d8b-9148-e3be6c30e623}">
          <xlrd:rvb i="4469"/>
        </ext>
      </extLst>
    </bk>
    <bk>
      <extLst>
        <ext uri="{3e2802c4-a4d2-4d8b-9148-e3be6c30e623}">
          <xlrd:rvb i="4470"/>
        </ext>
      </extLst>
    </bk>
    <bk>
      <extLst>
        <ext uri="{3e2802c4-a4d2-4d8b-9148-e3be6c30e623}">
          <xlrd:rvb i="4471"/>
        </ext>
      </extLst>
    </bk>
    <bk>
      <extLst>
        <ext uri="{3e2802c4-a4d2-4d8b-9148-e3be6c30e623}">
          <xlrd:rvb i="4472"/>
        </ext>
      </extLst>
    </bk>
    <bk>
      <extLst>
        <ext uri="{3e2802c4-a4d2-4d8b-9148-e3be6c30e623}">
          <xlrd:rvb i="4473"/>
        </ext>
      </extLst>
    </bk>
    <bk>
      <extLst>
        <ext uri="{3e2802c4-a4d2-4d8b-9148-e3be6c30e623}">
          <xlrd:rvb i="4474"/>
        </ext>
      </extLst>
    </bk>
    <bk>
      <extLst>
        <ext uri="{3e2802c4-a4d2-4d8b-9148-e3be6c30e623}">
          <xlrd:rvb i="4475"/>
        </ext>
      </extLst>
    </bk>
    <bk>
      <extLst>
        <ext uri="{3e2802c4-a4d2-4d8b-9148-e3be6c30e623}">
          <xlrd:rvb i="4476"/>
        </ext>
      </extLst>
    </bk>
    <bk>
      <extLst>
        <ext uri="{3e2802c4-a4d2-4d8b-9148-e3be6c30e623}">
          <xlrd:rvb i="4477"/>
        </ext>
      </extLst>
    </bk>
    <bk>
      <extLst>
        <ext uri="{3e2802c4-a4d2-4d8b-9148-e3be6c30e623}">
          <xlrd:rvb i="4478"/>
        </ext>
      </extLst>
    </bk>
    <bk>
      <extLst>
        <ext uri="{3e2802c4-a4d2-4d8b-9148-e3be6c30e623}">
          <xlrd:rvb i="4479"/>
        </ext>
      </extLst>
    </bk>
    <bk>
      <extLst>
        <ext uri="{3e2802c4-a4d2-4d8b-9148-e3be6c30e623}">
          <xlrd:rvb i="4480"/>
        </ext>
      </extLst>
    </bk>
    <bk>
      <extLst>
        <ext uri="{3e2802c4-a4d2-4d8b-9148-e3be6c30e623}">
          <xlrd:rvb i="4481"/>
        </ext>
      </extLst>
    </bk>
    <bk>
      <extLst>
        <ext uri="{3e2802c4-a4d2-4d8b-9148-e3be6c30e623}">
          <xlrd:rvb i="4482"/>
        </ext>
      </extLst>
    </bk>
    <bk>
      <extLst>
        <ext uri="{3e2802c4-a4d2-4d8b-9148-e3be6c30e623}">
          <xlrd:rvb i="4483"/>
        </ext>
      </extLst>
    </bk>
    <bk>
      <extLst>
        <ext uri="{3e2802c4-a4d2-4d8b-9148-e3be6c30e623}">
          <xlrd:rvb i="4484"/>
        </ext>
      </extLst>
    </bk>
    <bk>
      <extLst>
        <ext uri="{3e2802c4-a4d2-4d8b-9148-e3be6c30e623}">
          <xlrd:rvb i="4485"/>
        </ext>
      </extLst>
    </bk>
    <bk>
      <extLst>
        <ext uri="{3e2802c4-a4d2-4d8b-9148-e3be6c30e623}">
          <xlrd:rvb i="4486"/>
        </ext>
      </extLst>
    </bk>
    <bk>
      <extLst>
        <ext uri="{3e2802c4-a4d2-4d8b-9148-e3be6c30e623}">
          <xlrd:rvb i="4487"/>
        </ext>
      </extLst>
    </bk>
    <bk>
      <extLst>
        <ext uri="{3e2802c4-a4d2-4d8b-9148-e3be6c30e623}">
          <xlrd:rvb i="4488"/>
        </ext>
      </extLst>
    </bk>
    <bk>
      <extLst>
        <ext uri="{3e2802c4-a4d2-4d8b-9148-e3be6c30e623}">
          <xlrd:rvb i="4489"/>
        </ext>
      </extLst>
    </bk>
    <bk>
      <extLst>
        <ext uri="{3e2802c4-a4d2-4d8b-9148-e3be6c30e623}">
          <xlrd:rvb i="4490"/>
        </ext>
      </extLst>
    </bk>
    <bk>
      <extLst>
        <ext uri="{3e2802c4-a4d2-4d8b-9148-e3be6c30e623}">
          <xlrd:rvb i="4491"/>
        </ext>
      </extLst>
    </bk>
    <bk>
      <extLst>
        <ext uri="{3e2802c4-a4d2-4d8b-9148-e3be6c30e623}">
          <xlrd:rvb i="4492"/>
        </ext>
      </extLst>
    </bk>
    <bk>
      <extLst>
        <ext uri="{3e2802c4-a4d2-4d8b-9148-e3be6c30e623}">
          <xlrd:rvb i="4493"/>
        </ext>
      </extLst>
    </bk>
    <bk>
      <extLst>
        <ext uri="{3e2802c4-a4d2-4d8b-9148-e3be6c30e623}">
          <xlrd:rvb i="4494"/>
        </ext>
      </extLst>
    </bk>
    <bk>
      <extLst>
        <ext uri="{3e2802c4-a4d2-4d8b-9148-e3be6c30e623}">
          <xlrd:rvb i="4495"/>
        </ext>
      </extLst>
    </bk>
    <bk>
      <extLst>
        <ext uri="{3e2802c4-a4d2-4d8b-9148-e3be6c30e623}">
          <xlrd:rvb i="4496"/>
        </ext>
      </extLst>
    </bk>
    <bk>
      <extLst>
        <ext uri="{3e2802c4-a4d2-4d8b-9148-e3be6c30e623}">
          <xlrd:rvb i="4497"/>
        </ext>
      </extLst>
    </bk>
    <bk>
      <extLst>
        <ext uri="{3e2802c4-a4d2-4d8b-9148-e3be6c30e623}">
          <xlrd:rvb i="4498"/>
        </ext>
      </extLst>
    </bk>
    <bk>
      <extLst>
        <ext uri="{3e2802c4-a4d2-4d8b-9148-e3be6c30e623}">
          <xlrd:rvb i="4499"/>
        </ext>
      </extLst>
    </bk>
    <bk>
      <extLst>
        <ext uri="{3e2802c4-a4d2-4d8b-9148-e3be6c30e623}">
          <xlrd:rvb i="4500"/>
        </ext>
      </extLst>
    </bk>
    <bk>
      <extLst>
        <ext uri="{3e2802c4-a4d2-4d8b-9148-e3be6c30e623}">
          <xlrd:rvb i="4501"/>
        </ext>
      </extLst>
    </bk>
    <bk>
      <extLst>
        <ext uri="{3e2802c4-a4d2-4d8b-9148-e3be6c30e623}">
          <xlrd:rvb i="4502"/>
        </ext>
      </extLst>
    </bk>
    <bk>
      <extLst>
        <ext uri="{3e2802c4-a4d2-4d8b-9148-e3be6c30e623}">
          <xlrd:rvb i="4503"/>
        </ext>
      </extLst>
    </bk>
    <bk>
      <extLst>
        <ext uri="{3e2802c4-a4d2-4d8b-9148-e3be6c30e623}">
          <xlrd:rvb i="4504"/>
        </ext>
      </extLst>
    </bk>
    <bk>
      <extLst>
        <ext uri="{3e2802c4-a4d2-4d8b-9148-e3be6c30e623}">
          <xlrd:rvb i="4505"/>
        </ext>
      </extLst>
    </bk>
    <bk>
      <extLst>
        <ext uri="{3e2802c4-a4d2-4d8b-9148-e3be6c30e623}">
          <xlrd:rvb i="4506"/>
        </ext>
      </extLst>
    </bk>
    <bk>
      <extLst>
        <ext uri="{3e2802c4-a4d2-4d8b-9148-e3be6c30e623}">
          <xlrd:rvb i="4507"/>
        </ext>
      </extLst>
    </bk>
    <bk>
      <extLst>
        <ext uri="{3e2802c4-a4d2-4d8b-9148-e3be6c30e623}">
          <xlrd:rvb i="4508"/>
        </ext>
      </extLst>
    </bk>
    <bk>
      <extLst>
        <ext uri="{3e2802c4-a4d2-4d8b-9148-e3be6c30e623}">
          <xlrd:rvb i="4509"/>
        </ext>
      </extLst>
    </bk>
    <bk>
      <extLst>
        <ext uri="{3e2802c4-a4d2-4d8b-9148-e3be6c30e623}">
          <xlrd:rvb i="4510"/>
        </ext>
      </extLst>
    </bk>
    <bk>
      <extLst>
        <ext uri="{3e2802c4-a4d2-4d8b-9148-e3be6c30e623}">
          <xlrd:rvb i="4511"/>
        </ext>
      </extLst>
    </bk>
    <bk>
      <extLst>
        <ext uri="{3e2802c4-a4d2-4d8b-9148-e3be6c30e623}">
          <xlrd:rvb i="4512"/>
        </ext>
      </extLst>
    </bk>
    <bk>
      <extLst>
        <ext uri="{3e2802c4-a4d2-4d8b-9148-e3be6c30e623}">
          <xlrd:rvb i="4513"/>
        </ext>
      </extLst>
    </bk>
    <bk>
      <extLst>
        <ext uri="{3e2802c4-a4d2-4d8b-9148-e3be6c30e623}">
          <xlrd:rvb i="4514"/>
        </ext>
      </extLst>
    </bk>
    <bk>
      <extLst>
        <ext uri="{3e2802c4-a4d2-4d8b-9148-e3be6c30e623}">
          <xlrd:rvb i="4515"/>
        </ext>
      </extLst>
    </bk>
    <bk>
      <extLst>
        <ext uri="{3e2802c4-a4d2-4d8b-9148-e3be6c30e623}">
          <xlrd:rvb i="4516"/>
        </ext>
      </extLst>
    </bk>
    <bk>
      <extLst>
        <ext uri="{3e2802c4-a4d2-4d8b-9148-e3be6c30e623}">
          <xlrd:rvb i="4517"/>
        </ext>
      </extLst>
    </bk>
    <bk>
      <extLst>
        <ext uri="{3e2802c4-a4d2-4d8b-9148-e3be6c30e623}">
          <xlrd:rvb i="4518"/>
        </ext>
      </extLst>
    </bk>
    <bk>
      <extLst>
        <ext uri="{3e2802c4-a4d2-4d8b-9148-e3be6c30e623}">
          <xlrd:rvb i="4519"/>
        </ext>
      </extLst>
    </bk>
    <bk>
      <extLst>
        <ext uri="{3e2802c4-a4d2-4d8b-9148-e3be6c30e623}">
          <xlrd:rvb i="4520"/>
        </ext>
      </extLst>
    </bk>
    <bk>
      <extLst>
        <ext uri="{3e2802c4-a4d2-4d8b-9148-e3be6c30e623}">
          <xlrd:rvb i="4521"/>
        </ext>
      </extLst>
    </bk>
    <bk>
      <extLst>
        <ext uri="{3e2802c4-a4d2-4d8b-9148-e3be6c30e623}">
          <xlrd:rvb i="4522"/>
        </ext>
      </extLst>
    </bk>
    <bk>
      <extLst>
        <ext uri="{3e2802c4-a4d2-4d8b-9148-e3be6c30e623}">
          <xlrd:rvb i="4523"/>
        </ext>
      </extLst>
    </bk>
    <bk>
      <extLst>
        <ext uri="{3e2802c4-a4d2-4d8b-9148-e3be6c30e623}">
          <xlrd:rvb i="4524"/>
        </ext>
      </extLst>
    </bk>
    <bk>
      <extLst>
        <ext uri="{3e2802c4-a4d2-4d8b-9148-e3be6c30e623}">
          <xlrd:rvb i="4525"/>
        </ext>
      </extLst>
    </bk>
    <bk>
      <extLst>
        <ext uri="{3e2802c4-a4d2-4d8b-9148-e3be6c30e623}">
          <xlrd:rvb i="4526"/>
        </ext>
      </extLst>
    </bk>
    <bk>
      <extLst>
        <ext uri="{3e2802c4-a4d2-4d8b-9148-e3be6c30e623}">
          <xlrd:rvb i="4527"/>
        </ext>
      </extLst>
    </bk>
    <bk>
      <extLst>
        <ext uri="{3e2802c4-a4d2-4d8b-9148-e3be6c30e623}">
          <xlrd:rvb i="4528"/>
        </ext>
      </extLst>
    </bk>
    <bk>
      <extLst>
        <ext uri="{3e2802c4-a4d2-4d8b-9148-e3be6c30e623}">
          <xlrd:rvb i="4529"/>
        </ext>
      </extLst>
    </bk>
    <bk>
      <extLst>
        <ext uri="{3e2802c4-a4d2-4d8b-9148-e3be6c30e623}">
          <xlrd:rvb i="4530"/>
        </ext>
      </extLst>
    </bk>
    <bk>
      <extLst>
        <ext uri="{3e2802c4-a4d2-4d8b-9148-e3be6c30e623}">
          <xlrd:rvb i="4531"/>
        </ext>
      </extLst>
    </bk>
    <bk>
      <extLst>
        <ext uri="{3e2802c4-a4d2-4d8b-9148-e3be6c30e623}">
          <xlrd:rvb i="4532"/>
        </ext>
      </extLst>
    </bk>
    <bk>
      <extLst>
        <ext uri="{3e2802c4-a4d2-4d8b-9148-e3be6c30e623}">
          <xlrd:rvb i="4533"/>
        </ext>
      </extLst>
    </bk>
    <bk>
      <extLst>
        <ext uri="{3e2802c4-a4d2-4d8b-9148-e3be6c30e623}">
          <xlrd:rvb i="4534"/>
        </ext>
      </extLst>
    </bk>
    <bk>
      <extLst>
        <ext uri="{3e2802c4-a4d2-4d8b-9148-e3be6c30e623}">
          <xlrd:rvb i="4535"/>
        </ext>
      </extLst>
    </bk>
    <bk>
      <extLst>
        <ext uri="{3e2802c4-a4d2-4d8b-9148-e3be6c30e623}">
          <xlrd:rvb i="4536"/>
        </ext>
      </extLst>
    </bk>
    <bk>
      <extLst>
        <ext uri="{3e2802c4-a4d2-4d8b-9148-e3be6c30e623}">
          <xlrd:rvb i="4537"/>
        </ext>
      </extLst>
    </bk>
    <bk>
      <extLst>
        <ext uri="{3e2802c4-a4d2-4d8b-9148-e3be6c30e623}">
          <xlrd:rvb i="4538"/>
        </ext>
      </extLst>
    </bk>
    <bk>
      <extLst>
        <ext uri="{3e2802c4-a4d2-4d8b-9148-e3be6c30e623}">
          <xlrd:rvb i="4539"/>
        </ext>
      </extLst>
    </bk>
    <bk>
      <extLst>
        <ext uri="{3e2802c4-a4d2-4d8b-9148-e3be6c30e623}">
          <xlrd:rvb i="4540"/>
        </ext>
      </extLst>
    </bk>
    <bk>
      <extLst>
        <ext uri="{3e2802c4-a4d2-4d8b-9148-e3be6c30e623}">
          <xlrd:rvb i="4541"/>
        </ext>
      </extLst>
    </bk>
    <bk>
      <extLst>
        <ext uri="{3e2802c4-a4d2-4d8b-9148-e3be6c30e623}">
          <xlrd:rvb i="4542"/>
        </ext>
      </extLst>
    </bk>
    <bk>
      <extLst>
        <ext uri="{3e2802c4-a4d2-4d8b-9148-e3be6c30e623}">
          <xlrd:rvb i="4543"/>
        </ext>
      </extLst>
    </bk>
    <bk>
      <extLst>
        <ext uri="{3e2802c4-a4d2-4d8b-9148-e3be6c30e623}">
          <xlrd:rvb i="4544"/>
        </ext>
      </extLst>
    </bk>
    <bk>
      <extLst>
        <ext uri="{3e2802c4-a4d2-4d8b-9148-e3be6c30e623}">
          <xlrd:rvb i="4545"/>
        </ext>
      </extLst>
    </bk>
    <bk>
      <extLst>
        <ext uri="{3e2802c4-a4d2-4d8b-9148-e3be6c30e623}">
          <xlrd:rvb i="4546"/>
        </ext>
      </extLst>
    </bk>
    <bk>
      <extLst>
        <ext uri="{3e2802c4-a4d2-4d8b-9148-e3be6c30e623}">
          <xlrd:rvb i="4547"/>
        </ext>
      </extLst>
    </bk>
    <bk>
      <extLst>
        <ext uri="{3e2802c4-a4d2-4d8b-9148-e3be6c30e623}">
          <xlrd:rvb i="4548"/>
        </ext>
      </extLst>
    </bk>
    <bk>
      <extLst>
        <ext uri="{3e2802c4-a4d2-4d8b-9148-e3be6c30e623}">
          <xlrd:rvb i="4549"/>
        </ext>
      </extLst>
    </bk>
    <bk>
      <extLst>
        <ext uri="{3e2802c4-a4d2-4d8b-9148-e3be6c30e623}">
          <xlrd:rvb i="4550"/>
        </ext>
      </extLst>
    </bk>
    <bk>
      <extLst>
        <ext uri="{3e2802c4-a4d2-4d8b-9148-e3be6c30e623}">
          <xlrd:rvb i="4551"/>
        </ext>
      </extLst>
    </bk>
    <bk>
      <extLst>
        <ext uri="{3e2802c4-a4d2-4d8b-9148-e3be6c30e623}">
          <xlrd:rvb i="4552"/>
        </ext>
      </extLst>
    </bk>
    <bk>
      <extLst>
        <ext uri="{3e2802c4-a4d2-4d8b-9148-e3be6c30e623}">
          <xlrd:rvb i="4553"/>
        </ext>
      </extLst>
    </bk>
    <bk>
      <extLst>
        <ext uri="{3e2802c4-a4d2-4d8b-9148-e3be6c30e623}">
          <xlrd:rvb i="4554"/>
        </ext>
      </extLst>
    </bk>
    <bk>
      <extLst>
        <ext uri="{3e2802c4-a4d2-4d8b-9148-e3be6c30e623}">
          <xlrd:rvb i="4555"/>
        </ext>
      </extLst>
    </bk>
    <bk>
      <extLst>
        <ext uri="{3e2802c4-a4d2-4d8b-9148-e3be6c30e623}">
          <xlrd:rvb i="4556"/>
        </ext>
      </extLst>
    </bk>
    <bk>
      <extLst>
        <ext uri="{3e2802c4-a4d2-4d8b-9148-e3be6c30e623}">
          <xlrd:rvb i="4557"/>
        </ext>
      </extLst>
    </bk>
    <bk>
      <extLst>
        <ext uri="{3e2802c4-a4d2-4d8b-9148-e3be6c30e623}">
          <xlrd:rvb i="4558"/>
        </ext>
      </extLst>
    </bk>
    <bk>
      <extLst>
        <ext uri="{3e2802c4-a4d2-4d8b-9148-e3be6c30e623}">
          <xlrd:rvb i="4559"/>
        </ext>
      </extLst>
    </bk>
    <bk>
      <extLst>
        <ext uri="{3e2802c4-a4d2-4d8b-9148-e3be6c30e623}">
          <xlrd:rvb i="4560"/>
        </ext>
      </extLst>
    </bk>
    <bk>
      <extLst>
        <ext uri="{3e2802c4-a4d2-4d8b-9148-e3be6c30e623}">
          <xlrd:rvb i="4561"/>
        </ext>
      </extLst>
    </bk>
    <bk>
      <extLst>
        <ext uri="{3e2802c4-a4d2-4d8b-9148-e3be6c30e623}">
          <xlrd:rvb i="4562"/>
        </ext>
      </extLst>
    </bk>
    <bk>
      <extLst>
        <ext uri="{3e2802c4-a4d2-4d8b-9148-e3be6c30e623}">
          <xlrd:rvb i="4563"/>
        </ext>
      </extLst>
    </bk>
    <bk>
      <extLst>
        <ext uri="{3e2802c4-a4d2-4d8b-9148-e3be6c30e623}">
          <xlrd:rvb i="4564"/>
        </ext>
      </extLst>
    </bk>
    <bk>
      <extLst>
        <ext uri="{3e2802c4-a4d2-4d8b-9148-e3be6c30e623}">
          <xlrd:rvb i="4565"/>
        </ext>
      </extLst>
    </bk>
    <bk>
      <extLst>
        <ext uri="{3e2802c4-a4d2-4d8b-9148-e3be6c30e623}">
          <xlrd:rvb i="4566"/>
        </ext>
      </extLst>
    </bk>
    <bk>
      <extLst>
        <ext uri="{3e2802c4-a4d2-4d8b-9148-e3be6c30e623}">
          <xlrd:rvb i="4567"/>
        </ext>
      </extLst>
    </bk>
    <bk>
      <extLst>
        <ext uri="{3e2802c4-a4d2-4d8b-9148-e3be6c30e623}">
          <xlrd:rvb i="4568"/>
        </ext>
      </extLst>
    </bk>
    <bk>
      <extLst>
        <ext uri="{3e2802c4-a4d2-4d8b-9148-e3be6c30e623}">
          <xlrd:rvb i="4569"/>
        </ext>
      </extLst>
    </bk>
    <bk>
      <extLst>
        <ext uri="{3e2802c4-a4d2-4d8b-9148-e3be6c30e623}">
          <xlrd:rvb i="4570"/>
        </ext>
      </extLst>
    </bk>
    <bk>
      <extLst>
        <ext uri="{3e2802c4-a4d2-4d8b-9148-e3be6c30e623}">
          <xlrd:rvb i="4571"/>
        </ext>
      </extLst>
    </bk>
    <bk>
      <extLst>
        <ext uri="{3e2802c4-a4d2-4d8b-9148-e3be6c30e623}">
          <xlrd:rvb i="4572"/>
        </ext>
      </extLst>
    </bk>
    <bk>
      <extLst>
        <ext uri="{3e2802c4-a4d2-4d8b-9148-e3be6c30e623}">
          <xlrd:rvb i="4573"/>
        </ext>
      </extLst>
    </bk>
    <bk>
      <extLst>
        <ext uri="{3e2802c4-a4d2-4d8b-9148-e3be6c30e623}">
          <xlrd:rvb i="4574"/>
        </ext>
      </extLst>
    </bk>
    <bk>
      <extLst>
        <ext uri="{3e2802c4-a4d2-4d8b-9148-e3be6c30e623}">
          <xlrd:rvb i="4575"/>
        </ext>
      </extLst>
    </bk>
    <bk>
      <extLst>
        <ext uri="{3e2802c4-a4d2-4d8b-9148-e3be6c30e623}">
          <xlrd:rvb i="4576"/>
        </ext>
      </extLst>
    </bk>
    <bk>
      <extLst>
        <ext uri="{3e2802c4-a4d2-4d8b-9148-e3be6c30e623}">
          <xlrd:rvb i="4577"/>
        </ext>
      </extLst>
    </bk>
    <bk>
      <extLst>
        <ext uri="{3e2802c4-a4d2-4d8b-9148-e3be6c30e623}">
          <xlrd:rvb i="4578"/>
        </ext>
      </extLst>
    </bk>
    <bk>
      <extLst>
        <ext uri="{3e2802c4-a4d2-4d8b-9148-e3be6c30e623}">
          <xlrd:rvb i="4579"/>
        </ext>
      </extLst>
    </bk>
    <bk>
      <extLst>
        <ext uri="{3e2802c4-a4d2-4d8b-9148-e3be6c30e623}">
          <xlrd:rvb i="4580"/>
        </ext>
      </extLst>
    </bk>
    <bk>
      <extLst>
        <ext uri="{3e2802c4-a4d2-4d8b-9148-e3be6c30e623}">
          <xlrd:rvb i="4581"/>
        </ext>
      </extLst>
    </bk>
    <bk>
      <extLst>
        <ext uri="{3e2802c4-a4d2-4d8b-9148-e3be6c30e623}">
          <xlrd:rvb i="4582"/>
        </ext>
      </extLst>
    </bk>
    <bk>
      <extLst>
        <ext uri="{3e2802c4-a4d2-4d8b-9148-e3be6c30e623}">
          <xlrd:rvb i="4583"/>
        </ext>
      </extLst>
    </bk>
    <bk>
      <extLst>
        <ext uri="{3e2802c4-a4d2-4d8b-9148-e3be6c30e623}">
          <xlrd:rvb i="4584"/>
        </ext>
      </extLst>
    </bk>
    <bk>
      <extLst>
        <ext uri="{3e2802c4-a4d2-4d8b-9148-e3be6c30e623}">
          <xlrd:rvb i="4585"/>
        </ext>
      </extLst>
    </bk>
    <bk>
      <extLst>
        <ext uri="{3e2802c4-a4d2-4d8b-9148-e3be6c30e623}">
          <xlrd:rvb i="4586"/>
        </ext>
      </extLst>
    </bk>
    <bk>
      <extLst>
        <ext uri="{3e2802c4-a4d2-4d8b-9148-e3be6c30e623}">
          <xlrd:rvb i="4587"/>
        </ext>
      </extLst>
    </bk>
    <bk>
      <extLst>
        <ext uri="{3e2802c4-a4d2-4d8b-9148-e3be6c30e623}">
          <xlrd:rvb i="4588"/>
        </ext>
      </extLst>
    </bk>
    <bk>
      <extLst>
        <ext uri="{3e2802c4-a4d2-4d8b-9148-e3be6c30e623}">
          <xlrd:rvb i="4589"/>
        </ext>
      </extLst>
    </bk>
    <bk>
      <extLst>
        <ext uri="{3e2802c4-a4d2-4d8b-9148-e3be6c30e623}">
          <xlrd:rvb i="4590"/>
        </ext>
      </extLst>
    </bk>
    <bk>
      <extLst>
        <ext uri="{3e2802c4-a4d2-4d8b-9148-e3be6c30e623}">
          <xlrd:rvb i="4591"/>
        </ext>
      </extLst>
    </bk>
    <bk>
      <extLst>
        <ext uri="{3e2802c4-a4d2-4d8b-9148-e3be6c30e623}">
          <xlrd:rvb i="4592"/>
        </ext>
      </extLst>
    </bk>
    <bk>
      <extLst>
        <ext uri="{3e2802c4-a4d2-4d8b-9148-e3be6c30e623}">
          <xlrd:rvb i="4593"/>
        </ext>
      </extLst>
    </bk>
    <bk>
      <extLst>
        <ext uri="{3e2802c4-a4d2-4d8b-9148-e3be6c30e623}">
          <xlrd:rvb i="4594"/>
        </ext>
      </extLst>
    </bk>
    <bk>
      <extLst>
        <ext uri="{3e2802c4-a4d2-4d8b-9148-e3be6c30e623}">
          <xlrd:rvb i="4595"/>
        </ext>
      </extLst>
    </bk>
    <bk>
      <extLst>
        <ext uri="{3e2802c4-a4d2-4d8b-9148-e3be6c30e623}">
          <xlrd:rvb i="4596"/>
        </ext>
      </extLst>
    </bk>
    <bk>
      <extLst>
        <ext uri="{3e2802c4-a4d2-4d8b-9148-e3be6c30e623}">
          <xlrd:rvb i="4597"/>
        </ext>
      </extLst>
    </bk>
    <bk>
      <extLst>
        <ext uri="{3e2802c4-a4d2-4d8b-9148-e3be6c30e623}">
          <xlrd:rvb i="4598"/>
        </ext>
      </extLst>
    </bk>
    <bk>
      <extLst>
        <ext uri="{3e2802c4-a4d2-4d8b-9148-e3be6c30e623}">
          <xlrd:rvb i="4599"/>
        </ext>
      </extLst>
    </bk>
    <bk>
      <extLst>
        <ext uri="{3e2802c4-a4d2-4d8b-9148-e3be6c30e623}">
          <xlrd:rvb i="4600"/>
        </ext>
      </extLst>
    </bk>
    <bk>
      <extLst>
        <ext uri="{3e2802c4-a4d2-4d8b-9148-e3be6c30e623}">
          <xlrd:rvb i="4601"/>
        </ext>
      </extLst>
    </bk>
    <bk>
      <extLst>
        <ext uri="{3e2802c4-a4d2-4d8b-9148-e3be6c30e623}">
          <xlrd:rvb i="4602"/>
        </ext>
      </extLst>
    </bk>
    <bk>
      <extLst>
        <ext uri="{3e2802c4-a4d2-4d8b-9148-e3be6c30e623}">
          <xlrd:rvb i="4603"/>
        </ext>
      </extLst>
    </bk>
    <bk>
      <extLst>
        <ext uri="{3e2802c4-a4d2-4d8b-9148-e3be6c30e623}">
          <xlrd:rvb i="4604"/>
        </ext>
      </extLst>
    </bk>
    <bk>
      <extLst>
        <ext uri="{3e2802c4-a4d2-4d8b-9148-e3be6c30e623}">
          <xlrd:rvb i="4605"/>
        </ext>
      </extLst>
    </bk>
    <bk>
      <extLst>
        <ext uri="{3e2802c4-a4d2-4d8b-9148-e3be6c30e623}">
          <xlrd:rvb i="4606"/>
        </ext>
      </extLst>
    </bk>
    <bk>
      <extLst>
        <ext uri="{3e2802c4-a4d2-4d8b-9148-e3be6c30e623}">
          <xlrd:rvb i="4607"/>
        </ext>
      </extLst>
    </bk>
    <bk>
      <extLst>
        <ext uri="{3e2802c4-a4d2-4d8b-9148-e3be6c30e623}">
          <xlrd:rvb i="4608"/>
        </ext>
      </extLst>
    </bk>
    <bk>
      <extLst>
        <ext uri="{3e2802c4-a4d2-4d8b-9148-e3be6c30e623}">
          <xlrd:rvb i="4609"/>
        </ext>
      </extLst>
    </bk>
    <bk>
      <extLst>
        <ext uri="{3e2802c4-a4d2-4d8b-9148-e3be6c30e623}">
          <xlrd:rvb i="4610"/>
        </ext>
      </extLst>
    </bk>
    <bk>
      <extLst>
        <ext uri="{3e2802c4-a4d2-4d8b-9148-e3be6c30e623}">
          <xlrd:rvb i="4611"/>
        </ext>
      </extLst>
    </bk>
    <bk>
      <extLst>
        <ext uri="{3e2802c4-a4d2-4d8b-9148-e3be6c30e623}">
          <xlrd:rvb i="4612"/>
        </ext>
      </extLst>
    </bk>
    <bk>
      <extLst>
        <ext uri="{3e2802c4-a4d2-4d8b-9148-e3be6c30e623}">
          <xlrd:rvb i="4613"/>
        </ext>
      </extLst>
    </bk>
    <bk>
      <extLst>
        <ext uri="{3e2802c4-a4d2-4d8b-9148-e3be6c30e623}">
          <xlrd:rvb i="4614"/>
        </ext>
      </extLst>
    </bk>
    <bk>
      <extLst>
        <ext uri="{3e2802c4-a4d2-4d8b-9148-e3be6c30e623}">
          <xlrd:rvb i="4615"/>
        </ext>
      </extLst>
    </bk>
    <bk>
      <extLst>
        <ext uri="{3e2802c4-a4d2-4d8b-9148-e3be6c30e623}">
          <xlrd:rvb i="4616"/>
        </ext>
      </extLst>
    </bk>
    <bk>
      <extLst>
        <ext uri="{3e2802c4-a4d2-4d8b-9148-e3be6c30e623}">
          <xlrd:rvb i="4617"/>
        </ext>
      </extLst>
    </bk>
    <bk>
      <extLst>
        <ext uri="{3e2802c4-a4d2-4d8b-9148-e3be6c30e623}">
          <xlrd:rvb i="4618"/>
        </ext>
      </extLst>
    </bk>
    <bk>
      <extLst>
        <ext uri="{3e2802c4-a4d2-4d8b-9148-e3be6c30e623}">
          <xlrd:rvb i="4619"/>
        </ext>
      </extLst>
    </bk>
    <bk>
      <extLst>
        <ext uri="{3e2802c4-a4d2-4d8b-9148-e3be6c30e623}">
          <xlrd:rvb i="4620"/>
        </ext>
      </extLst>
    </bk>
    <bk>
      <extLst>
        <ext uri="{3e2802c4-a4d2-4d8b-9148-e3be6c30e623}">
          <xlrd:rvb i="4621"/>
        </ext>
      </extLst>
    </bk>
    <bk>
      <extLst>
        <ext uri="{3e2802c4-a4d2-4d8b-9148-e3be6c30e623}">
          <xlrd:rvb i="4622"/>
        </ext>
      </extLst>
    </bk>
    <bk>
      <extLst>
        <ext uri="{3e2802c4-a4d2-4d8b-9148-e3be6c30e623}">
          <xlrd:rvb i="4623"/>
        </ext>
      </extLst>
    </bk>
    <bk>
      <extLst>
        <ext uri="{3e2802c4-a4d2-4d8b-9148-e3be6c30e623}">
          <xlrd:rvb i="4624"/>
        </ext>
      </extLst>
    </bk>
    <bk>
      <extLst>
        <ext uri="{3e2802c4-a4d2-4d8b-9148-e3be6c30e623}">
          <xlrd:rvb i="4625"/>
        </ext>
      </extLst>
    </bk>
    <bk>
      <extLst>
        <ext uri="{3e2802c4-a4d2-4d8b-9148-e3be6c30e623}">
          <xlrd:rvb i="4626"/>
        </ext>
      </extLst>
    </bk>
    <bk>
      <extLst>
        <ext uri="{3e2802c4-a4d2-4d8b-9148-e3be6c30e623}">
          <xlrd:rvb i="4627"/>
        </ext>
      </extLst>
    </bk>
    <bk>
      <extLst>
        <ext uri="{3e2802c4-a4d2-4d8b-9148-e3be6c30e623}">
          <xlrd:rvb i="4628"/>
        </ext>
      </extLst>
    </bk>
    <bk>
      <extLst>
        <ext uri="{3e2802c4-a4d2-4d8b-9148-e3be6c30e623}">
          <xlrd:rvb i="4629"/>
        </ext>
      </extLst>
    </bk>
    <bk>
      <extLst>
        <ext uri="{3e2802c4-a4d2-4d8b-9148-e3be6c30e623}">
          <xlrd:rvb i="4630"/>
        </ext>
      </extLst>
    </bk>
    <bk>
      <extLst>
        <ext uri="{3e2802c4-a4d2-4d8b-9148-e3be6c30e623}">
          <xlrd:rvb i="4631"/>
        </ext>
      </extLst>
    </bk>
    <bk>
      <extLst>
        <ext uri="{3e2802c4-a4d2-4d8b-9148-e3be6c30e623}">
          <xlrd:rvb i="4632"/>
        </ext>
      </extLst>
    </bk>
    <bk>
      <extLst>
        <ext uri="{3e2802c4-a4d2-4d8b-9148-e3be6c30e623}">
          <xlrd:rvb i="4633"/>
        </ext>
      </extLst>
    </bk>
    <bk>
      <extLst>
        <ext uri="{3e2802c4-a4d2-4d8b-9148-e3be6c30e623}">
          <xlrd:rvb i="4634"/>
        </ext>
      </extLst>
    </bk>
    <bk>
      <extLst>
        <ext uri="{3e2802c4-a4d2-4d8b-9148-e3be6c30e623}">
          <xlrd:rvb i="4635"/>
        </ext>
      </extLst>
    </bk>
    <bk>
      <extLst>
        <ext uri="{3e2802c4-a4d2-4d8b-9148-e3be6c30e623}">
          <xlrd:rvb i="4636"/>
        </ext>
      </extLst>
    </bk>
    <bk>
      <extLst>
        <ext uri="{3e2802c4-a4d2-4d8b-9148-e3be6c30e623}">
          <xlrd:rvb i="4637"/>
        </ext>
      </extLst>
    </bk>
    <bk>
      <extLst>
        <ext uri="{3e2802c4-a4d2-4d8b-9148-e3be6c30e623}">
          <xlrd:rvb i="4638"/>
        </ext>
      </extLst>
    </bk>
    <bk>
      <extLst>
        <ext uri="{3e2802c4-a4d2-4d8b-9148-e3be6c30e623}">
          <xlrd:rvb i="4639"/>
        </ext>
      </extLst>
    </bk>
    <bk>
      <extLst>
        <ext uri="{3e2802c4-a4d2-4d8b-9148-e3be6c30e623}">
          <xlrd:rvb i="4640"/>
        </ext>
      </extLst>
    </bk>
    <bk>
      <extLst>
        <ext uri="{3e2802c4-a4d2-4d8b-9148-e3be6c30e623}">
          <xlrd:rvb i="4641"/>
        </ext>
      </extLst>
    </bk>
    <bk>
      <extLst>
        <ext uri="{3e2802c4-a4d2-4d8b-9148-e3be6c30e623}">
          <xlrd:rvb i="4642"/>
        </ext>
      </extLst>
    </bk>
    <bk>
      <extLst>
        <ext uri="{3e2802c4-a4d2-4d8b-9148-e3be6c30e623}">
          <xlrd:rvb i="4643"/>
        </ext>
      </extLst>
    </bk>
    <bk>
      <extLst>
        <ext uri="{3e2802c4-a4d2-4d8b-9148-e3be6c30e623}">
          <xlrd:rvb i="4644"/>
        </ext>
      </extLst>
    </bk>
    <bk>
      <extLst>
        <ext uri="{3e2802c4-a4d2-4d8b-9148-e3be6c30e623}">
          <xlrd:rvb i="4645"/>
        </ext>
      </extLst>
    </bk>
    <bk>
      <extLst>
        <ext uri="{3e2802c4-a4d2-4d8b-9148-e3be6c30e623}">
          <xlrd:rvb i="4646"/>
        </ext>
      </extLst>
    </bk>
    <bk>
      <extLst>
        <ext uri="{3e2802c4-a4d2-4d8b-9148-e3be6c30e623}">
          <xlrd:rvb i="4647"/>
        </ext>
      </extLst>
    </bk>
    <bk>
      <extLst>
        <ext uri="{3e2802c4-a4d2-4d8b-9148-e3be6c30e623}">
          <xlrd:rvb i="4648"/>
        </ext>
      </extLst>
    </bk>
    <bk>
      <extLst>
        <ext uri="{3e2802c4-a4d2-4d8b-9148-e3be6c30e623}">
          <xlrd:rvb i="4649"/>
        </ext>
      </extLst>
    </bk>
    <bk>
      <extLst>
        <ext uri="{3e2802c4-a4d2-4d8b-9148-e3be6c30e623}">
          <xlrd:rvb i="4650"/>
        </ext>
      </extLst>
    </bk>
    <bk>
      <extLst>
        <ext uri="{3e2802c4-a4d2-4d8b-9148-e3be6c30e623}">
          <xlrd:rvb i="4651"/>
        </ext>
      </extLst>
    </bk>
    <bk>
      <extLst>
        <ext uri="{3e2802c4-a4d2-4d8b-9148-e3be6c30e623}">
          <xlrd:rvb i="4652"/>
        </ext>
      </extLst>
    </bk>
    <bk>
      <extLst>
        <ext uri="{3e2802c4-a4d2-4d8b-9148-e3be6c30e623}">
          <xlrd:rvb i="4653"/>
        </ext>
      </extLst>
    </bk>
    <bk>
      <extLst>
        <ext uri="{3e2802c4-a4d2-4d8b-9148-e3be6c30e623}">
          <xlrd:rvb i="4654"/>
        </ext>
      </extLst>
    </bk>
    <bk>
      <extLst>
        <ext uri="{3e2802c4-a4d2-4d8b-9148-e3be6c30e623}">
          <xlrd:rvb i="4655"/>
        </ext>
      </extLst>
    </bk>
    <bk>
      <extLst>
        <ext uri="{3e2802c4-a4d2-4d8b-9148-e3be6c30e623}">
          <xlrd:rvb i="4656"/>
        </ext>
      </extLst>
    </bk>
    <bk>
      <extLst>
        <ext uri="{3e2802c4-a4d2-4d8b-9148-e3be6c30e623}">
          <xlrd:rvb i="4657"/>
        </ext>
      </extLst>
    </bk>
    <bk>
      <extLst>
        <ext uri="{3e2802c4-a4d2-4d8b-9148-e3be6c30e623}">
          <xlrd:rvb i="4658"/>
        </ext>
      </extLst>
    </bk>
    <bk>
      <extLst>
        <ext uri="{3e2802c4-a4d2-4d8b-9148-e3be6c30e623}">
          <xlrd:rvb i="4659"/>
        </ext>
      </extLst>
    </bk>
    <bk>
      <extLst>
        <ext uri="{3e2802c4-a4d2-4d8b-9148-e3be6c30e623}">
          <xlrd:rvb i="4660"/>
        </ext>
      </extLst>
    </bk>
    <bk>
      <extLst>
        <ext uri="{3e2802c4-a4d2-4d8b-9148-e3be6c30e623}">
          <xlrd:rvb i="4661"/>
        </ext>
      </extLst>
    </bk>
    <bk>
      <extLst>
        <ext uri="{3e2802c4-a4d2-4d8b-9148-e3be6c30e623}">
          <xlrd:rvb i="4662"/>
        </ext>
      </extLst>
    </bk>
    <bk>
      <extLst>
        <ext uri="{3e2802c4-a4d2-4d8b-9148-e3be6c30e623}">
          <xlrd:rvb i="4663"/>
        </ext>
      </extLst>
    </bk>
    <bk>
      <extLst>
        <ext uri="{3e2802c4-a4d2-4d8b-9148-e3be6c30e623}">
          <xlrd:rvb i="4664"/>
        </ext>
      </extLst>
    </bk>
    <bk>
      <extLst>
        <ext uri="{3e2802c4-a4d2-4d8b-9148-e3be6c30e623}">
          <xlrd:rvb i="4665"/>
        </ext>
      </extLst>
    </bk>
    <bk>
      <extLst>
        <ext uri="{3e2802c4-a4d2-4d8b-9148-e3be6c30e623}">
          <xlrd:rvb i="4666"/>
        </ext>
      </extLst>
    </bk>
    <bk>
      <extLst>
        <ext uri="{3e2802c4-a4d2-4d8b-9148-e3be6c30e623}">
          <xlrd:rvb i="4667"/>
        </ext>
      </extLst>
    </bk>
    <bk>
      <extLst>
        <ext uri="{3e2802c4-a4d2-4d8b-9148-e3be6c30e623}">
          <xlrd:rvb i="4668"/>
        </ext>
      </extLst>
    </bk>
    <bk>
      <extLst>
        <ext uri="{3e2802c4-a4d2-4d8b-9148-e3be6c30e623}">
          <xlrd:rvb i="4669"/>
        </ext>
      </extLst>
    </bk>
    <bk>
      <extLst>
        <ext uri="{3e2802c4-a4d2-4d8b-9148-e3be6c30e623}">
          <xlrd:rvb i="4670"/>
        </ext>
      </extLst>
    </bk>
    <bk>
      <extLst>
        <ext uri="{3e2802c4-a4d2-4d8b-9148-e3be6c30e623}">
          <xlrd:rvb i="4671"/>
        </ext>
      </extLst>
    </bk>
    <bk>
      <extLst>
        <ext uri="{3e2802c4-a4d2-4d8b-9148-e3be6c30e623}">
          <xlrd:rvb i="4672"/>
        </ext>
      </extLst>
    </bk>
    <bk>
      <extLst>
        <ext uri="{3e2802c4-a4d2-4d8b-9148-e3be6c30e623}">
          <xlrd:rvb i="4673"/>
        </ext>
      </extLst>
    </bk>
    <bk>
      <extLst>
        <ext uri="{3e2802c4-a4d2-4d8b-9148-e3be6c30e623}">
          <xlrd:rvb i="4674"/>
        </ext>
      </extLst>
    </bk>
    <bk>
      <extLst>
        <ext uri="{3e2802c4-a4d2-4d8b-9148-e3be6c30e623}">
          <xlrd:rvb i="4675"/>
        </ext>
      </extLst>
    </bk>
    <bk>
      <extLst>
        <ext uri="{3e2802c4-a4d2-4d8b-9148-e3be6c30e623}">
          <xlrd:rvb i="4676"/>
        </ext>
      </extLst>
    </bk>
    <bk>
      <extLst>
        <ext uri="{3e2802c4-a4d2-4d8b-9148-e3be6c30e623}">
          <xlrd:rvb i="4677"/>
        </ext>
      </extLst>
    </bk>
    <bk>
      <extLst>
        <ext uri="{3e2802c4-a4d2-4d8b-9148-e3be6c30e623}">
          <xlrd:rvb i="4678"/>
        </ext>
      </extLst>
    </bk>
    <bk>
      <extLst>
        <ext uri="{3e2802c4-a4d2-4d8b-9148-e3be6c30e623}">
          <xlrd:rvb i="4679"/>
        </ext>
      </extLst>
    </bk>
    <bk>
      <extLst>
        <ext uri="{3e2802c4-a4d2-4d8b-9148-e3be6c30e623}">
          <xlrd:rvb i="4680"/>
        </ext>
      </extLst>
    </bk>
    <bk>
      <extLst>
        <ext uri="{3e2802c4-a4d2-4d8b-9148-e3be6c30e623}">
          <xlrd:rvb i="4681"/>
        </ext>
      </extLst>
    </bk>
    <bk>
      <extLst>
        <ext uri="{3e2802c4-a4d2-4d8b-9148-e3be6c30e623}">
          <xlrd:rvb i="4682"/>
        </ext>
      </extLst>
    </bk>
    <bk>
      <extLst>
        <ext uri="{3e2802c4-a4d2-4d8b-9148-e3be6c30e623}">
          <xlrd:rvb i="4683"/>
        </ext>
      </extLst>
    </bk>
    <bk>
      <extLst>
        <ext uri="{3e2802c4-a4d2-4d8b-9148-e3be6c30e623}">
          <xlrd:rvb i="4684"/>
        </ext>
      </extLst>
    </bk>
    <bk>
      <extLst>
        <ext uri="{3e2802c4-a4d2-4d8b-9148-e3be6c30e623}">
          <xlrd:rvb i="4685"/>
        </ext>
      </extLst>
    </bk>
    <bk>
      <extLst>
        <ext uri="{3e2802c4-a4d2-4d8b-9148-e3be6c30e623}">
          <xlrd:rvb i="4686"/>
        </ext>
      </extLst>
    </bk>
    <bk>
      <extLst>
        <ext uri="{3e2802c4-a4d2-4d8b-9148-e3be6c30e623}">
          <xlrd:rvb i="4687"/>
        </ext>
      </extLst>
    </bk>
    <bk>
      <extLst>
        <ext uri="{3e2802c4-a4d2-4d8b-9148-e3be6c30e623}">
          <xlrd:rvb i="4688"/>
        </ext>
      </extLst>
    </bk>
    <bk>
      <extLst>
        <ext uri="{3e2802c4-a4d2-4d8b-9148-e3be6c30e623}">
          <xlrd:rvb i="4689"/>
        </ext>
      </extLst>
    </bk>
    <bk>
      <extLst>
        <ext uri="{3e2802c4-a4d2-4d8b-9148-e3be6c30e623}">
          <xlrd:rvb i="4690"/>
        </ext>
      </extLst>
    </bk>
    <bk>
      <extLst>
        <ext uri="{3e2802c4-a4d2-4d8b-9148-e3be6c30e623}">
          <xlrd:rvb i="4691"/>
        </ext>
      </extLst>
    </bk>
    <bk>
      <extLst>
        <ext uri="{3e2802c4-a4d2-4d8b-9148-e3be6c30e623}">
          <xlrd:rvb i="4692"/>
        </ext>
      </extLst>
    </bk>
    <bk>
      <extLst>
        <ext uri="{3e2802c4-a4d2-4d8b-9148-e3be6c30e623}">
          <xlrd:rvb i="4693"/>
        </ext>
      </extLst>
    </bk>
    <bk>
      <extLst>
        <ext uri="{3e2802c4-a4d2-4d8b-9148-e3be6c30e623}">
          <xlrd:rvb i="4694"/>
        </ext>
      </extLst>
    </bk>
    <bk>
      <extLst>
        <ext uri="{3e2802c4-a4d2-4d8b-9148-e3be6c30e623}">
          <xlrd:rvb i="4695"/>
        </ext>
      </extLst>
    </bk>
    <bk>
      <extLst>
        <ext uri="{3e2802c4-a4d2-4d8b-9148-e3be6c30e623}">
          <xlrd:rvb i="4696"/>
        </ext>
      </extLst>
    </bk>
    <bk>
      <extLst>
        <ext uri="{3e2802c4-a4d2-4d8b-9148-e3be6c30e623}">
          <xlrd:rvb i="4697"/>
        </ext>
      </extLst>
    </bk>
    <bk>
      <extLst>
        <ext uri="{3e2802c4-a4d2-4d8b-9148-e3be6c30e623}">
          <xlrd:rvb i="4698"/>
        </ext>
      </extLst>
    </bk>
    <bk>
      <extLst>
        <ext uri="{3e2802c4-a4d2-4d8b-9148-e3be6c30e623}">
          <xlrd:rvb i="4699"/>
        </ext>
      </extLst>
    </bk>
    <bk>
      <extLst>
        <ext uri="{3e2802c4-a4d2-4d8b-9148-e3be6c30e623}">
          <xlrd:rvb i="4700"/>
        </ext>
      </extLst>
    </bk>
    <bk>
      <extLst>
        <ext uri="{3e2802c4-a4d2-4d8b-9148-e3be6c30e623}">
          <xlrd:rvb i="4701"/>
        </ext>
      </extLst>
    </bk>
    <bk>
      <extLst>
        <ext uri="{3e2802c4-a4d2-4d8b-9148-e3be6c30e623}">
          <xlrd:rvb i="4702"/>
        </ext>
      </extLst>
    </bk>
    <bk>
      <extLst>
        <ext uri="{3e2802c4-a4d2-4d8b-9148-e3be6c30e623}">
          <xlrd:rvb i="4703"/>
        </ext>
      </extLst>
    </bk>
    <bk>
      <extLst>
        <ext uri="{3e2802c4-a4d2-4d8b-9148-e3be6c30e623}">
          <xlrd:rvb i="4704"/>
        </ext>
      </extLst>
    </bk>
    <bk>
      <extLst>
        <ext uri="{3e2802c4-a4d2-4d8b-9148-e3be6c30e623}">
          <xlrd:rvb i="4705"/>
        </ext>
      </extLst>
    </bk>
    <bk>
      <extLst>
        <ext uri="{3e2802c4-a4d2-4d8b-9148-e3be6c30e623}">
          <xlrd:rvb i="4706"/>
        </ext>
      </extLst>
    </bk>
    <bk>
      <extLst>
        <ext uri="{3e2802c4-a4d2-4d8b-9148-e3be6c30e623}">
          <xlrd:rvb i="4707"/>
        </ext>
      </extLst>
    </bk>
    <bk>
      <extLst>
        <ext uri="{3e2802c4-a4d2-4d8b-9148-e3be6c30e623}">
          <xlrd:rvb i="4708"/>
        </ext>
      </extLst>
    </bk>
    <bk>
      <extLst>
        <ext uri="{3e2802c4-a4d2-4d8b-9148-e3be6c30e623}">
          <xlrd:rvb i="4709"/>
        </ext>
      </extLst>
    </bk>
    <bk>
      <extLst>
        <ext uri="{3e2802c4-a4d2-4d8b-9148-e3be6c30e623}">
          <xlrd:rvb i="4710"/>
        </ext>
      </extLst>
    </bk>
    <bk>
      <extLst>
        <ext uri="{3e2802c4-a4d2-4d8b-9148-e3be6c30e623}">
          <xlrd:rvb i="4711"/>
        </ext>
      </extLst>
    </bk>
    <bk>
      <extLst>
        <ext uri="{3e2802c4-a4d2-4d8b-9148-e3be6c30e623}">
          <xlrd:rvb i="4712"/>
        </ext>
      </extLst>
    </bk>
    <bk>
      <extLst>
        <ext uri="{3e2802c4-a4d2-4d8b-9148-e3be6c30e623}">
          <xlrd:rvb i="4713"/>
        </ext>
      </extLst>
    </bk>
    <bk>
      <extLst>
        <ext uri="{3e2802c4-a4d2-4d8b-9148-e3be6c30e623}">
          <xlrd:rvb i="4714"/>
        </ext>
      </extLst>
    </bk>
    <bk>
      <extLst>
        <ext uri="{3e2802c4-a4d2-4d8b-9148-e3be6c30e623}">
          <xlrd:rvb i="4715"/>
        </ext>
      </extLst>
    </bk>
    <bk>
      <extLst>
        <ext uri="{3e2802c4-a4d2-4d8b-9148-e3be6c30e623}">
          <xlrd:rvb i="4716"/>
        </ext>
      </extLst>
    </bk>
    <bk>
      <extLst>
        <ext uri="{3e2802c4-a4d2-4d8b-9148-e3be6c30e623}">
          <xlrd:rvb i="4717"/>
        </ext>
      </extLst>
    </bk>
    <bk>
      <extLst>
        <ext uri="{3e2802c4-a4d2-4d8b-9148-e3be6c30e623}">
          <xlrd:rvb i="4718"/>
        </ext>
      </extLst>
    </bk>
    <bk>
      <extLst>
        <ext uri="{3e2802c4-a4d2-4d8b-9148-e3be6c30e623}">
          <xlrd:rvb i="4719"/>
        </ext>
      </extLst>
    </bk>
    <bk>
      <extLst>
        <ext uri="{3e2802c4-a4d2-4d8b-9148-e3be6c30e623}">
          <xlrd:rvb i="4720"/>
        </ext>
      </extLst>
    </bk>
    <bk>
      <extLst>
        <ext uri="{3e2802c4-a4d2-4d8b-9148-e3be6c30e623}">
          <xlrd:rvb i="4721"/>
        </ext>
      </extLst>
    </bk>
    <bk>
      <extLst>
        <ext uri="{3e2802c4-a4d2-4d8b-9148-e3be6c30e623}">
          <xlrd:rvb i="4722"/>
        </ext>
      </extLst>
    </bk>
    <bk>
      <extLst>
        <ext uri="{3e2802c4-a4d2-4d8b-9148-e3be6c30e623}">
          <xlrd:rvb i="4723"/>
        </ext>
      </extLst>
    </bk>
    <bk>
      <extLst>
        <ext uri="{3e2802c4-a4d2-4d8b-9148-e3be6c30e623}">
          <xlrd:rvb i="4724"/>
        </ext>
      </extLst>
    </bk>
    <bk>
      <extLst>
        <ext uri="{3e2802c4-a4d2-4d8b-9148-e3be6c30e623}">
          <xlrd:rvb i="4725"/>
        </ext>
      </extLst>
    </bk>
    <bk>
      <extLst>
        <ext uri="{3e2802c4-a4d2-4d8b-9148-e3be6c30e623}">
          <xlrd:rvb i="4726"/>
        </ext>
      </extLst>
    </bk>
    <bk>
      <extLst>
        <ext uri="{3e2802c4-a4d2-4d8b-9148-e3be6c30e623}">
          <xlrd:rvb i="4727"/>
        </ext>
      </extLst>
    </bk>
    <bk>
      <extLst>
        <ext uri="{3e2802c4-a4d2-4d8b-9148-e3be6c30e623}">
          <xlrd:rvb i="4728"/>
        </ext>
      </extLst>
    </bk>
    <bk>
      <extLst>
        <ext uri="{3e2802c4-a4d2-4d8b-9148-e3be6c30e623}">
          <xlrd:rvb i="4729"/>
        </ext>
      </extLst>
    </bk>
    <bk>
      <extLst>
        <ext uri="{3e2802c4-a4d2-4d8b-9148-e3be6c30e623}">
          <xlrd:rvb i="4730"/>
        </ext>
      </extLst>
    </bk>
    <bk>
      <extLst>
        <ext uri="{3e2802c4-a4d2-4d8b-9148-e3be6c30e623}">
          <xlrd:rvb i="4731"/>
        </ext>
      </extLst>
    </bk>
    <bk>
      <extLst>
        <ext uri="{3e2802c4-a4d2-4d8b-9148-e3be6c30e623}">
          <xlrd:rvb i="4732"/>
        </ext>
      </extLst>
    </bk>
    <bk>
      <extLst>
        <ext uri="{3e2802c4-a4d2-4d8b-9148-e3be6c30e623}">
          <xlrd:rvb i="4733"/>
        </ext>
      </extLst>
    </bk>
    <bk>
      <extLst>
        <ext uri="{3e2802c4-a4d2-4d8b-9148-e3be6c30e623}">
          <xlrd:rvb i="4734"/>
        </ext>
      </extLst>
    </bk>
    <bk>
      <extLst>
        <ext uri="{3e2802c4-a4d2-4d8b-9148-e3be6c30e623}">
          <xlrd:rvb i="4735"/>
        </ext>
      </extLst>
    </bk>
    <bk>
      <extLst>
        <ext uri="{3e2802c4-a4d2-4d8b-9148-e3be6c30e623}">
          <xlrd:rvb i="4736"/>
        </ext>
      </extLst>
    </bk>
    <bk>
      <extLst>
        <ext uri="{3e2802c4-a4d2-4d8b-9148-e3be6c30e623}">
          <xlrd:rvb i="4737"/>
        </ext>
      </extLst>
    </bk>
    <bk>
      <extLst>
        <ext uri="{3e2802c4-a4d2-4d8b-9148-e3be6c30e623}">
          <xlrd:rvb i="4738"/>
        </ext>
      </extLst>
    </bk>
    <bk>
      <extLst>
        <ext uri="{3e2802c4-a4d2-4d8b-9148-e3be6c30e623}">
          <xlrd:rvb i="4739"/>
        </ext>
      </extLst>
    </bk>
    <bk>
      <extLst>
        <ext uri="{3e2802c4-a4d2-4d8b-9148-e3be6c30e623}">
          <xlrd:rvb i="4740"/>
        </ext>
      </extLst>
    </bk>
    <bk>
      <extLst>
        <ext uri="{3e2802c4-a4d2-4d8b-9148-e3be6c30e623}">
          <xlrd:rvb i="4741"/>
        </ext>
      </extLst>
    </bk>
    <bk>
      <extLst>
        <ext uri="{3e2802c4-a4d2-4d8b-9148-e3be6c30e623}">
          <xlrd:rvb i="4742"/>
        </ext>
      </extLst>
    </bk>
    <bk>
      <extLst>
        <ext uri="{3e2802c4-a4d2-4d8b-9148-e3be6c30e623}">
          <xlrd:rvb i="4743"/>
        </ext>
      </extLst>
    </bk>
    <bk>
      <extLst>
        <ext uri="{3e2802c4-a4d2-4d8b-9148-e3be6c30e623}">
          <xlrd:rvb i="4744"/>
        </ext>
      </extLst>
    </bk>
    <bk>
      <extLst>
        <ext uri="{3e2802c4-a4d2-4d8b-9148-e3be6c30e623}">
          <xlrd:rvb i="4745"/>
        </ext>
      </extLst>
    </bk>
    <bk>
      <extLst>
        <ext uri="{3e2802c4-a4d2-4d8b-9148-e3be6c30e623}">
          <xlrd:rvb i="4746"/>
        </ext>
      </extLst>
    </bk>
    <bk>
      <extLst>
        <ext uri="{3e2802c4-a4d2-4d8b-9148-e3be6c30e623}">
          <xlrd:rvb i="4747"/>
        </ext>
      </extLst>
    </bk>
    <bk>
      <extLst>
        <ext uri="{3e2802c4-a4d2-4d8b-9148-e3be6c30e623}">
          <xlrd:rvb i="4748"/>
        </ext>
      </extLst>
    </bk>
    <bk>
      <extLst>
        <ext uri="{3e2802c4-a4d2-4d8b-9148-e3be6c30e623}">
          <xlrd:rvb i="4749"/>
        </ext>
      </extLst>
    </bk>
    <bk>
      <extLst>
        <ext uri="{3e2802c4-a4d2-4d8b-9148-e3be6c30e623}">
          <xlrd:rvb i="4750"/>
        </ext>
      </extLst>
    </bk>
    <bk>
      <extLst>
        <ext uri="{3e2802c4-a4d2-4d8b-9148-e3be6c30e623}">
          <xlrd:rvb i="4751"/>
        </ext>
      </extLst>
    </bk>
    <bk>
      <extLst>
        <ext uri="{3e2802c4-a4d2-4d8b-9148-e3be6c30e623}">
          <xlrd:rvb i="4752"/>
        </ext>
      </extLst>
    </bk>
    <bk>
      <extLst>
        <ext uri="{3e2802c4-a4d2-4d8b-9148-e3be6c30e623}">
          <xlrd:rvb i="4753"/>
        </ext>
      </extLst>
    </bk>
    <bk>
      <extLst>
        <ext uri="{3e2802c4-a4d2-4d8b-9148-e3be6c30e623}">
          <xlrd:rvb i="4754"/>
        </ext>
      </extLst>
    </bk>
    <bk>
      <extLst>
        <ext uri="{3e2802c4-a4d2-4d8b-9148-e3be6c30e623}">
          <xlrd:rvb i="4755"/>
        </ext>
      </extLst>
    </bk>
    <bk>
      <extLst>
        <ext uri="{3e2802c4-a4d2-4d8b-9148-e3be6c30e623}">
          <xlrd:rvb i="4756"/>
        </ext>
      </extLst>
    </bk>
    <bk>
      <extLst>
        <ext uri="{3e2802c4-a4d2-4d8b-9148-e3be6c30e623}">
          <xlrd:rvb i="4757"/>
        </ext>
      </extLst>
    </bk>
    <bk>
      <extLst>
        <ext uri="{3e2802c4-a4d2-4d8b-9148-e3be6c30e623}">
          <xlrd:rvb i="4758"/>
        </ext>
      </extLst>
    </bk>
    <bk>
      <extLst>
        <ext uri="{3e2802c4-a4d2-4d8b-9148-e3be6c30e623}">
          <xlrd:rvb i="4759"/>
        </ext>
      </extLst>
    </bk>
    <bk>
      <extLst>
        <ext uri="{3e2802c4-a4d2-4d8b-9148-e3be6c30e623}">
          <xlrd:rvb i="4760"/>
        </ext>
      </extLst>
    </bk>
    <bk>
      <extLst>
        <ext uri="{3e2802c4-a4d2-4d8b-9148-e3be6c30e623}">
          <xlrd:rvb i="4761"/>
        </ext>
      </extLst>
    </bk>
    <bk>
      <extLst>
        <ext uri="{3e2802c4-a4d2-4d8b-9148-e3be6c30e623}">
          <xlrd:rvb i="4762"/>
        </ext>
      </extLst>
    </bk>
    <bk>
      <extLst>
        <ext uri="{3e2802c4-a4d2-4d8b-9148-e3be6c30e623}">
          <xlrd:rvb i="4763"/>
        </ext>
      </extLst>
    </bk>
    <bk>
      <extLst>
        <ext uri="{3e2802c4-a4d2-4d8b-9148-e3be6c30e623}">
          <xlrd:rvb i="4764"/>
        </ext>
      </extLst>
    </bk>
    <bk>
      <extLst>
        <ext uri="{3e2802c4-a4d2-4d8b-9148-e3be6c30e623}">
          <xlrd:rvb i="4765"/>
        </ext>
      </extLst>
    </bk>
    <bk>
      <extLst>
        <ext uri="{3e2802c4-a4d2-4d8b-9148-e3be6c30e623}">
          <xlrd:rvb i="4766"/>
        </ext>
      </extLst>
    </bk>
    <bk>
      <extLst>
        <ext uri="{3e2802c4-a4d2-4d8b-9148-e3be6c30e623}">
          <xlrd:rvb i="4767"/>
        </ext>
      </extLst>
    </bk>
    <bk>
      <extLst>
        <ext uri="{3e2802c4-a4d2-4d8b-9148-e3be6c30e623}">
          <xlrd:rvb i="4768"/>
        </ext>
      </extLst>
    </bk>
    <bk>
      <extLst>
        <ext uri="{3e2802c4-a4d2-4d8b-9148-e3be6c30e623}">
          <xlrd:rvb i="4769"/>
        </ext>
      </extLst>
    </bk>
    <bk>
      <extLst>
        <ext uri="{3e2802c4-a4d2-4d8b-9148-e3be6c30e623}">
          <xlrd:rvb i="4770"/>
        </ext>
      </extLst>
    </bk>
    <bk>
      <extLst>
        <ext uri="{3e2802c4-a4d2-4d8b-9148-e3be6c30e623}">
          <xlrd:rvb i="4771"/>
        </ext>
      </extLst>
    </bk>
    <bk>
      <extLst>
        <ext uri="{3e2802c4-a4d2-4d8b-9148-e3be6c30e623}">
          <xlrd:rvb i="4772"/>
        </ext>
      </extLst>
    </bk>
    <bk>
      <extLst>
        <ext uri="{3e2802c4-a4d2-4d8b-9148-e3be6c30e623}">
          <xlrd:rvb i="4773"/>
        </ext>
      </extLst>
    </bk>
    <bk>
      <extLst>
        <ext uri="{3e2802c4-a4d2-4d8b-9148-e3be6c30e623}">
          <xlrd:rvb i="4774"/>
        </ext>
      </extLst>
    </bk>
    <bk>
      <extLst>
        <ext uri="{3e2802c4-a4d2-4d8b-9148-e3be6c30e623}">
          <xlrd:rvb i="4775"/>
        </ext>
      </extLst>
    </bk>
    <bk>
      <extLst>
        <ext uri="{3e2802c4-a4d2-4d8b-9148-e3be6c30e623}">
          <xlrd:rvb i="4776"/>
        </ext>
      </extLst>
    </bk>
    <bk>
      <extLst>
        <ext uri="{3e2802c4-a4d2-4d8b-9148-e3be6c30e623}">
          <xlrd:rvb i="4777"/>
        </ext>
      </extLst>
    </bk>
    <bk>
      <extLst>
        <ext uri="{3e2802c4-a4d2-4d8b-9148-e3be6c30e623}">
          <xlrd:rvb i="4778"/>
        </ext>
      </extLst>
    </bk>
    <bk>
      <extLst>
        <ext uri="{3e2802c4-a4d2-4d8b-9148-e3be6c30e623}">
          <xlrd:rvb i="4779"/>
        </ext>
      </extLst>
    </bk>
    <bk>
      <extLst>
        <ext uri="{3e2802c4-a4d2-4d8b-9148-e3be6c30e623}">
          <xlrd:rvb i="4780"/>
        </ext>
      </extLst>
    </bk>
    <bk>
      <extLst>
        <ext uri="{3e2802c4-a4d2-4d8b-9148-e3be6c30e623}">
          <xlrd:rvb i="4781"/>
        </ext>
      </extLst>
    </bk>
    <bk>
      <extLst>
        <ext uri="{3e2802c4-a4d2-4d8b-9148-e3be6c30e623}">
          <xlrd:rvb i="4782"/>
        </ext>
      </extLst>
    </bk>
    <bk>
      <extLst>
        <ext uri="{3e2802c4-a4d2-4d8b-9148-e3be6c30e623}">
          <xlrd:rvb i="4783"/>
        </ext>
      </extLst>
    </bk>
    <bk>
      <extLst>
        <ext uri="{3e2802c4-a4d2-4d8b-9148-e3be6c30e623}">
          <xlrd:rvb i="4784"/>
        </ext>
      </extLst>
    </bk>
    <bk>
      <extLst>
        <ext uri="{3e2802c4-a4d2-4d8b-9148-e3be6c30e623}">
          <xlrd:rvb i="4785"/>
        </ext>
      </extLst>
    </bk>
    <bk>
      <extLst>
        <ext uri="{3e2802c4-a4d2-4d8b-9148-e3be6c30e623}">
          <xlrd:rvb i="4786"/>
        </ext>
      </extLst>
    </bk>
    <bk>
      <extLst>
        <ext uri="{3e2802c4-a4d2-4d8b-9148-e3be6c30e623}">
          <xlrd:rvb i="4787"/>
        </ext>
      </extLst>
    </bk>
    <bk>
      <extLst>
        <ext uri="{3e2802c4-a4d2-4d8b-9148-e3be6c30e623}">
          <xlrd:rvb i="4788"/>
        </ext>
      </extLst>
    </bk>
    <bk>
      <extLst>
        <ext uri="{3e2802c4-a4d2-4d8b-9148-e3be6c30e623}">
          <xlrd:rvb i="4789"/>
        </ext>
      </extLst>
    </bk>
    <bk>
      <extLst>
        <ext uri="{3e2802c4-a4d2-4d8b-9148-e3be6c30e623}">
          <xlrd:rvb i="4790"/>
        </ext>
      </extLst>
    </bk>
    <bk>
      <extLst>
        <ext uri="{3e2802c4-a4d2-4d8b-9148-e3be6c30e623}">
          <xlrd:rvb i="4791"/>
        </ext>
      </extLst>
    </bk>
    <bk>
      <extLst>
        <ext uri="{3e2802c4-a4d2-4d8b-9148-e3be6c30e623}">
          <xlrd:rvb i="4792"/>
        </ext>
      </extLst>
    </bk>
    <bk>
      <extLst>
        <ext uri="{3e2802c4-a4d2-4d8b-9148-e3be6c30e623}">
          <xlrd:rvb i="4793"/>
        </ext>
      </extLst>
    </bk>
    <bk>
      <extLst>
        <ext uri="{3e2802c4-a4d2-4d8b-9148-e3be6c30e623}">
          <xlrd:rvb i="4794"/>
        </ext>
      </extLst>
    </bk>
    <bk>
      <extLst>
        <ext uri="{3e2802c4-a4d2-4d8b-9148-e3be6c30e623}">
          <xlrd:rvb i="4795"/>
        </ext>
      </extLst>
    </bk>
    <bk>
      <extLst>
        <ext uri="{3e2802c4-a4d2-4d8b-9148-e3be6c30e623}">
          <xlrd:rvb i="4796"/>
        </ext>
      </extLst>
    </bk>
    <bk>
      <extLst>
        <ext uri="{3e2802c4-a4d2-4d8b-9148-e3be6c30e623}">
          <xlrd:rvb i="4797"/>
        </ext>
      </extLst>
    </bk>
    <bk>
      <extLst>
        <ext uri="{3e2802c4-a4d2-4d8b-9148-e3be6c30e623}">
          <xlrd:rvb i="4798"/>
        </ext>
      </extLst>
    </bk>
    <bk>
      <extLst>
        <ext uri="{3e2802c4-a4d2-4d8b-9148-e3be6c30e623}">
          <xlrd:rvb i="4799"/>
        </ext>
      </extLst>
    </bk>
    <bk>
      <extLst>
        <ext uri="{3e2802c4-a4d2-4d8b-9148-e3be6c30e623}">
          <xlrd:rvb i="4800"/>
        </ext>
      </extLst>
    </bk>
    <bk>
      <extLst>
        <ext uri="{3e2802c4-a4d2-4d8b-9148-e3be6c30e623}">
          <xlrd:rvb i="4801"/>
        </ext>
      </extLst>
    </bk>
    <bk>
      <extLst>
        <ext uri="{3e2802c4-a4d2-4d8b-9148-e3be6c30e623}">
          <xlrd:rvb i="4802"/>
        </ext>
      </extLst>
    </bk>
    <bk>
      <extLst>
        <ext uri="{3e2802c4-a4d2-4d8b-9148-e3be6c30e623}">
          <xlrd:rvb i="4803"/>
        </ext>
      </extLst>
    </bk>
    <bk>
      <extLst>
        <ext uri="{3e2802c4-a4d2-4d8b-9148-e3be6c30e623}">
          <xlrd:rvb i="4804"/>
        </ext>
      </extLst>
    </bk>
    <bk>
      <extLst>
        <ext uri="{3e2802c4-a4d2-4d8b-9148-e3be6c30e623}">
          <xlrd:rvb i="4805"/>
        </ext>
      </extLst>
    </bk>
    <bk>
      <extLst>
        <ext uri="{3e2802c4-a4d2-4d8b-9148-e3be6c30e623}">
          <xlrd:rvb i="4806"/>
        </ext>
      </extLst>
    </bk>
    <bk>
      <extLst>
        <ext uri="{3e2802c4-a4d2-4d8b-9148-e3be6c30e623}">
          <xlrd:rvb i="4807"/>
        </ext>
      </extLst>
    </bk>
    <bk>
      <extLst>
        <ext uri="{3e2802c4-a4d2-4d8b-9148-e3be6c30e623}">
          <xlrd:rvb i="4808"/>
        </ext>
      </extLst>
    </bk>
    <bk>
      <extLst>
        <ext uri="{3e2802c4-a4d2-4d8b-9148-e3be6c30e623}">
          <xlrd:rvb i="4809"/>
        </ext>
      </extLst>
    </bk>
    <bk>
      <extLst>
        <ext uri="{3e2802c4-a4d2-4d8b-9148-e3be6c30e623}">
          <xlrd:rvb i="4810"/>
        </ext>
      </extLst>
    </bk>
    <bk>
      <extLst>
        <ext uri="{3e2802c4-a4d2-4d8b-9148-e3be6c30e623}">
          <xlrd:rvb i="4811"/>
        </ext>
      </extLst>
    </bk>
    <bk>
      <extLst>
        <ext uri="{3e2802c4-a4d2-4d8b-9148-e3be6c30e623}">
          <xlrd:rvb i="4812"/>
        </ext>
      </extLst>
    </bk>
    <bk>
      <extLst>
        <ext uri="{3e2802c4-a4d2-4d8b-9148-e3be6c30e623}">
          <xlrd:rvb i="4813"/>
        </ext>
      </extLst>
    </bk>
    <bk>
      <extLst>
        <ext uri="{3e2802c4-a4d2-4d8b-9148-e3be6c30e623}">
          <xlrd:rvb i="4814"/>
        </ext>
      </extLst>
    </bk>
    <bk>
      <extLst>
        <ext uri="{3e2802c4-a4d2-4d8b-9148-e3be6c30e623}">
          <xlrd:rvb i="4815"/>
        </ext>
      </extLst>
    </bk>
    <bk>
      <extLst>
        <ext uri="{3e2802c4-a4d2-4d8b-9148-e3be6c30e623}">
          <xlrd:rvb i="4816"/>
        </ext>
      </extLst>
    </bk>
    <bk>
      <extLst>
        <ext uri="{3e2802c4-a4d2-4d8b-9148-e3be6c30e623}">
          <xlrd:rvb i="4817"/>
        </ext>
      </extLst>
    </bk>
    <bk>
      <extLst>
        <ext uri="{3e2802c4-a4d2-4d8b-9148-e3be6c30e623}">
          <xlrd:rvb i="4818"/>
        </ext>
      </extLst>
    </bk>
    <bk>
      <extLst>
        <ext uri="{3e2802c4-a4d2-4d8b-9148-e3be6c30e623}">
          <xlrd:rvb i="4819"/>
        </ext>
      </extLst>
    </bk>
    <bk>
      <extLst>
        <ext uri="{3e2802c4-a4d2-4d8b-9148-e3be6c30e623}">
          <xlrd:rvb i="4820"/>
        </ext>
      </extLst>
    </bk>
    <bk>
      <extLst>
        <ext uri="{3e2802c4-a4d2-4d8b-9148-e3be6c30e623}">
          <xlrd:rvb i="4821"/>
        </ext>
      </extLst>
    </bk>
    <bk>
      <extLst>
        <ext uri="{3e2802c4-a4d2-4d8b-9148-e3be6c30e623}">
          <xlrd:rvb i="4822"/>
        </ext>
      </extLst>
    </bk>
    <bk>
      <extLst>
        <ext uri="{3e2802c4-a4d2-4d8b-9148-e3be6c30e623}">
          <xlrd:rvb i="4823"/>
        </ext>
      </extLst>
    </bk>
    <bk>
      <extLst>
        <ext uri="{3e2802c4-a4d2-4d8b-9148-e3be6c30e623}">
          <xlrd:rvb i="4824"/>
        </ext>
      </extLst>
    </bk>
    <bk>
      <extLst>
        <ext uri="{3e2802c4-a4d2-4d8b-9148-e3be6c30e623}">
          <xlrd:rvb i="4825"/>
        </ext>
      </extLst>
    </bk>
    <bk>
      <extLst>
        <ext uri="{3e2802c4-a4d2-4d8b-9148-e3be6c30e623}">
          <xlrd:rvb i="4826"/>
        </ext>
      </extLst>
    </bk>
    <bk>
      <extLst>
        <ext uri="{3e2802c4-a4d2-4d8b-9148-e3be6c30e623}">
          <xlrd:rvb i="4827"/>
        </ext>
      </extLst>
    </bk>
    <bk>
      <extLst>
        <ext uri="{3e2802c4-a4d2-4d8b-9148-e3be6c30e623}">
          <xlrd:rvb i="4828"/>
        </ext>
      </extLst>
    </bk>
    <bk>
      <extLst>
        <ext uri="{3e2802c4-a4d2-4d8b-9148-e3be6c30e623}">
          <xlrd:rvb i="4829"/>
        </ext>
      </extLst>
    </bk>
    <bk>
      <extLst>
        <ext uri="{3e2802c4-a4d2-4d8b-9148-e3be6c30e623}">
          <xlrd:rvb i="4830"/>
        </ext>
      </extLst>
    </bk>
    <bk>
      <extLst>
        <ext uri="{3e2802c4-a4d2-4d8b-9148-e3be6c30e623}">
          <xlrd:rvb i="4831"/>
        </ext>
      </extLst>
    </bk>
    <bk>
      <extLst>
        <ext uri="{3e2802c4-a4d2-4d8b-9148-e3be6c30e623}">
          <xlrd:rvb i="4832"/>
        </ext>
      </extLst>
    </bk>
    <bk>
      <extLst>
        <ext uri="{3e2802c4-a4d2-4d8b-9148-e3be6c30e623}">
          <xlrd:rvb i="4833"/>
        </ext>
      </extLst>
    </bk>
    <bk>
      <extLst>
        <ext uri="{3e2802c4-a4d2-4d8b-9148-e3be6c30e623}">
          <xlrd:rvb i="4834"/>
        </ext>
      </extLst>
    </bk>
    <bk>
      <extLst>
        <ext uri="{3e2802c4-a4d2-4d8b-9148-e3be6c30e623}">
          <xlrd:rvb i="4835"/>
        </ext>
      </extLst>
    </bk>
    <bk>
      <extLst>
        <ext uri="{3e2802c4-a4d2-4d8b-9148-e3be6c30e623}">
          <xlrd:rvb i="4836"/>
        </ext>
      </extLst>
    </bk>
    <bk>
      <extLst>
        <ext uri="{3e2802c4-a4d2-4d8b-9148-e3be6c30e623}">
          <xlrd:rvb i="4837"/>
        </ext>
      </extLst>
    </bk>
    <bk>
      <extLst>
        <ext uri="{3e2802c4-a4d2-4d8b-9148-e3be6c30e623}">
          <xlrd:rvb i="4838"/>
        </ext>
      </extLst>
    </bk>
    <bk>
      <extLst>
        <ext uri="{3e2802c4-a4d2-4d8b-9148-e3be6c30e623}">
          <xlrd:rvb i="4839"/>
        </ext>
      </extLst>
    </bk>
    <bk>
      <extLst>
        <ext uri="{3e2802c4-a4d2-4d8b-9148-e3be6c30e623}">
          <xlrd:rvb i="4840"/>
        </ext>
      </extLst>
    </bk>
    <bk>
      <extLst>
        <ext uri="{3e2802c4-a4d2-4d8b-9148-e3be6c30e623}">
          <xlrd:rvb i="4841"/>
        </ext>
      </extLst>
    </bk>
    <bk>
      <extLst>
        <ext uri="{3e2802c4-a4d2-4d8b-9148-e3be6c30e623}">
          <xlrd:rvb i="4842"/>
        </ext>
      </extLst>
    </bk>
    <bk>
      <extLst>
        <ext uri="{3e2802c4-a4d2-4d8b-9148-e3be6c30e623}">
          <xlrd:rvb i="4843"/>
        </ext>
      </extLst>
    </bk>
    <bk>
      <extLst>
        <ext uri="{3e2802c4-a4d2-4d8b-9148-e3be6c30e623}">
          <xlrd:rvb i="4844"/>
        </ext>
      </extLst>
    </bk>
    <bk>
      <extLst>
        <ext uri="{3e2802c4-a4d2-4d8b-9148-e3be6c30e623}">
          <xlrd:rvb i="4845"/>
        </ext>
      </extLst>
    </bk>
    <bk>
      <extLst>
        <ext uri="{3e2802c4-a4d2-4d8b-9148-e3be6c30e623}">
          <xlrd:rvb i="4846"/>
        </ext>
      </extLst>
    </bk>
    <bk>
      <extLst>
        <ext uri="{3e2802c4-a4d2-4d8b-9148-e3be6c30e623}">
          <xlrd:rvb i="4847"/>
        </ext>
      </extLst>
    </bk>
    <bk>
      <extLst>
        <ext uri="{3e2802c4-a4d2-4d8b-9148-e3be6c30e623}">
          <xlrd:rvb i="4848"/>
        </ext>
      </extLst>
    </bk>
    <bk>
      <extLst>
        <ext uri="{3e2802c4-a4d2-4d8b-9148-e3be6c30e623}">
          <xlrd:rvb i="4849"/>
        </ext>
      </extLst>
    </bk>
    <bk>
      <extLst>
        <ext uri="{3e2802c4-a4d2-4d8b-9148-e3be6c30e623}">
          <xlrd:rvb i="4850"/>
        </ext>
      </extLst>
    </bk>
    <bk>
      <extLst>
        <ext uri="{3e2802c4-a4d2-4d8b-9148-e3be6c30e623}">
          <xlrd:rvb i="4851"/>
        </ext>
      </extLst>
    </bk>
    <bk>
      <extLst>
        <ext uri="{3e2802c4-a4d2-4d8b-9148-e3be6c30e623}">
          <xlrd:rvb i="4852"/>
        </ext>
      </extLst>
    </bk>
    <bk>
      <extLst>
        <ext uri="{3e2802c4-a4d2-4d8b-9148-e3be6c30e623}">
          <xlrd:rvb i="4853"/>
        </ext>
      </extLst>
    </bk>
    <bk>
      <extLst>
        <ext uri="{3e2802c4-a4d2-4d8b-9148-e3be6c30e623}">
          <xlrd:rvb i="4854"/>
        </ext>
      </extLst>
    </bk>
    <bk>
      <extLst>
        <ext uri="{3e2802c4-a4d2-4d8b-9148-e3be6c30e623}">
          <xlrd:rvb i="4855"/>
        </ext>
      </extLst>
    </bk>
    <bk>
      <extLst>
        <ext uri="{3e2802c4-a4d2-4d8b-9148-e3be6c30e623}">
          <xlrd:rvb i="4856"/>
        </ext>
      </extLst>
    </bk>
    <bk>
      <extLst>
        <ext uri="{3e2802c4-a4d2-4d8b-9148-e3be6c30e623}">
          <xlrd:rvb i="4857"/>
        </ext>
      </extLst>
    </bk>
    <bk>
      <extLst>
        <ext uri="{3e2802c4-a4d2-4d8b-9148-e3be6c30e623}">
          <xlrd:rvb i="4858"/>
        </ext>
      </extLst>
    </bk>
    <bk>
      <extLst>
        <ext uri="{3e2802c4-a4d2-4d8b-9148-e3be6c30e623}">
          <xlrd:rvb i="4859"/>
        </ext>
      </extLst>
    </bk>
    <bk>
      <extLst>
        <ext uri="{3e2802c4-a4d2-4d8b-9148-e3be6c30e623}">
          <xlrd:rvb i="4860"/>
        </ext>
      </extLst>
    </bk>
    <bk>
      <extLst>
        <ext uri="{3e2802c4-a4d2-4d8b-9148-e3be6c30e623}">
          <xlrd:rvb i="4861"/>
        </ext>
      </extLst>
    </bk>
    <bk>
      <extLst>
        <ext uri="{3e2802c4-a4d2-4d8b-9148-e3be6c30e623}">
          <xlrd:rvb i="4862"/>
        </ext>
      </extLst>
    </bk>
    <bk>
      <extLst>
        <ext uri="{3e2802c4-a4d2-4d8b-9148-e3be6c30e623}">
          <xlrd:rvb i="4863"/>
        </ext>
      </extLst>
    </bk>
    <bk>
      <extLst>
        <ext uri="{3e2802c4-a4d2-4d8b-9148-e3be6c30e623}">
          <xlrd:rvb i="4864"/>
        </ext>
      </extLst>
    </bk>
    <bk>
      <extLst>
        <ext uri="{3e2802c4-a4d2-4d8b-9148-e3be6c30e623}">
          <xlrd:rvb i="4865"/>
        </ext>
      </extLst>
    </bk>
    <bk>
      <extLst>
        <ext uri="{3e2802c4-a4d2-4d8b-9148-e3be6c30e623}">
          <xlrd:rvb i="4866"/>
        </ext>
      </extLst>
    </bk>
    <bk>
      <extLst>
        <ext uri="{3e2802c4-a4d2-4d8b-9148-e3be6c30e623}">
          <xlrd:rvb i="4867"/>
        </ext>
      </extLst>
    </bk>
    <bk>
      <extLst>
        <ext uri="{3e2802c4-a4d2-4d8b-9148-e3be6c30e623}">
          <xlrd:rvb i="4868"/>
        </ext>
      </extLst>
    </bk>
    <bk>
      <extLst>
        <ext uri="{3e2802c4-a4d2-4d8b-9148-e3be6c30e623}">
          <xlrd:rvb i="4869"/>
        </ext>
      </extLst>
    </bk>
    <bk>
      <extLst>
        <ext uri="{3e2802c4-a4d2-4d8b-9148-e3be6c30e623}">
          <xlrd:rvb i="4870"/>
        </ext>
      </extLst>
    </bk>
    <bk>
      <extLst>
        <ext uri="{3e2802c4-a4d2-4d8b-9148-e3be6c30e623}">
          <xlrd:rvb i="4871"/>
        </ext>
      </extLst>
    </bk>
    <bk>
      <extLst>
        <ext uri="{3e2802c4-a4d2-4d8b-9148-e3be6c30e623}">
          <xlrd:rvb i="4872"/>
        </ext>
      </extLst>
    </bk>
    <bk>
      <extLst>
        <ext uri="{3e2802c4-a4d2-4d8b-9148-e3be6c30e623}">
          <xlrd:rvb i="4873"/>
        </ext>
      </extLst>
    </bk>
    <bk>
      <extLst>
        <ext uri="{3e2802c4-a4d2-4d8b-9148-e3be6c30e623}">
          <xlrd:rvb i="4874"/>
        </ext>
      </extLst>
    </bk>
    <bk>
      <extLst>
        <ext uri="{3e2802c4-a4d2-4d8b-9148-e3be6c30e623}">
          <xlrd:rvb i="4875"/>
        </ext>
      </extLst>
    </bk>
    <bk>
      <extLst>
        <ext uri="{3e2802c4-a4d2-4d8b-9148-e3be6c30e623}">
          <xlrd:rvb i="4876"/>
        </ext>
      </extLst>
    </bk>
    <bk>
      <extLst>
        <ext uri="{3e2802c4-a4d2-4d8b-9148-e3be6c30e623}">
          <xlrd:rvb i="4877"/>
        </ext>
      </extLst>
    </bk>
    <bk>
      <extLst>
        <ext uri="{3e2802c4-a4d2-4d8b-9148-e3be6c30e623}">
          <xlrd:rvb i="4878"/>
        </ext>
      </extLst>
    </bk>
    <bk>
      <extLst>
        <ext uri="{3e2802c4-a4d2-4d8b-9148-e3be6c30e623}">
          <xlrd:rvb i="4879"/>
        </ext>
      </extLst>
    </bk>
    <bk>
      <extLst>
        <ext uri="{3e2802c4-a4d2-4d8b-9148-e3be6c30e623}">
          <xlrd:rvb i="4880"/>
        </ext>
      </extLst>
    </bk>
    <bk>
      <extLst>
        <ext uri="{3e2802c4-a4d2-4d8b-9148-e3be6c30e623}">
          <xlrd:rvb i="4881"/>
        </ext>
      </extLst>
    </bk>
    <bk>
      <extLst>
        <ext uri="{3e2802c4-a4d2-4d8b-9148-e3be6c30e623}">
          <xlrd:rvb i="4882"/>
        </ext>
      </extLst>
    </bk>
    <bk>
      <extLst>
        <ext uri="{3e2802c4-a4d2-4d8b-9148-e3be6c30e623}">
          <xlrd:rvb i="4883"/>
        </ext>
      </extLst>
    </bk>
    <bk>
      <extLst>
        <ext uri="{3e2802c4-a4d2-4d8b-9148-e3be6c30e623}">
          <xlrd:rvb i="4884"/>
        </ext>
      </extLst>
    </bk>
    <bk>
      <extLst>
        <ext uri="{3e2802c4-a4d2-4d8b-9148-e3be6c30e623}">
          <xlrd:rvb i="4885"/>
        </ext>
      </extLst>
    </bk>
    <bk>
      <extLst>
        <ext uri="{3e2802c4-a4d2-4d8b-9148-e3be6c30e623}">
          <xlrd:rvb i="4886"/>
        </ext>
      </extLst>
    </bk>
    <bk>
      <extLst>
        <ext uri="{3e2802c4-a4d2-4d8b-9148-e3be6c30e623}">
          <xlrd:rvb i="4887"/>
        </ext>
      </extLst>
    </bk>
    <bk>
      <extLst>
        <ext uri="{3e2802c4-a4d2-4d8b-9148-e3be6c30e623}">
          <xlrd:rvb i="4888"/>
        </ext>
      </extLst>
    </bk>
    <bk>
      <extLst>
        <ext uri="{3e2802c4-a4d2-4d8b-9148-e3be6c30e623}">
          <xlrd:rvb i="4889"/>
        </ext>
      </extLst>
    </bk>
    <bk>
      <extLst>
        <ext uri="{3e2802c4-a4d2-4d8b-9148-e3be6c30e623}">
          <xlrd:rvb i="4890"/>
        </ext>
      </extLst>
    </bk>
    <bk>
      <extLst>
        <ext uri="{3e2802c4-a4d2-4d8b-9148-e3be6c30e623}">
          <xlrd:rvb i="4891"/>
        </ext>
      </extLst>
    </bk>
    <bk>
      <extLst>
        <ext uri="{3e2802c4-a4d2-4d8b-9148-e3be6c30e623}">
          <xlrd:rvb i="4892"/>
        </ext>
      </extLst>
    </bk>
    <bk>
      <extLst>
        <ext uri="{3e2802c4-a4d2-4d8b-9148-e3be6c30e623}">
          <xlrd:rvb i="4893"/>
        </ext>
      </extLst>
    </bk>
    <bk>
      <extLst>
        <ext uri="{3e2802c4-a4d2-4d8b-9148-e3be6c30e623}">
          <xlrd:rvb i="4894"/>
        </ext>
      </extLst>
    </bk>
    <bk>
      <extLst>
        <ext uri="{3e2802c4-a4d2-4d8b-9148-e3be6c30e623}">
          <xlrd:rvb i="4895"/>
        </ext>
      </extLst>
    </bk>
    <bk>
      <extLst>
        <ext uri="{3e2802c4-a4d2-4d8b-9148-e3be6c30e623}">
          <xlrd:rvb i="4896"/>
        </ext>
      </extLst>
    </bk>
    <bk>
      <extLst>
        <ext uri="{3e2802c4-a4d2-4d8b-9148-e3be6c30e623}">
          <xlrd:rvb i="4897"/>
        </ext>
      </extLst>
    </bk>
    <bk>
      <extLst>
        <ext uri="{3e2802c4-a4d2-4d8b-9148-e3be6c30e623}">
          <xlrd:rvb i="4898"/>
        </ext>
      </extLst>
    </bk>
    <bk>
      <extLst>
        <ext uri="{3e2802c4-a4d2-4d8b-9148-e3be6c30e623}">
          <xlrd:rvb i="4899"/>
        </ext>
      </extLst>
    </bk>
    <bk>
      <extLst>
        <ext uri="{3e2802c4-a4d2-4d8b-9148-e3be6c30e623}">
          <xlrd:rvb i="4900"/>
        </ext>
      </extLst>
    </bk>
    <bk>
      <extLst>
        <ext uri="{3e2802c4-a4d2-4d8b-9148-e3be6c30e623}">
          <xlrd:rvb i="4901"/>
        </ext>
      </extLst>
    </bk>
    <bk>
      <extLst>
        <ext uri="{3e2802c4-a4d2-4d8b-9148-e3be6c30e623}">
          <xlrd:rvb i="4902"/>
        </ext>
      </extLst>
    </bk>
    <bk>
      <extLst>
        <ext uri="{3e2802c4-a4d2-4d8b-9148-e3be6c30e623}">
          <xlrd:rvb i="4903"/>
        </ext>
      </extLst>
    </bk>
    <bk>
      <extLst>
        <ext uri="{3e2802c4-a4d2-4d8b-9148-e3be6c30e623}">
          <xlrd:rvb i="4904"/>
        </ext>
      </extLst>
    </bk>
    <bk>
      <extLst>
        <ext uri="{3e2802c4-a4d2-4d8b-9148-e3be6c30e623}">
          <xlrd:rvb i="4905"/>
        </ext>
      </extLst>
    </bk>
    <bk>
      <extLst>
        <ext uri="{3e2802c4-a4d2-4d8b-9148-e3be6c30e623}">
          <xlrd:rvb i="4906"/>
        </ext>
      </extLst>
    </bk>
    <bk>
      <extLst>
        <ext uri="{3e2802c4-a4d2-4d8b-9148-e3be6c30e623}">
          <xlrd:rvb i="4907"/>
        </ext>
      </extLst>
    </bk>
    <bk>
      <extLst>
        <ext uri="{3e2802c4-a4d2-4d8b-9148-e3be6c30e623}">
          <xlrd:rvb i="4908"/>
        </ext>
      </extLst>
    </bk>
    <bk>
      <extLst>
        <ext uri="{3e2802c4-a4d2-4d8b-9148-e3be6c30e623}">
          <xlrd:rvb i="4909"/>
        </ext>
      </extLst>
    </bk>
    <bk>
      <extLst>
        <ext uri="{3e2802c4-a4d2-4d8b-9148-e3be6c30e623}">
          <xlrd:rvb i="4910"/>
        </ext>
      </extLst>
    </bk>
    <bk>
      <extLst>
        <ext uri="{3e2802c4-a4d2-4d8b-9148-e3be6c30e623}">
          <xlrd:rvb i="4911"/>
        </ext>
      </extLst>
    </bk>
    <bk>
      <extLst>
        <ext uri="{3e2802c4-a4d2-4d8b-9148-e3be6c30e623}">
          <xlrd:rvb i="4912"/>
        </ext>
      </extLst>
    </bk>
    <bk>
      <extLst>
        <ext uri="{3e2802c4-a4d2-4d8b-9148-e3be6c30e623}">
          <xlrd:rvb i="4913"/>
        </ext>
      </extLst>
    </bk>
    <bk>
      <extLst>
        <ext uri="{3e2802c4-a4d2-4d8b-9148-e3be6c30e623}">
          <xlrd:rvb i="4914"/>
        </ext>
      </extLst>
    </bk>
    <bk>
      <extLst>
        <ext uri="{3e2802c4-a4d2-4d8b-9148-e3be6c30e623}">
          <xlrd:rvb i="4915"/>
        </ext>
      </extLst>
    </bk>
    <bk>
      <extLst>
        <ext uri="{3e2802c4-a4d2-4d8b-9148-e3be6c30e623}">
          <xlrd:rvb i="4916"/>
        </ext>
      </extLst>
    </bk>
    <bk>
      <extLst>
        <ext uri="{3e2802c4-a4d2-4d8b-9148-e3be6c30e623}">
          <xlrd:rvb i="4917"/>
        </ext>
      </extLst>
    </bk>
    <bk>
      <extLst>
        <ext uri="{3e2802c4-a4d2-4d8b-9148-e3be6c30e623}">
          <xlrd:rvb i="4918"/>
        </ext>
      </extLst>
    </bk>
    <bk>
      <extLst>
        <ext uri="{3e2802c4-a4d2-4d8b-9148-e3be6c30e623}">
          <xlrd:rvb i="4919"/>
        </ext>
      </extLst>
    </bk>
    <bk>
      <extLst>
        <ext uri="{3e2802c4-a4d2-4d8b-9148-e3be6c30e623}">
          <xlrd:rvb i="4920"/>
        </ext>
      </extLst>
    </bk>
    <bk>
      <extLst>
        <ext uri="{3e2802c4-a4d2-4d8b-9148-e3be6c30e623}">
          <xlrd:rvb i="4921"/>
        </ext>
      </extLst>
    </bk>
    <bk>
      <extLst>
        <ext uri="{3e2802c4-a4d2-4d8b-9148-e3be6c30e623}">
          <xlrd:rvb i="4922"/>
        </ext>
      </extLst>
    </bk>
    <bk>
      <extLst>
        <ext uri="{3e2802c4-a4d2-4d8b-9148-e3be6c30e623}">
          <xlrd:rvb i="4923"/>
        </ext>
      </extLst>
    </bk>
    <bk>
      <extLst>
        <ext uri="{3e2802c4-a4d2-4d8b-9148-e3be6c30e623}">
          <xlrd:rvb i="4924"/>
        </ext>
      </extLst>
    </bk>
    <bk>
      <extLst>
        <ext uri="{3e2802c4-a4d2-4d8b-9148-e3be6c30e623}">
          <xlrd:rvb i="4925"/>
        </ext>
      </extLst>
    </bk>
    <bk>
      <extLst>
        <ext uri="{3e2802c4-a4d2-4d8b-9148-e3be6c30e623}">
          <xlrd:rvb i="4926"/>
        </ext>
      </extLst>
    </bk>
    <bk>
      <extLst>
        <ext uri="{3e2802c4-a4d2-4d8b-9148-e3be6c30e623}">
          <xlrd:rvb i="4927"/>
        </ext>
      </extLst>
    </bk>
    <bk>
      <extLst>
        <ext uri="{3e2802c4-a4d2-4d8b-9148-e3be6c30e623}">
          <xlrd:rvb i="4928"/>
        </ext>
      </extLst>
    </bk>
    <bk>
      <extLst>
        <ext uri="{3e2802c4-a4d2-4d8b-9148-e3be6c30e623}">
          <xlrd:rvb i="4929"/>
        </ext>
      </extLst>
    </bk>
    <bk>
      <extLst>
        <ext uri="{3e2802c4-a4d2-4d8b-9148-e3be6c30e623}">
          <xlrd:rvb i="4930"/>
        </ext>
      </extLst>
    </bk>
    <bk>
      <extLst>
        <ext uri="{3e2802c4-a4d2-4d8b-9148-e3be6c30e623}">
          <xlrd:rvb i="4931"/>
        </ext>
      </extLst>
    </bk>
    <bk>
      <extLst>
        <ext uri="{3e2802c4-a4d2-4d8b-9148-e3be6c30e623}">
          <xlrd:rvb i="4932"/>
        </ext>
      </extLst>
    </bk>
    <bk>
      <extLst>
        <ext uri="{3e2802c4-a4d2-4d8b-9148-e3be6c30e623}">
          <xlrd:rvb i="4933"/>
        </ext>
      </extLst>
    </bk>
    <bk>
      <extLst>
        <ext uri="{3e2802c4-a4d2-4d8b-9148-e3be6c30e623}">
          <xlrd:rvb i="4934"/>
        </ext>
      </extLst>
    </bk>
    <bk>
      <extLst>
        <ext uri="{3e2802c4-a4d2-4d8b-9148-e3be6c30e623}">
          <xlrd:rvb i="4935"/>
        </ext>
      </extLst>
    </bk>
    <bk>
      <extLst>
        <ext uri="{3e2802c4-a4d2-4d8b-9148-e3be6c30e623}">
          <xlrd:rvb i="4936"/>
        </ext>
      </extLst>
    </bk>
    <bk>
      <extLst>
        <ext uri="{3e2802c4-a4d2-4d8b-9148-e3be6c30e623}">
          <xlrd:rvb i="4937"/>
        </ext>
      </extLst>
    </bk>
    <bk>
      <extLst>
        <ext uri="{3e2802c4-a4d2-4d8b-9148-e3be6c30e623}">
          <xlrd:rvb i="4938"/>
        </ext>
      </extLst>
    </bk>
    <bk>
      <extLst>
        <ext uri="{3e2802c4-a4d2-4d8b-9148-e3be6c30e623}">
          <xlrd:rvb i="4939"/>
        </ext>
      </extLst>
    </bk>
    <bk>
      <extLst>
        <ext uri="{3e2802c4-a4d2-4d8b-9148-e3be6c30e623}">
          <xlrd:rvb i="4940"/>
        </ext>
      </extLst>
    </bk>
    <bk>
      <extLst>
        <ext uri="{3e2802c4-a4d2-4d8b-9148-e3be6c30e623}">
          <xlrd:rvb i="4941"/>
        </ext>
      </extLst>
    </bk>
    <bk>
      <extLst>
        <ext uri="{3e2802c4-a4d2-4d8b-9148-e3be6c30e623}">
          <xlrd:rvb i="4942"/>
        </ext>
      </extLst>
    </bk>
    <bk>
      <extLst>
        <ext uri="{3e2802c4-a4d2-4d8b-9148-e3be6c30e623}">
          <xlrd:rvb i="4943"/>
        </ext>
      </extLst>
    </bk>
    <bk>
      <extLst>
        <ext uri="{3e2802c4-a4d2-4d8b-9148-e3be6c30e623}">
          <xlrd:rvb i="4944"/>
        </ext>
      </extLst>
    </bk>
    <bk>
      <extLst>
        <ext uri="{3e2802c4-a4d2-4d8b-9148-e3be6c30e623}">
          <xlrd:rvb i="4945"/>
        </ext>
      </extLst>
    </bk>
    <bk>
      <extLst>
        <ext uri="{3e2802c4-a4d2-4d8b-9148-e3be6c30e623}">
          <xlrd:rvb i="4946"/>
        </ext>
      </extLst>
    </bk>
    <bk>
      <extLst>
        <ext uri="{3e2802c4-a4d2-4d8b-9148-e3be6c30e623}">
          <xlrd:rvb i="4947"/>
        </ext>
      </extLst>
    </bk>
    <bk>
      <extLst>
        <ext uri="{3e2802c4-a4d2-4d8b-9148-e3be6c30e623}">
          <xlrd:rvb i="4948"/>
        </ext>
      </extLst>
    </bk>
    <bk>
      <extLst>
        <ext uri="{3e2802c4-a4d2-4d8b-9148-e3be6c30e623}">
          <xlrd:rvb i="4949"/>
        </ext>
      </extLst>
    </bk>
    <bk>
      <extLst>
        <ext uri="{3e2802c4-a4d2-4d8b-9148-e3be6c30e623}">
          <xlrd:rvb i="4950"/>
        </ext>
      </extLst>
    </bk>
    <bk>
      <extLst>
        <ext uri="{3e2802c4-a4d2-4d8b-9148-e3be6c30e623}">
          <xlrd:rvb i="4951"/>
        </ext>
      </extLst>
    </bk>
    <bk>
      <extLst>
        <ext uri="{3e2802c4-a4d2-4d8b-9148-e3be6c30e623}">
          <xlrd:rvb i="4952"/>
        </ext>
      </extLst>
    </bk>
    <bk>
      <extLst>
        <ext uri="{3e2802c4-a4d2-4d8b-9148-e3be6c30e623}">
          <xlrd:rvb i="4953"/>
        </ext>
      </extLst>
    </bk>
    <bk>
      <extLst>
        <ext uri="{3e2802c4-a4d2-4d8b-9148-e3be6c30e623}">
          <xlrd:rvb i="4954"/>
        </ext>
      </extLst>
    </bk>
    <bk>
      <extLst>
        <ext uri="{3e2802c4-a4d2-4d8b-9148-e3be6c30e623}">
          <xlrd:rvb i="4955"/>
        </ext>
      </extLst>
    </bk>
    <bk>
      <extLst>
        <ext uri="{3e2802c4-a4d2-4d8b-9148-e3be6c30e623}">
          <xlrd:rvb i="4956"/>
        </ext>
      </extLst>
    </bk>
    <bk>
      <extLst>
        <ext uri="{3e2802c4-a4d2-4d8b-9148-e3be6c30e623}">
          <xlrd:rvb i="4957"/>
        </ext>
      </extLst>
    </bk>
    <bk>
      <extLst>
        <ext uri="{3e2802c4-a4d2-4d8b-9148-e3be6c30e623}">
          <xlrd:rvb i="4958"/>
        </ext>
      </extLst>
    </bk>
    <bk>
      <extLst>
        <ext uri="{3e2802c4-a4d2-4d8b-9148-e3be6c30e623}">
          <xlrd:rvb i="4959"/>
        </ext>
      </extLst>
    </bk>
    <bk>
      <extLst>
        <ext uri="{3e2802c4-a4d2-4d8b-9148-e3be6c30e623}">
          <xlrd:rvb i="4960"/>
        </ext>
      </extLst>
    </bk>
    <bk>
      <extLst>
        <ext uri="{3e2802c4-a4d2-4d8b-9148-e3be6c30e623}">
          <xlrd:rvb i="4961"/>
        </ext>
      </extLst>
    </bk>
    <bk>
      <extLst>
        <ext uri="{3e2802c4-a4d2-4d8b-9148-e3be6c30e623}">
          <xlrd:rvb i="4962"/>
        </ext>
      </extLst>
    </bk>
    <bk>
      <extLst>
        <ext uri="{3e2802c4-a4d2-4d8b-9148-e3be6c30e623}">
          <xlrd:rvb i="4963"/>
        </ext>
      </extLst>
    </bk>
    <bk>
      <extLst>
        <ext uri="{3e2802c4-a4d2-4d8b-9148-e3be6c30e623}">
          <xlrd:rvb i="4964"/>
        </ext>
      </extLst>
    </bk>
    <bk>
      <extLst>
        <ext uri="{3e2802c4-a4d2-4d8b-9148-e3be6c30e623}">
          <xlrd:rvb i="4965"/>
        </ext>
      </extLst>
    </bk>
    <bk>
      <extLst>
        <ext uri="{3e2802c4-a4d2-4d8b-9148-e3be6c30e623}">
          <xlrd:rvb i="4966"/>
        </ext>
      </extLst>
    </bk>
    <bk>
      <extLst>
        <ext uri="{3e2802c4-a4d2-4d8b-9148-e3be6c30e623}">
          <xlrd:rvb i="4967"/>
        </ext>
      </extLst>
    </bk>
    <bk>
      <extLst>
        <ext uri="{3e2802c4-a4d2-4d8b-9148-e3be6c30e623}">
          <xlrd:rvb i="4968"/>
        </ext>
      </extLst>
    </bk>
    <bk>
      <extLst>
        <ext uri="{3e2802c4-a4d2-4d8b-9148-e3be6c30e623}">
          <xlrd:rvb i="4969"/>
        </ext>
      </extLst>
    </bk>
    <bk>
      <extLst>
        <ext uri="{3e2802c4-a4d2-4d8b-9148-e3be6c30e623}">
          <xlrd:rvb i="4970"/>
        </ext>
      </extLst>
    </bk>
    <bk>
      <extLst>
        <ext uri="{3e2802c4-a4d2-4d8b-9148-e3be6c30e623}">
          <xlrd:rvb i="4971"/>
        </ext>
      </extLst>
    </bk>
    <bk>
      <extLst>
        <ext uri="{3e2802c4-a4d2-4d8b-9148-e3be6c30e623}">
          <xlrd:rvb i="4972"/>
        </ext>
      </extLst>
    </bk>
    <bk>
      <extLst>
        <ext uri="{3e2802c4-a4d2-4d8b-9148-e3be6c30e623}">
          <xlrd:rvb i="4973"/>
        </ext>
      </extLst>
    </bk>
    <bk>
      <extLst>
        <ext uri="{3e2802c4-a4d2-4d8b-9148-e3be6c30e623}">
          <xlrd:rvb i="4974"/>
        </ext>
      </extLst>
    </bk>
    <bk>
      <extLst>
        <ext uri="{3e2802c4-a4d2-4d8b-9148-e3be6c30e623}">
          <xlrd:rvb i="4975"/>
        </ext>
      </extLst>
    </bk>
    <bk>
      <extLst>
        <ext uri="{3e2802c4-a4d2-4d8b-9148-e3be6c30e623}">
          <xlrd:rvb i="4976"/>
        </ext>
      </extLst>
    </bk>
    <bk>
      <extLst>
        <ext uri="{3e2802c4-a4d2-4d8b-9148-e3be6c30e623}">
          <xlrd:rvb i="4977"/>
        </ext>
      </extLst>
    </bk>
    <bk>
      <extLst>
        <ext uri="{3e2802c4-a4d2-4d8b-9148-e3be6c30e623}">
          <xlrd:rvb i="4978"/>
        </ext>
      </extLst>
    </bk>
    <bk>
      <extLst>
        <ext uri="{3e2802c4-a4d2-4d8b-9148-e3be6c30e623}">
          <xlrd:rvb i="4979"/>
        </ext>
      </extLst>
    </bk>
    <bk>
      <extLst>
        <ext uri="{3e2802c4-a4d2-4d8b-9148-e3be6c30e623}">
          <xlrd:rvb i="4980"/>
        </ext>
      </extLst>
    </bk>
    <bk>
      <extLst>
        <ext uri="{3e2802c4-a4d2-4d8b-9148-e3be6c30e623}">
          <xlrd:rvb i="4981"/>
        </ext>
      </extLst>
    </bk>
    <bk>
      <extLst>
        <ext uri="{3e2802c4-a4d2-4d8b-9148-e3be6c30e623}">
          <xlrd:rvb i="4982"/>
        </ext>
      </extLst>
    </bk>
    <bk>
      <extLst>
        <ext uri="{3e2802c4-a4d2-4d8b-9148-e3be6c30e623}">
          <xlrd:rvb i="4983"/>
        </ext>
      </extLst>
    </bk>
    <bk>
      <extLst>
        <ext uri="{3e2802c4-a4d2-4d8b-9148-e3be6c30e623}">
          <xlrd:rvb i="4984"/>
        </ext>
      </extLst>
    </bk>
    <bk>
      <extLst>
        <ext uri="{3e2802c4-a4d2-4d8b-9148-e3be6c30e623}">
          <xlrd:rvb i="4985"/>
        </ext>
      </extLst>
    </bk>
    <bk>
      <extLst>
        <ext uri="{3e2802c4-a4d2-4d8b-9148-e3be6c30e623}">
          <xlrd:rvb i="4986"/>
        </ext>
      </extLst>
    </bk>
    <bk>
      <extLst>
        <ext uri="{3e2802c4-a4d2-4d8b-9148-e3be6c30e623}">
          <xlrd:rvb i="4987"/>
        </ext>
      </extLst>
    </bk>
    <bk>
      <extLst>
        <ext uri="{3e2802c4-a4d2-4d8b-9148-e3be6c30e623}">
          <xlrd:rvb i="4988"/>
        </ext>
      </extLst>
    </bk>
    <bk>
      <extLst>
        <ext uri="{3e2802c4-a4d2-4d8b-9148-e3be6c30e623}">
          <xlrd:rvb i="4989"/>
        </ext>
      </extLst>
    </bk>
    <bk>
      <extLst>
        <ext uri="{3e2802c4-a4d2-4d8b-9148-e3be6c30e623}">
          <xlrd:rvb i="4990"/>
        </ext>
      </extLst>
    </bk>
    <bk>
      <extLst>
        <ext uri="{3e2802c4-a4d2-4d8b-9148-e3be6c30e623}">
          <xlrd:rvb i="4991"/>
        </ext>
      </extLst>
    </bk>
    <bk>
      <extLst>
        <ext uri="{3e2802c4-a4d2-4d8b-9148-e3be6c30e623}">
          <xlrd:rvb i="4992"/>
        </ext>
      </extLst>
    </bk>
    <bk>
      <extLst>
        <ext uri="{3e2802c4-a4d2-4d8b-9148-e3be6c30e623}">
          <xlrd:rvb i="4993"/>
        </ext>
      </extLst>
    </bk>
    <bk>
      <extLst>
        <ext uri="{3e2802c4-a4d2-4d8b-9148-e3be6c30e623}">
          <xlrd:rvb i="4994"/>
        </ext>
      </extLst>
    </bk>
    <bk>
      <extLst>
        <ext uri="{3e2802c4-a4d2-4d8b-9148-e3be6c30e623}">
          <xlrd:rvb i="4995"/>
        </ext>
      </extLst>
    </bk>
    <bk>
      <extLst>
        <ext uri="{3e2802c4-a4d2-4d8b-9148-e3be6c30e623}">
          <xlrd:rvb i="4996"/>
        </ext>
      </extLst>
    </bk>
    <bk>
      <extLst>
        <ext uri="{3e2802c4-a4d2-4d8b-9148-e3be6c30e623}">
          <xlrd:rvb i="4997"/>
        </ext>
      </extLst>
    </bk>
    <bk>
      <extLst>
        <ext uri="{3e2802c4-a4d2-4d8b-9148-e3be6c30e623}">
          <xlrd:rvb i="4998"/>
        </ext>
      </extLst>
    </bk>
    <bk>
      <extLst>
        <ext uri="{3e2802c4-a4d2-4d8b-9148-e3be6c30e623}">
          <xlrd:rvb i="4999"/>
        </ext>
      </extLst>
    </bk>
    <bk>
      <extLst>
        <ext uri="{3e2802c4-a4d2-4d8b-9148-e3be6c30e623}">
          <xlrd:rvb i="5000"/>
        </ext>
      </extLst>
    </bk>
    <bk>
      <extLst>
        <ext uri="{3e2802c4-a4d2-4d8b-9148-e3be6c30e623}">
          <xlrd:rvb i="5001"/>
        </ext>
      </extLst>
    </bk>
    <bk>
      <extLst>
        <ext uri="{3e2802c4-a4d2-4d8b-9148-e3be6c30e623}">
          <xlrd:rvb i="5002"/>
        </ext>
      </extLst>
    </bk>
    <bk>
      <extLst>
        <ext uri="{3e2802c4-a4d2-4d8b-9148-e3be6c30e623}">
          <xlrd:rvb i="5003"/>
        </ext>
      </extLst>
    </bk>
    <bk>
      <extLst>
        <ext uri="{3e2802c4-a4d2-4d8b-9148-e3be6c30e623}">
          <xlrd:rvb i="5004"/>
        </ext>
      </extLst>
    </bk>
    <bk>
      <extLst>
        <ext uri="{3e2802c4-a4d2-4d8b-9148-e3be6c30e623}">
          <xlrd:rvb i="5005"/>
        </ext>
      </extLst>
    </bk>
    <bk>
      <extLst>
        <ext uri="{3e2802c4-a4d2-4d8b-9148-e3be6c30e623}">
          <xlrd:rvb i="5006"/>
        </ext>
      </extLst>
    </bk>
    <bk>
      <extLst>
        <ext uri="{3e2802c4-a4d2-4d8b-9148-e3be6c30e623}">
          <xlrd:rvb i="5007"/>
        </ext>
      </extLst>
    </bk>
    <bk>
      <extLst>
        <ext uri="{3e2802c4-a4d2-4d8b-9148-e3be6c30e623}">
          <xlrd:rvb i="5008"/>
        </ext>
      </extLst>
    </bk>
    <bk>
      <extLst>
        <ext uri="{3e2802c4-a4d2-4d8b-9148-e3be6c30e623}">
          <xlrd:rvb i="5009"/>
        </ext>
      </extLst>
    </bk>
    <bk>
      <extLst>
        <ext uri="{3e2802c4-a4d2-4d8b-9148-e3be6c30e623}">
          <xlrd:rvb i="5010"/>
        </ext>
      </extLst>
    </bk>
    <bk>
      <extLst>
        <ext uri="{3e2802c4-a4d2-4d8b-9148-e3be6c30e623}">
          <xlrd:rvb i="5011"/>
        </ext>
      </extLst>
    </bk>
    <bk>
      <extLst>
        <ext uri="{3e2802c4-a4d2-4d8b-9148-e3be6c30e623}">
          <xlrd:rvb i="5012"/>
        </ext>
      </extLst>
    </bk>
    <bk>
      <extLst>
        <ext uri="{3e2802c4-a4d2-4d8b-9148-e3be6c30e623}">
          <xlrd:rvb i="5013"/>
        </ext>
      </extLst>
    </bk>
    <bk>
      <extLst>
        <ext uri="{3e2802c4-a4d2-4d8b-9148-e3be6c30e623}">
          <xlrd:rvb i="5014"/>
        </ext>
      </extLst>
    </bk>
    <bk>
      <extLst>
        <ext uri="{3e2802c4-a4d2-4d8b-9148-e3be6c30e623}">
          <xlrd:rvb i="5015"/>
        </ext>
      </extLst>
    </bk>
    <bk>
      <extLst>
        <ext uri="{3e2802c4-a4d2-4d8b-9148-e3be6c30e623}">
          <xlrd:rvb i="5016"/>
        </ext>
      </extLst>
    </bk>
    <bk>
      <extLst>
        <ext uri="{3e2802c4-a4d2-4d8b-9148-e3be6c30e623}">
          <xlrd:rvb i="5017"/>
        </ext>
      </extLst>
    </bk>
    <bk>
      <extLst>
        <ext uri="{3e2802c4-a4d2-4d8b-9148-e3be6c30e623}">
          <xlrd:rvb i="5018"/>
        </ext>
      </extLst>
    </bk>
    <bk>
      <extLst>
        <ext uri="{3e2802c4-a4d2-4d8b-9148-e3be6c30e623}">
          <xlrd:rvb i="5019"/>
        </ext>
      </extLst>
    </bk>
    <bk>
      <extLst>
        <ext uri="{3e2802c4-a4d2-4d8b-9148-e3be6c30e623}">
          <xlrd:rvb i="5020"/>
        </ext>
      </extLst>
    </bk>
    <bk>
      <extLst>
        <ext uri="{3e2802c4-a4d2-4d8b-9148-e3be6c30e623}">
          <xlrd:rvb i="5021"/>
        </ext>
      </extLst>
    </bk>
    <bk>
      <extLst>
        <ext uri="{3e2802c4-a4d2-4d8b-9148-e3be6c30e623}">
          <xlrd:rvb i="5022"/>
        </ext>
      </extLst>
    </bk>
    <bk>
      <extLst>
        <ext uri="{3e2802c4-a4d2-4d8b-9148-e3be6c30e623}">
          <xlrd:rvb i="5023"/>
        </ext>
      </extLst>
    </bk>
    <bk>
      <extLst>
        <ext uri="{3e2802c4-a4d2-4d8b-9148-e3be6c30e623}">
          <xlrd:rvb i="5024"/>
        </ext>
      </extLst>
    </bk>
    <bk>
      <extLst>
        <ext uri="{3e2802c4-a4d2-4d8b-9148-e3be6c30e623}">
          <xlrd:rvb i="5025"/>
        </ext>
      </extLst>
    </bk>
    <bk>
      <extLst>
        <ext uri="{3e2802c4-a4d2-4d8b-9148-e3be6c30e623}">
          <xlrd:rvb i="5026"/>
        </ext>
      </extLst>
    </bk>
    <bk>
      <extLst>
        <ext uri="{3e2802c4-a4d2-4d8b-9148-e3be6c30e623}">
          <xlrd:rvb i="5027"/>
        </ext>
      </extLst>
    </bk>
    <bk>
      <extLst>
        <ext uri="{3e2802c4-a4d2-4d8b-9148-e3be6c30e623}">
          <xlrd:rvb i="5028"/>
        </ext>
      </extLst>
    </bk>
    <bk>
      <extLst>
        <ext uri="{3e2802c4-a4d2-4d8b-9148-e3be6c30e623}">
          <xlrd:rvb i="5029"/>
        </ext>
      </extLst>
    </bk>
    <bk>
      <extLst>
        <ext uri="{3e2802c4-a4d2-4d8b-9148-e3be6c30e623}">
          <xlrd:rvb i="5030"/>
        </ext>
      </extLst>
    </bk>
    <bk>
      <extLst>
        <ext uri="{3e2802c4-a4d2-4d8b-9148-e3be6c30e623}">
          <xlrd:rvb i="5031"/>
        </ext>
      </extLst>
    </bk>
    <bk>
      <extLst>
        <ext uri="{3e2802c4-a4d2-4d8b-9148-e3be6c30e623}">
          <xlrd:rvb i="5032"/>
        </ext>
      </extLst>
    </bk>
    <bk>
      <extLst>
        <ext uri="{3e2802c4-a4d2-4d8b-9148-e3be6c30e623}">
          <xlrd:rvb i="5033"/>
        </ext>
      </extLst>
    </bk>
    <bk>
      <extLst>
        <ext uri="{3e2802c4-a4d2-4d8b-9148-e3be6c30e623}">
          <xlrd:rvb i="5034"/>
        </ext>
      </extLst>
    </bk>
    <bk>
      <extLst>
        <ext uri="{3e2802c4-a4d2-4d8b-9148-e3be6c30e623}">
          <xlrd:rvb i="5035"/>
        </ext>
      </extLst>
    </bk>
    <bk>
      <extLst>
        <ext uri="{3e2802c4-a4d2-4d8b-9148-e3be6c30e623}">
          <xlrd:rvb i="5036"/>
        </ext>
      </extLst>
    </bk>
    <bk>
      <extLst>
        <ext uri="{3e2802c4-a4d2-4d8b-9148-e3be6c30e623}">
          <xlrd:rvb i="5037"/>
        </ext>
      </extLst>
    </bk>
    <bk>
      <extLst>
        <ext uri="{3e2802c4-a4d2-4d8b-9148-e3be6c30e623}">
          <xlrd:rvb i="5038"/>
        </ext>
      </extLst>
    </bk>
    <bk>
      <extLst>
        <ext uri="{3e2802c4-a4d2-4d8b-9148-e3be6c30e623}">
          <xlrd:rvb i="5039"/>
        </ext>
      </extLst>
    </bk>
    <bk>
      <extLst>
        <ext uri="{3e2802c4-a4d2-4d8b-9148-e3be6c30e623}">
          <xlrd:rvb i="5040"/>
        </ext>
      </extLst>
    </bk>
    <bk>
      <extLst>
        <ext uri="{3e2802c4-a4d2-4d8b-9148-e3be6c30e623}">
          <xlrd:rvb i="5041"/>
        </ext>
      </extLst>
    </bk>
    <bk>
      <extLst>
        <ext uri="{3e2802c4-a4d2-4d8b-9148-e3be6c30e623}">
          <xlrd:rvb i="5042"/>
        </ext>
      </extLst>
    </bk>
    <bk>
      <extLst>
        <ext uri="{3e2802c4-a4d2-4d8b-9148-e3be6c30e623}">
          <xlrd:rvb i="5043"/>
        </ext>
      </extLst>
    </bk>
    <bk>
      <extLst>
        <ext uri="{3e2802c4-a4d2-4d8b-9148-e3be6c30e623}">
          <xlrd:rvb i="5044"/>
        </ext>
      </extLst>
    </bk>
    <bk>
      <extLst>
        <ext uri="{3e2802c4-a4d2-4d8b-9148-e3be6c30e623}">
          <xlrd:rvb i="5045"/>
        </ext>
      </extLst>
    </bk>
    <bk>
      <extLst>
        <ext uri="{3e2802c4-a4d2-4d8b-9148-e3be6c30e623}">
          <xlrd:rvb i="5046"/>
        </ext>
      </extLst>
    </bk>
    <bk>
      <extLst>
        <ext uri="{3e2802c4-a4d2-4d8b-9148-e3be6c30e623}">
          <xlrd:rvb i="5047"/>
        </ext>
      </extLst>
    </bk>
    <bk>
      <extLst>
        <ext uri="{3e2802c4-a4d2-4d8b-9148-e3be6c30e623}">
          <xlrd:rvb i="5048"/>
        </ext>
      </extLst>
    </bk>
    <bk>
      <extLst>
        <ext uri="{3e2802c4-a4d2-4d8b-9148-e3be6c30e623}">
          <xlrd:rvb i="5049"/>
        </ext>
      </extLst>
    </bk>
    <bk>
      <extLst>
        <ext uri="{3e2802c4-a4d2-4d8b-9148-e3be6c30e623}">
          <xlrd:rvb i="5050"/>
        </ext>
      </extLst>
    </bk>
    <bk>
      <extLst>
        <ext uri="{3e2802c4-a4d2-4d8b-9148-e3be6c30e623}">
          <xlrd:rvb i="5051"/>
        </ext>
      </extLst>
    </bk>
    <bk>
      <extLst>
        <ext uri="{3e2802c4-a4d2-4d8b-9148-e3be6c30e623}">
          <xlrd:rvb i="5052"/>
        </ext>
      </extLst>
    </bk>
    <bk>
      <extLst>
        <ext uri="{3e2802c4-a4d2-4d8b-9148-e3be6c30e623}">
          <xlrd:rvb i="5053"/>
        </ext>
      </extLst>
    </bk>
    <bk>
      <extLst>
        <ext uri="{3e2802c4-a4d2-4d8b-9148-e3be6c30e623}">
          <xlrd:rvb i="5054"/>
        </ext>
      </extLst>
    </bk>
    <bk>
      <extLst>
        <ext uri="{3e2802c4-a4d2-4d8b-9148-e3be6c30e623}">
          <xlrd:rvb i="5055"/>
        </ext>
      </extLst>
    </bk>
    <bk>
      <extLst>
        <ext uri="{3e2802c4-a4d2-4d8b-9148-e3be6c30e623}">
          <xlrd:rvb i="5056"/>
        </ext>
      </extLst>
    </bk>
    <bk>
      <extLst>
        <ext uri="{3e2802c4-a4d2-4d8b-9148-e3be6c30e623}">
          <xlrd:rvb i="5057"/>
        </ext>
      </extLst>
    </bk>
    <bk>
      <extLst>
        <ext uri="{3e2802c4-a4d2-4d8b-9148-e3be6c30e623}">
          <xlrd:rvb i="5058"/>
        </ext>
      </extLst>
    </bk>
    <bk>
      <extLst>
        <ext uri="{3e2802c4-a4d2-4d8b-9148-e3be6c30e623}">
          <xlrd:rvb i="5059"/>
        </ext>
      </extLst>
    </bk>
    <bk>
      <extLst>
        <ext uri="{3e2802c4-a4d2-4d8b-9148-e3be6c30e623}">
          <xlrd:rvb i="5060"/>
        </ext>
      </extLst>
    </bk>
    <bk>
      <extLst>
        <ext uri="{3e2802c4-a4d2-4d8b-9148-e3be6c30e623}">
          <xlrd:rvb i="5061"/>
        </ext>
      </extLst>
    </bk>
    <bk>
      <extLst>
        <ext uri="{3e2802c4-a4d2-4d8b-9148-e3be6c30e623}">
          <xlrd:rvb i="5062"/>
        </ext>
      </extLst>
    </bk>
    <bk>
      <extLst>
        <ext uri="{3e2802c4-a4d2-4d8b-9148-e3be6c30e623}">
          <xlrd:rvb i="5063"/>
        </ext>
      </extLst>
    </bk>
    <bk>
      <extLst>
        <ext uri="{3e2802c4-a4d2-4d8b-9148-e3be6c30e623}">
          <xlrd:rvb i="5064"/>
        </ext>
      </extLst>
    </bk>
    <bk>
      <extLst>
        <ext uri="{3e2802c4-a4d2-4d8b-9148-e3be6c30e623}">
          <xlrd:rvb i="5065"/>
        </ext>
      </extLst>
    </bk>
    <bk>
      <extLst>
        <ext uri="{3e2802c4-a4d2-4d8b-9148-e3be6c30e623}">
          <xlrd:rvb i="5066"/>
        </ext>
      </extLst>
    </bk>
    <bk>
      <extLst>
        <ext uri="{3e2802c4-a4d2-4d8b-9148-e3be6c30e623}">
          <xlrd:rvb i="5067"/>
        </ext>
      </extLst>
    </bk>
    <bk>
      <extLst>
        <ext uri="{3e2802c4-a4d2-4d8b-9148-e3be6c30e623}">
          <xlrd:rvb i="5068"/>
        </ext>
      </extLst>
    </bk>
    <bk>
      <extLst>
        <ext uri="{3e2802c4-a4d2-4d8b-9148-e3be6c30e623}">
          <xlrd:rvb i="5069"/>
        </ext>
      </extLst>
    </bk>
    <bk>
      <extLst>
        <ext uri="{3e2802c4-a4d2-4d8b-9148-e3be6c30e623}">
          <xlrd:rvb i="5070"/>
        </ext>
      </extLst>
    </bk>
    <bk>
      <extLst>
        <ext uri="{3e2802c4-a4d2-4d8b-9148-e3be6c30e623}">
          <xlrd:rvb i="5071"/>
        </ext>
      </extLst>
    </bk>
    <bk>
      <extLst>
        <ext uri="{3e2802c4-a4d2-4d8b-9148-e3be6c30e623}">
          <xlrd:rvb i="5072"/>
        </ext>
      </extLst>
    </bk>
    <bk>
      <extLst>
        <ext uri="{3e2802c4-a4d2-4d8b-9148-e3be6c30e623}">
          <xlrd:rvb i="5073"/>
        </ext>
      </extLst>
    </bk>
    <bk>
      <extLst>
        <ext uri="{3e2802c4-a4d2-4d8b-9148-e3be6c30e623}">
          <xlrd:rvb i="5074"/>
        </ext>
      </extLst>
    </bk>
    <bk>
      <extLst>
        <ext uri="{3e2802c4-a4d2-4d8b-9148-e3be6c30e623}">
          <xlrd:rvb i="5075"/>
        </ext>
      </extLst>
    </bk>
    <bk>
      <extLst>
        <ext uri="{3e2802c4-a4d2-4d8b-9148-e3be6c30e623}">
          <xlrd:rvb i="5076"/>
        </ext>
      </extLst>
    </bk>
    <bk>
      <extLst>
        <ext uri="{3e2802c4-a4d2-4d8b-9148-e3be6c30e623}">
          <xlrd:rvb i="5077"/>
        </ext>
      </extLst>
    </bk>
    <bk>
      <extLst>
        <ext uri="{3e2802c4-a4d2-4d8b-9148-e3be6c30e623}">
          <xlrd:rvb i="5078"/>
        </ext>
      </extLst>
    </bk>
    <bk>
      <extLst>
        <ext uri="{3e2802c4-a4d2-4d8b-9148-e3be6c30e623}">
          <xlrd:rvb i="5079"/>
        </ext>
      </extLst>
    </bk>
    <bk>
      <extLst>
        <ext uri="{3e2802c4-a4d2-4d8b-9148-e3be6c30e623}">
          <xlrd:rvb i="5080"/>
        </ext>
      </extLst>
    </bk>
    <bk>
      <extLst>
        <ext uri="{3e2802c4-a4d2-4d8b-9148-e3be6c30e623}">
          <xlrd:rvb i="5081"/>
        </ext>
      </extLst>
    </bk>
    <bk>
      <extLst>
        <ext uri="{3e2802c4-a4d2-4d8b-9148-e3be6c30e623}">
          <xlrd:rvb i="5082"/>
        </ext>
      </extLst>
    </bk>
    <bk>
      <extLst>
        <ext uri="{3e2802c4-a4d2-4d8b-9148-e3be6c30e623}">
          <xlrd:rvb i="5083"/>
        </ext>
      </extLst>
    </bk>
    <bk>
      <extLst>
        <ext uri="{3e2802c4-a4d2-4d8b-9148-e3be6c30e623}">
          <xlrd:rvb i="5084"/>
        </ext>
      </extLst>
    </bk>
    <bk>
      <extLst>
        <ext uri="{3e2802c4-a4d2-4d8b-9148-e3be6c30e623}">
          <xlrd:rvb i="5085"/>
        </ext>
      </extLst>
    </bk>
    <bk>
      <extLst>
        <ext uri="{3e2802c4-a4d2-4d8b-9148-e3be6c30e623}">
          <xlrd:rvb i="5086"/>
        </ext>
      </extLst>
    </bk>
    <bk>
      <extLst>
        <ext uri="{3e2802c4-a4d2-4d8b-9148-e3be6c30e623}">
          <xlrd:rvb i="5087"/>
        </ext>
      </extLst>
    </bk>
    <bk>
      <extLst>
        <ext uri="{3e2802c4-a4d2-4d8b-9148-e3be6c30e623}">
          <xlrd:rvb i="5088"/>
        </ext>
      </extLst>
    </bk>
    <bk>
      <extLst>
        <ext uri="{3e2802c4-a4d2-4d8b-9148-e3be6c30e623}">
          <xlrd:rvb i="5089"/>
        </ext>
      </extLst>
    </bk>
    <bk>
      <extLst>
        <ext uri="{3e2802c4-a4d2-4d8b-9148-e3be6c30e623}">
          <xlrd:rvb i="5090"/>
        </ext>
      </extLst>
    </bk>
    <bk>
      <extLst>
        <ext uri="{3e2802c4-a4d2-4d8b-9148-e3be6c30e623}">
          <xlrd:rvb i="5091"/>
        </ext>
      </extLst>
    </bk>
    <bk>
      <extLst>
        <ext uri="{3e2802c4-a4d2-4d8b-9148-e3be6c30e623}">
          <xlrd:rvb i="5092"/>
        </ext>
      </extLst>
    </bk>
    <bk>
      <extLst>
        <ext uri="{3e2802c4-a4d2-4d8b-9148-e3be6c30e623}">
          <xlrd:rvb i="5093"/>
        </ext>
      </extLst>
    </bk>
    <bk>
      <extLst>
        <ext uri="{3e2802c4-a4d2-4d8b-9148-e3be6c30e623}">
          <xlrd:rvb i="5094"/>
        </ext>
      </extLst>
    </bk>
    <bk>
      <extLst>
        <ext uri="{3e2802c4-a4d2-4d8b-9148-e3be6c30e623}">
          <xlrd:rvb i="5095"/>
        </ext>
      </extLst>
    </bk>
    <bk>
      <extLst>
        <ext uri="{3e2802c4-a4d2-4d8b-9148-e3be6c30e623}">
          <xlrd:rvb i="5096"/>
        </ext>
      </extLst>
    </bk>
    <bk>
      <extLst>
        <ext uri="{3e2802c4-a4d2-4d8b-9148-e3be6c30e623}">
          <xlrd:rvb i="5097"/>
        </ext>
      </extLst>
    </bk>
    <bk>
      <extLst>
        <ext uri="{3e2802c4-a4d2-4d8b-9148-e3be6c30e623}">
          <xlrd:rvb i="5098"/>
        </ext>
      </extLst>
    </bk>
    <bk>
      <extLst>
        <ext uri="{3e2802c4-a4d2-4d8b-9148-e3be6c30e623}">
          <xlrd:rvb i="5099"/>
        </ext>
      </extLst>
    </bk>
    <bk>
      <extLst>
        <ext uri="{3e2802c4-a4d2-4d8b-9148-e3be6c30e623}">
          <xlrd:rvb i="5100"/>
        </ext>
      </extLst>
    </bk>
    <bk>
      <extLst>
        <ext uri="{3e2802c4-a4d2-4d8b-9148-e3be6c30e623}">
          <xlrd:rvb i="5101"/>
        </ext>
      </extLst>
    </bk>
    <bk>
      <extLst>
        <ext uri="{3e2802c4-a4d2-4d8b-9148-e3be6c30e623}">
          <xlrd:rvb i="5102"/>
        </ext>
      </extLst>
    </bk>
    <bk>
      <extLst>
        <ext uri="{3e2802c4-a4d2-4d8b-9148-e3be6c30e623}">
          <xlrd:rvb i="5103"/>
        </ext>
      </extLst>
    </bk>
    <bk>
      <extLst>
        <ext uri="{3e2802c4-a4d2-4d8b-9148-e3be6c30e623}">
          <xlrd:rvb i="5104"/>
        </ext>
      </extLst>
    </bk>
    <bk>
      <extLst>
        <ext uri="{3e2802c4-a4d2-4d8b-9148-e3be6c30e623}">
          <xlrd:rvb i="5105"/>
        </ext>
      </extLst>
    </bk>
    <bk>
      <extLst>
        <ext uri="{3e2802c4-a4d2-4d8b-9148-e3be6c30e623}">
          <xlrd:rvb i="5106"/>
        </ext>
      </extLst>
    </bk>
    <bk>
      <extLst>
        <ext uri="{3e2802c4-a4d2-4d8b-9148-e3be6c30e623}">
          <xlrd:rvb i="5107"/>
        </ext>
      </extLst>
    </bk>
    <bk>
      <extLst>
        <ext uri="{3e2802c4-a4d2-4d8b-9148-e3be6c30e623}">
          <xlrd:rvb i="5108"/>
        </ext>
      </extLst>
    </bk>
    <bk>
      <extLst>
        <ext uri="{3e2802c4-a4d2-4d8b-9148-e3be6c30e623}">
          <xlrd:rvb i="5109"/>
        </ext>
      </extLst>
    </bk>
    <bk>
      <extLst>
        <ext uri="{3e2802c4-a4d2-4d8b-9148-e3be6c30e623}">
          <xlrd:rvb i="5110"/>
        </ext>
      </extLst>
    </bk>
    <bk>
      <extLst>
        <ext uri="{3e2802c4-a4d2-4d8b-9148-e3be6c30e623}">
          <xlrd:rvb i="5111"/>
        </ext>
      </extLst>
    </bk>
    <bk>
      <extLst>
        <ext uri="{3e2802c4-a4d2-4d8b-9148-e3be6c30e623}">
          <xlrd:rvb i="5112"/>
        </ext>
      </extLst>
    </bk>
    <bk>
      <extLst>
        <ext uri="{3e2802c4-a4d2-4d8b-9148-e3be6c30e623}">
          <xlrd:rvb i="5113"/>
        </ext>
      </extLst>
    </bk>
    <bk>
      <extLst>
        <ext uri="{3e2802c4-a4d2-4d8b-9148-e3be6c30e623}">
          <xlrd:rvb i="5114"/>
        </ext>
      </extLst>
    </bk>
    <bk>
      <extLst>
        <ext uri="{3e2802c4-a4d2-4d8b-9148-e3be6c30e623}">
          <xlrd:rvb i="5115"/>
        </ext>
      </extLst>
    </bk>
    <bk>
      <extLst>
        <ext uri="{3e2802c4-a4d2-4d8b-9148-e3be6c30e623}">
          <xlrd:rvb i="5116"/>
        </ext>
      </extLst>
    </bk>
    <bk>
      <extLst>
        <ext uri="{3e2802c4-a4d2-4d8b-9148-e3be6c30e623}">
          <xlrd:rvb i="5117"/>
        </ext>
      </extLst>
    </bk>
    <bk>
      <extLst>
        <ext uri="{3e2802c4-a4d2-4d8b-9148-e3be6c30e623}">
          <xlrd:rvb i="5118"/>
        </ext>
      </extLst>
    </bk>
    <bk>
      <extLst>
        <ext uri="{3e2802c4-a4d2-4d8b-9148-e3be6c30e623}">
          <xlrd:rvb i="5119"/>
        </ext>
      </extLst>
    </bk>
    <bk>
      <extLst>
        <ext uri="{3e2802c4-a4d2-4d8b-9148-e3be6c30e623}">
          <xlrd:rvb i="5120"/>
        </ext>
      </extLst>
    </bk>
    <bk>
      <extLst>
        <ext uri="{3e2802c4-a4d2-4d8b-9148-e3be6c30e623}">
          <xlrd:rvb i="5121"/>
        </ext>
      </extLst>
    </bk>
    <bk>
      <extLst>
        <ext uri="{3e2802c4-a4d2-4d8b-9148-e3be6c30e623}">
          <xlrd:rvb i="5122"/>
        </ext>
      </extLst>
    </bk>
    <bk>
      <extLst>
        <ext uri="{3e2802c4-a4d2-4d8b-9148-e3be6c30e623}">
          <xlrd:rvb i="5123"/>
        </ext>
      </extLst>
    </bk>
    <bk>
      <extLst>
        <ext uri="{3e2802c4-a4d2-4d8b-9148-e3be6c30e623}">
          <xlrd:rvb i="5124"/>
        </ext>
      </extLst>
    </bk>
    <bk>
      <extLst>
        <ext uri="{3e2802c4-a4d2-4d8b-9148-e3be6c30e623}">
          <xlrd:rvb i="5125"/>
        </ext>
      </extLst>
    </bk>
    <bk>
      <extLst>
        <ext uri="{3e2802c4-a4d2-4d8b-9148-e3be6c30e623}">
          <xlrd:rvb i="5126"/>
        </ext>
      </extLst>
    </bk>
    <bk>
      <extLst>
        <ext uri="{3e2802c4-a4d2-4d8b-9148-e3be6c30e623}">
          <xlrd:rvb i="5127"/>
        </ext>
      </extLst>
    </bk>
    <bk>
      <extLst>
        <ext uri="{3e2802c4-a4d2-4d8b-9148-e3be6c30e623}">
          <xlrd:rvb i="5128"/>
        </ext>
      </extLst>
    </bk>
    <bk>
      <extLst>
        <ext uri="{3e2802c4-a4d2-4d8b-9148-e3be6c30e623}">
          <xlrd:rvb i="5129"/>
        </ext>
      </extLst>
    </bk>
    <bk>
      <extLst>
        <ext uri="{3e2802c4-a4d2-4d8b-9148-e3be6c30e623}">
          <xlrd:rvb i="5130"/>
        </ext>
      </extLst>
    </bk>
    <bk>
      <extLst>
        <ext uri="{3e2802c4-a4d2-4d8b-9148-e3be6c30e623}">
          <xlrd:rvb i="5131"/>
        </ext>
      </extLst>
    </bk>
    <bk>
      <extLst>
        <ext uri="{3e2802c4-a4d2-4d8b-9148-e3be6c30e623}">
          <xlrd:rvb i="5132"/>
        </ext>
      </extLst>
    </bk>
    <bk>
      <extLst>
        <ext uri="{3e2802c4-a4d2-4d8b-9148-e3be6c30e623}">
          <xlrd:rvb i="5133"/>
        </ext>
      </extLst>
    </bk>
    <bk>
      <extLst>
        <ext uri="{3e2802c4-a4d2-4d8b-9148-e3be6c30e623}">
          <xlrd:rvb i="5134"/>
        </ext>
      </extLst>
    </bk>
    <bk>
      <extLst>
        <ext uri="{3e2802c4-a4d2-4d8b-9148-e3be6c30e623}">
          <xlrd:rvb i="5135"/>
        </ext>
      </extLst>
    </bk>
    <bk>
      <extLst>
        <ext uri="{3e2802c4-a4d2-4d8b-9148-e3be6c30e623}">
          <xlrd:rvb i="5136"/>
        </ext>
      </extLst>
    </bk>
    <bk>
      <extLst>
        <ext uri="{3e2802c4-a4d2-4d8b-9148-e3be6c30e623}">
          <xlrd:rvb i="5137"/>
        </ext>
      </extLst>
    </bk>
    <bk>
      <extLst>
        <ext uri="{3e2802c4-a4d2-4d8b-9148-e3be6c30e623}">
          <xlrd:rvb i="5138"/>
        </ext>
      </extLst>
    </bk>
    <bk>
      <extLst>
        <ext uri="{3e2802c4-a4d2-4d8b-9148-e3be6c30e623}">
          <xlrd:rvb i="5139"/>
        </ext>
      </extLst>
    </bk>
    <bk>
      <extLst>
        <ext uri="{3e2802c4-a4d2-4d8b-9148-e3be6c30e623}">
          <xlrd:rvb i="5140"/>
        </ext>
      </extLst>
    </bk>
    <bk>
      <extLst>
        <ext uri="{3e2802c4-a4d2-4d8b-9148-e3be6c30e623}">
          <xlrd:rvb i="5141"/>
        </ext>
      </extLst>
    </bk>
    <bk>
      <extLst>
        <ext uri="{3e2802c4-a4d2-4d8b-9148-e3be6c30e623}">
          <xlrd:rvb i="5142"/>
        </ext>
      </extLst>
    </bk>
    <bk>
      <extLst>
        <ext uri="{3e2802c4-a4d2-4d8b-9148-e3be6c30e623}">
          <xlrd:rvb i="5143"/>
        </ext>
      </extLst>
    </bk>
    <bk>
      <extLst>
        <ext uri="{3e2802c4-a4d2-4d8b-9148-e3be6c30e623}">
          <xlrd:rvb i="5144"/>
        </ext>
      </extLst>
    </bk>
    <bk>
      <extLst>
        <ext uri="{3e2802c4-a4d2-4d8b-9148-e3be6c30e623}">
          <xlrd:rvb i="5145"/>
        </ext>
      </extLst>
    </bk>
    <bk>
      <extLst>
        <ext uri="{3e2802c4-a4d2-4d8b-9148-e3be6c30e623}">
          <xlrd:rvb i="5146"/>
        </ext>
      </extLst>
    </bk>
    <bk>
      <extLst>
        <ext uri="{3e2802c4-a4d2-4d8b-9148-e3be6c30e623}">
          <xlrd:rvb i="5147"/>
        </ext>
      </extLst>
    </bk>
    <bk>
      <extLst>
        <ext uri="{3e2802c4-a4d2-4d8b-9148-e3be6c30e623}">
          <xlrd:rvb i="5148"/>
        </ext>
      </extLst>
    </bk>
    <bk>
      <extLst>
        <ext uri="{3e2802c4-a4d2-4d8b-9148-e3be6c30e623}">
          <xlrd:rvb i="5149"/>
        </ext>
      </extLst>
    </bk>
    <bk>
      <extLst>
        <ext uri="{3e2802c4-a4d2-4d8b-9148-e3be6c30e623}">
          <xlrd:rvb i="5150"/>
        </ext>
      </extLst>
    </bk>
    <bk>
      <extLst>
        <ext uri="{3e2802c4-a4d2-4d8b-9148-e3be6c30e623}">
          <xlrd:rvb i="5151"/>
        </ext>
      </extLst>
    </bk>
    <bk>
      <extLst>
        <ext uri="{3e2802c4-a4d2-4d8b-9148-e3be6c30e623}">
          <xlrd:rvb i="5152"/>
        </ext>
      </extLst>
    </bk>
    <bk>
      <extLst>
        <ext uri="{3e2802c4-a4d2-4d8b-9148-e3be6c30e623}">
          <xlrd:rvb i="5153"/>
        </ext>
      </extLst>
    </bk>
    <bk>
      <extLst>
        <ext uri="{3e2802c4-a4d2-4d8b-9148-e3be6c30e623}">
          <xlrd:rvb i="5154"/>
        </ext>
      </extLst>
    </bk>
    <bk>
      <extLst>
        <ext uri="{3e2802c4-a4d2-4d8b-9148-e3be6c30e623}">
          <xlrd:rvb i="5155"/>
        </ext>
      </extLst>
    </bk>
    <bk>
      <extLst>
        <ext uri="{3e2802c4-a4d2-4d8b-9148-e3be6c30e623}">
          <xlrd:rvb i="5156"/>
        </ext>
      </extLst>
    </bk>
    <bk>
      <extLst>
        <ext uri="{3e2802c4-a4d2-4d8b-9148-e3be6c30e623}">
          <xlrd:rvb i="5157"/>
        </ext>
      </extLst>
    </bk>
    <bk>
      <extLst>
        <ext uri="{3e2802c4-a4d2-4d8b-9148-e3be6c30e623}">
          <xlrd:rvb i="5158"/>
        </ext>
      </extLst>
    </bk>
    <bk>
      <extLst>
        <ext uri="{3e2802c4-a4d2-4d8b-9148-e3be6c30e623}">
          <xlrd:rvb i="5159"/>
        </ext>
      </extLst>
    </bk>
    <bk>
      <extLst>
        <ext uri="{3e2802c4-a4d2-4d8b-9148-e3be6c30e623}">
          <xlrd:rvb i="5160"/>
        </ext>
      </extLst>
    </bk>
    <bk>
      <extLst>
        <ext uri="{3e2802c4-a4d2-4d8b-9148-e3be6c30e623}">
          <xlrd:rvb i="5161"/>
        </ext>
      </extLst>
    </bk>
    <bk>
      <extLst>
        <ext uri="{3e2802c4-a4d2-4d8b-9148-e3be6c30e623}">
          <xlrd:rvb i="5162"/>
        </ext>
      </extLst>
    </bk>
    <bk>
      <extLst>
        <ext uri="{3e2802c4-a4d2-4d8b-9148-e3be6c30e623}">
          <xlrd:rvb i="5163"/>
        </ext>
      </extLst>
    </bk>
    <bk>
      <extLst>
        <ext uri="{3e2802c4-a4d2-4d8b-9148-e3be6c30e623}">
          <xlrd:rvb i="5164"/>
        </ext>
      </extLst>
    </bk>
    <bk>
      <extLst>
        <ext uri="{3e2802c4-a4d2-4d8b-9148-e3be6c30e623}">
          <xlrd:rvb i="5165"/>
        </ext>
      </extLst>
    </bk>
    <bk>
      <extLst>
        <ext uri="{3e2802c4-a4d2-4d8b-9148-e3be6c30e623}">
          <xlrd:rvb i="5166"/>
        </ext>
      </extLst>
    </bk>
    <bk>
      <extLst>
        <ext uri="{3e2802c4-a4d2-4d8b-9148-e3be6c30e623}">
          <xlrd:rvb i="5167"/>
        </ext>
      </extLst>
    </bk>
    <bk>
      <extLst>
        <ext uri="{3e2802c4-a4d2-4d8b-9148-e3be6c30e623}">
          <xlrd:rvb i="5168"/>
        </ext>
      </extLst>
    </bk>
    <bk>
      <extLst>
        <ext uri="{3e2802c4-a4d2-4d8b-9148-e3be6c30e623}">
          <xlrd:rvb i="5169"/>
        </ext>
      </extLst>
    </bk>
    <bk>
      <extLst>
        <ext uri="{3e2802c4-a4d2-4d8b-9148-e3be6c30e623}">
          <xlrd:rvb i="5170"/>
        </ext>
      </extLst>
    </bk>
    <bk>
      <extLst>
        <ext uri="{3e2802c4-a4d2-4d8b-9148-e3be6c30e623}">
          <xlrd:rvb i="5171"/>
        </ext>
      </extLst>
    </bk>
    <bk>
      <extLst>
        <ext uri="{3e2802c4-a4d2-4d8b-9148-e3be6c30e623}">
          <xlrd:rvb i="5172"/>
        </ext>
      </extLst>
    </bk>
    <bk>
      <extLst>
        <ext uri="{3e2802c4-a4d2-4d8b-9148-e3be6c30e623}">
          <xlrd:rvb i="5173"/>
        </ext>
      </extLst>
    </bk>
    <bk>
      <extLst>
        <ext uri="{3e2802c4-a4d2-4d8b-9148-e3be6c30e623}">
          <xlrd:rvb i="5174"/>
        </ext>
      </extLst>
    </bk>
    <bk>
      <extLst>
        <ext uri="{3e2802c4-a4d2-4d8b-9148-e3be6c30e623}">
          <xlrd:rvb i="5175"/>
        </ext>
      </extLst>
    </bk>
    <bk>
      <extLst>
        <ext uri="{3e2802c4-a4d2-4d8b-9148-e3be6c30e623}">
          <xlrd:rvb i="5176"/>
        </ext>
      </extLst>
    </bk>
    <bk>
      <extLst>
        <ext uri="{3e2802c4-a4d2-4d8b-9148-e3be6c30e623}">
          <xlrd:rvb i="5177"/>
        </ext>
      </extLst>
    </bk>
    <bk>
      <extLst>
        <ext uri="{3e2802c4-a4d2-4d8b-9148-e3be6c30e623}">
          <xlrd:rvb i="5178"/>
        </ext>
      </extLst>
    </bk>
    <bk>
      <extLst>
        <ext uri="{3e2802c4-a4d2-4d8b-9148-e3be6c30e623}">
          <xlrd:rvb i="5179"/>
        </ext>
      </extLst>
    </bk>
    <bk>
      <extLst>
        <ext uri="{3e2802c4-a4d2-4d8b-9148-e3be6c30e623}">
          <xlrd:rvb i="5180"/>
        </ext>
      </extLst>
    </bk>
    <bk>
      <extLst>
        <ext uri="{3e2802c4-a4d2-4d8b-9148-e3be6c30e623}">
          <xlrd:rvb i="5181"/>
        </ext>
      </extLst>
    </bk>
    <bk>
      <extLst>
        <ext uri="{3e2802c4-a4d2-4d8b-9148-e3be6c30e623}">
          <xlrd:rvb i="5182"/>
        </ext>
      </extLst>
    </bk>
    <bk>
      <extLst>
        <ext uri="{3e2802c4-a4d2-4d8b-9148-e3be6c30e623}">
          <xlrd:rvb i="5183"/>
        </ext>
      </extLst>
    </bk>
    <bk>
      <extLst>
        <ext uri="{3e2802c4-a4d2-4d8b-9148-e3be6c30e623}">
          <xlrd:rvb i="5184"/>
        </ext>
      </extLst>
    </bk>
    <bk>
      <extLst>
        <ext uri="{3e2802c4-a4d2-4d8b-9148-e3be6c30e623}">
          <xlrd:rvb i="5185"/>
        </ext>
      </extLst>
    </bk>
    <bk>
      <extLst>
        <ext uri="{3e2802c4-a4d2-4d8b-9148-e3be6c30e623}">
          <xlrd:rvb i="5186"/>
        </ext>
      </extLst>
    </bk>
    <bk>
      <extLst>
        <ext uri="{3e2802c4-a4d2-4d8b-9148-e3be6c30e623}">
          <xlrd:rvb i="5187"/>
        </ext>
      </extLst>
    </bk>
    <bk>
      <extLst>
        <ext uri="{3e2802c4-a4d2-4d8b-9148-e3be6c30e623}">
          <xlrd:rvb i="5188"/>
        </ext>
      </extLst>
    </bk>
    <bk>
      <extLst>
        <ext uri="{3e2802c4-a4d2-4d8b-9148-e3be6c30e623}">
          <xlrd:rvb i="5189"/>
        </ext>
      </extLst>
    </bk>
    <bk>
      <extLst>
        <ext uri="{3e2802c4-a4d2-4d8b-9148-e3be6c30e623}">
          <xlrd:rvb i="5190"/>
        </ext>
      </extLst>
    </bk>
    <bk>
      <extLst>
        <ext uri="{3e2802c4-a4d2-4d8b-9148-e3be6c30e623}">
          <xlrd:rvb i="5191"/>
        </ext>
      </extLst>
    </bk>
    <bk>
      <extLst>
        <ext uri="{3e2802c4-a4d2-4d8b-9148-e3be6c30e623}">
          <xlrd:rvb i="5192"/>
        </ext>
      </extLst>
    </bk>
    <bk>
      <extLst>
        <ext uri="{3e2802c4-a4d2-4d8b-9148-e3be6c30e623}">
          <xlrd:rvb i="5193"/>
        </ext>
      </extLst>
    </bk>
    <bk>
      <extLst>
        <ext uri="{3e2802c4-a4d2-4d8b-9148-e3be6c30e623}">
          <xlrd:rvb i="5194"/>
        </ext>
      </extLst>
    </bk>
    <bk>
      <extLst>
        <ext uri="{3e2802c4-a4d2-4d8b-9148-e3be6c30e623}">
          <xlrd:rvb i="5195"/>
        </ext>
      </extLst>
    </bk>
    <bk>
      <extLst>
        <ext uri="{3e2802c4-a4d2-4d8b-9148-e3be6c30e623}">
          <xlrd:rvb i="5196"/>
        </ext>
      </extLst>
    </bk>
    <bk>
      <extLst>
        <ext uri="{3e2802c4-a4d2-4d8b-9148-e3be6c30e623}">
          <xlrd:rvb i="5197"/>
        </ext>
      </extLst>
    </bk>
    <bk>
      <extLst>
        <ext uri="{3e2802c4-a4d2-4d8b-9148-e3be6c30e623}">
          <xlrd:rvb i="5198"/>
        </ext>
      </extLst>
    </bk>
    <bk>
      <extLst>
        <ext uri="{3e2802c4-a4d2-4d8b-9148-e3be6c30e623}">
          <xlrd:rvb i="5199"/>
        </ext>
      </extLst>
    </bk>
    <bk>
      <extLst>
        <ext uri="{3e2802c4-a4d2-4d8b-9148-e3be6c30e623}">
          <xlrd:rvb i="5200"/>
        </ext>
      </extLst>
    </bk>
    <bk>
      <extLst>
        <ext uri="{3e2802c4-a4d2-4d8b-9148-e3be6c30e623}">
          <xlrd:rvb i="5201"/>
        </ext>
      </extLst>
    </bk>
    <bk>
      <extLst>
        <ext uri="{3e2802c4-a4d2-4d8b-9148-e3be6c30e623}">
          <xlrd:rvb i="5202"/>
        </ext>
      </extLst>
    </bk>
    <bk>
      <extLst>
        <ext uri="{3e2802c4-a4d2-4d8b-9148-e3be6c30e623}">
          <xlrd:rvb i="5203"/>
        </ext>
      </extLst>
    </bk>
    <bk>
      <extLst>
        <ext uri="{3e2802c4-a4d2-4d8b-9148-e3be6c30e623}">
          <xlrd:rvb i="5204"/>
        </ext>
      </extLst>
    </bk>
    <bk>
      <extLst>
        <ext uri="{3e2802c4-a4d2-4d8b-9148-e3be6c30e623}">
          <xlrd:rvb i="5205"/>
        </ext>
      </extLst>
    </bk>
    <bk>
      <extLst>
        <ext uri="{3e2802c4-a4d2-4d8b-9148-e3be6c30e623}">
          <xlrd:rvb i="5206"/>
        </ext>
      </extLst>
    </bk>
    <bk>
      <extLst>
        <ext uri="{3e2802c4-a4d2-4d8b-9148-e3be6c30e623}">
          <xlrd:rvb i="5207"/>
        </ext>
      </extLst>
    </bk>
    <bk>
      <extLst>
        <ext uri="{3e2802c4-a4d2-4d8b-9148-e3be6c30e623}">
          <xlrd:rvb i="5208"/>
        </ext>
      </extLst>
    </bk>
    <bk>
      <extLst>
        <ext uri="{3e2802c4-a4d2-4d8b-9148-e3be6c30e623}">
          <xlrd:rvb i="5209"/>
        </ext>
      </extLst>
    </bk>
    <bk>
      <extLst>
        <ext uri="{3e2802c4-a4d2-4d8b-9148-e3be6c30e623}">
          <xlrd:rvb i="5210"/>
        </ext>
      </extLst>
    </bk>
    <bk>
      <extLst>
        <ext uri="{3e2802c4-a4d2-4d8b-9148-e3be6c30e623}">
          <xlrd:rvb i="5211"/>
        </ext>
      </extLst>
    </bk>
    <bk>
      <extLst>
        <ext uri="{3e2802c4-a4d2-4d8b-9148-e3be6c30e623}">
          <xlrd:rvb i="5212"/>
        </ext>
      </extLst>
    </bk>
    <bk>
      <extLst>
        <ext uri="{3e2802c4-a4d2-4d8b-9148-e3be6c30e623}">
          <xlrd:rvb i="5213"/>
        </ext>
      </extLst>
    </bk>
    <bk>
      <extLst>
        <ext uri="{3e2802c4-a4d2-4d8b-9148-e3be6c30e623}">
          <xlrd:rvb i="5214"/>
        </ext>
      </extLst>
    </bk>
    <bk>
      <extLst>
        <ext uri="{3e2802c4-a4d2-4d8b-9148-e3be6c30e623}">
          <xlrd:rvb i="5215"/>
        </ext>
      </extLst>
    </bk>
    <bk>
      <extLst>
        <ext uri="{3e2802c4-a4d2-4d8b-9148-e3be6c30e623}">
          <xlrd:rvb i="5216"/>
        </ext>
      </extLst>
    </bk>
    <bk>
      <extLst>
        <ext uri="{3e2802c4-a4d2-4d8b-9148-e3be6c30e623}">
          <xlrd:rvb i="5217"/>
        </ext>
      </extLst>
    </bk>
    <bk>
      <extLst>
        <ext uri="{3e2802c4-a4d2-4d8b-9148-e3be6c30e623}">
          <xlrd:rvb i="5218"/>
        </ext>
      </extLst>
    </bk>
    <bk>
      <extLst>
        <ext uri="{3e2802c4-a4d2-4d8b-9148-e3be6c30e623}">
          <xlrd:rvb i="5219"/>
        </ext>
      </extLst>
    </bk>
    <bk>
      <extLst>
        <ext uri="{3e2802c4-a4d2-4d8b-9148-e3be6c30e623}">
          <xlrd:rvb i="5220"/>
        </ext>
      </extLst>
    </bk>
    <bk>
      <extLst>
        <ext uri="{3e2802c4-a4d2-4d8b-9148-e3be6c30e623}">
          <xlrd:rvb i="5221"/>
        </ext>
      </extLst>
    </bk>
    <bk>
      <extLst>
        <ext uri="{3e2802c4-a4d2-4d8b-9148-e3be6c30e623}">
          <xlrd:rvb i="5222"/>
        </ext>
      </extLst>
    </bk>
    <bk>
      <extLst>
        <ext uri="{3e2802c4-a4d2-4d8b-9148-e3be6c30e623}">
          <xlrd:rvb i="5223"/>
        </ext>
      </extLst>
    </bk>
    <bk>
      <extLst>
        <ext uri="{3e2802c4-a4d2-4d8b-9148-e3be6c30e623}">
          <xlrd:rvb i="5224"/>
        </ext>
      </extLst>
    </bk>
    <bk>
      <extLst>
        <ext uri="{3e2802c4-a4d2-4d8b-9148-e3be6c30e623}">
          <xlrd:rvb i="5225"/>
        </ext>
      </extLst>
    </bk>
    <bk>
      <extLst>
        <ext uri="{3e2802c4-a4d2-4d8b-9148-e3be6c30e623}">
          <xlrd:rvb i="5226"/>
        </ext>
      </extLst>
    </bk>
    <bk>
      <extLst>
        <ext uri="{3e2802c4-a4d2-4d8b-9148-e3be6c30e623}">
          <xlrd:rvb i="5227"/>
        </ext>
      </extLst>
    </bk>
    <bk>
      <extLst>
        <ext uri="{3e2802c4-a4d2-4d8b-9148-e3be6c30e623}">
          <xlrd:rvb i="5228"/>
        </ext>
      </extLst>
    </bk>
    <bk>
      <extLst>
        <ext uri="{3e2802c4-a4d2-4d8b-9148-e3be6c30e623}">
          <xlrd:rvb i="5229"/>
        </ext>
      </extLst>
    </bk>
    <bk>
      <extLst>
        <ext uri="{3e2802c4-a4d2-4d8b-9148-e3be6c30e623}">
          <xlrd:rvb i="5230"/>
        </ext>
      </extLst>
    </bk>
    <bk>
      <extLst>
        <ext uri="{3e2802c4-a4d2-4d8b-9148-e3be6c30e623}">
          <xlrd:rvb i="5231"/>
        </ext>
      </extLst>
    </bk>
    <bk>
      <extLst>
        <ext uri="{3e2802c4-a4d2-4d8b-9148-e3be6c30e623}">
          <xlrd:rvb i="5232"/>
        </ext>
      </extLst>
    </bk>
    <bk>
      <extLst>
        <ext uri="{3e2802c4-a4d2-4d8b-9148-e3be6c30e623}">
          <xlrd:rvb i="5233"/>
        </ext>
      </extLst>
    </bk>
    <bk>
      <extLst>
        <ext uri="{3e2802c4-a4d2-4d8b-9148-e3be6c30e623}">
          <xlrd:rvb i="5234"/>
        </ext>
      </extLst>
    </bk>
    <bk>
      <extLst>
        <ext uri="{3e2802c4-a4d2-4d8b-9148-e3be6c30e623}">
          <xlrd:rvb i="5235"/>
        </ext>
      </extLst>
    </bk>
    <bk>
      <extLst>
        <ext uri="{3e2802c4-a4d2-4d8b-9148-e3be6c30e623}">
          <xlrd:rvb i="5236"/>
        </ext>
      </extLst>
    </bk>
    <bk>
      <extLst>
        <ext uri="{3e2802c4-a4d2-4d8b-9148-e3be6c30e623}">
          <xlrd:rvb i="5237"/>
        </ext>
      </extLst>
    </bk>
    <bk>
      <extLst>
        <ext uri="{3e2802c4-a4d2-4d8b-9148-e3be6c30e623}">
          <xlrd:rvb i="5238"/>
        </ext>
      </extLst>
    </bk>
    <bk>
      <extLst>
        <ext uri="{3e2802c4-a4d2-4d8b-9148-e3be6c30e623}">
          <xlrd:rvb i="5239"/>
        </ext>
      </extLst>
    </bk>
    <bk>
      <extLst>
        <ext uri="{3e2802c4-a4d2-4d8b-9148-e3be6c30e623}">
          <xlrd:rvb i="5240"/>
        </ext>
      </extLst>
    </bk>
    <bk>
      <extLst>
        <ext uri="{3e2802c4-a4d2-4d8b-9148-e3be6c30e623}">
          <xlrd:rvb i="5241"/>
        </ext>
      </extLst>
    </bk>
    <bk>
      <extLst>
        <ext uri="{3e2802c4-a4d2-4d8b-9148-e3be6c30e623}">
          <xlrd:rvb i="5242"/>
        </ext>
      </extLst>
    </bk>
    <bk>
      <extLst>
        <ext uri="{3e2802c4-a4d2-4d8b-9148-e3be6c30e623}">
          <xlrd:rvb i="5243"/>
        </ext>
      </extLst>
    </bk>
    <bk>
      <extLst>
        <ext uri="{3e2802c4-a4d2-4d8b-9148-e3be6c30e623}">
          <xlrd:rvb i="5244"/>
        </ext>
      </extLst>
    </bk>
    <bk>
      <extLst>
        <ext uri="{3e2802c4-a4d2-4d8b-9148-e3be6c30e623}">
          <xlrd:rvb i="5245"/>
        </ext>
      </extLst>
    </bk>
    <bk>
      <extLst>
        <ext uri="{3e2802c4-a4d2-4d8b-9148-e3be6c30e623}">
          <xlrd:rvb i="5246"/>
        </ext>
      </extLst>
    </bk>
    <bk>
      <extLst>
        <ext uri="{3e2802c4-a4d2-4d8b-9148-e3be6c30e623}">
          <xlrd:rvb i="5247"/>
        </ext>
      </extLst>
    </bk>
    <bk>
      <extLst>
        <ext uri="{3e2802c4-a4d2-4d8b-9148-e3be6c30e623}">
          <xlrd:rvb i="5248"/>
        </ext>
      </extLst>
    </bk>
    <bk>
      <extLst>
        <ext uri="{3e2802c4-a4d2-4d8b-9148-e3be6c30e623}">
          <xlrd:rvb i="5249"/>
        </ext>
      </extLst>
    </bk>
    <bk>
      <extLst>
        <ext uri="{3e2802c4-a4d2-4d8b-9148-e3be6c30e623}">
          <xlrd:rvb i="5250"/>
        </ext>
      </extLst>
    </bk>
    <bk>
      <extLst>
        <ext uri="{3e2802c4-a4d2-4d8b-9148-e3be6c30e623}">
          <xlrd:rvb i="5251"/>
        </ext>
      </extLst>
    </bk>
    <bk>
      <extLst>
        <ext uri="{3e2802c4-a4d2-4d8b-9148-e3be6c30e623}">
          <xlrd:rvb i="5252"/>
        </ext>
      </extLst>
    </bk>
    <bk>
      <extLst>
        <ext uri="{3e2802c4-a4d2-4d8b-9148-e3be6c30e623}">
          <xlrd:rvb i="5253"/>
        </ext>
      </extLst>
    </bk>
    <bk>
      <extLst>
        <ext uri="{3e2802c4-a4d2-4d8b-9148-e3be6c30e623}">
          <xlrd:rvb i="5254"/>
        </ext>
      </extLst>
    </bk>
    <bk>
      <extLst>
        <ext uri="{3e2802c4-a4d2-4d8b-9148-e3be6c30e623}">
          <xlrd:rvb i="5255"/>
        </ext>
      </extLst>
    </bk>
    <bk>
      <extLst>
        <ext uri="{3e2802c4-a4d2-4d8b-9148-e3be6c30e623}">
          <xlrd:rvb i="5256"/>
        </ext>
      </extLst>
    </bk>
    <bk>
      <extLst>
        <ext uri="{3e2802c4-a4d2-4d8b-9148-e3be6c30e623}">
          <xlrd:rvb i="5257"/>
        </ext>
      </extLst>
    </bk>
    <bk>
      <extLst>
        <ext uri="{3e2802c4-a4d2-4d8b-9148-e3be6c30e623}">
          <xlrd:rvb i="5258"/>
        </ext>
      </extLst>
    </bk>
    <bk>
      <extLst>
        <ext uri="{3e2802c4-a4d2-4d8b-9148-e3be6c30e623}">
          <xlrd:rvb i="5259"/>
        </ext>
      </extLst>
    </bk>
    <bk>
      <extLst>
        <ext uri="{3e2802c4-a4d2-4d8b-9148-e3be6c30e623}">
          <xlrd:rvb i="5260"/>
        </ext>
      </extLst>
    </bk>
    <bk>
      <extLst>
        <ext uri="{3e2802c4-a4d2-4d8b-9148-e3be6c30e623}">
          <xlrd:rvb i="5261"/>
        </ext>
      </extLst>
    </bk>
    <bk>
      <extLst>
        <ext uri="{3e2802c4-a4d2-4d8b-9148-e3be6c30e623}">
          <xlrd:rvb i="5262"/>
        </ext>
      </extLst>
    </bk>
    <bk>
      <extLst>
        <ext uri="{3e2802c4-a4d2-4d8b-9148-e3be6c30e623}">
          <xlrd:rvb i="5263"/>
        </ext>
      </extLst>
    </bk>
    <bk>
      <extLst>
        <ext uri="{3e2802c4-a4d2-4d8b-9148-e3be6c30e623}">
          <xlrd:rvb i="5264"/>
        </ext>
      </extLst>
    </bk>
    <bk>
      <extLst>
        <ext uri="{3e2802c4-a4d2-4d8b-9148-e3be6c30e623}">
          <xlrd:rvb i="5265"/>
        </ext>
      </extLst>
    </bk>
    <bk>
      <extLst>
        <ext uri="{3e2802c4-a4d2-4d8b-9148-e3be6c30e623}">
          <xlrd:rvb i="5266"/>
        </ext>
      </extLst>
    </bk>
    <bk>
      <extLst>
        <ext uri="{3e2802c4-a4d2-4d8b-9148-e3be6c30e623}">
          <xlrd:rvb i="5267"/>
        </ext>
      </extLst>
    </bk>
    <bk>
      <extLst>
        <ext uri="{3e2802c4-a4d2-4d8b-9148-e3be6c30e623}">
          <xlrd:rvb i="5268"/>
        </ext>
      </extLst>
    </bk>
    <bk>
      <extLst>
        <ext uri="{3e2802c4-a4d2-4d8b-9148-e3be6c30e623}">
          <xlrd:rvb i="5269"/>
        </ext>
      </extLst>
    </bk>
    <bk>
      <extLst>
        <ext uri="{3e2802c4-a4d2-4d8b-9148-e3be6c30e623}">
          <xlrd:rvb i="5270"/>
        </ext>
      </extLst>
    </bk>
    <bk>
      <extLst>
        <ext uri="{3e2802c4-a4d2-4d8b-9148-e3be6c30e623}">
          <xlrd:rvb i="5271"/>
        </ext>
      </extLst>
    </bk>
    <bk>
      <extLst>
        <ext uri="{3e2802c4-a4d2-4d8b-9148-e3be6c30e623}">
          <xlrd:rvb i="5272"/>
        </ext>
      </extLst>
    </bk>
    <bk>
      <extLst>
        <ext uri="{3e2802c4-a4d2-4d8b-9148-e3be6c30e623}">
          <xlrd:rvb i="5273"/>
        </ext>
      </extLst>
    </bk>
    <bk>
      <extLst>
        <ext uri="{3e2802c4-a4d2-4d8b-9148-e3be6c30e623}">
          <xlrd:rvb i="5274"/>
        </ext>
      </extLst>
    </bk>
    <bk>
      <extLst>
        <ext uri="{3e2802c4-a4d2-4d8b-9148-e3be6c30e623}">
          <xlrd:rvb i="5275"/>
        </ext>
      </extLst>
    </bk>
    <bk>
      <extLst>
        <ext uri="{3e2802c4-a4d2-4d8b-9148-e3be6c30e623}">
          <xlrd:rvb i="5276"/>
        </ext>
      </extLst>
    </bk>
    <bk>
      <extLst>
        <ext uri="{3e2802c4-a4d2-4d8b-9148-e3be6c30e623}">
          <xlrd:rvb i="5277"/>
        </ext>
      </extLst>
    </bk>
    <bk>
      <extLst>
        <ext uri="{3e2802c4-a4d2-4d8b-9148-e3be6c30e623}">
          <xlrd:rvb i="5278"/>
        </ext>
      </extLst>
    </bk>
    <bk>
      <extLst>
        <ext uri="{3e2802c4-a4d2-4d8b-9148-e3be6c30e623}">
          <xlrd:rvb i="5279"/>
        </ext>
      </extLst>
    </bk>
    <bk>
      <extLst>
        <ext uri="{3e2802c4-a4d2-4d8b-9148-e3be6c30e623}">
          <xlrd:rvb i="5280"/>
        </ext>
      </extLst>
    </bk>
    <bk>
      <extLst>
        <ext uri="{3e2802c4-a4d2-4d8b-9148-e3be6c30e623}">
          <xlrd:rvb i="5281"/>
        </ext>
      </extLst>
    </bk>
    <bk>
      <extLst>
        <ext uri="{3e2802c4-a4d2-4d8b-9148-e3be6c30e623}">
          <xlrd:rvb i="5282"/>
        </ext>
      </extLst>
    </bk>
    <bk>
      <extLst>
        <ext uri="{3e2802c4-a4d2-4d8b-9148-e3be6c30e623}">
          <xlrd:rvb i="5283"/>
        </ext>
      </extLst>
    </bk>
    <bk>
      <extLst>
        <ext uri="{3e2802c4-a4d2-4d8b-9148-e3be6c30e623}">
          <xlrd:rvb i="5284"/>
        </ext>
      </extLst>
    </bk>
    <bk>
      <extLst>
        <ext uri="{3e2802c4-a4d2-4d8b-9148-e3be6c30e623}">
          <xlrd:rvb i="5285"/>
        </ext>
      </extLst>
    </bk>
    <bk>
      <extLst>
        <ext uri="{3e2802c4-a4d2-4d8b-9148-e3be6c30e623}">
          <xlrd:rvb i="5286"/>
        </ext>
      </extLst>
    </bk>
    <bk>
      <extLst>
        <ext uri="{3e2802c4-a4d2-4d8b-9148-e3be6c30e623}">
          <xlrd:rvb i="5287"/>
        </ext>
      </extLst>
    </bk>
    <bk>
      <extLst>
        <ext uri="{3e2802c4-a4d2-4d8b-9148-e3be6c30e623}">
          <xlrd:rvb i="5288"/>
        </ext>
      </extLst>
    </bk>
    <bk>
      <extLst>
        <ext uri="{3e2802c4-a4d2-4d8b-9148-e3be6c30e623}">
          <xlrd:rvb i="5289"/>
        </ext>
      </extLst>
    </bk>
    <bk>
      <extLst>
        <ext uri="{3e2802c4-a4d2-4d8b-9148-e3be6c30e623}">
          <xlrd:rvb i="5290"/>
        </ext>
      </extLst>
    </bk>
    <bk>
      <extLst>
        <ext uri="{3e2802c4-a4d2-4d8b-9148-e3be6c30e623}">
          <xlrd:rvb i="5291"/>
        </ext>
      </extLst>
    </bk>
    <bk>
      <extLst>
        <ext uri="{3e2802c4-a4d2-4d8b-9148-e3be6c30e623}">
          <xlrd:rvb i="5292"/>
        </ext>
      </extLst>
    </bk>
    <bk>
      <extLst>
        <ext uri="{3e2802c4-a4d2-4d8b-9148-e3be6c30e623}">
          <xlrd:rvb i="5293"/>
        </ext>
      </extLst>
    </bk>
    <bk>
      <extLst>
        <ext uri="{3e2802c4-a4d2-4d8b-9148-e3be6c30e623}">
          <xlrd:rvb i="5294"/>
        </ext>
      </extLst>
    </bk>
    <bk>
      <extLst>
        <ext uri="{3e2802c4-a4d2-4d8b-9148-e3be6c30e623}">
          <xlrd:rvb i="5295"/>
        </ext>
      </extLst>
    </bk>
    <bk>
      <extLst>
        <ext uri="{3e2802c4-a4d2-4d8b-9148-e3be6c30e623}">
          <xlrd:rvb i="5296"/>
        </ext>
      </extLst>
    </bk>
    <bk>
      <extLst>
        <ext uri="{3e2802c4-a4d2-4d8b-9148-e3be6c30e623}">
          <xlrd:rvb i="5297"/>
        </ext>
      </extLst>
    </bk>
    <bk>
      <extLst>
        <ext uri="{3e2802c4-a4d2-4d8b-9148-e3be6c30e623}">
          <xlrd:rvb i="5298"/>
        </ext>
      </extLst>
    </bk>
    <bk>
      <extLst>
        <ext uri="{3e2802c4-a4d2-4d8b-9148-e3be6c30e623}">
          <xlrd:rvb i="5299"/>
        </ext>
      </extLst>
    </bk>
    <bk>
      <extLst>
        <ext uri="{3e2802c4-a4d2-4d8b-9148-e3be6c30e623}">
          <xlrd:rvb i="5300"/>
        </ext>
      </extLst>
    </bk>
    <bk>
      <extLst>
        <ext uri="{3e2802c4-a4d2-4d8b-9148-e3be6c30e623}">
          <xlrd:rvb i="5301"/>
        </ext>
      </extLst>
    </bk>
    <bk>
      <extLst>
        <ext uri="{3e2802c4-a4d2-4d8b-9148-e3be6c30e623}">
          <xlrd:rvb i="5302"/>
        </ext>
      </extLst>
    </bk>
    <bk>
      <extLst>
        <ext uri="{3e2802c4-a4d2-4d8b-9148-e3be6c30e623}">
          <xlrd:rvb i="5303"/>
        </ext>
      </extLst>
    </bk>
    <bk>
      <extLst>
        <ext uri="{3e2802c4-a4d2-4d8b-9148-e3be6c30e623}">
          <xlrd:rvb i="5304"/>
        </ext>
      </extLst>
    </bk>
    <bk>
      <extLst>
        <ext uri="{3e2802c4-a4d2-4d8b-9148-e3be6c30e623}">
          <xlrd:rvb i="5305"/>
        </ext>
      </extLst>
    </bk>
    <bk>
      <extLst>
        <ext uri="{3e2802c4-a4d2-4d8b-9148-e3be6c30e623}">
          <xlrd:rvb i="5306"/>
        </ext>
      </extLst>
    </bk>
    <bk>
      <extLst>
        <ext uri="{3e2802c4-a4d2-4d8b-9148-e3be6c30e623}">
          <xlrd:rvb i="5307"/>
        </ext>
      </extLst>
    </bk>
    <bk>
      <extLst>
        <ext uri="{3e2802c4-a4d2-4d8b-9148-e3be6c30e623}">
          <xlrd:rvb i="5308"/>
        </ext>
      </extLst>
    </bk>
    <bk>
      <extLst>
        <ext uri="{3e2802c4-a4d2-4d8b-9148-e3be6c30e623}">
          <xlrd:rvb i="5309"/>
        </ext>
      </extLst>
    </bk>
    <bk>
      <extLst>
        <ext uri="{3e2802c4-a4d2-4d8b-9148-e3be6c30e623}">
          <xlrd:rvb i="5310"/>
        </ext>
      </extLst>
    </bk>
    <bk>
      <extLst>
        <ext uri="{3e2802c4-a4d2-4d8b-9148-e3be6c30e623}">
          <xlrd:rvb i="5311"/>
        </ext>
      </extLst>
    </bk>
    <bk>
      <extLst>
        <ext uri="{3e2802c4-a4d2-4d8b-9148-e3be6c30e623}">
          <xlrd:rvb i="5312"/>
        </ext>
      </extLst>
    </bk>
    <bk>
      <extLst>
        <ext uri="{3e2802c4-a4d2-4d8b-9148-e3be6c30e623}">
          <xlrd:rvb i="5313"/>
        </ext>
      </extLst>
    </bk>
    <bk>
      <extLst>
        <ext uri="{3e2802c4-a4d2-4d8b-9148-e3be6c30e623}">
          <xlrd:rvb i="5314"/>
        </ext>
      </extLst>
    </bk>
    <bk>
      <extLst>
        <ext uri="{3e2802c4-a4d2-4d8b-9148-e3be6c30e623}">
          <xlrd:rvb i="5315"/>
        </ext>
      </extLst>
    </bk>
    <bk>
      <extLst>
        <ext uri="{3e2802c4-a4d2-4d8b-9148-e3be6c30e623}">
          <xlrd:rvb i="5316"/>
        </ext>
      </extLst>
    </bk>
    <bk>
      <extLst>
        <ext uri="{3e2802c4-a4d2-4d8b-9148-e3be6c30e623}">
          <xlrd:rvb i="5317"/>
        </ext>
      </extLst>
    </bk>
    <bk>
      <extLst>
        <ext uri="{3e2802c4-a4d2-4d8b-9148-e3be6c30e623}">
          <xlrd:rvb i="5318"/>
        </ext>
      </extLst>
    </bk>
    <bk>
      <extLst>
        <ext uri="{3e2802c4-a4d2-4d8b-9148-e3be6c30e623}">
          <xlrd:rvb i="5319"/>
        </ext>
      </extLst>
    </bk>
    <bk>
      <extLst>
        <ext uri="{3e2802c4-a4d2-4d8b-9148-e3be6c30e623}">
          <xlrd:rvb i="5320"/>
        </ext>
      </extLst>
    </bk>
    <bk>
      <extLst>
        <ext uri="{3e2802c4-a4d2-4d8b-9148-e3be6c30e623}">
          <xlrd:rvb i="5321"/>
        </ext>
      </extLst>
    </bk>
    <bk>
      <extLst>
        <ext uri="{3e2802c4-a4d2-4d8b-9148-e3be6c30e623}">
          <xlrd:rvb i="5322"/>
        </ext>
      </extLst>
    </bk>
    <bk>
      <extLst>
        <ext uri="{3e2802c4-a4d2-4d8b-9148-e3be6c30e623}">
          <xlrd:rvb i="5323"/>
        </ext>
      </extLst>
    </bk>
    <bk>
      <extLst>
        <ext uri="{3e2802c4-a4d2-4d8b-9148-e3be6c30e623}">
          <xlrd:rvb i="5324"/>
        </ext>
      </extLst>
    </bk>
    <bk>
      <extLst>
        <ext uri="{3e2802c4-a4d2-4d8b-9148-e3be6c30e623}">
          <xlrd:rvb i="5325"/>
        </ext>
      </extLst>
    </bk>
    <bk>
      <extLst>
        <ext uri="{3e2802c4-a4d2-4d8b-9148-e3be6c30e623}">
          <xlrd:rvb i="5326"/>
        </ext>
      </extLst>
    </bk>
    <bk>
      <extLst>
        <ext uri="{3e2802c4-a4d2-4d8b-9148-e3be6c30e623}">
          <xlrd:rvb i="5327"/>
        </ext>
      </extLst>
    </bk>
    <bk>
      <extLst>
        <ext uri="{3e2802c4-a4d2-4d8b-9148-e3be6c30e623}">
          <xlrd:rvb i="5328"/>
        </ext>
      </extLst>
    </bk>
    <bk>
      <extLst>
        <ext uri="{3e2802c4-a4d2-4d8b-9148-e3be6c30e623}">
          <xlrd:rvb i="5329"/>
        </ext>
      </extLst>
    </bk>
    <bk>
      <extLst>
        <ext uri="{3e2802c4-a4d2-4d8b-9148-e3be6c30e623}">
          <xlrd:rvb i="5330"/>
        </ext>
      </extLst>
    </bk>
    <bk>
      <extLst>
        <ext uri="{3e2802c4-a4d2-4d8b-9148-e3be6c30e623}">
          <xlrd:rvb i="5331"/>
        </ext>
      </extLst>
    </bk>
    <bk>
      <extLst>
        <ext uri="{3e2802c4-a4d2-4d8b-9148-e3be6c30e623}">
          <xlrd:rvb i="5332"/>
        </ext>
      </extLst>
    </bk>
    <bk>
      <extLst>
        <ext uri="{3e2802c4-a4d2-4d8b-9148-e3be6c30e623}">
          <xlrd:rvb i="5333"/>
        </ext>
      </extLst>
    </bk>
    <bk>
      <extLst>
        <ext uri="{3e2802c4-a4d2-4d8b-9148-e3be6c30e623}">
          <xlrd:rvb i="5334"/>
        </ext>
      </extLst>
    </bk>
    <bk>
      <extLst>
        <ext uri="{3e2802c4-a4d2-4d8b-9148-e3be6c30e623}">
          <xlrd:rvb i="5335"/>
        </ext>
      </extLst>
    </bk>
    <bk>
      <extLst>
        <ext uri="{3e2802c4-a4d2-4d8b-9148-e3be6c30e623}">
          <xlrd:rvb i="5336"/>
        </ext>
      </extLst>
    </bk>
    <bk>
      <extLst>
        <ext uri="{3e2802c4-a4d2-4d8b-9148-e3be6c30e623}">
          <xlrd:rvb i="5337"/>
        </ext>
      </extLst>
    </bk>
    <bk>
      <extLst>
        <ext uri="{3e2802c4-a4d2-4d8b-9148-e3be6c30e623}">
          <xlrd:rvb i="5338"/>
        </ext>
      </extLst>
    </bk>
    <bk>
      <extLst>
        <ext uri="{3e2802c4-a4d2-4d8b-9148-e3be6c30e623}">
          <xlrd:rvb i="5339"/>
        </ext>
      </extLst>
    </bk>
    <bk>
      <extLst>
        <ext uri="{3e2802c4-a4d2-4d8b-9148-e3be6c30e623}">
          <xlrd:rvb i="5340"/>
        </ext>
      </extLst>
    </bk>
    <bk>
      <extLst>
        <ext uri="{3e2802c4-a4d2-4d8b-9148-e3be6c30e623}">
          <xlrd:rvb i="5341"/>
        </ext>
      </extLst>
    </bk>
    <bk>
      <extLst>
        <ext uri="{3e2802c4-a4d2-4d8b-9148-e3be6c30e623}">
          <xlrd:rvb i="5342"/>
        </ext>
      </extLst>
    </bk>
    <bk>
      <extLst>
        <ext uri="{3e2802c4-a4d2-4d8b-9148-e3be6c30e623}">
          <xlrd:rvb i="5343"/>
        </ext>
      </extLst>
    </bk>
    <bk>
      <extLst>
        <ext uri="{3e2802c4-a4d2-4d8b-9148-e3be6c30e623}">
          <xlrd:rvb i="5344"/>
        </ext>
      </extLst>
    </bk>
    <bk>
      <extLst>
        <ext uri="{3e2802c4-a4d2-4d8b-9148-e3be6c30e623}">
          <xlrd:rvb i="5345"/>
        </ext>
      </extLst>
    </bk>
    <bk>
      <extLst>
        <ext uri="{3e2802c4-a4d2-4d8b-9148-e3be6c30e623}">
          <xlrd:rvb i="5346"/>
        </ext>
      </extLst>
    </bk>
    <bk>
      <extLst>
        <ext uri="{3e2802c4-a4d2-4d8b-9148-e3be6c30e623}">
          <xlrd:rvb i="5347"/>
        </ext>
      </extLst>
    </bk>
    <bk>
      <extLst>
        <ext uri="{3e2802c4-a4d2-4d8b-9148-e3be6c30e623}">
          <xlrd:rvb i="5348"/>
        </ext>
      </extLst>
    </bk>
    <bk>
      <extLst>
        <ext uri="{3e2802c4-a4d2-4d8b-9148-e3be6c30e623}">
          <xlrd:rvb i="5349"/>
        </ext>
      </extLst>
    </bk>
    <bk>
      <extLst>
        <ext uri="{3e2802c4-a4d2-4d8b-9148-e3be6c30e623}">
          <xlrd:rvb i="5350"/>
        </ext>
      </extLst>
    </bk>
    <bk>
      <extLst>
        <ext uri="{3e2802c4-a4d2-4d8b-9148-e3be6c30e623}">
          <xlrd:rvb i="5351"/>
        </ext>
      </extLst>
    </bk>
    <bk>
      <extLst>
        <ext uri="{3e2802c4-a4d2-4d8b-9148-e3be6c30e623}">
          <xlrd:rvb i="5352"/>
        </ext>
      </extLst>
    </bk>
    <bk>
      <extLst>
        <ext uri="{3e2802c4-a4d2-4d8b-9148-e3be6c30e623}">
          <xlrd:rvb i="5353"/>
        </ext>
      </extLst>
    </bk>
    <bk>
      <extLst>
        <ext uri="{3e2802c4-a4d2-4d8b-9148-e3be6c30e623}">
          <xlrd:rvb i="5354"/>
        </ext>
      </extLst>
    </bk>
    <bk>
      <extLst>
        <ext uri="{3e2802c4-a4d2-4d8b-9148-e3be6c30e623}">
          <xlrd:rvb i="5355"/>
        </ext>
      </extLst>
    </bk>
    <bk>
      <extLst>
        <ext uri="{3e2802c4-a4d2-4d8b-9148-e3be6c30e623}">
          <xlrd:rvb i="5356"/>
        </ext>
      </extLst>
    </bk>
    <bk>
      <extLst>
        <ext uri="{3e2802c4-a4d2-4d8b-9148-e3be6c30e623}">
          <xlrd:rvb i="5357"/>
        </ext>
      </extLst>
    </bk>
    <bk>
      <extLst>
        <ext uri="{3e2802c4-a4d2-4d8b-9148-e3be6c30e623}">
          <xlrd:rvb i="5358"/>
        </ext>
      </extLst>
    </bk>
    <bk>
      <extLst>
        <ext uri="{3e2802c4-a4d2-4d8b-9148-e3be6c30e623}">
          <xlrd:rvb i="5359"/>
        </ext>
      </extLst>
    </bk>
    <bk>
      <extLst>
        <ext uri="{3e2802c4-a4d2-4d8b-9148-e3be6c30e623}">
          <xlrd:rvb i="5360"/>
        </ext>
      </extLst>
    </bk>
    <bk>
      <extLst>
        <ext uri="{3e2802c4-a4d2-4d8b-9148-e3be6c30e623}">
          <xlrd:rvb i="5361"/>
        </ext>
      </extLst>
    </bk>
    <bk>
      <extLst>
        <ext uri="{3e2802c4-a4d2-4d8b-9148-e3be6c30e623}">
          <xlrd:rvb i="5362"/>
        </ext>
      </extLst>
    </bk>
    <bk>
      <extLst>
        <ext uri="{3e2802c4-a4d2-4d8b-9148-e3be6c30e623}">
          <xlrd:rvb i="5363"/>
        </ext>
      </extLst>
    </bk>
    <bk>
      <extLst>
        <ext uri="{3e2802c4-a4d2-4d8b-9148-e3be6c30e623}">
          <xlrd:rvb i="5364"/>
        </ext>
      </extLst>
    </bk>
    <bk>
      <extLst>
        <ext uri="{3e2802c4-a4d2-4d8b-9148-e3be6c30e623}">
          <xlrd:rvb i="5365"/>
        </ext>
      </extLst>
    </bk>
    <bk>
      <extLst>
        <ext uri="{3e2802c4-a4d2-4d8b-9148-e3be6c30e623}">
          <xlrd:rvb i="5366"/>
        </ext>
      </extLst>
    </bk>
    <bk>
      <extLst>
        <ext uri="{3e2802c4-a4d2-4d8b-9148-e3be6c30e623}">
          <xlrd:rvb i="5367"/>
        </ext>
      </extLst>
    </bk>
    <bk>
      <extLst>
        <ext uri="{3e2802c4-a4d2-4d8b-9148-e3be6c30e623}">
          <xlrd:rvb i="5368"/>
        </ext>
      </extLst>
    </bk>
    <bk>
      <extLst>
        <ext uri="{3e2802c4-a4d2-4d8b-9148-e3be6c30e623}">
          <xlrd:rvb i="5369"/>
        </ext>
      </extLst>
    </bk>
    <bk>
      <extLst>
        <ext uri="{3e2802c4-a4d2-4d8b-9148-e3be6c30e623}">
          <xlrd:rvb i="5370"/>
        </ext>
      </extLst>
    </bk>
    <bk>
      <extLst>
        <ext uri="{3e2802c4-a4d2-4d8b-9148-e3be6c30e623}">
          <xlrd:rvb i="5371"/>
        </ext>
      </extLst>
    </bk>
    <bk>
      <extLst>
        <ext uri="{3e2802c4-a4d2-4d8b-9148-e3be6c30e623}">
          <xlrd:rvb i="5372"/>
        </ext>
      </extLst>
    </bk>
    <bk>
      <extLst>
        <ext uri="{3e2802c4-a4d2-4d8b-9148-e3be6c30e623}">
          <xlrd:rvb i="5373"/>
        </ext>
      </extLst>
    </bk>
    <bk>
      <extLst>
        <ext uri="{3e2802c4-a4d2-4d8b-9148-e3be6c30e623}">
          <xlrd:rvb i="5374"/>
        </ext>
      </extLst>
    </bk>
    <bk>
      <extLst>
        <ext uri="{3e2802c4-a4d2-4d8b-9148-e3be6c30e623}">
          <xlrd:rvb i="5375"/>
        </ext>
      </extLst>
    </bk>
    <bk>
      <extLst>
        <ext uri="{3e2802c4-a4d2-4d8b-9148-e3be6c30e623}">
          <xlrd:rvb i="5376"/>
        </ext>
      </extLst>
    </bk>
    <bk>
      <extLst>
        <ext uri="{3e2802c4-a4d2-4d8b-9148-e3be6c30e623}">
          <xlrd:rvb i="5377"/>
        </ext>
      </extLst>
    </bk>
    <bk>
      <extLst>
        <ext uri="{3e2802c4-a4d2-4d8b-9148-e3be6c30e623}">
          <xlrd:rvb i="5378"/>
        </ext>
      </extLst>
    </bk>
    <bk>
      <extLst>
        <ext uri="{3e2802c4-a4d2-4d8b-9148-e3be6c30e623}">
          <xlrd:rvb i="5379"/>
        </ext>
      </extLst>
    </bk>
    <bk>
      <extLst>
        <ext uri="{3e2802c4-a4d2-4d8b-9148-e3be6c30e623}">
          <xlrd:rvb i="5380"/>
        </ext>
      </extLst>
    </bk>
    <bk>
      <extLst>
        <ext uri="{3e2802c4-a4d2-4d8b-9148-e3be6c30e623}">
          <xlrd:rvb i="5381"/>
        </ext>
      </extLst>
    </bk>
    <bk>
      <extLst>
        <ext uri="{3e2802c4-a4d2-4d8b-9148-e3be6c30e623}">
          <xlrd:rvb i="5382"/>
        </ext>
      </extLst>
    </bk>
    <bk>
      <extLst>
        <ext uri="{3e2802c4-a4d2-4d8b-9148-e3be6c30e623}">
          <xlrd:rvb i="5383"/>
        </ext>
      </extLst>
    </bk>
    <bk>
      <extLst>
        <ext uri="{3e2802c4-a4d2-4d8b-9148-e3be6c30e623}">
          <xlrd:rvb i="5384"/>
        </ext>
      </extLst>
    </bk>
    <bk>
      <extLst>
        <ext uri="{3e2802c4-a4d2-4d8b-9148-e3be6c30e623}">
          <xlrd:rvb i="5385"/>
        </ext>
      </extLst>
    </bk>
    <bk>
      <extLst>
        <ext uri="{3e2802c4-a4d2-4d8b-9148-e3be6c30e623}">
          <xlrd:rvb i="5386"/>
        </ext>
      </extLst>
    </bk>
    <bk>
      <extLst>
        <ext uri="{3e2802c4-a4d2-4d8b-9148-e3be6c30e623}">
          <xlrd:rvb i="5387"/>
        </ext>
      </extLst>
    </bk>
    <bk>
      <extLst>
        <ext uri="{3e2802c4-a4d2-4d8b-9148-e3be6c30e623}">
          <xlrd:rvb i="5388"/>
        </ext>
      </extLst>
    </bk>
    <bk>
      <extLst>
        <ext uri="{3e2802c4-a4d2-4d8b-9148-e3be6c30e623}">
          <xlrd:rvb i="5389"/>
        </ext>
      </extLst>
    </bk>
    <bk>
      <extLst>
        <ext uri="{3e2802c4-a4d2-4d8b-9148-e3be6c30e623}">
          <xlrd:rvb i="5390"/>
        </ext>
      </extLst>
    </bk>
    <bk>
      <extLst>
        <ext uri="{3e2802c4-a4d2-4d8b-9148-e3be6c30e623}">
          <xlrd:rvb i="5391"/>
        </ext>
      </extLst>
    </bk>
    <bk>
      <extLst>
        <ext uri="{3e2802c4-a4d2-4d8b-9148-e3be6c30e623}">
          <xlrd:rvb i="5392"/>
        </ext>
      </extLst>
    </bk>
    <bk>
      <extLst>
        <ext uri="{3e2802c4-a4d2-4d8b-9148-e3be6c30e623}">
          <xlrd:rvb i="5393"/>
        </ext>
      </extLst>
    </bk>
    <bk>
      <extLst>
        <ext uri="{3e2802c4-a4d2-4d8b-9148-e3be6c30e623}">
          <xlrd:rvb i="5394"/>
        </ext>
      </extLst>
    </bk>
    <bk>
      <extLst>
        <ext uri="{3e2802c4-a4d2-4d8b-9148-e3be6c30e623}">
          <xlrd:rvb i="5395"/>
        </ext>
      </extLst>
    </bk>
    <bk>
      <extLst>
        <ext uri="{3e2802c4-a4d2-4d8b-9148-e3be6c30e623}">
          <xlrd:rvb i="5396"/>
        </ext>
      </extLst>
    </bk>
    <bk>
      <extLst>
        <ext uri="{3e2802c4-a4d2-4d8b-9148-e3be6c30e623}">
          <xlrd:rvb i="5397"/>
        </ext>
      </extLst>
    </bk>
    <bk>
      <extLst>
        <ext uri="{3e2802c4-a4d2-4d8b-9148-e3be6c30e623}">
          <xlrd:rvb i="5398"/>
        </ext>
      </extLst>
    </bk>
    <bk>
      <extLst>
        <ext uri="{3e2802c4-a4d2-4d8b-9148-e3be6c30e623}">
          <xlrd:rvb i="5399"/>
        </ext>
      </extLst>
    </bk>
    <bk>
      <extLst>
        <ext uri="{3e2802c4-a4d2-4d8b-9148-e3be6c30e623}">
          <xlrd:rvb i="5400"/>
        </ext>
      </extLst>
    </bk>
    <bk>
      <extLst>
        <ext uri="{3e2802c4-a4d2-4d8b-9148-e3be6c30e623}">
          <xlrd:rvb i="5401"/>
        </ext>
      </extLst>
    </bk>
    <bk>
      <extLst>
        <ext uri="{3e2802c4-a4d2-4d8b-9148-e3be6c30e623}">
          <xlrd:rvb i="5402"/>
        </ext>
      </extLst>
    </bk>
    <bk>
      <extLst>
        <ext uri="{3e2802c4-a4d2-4d8b-9148-e3be6c30e623}">
          <xlrd:rvb i="5403"/>
        </ext>
      </extLst>
    </bk>
    <bk>
      <extLst>
        <ext uri="{3e2802c4-a4d2-4d8b-9148-e3be6c30e623}">
          <xlrd:rvb i="5404"/>
        </ext>
      </extLst>
    </bk>
    <bk>
      <extLst>
        <ext uri="{3e2802c4-a4d2-4d8b-9148-e3be6c30e623}">
          <xlrd:rvb i="5405"/>
        </ext>
      </extLst>
    </bk>
    <bk>
      <extLst>
        <ext uri="{3e2802c4-a4d2-4d8b-9148-e3be6c30e623}">
          <xlrd:rvb i="5406"/>
        </ext>
      </extLst>
    </bk>
    <bk>
      <extLst>
        <ext uri="{3e2802c4-a4d2-4d8b-9148-e3be6c30e623}">
          <xlrd:rvb i="5407"/>
        </ext>
      </extLst>
    </bk>
    <bk>
      <extLst>
        <ext uri="{3e2802c4-a4d2-4d8b-9148-e3be6c30e623}">
          <xlrd:rvb i="5408"/>
        </ext>
      </extLst>
    </bk>
    <bk>
      <extLst>
        <ext uri="{3e2802c4-a4d2-4d8b-9148-e3be6c30e623}">
          <xlrd:rvb i="5409"/>
        </ext>
      </extLst>
    </bk>
    <bk>
      <extLst>
        <ext uri="{3e2802c4-a4d2-4d8b-9148-e3be6c30e623}">
          <xlrd:rvb i="5410"/>
        </ext>
      </extLst>
    </bk>
    <bk>
      <extLst>
        <ext uri="{3e2802c4-a4d2-4d8b-9148-e3be6c30e623}">
          <xlrd:rvb i="5411"/>
        </ext>
      </extLst>
    </bk>
    <bk>
      <extLst>
        <ext uri="{3e2802c4-a4d2-4d8b-9148-e3be6c30e623}">
          <xlrd:rvb i="5412"/>
        </ext>
      </extLst>
    </bk>
    <bk>
      <extLst>
        <ext uri="{3e2802c4-a4d2-4d8b-9148-e3be6c30e623}">
          <xlrd:rvb i="5413"/>
        </ext>
      </extLst>
    </bk>
    <bk>
      <extLst>
        <ext uri="{3e2802c4-a4d2-4d8b-9148-e3be6c30e623}">
          <xlrd:rvb i="5414"/>
        </ext>
      </extLst>
    </bk>
    <bk>
      <extLst>
        <ext uri="{3e2802c4-a4d2-4d8b-9148-e3be6c30e623}">
          <xlrd:rvb i="5415"/>
        </ext>
      </extLst>
    </bk>
    <bk>
      <extLst>
        <ext uri="{3e2802c4-a4d2-4d8b-9148-e3be6c30e623}">
          <xlrd:rvb i="5416"/>
        </ext>
      </extLst>
    </bk>
    <bk>
      <extLst>
        <ext uri="{3e2802c4-a4d2-4d8b-9148-e3be6c30e623}">
          <xlrd:rvb i="5417"/>
        </ext>
      </extLst>
    </bk>
    <bk>
      <extLst>
        <ext uri="{3e2802c4-a4d2-4d8b-9148-e3be6c30e623}">
          <xlrd:rvb i="5418"/>
        </ext>
      </extLst>
    </bk>
    <bk>
      <extLst>
        <ext uri="{3e2802c4-a4d2-4d8b-9148-e3be6c30e623}">
          <xlrd:rvb i="5419"/>
        </ext>
      </extLst>
    </bk>
    <bk>
      <extLst>
        <ext uri="{3e2802c4-a4d2-4d8b-9148-e3be6c30e623}">
          <xlrd:rvb i="5420"/>
        </ext>
      </extLst>
    </bk>
    <bk>
      <extLst>
        <ext uri="{3e2802c4-a4d2-4d8b-9148-e3be6c30e623}">
          <xlrd:rvb i="5421"/>
        </ext>
      </extLst>
    </bk>
    <bk>
      <extLst>
        <ext uri="{3e2802c4-a4d2-4d8b-9148-e3be6c30e623}">
          <xlrd:rvb i="5422"/>
        </ext>
      </extLst>
    </bk>
    <bk>
      <extLst>
        <ext uri="{3e2802c4-a4d2-4d8b-9148-e3be6c30e623}">
          <xlrd:rvb i="5423"/>
        </ext>
      </extLst>
    </bk>
    <bk>
      <extLst>
        <ext uri="{3e2802c4-a4d2-4d8b-9148-e3be6c30e623}">
          <xlrd:rvb i="5424"/>
        </ext>
      </extLst>
    </bk>
    <bk>
      <extLst>
        <ext uri="{3e2802c4-a4d2-4d8b-9148-e3be6c30e623}">
          <xlrd:rvb i="5425"/>
        </ext>
      </extLst>
    </bk>
    <bk>
      <extLst>
        <ext uri="{3e2802c4-a4d2-4d8b-9148-e3be6c30e623}">
          <xlrd:rvb i="5426"/>
        </ext>
      </extLst>
    </bk>
    <bk>
      <extLst>
        <ext uri="{3e2802c4-a4d2-4d8b-9148-e3be6c30e623}">
          <xlrd:rvb i="5427"/>
        </ext>
      </extLst>
    </bk>
    <bk>
      <extLst>
        <ext uri="{3e2802c4-a4d2-4d8b-9148-e3be6c30e623}">
          <xlrd:rvb i="5428"/>
        </ext>
      </extLst>
    </bk>
    <bk>
      <extLst>
        <ext uri="{3e2802c4-a4d2-4d8b-9148-e3be6c30e623}">
          <xlrd:rvb i="5429"/>
        </ext>
      </extLst>
    </bk>
    <bk>
      <extLst>
        <ext uri="{3e2802c4-a4d2-4d8b-9148-e3be6c30e623}">
          <xlrd:rvb i="5430"/>
        </ext>
      </extLst>
    </bk>
    <bk>
      <extLst>
        <ext uri="{3e2802c4-a4d2-4d8b-9148-e3be6c30e623}">
          <xlrd:rvb i="5431"/>
        </ext>
      </extLst>
    </bk>
    <bk>
      <extLst>
        <ext uri="{3e2802c4-a4d2-4d8b-9148-e3be6c30e623}">
          <xlrd:rvb i="5432"/>
        </ext>
      </extLst>
    </bk>
    <bk>
      <extLst>
        <ext uri="{3e2802c4-a4d2-4d8b-9148-e3be6c30e623}">
          <xlrd:rvb i="5433"/>
        </ext>
      </extLst>
    </bk>
    <bk>
      <extLst>
        <ext uri="{3e2802c4-a4d2-4d8b-9148-e3be6c30e623}">
          <xlrd:rvb i="5434"/>
        </ext>
      </extLst>
    </bk>
    <bk>
      <extLst>
        <ext uri="{3e2802c4-a4d2-4d8b-9148-e3be6c30e623}">
          <xlrd:rvb i="5435"/>
        </ext>
      </extLst>
    </bk>
    <bk>
      <extLst>
        <ext uri="{3e2802c4-a4d2-4d8b-9148-e3be6c30e623}">
          <xlrd:rvb i="5436"/>
        </ext>
      </extLst>
    </bk>
    <bk>
      <extLst>
        <ext uri="{3e2802c4-a4d2-4d8b-9148-e3be6c30e623}">
          <xlrd:rvb i="5437"/>
        </ext>
      </extLst>
    </bk>
    <bk>
      <extLst>
        <ext uri="{3e2802c4-a4d2-4d8b-9148-e3be6c30e623}">
          <xlrd:rvb i="5438"/>
        </ext>
      </extLst>
    </bk>
    <bk>
      <extLst>
        <ext uri="{3e2802c4-a4d2-4d8b-9148-e3be6c30e623}">
          <xlrd:rvb i="5439"/>
        </ext>
      </extLst>
    </bk>
    <bk>
      <extLst>
        <ext uri="{3e2802c4-a4d2-4d8b-9148-e3be6c30e623}">
          <xlrd:rvb i="5440"/>
        </ext>
      </extLst>
    </bk>
    <bk>
      <extLst>
        <ext uri="{3e2802c4-a4d2-4d8b-9148-e3be6c30e623}">
          <xlrd:rvb i="5441"/>
        </ext>
      </extLst>
    </bk>
    <bk>
      <extLst>
        <ext uri="{3e2802c4-a4d2-4d8b-9148-e3be6c30e623}">
          <xlrd:rvb i="5442"/>
        </ext>
      </extLst>
    </bk>
    <bk>
      <extLst>
        <ext uri="{3e2802c4-a4d2-4d8b-9148-e3be6c30e623}">
          <xlrd:rvb i="5443"/>
        </ext>
      </extLst>
    </bk>
    <bk>
      <extLst>
        <ext uri="{3e2802c4-a4d2-4d8b-9148-e3be6c30e623}">
          <xlrd:rvb i="5444"/>
        </ext>
      </extLst>
    </bk>
    <bk>
      <extLst>
        <ext uri="{3e2802c4-a4d2-4d8b-9148-e3be6c30e623}">
          <xlrd:rvb i="5445"/>
        </ext>
      </extLst>
    </bk>
    <bk>
      <extLst>
        <ext uri="{3e2802c4-a4d2-4d8b-9148-e3be6c30e623}">
          <xlrd:rvb i="5446"/>
        </ext>
      </extLst>
    </bk>
    <bk>
      <extLst>
        <ext uri="{3e2802c4-a4d2-4d8b-9148-e3be6c30e623}">
          <xlrd:rvb i="5447"/>
        </ext>
      </extLst>
    </bk>
    <bk>
      <extLst>
        <ext uri="{3e2802c4-a4d2-4d8b-9148-e3be6c30e623}">
          <xlrd:rvb i="5448"/>
        </ext>
      </extLst>
    </bk>
    <bk>
      <extLst>
        <ext uri="{3e2802c4-a4d2-4d8b-9148-e3be6c30e623}">
          <xlrd:rvb i="5449"/>
        </ext>
      </extLst>
    </bk>
    <bk>
      <extLst>
        <ext uri="{3e2802c4-a4d2-4d8b-9148-e3be6c30e623}">
          <xlrd:rvb i="5450"/>
        </ext>
      </extLst>
    </bk>
    <bk>
      <extLst>
        <ext uri="{3e2802c4-a4d2-4d8b-9148-e3be6c30e623}">
          <xlrd:rvb i="5451"/>
        </ext>
      </extLst>
    </bk>
    <bk>
      <extLst>
        <ext uri="{3e2802c4-a4d2-4d8b-9148-e3be6c30e623}">
          <xlrd:rvb i="5452"/>
        </ext>
      </extLst>
    </bk>
    <bk>
      <extLst>
        <ext uri="{3e2802c4-a4d2-4d8b-9148-e3be6c30e623}">
          <xlrd:rvb i="5453"/>
        </ext>
      </extLst>
    </bk>
    <bk>
      <extLst>
        <ext uri="{3e2802c4-a4d2-4d8b-9148-e3be6c30e623}">
          <xlrd:rvb i="5454"/>
        </ext>
      </extLst>
    </bk>
    <bk>
      <extLst>
        <ext uri="{3e2802c4-a4d2-4d8b-9148-e3be6c30e623}">
          <xlrd:rvb i="5455"/>
        </ext>
      </extLst>
    </bk>
    <bk>
      <extLst>
        <ext uri="{3e2802c4-a4d2-4d8b-9148-e3be6c30e623}">
          <xlrd:rvb i="5456"/>
        </ext>
      </extLst>
    </bk>
    <bk>
      <extLst>
        <ext uri="{3e2802c4-a4d2-4d8b-9148-e3be6c30e623}">
          <xlrd:rvb i="5457"/>
        </ext>
      </extLst>
    </bk>
    <bk>
      <extLst>
        <ext uri="{3e2802c4-a4d2-4d8b-9148-e3be6c30e623}">
          <xlrd:rvb i="5458"/>
        </ext>
      </extLst>
    </bk>
    <bk>
      <extLst>
        <ext uri="{3e2802c4-a4d2-4d8b-9148-e3be6c30e623}">
          <xlrd:rvb i="5459"/>
        </ext>
      </extLst>
    </bk>
    <bk>
      <extLst>
        <ext uri="{3e2802c4-a4d2-4d8b-9148-e3be6c30e623}">
          <xlrd:rvb i="5460"/>
        </ext>
      </extLst>
    </bk>
    <bk>
      <extLst>
        <ext uri="{3e2802c4-a4d2-4d8b-9148-e3be6c30e623}">
          <xlrd:rvb i="5461"/>
        </ext>
      </extLst>
    </bk>
    <bk>
      <extLst>
        <ext uri="{3e2802c4-a4d2-4d8b-9148-e3be6c30e623}">
          <xlrd:rvb i="5462"/>
        </ext>
      </extLst>
    </bk>
    <bk>
      <extLst>
        <ext uri="{3e2802c4-a4d2-4d8b-9148-e3be6c30e623}">
          <xlrd:rvb i="5463"/>
        </ext>
      </extLst>
    </bk>
    <bk>
      <extLst>
        <ext uri="{3e2802c4-a4d2-4d8b-9148-e3be6c30e623}">
          <xlrd:rvb i="5464"/>
        </ext>
      </extLst>
    </bk>
    <bk>
      <extLst>
        <ext uri="{3e2802c4-a4d2-4d8b-9148-e3be6c30e623}">
          <xlrd:rvb i="5465"/>
        </ext>
      </extLst>
    </bk>
    <bk>
      <extLst>
        <ext uri="{3e2802c4-a4d2-4d8b-9148-e3be6c30e623}">
          <xlrd:rvb i="5466"/>
        </ext>
      </extLst>
    </bk>
    <bk>
      <extLst>
        <ext uri="{3e2802c4-a4d2-4d8b-9148-e3be6c30e623}">
          <xlrd:rvb i="5467"/>
        </ext>
      </extLst>
    </bk>
    <bk>
      <extLst>
        <ext uri="{3e2802c4-a4d2-4d8b-9148-e3be6c30e623}">
          <xlrd:rvb i="5468"/>
        </ext>
      </extLst>
    </bk>
    <bk>
      <extLst>
        <ext uri="{3e2802c4-a4d2-4d8b-9148-e3be6c30e623}">
          <xlrd:rvb i="5469"/>
        </ext>
      </extLst>
    </bk>
    <bk>
      <extLst>
        <ext uri="{3e2802c4-a4d2-4d8b-9148-e3be6c30e623}">
          <xlrd:rvb i="5470"/>
        </ext>
      </extLst>
    </bk>
    <bk>
      <extLst>
        <ext uri="{3e2802c4-a4d2-4d8b-9148-e3be6c30e623}">
          <xlrd:rvb i="5471"/>
        </ext>
      </extLst>
    </bk>
    <bk>
      <extLst>
        <ext uri="{3e2802c4-a4d2-4d8b-9148-e3be6c30e623}">
          <xlrd:rvb i="5472"/>
        </ext>
      </extLst>
    </bk>
    <bk>
      <extLst>
        <ext uri="{3e2802c4-a4d2-4d8b-9148-e3be6c30e623}">
          <xlrd:rvb i="5473"/>
        </ext>
      </extLst>
    </bk>
    <bk>
      <extLst>
        <ext uri="{3e2802c4-a4d2-4d8b-9148-e3be6c30e623}">
          <xlrd:rvb i="5474"/>
        </ext>
      </extLst>
    </bk>
    <bk>
      <extLst>
        <ext uri="{3e2802c4-a4d2-4d8b-9148-e3be6c30e623}">
          <xlrd:rvb i="5475"/>
        </ext>
      </extLst>
    </bk>
    <bk>
      <extLst>
        <ext uri="{3e2802c4-a4d2-4d8b-9148-e3be6c30e623}">
          <xlrd:rvb i="5476"/>
        </ext>
      </extLst>
    </bk>
    <bk>
      <extLst>
        <ext uri="{3e2802c4-a4d2-4d8b-9148-e3be6c30e623}">
          <xlrd:rvb i="5477"/>
        </ext>
      </extLst>
    </bk>
    <bk>
      <extLst>
        <ext uri="{3e2802c4-a4d2-4d8b-9148-e3be6c30e623}">
          <xlrd:rvb i="5478"/>
        </ext>
      </extLst>
    </bk>
    <bk>
      <extLst>
        <ext uri="{3e2802c4-a4d2-4d8b-9148-e3be6c30e623}">
          <xlrd:rvb i="5479"/>
        </ext>
      </extLst>
    </bk>
    <bk>
      <extLst>
        <ext uri="{3e2802c4-a4d2-4d8b-9148-e3be6c30e623}">
          <xlrd:rvb i="5480"/>
        </ext>
      </extLst>
    </bk>
    <bk>
      <extLst>
        <ext uri="{3e2802c4-a4d2-4d8b-9148-e3be6c30e623}">
          <xlrd:rvb i="5481"/>
        </ext>
      </extLst>
    </bk>
    <bk>
      <extLst>
        <ext uri="{3e2802c4-a4d2-4d8b-9148-e3be6c30e623}">
          <xlrd:rvb i="5482"/>
        </ext>
      </extLst>
    </bk>
    <bk>
      <extLst>
        <ext uri="{3e2802c4-a4d2-4d8b-9148-e3be6c30e623}">
          <xlrd:rvb i="5483"/>
        </ext>
      </extLst>
    </bk>
    <bk>
      <extLst>
        <ext uri="{3e2802c4-a4d2-4d8b-9148-e3be6c30e623}">
          <xlrd:rvb i="5484"/>
        </ext>
      </extLst>
    </bk>
    <bk>
      <extLst>
        <ext uri="{3e2802c4-a4d2-4d8b-9148-e3be6c30e623}">
          <xlrd:rvb i="5485"/>
        </ext>
      </extLst>
    </bk>
    <bk>
      <extLst>
        <ext uri="{3e2802c4-a4d2-4d8b-9148-e3be6c30e623}">
          <xlrd:rvb i="5486"/>
        </ext>
      </extLst>
    </bk>
    <bk>
      <extLst>
        <ext uri="{3e2802c4-a4d2-4d8b-9148-e3be6c30e623}">
          <xlrd:rvb i="5487"/>
        </ext>
      </extLst>
    </bk>
    <bk>
      <extLst>
        <ext uri="{3e2802c4-a4d2-4d8b-9148-e3be6c30e623}">
          <xlrd:rvb i="5488"/>
        </ext>
      </extLst>
    </bk>
    <bk>
      <extLst>
        <ext uri="{3e2802c4-a4d2-4d8b-9148-e3be6c30e623}">
          <xlrd:rvb i="5489"/>
        </ext>
      </extLst>
    </bk>
    <bk>
      <extLst>
        <ext uri="{3e2802c4-a4d2-4d8b-9148-e3be6c30e623}">
          <xlrd:rvb i="5490"/>
        </ext>
      </extLst>
    </bk>
    <bk>
      <extLst>
        <ext uri="{3e2802c4-a4d2-4d8b-9148-e3be6c30e623}">
          <xlrd:rvb i="5491"/>
        </ext>
      </extLst>
    </bk>
    <bk>
      <extLst>
        <ext uri="{3e2802c4-a4d2-4d8b-9148-e3be6c30e623}">
          <xlrd:rvb i="5492"/>
        </ext>
      </extLst>
    </bk>
    <bk>
      <extLst>
        <ext uri="{3e2802c4-a4d2-4d8b-9148-e3be6c30e623}">
          <xlrd:rvb i="5493"/>
        </ext>
      </extLst>
    </bk>
    <bk>
      <extLst>
        <ext uri="{3e2802c4-a4d2-4d8b-9148-e3be6c30e623}">
          <xlrd:rvb i="5494"/>
        </ext>
      </extLst>
    </bk>
    <bk>
      <extLst>
        <ext uri="{3e2802c4-a4d2-4d8b-9148-e3be6c30e623}">
          <xlrd:rvb i="5495"/>
        </ext>
      </extLst>
    </bk>
    <bk>
      <extLst>
        <ext uri="{3e2802c4-a4d2-4d8b-9148-e3be6c30e623}">
          <xlrd:rvb i="5496"/>
        </ext>
      </extLst>
    </bk>
    <bk>
      <extLst>
        <ext uri="{3e2802c4-a4d2-4d8b-9148-e3be6c30e623}">
          <xlrd:rvb i="5497"/>
        </ext>
      </extLst>
    </bk>
    <bk>
      <extLst>
        <ext uri="{3e2802c4-a4d2-4d8b-9148-e3be6c30e623}">
          <xlrd:rvb i="5498"/>
        </ext>
      </extLst>
    </bk>
    <bk>
      <extLst>
        <ext uri="{3e2802c4-a4d2-4d8b-9148-e3be6c30e623}">
          <xlrd:rvb i="5499"/>
        </ext>
      </extLst>
    </bk>
    <bk>
      <extLst>
        <ext uri="{3e2802c4-a4d2-4d8b-9148-e3be6c30e623}">
          <xlrd:rvb i="5500"/>
        </ext>
      </extLst>
    </bk>
    <bk>
      <extLst>
        <ext uri="{3e2802c4-a4d2-4d8b-9148-e3be6c30e623}">
          <xlrd:rvb i="5501"/>
        </ext>
      </extLst>
    </bk>
    <bk>
      <extLst>
        <ext uri="{3e2802c4-a4d2-4d8b-9148-e3be6c30e623}">
          <xlrd:rvb i="5502"/>
        </ext>
      </extLst>
    </bk>
    <bk>
      <extLst>
        <ext uri="{3e2802c4-a4d2-4d8b-9148-e3be6c30e623}">
          <xlrd:rvb i="5503"/>
        </ext>
      </extLst>
    </bk>
    <bk>
      <extLst>
        <ext uri="{3e2802c4-a4d2-4d8b-9148-e3be6c30e623}">
          <xlrd:rvb i="5504"/>
        </ext>
      </extLst>
    </bk>
    <bk>
      <extLst>
        <ext uri="{3e2802c4-a4d2-4d8b-9148-e3be6c30e623}">
          <xlrd:rvb i="5505"/>
        </ext>
      </extLst>
    </bk>
    <bk>
      <extLst>
        <ext uri="{3e2802c4-a4d2-4d8b-9148-e3be6c30e623}">
          <xlrd:rvb i="5506"/>
        </ext>
      </extLst>
    </bk>
    <bk>
      <extLst>
        <ext uri="{3e2802c4-a4d2-4d8b-9148-e3be6c30e623}">
          <xlrd:rvb i="5507"/>
        </ext>
      </extLst>
    </bk>
    <bk>
      <extLst>
        <ext uri="{3e2802c4-a4d2-4d8b-9148-e3be6c30e623}">
          <xlrd:rvb i="5508"/>
        </ext>
      </extLst>
    </bk>
    <bk>
      <extLst>
        <ext uri="{3e2802c4-a4d2-4d8b-9148-e3be6c30e623}">
          <xlrd:rvb i="5509"/>
        </ext>
      </extLst>
    </bk>
    <bk>
      <extLst>
        <ext uri="{3e2802c4-a4d2-4d8b-9148-e3be6c30e623}">
          <xlrd:rvb i="5510"/>
        </ext>
      </extLst>
    </bk>
    <bk>
      <extLst>
        <ext uri="{3e2802c4-a4d2-4d8b-9148-e3be6c30e623}">
          <xlrd:rvb i="5511"/>
        </ext>
      </extLst>
    </bk>
    <bk>
      <extLst>
        <ext uri="{3e2802c4-a4d2-4d8b-9148-e3be6c30e623}">
          <xlrd:rvb i="5512"/>
        </ext>
      </extLst>
    </bk>
    <bk>
      <extLst>
        <ext uri="{3e2802c4-a4d2-4d8b-9148-e3be6c30e623}">
          <xlrd:rvb i="5513"/>
        </ext>
      </extLst>
    </bk>
    <bk>
      <extLst>
        <ext uri="{3e2802c4-a4d2-4d8b-9148-e3be6c30e623}">
          <xlrd:rvb i="5514"/>
        </ext>
      </extLst>
    </bk>
    <bk>
      <extLst>
        <ext uri="{3e2802c4-a4d2-4d8b-9148-e3be6c30e623}">
          <xlrd:rvb i="5515"/>
        </ext>
      </extLst>
    </bk>
    <bk>
      <extLst>
        <ext uri="{3e2802c4-a4d2-4d8b-9148-e3be6c30e623}">
          <xlrd:rvb i="5516"/>
        </ext>
      </extLst>
    </bk>
    <bk>
      <extLst>
        <ext uri="{3e2802c4-a4d2-4d8b-9148-e3be6c30e623}">
          <xlrd:rvb i="5517"/>
        </ext>
      </extLst>
    </bk>
    <bk>
      <extLst>
        <ext uri="{3e2802c4-a4d2-4d8b-9148-e3be6c30e623}">
          <xlrd:rvb i="5518"/>
        </ext>
      </extLst>
    </bk>
    <bk>
      <extLst>
        <ext uri="{3e2802c4-a4d2-4d8b-9148-e3be6c30e623}">
          <xlrd:rvb i="5519"/>
        </ext>
      </extLst>
    </bk>
    <bk>
      <extLst>
        <ext uri="{3e2802c4-a4d2-4d8b-9148-e3be6c30e623}">
          <xlrd:rvb i="5520"/>
        </ext>
      </extLst>
    </bk>
    <bk>
      <extLst>
        <ext uri="{3e2802c4-a4d2-4d8b-9148-e3be6c30e623}">
          <xlrd:rvb i="5521"/>
        </ext>
      </extLst>
    </bk>
    <bk>
      <extLst>
        <ext uri="{3e2802c4-a4d2-4d8b-9148-e3be6c30e623}">
          <xlrd:rvb i="5522"/>
        </ext>
      </extLst>
    </bk>
    <bk>
      <extLst>
        <ext uri="{3e2802c4-a4d2-4d8b-9148-e3be6c30e623}">
          <xlrd:rvb i="5523"/>
        </ext>
      </extLst>
    </bk>
    <bk>
      <extLst>
        <ext uri="{3e2802c4-a4d2-4d8b-9148-e3be6c30e623}">
          <xlrd:rvb i="5524"/>
        </ext>
      </extLst>
    </bk>
    <bk>
      <extLst>
        <ext uri="{3e2802c4-a4d2-4d8b-9148-e3be6c30e623}">
          <xlrd:rvb i="5525"/>
        </ext>
      </extLst>
    </bk>
    <bk>
      <extLst>
        <ext uri="{3e2802c4-a4d2-4d8b-9148-e3be6c30e623}">
          <xlrd:rvb i="5526"/>
        </ext>
      </extLst>
    </bk>
    <bk>
      <extLst>
        <ext uri="{3e2802c4-a4d2-4d8b-9148-e3be6c30e623}">
          <xlrd:rvb i="5527"/>
        </ext>
      </extLst>
    </bk>
    <bk>
      <extLst>
        <ext uri="{3e2802c4-a4d2-4d8b-9148-e3be6c30e623}">
          <xlrd:rvb i="5528"/>
        </ext>
      </extLst>
    </bk>
    <bk>
      <extLst>
        <ext uri="{3e2802c4-a4d2-4d8b-9148-e3be6c30e623}">
          <xlrd:rvb i="5529"/>
        </ext>
      </extLst>
    </bk>
    <bk>
      <extLst>
        <ext uri="{3e2802c4-a4d2-4d8b-9148-e3be6c30e623}">
          <xlrd:rvb i="5530"/>
        </ext>
      </extLst>
    </bk>
    <bk>
      <extLst>
        <ext uri="{3e2802c4-a4d2-4d8b-9148-e3be6c30e623}">
          <xlrd:rvb i="5531"/>
        </ext>
      </extLst>
    </bk>
    <bk>
      <extLst>
        <ext uri="{3e2802c4-a4d2-4d8b-9148-e3be6c30e623}">
          <xlrd:rvb i="5532"/>
        </ext>
      </extLst>
    </bk>
    <bk>
      <extLst>
        <ext uri="{3e2802c4-a4d2-4d8b-9148-e3be6c30e623}">
          <xlrd:rvb i="5533"/>
        </ext>
      </extLst>
    </bk>
    <bk>
      <extLst>
        <ext uri="{3e2802c4-a4d2-4d8b-9148-e3be6c30e623}">
          <xlrd:rvb i="5534"/>
        </ext>
      </extLst>
    </bk>
    <bk>
      <extLst>
        <ext uri="{3e2802c4-a4d2-4d8b-9148-e3be6c30e623}">
          <xlrd:rvb i="5535"/>
        </ext>
      </extLst>
    </bk>
    <bk>
      <extLst>
        <ext uri="{3e2802c4-a4d2-4d8b-9148-e3be6c30e623}">
          <xlrd:rvb i="5536"/>
        </ext>
      </extLst>
    </bk>
    <bk>
      <extLst>
        <ext uri="{3e2802c4-a4d2-4d8b-9148-e3be6c30e623}">
          <xlrd:rvb i="5537"/>
        </ext>
      </extLst>
    </bk>
    <bk>
      <extLst>
        <ext uri="{3e2802c4-a4d2-4d8b-9148-e3be6c30e623}">
          <xlrd:rvb i="5538"/>
        </ext>
      </extLst>
    </bk>
    <bk>
      <extLst>
        <ext uri="{3e2802c4-a4d2-4d8b-9148-e3be6c30e623}">
          <xlrd:rvb i="5539"/>
        </ext>
      </extLst>
    </bk>
    <bk>
      <extLst>
        <ext uri="{3e2802c4-a4d2-4d8b-9148-e3be6c30e623}">
          <xlrd:rvb i="5540"/>
        </ext>
      </extLst>
    </bk>
    <bk>
      <extLst>
        <ext uri="{3e2802c4-a4d2-4d8b-9148-e3be6c30e623}">
          <xlrd:rvb i="5541"/>
        </ext>
      </extLst>
    </bk>
    <bk>
      <extLst>
        <ext uri="{3e2802c4-a4d2-4d8b-9148-e3be6c30e623}">
          <xlrd:rvb i="5542"/>
        </ext>
      </extLst>
    </bk>
    <bk>
      <extLst>
        <ext uri="{3e2802c4-a4d2-4d8b-9148-e3be6c30e623}">
          <xlrd:rvb i="5543"/>
        </ext>
      </extLst>
    </bk>
    <bk>
      <extLst>
        <ext uri="{3e2802c4-a4d2-4d8b-9148-e3be6c30e623}">
          <xlrd:rvb i="5544"/>
        </ext>
      </extLst>
    </bk>
    <bk>
      <extLst>
        <ext uri="{3e2802c4-a4d2-4d8b-9148-e3be6c30e623}">
          <xlrd:rvb i="5545"/>
        </ext>
      </extLst>
    </bk>
    <bk>
      <extLst>
        <ext uri="{3e2802c4-a4d2-4d8b-9148-e3be6c30e623}">
          <xlrd:rvb i="5546"/>
        </ext>
      </extLst>
    </bk>
    <bk>
      <extLst>
        <ext uri="{3e2802c4-a4d2-4d8b-9148-e3be6c30e623}">
          <xlrd:rvb i="5547"/>
        </ext>
      </extLst>
    </bk>
    <bk>
      <extLst>
        <ext uri="{3e2802c4-a4d2-4d8b-9148-e3be6c30e623}">
          <xlrd:rvb i="5548"/>
        </ext>
      </extLst>
    </bk>
    <bk>
      <extLst>
        <ext uri="{3e2802c4-a4d2-4d8b-9148-e3be6c30e623}">
          <xlrd:rvb i="5549"/>
        </ext>
      </extLst>
    </bk>
    <bk>
      <extLst>
        <ext uri="{3e2802c4-a4d2-4d8b-9148-e3be6c30e623}">
          <xlrd:rvb i="5550"/>
        </ext>
      </extLst>
    </bk>
    <bk>
      <extLst>
        <ext uri="{3e2802c4-a4d2-4d8b-9148-e3be6c30e623}">
          <xlrd:rvb i="5551"/>
        </ext>
      </extLst>
    </bk>
    <bk>
      <extLst>
        <ext uri="{3e2802c4-a4d2-4d8b-9148-e3be6c30e623}">
          <xlrd:rvb i="5552"/>
        </ext>
      </extLst>
    </bk>
    <bk>
      <extLst>
        <ext uri="{3e2802c4-a4d2-4d8b-9148-e3be6c30e623}">
          <xlrd:rvb i="5553"/>
        </ext>
      </extLst>
    </bk>
    <bk>
      <extLst>
        <ext uri="{3e2802c4-a4d2-4d8b-9148-e3be6c30e623}">
          <xlrd:rvb i="5554"/>
        </ext>
      </extLst>
    </bk>
    <bk>
      <extLst>
        <ext uri="{3e2802c4-a4d2-4d8b-9148-e3be6c30e623}">
          <xlrd:rvb i="5555"/>
        </ext>
      </extLst>
    </bk>
    <bk>
      <extLst>
        <ext uri="{3e2802c4-a4d2-4d8b-9148-e3be6c30e623}">
          <xlrd:rvb i="5556"/>
        </ext>
      </extLst>
    </bk>
    <bk>
      <extLst>
        <ext uri="{3e2802c4-a4d2-4d8b-9148-e3be6c30e623}">
          <xlrd:rvb i="5557"/>
        </ext>
      </extLst>
    </bk>
    <bk>
      <extLst>
        <ext uri="{3e2802c4-a4d2-4d8b-9148-e3be6c30e623}">
          <xlrd:rvb i="5558"/>
        </ext>
      </extLst>
    </bk>
    <bk>
      <extLst>
        <ext uri="{3e2802c4-a4d2-4d8b-9148-e3be6c30e623}">
          <xlrd:rvb i="5559"/>
        </ext>
      </extLst>
    </bk>
    <bk>
      <extLst>
        <ext uri="{3e2802c4-a4d2-4d8b-9148-e3be6c30e623}">
          <xlrd:rvb i="5560"/>
        </ext>
      </extLst>
    </bk>
    <bk>
      <extLst>
        <ext uri="{3e2802c4-a4d2-4d8b-9148-e3be6c30e623}">
          <xlrd:rvb i="5561"/>
        </ext>
      </extLst>
    </bk>
    <bk>
      <extLst>
        <ext uri="{3e2802c4-a4d2-4d8b-9148-e3be6c30e623}">
          <xlrd:rvb i="5562"/>
        </ext>
      </extLst>
    </bk>
    <bk>
      <extLst>
        <ext uri="{3e2802c4-a4d2-4d8b-9148-e3be6c30e623}">
          <xlrd:rvb i="5563"/>
        </ext>
      </extLst>
    </bk>
    <bk>
      <extLst>
        <ext uri="{3e2802c4-a4d2-4d8b-9148-e3be6c30e623}">
          <xlrd:rvb i="5564"/>
        </ext>
      </extLst>
    </bk>
    <bk>
      <extLst>
        <ext uri="{3e2802c4-a4d2-4d8b-9148-e3be6c30e623}">
          <xlrd:rvb i="5565"/>
        </ext>
      </extLst>
    </bk>
    <bk>
      <extLst>
        <ext uri="{3e2802c4-a4d2-4d8b-9148-e3be6c30e623}">
          <xlrd:rvb i="5566"/>
        </ext>
      </extLst>
    </bk>
    <bk>
      <extLst>
        <ext uri="{3e2802c4-a4d2-4d8b-9148-e3be6c30e623}">
          <xlrd:rvb i="5567"/>
        </ext>
      </extLst>
    </bk>
    <bk>
      <extLst>
        <ext uri="{3e2802c4-a4d2-4d8b-9148-e3be6c30e623}">
          <xlrd:rvb i="5568"/>
        </ext>
      </extLst>
    </bk>
    <bk>
      <extLst>
        <ext uri="{3e2802c4-a4d2-4d8b-9148-e3be6c30e623}">
          <xlrd:rvb i="5569"/>
        </ext>
      </extLst>
    </bk>
    <bk>
      <extLst>
        <ext uri="{3e2802c4-a4d2-4d8b-9148-e3be6c30e623}">
          <xlrd:rvb i="5570"/>
        </ext>
      </extLst>
    </bk>
    <bk>
      <extLst>
        <ext uri="{3e2802c4-a4d2-4d8b-9148-e3be6c30e623}">
          <xlrd:rvb i="5571"/>
        </ext>
      </extLst>
    </bk>
    <bk>
      <extLst>
        <ext uri="{3e2802c4-a4d2-4d8b-9148-e3be6c30e623}">
          <xlrd:rvb i="5572"/>
        </ext>
      </extLst>
    </bk>
    <bk>
      <extLst>
        <ext uri="{3e2802c4-a4d2-4d8b-9148-e3be6c30e623}">
          <xlrd:rvb i="5573"/>
        </ext>
      </extLst>
    </bk>
    <bk>
      <extLst>
        <ext uri="{3e2802c4-a4d2-4d8b-9148-e3be6c30e623}">
          <xlrd:rvb i="5574"/>
        </ext>
      </extLst>
    </bk>
    <bk>
      <extLst>
        <ext uri="{3e2802c4-a4d2-4d8b-9148-e3be6c30e623}">
          <xlrd:rvb i="5575"/>
        </ext>
      </extLst>
    </bk>
    <bk>
      <extLst>
        <ext uri="{3e2802c4-a4d2-4d8b-9148-e3be6c30e623}">
          <xlrd:rvb i="5576"/>
        </ext>
      </extLst>
    </bk>
    <bk>
      <extLst>
        <ext uri="{3e2802c4-a4d2-4d8b-9148-e3be6c30e623}">
          <xlrd:rvb i="5577"/>
        </ext>
      </extLst>
    </bk>
    <bk>
      <extLst>
        <ext uri="{3e2802c4-a4d2-4d8b-9148-e3be6c30e623}">
          <xlrd:rvb i="5578"/>
        </ext>
      </extLst>
    </bk>
    <bk>
      <extLst>
        <ext uri="{3e2802c4-a4d2-4d8b-9148-e3be6c30e623}">
          <xlrd:rvb i="5579"/>
        </ext>
      </extLst>
    </bk>
    <bk>
      <extLst>
        <ext uri="{3e2802c4-a4d2-4d8b-9148-e3be6c30e623}">
          <xlrd:rvb i="5580"/>
        </ext>
      </extLst>
    </bk>
    <bk>
      <extLst>
        <ext uri="{3e2802c4-a4d2-4d8b-9148-e3be6c30e623}">
          <xlrd:rvb i="5581"/>
        </ext>
      </extLst>
    </bk>
    <bk>
      <extLst>
        <ext uri="{3e2802c4-a4d2-4d8b-9148-e3be6c30e623}">
          <xlrd:rvb i="5582"/>
        </ext>
      </extLst>
    </bk>
    <bk>
      <extLst>
        <ext uri="{3e2802c4-a4d2-4d8b-9148-e3be6c30e623}">
          <xlrd:rvb i="5583"/>
        </ext>
      </extLst>
    </bk>
    <bk>
      <extLst>
        <ext uri="{3e2802c4-a4d2-4d8b-9148-e3be6c30e623}">
          <xlrd:rvb i="5584"/>
        </ext>
      </extLst>
    </bk>
    <bk>
      <extLst>
        <ext uri="{3e2802c4-a4d2-4d8b-9148-e3be6c30e623}">
          <xlrd:rvb i="5585"/>
        </ext>
      </extLst>
    </bk>
    <bk>
      <extLst>
        <ext uri="{3e2802c4-a4d2-4d8b-9148-e3be6c30e623}">
          <xlrd:rvb i="5586"/>
        </ext>
      </extLst>
    </bk>
    <bk>
      <extLst>
        <ext uri="{3e2802c4-a4d2-4d8b-9148-e3be6c30e623}">
          <xlrd:rvb i="5587"/>
        </ext>
      </extLst>
    </bk>
    <bk>
      <extLst>
        <ext uri="{3e2802c4-a4d2-4d8b-9148-e3be6c30e623}">
          <xlrd:rvb i="5588"/>
        </ext>
      </extLst>
    </bk>
    <bk>
      <extLst>
        <ext uri="{3e2802c4-a4d2-4d8b-9148-e3be6c30e623}">
          <xlrd:rvb i="5589"/>
        </ext>
      </extLst>
    </bk>
    <bk>
      <extLst>
        <ext uri="{3e2802c4-a4d2-4d8b-9148-e3be6c30e623}">
          <xlrd:rvb i="5590"/>
        </ext>
      </extLst>
    </bk>
    <bk>
      <extLst>
        <ext uri="{3e2802c4-a4d2-4d8b-9148-e3be6c30e623}">
          <xlrd:rvb i="5591"/>
        </ext>
      </extLst>
    </bk>
    <bk>
      <extLst>
        <ext uri="{3e2802c4-a4d2-4d8b-9148-e3be6c30e623}">
          <xlrd:rvb i="5592"/>
        </ext>
      </extLst>
    </bk>
    <bk>
      <extLst>
        <ext uri="{3e2802c4-a4d2-4d8b-9148-e3be6c30e623}">
          <xlrd:rvb i="5593"/>
        </ext>
      </extLst>
    </bk>
    <bk>
      <extLst>
        <ext uri="{3e2802c4-a4d2-4d8b-9148-e3be6c30e623}">
          <xlrd:rvb i="5594"/>
        </ext>
      </extLst>
    </bk>
    <bk>
      <extLst>
        <ext uri="{3e2802c4-a4d2-4d8b-9148-e3be6c30e623}">
          <xlrd:rvb i="5595"/>
        </ext>
      </extLst>
    </bk>
    <bk>
      <extLst>
        <ext uri="{3e2802c4-a4d2-4d8b-9148-e3be6c30e623}">
          <xlrd:rvb i="5596"/>
        </ext>
      </extLst>
    </bk>
    <bk>
      <extLst>
        <ext uri="{3e2802c4-a4d2-4d8b-9148-e3be6c30e623}">
          <xlrd:rvb i="5597"/>
        </ext>
      </extLst>
    </bk>
    <bk>
      <extLst>
        <ext uri="{3e2802c4-a4d2-4d8b-9148-e3be6c30e623}">
          <xlrd:rvb i="5598"/>
        </ext>
      </extLst>
    </bk>
    <bk>
      <extLst>
        <ext uri="{3e2802c4-a4d2-4d8b-9148-e3be6c30e623}">
          <xlrd:rvb i="5599"/>
        </ext>
      </extLst>
    </bk>
    <bk>
      <extLst>
        <ext uri="{3e2802c4-a4d2-4d8b-9148-e3be6c30e623}">
          <xlrd:rvb i="5600"/>
        </ext>
      </extLst>
    </bk>
    <bk>
      <extLst>
        <ext uri="{3e2802c4-a4d2-4d8b-9148-e3be6c30e623}">
          <xlrd:rvb i="5601"/>
        </ext>
      </extLst>
    </bk>
    <bk>
      <extLst>
        <ext uri="{3e2802c4-a4d2-4d8b-9148-e3be6c30e623}">
          <xlrd:rvb i="5602"/>
        </ext>
      </extLst>
    </bk>
    <bk>
      <extLst>
        <ext uri="{3e2802c4-a4d2-4d8b-9148-e3be6c30e623}">
          <xlrd:rvb i="5603"/>
        </ext>
      </extLst>
    </bk>
    <bk>
      <extLst>
        <ext uri="{3e2802c4-a4d2-4d8b-9148-e3be6c30e623}">
          <xlrd:rvb i="5604"/>
        </ext>
      </extLst>
    </bk>
    <bk>
      <extLst>
        <ext uri="{3e2802c4-a4d2-4d8b-9148-e3be6c30e623}">
          <xlrd:rvb i="5605"/>
        </ext>
      </extLst>
    </bk>
    <bk>
      <extLst>
        <ext uri="{3e2802c4-a4d2-4d8b-9148-e3be6c30e623}">
          <xlrd:rvb i="5606"/>
        </ext>
      </extLst>
    </bk>
    <bk>
      <extLst>
        <ext uri="{3e2802c4-a4d2-4d8b-9148-e3be6c30e623}">
          <xlrd:rvb i="5607"/>
        </ext>
      </extLst>
    </bk>
    <bk>
      <extLst>
        <ext uri="{3e2802c4-a4d2-4d8b-9148-e3be6c30e623}">
          <xlrd:rvb i="5608"/>
        </ext>
      </extLst>
    </bk>
    <bk>
      <extLst>
        <ext uri="{3e2802c4-a4d2-4d8b-9148-e3be6c30e623}">
          <xlrd:rvb i="5609"/>
        </ext>
      </extLst>
    </bk>
    <bk>
      <extLst>
        <ext uri="{3e2802c4-a4d2-4d8b-9148-e3be6c30e623}">
          <xlrd:rvb i="5610"/>
        </ext>
      </extLst>
    </bk>
    <bk>
      <extLst>
        <ext uri="{3e2802c4-a4d2-4d8b-9148-e3be6c30e623}">
          <xlrd:rvb i="5611"/>
        </ext>
      </extLst>
    </bk>
    <bk>
      <extLst>
        <ext uri="{3e2802c4-a4d2-4d8b-9148-e3be6c30e623}">
          <xlrd:rvb i="5612"/>
        </ext>
      </extLst>
    </bk>
    <bk>
      <extLst>
        <ext uri="{3e2802c4-a4d2-4d8b-9148-e3be6c30e623}">
          <xlrd:rvb i="5613"/>
        </ext>
      </extLst>
    </bk>
    <bk>
      <extLst>
        <ext uri="{3e2802c4-a4d2-4d8b-9148-e3be6c30e623}">
          <xlrd:rvb i="5614"/>
        </ext>
      </extLst>
    </bk>
    <bk>
      <extLst>
        <ext uri="{3e2802c4-a4d2-4d8b-9148-e3be6c30e623}">
          <xlrd:rvb i="5615"/>
        </ext>
      </extLst>
    </bk>
    <bk>
      <extLst>
        <ext uri="{3e2802c4-a4d2-4d8b-9148-e3be6c30e623}">
          <xlrd:rvb i="5616"/>
        </ext>
      </extLst>
    </bk>
    <bk>
      <extLst>
        <ext uri="{3e2802c4-a4d2-4d8b-9148-e3be6c30e623}">
          <xlrd:rvb i="5617"/>
        </ext>
      </extLst>
    </bk>
    <bk>
      <extLst>
        <ext uri="{3e2802c4-a4d2-4d8b-9148-e3be6c30e623}">
          <xlrd:rvb i="5618"/>
        </ext>
      </extLst>
    </bk>
    <bk>
      <extLst>
        <ext uri="{3e2802c4-a4d2-4d8b-9148-e3be6c30e623}">
          <xlrd:rvb i="5619"/>
        </ext>
      </extLst>
    </bk>
    <bk>
      <extLst>
        <ext uri="{3e2802c4-a4d2-4d8b-9148-e3be6c30e623}">
          <xlrd:rvb i="5620"/>
        </ext>
      </extLst>
    </bk>
    <bk>
      <extLst>
        <ext uri="{3e2802c4-a4d2-4d8b-9148-e3be6c30e623}">
          <xlrd:rvb i="5621"/>
        </ext>
      </extLst>
    </bk>
    <bk>
      <extLst>
        <ext uri="{3e2802c4-a4d2-4d8b-9148-e3be6c30e623}">
          <xlrd:rvb i="5622"/>
        </ext>
      </extLst>
    </bk>
    <bk>
      <extLst>
        <ext uri="{3e2802c4-a4d2-4d8b-9148-e3be6c30e623}">
          <xlrd:rvb i="5623"/>
        </ext>
      </extLst>
    </bk>
    <bk>
      <extLst>
        <ext uri="{3e2802c4-a4d2-4d8b-9148-e3be6c30e623}">
          <xlrd:rvb i="5624"/>
        </ext>
      </extLst>
    </bk>
    <bk>
      <extLst>
        <ext uri="{3e2802c4-a4d2-4d8b-9148-e3be6c30e623}">
          <xlrd:rvb i="5625"/>
        </ext>
      </extLst>
    </bk>
    <bk>
      <extLst>
        <ext uri="{3e2802c4-a4d2-4d8b-9148-e3be6c30e623}">
          <xlrd:rvb i="5626"/>
        </ext>
      </extLst>
    </bk>
    <bk>
      <extLst>
        <ext uri="{3e2802c4-a4d2-4d8b-9148-e3be6c30e623}">
          <xlrd:rvb i="5627"/>
        </ext>
      </extLst>
    </bk>
    <bk>
      <extLst>
        <ext uri="{3e2802c4-a4d2-4d8b-9148-e3be6c30e623}">
          <xlrd:rvb i="5628"/>
        </ext>
      </extLst>
    </bk>
    <bk>
      <extLst>
        <ext uri="{3e2802c4-a4d2-4d8b-9148-e3be6c30e623}">
          <xlrd:rvb i="5629"/>
        </ext>
      </extLst>
    </bk>
    <bk>
      <extLst>
        <ext uri="{3e2802c4-a4d2-4d8b-9148-e3be6c30e623}">
          <xlrd:rvb i="5630"/>
        </ext>
      </extLst>
    </bk>
    <bk>
      <extLst>
        <ext uri="{3e2802c4-a4d2-4d8b-9148-e3be6c30e623}">
          <xlrd:rvb i="5631"/>
        </ext>
      </extLst>
    </bk>
    <bk>
      <extLst>
        <ext uri="{3e2802c4-a4d2-4d8b-9148-e3be6c30e623}">
          <xlrd:rvb i="5632"/>
        </ext>
      </extLst>
    </bk>
    <bk>
      <extLst>
        <ext uri="{3e2802c4-a4d2-4d8b-9148-e3be6c30e623}">
          <xlrd:rvb i="5633"/>
        </ext>
      </extLst>
    </bk>
    <bk>
      <extLst>
        <ext uri="{3e2802c4-a4d2-4d8b-9148-e3be6c30e623}">
          <xlrd:rvb i="5634"/>
        </ext>
      </extLst>
    </bk>
    <bk>
      <extLst>
        <ext uri="{3e2802c4-a4d2-4d8b-9148-e3be6c30e623}">
          <xlrd:rvb i="5635"/>
        </ext>
      </extLst>
    </bk>
    <bk>
      <extLst>
        <ext uri="{3e2802c4-a4d2-4d8b-9148-e3be6c30e623}">
          <xlrd:rvb i="5636"/>
        </ext>
      </extLst>
    </bk>
    <bk>
      <extLst>
        <ext uri="{3e2802c4-a4d2-4d8b-9148-e3be6c30e623}">
          <xlrd:rvb i="5637"/>
        </ext>
      </extLst>
    </bk>
    <bk>
      <extLst>
        <ext uri="{3e2802c4-a4d2-4d8b-9148-e3be6c30e623}">
          <xlrd:rvb i="5638"/>
        </ext>
      </extLst>
    </bk>
    <bk>
      <extLst>
        <ext uri="{3e2802c4-a4d2-4d8b-9148-e3be6c30e623}">
          <xlrd:rvb i="5639"/>
        </ext>
      </extLst>
    </bk>
    <bk>
      <extLst>
        <ext uri="{3e2802c4-a4d2-4d8b-9148-e3be6c30e623}">
          <xlrd:rvb i="5640"/>
        </ext>
      </extLst>
    </bk>
    <bk>
      <extLst>
        <ext uri="{3e2802c4-a4d2-4d8b-9148-e3be6c30e623}">
          <xlrd:rvb i="5641"/>
        </ext>
      </extLst>
    </bk>
    <bk>
      <extLst>
        <ext uri="{3e2802c4-a4d2-4d8b-9148-e3be6c30e623}">
          <xlrd:rvb i="5642"/>
        </ext>
      </extLst>
    </bk>
    <bk>
      <extLst>
        <ext uri="{3e2802c4-a4d2-4d8b-9148-e3be6c30e623}">
          <xlrd:rvb i="5643"/>
        </ext>
      </extLst>
    </bk>
    <bk>
      <extLst>
        <ext uri="{3e2802c4-a4d2-4d8b-9148-e3be6c30e623}">
          <xlrd:rvb i="5644"/>
        </ext>
      </extLst>
    </bk>
    <bk>
      <extLst>
        <ext uri="{3e2802c4-a4d2-4d8b-9148-e3be6c30e623}">
          <xlrd:rvb i="5645"/>
        </ext>
      </extLst>
    </bk>
    <bk>
      <extLst>
        <ext uri="{3e2802c4-a4d2-4d8b-9148-e3be6c30e623}">
          <xlrd:rvb i="5646"/>
        </ext>
      </extLst>
    </bk>
    <bk>
      <extLst>
        <ext uri="{3e2802c4-a4d2-4d8b-9148-e3be6c30e623}">
          <xlrd:rvb i="5647"/>
        </ext>
      </extLst>
    </bk>
    <bk>
      <extLst>
        <ext uri="{3e2802c4-a4d2-4d8b-9148-e3be6c30e623}">
          <xlrd:rvb i="5648"/>
        </ext>
      </extLst>
    </bk>
    <bk>
      <extLst>
        <ext uri="{3e2802c4-a4d2-4d8b-9148-e3be6c30e623}">
          <xlrd:rvb i="5649"/>
        </ext>
      </extLst>
    </bk>
    <bk>
      <extLst>
        <ext uri="{3e2802c4-a4d2-4d8b-9148-e3be6c30e623}">
          <xlrd:rvb i="5650"/>
        </ext>
      </extLst>
    </bk>
    <bk>
      <extLst>
        <ext uri="{3e2802c4-a4d2-4d8b-9148-e3be6c30e623}">
          <xlrd:rvb i="5651"/>
        </ext>
      </extLst>
    </bk>
    <bk>
      <extLst>
        <ext uri="{3e2802c4-a4d2-4d8b-9148-e3be6c30e623}">
          <xlrd:rvb i="5652"/>
        </ext>
      </extLst>
    </bk>
    <bk>
      <extLst>
        <ext uri="{3e2802c4-a4d2-4d8b-9148-e3be6c30e623}">
          <xlrd:rvb i="5653"/>
        </ext>
      </extLst>
    </bk>
    <bk>
      <extLst>
        <ext uri="{3e2802c4-a4d2-4d8b-9148-e3be6c30e623}">
          <xlrd:rvb i="5654"/>
        </ext>
      </extLst>
    </bk>
    <bk>
      <extLst>
        <ext uri="{3e2802c4-a4d2-4d8b-9148-e3be6c30e623}">
          <xlrd:rvb i="5655"/>
        </ext>
      </extLst>
    </bk>
    <bk>
      <extLst>
        <ext uri="{3e2802c4-a4d2-4d8b-9148-e3be6c30e623}">
          <xlrd:rvb i="5656"/>
        </ext>
      </extLst>
    </bk>
    <bk>
      <extLst>
        <ext uri="{3e2802c4-a4d2-4d8b-9148-e3be6c30e623}">
          <xlrd:rvb i="5657"/>
        </ext>
      </extLst>
    </bk>
    <bk>
      <extLst>
        <ext uri="{3e2802c4-a4d2-4d8b-9148-e3be6c30e623}">
          <xlrd:rvb i="5658"/>
        </ext>
      </extLst>
    </bk>
    <bk>
      <extLst>
        <ext uri="{3e2802c4-a4d2-4d8b-9148-e3be6c30e623}">
          <xlrd:rvb i="5659"/>
        </ext>
      </extLst>
    </bk>
    <bk>
      <extLst>
        <ext uri="{3e2802c4-a4d2-4d8b-9148-e3be6c30e623}">
          <xlrd:rvb i="5660"/>
        </ext>
      </extLst>
    </bk>
    <bk>
      <extLst>
        <ext uri="{3e2802c4-a4d2-4d8b-9148-e3be6c30e623}">
          <xlrd:rvb i="5661"/>
        </ext>
      </extLst>
    </bk>
    <bk>
      <extLst>
        <ext uri="{3e2802c4-a4d2-4d8b-9148-e3be6c30e623}">
          <xlrd:rvb i="5662"/>
        </ext>
      </extLst>
    </bk>
    <bk>
      <extLst>
        <ext uri="{3e2802c4-a4d2-4d8b-9148-e3be6c30e623}">
          <xlrd:rvb i="5663"/>
        </ext>
      </extLst>
    </bk>
    <bk>
      <extLst>
        <ext uri="{3e2802c4-a4d2-4d8b-9148-e3be6c30e623}">
          <xlrd:rvb i="5664"/>
        </ext>
      </extLst>
    </bk>
    <bk>
      <extLst>
        <ext uri="{3e2802c4-a4d2-4d8b-9148-e3be6c30e623}">
          <xlrd:rvb i="5665"/>
        </ext>
      </extLst>
    </bk>
    <bk>
      <extLst>
        <ext uri="{3e2802c4-a4d2-4d8b-9148-e3be6c30e623}">
          <xlrd:rvb i="5666"/>
        </ext>
      </extLst>
    </bk>
    <bk>
      <extLst>
        <ext uri="{3e2802c4-a4d2-4d8b-9148-e3be6c30e623}">
          <xlrd:rvb i="5667"/>
        </ext>
      </extLst>
    </bk>
    <bk>
      <extLst>
        <ext uri="{3e2802c4-a4d2-4d8b-9148-e3be6c30e623}">
          <xlrd:rvb i="5668"/>
        </ext>
      </extLst>
    </bk>
    <bk>
      <extLst>
        <ext uri="{3e2802c4-a4d2-4d8b-9148-e3be6c30e623}">
          <xlrd:rvb i="5669"/>
        </ext>
      </extLst>
    </bk>
    <bk>
      <extLst>
        <ext uri="{3e2802c4-a4d2-4d8b-9148-e3be6c30e623}">
          <xlrd:rvb i="5670"/>
        </ext>
      </extLst>
    </bk>
    <bk>
      <extLst>
        <ext uri="{3e2802c4-a4d2-4d8b-9148-e3be6c30e623}">
          <xlrd:rvb i="5671"/>
        </ext>
      </extLst>
    </bk>
    <bk>
      <extLst>
        <ext uri="{3e2802c4-a4d2-4d8b-9148-e3be6c30e623}">
          <xlrd:rvb i="5672"/>
        </ext>
      </extLst>
    </bk>
    <bk>
      <extLst>
        <ext uri="{3e2802c4-a4d2-4d8b-9148-e3be6c30e623}">
          <xlrd:rvb i="5673"/>
        </ext>
      </extLst>
    </bk>
    <bk>
      <extLst>
        <ext uri="{3e2802c4-a4d2-4d8b-9148-e3be6c30e623}">
          <xlrd:rvb i="5674"/>
        </ext>
      </extLst>
    </bk>
    <bk>
      <extLst>
        <ext uri="{3e2802c4-a4d2-4d8b-9148-e3be6c30e623}">
          <xlrd:rvb i="5675"/>
        </ext>
      </extLst>
    </bk>
    <bk>
      <extLst>
        <ext uri="{3e2802c4-a4d2-4d8b-9148-e3be6c30e623}">
          <xlrd:rvb i="5676"/>
        </ext>
      </extLst>
    </bk>
    <bk>
      <extLst>
        <ext uri="{3e2802c4-a4d2-4d8b-9148-e3be6c30e623}">
          <xlrd:rvb i="5677"/>
        </ext>
      </extLst>
    </bk>
    <bk>
      <extLst>
        <ext uri="{3e2802c4-a4d2-4d8b-9148-e3be6c30e623}">
          <xlrd:rvb i="5678"/>
        </ext>
      </extLst>
    </bk>
    <bk>
      <extLst>
        <ext uri="{3e2802c4-a4d2-4d8b-9148-e3be6c30e623}">
          <xlrd:rvb i="5679"/>
        </ext>
      </extLst>
    </bk>
    <bk>
      <extLst>
        <ext uri="{3e2802c4-a4d2-4d8b-9148-e3be6c30e623}">
          <xlrd:rvb i="5680"/>
        </ext>
      </extLst>
    </bk>
    <bk>
      <extLst>
        <ext uri="{3e2802c4-a4d2-4d8b-9148-e3be6c30e623}">
          <xlrd:rvb i="5681"/>
        </ext>
      </extLst>
    </bk>
    <bk>
      <extLst>
        <ext uri="{3e2802c4-a4d2-4d8b-9148-e3be6c30e623}">
          <xlrd:rvb i="5682"/>
        </ext>
      </extLst>
    </bk>
    <bk>
      <extLst>
        <ext uri="{3e2802c4-a4d2-4d8b-9148-e3be6c30e623}">
          <xlrd:rvb i="5683"/>
        </ext>
      </extLst>
    </bk>
    <bk>
      <extLst>
        <ext uri="{3e2802c4-a4d2-4d8b-9148-e3be6c30e623}">
          <xlrd:rvb i="5684"/>
        </ext>
      </extLst>
    </bk>
    <bk>
      <extLst>
        <ext uri="{3e2802c4-a4d2-4d8b-9148-e3be6c30e623}">
          <xlrd:rvb i="5685"/>
        </ext>
      </extLst>
    </bk>
    <bk>
      <extLst>
        <ext uri="{3e2802c4-a4d2-4d8b-9148-e3be6c30e623}">
          <xlrd:rvb i="5686"/>
        </ext>
      </extLst>
    </bk>
    <bk>
      <extLst>
        <ext uri="{3e2802c4-a4d2-4d8b-9148-e3be6c30e623}">
          <xlrd:rvb i="5687"/>
        </ext>
      </extLst>
    </bk>
    <bk>
      <extLst>
        <ext uri="{3e2802c4-a4d2-4d8b-9148-e3be6c30e623}">
          <xlrd:rvb i="5688"/>
        </ext>
      </extLst>
    </bk>
    <bk>
      <extLst>
        <ext uri="{3e2802c4-a4d2-4d8b-9148-e3be6c30e623}">
          <xlrd:rvb i="5689"/>
        </ext>
      </extLst>
    </bk>
    <bk>
      <extLst>
        <ext uri="{3e2802c4-a4d2-4d8b-9148-e3be6c30e623}">
          <xlrd:rvb i="5690"/>
        </ext>
      </extLst>
    </bk>
    <bk>
      <extLst>
        <ext uri="{3e2802c4-a4d2-4d8b-9148-e3be6c30e623}">
          <xlrd:rvb i="5691"/>
        </ext>
      </extLst>
    </bk>
    <bk>
      <extLst>
        <ext uri="{3e2802c4-a4d2-4d8b-9148-e3be6c30e623}">
          <xlrd:rvb i="5692"/>
        </ext>
      </extLst>
    </bk>
    <bk>
      <extLst>
        <ext uri="{3e2802c4-a4d2-4d8b-9148-e3be6c30e623}">
          <xlrd:rvb i="5693"/>
        </ext>
      </extLst>
    </bk>
    <bk>
      <extLst>
        <ext uri="{3e2802c4-a4d2-4d8b-9148-e3be6c30e623}">
          <xlrd:rvb i="5694"/>
        </ext>
      </extLst>
    </bk>
    <bk>
      <extLst>
        <ext uri="{3e2802c4-a4d2-4d8b-9148-e3be6c30e623}">
          <xlrd:rvb i="5695"/>
        </ext>
      </extLst>
    </bk>
    <bk>
      <extLst>
        <ext uri="{3e2802c4-a4d2-4d8b-9148-e3be6c30e623}">
          <xlrd:rvb i="5696"/>
        </ext>
      </extLst>
    </bk>
    <bk>
      <extLst>
        <ext uri="{3e2802c4-a4d2-4d8b-9148-e3be6c30e623}">
          <xlrd:rvb i="5697"/>
        </ext>
      </extLst>
    </bk>
    <bk>
      <extLst>
        <ext uri="{3e2802c4-a4d2-4d8b-9148-e3be6c30e623}">
          <xlrd:rvb i="5698"/>
        </ext>
      </extLst>
    </bk>
    <bk>
      <extLst>
        <ext uri="{3e2802c4-a4d2-4d8b-9148-e3be6c30e623}">
          <xlrd:rvb i="5699"/>
        </ext>
      </extLst>
    </bk>
    <bk>
      <extLst>
        <ext uri="{3e2802c4-a4d2-4d8b-9148-e3be6c30e623}">
          <xlrd:rvb i="5700"/>
        </ext>
      </extLst>
    </bk>
    <bk>
      <extLst>
        <ext uri="{3e2802c4-a4d2-4d8b-9148-e3be6c30e623}">
          <xlrd:rvb i="5701"/>
        </ext>
      </extLst>
    </bk>
    <bk>
      <extLst>
        <ext uri="{3e2802c4-a4d2-4d8b-9148-e3be6c30e623}">
          <xlrd:rvb i="5702"/>
        </ext>
      </extLst>
    </bk>
    <bk>
      <extLst>
        <ext uri="{3e2802c4-a4d2-4d8b-9148-e3be6c30e623}">
          <xlrd:rvb i="5703"/>
        </ext>
      </extLst>
    </bk>
    <bk>
      <extLst>
        <ext uri="{3e2802c4-a4d2-4d8b-9148-e3be6c30e623}">
          <xlrd:rvb i="5704"/>
        </ext>
      </extLst>
    </bk>
    <bk>
      <extLst>
        <ext uri="{3e2802c4-a4d2-4d8b-9148-e3be6c30e623}">
          <xlrd:rvb i="5705"/>
        </ext>
      </extLst>
    </bk>
    <bk>
      <extLst>
        <ext uri="{3e2802c4-a4d2-4d8b-9148-e3be6c30e623}">
          <xlrd:rvb i="5706"/>
        </ext>
      </extLst>
    </bk>
    <bk>
      <extLst>
        <ext uri="{3e2802c4-a4d2-4d8b-9148-e3be6c30e623}">
          <xlrd:rvb i="5707"/>
        </ext>
      </extLst>
    </bk>
    <bk>
      <extLst>
        <ext uri="{3e2802c4-a4d2-4d8b-9148-e3be6c30e623}">
          <xlrd:rvb i="5708"/>
        </ext>
      </extLst>
    </bk>
    <bk>
      <extLst>
        <ext uri="{3e2802c4-a4d2-4d8b-9148-e3be6c30e623}">
          <xlrd:rvb i="5709"/>
        </ext>
      </extLst>
    </bk>
    <bk>
      <extLst>
        <ext uri="{3e2802c4-a4d2-4d8b-9148-e3be6c30e623}">
          <xlrd:rvb i="5710"/>
        </ext>
      </extLst>
    </bk>
    <bk>
      <extLst>
        <ext uri="{3e2802c4-a4d2-4d8b-9148-e3be6c30e623}">
          <xlrd:rvb i="5711"/>
        </ext>
      </extLst>
    </bk>
    <bk>
      <extLst>
        <ext uri="{3e2802c4-a4d2-4d8b-9148-e3be6c30e623}">
          <xlrd:rvb i="5712"/>
        </ext>
      </extLst>
    </bk>
    <bk>
      <extLst>
        <ext uri="{3e2802c4-a4d2-4d8b-9148-e3be6c30e623}">
          <xlrd:rvb i="5713"/>
        </ext>
      </extLst>
    </bk>
    <bk>
      <extLst>
        <ext uri="{3e2802c4-a4d2-4d8b-9148-e3be6c30e623}">
          <xlrd:rvb i="5714"/>
        </ext>
      </extLst>
    </bk>
    <bk>
      <extLst>
        <ext uri="{3e2802c4-a4d2-4d8b-9148-e3be6c30e623}">
          <xlrd:rvb i="5715"/>
        </ext>
      </extLst>
    </bk>
    <bk>
      <extLst>
        <ext uri="{3e2802c4-a4d2-4d8b-9148-e3be6c30e623}">
          <xlrd:rvb i="5716"/>
        </ext>
      </extLst>
    </bk>
    <bk>
      <extLst>
        <ext uri="{3e2802c4-a4d2-4d8b-9148-e3be6c30e623}">
          <xlrd:rvb i="5717"/>
        </ext>
      </extLst>
    </bk>
    <bk>
      <extLst>
        <ext uri="{3e2802c4-a4d2-4d8b-9148-e3be6c30e623}">
          <xlrd:rvb i="5718"/>
        </ext>
      </extLst>
    </bk>
    <bk>
      <extLst>
        <ext uri="{3e2802c4-a4d2-4d8b-9148-e3be6c30e623}">
          <xlrd:rvb i="5719"/>
        </ext>
      </extLst>
    </bk>
    <bk>
      <extLst>
        <ext uri="{3e2802c4-a4d2-4d8b-9148-e3be6c30e623}">
          <xlrd:rvb i="5720"/>
        </ext>
      </extLst>
    </bk>
    <bk>
      <extLst>
        <ext uri="{3e2802c4-a4d2-4d8b-9148-e3be6c30e623}">
          <xlrd:rvb i="5721"/>
        </ext>
      </extLst>
    </bk>
    <bk>
      <extLst>
        <ext uri="{3e2802c4-a4d2-4d8b-9148-e3be6c30e623}">
          <xlrd:rvb i="5722"/>
        </ext>
      </extLst>
    </bk>
    <bk>
      <extLst>
        <ext uri="{3e2802c4-a4d2-4d8b-9148-e3be6c30e623}">
          <xlrd:rvb i="5723"/>
        </ext>
      </extLst>
    </bk>
    <bk>
      <extLst>
        <ext uri="{3e2802c4-a4d2-4d8b-9148-e3be6c30e623}">
          <xlrd:rvb i="5724"/>
        </ext>
      </extLst>
    </bk>
    <bk>
      <extLst>
        <ext uri="{3e2802c4-a4d2-4d8b-9148-e3be6c30e623}">
          <xlrd:rvb i="5725"/>
        </ext>
      </extLst>
    </bk>
    <bk>
      <extLst>
        <ext uri="{3e2802c4-a4d2-4d8b-9148-e3be6c30e623}">
          <xlrd:rvb i="5726"/>
        </ext>
      </extLst>
    </bk>
    <bk>
      <extLst>
        <ext uri="{3e2802c4-a4d2-4d8b-9148-e3be6c30e623}">
          <xlrd:rvb i="5727"/>
        </ext>
      </extLst>
    </bk>
    <bk>
      <extLst>
        <ext uri="{3e2802c4-a4d2-4d8b-9148-e3be6c30e623}">
          <xlrd:rvb i="5728"/>
        </ext>
      </extLst>
    </bk>
    <bk>
      <extLst>
        <ext uri="{3e2802c4-a4d2-4d8b-9148-e3be6c30e623}">
          <xlrd:rvb i="5729"/>
        </ext>
      </extLst>
    </bk>
    <bk>
      <extLst>
        <ext uri="{3e2802c4-a4d2-4d8b-9148-e3be6c30e623}">
          <xlrd:rvb i="5730"/>
        </ext>
      </extLst>
    </bk>
    <bk>
      <extLst>
        <ext uri="{3e2802c4-a4d2-4d8b-9148-e3be6c30e623}">
          <xlrd:rvb i="5731"/>
        </ext>
      </extLst>
    </bk>
    <bk>
      <extLst>
        <ext uri="{3e2802c4-a4d2-4d8b-9148-e3be6c30e623}">
          <xlrd:rvb i="5732"/>
        </ext>
      </extLst>
    </bk>
    <bk>
      <extLst>
        <ext uri="{3e2802c4-a4d2-4d8b-9148-e3be6c30e623}">
          <xlrd:rvb i="5733"/>
        </ext>
      </extLst>
    </bk>
    <bk>
      <extLst>
        <ext uri="{3e2802c4-a4d2-4d8b-9148-e3be6c30e623}">
          <xlrd:rvb i="5734"/>
        </ext>
      </extLst>
    </bk>
    <bk>
      <extLst>
        <ext uri="{3e2802c4-a4d2-4d8b-9148-e3be6c30e623}">
          <xlrd:rvb i="5735"/>
        </ext>
      </extLst>
    </bk>
    <bk>
      <extLst>
        <ext uri="{3e2802c4-a4d2-4d8b-9148-e3be6c30e623}">
          <xlrd:rvb i="5736"/>
        </ext>
      </extLst>
    </bk>
    <bk>
      <extLst>
        <ext uri="{3e2802c4-a4d2-4d8b-9148-e3be6c30e623}">
          <xlrd:rvb i="5737"/>
        </ext>
      </extLst>
    </bk>
    <bk>
      <extLst>
        <ext uri="{3e2802c4-a4d2-4d8b-9148-e3be6c30e623}">
          <xlrd:rvb i="5738"/>
        </ext>
      </extLst>
    </bk>
    <bk>
      <extLst>
        <ext uri="{3e2802c4-a4d2-4d8b-9148-e3be6c30e623}">
          <xlrd:rvb i="5739"/>
        </ext>
      </extLst>
    </bk>
    <bk>
      <extLst>
        <ext uri="{3e2802c4-a4d2-4d8b-9148-e3be6c30e623}">
          <xlrd:rvb i="5740"/>
        </ext>
      </extLst>
    </bk>
    <bk>
      <extLst>
        <ext uri="{3e2802c4-a4d2-4d8b-9148-e3be6c30e623}">
          <xlrd:rvb i="5741"/>
        </ext>
      </extLst>
    </bk>
    <bk>
      <extLst>
        <ext uri="{3e2802c4-a4d2-4d8b-9148-e3be6c30e623}">
          <xlrd:rvb i="5742"/>
        </ext>
      </extLst>
    </bk>
    <bk>
      <extLst>
        <ext uri="{3e2802c4-a4d2-4d8b-9148-e3be6c30e623}">
          <xlrd:rvb i="5743"/>
        </ext>
      </extLst>
    </bk>
    <bk>
      <extLst>
        <ext uri="{3e2802c4-a4d2-4d8b-9148-e3be6c30e623}">
          <xlrd:rvb i="5744"/>
        </ext>
      </extLst>
    </bk>
    <bk>
      <extLst>
        <ext uri="{3e2802c4-a4d2-4d8b-9148-e3be6c30e623}">
          <xlrd:rvb i="5745"/>
        </ext>
      </extLst>
    </bk>
    <bk>
      <extLst>
        <ext uri="{3e2802c4-a4d2-4d8b-9148-e3be6c30e623}">
          <xlrd:rvb i="5746"/>
        </ext>
      </extLst>
    </bk>
    <bk>
      <extLst>
        <ext uri="{3e2802c4-a4d2-4d8b-9148-e3be6c30e623}">
          <xlrd:rvb i="5747"/>
        </ext>
      </extLst>
    </bk>
    <bk>
      <extLst>
        <ext uri="{3e2802c4-a4d2-4d8b-9148-e3be6c30e623}">
          <xlrd:rvb i="5748"/>
        </ext>
      </extLst>
    </bk>
    <bk>
      <extLst>
        <ext uri="{3e2802c4-a4d2-4d8b-9148-e3be6c30e623}">
          <xlrd:rvb i="5749"/>
        </ext>
      </extLst>
    </bk>
    <bk>
      <extLst>
        <ext uri="{3e2802c4-a4d2-4d8b-9148-e3be6c30e623}">
          <xlrd:rvb i="5750"/>
        </ext>
      </extLst>
    </bk>
    <bk>
      <extLst>
        <ext uri="{3e2802c4-a4d2-4d8b-9148-e3be6c30e623}">
          <xlrd:rvb i="5751"/>
        </ext>
      </extLst>
    </bk>
    <bk>
      <extLst>
        <ext uri="{3e2802c4-a4d2-4d8b-9148-e3be6c30e623}">
          <xlrd:rvb i="5752"/>
        </ext>
      </extLst>
    </bk>
    <bk>
      <extLst>
        <ext uri="{3e2802c4-a4d2-4d8b-9148-e3be6c30e623}">
          <xlrd:rvb i="5753"/>
        </ext>
      </extLst>
    </bk>
    <bk>
      <extLst>
        <ext uri="{3e2802c4-a4d2-4d8b-9148-e3be6c30e623}">
          <xlrd:rvb i="5754"/>
        </ext>
      </extLst>
    </bk>
    <bk>
      <extLst>
        <ext uri="{3e2802c4-a4d2-4d8b-9148-e3be6c30e623}">
          <xlrd:rvb i="5755"/>
        </ext>
      </extLst>
    </bk>
    <bk>
      <extLst>
        <ext uri="{3e2802c4-a4d2-4d8b-9148-e3be6c30e623}">
          <xlrd:rvb i="5756"/>
        </ext>
      </extLst>
    </bk>
    <bk>
      <extLst>
        <ext uri="{3e2802c4-a4d2-4d8b-9148-e3be6c30e623}">
          <xlrd:rvb i="5757"/>
        </ext>
      </extLst>
    </bk>
    <bk>
      <extLst>
        <ext uri="{3e2802c4-a4d2-4d8b-9148-e3be6c30e623}">
          <xlrd:rvb i="5758"/>
        </ext>
      </extLst>
    </bk>
    <bk>
      <extLst>
        <ext uri="{3e2802c4-a4d2-4d8b-9148-e3be6c30e623}">
          <xlrd:rvb i="5759"/>
        </ext>
      </extLst>
    </bk>
    <bk>
      <extLst>
        <ext uri="{3e2802c4-a4d2-4d8b-9148-e3be6c30e623}">
          <xlrd:rvb i="5760"/>
        </ext>
      </extLst>
    </bk>
    <bk>
      <extLst>
        <ext uri="{3e2802c4-a4d2-4d8b-9148-e3be6c30e623}">
          <xlrd:rvb i="5761"/>
        </ext>
      </extLst>
    </bk>
    <bk>
      <extLst>
        <ext uri="{3e2802c4-a4d2-4d8b-9148-e3be6c30e623}">
          <xlrd:rvb i="5762"/>
        </ext>
      </extLst>
    </bk>
    <bk>
      <extLst>
        <ext uri="{3e2802c4-a4d2-4d8b-9148-e3be6c30e623}">
          <xlrd:rvb i="5763"/>
        </ext>
      </extLst>
    </bk>
    <bk>
      <extLst>
        <ext uri="{3e2802c4-a4d2-4d8b-9148-e3be6c30e623}">
          <xlrd:rvb i="5764"/>
        </ext>
      </extLst>
    </bk>
    <bk>
      <extLst>
        <ext uri="{3e2802c4-a4d2-4d8b-9148-e3be6c30e623}">
          <xlrd:rvb i="5765"/>
        </ext>
      </extLst>
    </bk>
    <bk>
      <extLst>
        <ext uri="{3e2802c4-a4d2-4d8b-9148-e3be6c30e623}">
          <xlrd:rvb i="5766"/>
        </ext>
      </extLst>
    </bk>
    <bk>
      <extLst>
        <ext uri="{3e2802c4-a4d2-4d8b-9148-e3be6c30e623}">
          <xlrd:rvb i="5767"/>
        </ext>
      </extLst>
    </bk>
    <bk>
      <extLst>
        <ext uri="{3e2802c4-a4d2-4d8b-9148-e3be6c30e623}">
          <xlrd:rvb i="5768"/>
        </ext>
      </extLst>
    </bk>
    <bk>
      <extLst>
        <ext uri="{3e2802c4-a4d2-4d8b-9148-e3be6c30e623}">
          <xlrd:rvb i="5769"/>
        </ext>
      </extLst>
    </bk>
    <bk>
      <extLst>
        <ext uri="{3e2802c4-a4d2-4d8b-9148-e3be6c30e623}">
          <xlrd:rvb i="5770"/>
        </ext>
      </extLst>
    </bk>
    <bk>
      <extLst>
        <ext uri="{3e2802c4-a4d2-4d8b-9148-e3be6c30e623}">
          <xlrd:rvb i="5771"/>
        </ext>
      </extLst>
    </bk>
    <bk>
      <extLst>
        <ext uri="{3e2802c4-a4d2-4d8b-9148-e3be6c30e623}">
          <xlrd:rvb i="5772"/>
        </ext>
      </extLst>
    </bk>
    <bk>
      <extLst>
        <ext uri="{3e2802c4-a4d2-4d8b-9148-e3be6c30e623}">
          <xlrd:rvb i="5773"/>
        </ext>
      </extLst>
    </bk>
    <bk>
      <extLst>
        <ext uri="{3e2802c4-a4d2-4d8b-9148-e3be6c30e623}">
          <xlrd:rvb i="5774"/>
        </ext>
      </extLst>
    </bk>
    <bk>
      <extLst>
        <ext uri="{3e2802c4-a4d2-4d8b-9148-e3be6c30e623}">
          <xlrd:rvb i="5775"/>
        </ext>
      </extLst>
    </bk>
    <bk>
      <extLst>
        <ext uri="{3e2802c4-a4d2-4d8b-9148-e3be6c30e623}">
          <xlrd:rvb i="5776"/>
        </ext>
      </extLst>
    </bk>
    <bk>
      <extLst>
        <ext uri="{3e2802c4-a4d2-4d8b-9148-e3be6c30e623}">
          <xlrd:rvb i="5777"/>
        </ext>
      </extLst>
    </bk>
    <bk>
      <extLst>
        <ext uri="{3e2802c4-a4d2-4d8b-9148-e3be6c30e623}">
          <xlrd:rvb i="5778"/>
        </ext>
      </extLst>
    </bk>
    <bk>
      <extLst>
        <ext uri="{3e2802c4-a4d2-4d8b-9148-e3be6c30e623}">
          <xlrd:rvb i="5779"/>
        </ext>
      </extLst>
    </bk>
    <bk>
      <extLst>
        <ext uri="{3e2802c4-a4d2-4d8b-9148-e3be6c30e623}">
          <xlrd:rvb i="5780"/>
        </ext>
      </extLst>
    </bk>
    <bk>
      <extLst>
        <ext uri="{3e2802c4-a4d2-4d8b-9148-e3be6c30e623}">
          <xlrd:rvb i="5781"/>
        </ext>
      </extLst>
    </bk>
    <bk>
      <extLst>
        <ext uri="{3e2802c4-a4d2-4d8b-9148-e3be6c30e623}">
          <xlrd:rvb i="5782"/>
        </ext>
      </extLst>
    </bk>
    <bk>
      <extLst>
        <ext uri="{3e2802c4-a4d2-4d8b-9148-e3be6c30e623}">
          <xlrd:rvb i="5783"/>
        </ext>
      </extLst>
    </bk>
    <bk>
      <extLst>
        <ext uri="{3e2802c4-a4d2-4d8b-9148-e3be6c30e623}">
          <xlrd:rvb i="5784"/>
        </ext>
      </extLst>
    </bk>
    <bk>
      <extLst>
        <ext uri="{3e2802c4-a4d2-4d8b-9148-e3be6c30e623}">
          <xlrd:rvb i="5785"/>
        </ext>
      </extLst>
    </bk>
    <bk>
      <extLst>
        <ext uri="{3e2802c4-a4d2-4d8b-9148-e3be6c30e623}">
          <xlrd:rvb i="5786"/>
        </ext>
      </extLst>
    </bk>
    <bk>
      <extLst>
        <ext uri="{3e2802c4-a4d2-4d8b-9148-e3be6c30e623}">
          <xlrd:rvb i="5787"/>
        </ext>
      </extLst>
    </bk>
    <bk>
      <extLst>
        <ext uri="{3e2802c4-a4d2-4d8b-9148-e3be6c30e623}">
          <xlrd:rvb i="5788"/>
        </ext>
      </extLst>
    </bk>
    <bk>
      <extLst>
        <ext uri="{3e2802c4-a4d2-4d8b-9148-e3be6c30e623}">
          <xlrd:rvb i="5789"/>
        </ext>
      </extLst>
    </bk>
    <bk>
      <extLst>
        <ext uri="{3e2802c4-a4d2-4d8b-9148-e3be6c30e623}">
          <xlrd:rvb i="5790"/>
        </ext>
      </extLst>
    </bk>
    <bk>
      <extLst>
        <ext uri="{3e2802c4-a4d2-4d8b-9148-e3be6c30e623}">
          <xlrd:rvb i="5791"/>
        </ext>
      </extLst>
    </bk>
    <bk>
      <extLst>
        <ext uri="{3e2802c4-a4d2-4d8b-9148-e3be6c30e623}">
          <xlrd:rvb i="5792"/>
        </ext>
      </extLst>
    </bk>
    <bk>
      <extLst>
        <ext uri="{3e2802c4-a4d2-4d8b-9148-e3be6c30e623}">
          <xlrd:rvb i="5793"/>
        </ext>
      </extLst>
    </bk>
    <bk>
      <extLst>
        <ext uri="{3e2802c4-a4d2-4d8b-9148-e3be6c30e623}">
          <xlrd:rvb i="5794"/>
        </ext>
      </extLst>
    </bk>
    <bk>
      <extLst>
        <ext uri="{3e2802c4-a4d2-4d8b-9148-e3be6c30e623}">
          <xlrd:rvb i="5795"/>
        </ext>
      </extLst>
    </bk>
    <bk>
      <extLst>
        <ext uri="{3e2802c4-a4d2-4d8b-9148-e3be6c30e623}">
          <xlrd:rvb i="5796"/>
        </ext>
      </extLst>
    </bk>
    <bk>
      <extLst>
        <ext uri="{3e2802c4-a4d2-4d8b-9148-e3be6c30e623}">
          <xlrd:rvb i="5797"/>
        </ext>
      </extLst>
    </bk>
    <bk>
      <extLst>
        <ext uri="{3e2802c4-a4d2-4d8b-9148-e3be6c30e623}">
          <xlrd:rvb i="5798"/>
        </ext>
      </extLst>
    </bk>
    <bk>
      <extLst>
        <ext uri="{3e2802c4-a4d2-4d8b-9148-e3be6c30e623}">
          <xlrd:rvb i="5799"/>
        </ext>
      </extLst>
    </bk>
    <bk>
      <extLst>
        <ext uri="{3e2802c4-a4d2-4d8b-9148-e3be6c30e623}">
          <xlrd:rvb i="5800"/>
        </ext>
      </extLst>
    </bk>
    <bk>
      <extLst>
        <ext uri="{3e2802c4-a4d2-4d8b-9148-e3be6c30e623}">
          <xlrd:rvb i="5801"/>
        </ext>
      </extLst>
    </bk>
    <bk>
      <extLst>
        <ext uri="{3e2802c4-a4d2-4d8b-9148-e3be6c30e623}">
          <xlrd:rvb i="5802"/>
        </ext>
      </extLst>
    </bk>
    <bk>
      <extLst>
        <ext uri="{3e2802c4-a4d2-4d8b-9148-e3be6c30e623}">
          <xlrd:rvb i="5803"/>
        </ext>
      </extLst>
    </bk>
    <bk>
      <extLst>
        <ext uri="{3e2802c4-a4d2-4d8b-9148-e3be6c30e623}">
          <xlrd:rvb i="5804"/>
        </ext>
      </extLst>
    </bk>
    <bk>
      <extLst>
        <ext uri="{3e2802c4-a4d2-4d8b-9148-e3be6c30e623}">
          <xlrd:rvb i="5805"/>
        </ext>
      </extLst>
    </bk>
    <bk>
      <extLst>
        <ext uri="{3e2802c4-a4d2-4d8b-9148-e3be6c30e623}">
          <xlrd:rvb i="5806"/>
        </ext>
      </extLst>
    </bk>
    <bk>
      <extLst>
        <ext uri="{3e2802c4-a4d2-4d8b-9148-e3be6c30e623}">
          <xlrd:rvb i="5807"/>
        </ext>
      </extLst>
    </bk>
    <bk>
      <extLst>
        <ext uri="{3e2802c4-a4d2-4d8b-9148-e3be6c30e623}">
          <xlrd:rvb i="5808"/>
        </ext>
      </extLst>
    </bk>
    <bk>
      <extLst>
        <ext uri="{3e2802c4-a4d2-4d8b-9148-e3be6c30e623}">
          <xlrd:rvb i="5809"/>
        </ext>
      </extLst>
    </bk>
    <bk>
      <extLst>
        <ext uri="{3e2802c4-a4d2-4d8b-9148-e3be6c30e623}">
          <xlrd:rvb i="5810"/>
        </ext>
      </extLst>
    </bk>
    <bk>
      <extLst>
        <ext uri="{3e2802c4-a4d2-4d8b-9148-e3be6c30e623}">
          <xlrd:rvb i="5811"/>
        </ext>
      </extLst>
    </bk>
    <bk>
      <extLst>
        <ext uri="{3e2802c4-a4d2-4d8b-9148-e3be6c30e623}">
          <xlrd:rvb i="5812"/>
        </ext>
      </extLst>
    </bk>
    <bk>
      <extLst>
        <ext uri="{3e2802c4-a4d2-4d8b-9148-e3be6c30e623}">
          <xlrd:rvb i="5813"/>
        </ext>
      </extLst>
    </bk>
    <bk>
      <extLst>
        <ext uri="{3e2802c4-a4d2-4d8b-9148-e3be6c30e623}">
          <xlrd:rvb i="5814"/>
        </ext>
      </extLst>
    </bk>
    <bk>
      <extLst>
        <ext uri="{3e2802c4-a4d2-4d8b-9148-e3be6c30e623}">
          <xlrd:rvb i="5815"/>
        </ext>
      </extLst>
    </bk>
    <bk>
      <extLst>
        <ext uri="{3e2802c4-a4d2-4d8b-9148-e3be6c30e623}">
          <xlrd:rvb i="5816"/>
        </ext>
      </extLst>
    </bk>
    <bk>
      <extLst>
        <ext uri="{3e2802c4-a4d2-4d8b-9148-e3be6c30e623}">
          <xlrd:rvb i="5817"/>
        </ext>
      </extLst>
    </bk>
    <bk>
      <extLst>
        <ext uri="{3e2802c4-a4d2-4d8b-9148-e3be6c30e623}">
          <xlrd:rvb i="5818"/>
        </ext>
      </extLst>
    </bk>
    <bk>
      <extLst>
        <ext uri="{3e2802c4-a4d2-4d8b-9148-e3be6c30e623}">
          <xlrd:rvb i="5819"/>
        </ext>
      </extLst>
    </bk>
    <bk>
      <extLst>
        <ext uri="{3e2802c4-a4d2-4d8b-9148-e3be6c30e623}">
          <xlrd:rvb i="5820"/>
        </ext>
      </extLst>
    </bk>
    <bk>
      <extLst>
        <ext uri="{3e2802c4-a4d2-4d8b-9148-e3be6c30e623}">
          <xlrd:rvb i="5821"/>
        </ext>
      </extLst>
    </bk>
    <bk>
      <extLst>
        <ext uri="{3e2802c4-a4d2-4d8b-9148-e3be6c30e623}">
          <xlrd:rvb i="5822"/>
        </ext>
      </extLst>
    </bk>
    <bk>
      <extLst>
        <ext uri="{3e2802c4-a4d2-4d8b-9148-e3be6c30e623}">
          <xlrd:rvb i="5823"/>
        </ext>
      </extLst>
    </bk>
    <bk>
      <extLst>
        <ext uri="{3e2802c4-a4d2-4d8b-9148-e3be6c30e623}">
          <xlrd:rvb i="5824"/>
        </ext>
      </extLst>
    </bk>
    <bk>
      <extLst>
        <ext uri="{3e2802c4-a4d2-4d8b-9148-e3be6c30e623}">
          <xlrd:rvb i="5825"/>
        </ext>
      </extLst>
    </bk>
    <bk>
      <extLst>
        <ext uri="{3e2802c4-a4d2-4d8b-9148-e3be6c30e623}">
          <xlrd:rvb i="5826"/>
        </ext>
      </extLst>
    </bk>
    <bk>
      <extLst>
        <ext uri="{3e2802c4-a4d2-4d8b-9148-e3be6c30e623}">
          <xlrd:rvb i="5827"/>
        </ext>
      </extLst>
    </bk>
    <bk>
      <extLst>
        <ext uri="{3e2802c4-a4d2-4d8b-9148-e3be6c30e623}">
          <xlrd:rvb i="5828"/>
        </ext>
      </extLst>
    </bk>
    <bk>
      <extLst>
        <ext uri="{3e2802c4-a4d2-4d8b-9148-e3be6c30e623}">
          <xlrd:rvb i="5829"/>
        </ext>
      </extLst>
    </bk>
    <bk>
      <extLst>
        <ext uri="{3e2802c4-a4d2-4d8b-9148-e3be6c30e623}">
          <xlrd:rvb i="5830"/>
        </ext>
      </extLst>
    </bk>
    <bk>
      <extLst>
        <ext uri="{3e2802c4-a4d2-4d8b-9148-e3be6c30e623}">
          <xlrd:rvb i="5831"/>
        </ext>
      </extLst>
    </bk>
    <bk>
      <extLst>
        <ext uri="{3e2802c4-a4d2-4d8b-9148-e3be6c30e623}">
          <xlrd:rvb i="5832"/>
        </ext>
      </extLst>
    </bk>
    <bk>
      <extLst>
        <ext uri="{3e2802c4-a4d2-4d8b-9148-e3be6c30e623}">
          <xlrd:rvb i="5833"/>
        </ext>
      </extLst>
    </bk>
    <bk>
      <extLst>
        <ext uri="{3e2802c4-a4d2-4d8b-9148-e3be6c30e623}">
          <xlrd:rvb i="5834"/>
        </ext>
      </extLst>
    </bk>
    <bk>
      <extLst>
        <ext uri="{3e2802c4-a4d2-4d8b-9148-e3be6c30e623}">
          <xlrd:rvb i="5835"/>
        </ext>
      </extLst>
    </bk>
    <bk>
      <extLst>
        <ext uri="{3e2802c4-a4d2-4d8b-9148-e3be6c30e623}">
          <xlrd:rvb i="5836"/>
        </ext>
      </extLst>
    </bk>
    <bk>
      <extLst>
        <ext uri="{3e2802c4-a4d2-4d8b-9148-e3be6c30e623}">
          <xlrd:rvb i="5837"/>
        </ext>
      </extLst>
    </bk>
    <bk>
      <extLst>
        <ext uri="{3e2802c4-a4d2-4d8b-9148-e3be6c30e623}">
          <xlrd:rvb i="5838"/>
        </ext>
      </extLst>
    </bk>
    <bk>
      <extLst>
        <ext uri="{3e2802c4-a4d2-4d8b-9148-e3be6c30e623}">
          <xlrd:rvb i="5839"/>
        </ext>
      </extLst>
    </bk>
    <bk>
      <extLst>
        <ext uri="{3e2802c4-a4d2-4d8b-9148-e3be6c30e623}">
          <xlrd:rvb i="5840"/>
        </ext>
      </extLst>
    </bk>
    <bk>
      <extLst>
        <ext uri="{3e2802c4-a4d2-4d8b-9148-e3be6c30e623}">
          <xlrd:rvb i="5841"/>
        </ext>
      </extLst>
    </bk>
    <bk>
      <extLst>
        <ext uri="{3e2802c4-a4d2-4d8b-9148-e3be6c30e623}">
          <xlrd:rvb i="5842"/>
        </ext>
      </extLst>
    </bk>
    <bk>
      <extLst>
        <ext uri="{3e2802c4-a4d2-4d8b-9148-e3be6c30e623}">
          <xlrd:rvb i="5843"/>
        </ext>
      </extLst>
    </bk>
    <bk>
      <extLst>
        <ext uri="{3e2802c4-a4d2-4d8b-9148-e3be6c30e623}">
          <xlrd:rvb i="5844"/>
        </ext>
      </extLst>
    </bk>
    <bk>
      <extLst>
        <ext uri="{3e2802c4-a4d2-4d8b-9148-e3be6c30e623}">
          <xlrd:rvb i="5845"/>
        </ext>
      </extLst>
    </bk>
    <bk>
      <extLst>
        <ext uri="{3e2802c4-a4d2-4d8b-9148-e3be6c30e623}">
          <xlrd:rvb i="5846"/>
        </ext>
      </extLst>
    </bk>
    <bk>
      <extLst>
        <ext uri="{3e2802c4-a4d2-4d8b-9148-e3be6c30e623}">
          <xlrd:rvb i="5847"/>
        </ext>
      </extLst>
    </bk>
    <bk>
      <extLst>
        <ext uri="{3e2802c4-a4d2-4d8b-9148-e3be6c30e623}">
          <xlrd:rvb i="5848"/>
        </ext>
      </extLst>
    </bk>
    <bk>
      <extLst>
        <ext uri="{3e2802c4-a4d2-4d8b-9148-e3be6c30e623}">
          <xlrd:rvb i="5849"/>
        </ext>
      </extLst>
    </bk>
    <bk>
      <extLst>
        <ext uri="{3e2802c4-a4d2-4d8b-9148-e3be6c30e623}">
          <xlrd:rvb i="5850"/>
        </ext>
      </extLst>
    </bk>
    <bk>
      <extLst>
        <ext uri="{3e2802c4-a4d2-4d8b-9148-e3be6c30e623}">
          <xlrd:rvb i="5851"/>
        </ext>
      </extLst>
    </bk>
    <bk>
      <extLst>
        <ext uri="{3e2802c4-a4d2-4d8b-9148-e3be6c30e623}">
          <xlrd:rvb i="5852"/>
        </ext>
      </extLst>
    </bk>
    <bk>
      <extLst>
        <ext uri="{3e2802c4-a4d2-4d8b-9148-e3be6c30e623}">
          <xlrd:rvb i="5853"/>
        </ext>
      </extLst>
    </bk>
    <bk>
      <extLst>
        <ext uri="{3e2802c4-a4d2-4d8b-9148-e3be6c30e623}">
          <xlrd:rvb i="5854"/>
        </ext>
      </extLst>
    </bk>
    <bk>
      <extLst>
        <ext uri="{3e2802c4-a4d2-4d8b-9148-e3be6c30e623}">
          <xlrd:rvb i="5855"/>
        </ext>
      </extLst>
    </bk>
    <bk>
      <extLst>
        <ext uri="{3e2802c4-a4d2-4d8b-9148-e3be6c30e623}">
          <xlrd:rvb i="5856"/>
        </ext>
      </extLst>
    </bk>
    <bk>
      <extLst>
        <ext uri="{3e2802c4-a4d2-4d8b-9148-e3be6c30e623}">
          <xlrd:rvb i="5857"/>
        </ext>
      </extLst>
    </bk>
    <bk>
      <extLst>
        <ext uri="{3e2802c4-a4d2-4d8b-9148-e3be6c30e623}">
          <xlrd:rvb i="5858"/>
        </ext>
      </extLst>
    </bk>
    <bk>
      <extLst>
        <ext uri="{3e2802c4-a4d2-4d8b-9148-e3be6c30e623}">
          <xlrd:rvb i="5859"/>
        </ext>
      </extLst>
    </bk>
    <bk>
      <extLst>
        <ext uri="{3e2802c4-a4d2-4d8b-9148-e3be6c30e623}">
          <xlrd:rvb i="5860"/>
        </ext>
      </extLst>
    </bk>
    <bk>
      <extLst>
        <ext uri="{3e2802c4-a4d2-4d8b-9148-e3be6c30e623}">
          <xlrd:rvb i="5861"/>
        </ext>
      </extLst>
    </bk>
    <bk>
      <extLst>
        <ext uri="{3e2802c4-a4d2-4d8b-9148-e3be6c30e623}">
          <xlrd:rvb i="5862"/>
        </ext>
      </extLst>
    </bk>
    <bk>
      <extLst>
        <ext uri="{3e2802c4-a4d2-4d8b-9148-e3be6c30e623}">
          <xlrd:rvb i="5863"/>
        </ext>
      </extLst>
    </bk>
    <bk>
      <extLst>
        <ext uri="{3e2802c4-a4d2-4d8b-9148-e3be6c30e623}">
          <xlrd:rvb i="5864"/>
        </ext>
      </extLst>
    </bk>
    <bk>
      <extLst>
        <ext uri="{3e2802c4-a4d2-4d8b-9148-e3be6c30e623}">
          <xlrd:rvb i="5865"/>
        </ext>
      </extLst>
    </bk>
    <bk>
      <extLst>
        <ext uri="{3e2802c4-a4d2-4d8b-9148-e3be6c30e623}">
          <xlrd:rvb i="5866"/>
        </ext>
      </extLst>
    </bk>
    <bk>
      <extLst>
        <ext uri="{3e2802c4-a4d2-4d8b-9148-e3be6c30e623}">
          <xlrd:rvb i="5867"/>
        </ext>
      </extLst>
    </bk>
    <bk>
      <extLst>
        <ext uri="{3e2802c4-a4d2-4d8b-9148-e3be6c30e623}">
          <xlrd:rvb i="5868"/>
        </ext>
      </extLst>
    </bk>
    <bk>
      <extLst>
        <ext uri="{3e2802c4-a4d2-4d8b-9148-e3be6c30e623}">
          <xlrd:rvb i="5869"/>
        </ext>
      </extLst>
    </bk>
    <bk>
      <extLst>
        <ext uri="{3e2802c4-a4d2-4d8b-9148-e3be6c30e623}">
          <xlrd:rvb i="5870"/>
        </ext>
      </extLst>
    </bk>
    <bk>
      <extLst>
        <ext uri="{3e2802c4-a4d2-4d8b-9148-e3be6c30e623}">
          <xlrd:rvb i="5871"/>
        </ext>
      </extLst>
    </bk>
    <bk>
      <extLst>
        <ext uri="{3e2802c4-a4d2-4d8b-9148-e3be6c30e623}">
          <xlrd:rvb i="5872"/>
        </ext>
      </extLst>
    </bk>
    <bk>
      <extLst>
        <ext uri="{3e2802c4-a4d2-4d8b-9148-e3be6c30e623}">
          <xlrd:rvb i="5873"/>
        </ext>
      </extLst>
    </bk>
    <bk>
      <extLst>
        <ext uri="{3e2802c4-a4d2-4d8b-9148-e3be6c30e623}">
          <xlrd:rvb i="5874"/>
        </ext>
      </extLst>
    </bk>
    <bk>
      <extLst>
        <ext uri="{3e2802c4-a4d2-4d8b-9148-e3be6c30e623}">
          <xlrd:rvb i="5875"/>
        </ext>
      </extLst>
    </bk>
    <bk>
      <extLst>
        <ext uri="{3e2802c4-a4d2-4d8b-9148-e3be6c30e623}">
          <xlrd:rvb i="5876"/>
        </ext>
      </extLst>
    </bk>
    <bk>
      <extLst>
        <ext uri="{3e2802c4-a4d2-4d8b-9148-e3be6c30e623}">
          <xlrd:rvb i="5877"/>
        </ext>
      </extLst>
    </bk>
    <bk>
      <extLst>
        <ext uri="{3e2802c4-a4d2-4d8b-9148-e3be6c30e623}">
          <xlrd:rvb i="5878"/>
        </ext>
      </extLst>
    </bk>
    <bk>
      <extLst>
        <ext uri="{3e2802c4-a4d2-4d8b-9148-e3be6c30e623}">
          <xlrd:rvb i="5879"/>
        </ext>
      </extLst>
    </bk>
    <bk>
      <extLst>
        <ext uri="{3e2802c4-a4d2-4d8b-9148-e3be6c30e623}">
          <xlrd:rvb i="5880"/>
        </ext>
      </extLst>
    </bk>
    <bk>
      <extLst>
        <ext uri="{3e2802c4-a4d2-4d8b-9148-e3be6c30e623}">
          <xlrd:rvb i="5881"/>
        </ext>
      </extLst>
    </bk>
    <bk>
      <extLst>
        <ext uri="{3e2802c4-a4d2-4d8b-9148-e3be6c30e623}">
          <xlrd:rvb i="5882"/>
        </ext>
      </extLst>
    </bk>
    <bk>
      <extLst>
        <ext uri="{3e2802c4-a4d2-4d8b-9148-e3be6c30e623}">
          <xlrd:rvb i="5883"/>
        </ext>
      </extLst>
    </bk>
    <bk>
      <extLst>
        <ext uri="{3e2802c4-a4d2-4d8b-9148-e3be6c30e623}">
          <xlrd:rvb i="5884"/>
        </ext>
      </extLst>
    </bk>
    <bk>
      <extLst>
        <ext uri="{3e2802c4-a4d2-4d8b-9148-e3be6c30e623}">
          <xlrd:rvb i="5885"/>
        </ext>
      </extLst>
    </bk>
    <bk>
      <extLst>
        <ext uri="{3e2802c4-a4d2-4d8b-9148-e3be6c30e623}">
          <xlrd:rvb i="5886"/>
        </ext>
      </extLst>
    </bk>
    <bk>
      <extLst>
        <ext uri="{3e2802c4-a4d2-4d8b-9148-e3be6c30e623}">
          <xlrd:rvb i="5887"/>
        </ext>
      </extLst>
    </bk>
    <bk>
      <extLst>
        <ext uri="{3e2802c4-a4d2-4d8b-9148-e3be6c30e623}">
          <xlrd:rvb i="5888"/>
        </ext>
      </extLst>
    </bk>
    <bk>
      <extLst>
        <ext uri="{3e2802c4-a4d2-4d8b-9148-e3be6c30e623}">
          <xlrd:rvb i="5889"/>
        </ext>
      </extLst>
    </bk>
    <bk>
      <extLst>
        <ext uri="{3e2802c4-a4d2-4d8b-9148-e3be6c30e623}">
          <xlrd:rvb i="5890"/>
        </ext>
      </extLst>
    </bk>
    <bk>
      <extLst>
        <ext uri="{3e2802c4-a4d2-4d8b-9148-e3be6c30e623}">
          <xlrd:rvb i="5891"/>
        </ext>
      </extLst>
    </bk>
    <bk>
      <extLst>
        <ext uri="{3e2802c4-a4d2-4d8b-9148-e3be6c30e623}">
          <xlrd:rvb i="5892"/>
        </ext>
      </extLst>
    </bk>
    <bk>
      <extLst>
        <ext uri="{3e2802c4-a4d2-4d8b-9148-e3be6c30e623}">
          <xlrd:rvb i="5893"/>
        </ext>
      </extLst>
    </bk>
    <bk>
      <extLst>
        <ext uri="{3e2802c4-a4d2-4d8b-9148-e3be6c30e623}">
          <xlrd:rvb i="5894"/>
        </ext>
      </extLst>
    </bk>
    <bk>
      <extLst>
        <ext uri="{3e2802c4-a4d2-4d8b-9148-e3be6c30e623}">
          <xlrd:rvb i="5895"/>
        </ext>
      </extLst>
    </bk>
    <bk>
      <extLst>
        <ext uri="{3e2802c4-a4d2-4d8b-9148-e3be6c30e623}">
          <xlrd:rvb i="5896"/>
        </ext>
      </extLst>
    </bk>
    <bk>
      <extLst>
        <ext uri="{3e2802c4-a4d2-4d8b-9148-e3be6c30e623}">
          <xlrd:rvb i="5897"/>
        </ext>
      </extLst>
    </bk>
    <bk>
      <extLst>
        <ext uri="{3e2802c4-a4d2-4d8b-9148-e3be6c30e623}">
          <xlrd:rvb i="5898"/>
        </ext>
      </extLst>
    </bk>
    <bk>
      <extLst>
        <ext uri="{3e2802c4-a4d2-4d8b-9148-e3be6c30e623}">
          <xlrd:rvb i="5899"/>
        </ext>
      </extLst>
    </bk>
    <bk>
      <extLst>
        <ext uri="{3e2802c4-a4d2-4d8b-9148-e3be6c30e623}">
          <xlrd:rvb i="5900"/>
        </ext>
      </extLst>
    </bk>
    <bk>
      <extLst>
        <ext uri="{3e2802c4-a4d2-4d8b-9148-e3be6c30e623}">
          <xlrd:rvb i="5901"/>
        </ext>
      </extLst>
    </bk>
    <bk>
      <extLst>
        <ext uri="{3e2802c4-a4d2-4d8b-9148-e3be6c30e623}">
          <xlrd:rvb i="5902"/>
        </ext>
      </extLst>
    </bk>
    <bk>
      <extLst>
        <ext uri="{3e2802c4-a4d2-4d8b-9148-e3be6c30e623}">
          <xlrd:rvb i="5903"/>
        </ext>
      </extLst>
    </bk>
    <bk>
      <extLst>
        <ext uri="{3e2802c4-a4d2-4d8b-9148-e3be6c30e623}">
          <xlrd:rvb i="5904"/>
        </ext>
      </extLst>
    </bk>
    <bk>
      <extLst>
        <ext uri="{3e2802c4-a4d2-4d8b-9148-e3be6c30e623}">
          <xlrd:rvb i="5905"/>
        </ext>
      </extLst>
    </bk>
    <bk>
      <extLst>
        <ext uri="{3e2802c4-a4d2-4d8b-9148-e3be6c30e623}">
          <xlrd:rvb i="5906"/>
        </ext>
      </extLst>
    </bk>
    <bk>
      <extLst>
        <ext uri="{3e2802c4-a4d2-4d8b-9148-e3be6c30e623}">
          <xlrd:rvb i="5907"/>
        </ext>
      </extLst>
    </bk>
    <bk>
      <extLst>
        <ext uri="{3e2802c4-a4d2-4d8b-9148-e3be6c30e623}">
          <xlrd:rvb i="5908"/>
        </ext>
      </extLst>
    </bk>
    <bk>
      <extLst>
        <ext uri="{3e2802c4-a4d2-4d8b-9148-e3be6c30e623}">
          <xlrd:rvb i="5909"/>
        </ext>
      </extLst>
    </bk>
    <bk>
      <extLst>
        <ext uri="{3e2802c4-a4d2-4d8b-9148-e3be6c30e623}">
          <xlrd:rvb i="5910"/>
        </ext>
      </extLst>
    </bk>
    <bk>
      <extLst>
        <ext uri="{3e2802c4-a4d2-4d8b-9148-e3be6c30e623}">
          <xlrd:rvb i="5911"/>
        </ext>
      </extLst>
    </bk>
    <bk>
      <extLst>
        <ext uri="{3e2802c4-a4d2-4d8b-9148-e3be6c30e623}">
          <xlrd:rvb i="5912"/>
        </ext>
      </extLst>
    </bk>
    <bk>
      <extLst>
        <ext uri="{3e2802c4-a4d2-4d8b-9148-e3be6c30e623}">
          <xlrd:rvb i="5913"/>
        </ext>
      </extLst>
    </bk>
    <bk>
      <extLst>
        <ext uri="{3e2802c4-a4d2-4d8b-9148-e3be6c30e623}">
          <xlrd:rvb i="5914"/>
        </ext>
      </extLst>
    </bk>
    <bk>
      <extLst>
        <ext uri="{3e2802c4-a4d2-4d8b-9148-e3be6c30e623}">
          <xlrd:rvb i="5915"/>
        </ext>
      </extLst>
    </bk>
    <bk>
      <extLst>
        <ext uri="{3e2802c4-a4d2-4d8b-9148-e3be6c30e623}">
          <xlrd:rvb i="5916"/>
        </ext>
      </extLst>
    </bk>
    <bk>
      <extLst>
        <ext uri="{3e2802c4-a4d2-4d8b-9148-e3be6c30e623}">
          <xlrd:rvb i="5917"/>
        </ext>
      </extLst>
    </bk>
    <bk>
      <extLst>
        <ext uri="{3e2802c4-a4d2-4d8b-9148-e3be6c30e623}">
          <xlrd:rvb i="5918"/>
        </ext>
      </extLst>
    </bk>
    <bk>
      <extLst>
        <ext uri="{3e2802c4-a4d2-4d8b-9148-e3be6c30e623}">
          <xlrd:rvb i="5919"/>
        </ext>
      </extLst>
    </bk>
    <bk>
      <extLst>
        <ext uri="{3e2802c4-a4d2-4d8b-9148-e3be6c30e623}">
          <xlrd:rvb i="5920"/>
        </ext>
      </extLst>
    </bk>
    <bk>
      <extLst>
        <ext uri="{3e2802c4-a4d2-4d8b-9148-e3be6c30e623}">
          <xlrd:rvb i="5921"/>
        </ext>
      </extLst>
    </bk>
    <bk>
      <extLst>
        <ext uri="{3e2802c4-a4d2-4d8b-9148-e3be6c30e623}">
          <xlrd:rvb i="5922"/>
        </ext>
      </extLst>
    </bk>
    <bk>
      <extLst>
        <ext uri="{3e2802c4-a4d2-4d8b-9148-e3be6c30e623}">
          <xlrd:rvb i="5923"/>
        </ext>
      </extLst>
    </bk>
    <bk>
      <extLst>
        <ext uri="{3e2802c4-a4d2-4d8b-9148-e3be6c30e623}">
          <xlrd:rvb i="5924"/>
        </ext>
      </extLst>
    </bk>
    <bk>
      <extLst>
        <ext uri="{3e2802c4-a4d2-4d8b-9148-e3be6c30e623}">
          <xlrd:rvb i="5925"/>
        </ext>
      </extLst>
    </bk>
    <bk>
      <extLst>
        <ext uri="{3e2802c4-a4d2-4d8b-9148-e3be6c30e623}">
          <xlrd:rvb i="5926"/>
        </ext>
      </extLst>
    </bk>
    <bk>
      <extLst>
        <ext uri="{3e2802c4-a4d2-4d8b-9148-e3be6c30e623}">
          <xlrd:rvb i="5927"/>
        </ext>
      </extLst>
    </bk>
    <bk>
      <extLst>
        <ext uri="{3e2802c4-a4d2-4d8b-9148-e3be6c30e623}">
          <xlrd:rvb i="5928"/>
        </ext>
      </extLst>
    </bk>
    <bk>
      <extLst>
        <ext uri="{3e2802c4-a4d2-4d8b-9148-e3be6c30e623}">
          <xlrd:rvb i="5929"/>
        </ext>
      </extLst>
    </bk>
    <bk>
      <extLst>
        <ext uri="{3e2802c4-a4d2-4d8b-9148-e3be6c30e623}">
          <xlrd:rvb i="5930"/>
        </ext>
      </extLst>
    </bk>
    <bk>
      <extLst>
        <ext uri="{3e2802c4-a4d2-4d8b-9148-e3be6c30e623}">
          <xlrd:rvb i="5931"/>
        </ext>
      </extLst>
    </bk>
    <bk>
      <extLst>
        <ext uri="{3e2802c4-a4d2-4d8b-9148-e3be6c30e623}">
          <xlrd:rvb i="5932"/>
        </ext>
      </extLst>
    </bk>
    <bk>
      <extLst>
        <ext uri="{3e2802c4-a4d2-4d8b-9148-e3be6c30e623}">
          <xlrd:rvb i="5933"/>
        </ext>
      </extLst>
    </bk>
    <bk>
      <extLst>
        <ext uri="{3e2802c4-a4d2-4d8b-9148-e3be6c30e623}">
          <xlrd:rvb i="5934"/>
        </ext>
      </extLst>
    </bk>
    <bk>
      <extLst>
        <ext uri="{3e2802c4-a4d2-4d8b-9148-e3be6c30e623}">
          <xlrd:rvb i="5935"/>
        </ext>
      </extLst>
    </bk>
    <bk>
      <extLst>
        <ext uri="{3e2802c4-a4d2-4d8b-9148-e3be6c30e623}">
          <xlrd:rvb i="5936"/>
        </ext>
      </extLst>
    </bk>
    <bk>
      <extLst>
        <ext uri="{3e2802c4-a4d2-4d8b-9148-e3be6c30e623}">
          <xlrd:rvb i="5937"/>
        </ext>
      </extLst>
    </bk>
    <bk>
      <extLst>
        <ext uri="{3e2802c4-a4d2-4d8b-9148-e3be6c30e623}">
          <xlrd:rvb i="5938"/>
        </ext>
      </extLst>
    </bk>
    <bk>
      <extLst>
        <ext uri="{3e2802c4-a4d2-4d8b-9148-e3be6c30e623}">
          <xlrd:rvb i="5939"/>
        </ext>
      </extLst>
    </bk>
    <bk>
      <extLst>
        <ext uri="{3e2802c4-a4d2-4d8b-9148-e3be6c30e623}">
          <xlrd:rvb i="5940"/>
        </ext>
      </extLst>
    </bk>
    <bk>
      <extLst>
        <ext uri="{3e2802c4-a4d2-4d8b-9148-e3be6c30e623}">
          <xlrd:rvb i="5941"/>
        </ext>
      </extLst>
    </bk>
    <bk>
      <extLst>
        <ext uri="{3e2802c4-a4d2-4d8b-9148-e3be6c30e623}">
          <xlrd:rvb i="5942"/>
        </ext>
      </extLst>
    </bk>
    <bk>
      <extLst>
        <ext uri="{3e2802c4-a4d2-4d8b-9148-e3be6c30e623}">
          <xlrd:rvb i="5943"/>
        </ext>
      </extLst>
    </bk>
    <bk>
      <extLst>
        <ext uri="{3e2802c4-a4d2-4d8b-9148-e3be6c30e623}">
          <xlrd:rvb i="5944"/>
        </ext>
      </extLst>
    </bk>
    <bk>
      <extLst>
        <ext uri="{3e2802c4-a4d2-4d8b-9148-e3be6c30e623}">
          <xlrd:rvb i="5945"/>
        </ext>
      </extLst>
    </bk>
    <bk>
      <extLst>
        <ext uri="{3e2802c4-a4d2-4d8b-9148-e3be6c30e623}">
          <xlrd:rvb i="5946"/>
        </ext>
      </extLst>
    </bk>
    <bk>
      <extLst>
        <ext uri="{3e2802c4-a4d2-4d8b-9148-e3be6c30e623}">
          <xlrd:rvb i="5947"/>
        </ext>
      </extLst>
    </bk>
    <bk>
      <extLst>
        <ext uri="{3e2802c4-a4d2-4d8b-9148-e3be6c30e623}">
          <xlrd:rvb i="5948"/>
        </ext>
      </extLst>
    </bk>
    <bk>
      <extLst>
        <ext uri="{3e2802c4-a4d2-4d8b-9148-e3be6c30e623}">
          <xlrd:rvb i="5949"/>
        </ext>
      </extLst>
    </bk>
    <bk>
      <extLst>
        <ext uri="{3e2802c4-a4d2-4d8b-9148-e3be6c30e623}">
          <xlrd:rvb i="5950"/>
        </ext>
      </extLst>
    </bk>
    <bk>
      <extLst>
        <ext uri="{3e2802c4-a4d2-4d8b-9148-e3be6c30e623}">
          <xlrd:rvb i="5951"/>
        </ext>
      </extLst>
    </bk>
    <bk>
      <extLst>
        <ext uri="{3e2802c4-a4d2-4d8b-9148-e3be6c30e623}">
          <xlrd:rvb i="5952"/>
        </ext>
      </extLst>
    </bk>
    <bk>
      <extLst>
        <ext uri="{3e2802c4-a4d2-4d8b-9148-e3be6c30e623}">
          <xlrd:rvb i="5953"/>
        </ext>
      </extLst>
    </bk>
    <bk>
      <extLst>
        <ext uri="{3e2802c4-a4d2-4d8b-9148-e3be6c30e623}">
          <xlrd:rvb i="5954"/>
        </ext>
      </extLst>
    </bk>
    <bk>
      <extLst>
        <ext uri="{3e2802c4-a4d2-4d8b-9148-e3be6c30e623}">
          <xlrd:rvb i="5955"/>
        </ext>
      </extLst>
    </bk>
    <bk>
      <extLst>
        <ext uri="{3e2802c4-a4d2-4d8b-9148-e3be6c30e623}">
          <xlrd:rvb i="5956"/>
        </ext>
      </extLst>
    </bk>
    <bk>
      <extLst>
        <ext uri="{3e2802c4-a4d2-4d8b-9148-e3be6c30e623}">
          <xlrd:rvb i="5957"/>
        </ext>
      </extLst>
    </bk>
    <bk>
      <extLst>
        <ext uri="{3e2802c4-a4d2-4d8b-9148-e3be6c30e623}">
          <xlrd:rvb i="5958"/>
        </ext>
      </extLst>
    </bk>
    <bk>
      <extLst>
        <ext uri="{3e2802c4-a4d2-4d8b-9148-e3be6c30e623}">
          <xlrd:rvb i="5959"/>
        </ext>
      </extLst>
    </bk>
    <bk>
      <extLst>
        <ext uri="{3e2802c4-a4d2-4d8b-9148-e3be6c30e623}">
          <xlrd:rvb i="5960"/>
        </ext>
      </extLst>
    </bk>
    <bk>
      <extLst>
        <ext uri="{3e2802c4-a4d2-4d8b-9148-e3be6c30e623}">
          <xlrd:rvb i="5961"/>
        </ext>
      </extLst>
    </bk>
    <bk>
      <extLst>
        <ext uri="{3e2802c4-a4d2-4d8b-9148-e3be6c30e623}">
          <xlrd:rvb i="5962"/>
        </ext>
      </extLst>
    </bk>
    <bk>
      <extLst>
        <ext uri="{3e2802c4-a4d2-4d8b-9148-e3be6c30e623}">
          <xlrd:rvb i="5963"/>
        </ext>
      </extLst>
    </bk>
    <bk>
      <extLst>
        <ext uri="{3e2802c4-a4d2-4d8b-9148-e3be6c30e623}">
          <xlrd:rvb i="5964"/>
        </ext>
      </extLst>
    </bk>
    <bk>
      <extLst>
        <ext uri="{3e2802c4-a4d2-4d8b-9148-e3be6c30e623}">
          <xlrd:rvb i="5965"/>
        </ext>
      </extLst>
    </bk>
    <bk>
      <extLst>
        <ext uri="{3e2802c4-a4d2-4d8b-9148-e3be6c30e623}">
          <xlrd:rvb i="5966"/>
        </ext>
      </extLst>
    </bk>
    <bk>
      <extLst>
        <ext uri="{3e2802c4-a4d2-4d8b-9148-e3be6c30e623}">
          <xlrd:rvb i="5967"/>
        </ext>
      </extLst>
    </bk>
    <bk>
      <extLst>
        <ext uri="{3e2802c4-a4d2-4d8b-9148-e3be6c30e623}">
          <xlrd:rvb i="5968"/>
        </ext>
      </extLst>
    </bk>
    <bk>
      <extLst>
        <ext uri="{3e2802c4-a4d2-4d8b-9148-e3be6c30e623}">
          <xlrd:rvb i="5969"/>
        </ext>
      </extLst>
    </bk>
    <bk>
      <extLst>
        <ext uri="{3e2802c4-a4d2-4d8b-9148-e3be6c30e623}">
          <xlrd:rvb i="5970"/>
        </ext>
      </extLst>
    </bk>
    <bk>
      <extLst>
        <ext uri="{3e2802c4-a4d2-4d8b-9148-e3be6c30e623}">
          <xlrd:rvb i="5971"/>
        </ext>
      </extLst>
    </bk>
    <bk>
      <extLst>
        <ext uri="{3e2802c4-a4d2-4d8b-9148-e3be6c30e623}">
          <xlrd:rvb i="5972"/>
        </ext>
      </extLst>
    </bk>
    <bk>
      <extLst>
        <ext uri="{3e2802c4-a4d2-4d8b-9148-e3be6c30e623}">
          <xlrd:rvb i="5973"/>
        </ext>
      </extLst>
    </bk>
    <bk>
      <extLst>
        <ext uri="{3e2802c4-a4d2-4d8b-9148-e3be6c30e623}">
          <xlrd:rvb i="5974"/>
        </ext>
      </extLst>
    </bk>
    <bk>
      <extLst>
        <ext uri="{3e2802c4-a4d2-4d8b-9148-e3be6c30e623}">
          <xlrd:rvb i="5975"/>
        </ext>
      </extLst>
    </bk>
    <bk>
      <extLst>
        <ext uri="{3e2802c4-a4d2-4d8b-9148-e3be6c30e623}">
          <xlrd:rvb i="5976"/>
        </ext>
      </extLst>
    </bk>
    <bk>
      <extLst>
        <ext uri="{3e2802c4-a4d2-4d8b-9148-e3be6c30e623}">
          <xlrd:rvb i="5977"/>
        </ext>
      </extLst>
    </bk>
    <bk>
      <extLst>
        <ext uri="{3e2802c4-a4d2-4d8b-9148-e3be6c30e623}">
          <xlrd:rvb i="5978"/>
        </ext>
      </extLst>
    </bk>
    <bk>
      <extLst>
        <ext uri="{3e2802c4-a4d2-4d8b-9148-e3be6c30e623}">
          <xlrd:rvb i="5979"/>
        </ext>
      </extLst>
    </bk>
    <bk>
      <extLst>
        <ext uri="{3e2802c4-a4d2-4d8b-9148-e3be6c30e623}">
          <xlrd:rvb i="5980"/>
        </ext>
      </extLst>
    </bk>
    <bk>
      <extLst>
        <ext uri="{3e2802c4-a4d2-4d8b-9148-e3be6c30e623}">
          <xlrd:rvb i="5981"/>
        </ext>
      </extLst>
    </bk>
    <bk>
      <extLst>
        <ext uri="{3e2802c4-a4d2-4d8b-9148-e3be6c30e623}">
          <xlrd:rvb i="5982"/>
        </ext>
      </extLst>
    </bk>
    <bk>
      <extLst>
        <ext uri="{3e2802c4-a4d2-4d8b-9148-e3be6c30e623}">
          <xlrd:rvb i="5983"/>
        </ext>
      </extLst>
    </bk>
    <bk>
      <extLst>
        <ext uri="{3e2802c4-a4d2-4d8b-9148-e3be6c30e623}">
          <xlrd:rvb i="5984"/>
        </ext>
      </extLst>
    </bk>
    <bk>
      <extLst>
        <ext uri="{3e2802c4-a4d2-4d8b-9148-e3be6c30e623}">
          <xlrd:rvb i="5985"/>
        </ext>
      </extLst>
    </bk>
    <bk>
      <extLst>
        <ext uri="{3e2802c4-a4d2-4d8b-9148-e3be6c30e623}">
          <xlrd:rvb i="5986"/>
        </ext>
      </extLst>
    </bk>
    <bk>
      <extLst>
        <ext uri="{3e2802c4-a4d2-4d8b-9148-e3be6c30e623}">
          <xlrd:rvb i="5987"/>
        </ext>
      </extLst>
    </bk>
    <bk>
      <extLst>
        <ext uri="{3e2802c4-a4d2-4d8b-9148-e3be6c30e623}">
          <xlrd:rvb i="5988"/>
        </ext>
      </extLst>
    </bk>
    <bk>
      <extLst>
        <ext uri="{3e2802c4-a4d2-4d8b-9148-e3be6c30e623}">
          <xlrd:rvb i="5989"/>
        </ext>
      </extLst>
    </bk>
    <bk>
      <extLst>
        <ext uri="{3e2802c4-a4d2-4d8b-9148-e3be6c30e623}">
          <xlrd:rvb i="5990"/>
        </ext>
      </extLst>
    </bk>
    <bk>
      <extLst>
        <ext uri="{3e2802c4-a4d2-4d8b-9148-e3be6c30e623}">
          <xlrd:rvb i="5991"/>
        </ext>
      </extLst>
    </bk>
    <bk>
      <extLst>
        <ext uri="{3e2802c4-a4d2-4d8b-9148-e3be6c30e623}">
          <xlrd:rvb i="5992"/>
        </ext>
      </extLst>
    </bk>
    <bk>
      <extLst>
        <ext uri="{3e2802c4-a4d2-4d8b-9148-e3be6c30e623}">
          <xlrd:rvb i="5993"/>
        </ext>
      </extLst>
    </bk>
    <bk>
      <extLst>
        <ext uri="{3e2802c4-a4d2-4d8b-9148-e3be6c30e623}">
          <xlrd:rvb i="5994"/>
        </ext>
      </extLst>
    </bk>
    <bk>
      <extLst>
        <ext uri="{3e2802c4-a4d2-4d8b-9148-e3be6c30e623}">
          <xlrd:rvb i="5995"/>
        </ext>
      </extLst>
    </bk>
    <bk>
      <extLst>
        <ext uri="{3e2802c4-a4d2-4d8b-9148-e3be6c30e623}">
          <xlrd:rvb i="5996"/>
        </ext>
      </extLst>
    </bk>
    <bk>
      <extLst>
        <ext uri="{3e2802c4-a4d2-4d8b-9148-e3be6c30e623}">
          <xlrd:rvb i="5997"/>
        </ext>
      </extLst>
    </bk>
    <bk>
      <extLst>
        <ext uri="{3e2802c4-a4d2-4d8b-9148-e3be6c30e623}">
          <xlrd:rvb i="5998"/>
        </ext>
      </extLst>
    </bk>
    <bk>
      <extLst>
        <ext uri="{3e2802c4-a4d2-4d8b-9148-e3be6c30e623}">
          <xlrd:rvb i="5999"/>
        </ext>
      </extLst>
    </bk>
    <bk>
      <extLst>
        <ext uri="{3e2802c4-a4d2-4d8b-9148-e3be6c30e623}">
          <xlrd:rvb i="6000"/>
        </ext>
      </extLst>
    </bk>
    <bk>
      <extLst>
        <ext uri="{3e2802c4-a4d2-4d8b-9148-e3be6c30e623}">
          <xlrd:rvb i="6001"/>
        </ext>
      </extLst>
    </bk>
    <bk>
      <extLst>
        <ext uri="{3e2802c4-a4d2-4d8b-9148-e3be6c30e623}">
          <xlrd:rvb i="6002"/>
        </ext>
      </extLst>
    </bk>
    <bk>
      <extLst>
        <ext uri="{3e2802c4-a4d2-4d8b-9148-e3be6c30e623}">
          <xlrd:rvb i="6003"/>
        </ext>
      </extLst>
    </bk>
    <bk>
      <extLst>
        <ext uri="{3e2802c4-a4d2-4d8b-9148-e3be6c30e623}">
          <xlrd:rvb i="6004"/>
        </ext>
      </extLst>
    </bk>
    <bk>
      <extLst>
        <ext uri="{3e2802c4-a4d2-4d8b-9148-e3be6c30e623}">
          <xlrd:rvb i="6005"/>
        </ext>
      </extLst>
    </bk>
    <bk>
      <extLst>
        <ext uri="{3e2802c4-a4d2-4d8b-9148-e3be6c30e623}">
          <xlrd:rvb i="6006"/>
        </ext>
      </extLst>
    </bk>
    <bk>
      <extLst>
        <ext uri="{3e2802c4-a4d2-4d8b-9148-e3be6c30e623}">
          <xlrd:rvb i="6007"/>
        </ext>
      </extLst>
    </bk>
    <bk>
      <extLst>
        <ext uri="{3e2802c4-a4d2-4d8b-9148-e3be6c30e623}">
          <xlrd:rvb i="6008"/>
        </ext>
      </extLst>
    </bk>
    <bk>
      <extLst>
        <ext uri="{3e2802c4-a4d2-4d8b-9148-e3be6c30e623}">
          <xlrd:rvb i="6009"/>
        </ext>
      </extLst>
    </bk>
    <bk>
      <extLst>
        <ext uri="{3e2802c4-a4d2-4d8b-9148-e3be6c30e623}">
          <xlrd:rvb i="6010"/>
        </ext>
      </extLst>
    </bk>
    <bk>
      <extLst>
        <ext uri="{3e2802c4-a4d2-4d8b-9148-e3be6c30e623}">
          <xlrd:rvb i="6011"/>
        </ext>
      </extLst>
    </bk>
    <bk>
      <extLst>
        <ext uri="{3e2802c4-a4d2-4d8b-9148-e3be6c30e623}">
          <xlrd:rvb i="6012"/>
        </ext>
      </extLst>
    </bk>
    <bk>
      <extLst>
        <ext uri="{3e2802c4-a4d2-4d8b-9148-e3be6c30e623}">
          <xlrd:rvb i="6013"/>
        </ext>
      </extLst>
    </bk>
    <bk>
      <extLst>
        <ext uri="{3e2802c4-a4d2-4d8b-9148-e3be6c30e623}">
          <xlrd:rvb i="6014"/>
        </ext>
      </extLst>
    </bk>
    <bk>
      <extLst>
        <ext uri="{3e2802c4-a4d2-4d8b-9148-e3be6c30e623}">
          <xlrd:rvb i="6015"/>
        </ext>
      </extLst>
    </bk>
    <bk>
      <extLst>
        <ext uri="{3e2802c4-a4d2-4d8b-9148-e3be6c30e623}">
          <xlrd:rvb i="6016"/>
        </ext>
      </extLst>
    </bk>
    <bk>
      <extLst>
        <ext uri="{3e2802c4-a4d2-4d8b-9148-e3be6c30e623}">
          <xlrd:rvb i="6017"/>
        </ext>
      </extLst>
    </bk>
    <bk>
      <extLst>
        <ext uri="{3e2802c4-a4d2-4d8b-9148-e3be6c30e623}">
          <xlrd:rvb i="6018"/>
        </ext>
      </extLst>
    </bk>
    <bk>
      <extLst>
        <ext uri="{3e2802c4-a4d2-4d8b-9148-e3be6c30e623}">
          <xlrd:rvb i="6019"/>
        </ext>
      </extLst>
    </bk>
    <bk>
      <extLst>
        <ext uri="{3e2802c4-a4d2-4d8b-9148-e3be6c30e623}">
          <xlrd:rvb i="6020"/>
        </ext>
      </extLst>
    </bk>
    <bk>
      <extLst>
        <ext uri="{3e2802c4-a4d2-4d8b-9148-e3be6c30e623}">
          <xlrd:rvb i="6021"/>
        </ext>
      </extLst>
    </bk>
    <bk>
      <extLst>
        <ext uri="{3e2802c4-a4d2-4d8b-9148-e3be6c30e623}">
          <xlrd:rvb i="6022"/>
        </ext>
      </extLst>
    </bk>
    <bk>
      <extLst>
        <ext uri="{3e2802c4-a4d2-4d8b-9148-e3be6c30e623}">
          <xlrd:rvb i="6023"/>
        </ext>
      </extLst>
    </bk>
    <bk>
      <extLst>
        <ext uri="{3e2802c4-a4d2-4d8b-9148-e3be6c30e623}">
          <xlrd:rvb i="6024"/>
        </ext>
      </extLst>
    </bk>
    <bk>
      <extLst>
        <ext uri="{3e2802c4-a4d2-4d8b-9148-e3be6c30e623}">
          <xlrd:rvb i="6025"/>
        </ext>
      </extLst>
    </bk>
    <bk>
      <extLst>
        <ext uri="{3e2802c4-a4d2-4d8b-9148-e3be6c30e623}">
          <xlrd:rvb i="6026"/>
        </ext>
      </extLst>
    </bk>
    <bk>
      <extLst>
        <ext uri="{3e2802c4-a4d2-4d8b-9148-e3be6c30e623}">
          <xlrd:rvb i="6027"/>
        </ext>
      </extLst>
    </bk>
    <bk>
      <extLst>
        <ext uri="{3e2802c4-a4d2-4d8b-9148-e3be6c30e623}">
          <xlrd:rvb i="6028"/>
        </ext>
      </extLst>
    </bk>
    <bk>
      <extLst>
        <ext uri="{3e2802c4-a4d2-4d8b-9148-e3be6c30e623}">
          <xlrd:rvb i="6029"/>
        </ext>
      </extLst>
    </bk>
    <bk>
      <extLst>
        <ext uri="{3e2802c4-a4d2-4d8b-9148-e3be6c30e623}">
          <xlrd:rvb i="6030"/>
        </ext>
      </extLst>
    </bk>
    <bk>
      <extLst>
        <ext uri="{3e2802c4-a4d2-4d8b-9148-e3be6c30e623}">
          <xlrd:rvb i="6031"/>
        </ext>
      </extLst>
    </bk>
    <bk>
      <extLst>
        <ext uri="{3e2802c4-a4d2-4d8b-9148-e3be6c30e623}">
          <xlrd:rvb i="6032"/>
        </ext>
      </extLst>
    </bk>
    <bk>
      <extLst>
        <ext uri="{3e2802c4-a4d2-4d8b-9148-e3be6c30e623}">
          <xlrd:rvb i="6033"/>
        </ext>
      </extLst>
    </bk>
    <bk>
      <extLst>
        <ext uri="{3e2802c4-a4d2-4d8b-9148-e3be6c30e623}">
          <xlrd:rvb i="6034"/>
        </ext>
      </extLst>
    </bk>
    <bk>
      <extLst>
        <ext uri="{3e2802c4-a4d2-4d8b-9148-e3be6c30e623}">
          <xlrd:rvb i="6035"/>
        </ext>
      </extLst>
    </bk>
    <bk>
      <extLst>
        <ext uri="{3e2802c4-a4d2-4d8b-9148-e3be6c30e623}">
          <xlrd:rvb i="6036"/>
        </ext>
      </extLst>
    </bk>
    <bk>
      <extLst>
        <ext uri="{3e2802c4-a4d2-4d8b-9148-e3be6c30e623}">
          <xlrd:rvb i="6037"/>
        </ext>
      </extLst>
    </bk>
    <bk>
      <extLst>
        <ext uri="{3e2802c4-a4d2-4d8b-9148-e3be6c30e623}">
          <xlrd:rvb i="6038"/>
        </ext>
      </extLst>
    </bk>
    <bk>
      <extLst>
        <ext uri="{3e2802c4-a4d2-4d8b-9148-e3be6c30e623}">
          <xlrd:rvb i="6039"/>
        </ext>
      </extLst>
    </bk>
    <bk>
      <extLst>
        <ext uri="{3e2802c4-a4d2-4d8b-9148-e3be6c30e623}">
          <xlrd:rvb i="6040"/>
        </ext>
      </extLst>
    </bk>
    <bk>
      <extLst>
        <ext uri="{3e2802c4-a4d2-4d8b-9148-e3be6c30e623}">
          <xlrd:rvb i="6041"/>
        </ext>
      </extLst>
    </bk>
    <bk>
      <extLst>
        <ext uri="{3e2802c4-a4d2-4d8b-9148-e3be6c30e623}">
          <xlrd:rvb i="6042"/>
        </ext>
      </extLst>
    </bk>
    <bk>
      <extLst>
        <ext uri="{3e2802c4-a4d2-4d8b-9148-e3be6c30e623}">
          <xlrd:rvb i="6043"/>
        </ext>
      </extLst>
    </bk>
    <bk>
      <extLst>
        <ext uri="{3e2802c4-a4d2-4d8b-9148-e3be6c30e623}">
          <xlrd:rvb i="6044"/>
        </ext>
      </extLst>
    </bk>
    <bk>
      <extLst>
        <ext uri="{3e2802c4-a4d2-4d8b-9148-e3be6c30e623}">
          <xlrd:rvb i="6045"/>
        </ext>
      </extLst>
    </bk>
    <bk>
      <extLst>
        <ext uri="{3e2802c4-a4d2-4d8b-9148-e3be6c30e623}">
          <xlrd:rvb i="6046"/>
        </ext>
      </extLst>
    </bk>
    <bk>
      <extLst>
        <ext uri="{3e2802c4-a4d2-4d8b-9148-e3be6c30e623}">
          <xlrd:rvb i="6047"/>
        </ext>
      </extLst>
    </bk>
    <bk>
      <extLst>
        <ext uri="{3e2802c4-a4d2-4d8b-9148-e3be6c30e623}">
          <xlrd:rvb i="6048"/>
        </ext>
      </extLst>
    </bk>
    <bk>
      <extLst>
        <ext uri="{3e2802c4-a4d2-4d8b-9148-e3be6c30e623}">
          <xlrd:rvb i="6049"/>
        </ext>
      </extLst>
    </bk>
    <bk>
      <extLst>
        <ext uri="{3e2802c4-a4d2-4d8b-9148-e3be6c30e623}">
          <xlrd:rvb i="6050"/>
        </ext>
      </extLst>
    </bk>
    <bk>
      <extLst>
        <ext uri="{3e2802c4-a4d2-4d8b-9148-e3be6c30e623}">
          <xlrd:rvb i="6051"/>
        </ext>
      </extLst>
    </bk>
    <bk>
      <extLst>
        <ext uri="{3e2802c4-a4d2-4d8b-9148-e3be6c30e623}">
          <xlrd:rvb i="6052"/>
        </ext>
      </extLst>
    </bk>
    <bk>
      <extLst>
        <ext uri="{3e2802c4-a4d2-4d8b-9148-e3be6c30e623}">
          <xlrd:rvb i="6053"/>
        </ext>
      </extLst>
    </bk>
    <bk>
      <extLst>
        <ext uri="{3e2802c4-a4d2-4d8b-9148-e3be6c30e623}">
          <xlrd:rvb i="6054"/>
        </ext>
      </extLst>
    </bk>
    <bk>
      <extLst>
        <ext uri="{3e2802c4-a4d2-4d8b-9148-e3be6c30e623}">
          <xlrd:rvb i="6055"/>
        </ext>
      </extLst>
    </bk>
    <bk>
      <extLst>
        <ext uri="{3e2802c4-a4d2-4d8b-9148-e3be6c30e623}">
          <xlrd:rvb i="6056"/>
        </ext>
      </extLst>
    </bk>
    <bk>
      <extLst>
        <ext uri="{3e2802c4-a4d2-4d8b-9148-e3be6c30e623}">
          <xlrd:rvb i="6057"/>
        </ext>
      </extLst>
    </bk>
    <bk>
      <extLst>
        <ext uri="{3e2802c4-a4d2-4d8b-9148-e3be6c30e623}">
          <xlrd:rvb i="6058"/>
        </ext>
      </extLst>
    </bk>
    <bk>
      <extLst>
        <ext uri="{3e2802c4-a4d2-4d8b-9148-e3be6c30e623}">
          <xlrd:rvb i="6059"/>
        </ext>
      </extLst>
    </bk>
    <bk>
      <extLst>
        <ext uri="{3e2802c4-a4d2-4d8b-9148-e3be6c30e623}">
          <xlrd:rvb i="6060"/>
        </ext>
      </extLst>
    </bk>
    <bk>
      <extLst>
        <ext uri="{3e2802c4-a4d2-4d8b-9148-e3be6c30e623}">
          <xlrd:rvb i="6061"/>
        </ext>
      </extLst>
    </bk>
    <bk>
      <extLst>
        <ext uri="{3e2802c4-a4d2-4d8b-9148-e3be6c30e623}">
          <xlrd:rvb i="6062"/>
        </ext>
      </extLst>
    </bk>
    <bk>
      <extLst>
        <ext uri="{3e2802c4-a4d2-4d8b-9148-e3be6c30e623}">
          <xlrd:rvb i="6063"/>
        </ext>
      </extLst>
    </bk>
    <bk>
      <extLst>
        <ext uri="{3e2802c4-a4d2-4d8b-9148-e3be6c30e623}">
          <xlrd:rvb i="6064"/>
        </ext>
      </extLst>
    </bk>
    <bk>
      <extLst>
        <ext uri="{3e2802c4-a4d2-4d8b-9148-e3be6c30e623}">
          <xlrd:rvb i="6065"/>
        </ext>
      </extLst>
    </bk>
    <bk>
      <extLst>
        <ext uri="{3e2802c4-a4d2-4d8b-9148-e3be6c30e623}">
          <xlrd:rvb i="6066"/>
        </ext>
      </extLst>
    </bk>
    <bk>
      <extLst>
        <ext uri="{3e2802c4-a4d2-4d8b-9148-e3be6c30e623}">
          <xlrd:rvb i="6067"/>
        </ext>
      </extLst>
    </bk>
    <bk>
      <extLst>
        <ext uri="{3e2802c4-a4d2-4d8b-9148-e3be6c30e623}">
          <xlrd:rvb i="6068"/>
        </ext>
      </extLst>
    </bk>
    <bk>
      <extLst>
        <ext uri="{3e2802c4-a4d2-4d8b-9148-e3be6c30e623}">
          <xlrd:rvb i="6069"/>
        </ext>
      </extLst>
    </bk>
    <bk>
      <extLst>
        <ext uri="{3e2802c4-a4d2-4d8b-9148-e3be6c30e623}">
          <xlrd:rvb i="6070"/>
        </ext>
      </extLst>
    </bk>
    <bk>
      <extLst>
        <ext uri="{3e2802c4-a4d2-4d8b-9148-e3be6c30e623}">
          <xlrd:rvb i="6071"/>
        </ext>
      </extLst>
    </bk>
    <bk>
      <extLst>
        <ext uri="{3e2802c4-a4d2-4d8b-9148-e3be6c30e623}">
          <xlrd:rvb i="6072"/>
        </ext>
      </extLst>
    </bk>
    <bk>
      <extLst>
        <ext uri="{3e2802c4-a4d2-4d8b-9148-e3be6c30e623}">
          <xlrd:rvb i="6073"/>
        </ext>
      </extLst>
    </bk>
    <bk>
      <extLst>
        <ext uri="{3e2802c4-a4d2-4d8b-9148-e3be6c30e623}">
          <xlrd:rvb i="6074"/>
        </ext>
      </extLst>
    </bk>
    <bk>
      <extLst>
        <ext uri="{3e2802c4-a4d2-4d8b-9148-e3be6c30e623}">
          <xlrd:rvb i="6075"/>
        </ext>
      </extLst>
    </bk>
    <bk>
      <extLst>
        <ext uri="{3e2802c4-a4d2-4d8b-9148-e3be6c30e623}">
          <xlrd:rvb i="6076"/>
        </ext>
      </extLst>
    </bk>
    <bk>
      <extLst>
        <ext uri="{3e2802c4-a4d2-4d8b-9148-e3be6c30e623}">
          <xlrd:rvb i="6077"/>
        </ext>
      </extLst>
    </bk>
    <bk>
      <extLst>
        <ext uri="{3e2802c4-a4d2-4d8b-9148-e3be6c30e623}">
          <xlrd:rvb i="6078"/>
        </ext>
      </extLst>
    </bk>
    <bk>
      <extLst>
        <ext uri="{3e2802c4-a4d2-4d8b-9148-e3be6c30e623}">
          <xlrd:rvb i="6079"/>
        </ext>
      </extLst>
    </bk>
    <bk>
      <extLst>
        <ext uri="{3e2802c4-a4d2-4d8b-9148-e3be6c30e623}">
          <xlrd:rvb i="6080"/>
        </ext>
      </extLst>
    </bk>
    <bk>
      <extLst>
        <ext uri="{3e2802c4-a4d2-4d8b-9148-e3be6c30e623}">
          <xlrd:rvb i="6081"/>
        </ext>
      </extLst>
    </bk>
    <bk>
      <extLst>
        <ext uri="{3e2802c4-a4d2-4d8b-9148-e3be6c30e623}">
          <xlrd:rvb i="6082"/>
        </ext>
      </extLst>
    </bk>
    <bk>
      <extLst>
        <ext uri="{3e2802c4-a4d2-4d8b-9148-e3be6c30e623}">
          <xlrd:rvb i="6083"/>
        </ext>
      </extLst>
    </bk>
    <bk>
      <extLst>
        <ext uri="{3e2802c4-a4d2-4d8b-9148-e3be6c30e623}">
          <xlrd:rvb i="6084"/>
        </ext>
      </extLst>
    </bk>
    <bk>
      <extLst>
        <ext uri="{3e2802c4-a4d2-4d8b-9148-e3be6c30e623}">
          <xlrd:rvb i="6085"/>
        </ext>
      </extLst>
    </bk>
    <bk>
      <extLst>
        <ext uri="{3e2802c4-a4d2-4d8b-9148-e3be6c30e623}">
          <xlrd:rvb i="6086"/>
        </ext>
      </extLst>
    </bk>
    <bk>
      <extLst>
        <ext uri="{3e2802c4-a4d2-4d8b-9148-e3be6c30e623}">
          <xlrd:rvb i="6087"/>
        </ext>
      </extLst>
    </bk>
    <bk>
      <extLst>
        <ext uri="{3e2802c4-a4d2-4d8b-9148-e3be6c30e623}">
          <xlrd:rvb i="6088"/>
        </ext>
      </extLst>
    </bk>
    <bk>
      <extLst>
        <ext uri="{3e2802c4-a4d2-4d8b-9148-e3be6c30e623}">
          <xlrd:rvb i="6089"/>
        </ext>
      </extLst>
    </bk>
    <bk>
      <extLst>
        <ext uri="{3e2802c4-a4d2-4d8b-9148-e3be6c30e623}">
          <xlrd:rvb i="6090"/>
        </ext>
      </extLst>
    </bk>
    <bk>
      <extLst>
        <ext uri="{3e2802c4-a4d2-4d8b-9148-e3be6c30e623}">
          <xlrd:rvb i="6091"/>
        </ext>
      </extLst>
    </bk>
    <bk>
      <extLst>
        <ext uri="{3e2802c4-a4d2-4d8b-9148-e3be6c30e623}">
          <xlrd:rvb i="6092"/>
        </ext>
      </extLst>
    </bk>
    <bk>
      <extLst>
        <ext uri="{3e2802c4-a4d2-4d8b-9148-e3be6c30e623}">
          <xlrd:rvb i="6093"/>
        </ext>
      </extLst>
    </bk>
    <bk>
      <extLst>
        <ext uri="{3e2802c4-a4d2-4d8b-9148-e3be6c30e623}">
          <xlrd:rvb i="6094"/>
        </ext>
      </extLst>
    </bk>
    <bk>
      <extLst>
        <ext uri="{3e2802c4-a4d2-4d8b-9148-e3be6c30e623}">
          <xlrd:rvb i="6095"/>
        </ext>
      </extLst>
    </bk>
    <bk>
      <extLst>
        <ext uri="{3e2802c4-a4d2-4d8b-9148-e3be6c30e623}">
          <xlrd:rvb i="6096"/>
        </ext>
      </extLst>
    </bk>
    <bk>
      <extLst>
        <ext uri="{3e2802c4-a4d2-4d8b-9148-e3be6c30e623}">
          <xlrd:rvb i="6097"/>
        </ext>
      </extLst>
    </bk>
    <bk>
      <extLst>
        <ext uri="{3e2802c4-a4d2-4d8b-9148-e3be6c30e623}">
          <xlrd:rvb i="6098"/>
        </ext>
      </extLst>
    </bk>
    <bk>
      <extLst>
        <ext uri="{3e2802c4-a4d2-4d8b-9148-e3be6c30e623}">
          <xlrd:rvb i="6099"/>
        </ext>
      </extLst>
    </bk>
    <bk>
      <extLst>
        <ext uri="{3e2802c4-a4d2-4d8b-9148-e3be6c30e623}">
          <xlrd:rvb i="6100"/>
        </ext>
      </extLst>
    </bk>
    <bk>
      <extLst>
        <ext uri="{3e2802c4-a4d2-4d8b-9148-e3be6c30e623}">
          <xlrd:rvb i="6101"/>
        </ext>
      </extLst>
    </bk>
    <bk>
      <extLst>
        <ext uri="{3e2802c4-a4d2-4d8b-9148-e3be6c30e623}">
          <xlrd:rvb i="6102"/>
        </ext>
      </extLst>
    </bk>
    <bk>
      <extLst>
        <ext uri="{3e2802c4-a4d2-4d8b-9148-e3be6c30e623}">
          <xlrd:rvb i="6103"/>
        </ext>
      </extLst>
    </bk>
    <bk>
      <extLst>
        <ext uri="{3e2802c4-a4d2-4d8b-9148-e3be6c30e623}">
          <xlrd:rvb i="6104"/>
        </ext>
      </extLst>
    </bk>
    <bk>
      <extLst>
        <ext uri="{3e2802c4-a4d2-4d8b-9148-e3be6c30e623}">
          <xlrd:rvb i="6105"/>
        </ext>
      </extLst>
    </bk>
    <bk>
      <extLst>
        <ext uri="{3e2802c4-a4d2-4d8b-9148-e3be6c30e623}">
          <xlrd:rvb i="6106"/>
        </ext>
      </extLst>
    </bk>
    <bk>
      <extLst>
        <ext uri="{3e2802c4-a4d2-4d8b-9148-e3be6c30e623}">
          <xlrd:rvb i="6107"/>
        </ext>
      </extLst>
    </bk>
    <bk>
      <extLst>
        <ext uri="{3e2802c4-a4d2-4d8b-9148-e3be6c30e623}">
          <xlrd:rvb i="6108"/>
        </ext>
      </extLst>
    </bk>
    <bk>
      <extLst>
        <ext uri="{3e2802c4-a4d2-4d8b-9148-e3be6c30e623}">
          <xlrd:rvb i="6109"/>
        </ext>
      </extLst>
    </bk>
    <bk>
      <extLst>
        <ext uri="{3e2802c4-a4d2-4d8b-9148-e3be6c30e623}">
          <xlrd:rvb i="6110"/>
        </ext>
      </extLst>
    </bk>
    <bk>
      <extLst>
        <ext uri="{3e2802c4-a4d2-4d8b-9148-e3be6c30e623}">
          <xlrd:rvb i="6111"/>
        </ext>
      </extLst>
    </bk>
    <bk>
      <extLst>
        <ext uri="{3e2802c4-a4d2-4d8b-9148-e3be6c30e623}">
          <xlrd:rvb i="6112"/>
        </ext>
      </extLst>
    </bk>
    <bk>
      <extLst>
        <ext uri="{3e2802c4-a4d2-4d8b-9148-e3be6c30e623}">
          <xlrd:rvb i="6113"/>
        </ext>
      </extLst>
    </bk>
    <bk>
      <extLst>
        <ext uri="{3e2802c4-a4d2-4d8b-9148-e3be6c30e623}">
          <xlrd:rvb i="6114"/>
        </ext>
      </extLst>
    </bk>
    <bk>
      <extLst>
        <ext uri="{3e2802c4-a4d2-4d8b-9148-e3be6c30e623}">
          <xlrd:rvb i="6115"/>
        </ext>
      </extLst>
    </bk>
    <bk>
      <extLst>
        <ext uri="{3e2802c4-a4d2-4d8b-9148-e3be6c30e623}">
          <xlrd:rvb i="6116"/>
        </ext>
      </extLst>
    </bk>
    <bk>
      <extLst>
        <ext uri="{3e2802c4-a4d2-4d8b-9148-e3be6c30e623}">
          <xlrd:rvb i="6117"/>
        </ext>
      </extLst>
    </bk>
    <bk>
      <extLst>
        <ext uri="{3e2802c4-a4d2-4d8b-9148-e3be6c30e623}">
          <xlrd:rvb i="6118"/>
        </ext>
      </extLst>
    </bk>
    <bk>
      <extLst>
        <ext uri="{3e2802c4-a4d2-4d8b-9148-e3be6c30e623}">
          <xlrd:rvb i="6119"/>
        </ext>
      </extLst>
    </bk>
    <bk>
      <extLst>
        <ext uri="{3e2802c4-a4d2-4d8b-9148-e3be6c30e623}">
          <xlrd:rvb i="6120"/>
        </ext>
      </extLst>
    </bk>
    <bk>
      <extLst>
        <ext uri="{3e2802c4-a4d2-4d8b-9148-e3be6c30e623}">
          <xlrd:rvb i="6121"/>
        </ext>
      </extLst>
    </bk>
    <bk>
      <extLst>
        <ext uri="{3e2802c4-a4d2-4d8b-9148-e3be6c30e623}">
          <xlrd:rvb i="6122"/>
        </ext>
      </extLst>
    </bk>
    <bk>
      <extLst>
        <ext uri="{3e2802c4-a4d2-4d8b-9148-e3be6c30e623}">
          <xlrd:rvb i="6123"/>
        </ext>
      </extLst>
    </bk>
    <bk>
      <extLst>
        <ext uri="{3e2802c4-a4d2-4d8b-9148-e3be6c30e623}">
          <xlrd:rvb i="6124"/>
        </ext>
      </extLst>
    </bk>
    <bk>
      <extLst>
        <ext uri="{3e2802c4-a4d2-4d8b-9148-e3be6c30e623}">
          <xlrd:rvb i="6125"/>
        </ext>
      </extLst>
    </bk>
    <bk>
      <extLst>
        <ext uri="{3e2802c4-a4d2-4d8b-9148-e3be6c30e623}">
          <xlrd:rvb i="6126"/>
        </ext>
      </extLst>
    </bk>
    <bk>
      <extLst>
        <ext uri="{3e2802c4-a4d2-4d8b-9148-e3be6c30e623}">
          <xlrd:rvb i="6127"/>
        </ext>
      </extLst>
    </bk>
    <bk>
      <extLst>
        <ext uri="{3e2802c4-a4d2-4d8b-9148-e3be6c30e623}">
          <xlrd:rvb i="6128"/>
        </ext>
      </extLst>
    </bk>
    <bk>
      <extLst>
        <ext uri="{3e2802c4-a4d2-4d8b-9148-e3be6c30e623}">
          <xlrd:rvb i="6129"/>
        </ext>
      </extLst>
    </bk>
    <bk>
      <extLst>
        <ext uri="{3e2802c4-a4d2-4d8b-9148-e3be6c30e623}">
          <xlrd:rvb i="6130"/>
        </ext>
      </extLst>
    </bk>
    <bk>
      <extLst>
        <ext uri="{3e2802c4-a4d2-4d8b-9148-e3be6c30e623}">
          <xlrd:rvb i="6131"/>
        </ext>
      </extLst>
    </bk>
    <bk>
      <extLst>
        <ext uri="{3e2802c4-a4d2-4d8b-9148-e3be6c30e623}">
          <xlrd:rvb i="6132"/>
        </ext>
      </extLst>
    </bk>
    <bk>
      <extLst>
        <ext uri="{3e2802c4-a4d2-4d8b-9148-e3be6c30e623}">
          <xlrd:rvb i="6133"/>
        </ext>
      </extLst>
    </bk>
    <bk>
      <extLst>
        <ext uri="{3e2802c4-a4d2-4d8b-9148-e3be6c30e623}">
          <xlrd:rvb i="6134"/>
        </ext>
      </extLst>
    </bk>
    <bk>
      <extLst>
        <ext uri="{3e2802c4-a4d2-4d8b-9148-e3be6c30e623}">
          <xlrd:rvb i="6135"/>
        </ext>
      </extLst>
    </bk>
    <bk>
      <extLst>
        <ext uri="{3e2802c4-a4d2-4d8b-9148-e3be6c30e623}">
          <xlrd:rvb i="6136"/>
        </ext>
      </extLst>
    </bk>
    <bk>
      <extLst>
        <ext uri="{3e2802c4-a4d2-4d8b-9148-e3be6c30e623}">
          <xlrd:rvb i="6137"/>
        </ext>
      </extLst>
    </bk>
    <bk>
      <extLst>
        <ext uri="{3e2802c4-a4d2-4d8b-9148-e3be6c30e623}">
          <xlrd:rvb i="6138"/>
        </ext>
      </extLst>
    </bk>
    <bk>
      <extLst>
        <ext uri="{3e2802c4-a4d2-4d8b-9148-e3be6c30e623}">
          <xlrd:rvb i="6139"/>
        </ext>
      </extLst>
    </bk>
    <bk>
      <extLst>
        <ext uri="{3e2802c4-a4d2-4d8b-9148-e3be6c30e623}">
          <xlrd:rvb i="6140"/>
        </ext>
      </extLst>
    </bk>
    <bk>
      <extLst>
        <ext uri="{3e2802c4-a4d2-4d8b-9148-e3be6c30e623}">
          <xlrd:rvb i="6141"/>
        </ext>
      </extLst>
    </bk>
    <bk>
      <extLst>
        <ext uri="{3e2802c4-a4d2-4d8b-9148-e3be6c30e623}">
          <xlrd:rvb i="6142"/>
        </ext>
      </extLst>
    </bk>
    <bk>
      <extLst>
        <ext uri="{3e2802c4-a4d2-4d8b-9148-e3be6c30e623}">
          <xlrd:rvb i="6143"/>
        </ext>
      </extLst>
    </bk>
    <bk>
      <extLst>
        <ext uri="{3e2802c4-a4d2-4d8b-9148-e3be6c30e623}">
          <xlrd:rvb i="6144"/>
        </ext>
      </extLst>
    </bk>
    <bk>
      <extLst>
        <ext uri="{3e2802c4-a4d2-4d8b-9148-e3be6c30e623}">
          <xlrd:rvb i="6145"/>
        </ext>
      </extLst>
    </bk>
    <bk>
      <extLst>
        <ext uri="{3e2802c4-a4d2-4d8b-9148-e3be6c30e623}">
          <xlrd:rvb i="6146"/>
        </ext>
      </extLst>
    </bk>
    <bk>
      <extLst>
        <ext uri="{3e2802c4-a4d2-4d8b-9148-e3be6c30e623}">
          <xlrd:rvb i="6147"/>
        </ext>
      </extLst>
    </bk>
    <bk>
      <extLst>
        <ext uri="{3e2802c4-a4d2-4d8b-9148-e3be6c30e623}">
          <xlrd:rvb i="6148"/>
        </ext>
      </extLst>
    </bk>
    <bk>
      <extLst>
        <ext uri="{3e2802c4-a4d2-4d8b-9148-e3be6c30e623}">
          <xlrd:rvb i="6149"/>
        </ext>
      </extLst>
    </bk>
    <bk>
      <extLst>
        <ext uri="{3e2802c4-a4d2-4d8b-9148-e3be6c30e623}">
          <xlrd:rvb i="6150"/>
        </ext>
      </extLst>
    </bk>
    <bk>
      <extLst>
        <ext uri="{3e2802c4-a4d2-4d8b-9148-e3be6c30e623}">
          <xlrd:rvb i="6151"/>
        </ext>
      </extLst>
    </bk>
    <bk>
      <extLst>
        <ext uri="{3e2802c4-a4d2-4d8b-9148-e3be6c30e623}">
          <xlrd:rvb i="6152"/>
        </ext>
      </extLst>
    </bk>
    <bk>
      <extLst>
        <ext uri="{3e2802c4-a4d2-4d8b-9148-e3be6c30e623}">
          <xlrd:rvb i="6153"/>
        </ext>
      </extLst>
    </bk>
    <bk>
      <extLst>
        <ext uri="{3e2802c4-a4d2-4d8b-9148-e3be6c30e623}">
          <xlrd:rvb i="6154"/>
        </ext>
      </extLst>
    </bk>
    <bk>
      <extLst>
        <ext uri="{3e2802c4-a4d2-4d8b-9148-e3be6c30e623}">
          <xlrd:rvb i="6155"/>
        </ext>
      </extLst>
    </bk>
    <bk>
      <extLst>
        <ext uri="{3e2802c4-a4d2-4d8b-9148-e3be6c30e623}">
          <xlrd:rvb i="6156"/>
        </ext>
      </extLst>
    </bk>
    <bk>
      <extLst>
        <ext uri="{3e2802c4-a4d2-4d8b-9148-e3be6c30e623}">
          <xlrd:rvb i="6157"/>
        </ext>
      </extLst>
    </bk>
    <bk>
      <extLst>
        <ext uri="{3e2802c4-a4d2-4d8b-9148-e3be6c30e623}">
          <xlrd:rvb i="6158"/>
        </ext>
      </extLst>
    </bk>
    <bk>
      <extLst>
        <ext uri="{3e2802c4-a4d2-4d8b-9148-e3be6c30e623}">
          <xlrd:rvb i="6159"/>
        </ext>
      </extLst>
    </bk>
    <bk>
      <extLst>
        <ext uri="{3e2802c4-a4d2-4d8b-9148-e3be6c30e623}">
          <xlrd:rvb i="6160"/>
        </ext>
      </extLst>
    </bk>
    <bk>
      <extLst>
        <ext uri="{3e2802c4-a4d2-4d8b-9148-e3be6c30e623}">
          <xlrd:rvb i="6161"/>
        </ext>
      </extLst>
    </bk>
    <bk>
      <extLst>
        <ext uri="{3e2802c4-a4d2-4d8b-9148-e3be6c30e623}">
          <xlrd:rvb i="6162"/>
        </ext>
      </extLst>
    </bk>
    <bk>
      <extLst>
        <ext uri="{3e2802c4-a4d2-4d8b-9148-e3be6c30e623}">
          <xlrd:rvb i="6163"/>
        </ext>
      </extLst>
    </bk>
    <bk>
      <extLst>
        <ext uri="{3e2802c4-a4d2-4d8b-9148-e3be6c30e623}">
          <xlrd:rvb i="6164"/>
        </ext>
      </extLst>
    </bk>
    <bk>
      <extLst>
        <ext uri="{3e2802c4-a4d2-4d8b-9148-e3be6c30e623}">
          <xlrd:rvb i="6165"/>
        </ext>
      </extLst>
    </bk>
    <bk>
      <extLst>
        <ext uri="{3e2802c4-a4d2-4d8b-9148-e3be6c30e623}">
          <xlrd:rvb i="6166"/>
        </ext>
      </extLst>
    </bk>
    <bk>
      <extLst>
        <ext uri="{3e2802c4-a4d2-4d8b-9148-e3be6c30e623}">
          <xlrd:rvb i="6167"/>
        </ext>
      </extLst>
    </bk>
    <bk>
      <extLst>
        <ext uri="{3e2802c4-a4d2-4d8b-9148-e3be6c30e623}">
          <xlrd:rvb i="6168"/>
        </ext>
      </extLst>
    </bk>
    <bk>
      <extLst>
        <ext uri="{3e2802c4-a4d2-4d8b-9148-e3be6c30e623}">
          <xlrd:rvb i="6169"/>
        </ext>
      </extLst>
    </bk>
    <bk>
      <extLst>
        <ext uri="{3e2802c4-a4d2-4d8b-9148-e3be6c30e623}">
          <xlrd:rvb i="6170"/>
        </ext>
      </extLst>
    </bk>
    <bk>
      <extLst>
        <ext uri="{3e2802c4-a4d2-4d8b-9148-e3be6c30e623}">
          <xlrd:rvb i="6171"/>
        </ext>
      </extLst>
    </bk>
    <bk>
      <extLst>
        <ext uri="{3e2802c4-a4d2-4d8b-9148-e3be6c30e623}">
          <xlrd:rvb i="6172"/>
        </ext>
      </extLst>
    </bk>
    <bk>
      <extLst>
        <ext uri="{3e2802c4-a4d2-4d8b-9148-e3be6c30e623}">
          <xlrd:rvb i="6173"/>
        </ext>
      </extLst>
    </bk>
    <bk>
      <extLst>
        <ext uri="{3e2802c4-a4d2-4d8b-9148-e3be6c30e623}">
          <xlrd:rvb i="6174"/>
        </ext>
      </extLst>
    </bk>
    <bk>
      <extLst>
        <ext uri="{3e2802c4-a4d2-4d8b-9148-e3be6c30e623}">
          <xlrd:rvb i="6175"/>
        </ext>
      </extLst>
    </bk>
    <bk>
      <extLst>
        <ext uri="{3e2802c4-a4d2-4d8b-9148-e3be6c30e623}">
          <xlrd:rvb i="6176"/>
        </ext>
      </extLst>
    </bk>
    <bk>
      <extLst>
        <ext uri="{3e2802c4-a4d2-4d8b-9148-e3be6c30e623}">
          <xlrd:rvb i="6177"/>
        </ext>
      </extLst>
    </bk>
    <bk>
      <extLst>
        <ext uri="{3e2802c4-a4d2-4d8b-9148-e3be6c30e623}">
          <xlrd:rvb i="6178"/>
        </ext>
      </extLst>
    </bk>
    <bk>
      <extLst>
        <ext uri="{3e2802c4-a4d2-4d8b-9148-e3be6c30e623}">
          <xlrd:rvb i="6179"/>
        </ext>
      </extLst>
    </bk>
    <bk>
      <extLst>
        <ext uri="{3e2802c4-a4d2-4d8b-9148-e3be6c30e623}">
          <xlrd:rvb i="6180"/>
        </ext>
      </extLst>
    </bk>
    <bk>
      <extLst>
        <ext uri="{3e2802c4-a4d2-4d8b-9148-e3be6c30e623}">
          <xlrd:rvb i="6181"/>
        </ext>
      </extLst>
    </bk>
    <bk>
      <extLst>
        <ext uri="{3e2802c4-a4d2-4d8b-9148-e3be6c30e623}">
          <xlrd:rvb i="6182"/>
        </ext>
      </extLst>
    </bk>
    <bk>
      <extLst>
        <ext uri="{3e2802c4-a4d2-4d8b-9148-e3be6c30e623}">
          <xlrd:rvb i="6183"/>
        </ext>
      </extLst>
    </bk>
    <bk>
      <extLst>
        <ext uri="{3e2802c4-a4d2-4d8b-9148-e3be6c30e623}">
          <xlrd:rvb i="6184"/>
        </ext>
      </extLst>
    </bk>
    <bk>
      <extLst>
        <ext uri="{3e2802c4-a4d2-4d8b-9148-e3be6c30e623}">
          <xlrd:rvb i="6185"/>
        </ext>
      </extLst>
    </bk>
    <bk>
      <extLst>
        <ext uri="{3e2802c4-a4d2-4d8b-9148-e3be6c30e623}">
          <xlrd:rvb i="6186"/>
        </ext>
      </extLst>
    </bk>
    <bk>
      <extLst>
        <ext uri="{3e2802c4-a4d2-4d8b-9148-e3be6c30e623}">
          <xlrd:rvb i="6187"/>
        </ext>
      </extLst>
    </bk>
    <bk>
      <extLst>
        <ext uri="{3e2802c4-a4d2-4d8b-9148-e3be6c30e623}">
          <xlrd:rvb i="6188"/>
        </ext>
      </extLst>
    </bk>
    <bk>
      <extLst>
        <ext uri="{3e2802c4-a4d2-4d8b-9148-e3be6c30e623}">
          <xlrd:rvb i="6189"/>
        </ext>
      </extLst>
    </bk>
    <bk>
      <extLst>
        <ext uri="{3e2802c4-a4d2-4d8b-9148-e3be6c30e623}">
          <xlrd:rvb i="6190"/>
        </ext>
      </extLst>
    </bk>
    <bk>
      <extLst>
        <ext uri="{3e2802c4-a4d2-4d8b-9148-e3be6c30e623}">
          <xlrd:rvb i="6191"/>
        </ext>
      </extLst>
    </bk>
    <bk>
      <extLst>
        <ext uri="{3e2802c4-a4d2-4d8b-9148-e3be6c30e623}">
          <xlrd:rvb i="6192"/>
        </ext>
      </extLst>
    </bk>
    <bk>
      <extLst>
        <ext uri="{3e2802c4-a4d2-4d8b-9148-e3be6c30e623}">
          <xlrd:rvb i="6193"/>
        </ext>
      </extLst>
    </bk>
    <bk>
      <extLst>
        <ext uri="{3e2802c4-a4d2-4d8b-9148-e3be6c30e623}">
          <xlrd:rvb i="6194"/>
        </ext>
      </extLst>
    </bk>
    <bk>
      <extLst>
        <ext uri="{3e2802c4-a4d2-4d8b-9148-e3be6c30e623}">
          <xlrd:rvb i="6195"/>
        </ext>
      </extLst>
    </bk>
    <bk>
      <extLst>
        <ext uri="{3e2802c4-a4d2-4d8b-9148-e3be6c30e623}">
          <xlrd:rvb i="6196"/>
        </ext>
      </extLst>
    </bk>
    <bk>
      <extLst>
        <ext uri="{3e2802c4-a4d2-4d8b-9148-e3be6c30e623}">
          <xlrd:rvb i="6197"/>
        </ext>
      </extLst>
    </bk>
    <bk>
      <extLst>
        <ext uri="{3e2802c4-a4d2-4d8b-9148-e3be6c30e623}">
          <xlrd:rvb i="6198"/>
        </ext>
      </extLst>
    </bk>
    <bk>
      <extLst>
        <ext uri="{3e2802c4-a4d2-4d8b-9148-e3be6c30e623}">
          <xlrd:rvb i="6199"/>
        </ext>
      </extLst>
    </bk>
    <bk>
      <extLst>
        <ext uri="{3e2802c4-a4d2-4d8b-9148-e3be6c30e623}">
          <xlrd:rvb i="6200"/>
        </ext>
      </extLst>
    </bk>
    <bk>
      <extLst>
        <ext uri="{3e2802c4-a4d2-4d8b-9148-e3be6c30e623}">
          <xlrd:rvb i="6201"/>
        </ext>
      </extLst>
    </bk>
    <bk>
      <extLst>
        <ext uri="{3e2802c4-a4d2-4d8b-9148-e3be6c30e623}">
          <xlrd:rvb i="6202"/>
        </ext>
      </extLst>
    </bk>
    <bk>
      <extLst>
        <ext uri="{3e2802c4-a4d2-4d8b-9148-e3be6c30e623}">
          <xlrd:rvb i="6203"/>
        </ext>
      </extLst>
    </bk>
    <bk>
      <extLst>
        <ext uri="{3e2802c4-a4d2-4d8b-9148-e3be6c30e623}">
          <xlrd:rvb i="6204"/>
        </ext>
      </extLst>
    </bk>
    <bk>
      <extLst>
        <ext uri="{3e2802c4-a4d2-4d8b-9148-e3be6c30e623}">
          <xlrd:rvb i="6205"/>
        </ext>
      </extLst>
    </bk>
    <bk>
      <extLst>
        <ext uri="{3e2802c4-a4d2-4d8b-9148-e3be6c30e623}">
          <xlrd:rvb i="6206"/>
        </ext>
      </extLst>
    </bk>
    <bk>
      <extLst>
        <ext uri="{3e2802c4-a4d2-4d8b-9148-e3be6c30e623}">
          <xlrd:rvb i="6207"/>
        </ext>
      </extLst>
    </bk>
    <bk>
      <extLst>
        <ext uri="{3e2802c4-a4d2-4d8b-9148-e3be6c30e623}">
          <xlrd:rvb i="6208"/>
        </ext>
      </extLst>
    </bk>
    <bk>
      <extLst>
        <ext uri="{3e2802c4-a4d2-4d8b-9148-e3be6c30e623}">
          <xlrd:rvb i="6209"/>
        </ext>
      </extLst>
    </bk>
    <bk>
      <extLst>
        <ext uri="{3e2802c4-a4d2-4d8b-9148-e3be6c30e623}">
          <xlrd:rvb i="6210"/>
        </ext>
      </extLst>
    </bk>
    <bk>
      <extLst>
        <ext uri="{3e2802c4-a4d2-4d8b-9148-e3be6c30e623}">
          <xlrd:rvb i="6211"/>
        </ext>
      </extLst>
    </bk>
    <bk>
      <extLst>
        <ext uri="{3e2802c4-a4d2-4d8b-9148-e3be6c30e623}">
          <xlrd:rvb i="6212"/>
        </ext>
      </extLst>
    </bk>
    <bk>
      <extLst>
        <ext uri="{3e2802c4-a4d2-4d8b-9148-e3be6c30e623}">
          <xlrd:rvb i="6213"/>
        </ext>
      </extLst>
    </bk>
    <bk>
      <extLst>
        <ext uri="{3e2802c4-a4d2-4d8b-9148-e3be6c30e623}">
          <xlrd:rvb i="6214"/>
        </ext>
      </extLst>
    </bk>
    <bk>
      <extLst>
        <ext uri="{3e2802c4-a4d2-4d8b-9148-e3be6c30e623}">
          <xlrd:rvb i="6215"/>
        </ext>
      </extLst>
    </bk>
    <bk>
      <extLst>
        <ext uri="{3e2802c4-a4d2-4d8b-9148-e3be6c30e623}">
          <xlrd:rvb i="6216"/>
        </ext>
      </extLst>
    </bk>
    <bk>
      <extLst>
        <ext uri="{3e2802c4-a4d2-4d8b-9148-e3be6c30e623}">
          <xlrd:rvb i="6217"/>
        </ext>
      </extLst>
    </bk>
    <bk>
      <extLst>
        <ext uri="{3e2802c4-a4d2-4d8b-9148-e3be6c30e623}">
          <xlrd:rvb i="6218"/>
        </ext>
      </extLst>
    </bk>
    <bk>
      <extLst>
        <ext uri="{3e2802c4-a4d2-4d8b-9148-e3be6c30e623}">
          <xlrd:rvb i="6219"/>
        </ext>
      </extLst>
    </bk>
    <bk>
      <extLst>
        <ext uri="{3e2802c4-a4d2-4d8b-9148-e3be6c30e623}">
          <xlrd:rvb i="6220"/>
        </ext>
      </extLst>
    </bk>
    <bk>
      <extLst>
        <ext uri="{3e2802c4-a4d2-4d8b-9148-e3be6c30e623}">
          <xlrd:rvb i="6221"/>
        </ext>
      </extLst>
    </bk>
    <bk>
      <extLst>
        <ext uri="{3e2802c4-a4d2-4d8b-9148-e3be6c30e623}">
          <xlrd:rvb i="6222"/>
        </ext>
      </extLst>
    </bk>
    <bk>
      <extLst>
        <ext uri="{3e2802c4-a4d2-4d8b-9148-e3be6c30e623}">
          <xlrd:rvb i="6223"/>
        </ext>
      </extLst>
    </bk>
    <bk>
      <extLst>
        <ext uri="{3e2802c4-a4d2-4d8b-9148-e3be6c30e623}">
          <xlrd:rvb i="6224"/>
        </ext>
      </extLst>
    </bk>
    <bk>
      <extLst>
        <ext uri="{3e2802c4-a4d2-4d8b-9148-e3be6c30e623}">
          <xlrd:rvb i="6225"/>
        </ext>
      </extLst>
    </bk>
    <bk>
      <extLst>
        <ext uri="{3e2802c4-a4d2-4d8b-9148-e3be6c30e623}">
          <xlrd:rvb i="6226"/>
        </ext>
      </extLst>
    </bk>
    <bk>
      <extLst>
        <ext uri="{3e2802c4-a4d2-4d8b-9148-e3be6c30e623}">
          <xlrd:rvb i="6227"/>
        </ext>
      </extLst>
    </bk>
    <bk>
      <extLst>
        <ext uri="{3e2802c4-a4d2-4d8b-9148-e3be6c30e623}">
          <xlrd:rvb i="6228"/>
        </ext>
      </extLst>
    </bk>
    <bk>
      <extLst>
        <ext uri="{3e2802c4-a4d2-4d8b-9148-e3be6c30e623}">
          <xlrd:rvb i="6229"/>
        </ext>
      </extLst>
    </bk>
    <bk>
      <extLst>
        <ext uri="{3e2802c4-a4d2-4d8b-9148-e3be6c30e623}">
          <xlrd:rvb i="6230"/>
        </ext>
      </extLst>
    </bk>
    <bk>
      <extLst>
        <ext uri="{3e2802c4-a4d2-4d8b-9148-e3be6c30e623}">
          <xlrd:rvb i="6231"/>
        </ext>
      </extLst>
    </bk>
    <bk>
      <extLst>
        <ext uri="{3e2802c4-a4d2-4d8b-9148-e3be6c30e623}">
          <xlrd:rvb i="6232"/>
        </ext>
      </extLst>
    </bk>
    <bk>
      <extLst>
        <ext uri="{3e2802c4-a4d2-4d8b-9148-e3be6c30e623}">
          <xlrd:rvb i="6233"/>
        </ext>
      </extLst>
    </bk>
    <bk>
      <extLst>
        <ext uri="{3e2802c4-a4d2-4d8b-9148-e3be6c30e623}">
          <xlrd:rvb i="6234"/>
        </ext>
      </extLst>
    </bk>
    <bk>
      <extLst>
        <ext uri="{3e2802c4-a4d2-4d8b-9148-e3be6c30e623}">
          <xlrd:rvb i="6235"/>
        </ext>
      </extLst>
    </bk>
    <bk>
      <extLst>
        <ext uri="{3e2802c4-a4d2-4d8b-9148-e3be6c30e623}">
          <xlrd:rvb i="6236"/>
        </ext>
      </extLst>
    </bk>
    <bk>
      <extLst>
        <ext uri="{3e2802c4-a4d2-4d8b-9148-e3be6c30e623}">
          <xlrd:rvb i="6237"/>
        </ext>
      </extLst>
    </bk>
    <bk>
      <extLst>
        <ext uri="{3e2802c4-a4d2-4d8b-9148-e3be6c30e623}">
          <xlrd:rvb i="6238"/>
        </ext>
      </extLst>
    </bk>
    <bk>
      <extLst>
        <ext uri="{3e2802c4-a4d2-4d8b-9148-e3be6c30e623}">
          <xlrd:rvb i="6239"/>
        </ext>
      </extLst>
    </bk>
    <bk>
      <extLst>
        <ext uri="{3e2802c4-a4d2-4d8b-9148-e3be6c30e623}">
          <xlrd:rvb i="6240"/>
        </ext>
      </extLst>
    </bk>
    <bk>
      <extLst>
        <ext uri="{3e2802c4-a4d2-4d8b-9148-e3be6c30e623}">
          <xlrd:rvb i="6241"/>
        </ext>
      </extLst>
    </bk>
    <bk>
      <extLst>
        <ext uri="{3e2802c4-a4d2-4d8b-9148-e3be6c30e623}">
          <xlrd:rvb i="6242"/>
        </ext>
      </extLst>
    </bk>
    <bk>
      <extLst>
        <ext uri="{3e2802c4-a4d2-4d8b-9148-e3be6c30e623}">
          <xlrd:rvb i="6243"/>
        </ext>
      </extLst>
    </bk>
    <bk>
      <extLst>
        <ext uri="{3e2802c4-a4d2-4d8b-9148-e3be6c30e623}">
          <xlrd:rvb i="6244"/>
        </ext>
      </extLst>
    </bk>
    <bk>
      <extLst>
        <ext uri="{3e2802c4-a4d2-4d8b-9148-e3be6c30e623}">
          <xlrd:rvb i="6245"/>
        </ext>
      </extLst>
    </bk>
    <bk>
      <extLst>
        <ext uri="{3e2802c4-a4d2-4d8b-9148-e3be6c30e623}">
          <xlrd:rvb i="6246"/>
        </ext>
      </extLst>
    </bk>
    <bk>
      <extLst>
        <ext uri="{3e2802c4-a4d2-4d8b-9148-e3be6c30e623}">
          <xlrd:rvb i="6247"/>
        </ext>
      </extLst>
    </bk>
    <bk>
      <extLst>
        <ext uri="{3e2802c4-a4d2-4d8b-9148-e3be6c30e623}">
          <xlrd:rvb i="6248"/>
        </ext>
      </extLst>
    </bk>
    <bk>
      <extLst>
        <ext uri="{3e2802c4-a4d2-4d8b-9148-e3be6c30e623}">
          <xlrd:rvb i="6249"/>
        </ext>
      </extLst>
    </bk>
    <bk>
      <extLst>
        <ext uri="{3e2802c4-a4d2-4d8b-9148-e3be6c30e623}">
          <xlrd:rvb i="6250"/>
        </ext>
      </extLst>
    </bk>
    <bk>
      <extLst>
        <ext uri="{3e2802c4-a4d2-4d8b-9148-e3be6c30e623}">
          <xlrd:rvb i="6251"/>
        </ext>
      </extLst>
    </bk>
    <bk>
      <extLst>
        <ext uri="{3e2802c4-a4d2-4d8b-9148-e3be6c30e623}">
          <xlrd:rvb i="6252"/>
        </ext>
      </extLst>
    </bk>
    <bk>
      <extLst>
        <ext uri="{3e2802c4-a4d2-4d8b-9148-e3be6c30e623}">
          <xlrd:rvb i="6253"/>
        </ext>
      </extLst>
    </bk>
    <bk>
      <extLst>
        <ext uri="{3e2802c4-a4d2-4d8b-9148-e3be6c30e623}">
          <xlrd:rvb i="6254"/>
        </ext>
      </extLst>
    </bk>
    <bk>
      <extLst>
        <ext uri="{3e2802c4-a4d2-4d8b-9148-e3be6c30e623}">
          <xlrd:rvb i="6255"/>
        </ext>
      </extLst>
    </bk>
    <bk>
      <extLst>
        <ext uri="{3e2802c4-a4d2-4d8b-9148-e3be6c30e623}">
          <xlrd:rvb i="6256"/>
        </ext>
      </extLst>
    </bk>
    <bk>
      <extLst>
        <ext uri="{3e2802c4-a4d2-4d8b-9148-e3be6c30e623}">
          <xlrd:rvb i="6257"/>
        </ext>
      </extLst>
    </bk>
    <bk>
      <extLst>
        <ext uri="{3e2802c4-a4d2-4d8b-9148-e3be6c30e623}">
          <xlrd:rvb i="6258"/>
        </ext>
      </extLst>
    </bk>
    <bk>
      <extLst>
        <ext uri="{3e2802c4-a4d2-4d8b-9148-e3be6c30e623}">
          <xlrd:rvb i="6259"/>
        </ext>
      </extLst>
    </bk>
    <bk>
      <extLst>
        <ext uri="{3e2802c4-a4d2-4d8b-9148-e3be6c30e623}">
          <xlrd:rvb i="6260"/>
        </ext>
      </extLst>
    </bk>
    <bk>
      <extLst>
        <ext uri="{3e2802c4-a4d2-4d8b-9148-e3be6c30e623}">
          <xlrd:rvb i="6261"/>
        </ext>
      </extLst>
    </bk>
    <bk>
      <extLst>
        <ext uri="{3e2802c4-a4d2-4d8b-9148-e3be6c30e623}">
          <xlrd:rvb i="6262"/>
        </ext>
      </extLst>
    </bk>
    <bk>
      <extLst>
        <ext uri="{3e2802c4-a4d2-4d8b-9148-e3be6c30e623}">
          <xlrd:rvb i="6263"/>
        </ext>
      </extLst>
    </bk>
    <bk>
      <extLst>
        <ext uri="{3e2802c4-a4d2-4d8b-9148-e3be6c30e623}">
          <xlrd:rvb i="6264"/>
        </ext>
      </extLst>
    </bk>
    <bk>
      <extLst>
        <ext uri="{3e2802c4-a4d2-4d8b-9148-e3be6c30e623}">
          <xlrd:rvb i="6265"/>
        </ext>
      </extLst>
    </bk>
    <bk>
      <extLst>
        <ext uri="{3e2802c4-a4d2-4d8b-9148-e3be6c30e623}">
          <xlrd:rvb i="6266"/>
        </ext>
      </extLst>
    </bk>
    <bk>
      <extLst>
        <ext uri="{3e2802c4-a4d2-4d8b-9148-e3be6c30e623}">
          <xlrd:rvb i="6267"/>
        </ext>
      </extLst>
    </bk>
    <bk>
      <extLst>
        <ext uri="{3e2802c4-a4d2-4d8b-9148-e3be6c30e623}">
          <xlrd:rvb i="6268"/>
        </ext>
      </extLst>
    </bk>
    <bk>
      <extLst>
        <ext uri="{3e2802c4-a4d2-4d8b-9148-e3be6c30e623}">
          <xlrd:rvb i="6269"/>
        </ext>
      </extLst>
    </bk>
    <bk>
      <extLst>
        <ext uri="{3e2802c4-a4d2-4d8b-9148-e3be6c30e623}">
          <xlrd:rvb i="6270"/>
        </ext>
      </extLst>
    </bk>
    <bk>
      <extLst>
        <ext uri="{3e2802c4-a4d2-4d8b-9148-e3be6c30e623}">
          <xlrd:rvb i="6271"/>
        </ext>
      </extLst>
    </bk>
    <bk>
      <extLst>
        <ext uri="{3e2802c4-a4d2-4d8b-9148-e3be6c30e623}">
          <xlrd:rvb i="6272"/>
        </ext>
      </extLst>
    </bk>
    <bk>
      <extLst>
        <ext uri="{3e2802c4-a4d2-4d8b-9148-e3be6c30e623}">
          <xlrd:rvb i="6273"/>
        </ext>
      </extLst>
    </bk>
    <bk>
      <extLst>
        <ext uri="{3e2802c4-a4d2-4d8b-9148-e3be6c30e623}">
          <xlrd:rvb i="6274"/>
        </ext>
      </extLst>
    </bk>
    <bk>
      <extLst>
        <ext uri="{3e2802c4-a4d2-4d8b-9148-e3be6c30e623}">
          <xlrd:rvb i="6275"/>
        </ext>
      </extLst>
    </bk>
    <bk>
      <extLst>
        <ext uri="{3e2802c4-a4d2-4d8b-9148-e3be6c30e623}">
          <xlrd:rvb i="6276"/>
        </ext>
      </extLst>
    </bk>
    <bk>
      <extLst>
        <ext uri="{3e2802c4-a4d2-4d8b-9148-e3be6c30e623}">
          <xlrd:rvb i="6277"/>
        </ext>
      </extLst>
    </bk>
    <bk>
      <extLst>
        <ext uri="{3e2802c4-a4d2-4d8b-9148-e3be6c30e623}">
          <xlrd:rvb i="6278"/>
        </ext>
      </extLst>
    </bk>
    <bk>
      <extLst>
        <ext uri="{3e2802c4-a4d2-4d8b-9148-e3be6c30e623}">
          <xlrd:rvb i="6279"/>
        </ext>
      </extLst>
    </bk>
    <bk>
      <extLst>
        <ext uri="{3e2802c4-a4d2-4d8b-9148-e3be6c30e623}">
          <xlrd:rvb i="6280"/>
        </ext>
      </extLst>
    </bk>
    <bk>
      <extLst>
        <ext uri="{3e2802c4-a4d2-4d8b-9148-e3be6c30e623}">
          <xlrd:rvb i="6281"/>
        </ext>
      </extLst>
    </bk>
    <bk>
      <extLst>
        <ext uri="{3e2802c4-a4d2-4d8b-9148-e3be6c30e623}">
          <xlrd:rvb i="6282"/>
        </ext>
      </extLst>
    </bk>
    <bk>
      <extLst>
        <ext uri="{3e2802c4-a4d2-4d8b-9148-e3be6c30e623}">
          <xlrd:rvb i="6283"/>
        </ext>
      </extLst>
    </bk>
    <bk>
      <extLst>
        <ext uri="{3e2802c4-a4d2-4d8b-9148-e3be6c30e623}">
          <xlrd:rvb i="6284"/>
        </ext>
      </extLst>
    </bk>
    <bk>
      <extLst>
        <ext uri="{3e2802c4-a4d2-4d8b-9148-e3be6c30e623}">
          <xlrd:rvb i="6285"/>
        </ext>
      </extLst>
    </bk>
    <bk>
      <extLst>
        <ext uri="{3e2802c4-a4d2-4d8b-9148-e3be6c30e623}">
          <xlrd:rvb i="6286"/>
        </ext>
      </extLst>
    </bk>
    <bk>
      <extLst>
        <ext uri="{3e2802c4-a4d2-4d8b-9148-e3be6c30e623}">
          <xlrd:rvb i="6287"/>
        </ext>
      </extLst>
    </bk>
    <bk>
      <extLst>
        <ext uri="{3e2802c4-a4d2-4d8b-9148-e3be6c30e623}">
          <xlrd:rvb i="6288"/>
        </ext>
      </extLst>
    </bk>
    <bk>
      <extLst>
        <ext uri="{3e2802c4-a4d2-4d8b-9148-e3be6c30e623}">
          <xlrd:rvb i="6289"/>
        </ext>
      </extLst>
    </bk>
    <bk>
      <extLst>
        <ext uri="{3e2802c4-a4d2-4d8b-9148-e3be6c30e623}">
          <xlrd:rvb i="6290"/>
        </ext>
      </extLst>
    </bk>
    <bk>
      <extLst>
        <ext uri="{3e2802c4-a4d2-4d8b-9148-e3be6c30e623}">
          <xlrd:rvb i="6291"/>
        </ext>
      </extLst>
    </bk>
    <bk>
      <extLst>
        <ext uri="{3e2802c4-a4d2-4d8b-9148-e3be6c30e623}">
          <xlrd:rvb i="6292"/>
        </ext>
      </extLst>
    </bk>
    <bk>
      <extLst>
        <ext uri="{3e2802c4-a4d2-4d8b-9148-e3be6c30e623}">
          <xlrd:rvb i="6293"/>
        </ext>
      </extLst>
    </bk>
    <bk>
      <extLst>
        <ext uri="{3e2802c4-a4d2-4d8b-9148-e3be6c30e623}">
          <xlrd:rvb i="6294"/>
        </ext>
      </extLst>
    </bk>
    <bk>
      <extLst>
        <ext uri="{3e2802c4-a4d2-4d8b-9148-e3be6c30e623}">
          <xlrd:rvb i="6295"/>
        </ext>
      </extLst>
    </bk>
    <bk>
      <extLst>
        <ext uri="{3e2802c4-a4d2-4d8b-9148-e3be6c30e623}">
          <xlrd:rvb i="6296"/>
        </ext>
      </extLst>
    </bk>
    <bk>
      <extLst>
        <ext uri="{3e2802c4-a4d2-4d8b-9148-e3be6c30e623}">
          <xlrd:rvb i="6297"/>
        </ext>
      </extLst>
    </bk>
    <bk>
      <extLst>
        <ext uri="{3e2802c4-a4d2-4d8b-9148-e3be6c30e623}">
          <xlrd:rvb i="6298"/>
        </ext>
      </extLst>
    </bk>
    <bk>
      <extLst>
        <ext uri="{3e2802c4-a4d2-4d8b-9148-e3be6c30e623}">
          <xlrd:rvb i="6299"/>
        </ext>
      </extLst>
    </bk>
    <bk>
      <extLst>
        <ext uri="{3e2802c4-a4d2-4d8b-9148-e3be6c30e623}">
          <xlrd:rvb i="6300"/>
        </ext>
      </extLst>
    </bk>
    <bk>
      <extLst>
        <ext uri="{3e2802c4-a4d2-4d8b-9148-e3be6c30e623}">
          <xlrd:rvb i="6301"/>
        </ext>
      </extLst>
    </bk>
    <bk>
      <extLst>
        <ext uri="{3e2802c4-a4d2-4d8b-9148-e3be6c30e623}">
          <xlrd:rvb i="6302"/>
        </ext>
      </extLst>
    </bk>
    <bk>
      <extLst>
        <ext uri="{3e2802c4-a4d2-4d8b-9148-e3be6c30e623}">
          <xlrd:rvb i="6303"/>
        </ext>
      </extLst>
    </bk>
    <bk>
      <extLst>
        <ext uri="{3e2802c4-a4d2-4d8b-9148-e3be6c30e623}">
          <xlrd:rvb i="6304"/>
        </ext>
      </extLst>
    </bk>
    <bk>
      <extLst>
        <ext uri="{3e2802c4-a4d2-4d8b-9148-e3be6c30e623}">
          <xlrd:rvb i="6305"/>
        </ext>
      </extLst>
    </bk>
    <bk>
      <extLst>
        <ext uri="{3e2802c4-a4d2-4d8b-9148-e3be6c30e623}">
          <xlrd:rvb i="6306"/>
        </ext>
      </extLst>
    </bk>
    <bk>
      <extLst>
        <ext uri="{3e2802c4-a4d2-4d8b-9148-e3be6c30e623}">
          <xlrd:rvb i="6307"/>
        </ext>
      </extLst>
    </bk>
    <bk>
      <extLst>
        <ext uri="{3e2802c4-a4d2-4d8b-9148-e3be6c30e623}">
          <xlrd:rvb i="6308"/>
        </ext>
      </extLst>
    </bk>
    <bk>
      <extLst>
        <ext uri="{3e2802c4-a4d2-4d8b-9148-e3be6c30e623}">
          <xlrd:rvb i="6309"/>
        </ext>
      </extLst>
    </bk>
    <bk>
      <extLst>
        <ext uri="{3e2802c4-a4d2-4d8b-9148-e3be6c30e623}">
          <xlrd:rvb i="6310"/>
        </ext>
      </extLst>
    </bk>
    <bk>
      <extLst>
        <ext uri="{3e2802c4-a4d2-4d8b-9148-e3be6c30e623}">
          <xlrd:rvb i="6311"/>
        </ext>
      </extLst>
    </bk>
    <bk>
      <extLst>
        <ext uri="{3e2802c4-a4d2-4d8b-9148-e3be6c30e623}">
          <xlrd:rvb i="6312"/>
        </ext>
      </extLst>
    </bk>
    <bk>
      <extLst>
        <ext uri="{3e2802c4-a4d2-4d8b-9148-e3be6c30e623}">
          <xlrd:rvb i="6313"/>
        </ext>
      </extLst>
    </bk>
    <bk>
      <extLst>
        <ext uri="{3e2802c4-a4d2-4d8b-9148-e3be6c30e623}">
          <xlrd:rvb i="6314"/>
        </ext>
      </extLst>
    </bk>
    <bk>
      <extLst>
        <ext uri="{3e2802c4-a4d2-4d8b-9148-e3be6c30e623}">
          <xlrd:rvb i="6315"/>
        </ext>
      </extLst>
    </bk>
    <bk>
      <extLst>
        <ext uri="{3e2802c4-a4d2-4d8b-9148-e3be6c30e623}">
          <xlrd:rvb i="6316"/>
        </ext>
      </extLst>
    </bk>
    <bk>
      <extLst>
        <ext uri="{3e2802c4-a4d2-4d8b-9148-e3be6c30e623}">
          <xlrd:rvb i="6317"/>
        </ext>
      </extLst>
    </bk>
    <bk>
      <extLst>
        <ext uri="{3e2802c4-a4d2-4d8b-9148-e3be6c30e623}">
          <xlrd:rvb i="6318"/>
        </ext>
      </extLst>
    </bk>
    <bk>
      <extLst>
        <ext uri="{3e2802c4-a4d2-4d8b-9148-e3be6c30e623}">
          <xlrd:rvb i="6319"/>
        </ext>
      </extLst>
    </bk>
    <bk>
      <extLst>
        <ext uri="{3e2802c4-a4d2-4d8b-9148-e3be6c30e623}">
          <xlrd:rvb i="6320"/>
        </ext>
      </extLst>
    </bk>
    <bk>
      <extLst>
        <ext uri="{3e2802c4-a4d2-4d8b-9148-e3be6c30e623}">
          <xlrd:rvb i="6321"/>
        </ext>
      </extLst>
    </bk>
    <bk>
      <extLst>
        <ext uri="{3e2802c4-a4d2-4d8b-9148-e3be6c30e623}">
          <xlrd:rvb i="6322"/>
        </ext>
      </extLst>
    </bk>
    <bk>
      <extLst>
        <ext uri="{3e2802c4-a4d2-4d8b-9148-e3be6c30e623}">
          <xlrd:rvb i="6323"/>
        </ext>
      </extLst>
    </bk>
    <bk>
      <extLst>
        <ext uri="{3e2802c4-a4d2-4d8b-9148-e3be6c30e623}">
          <xlrd:rvb i="6324"/>
        </ext>
      </extLst>
    </bk>
    <bk>
      <extLst>
        <ext uri="{3e2802c4-a4d2-4d8b-9148-e3be6c30e623}">
          <xlrd:rvb i="6325"/>
        </ext>
      </extLst>
    </bk>
    <bk>
      <extLst>
        <ext uri="{3e2802c4-a4d2-4d8b-9148-e3be6c30e623}">
          <xlrd:rvb i="6326"/>
        </ext>
      </extLst>
    </bk>
    <bk>
      <extLst>
        <ext uri="{3e2802c4-a4d2-4d8b-9148-e3be6c30e623}">
          <xlrd:rvb i="6327"/>
        </ext>
      </extLst>
    </bk>
    <bk>
      <extLst>
        <ext uri="{3e2802c4-a4d2-4d8b-9148-e3be6c30e623}">
          <xlrd:rvb i="6328"/>
        </ext>
      </extLst>
    </bk>
    <bk>
      <extLst>
        <ext uri="{3e2802c4-a4d2-4d8b-9148-e3be6c30e623}">
          <xlrd:rvb i="6329"/>
        </ext>
      </extLst>
    </bk>
    <bk>
      <extLst>
        <ext uri="{3e2802c4-a4d2-4d8b-9148-e3be6c30e623}">
          <xlrd:rvb i="6330"/>
        </ext>
      </extLst>
    </bk>
    <bk>
      <extLst>
        <ext uri="{3e2802c4-a4d2-4d8b-9148-e3be6c30e623}">
          <xlrd:rvb i="6331"/>
        </ext>
      </extLst>
    </bk>
    <bk>
      <extLst>
        <ext uri="{3e2802c4-a4d2-4d8b-9148-e3be6c30e623}">
          <xlrd:rvb i="6332"/>
        </ext>
      </extLst>
    </bk>
    <bk>
      <extLst>
        <ext uri="{3e2802c4-a4d2-4d8b-9148-e3be6c30e623}">
          <xlrd:rvb i="6333"/>
        </ext>
      </extLst>
    </bk>
    <bk>
      <extLst>
        <ext uri="{3e2802c4-a4d2-4d8b-9148-e3be6c30e623}">
          <xlrd:rvb i="6334"/>
        </ext>
      </extLst>
    </bk>
    <bk>
      <extLst>
        <ext uri="{3e2802c4-a4d2-4d8b-9148-e3be6c30e623}">
          <xlrd:rvb i="6335"/>
        </ext>
      </extLst>
    </bk>
    <bk>
      <extLst>
        <ext uri="{3e2802c4-a4d2-4d8b-9148-e3be6c30e623}">
          <xlrd:rvb i="6336"/>
        </ext>
      </extLst>
    </bk>
    <bk>
      <extLst>
        <ext uri="{3e2802c4-a4d2-4d8b-9148-e3be6c30e623}">
          <xlrd:rvb i="6337"/>
        </ext>
      </extLst>
    </bk>
    <bk>
      <extLst>
        <ext uri="{3e2802c4-a4d2-4d8b-9148-e3be6c30e623}">
          <xlrd:rvb i="6338"/>
        </ext>
      </extLst>
    </bk>
    <bk>
      <extLst>
        <ext uri="{3e2802c4-a4d2-4d8b-9148-e3be6c30e623}">
          <xlrd:rvb i="6339"/>
        </ext>
      </extLst>
    </bk>
    <bk>
      <extLst>
        <ext uri="{3e2802c4-a4d2-4d8b-9148-e3be6c30e623}">
          <xlrd:rvb i="6340"/>
        </ext>
      </extLst>
    </bk>
    <bk>
      <extLst>
        <ext uri="{3e2802c4-a4d2-4d8b-9148-e3be6c30e623}">
          <xlrd:rvb i="6341"/>
        </ext>
      </extLst>
    </bk>
    <bk>
      <extLst>
        <ext uri="{3e2802c4-a4d2-4d8b-9148-e3be6c30e623}">
          <xlrd:rvb i="6342"/>
        </ext>
      </extLst>
    </bk>
    <bk>
      <extLst>
        <ext uri="{3e2802c4-a4d2-4d8b-9148-e3be6c30e623}">
          <xlrd:rvb i="6343"/>
        </ext>
      </extLst>
    </bk>
    <bk>
      <extLst>
        <ext uri="{3e2802c4-a4d2-4d8b-9148-e3be6c30e623}">
          <xlrd:rvb i="6344"/>
        </ext>
      </extLst>
    </bk>
    <bk>
      <extLst>
        <ext uri="{3e2802c4-a4d2-4d8b-9148-e3be6c30e623}">
          <xlrd:rvb i="6345"/>
        </ext>
      </extLst>
    </bk>
    <bk>
      <extLst>
        <ext uri="{3e2802c4-a4d2-4d8b-9148-e3be6c30e623}">
          <xlrd:rvb i="6346"/>
        </ext>
      </extLst>
    </bk>
    <bk>
      <extLst>
        <ext uri="{3e2802c4-a4d2-4d8b-9148-e3be6c30e623}">
          <xlrd:rvb i="6347"/>
        </ext>
      </extLst>
    </bk>
    <bk>
      <extLst>
        <ext uri="{3e2802c4-a4d2-4d8b-9148-e3be6c30e623}">
          <xlrd:rvb i="6348"/>
        </ext>
      </extLst>
    </bk>
    <bk>
      <extLst>
        <ext uri="{3e2802c4-a4d2-4d8b-9148-e3be6c30e623}">
          <xlrd:rvb i="6349"/>
        </ext>
      </extLst>
    </bk>
    <bk>
      <extLst>
        <ext uri="{3e2802c4-a4d2-4d8b-9148-e3be6c30e623}">
          <xlrd:rvb i="6350"/>
        </ext>
      </extLst>
    </bk>
    <bk>
      <extLst>
        <ext uri="{3e2802c4-a4d2-4d8b-9148-e3be6c30e623}">
          <xlrd:rvb i="6351"/>
        </ext>
      </extLst>
    </bk>
    <bk>
      <extLst>
        <ext uri="{3e2802c4-a4d2-4d8b-9148-e3be6c30e623}">
          <xlrd:rvb i="6352"/>
        </ext>
      </extLst>
    </bk>
    <bk>
      <extLst>
        <ext uri="{3e2802c4-a4d2-4d8b-9148-e3be6c30e623}">
          <xlrd:rvb i="6353"/>
        </ext>
      </extLst>
    </bk>
    <bk>
      <extLst>
        <ext uri="{3e2802c4-a4d2-4d8b-9148-e3be6c30e623}">
          <xlrd:rvb i="6354"/>
        </ext>
      </extLst>
    </bk>
    <bk>
      <extLst>
        <ext uri="{3e2802c4-a4d2-4d8b-9148-e3be6c30e623}">
          <xlrd:rvb i="6355"/>
        </ext>
      </extLst>
    </bk>
    <bk>
      <extLst>
        <ext uri="{3e2802c4-a4d2-4d8b-9148-e3be6c30e623}">
          <xlrd:rvb i="6356"/>
        </ext>
      </extLst>
    </bk>
    <bk>
      <extLst>
        <ext uri="{3e2802c4-a4d2-4d8b-9148-e3be6c30e623}">
          <xlrd:rvb i="6357"/>
        </ext>
      </extLst>
    </bk>
    <bk>
      <extLst>
        <ext uri="{3e2802c4-a4d2-4d8b-9148-e3be6c30e623}">
          <xlrd:rvb i="6358"/>
        </ext>
      </extLst>
    </bk>
    <bk>
      <extLst>
        <ext uri="{3e2802c4-a4d2-4d8b-9148-e3be6c30e623}">
          <xlrd:rvb i="6359"/>
        </ext>
      </extLst>
    </bk>
    <bk>
      <extLst>
        <ext uri="{3e2802c4-a4d2-4d8b-9148-e3be6c30e623}">
          <xlrd:rvb i="6360"/>
        </ext>
      </extLst>
    </bk>
    <bk>
      <extLst>
        <ext uri="{3e2802c4-a4d2-4d8b-9148-e3be6c30e623}">
          <xlrd:rvb i="6361"/>
        </ext>
      </extLst>
    </bk>
    <bk>
      <extLst>
        <ext uri="{3e2802c4-a4d2-4d8b-9148-e3be6c30e623}">
          <xlrd:rvb i="6362"/>
        </ext>
      </extLst>
    </bk>
    <bk>
      <extLst>
        <ext uri="{3e2802c4-a4d2-4d8b-9148-e3be6c30e623}">
          <xlrd:rvb i="6363"/>
        </ext>
      </extLst>
    </bk>
    <bk>
      <extLst>
        <ext uri="{3e2802c4-a4d2-4d8b-9148-e3be6c30e623}">
          <xlrd:rvb i="6364"/>
        </ext>
      </extLst>
    </bk>
    <bk>
      <extLst>
        <ext uri="{3e2802c4-a4d2-4d8b-9148-e3be6c30e623}">
          <xlrd:rvb i="6365"/>
        </ext>
      </extLst>
    </bk>
    <bk>
      <extLst>
        <ext uri="{3e2802c4-a4d2-4d8b-9148-e3be6c30e623}">
          <xlrd:rvb i="6366"/>
        </ext>
      </extLst>
    </bk>
    <bk>
      <extLst>
        <ext uri="{3e2802c4-a4d2-4d8b-9148-e3be6c30e623}">
          <xlrd:rvb i="6367"/>
        </ext>
      </extLst>
    </bk>
    <bk>
      <extLst>
        <ext uri="{3e2802c4-a4d2-4d8b-9148-e3be6c30e623}">
          <xlrd:rvb i="6368"/>
        </ext>
      </extLst>
    </bk>
    <bk>
      <extLst>
        <ext uri="{3e2802c4-a4d2-4d8b-9148-e3be6c30e623}">
          <xlrd:rvb i="6369"/>
        </ext>
      </extLst>
    </bk>
    <bk>
      <extLst>
        <ext uri="{3e2802c4-a4d2-4d8b-9148-e3be6c30e623}">
          <xlrd:rvb i="6370"/>
        </ext>
      </extLst>
    </bk>
    <bk>
      <extLst>
        <ext uri="{3e2802c4-a4d2-4d8b-9148-e3be6c30e623}">
          <xlrd:rvb i="6371"/>
        </ext>
      </extLst>
    </bk>
    <bk>
      <extLst>
        <ext uri="{3e2802c4-a4d2-4d8b-9148-e3be6c30e623}">
          <xlrd:rvb i="6372"/>
        </ext>
      </extLst>
    </bk>
    <bk>
      <extLst>
        <ext uri="{3e2802c4-a4d2-4d8b-9148-e3be6c30e623}">
          <xlrd:rvb i="6373"/>
        </ext>
      </extLst>
    </bk>
    <bk>
      <extLst>
        <ext uri="{3e2802c4-a4d2-4d8b-9148-e3be6c30e623}">
          <xlrd:rvb i="6374"/>
        </ext>
      </extLst>
    </bk>
    <bk>
      <extLst>
        <ext uri="{3e2802c4-a4d2-4d8b-9148-e3be6c30e623}">
          <xlrd:rvb i="6375"/>
        </ext>
      </extLst>
    </bk>
    <bk>
      <extLst>
        <ext uri="{3e2802c4-a4d2-4d8b-9148-e3be6c30e623}">
          <xlrd:rvb i="6376"/>
        </ext>
      </extLst>
    </bk>
    <bk>
      <extLst>
        <ext uri="{3e2802c4-a4d2-4d8b-9148-e3be6c30e623}">
          <xlrd:rvb i="6377"/>
        </ext>
      </extLst>
    </bk>
    <bk>
      <extLst>
        <ext uri="{3e2802c4-a4d2-4d8b-9148-e3be6c30e623}">
          <xlrd:rvb i="6378"/>
        </ext>
      </extLst>
    </bk>
    <bk>
      <extLst>
        <ext uri="{3e2802c4-a4d2-4d8b-9148-e3be6c30e623}">
          <xlrd:rvb i="6379"/>
        </ext>
      </extLst>
    </bk>
    <bk>
      <extLst>
        <ext uri="{3e2802c4-a4d2-4d8b-9148-e3be6c30e623}">
          <xlrd:rvb i="6380"/>
        </ext>
      </extLst>
    </bk>
    <bk>
      <extLst>
        <ext uri="{3e2802c4-a4d2-4d8b-9148-e3be6c30e623}">
          <xlrd:rvb i="6381"/>
        </ext>
      </extLst>
    </bk>
    <bk>
      <extLst>
        <ext uri="{3e2802c4-a4d2-4d8b-9148-e3be6c30e623}">
          <xlrd:rvb i="6382"/>
        </ext>
      </extLst>
    </bk>
    <bk>
      <extLst>
        <ext uri="{3e2802c4-a4d2-4d8b-9148-e3be6c30e623}">
          <xlrd:rvb i="6383"/>
        </ext>
      </extLst>
    </bk>
    <bk>
      <extLst>
        <ext uri="{3e2802c4-a4d2-4d8b-9148-e3be6c30e623}">
          <xlrd:rvb i="6384"/>
        </ext>
      </extLst>
    </bk>
    <bk>
      <extLst>
        <ext uri="{3e2802c4-a4d2-4d8b-9148-e3be6c30e623}">
          <xlrd:rvb i="6385"/>
        </ext>
      </extLst>
    </bk>
    <bk>
      <extLst>
        <ext uri="{3e2802c4-a4d2-4d8b-9148-e3be6c30e623}">
          <xlrd:rvb i="6386"/>
        </ext>
      </extLst>
    </bk>
    <bk>
      <extLst>
        <ext uri="{3e2802c4-a4d2-4d8b-9148-e3be6c30e623}">
          <xlrd:rvb i="6387"/>
        </ext>
      </extLst>
    </bk>
    <bk>
      <extLst>
        <ext uri="{3e2802c4-a4d2-4d8b-9148-e3be6c30e623}">
          <xlrd:rvb i="6388"/>
        </ext>
      </extLst>
    </bk>
    <bk>
      <extLst>
        <ext uri="{3e2802c4-a4d2-4d8b-9148-e3be6c30e623}">
          <xlrd:rvb i="6389"/>
        </ext>
      </extLst>
    </bk>
    <bk>
      <extLst>
        <ext uri="{3e2802c4-a4d2-4d8b-9148-e3be6c30e623}">
          <xlrd:rvb i="6390"/>
        </ext>
      </extLst>
    </bk>
    <bk>
      <extLst>
        <ext uri="{3e2802c4-a4d2-4d8b-9148-e3be6c30e623}">
          <xlrd:rvb i="6391"/>
        </ext>
      </extLst>
    </bk>
    <bk>
      <extLst>
        <ext uri="{3e2802c4-a4d2-4d8b-9148-e3be6c30e623}">
          <xlrd:rvb i="6392"/>
        </ext>
      </extLst>
    </bk>
    <bk>
      <extLst>
        <ext uri="{3e2802c4-a4d2-4d8b-9148-e3be6c30e623}">
          <xlrd:rvb i="6393"/>
        </ext>
      </extLst>
    </bk>
    <bk>
      <extLst>
        <ext uri="{3e2802c4-a4d2-4d8b-9148-e3be6c30e623}">
          <xlrd:rvb i="6394"/>
        </ext>
      </extLst>
    </bk>
    <bk>
      <extLst>
        <ext uri="{3e2802c4-a4d2-4d8b-9148-e3be6c30e623}">
          <xlrd:rvb i="6395"/>
        </ext>
      </extLst>
    </bk>
    <bk>
      <extLst>
        <ext uri="{3e2802c4-a4d2-4d8b-9148-e3be6c30e623}">
          <xlrd:rvb i="6396"/>
        </ext>
      </extLst>
    </bk>
    <bk>
      <extLst>
        <ext uri="{3e2802c4-a4d2-4d8b-9148-e3be6c30e623}">
          <xlrd:rvb i="6397"/>
        </ext>
      </extLst>
    </bk>
    <bk>
      <extLst>
        <ext uri="{3e2802c4-a4d2-4d8b-9148-e3be6c30e623}">
          <xlrd:rvb i="6398"/>
        </ext>
      </extLst>
    </bk>
    <bk>
      <extLst>
        <ext uri="{3e2802c4-a4d2-4d8b-9148-e3be6c30e623}">
          <xlrd:rvb i="6399"/>
        </ext>
      </extLst>
    </bk>
    <bk>
      <extLst>
        <ext uri="{3e2802c4-a4d2-4d8b-9148-e3be6c30e623}">
          <xlrd:rvb i="6400"/>
        </ext>
      </extLst>
    </bk>
    <bk>
      <extLst>
        <ext uri="{3e2802c4-a4d2-4d8b-9148-e3be6c30e623}">
          <xlrd:rvb i="6401"/>
        </ext>
      </extLst>
    </bk>
    <bk>
      <extLst>
        <ext uri="{3e2802c4-a4d2-4d8b-9148-e3be6c30e623}">
          <xlrd:rvb i="6402"/>
        </ext>
      </extLst>
    </bk>
    <bk>
      <extLst>
        <ext uri="{3e2802c4-a4d2-4d8b-9148-e3be6c30e623}">
          <xlrd:rvb i="6403"/>
        </ext>
      </extLst>
    </bk>
    <bk>
      <extLst>
        <ext uri="{3e2802c4-a4d2-4d8b-9148-e3be6c30e623}">
          <xlrd:rvb i="6404"/>
        </ext>
      </extLst>
    </bk>
    <bk>
      <extLst>
        <ext uri="{3e2802c4-a4d2-4d8b-9148-e3be6c30e623}">
          <xlrd:rvb i="6405"/>
        </ext>
      </extLst>
    </bk>
    <bk>
      <extLst>
        <ext uri="{3e2802c4-a4d2-4d8b-9148-e3be6c30e623}">
          <xlrd:rvb i="6406"/>
        </ext>
      </extLst>
    </bk>
    <bk>
      <extLst>
        <ext uri="{3e2802c4-a4d2-4d8b-9148-e3be6c30e623}">
          <xlrd:rvb i="6407"/>
        </ext>
      </extLst>
    </bk>
    <bk>
      <extLst>
        <ext uri="{3e2802c4-a4d2-4d8b-9148-e3be6c30e623}">
          <xlrd:rvb i="6408"/>
        </ext>
      </extLst>
    </bk>
    <bk>
      <extLst>
        <ext uri="{3e2802c4-a4d2-4d8b-9148-e3be6c30e623}">
          <xlrd:rvb i="6409"/>
        </ext>
      </extLst>
    </bk>
    <bk>
      <extLst>
        <ext uri="{3e2802c4-a4d2-4d8b-9148-e3be6c30e623}">
          <xlrd:rvb i="6410"/>
        </ext>
      </extLst>
    </bk>
    <bk>
      <extLst>
        <ext uri="{3e2802c4-a4d2-4d8b-9148-e3be6c30e623}">
          <xlrd:rvb i="6411"/>
        </ext>
      </extLst>
    </bk>
    <bk>
      <extLst>
        <ext uri="{3e2802c4-a4d2-4d8b-9148-e3be6c30e623}">
          <xlrd:rvb i="6412"/>
        </ext>
      </extLst>
    </bk>
    <bk>
      <extLst>
        <ext uri="{3e2802c4-a4d2-4d8b-9148-e3be6c30e623}">
          <xlrd:rvb i="6413"/>
        </ext>
      </extLst>
    </bk>
    <bk>
      <extLst>
        <ext uri="{3e2802c4-a4d2-4d8b-9148-e3be6c30e623}">
          <xlrd:rvb i="6414"/>
        </ext>
      </extLst>
    </bk>
    <bk>
      <extLst>
        <ext uri="{3e2802c4-a4d2-4d8b-9148-e3be6c30e623}">
          <xlrd:rvb i="6415"/>
        </ext>
      </extLst>
    </bk>
    <bk>
      <extLst>
        <ext uri="{3e2802c4-a4d2-4d8b-9148-e3be6c30e623}">
          <xlrd:rvb i="6416"/>
        </ext>
      </extLst>
    </bk>
    <bk>
      <extLst>
        <ext uri="{3e2802c4-a4d2-4d8b-9148-e3be6c30e623}">
          <xlrd:rvb i="6417"/>
        </ext>
      </extLst>
    </bk>
    <bk>
      <extLst>
        <ext uri="{3e2802c4-a4d2-4d8b-9148-e3be6c30e623}">
          <xlrd:rvb i="6418"/>
        </ext>
      </extLst>
    </bk>
    <bk>
      <extLst>
        <ext uri="{3e2802c4-a4d2-4d8b-9148-e3be6c30e623}">
          <xlrd:rvb i="6419"/>
        </ext>
      </extLst>
    </bk>
    <bk>
      <extLst>
        <ext uri="{3e2802c4-a4d2-4d8b-9148-e3be6c30e623}">
          <xlrd:rvb i="6420"/>
        </ext>
      </extLst>
    </bk>
    <bk>
      <extLst>
        <ext uri="{3e2802c4-a4d2-4d8b-9148-e3be6c30e623}">
          <xlrd:rvb i="6421"/>
        </ext>
      </extLst>
    </bk>
    <bk>
      <extLst>
        <ext uri="{3e2802c4-a4d2-4d8b-9148-e3be6c30e623}">
          <xlrd:rvb i="6422"/>
        </ext>
      </extLst>
    </bk>
    <bk>
      <extLst>
        <ext uri="{3e2802c4-a4d2-4d8b-9148-e3be6c30e623}">
          <xlrd:rvb i="6423"/>
        </ext>
      </extLst>
    </bk>
    <bk>
      <extLst>
        <ext uri="{3e2802c4-a4d2-4d8b-9148-e3be6c30e623}">
          <xlrd:rvb i="6424"/>
        </ext>
      </extLst>
    </bk>
    <bk>
      <extLst>
        <ext uri="{3e2802c4-a4d2-4d8b-9148-e3be6c30e623}">
          <xlrd:rvb i="6425"/>
        </ext>
      </extLst>
    </bk>
    <bk>
      <extLst>
        <ext uri="{3e2802c4-a4d2-4d8b-9148-e3be6c30e623}">
          <xlrd:rvb i="6426"/>
        </ext>
      </extLst>
    </bk>
    <bk>
      <extLst>
        <ext uri="{3e2802c4-a4d2-4d8b-9148-e3be6c30e623}">
          <xlrd:rvb i="6427"/>
        </ext>
      </extLst>
    </bk>
    <bk>
      <extLst>
        <ext uri="{3e2802c4-a4d2-4d8b-9148-e3be6c30e623}">
          <xlrd:rvb i="6428"/>
        </ext>
      </extLst>
    </bk>
    <bk>
      <extLst>
        <ext uri="{3e2802c4-a4d2-4d8b-9148-e3be6c30e623}">
          <xlrd:rvb i="6429"/>
        </ext>
      </extLst>
    </bk>
    <bk>
      <extLst>
        <ext uri="{3e2802c4-a4d2-4d8b-9148-e3be6c30e623}">
          <xlrd:rvb i="6430"/>
        </ext>
      </extLst>
    </bk>
    <bk>
      <extLst>
        <ext uri="{3e2802c4-a4d2-4d8b-9148-e3be6c30e623}">
          <xlrd:rvb i="6431"/>
        </ext>
      </extLst>
    </bk>
    <bk>
      <extLst>
        <ext uri="{3e2802c4-a4d2-4d8b-9148-e3be6c30e623}">
          <xlrd:rvb i="6432"/>
        </ext>
      </extLst>
    </bk>
    <bk>
      <extLst>
        <ext uri="{3e2802c4-a4d2-4d8b-9148-e3be6c30e623}">
          <xlrd:rvb i="6433"/>
        </ext>
      </extLst>
    </bk>
    <bk>
      <extLst>
        <ext uri="{3e2802c4-a4d2-4d8b-9148-e3be6c30e623}">
          <xlrd:rvb i="6434"/>
        </ext>
      </extLst>
    </bk>
    <bk>
      <extLst>
        <ext uri="{3e2802c4-a4d2-4d8b-9148-e3be6c30e623}">
          <xlrd:rvb i="6435"/>
        </ext>
      </extLst>
    </bk>
    <bk>
      <extLst>
        <ext uri="{3e2802c4-a4d2-4d8b-9148-e3be6c30e623}">
          <xlrd:rvb i="6436"/>
        </ext>
      </extLst>
    </bk>
    <bk>
      <extLst>
        <ext uri="{3e2802c4-a4d2-4d8b-9148-e3be6c30e623}">
          <xlrd:rvb i="6437"/>
        </ext>
      </extLst>
    </bk>
    <bk>
      <extLst>
        <ext uri="{3e2802c4-a4d2-4d8b-9148-e3be6c30e623}">
          <xlrd:rvb i="6438"/>
        </ext>
      </extLst>
    </bk>
    <bk>
      <extLst>
        <ext uri="{3e2802c4-a4d2-4d8b-9148-e3be6c30e623}">
          <xlrd:rvb i="6439"/>
        </ext>
      </extLst>
    </bk>
    <bk>
      <extLst>
        <ext uri="{3e2802c4-a4d2-4d8b-9148-e3be6c30e623}">
          <xlrd:rvb i="6440"/>
        </ext>
      </extLst>
    </bk>
    <bk>
      <extLst>
        <ext uri="{3e2802c4-a4d2-4d8b-9148-e3be6c30e623}">
          <xlrd:rvb i="6441"/>
        </ext>
      </extLst>
    </bk>
    <bk>
      <extLst>
        <ext uri="{3e2802c4-a4d2-4d8b-9148-e3be6c30e623}">
          <xlrd:rvb i="6442"/>
        </ext>
      </extLst>
    </bk>
    <bk>
      <extLst>
        <ext uri="{3e2802c4-a4d2-4d8b-9148-e3be6c30e623}">
          <xlrd:rvb i="6443"/>
        </ext>
      </extLst>
    </bk>
    <bk>
      <extLst>
        <ext uri="{3e2802c4-a4d2-4d8b-9148-e3be6c30e623}">
          <xlrd:rvb i="6444"/>
        </ext>
      </extLst>
    </bk>
    <bk>
      <extLst>
        <ext uri="{3e2802c4-a4d2-4d8b-9148-e3be6c30e623}">
          <xlrd:rvb i="6445"/>
        </ext>
      </extLst>
    </bk>
    <bk>
      <extLst>
        <ext uri="{3e2802c4-a4d2-4d8b-9148-e3be6c30e623}">
          <xlrd:rvb i="6446"/>
        </ext>
      </extLst>
    </bk>
    <bk>
      <extLst>
        <ext uri="{3e2802c4-a4d2-4d8b-9148-e3be6c30e623}">
          <xlrd:rvb i="6447"/>
        </ext>
      </extLst>
    </bk>
    <bk>
      <extLst>
        <ext uri="{3e2802c4-a4d2-4d8b-9148-e3be6c30e623}">
          <xlrd:rvb i="6448"/>
        </ext>
      </extLst>
    </bk>
    <bk>
      <extLst>
        <ext uri="{3e2802c4-a4d2-4d8b-9148-e3be6c30e623}">
          <xlrd:rvb i="6449"/>
        </ext>
      </extLst>
    </bk>
    <bk>
      <extLst>
        <ext uri="{3e2802c4-a4d2-4d8b-9148-e3be6c30e623}">
          <xlrd:rvb i="6450"/>
        </ext>
      </extLst>
    </bk>
    <bk>
      <extLst>
        <ext uri="{3e2802c4-a4d2-4d8b-9148-e3be6c30e623}">
          <xlrd:rvb i="6451"/>
        </ext>
      </extLst>
    </bk>
    <bk>
      <extLst>
        <ext uri="{3e2802c4-a4d2-4d8b-9148-e3be6c30e623}">
          <xlrd:rvb i="6452"/>
        </ext>
      </extLst>
    </bk>
    <bk>
      <extLst>
        <ext uri="{3e2802c4-a4d2-4d8b-9148-e3be6c30e623}">
          <xlrd:rvb i="6453"/>
        </ext>
      </extLst>
    </bk>
    <bk>
      <extLst>
        <ext uri="{3e2802c4-a4d2-4d8b-9148-e3be6c30e623}">
          <xlrd:rvb i="6454"/>
        </ext>
      </extLst>
    </bk>
    <bk>
      <extLst>
        <ext uri="{3e2802c4-a4d2-4d8b-9148-e3be6c30e623}">
          <xlrd:rvb i="6455"/>
        </ext>
      </extLst>
    </bk>
    <bk>
      <extLst>
        <ext uri="{3e2802c4-a4d2-4d8b-9148-e3be6c30e623}">
          <xlrd:rvb i="6456"/>
        </ext>
      </extLst>
    </bk>
    <bk>
      <extLst>
        <ext uri="{3e2802c4-a4d2-4d8b-9148-e3be6c30e623}">
          <xlrd:rvb i="6457"/>
        </ext>
      </extLst>
    </bk>
    <bk>
      <extLst>
        <ext uri="{3e2802c4-a4d2-4d8b-9148-e3be6c30e623}">
          <xlrd:rvb i="6458"/>
        </ext>
      </extLst>
    </bk>
    <bk>
      <extLst>
        <ext uri="{3e2802c4-a4d2-4d8b-9148-e3be6c30e623}">
          <xlrd:rvb i="6459"/>
        </ext>
      </extLst>
    </bk>
    <bk>
      <extLst>
        <ext uri="{3e2802c4-a4d2-4d8b-9148-e3be6c30e623}">
          <xlrd:rvb i="6460"/>
        </ext>
      </extLst>
    </bk>
    <bk>
      <extLst>
        <ext uri="{3e2802c4-a4d2-4d8b-9148-e3be6c30e623}">
          <xlrd:rvb i="6461"/>
        </ext>
      </extLst>
    </bk>
    <bk>
      <extLst>
        <ext uri="{3e2802c4-a4d2-4d8b-9148-e3be6c30e623}">
          <xlrd:rvb i="6462"/>
        </ext>
      </extLst>
    </bk>
    <bk>
      <extLst>
        <ext uri="{3e2802c4-a4d2-4d8b-9148-e3be6c30e623}">
          <xlrd:rvb i="6463"/>
        </ext>
      </extLst>
    </bk>
    <bk>
      <extLst>
        <ext uri="{3e2802c4-a4d2-4d8b-9148-e3be6c30e623}">
          <xlrd:rvb i="6464"/>
        </ext>
      </extLst>
    </bk>
    <bk>
      <extLst>
        <ext uri="{3e2802c4-a4d2-4d8b-9148-e3be6c30e623}">
          <xlrd:rvb i="6465"/>
        </ext>
      </extLst>
    </bk>
    <bk>
      <extLst>
        <ext uri="{3e2802c4-a4d2-4d8b-9148-e3be6c30e623}">
          <xlrd:rvb i="6466"/>
        </ext>
      </extLst>
    </bk>
    <bk>
      <extLst>
        <ext uri="{3e2802c4-a4d2-4d8b-9148-e3be6c30e623}">
          <xlrd:rvb i="6467"/>
        </ext>
      </extLst>
    </bk>
    <bk>
      <extLst>
        <ext uri="{3e2802c4-a4d2-4d8b-9148-e3be6c30e623}">
          <xlrd:rvb i="6468"/>
        </ext>
      </extLst>
    </bk>
    <bk>
      <extLst>
        <ext uri="{3e2802c4-a4d2-4d8b-9148-e3be6c30e623}">
          <xlrd:rvb i="6469"/>
        </ext>
      </extLst>
    </bk>
    <bk>
      <extLst>
        <ext uri="{3e2802c4-a4d2-4d8b-9148-e3be6c30e623}">
          <xlrd:rvb i="6470"/>
        </ext>
      </extLst>
    </bk>
    <bk>
      <extLst>
        <ext uri="{3e2802c4-a4d2-4d8b-9148-e3be6c30e623}">
          <xlrd:rvb i="6471"/>
        </ext>
      </extLst>
    </bk>
    <bk>
      <extLst>
        <ext uri="{3e2802c4-a4d2-4d8b-9148-e3be6c30e623}">
          <xlrd:rvb i="6472"/>
        </ext>
      </extLst>
    </bk>
    <bk>
      <extLst>
        <ext uri="{3e2802c4-a4d2-4d8b-9148-e3be6c30e623}">
          <xlrd:rvb i="6473"/>
        </ext>
      </extLst>
    </bk>
    <bk>
      <extLst>
        <ext uri="{3e2802c4-a4d2-4d8b-9148-e3be6c30e623}">
          <xlrd:rvb i="6474"/>
        </ext>
      </extLst>
    </bk>
    <bk>
      <extLst>
        <ext uri="{3e2802c4-a4d2-4d8b-9148-e3be6c30e623}">
          <xlrd:rvb i="6475"/>
        </ext>
      </extLst>
    </bk>
    <bk>
      <extLst>
        <ext uri="{3e2802c4-a4d2-4d8b-9148-e3be6c30e623}">
          <xlrd:rvb i="6476"/>
        </ext>
      </extLst>
    </bk>
    <bk>
      <extLst>
        <ext uri="{3e2802c4-a4d2-4d8b-9148-e3be6c30e623}">
          <xlrd:rvb i="6477"/>
        </ext>
      </extLst>
    </bk>
    <bk>
      <extLst>
        <ext uri="{3e2802c4-a4d2-4d8b-9148-e3be6c30e623}">
          <xlrd:rvb i="6478"/>
        </ext>
      </extLst>
    </bk>
    <bk>
      <extLst>
        <ext uri="{3e2802c4-a4d2-4d8b-9148-e3be6c30e623}">
          <xlrd:rvb i="6479"/>
        </ext>
      </extLst>
    </bk>
    <bk>
      <extLst>
        <ext uri="{3e2802c4-a4d2-4d8b-9148-e3be6c30e623}">
          <xlrd:rvb i="6480"/>
        </ext>
      </extLst>
    </bk>
    <bk>
      <extLst>
        <ext uri="{3e2802c4-a4d2-4d8b-9148-e3be6c30e623}">
          <xlrd:rvb i="6481"/>
        </ext>
      </extLst>
    </bk>
    <bk>
      <extLst>
        <ext uri="{3e2802c4-a4d2-4d8b-9148-e3be6c30e623}">
          <xlrd:rvb i="6482"/>
        </ext>
      </extLst>
    </bk>
    <bk>
      <extLst>
        <ext uri="{3e2802c4-a4d2-4d8b-9148-e3be6c30e623}">
          <xlrd:rvb i="6483"/>
        </ext>
      </extLst>
    </bk>
    <bk>
      <extLst>
        <ext uri="{3e2802c4-a4d2-4d8b-9148-e3be6c30e623}">
          <xlrd:rvb i="6484"/>
        </ext>
      </extLst>
    </bk>
    <bk>
      <extLst>
        <ext uri="{3e2802c4-a4d2-4d8b-9148-e3be6c30e623}">
          <xlrd:rvb i="6485"/>
        </ext>
      </extLst>
    </bk>
    <bk>
      <extLst>
        <ext uri="{3e2802c4-a4d2-4d8b-9148-e3be6c30e623}">
          <xlrd:rvb i="6486"/>
        </ext>
      </extLst>
    </bk>
    <bk>
      <extLst>
        <ext uri="{3e2802c4-a4d2-4d8b-9148-e3be6c30e623}">
          <xlrd:rvb i="6487"/>
        </ext>
      </extLst>
    </bk>
    <bk>
      <extLst>
        <ext uri="{3e2802c4-a4d2-4d8b-9148-e3be6c30e623}">
          <xlrd:rvb i="6488"/>
        </ext>
      </extLst>
    </bk>
    <bk>
      <extLst>
        <ext uri="{3e2802c4-a4d2-4d8b-9148-e3be6c30e623}">
          <xlrd:rvb i="6489"/>
        </ext>
      </extLst>
    </bk>
    <bk>
      <extLst>
        <ext uri="{3e2802c4-a4d2-4d8b-9148-e3be6c30e623}">
          <xlrd:rvb i="6490"/>
        </ext>
      </extLst>
    </bk>
    <bk>
      <extLst>
        <ext uri="{3e2802c4-a4d2-4d8b-9148-e3be6c30e623}">
          <xlrd:rvb i="6491"/>
        </ext>
      </extLst>
    </bk>
    <bk>
      <extLst>
        <ext uri="{3e2802c4-a4d2-4d8b-9148-e3be6c30e623}">
          <xlrd:rvb i="6492"/>
        </ext>
      </extLst>
    </bk>
    <bk>
      <extLst>
        <ext uri="{3e2802c4-a4d2-4d8b-9148-e3be6c30e623}">
          <xlrd:rvb i="6493"/>
        </ext>
      </extLst>
    </bk>
    <bk>
      <extLst>
        <ext uri="{3e2802c4-a4d2-4d8b-9148-e3be6c30e623}">
          <xlrd:rvb i="6494"/>
        </ext>
      </extLst>
    </bk>
    <bk>
      <extLst>
        <ext uri="{3e2802c4-a4d2-4d8b-9148-e3be6c30e623}">
          <xlrd:rvb i="6495"/>
        </ext>
      </extLst>
    </bk>
    <bk>
      <extLst>
        <ext uri="{3e2802c4-a4d2-4d8b-9148-e3be6c30e623}">
          <xlrd:rvb i="6496"/>
        </ext>
      </extLst>
    </bk>
    <bk>
      <extLst>
        <ext uri="{3e2802c4-a4d2-4d8b-9148-e3be6c30e623}">
          <xlrd:rvb i="6497"/>
        </ext>
      </extLst>
    </bk>
    <bk>
      <extLst>
        <ext uri="{3e2802c4-a4d2-4d8b-9148-e3be6c30e623}">
          <xlrd:rvb i="6498"/>
        </ext>
      </extLst>
    </bk>
    <bk>
      <extLst>
        <ext uri="{3e2802c4-a4d2-4d8b-9148-e3be6c30e623}">
          <xlrd:rvb i="6499"/>
        </ext>
      </extLst>
    </bk>
    <bk>
      <extLst>
        <ext uri="{3e2802c4-a4d2-4d8b-9148-e3be6c30e623}">
          <xlrd:rvb i="6500"/>
        </ext>
      </extLst>
    </bk>
    <bk>
      <extLst>
        <ext uri="{3e2802c4-a4d2-4d8b-9148-e3be6c30e623}">
          <xlrd:rvb i="6501"/>
        </ext>
      </extLst>
    </bk>
    <bk>
      <extLst>
        <ext uri="{3e2802c4-a4d2-4d8b-9148-e3be6c30e623}">
          <xlrd:rvb i="6502"/>
        </ext>
      </extLst>
    </bk>
    <bk>
      <extLst>
        <ext uri="{3e2802c4-a4d2-4d8b-9148-e3be6c30e623}">
          <xlrd:rvb i="6503"/>
        </ext>
      </extLst>
    </bk>
    <bk>
      <extLst>
        <ext uri="{3e2802c4-a4d2-4d8b-9148-e3be6c30e623}">
          <xlrd:rvb i="6504"/>
        </ext>
      </extLst>
    </bk>
    <bk>
      <extLst>
        <ext uri="{3e2802c4-a4d2-4d8b-9148-e3be6c30e623}">
          <xlrd:rvb i="6505"/>
        </ext>
      </extLst>
    </bk>
    <bk>
      <extLst>
        <ext uri="{3e2802c4-a4d2-4d8b-9148-e3be6c30e623}">
          <xlrd:rvb i="6506"/>
        </ext>
      </extLst>
    </bk>
    <bk>
      <extLst>
        <ext uri="{3e2802c4-a4d2-4d8b-9148-e3be6c30e623}">
          <xlrd:rvb i="6507"/>
        </ext>
      </extLst>
    </bk>
    <bk>
      <extLst>
        <ext uri="{3e2802c4-a4d2-4d8b-9148-e3be6c30e623}">
          <xlrd:rvb i="6508"/>
        </ext>
      </extLst>
    </bk>
    <bk>
      <extLst>
        <ext uri="{3e2802c4-a4d2-4d8b-9148-e3be6c30e623}">
          <xlrd:rvb i="6509"/>
        </ext>
      </extLst>
    </bk>
    <bk>
      <extLst>
        <ext uri="{3e2802c4-a4d2-4d8b-9148-e3be6c30e623}">
          <xlrd:rvb i="6510"/>
        </ext>
      </extLst>
    </bk>
    <bk>
      <extLst>
        <ext uri="{3e2802c4-a4d2-4d8b-9148-e3be6c30e623}">
          <xlrd:rvb i="6511"/>
        </ext>
      </extLst>
    </bk>
    <bk>
      <extLst>
        <ext uri="{3e2802c4-a4d2-4d8b-9148-e3be6c30e623}">
          <xlrd:rvb i="6512"/>
        </ext>
      </extLst>
    </bk>
    <bk>
      <extLst>
        <ext uri="{3e2802c4-a4d2-4d8b-9148-e3be6c30e623}">
          <xlrd:rvb i="6513"/>
        </ext>
      </extLst>
    </bk>
    <bk>
      <extLst>
        <ext uri="{3e2802c4-a4d2-4d8b-9148-e3be6c30e623}">
          <xlrd:rvb i="6514"/>
        </ext>
      </extLst>
    </bk>
    <bk>
      <extLst>
        <ext uri="{3e2802c4-a4d2-4d8b-9148-e3be6c30e623}">
          <xlrd:rvb i="6515"/>
        </ext>
      </extLst>
    </bk>
    <bk>
      <extLst>
        <ext uri="{3e2802c4-a4d2-4d8b-9148-e3be6c30e623}">
          <xlrd:rvb i="6516"/>
        </ext>
      </extLst>
    </bk>
    <bk>
      <extLst>
        <ext uri="{3e2802c4-a4d2-4d8b-9148-e3be6c30e623}">
          <xlrd:rvb i="6517"/>
        </ext>
      </extLst>
    </bk>
    <bk>
      <extLst>
        <ext uri="{3e2802c4-a4d2-4d8b-9148-e3be6c30e623}">
          <xlrd:rvb i="6518"/>
        </ext>
      </extLst>
    </bk>
    <bk>
      <extLst>
        <ext uri="{3e2802c4-a4d2-4d8b-9148-e3be6c30e623}">
          <xlrd:rvb i="6519"/>
        </ext>
      </extLst>
    </bk>
    <bk>
      <extLst>
        <ext uri="{3e2802c4-a4d2-4d8b-9148-e3be6c30e623}">
          <xlrd:rvb i="6520"/>
        </ext>
      </extLst>
    </bk>
    <bk>
      <extLst>
        <ext uri="{3e2802c4-a4d2-4d8b-9148-e3be6c30e623}">
          <xlrd:rvb i="6521"/>
        </ext>
      </extLst>
    </bk>
    <bk>
      <extLst>
        <ext uri="{3e2802c4-a4d2-4d8b-9148-e3be6c30e623}">
          <xlrd:rvb i="6522"/>
        </ext>
      </extLst>
    </bk>
    <bk>
      <extLst>
        <ext uri="{3e2802c4-a4d2-4d8b-9148-e3be6c30e623}">
          <xlrd:rvb i="6523"/>
        </ext>
      </extLst>
    </bk>
    <bk>
      <extLst>
        <ext uri="{3e2802c4-a4d2-4d8b-9148-e3be6c30e623}">
          <xlrd:rvb i="6524"/>
        </ext>
      </extLst>
    </bk>
    <bk>
      <extLst>
        <ext uri="{3e2802c4-a4d2-4d8b-9148-e3be6c30e623}">
          <xlrd:rvb i="6525"/>
        </ext>
      </extLst>
    </bk>
    <bk>
      <extLst>
        <ext uri="{3e2802c4-a4d2-4d8b-9148-e3be6c30e623}">
          <xlrd:rvb i="6526"/>
        </ext>
      </extLst>
    </bk>
    <bk>
      <extLst>
        <ext uri="{3e2802c4-a4d2-4d8b-9148-e3be6c30e623}">
          <xlrd:rvb i="6527"/>
        </ext>
      </extLst>
    </bk>
    <bk>
      <extLst>
        <ext uri="{3e2802c4-a4d2-4d8b-9148-e3be6c30e623}">
          <xlrd:rvb i="6528"/>
        </ext>
      </extLst>
    </bk>
    <bk>
      <extLst>
        <ext uri="{3e2802c4-a4d2-4d8b-9148-e3be6c30e623}">
          <xlrd:rvb i="6529"/>
        </ext>
      </extLst>
    </bk>
    <bk>
      <extLst>
        <ext uri="{3e2802c4-a4d2-4d8b-9148-e3be6c30e623}">
          <xlrd:rvb i="6530"/>
        </ext>
      </extLst>
    </bk>
    <bk>
      <extLst>
        <ext uri="{3e2802c4-a4d2-4d8b-9148-e3be6c30e623}">
          <xlrd:rvb i="6531"/>
        </ext>
      </extLst>
    </bk>
    <bk>
      <extLst>
        <ext uri="{3e2802c4-a4d2-4d8b-9148-e3be6c30e623}">
          <xlrd:rvb i="6532"/>
        </ext>
      </extLst>
    </bk>
    <bk>
      <extLst>
        <ext uri="{3e2802c4-a4d2-4d8b-9148-e3be6c30e623}">
          <xlrd:rvb i="6533"/>
        </ext>
      </extLst>
    </bk>
    <bk>
      <extLst>
        <ext uri="{3e2802c4-a4d2-4d8b-9148-e3be6c30e623}">
          <xlrd:rvb i="6534"/>
        </ext>
      </extLst>
    </bk>
    <bk>
      <extLst>
        <ext uri="{3e2802c4-a4d2-4d8b-9148-e3be6c30e623}">
          <xlrd:rvb i="6535"/>
        </ext>
      </extLst>
    </bk>
    <bk>
      <extLst>
        <ext uri="{3e2802c4-a4d2-4d8b-9148-e3be6c30e623}">
          <xlrd:rvb i="6536"/>
        </ext>
      </extLst>
    </bk>
    <bk>
      <extLst>
        <ext uri="{3e2802c4-a4d2-4d8b-9148-e3be6c30e623}">
          <xlrd:rvb i="6537"/>
        </ext>
      </extLst>
    </bk>
    <bk>
      <extLst>
        <ext uri="{3e2802c4-a4d2-4d8b-9148-e3be6c30e623}">
          <xlrd:rvb i="6538"/>
        </ext>
      </extLst>
    </bk>
    <bk>
      <extLst>
        <ext uri="{3e2802c4-a4d2-4d8b-9148-e3be6c30e623}">
          <xlrd:rvb i="6539"/>
        </ext>
      </extLst>
    </bk>
    <bk>
      <extLst>
        <ext uri="{3e2802c4-a4d2-4d8b-9148-e3be6c30e623}">
          <xlrd:rvb i="6540"/>
        </ext>
      </extLst>
    </bk>
    <bk>
      <extLst>
        <ext uri="{3e2802c4-a4d2-4d8b-9148-e3be6c30e623}">
          <xlrd:rvb i="6541"/>
        </ext>
      </extLst>
    </bk>
    <bk>
      <extLst>
        <ext uri="{3e2802c4-a4d2-4d8b-9148-e3be6c30e623}">
          <xlrd:rvb i="6542"/>
        </ext>
      </extLst>
    </bk>
    <bk>
      <extLst>
        <ext uri="{3e2802c4-a4d2-4d8b-9148-e3be6c30e623}">
          <xlrd:rvb i="6543"/>
        </ext>
      </extLst>
    </bk>
    <bk>
      <extLst>
        <ext uri="{3e2802c4-a4d2-4d8b-9148-e3be6c30e623}">
          <xlrd:rvb i="6544"/>
        </ext>
      </extLst>
    </bk>
    <bk>
      <extLst>
        <ext uri="{3e2802c4-a4d2-4d8b-9148-e3be6c30e623}">
          <xlrd:rvb i="6545"/>
        </ext>
      </extLst>
    </bk>
    <bk>
      <extLst>
        <ext uri="{3e2802c4-a4d2-4d8b-9148-e3be6c30e623}">
          <xlrd:rvb i="6546"/>
        </ext>
      </extLst>
    </bk>
    <bk>
      <extLst>
        <ext uri="{3e2802c4-a4d2-4d8b-9148-e3be6c30e623}">
          <xlrd:rvb i="6547"/>
        </ext>
      </extLst>
    </bk>
    <bk>
      <extLst>
        <ext uri="{3e2802c4-a4d2-4d8b-9148-e3be6c30e623}">
          <xlrd:rvb i="6548"/>
        </ext>
      </extLst>
    </bk>
    <bk>
      <extLst>
        <ext uri="{3e2802c4-a4d2-4d8b-9148-e3be6c30e623}">
          <xlrd:rvb i="6549"/>
        </ext>
      </extLst>
    </bk>
    <bk>
      <extLst>
        <ext uri="{3e2802c4-a4d2-4d8b-9148-e3be6c30e623}">
          <xlrd:rvb i="6550"/>
        </ext>
      </extLst>
    </bk>
    <bk>
      <extLst>
        <ext uri="{3e2802c4-a4d2-4d8b-9148-e3be6c30e623}">
          <xlrd:rvb i="6551"/>
        </ext>
      </extLst>
    </bk>
    <bk>
      <extLst>
        <ext uri="{3e2802c4-a4d2-4d8b-9148-e3be6c30e623}">
          <xlrd:rvb i="6552"/>
        </ext>
      </extLst>
    </bk>
    <bk>
      <extLst>
        <ext uri="{3e2802c4-a4d2-4d8b-9148-e3be6c30e623}">
          <xlrd:rvb i="6553"/>
        </ext>
      </extLst>
    </bk>
    <bk>
      <extLst>
        <ext uri="{3e2802c4-a4d2-4d8b-9148-e3be6c30e623}">
          <xlrd:rvb i="6554"/>
        </ext>
      </extLst>
    </bk>
    <bk>
      <extLst>
        <ext uri="{3e2802c4-a4d2-4d8b-9148-e3be6c30e623}">
          <xlrd:rvb i="6555"/>
        </ext>
      </extLst>
    </bk>
    <bk>
      <extLst>
        <ext uri="{3e2802c4-a4d2-4d8b-9148-e3be6c30e623}">
          <xlrd:rvb i="6556"/>
        </ext>
      </extLst>
    </bk>
    <bk>
      <extLst>
        <ext uri="{3e2802c4-a4d2-4d8b-9148-e3be6c30e623}">
          <xlrd:rvb i="6557"/>
        </ext>
      </extLst>
    </bk>
    <bk>
      <extLst>
        <ext uri="{3e2802c4-a4d2-4d8b-9148-e3be6c30e623}">
          <xlrd:rvb i="6558"/>
        </ext>
      </extLst>
    </bk>
    <bk>
      <extLst>
        <ext uri="{3e2802c4-a4d2-4d8b-9148-e3be6c30e623}">
          <xlrd:rvb i="6559"/>
        </ext>
      </extLst>
    </bk>
    <bk>
      <extLst>
        <ext uri="{3e2802c4-a4d2-4d8b-9148-e3be6c30e623}">
          <xlrd:rvb i="6560"/>
        </ext>
      </extLst>
    </bk>
    <bk>
      <extLst>
        <ext uri="{3e2802c4-a4d2-4d8b-9148-e3be6c30e623}">
          <xlrd:rvb i="6561"/>
        </ext>
      </extLst>
    </bk>
    <bk>
      <extLst>
        <ext uri="{3e2802c4-a4d2-4d8b-9148-e3be6c30e623}">
          <xlrd:rvb i="6562"/>
        </ext>
      </extLst>
    </bk>
    <bk>
      <extLst>
        <ext uri="{3e2802c4-a4d2-4d8b-9148-e3be6c30e623}">
          <xlrd:rvb i="6563"/>
        </ext>
      </extLst>
    </bk>
    <bk>
      <extLst>
        <ext uri="{3e2802c4-a4d2-4d8b-9148-e3be6c30e623}">
          <xlrd:rvb i="6564"/>
        </ext>
      </extLst>
    </bk>
    <bk>
      <extLst>
        <ext uri="{3e2802c4-a4d2-4d8b-9148-e3be6c30e623}">
          <xlrd:rvb i="6565"/>
        </ext>
      </extLst>
    </bk>
    <bk>
      <extLst>
        <ext uri="{3e2802c4-a4d2-4d8b-9148-e3be6c30e623}">
          <xlrd:rvb i="6566"/>
        </ext>
      </extLst>
    </bk>
    <bk>
      <extLst>
        <ext uri="{3e2802c4-a4d2-4d8b-9148-e3be6c30e623}">
          <xlrd:rvb i="6567"/>
        </ext>
      </extLst>
    </bk>
    <bk>
      <extLst>
        <ext uri="{3e2802c4-a4d2-4d8b-9148-e3be6c30e623}">
          <xlrd:rvb i="6568"/>
        </ext>
      </extLst>
    </bk>
    <bk>
      <extLst>
        <ext uri="{3e2802c4-a4d2-4d8b-9148-e3be6c30e623}">
          <xlrd:rvb i="6569"/>
        </ext>
      </extLst>
    </bk>
    <bk>
      <extLst>
        <ext uri="{3e2802c4-a4d2-4d8b-9148-e3be6c30e623}">
          <xlrd:rvb i="6570"/>
        </ext>
      </extLst>
    </bk>
    <bk>
      <extLst>
        <ext uri="{3e2802c4-a4d2-4d8b-9148-e3be6c30e623}">
          <xlrd:rvb i="6571"/>
        </ext>
      </extLst>
    </bk>
    <bk>
      <extLst>
        <ext uri="{3e2802c4-a4d2-4d8b-9148-e3be6c30e623}">
          <xlrd:rvb i="6572"/>
        </ext>
      </extLst>
    </bk>
    <bk>
      <extLst>
        <ext uri="{3e2802c4-a4d2-4d8b-9148-e3be6c30e623}">
          <xlrd:rvb i="6573"/>
        </ext>
      </extLst>
    </bk>
    <bk>
      <extLst>
        <ext uri="{3e2802c4-a4d2-4d8b-9148-e3be6c30e623}">
          <xlrd:rvb i="6574"/>
        </ext>
      </extLst>
    </bk>
    <bk>
      <extLst>
        <ext uri="{3e2802c4-a4d2-4d8b-9148-e3be6c30e623}">
          <xlrd:rvb i="6575"/>
        </ext>
      </extLst>
    </bk>
    <bk>
      <extLst>
        <ext uri="{3e2802c4-a4d2-4d8b-9148-e3be6c30e623}">
          <xlrd:rvb i="6576"/>
        </ext>
      </extLst>
    </bk>
    <bk>
      <extLst>
        <ext uri="{3e2802c4-a4d2-4d8b-9148-e3be6c30e623}">
          <xlrd:rvb i="6577"/>
        </ext>
      </extLst>
    </bk>
    <bk>
      <extLst>
        <ext uri="{3e2802c4-a4d2-4d8b-9148-e3be6c30e623}">
          <xlrd:rvb i="6578"/>
        </ext>
      </extLst>
    </bk>
    <bk>
      <extLst>
        <ext uri="{3e2802c4-a4d2-4d8b-9148-e3be6c30e623}">
          <xlrd:rvb i="6579"/>
        </ext>
      </extLst>
    </bk>
    <bk>
      <extLst>
        <ext uri="{3e2802c4-a4d2-4d8b-9148-e3be6c30e623}">
          <xlrd:rvb i="6580"/>
        </ext>
      </extLst>
    </bk>
    <bk>
      <extLst>
        <ext uri="{3e2802c4-a4d2-4d8b-9148-e3be6c30e623}">
          <xlrd:rvb i="6581"/>
        </ext>
      </extLst>
    </bk>
    <bk>
      <extLst>
        <ext uri="{3e2802c4-a4d2-4d8b-9148-e3be6c30e623}">
          <xlrd:rvb i="6582"/>
        </ext>
      </extLst>
    </bk>
    <bk>
      <extLst>
        <ext uri="{3e2802c4-a4d2-4d8b-9148-e3be6c30e623}">
          <xlrd:rvb i="6583"/>
        </ext>
      </extLst>
    </bk>
    <bk>
      <extLst>
        <ext uri="{3e2802c4-a4d2-4d8b-9148-e3be6c30e623}">
          <xlrd:rvb i="6584"/>
        </ext>
      </extLst>
    </bk>
    <bk>
      <extLst>
        <ext uri="{3e2802c4-a4d2-4d8b-9148-e3be6c30e623}">
          <xlrd:rvb i="6585"/>
        </ext>
      </extLst>
    </bk>
    <bk>
      <extLst>
        <ext uri="{3e2802c4-a4d2-4d8b-9148-e3be6c30e623}">
          <xlrd:rvb i="6586"/>
        </ext>
      </extLst>
    </bk>
    <bk>
      <extLst>
        <ext uri="{3e2802c4-a4d2-4d8b-9148-e3be6c30e623}">
          <xlrd:rvb i="6587"/>
        </ext>
      </extLst>
    </bk>
    <bk>
      <extLst>
        <ext uri="{3e2802c4-a4d2-4d8b-9148-e3be6c30e623}">
          <xlrd:rvb i="6588"/>
        </ext>
      </extLst>
    </bk>
    <bk>
      <extLst>
        <ext uri="{3e2802c4-a4d2-4d8b-9148-e3be6c30e623}">
          <xlrd:rvb i="6589"/>
        </ext>
      </extLst>
    </bk>
    <bk>
      <extLst>
        <ext uri="{3e2802c4-a4d2-4d8b-9148-e3be6c30e623}">
          <xlrd:rvb i="6590"/>
        </ext>
      </extLst>
    </bk>
    <bk>
      <extLst>
        <ext uri="{3e2802c4-a4d2-4d8b-9148-e3be6c30e623}">
          <xlrd:rvb i="6591"/>
        </ext>
      </extLst>
    </bk>
    <bk>
      <extLst>
        <ext uri="{3e2802c4-a4d2-4d8b-9148-e3be6c30e623}">
          <xlrd:rvb i="6592"/>
        </ext>
      </extLst>
    </bk>
    <bk>
      <extLst>
        <ext uri="{3e2802c4-a4d2-4d8b-9148-e3be6c30e623}">
          <xlrd:rvb i="6593"/>
        </ext>
      </extLst>
    </bk>
    <bk>
      <extLst>
        <ext uri="{3e2802c4-a4d2-4d8b-9148-e3be6c30e623}">
          <xlrd:rvb i="6594"/>
        </ext>
      </extLst>
    </bk>
    <bk>
      <extLst>
        <ext uri="{3e2802c4-a4d2-4d8b-9148-e3be6c30e623}">
          <xlrd:rvb i="6595"/>
        </ext>
      </extLst>
    </bk>
    <bk>
      <extLst>
        <ext uri="{3e2802c4-a4d2-4d8b-9148-e3be6c30e623}">
          <xlrd:rvb i="6596"/>
        </ext>
      </extLst>
    </bk>
    <bk>
      <extLst>
        <ext uri="{3e2802c4-a4d2-4d8b-9148-e3be6c30e623}">
          <xlrd:rvb i="6597"/>
        </ext>
      </extLst>
    </bk>
    <bk>
      <extLst>
        <ext uri="{3e2802c4-a4d2-4d8b-9148-e3be6c30e623}">
          <xlrd:rvb i="6598"/>
        </ext>
      </extLst>
    </bk>
    <bk>
      <extLst>
        <ext uri="{3e2802c4-a4d2-4d8b-9148-e3be6c30e623}">
          <xlrd:rvb i="6599"/>
        </ext>
      </extLst>
    </bk>
    <bk>
      <extLst>
        <ext uri="{3e2802c4-a4d2-4d8b-9148-e3be6c30e623}">
          <xlrd:rvb i="6600"/>
        </ext>
      </extLst>
    </bk>
    <bk>
      <extLst>
        <ext uri="{3e2802c4-a4d2-4d8b-9148-e3be6c30e623}">
          <xlrd:rvb i="6601"/>
        </ext>
      </extLst>
    </bk>
    <bk>
      <extLst>
        <ext uri="{3e2802c4-a4d2-4d8b-9148-e3be6c30e623}">
          <xlrd:rvb i="6602"/>
        </ext>
      </extLst>
    </bk>
    <bk>
      <extLst>
        <ext uri="{3e2802c4-a4d2-4d8b-9148-e3be6c30e623}">
          <xlrd:rvb i="6603"/>
        </ext>
      </extLst>
    </bk>
    <bk>
      <extLst>
        <ext uri="{3e2802c4-a4d2-4d8b-9148-e3be6c30e623}">
          <xlrd:rvb i="6604"/>
        </ext>
      </extLst>
    </bk>
    <bk>
      <extLst>
        <ext uri="{3e2802c4-a4d2-4d8b-9148-e3be6c30e623}">
          <xlrd:rvb i="6605"/>
        </ext>
      </extLst>
    </bk>
    <bk>
      <extLst>
        <ext uri="{3e2802c4-a4d2-4d8b-9148-e3be6c30e623}">
          <xlrd:rvb i="6606"/>
        </ext>
      </extLst>
    </bk>
    <bk>
      <extLst>
        <ext uri="{3e2802c4-a4d2-4d8b-9148-e3be6c30e623}">
          <xlrd:rvb i="6607"/>
        </ext>
      </extLst>
    </bk>
    <bk>
      <extLst>
        <ext uri="{3e2802c4-a4d2-4d8b-9148-e3be6c30e623}">
          <xlrd:rvb i="6608"/>
        </ext>
      </extLst>
    </bk>
    <bk>
      <extLst>
        <ext uri="{3e2802c4-a4d2-4d8b-9148-e3be6c30e623}">
          <xlrd:rvb i="6609"/>
        </ext>
      </extLst>
    </bk>
    <bk>
      <extLst>
        <ext uri="{3e2802c4-a4d2-4d8b-9148-e3be6c30e623}">
          <xlrd:rvb i="6610"/>
        </ext>
      </extLst>
    </bk>
    <bk>
      <extLst>
        <ext uri="{3e2802c4-a4d2-4d8b-9148-e3be6c30e623}">
          <xlrd:rvb i="6611"/>
        </ext>
      </extLst>
    </bk>
    <bk>
      <extLst>
        <ext uri="{3e2802c4-a4d2-4d8b-9148-e3be6c30e623}">
          <xlrd:rvb i="6612"/>
        </ext>
      </extLst>
    </bk>
    <bk>
      <extLst>
        <ext uri="{3e2802c4-a4d2-4d8b-9148-e3be6c30e623}">
          <xlrd:rvb i="6613"/>
        </ext>
      </extLst>
    </bk>
    <bk>
      <extLst>
        <ext uri="{3e2802c4-a4d2-4d8b-9148-e3be6c30e623}">
          <xlrd:rvb i="6614"/>
        </ext>
      </extLst>
    </bk>
    <bk>
      <extLst>
        <ext uri="{3e2802c4-a4d2-4d8b-9148-e3be6c30e623}">
          <xlrd:rvb i="6615"/>
        </ext>
      </extLst>
    </bk>
  </futureMetadata>
  <futureMetadata name="XLDAPR" count="1">
    <bk>
      <extLst>
        <ext uri="{bdbb8cdc-fa1e-496e-a857-3c3f30c029c3}">
          <xda:dynamicArrayProperties fDynamic="1" fCollapsed="0"/>
        </ext>
      </extLst>
    </bk>
  </futureMetadata>
  <cellMetadata count="1">
    <bk>
      <rc t="2" v="0"/>
    </bk>
  </cellMetadata>
  <valueMetadata count="6556">
    <bk>
      <rc t="1" v="0"/>
    </bk>
    <bk>
      <rc t="1" v="1"/>
    </bk>
    <bk>
      <rc t="1" v="2"/>
    </bk>
    <bk>
      <rc t="1" v="3"/>
    </bk>
    <bk>
      <rc t="1" v="4"/>
    </bk>
    <bk>
      <rc t="1" v="5"/>
    </bk>
    <bk>
      <rc t="1" v="6"/>
    </bk>
    <bk>
      <rc t="1" v="7"/>
    </bk>
    <bk>
      <rc t="1" v="8"/>
    </bk>
    <bk>
      <rc t="1" v="9"/>
    </bk>
    <bk>
      <rc t="1" v="10"/>
    </bk>
    <bk>
      <rc t="1" v="11"/>
    </bk>
    <bk>
      <rc t="1" v="12"/>
    </bk>
    <bk>
      <rc t="1" v="13"/>
    </bk>
    <bk>
      <rc t="1" v="14"/>
    </bk>
    <bk>
      <rc t="1" v="15"/>
    </bk>
    <bk>
      <rc t="1" v="16"/>
    </bk>
    <bk>
      <rc t="1" v="17"/>
    </bk>
    <bk>
      <rc t="1" v="18"/>
    </bk>
    <bk>
      <rc t="1" v="19"/>
    </bk>
    <bk>
      <rc t="1" v="20"/>
    </bk>
    <bk>
      <rc t="1" v="21"/>
    </bk>
    <bk>
      <rc t="1" v="22"/>
    </bk>
    <bk>
      <rc t="1" v="23"/>
    </bk>
    <bk>
      <rc t="1" v="24"/>
    </bk>
    <bk>
      <rc t="1" v="25"/>
    </bk>
    <bk>
      <rc t="1" v="26"/>
    </bk>
    <bk>
      <rc t="1" v="27"/>
    </bk>
    <bk>
      <rc t="1" v="28"/>
    </bk>
    <bk>
      <rc t="1" v="29"/>
    </bk>
    <bk>
      <rc t="1" v="30"/>
    </bk>
    <bk>
      <rc t="1" v="31"/>
    </bk>
    <bk>
      <rc t="1" v="32"/>
    </bk>
    <bk>
      <rc t="1" v="33"/>
    </bk>
    <bk>
      <rc t="1" v="34"/>
    </bk>
    <bk>
      <rc t="1" v="35"/>
    </bk>
    <bk>
      <rc t="1" v="36"/>
    </bk>
    <bk>
      <rc t="1" v="37"/>
    </bk>
    <bk>
      <rc t="1" v="38"/>
    </bk>
    <bk>
      <rc t="1" v="39"/>
    </bk>
    <bk>
      <rc t="1" v="40"/>
    </bk>
    <bk>
      <rc t="1" v="41"/>
    </bk>
    <bk>
      <rc t="1" v="42"/>
    </bk>
    <bk>
      <rc t="1" v="43"/>
    </bk>
    <bk>
      <rc t="1" v="44"/>
    </bk>
    <bk>
      <rc t="1" v="45"/>
    </bk>
    <bk>
      <rc t="1" v="46"/>
    </bk>
    <bk>
      <rc t="1" v="47"/>
    </bk>
    <bk>
      <rc t="1" v="48"/>
    </bk>
    <bk>
      <rc t="1" v="49"/>
    </bk>
    <bk>
      <rc t="1" v="50"/>
    </bk>
    <bk>
      <rc t="1" v="51"/>
    </bk>
    <bk>
      <rc t="1" v="52"/>
    </bk>
    <bk>
      <rc t="1" v="53"/>
    </bk>
    <bk>
      <rc t="1" v="54"/>
    </bk>
    <bk>
      <rc t="1" v="55"/>
    </bk>
    <bk>
      <rc t="1" v="56"/>
    </bk>
    <bk>
      <rc t="1" v="57"/>
    </bk>
    <bk>
      <rc t="1" v="58"/>
    </bk>
    <bk>
      <rc t="1" v="59"/>
    </bk>
    <bk>
      <rc t="1" v="60"/>
    </bk>
    <bk>
      <rc t="1" v="61"/>
    </bk>
    <bk>
      <rc t="1" v="62"/>
    </bk>
    <bk>
      <rc t="1" v="63"/>
    </bk>
    <bk>
      <rc t="1" v="64"/>
    </bk>
    <bk>
      <rc t="1" v="65"/>
    </bk>
    <bk>
      <rc t="1" v="66"/>
    </bk>
    <bk>
      <rc t="1" v="67"/>
    </bk>
    <bk>
      <rc t="1" v="68"/>
    </bk>
    <bk>
      <rc t="1" v="69"/>
    </bk>
    <bk>
      <rc t="1" v="70"/>
    </bk>
    <bk>
      <rc t="1" v="71"/>
    </bk>
    <bk>
      <rc t="1" v="72"/>
    </bk>
    <bk>
      <rc t="1" v="73"/>
    </bk>
    <bk>
      <rc t="1" v="74"/>
    </bk>
    <bk>
      <rc t="1" v="75"/>
    </bk>
    <bk>
      <rc t="1" v="76"/>
    </bk>
    <bk>
      <rc t="1" v="77"/>
    </bk>
    <bk>
      <rc t="1" v="78"/>
    </bk>
    <bk>
      <rc t="1" v="79"/>
    </bk>
    <bk>
      <rc t="1" v="80"/>
    </bk>
    <bk>
      <rc t="1" v="81"/>
    </bk>
    <bk>
      <rc t="1" v="82"/>
    </bk>
    <bk>
      <rc t="1" v="83"/>
    </bk>
    <bk>
      <rc t="1" v="84"/>
    </bk>
    <bk>
      <rc t="1" v="85"/>
    </bk>
    <bk>
      <rc t="1" v="86"/>
    </bk>
    <bk>
      <rc t="1" v="87"/>
    </bk>
    <bk>
      <rc t="1" v="88"/>
    </bk>
    <bk>
      <rc t="1" v="89"/>
    </bk>
    <bk>
      <rc t="1" v="90"/>
    </bk>
    <bk>
      <rc t="1" v="91"/>
    </bk>
    <bk>
      <rc t="1" v="92"/>
    </bk>
    <bk>
      <rc t="1" v="93"/>
    </bk>
    <bk>
      <rc t="1" v="94"/>
    </bk>
    <bk>
      <rc t="1" v="95"/>
    </bk>
    <bk>
      <rc t="1" v="96"/>
    </bk>
    <bk>
      <rc t="1" v="97"/>
    </bk>
    <bk>
      <rc t="1" v="98"/>
    </bk>
    <bk>
      <rc t="1" v="99"/>
    </bk>
    <bk>
      <rc t="1" v="100"/>
    </bk>
    <bk>
      <rc t="1" v="101"/>
    </bk>
    <bk>
      <rc t="1" v="102"/>
    </bk>
    <bk>
      <rc t="1" v="103"/>
    </bk>
    <bk>
      <rc t="1" v="104"/>
    </bk>
    <bk>
      <rc t="1" v="105"/>
    </bk>
    <bk>
      <rc t="1" v="106"/>
    </bk>
    <bk>
      <rc t="1" v="107"/>
    </bk>
    <bk>
      <rc t="1" v="108"/>
    </bk>
    <bk>
      <rc t="1" v="109"/>
    </bk>
    <bk>
      <rc t="1" v="110"/>
    </bk>
    <bk>
      <rc t="1" v="111"/>
    </bk>
    <bk>
      <rc t="1" v="112"/>
    </bk>
    <bk>
      <rc t="1" v="113"/>
    </bk>
    <bk>
      <rc t="1" v="114"/>
    </bk>
    <bk>
      <rc t="1" v="115"/>
    </bk>
    <bk>
      <rc t="1" v="116"/>
    </bk>
    <bk>
      <rc t="1" v="117"/>
    </bk>
    <bk>
      <rc t="1" v="118"/>
    </bk>
    <bk>
      <rc t="1" v="119"/>
    </bk>
    <bk>
      <rc t="1" v="120"/>
    </bk>
    <bk>
      <rc t="1" v="121"/>
    </bk>
    <bk>
      <rc t="1" v="122"/>
    </bk>
    <bk>
      <rc t="1" v="123"/>
    </bk>
    <bk>
      <rc t="1" v="124"/>
    </bk>
    <bk>
      <rc t="1" v="125"/>
    </bk>
    <bk>
      <rc t="1" v="126"/>
    </bk>
    <bk>
      <rc t="1" v="127"/>
    </bk>
    <bk>
      <rc t="1" v="128"/>
    </bk>
    <bk>
      <rc t="1" v="129"/>
    </bk>
    <bk>
      <rc t="1" v="130"/>
    </bk>
    <bk>
      <rc t="1" v="131"/>
    </bk>
    <bk>
      <rc t="1" v="132"/>
    </bk>
    <bk>
      <rc t="1" v="133"/>
    </bk>
    <bk>
      <rc t="1" v="134"/>
    </bk>
    <bk>
      <rc t="1" v="135"/>
    </bk>
    <bk>
      <rc t="1" v="136"/>
    </bk>
    <bk>
      <rc t="1" v="137"/>
    </bk>
    <bk>
      <rc t="1" v="138"/>
    </bk>
    <bk>
      <rc t="1" v="139"/>
    </bk>
    <bk>
      <rc t="1" v="140"/>
    </bk>
    <bk>
      <rc t="1" v="141"/>
    </bk>
    <bk>
      <rc t="1" v="142"/>
    </bk>
    <bk>
      <rc t="1" v="143"/>
    </bk>
    <bk>
      <rc t="1" v="144"/>
    </bk>
    <bk>
      <rc t="1" v="145"/>
    </bk>
    <bk>
      <rc t="1" v="146"/>
    </bk>
    <bk>
      <rc t="1" v="147"/>
    </bk>
    <bk>
      <rc t="1" v="148"/>
    </bk>
    <bk>
      <rc t="1" v="149"/>
    </bk>
    <bk>
      <rc t="1" v="150"/>
    </bk>
    <bk>
      <rc t="1" v="151"/>
    </bk>
    <bk>
      <rc t="1" v="152"/>
    </bk>
    <bk>
      <rc t="1" v="153"/>
    </bk>
    <bk>
      <rc t="1" v="154"/>
    </bk>
    <bk>
      <rc t="1" v="155"/>
    </bk>
    <bk>
      <rc t="1" v="156"/>
    </bk>
    <bk>
      <rc t="1" v="157"/>
    </bk>
    <bk>
      <rc t="1" v="158"/>
    </bk>
    <bk>
      <rc t="1" v="159"/>
    </bk>
    <bk>
      <rc t="1" v="160"/>
    </bk>
    <bk>
      <rc t="1" v="161"/>
    </bk>
    <bk>
      <rc t="1" v="162"/>
    </bk>
    <bk>
      <rc t="1" v="163"/>
    </bk>
    <bk>
      <rc t="1" v="164"/>
    </bk>
    <bk>
      <rc t="1" v="165"/>
    </bk>
    <bk>
      <rc t="1" v="166"/>
    </bk>
    <bk>
      <rc t="1" v="167"/>
    </bk>
    <bk>
      <rc t="1" v="168"/>
    </bk>
    <bk>
      <rc t="1" v="169"/>
    </bk>
    <bk>
      <rc t="1" v="170"/>
    </bk>
    <bk>
      <rc t="1" v="171"/>
    </bk>
    <bk>
      <rc t="1" v="172"/>
    </bk>
    <bk>
      <rc t="1" v="173"/>
    </bk>
    <bk>
      <rc t="1" v="174"/>
    </bk>
    <bk>
      <rc t="1" v="175"/>
    </bk>
    <bk>
      <rc t="1" v="176"/>
    </bk>
    <bk>
      <rc t="1" v="177"/>
    </bk>
    <bk>
      <rc t="1" v="178"/>
    </bk>
    <bk>
      <rc t="1" v="179"/>
    </bk>
    <bk>
      <rc t="1" v="180"/>
    </bk>
    <bk>
      <rc t="1" v="181"/>
    </bk>
    <bk>
      <rc t="1" v="182"/>
    </bk>
    <bk>
      <rc t="1" v="183"/>
    </bk>
    <bk>
      <rc t="1" v="184"/>
    </bk>
    <bk>
      <rc t="1" v="185"/>
    </bk>
    <bk>
      <rc t="1" v="186"/>
    </bk>
    <bk>
      <rc t="1" v="187"/>
    </bk>
    <bk>
      <rc t="1" v="188"/>
    </bk>
    <bk>
      <rc t="1" v="189"/>
    </bk>
    <bk>
      <rc t="1" v="190"/>
    </bk>
    <bk>
      <rc t="1" v="191"/>
    </bk>
    <bk>
      <rc t="1" v="192"/>
    </bk>
    <bk>
      <rc t="1" v="193"/>
    </bk>
    <bk>
      <rc t="1" v="194"/>
    </bk>
    <bk>
      <rc t="1" v="195"/>
    </bk>
    <bk>
      <rc t="1" v="196"/>
    </bk>
    <bk>
      <rc t="1" v="197"/>
    </bk>
    <bk>
      <rc t="1" v="198"/>
    </bk>
    <bk>
      <rc t="1" v="199"/>
    </bk>
    <bk>
      <rc t="1" v="200"/>
    </bk>
    <bk>
      <rc t="1" v="201"/>
    </bk>
    <bk>
      <rc t="1" v="202"/>
    </bk>
    <bk>
      <rc t="1" v="203"/>
    </bk>
    <bk>
      <rc t="1" v="204"/>
    </bk>
    <bk>
      <rc t="1" v="205"/>
    </bk>
    <bk>
      <rc t="1" v="206"/>
    </bk>
    <bk>
      <rc t="1" v="207"/>
    </bk>
    <bk>
      <rc t="1" v="208"/>
    </bk>
    <bk>
      <rc t="1" v="209"/>
    </bk>
    <bk>
      <rc t="1" v="210"/>
    </bk>
    <bk>
      <rc t="1" v="211"/>
    </bk>
    <bk>
      <rc t="1" v="212"/>
    </bk>
    <bk>
      <rc t="1" v="213"/>
    </bk>
    <bk>
      <rc t="1" v="214"/>
    </bk>
    <bk>
      <rc t="1" v="215"/>
    </bk>
    <bk>
      <rc t="1" v="216"/>
    </bk>
    <bk>
      <rc t="1" v="217"/>
    </bk>
    <bk>
      <rc t="1" v="218"/>
    </bk>
    <bk>
      <rc t="1" v="219"/>
    </bk>
    <bk>
      <rc t="1" v="220"/>
    </bk>
    <bk>
      <rc t="1" v="221"/>
    </bk>
    <bk>
      <rc t="1" v="222"/>
    </bk>
    <bk>
      <rc t="1" v="223"/>
    </bk>
    <bk>
      <rc t="1" v="224"/>
    </bk>
    <bk>
      <rc t="1" v="225"/>
    </bk>
    <bk>
      <rc t="1" v="226"/>
    </bk>
    <bk>
      <rc t="1" v="227"/>
    </bk>
    <bk>
      <rc t="1" v="228"/>
    </bk>
    <bk>
      <rc t="1" v="229"/>
    </bk>
    <bk>
      <rc t="1" v="230"/>
    </bk>
    <bk>
      <rc t="1" v="231"/>
    </bk>
    <bk>
      <rc t="1" v="232"/>
    </bk>
    <bk>
      <rc t="1" v="233"/>
    </bk>
    <bk>
      <rc t="1" v="234"/>
    </bk>
    <bk>
      <rc t="1" v="235"/>
    </bk>
    <bk>
      <rc t="1" v="236"/>
    </bk>
    <bk>
      <rc t="1" v="237"/>
    </bk>
    <bk>
      <rc t="1" v="238"/>
    </bk>
    <bk>
      <rc t="1" v="239"/>
    </bk>
    <bk>
      <rc t="1" v="240"/>
    </bk>
    <bk>
      <rc t="1" v="241"/>
    </bk>
    <bk>
      <rc t="1" v="242"/>
    </bk>
    <bk>
      <rc t="1" v="243"/>
    </bk>
    <bk>
      <rc t="1" v="244"/>
    </bk>
    <bk>
      <rc t="1" v="245"/>
    </bk>
    <bk>
      <rc t="1" v="246"/>
    </bk>
    <bk>
      <rc t="1" v="247"/>
    </bk>
    <bk>
      <rc t="1" v="248"/>
    </bk>
    <bk>
      <rc t="1" v="249"/>
    </bk>
    <bk>
      <rc t="1" v="250"/>
    </bk>
    <bk>
      <rc t="1" v="251"/>
    </bk>
    <bk>
      <rc t="1" v="252"/>
    </bk>
    <bk>
      <rc t="1" v="253"/>
    </bk>
    <bk>
      <rc t="1" v="254"/>
    </bk>
    <bk>
      <rc t="1" v="255"/>
    </bk>
    <bk>
      <rc t="1" v="256"/>
    </bk>
    <bk>
      <rc t="1" v="257"/>
    </bk>
    <bk>
      <rc t="1" v="258"/>
    </bk>
    <bk>
      <rc t="1" v="259"/>
    </bk>
    <bk>
      <rc t="1" v="260"/>
    </bk>
    <bk>
      <rc t="1" v="261"/>
    </bk>
    <bk>
      <rc t="1" v="262"/>
    </bk>
    <bk>
      <rc t="1" v="263"/>
    </bk>
    <bk>
      <rc t="1" v="264"/>
    </bk>
    <bk>
      <rc t="1" v="265"/>
    </bk>
    <bk>
      <rc t="1" v="266"/>
    </bk>
    <bk>
      <rc t="1" v="267"/>
    </bk>
    <bk>
      <rc t="1" v="268"/>
    </bk>
    <bk>
      <rc t="1" v="269"/>
    </bk>
    <bk>
      <rc t="1" v="270"/>
    </bk>
    <bk>
      <rc t="1" v="271"/>
    </bk>
    <bk>
      <rc t="1" v="272"/>
    </bk>
    <bk>
      <rc t="1" v="273"/>
    </bk>
    <bk>
      <rc t="1" v="274"/>
    </bk>
    <bk>
      <rc t="1" v="275"/>
    </bk>
    <bk>
      <rc t="1" v="276"/>
    </bk>
    <bk>
      <rc t="1" v="277"/>
    </bk>
    <bk>
      <rc t="1" v="278"/>
    </bk>
    <bk>
      <rc t="1" v="279"/>
    </bk>
    <bk>
      <rc t="1" v="280"/>
    </bk>
    <bk>
      <rc t="1" v="281"/>
    </bk>
    <bk>
      <rc t="1" v="282"/>
    </bk>
    <bk>
      <rc t="1" v="283"/>
    </bk>
    <bk>
      <rc t="1" v="284"/>
    </bk>
    <bk>
      <rc t="1" v="285"/>
    </bk>
    <bk>
      <rc t="1" v="286"/>
    </bk>
    <bk>
      <rc t="1" v="287"/>
    </bk>
    <bk>
      <rc t="1" v="288"/>
    </bk>
    <bk>
      <rc t="1" v="289"/>
    </bk>
    <bk>
      <rc t="1" v="290"/>
    </bk>
    <bk>
      <rc t="1" v="291"/>
    </bk>
    <bk>
      <rc t="1" v="292"/>
    </bk>
    <bk>
      <rc t="1" v="293"/>
    </bk>
    <bk>
      <rc t="1" v="294"/>
    </bk>
    <bk>
      <rc t="1" v="295"/>
    </bk>
    <bk>
      <rc t="1" v="296"/>
    </bk>
    <bk>
      <rc t="1" v="297"/>
    </bk>
    <bk>
      <rc t="1" v="298"/>
    </bk>
    <bk>
      <rc t="1" v="299"/>
    </bk>
    <bk>
      <rc t="1" v="300"/>
    </bk>
    <bk>
      <rc t="1" v="301"/>
    </bk>
    <bk>
      <rc t="1" v="302"/>
    </bk>
    <bk>
      <rc t="1" v="303"/>
    </bk>
    <bk>
      <rc t="1" v="304"/>
    </bk>
    <bk>
      <rc t="1" v="305"/>
    </bk>
    <bk>
      <rc t="1" v="306"/>
    </bk>
    <bk>
      <rc t="1" v="307"/>
    </bk>
    <bk>
      <rc t="1" v="308"/>
    </bk>
    <bk>
      <rc t="1" v="309"/>
    </bk>
    <bk>
      <rc t="1" v="310"/>
    </bk>
    <bk>
      <rc t="1" v="311"/>
    </bk>
    <bk>
      <rc t="1" v="312"/>
    </bk>
    <bk>
      <rc t="1" v="313"/>
    </bk>
    <bk>
      <rc t="1" v="314"/>
    </bk>
    <bk>
      <rc t="1" v="315"/>
    </bk>
    <bk>
      <rc t="1" v="316"/>
    </bk>
    <bk>
      <rc t="1" v="317"/>
    </bk>
    <bk>
      <rc t="1" v="318"/>
    </bk>
    <bk>
      <rc t="1" v="319"/>
    </bk>
    <bk>
      <rc t="1" v="320"/>
    </bk>
    <bk>
      <rc t="1" v="321"/>
    </bk>
    <bk>
      <rc t="1" v="322"/>
    </bk>
    <bk>
      <rc t="1" v="323"/>
    </bk>
    <bk>
      <rc t="1" v="324"/>
    </bk>
    <bk>
      <rc t="1" v="325"/>
    </bk>
    <bk>
      <rc t="1" v="326"/>
    </bk>
    <bk>
      <rc t="1" v="327"/>
    </bk>
    <bk>
      <rc t="1" v="328"/>
    </bk>
    <bk>
      <rc t="1" v="329"/>
    </bk>
    <bk>
      <rc t="1" v="330"/>
    </bk>
    <bk>
      <rc t="1" v="331"/>
    </bk>
    <bk>
      <rc t="1" v="332"/>
    </bk>
    <bk>
      <rc t="1" v="333"/>
    </bk>
    <bk>
      <rc t="1" v="334"/>
    </bk>
    <bk>
      <rc t="1" v="335"/>
    </bk>
    <bk>
      <rc t="1" v="336"/>
    </bk>
    <bk>
      <rc t="1" v="337"/>
    </bk>
    <bk>
      <rc t="1" v="338"/>
    </bk>
    <bk>
      <rc t="1" v="339"/>
    </bk>
    <bk>
      <rc t="1" v="340"/>
    </bk>
    <bk>
      <rc t="1" v="341"/>
    </bk>
    <bk>
      <rc t="1" v="342"/>
    </bk>
    <bk>
      <rc t="1" v="343"/>
    </bk>
    <bk>
      <rc t="1" v="344"/>
    </bk>
    <bk>
      <rc t="1" v="345"/>
    </bk>
    <bk>
      <rc t="1" v="346"/>
    </bk>
    <bk>
      <rc t="1" v="347"/>
    </bk>
    <bk>
      <rc t="1" v="348"/>
    </bk>
    <bk>
      <rc t="1" v="349"/>
    </bk>
    <bk>
      <rc t="1" v="350"/>
    </bk>
    <bk>
      <rc t="1" v="351"/>
    </bk>
    <bk>
      <rc t="1" v="352"/>
    </bk>
    <bk>
      <rc t="1" v="353"/>
    </bk>
    <bk>
      <rc t="1" v="354"/>
    </bk>
    <bk>
      <rc t="1" v="355"/>
    </bk>
    <bk>
      <rc t="1" v="356"/>
    </bk>
    <bk>
      <rc t="1" v="357"/>
    </bk>
    <bk>
      <rc t="1" v="358"/>
    </bk>
    <bk>
      <rc t="1" v="359"/>
    </bk>
    <bk>
      <rc t="1" v="360"/>
    </bk>
    <bk>
      <rc t="1" v="361"/>
    </bk>
    <bk>
      <rc t="1" v="362"/>
    </bk>
    <bk>
      <rc t="1" v="363"/>
    </bk>
    <bk>
      <rc t="1" v="364"/>
    </bk>
    <bk>
      <rc t="1" v="365"/>
    </bk>
    <bk>
      <rc t="1" v="366"/>
    </bk>
    <bk>
      <rc t="1" v="367"/>
    </bk>
    <bk>
      <rc t="1" v="368"/>
    </bk>
    <bk>
      <rc t="1" v="369"/>
    </bk>
    <bk>
      <rc t="1" v="370"/>
    </bk>
    <bk>
      <rc t="1" v="371"/>
    </bk>
    <bk>
      <rc t="1" v="372"/>
    </bk>
    <bk>
      <rc t="1" v="373"/>
    </bk>
    <bk>
      <rc t="1" v="374"/>
    </bk>
    <bk>
      <rc t="1" v="375"/>
    </bk>
    <bk>
      <rc t="1" v="376"/>
    </bk>
    <bk>
      <rc t="1" v="377"/>
    </bk>
    <bk>
      <rc t="1" v="378"/>
    </bk>
    <bk>
      <rc t="1" v="379"/>
    </bk>
    <bk>
      <rc t="1" v="380"/>
    </bk>
    <bk>
      <rc t="1" v="381"/>
    </bk>
    <bk>
      <rc t="1" v="382"/>
    </bk>
    <bk>
      <rc t="1" v="383"/>
    </bk>
    <bk>
      <rc t="1" v="384"/>
    </bk>
    <bk>
      <rc t="1" v="385"/>
    </bk>
    <bk>
      <rc t="1" v="386"/>
    </bk>
    <bk>
      <rc t="1" v="387"/>
    </bk>
    <bk>
      <rc t="1" v="388"/>
    </bk>
    <bk>
      <rc t="1" v="389"/>
    </bk>
    <bk>
      <rc t="1" v="390"/>
    </bk>
    <bk>
      <rc t="1" v="391"/>
    </bk>
    <bk>
      <rc t="1" v="392"/>
    </bk>
    <bk>
      <rc t="1" v="393"/>
    </bk>
    <bk>
      <rc t="1" v="394"/>
    </bk>
    <bk>
      <rc t="1" v="395"/>
    </bk>
    <bk>
      <rc t="1" v="396"/>
    </bk>
    <bk>
      <rc t="1" v="397"/>
    </bk>
    <bk>
      <rc t="1" v="398"/>
    </bk>
    <bk>
      <rc t="1" v="399"/>
    </bk>
    <bk>
      <rc t="1" v="400"/>
    </bk>
    <bk>
      <rc t="1" v="401"/>
    </bk>
    <bk>
      <rc t="1" v="402"/>
    </bk>
    <bk>
      <rc t="1" v="403"/>
    </bk>
    <bk>
      <rc t="1" v="404"/>
    </bk>
    <bk>
      <rc t="1" v="405"/>
    </bk>
    <bk>
      <rc t="1" v="406"/>
    </bk>
    <bk>
      <rc t="1" v="407"/>
    </bk>
    <bk>
      <rc t="1" v="408"/>
    </bk>
    <bk>
      <rc t="1" v="409"/>
    </bk>
    <bk>
      <rc t="1" v="410"/>
    </bk>
    <bk>
      <rc t="1" v="411"/>
    </bk>
    <bk>
      <rc t="1" v="412"/>
    </bk>
    <bk>
      <rc t="1" v="413"/>
    </bk>
    <bk>
      <rc t="1" v="414"/>
    </bk>
    <bk>
      <rc t="1" v="415"/>
    </bk>
    <bk>
      <rc t="1" v="416"/>
    </bk>
    <bk>
      <rc t="1" v="417"/>
    </bk>
    <bk>
      <rc t="1" v="418"/>
    </bk>
    <bk>
      <rc t="1" v="419"/>
    </bk>
    <bk>
      <rc t="1" v="420"/>
    </bk>
    <bk>
      <rc t="1" v="421"/>
    </bk>
    <bk>
      <rc t="1" v="422"/>
    </bk>
    <bk>
      <rc t="1" v="423"/>
    </bk>
    <bk>
      <rc t="1" v="424"/>
    </bk>
    <bk>
      <rc t="1" v="425"/>
    </bk>
    <bk>
      <rc t="1" v="426"/>
    </bk>
    <bk>
      <rc t="1" v="427"/>
    </bk>
    <bk>
      <rc t="1" v="428"/>
    </bk>
    <bk>
      <rc t="1" v="429"/>
    </bk>
    <bk>
      <rc t="1" v="430"/>
    </bk>
    <bk>
      <rc t="1" v="431"/>
    </bk>
    <bk>
      <rc t="1" v="432"/>
    </bk>
    <bk>
      <rc t="1" v="433"/>
    </bk>
    <bk>
      <rc t="1" v="434"/>
    </bk>
    <bk>
      <rc t="1" v="435"/>
    </bk>
    <bk>
      <rc t="1" v="436"/>
    </bk>
    <bk>
      <rc t="1" v="437"/>
    </bk>
    <bk>
      <rc t="1" v="438"/>
    </bk>
    <bk>
      <rc t="1" v="439"/>
    </bk>
    <bk>
      <rc t="1" v="440"/>
    </bk>
    <bk>
      <rc t="1" v="441"/>
    </bk>
    <bk>
      <rc t="1" v="442"/>
    </bk>
    <bk>
      <rc t="1" v="443"/>
    </bk>
    <bk>
      <rc t="1" v="444"/>
    </bk>
    <bk>
      <rc t="1" v="445"/>
    </bk>
    <bk>
      <rc t="1" v="446"/>
    </bk>
    <bk>
      <rc t="1" v="447"/>
    </bk>
    <bk>
      <rc t="1" v="448"/>
    </bk>
    <bk>
      <rc t="1" v="449"/>
    </bk>
    <bk>
      <rc t="1" v="450"/>
    </bk>
    <bk>
      <rc t="1" v="451"/>
    </bk>
    <bk>
      <rc t="1" v="452"/>
    </bk>
    <bk>
      <rc t="1" v="453"/>
    </bk>
    <bk>
      <rc t="1" v="454"/>
    </bk>
    <bk>
      <rc t="1" v="455"/>
    </bk>
    <bk>
      <rc t="1" v="456"/>
    </bk>
    <bk>
      <rc t="1" v="457"/>
    </bk>
    <bk>
      <rc t="1" v="458"/>
    </bk>
    <bk>
      <rc t="1" v="459"/>
    </bk>
    <bk>
      <rc t="1" v="460"/>
    </bk>
    <bk>
      <rc t="1" v="461"/>
    </bk>
    <bk>
      <rc t="1" v="462"/>
    </bk>
    <bk>
      <rc t="1" v="463"/>
    </bk>
    <bk>
      <rc t="1" v="464"/>
    </bk>
    <bk>
      <rc t="1" v="465"/>
    </bk>
    <bk>
      <rc t="1" v="466"/>
    </bk>
    <bk>
      <rc t="1" v="467"/>
    </bk>
    <bk>
      <rc t="1" v="468"/>
    </bk>
    <bk>
      <rc t="1" v="469"/>
    </bk>
    <bk>
      <rc t="1" v="470"/>
    </bk>
    <bk>
      <rc t="1" v="471"/>
    </bk>
    <bk>
      <rc t="1" v="472"/>
    </bk>
    <bk>
      <rc t="1" v="473"/>
    </bk>
    <bk>
      <rc t="1" v="474"/>
    </bk>
    <bk>
      <rc t="1" v="475"/>
    </bk>
    <bk>
      <rc t="1" v="476"/>
    </bk>
    <bk>
      <rc t="1" v="477"/>
    </bk>
    <bk>
      <rc t="1" v="478"/>
    </bk>
    <bk>
      <rc t="1" v="479"/>
    </bk>
    <bk>
      <rc t="1" v="480"/>
    </bk>
    <bk>
      <rc t="1" v="481"/>
    </bk>
    <bk>
      <rc t="1" v="482"/>
    </bk>
    <bk>
      <rc t="1" v="483"/>
    </bk>
    <bk>
      <rc t="1" v="484"/>
    </bk>
    <bk>
      <rc t="1" v="485"/>
    </bk>
    <bk>
      <rc t="1" v="486"/>
    </bk>
    <bk>
      <rc t="1" v="487"/>
    </bk>
    <bk>
      <rc t="1" v="488"/>
    </bk>
    <bk>
      <rc t="1" v="489"/>
    </bk>
    <bk>
      <rc t="1" v="490"/>
    </bk>
    <bk>
      <rc t="1" v="491"/>
    </bk>
    <bk>
      <rc t="1" v="492"/>
    </bk>
    <bk>
      <rc t="1" v="493"/>
    </bk>
    <bk>
      <rc t="1" v="494"/>
    </bk>
    <bk>
      <rc t="1" v="495"/>
    </bk>
    <bk>
      <rc t="1" v="496"/>
    </bk>
    <bk>
      <rc t="1" v="497"/>
    </bk>
    <bk>
      <rc t="1" v="498"/>
    </bk>
    <bk>
      <rc t="1" v="499"/>
    </bk>
    <bk>
      <rc t="1" v="500"/>
    </bk>
    <bk>
      <rc t="1" v="501"/>
    </bk>
    <bk>
      <rc t="1" v="502"/>
    </bk>
    <bk>
      <rc t="1" v="503"/>
    </bk>
    <bk>
      <rc t="1" v="504"/>
    </bk>
    <bk>
      <rc t="1" v="505"/>
    </bk>
    <bk>
      <rc t="1" v="506"/>
    </bk>
    <bk>
      <rc t="1" v="507"/>
    </bk>
    <bk>
      <rc t="1" v="508"/>
    </bk>
    <bk>
      <rc t="1" v="509"/>
    </bk>
    <bk>
      <rc t="1" v="510"/>
    </bk>
    <bk>
      <rc t="1" v="511"/>
    </bk>
    <bk>
      <rc t="1" v="512"/>
    </bk>
    <bk>
      <rc t="1" v="513"/>
    </bk>
    <bk>
      <rc t="1" v="514"/>
    </bk>
    <bk>
      <rc t="1" v="515"/>
    </bk>
    <bk>
      <rc t="1" v="516"/>
    </bk>
    <bk>
      <rc t="1" v="517"/>
    </bk>
    <bk>
      <rc t="1" v="518"/>
    </bk>
    <bk>
      <rc t="1" v="519"/>
    </bk>
    <bk>
      <rc t="1" v="520"/>
    </bk>
    <bk>
      <rc t="1" v="521"/>
    </bk>
    <bk>
      <rc t="1" v="522"/>
    </bk>
    <bk>
      <rc t="1" v="523"/>
    </bk>
    <bk>
      <rc t="1" v="524"/>
    </bk>
    <bk>
      <rc t="1" v="525"/>
    </bk>
    <bk>
      <rc t="1" v="526"/>
    </bk>
    <bk>
      <rc t="1" v="527"/>
    </bk>
    <bk>
      <rc t="1" v="528"/>
    </bk>
    <bk>
      <rc t="1" v="529"/>
    </bk>
    <bk>
      <rc t="1" v="530"/>
    </bk>
    <bk>
      <rc t="1" v="531"/>
    </bk>
    <bk>
      <rc t="1" v="532"/>
    </bk>
    <bk>
      <rc t="1" v="533"/>
    </bk>
    <bk>
      <rc t="1" v="534"/>
    </bk>
    <bk>
      <rc t="1" v="535"/>
    </bk>
    <bk>
      <rc t="1" v="536"/>
    </bk>
    <bk>
      <rc t="1" v="537"/>
    </bk>
    <bk>
      <rc t="1" v="538"/>
    </bk>
    <bk>
      <rc t="1" v="539"/>
    </bk>
    <bk>
      <rc t="1" v="540"/>
    </bk>
    <bk>
      <rc t="1" v="541"/>
    </bk>
    <bk>
      <rc t="1" v="542"/>
    </bk>
    <bk>
      <rc t="1" v="543"/>
    </bk>
    <bk>
      <rc t="1" v="544"/>
    </bk>
    <bk>
      <rc t="1" v="545"/>
    </bk>
    <bk>
      <rc t="1" v="546"/>
    </bk>
    <bk>
      <rc t="1" v="547"/>
    </bk>
    <bk>
      <rc t="1" v="548"/>
    </bk>
    <bk>
      <rc t="1" v="549"/>
    </bk>
    <bk>
      <rc t="1" v="550"/>
    </bk>
    <bk>
      <rc t="1" v="551"/>
    </bk>
    <bk>
      <rc t="1" v="552"/>
    </bk>
    <bk>
      <rc t="1" v="553"/>
    </bk>
    <bk>
      <rc t="1" v="554"/>
    </bk>
    <bk>
      <rc t="1" v="555"/>
    </bk>
    <bk>
      <rc t="1" v="556"/>
    </bk>
    <bk>
      <rc t="1" v="557"/>
    </bk>
    <bk>
      <rc t="1" v="558"/>
    </bk>
    <bk>
      <rc t="1" v="559"/>
    </bk>
    <bk>
      <rc t="1" v="560"/>
    </bk>
    <bk>
      <rc t="1" v="561"/>
    </bk>
    <bk>
      <rc t="1" v="562"/>
    </bk>
    <bk>
      <rc t="1" v="563"/>
    </bk>
    <bk>
      <rc t="1" v="564"/>
    </bk>
    <bk>
      <rc t="1" v="565"/>
    </bk>
    <bk>
      <rc t="1" v="566"/>
    </bk>
    <bk>
      <rc t="1" v="567"/>
    </bk>
    <bk>
      <rc t="1" v="568"/>
    </bk>
    <bk>
      <rc t="1" v="569"/>
    </bk>
    <bk>
      <rc t="1" v="570"/>
    </bk>
    <bk>
      <rc t="1" v="571"/>
    </bk>
    <bk>
      <rc t="1" v="572"/>
    </bk>
    <bk>
      <rc t="1" v="573"/>
    </bk>
    <bk>
      <rc t="1" v="574"/>
    </bk>
    <bk>
      <rc t="1" v="575"/>
    </bk>
    <bk>
      <rc t="1" v="576"/>
    </bk>
    <bk>
      <rc t="1" v="577"/>
    </bk>
    <bk>
      <rc t="1" v="578"/>
    </bk>
    <bk>
      <rc t="1" v="579"/>
    </bk>
    <bk>
      <rc t="1" v="580"/>
    </bk>
    <bk>
      <rc t="1" v="581"/>
    </bk>
    <bk>
      <rc t="1" v="582"/>
    </bk>
    <bk>
      <rc t="1" v="583"/>
    </bk>
    <bk>
      <rc t="1" v="584"/>
    </bk>
    <bk>
      <rc t="1" v="585"/>
    </bk>
    <bk>
      <rc t="1" v="586"/>
    </bk>
    <bk>
      <rc t="1" v="587"/>
    </bk>
    <bk>
      <rc t="1" v="588"/>
    </bk>
    <bk>
      <rc t="1" v="589"/>
    </bk>
    <bk>
      <rc t="1" v="590"/>
    </bk>
    <bk>
      <rc t="1" v="591"/>
    </bk>
    <bk>
      <rc t="1" v="592"/>
    </bk>
    <bk>
      <rc t="1" v="593"/>
    </bk>
    <bk>
      <rc t="1" v="594"/>
    </bk>
    <bk>
      <rc t="1" v="595"/>
    </bk>
    <bk>
      <rc t="1" v="596"/>
    </bk>
    <bk>
      <rc t="1" v="597"/>
    </bk>
    <bk>
      <rc t="1" v="598"/>
    </bk>
    <bk>
      <rc t="1" v="599"/>
    </bk>
    <bk>
      <rc t="1" v="600"/>
    </bk>
    <bk>
      <rc t="1" v="601"/>
    </bk>
    <bk>
      <rc t="1" v="602"/>
    </bk>
    <bk>
      <rc t="1" v="603"/>
    </bk>
    <bk>
      <rc t="1" v="604"/>
    </bk>
    <bk>
      <rc t="1" v="605"/>
    </bk>
    <bk>
      <rc t="1" v="606"/>
    </bk>
    <bk>
      <rc t="1" v="607"/>
    </bk>
    <bk>
      <rc t="1" v="608"/>
    </bk>
    <bk>
      <rc t="1" v="609"/>
    </bk>
    <bk>
      <rc t="1" v="610"/>
    </bk>
    <bk>
      <rc t="1" v="611"/>
    </bk>
    <bk>
      <rc t="1" v="612"/>
    </bk>
    <bk>
      <rc t="1" v="613"/>
    </bk>
    <bk>
      <rc t="1" v="614"/>
    </bk>
    <bk>
      <rc t="1" v="615"/>
    </bk>
    <bk>
      <rc t="1" v="616"/>
    </bk>
    <bk>
      <rc t="1" v="617"/>
    </bk>
    <bk>
      <rc t="1" v="618"/>
    </bk>
    <bk>
      <rc t="1" v="619"/>
    </bk>
    <bk>
      <rc t="1" v="620"/>
    </bk>
    <bk>
      <rc t="1" v="621"/>
    </bk>
    <bk>
      <rc t="1" v="622"/>
    </bk>
    <bk>
      <rc t="1" v="623"/>
    </bk>
    <bk>
      <rc t="1" v="624"/>
    </bk>
    <bk>
      <rc t="1" v="625"/>
    </bk>
    <bk>
      <rc t="1" v="626"/>
    </bk>
    <bk>
      <rc t="1" v="627"/>
    </bk>
    <bk>
      <rc t="1" v="628"/>
    </bk>
    <bk>
      <rc t="1" v="629"/>
    </bk>
    <bk>
      <rc t="1" v="630"/>
    </bk>
    <bk>
      <rc t="1" v="631"/>
    </bk>
    <bk>
      <rc t="1" v="632"/>
    </bk>
    <bk>
      <rc t="1" v="633"/>
    </bk>
    <bk>
      <rc t="1" v="634"/>
    </bk>
    <bk>
      <rc t="1" v="635"/>
    </bk>
    <bk>
      <rc t="1" v="636"/>
    </bk>
    <bk>
      <rc t="1" v="637"/>
    </bk>
    <bk>
      <rc t="1" v="638"/>
    </bk>
    <bk>
      <rc t="1" v="639"/>
    </bk>
    <bk>
      <rc t="1" v="640"/>
    </bk>
    <bk>
      <rc t="1" v="641"/>
    </bk>
    <bk>
      <rc t="1" v="642"/>
    </bk>
    <bk>
      <rc t="1" v="643"/>
    </bk>
    <bk>
      <rc t="1" v="644"/>
    </bk>
    <bk>
      <rc t="1" v="645"/>
    </bk>
    <bk>
      <rc t="1" v="646"/>
    </bk>
    <bk>
      <rc t="1" v="647"/>
    </bk>
    <bk>
      <rc t="1" v="648"/>
    </bk>
    <bk>
      <rc t="1" v="649"/>
    </bk>
    <bk>
      <rc t="1" v="650"/>
    </bk>
    <bk>
      <rc t="1" v="651"/>
    </bk>
    <bk>
      <rc t="1" v="652"/>
    </bk>
    <bk>
      <rc t="1" v="653"/>
    </bk>
    <bk>
      <rc t="1" v="654"/>
    </bk>
    <bk>
      <rc t="1" v="655"/>
    </bk>
    <bk>
      <rc t="1" v="656"/>
    </bk>
    <bk>
      <rc t="1" v="657"/>
    </bk>
    <bk>
      <rc t="1" v="658"/>
    </bk>
    <bk>
      <rc t="1" v="659"/>
    </bk>
    <bk>
      <rc t="1" v="660"/>
    </bk>
    <bk>
      <rc t="1" v="661"/>
    </bk>
    <bk>
      <rc t="1" v="662"/>
    </bk>
    <bk>
      <rc t="1" v="663"/>
    </bk>
    <bk>
      <rc t="1" v="664"/>
    </bk>
    <bk>
      <rc t="1" v="665"/>
    </bk>
    <bk>
      <rc t="1" v="666"/>
    </bk>
    <bk>
      <rc t="1" v="667"/>
    </bk>
    <bk>
      <rc t="1" v="668"/>
    </bk>
    <bk>
      <rc t="1" v="669"/>
    </bk>
    <bk>
      <rc t="1" v="670"/>
    </bk>
    <bk>
      <rc t="1" v="671"/>
    </bk>
    <bk>
      <rc t="1" v="672"/>
    </bk>
    <bk>
      <rc t="1" v="673"/>
    </bk>
    <bk>
      <rc t="1" v="674"/>
    </bk>
    <bk>
      <rc t="1" v="675"/>
    </bk>
    <bk>
      <rc t="1" v="676"/>
    </bk>
    <bk>
      <rc t="1" v="677"/>
    </bk>
    <bk>
      <rc t="1" v="678"/>
    </bk>
    <bk>
      <rc t="1" v="679"/>
    </bk>
    <bk>
      <rc t="1" v="680"/>
    </bk>
    <bk>
      <rc t="1" v="681"/>
    </bk>
    <bk>
      <rc t="1" v="682"/>
    </bk>
    <bk>
      <rc t="1" v="683"/>
    </bk>
    <bk>
      <rc t="1" v="684"/>
    </bk>
    <bk>
      <rc t="1" v="685"/>
    </bk>
    <bk>
      <rc t="1" v="686"/>
    </bk>
    <bk>
      <rc t="1" v="687"/>
    </bk>
    <bk>
      <rc t="1" v="688"/>
    </bk>
    <bk>
      <rc t="1" v="689"/>
    </bk>
    <bk>
      <rc t="1" v="690"/>
    </bk>
    <bk>
      <rc t="1" v="691"/>
    </bk>
    <bk>
      <rc t="1" v="692"/>
    </bk>
    <bk>
      <rc t="1" v="693"/>
    </bk>
    <bk>
      <rc t="1" v="694"/>
    </bk>
    <bk>
      <rc t="1" v="695"/>
    </bk>
    <bk>
      <rc t="1" v="696"/>
    </bk>
    <bk>
      <rc t="1" v="697"/>
    </bk>
    <bk>
      <rc t="1" v="698"/>
    </bk>
    <bk>
      <rc t="1" v="699"/>
    </bk>
    <bk>
      <rc t="1" v="700"/>
    </bk>
    <bk>
      <rc t="1" v="701"/>
    </bk>
    <bk>
      <rc t="1" v="702"/>
    </bk>
    <bk>
      <rc t="1" v="703"/>
    </bk>
    <bk>
      <rc t="1" v="704"/>
    </bk>
    <bk>
      <rc t="1" v="705"/>
    </bk>
    <bk>
      <rc t="1" v="706"/>
    </bk>
    <bk>
      <rc t="1" v="707"/>
    </bk>
    <bk>
      <rc t="1" v="708"/>
    </bk>
    <bk>
      <rc t="1" v="709"/>
    </bk>
    <bk>
      <rc t="1" v="710"/>
    </bk>
    <bk>
      <rc t="1" v="711"/>
    </bk>
    <bk>
      <rc t="1" v="712"/>
    </bk>
    <bk>
      <rc t="1" v="713"/>
    </bk>
    <bk>
      <rc t="1" v="714"/>
    </bk>
    <bk>
      <rc t="1" v="715"/>
    </bk>
    <bk>
      <rc t="1" v="716"/>
    </bk>
    <bk>
      <rc t="1" v="717"/>
    </bk>
    <bk>
      <rc t="1" v="718"/>
    </bk>
    <bk>
      <rc t="1" v="719"/>
    </bk>
    <bk>
      <rc t="1" v="720"/>
    </bk>
    <bk>
      <rc t="1" v="721"/>
    </bk>
    <bk>
      <rc t="1" v="722"/>
    </bk>
    <bk>
      <rc t="1" v="723"/>
    </bk>
    <bk>
      <rc t="1" v="724"/>
    </bk>
    <bk>
      <rc t="1" v="725"/>
    </bk>
    <bk>
      <rc t="1" v="726"/>
    </bk>
    <bk>
      <rc t="1" v="727"/>
    </bk>
    <bk>
      <rc t="1" v="728"/>
    </bk>
    <bk>
      <rc t="1" v="729"/>
    </bk>
    <bk>
      <rc t="1" v="730"/>
    </bk>
    <bk>
      <rc t="1" v="731"/>
    </bk>
    <bk>
      <rc t="1" v="732"/>
    </bk>
    <bk>
      <rc t="1" v="733"/>
    </bk>
    <bk>
      <rc t="1" v="734"/>
    </bk>
    <bk>
      <rc t="1" v="735"/>
    </bk>
    <bk>
      <rc t="1" v="736"/>
    </bk>
    <bk>
      <rc t="1" v="737"/>
    </bk>
    <bk>
      <rc t="1" v="738"/>
    </bk>
    <bk>
      <rc t="1" v="739"/>
    </bk>
    <bk>
      <rc t="1" v="740"/>
    </bk>
    <bk>
      <rc t="1" v="741"/>
    </bk>
    <bk>
      <rc t="1" v="742"/>
    </bk>
    <bk>
      <rc t="1" v="743"/>
    </bk>
    <bk>
      <rc t="1" v="744"/>
    </bk>
    <bk>
      <rc t="1" v="745"/>
    </bk>
    <bk>
      <rc t="1" v="746"/>
    </bk>
    <bk>
      <rc t="1" v="747"/>
    </bk>
    <bk>
      <rc t="1" v="748"/>
    </bk>
    <bk>
      <rc t="1" v="749"/>
    </bk>
    <bk>
      <rc t="1" v="750"/>
    </bk>
    <bk>
      <rc t="1" v="751"/>
    </bk>
    <bk>
      <rc t="1" v="752"/>
    </bk>
    <bk>
      <rc t="1" v="753"/>
    </bk>
    <bk>
      <rc t="1" v="754"/>
    </bk>
    <bk>
      <rc t="1" v="755"/>
    </bk>
    <bk>
      <rc t="1" v="756"/>
    </bk>
    <bk>
      <rc t="1" v="757"/>
    </bk>
    <bk>
      <rc t="1" v="758"/>
    </bk>
    <bk>
      <rc t="1" v="759"/>
    </bk>
    <bk>
      <rc t="1" v="760"/>
    </bk>
    <bk>
      <rc t="1" v="761"/>
    </bk>
    <bk>
      <rc t="1" v="762"/>
    </bk>
    <bk>
      <rc t="1" v="763"/>
    </bk>
    <bk>
      <rc t="1" v="764"/>
    </bk>
    <bk>
      <rc t="1" v="765"/>
    </bk>
    <bk>
      <rc t="1" v="766"/>
    </bk>
    <bk>
      <rc t="1" v="767"/>
    </bk>
    <bk>
      <rc t="1" v="768"/>
    </bk>
    <bk>
      <rc t="1" v="769"/>
    </bk>
    <bk>
      <rc t="1" v="770"/>
    </bk>
    <bk>
      <rc t="1" v="771"/>
    </bk>
    <bk>
      <rc t="1" v="772"/>
    </bk>
    <bk>
      <rc t="1" v="773"/>
    </bk>
    <bk>
      <rc t="1" v="774"/>
    </bk>
    <bk>
      <rc t="1" v="775"/>
    </bk>
    <bk>
      <rc t="1" v="776"/>
    </bk>
    <bk>
      <rc t="1" v="777"/>
    </bk>
    <bk>
      <rc t="1" v="778"/>
    </bk>
    <bk>
      <rc t="1" v="779"/>
    </bk>
    <bk>
      <rc t="1" v="780"/>
    </bk>
    <bk>
      <rc t="1" v="781"/>
    </bk>
    <bk>
      <rc t="1" v="782"/>
    </bk>
    <bk>
      <rc t="1" v="783"/>
    </bk>
    <bk>
      <rc t="1" v="784"/>
    </bk>
    <bk>
      <rc t="1" v="785"/>
    </bk>
    <bk>
      <rc t="1" v="786"/>
    </bk>
    <bk>
      <rc t="1" v="787"/>
    </bk>
    <bk>
      <rc t="1" v="788"/>
    </bk>
    <bk>
      <rc t="1" v="789"/>
    </bk>
    <bk>
      <rc t="1" v="790"/>
    </bk>
    <bk>
      <rc t="1" v="791"/>
    </bk>
    <bk>
      <rc t="1" v="792"/>
    </bk>
    <bk>
      <rc t="1" v="793"/>
    </bk>
    <bk>
      <rc t="1" v="794"/>
    </bk>
    <bk>
      <rc t="1" v="795"/>
    </bk>
    <bk>
      <rc t="1" v="796"/>
    </bk>
    <bk>
      <rc t="1" v="797"/>
    </bk>
    <bk>
      <rc t="1" v="798"/>
    </bk>
    <bk>
      <rc t="1" v="799"/>
    </bk>
    <bk>
      <rc t="1" v="800"/>
    </bk>
    <bk>
      <rc t="1" v="801"/>
    </bk>
    <bk>
      <rc t="1" v="802"/>
    </bk>
    <bk>
      <rc t="1" v="803"/>
    </bk>
    <bk>
      <rc t="1" v="804"/>
    </bk>
    <bk>
      <rc t="1" v="805"/>
    </bk>
    <bk>
      <rc t="1" v="806"/>
    </bk>
    <bk>
      <rc t="1" v="807"/>
    </bk>
    <bk>
      <rc t="1" v="808"/>
    </bk>
    <bk>
      <rc t="1" v="809"/>
    </bk>
    <bk>
      <rc t="1" v="810"/>
    </bk>
    <bk>
      <rc t="1" v="811"/>
    </bk>
    <bk>
      <rc t="1" v="812"/>
    </bk>
    <bk>
      <rc t="1" v="813"/>
    </bk>
    <bk>
      <rc t="1" v="814"/>
    </bk>
    <bk>
      <rc t="1" v="815"/>
    </bk>
    <bk>
      <rc t="1" v="816"/>
    </bk>
    <bk>
      <rc t="1" v="817"/>
    </bk>
    <bk>
      <rc t="1" v="818"/>
    </bk>
    <bk>
      <rc t="1" v="819"/>
    </bk>
    <bk>
      <rc t="1" v="820"/>
    </bk>
    <bk>
      <rc t="1" v="821"/>
    </bk>
    <bk>
      <rc t="1" v="822"/>
    </bk>
    <bk>
      <rc t="1" v="823"/>
    </bk>
    <bk>
      <rc t="1" v="824"/>
    </bk>
    <bk>
      <rc t="1" v="825"/>
    </bk>
    <bk>
      <rc t="1" v="826"/>
    </bk>
    <bk>
      <rc t="1" v="827"/>
    </bk>
    <bk>
      <rc t="1" v="828"/>
    </bk>
    <bk>
      <rc t="1" v="829"/>
    </bk>
    <bk>
      <rc t="1" v="830"/>
    </bk>
    <bk>
      <rc t="1" v="831"/>
    </bk>
    <bk>
      <rc t="1" v="832"/>
    </bk>
    <bk>
      <rc t="1" v="833"/>
    </bk>
    <bk>
      <rc t="1" v="834"/>
    </bk>
    <bk>
      <rc t="1" v="835"/>
    </bk>
    <bk>
      <rc t="1" v="836"/>
    </bk>
    <bk>
      <rc t="1" v="837"/>
    </bk>
    <bk>
      <rc t="1" v="838"/>
    </bk>
    <bk>
      <rc t="1" v="839"/>
    </bk>
    <bk>
      <rc t="1" v="840"/>
    </bk>
    <bk>
      <rc t="1" v="841"/>
    </bk>
    <bk>
      <rc t="1" v="842"/>
    </bk>
    <bk>
      <rc t="1" v="843"/>
    </bk>
    <bk>
      <rc t="1" v="844"/>
    </bk>
    <bk>
      <rc t="1" v="845"/>
    </bk>
    <bk>
      <rc t="1" v="846"/>
    </bk>
    <bk>
      <rc t="1" v="847"/>
    </bk>
    <bk>
      <rc t="1" v="848"/>
    </bk>
    <bk>
      <rc t="1" v="849"/>
    </bk>
    <bk>
      <rc t="1" v="850"/>
    </bk>
    <bk>
      <rc t="1" v="851"/>
    </bk>
    <bk>
      <rc t="1" v="852"/>
    </bk>
    <bk>
      <rc t="1" v="853"/>
    </bk>
    <bk>
      <rc t="1" v="854"/>
    </bk>
    <bk>
      <rc t="1" v="855"/>
    </bk>
    <bk>
      <rc t="1" v="856"/>
    </bk>
    <bk>
      <rc t="1" v="857"/>
    </bk>
    <bk>
      <rc t="1" v="858"/>
    </bk>
    <bk>
      <rc t="1" v="859"/>
    </bk>
    <bk>
      <rc t="1" v="860"/>
    </bk>
    <bk>
      <rc t="1" v="861"/>
    </bk>
    <bk>
      <rc t="1" v="862"/>
    </bk>
    <bk>
      <rc t="1" v="863"/>
    </bk>
    <bk>
      <rc t="1" v="864"/>
    </bk>
    <bk>
      <rc t="1" v="865"/>
    </bk>
    <bk>
      <rc t="1" v="866"/>
    </bk>
    <bk>
      <rc t="1" v="867"/>
    </bk>
    <bk>
      <rc t="1" v="868"/>
    </bk>
    <bk>
      <rc t="1" v="869"/>
    </bk>
    <bk>
      <rc t="1" v="870"/>
    </bk>
    <bk>
      <rc t="1" v="871"/>
    </bk>
    <bk>
      <rc t="1" v="872"/>
    </bk>
    <bk>
      <rc t="1" v="873"/>
    </bk>
    <bk>
      <rc t="1" v="874"/>
    </bk>
    <bk>
      <rc t="1" v="875"/>
    </bk>
    <bk>
      <rc t="1" v="876"/>
    </bk>
    <bk>
      <rc t="1" v="877"/>
    </bk>
    <bk>
      <rc t="1" v="878"/>
    </bk>
    <bk>
      <rc t="1" v="879"/>
    </bk>
    <bk>
      <rc t="1" v="880"/>
    </bk>
    <bk>
      <rc t="1" v="881"/>
    </bk>
    <bk>
      <rc t="1" v="882"/>
    </bk>
    <bk>
      <rc t="1" v="883"/>
    </bk>
    <bk>
      <rc t="1" v="884"/>
    </bk>
    <bk>
      <rc t="1" v="885"/>
    </bk>
    <bk>
      <rc t="1" v="886"/>
    </bk>
    <bk>
      <rc t="1" v="887"/>
    </bk>
    <bk>
      <rc t="1" v="888"/>
    </bk>
    <bk>
      <rc t="1" v="889"/>
    </bk>
    <bk>
      <rc t="1" v="890"/>
    </bk>
    <bk>
      <rc t="1" v="891"/>
    </bk>
    <bk>
      <rc t="1" v="892"/>
    </bk>
    <bk>
      <rc t="1" v="893"/>
    </bk>
    <bk>
      <rc t="1" v="894"/>
    </bk>
    <bk>
      <rc t="1" v="895"/>
    </bk>
    <bk>
      <rc t="1" v="896"/>
    </bk>
    <bk>
      <rc t="1" v="897"/>
    </bk>
    <bk>
      <rc t="1" v="898"/>
    </bk>
    <bk>
      <rc t="1" v="899"/>
    </bk>
    <bk>
      <rc t="1" v="900"/>
    </bk>
    <bk>
      <rc t="1" v="901"/>
    </bk>
    <bk>
      <rc t="1" v="902"/>
    </bk>
    <bk>
      <rc t="1" v="903"/>
    </bk>
    <bk>
      <rc t="1" v="904"/>
    </bk>
    <bk>
      <rc t="1" v="905"/>
    </bk>
    <bk>
      <rc t="1" v="906"/>
    </bk>
    <bk>
      <rc t="1" v="907"/>
    </bk>
    <bk>
      <rc t="1" v="908"/>
    </bk>
    <bk>
      <rc t="1" v="909"/>
    </bk>
    <bk>
      <rc t="1" v="910"/>
    </bk>
    <bk>
      <rc t="1" v="911"/>
    </bk>
    <bk>
      <rc t="1" v="912"/>
    </bk>
    <bk>
      <rc t="1" v="913"/>
    </bk>
    <bk>
      <rc t="1" v="914"/>
    </bk>
    <bk>
      <rc t="1" v="915"/>
    </bk>
    <bk>
      <rc t="1" v="916"/>
    </bk>
    <bk>
      <rc t="1" v="917"/>
    </bk>
    <bk>
      <rc t="1" v="918"/>
    </bk>
    <bk>
      <rc t="1" v="919"/>
    </bk>
    <bk>
      <rc t="1" v="920"/>
    </bk>
    <bk>
      <rc t="1" v="921"/>
    </bk>
    <bk>
      <rc t="1" v="922"/>
    </bk>
    <bk>
      <rc t="1" v="923"/>
    </bk>
    <bk>
      <rc t="1" v="924"/>
    </bk>
    <bk>
      <rc t="1" v="925"/>
    </bk>
    <bk>
      <rc t="1" v="926"/>
    </bk>
    <bk>
      <rc t="1" v="927"/>
    </bk>
    <bk>
      <rc t="1" v="928"/>
    </bk>
    <bk>
      <rc t="1" v="929"/>
    </bk>
    <bk>
      <rc t="1" v="930"/>
    </bk>
    <bk>
      <rc t="1" v="931"/>
    </bk>
    <bk>
      <rc t="1" v="932"/>
    </bk>
    <bk>
      <rc t="1" v="933"/>
    </bk>
    <bk>
      <rc t="1" v="934"/>
    </bk>
    <bk>
      <rc t="1" v="935"/>
    </bk>
    <bk>
      <rc t="1" v="936"/>
    </bk>
    <bk>
      <rc t="1" v="937"/>
    </bk>
    <bk>
      <rc t="1" v="938"/>
    </bk>
    <bk>
      <rc t="1" v="939"/>
    </bk>
    <bk>
      <rc t="1" v="940"/>
    </bk>
    <bk>
      <rc t="1" v="941"/>
    </bk>
    <bk>
      <rc t="1" v="942"/>
    </bk>
    <bk>
      <rc t="1" v="943"/>
    </bk>
    <bk>
      <rc t="1" v="944"/>
    </bk>
    <bk>
      <rc t="1" v="945"/>
    </bk>
    <bk>
      <rc t="1" v="946"/>
    </bk>
    <bk>
      <rc t="1" v="947"/>
    </bk>
    <bk>
      <rc t="1" v="948"/>
    </bk>
    <bk>
      <rc t="1" v="949"/>
    </bk>
    <bk>
      <rc t="1" v="950"/>
    </bk>
    <bk>
      <rc t="1" v="951"/>
    </bk>
    <bk>
      <rc t="1" v="952"/>
    </bk>
    <bk>
      <rc t="1" v="953"/>
    </bk>
    <bk>
      <rc t="1" v="954"/>
    </bk>
    <bk>
      <rc t="1" v="955"/>
    </bk>
    <bk>
      <rc t="1" v="956"/>
    </bk>
    <bk>
      <rc t="1" v="957"/>
    </bk>
    <bk>
      <rc t="1" v="958"/>
    </bk>
    <bk>
      <rc t="1" v="959"/>
    </bk>
    <bk>
      <rc t="1" v="960"/>
    </bk>
    <bk>
      <rc t="1" v="961"/>
    </bk>
    <bk>
      <rc t="1" v="962"/>
    </bk>
    <bk>
      <rc t="1" v="963"/>
    </bk>
    <bk>
      <rc t="1" v="964"/>
    </bk>
    <bk>
      <rc t="1" v="965"/>
    </bk>
    <bk>
      <rc t="1" v="966"/>
    </bk>
    <bk>
      <rc t="1" v="967"/>
    </bk>
    <bk>
      <rc t="1" v="968"/>
    </bk>
    <bk>
      <rc t="1" v="969"/>
    </bk>
    <bk>
      <rc t="1" v="970"/>
    </bk>
    <bk>
      <rc t="1" v="971"/>
    </bk>
    <bk>
      <rc t="1" v="972"/>
    </bk>
    <bk>
      <rc t="1" v="973"/>
    </bk>
    <bk>
      <rc t="1" v="974"/>
    </bk>
    <bk>
      <rc t="1" v="975"/>
    </bk>
    <bk>
      <rc t="1" v="976"/>
    </bk>
    <bk>
      <rc t="1" v="977"/>
    </bk>
    <bk>
      <rc t="1" v="978"/>
    </bk>
    <bk>
      <rc t="1" v="979"/>
    </bk>
    <bk>
      <rc t="1" v="980"/>
    </bk>
    <bk>
      <rc t="1" v="981"/>
    </bk>
    <bk>
      <rc t="1" v="982"/>
    </bk>
    <bk>
      <rc t="1" v="983"/>
    </bk>
    <bk>
      <rc t="1" v="984"/>
    </bk>
    <bk>
      <rc t="1" v="985"/>
    </bk>
    <bk>
      <rc t="1" v="986"/>
    </bk>
    <bk>
      <rc t="1" v="987"/>
    </bk>
    <bk>
      <rc t="1" v="988"/>
    </bk>
    <bk>
      <rc t="1" v="989"/>
    </bk>
    <bk>
      <rc t="1" v="990"/>
    </bk>
    <bk>
      <rc t="1" v="991"/>
    </bk>
    <bk>
      <rc t="1" v="992"/>
    </bk>
    <bk>
      <rc t="1" v="993"/>
    </bk>
    <bk>
      <rc t="1" v="994"/>
    </bk>
    <bk>
      <rc t="1" v="995"/>
    </bk>
    <bk>
      <rc t="1" v="996"/>
    </bk>
    <bk>
      <rc t="1" v="997"/>
    </bk>
    <bk>
      <rc t="1" v="998"/>
    </bk>
    <bk>
      <rc t="1" v="999"/>
    </bk>
    <bk>
      <rc t="1" v="1000"/>
    </bk>
    <bk>
      <rc t="1" v="1001"/>
    </bk>
    <bk>
      <rc t="1" v="1002"/>
    </bk>
    <bk>
      <rc t="1" v="1003"/>
    </bk>
    <bk>
      <rc t="1" v="1004"/>
    </bk>
    <bk>
      <rc t="1" v="1005"/>
    </bk>
    <bk>
      <rc t="1" v="1006"/>
    </bk>
    <bk>
      <rc t="1" v="1007"/>
    </bk>
    <bk>
      <rc t="1" v="1008"/>
    </bk>
    <bk>
      <rc t="1" v="1009"/>
    </bk>
    <bk>
      <rc t="1" v="1010"/>
    </bk>
    <bk>
      <rc t="1" v="1011"/>
    </bk>
    <bk>
      <rc t="1" v="1012"/>
    </bk>
    <bk>
      <rc t="1" v="1013"/>
    </bk>
    <bk>
      <rc t="1" v="1014"/>
    </bk>
    <bk>
      <rc t="1" v="1015"/>
    </bk>
    <bk>
      <rc t="1" v="1016"/>
    </bk>
    <bk>
      <rc t="1" v="1017"/>
    </bk>
    <bk>
      <rc t="1" v="1018"/>
    </bk>
    <bk>
      <rc t="1" v="1019"/>
    </bk>
    <bk>
      <rc t="1" v="1020"/>
    </bk>
    <bk>
      <rc t="1" v="1021"/>
    </bk>
    <bk>
      <rc t="1" v="1022"/>
    </bk>
    <bk>
      <rc t="1" v="1023"/>
    </bk>
    <bk>
      <rc t="1" v="1024"/>
    </bk>
    <bk>
      <rc t="1" v="1025"/>
    </bk>
    <bk>
      <rc t="1" v="1026"/>
    </bk>
    <bk>
      <rc t="1" v="1027"/>
    </bk>
    <bk>
      <rc t="1" v="1028"/>
    </bk>
    <bk>
      <rc t="1" v="1029"/>
    </bk>
    <bk>
      <rc t="1" v="1030"/>
    </bk>
    <bk>
      <rc t="1" v="1031"/>
    </bk>
    <bk>
      <rc t="1" v="1032"/>
    </bk>
    <bk>
      <rc t="1" v="1033"/>
    </bk>
    <bk>
      <rc t="1" v="1034"/>
    </bk>
    <bk>
      <rc t="1" v="1035"/>
    </bk>
    <bk>
      <rc t="1" v="1036"/>
    </bk>
    <bk>
      <rc t="1" v="1037"/>
    </bk>
    <bk>
      <rc t="1" v="1038"/>
    </bk>
    <bk>
      <rc t="1" v="1039"/>
    </bk>
    <bk>
      <rc t="1" v="1040"/>
    </bk>
    <bk>
      <rc t="1" v="1041"/>
    </bk>
    <bk>
      <rc t="1" v="1042"/>
    </bk>
    <bk>
      <rc t="1" v="1043"/>
    </bk>
    <bk>
      <rc t="1" v="1044"/>
    </bk>
    <bk>
      <rc t="1" v="1045"/>
    </bk>
    <bk>
      <rc t="1" v="1046"/>
    </bk>
    <bk>
      <rc t="1" v="1047"/>
    </bk>
    <bk>
      <rc t="1" v="1048"/>
    </bk>
    <bk>
      <rc t="1" v="1049"/>
    </bk>
    <bk>
      <rc t="1" v="1050"/>
    </bk>
    <bk>
      <rc t="1" v="1051"/>
    </bk>
    <bk>
      <rc t="1" v="1052"/>
    </bk>
    <bk>
      <rc t="1" v="1053"/>
    </bk>
    <bk>
      <rc t="1" v="1054"/>
    </bk>
    <bk>
      <rc t="1" v="1055"/>
    </bk>
    <bk>
      <rc t="1" v="1056"/>
    </bk>
    <bk>
      <rc t="1" v="1057"/>
    </bk>
    <bk>
      <rc t="1" v="1058"/>
    </bk>
    <bk>
      <rc t="1" v="1059"/>
    </bk>
    <bk>
      <rc t="1" v="1060"/>
    </bk>
    <bk>
      <rc t="1" v="1061"/>
    </bk>
    <bk>
      <rc t="1" v="1062"/>
    </bk>
    <bk>
      <rc t="1" v="1063"/>
    </bk>
    <bk>
      <rc t="1" v="1064"/>
    </bk>
    <bk>
      <rc t="1" v="1065"/>
    </bk>
    <bk>
      <rc t="1" v="1066"/>
    </bk>
    <bk>
      <rc t="1" v="1067"/>
    </bk>
    <bk>
      <rc t="1" v="1068"/>
    </bk>
    <bk>
      <rc t="1" v="1069"/>
    </bk>
    <bk>
      <rc t="1" v="1070"/>
    </bk>
    <bk>
      <rc t="1" v="1071"/>
    </bk>
    <bk>
      <rc t="1" v="1072"/>
    </bk>
    <bk>
      <rc t="1" v="1073"/>
    </bk>
    <bk>
      <rc t="1" v="1074"/>
    </bk>
    <bk>
      <rc t="1" v="1075"/>
    </bk>
    <bk>
      <rc t="1" v="1076"/>
    </bk>
    <bk>
      <rc t="1" v="1077"/>
    </bk>
    <bk>
      <rc t="1" v="1078"/>
    </bk>
    <bk>
      <rc t="1" v="1079"/>
    </bk>
    <bk>
      <rc t="1" v="1080"/>
    </bk>
    <bk>
      <rc t="1" v="1081"/>
    </bk>
    <bk>
      <rc t="1" v="1082"/>
    </bk>
    <bk>
      <rc t="1" v="1083"/>
    </bk>
    <bk>
      <rc t="1" v="1084"/>
    </bk>
    <bk>
      <rc t="1" v="1085"/>
    </bk>
    <bk>
      <rc t="1" v="1086"/>
    </bk>
    <bk>
      <rc t="1" v="1087"/>
    </bk>
    <bk>
      <rc t="1" v="1088"/>
    </bk>
    <bk>
      <rc t="1" v="1089"/>
    </bk>
    <bk>
      <rc t="1" v="1090"/>
    </bk>
    <bk>
      <rc t="1" v="1091"/>
    </bk>
    <bk>
      <rc t="1" v="1092"/>
    </bk>
    <bk>
      <rc t="1" v="1093"/>
    </bk>
    <bk>
      <rc t="1" v="1094"/>
    </bk>
    <bk>
      <rc t="1" v="1095"/>
    </bk>
    <bk>
      <rc t="1" v="1096"/>
    </bk>
    <bk>
      <rc t="1" v="1097"/>
    </bk>
    <bk>
      <rc t="1" v="1098"/>
    </bk>
    <bk>
      <rc t="1" v="1099"/>
    </bk>
    <bk>
      <rc t="1" v="1100"/>
    </bk>
    <bk>
      <rc t="1" v="1101"/>
    </bk>
    <bk>
      <rc t="1" v="1102"/>
    </bk>
    <bk>
      <rc t="1" v="1103"/>
    </bk>
    <bk>
      <rc t="1" v="1104"/>
    </bk>
    <bk>
      <rc t="1" v="1105"/>
    </bk>
    <bk>
      <rc t="1" v="1106"/>
    </bk>
    <bk>
      <rc t="1" v="1107"/>
    </bk>
    <bk>
      <rc t="1" v="1108"/>
    </bk>
    <bk>
      <rc t="1" v="1109"/>
    </bk>
    <bk>
      <rc t="1" v="1110"/>
    </bk>
    <bk>
      <rc t="1" v="1111"/>
    </bk>
    <bk>
      <rc t="1" v="1112"/>
    </bk>
    <bk>
      <rc t="1" v="1113"/>
    </bk>
    <bk>
      <rc t="1" v="1114"/>
    </bk>
    <bk>
      <rc t="1" v="1115"/>
    </bk>
    <bk>
      <rc t="1" v="1116"/>
    </bk>
    <bk>
      <rc t="1" v="1117"/>
    </bk>
    <bk>
      <rc t="1" v="1118"/>
    </bk>
    <bk>
      <rc t="1" v="1119"/>
    </bk>
    <bk>
      <rc t="1" v="1120"/>
    </bk>
    <bk>
      <rc t="1" v="1121"/>
    </bk>
    <bk>
      <rc t="1" v="1122"/>
    </bk>
    <bk>
      <rc t="1" v="1123"/>
    </bk>
    <bk>
      <rc t="1" v="1124"/>
    </bk>
    <bk>
      <rc t="1" v="1125"/>
    </bk>
    <bk>
      <rc t="1" v="1126"/>
    </bk>
    <bk>
      <rc t="1" v="1127"/>
    </bk>
    <bk>
      <rc t="1" v="1128"/>
    </bk>
    <bk>
      <rc t="1" v="1129"/>
    </bk>
    <bk>
      <rc t="1" v="1130"/>
    </bk>
    <bk>
      <rc t="1" v="1131"/>
    </bk>
    <bk>
      <rc t="1" v="1132"/>
    </bk>
    <bk>
      <rc t="1" v="1133"/>
    </bk>
    <bk>
      <rc t="1" v="1134"/>
    </bk>
    <bk>
      <rc t="1" v="1135"/>
    </bk>
    <bk>
      <rc t="1" v="1136"/>
    </bk>
    <bk>
      <rc t="1" v="1137"/>
    </bk>
    <bk>
      <rc t="1" v="1138"/>
    </bk>
    <bk>
      <rc t="1" v="1139"/>
    </bk>
    <bk>
      <rc t="1" v="1140"/>
    </bk>
    <bk>
      <rc t="1" v="1141"/>
    </bk>
    <bk>
      <rc t="1" v="1142"/>
    </bk>
    <bk>
      <rc t="1" v="1143"/>
    </bk>
    <bk>
      <rc t="1" v="1144"/>
    </bk>
    <bk>
      <rc t="1" v="1145"/>
    </bk>
    <bk>
      <rc t="1" v="1146"/>
    </bk>
    <bk>
      <rc t="1" v="1147"/>
    </bk>
    <bk>
      <rc t="1" v="1148"/>
    </bk>
    <bk>
      <rc t="1" v="1149"/>
    </bk>
    <bk>
      <rc t="1" v="1150"/>
    </bk>
    <bk>
      <rc t="1" v="1151"/>
    </bk>
    <bk>
      <rc t="1" v="1152"/>
    </bk>
    <bk>
      <rc t="1" v="1153"/>
    </bk>
    <bk>
      <rc t="1" v="1154"/>
    </bk>
    <bk>
      <rc t="1" v="1155"/>
    </bk>
    <bk>
      <rc t="1" v="1156"/>
    </bk>
    <bk>
      <rc t="1" v="1157"/>
    </bk>
    <bk>
      <rc t="1" v="1158"/>
    </bk>
    <bk>
      <rc t="1" v="1159"/>
    </bk>
    <bk>
      <rc t="1" v="1160"/>
    </bk>
    <bk>
      <rc t="1" v="1161"/>
    </bk>
    <bk>
      <rc t="1" v="1162"/>
    </bk>
    <bk>
      <rc t="1" v="1163"/>
    </bk>
    <bk>
      <rc t="1" v="1164"/>
    </bk>
    <bk>
      <rc t="1" v="1165"/>
    </bk>
    <bk>
      <rc t="1" v="1166"/>
    </bk>
    <bk>
      <rc t="1" v="1167"/>
    </bk>
    <bk>
      <rc t="1" v="1168"/>
    </bk>
    <bk>
      <rc t="1" v="1169"/>
    </bk>
    <bk>
      <rc t="1" v="1170"/>
    </bk>
    <bk>
      <rc t="1" v="1171"/>
    </bk>
    <bk>
      <rc t="1" v="1172"/>
    </bk>
    <bk>
      <rc t="1" v="1173"/>
    </bk>
    <bk>
      <rc t="1" v="1174"/>
    </bk>
    <bk>
      <rc t="1" v="1175"/>
    </bk>
    <bk>
      <rc t="1" v="1176"/>
    </bk>
    <bk>
      <rc t="1" v="1177"/>
    </bk>
    <bk>
      <rc t="1" v="1178"/>
    </bk>
    <bk>
      <rc t="1" v="1179"/>
    </bk>
    <bk>
      <rc t="1" v="1180"/>
    </bk>
    <bk>
      <rc t="1" v="1181"/>
    </bk>
    <bk>
      <rc t="1" v="1182"/>
    </bk>
    <bk>
      <rc t="1" v="1183"/>
    </bk>
    <bk>
      <rc t="1" v="1184"/>
    </bk>
    <bk>
      <rc t="1" v="1185"/>
    </bk>
    <bk>
      <rc t="1" v="1186"/>
    </bk>
    <bk>
      <rc t="1" v="1187"/>
    </bk>
    <bk>
      <rc t="1" v="1188"/>
    </bk>
    <bk>
      <rc t="1" v="1189"/>
    </bk>
    <bk>
      <rc t="1" v="1190"/>
    </bk>
    <bk>
      <rc t="1" v="1191"/>
    </bk>
    <bk>
      <rc t="1" v="1192"/>
    </bk>
    <bk>
      <rc t="1" v="1193"/>
    </bk>
    <bk>
      <rc t="1" v="1194"/>
    </bk>
    <bk>
      <rc t="1" v="1195"/>
    </bk>
    <bk>
      <rc t="1" v="1196"/>
    </bk>
    <bk>
      <rc t="1" v="1197"/>
    </bk>
    <bk>
      <rc t="1" v="1198"/>
    </bk>
    <bk>
      <rc t="1" v="1199"/>
    </bk>
    <bk>
      <rc t="1" v="1200"/>
    </bk>
    <bk>
      <rc t="1" v="1201"/>
    </bk>
    <bk>
      <rc t="1" v="1202"/>
    </bk>
    <bk>
      <rc t="1" v="1203"/>
    </bk>
    <bk>
      <rc t="1" v="1204"/>
    </bk>
    <bk>
      <rc t="1" v="1205"/>
    </bk>
    <bk>
      <rc t="1" v="1206"/>
    </bk>
    <bk>
      <rc t="1" v="1207"/>
    </bk>
    <bk>
      <rc t="1" v="1208"/>
    </bk>
    <bk>
      <rc t="1" v="1209"/>
    </bk>
    <bk>
      <rc t="1" v="1210"/>
    </bk>
    <bk>
      <rc t="1" v="1211"/>
    </bk>
    <bk>
      <rc t="1" v="1212"/>
    </bk>
    <bk>
      <rc t="1" v="1213"/>
    </bk>
    <bk>
      <rc t="1" v="1214"/>
    </bk>
    <bk>
      <rc t="1" v="1215"/>
    </bk>
    <bk>
      <rc t="1" v="1216"/>
    </bk>
    <bk>
      <rc t="1" v="1217"/>
    </bk>
    <bk>
      <rc t="1" v="1218"/>
    </bk>
    <bk>
      <rc t="1" v="1219"/>
    </bk>
    <bk>
      <rc t="1" v="1220"/>
    </bk>
    <bk>
      <rc t="1" v="1221"/>
    </bk>
    <bk>
      <rc t="1" v="1222"/>
    </bk>
    <bk>
      <rc t="1" v="1223"/>
    </bk>
    <bk>
      <rc t="1" v="1224"/>
    </bk>
    <bk>
      <rc t="1" v="1225"/>
    </bk>
    <bk>
      <rc t="1" v="1226"/>
    </bk>
    <bk>
      <rc t="1" v="1227"/>
    </bk>
    <bk>
      <rc t="1" v="1228"/>
    </bk>
    <bk>
      <rc t="1" v="1229"/>
    </bk>
    <bk>
      <rc t="1" v="1230"/>
    </bk>
    <bk>
      <rc t="1" v="1231"/>
    </bk>
    <bk>
      <rc t="1" v="1232"/>
    </bk>
    <bk>
      <rc t="1" v="1233"/>
    </bk>
    <bk>
      <rc t="1" v="1234"/>
    </bk>
    <bk>
      <rc t="1" v="1235"/>
    </bk>
    <bk>
      <rc t="1" v="1236"/>
    </bk>
    <bk>
      <rc t="1" v="1237"/>
    </bk>
    <bk>
      <rc t="1" v="1238"/>
    </bk>
    <bk>
      <rc t="1" v="1239"/>
    </bk>
    <bk>
      <rc t="1" v="1240"/>
    </bk>
    <bk>
      <rc t="1" v="1241"/>
    </bk>
    <bk>
      <rc t="1" v="1242"/>
    </bk>
    <bk>
      <rc t="1" v="1243"/>
    </bk>
    <bk>
      <rc t="1" v="1244"/>
    </bk>
    <bk>
      <rc t="1" v="1245"/>
    </bk>
    <bk>
      <rc t="1" v="1246"/>
    </bk>
    <bk>
      <rc t="1" v="1247"/>
    </bk>
    <bk>
      <rc t="1" v="1248"/>
    </bk>
    <bk>
      <rc t="1" v="1249"/>
    </bk>
    <bk>
      <rc t="1" v="1250"/>
    </bk>
    <bk>
      <rc t="1" v="1251"/>
    </bk>
    <bk>
      <rc t="1" v="1252"/>
    </bk>
    <bk>
      <rc t="1" v="1253"/>
    </bk>
    <bk>
      <rc t="1" v="1254"/>
    </bk>
    <bk>
      <rc t="1" v="1255"/>
    </bk>
    <bk>
      <rc t="1" v="1256"/>
    </bk>
    <bk>
      <rc t="1" v="1257"/>
    </bk>
    <bk>
      <rc t="1" v="1258"/>
    </bk>
    <bk>
      <rc t="1" v="1259"/>
    </bk>
    <bk>
      <rc t="1" v="1260"/>
    </bk>
    <bk>
      <rc t="1" v="1261"/>
    </bk>
    <bk>
      <rc t="1" v="1262"/>
    </bk>
    <bk>
      <rc t="1" v="1263"/>
    </bk>
    <bk>
      <rc t="1" v="1264"/>
    </bk>
    <bk>
      <rc t="1" v="1265"/>
    </bk>
    <bk>
      <rc t="1" v="1266"/>
    </bk>
    <bk>
      <rc t="1" v="1267"/>
    </bk>
    <bk>
      <rc t="1" v="1268"/>
    </bk>
    <bk>
      <rc t="1" v="1269"/>
    </bk>
    <bk>
      <rc t="1" v="1270"/>
    </bk>
    <bk>
      <rc t="1" v="1271"/>
    </bk>
    <bk>
      <rc t="1" v="1272"/>
    </bk>
    <bk>
      <rc t="1" v="1273"/>
    </bk>
    <bk>
      <rc t="1" v="1274"/>
    </bk>
    <bk>
      <rc t="1" v="1275"/>
    </bk>
    <bk>
      <rc t="1" v="1276"/>
    </bk>
    <bk>
      <rc t="1" v="1277"/>
    </bk>
    <bk>
      <rc t="1" v="1278"/>
    </bk>
    <bk>
      <rc t="1" v="1279"/>
    </bk>
    <bk>
      <rc t="1" v="1280"/>
    </bk>
    <bk>
      <rc t="1" v="1281"/>
    </bk>
    <bk>
      <rc t="1" v="1282"/>
    </bk>
    <bk>
      <rc t="1" v="1283"/>
    </bk>
    <bk>
      <rc t="1" v="1284"/>
    </bk>
    <bk>
      <rc t="1" v="1285"/>
    </bk>
    <bk>
      <rc t="1" v="1286"/>
    </bk>
    <bk>
      <rc t="1" v="1287"/>
    </bk>
    <bk>
      <rc t="1" v="1288"/>
    </bk>
    <bk>
      <rc t="1" v="1289"/>
    </bk>
    <bk>
      <rc t="1" v="1290"/>
    </bk>
    <bk>
      <rc t="1" v="1291"/>
    </bk>
    <bk>
      <rc t="1" v="1292"/>
    </bk>
    <bk>
      <rc t="1" v="1293"/>
    </bk>
    <bk>
      <rc t="1" v="1294"/>
    </bk>
    <bk>
      <rc t="1" v="1295"/>
    </bk>
    <bk>
      <rc t="1" v="1296"/>
    </bk>
    <bk>
      <rc t="1" v="1297"/>
    </bk>
    <bk>
      <rc t="1" v="1298"/>
    </bk>
    <bk>
      <rc t="1" v="1299"/>
    </bk>
    <bk>
      <rc t="1" v="1300"/>
    </bk>
    <bk>
      <rc t="1" v="1301"/>
    </bk>
    <bk>
      <rc t="1" v="1302"/>
    </bk>
    <bk>
      <rc t="1" v="1303"/>
    </bk>
    <bk>
      <rc t="1" v="1304"/>
    </bk>
    <bk>
      <rc t="1" v="1305"/>
    </bk>
    <bk>
      <rc t="1" v="1306"/>
    </bk>
    <bk>
      <rc t="1" v="1307"/>
    </bk>
    <bk>
      <rc t="1" v="1308"/>
    </bk>
    <bk>
      <rc t="1" v="1309"/>
    </bk>
    <bk>
      <rc t="1" v="1310"/>
    </bk>
    <bk>
      <rc t="1" v="1311"/>
    </bk>
    <bk>
      <rc t="1" v="1312"/>
    </bk>
    <bk>
      <rc t="1" v="1313"/>
    </bk>
    <bk>
      <rc t="1" v="1314"/>
    </bk>
    <bk>
      <rc t="1" v="1315"/>
    </bk>
    <bk>
      <rc t="1" v="1316"/>
    </bk>
    <bk>
      <rc t="1" v="1317"/>
    </bk>
    <bk>
      <rc t="1" v="1318"/>
    </bk>
    <bk>
      <rc t="1" v="1319"/>
    </bk>
    <bk>
      <rc t="1" v="1320"/>
    </bk>
    <bk>
      <rc t="1" v="1321"/>
    </bk>
    <bk>
      <rc t="1" v="1322"/>
    </bk>
    <bk>
      <rc t="1" v="1323"/>
    </bk>
    <bk>
      <rc t="1" v="1324"/>
    </bk>
    <bk>
      <rc t="1" v="1325"/>
    </bk>
    <bk>
      <rc t="1" v="1326"/>
    </bk>
    <bk>
      <rc t="1" v="1327"/>
    </bk>
    <bk>
      <rc t="1" v="1328"/>
    </bk>
    <bk>
      <rc t="1" v="1329"/>
    </bk>
    <bk>
      <rc t="1" v="1330"/>
    </bk>
    <bk>
      <rc t="1" v="1331"/>
    </bk>
    <bk>
      <rc t="1" v="1332"/>
    </bk>
    <bk>
      <rc t="1" v="1333"/>
    </bk>
    <bk>
      <rc t="1" v="1334"/>
    </bk>
    <bk>
      <rc t="1" v="1335"/>
    </bk>
    <bk>
      <rc t="1" v="1336"/>
    </bk>
    <bk>
      <rc t="1" v="1337"/>
    </bk>
    <bk>
      <rc t="1" v="1338"/>
    </bk>
    <bk>
      <rc t="1" v="1339"/>
    </bk>
    <bk>
      <rc t="1" v="1340"/>
    </bk>
    <bk>
      <rc t="1" v="1341"/>
    </bk>
    <bk>
      <rc t="1" v="1342"/>
    </bk>
    <bk>
      <rc t="1" v="1343"/>
    </bk>
    <bk>
      <rc t="1" v="1344"/>
    </bk>
    <bk>
      <rc t="1" v="1345"/>
    </bk>
    <bk>
      <rc t="1" v="1346"/>
    </bk>
    <bk>
      <rc t="1" v="1347"/>
    </bk>
    <bk>
      <rc t="1" v="1348"/>
    </bk>
    <bk>
      <rc t="1" v="1349"/>
    </bk>
    <bk>
      <rc t="1" v="1350"/>
    </bk>
    <bk>
      <rc t="1" v="1351"/>
    </bk>
    <bk>
      <rc t="1" v="1352"/>
    </bk>
    <bk>
      <rc t="1" v="1353"/>
    </bk>
    <bk>
      <rc t="1" v="1354"/>
    </bk>
    <bk>
      <rc t="1" v="1355"/>
    </bk>
    <bk>
      <rc t="1" v="1356"/>
    </bk>
    <bk>
      <rc t="1" v="1357"/>
    </bk>
    <bk>
      <rc t="1" v="1358"/>
    </bk>
    <bk>
      <rc t="1" v="1359"/>
    </bk>
    <bk>
      <rc t="1" v="1360"/>
    </bk>
    <bk>
      <rc t="1" v="1361"/>
    </bk>
    <bk>
      <rc t="1" v="1362"/>
    </bk>
    <bk>
      <rc t="1" v="1363"/>
    </bk>
    <bk>
      <rc t="1" v="1364"/>
    </bk>
    <bk>
      <rc t="1" v="1365"/>
    </bk>
    <bk>
      <rc t="1" v="1366"/>
    </bk>
    <bk>
      <rc t="1" v="1367"/>
    </bk>
    <bk>
      <rc t="1" v="1368"/>
    </bk>
    <bk>
      <rc t="1" v="1369"/>
    </bk>
    <bk>
      <rc t="1" v="1370"/>
    </bk>
    <bk>
      <rc t="1" v="1371"/>
    </bk>
    <bk>
      <rc t="1" v="1372"/>
    </bk>
    <bk>
      <rc t="1" v="1373"/>
    </bk>
    <bk>
      <rc t="1" v="1374"/>
    </bk>
    <bk>
      <rc t="1" v="1375"/>
    </bk>
    <bk>
      <rc t="1" v="1376"/>
    </bk>
    <bk>
      <rc t="1" v="1377"/>
    </bk>
    <bk>
      <rc t="1" v="1378"/>
    </bk>
    <bk>
      <rc t="1" v="1379"/>
    </bk>
    <bk>
      <rc t="1" v="1380"/>
    </bk>
    <bk>
      <rc t="1" v="1381"/>
    </bk>
    <bk>
      <rc t="1" v="1382"/>
    </bk>
    <bk>
      <rc t="1" v="1383"/>
    </bk>
    <bk>
      <rc t="1" v="1384"/>
    </bk>
    <bk>
      <rc t="1" v="1385"/>
    </bk>
    <bk>
      <rc t="1" v="1386"/>
    </bk>
    <bk>
      <rc t="1" v="1387"/>
    </bk>
    <bk>
      <rc t="1" v="1388"/>
    </bk>
    <bk>
      <rc t="1" v="1389"/>
    </bk>
    <bk>
      <rc t="1" v="1390"/>
    </bk>
    <bk>
      <rc t="1" v="1391"/>
    </bk>
    <bk>
      <rc t="1" v="1392"/>
    </bk>
    <bk>
      <rc t="1" v="1393"/>
    </bk>
    <bk>
      <rc t="1" v="1394"/>
    </bk>
    <bk>
      <rc t="1" v="1395"/>
    </bk>
    <bk>
      <rc t="1" v="1396"/>
    </bk>
    <bk>
      <rc t="1" v="1397"/>
    </bk>
    <bk>
      <rc t="1" v="1398"/>
    </bk>
    <bk>
      <rc t="1" v="1399"/>
    </bk>
    <bk>
      <rc t="1" v="1400"/>
    </bk>
    <bk>
      <rc t="1" v="1401"/>
    </bk>
    <bk>
      <rc t="1" v="1402"/>
    </bk>
    <bk>
      <rc t="1" v="1403"/>
    </bk>
    <bk>
      <rc t="1" v="1404"/>
    </bk>
    <bk>
      <rc t="1" v="1405"/>
    </bk>
    <bk>
      <rc t="1" v="1406"/>
    </bk>
    <bk>
      <rc t="1" v="1407"/>
    </bk>
    <bk>
      <rc t="1" v="1408"/>
    </bk>
    <bk>
      <rc t="1" v="1409"/>
    </bk>
    <bk>
      <rc t="1" v="1410"/>
    </bk>
    <bk>
      <rc t="1" v="1411"/>
    </bk>
    <bk>
      <rc t="1" v="1412"/>
    </bk>
    <bk>
      <rc t="1" v="1413"/>
    </bk>
    <bk>
      <rc t="1" v="1414"/>
    </bk>
    <bk>
      <rc t="1" v="1415"/>
    </bk>
    <bk>
      <rc t="1" v="1416"/>
    </bk>
    <bk>
      <rc t="1" v="1417"/>
    </bk>
    <bk>
      <rc t="1" v="1418"/>
    </bk>
    <bk>
      <rc t="1" v="1419"/>
    </bk>
    <bk>
      <rc t="1" v="1420"/>
    </bk>
    <bk>
      <rc t="1" v="1421"/>
    </bk>
    <bk>
      <rc t="1" v="1422"/>
    </bk>
    <bk>
      <rc t="1" v="1423"/>
    </bk>
    <bk>
      <rc t="1" v="1424"/>
    </bk>
    <bk>
      <rc t="1" v="1425"/>
    </bk>
    <bk>
      <rc t="1" v="1426"/>
    </bk>
    <bk>
      <rc t="1" v="1427"/>
    </bk>
    <bk>
      <rc t="1" v="1428"/>
    </bk>
    <bk>
      <rc t="1" v="1429"/>
    </bk>
    <bk>
      <rc t="1" v="1430"/>
    </bk>
    <bk>
      <rc t="1" v="1431"/>
    </bk>
    <bk>
      <rc t="1" v="1432"/>
    </bk>
    <bk>
      <rc t="1" v="1433"/>
    </bk>
    <bk>
      <rc t="1" v="1434"/>
    </bk>
    <bk>
      <rc t="1" v="1435"/>
    </bk>
    <bk>
      <rc t="1" v="1436"/>
    </bk>
    <bk>
      <rc t="1" v="1437"/>
    </bk>
    <bk>
      <rc t="1" v="1438"/>
    </bk>
    <bk>
      <rc t="1" v="1439"/>
    </bk>
    <bk>
      <rc t="1" v="1440"/>
    </bk>
    <bk>
      <rc t="1" v="1441"/>
    </bk>
    <bk>
      <rc t="1" v="1442"/>
    </bk>
    <bk>
      <rc t="1" v="1443"/>
    </bk>
    <bk>
      <rc t="1" v="1444"/>
    </bk>
    <bk>
      <rc t="1" v="1445"/>
    </bk>
    <bk>
      <rc t="1" v="1446"/>
    </bk>
    <bk>
      <rc t="1" v="1447"/>
    </bk>
    <bk>
      <rc t="1" v="1448"/>
    </bk>
    <bk>
      <rc t="1" v="1449"/>
    </bk>
    <bk>
      <rc t="1" v="1450"/>
    </bk>
    <bk>
      <rc t="1" v="1451"/>
    </bk>
    <bk>
      <rc t="1" v="1452"/>
    </bk>
    <bk>
      <rc t="1" v="1453"/>
    </bk>
    <bk>
      <rc t="1" v="1454"/>
    </bk>
    <bk>
      <rc t="1" v="1455"/>
    </bk>
    <bk>
      <rc t="1" v="1456"/>
    </bk>
    <bk>
      <rc t="1" v="1457"/>
    </bk>
    <bk>
      <rc t="1" v="1458"/>
    </bk>
    <bk>
      <rc t="1" v="1459"/>
    </bk>
    <bk>
      <rc t="1" v="1460"/>
    </bk>
    <bk>
      <rc t="1" v="1461"/>
    </bk>
    <bk>
      <rc t="1" v="1462"/>
    </bk>
    <bk>
      <rc t="1" v="1463"/>
    </bk>
    <bk>
      <rc t="1" v="1464"/>
    </bk>
    <bk>
      <rc t="1" v="1465"/>
    </bk>
    <bk>
      <rc t="1" v="1466"/>
    </bk>
    <bk>
      <rc t="1" v="1467"/>
    </bk>
    <bk>
      <rc t="1" v="1468"/>
    </bk>
    <bk>
      <rc t="1" v="1469"/>
    </bk>
    <bk>
      <rc t="1" v="1470"/>
    </bk>
    <bk>
      <rc t="1" v="1471"/>
    </bk>
    <bk>
      <rc t="1" v="1472"/>
    </bk>
    <bk>
      <rc t="1" v="1473"/>
    </bk>
    <bk>
      <rc t="1" v="1474"/>
    </bk>
    <bk>
      <rc t="1" v="1475"/>
    </bk>
    <bk>
      <rc t="1" v="1476"/>
    </bk>
    <bk>
      <rc t="1" v="1477"/>
    </bk>
    <bk>
      <rc t="1" v="1478"/>
    </bk>
    <bk>
      <rc t="1" v="1479"/>
    </bk>
    <bk>
      <rc t="1" v="1480"/>
    </bk>
    <bk>
      <rc t="1" v="1481"/>
    </bk>
    <bk>
      <rc t="1" v="1482"/>
    </bk>
    <bk>
      <rc t="1" v="1483"/>
    </bk>
    <bk>
      <rc t="1" v="1484"/>
    </bk>
    <bk>
      <rc t="1" v="1485"/>
    </bk>
    <bk>
      <rc t="1" v="1486"/>
    </bk>
    <bk>
      <rc t="1" v="1487"/>
    </bk>
    <bk>
      <rc t="1" v="1488"/>
    </bk>
    <bk>
      <rc t="1" v="1489"/>
    </bk>
    <bk>
      <rc t="1" v="1490"/>
    </bk>
    <bk>
      <rc t="1" v="1491"/>
    </bk>
    <bk>
      <rc t="1" v="1492"/>
    </bk>
    <bk>
      <rc t="1" v="1493"/>
    </bk>
    <bk>
      <rc t="1" v="1494"/>
    </bk>
    <bk>
      <rc t="1" v="1495"/>
    </bk>
    <bk>
      <rc t="1" v="1496"/>
    </bk>
    <bk>
      <rc t="1" v="1497"/>
    </bk>
    <bk>
      <rc t="1" v="1498"/>
    </bk>
    <bk>
      <rc t="1" v="1499"/>
    </bk>
    <bk>
      <rc t="1" v="1500"/>
    </bk>
    <bk>
      <rc t="1" v="1501"/>
    </bk>
    <bk>
      <rc t="1" v="1502"/>
    </bk>
    <bk>
      <rc t="1" v="1503"/>
    </bk>
    <bk>
      <rc t="1" v="1504"/>
    </bk>
    <bk>
      <rc t="1" v="1505"/>
    </bk>
    <bk>
      <rc t="1" v="1506"/>
    </bk>
    <bk>
      <rc t="1" v="1507"/>
    </bk>
    <bk>
      <rc t="1" v="1508"/>
    </bk>
    <bk>
      <rc t="1" v="1509"/>
    </bk>
    <bk>
      <rc t="1" v="1510"/>
    </bk>
    <bk>
      <rc t="1" v="1511"/>
    </bk>
    <bk>
      <rc t="1" v="1512"/>
    </bk>
    <bk>
      <rc t="1" v="1513"/>
    </bk>
    <bk>
      <rc t="1" v="1514"/>
    </bk>
    <bk>
      <rc t="1" v="1515"/>
    </bk>
    <bk>
      <rc t="1" v="1516"/>
    </bk>
    <bk>
      <rc t="1" v="1517"/>
    </bk>
    <bk>
      <rc t="1" v="1518"/>
    </bk>
    <bk>
      <rc t="1" v="1519"/>
    </bk>
    <bk>
      <rc t="1" v="1520"/>
    </bk>
    <bk>
      <rc t="1" v="1521"/>
    </bk>
    <bk>
      <rc t="1" v="1522"/>
    </bk>
    <bk>
      <rc t="1" v="1523"/>
    </bk>
    <bk>
      <rc t="1" v="1524"/>
    </bk>
    <bk>
      <rc t="1" v="1525"/>
    </bk>
    <bk>
      <rc t="1" v="1526"/>
    </bk>
    <bk>
      <rc t="1" v="1527"/>
    </bk>
    <bk>
      <rc t="1" v="1528"/>
    </bk>
    <bk>
      <rc t="1" v="1529"/>
    </bk>
    <bk>
      <rc t="1" v="1530"/>
    </bk>
    <bk>
      <rc t="1" v="1531"/>
    </bk>
    <bk>
      <rc t="1" v="1532"/>
    </bk>
    <bk>
      <rc t="1" v="1533"/>
    </bk>
    <bk>
      <rc t="1" v="1534"/>
    </bk>
    <bk>
      <rc t="1" v="1535"/>
    </bk>
    <bk>
      <rc t="1" v="1536"/>
    </bk>
    <bk>
      <rc t="1" v="1537"/>
    </bk>
    <bk>
      <rc t="1" v="1538"/>
    </bk>
    <bk>
      <rc t="1" v="1539"/>
    </bk>
    <bk>
      <rc t="1" v="1540"/>
    </bk>
    <bk>
      <rc t="1" v="1541"/>
    </bk>
    <bk>
      <rc t="1" v="1542"/>
    </bk>
    <bk>
      <rc t="1" v="1543"/>
    </bk>
    <bk>
      <rc t="1" v="1544"/>
    </bk>
    <bk>
      <rc t="1" v="1545"/>
    </bk>
    <bk>
      <rc t="1" v="1546"/>
    </bk>
    <bk>
      <rc t="1" v="1547"/>
    </bk>
    <bk>
      <rc t="1" v="1548"/>
    </bk>
    <bk>
      <rc t="1" v="1549"/>
    </bk>
    <bk>
      <rc t="1" v="1550"/>
    </bk>
    <bk>
      <rc t="1" v="1551"/>
    </bk>
    <bk>
      <rc t="1" v="1552"/>
    </bk>
    <bk>
      <rc t="1" v="1553"/>
    </bk>
    <bk>
      <rc t="1" v="1554"/>
    </bk>
    <bk>
      <rc t="1" v="1555"/>
    </bk>
    <bk>
      <rc t="1" v="1556"/>
    </bk>
    <bk>
      <rc t="1" v="1557"/>
    </bk>
    <bk>
      <rc t="1" v="1558"/>
    </bk>
    <bk>
      <rc t="1" v="1559"/>
    </bk>
    <bk>
      <rc t="1" v="1560"/>
    </bk>
    <bk>
      <rc t="1" v="1561"/>
    </bk>
    <bk>
      <rc t="1" v="1562"/>
    </bk>
    <bk>
      <rc t="1" v="1563"/>
    </bk>
    <bk>
      <rc t="1" v="1564"/>
    </bk>
    <bk>
      <rc t="1" v="1565"/>
    </bk>
    <bk>
      <rc t="1" v="1566"/>
    </bk>
    <bk>
      <rc t="1" v="1567"/>
    </bk>
    <bk>
      <rc t="1" v="1568"/>
    </bk>
    <bk>
      <rc t="1" v="1569"/>
    </bk>
    <bk>
      <rc t="1" v="1570"/>
    </bk>
    <bk>
      <rc t="1" v="1571"/>
    </bk>
    <bk>
      <rc t="1" v="1572"/>
    </bk>
    <bk>
      <rc t="1" v="1573"/>
    </bk>
    <bk>
      <rc t="1" v="1574"/>
    </bk>
    <bk>
      <rc t="1" v="1575"/>
    </bk>
    <bk>
      <rc t="1" v="1576"/>
    </bk>
    <bk>
      <rc t="1" v="1577"/>
    </bk>
    <bk>
      <rc t="1" v="1578"/>
    </bk>
    <bk>
      <rc t="1" v="1579"/>
    </bk>
    <bk>
      <rc t="1" v="1580"/>
    </bk>
    <bk>
      <rc t="1" v="1581"/>
    </bk>
    <bk>
      <rc t="1" v="1582"/>
    </bk>
    <bk>
      <rc t="1" v="1583"/>
    </bk>
    <bk>
      <rc t="1" v="1584"/>
    </bk>
    <bk>
      <rc t="1" v="1585"/>
    </bk>
    <bk>
      <rc t="1" v="1586"/>
    </bk>
    <bk>
      <rc t="1" v="1587"/>
    </bk>
    <bk>
      <rc t="1" v="1588"/>
    </bk>
    <bk>
      <rc t="1" v="1589"/>
    </bk>
    <bk>
      <rc t="1" v="1590"/>
    </bk>
    <bk>
      <rc t="1" v="1591"/>
    </bk>
    <bk>
      <rc t="1" v="1592"/>
    </bk>
    <bk>
      <rc t="1" v="1593"/>
    </bk>
    <bk>
      <rc t="1" v="1594"/>
    </bk>
    <bk>
      <rc t="1" v="1595"/>
    </bk>
    <bk>
      <rc t="1" v="1596"/>
    </bk>
    <bk>
      <rc t="1" v="1597"/>
    </bk>
    <bk>
      <rc t="1" v="1598"/>
    </bk>
    <bk>
      <rc t="1" v="1599"/>
    </bk>
    <bk>
      <rc t="1" v="1600"/>
    </bk>
    <bk>
      <rc t="1" v="1601"/>
    </bk>
    <bk>
      <rc t="1" v="1602"/>
    </bk>
    <bk>
      <rc t="1" v="1603"/>
    </bk>
    <bk>
      <rc t="1" v="1604"/>
    </bk>
    <bk>
      <rc t="1" v="1605"/>
    </bk>
    <bk>
      <rc t="1" v="1606"/>
    </bk>
    <bk>
      <rc t="1" v="1607"/>
    </bk>
    <bk>
      <rc t="1" v="1608"/>
    </bk>
    <bk>
      <rc t="1" v="1609"/>
    </bk>
    <bk>
      <rc t="1" v="1610"/>
    </bk>
    <bk>
      <rc t="1" v="1611"/>
    </bk>
    <bk>
      <rc t="1" v="1612"/>
    </bk>
    <bk>
      <rc t="1" v="1613"/>
    </bk>
    <bk>
      <rc t="1" v="1614"/>
    </bk>
    <bk>
      <rc t="1" v="1615"/>
    </bk>
    <bk>
      <rc t="1" v="1616"/>
    </bk>
    <bk>
      <rc t="1" v="1617"/>
    </bk>
    <bk>
      <rc t="1" v="1618"/>
    </bk>
    <bk>
      <rc t="1" v="1619"/>
    </bk>
    <bk>
      <rc t="1" v="1620"/>
    </bk>
    <bk>
      <rc t="1" v="1621"/>
    </bk>
    <bk>
      <rc t="1" v="1622"/>
    </bk>
    <bk>
      <rc t="1" v="1623"/>
    </bk>
    <bk>
      <rc t="1" v="1624"/>
    </bk>
    <bk>
      <rc t="1" v="1625"/>
    </bk>
    <bk>
      <rc t="1" v="1626"/>
    </bk>
    <bk>
      <rc t="1" v="1627"/>
    </bk>
    <bk>
      <rc t="1" v="1628"/>
    </bk>
    <bk>
      <rc t="1" v="1629"/>
    </bk>
    <bk>
      <rc t="1" v="1630"/>
    </bk>
    <bk>
      <rc t="1" v="1631"/>
    </bk>
    <bk>
      <rc t="1" v="1632"/>
    </bk>
    <bk>
      <rc t="1" v="1633"/>
    </bk>
    <bk>
      <rc t="1" v="1634"/>
    </bk>
    <bk>
      <rc t="1" v="1635"/>
    </bk>
    <bk>
      <rc t="1" v="1636"/>
    </bk>
    <bk>
      <rc t="1" v="1637"/>
    </bk>
    <bk>
      <rc t="1" v="1638"/>
    </bk>
    <bk>
      <rc t="1" v="1639"/>
    </bk>
    <bk>
      <rc t="1" v="1640"/>
    </bk>
    <bk>
      <rc t="1" v="1641"/>
    </bk>
    <bk>
      <rc t="1" v="1642"/>
    </bk>
    <bk>
      <rc t="1" v="1643"/>
    </bk>
    <bk>
      <rc t="1" v="1644"/>
    </bk>
    <bk>
      <rc t="1" v="1645"/>
    </bk>
    <bk>
      <rc t="1" v="1646"/>
    </bk>
    <bk>
      <rc t="1" v="1647"/>
    </bk>
    <bk>
      <rc t="1" v="1648"/>
    </bk>
    <bk>
      <rc t="1" v="1649"/>
    </bk>
    <bk>
      <rc t="1" v="1650"/>
    </bk>
    <bk>
      <rc t="1" v="1651"/>
    </bk>
    <bk>
      <rc t="1" v="1652"/>
    </bk>
    <bk>
      <rc t="1" v="1653"/>
    </bk>
    <bk>
      <rc t="1" v="1654"/>
    </bk>
    <bk>
      <rc t="1" v="1655"/>
    </bk>
    <bk>
      <rc t="1" v="1656"/>
    </bk>
    <bk>
      <rc t="1" v="1657"/>
    </bk>
    <bk>
      <rc t="1" v="1658"/>
    </bk>
    <bk>
      <rc t="1" v="1659"/>
    </bk>
    <bk>
      <rc t="1" v="1660"/>
    </bk>
    <bk>
      <rc t="1" v="1661"/>
    </bk>
    <bk>
      <rc t="1" v="1662"/>
    </bk>
    <bk>
      <rc t="1" v="1663"/>
    </bk>
    <bk>
      <rc t="1" v="1664"/>
    </bk>
    <bk>
      <rc t="1" v="1665"/>
    </bk>
    <bk>
      <rc t="1" v="1666"/>
    </bk>
    <bk>
      <rc t="1" v="1667"/>
    </bk>
    <bk>
      <rc t="1" v="1668"/>
    </bk>
    <bk>
      <rc t="1" v="1669"/>
    </bk>
    <bk>
      <rc t="1" v="1670"/>
    </bk>
    <bk>
      <rc t="1" v="1671"/>
    </bk>
    <bk>
      <rc t="1" v="1672"/>
    </bk>
    <bk>
      <rc t="1" v="1673"/>
    </bk>
    <bk>
      <rc t="1" v="1674"/>
    </bk>
    <bk>
      <rc t="1" v="1675"/>
    </bk>
    <bk>
      <rc t="1" v="1676"/>
    </bk>
    <bk>
      <rc t="1" v="1677"/>
    </bk>
    <bk>
      <rc t="1" v="1678"/>
    </bk>
    <bk>
      <rc t="1" v="1679"/>
    </bk>
    <bk>
      <rc t="1" v="1680"/>
    </bk>
    <bk>
      <rc t="1" v="1681"/>
    </bk>
    <bk>
      <rc t="1" v="1682"/>
    </bk>
    <bk>
      <rc t="1" v="1683"/>
    </bk>
    <bk>
      <rc t="1" v="1684"/>
    </bk>
    <bk>
      <rc t="1" v="1685"/>
    </bk>
    <bk>
      <rc t="1" v="1686"/>
    </bk>
    <bk>
      <rc t="1" v="1687"/>
    </bk>
    <bk>
      <rc t="1" v="1688"/>
    </bk>
    <bk>
      <rc t="1" v="1689"/>
    </bk>
    <bk>
      <rc t="1" v="1690"/>
    </bk>
    <bk>
      <rc t="1" v="1691"/>
    </bk>
    <bk>
      <rc t="1" v="1692"/>
    </bk>
    <bk>
      <rc t="1" v="1693"/>
    </bk>
    <bk>
      <rc t="1" v="1694"/>
    </bk>
    <bk>
      <rc t="1" v="1695"/>
    </bk>
    <bk>
      <rc t="1" v="1696"/>
    </bk>
    <bk>
      <rc t="1" v="1697"/>
    </bk>
    <bk>
      <rc t="1" v="1698"/>
    </bk>
    <bk>
      <rc t="1" v="1699"/>
    </bk>
    <bk>
      <rc t="1" v="1700"/>
    </bk>
    <bk>
      <rc t="1" v="1701"/>
    </bk>
    <bk>
      <rc t="1" v="1702"/>
    </bk>
    <bk>
      <rc t="1" v="1703"/>
    </bk>
    <bk>
      <rc t="1" v="1704"/>
    </bk>
    <bk>
      <rc t="1" v="1705"/>
    </bk>
    <bk>
      <rc t="1" v="1706"/>
    </bk>
    <bk>
      <rc t="1" v="1707"/>
    </bk>
    <bk>
      <rc t="1" v="1708"/>
    </bk>
    <bk>
      <rc t="1" v="1709"/>
    </bk>
    <bk>
      <rc t="1" v="1710"/>
    </bk>
    <bk>
      <rc t="1" v="1711"/>
    </bk>
    <bk>
      <rc t="1" v="1712"/>
    </bk>
    <bk>
      <rc t="1" v="1713"/>
    </bk>
    <bk>
      <rc t="1" v="1714"/>
    </bk>
    <bk>
      <rc t="1" v="1715"/>
    </bk>
    <bk>
      <rc t="1" v="1716"/>
    </bk>
    <bk>
      <rc t="1" v="1717"/>
    </bk>
    <bk>
      <rc t="1" v="1718"/>
    </bk>
    <bk>
      <rc t="1" v="1719"/>
    </bk>
    <bk>
      <rc t="1" v="1720"/>
    </bk>
    <bk>
      <rc t="1" v="1721"/>
    </bk>
    <bk>
      <rc t="1" v="1722"/>
    </bk>
    <bk>
      <rc t="1" v="1723"/>
    </bk>
    <bk>
      <rc t="1" v="1724"/>
    </bk>
    <bk>
      <rc t="1" v="1725"/>
    </bk>
    <bk>
      <rc t="1" v="1726"/>
    </bk>
    <bk>
      <rc t="1" v="1727"/>
    </bk>
    <bk>
      <rc t="1" v="1728"/>
    </bk>
    <bk>
      <rc t="1" v="1729"/>
    </bk>
    <bk>
      <rc t="1" v="1730"/>
    </bk>
    <bk>
      <rc t="1" v="1731"/>
    </bk>
    <bk>
      <rc t="1" v="1732"/>
    </bk>
    <bk>
      <rc t="1" v="1733"/>
    </bk>
    <bk>
      <rc t="1" v="1734"/>
    </bk>
    <bk>
      <rc t="1" v="1735"/>
    </bk>
    <bk>
      <rc t="1" v="1736"/>
    </bk>
    <bk>
      <rc t="1" v="1737"/>
    </bk>
    <bk>
      <rc t="1" v="1738"/>
    </bk>
    <bk>
      <rc t="1" v="1739"/>
    </bk>
    <bk>
      <rc t="1" v="1740"/>
    </bk>
    <bk>
      <rc t="1" v="1741"/>
    </bk>
    <bk>
      <rc t="1" v="1742"/>
    </bk>
    <bk>
      <rc t="1" v="1743"/>
    </bk>
    <bk>
      <rc t="1" v="1744"/>
    </bk>
    <bk>
      <rc t="1" v="1745"/>
    </bk>
    <bk>
      <rc t="1" v="1746"/>
    </bk>
    <bk>
      <rc t="1" v="1747"/>
    </bk>
    <bk>
      <rc t="1" v="1748"/>
    </bk>
    <bk>
      <rc t="1" v="1749"/>
    </bk>
    <bk>
      <rc t="1" v="1750"/>
    </bk>
    <bk>
      <rc t="1" v="1751"/>
    </bk>
    <bk>
      <rc t="1" v="1752"/>
    </bk>
    <bk>
      <rc t="1" v="1753"/>
    </bk>
    <bk>
      <rc t="1" v="1754"/>
    </bk>
    <bk>
      <rc t="1" v="1755"/>
    </bk>
    <bk>
      <rc t="1" v="1756"/>
    </bk>
    <bk>
      <rc t="1" v="1757"/>
    </bk>
    <bk>
      <rc t="1" v="1758"/>
    </bk>
    <bk>
      <rc t="1" v="1759"/>
    </bk>
    <bk>
      <rc t="1" v="1760"/>
    </bk>
    <bk>
      <rc t="1" v="1761"/>
    </bk>
    <bk>
      <rc t="1" v="1762"/>
    </bk>
    <bk>
      <rc t="1" v="1763"/>
    </bk>
    <bk>
      <rc t="1" v="1764"/>
    </bk>
    <bk>
      <rc t="1" v="1765"/>
    </bk>
    <bk>
      <rc t="1" v="1766"/>
    </bk>
    <bk>
      <rc t="1" v="1767"/>
    </bk>
    <bk>
      <rc t="1" v="1768"/>
    </bk>
    <bk>
      <rc t="1" v="1769"/>
    </bk>
    <bk>
      <rc t="1" v="1770"/>
    </bk>
    <bk>
      <rc t="1" v="1771"/>
    </bk>
    <bk>
      <rc t="1" v="1772"/>
    </bk>
    <bk>
      <rc t="1" v="1773"/>
    </bk>
    <bk>
      <rc t="1" v="1774"/>
    </bk>
    <bk>
      <rc t="1" v="1775"/>
    </bk>
    <bk>
      <rc t="1" v="1776"/>
    </bk>
    <bk>
      <rc t="1" v="1777"/>
    </bk>
    <bk>
      <rc t="1" v="1778"/>
    </bk>
    <bk>
      <rc t="1" v="1779"/>
    </bk>
    <bk>
      <rc t="1" v="1780"/>
    </bk>
    <bk>
      <rc t="1" v="1781"/>
    </bk>
    <bk>
      <rc t="1" v="1782"/>
    </bk>
    <bk>
      <rc t="1" v="1783"/>
    </bk>
    <bk>
      <rc t="1" v="1784"/>
    </bk>
    <bk>
      <rc t="1" v="1785"/>
    </bk>
    <bk>
      <rc t="1" v="1786"/>
    </bk>
    <bk>
      <rc t="1" v="1787"/>
    </bk>
    <bk>
      <rc t="1" v="1788"/>
    </bk>
    <bk>
      <rc t="1" v="1789"/>
    </bk>
    <bk>
      <rc t="1" v="1790"/>
    </bk>
    <bk>
      <rc t="1" v="1791"/>
    </bk>
    <bk>
      <rc t="1" v="1792"/>
    </bk>
    <bk>
      <rc t="1" v="1793"/>
    </bk>
    <bk>
      <rc t="1" v="1794"/>
    </bk>
    <bk>
      <rc t="1" v="1795"/>
    </bk>
    <bk>
      <rc t="1" v="1796"/>
    </bk>
    <bk>
      <rc t="1" v="1797"/>
    </bk>
    <bk>
      <rc t="1" v="1798"/>
    </bk>
    <bk>
      <rc t="1" v="1799"/>
    </bk>
    <bk>
      <rc t="1" v="1800"/>
    </bk>
    <bk>
      <rc t="1" v="1801"/>
    </bk>
    <bk>
      <rc t="1" v="1802"/>
    </bk>
    <bk>
      <rc t="1" v="1803"/>
    </bk>
    <bk>
      <rc t="1" v="1804"/>
    </bk>
    <bk>
      <rc t="1" v="1805"/>
    </bk>
    <bk>
      <rc t="1" v="1806"/>
    </bk>
    <bk>
      <rc t="1" v="1807"/>
    </bk>
    <bk>
      <rc t="1" v="1808"/>
    </bk>
    <bk>
      <rc t="1" v="1809"/>
    </bk>
    <bk>
      <rc t="1" v="1810"/>
    </bk>
    <bk>
      <rc t="1" v="1811"/>
    </bk>
    <bk>
      <rc t="1" v="1812"/>
    </bk>
    <bk>
      <rc t="1" v="1813"/>
    </bk>
    <bk>
      <rc t="1" v="1814"/>
    </bk>
    <bk>
      <rc t="1" v="1815"/>
    </bk>
    <bk>
      <rc t="1" v="1816"/>
    </bk>
    <bk>
      <rc t="1" v="1817"/>
    </bk>
    <bk>
      <rc t="1" v="1818"/>
    </bk>
    <bk>
      <rc t="1" v="1819"/>
    </bk>
    <bk>
      <rc t="1" v="1820"/>
    </bk>
    <bk>
      <rc t="1" v="1821"/>
    </bk>
    <bk>
      <rc t="1" v="1822"/>
    </bk>
    <bk>
      <rc t="1" v="1823"/>
    </bk>
    <bk>
      <rc t="1" v="1824"/>
    </bk>
    <bk>
      <rc t="1" v="1825"/>
    </bk>
    <bk>
      <rc t="1" v="1826"/>
    </bk>
    <bk>
      <rc t="1" v="1827"/>
    </bk>
    <bk>
      <rc t="1" v="1828"/>
    </bk>
    <bk>
      <rc t="1" v="1829"/>
    </bk>
    <bk>
      <rc t="1" v="1830"/>
    </bk>
    <bk>
      <rc t="1" v="1831"/>
    </bk>
    <bk>
      <rc t="1" v="1832"/>
    </bk>
    <bk>
      <rc t="1" v="1833"/>
    </bk>
    <bk>
      <rc t="1" v="1834"/>
    </bk>
    <bk>
      <rc t="1" v="1835"/>
    </bk>
    <bk>
      <rc t="1" v="1836"/>
    </bk>
    <bk>
      <rc t="1" v="1837"/>
    </bk>
    <bk>
      <rc t="1" v="1838"/>
    </bk>
    <bk>
      <rc t="1" v="1839"/>
    </bk>
    <bk>
      <rc t="1" v="1840"/>
    </bk>
    <bk>
      <rc t="1" v="1841"/>
    </bk>
    <bk>
      <rc t="1" v="1842"/>
    </bk>
    <bk>
      <rc t="1" v="1843"/>
    </bk>
    <bk>
      <rc t="1" v="1844"/>
    </bk>
    <bk>
      <rc t="1" v="1845"/>
    </bk>
    <bk>
      <rc t="1" v="1846"/>
    </bk>
    <bk>
      <rc t="1" v="1847"/>
    </bk>
    <bk>
      <rc t="1" v="1848"/>
    </bk>
    <bk>
      <rc t="1" v="1849"/>
    </bk>
    <bk>
      <rc t="1" v="1850"/>
    </bk>
    <bk>
      <rc t="1" v="1851"/>
    </bk>
    <bk>
      <rc t="1" v="1852"/>
    </bk>
    <bk>
      <rc t="1" v="1853"/>
    </bk>
    <bk>
      <rc t="1" v="1854"/>
    </bk>
    <bk>
      <rc t="1" v="1855"/>
    </bk>
    <bk>
      <rc t="1" v="1856"/>
    </bk>
    <bk>
      <rc t="1" v="1857"/>
    </bk>
    <bk>
      <rc t="1" v="1858"/>
    </bk>
    <bk>
      <rc t="1" v="1859"/>
    </bk>
    <bk>
      <rc t="1" v="1860"/>
    </bk>
    <bk>
      <rc t="1" v="1861"/>
    </bk>
    <bk>
      <rc t="1" v="1862"/>
    </bk>
    <bk>
      <rc t="1" v="1863"/>
    </bk>
    <bk>
      <rc t="1" v="1864"/>
    </bk>
    <bk>
      <rc t="1" v="1865"/>
    </bk>
    <bk>
      <rc t="1" v="1866"/>
    </bk>
    <bk>
      <rc t="1" v="1867"/>
    </bk>
    <bk>
      <rc t="1" v="1868"/>
    </bk>
    <bk>
      <rc t="1" v="1869"/>
    </bk>
    <bk>
      <rc t="1" v="1870"/>
    </bk>
    <bk>
      <rc t="1" v="1871"/>
    </bk>
    <bk>
      <rc t="1" v="1872"/>
    </bk>
    <bk>
      <rc t="1" v="1873"/>
    </bk>
    <bk>
      <rc t="1" v="1874"/>
    </bk>
    <bk>
      <rc t="1" v="1875"/>
    </bk>
    <bk>
      <rc t="1" v="1876"/>
    </bk>
    <bk>
      <rc t="1" v="1877"/>
    </bk>
    <bk>
      <rc t="1" v="1878"/>
    </bk>
    <bk>
      <rc t="1" v="1879"/>
    </bk>
    <bk>
      <rc t="1" v="1880"/>
    </bk>
    <bk>
      <rc t="1" v="1881"/>
    </bk>
    <bk>
      <rc t="1" v="1882"/>
    </bk>
    <bk>
      <rc t="1" v="1883"/>
    </bk>
    <bk>
      <rc t="1" v="1884"/>
    </bk>
    <bk>
      <rc t="1" v="1885"/>
    </bk>
    <bk>
      <rc t="1" v="1886"/>
    </bk>
    <bk>
      <rc t="1" v="1887"/>
    </bk>
    <bk>
      <rc t="1" v="1888"/>
    </bk>
    <bk>
      <rc t="1" v="1889"/>
    </bk>
    <bk>
      <rc t="1" v="1890"/>
    </bk>
    <bk>
      <rc t="1" v="1891"/>
    </bk>
    <bk>
      <rc t="1" v="1892"/>
    </bk>
    <bk>
      <rc t="1" v="1893"/>
    </bk>
    <bk>
      <rc t="1" v="1894"/>
    </bk>
    <bk>
      <rc t="1" v="1895"/>
    </bk>
    <bk>
      <rc t="1" v="1896"/>
    </bk>
    <bk>
      <rc t="1" v="1897"/>
    </bk>
    <bk>
      <rc t="1" v="1898"/>
    </bk>
    <bk>
      <rc t="1" v="1899"/>
    </bk>
    <bk>
      <rc t="1" v="1900"/>
    </bk>
    <bk>
      <rc t="1" v="1901"/>
    </bk>
    <bk>
      <rc t="1" v="1902"/>
    </bk>
    <bk>
      <rc t="1" v="1903"/>
    </bk>
    <bk>
      <rc t="1" v="1904"/>
    </bk>
    <bk>
      <rc t="1" v="1905"/>
    </bk>
    <bk>
      <rc t="1" v="1906"/>
    </bk>
    <bk>
      <rc t="1" v="1907"/>
    </bk>
    <bk>
      <rc t="1" v="1908"/>
    </bk>
    <bk>
      <rc t="1" v="1909"/>
    </bk>
    <bk>
      <rc t="1" v="1910"/>
    </bk>
    <bk>
      <rc t="1" v="1911"/>
    </bk>
    <bk>
      <rc t="1" v="1912"/>
    </bk>
    <bk>
      <rc t="1" v="1913"/>
    </bk>
    <bk>
      <rc t="1" v="1914"/>
    </bk>
    <bk>
      <rc t="1" v="1915"/>
    </bk>
    <bk>
      <rc t="1" v="1916"/>
    </bk>
    <bk>
      <rc t="1" v="1917"/>
    </bk>
    <bk>
      <rc t="1" v="1918"/>
    </bk>
    <bk>
      <rc t="1" v="1919"/>
    </bk>
    <bk>
      <rc t="1" v="1920"/>
    </bk>
    <bk>
      <rc t="1" v="1921"/>
    </bk>
    <bk>
      <rc t="1" v="1922"/>
    </bk>
    <bk>
      <rc t="1" v="1923"/>
    </bk>
    <bk>
      <rc t="1" v="1924"/>
    </bk>
    <bk>
      <rc t="1" v="1925"/>
    </bk>
    <bk>
      <rc t="1" v="1926"/>
    </bk>
    <bk>
      <rc t="1" v="1927"/>
    </bk>
    <bk>
      <rc t="1" v="1928"/>
    </bk>
    <bk>
      <rc t="1" v="1929"/>
    </bk>
    <bk>
      <rc t="1" v="1930"/>
    </bk>
    <bk>
      <rc t="1" v="1931"/>
    </bk>
    <bk>
      <rc t="1" v="1932"/>
    </bk>
    <bk>
      <rc t="1" v="1933"/>
    </bk>
    <bk>
      <rc t="1" v="1934"/>
    </bk>
    <bk>
      <rc t="1" v="1935"/>
    </bk>
    <bk>
      <rc t="1" v="1936"/>
    </bk>
    <bk>
      <rc t="1" v="1937"/>
    </bk>
    <bk>
      <rc t="1" v="1938"/>
    </bk>
    <bk>
      <rc t="1" v="1939"/>
    </bk>
    <bk>
      <rc t="1" v="1940"/>
    </bk>
    <bk>
      <rc t="1" v="1941"/>
    </bk>
    <bk>
      <rc t="1" v="1942"/>
    </bk>
    <bk>
      <rc t="1" v="1943"/>
    </bk>
    <bk>
      <rc t="1" v="1944"/>
    </bk>
    <bk>
      <rc t="1" v="1945"/>
    </bk>
    <bk>
      <rc t="1" v="1946"/>
    </bk>
    <bk>
      <rc t="1" v="1947"/>
    </bk>
    <bk>
      <rc t="1" v="1948"/>
    </bk>
    <bk>
      <rc t="1" v="1949"/>
    </bk>
    <bk>
      <rc t="1" v="1950"/>
    </bk>
    <bk>
      <rc t="1" v="1951"/>
    </bk>
    <bk>
      <rc t="1" v="1952"/>
    </bk>
    <bk>
      <rc t="1" v="1953"/>
    </bk>
    <bk>
      <rc t="1" v="1954"/>
    </bk>
    <bk>
      <rc t="1" v="1955"/>
    </bk>
    <bk>
      <rc t="1" v="1956"/>
    </bk>
    <bk>
      <rc t="1" v="1957"/>
    </bk>
    <bk>
      <rc t="1" v="1958"/>
    </bk>
    <bk>
      <rc t="1" v="1959"/>
    </bk>
    <bk>
      <rc t="1" v="1960"/>
    </bk>
    <bk>
      <rc t="1" v="1961"/>
    </bk>
    <bk>
      <rc t="1" v="1962"/>
    </bk>
    <bk>
      <rc t="1" v="1963"/>
    </bk>
    <bk>
      <rc t="1" v="1964"/>
    </bk>
    <bk>
      <rc t="1" v="1965"/>
    </bk>
    <bk>
      <rc t="1" v="1966"/>
    </bk>
    <bk>
      <rc t="1" v="1967"/>
    </bk>
    <bk>
      <rc t="1" v="1968"/>
    </bk>
    <bk>
      <rc t="1" v="1969"/>
    </bk>
    <bk>
      <rc t="1" v="1970"/>
    </bk>
    <bk>
      <rc t="1" v="1971"/>
    </bk>
    <bk>
      <rc t="1" v="1972"/>
    </bk>
    <bk>
      <rc t="1" v="1973"/>
    </bk>
    <bk>
      <rc t="1" v="1974"/>
    </bk>
    <bk>
      <rc t="1" v="1975"/>
    </bk>
    <bk>
      <rc t="1" v="1976"/>
    </bk>
    <bk>
      <rc t="1" v="1977"/>
    </bk>
    <bk>
      <rc t="1" v="1978"/>
    </bk>
    <bk>
      <rc t="1" v="1979"/>
    </bk>
    <bk>
      <rc t="1" v="1980"/>
    </bk>
    <bk>
      <rc t="1" v="1981"/>
    </bk>
    <bk>
      <rc t="1" v="1982"/>
    </bk>
    <bk>
      <rc t="1" v="1983"/>
    </bk>
    <bk>
      <rc t="1" v="1984"/>
    </bk>
    <bk>
      <rc t="1" v="1985"/>
    </bk>
    <bk>
      <rc t="1" v="1986"/>
    </bk>
    <bk>
      <rc t="1" v="1987"/>
    </bk>
    <bk>
      <rc t="1" v="1988"/>
    </bk>
    <bk>
      <rc t="1" v="1989"/>
    </bk>
    <bk>
      <rc t="1" v="1990"/>
    </bk>
    <bk>
      <rc t="1" v="1991"/>
    </bk>
    <bk>
      <rc t="1" v="1992"/>
    </bk>
    <bk>
      <rc t="1" v="1993"/>
    </bk>
    <bk>
      <rc t="1" v="1994"/>
    </bk>
    <bk>
      <rc t="1" v="1995"/>
    </bk>
    <bk>
      <rc t="1" v="1996"/>
    </bk>
    <bk>
      <rc t="1" v="1997"/>
    </bk>
    <bk>
      <rc t="1" v="1998"/>
    </bk>
    <bk>
      <rc t="1" v="1999"/>
    </bk>
    <bk>
      <rc t="1" v="2000"/>
    </bk>
    <bk>
      <rc t="1" v="2001"/>
    </bk>
    <bk>
      <rc t="1" v="2002"/>
    </bk>
    <bk>
      <rc t="1" v="2003"/>
    </bk>
    <bk>
      <rc t="1" v="2004"/>
    </bk>
    <bk>
      <rc t="1" v="2005"/>
    </bk>
    <bk>
      <rc t="1" v="2006"/>
    </bk>
    <bk>
      <rc t="1" v="2007"/>
    </bk>
    <bk>
      <rc t="1" v="2008"/>
    </bk>
    <bk>
      <rc t="1" v="2009"/>
    </bk>
    <bk>
      <rc t="1" v="2010"/>
    </bk>
    <bk>
      <rc t="1" v="2011"/>
    </bk>
    <bk>
      <rc t="1" v="2012"/>
    </bk>
    <bk>
      <rc t="1" v="2013"/>
    </bk>
    <bk>
      <rc t="1" v="2014"/>
    </bk>
    <bk>
      <rc t="1" v="2015"/>
    </bk>
    <bk>
      <rc t="1" v="2016"/>
    </bk>
    <bk>
      <rc t="1" v="2017"/>
    </bk>
    <bk>
      <rc t="1" v="2018"/>
    </bk>
    <bk>
      <rc t="1" v="2019"/>
    </bk>
    <bk>
      <rc t="1" v="2020"/>
    </bk>
    <bk>
      <rc t="1" v="2021"/>
    </bk>
    <bk>
      <rc t="1" v="2022"/>
    </bk>
    <bk>
      <rc t="1" v="2023"/>
    </bk>
    <bk>
      <rc t="1" v="2024"/>
    </bk>
    <bk>
      <rc t="1" v="2025"/>
    </bk>
    <bk>
      <rc t="1" v="2026"/>
    </bk>
    <bk>
      <rc t="1" v="2027"/>
    </bk>
    <bk>
      <rc t="1" v="2028"/>
    </bk>
    <bk>
      <rc t="1" v="2029"/>
    </bk>
    <bk>
      <rc t="1" v="2030"/>
    </bk>
    <bk>
      <rc t="1" v="2031"/>
    </bk>
    <bk>
      <rc t="1" v="2032"/>
    </bk>
    <bk>
      <rc t="1" v="2033"/>
    </bk>
    <bk>
      <rc t="1" v="2034"/>
    </bk>
    <bk>
      <rc t="1" v="2035"/>
    </bk>
    <bk>
      <rc t="1" v="2036"/>
    </bk>
    <bk>
      <rc t="1" v="2037"/>
    </bk>
    <bk>
      <rc t="1" v="2038"/>
    </bk>
    <bk>
      <rc t="1" v="2039"/>
    </bk>
    <bk>
      <rc t="1" v="2040"/>
    </bk>
    <bk>
      <rc t="1" v="2041"/>
    </bk>
    <bk>
      <rc t="1" v="2042"/>
    </bk>
    <bk>
      <rc t="1" v="2043"/>
    </bk>
    <bk>
      <rc t="1" v="2044"/>
    </bk>
    <bk>
      <rc t="1" v="2045"/>
    </bk>
    <bk>
      <rc t="1" v="2046"/>
    </bk>
    <bk>
      <rc t="1" v="2047"/>
    </bk>
    <bk>
      <rc t="1" v="2048"/>
    </bk>
    <bk>
      <rc t="1" v="2049"/>
    </bk>
    <bk>
      <rc t="1" v="2050"/>
    </bk>
    <bk>
      <rc t="1" v="2051"/>
    </bk>
    <bk>
      <rc t="1" v="2052"/>
    </bk>
    <bk>
      <rc t="1" v="2053"/>
    </bk>
    <bk>
      <rc t="1" v="2054"/>
    </bk>
    <bk>
      <rc t="1" v="2055"/>
    </bk>
    <bk>
      <rc t="1" v="2056"/>
    </bk>
    <bk>
      <rc t="1" v="2057"/>
    </bk>
    <bk>
      <rc t="1" v="2058"/>
    </bk>
    <bk>
      <rc t="1" v="2059"/>
    </bk>
    <bk>
      <rc t="1" v="2060"/>
    </bk>
    <bk>
      <rc t="1" v="2061"/>
    </bk>
    <bk>
      <rc t="1" v="2062"/>
    </bk>
    <bk>
      <rc t="1" v="2063"/>
    </bk>
    <bk>
      <rc t="1" v="2064"/>
    </bk>
    <bk>
      <rc t="1" v="2065"/>
    </bk>
    <bk>
      <rc t="1" v="2066"/>
    </bk>
    <bk>
      <rc t="1" v="2067"/>
    </bk>
    <bk>
      <rc t="1" v="2068"/>
    </bk>
    <bk>
      <rc t="1" v="2069"/>
    </bk>
    <bk>
      <rc t="1" v="2070"/>
    </bk>
    <bk>
      <rc t="1" v="2071"/>
    </bk>
    <bk>
      <rc t="1" v="2072"/>
    </bk>
    <bk>
      <rc t="1" v="2073"/>
    </bk>
    <bk>
      <rc t="1" v="2074"/>
    </bk>
    <bk>
      <rc t="1" v="2075"/>
    </bk>
    <bk>
      <rc t="1" v="2076"/>
    </bk>
    <bk>
      <rc t="1" v="2077"/>
    </bk>
    <bk>
      <rc t="1" v="2078"/>
    </bk>
    <bk>
      <rc t="1" v="2079"/>
    </bk>
    <bk>
      <rc t="1" v="2080"/>
    </bk>
    <bk>
      <rc t="1" v="2081"/>
    </bk>
    <bk>
      <rc t="1" v="2082"/>
    </bk>
    <bk>
      <rc t="1" v="2083"/>
    </bk>
    <bk>
      <rc t="1" v="2084"/>
    </bk>
    <bk>
      <rc t="1" v="2085"/>
    </bk>
    <bk>
      <rc t="1" v="2086"/>
    </bk>
    <bk>
      <rc t="1" v="2087"/>
    </bk>
    <bk>
      <rc t="1" v="2088"/>
    </bk>
    <bk>
      <rc t="1" v="2089"/>
    </bk>
    <bk>
      <rc t="1" v="2090"/>
    </bk>
    <bk>
      <rc t="1" v="2091"/>
    </bk>
    <bk>
      <rc t="1" v="2092"/>
    </bk>
    <bk>
      <rc t="1" v="2093"/>
    </bk>
    <bk>
      <rc t="1" v="2094"/>
    </bk>
    <bk>
      <rc t="1" v="2095"/>
    </bk>
    <bk>
      <rc t="1" v="2096"/>
    </bk>
    <bk>
      <rc t="1" v="2097"/>
    </bk>
    <bk>
      <rc t="1" v="2098"/>
    </bk>
    <bk>
      <rc t="1" v="2099"/>
    </bk>
    <bk>
      <rc t="1" v="2100"/>
    </bk>
    <bk>
      <rc t="1" v="2101"/>
    </bk>
    <bk>
      <rc t="1" v="2102"/>
    </bk>
    <bk>
      <rc t="1" v="2103"/>
    </bk>
    <bk>
      <rc t="1" v="2104"/>
    </bk>
    <bk>
      <rc t="1" v="2105"/>
    </bk>
    <bk>
      <rc t="1" v="2106"/>
    </bk>
    <bk>
      <rc t="1" v="2107"/>
    </bk>
    <bk>
      <rc t="1" v="2108"/>
    </bk>
    <bk>
      <rc t="1" v="2109"/>
    </bk>
    <bk>
      <rc t="1" v="2110"/>
    </bk>
    <bk>
      <rc t="1" v="2111"/>
    </bk>
    <bk>
      <rc t="1" v="2112"/>
    </bk>
    <bk>
      <rc t="1" v="2113"/>
    </bk>
    <bk>
      <rc t="1" v="2114"/>
    </bk>
    <bk>
      <rc t="1" v="2115"/>
    </bk>
    <bk>
      <rc t="1" v="2116"/>
    </bk>
    <bk>
      <rc t="1" v="2117"/>
    </bk>
    <bk>
      <rc t="1" v="2118"/>
    </bk>
    <bk>
      <rc t="1" v="2119"/>
    </bk>
    <bk>
      <rc t="1" v="2120"/>
    </bk>
    <bk>
      <rc t="1" v="2121"/>
    </bk>
    <bk>
      <rc t="1" v="2122"/>
    </bk>
    <bk>
      <rc t="1" v="2123"/>
    </bk>
    <bk>
      <rc t="1" v="2124"/>
    </bk>
    <bk>
      <rc t="1" v="2125"/>
    </bk>
    <bk>
      <rc t="1" v="2126"/>
    </bk>
    <bk>
      <rc t="1" v="2127"/>
    </bk>
    <bk>
      <rc t="1" v="2128"/>
    </bk>
    <bk>
      <rc t="1" v="2129"/>
    </bk>
    <bk>
      <rc t="1" v="2130"/>
    </bk>
    <bk>
      <rc t="1" v="2131"/>
    </bk>
    <bk>
      <rc t="1" v="2132"/>
    </bk>
    <bk>
      <rc t="1" v="2133"/>
    </bk>
    <bk>
      <rc t="1" v="2134"/>
    </bk>
    <bk>
      <rc t="1" v="2135"/>
    </bk>
    <bk>
      <rc t="1" v="2136"/>
    </bk>
    <bk>
      <rc t="1" v="2137"/>
    </bk>
    <bk>
      <rc t="1" v="2138"/>
    </bk>
    <bk>
      <rc t="1" v="2139"/>
    </bk>
    <bk>
      <rc t="1" v="2140"/>
    </bk>
    <bk>
      <rc t="1" v="2141"/>
    </bk>
    <bk>
      <rc t="1" v="2142"/>
    </bk>
    <bk>
      <rc t="1" v="2143"/>
    </bk>
    <bk>
      <rc t="1" v="2144"/>
    </bk>
    <bk>
      <rc t="1" v="2145"/>
    </bk>
    <bk>
      <rc t="1" v="2146"/>
    </bk>
    <bk>
      <rc t="1" v="2147"/>
    </bk>
    <bk>
      <rc t="1" v="2148"/>
    </bk>
    <bk>
      <rc t="1" v="2149"/>
    </bk>
    <bk>
      <rc t="1" v="2150"/>
    </bk>
    <bk>
      <rc t="1" v="2151"/>
    </bk>
    <bk>
      <rc t="1" v="2152"/>
    </bk>
    <bk>
      <rc t="1" v="2153"/>
    </bk>
    <bk>
      <rc t="1" v="2154"/>
    </bk>
    <bk>
      <rc t="1" v="2155"/>
    </bk>
    <bk>
      <rc t="1" v="2156"/>
    </bk>
    <bk>
      <rc t="1" v="2157"/>
    </bk>
    <bk>
      <rc t="1" v="2158"/>
    </bk>
    <bk>
      <rc t="1" v="2159"/>
    </bk>
    <bk>
      <rc t="1" v="2160"/>
    </bk>
    <bk>
      <rc t="1" v="2161"/>
    </bk>
    <bk>
      <rc t="1" v="2162"/>
    </bk>
    <bk>
      <rc t="1" v="2163"/>
    </bk>
    <bk>
      <rc t="1" v="2164"/>
    </bk>
    <bk>
      <rc t="1" v="2165"/>
    </bk>
    <bk>
      <rc t="1" v="2166"/>
    </bk>
    <bk>
      <rc t="1" v="2167"/>
    </bk>
    <bk>
      <rc t="1" v="2168"/>
    </bk>
    <bk>
      <rc t="1" v="2169"/>
    </bk>
    <bk>
      <rc t="1" v="2170"/>
    </bk>
    <bk>
      <rc t="1" v="2171"/>
    </bk>
    <bk>
      <rc t="1" v="2172"/>
    </bk>
    <bk>
      <rc t="1" v="2173"/>
    </bk>
    <bk>
      <rc t="1" v="2174"/>
    </bk>
    <bk>
      <rc t="1" v="2175"/>
    </bk>
    <bk>
      <rc t="1" v="2176"/>
    </bk>
    <bk>
      <rc t="1" v="2177"/>
    </bk>
    <bk>
      <rc t="1" v="2178"/>
    </bk>
    <bk>
      <rc t="1" v="2179"/>
    </bk>
    <bk>
      <rc t="1" v="2180"/>
    </bk>
    <bk>
      <rc t="1" v="2181"/>
    </bk>
    <bk>
      <rc t="1" v="2182"/>
    </bk>
    <bk>
      <rc t="1" v="2183"/>
    </bk>
    <bk>
      <rc t="1" v="2184"/>
    </bk>
    <bk>
      <rc t="1" v="2185"/>
    </bk>
    <bk>
      <rc t="1" v="2186"/>
    </bk>
    <bk>
      <rc t="1" v="2187"/>
    </bk>
    <bk>
      <rc t="1" v="2188"/>
    </bk>
    <bk>
      <rc t="1" v="2189"/>
    </bk>
    <bk>
      <rc t="1" v="2190"/>
    </bk>
    <bk>
      <rc t="1" v="2191"/>
    </bk>
    <bk>
      <rc t="1" v="2192"/>
    </bk>
    <bk>
      <rc t="1" v="2193"/>
    </bk>
    <bk>
      <rc t="1" v="2194"/>
    </bk>
    <bk>
      <rc t="1" v="2195"/>
    </bk>
    <bk>
      <rc t="1" v="2196"/>
    </bk>
    <bk>
      <rc t="1" v="2197"/>
    </bk>
    <bk>
      <rc t="1" v="2198"/>
    </bk>
    <bk>
      <rc t="1" v="2199"/>
    </bk>
    <bk>
      <rc t="1" v="2200"/>
    </bk>
    <bk>
      <rc t="1" v="2201"/>
    </bk>
    <bk>
      <rc t="1" v="2202"/>
    </bk>
    <bk>
      <rc t="1" v="2203"/>
    </bk>
    <bk>
      <rc t="1" v="2204"/>
    </bk>
    <bk>
      <rc t="1" v="2205"/>
    </bk>
    <bk>
      <rc t="1" v="2206"/>
    </bk>
    <bk>
      <rc t="1" v="2207"/>
    </bk>
    <bk>
      <rc t="1" v="2208"/>
    </bk>
    <bk>
      <rc t="1" v="2209"/>
    </bk>
    <bk>
      <rc t="1" v="2210"/>
    </bk>
    <bk>
      <rc t="1" v="2211"/>
    </bk>
    <bk>
      <rc t="1" v="2212"/>
    </bk>
    <bk>
      <rc t="1" v="2213"/>
    </bk>
    <bk>
      <rc t="1" v="2214"/>
    </bk>
    <bk>
      <rc t="1" v="2215"/>
    </bk>
    <bk>
      <rc t="1" v="2216"/>
    </bk>
    <bk>
      <rc t="1" v="2217"/>
    </bk>
    <bk>
      <rc t="1" v="2218"/>
    </bk>
    <bk>
      <rc t="1" v="2219"/>
    </bk>
    <bk>
      <rc t="1" v="2220"/>
    </bk>
    <bk>
      <rc t="1" v="2221"/>
    </bk>
    <bk>
      <rc t="1" v="2222"/>
    </bk>
    <bk>
      <rc t="1" v="2223"/>
    </bk>
    <bk>
      <rc t="1" v="2224"/>
    </bk>
    <bk>
      <rc t="1" v="2225"/>
    </bk>
    <bk>
      <rc t="1" v="2226"/>
    </bk>
    <bk>
      <rc t="1" v="2227"/>
    </bk>
    <bk>
      <rc t="1" v="2228"/>
    </bk>
    <bk>
      <rc t="1" v="2229"/>
    </bk>
    <bk>
      <rc t="1" v="2230"/>
    </bk>
    <bk>
      <rc t="1" v="2231"/>
    </bk>
    <bk>
      <rc t="1" v="2232"/>
    </bk>
    <bk>
      <rc t="1" v="2233"/>
    </bk>
    <bk>
      <rc t="1" v="2234"/>
    </bk>
    <bk>
      <rc t="1" v="2235"/>
    </bk>
    <bk>
      <rc t="1" v="2236"/>
    </bk>
    <bk>
      <rc t="1" v="2237"/>
    </bk>
    <bk>
      <rc t="1" v="2238"/>
    </bk>
    <bk>
      <rc t="1" v="2239"/>
    </bk>
    <bk>
      <rc t="1" v="2240"/>
    </bk>
    <bk>
      <rc t="1" v="2241"/>
    </bk>
    <bk>
      <rc t="1" v="2242"/>
    </bk>
    <bk>
      <rc t="1" v="2243"/>
    </bk>
    <bk>
      <rc t="1" v="2244"/>
    </bk>
    <bk>
      <rc t="1" v="2245"/>
    </bk>
    <bk>
      <rc t="1" v="2246"/>
    </bk>
    <bk>
      <rc t="1" v="2247"/>
    </bk>
    <bk>
      <rc t="1" v="2248"/>
    </bk>
    <bk>
      <rc t="1" v="2249"/>
    </bk>
    <bk>
      <rc t="1" v="2250"/>
    </bk>
    <bk>
      <rc t="1" v="2251"/>
    </bk>
    <bk>
      <rc t="1" v="2252"/>
    </bk>
    <bk>
      <rc t="1" v="2253"/>
    </bk>
    <bk>
      <rc t="1" v="2254"/>
    </bk>
    <bk>
      <rc t="1" v="2255"/>
    </bk>
    <bk>
      <rc t="1" v="2256"/>
    </bk>
    <bk>
      <rc t="1" v="2257"/>
    </bk>
    <bk>
      <rc t="1" v="2258"/>
    </bk>
    <bk>
      <rc t="1" v="2259"/>
    </bk>
    <bk>
      <rc t="1" v="2260"/>
    </bk>
    <bk>
      <rc t="1" v="2261"/>
    </bk>
    <bk>
      <rc t="1" v="2262"/>
    </bk>
    <bk>
      <rc t="1" v="2263"/>
    </bk>
    <bk>
      <rc t="1" v="2264"/>
    </bk>
    <bk>
      <rc t="1" v="2265"/>
    </bk>
    <bk>
      <rc t="1" v="2266"/>
    </bk>
    <bk>
      <rc t="1" v="2267"/>
    </bk>
    <bk>
      <rc t="1" v="2268"/>
    </bk>
    <bk>
      <rc t="1" v="2269"/>
    </bk>
    <bk>
      <rc t="1" v="2270"/>
    </bk>
    <bk>
      <rc t="1" v="2271"/>
    </bk>
    <bk>
      <rc t="1" v="2272"/>
    </bk>
    <bk>
      <rc t="1" v="2273"/>
    </bk>
    <bk>
      <rc t="1" v="2274"/>
    </bk>
    <bk>
      <rc t="1" v="2275"/>
    </bk>
    <bk>
      <rc t="1" v="2276"/>
    </bk>
    <bk>
      <rc t="1" v="2277"/>
    </bk>
    <bk>
      <rc t="1" v="2278"/>
    </bk>
    <bk>
      <rc t="1" v="2279"/>
    </bk>
    <bk>
      <rc t="1" v="2280"/>
    </bk>
    <bk>
      <rc t="1" v="2281"/>
    </bk>
    <bk>
      <rc t="1" v="2282"/>
    </bk>
    <bk>
      <rc t="1" v="2283"/>
    </bk>
    <bk>
      <rc t="1" v="2284"/>
    </bk>
    <bk>
      <rc t="1" v="2285"/>
    </bk>
    <bk>
      <rc t="1" v="2286"/>
    </bk>
    <bk>
      <rc t="1" v="2287"/>
    </bk>
    <bk>
      <rc t="1" v="2288"/>
    </bk>
    <bk>
      <rc t="1" v="2289"/>
    </bk>
    <bk>
      <rc t="1" v="2290"/>
    </bk>
    <bk>
      <rc t="1" v="2291"/>
    </bk>
    <bk>
      <rc t="1" v="2292"/>
    </bk>
    <bk>
      <rc t="1" v="2293"/>
    </bk>
    <bk>
      <rc t="1" v="2294"/>
    </bk>
    <bk>
      <rc t="1" v="2295"/>
    </bk>
    <bk>
      <rc t="1" v="2296"/>
    </bk>
    <bk>
      <rc t="1" v="2297"/>
    </bk>
    <bk>
      <rc t="1" v="2298"/>
    </bk>
    <bk>
      <rc t="1" v="2299"/>
    </bk>
    <bk>
      <rc t="1" v="2300"/>
    </bk>
    <bk>
      <rc t="1" v="2301"/>
    </bk>
    <bk>
      <rc t="1" v="2302"/>
    </bk>
    <bk>
      <rc t="1" v="2303"/>
    </bk>
    <bk>
      <rc t="1" v="2304"/>
    </bk>
    <bk>
      <rc t="1" v="2305"/>
    </bk>
    <bk>
      <rc t="1" v="2306"/>
    </bk>
    <bk>
      <rc t="1" v="2307"/>
    </bk>
    <bk>
      <rc t="1" v="2308"/>
    </bk>
    <bk>
      <rc t="1" v="2309"/>
    </bk>
    <bk>
      <rc t="1" v="2310"/>
    </bk>
    <bk>
      <rc t="1" v="2311"/>
    </bk>
    <bk>
      <rc t="1" v="2312"/>
    </bk>
    <bk>
      <rc t="1" v="2313"/>
    </bk>
    <bk>
      <rc t="1" v="2314"/>
    </bk>
    <bk>
      <rc t="1" v="2315"/>
    </bk>
    <bk>
      <rc t="1" v="2316"/>
    </bk>
    <bk>
      <rc t="1" v="2317"/>
    </bk>
    <bk>
      <rc t="1" v="2318"/>
    </bk>
    <bk>
      <rc t="1" v="2319"/>
    </bk>
    <bk>
      <rc t="1" v="2320"/>
    </bk>
    <bk>
      <rc t="1" v="2321"/>
    </bk>
    <bk>
      <rc t="1" v="2322"/>
    </bk>
    <bk>
      <rc t="1" v="2323"/>
    </bk>
    <bk>
      <rc t="1" v="2324"/>
    </bk>
    <bk>
      <rc t="1" v="2325"/>
    </bk>
    <bk>
      <rc t="1" v="2326"/>
    </bk>
    <bk>
      <rc t="1" v="2327"/>
    </bk>
    <bk>
      <rc t="1" v="2328"/>
    </bk>
    <bk>
      <rc t="1" v="2329"/>
    </bk>
    <bk>
      <rc t="1" v="2330"/>
    </bk>
    <bk>
      <rc t="1" v="2331"/>
    </bk>
    <bk>
      <rc t="1" v="2332"/>
    </bk>
    <bk>
      <rc t="1" v="2333"/>
    </bk>
    <bk>
      <rc t="1" v="2334"/>
    </bk>
    <bk>
      <rc t="1" v="2335"/>
    </bk>
    <bk>
      <rc t="1" v="2336"/>
    </bk>
    <bk>
      <rc t="1" v="2337"/>
    </bk>
    <bk>
      <rc t="1" v="2338"/>
    </bk>
    <bk>
      <rc t="1" v="2339"/>
    </bk>
    <bk>
      <rc t="1" v="2340"/>
    </bk>
    <bk>
      <rc t="1" v="2341"/>
    </bk>
    <bk>
      <rc t="1" v="2342"/>
    </bk>
    <bk>
      <rc t="1" v="2343"/>
    </bk>
    <bk>
      <rc t="1" v="2344"/>
    </bk>
    <bk>
      <rc t="1" v="2345"/>
    </bk>
    <bk>
      <rc t="1" v="2346"/>
    </bk>
    <bk>
      <rc t="1" v="2347"/>
    </bk>
    <bk>
      <rc t="1" v="2348"/>
    </bk>
    <bk>
      <rc t="1" v="2349"/>
    </bk>
    <bk>
      <rc t="1" v="2350"/>
    </bk>
    <bk>
      <rc t="1" v="2351"/>
    </bk>
    <bk>
      <rc t="1" v="2352"/>
    </bk>
    <bk>
      <rc t="1" v="2353"/>
    </bk>
    <bk>
      <rc t="1" v="2354"/>
    </bk>
    <bk>
      <rc t="1" v="2355"/>
    </bk>
    <bk>
      <rc t="1" v="2356"/>
    </bk>
    <bk>
      <rc t="1" v="2357"/>
    </bk>
    <bk>
      <rc t="1" v="2358"/>
    </bk>
    <bk>
      <rc t="1" v="2359"/>
    </bk>
    <bk>
      <rc t="1" v="2360"/>
    </bk>
    <bk>
      <rc t="1" v="2361"/>
    </bk>
    <bk>
      <rc t="1" v="2362"/>
    </bk>
    <bk>
      <rc t="1" v="2363"/>
    </bk>
    <bk>
      <rc t="1" v="2364"/>
    </bk>
    <bk>
      <rc t="1" v="2365"/>
    </bk>
    <bk>
      <rc t="1" v="2366"/>
    </bk>
    <bk>
      <rc t="1" v="2367"/>
    </bk>
    <bk>
      <rc t="1" v="2368"/>
    </bk>
    <bk>
      <rc t="1" v="2369"/>
    </bk>
    <bk>
      <rc t="1" v="2370"/>
    </bk>
    <bk>
      <rc t="1" v="2371"/>
    </bk>
    <bk>
      <rc t="1" v="2372"/>
    </bk>
    <bk>
      <rc t="1" v="2373"/>
    </bk>
    <bk>
      <rc t="1" v="2374"/>
    </bk>
    <bk>
      <rc t="1" v="2375"/>
    </bk>
    <bk>
      <rc t="1" v="2376"/>
    </bk>
    <bk>
      <rc t="1" v="2377"/>
    </bk>
    <bk>
      <rc t="1" v="2378"/>
    </bk>
    <bk>
      <rc t="1" v="2379"/>
    </bk>
    <bk>
      <rc t="1" v="2380"/>
    </bk>
    <bk>
      <rc t="1" v="2381"/>
    </bk>
    <bk>
      <rc t="1" v="2382"/>
    </bk>
    <bk>
      <rc t="1" v="2383"/>
    </bk>
    <bk>
      <rc t="1" v="2384"/>
    </bk>
    <bk>
      <rc t="1" v="2385"/>
    </bk>
    <bk>
      <rc t="1" v="2386"/>
    </bk>
    <bk>
      <rc t="1" v="2387"/>
    </bk>
    <bk>
      <rc t="1" v="2388"/>
    </bk>
    <bk>
      <rc t="1" v="2389"/>
    </bk>
    <bk>
      <rc t="1" v="2390"/>
    </bk>
    <bk>
      <rc t="1" v="2391"/>
    </bk>
    <bk>
      <rc t="1" v="2392"/>
    </bk>
    <bk>
      <rc t="1" v="2393"/>
    </bk>
    <bk>
      <rc t="1" v="2394"/>
    </bk>
    <bk>
      <rc t="1" v="2395"/>
    </bk>
    <bk>
      <rc t="1" v="2396"/>
    </bk>
    <bk>
      <rc t="1" v="2397"/>
    </bk>
    <bk>
      <rc t="1" v="2398"/>
    </bk>
    <bk>
      <rc t="1" v="2399"/>
    </bk>
    <bk>
      <rc t="1" v="2400"/>
    </bk>
    <bk>
      <rc t="1" v="2401"/>
    </bk>
    <bk>
      <rc t="1" v="2402"/>
    </bk>
    <bk>
      <rc t="1" v="2403"/>
    </bk>
    <bk>
      <rc t="1" v="2404"/>
    </bk>
    <bk>
      <rc t="1" v="2405"/>
    </bk>
    <bk>
      <rc t="1" v="2406"/>
    </bk>
    <bk>
      <rc t="1" v="2407"/>
    </bk>
    <bk>
      <rc t="1" v="2408"/>
    </bk>
    <bk>
      <rc t="1" v="2409"/>
    </bk>
    <bk>
      <rc t="1" v="2410"/>
    </bk>
    <bk>
      <rc t="1" v="2411"/>
    </bk>
    <bk>
      <rc t="1" v="2412"/>
    </bk>
    <bk>
      <rc t="1" v="2413"/>
    </bk>
    <bk>
      <rc t="1" v="2414"/>
    </bk>
    <bk>
      <rc t="1" v="2415"/>
    </bk>
    <bk>
      <rc t="1" v="2416"/>
    </bk>
    <bk>
      <rc t="1" v="2417"/>
    </bk>
    <bk>
      <rc t="1" v="2418"/>
    </bk>
    <bk>
      <rc t="1" v="2419"/>
    </bk>
    <bk>
      <rc t="1" v="2420"/>
    </bk>
    <bk>
      <rc t="1" v="2421"/>
    </bk>
    <bk>
      <rc t="1" v="2422"/>
    </bk>
    <bk>
      <rc t="1" v="2423"/>
    </bk>
    <bk>
      <rc t="1" v="2424"/>
    </bk>
    <bk>
      <rc t="1" v="2425"/>
    </bk>
    <bk>
      <rc t="1" v="2426"/>
    </bk>
    <bk>
      <rc t="1" v="2427"/>
    </bk>
    <bk>
      <rc t="1" v="2428"/>
    </bk>
    <bk>
      <rc t="1" v="2429"/>
    </bk>
    <bk>
      <rc t="1" v="2430"/>
    </bk>
    <bk>
      <rc t="1" v="2431"/>
    </bk>
    <bk>
      <rc t="1" v="2432"/>
    </bk>
    <bk>
      <rc t="1" v="2433"/>
    </bk>
    <bk>
      <rc t="1" v="2434"/>
    </bk>
    <bk>
      <rc t="1" v="2435"/>
    </bk>
    <bk>
      <rc t="1" v="2436"/>
    </bk>
    <bk>
      <rc t="1" v="2437"/>
    </bk>
    <bk>
      <rc t="1" v="2438"/>
    </bk>
    <bk>
      <rc t="1" v="2439"/>
    </bk>
    <bk>
      <rc t="1" v="2440"/>
    </bk>
    <bk>
      <rc t="1" v="2441"/>
    </bk>
    <bk>
      <rc t="1" v="2442"/>
    </bk>
    <bk>
      <rc t="1" v="2443"/>
    </bk>
    <bk>
      <rc t="1" v="2444"/>
    </bk>
    <bk>
      <rc t="1" v="2445"/>
    </bk>
    <bk>
      <rc t="1" v="2446"/>
    </bk>
    <bk>
      <rc t="1" v="2447"/>
    </bk>
    <bk>
      <rc t="1" v="2448"/>
    </bk>
    <bk>
      <rc t="1" v="2449"/>
    </bk>
    <bk>
      <rc t="1" v="2450"/>
    </bk>
    <bk>
      <rc t="1" v="2451"/>
    </bk>
    <bk>
      <rc t="1" v="2452"/>
    </bk>
    <bk>
      <rc t="1" v="2453"/>
    </bk>
    <bk>
      <rc t="1" v="2454"/>
    </bk>
    <bk>
      <rc t="1" v="2455"/>
    </bk>
    <bk>
      <rc t="1" v="2456"/>
    </bk>
    <bk>
      <rc t="1" v="2457"/>
    </bk>
    <bk>
      <rc t="1" v="2458"/>
    </bk>
    <bk>
      <rc t="1" v="2459"/>
    </bk>
    <bk>
      <rc t="1" v="2460"/>
    </bk>
    <bk>
      <rc t="1" v="2461"/>
    </bk>
    <bk>
      <rc t="1" v="2462"/>
    </bk>
    <bk>
      <rc t="1" v="2463"/>
    </bk>
    <bk>
      <rc t="1" v="2464"/>
    </bk>
    <bk>
      <rc t="1" v="2465"/>
    </bk>
    <bk>
      <rc t="1" v="2466"/>
    </bk>
    <bk>
      <rc t="1" v="2467"/>
    </bk>
    <bk>
      <rc t="1" v="2468"/>
    </bk>
    <bk>
      <rc t="1" v="2469"/>
    </bk>
    <bk>
      <rc t="1" v="2470"/>
    </bk>
    <bk>
      <rc t="1" v="2471"/>
    </bk>
    <bk>
      <rc t="1" v="2472"/>
    </bk>
    <bk>
      <rc t="1" v="2473"/>
    </bk>
    <bk>
      <rc t="1" v="2474"/>
    </bk>
    <bk>
      <rc t="1" v="2475"/>
    </bk>
    <bk>
      <rc t="1" v="2476"/>
    </bk>
    <bk>
      <rc t="1" v="2477"/>
    </bk>
    <bk>
      <rc t="1" v="2478"/>
    </bk>
    <bk>
      <rc t="1" v="2479"/>
    </bk>
    <bk>
      <rc t="1" v="2480"/>
    </bk>
    <bk>
      <rc t="1" v="2481"/>
    </bk>
    <bk>
      <rc t="1" v="2482"/>
    </bk>
    <bk>
      <rc t="1" v="2483"/>
    </bk>
    <bk>
      <rc t="1" v="2484"/>
    </bk>
    <bk>
      <rc t="1" v="2485"/>
    </bk>
    <bk>
      <rc t="1" v="2486"/>
    </bk>
    <bk>
      <rc t="1" v="2487"/>
    </bk>
    <bk>
      <rc t="1" v="2488"/>
    </bk>
    <bk>
      <rc t="1" v="2489"/>
    </bk>
    <bk>
      <rc t="1" v="2490"/>
    </bk>
    <bk>
      <rc t="1" v="2491"/>
    </bk>
    <bk>
      <rc t="1" v="2492"/>
    </bk>
    <bk>
      <rc t="1" v="2493"/>
    </bk>
    <bk>
      <rc t="1" v="2494"/>
    </bk>
    <bk>
      <rc t="1" v="2495"/>
    </bk>
    <bk>
      <rc t="1" v="2496"/>
    </bk>
    <bk>
      <rc t="1" v="2497"/>
    </bk>
    <bk>
      <rc t="1" v="2498"/>
    </bk>
    <bk>
      <rc t="1" v="2499"/>
    </bk>
    <bk>
      <rc t="1" v="2500"/>
    </bk>
    <bk>
      <rc t="1" v="2501"/>
    </bk>
    <bk>
      <rc t="1" v="2502"/>
    </bk>
    <bk>
      <rc t="1" v="2503"/>
    </bk>
    <bk>
      <rc t="1" v="2504"/>
    </bk>
    <bk>
      <rc t="1" v="2505"/>
    </bk>
    <bk>
      <rc t="1" v="2506"/>
    </bk>
    <bk>
      <rc t="1" v="2507"/>
    </bk>
    <bk>
      <rc t="1" v="2508"/>
    </bk>
    <bk>
      <rc t="1" v="2509"/>
    </bk>
    <bk>
      <rc t="1" v="2510"/>
    </bk>
    <bk>
      <rc t="1" v="2511"/>
    </bk>
    <bk>
      <rc t="1" v="2512"/>
    </bk>
    <bk>
      <rc t="1" v="2513"/>
    </bk>
    <bk>
      <rc t="1" v="2514"/>
    </bk>
    <bk>
      <rc t="1" v="2515"/>
    </bk>
    <bk>
      <rc t="1" v="2516"/>
    </bk>
    <bk>
      <rc t="1" v="2517"/>
    </bk>
    <bk>
      <rc t="1" v="2518"/>
    </bk>
    <bk>
      <rc t="1" v="2519"/>
    </bk>
    <bk>
      <rc t="1" v="2520"/>
    </bk>
    <bk>
      <rc t="1" v="2521"/>
    </bk>
    <bk>
      <rc t="1" v="2522"/>
    </bk>
    <bk>
      <rc t="1" v="2523"/>
    </bk>
    <bk>
      <rc t="1" v="2524"/>
    </bk>
    <bk>
      <rc t="1" v="2525"/>
    </bk>
    <bk>
      <rc t="1" v="2526"/>
    </bk>
    <bk>
      <rc t="1" v="2527"/>
    </bk>
    <bk>
      <rc t="1" v="2528"/>
    </bk>
    <bk>
      <rc t="1" v="2529"/>
    </bk>
    <bk>
      <rc t="1" v="2530"/>
    </bk>
    <bk>
      <rc t="1" v="2531"/>
    </bk>
    <bk>
      <rc t="1" v="2532"/>
    </bk>
    <bk>
      <rc t="1" v="2533"/>
    </bk>
    <bk>
      <rc t="1" v="2534"/>
    </bk>
    <bk>
      <rc t="1" v="2535"/>
    </bk>
    <bk>
      <rc t="1" v="2536"/>
    </bk>
    <bk>
      <rc t="1" v="2537"/>
    </bk>
    <bk>
      <rc t="1" v="2538"/>
    </bk>
    <bk>
      <rc t="1" v="2539"/>
    </bk>
    <bk>
      <rc t="1" v="2540"/>
    </bk>
    <bk>
      <rc t="1" v="2541"/>
    </bk>
    <bk>
      <rc t="1" v="2542"/>
    </bk>
    <bk>
      <rc t="1" v="2543"/>
    </bk>
    <bk>
      <rc t="1" v="2544"/>
    </bk>
    <bk>
      <rc t="1" v="2545"/>
    </bk>
    <bk>
      <rc t="1" v="2546"/>
    </bk>
    <bk>
      <rc t="1" v="2547"/>
    </bk>
    <bk>
      <rc t="1" v="2548"/>
    </bk>
    <bk>
      <rc t="1" v="2549"/>
    </bk>
    <bk>
      <rc t="1" v="2550"/>
    </bk>
    <bk>
      <rc t="1" v="2551"/>
    </bk>
    <bk>
      <rc t="1" v="2552"/>
    </bk>
    <bk>
      <rc t="1" v="2553"/>
    </bk>
    <bk>
      <rc t="1" v="2554"/>
    </bk>
    <bk>
      <rc t="1" v="2555"/>
    </bk>
    <bk>
      <rc t="1" v="2556"/>
    </bk>
    <bk>
      <rc t="1" v="2557"/>
    </bk>
    <bk>
      <rc t="1" v="2558"/>
    </bk>
    <bk>
      <rc t="1" v="2559"/>
    </bk>
    <bk>
      <rc t="1" v="2560"/>
    </bk>
    <bk>
      <rc t="1" v="2561"/>
    </bk>
    <bk>
      <rc t="1" v="2562"/>
    </bk>
    <bk>
      <rc t="1" v="2563"/>
    </bk>
    <bk>
      <rc t="1" v="2564"/>
    </bk>
    <bk>
      <rc t="1" v="2565"/>
    </bk>
    <bk>
      <rc t="1" v="2566"/>
    </bk>
    <bk>
      <rc t="1" v="2567"/>
    </bk>
    <bk>
      <rc t="1" v="2568"/>
    </bk>
    <bk>
      <rc t="1" v="2569"/>
    </bk>
    <bk>
      <rc t="1" v="2570"/>
    </bk>
    <bk>
      <rc t="1" v="2571"/>
    </bk>
    <bk>
      <rc t="1" v="2572"/>
    </bk>
    <bk>
      <rc t="1" v="2573"/>
    </bk>
    <bk>
      <rc t="1" v="2574"/>
    </bk>
    <bk>
      <rc t="1" v="2575"/>
    </bk>
    <bk>
      <rc t="1" v="2576"/>
    </bk>
    <bk>
      <rc t="1" v="2577"/>
    </bk>
    <bk>
      <rc t="1" v="2578"/>
    </bk>
    <bk>
      <rc t="1" v="2579"/>
    </bk>
    <bk>
      <rc t="1" v="2580"/>
    </bk>
    <bk>
      <rc t="1" v="2581"/>
    </bk>
    <bk>
      <rc t="1" v="2582"/>
    </bk>
    <bk>
      <rc t="1" v="2583"/>
    </bk>
    <bk>
      <rc t="1" v="2584"/>
    </bk>
    <bk>
      <rc t="1" v="2585"/>
    </bk>
    <bk>
      <rc t="1" v="2586"/>
    </bk>
    <bk>
      <rc t="1" v="2587"/>
    </bk>
    <bk>
      <rc t="1" v="2588"/>
    </bk>
    <bk>
      <rc t="1" v="2589"/>
    </bk>
    <bk>
      <rc t="1" v="2590"/>
    </bk>
    <bk>
      <rc t="1" v="2591"/>
    </bk>
    <bk>
      <rc t="1" v="2592"/>
    </bk>
    <bk>
      <rc t="1" v="2593"/>
    </bk>
    <bk>
      <rc t="1" v="2594"/>
    </bk>
    <bk>
      <rc t="1" v="2595"/>
    </bk>
    <bk>
      <rc t="1" v="2596"/>
    </bk>
    <bk>
      <rc t="1" v="2597"/>
    </bk>
    <bk>
      <rc t="1" v="2598"/>
    </bk>
    <bk>
      <rc t="1" v="2599"/>
    </bk>
    <bk>
      <rc t="1" v="2600"/>
    </bk>
    <bk>
      <rc t="1" v="2601"/>
    </bk>
    <bk>
      <rc t="1" v="2602"/>
    </bk>
    <bk>
      <rc t="1" v="2603"/>
    </bk>
    <bk>
      <rc t="1" v="2604"/>
    </bk>
    <bk>
      <rc t="1" v="2605"/>
    </bk>
    <bk>
      <rc t="1" v="2606"/>
    </bk>
    <bk>
      <rc t="1" v="2607"/>
    </bk>
    <bk>
      <rc t="1" v="2608"/>
    </bk>
    <bk>
      <rc t="1" v="2609"/>
    </bk>
    <bk>
      <rc t="1" v="2610"/>
    </bk>
    <bk>
      <rc t="1" v="2611"/>
    </bk>
    <bk>
      <rc t="1" v="2612"/>
    </bk>
    <bk>
      <rc t="1" v="2613"/>
    </bk>
    <bk>
      <rc t="1" v="2614"/>
    </bk>
    <bk>
      <rc t="1" v="2615"/>
    </bk>
    <bk>
      <rc t="1" v="2616"/>
    </bk>
    <bk>
      <rc t="1" v="2617"/>
    </bk>
    <bk>
      <rc t="1" v="2618"/>
    </bk>
    <bk>
      <rc t="1" v="2619"/>
    </bk>
    <bk>
      <rc t="1" v="2620"/>
    </bk>
    <bk>
      <rc t="1" v="2621"/>
    </bk>
    <bk>
      <rc t="1" v="2622"/>
    </bk>
    <bk>
      <rc t="1" v="2623"/>
    </bk>
    <bk>
      <rc t="1" v="2624"/>
    </bk>
    <bk>
      <rc t="1" v="2625"/>
    </bk>
    <bk>
      <rc t="1" v="2626"/>
    </bk>
    <bk>
      <rc t="1" v="2627"/>
    </bk>
    <bk>
      <rc t="1" v="2628"/>
    </bk>
    <bk>
      <rc t="1" v="2629"/>
    </bk>
    <bk>
      <rc t="1" v="2630"/>
    </bk>
    <bk>
      <rc t="1" v="2631"/>
    </bk>
    <bk>
      <rc t="1" v="2632"/>
    </bk>
    <bk>
      <rc t="1" v="2633"/>
    </bk>
    <bk>
      <rc t="1" v="2634"/>
    </bk>
    <bk>
      <rc t="1" v="2635"/>
    </bk>
    <bk>
      <rc t="1" v="2636"/>
    </bk>
    <bk>
      <rc t="1" v="2637"/>
    </bk>
    <bk>
      <rc t="1" v="2638"/>
    </bk>
    <bk>
      <rc t="1" v="2639"/>
    </bk>
    <bk>
      <rc t="1" v="2640"/>
    </bk>
    <bk>
      <rc t="1" v="2641"/>
    </bk>
    <bk>
      <rc t="1" v="2642"/>
    </bk>
    <bk>
      <rc t="1" v="2643"/>
    </bk>
    <bk>
      <rc t="1" v="2644"/>
    </bk>
    <bk>
      <rc t="1" v="2645"/>
    </bk>
    <bk>
      <rc t="1" v="2646"/>
    </bk>
    <bk>
      <rc t="1" v="2647"/>
    </bk>
    <bk>
      <rc t="1" v="2648"/>
    </bk>
    <bk>
      <rc t="1" v="2649"/>
    </bk>
    <bk>
      <rc t="1" v="2650"/>
    </bk>
    <bk>
      <rc t="1" v="2651"/>
    </bk>
    <bk>
      <rc t="1" v="2652"/>
    </bk>
    <bk>
      <rc t="1" v="2653"/>
    </bk>
    <bk>
      <rc t="1" v="2654"/>
    </bk>
    <bk>
      <rc t="1" v="2655"/>
    </bk>
    <bk>
      <rc t="1" v="2656"/>
    </bk>
    <bk>
      <rc t="1" v="2657"/>
    </bk>
    <bk>
      <rc t="1" v="2658"/>
    </bk>
    <bk>
      <rc t="1" v="2659"/>
    </bk>
    <bk>
      <rc t="1" v="2660"/>
    </bk>
    <bk>
      <rc t="1" v="2661"/>
    </bk>
    <bk>
      <rc t="1" v="2662"/>
    </bk>
    <bk>
      <rc t="1" v="2663"/>
    </bk>
    <bk>
      <rc t="1" v="2664"/>
    </bk>
    <bk>
      <rc t="1" v="2665"/>
    </bk>
    <bk>
      <rc t="1" v="2666"/>
    </bk>
    <bk>
      <rc t="1" v="2667"/>
    </bk>
    <bk>
      <rc t="1" v="2668"/>
    </bk>
    <bk>
      <rc t="1" v="2669"/>
    </bk>
    <bk>
      <rc t="1" v="2670"/>
    </bk>
    <bk>
      <rc t="1" v="2671"/>
    </bk>
    <bk>
      <rc t="1" v="2672"/>
    </bk>
    <bk>
      <rc t="1" v="2673"/>
    </bk>
    <bk>
      <rc t="1" v="2674"/>
    </bk>
    <bk>
      <rc t="1" v="2675"/>
    </bk>
    <bk>
      <rc t="1" v="2676"/>
    </bk>
    <bk>
      <rc t="1" v="2677"/>
    </bk>
    <bk>
      <rc t="1" v="2678"/>
    </bk>
    <bk>
      <rc t="1" v="2679"/>
    </bk>
    <bk>
      <rc t="1" v="2680"/>
    </bk>
    <bk>
      <rc t="1" v="2681"/>
    </bk>
    <bk>
      <rc t="1" v="2682"/>
    </bk>
    <bk>
      <rc t="1" v="2683"/>
    </bk>
    <bk>
      <rc t="1" v="2684"/>
    </bk>
    <bk>
      <rc t="1" v="2685"/>
    </bk>
    <bk>
      <rc t="1" v="2686"/>
    </bk>
    <bk>
      <rc t="1" v="2687"/>
    </bk>
    <bk>
      <rc t="1" v="2688"/>
    </bk>
    <bk>
      <rc t="1" v="2689"/>
    </bk>
    <bk>
      <rc t="1" v="2690"/>
    </bk>
    <bk>
      <rc t="1" v="2691"/>
    </bk>
    <bk>
      <rc t="1" v="2692"/>
    </bk>
    <bk>
      <rc t="1" v="2693"/>
    </bk>
    <bk>
      <rc t="1" v="2694"/>
    </bk>
    <bk>
      <rc t="1" v="2695"/>
    </bk>
    <bk>
      <rc t="1" v="2696"/>
    </bk>
    <bk>
      <rc t="1" v="2697"/>
    </bk>
    <bk>
      <rc t="1" v="2698"/>
    </bk>
    <bk>
      <rc t="1" v="2699"/>
    </bk>
    <bk>
      <rc t="1" v="2700"/>
    </bk>
    <bk>
      <rc t="1" v="2701"/>
    </bk>
    <bk>
      <rc t="1" v="2702"/>
    </bk>
    <bk>
      <rc t="1" v="2703"/>
    </bk>
    <bk>
      <rc t="1" v="2704"/>
    </bk>
    <bk>
      <rc t="1" v="2705"/>
    </bk>
    <bk>
      <rc t="1" v="2706"/>
    </bk>
    <bk>
      <rc t="1" v="2707"/>
    </bk>
    <bk>
      <rc t="1" v="2708"/>
    </bk>
    <bk>
      <rc t="1" v="2709"/>
    </bk>
    <bk>
      <rc t="1" v="2710"/>
    </bk>
    <bk>
      <rc t="1" v="2711"/>
    </bk>
    <bk>
      <rc t="1" v="2712"/>
    </bk>
    <bk>
      <rc t="1" v="2713"/>
    </bk>
    <bk>
      <rc t="1" v="2714"/>
    </bk>
    <bk>
      <rc t="1" v="2715"/>
    </bk>
    <bk>
      <rc t="1" v="2716"/>
    </bk>
    <bk>
      <rc t="1" v="2717"/>
    </bk>
    <bk>
      <rc t="1" v="2718"/>
    </bk>
    <bk>
      <rc t="1" v="2719"/>
    </bk>
    <bk>
      <rc t="1" v="2720"/>
    </bk>
    <bk>
      <rc t="1" v="2721"/>
    </bk>
    <bk>
      <rc t="1" v="2722"/>
    </bk>
    <bk>
      <rc t="1" v="2723"/>
    </bk>
    <bk>
      <rc t="1" v="2724"/>
    </bk>
    <bk>
      <rc t="1" v="2725"/>
    </bk>
    <bk>
      <rc t="1" v="2726"/>
    </bk>
    <bk>
      <rc t="1" v="2727"/>
    </bk>
    <bk>
      <rc t="1" v="2728"/>
    </bk>
    <bk>
      <rc t="1" v="2729"/>
    </bk>
    <bk>
      <rc t="1" v="2730"/>
    </bk>
    <bk>
      <rc t="1" v="2731"/>
    </bk>
    <bk>
      <rc t="1" v="2732"/>
    </bk>
    <bk>
      <rc t="1" v="2733"/>
    </bk>
    <bk>
      <rc t="1" v="2734"/>
    </bk>
    <bk>
      <rc t="1" v="2735"/>
    </bk>
    <bk>
      <rc t="1" v="2736"/>
    </bk>
    <bk>
      <rc t="1" v="2737"/>
    </bk>
    <bk>
      <rc t="1" v="2738"/>
    </bk>
    <bk>
      <rc t="1" v="2739"/>
    </bk>
    <bk>
      <rc t="1" v="2740"/>
    </bk>
    <bk>
      <rc t="1" v="2741"/>
    </bk>
    <bk>
      <rc t="1" v="2742"/>
    </bk>
    <bk>
      <rc t="1" v="2743"/>
    </bk>
    <bk>
      <rc t="1" v="2744"/>
    </bk>
    <bk>
      <rc t="1" v="2745"/>
    </bk>
    <bk>
      <rc t="1" v="2746"/>
    </bk>
    <bk>
      <rc t="1" v="2747"/>
    </bk>
    <bk>
      <rc t="1" v="2748"/>
    </bk>
    <bk>
      <rc t="1" v="2749"/>
    </bk>
    <bk>
      <rc t="1" v="2750"/>
    </bk>
    <bk>
      <rc t="1" v="2751"/>
    </bk>
    <bk>
      <rc t="1" v="2752"/>
    </bk>
    <bk>
      <rc t="1" v="2753"/>
    </bk>
    <bk>
      <rc t="1" v="2754"/>
    </bk>
    <bk>
      <rc t="1" v="2755"/>
    </bk>
    <bk>
      <rc t="1" v="2756"/>
    </bk>
    <bk>
      <rc t="1" v="2757"/>
    </bk>
    <bk>
      <rc t="1" v="2758"/>
    </bk>
    <bk>
      <rc t="1" v="2759"/>
    </bk>
    <bk>
      <rc t="1" v="2760"/>
    </bk>
    <bk>
      <rc t="1" v="2761"/>
    </bk>
    <bk>
      <rc t="1" v="2762"/>
    </bk>
    <bk>
      <rc t="1" v="2763"/>
    </bk>
    <bk>
      <rc t="1" v="2764"/>
    </bk>
    <bk>
      <rc t="1" v="2765"/>
    </bk>
    <bk>
      <rc t="1" v="2766"/>
    </bk>
    <bk>
      <rc t="1" v="2767"/>
    </bk>
    <bk>
      <rc t="1" v="2768"/>
    </bk>
    <bk>
      <rc t="1" v="2769"/>
    </bk>
    <bk>
      <rc t="1" v="2770"/>
    </bk>
    <bk>
      <rc t="1" v="2771"/>
    </bk>
    <bk>
      <rc t="1" v="2772"/>
    </bk>
    <bk>
      <rc t="1" v="2773"/>
    </bk>
    <bk>
      <rc t="1" v="2774"/>
    </bk>
    <bk>
      <rc t="1" v="2775"/>
    </bk>
    <bk>
      <rc t="1" v="2776"/>
    </bk>
    <bk>
      <rc t="1" v="2777"/>
    </bk>
    <bk>
      <rc t="1" v="2778"/>
    </bk>
    <bk>
      <rc t="1" v="2779"/>
    </bk>
    <bk>
      <rc t="1" v="2780"/>
    </bk>
    <bk>
      <rc t="1" v="2781"/>
    </bk>
    <bk>
      <rc t="1" v="2782"/>
    </bk>
    <bk>
      <rc t="1" v="2783"/>
    </bk>
    <bk>
      <rc t="1" v="2784"/>
    </bk>
    <bk>
      <rc t="1" v="2785"/>
    </bk>
    <bk>
      <rc t="1" v="2786"/>
    </bk>
    <bk>
      <rc t="1" v="2787"/>
    </bk>
    <bk>
      <rc t="1" v="2788"/>
    </bk>
    <bk>
      <rc t="1" v="2789"/>
    </bk>
    <bk>
      <rc t="1" v="2790"/>
    </bk>
    <bk>
      <rc t="1" v="2791"/>
    </bk>
    <bk>
      <rc t="1" v="2792"/>
    </bk>
    <bk>
      <rc t="1" v="2793"/>
    </bk>
    <bk>
      <rc t="1" v="2794"/>
    </bk>
    <bk>
      <rc t="1" v="2795"/>
    </bk>
    <bk>
      <rc t="1" v="2796"/>
    </bk>
    <bk>
      <rc t="1" v="2797"/>
    </bk>
    <bk>
      <rc t="1" v="2798"/>
    </bk>
    <bk>
      <rc t="1" v="2799"/>
    </bk>
    <bk>
      <rc t="1" v="2800"/>
    </bk>
    <bk>
      <rc t="1" v="2801"/>
    </bk>
    <bk>
      <rc t="1" v="2802"/>
    </bk>
    <bk>
      <rc t="1" v="2803"/>
    </bk>
    <bk>
      <rc t="1" v="2804"/>
    </bk>
    <bk>
      <rc t="1" v="2805"/>
    </bk>
    <bk>
      <rc t="1" v="2806"/>
    </bk>
    <bk>
      <rc t="1" v="2807"/>
    </bk>
    <bk>
      <rc t="1" v="2808"/>
    </bk>
    <bk>
      <rc t="1" v="2809"/>
    </bk>
    <bk>
      <rc t="1" v="2810"/>
    </bk>
    <bk>
      <rc t="1" v="2811"/>
    </bk>
    <bk>
      <rc t="1" v="2812"/>
    </bk>
    <bk>
      <rc t="1" v="2813"/>
    </bk>
    <bk>
      <rc t="1" v="2814"/>
    </bk>
    <bk>
      <rc t="1" v="2815"/>
    </bk>
    <bk>
      <rc t="1" v="2816"/>
    </bk>
    <bk>
      <rc t="1" v="2817"/>
    </bk>
    <bk>
      <rc t="1" v="2818"/>
    </bk>
    <bk>
      <rc t="1" v="2819"/>
    </bk>
    <bk>
      <rc t="1" v="2820"/>
    </bk>
    <bk>
      <rc t="1" v="2821"/>
    </bk>
    <bk>
      <rc t="1" v="2822"/>
    </bk>
    <bk>
      <rc t="1" v="2823"/>
    </bk>
    <bk>
      <rc t="1" v="2824"/>
    </bk>
    <bk>
      <rc t="1" v="2825"/>
    </bk>
    <bk>
      <rc t="1" v="2826"/>
    </bk>
    <bk>
      <rc t="1" v="2827"/>
    </bk>
    <bk>
      <rc t="1" v="2828"/>
    </bk>
    <bk>
      <rc t="1" v="2829"/>
    </bk>
    <bk>
      <rc t="1" v="2830"/>
    </bk>
    <bk>
      <rc t="1" v="2831"/>
    </bk>
    <bk>
      <rc t="1" v="2832"/>
    </bk>
    <bk>
      <rc t="1" v="2833"/>
    </bk>
    <bk>
      <rc t="1" v="2834"/>
    </bk>
    <bk>
      <rc t="1" v="2835"/>
    </bk>
    <bk>
      <rc t="1" v="2836"/>
    </bk>
    <bk>
      <rc t="1" v="2837"/>
    </bk>
    <bk>
      <rc t="1" v="2838"/>
    </bk>
    <bk>
      <rc t="1" v="2839"/>
    </bk>
    <bk>
      <rc t="1" v="2840"/>
    </bk>
    <bk>
      <rc t="1" v="2841"/>
    </bk>
    <bk>
      <rc t="1" v="2842"/>
    </bk>
    <bk>
      <rc t="1" v="2843"/>
    </bk>
    <bk>
      <rc t="1" v="2844"/>
    </bk>
    <bk>
      <rc t="1" v="2845"/>
    </bk>
    <bk>
      <rc t="1" v="2846"/>
    </bk>
    <bk>
      <rc t="1" v="2847"/>
    </bk>
    <bk>
      <rc t="1" v="2848"/>
    </bk>
    <bk>
      <rc t="1" v="2849"/>
    </bk>
    <bk>
      <rc t="1" v="2850"/>
    </bk>
    <bk>
      <rc t="1" v="2851"/>
    </bk>
    <bk>
      <rc t="1" v="2852"/>
    </bk>
    <bk>
      <rc t="1" v="2853"/>
    </bk>
    <bk>
      <rc t="1" v="2854"/>
    </bk>
    <bk>
      <rc t="1" v="2855"/>
    </bk>
    <bk>
      <rc t="1" v="2856"/>
    </bk>
    <bk>
      <rc t="1" v="2857"/>
    </bk>
    <bk>
      <rc t="1" v="2858"/>
    </bk>
    <bk>
      <rc t="1" v="2859"/>
    </bk>
    <bk>
      <rc t="1" v="2860"/>
    </bk>
    <bk>
      <rc t="1" v="2861"/>
    </bk>
    <bk>
      <rc t="1" v="2862"/>
    </bk>
    <bk>
      <rc t="1" v="2863"/>
    </bk>
    <bk>
      <rc t="1" v="2864"/>
    </bk>
    <bk>
      <rc t="1" v="2865"/>
    </bk>
    <bk>
      <rc t="1" v="2866"/>
    </bk>
    <bk>
      <rc t="1" v="2867"/>
    </bk>
    <bk>
      <rc t="1" v="2868"/>
    </bk>
    <bk>
      <rc t="1" v="2869"/>
    </bk>
    <bk>
      <rc t="1" v="2870"/>
    </bk>
    <bk>
      <rc t="1" v="2871"/>
    </bk>
    <bk>
      <rc t="1" v="2872"/>
    </bk>
    <bk>
      <rc t="1" v="2873"/>
    </bk>
    <bk>
      <rc t="1" v="2874"/>
    </bk>
    <bk>
      <rc t="1" v="2875"/>
    </bk>
    <bk>
      <rc t="1" v="2876"/>
    </bk>
    <bk>
      <rc t="1" v="2877"/>
    </bk>
    <bk>
      <rc t="1" v="2878"/>
    </bk>
    <bk>
      <rc t="1" v="2879"/>
    </bk>
    <bk>
      <rc t="1" v="2880"/>
    </bk>
    <bk>
      <rc t="1" v="2881"/>
    </bk>
    <bk>
      <rc t="1" v="2882"/>
    </bk>
    <bk>
      <rc t="1" v="2883"/>
    </bk>
    <bk>
      <rc t="1" v="2884"/>
    </bk>
    <bk>
      <rc t="1" v="2885"/>
    </bk>
    <bk>
      <rc t="1" v="2886"/>
    </bk>
    <bk>
      <rc t="1" v="2887"/>
    </bk>
    <bk>
      <rc t="1" v="2888"/>
    </bk>
    <bk>
      <rc t="1" v="2889"/>
    </bk>
    <bk>
      <rc t="1" v="2890"/>
    </bk>
    <bk>
      <rc t="1" v="2891"/>
    </bk>
    <bk>
      <rc t="1" v="2892"/>
    </bk>
    <bk>
      <rc t="1" v="2893"/>
    </bk>
    <bk>
      <rc t="1" v="2894"/>
    </bk>
    <bk>
      <rc t="1" v="2895"/>
    </bk>
    <bk>
      <rc t="1" v="2896"/>
    </bk>
    <bk>
      <rc t="1" v="2897"/>
    </bk>
    <bk>
      <rc t="1" v="2898"/>
    </bk>
    <bk>
      <rc t="1" v="2899"/>
    </bk>
    <bk>
      <rc t="1" v="2900"/>
    </bk>
    <bk>
      <rc t="1" v="2901"/>
    </bk>
    <bk>
      <rc t="1" v="2902"/>
    </bk>
    <bk>
      <rc t="1" v="2903"/>
    </bk>
    <bk>
      <rc t="1" v="2904"/>
    </bk>
    <bk>
      <rc t="1" v="2905"/>
    </bk>
    <bk>
      <rc t="1" v="2906"/>
    </bk>
    <bk>
      <rc t="1" v="2907"/>
    </bk>
    <bk>
      <rc t="1" v="2908"/>
    </bk>
    <bk>
      <rc t="1" v="2909"/>
    </bk>
    <bk>
      <rc t="1" v="2910"/>
    </bk>
    <bk>
      <rc t="1" v="2911"/>
    </bk>
    <bk>
      <rc t="1" v="2912"/>
    </bk>
    <bk>
      <rc t="1" v="2913"/>
    </bk>
    <bk>
      <rc t="1" v="2914"/>
    </bk>
    <bk>
      <rc t="1" v="2915"/>
    </bk>
    <bk>
      <rc t="1" v="2916"/>
    </bk>
    <bk>
      <rc t="1" v="2917"/>
    </bk>
    <bk>
      <rc t="1" v="2918"/>
    </bk>
    <bk>
      <rc t="1" v="2919"/>
    </bk>
    <bk>
      <rc t="1" v="2920"/>
    </bk>
    <bk>
      <rc t="1" v="2921"/>
    </bk>
    <bk>
      <rc t="1" v="2922"/>
    </bk>
    <bk>
      <rc t="1" v="2923"/>
    </bk>
    <bk>
      <rc t="1" v="2924"/>
    </bk>
    <bk>
      <rc t="1" v="2925"/>
    </bk>
    <bk>
      <rc t="1" v="2926"/>
    </bk>
    <bk>
      <rc t="1" v="2927"/>
    </bk>
    <bk>
      <rc t="1" v="2928"/>
    </bk>
    <bk>
      <rc t="1" v="2929"/>
    </bk>
    <bk>
      <rc t="1" v="2930"/>
    </bk>
    <bk>
      <rc t="1" v="2931"/>
    </bk>
    <bk>
      <rc t="1" v="2932"/>
    </bk>
    <bk>
      <rc t="1" v="2933"/>
    </bk>
    <bk>
      <rc t="1" v="2934"/>
    </bk>
    <bk>
      <rc t="1" v="2935"/>
    </bk>
    <bk>
      <rc t="1" v="2936"/>
    </bk>
    <bk>
      <rc t="1" v="2937"/>
    </bk>
    <bk>
      <rc t="1" v="2938"/>
    </bk>
    <bk>
      <rc t="1" v="2939"/>
    </bk>
    <bk>
      <rc t="1" v="2940"/>
    </bk>
    <bk>
      <rc t="1" v="2941"/>
    </bk>
    <bk>
      <rc t="1" v="2942"/>
    </bk>
    <bk>
      <rc t="1" v="2943"/>
    </bk>
    <bk>
      <rc t="1" v="2944"/>
    </bk>
    <bk>
      <rc t="1" v="2945"/>
    </bk>
    <bk>
      <rc t="1" v="2946"/>
    </bk>
    <bk>
      <rc t="1" v="2947"/>
    </bk>
    <bk>
      <rc t="1" v="2948"/>
    </bk>
    <bk>
      <rc t="1" v="2949"/>
    </bk>
    <bk>
      <rc t="1" v="2950"/>
    </bk>
    <bk>
      <rc t="1" v="2951"/>
    </bk>
    <bk>
      <rc t="1" v="2952"/>
    </bk>
    <bk>
      <rc t="1" v="2953"/>
    </bk>
    <bk>
      <rc t="1" v="2954"/>
    </bk>
    <bk>
      <rc t="1" v="2955"/>
    </bk>
    <bk>
      <rc t="1" v="2956"/>
    </bk>
    <bk>
      <rc t="1" v="2957"/>
    </bk>
    <bk>
      <rc t="1" v="2958"/>
    </bk>
    <bk>
      <rc t="1" v="2959"/>
    </bk>
    <bk>
      <rc t="1" v="2960"/>
    </bk>
    <bk>
      <rc t="1" v="2961"/>
    </bk>
    <bk>
      <rc t="1" v="2962"/>
    </bk>
    <bk>
      <rc t="1" v="2963"/>
    </bk>
    <bk>
      <rc t="1" v="2964"/>
    </bk>
    <bk>
      <rc t="1" v="2965"/>
    </bk>
    <bk>
      <rc t="1" v="2966"/>
    </bk>
    <bk>
      <rc t="1" v="2967"/>
    </bk>
    <bk>
      <rc t="1" v="2968"/>
    </bk>
    <bk>
      <rc t="1" v="2969"/>
    </bk>
    <bk>
      <rc t="1" v="2970"/>
    </bk>
    <bk>
      <rc t="1" v="2971"/>
    </bk>
    <bk>
      <rc t="1" v="2972"/>
    </bk>
    <bk>
      <rc t="1" v="2973"/>
    </bk>
    <bk>
      <rc t="1" v="2974"/>
    </bk>
    <bk>
      <rc t="1" v="2975"/>
    </bk>
    <bk>
      <rc t="1" v="2976"/>
    </bk>
    <bk>
      <rc t="1" v="2977"/>
    </bk>
    <bk>
      <rc t="1" v="2978"/>
    </bk>
    <bk>
      <rc t="1" v="2979"/>
    </bk>
    <bk>
      <rc t="1" v="2980"/>
    </bk>
    <bk>
      <rc t="1" v="2981"/>
    </bk>
    <bk>
      <rc t="1" v="2982"/>
    </bk>
    <bk>
      <rc t="1" v="2983"/>
    </bk>
    <bk>
      <rc t="1" v="2984"/>
    </bk>
    <bk>
      <rc t="1" v="2985"/>
    </bk>
    <bk>
      <rc t="1" v="2986"/>
    </bk>
    <bk>
      <rc t="1" v="2987"/>
    </bk>
    <bk>
      <rc t="1" v="2988"/>
    </bk>
    <bk>
      <rc t="1" v="2989"/>
    </bk>
    <bk>
      <rc t="1" v="2990"/>
    </bk>
    <bk>
      <rc t="1" v="2991"/>
    </bk>
    <bk>
      <rc t="1" v="2992"/>
    </bk>
    <bk>
      <rc t="1" v="2993"/>
    </bk>
    <bk>
      <rc t="1" v="2994"/>
    </bk>
    <bk>
      <rc t="1" v="2995"/>
    </bk>
    <bk>
      <rc t="1" v="2996"/>
    </bk>
    <bk>
      <rc t="1" v="2997"/>
    </bk>
    <bk>
      <rc t="1" v="2998"/>
    </bk>
    <bk>
      <rc t="1" v="2999"/>
    </bk>
    <bk>
      <rc t="1" v="3000"/>
    </bk>
    <bk>
      <rc t="1" v="3001"/>
    </bk>
    <bk>
      <rc t="1" v="3002"/>
    </bk>
    <bk>
      <rc t="1" v="3003"/>
    </bk>
    <bk>
      <rc t="1" v="3004"/>
    </bk>
    <bk>
      <rc t="1" v="3005"/>
    </bk>
    <bk>
      <rc t="1" v="3006"/>
    </bk>
    <bk>
      <rc t="1" v="3007"/>
    </bk>
    <bk>
      <rc t="1" v="3008"/>
    </bk>
    <bk>
      <rc t="1" v="3009"/>
    </bk>
    <bk>
      <rc t="1" v="3010"/>
    </bk>
    <bk>
      <rc t="1" v="3011"/>
    </bk>
    <bk>
      <rc t="1" v="3012"/>
    </bk>
    <bk>
      <rc t="1" v="3013"/>
    </bk>
    <bk>
      <rc t="1" v="3014"/>
    </bk>
    <bk>
      <rc t="1" v="3015"/>
    </bk>
    <bk>
      <rc t="1" v="3016"/>
    </bk>
    <bk>
      <rc t="1" v="3017"/>
    </bk>
    <bk>
      <rc t="1" v="3018"/>
    </bk>
    <bk>
      <rc t="1" v="3019"/>
    </bk>
    <bk>
      <rc t="1" v="3020"/>
    </bk>
    <bk>
      <rc t="1" v="3021"/>
    </bk>
    <bk>
      <rc t="1" v="3022"/>
    </bk>
    <bk>
      <rc t="1" v="3023"/>
    </bk>
    <bk>
      <rc t="1" v="3024"/>
    </bk>
    <bk>
      <rc t="1" v="3025"/>
    </bk>
    <bk>
      <rc t="1" v="3026"/>
    </bk>
    <bk>
      <rc t="1" v="3027"/>
    </bk>
    <bk>
      <rc t="1" v="3028"/>
    </bk>
    <bk>
      <rc t="1" v="3029"/>
    </bk>
    <bk>
      <rc t="1" v="3030"/>
    </bk>
    <bk>
      <rc t="1" v="3031"/>
    </bk>
    <bk>
      <rc t="1" v="3032"/>
    </bk>
    <bk>
      <rc t="1" v="3033"/>
    </bk>
    <bk>
      <rc t="1" v="3034"/>
    </bk>
    <bk>
      <rc t="1" v="3035"/>
    </bk>
    <bk>
      <rc t="1" v="3036"/>
    </bk>
    <bk>
      <rc t="1" v="3037"/>
    </bk>
    <bk>
      <rc t="1" v="3038"/>
    </bk>
    <bk>
      <rc t="1" v="3039"/>
    </bk>
    <bk>
      <rc t="1" v="3040"/>
    </bk>
    <bk>
      <rc t="1" v="3041"/>
    </bk>
    <bk>
      <rc t="1" v="3042"/>
    </bk>
    <bk>
      <rc t="1" v="3043"/>
    </bk>
    <bk>
      <rc t="1" v="3044"/>
    </bk>
    <bk>
      <rc t="1" v="3045"/>
    </bk>
    <bk>
      <rc t="1" v="3046"/>
    </bk>
    <bk>
      <rc t="1" v="3047"/>
    </bk>
    <bk>
      <rc t="1" v="3048"/>
    </bk>
    <bk>
      <rc t="1" v="3049"/>
    </bk>
    <bk>
      <rc t="1" v="3050"/>
    </bk>
    <bk>
      <rc t="1" v="3051"/>
    </bk>
    <bk>
      <rc t="1" v="3052"/>
    </bk>
    <bk>
      <rc t="1" v="3053"/>
    </bk>
    <bk>
      <rc t="1" v="3054"/>
    </bk>
    <bk>
      <rc t="1" v="3055"/>
    </bk>
    <bk>
      <rc t="1" v="3056"/>
    </bk>
    <bk>
      <rc t="1" v="3057"/>
    </bk>
    <bk>
      <rc t="1" v="3058"/>
    </bk>
    <bk>
      <rc t="1" v="3059"/>
    </bk>
    <bk>
      <rc t="1" v="3060"/>
    </bk>
    <bk>
      <rc t="1" v="3061"/>
    </bk>
    <bk>
      <rc t="1" v="3062"/>
    </bk>
    <bk>
      <rc t="1" v="3063"/>
    </bk>
    <bk>
      <rc t="1" v="3064"/>
    </bk>
    <bk>
      <rc t="1" v="3065"/>
    </bk>
    <bk>
      <rc t="1" v="3066"/>
    </bk>
    <bk>
      <rc t="1" v="3067"/>
    </bk>
    <bk>
      <rc t="1" v="3068"/>
    </bk>
    <bk>
      <rc t="1" v="3069"/>
    </bk>
    <bk>
      <rc t="1" v="3070"/>
    </bk>
    <bk>
      <rc t="1" v="3071"/>
    </bk>
    <bk>
      <rc t="1" v="3072"/>
    </bk>
    <bk>
      <rc t="1" v="3073"/>
    </bk>
    <bk>
      <rc t="1" v="3074"/>
    </bk>
    <bk>
      <rc t="1" v="3075"/>
    </bk>
    <bk>
      <rc t="1" v="3076"/>
    </bk>
    <bk>
      <rc t="1" v="3077"/>
    </bk>
    <bk>
      <rc t="1" v="3078"/>
    </bk>
    <bk>
      <rc t="1" v="3079"/>
    </bk>
    <bk>
      <rc t="1" v="3080"/>
    </bk>
    <bk>
      <rc t="1" v="3081"/>
    </bk>
    <bk>
      <rc t="1" v="3082"/>
    </bk>
    <bk>
      <rc t="1" v="3083"/>
    </bk>
    <bk>
      <rc t="1" v="3084"/>
    </bk>
    <bk>
      <rc t="1" v="3085"/>
    </bk>
    <bk>
      <rc t="1" v="3086"/>
    </bk>
    <bk>
      <rc t="1" v="3087"/>
    </bk>
    <bk>
      <rc t="1" v="3088"/>
    </bk>
    <bk>
      <rc t="1" v="3089"/>
    </bk>
    <bk>
      <rc t="1" v="3090"/>
    </bk>
    <bk>
      <rc t="1" v="3091"/>
    </bk>
    <bk>
      <rc t="1" v="3092"/>
    </bk>
    <bk>
      <rc t="1" v="3093"/>
    </bk>
    <bk>
      <rc t="1" v="3094"/>
    </bk>
    <bk>
      <rc t="1" v="3095"/>
    </bk>
    <bk>
      <rc t="1" v="3096"/>
    </bk>
    <bk>
      <rc t="1" v="3097"/>
    </bk>
    <bk>
      <rc t="1" v="3098"/>
    </bk>
    <bk>
      <rc t="1" v="3099"/>
    </bk>
    <bk>
      <rc t="1" v="3100"/>
    </bk>
    <bk>
      <rc t="1" v="3101"/>
    </bk>
    <bk>
      <rc t="1" v="3102"/>
    </bk>
    <bk>
      <rc t="1" v="3103"/>
    </bk>
    <bk>
      <rc t="1" v="3104"/>
    </bk>
    <bk>
      <rc t="1" v="3105"/>
    </bk>
    <bk>
      <rc t="1" v="3106"/>
    </bk>
    <bk>
      <rc t="1" v="3107"/>
    </bk>
    <bk>
      <rc t="1" v="3108"/>
    </bk>
    <bk>
      <rc t="1" v="3109"/>
    </bk>
    <bk>
      <rc t="1" v="3110"/>
    </bk>
    <bk>
      <rc t="1" v="3111"/>
    </bk>
    <bk>
      <rc t="1" v="3112"/>
    </bk>
    <bk>
      <rc t="1" v="3113"/>
    </bk>
    <bk>
      <rc t="1" v="3114"/>
    </bk>
    <bk>
      <rc t="1" v="3115"/>
    </bk>
    <bk>
      <rc t="1" v="3116"/>
    </bk>
    <bk>
      <rc t="1" v="3117"/>
    </bk>
    <bk>
      <rc t="1" v="3118"/>
    </bk>
    <bk>
      <rc t="1" v="3119"/>
    </bk>
    <bk>
      <rc t="1" v="3120"/>
    </bk>
    <bk>
      <rc t="1" v="3121"/>
    </bk>
    <bk>
      <rc t="1" v="3122"/>
    </bk>
    <bk>
      <rc t="1" v="3123"/>
    </bk>
    <bk>
      <rc t="1" v="3124"/>
    </bk>
    <bk>
      <rc t="1" v="3125"/>
    </bk>
    <bk>
      <rc t="1" v="3126"/>
    </bk>
    <bk>
      <rc t="1" v="3127"/>
    </bk>
    <bk>
      <rc t="1" v="3128"/>
    </bk>
    <bk>
      <rc t="1" v="3129"/>
    </bk>
    <bk>
      <rc t="1" v="3130"/>
    </bk>
    <bk>
      <rc t="1" v="3131"/>
    </bk>
    <bk>
      <rc t="1" v="3132"/>
    </bk>
    <bk>
      <rc t="1" v="3133"/>
    </bk>
    <bk>
      <rc t="1" v="3134"/>
    </bk>
    <bk>
      <rc t="1" v="3135"/>
    </bk>
    <bk>
      <rc t="1" v="3136"/>
    </bk>
    <bk>
      <rc t="1" v="3137"/>
    </bk>
    <bk>
      <rc t="1" v="3138"/>
    </bk>
    <bk>
      <rc t="1" v="3139"/>
    </bk>
    <bk>
      <rc t="1" v="3140"/>
    </bk>
    <bk>
      <rc t="1" v="3141"/>
    </bk>
    <bk>
      <rc t="1" v="3142"/>
    </bk>
    <bk>
      <rc t="1" v="3143"/>
    </bk>
    <bk>
      <rc t="1" v="3144"/>
    </bk>
    <bk>
      <rc t="1" v="3145"/>
    </bk>
    <bk>
      <rc t="1" v="3146"/>
    </bk>
    <bk>
      <rc t="1" v="3147"/>
    </bk>
    <bk>
      <rc t="1" v="3148"/>
    </bk>
    <bk>
      <rc t="1" v="3149"/>
    </bk>
    <bk>
      <rc t="1" v="3150"/>
    </bk>
    <bk>
      <rc t="1" v="3151"/>
    </bk>
    <bk>
      <rc t="1" v="3152"/>
    </bk>
    <bk>
      <rc t="1" v="3153"/>
    </bk>
    <bk>
      <rc t="1" v="3154"/>
    </bk>
    <bk>
      <rc t="1" v="3155"/>
    </bk>
    <bk>
      <rc t="1" v="3156"/>
    </bk>
    <bk>
      <rc t="1" v="3157"/>
    </bk>
    <bk>
      <rc t="1" v="3158"/>
    </bk>
    <bk>
      <rc t="1" v="3159"/>
    </bk>
    <bk>
      <rc t="1" v="3160"/>
    </bk>
    <bk>
      <rc t="1" v="3161"/>
    </bk>
    <bk>
      <rc t="1" v="3162"/>
    </bk>
    <bk>
      <rc t="1" v="3163"/>
    </bk>
    <bk>
      <rc t="1" v="3164"/>
    </bk>
    <bk>
      <rc t="1" v="3165"/>
    </bk>
    <bk>
      <rc t="1" v="3166"/>
    </bk>
    <bk>
      <rc t="1" v="3167"/>
    </bk>
    <bk>
      <rc t="1" v="3168"/>
    </bk>
    <bk>
      <rc t="1" v="3169"/>
    </bk>
    <bk>
      <rc t="1" v="3170"/>
    </bk>
    <bk>
      <rc t="1" v="3171"/>
    </bk>
    <bk>
      <rc t="1" v="3172"/>
    </bk>
    <bk>
      <rc t="1" v="3173"/>
    </bk>
    <bk>
      <rc t="1" v="3174"/>
    </bk>
    <bk>
      <rc t="1" v="3175"/>
    </bk>
    <bk>
      <rc t="1" v="3176"/>
    </bk>
    <bk>
      <rc t="1" v="3177"/>
    </bk>
    <bk>
      <rc t="1" v="3178"/>
    </bk>
    <bk>
      <rc t="1" v="3179"/>
    </bk>
    <bk>
      <rc t="1" v="3180"/>
    </bk>
    <bk>
      <rc t="1" v="3181"/>
    </bk>
    <bk>
      <rc t="1" v="3182"/>
    </bk>
    <bk>
      <rc t="1" v="3183"/>
    </bk>
    <bk>
      <rc t="1" v="3184"/>
    </bk>
    <bk>
      <rc t="1" v="3185"/>
    </bk>
    <bk>
      <rc t="1" v="3186"/>
    </bk>
    <bk>
      <rc t="1" v="3187"/>
    </bk>
    <bk>
      <rc t="1" v="3188"/>
    </bk>
    <bk>
      <rc t="1" v="3189"/>
    </bk>
    <bk>
      <rc t="1" v="3190"/>
    </bk>
    <bk>
      <rc t="1" v="3191"/>
    </bk>
    <bk>
      <rc t="1" v="3192"/>
    </bk>
    <bk>
      <rc t="1" v="3193"/>
    </bk>
    <bk>
      <rc t="1" v="3194"/>
    </bk>
    <bk>
      <rc t="1" v="3195"/>
    </bk>
    <bk>
      <rc t="1" v="3196"/>
    </bk>
    <bk>
      <rc t="1" v="3197"/>
    </bk>
    <bk>
      <rc t="1" v="3198"/>
    </bk>
    <bk>
      <rc t="1" v="3199"/>
    </bk>
    <bk>
      <rc t="1" v="3200"/>
    </bk>
    <bk>
      <rc t="1" v="3201"/>
    </bk>
    <bk>
      <rc t="1" v="3202"/>
    </bk>
    <bk>
      <rc t="1" v="3203"/>
    </bk>
    <bk>
      <rc t="1" v="3204"/>
    </bk>
    <bk>
      <rc t="1" v="3205"/>
    </bk>
    <bk>
      <rc t="1" v="3206"/>
    </bk>
    <bk>
      <rc t="1" v="3207"/>
    </bk>
    <bk>
      <rc t="1" v="3208"/>
    </bk>
    <bk>
      <rc t="1" v="3209"/>
    </bk>
    <bk>
      <rc t="1" v="3210"/>
    </bk>
    <bk>
      <rc t="1" v="3211"/>
    </bk>
    <bk>
      <rc t="1" v="3212"/>
    </bk>
    <bk>
      <rc t="1" v="3213"/>
    </bk>
    <bk>
      <rc t="1" v="3214"/>
    </bk>
    <bk>
      <rc t="1" v="3215"/>
    </bk>
    <bk>
      <rc t="1" v="3216"/>
    </bk>
    <bk>
      <rc t="1" v="3217"/>
    </bk>
    <bk>
      <rc t="1" v="3218"/>
    </bk>
    <bk>
      <rc t="1" v="3219"/>
    </bk>
    <bk>
      <rc t="1" v="3220"/>
    </bk>
    <bk>
      <rc t="1" v="3221"/>
    </bk>
    <bk>
      <rc t="1" v="3222"/>
    </bk>
    <bk>
      <rc t="1" v="3223"/>
    </bk>
    <bk>
      <rc t="1" v="3224"/>
    </bk>
    <bk>
      <rc t="1" v="3225"/>
    </bk>
    <bk>
      <rc t="1" v="3226"/>
    </bk>
    <bk>
      <rc t="1" v="3227"/>
    </bk>
    <bk>
      <rc t="1" v="3228"/>
    </bk>
    <bk>
      <rc t="1" v="3229"/>
    </bk>
    <bk>
      <rc t="1" v="3230"/>
    </bk>
    <bk>
      <rc t="1" v="3231"/>
    </bk>
    <bk>
      <rc t="1" v="3232"/>
    </bk>
    <bk>
      <rc t="1" v="3233"/>
    </bk>
    <bk>
      <rc t="1" v="3234"/>
    </bk>
    <bk>
      <rc t="1" v="3235"/>
    </bk>
    <bk>
      <rc t="1" v="3236"/>
    </bk>
    <bk>
      <rc t="1" v="3237"/>
    </bk>
    <bk>
      <rc t="1" v="3238"/>
    </bk>
    <bk>
      <rc t="1" v="3239"/>
    </bk>
    <bk>
      <rc t="1" v="3240"/>
    </bk>
    <bk>
      <rc t="1" v="3241"/>
    </bk>
    <bk>
      <rc t="1" v="3242"/>
    </bk>
    <bk>
      <rc t="1" v="3243"/>
    </bk>
    <bk>
      <rc t="1" v="3244"/>
    </bk>
    <bk>
      <rc t="1" v="3245"/>
    </bk>
    <bk>
      <rc t="1" v="3246"/>
    </bk>
    <bk>
      <rc t="1" v="3247"/>
    </bk>
    <bk>
      <rc t="1" v="3248"/>
    </bk>
    <bk>
      <rc t="1" v="3249"/>
    </bk>
    <bk>
      <rc t="1" v="3250"/>
    </bk>
    <bk>
      <rc t="1" v="3251"/>
    </bk>
    <bk>
      <rc t="1" v="3252"/>
    </bk>
    <bk>
      <rc t="1" v="3253"/>
    </bk>
    <bk>
      <rc t="1" v="3254"/>
    </bk>
    <bk>
      <rc t="1" v="3255"/>
    </bk>
    <bk>
      <rc t="1" v="3256"/>
    </bk>
    <bk>
      <rc t="1" v="3257"/>
    </bk>
    <bk>
      <rc t="1" v="3258"/>
    </bk>
    <bk>
      <rc t="1" v="3259"/>
    </bk>
    <bk>
      <rc t="1" v="3260"/>
    </bk>
    <bk>
      <rc t="1" v="3261"/>
    </bk>
    <bk>
      <rc t="1" v="3262"/>
    </bk>
    <bk>
      <rc t="1" v="3263"/>
    </bk>
    <bk>
      <rc t="1" v="3264"/>
    </bk>
    <bk>
      <rc t="1" v="3265"/>
    </bk>
    <bk>
      <rc t="1" v="3266"/>
    </bk>
    <bk>
      <rc t="1" v="3267"/>
    </bk>
    <bk>
      <rc t="1" v="3268"/>
    </bk>
    <bk>
      <rc t="1" v="3269"/>
    </bk>
    <bk>
      <rc t="1" v="3270"/>
    </bk>
    <bk>
      <rc t="1" v="3271"/>
    </bk>
    <bk>
      <rc t="1" v="3272"/>
    </bk>
    <bk>
      <rc t="1" v="3273"/>
    </bk>
    <bk>
      <rc t="1" v="3274"/>
    </bk>
    <bk>
      <rc t="1" v="3275"/>
    </bk>
    <bk>
      <rc t="1" v="3276"/>
    </bk>
    <bk>
      <rc t="1" v="3277"/>
    </bk>
    <bk>
      <rc t="1" v="3278"/>
    </bk>
    <bk>
      <rc t="1" v="3279"/>
    </bk>
    <bk>
      <rc t="1" v="3280"/>
    </bk>
    <bk>
      <rc t="1" v="3281"/>
    </bk>
    <bk>
      <rc t="1" v="3282"/>
    </bk>
    <bk>
      <rc t="1" v="3283"/>
    </bk>
    <bk>
      <rc t="1" v="3284"/>
    </bk>
    <bk>
      <rc t="1" v="3285"/>
    </bk>
    <bk>
      <rc t="1" v="3286"/>
    </bk>
    <bk>
      <rc t="1" v="3287"/>
    </bk>
    <bk>
      <rc t="1" v="3288"/>
    </bk>
    <bk>
      <rc t="1" v="3289"/>
    </bk>
    <bk>
      <rc t="1" v="3290"/>
    </bk>
    <bk>
      <rc t="1" v="3291"/>
    </bk>
    <bk>
      <rc t="1" v="3292"/>
    </bk>
    <bk>
      <rc t="1" v="3293"/>
    </bk>
    <bk>
      <rc t="1" v="3294"/>
    </bk>
    <bk>
      <rc t="1" v="3295"/>
    </bk>
    <bk>
      <rc t="1" v="3296"/>
    </bk>
    <bk>
      <rc t="1" v="3297"/>
    </bk>
    <bk>
      <rc t="1" v="3298"/>
    </bk>
    <bk>
      <rc t="1" v="3299"/>
    </bk>
    <bk>
      <rc t="1" v="3300"/>
    </bk>
    <bk>
      <rc t="1" v="3301"/>
    </bk>
    <bk>
      <rc t="1" v="3302"/>
    </bk>
    <bk>
      <rc t="1" v="3303"/>
    </bk>
    <bk>
      <rc t="1" v="3304"/>
    </bk>
    <bk>
      <rc t="1" v="3305"/>
    </bk>
    <bk>
      <rc t="1" v="3306"/>
    </bk>
    <bk>
      <rc t="1" v="3307"/>
    </bk>
    <bk>
      <rc t="1" v="3308"/>
    </bk>
    <bk>
      <rc t="1" v="3309"/>
    </bk>
    <bk>
      <rc t="1" v="3310"/>
    </bk>
    <bk>
      <rc t="1" v="3311"/>
    </bk>
    <bk>
      <rc t="1" v="3312"/>
    </bk>
    <bk>
      <rc t="1" v="3313"/>
    </bk>
    <bk>
      <rc t="1" v="3314"/>
    </bk>
    <bk>
      <rc t="1" v="3315"/>
    </bk>
    <bk>
      <rc t="1" v="3316"/>
    </bk>
    <bk>
      <rc t="1" v="3317"/>
    </bk>
    <bk>
      <rc t="1" v="3318"/>
    </bk>
    <bk>
      <rc t="1" v="3319"/>
    </bk>
    <bk>
      <rc t="1" v="3320"/>
    </bk>
    <bk>
      <rc t="1" v="3321"/>
    </bk>
    <bk>
      <rc t="1" v="3322"/>
    </bk>
    <bk>
      <rc t="1" v="3323"/>
    </bk>
    <bk>
      <rc t="1" v="3324"/>
    </bk>
    <bk>
      <rc t="1" v="3325"/>
    </bk>
    <bk>
      <rc t="1" v="3326"/>
    </bk>
    <bk>
      <rc t="1" v="3327"/>
    </bk>
    <bk>
      <rc t="1" v="3328"/>
    </bk>
    <bk>
      <rc t="1" v="3329"/>
    </bk>
    <bk>
      <rc t="1" v="3330"/>
    </bk>
    <bk>
      <rc t="1" v="3331"/>
    </bk>
    <bk>
      <rc t="1" v="3332"/>
    </bk>
    <bk>
      <rc t="1" v="3333"/>
    </bk>
    <bk>
      <rc t="1" v="3334"/>
    </bk>
    <bk>
      <rc t="1" v="3335"/>
    </bk>
    <bk>
      <rc t="1" v="3336"/>
    </bk>
    <bk>
      <rc t="1" v="3337"/>
    </bk>
    <bk>
      <rc t="1" v="3338"/>
    </bk>
    <bk>
      <rc t="1" v="3339"/>
    </bk>
    <bk>
      <rc t="1" v="3340"/>
    </bk>
    <bk>
      <rc t="1" v="3341"/>
    </bk>
    <bk>
      <rc t="1" v="3342"/>
    </bk>
    <bk>
      <rc t="1" v="3343"/>
    </bk>
    <bk>
      <rc t="1" v="3344"/>
    </bk>
    <bk>
      <rc t="1" v="3345"/>
    </bk>
    <bk>
      <rc t="1" v="3346"/>
    </bk>
    <bk>
      <rc t="1" v="3347"/>
    </bk>
    <bk>
      <rc t="1" v="3348"/>
    </bk>
    <bk>
      <rc t="1" v="3349"/>
    </bk>
    <bk>
      <rc t="1" v="3350"/>
    </bk>
    <bk>
      <rc t="1" v="3351"/>
    </bk>
    <bk>
      <rc t="1" v="3352"/>
    </bk>
    <bk>
      <rc t="1" v="3353"/>
    </bk>
    <bk>
      <rc t="1" v="3354"/>
    </bk>
    <bk>
      <rc t="1" v="3355"/>
    </bk>
    <bk>
      <rc t="1" v="3356"/>
    </bk>
    <bk>
      <rc t="1" v="3357"/>
    </bk>
    <bk>
      <rc t="1" v="3358"/>
    </bk>
    <bk>
      <rc t="1" v="3359"/>
    </bk>
    <bk>
      <rc t="1" v="3360"/>
    </bk>
    <bk>
      <rc t="1" v="3361"/>
    </bk>
    <bk>
      <rc t="1" v="3362"/>
    </bk>
    <bk>
      <rc t="1" v="3363"/>
    </bk>
    <bk>
      <rc t="1" v="3364"/>
    </bk>
    <bk>
      <rc t="1" v="3365"/>
    </bk>
    <bk>
      <rc t="1" v="3366"/>
    </bk>
    <bk>
      <rc t="1" v="3367"/>
    </bk>
    <bk>
      <rc t="1" v="3368"/>
    </bk>
    <bk>
      <rc t="1" v="3369"/>
    </bk>
    <bk>
      <rc t="1" v="3370"/>
    </bk>
    <bk>
      <rc t="1" v="3371"/>
    </bk>
    <bk>
      <rc t="1" v="3372"/>
    </bk>
    <bk>
      <rc t="1" v="3373"/>
    </bk>
    <bk>
      <rc t="1" v="3374"/>
    </bk>
    <bk>
      <rc t="1" v="3375"/>
    </bk>
    <bk>
      <rc t="1" v="3376"/>
    </bk>
    <bk>
      <rc t="1" v="3377"/>
    </bk>
    <bk>
      <rc t="1" v="3378"/>
    </bk>
    <bk>
      <rc t="1" v="3379"/>
    </bk>
    <bk>
      <rc t="1" v="3380"/>
    </bk>
    <bk>
      <rc t="1" v="3381"/>
    </bk>
    <bk>
      <rc t="1" v="3382"/>
    </bk>
    <bk>
      <rc t="1" v="3383"/>
    </bk>
    <bk>
      <rc t="1" v="3384"/>
    </bk>
    <bk>
      <rc t="1" v="3385"/>
    </bk>
    <bk>
      <rc t="1" v="3386"/>
    </bk>
    <bk>
      <rc t="1" v="3387"/>
    </bk>
    <bk>
      <rc t="1" v="3388"/>
    </bk>
    <bk>
      <rc t="1" v="3389"/>
    </bk>
    <bk>
      <rc t="1" v="3390"/>
    </bk>
    <bk>
      <rc t="1" v="3391"/>
    </bk>
    <bk>
      <rc t="1" v="3392"/>
    </bk>
    <bk>
      <rc t="1" v="3393"/>
    </bk>
    <bk>
      <rc t="1" v="3394"/>
    </bk>
    <bk>
      <rc t="1" v="3395"/>
    </bk>
    <bk>
      <rc t="1" v="3396"/>
    </bk>
    <bk>
      <rc t="1" v="3397"/>
    </bk>
    <bk>
      <rc t="1" v="3398"/>
    </bk>
    <bk>
      <rc t="1" v="3399"/>
    </bk>
    <bk>
      <rc t="1" v="3400"/>
    </bk>
    <bk>
      <rc t="1" v="3401"/>
    </bk>
    <bk>
      <rc t="1" v="3402"/>
    </bk>
    <bk>
      <rc t="1" v="3403"/>
    </bk>
    <bk>
      <rc t="1" v="3404"/>
    </bk>
    <bk>
      <rc t="1" v="3405"/>
    </bk>
    <bk>
      <rc t="1" v="3406"/>
    </bk>
    <bk>
      <rc t="1" v="3407"/>
    </bk>
    <bk>
      <rc t="1" v="3408"/>
    </bk>
    <bk>
      <rc t="1" v="3409"/>
    </bk>
    <bk>
      <rc t="1" v="3410"/>
    </bk>
    <bk>
      <rc t="1" v="3411"/>
    </bk>
    <bk>
      <rc t="1" v="3412"/>
    </bk>
    <bk>
      <rc t="1" v="3413"/>
    </bk>
    <bk>
      <rc t="1" v="3414"/>
    </bk>
    <bk>
      <rc t="1" v="3415"/>
    </bk>
    <bk>
      <rc t="1" v="3416"/>
    </bk>
    <bk>
      <rc t="1" v="3417"/>
    </bk>
    <bk>
      <rc t="1" v="3418"/>
    </bk>
    <bk>
      <rc t="1" v="3419"/>
    </bk>
    <bk>
      <rc t="1" v="3420"/>
    </bk>
    <bk>
      <rc t="1" v="3421"/>
    </bk>
    <bk>
      <rc t="1" v="3422"/>
    </bk>
    <bk>
      <rc t="1" v="3423"/>
    </bk>
    <bk>
      <rc t="1" v="3424"/>
    </bk>
    <bk>
      <rc t="1" v="3425"/>
    </bk>
    <bk>
      <rc t="1" v="3426"/>
    </bk>
    <bk>
      <rc t="1" v="3427"/>
    </bk>
    <bk>
      <rc t="1" v="3428"/>
    </bk>
    <bk>
      <rc t="1" v="3429"/>
    </bk>
    <bk>
      <rc t="1" v="3430"/>
    </bk>
    <bk>
      <rc t="1" v="3431"/>
    </bk>
    <bk>
      <rc t="1" v="3432"/>
    </bk>
    <bk>
      <rc t="1" v="3433"/>
    </bk>
    <bk>
      <rc t="1" v="3434"/>
    </bk>
    <bk>
      <rc t="1" v="3435"/>
    </bk>
    <bk>
      <rc t="1" v="3436"/>
    </bk>
    <bk>
      <rc t="1" v="3437"/>
    </bk>
    <bk>
      <rc t="1" v="3438"/>
    </bk>
    <bk>
      <rc t="1" v="3439"/>
    </bk>
    <bk>
      <rc t="1" v="3440"/>
    </bk>
    <bk>
      <rc t="1" v="3441"/>
    </bk>
    <bk>
      <rc t="1" v="3442"/>
    </bk>
    <bk>
      <rc t="1" v="3443"/>
    </bk>
    <bk>
      <rc t="1" v="3444"/>
    </bk>
    <bk>
      <rc t="1" v="3445"/>
    </bk>
    <bk>
      <rc t="1" v="3446"/>
    </bk>
    <bk>
      <rc t="1" v="3447"/>
    </bk>
    <bk>
      <rc t="1" v="3448"/>
    </bk>
    <bk>
      <rc t="1" v="3449"/>
    </bk>
    <bk>
      <rc t="1" v="3450"/>
    </bk>
    <bk>
      <rc t="1" v="3451"/>
    </bk>
    <bk>
      <rc t="1" v="3452"/>
    </bk>
    <bk>
      <rc t="1" v="3453"/>
    </bk>
    <bk>
      <rc t="1" v="3454"/>
    </bk>
    <bk>
      <rc t="1" v="3455"/>
    </bk>
    <bk>
      <rc t="1" v="3456"/>
    </bk>
    <bk>
      <rc t="1" v="3457"/>
    </bk>
    <bk>
      <rc t="1" v="3458"/>
    </bk>
    <bk>
      <rc t="1" v="3459"/>
    </bk>
    <bk>
      <rc t="1" v="3460"/>
    </bk>
    <bk>
      <rc t="1" v="3461"/>
    </bk>
    <bk>
      <rc t="1" v="3462"/>
    </bk>
    <bk>
      <rc t="1" v="3463"/>
    </bk>
    <bk>
      <rc t="1" v="3464"/>
    </bk>
    <bk>
      <rc t="1" v="3465"/>
    </bk>
    <bk>
      <rc t="1" v="3466"/>
    </bk>
    <bk>
      <rc t="1" v="3467"/>
    </bk>
    <bk>
      <rc t="1" v="3468"/>
    </bk>
    <bk>
      <rc t="1" v="3469"/>
    </bk>
    <bk>
      <rc t="1" v="3470"/>
    </bk>
    <bk>
      <rc t="1" v="3471"/>
    </bk>
    <bk>
      <rc t="1" v="3472"/>
    </bk>
    <bk>
      <rc t="1" v="3473"/>
    </bk>
    <bk>
      <rc t="1" v="3474"/>
    </bk>
    <bk>
      <rc t="1" v="3475"/>
    </bk>
    <bk>
      <rc t="1" v="3476"/>
    </bk>
    <bk>
      <rc t="1" v="3477"/>
    </bk>
    <bk>
      <rc t="1" v="3478"/>
    </bk>
    <bk>
      <rc t="1" v="3479"/>
    </bk>
    <bk>
      <rc t="1" v="3480"/>
    </bk>
    <bk>
      <rc t="1" v="3481"/>
    </bk>
    <bk>
      <rc t="1" v="3482"/>
    </bk>
    <bk>
      <rc t="1" v="3483"/>
    </bk>
    <bk>
      <rc t="1" v="3484"/>
    </bk>
    <bk>
      <rc t="1" v="3485"/>
    </bk>
    <bk>
      <rc t="1" v="3486"/>
    </bk>
    <bk>
      <rc t="1" v="3487"/>
    </bk>
    <bk>
      <rc t="1" v="3488"/>
    </bk>
    <bk>
      <rc t="1" v="3489"/>
    </bk>
    <bk>
      <rc t="1" v="3490"/>
    </bk>
    <bk>
      <rc t="1" v="3491"/>
    </bk>
    <bk>
      <rc t="1" v="3492"/>
    </bk>
    <bk>
      <rc t="1" v="3493"/>
    </bk>
    <bk>
      <rc t="1" v="3494"/>
    </bk>
    <bk>
      <rc t="1" v="3495"/>
    </bk>
    <bk>
      <rc t="1" v="3496"/>
    </bk>
    <bk>
      <rc t="1" v="3497"/>
    </bk>
    <bk>
      <rc t="1" v="3498"/>
    </bk>
    <bk>
      <rc t="1" v="3499"/>
    </bk>
    <bk>
      <rc t="1" v="3500"/>
    </bk>
    <bk>
      <rc t="1" v="3501"/>
    </bk>
    <bk>
      <rc t="1" v="3502"/>
    </bk>
    <bk>
      <rc t="1" v="3503"/>
    </bk>
    <bk>
      <rc t="1" v="3504"/>
    </bk>
    <bk>
      <rc t="1" v="3505"/>
    </bk>
    <bk>
      <rc t="1" v="3506"/>
    </bk>
    <bk>
      <rc t="1" v="3507"/>
    </bk>
    <bk>
      <rc t="1" v="3508"/>
    </bk>
    <bk>
      <rc t="1" v="3509"/>
    </bk>
    <bk>
      <rc t="1" v="3510"/>
    </bk>
    <bk>
      <rc t="1" v="3511"/>
    </bk>
    <bk>
      <rc t="1" v="3512"/>
    </bk>
    <bk>
      <rc t="1" v="3513"/>
    </bk>
    <bk>
      <rc t="1" v="3514"/>
    </bk>
    <bk>
      <rc t="1" v="3515"/>
    </bk>
    <bk>
      <rc t="1" v="3516"/>
    </bk>
    <bk>
      <rc t="1" v="3517"/>
    </bk>
    <bk>
      <rc t="1" v="3518"/>
    </bk>
    <bk>
      <rc t="1" v="3519"/>
    </bk>
    <bk>
      <rc t="1" v="3520"/>
    </bk>
    <bk>
      <rc t="1" v="3521"/>
    </bk>
    <bk>
      <rc t="1" v="3522"/>
    </bk>
    <bk>
      <rc t="1" v="3523"/>
    </bk>
    <bk>
      <rc t="1" v="3524"/>
    </bk>
    <bk>
      <rc t="1" v="3525"/>
    </bk>
    <bk>
      <rc t="1" v="3526"/>
    </bk>
    <bk>
      <rc t="1" v="3527"/>
    </bk>
    <bk>
      <rc t="1" v="3528"/>
    </bk>
    <bk>
      <rc t="1" v="3529"/>
    </bk>
    <bk>
      <rc t="1" v="3530"/>
    </bk>
    <bk>
      <rc t="1" v="3531"/>
    </bk>
    <bk>
      <rc t="1" v="3532"/>
    </bk>
    <bk>
      <rc t="1" v="3533"/>
    </bk>
    <bk>
      <rc t="1" v="3534"/>
    </bk>
    <bk>
      <rc t="1" v="3535"/>
    </bk>
    <bk>
      <rc t="1" v="3536"/>
    </bk>
    <bk>
      <rc t="1" v="3537"/>
    </bk>
    <bk>
      <rc t="1" v="3538"/>
    </bk>
    <bk>
      <rc t="1" v="3539"/>
    </bk>
    <bk>
      <rc t="1" v="3540"/>
    </bk>
    <bk>
      <rc t="1" v="3541"/>
    </bk>
    <bk>
      <rc t="1" v="3542"/>
    </bk>
    <bk>
      <rc t="1" v="3543"/>
    </bk>
    <bk>
      <rc t="1" v="3544"/>
    </bk>
    <bk>
      <rc t="1" v="3545"/>
    </bk>
    <bk>
      <rc t="1" v="3546"/>
    </bk>
    <bk>
      <rc t="1" v="3547"/>
    </bk>
    <bk>
      <rc t="1" v="3548"/>
    </bk>
    <bk>
      <rc t="1" v="3549"/>
    </bk>
    <bk>
      <rc t="1" v="3550"/>
    </bk>
    <bk>
      <rc t="1" v="3551"/>
    </bk>
    <bk>
      <rc t="1" v="3552"/>
    </bk>
    <bk>
      <rc t="1" v="3553"/>
    </bk>
    <bk>
      <rc t="1" v="3554"/>
    </bk>
    <bk>
      <rc t="1" v="3555"/>
    </bk>
    <bk>
      <rc t="1" v="3556"/>
    </bk>
    <bk>
      <rc t="1" v="3557"/>
    </bk>
    <bk>
      <rc t="1" v="3558"/>
    </bk>
    <bk>
      <rc t="1" v="3559"/>
    </bk>
    <bk>
      <rc t="1" v="3560"/>
    </bk>
    <bk>
      <rc t="1" v="3561"/>
    </bk>
    <bk>
      <rc t="1" v="3562"/>
    </bk>
    <bk>
      <rc t="1" v="3563"/>
    </bk>
    <bk>
      <rc t="1" v="3564"/>
    </bk>
    <bk>
      <rc t="1" v="3565"/>
    </bk>
    <bk>
      <rc t="1" v="3566"/>
    </bk>
    <bk>
      <rc t="1" v="3567"/>
    </bk>
    <bk>
      <rc t="1" v="3568"/>
    </bk>
    <bk>
      <rc t="1" v="3569"/>
    </bk>
    <bk>
      <rc t="1" v="3570"/>
    </bk>
    <bk>
      <rc t="1" v="3571"/>
    </bk>
    <bk>
      <rc t="1" v="3572"/>
    </bk>
    <bk>
      <rc t="1" v="3573"/>
    </bk>
    <bk>
      <rc t="1" v="3574"/>
    </bk>
    <bk>
      <rc t="1" v="3575"/>
    </bk>
    <bk>
      <rc t="1" v="3576"/>
    </bk>
    <bk>
      <rc t="1" v="3577"/>
    </bk>
    <bk>
      <rc t="1" v="3578"/>
    </bk>
    <bk>
      <rc t="1" v="3579"/>
    </bk>
    <bk>
      <rc t="1" v="3580"/>
    </bk>
    <bk>
      <rc t="1" v="3581"/>
    </bk>
    <bk>
      <rc t="1" v="3582"/>
    </bk>
    <bk>
      <rc t="1" v="3583"/>
    </bk>
    <bk>
      <rc t="1" v="3584"/>
    </bk>
    <bk>
      <rc t="1" v="3585"/>
    </bk>
    <bk>
      <rc t="1" v="3586"/>
    </bk>
    <bk>
      <rc t="1" v="3587"/>
    </bk>
    <bk>
      <rc t="1" v="3588"/>
    </bk>
    <bk>
      <rc t="1" v="3589"/>
    </bk>
    <bk>
      <rc t="1" v="3590"/>
    </bk>
    <bk>
      <rc t="1" v="3591"/>
    </bk>
    <bk>
      <rc t="1" v="3592"/>
    </bk>
    <bk>
      <rc t="1" v="3593"/>
    </bk>
    <bk>
      <rc t="1" v="3594"/>
    </bk>
    <bk>
      <rc t="1" v="3595"/>
    </bk>
    <bk>
      <rc t="1" v="3596"/>
    </bk>
    <bk>
      <rc t="1" v="3597"/>
    </bk>
    <bk>
      <rc t="1" v="3598"/>
    </bk>
    <bk>
      <rc t="1" v="3599"/>
    </bk>
    <bk>
      <rc t="1" v="3600"/>
    </bk>
    <bk>
      <rc t="1" v="3601"/>
    </bk>
    <bk>
      <rc t="1" v="3602"/>
    </bk>
    <bk>
      <rc t="1" v="3603"/>
    </bk>
    <bk>
      <rc t="1" v="3604"/>
    </bk>
    <bk>
      <rc t="1" v="3605"/>
    </bk>
    <bk>
      <rc t="1" v="3606"/>
    </bk>
    <bk>
      <rc t="1" v="3607"/>
    </bk>
    <bk>
      <rc t="1" v="3608"/>
    </bk>
    <bk>
      <rc t="1" v="3609"/>
    </bk>
    <bk>
      <rc t="1" v="3610"/>
    </bk>
    <bk>
      <rc t="1" v="3611"/>
    </bk>
    <bk>
      <rc t="1" v="3612"/>
    </bk>
    <bk>
      <rc t="1" v="3613"/>
    </bk>
    <bk>
      <rc t="1" v="3614"/>
    </bk>
    <bk>
      <rc t="1" v="3615"/>
    </bk>
    <bk>
      <rc t="1" v="3616"/>
    </bk>
    <bk>
      <rc t="1" v="3617"/>
    </bk>
    <bk>
      <rc t="1" v="3618"/>
    </bk>
    <bk>
      <rc t="1" v="3619"/>
    </bk>
    <bk>
      <rc t="1" v="3620"/>
    </bk>
    <bk>
      <rc t="1" v="3621"/>
    </bk>
    <bk>
      <rc t="1" v="3622"/>
    </bk>
    <bk>
      <rc t="1" v="3623"/>
    </bk>
    <bk>
      <rc t="1" v="3624"/>
    </bk>
    <bk>
      <rc t="1" v="3625"/>
    </bk>
    <bk>
      <rc t="1" v="3626"/>
    </bk>
    <bk>
      <rc t="1" v="3627"/>
    </bk>
    <bk>
      <rc t="1" v="3628"/>
    </bk>
    <bk>
      <rc t="1" v="3629"/>
    </bk>
    <bk>
      <rc t="1" v="3630"/>
    </bk>
    <bk>
      <rc t="1" v="3631"/>
    </bk>
    <bk>
      <rc t="1" v="3632"/>
    </bk>
    <bk>
      <rc t="1" v="3633"/>
    </bk>
    <bk>
      <rc t="1" v="3634"/>
    </bk>
    <bk>
      <rc t="1" v="3635"/>
    </bk>
    <bk>
      <rc t="1" v="3636"/>
    </bk>
    <bk>
      <rc t="1" v="3637"/>
    </bk>
    <bk>
      <rc t="1" v="3638"/>
    </bk>
    <bk>
      <rc t="1" v="3639"/>
    </bk>
    <bk>
      <rc t="1" v="3640"/>
    </bk>
    <bk>
      <rc t="1" v="3641"/>
    </bk>
    <bk>
      <rc t="1" v="3642"/>
    </bk>
    <bk>
      <rc t="1" v="3643"/>
    </bk>
    <bk>
      <rc t="1" v="3644"/>
    </bk>
    <bk>
      <rc t="1" v="3645"/>
    </bk>
    <bk>
      <rc t="1" v="3646"/>
    </bk>
    <bk>
      <rc t="1" v="3647"/>
    </bk>
    <bk>
      <rc t="1" v="3648"/>
    </bk>
    <bk>
      <rc t="1" v="3649"/>
    </bk>
    <bk>
      <rc t="1" v="3650"/>
    </bk>
    <bk>
      <rc t="1" v="3651"/>
    </bk>
    <bk>
      <rc t="1" v="3652"/>
    </bk>
    <bk>
      <rc t="1" v="3653"/>
    </bk>
    <bk>
      <rc t="1" v="3654"/>
    </bk>
    <bk>
      <rc t="1" v="3655"/>
    </bk>
    <bk>
      <rc t="1" v="3656"/>
    </bk>
    <bk>
      <rc t="1" v="3657"/>
    </bk>
    <bk>
      <rc t="1" v="3658"/>
    </bk>
    <bk>
      <rc t="1" v="3659"/>
    </bk>
    <bk>
      <rc t="1" v="3660"/>
    </bk>
    <bk>
      <rc t="1" v="3661"/>
    </bk>
    <bk>
      <rc t="1" v="3662"/>
    </bk>
    <bk>
      <rc t="1" v="3663"/>
    </bk>
    <bk>
      <rc t="1" v="3664"/>
    </bk>
    <bk>
      <rc t="1" v="3665"/>
    </bk>
    <bk>
      <rc t="1" v="3666"/>
    </bk>
    <bk>
      <rc t="1" v="3667"/>
    </bk>
    <bk>
      <rc t="1" v="3668"/>
    </bk>
    <bk>
      <rc t="1" v="3669"/>
    </bk>
    <bk>
      <rc t="1" v="3670"/>
    </bk>
    <bk>
      <rc t="1" v="3671"/>
    </bk>
    <bk>
      <rc t="1" v="3672"/>
    </bk>
    <bk>
      <rc t="1" v="3673"/>
    </bk>
    <bk>
      <rc t="1" v="3674"/>
    </bk>
    <bk>
      <rc t="1" v="3675"/>
    </bk>
    <bk>
      <rc t="1" v="3676"/>
    </bk>
    <bk>
      <rc t="1" v="3677"/>
    </bk>
    <bk>
      <rc t="1" v="3678"/>
    </bk>
    <bk>
      <rc t="1" v="3679"/>
    </bk>
    <bk>
      <rc t="1" v="3680"/>
    </bk>
    <bk>
      <rc t="1" v="3681"/>
    </bk>
    <bk>
      <rc t="1" v="3682"/>
    </bk>
    <bk>
      <rc t="1" v="3683"/>
    </bk>
    <bk>
      <rc t="1" v="3684"/>
    </bk>
    <bk>
      <rc t="1" v="3685"/>
    </bk>
    <bk>
      <rc t="1" v="3686"/>
    </bk>
    <bk>
      <rc t="1" v="3687"/>
    </bk>
    <bk>
      <rc t="1" v="3688"/>
    </bk>
    <bk>
      <rc t="1" v="3689"/>
    </bk>
    <bk>
      <rc t="1" v="3690"/>
    </bk>
    <bk>
      <rc t="1" v="3691"/>
    </bk>
    <bk>
      <rc t="1" v="3692"/>
    </bk>
    <bk>
      <rc t="1" v="3693"/>
    </bk>
    <bk>
      <rc t="1" v="3694"/>
    </bk>
    <bk>
      <rc t="1" v="3695"/>
    </bk>
    <bk>
      <rc t="1" v="3696"/>
    </bk>
    <bk>
      <rc t="1" v="3697"/>
    </bk>
    <bk>
      <rc t="1" v="3698"/>
    </bk>
    <bk>
      <rc t="1" v="3699"/>
    </bk>
    <bk>
      <rc t="1" v="3700"/>
    </bk>
    <bk>
      <rc t="1" v="3701"/>
    </bk>
    <bk>
      <rc t="1" v="3702"/>
    </bk>
    <bk>
      <rc t="1" v="3703"/>
    </bk>
    <bk>
      <rc t="1" v="3704"/>
    </bk>
    <bk>
      <rc t="1" v="3705"/>
    </bk>
    <bk>
      <rc t="1" v="3706"/>
    </bk>
    <bk>
      <rc t="1" v="3707"/>
    </bk>
    <bk>
      <rc t="1" v="3708"/>
    </bk>
    <bk>
      <rc t="1" v="3709"/>
    </bk>
    <bk>
      <rc t="1" v="3710"/>
    </bk>
    <bk>
      <rc t="1" v="3711"/>
    </bk>
    <bk>
      <rc t="1" v="3712"/>
    </bk>
    <bk>
      <rc t="1" v="3713"/>
    </bk>
    <bk>
      <rc t="1" v="3714"/>
    </bk>
    <bk>
      <rc t="1" v="3715"/>
    </bk>
    <bk>
      <rc t="1" v="3716"/>
    </bk>
    <bk>
      <rc t="1" v="3717"/>
    </bk>
    <bk>
      <rc t="1" v="3718"/>
    </bk>
    <bk>
      <rc t="1" v="3719"/>
    </bk>
    <bk>
      <rc t="1" v="3720"/>
    </bk>
    <bk>
      <rc t="1" v="3721"/>
    </bk>
    <bk>
      <rc t="1" v="3722"/>
    </bk>
    <bk>
      <rc t="1" v="3723"/>
    </bk>
    <bk>
      <rc t="1" v="3724"/>
    </bk>
    <bk>
      <rc t="1" v="3725"/>
    </bk>
    <bk>
      <rc t="1" v="3726"/>
    </bk>
    <bk>
      <rc t="1" v="3727"/>
    </bk>
    <bk>
      <rc t="1" v="3728"/>
    </bk>
    <bk>
      <rc t="1" v="3729"/>
    </bk>
    <bk>
      <rc t="1" v="3730"/>
    </bk>
    <bk>
      <rc t="1" v="3731"/>
    </bk>
    <bk>
      <rc t="1" v="3732"/>
    </bk>
    <bk>
      <rc t="1" v="3733"/>
    </bk>
    <bk>
      <rc t="1" v="3734"/>
    </bk>
    <bk>
      <rc t="1" v="3735"/>
    </bk>
    <bk>
      <rc t="1" v="3736"/>
    </bk>
    <bk>
      <rc t="1" v="3737"/>
    </bk>
    <bk>
      <rc t="1" v="3738"/>
    </bk>
    <bk>
      <rc t="1" v="3739"/>
    </bk>
    <bk>
      <rc t="1" v="3740"/>
    </bk>
    <bk>
      <rc t="1" v="3741"/>
    </bk>
    <bk>
      <rc t="1" v="3742"/>
    </bk>
    <bk>
      <rc t="1" v="3743"/>
    </bk>
    <bk>
      <rc t="1" v="3744"/>
    </bk>
    <bk>
      <rc t="1" v="3745"/>
    </bk>
    <bk>
      <rc t="1" v="3746"/>
    </bk>
    <bk>
      <rc t="1" v="3747"/>
    </bk>
    <bk>
      <rc t="1" v="3748"/>
    </bk>
    <bk>
      <rc t="1" v="3749"/>
    </bk>
    <bk>
      <rc t="1" v="3750"/>
    </bk>
    <bk>
      <rc t="1" v="3751"/>
    </bk>
    <bk>
      <rc t="1" v="3752"/>
    </bk>
    <bk>
      <rc t="1" v="3753"/>
    </bk>
    <bk>
      <rc t="1" v="3754"/>
    </bk>
    <bk>
      <rc t="1" v="3755"/>
    </bk>
    <bk>
      <rc t="1" v="3756"/>
    </bk>
    <bk>
      <rc t="1" v="3757"/>
    </bk>
    <bk>
      <rc t="1" v="3758"/>
    </bk>
    <bk>
      <rc t="1" v="3759"/>
    </bk>
    <bk>
      <rc t="1" v="3760"/>
    </bk>
    <bk>
      <rc t="1" v="3761"/>
    </bk>
    <bk>
      <rc t="1" v="3762"/>
    </bk>
    <bk>
      <rc t="1" v="3763"/>
    </bk>
    <bk>
      <rc t="1" v="3764"/>
    </bk>
    <bk>
      <rc t="1" v="3765"/>
    </bk>
    <bk>
      <rc t="1" v="3766"/>
    </bk>
    <bk>
      <rc t="1" v="3767"/>
    </bk>
    <bk>
      <rc t="1" v="3768"/>
    </bk>
    <bk>
      <rc t="1" v="3769"/>
    </bk>
    <bk>
      <rc t="1" v="3770"/>
    </bk>
    <bk>
      <rc t="1" v="3771"/>
    </bk>
    <bk>
      <rc t="1" v="3772"/>
    </bk>
    <bk>
      <rc t="1" v="3773"/>
    </bk>
    <bk>
      <rc t="1" v="3774"/>
    </bk>
    <bk>
      <rc t="1" v="3775"/>
    </bk>
    <bk>
      <rc t="1" v="3776"/>
    </bk>
    <bk>
      <rc t="1" v="3777"/>
    </bk>
    <bk>
      <rc t="1" v="3778"/>
    </bk>
    <bk>
      <rc t="1" v="3779"/>
    </bk>
    <bk>
      <rc t="1" v="3780"/>
    </bk>
    <bk>
      <rc t="1" v="3781"/>
    </bk>
    <bk>
      <rc t="1" v="3782"/>
    </bk>
    <bk>
      <rc t="1" v="3783"/>
    </bk>
    <bk>
      <rc t="1" v="3784"/>
    </bk>
    <bk>
      <rc t="1" v="3785"/>
    </bk>
    <bk>
      <rc t="1" v="3786"/>
    </bk>
    <bk>
      <rc t="1" v="3787"/>
    </bk>
    <bk>
      <rc t="1" v="3788"/>
    </bk>
    <bk>
      <rc t="1" v="3789"/>
    </bk>
    <bk>
      <rc t="1" v="3790"/>
    </bk>
    <bk>
      <rc t="1" v="3791"/>
    </bk>
    <bk>
      <rc t="1" v="3792"/>
    </bk>
    <bk>
      <rc t="1" v="3793"/>
    </bk>
    <bk>
      <rc t="1" v="3794"/>
    </bk>
    <bk>
      <rc t="1" v="3795"/>
    </bk>
    <bk>
      <rc t="1" v="3796"/>
    </bk>
    <bk>
      <rc t="1" v="3797"/>
    </bk>
    <bk>
      <rc t="1" v="3798"/>
    </bk>
    <bk>
      <rc t="1" v="3799"/>
    </bk>
    <bk>
      <rc t="1" v="3800"/>
    </bk>
    <bk>
      <rc t="1" v="3801"/>
    </bk>
    <bk>
      <rc t="1" v="3802"/>
    </bk>
    <bk>
      <rc t="1" v="3803"/>
    </bk>
    <bk>
      <rc t="1" v="3804"/>
    </bk>
    <bk>
      <rc t="1" v="3805"/>
    </bk>
    <bk>
      <rc t="1" v="3806"/>
    </bk>
    <bk>
      <rc t="1" v="3807"/>
    </bk>
    <bk>
      <rc t="1" v="3808"/>
    </bk>
    <bk>
      <rc t="1" v="3809"/>
    </bk>
    <bk>
      <rc t="1" v="3810"/>
    </bk>
    <bk>
      <rc t="1" v="3811"/>
    </bk>
    <bk>
      <rc t="1" v="3812"/>
    </bk>
    <bk>
      <rc t="1" v="3813"/>
    </bk>
    <bk>
      <rc t="1" v="3814"/>
    </bk>
    <bk>
      <rc t="1" v="3815"/>
    </bk>
    <bk>
      <rc t="1" v="3816"/>
    </bk>
    <bk>
      <rc t="1" v="3817"/>
    </bk>
    <bk>
      <rc t="1" v="3818"/>
    </bk>
    <bk>
      <rc t="1" v="3819"/>
    </bk>
    <bk>
      <rc t="1" v="3820"/>
    </bk>
    <bk>
      <rc t="1" v="3821"/>
    </bk>
    <bk>
      <rc t="1" v="3822"/>
    </bk>
    <bk>
      <rc t="1" v="3823"/>
    </bk>
    <bk>
      <rc t="1" v="3824"/>
    </bk>
    <bk>
      <rc t="1" v="3825"/>
    </bk>
    <bk>
      <rc t="1" v="3826"/>
    </bk>
    <bk>
      <rc t="1" v="3827"/>
    </bk>
    <bk>
      <rc t="1" v="3828"/>
    </bk>
    <bk>
      <rc t="1" v="3829"/>
    </bk>
    <bk>
      <rc t="1" v="3830"/>
    </bk>
    <bk>
      <rc t="1" v="3831"/>
    </bk>
    <bk>
      <rc t="1" v="3832"/>
    </bk>
    <bk>
      <rc t="1" v="3833"/>
    </bk>
    <bk>
      <rc t="1" v="3834"/>
    </bk>
    <bk>
      <rc t="1" v="3835"/>
    </bk>
    <bk>
      <rc t="1" v="3836"/>
    </bk>
    <bk>
      <rc t="1" v="3837"/>
    </bk>
    <bk>
      <rc t="1" v="3838"/>
    </bk>
    <bk>
      <rc t="1" v="3839"/>
    </bk>
    <bk>
      <rc t="1" v="3840"/>
    </bk>
    <bk>
      <rc t="1" v="3841"/>
    </bk>
    <bk>
      <rc t="1" v="3842"/>
    </bk>
    <bk>
      <rc t="1" v="3843"/>
    </bk>
    <bk>
      <rc t="1" v="3844"/>
    </bk>
    <bk>
      <rc t="1" v="3845"/>
    </bk>
    <bk>
      <rc t="1" v="3846"/>
    </bk>
    <bk>
      <rc t="1" v="3847"/>
    </bk>
    <bk>
      <rc t="1" v="3848"/>
    </bk>
    <bk>
      <rc t="1" v="3849"/>
    </bk>
    <bk>
      <rc t="1" v="3850"/>
    </bk>
    <bk>
      <rc t="1" v="3851"/>
    </bk>
    <bk>
      <rc t="1" v="3852"/>
    </bk>
    <bk>
      <rc t="1" v="3853"/>
    </bk>
    <bk>
      <rc t="1" v="3854"/>
    </bk>
    <bk>
      <rc t="1" v="3855"/>
    </bk>
    <bk>
      <rc t="1" v="3856"/>
    </bk>
    <bk>
      <rc t="1" v="3857"/>
    </bk>
    <bk>
      <rc t="1" v="3858"/>
    </bk>
    <bk>
      <rc t="1" v="3859"/>
    </bk>
    <bk>
      <rc t="1" v="3860"/>
    </bk>
    <bk>
      <rc t="1" v="3861"/>
    </bk>
    <bk>
      <rc t="1" v="3862"/>
    </bk>
    <bk>
      <rc t="1" v="3863"/>
    </bk>
    <bk>
      <rc t="1" v="3864"/>
    </bk>
    <bk>
      <rc t="1" v="3865"/>
    </bk>
    <bk>
      <rc t="1" v="3866"/>
    </bk>
    <bk>
      <rc t="1" v="3867"/>
    </bk>
    <bk>
      <rc t="1" v="3868"/>
    </bk>
    <bk>
      <rc t="1" v="3869"/>
    </bk>
    <bk>
      <rc t="1" v="3870"/>
    </bk>
    <bk>
      <rc t="1" v="3871"/>
    </bk>
    <bk>
      <rc t="1" v="3872"/>
    </bk>
    <bk>
      <rc t="1" v="3873"/>
    </bk>
    <bk>
      <rc t="1" v="3874"/>
    </bk>
    <bk>
      <rc t="1" v="3875"/>
    </bk>
    <bk>
      <rc t="1" v="3876"/>
    </bk>
    <bk>
      <rc t="1" v="3877"/>
    </bk>
    <bk>
      <rc t="1" v="3878"/>
    </bk>
    <bk>
      <rc t="1" v="3879"/>
    </bk>
    <bk>
      <rc t="1" v="3880"/>
    </bk>
    <bk>
      <rc t="1" v="3881"/>
    </bk>
    <bk>
      <rc t="1" v="3882"/>
    </bk>
    <bk>
      <rc t="1" v="3883"/>
    </bk>
    <bk>
      <rc t="1" v="3884"/>
    </bk>
    <bk>
      <rc t="1" v="3885"/>
    </bk>
    <bk>
      <rc t="1" v="3886"/>
    </bk>
    <bk>
      <rc t="1" v="3887"/>
    </bk>
    <bk>
      <rc t="1" v="3888"/>
    </bk>
    <bk>
      <rc t="1" v="3889"/>
    </bk>
    <bk>
      <rc t="1" v="3890"/>
    </bk>
    <bk>
      <rc t="1" v="3891"/>
    </bk>
    <bk>
      <rc t="1" v="3892"/>
    </bk>
    <bk>
      <rc t="1" v="3893"/>
    </bk>
    <bk>
      <rc t="1" v="3894"/>
    </bk>
    <bk>
      <rc t="1" v="3895"/>
    </bk>
    <bk>
      <rc t="1" v="3896"/>
    </bk>
    <bk>
      <rc t="1" v="3897"/>
    </bk>
    <bk>
      <rc t="1" v="3898"/>
    </bk>
    <bk>
      <rc t="1" v="3899"/>
    </bk>
    <bk>
      <rc t="1" v="3900"/>
    </bk>
    <bk>
      <rc t="1" v="3901"/>
    </bk>
    <bk>
      <rc t="1" v="3902"/>
    </bk>
    <bk>
      <rc t="1" v="3903"/>
    </bk>
    <bk>
      <rc t="1" v="3904"/>
    </bk>
    <bk>
      <rc t="1" v="3905"/>
    </bk>
    <bk>
      <rc t="1" v="3906"/>
    </bk>
    <bk>
      <rc t="1" v="3907"/>
    </bk>
    <bk>
      <rc t="1" v="3908"/>
    </bk>
    <bk>
      <rc t="1" v="3909"/>
    </bk>
    <bk>
      <rc t="1" v="3910"/>
    </bk>
    <bk>
      <rc t="1" v="3911"/>
    </bk>
    <bk>
      <rc t="1" v="3912"/>
    </bk>
    <bk>
      <rc t="1" v="3913"/>
    </bk>
    <bk>
      <rc t="1" v="3914"/>
    </bk>
    <bk>
      <rc t="1" v="3915"/>
    </bk>
    <bk>
      <rc t="1" v="3916"/>
    </bk>
    <bk>
      <rc t="1" v="3917"/>
    </bk>
    <bk>
      <rc t="1" v="3918"/>
    </bk>
    <bk>
      <rc t="1" v="3919"/>
    </bk>
    <bk>
      <rc t="1" v="3920"/>
    </bk>
    <bk>
      <rc t="1" v="3921"/>
    </bk>
    <bk>
      <rc t="1" v="3922"/>
    </bk>
    <bk>
      <rc t="1" v="3923"/>
    </bk>
    <bk>
      <rc t="1" v="3924"/>
    </bk>
    <bk>
      <rc t="1" v="3925"/>
    </bk>
    <bk>
      <rc t="1" v="3926"/>
    </bk>
    <bk>
      <rc t="1" v="3927"/>
    </bk>
    <bk>
      <rc t="1" v="3928"/>
    </bk>
    <bk>
      <rc t="1" v="3929"/>
    </bk>
    <bk>
      <rc t="1" v="3930"/>
    </bk>
    <bk>
      <rc t="1" v="3931"/>
    </bk>
    <bk>
      <rc t="1" v="3932"/>
    </bk>
    <bk>
      <rc t="1" v="3933"/>
    </bk>
    <bk>
      <rc t="1" v="3934"/>
    </bk>
    <bk>
      <rc t="1" v="3935"/>
    </bk>
    <bk>
      <rc t="1" v="3936"/>
    </bk>
    <bk>
      <rc t="1" v="3937"/>
    </bk>
    <bk>
      <rc t="1" v="3938"/>
    </bk>
    <bk>
      <rc t="1" v="3939"/>
    </bk>
    <bk>
      <rc t="1" v="3940"/>
    </bk>
    <bk>
      <rc t="1" v="3941"/>
    </bk>
    <bk>
      <rc t="1" v="3942"/>
    </bk>
    <bk>
      <rc t="1" v="3943"/>
    </bk>
    <bk>
      <rc t="1" v="3944"/>
    </bk>
    <bk>
      <rc t="1" v="3945"/>
    </bk>
    <bk>
      <rc t="1" v="3946"/>
    </bk>
    <bk>
      <rc t="1" v="3947"/>
    </bk>
    <bk>
      <rc t="1" v="3948"/>
    </bk>
    <bk>
      <rc t="1" v="3949"/>
    </bk>
    <bk>
      <rc t="1" v="3950"/>
    </bk>
    <bk>
      <rc t="1" v="3951"/>
    </bk>
    <bk>
      <rc t="1" v="3952"/>
    </bk>
    <bk>
      <rc t="1" v="3953"/>
    </bk>
    <bk>
      <rc t="1" v="3954"/>
    </bk>
    <bk>
      <rc t="1" v="3955"/>
    </bk>
    <bk>
      <rc t="1" v="3956"/>
    </bk>
    <bk>
      <rc t="1" v="3957"/>
    </bk>
    <bk>
      <rc t="1" v="3958"/>
    </bk>
    <bk>
      <rc t="1" v="3959"/>
    </bk>
    <bk>
      <rc t="1" v="3960"/>
    </bk>
    <bk>
      <rc t="1" v="3961"/>
    </bk>
    <bk>
      <rc t="1" v="3962"/>
    </bk>
    <bk>
      <rc t="1" v="3963"/>
    </bk>
    <bk>
      <rc t="1" v="3964"/>
    </bk>
    <bk>
      <rc t="1" v="3965"/>
    </bk>
    <bk>
      <rc t="1" v="3966"/>
    </bk>
    <bk>
      <rc t="1" v="3967"/>
    </bk>
    <bk>
      <rc t="1" v="3968"/>
    </bk>
    <bk>
      <rc t="1" v="3969"/>
    </bk>
    <bk>
      <rc t="1" v="3970"/>
    </bk>
    <bk>
      <rc t="1" v="3971"/>
    </bk>
    <bk>
      <rc t="1" v="3972"/>
    </bk>
    <bk>
      <rc t="1" v="3973"/>
    </bk>
    <bk>
      <rc t="1" v="3974"/>
    </bk>
    <bk>
      <rc t="1" v="3975"/>
    </bk>
    <bk>
      <rc t="1" v="3976"/>
    </bk>
    <bk>
      <rc t="1" v="3977"/>
    </bk>
    <bk>
      <rc t="1" v="3978"/>
    </bk>
    <bk>
      <rc t="1" v="3979"/>
    </bk>
    <bk>
      <rc t="1" v="3980"/>
    </bk>
    <bk>
      <rc t="1" v="3981"/>
    </bk>
    <bk>
      <rc t="1" v="3982"/>
    </bk>
    <bk>
      <rc t="1" v="3983"/>
    </bk>
    <bk>
      <rc t="1" v="3984"/>
    </bk>
    <bk>
      <rc t="1" v="3985"/>
    </bk>
    <bk>
      <rc t="1" v="3986"/>
    </bk>
    <bk>
      <rc t="1" v="3987"/>
    </bk>
    <bk>
      <rc t="1" v="3988"/>
    </bk>
    <bk>
      <rc t="1" v="3989"/>
    </bk>
    <bk>
      <rc t="1" v="3990"/>
    </bk>
    <bk>
      <rc t="1" v="3991"/>
    </bk>
    <bk>
      <rc t="1" v="3992"/>
    </bk>
    <bk>
      <rc t="1" v="3993"/>
    </bk>
    <bk>
      <rc t="1" v="3994"/>
    </bk>
    <bk>
      <rc t="1" v="3995"/>
    </bk>
    <bk>
      <rc t="1" v="3996"/>
    </bk>
    <bk>
      <rc t="1" v="3997"/>
    </bk>
    <bk>
      <rc t="1" v="3998"/>
    </bk>
    <bk>
      <rc t="1" v="3999"/>
    </bk>
    <bk>
      <rc t="1" v="4000"/>
    </bk>
    <bk>
      <rc t="1" v="4001"/>
    </bk>
    <bk>
      <rc t="1" v="4002"/>
    </bk>
    <bk>
      <rc t="1" v="4003"/>
    </bk>
    <bk>
      <rc t="1" v="4004"/>
    </bk>
    <bk>
      <rc t="1" v="4005"/>
    </bk>
    <bk>
      <rc t="1" v="4006"/>
    </bk>
    <bk>
      <rc t="1" v="4007"/>
    </bk>
    <bk>
      <rc t="1" v="4008"/>
    </bk>
    <bk>
      <rc t="1" v="4009"/>
    </bk>
    <bk>
      <rc t="1" v="4010"/>
    </bk>
    <bk>
      <rc t="1" v="4011"/>
    </bk>
    <bk>
      <rc t="1" v="4012"/>
    </bk>
    <bk>
      <rc t="1" v="4013"/>
    </bk>
    <bk>
      <rc t="1" v="4014"/>
    </bk>
    <bk>
      <rc t="1" v="4015"/>
    </bk>
    <bk>
      <rc t="1" v="4016"/>
    </bk>
    <bk>
      <rc t="1" v="4017"/>
    </bk>
    <bk>
      <rc t="1" v="4018"/>
    </bk>
    <bk>
      <rc t="1" v="4019"/>
    </bk>
    <bk>
      <rc t="1" v="4020"/>
    </bk>
    <bk>
      <rc t="1" v="4021"/>
    </bk>
    <bk>
      <rc t="1" v="4022"/>
    </bk>
    <bk>
      <rc t="1" v="4023"/>
    </bk>
    <bk>
      <rc t="1" v="4024"/>
    </bk>
    <bk>
      <rc t="1" v="4025"/>
    </bk>
    <bk>
      <rc t="1" v="4026"/>
    </bk>
    <bk>
      <rc t="1" v="4027"/>
    </bk>
    <bk>
      <rc t="1" v="4028"/>
    </bk>
    <bk>
      <rc t="1" v="4029"/>
    </bk>
    <bk>
      <rc t="1" v="4030"/>
    </bk>
    <bk>
      <rc t="1" v="4031"/>
    </bk>
    <bk>
      <rc t="1" v="4032"/>
    </bk>
    <bk>
      <rc t="1" v="4033"/>
    </bk>
    <bk>
      <rc t="1" v="4034"/>
    </bk>
    <bk>
      <rc t="1" v="4035"/>
    </bk>
    <bk>
      <rc t="1" v="4036"/>
    </bk>
    <bk>
      <rc t="1" v="4037"/>
    </bk>
    <bk>
      <rc t="1" v="4038"/>
    </bk>
    <bk>
      <rc t="1" v="4039"/>
    </bk>
    <bk>
      <rc t="1" v="4040"/>
    </bk>
    <bk>
      <rc t="1" v="4041"/>
    </bk>
    <bk>
      <rc t="1" v="4042"/>
    </bk>
    <bk>
      <rc t="1" v="4043"/>
    </bk>
    <bk>
      <rc t="1" v="4044"/>
    </bk>
    <bk>
      <rc t="1" v="4045"/>
    </bk>
    <bk>
      <rc t="1" v="4046"/>
    </bk>
    <bk>
      <rc t="1" v="4047"/>
    </bk>
    <bk>
      <rc t="1" v="4048"/>
    </bk>
    <bk>
      <rc t="1" v="4049"/>
    </bk>
    <bk>
      <rc t="1" v="4050"/>
    </bk>
    <bk>
      <rc t="1" v="4051"/>
    </bk>
    <bk>
      <rc t="1" v="4052"/>
    </bk>
    <bk>
      <rc t="1" v="4053"/>
    </bk>
    <bk>
      <rc t="1" v="4054"/>
    </bk>
    <bk>
      <rc t="1" v="4055"/>
    </bk>
    <bk>
      <rc t="1" v="4056"/>
    </bk>
    <bk>
      <rc t="1" v="4057"/>
    </bk>
    <bk>
      <rc t="1" v="4058"/>
    </bk>
    <bk>
      <rc t="1" v="4059"/>
    </bk>
    <bk>
      <rc t="1" v="4060"/>
    </bk>
    <bk>
      <rc t="1" v="4061"/>
    </bk>
    <bk>
      <rc t="1" v="4062"/>
    </bk>
    <bk>
      <rc t="1" v="4063"/>
    </bk>
    <bk>
      <rc t="1" v="4064"/>
    </bk>
    <bk>
      <rc t="1" v="4065"/>
    </bk>
    <bk>
      <rc t="1" v="4066"/>
    </bk>
    <bk>
      <rc t="1" v="4067"/>
    </bk>
    <bk>
      <rc t="1" v="4068"/>
    </bk>
    <bk>
      <rc t="1" v="4069"/>
    </bk>
    <bk>
      <rc t="1" v="4070"/>
    </bk>
    <bk>
      <rc t="1" v="4071"/>
    </bk>
    <bk>
      <rc t="1" v="4072"/>
    </bk>
    <bk>
      <rc t="1" v="4073"/>
    </bk>
    <bk>
      <rc t="1" v="4074"/>
    </bk>
    <bk>
      <rc t="1" v="4075"/>
    </bk>
    <bk>
      <rc t="1" v="4076"/>
    </bk>
    <bk>
      <rc t="1" v="4077"/>
    </bk>
    <bk>
      <rc t="1" v="4078"/>
    </bk>
    <bk>
      <rc t="1" v="4079"/>
    </bk>
    <bk>
      <rc t="1" v="4080"/>
    </bk>
    <bk>
      <rc t="1" v="4081"/>
    </bk>
    <bk>
      <rc t="1" v="4082"/>
    </bk>
    <bk>
      <rc t="1" v="4083"/>
    </bk>
    <bk>
      <rc t="1" v="4084"/>
    </bk>
    <bk>
      <rc t="1" v="4085"/>
    </bk>
    <bk>
      <rc t="1" v="4086"/>
    </bk>
    <bk>
      <rc t="1" v="4087"/>
    </bk>
    <bk>
      <rc t="1" v="4088"/>
    </bk>
    <bk>
      <rc t="1" v="4089"/>
    </bk>
    <bk>
      <rc t="1" v="4090"/>
    </bk>
    <bk>
      <rc t="1" v="4091"/>
    </bk>
    <bk>
      <rc t="1" v="4092"/>
    </bk>
    <bk>
      <rc t="1" v="4093"/>
    </bk>
    <bk>
      <rc t="1" v="4094"/>
    </bk>
    <bk>
      <rc t="1" v="4095"/>
    </bk>
    <bk>
      <rc t="1" v="4096"/>
    </bk>
    <bk>
      <rc t="1" v="4097"/>
    </bk>
    <bk>
      <rc t="1" v="4098"/>
    </bk>
    <bk>
      <rc t="1" v="4099"/>
    </bk>
    <bk>
      <rc t="1" v="4100"/>
    </bk>
    <bk>
      <rc t="1" v="4101"/>
    </bk>
    <bk>
      <rc t="1" v="4102"/>
    </bk>
    <bk>
      <rc t="1" v="4103"/>
    </bk>
    <bk>
      <rc t="1" v="4104"/>
    </bk>
    <bk>
      <rc t="1" v="4105"/>
    </bk>
    <bk>
      <rc t="1" v="4106"/>
    </bk>
    <bk>
      <rc t="1" v="4107"/>
    </bk>
    <bk>
      <rc t="1" v="4108"/>
    </bk>
    <bk>
      <rc t="1" v="4109"/>
    </bk>
    <bk>
      <rc t="1" v="4110"/>
    </bk>
    <bk>
      <rc t="1" v="4111"/>
    </bk>
    <bk>
      <rc t="1" v="4112"/>
    </bk>
    <bk>
      <rc t="1" v="4113"/>
    </bk>
    <bk>
      <rc t="1" v="4114"/>
    </bk>
    <bk>
      <rc t="1" v="4115"/>
    </bk>
    <bk>
      <rc t="1" v="4116"/>
    </bk>
    <bk>
      <rc t="1" v="4117"/>
    </bk>
    <bk>
      <rc t="1" v="4118"/>
    </bk>
    <bk>
      <rc t="1" v="4119"/>
    </bk>
    <bk>
      <rc t="1" v="4120"/>
    </bk>
    <bk>
      <rc t="1" v="4121"/>
    </bk>
    <bk>
      <rc t="1" v="4122"/>
    </bk>
    <bk>
      <rc t="1" v="4123"/>
    </bk>
    <bk>
      <rc t="1" v="4124"/>
    </bk>
    <bk>
      <rc t="1" v="4125"/>
    </bk>
    <bk>
      <rc t="1" v="4126"/>
    </bk>
    <bk>
      <rc t="1" v="4127"/>
    </bk>
    <bk>
      <rc t="1" v="4128"/>
    </bk>
    <bk>
      <rc t="1" v="4129"/>
    </bk>
    <bk>
      <rc t="1" v="4130"/>
    </bk>
    <bk>
      <rc t="1" v="4131"/>
    </bk>
    <bk>
      <rc t="1" v="4132"/>
    </bk>
    <bk>
      <rc t="1" v="4133"/>
    </bk>
    <bk>
      <rc t="1" v="4134"/>
    </bk>
    <bk>
      <rc t="1" v="4135"/>
    </bk>
    <bk>
      <rc t="1" v="4136"/>
    </bk>
    <bk>
      <rc t="1" v="4137"/>
    </bk>
    <bk>
      <rc t="1" v="4138"/>
    </bk>
    <bk>
      <rc t="1" v="4139"/>
    </bk>
    <bk>
      <rc t="1" v="4140"/>
    </bk>
    <bk>
      <rc t="1" v="4141"/>
    </bk>
    <bk>
      <rc t="1" v="4142"/>
    </bk>
    <bk>
      <rc t="1" v="4143"/>
    </bk>
    <bk>
      <rc t="1" v="4144"/>
    </bk>
    <bk>
      <rc t="1" v="4145"/>
    </bk>
    <bk>
      <rc t="1" v="4146"/>
    </bk>
    <bk>
      <rc t="1" v="4147"/>
    </bk>
    <bk>
      <rc t="1" v="4148"/>
    </bk>
    <bk>
      <rc t="1" v="4149"/>
    </bk>
    <bk>
      <rc t="1" v="4150"/>
    </bk>
    <bk>
      <rc t="1" v="4151"/>
    </bk>
    <bk>
      <rc t="1" v="4152"/>
    </bk>
    <bk>
      <rc t="1" v="4153"/>
    </bk>
    <bk>
      <rc t="1" v="4154"/>
    </bk>
    <bk>
      <rc t="1" v="4155"/>
    </bk>
    <bk>
      <rc t="1" v="4156"/>
    </bk>
    <bk>
      <rc t="1" v="4157"/>
    </bk>
    <bk>
      <rc t="1" v="4158"/>
    </bk>
    <bk>
      <rc t="1" v="4159"/>
    </bk>
    <bk>
      <rc t="1" v="4160"/>
    </bk>
    <bk>
      <rc t="1" v="4161"/>
    </bk>
    <bk>
      <rc t="1" v="4162"/>
    </bk>
    <bk>
      <rc t="1" v="4163"/>
    </bk>
    <bk>
      <rc t="1" v="4164"/>
    </bk>
    <bk>
      <rc t="1" v="4165"/>
    </bk>
    <bk>
      <rc t="1" v="4166"/>
    </bk>
    <bk>
      <rc t="1" v="4167"/>
    </bk>
    <bk>
      <rc t="1" v="4168"/>
    </bk>
    <bk>
      <rc t="1" v="4169"/>
    </bk>
    <bk>
      <rc t="1" v="4170"/>
    </bk>
    <bk>
      <rc t="1" v="4171"/>
    </bk>
    <bk>
      <rc t="1" v="4172"/>
    </bk>
    <bk>
      <rc t="1" v="4173"/>
    </bk>
    <bk>
      <rc t="1" v="4174"/>
    </bk>
    <bk>
      <rc t="1" v="4175"/>
    </bk>
    <bk>
      <rc t="1" v="4176"/>
    </bk>
    <bk>
      <rc t="1" v="4177"/>
    </bk>
    <bk>
      <rc t="1" v="4178"/>
    </bk>
    <bk>
      <rc t="1" v="4179"/>
    </bk>
    <bk>
      <rc t="1" v="4180"/>
    </bk>
    <bk>
      <rc t="1" v="4181"/>
    </bk>
    <bk>
      <rc t="1" v="4182"/>
    </bk>
    <bk>
      <rc t="1" v="4183"/>
    </bk>
    <bk>
      <rc t="1" v="4184"/>
    </bk>
    <bk>
      <rc t="1" v="4185"/>
    </bk>
    <bk>
      <rc t="1" v="4186"/>
    </bk>
    <bk>
      <rc t="1" v="4187"/>
    </bk>
    <bk>
      <rc t="1" v="4188"/>
    </bk>
    <bk>
      <rc t="1" v="4189"/>
    </bk>
    <bk>
      <rc t="1" v="4190"/>
    </bk>
    <bk>
      <rc t="1" v="4191"/>
    </bk>
    <bk>
      <rc t="1" v="4192"/>
    </bk>
    <bk>
      <rc t="1" v="4193"/>
    </bk>
    <bk>
      <rc t="1" v="4194"/>
    </bk>
    <bk>
      <rc t="1" v="4195"/>
    </bk>
    <bk>
      <rc t="1" v="4196"/>
    </bk>
    <bk>
      <rc t="1" v="4197"/>
    </bk>
    <bk>
      <rc t="1" v="4198"/>
    </bk>
    <bk>
      <rc t="1" v="4199"/>
    </bk>
    <bk>
      <rc t="1" v="4200"/>
    </bk>
    <bk>
      <rc t="1" v="4201"/>
    </bk>
    <bk>
      <rc t="1" v="4202"/>
    </bk>
    <bk>
      <rc t="1" v="4203"/>
    </bk>
    <bk>
      <rc t="1" v="4204"/>
    </bk>
    <bk>
      <rc t="1" v="4205"/>
    </bk>
    <bk>
      <rc t="1" v="4206"/>
    </bk>
    <bk>
      <rc t="1" v="4207"/>
    </bk>
    <bk>
      <rc t="1" v="4208"/>
    </bk>
    <bk>
      <rc t="1" v="4209"/>
    </bk>
    <bk>
      <rc t="1" v="4210"/>
    </bk>
    <bk>
      <rc t="1" v="4211"/>
    </bk>
    <bk>
      <rc t="1" v="4212"/>
    </bk>
    <bk>
      <rc t="1" v="4213"/>
    </bk>
    <bk>
      <rc t="1" v="4214"/>
    </bk>
    <bk>
      <rc t="1" v="4215"/>
    </bk>
    <bk>
      <rc t="1" v="4216"/>
    </bk>
    <bk>
      <rc t="1" v="4217"/>
    </bk>
    <bk>
      <rc t="1" v="4218"/>
    </bk>
    <bk>
      <rc t="1" v="4219"/>
    </bk>
    <bk>
      <rc t="1" v="4220"/>
    </bk>
    <bk>
      <rc t="1" v="4221"/>
    </bk>
    <bk>
      <rc t="1" v="4222"/>
    </bk>
    <bk>
      <rc t="1" v="4223"/>
    </bk>
    <bk>
      <rc t="1" v="4224"/>
    </bk>
    <bk>
      <rc t="1" v="4225"/>
    </bk>
    <bk>
      <rc t="1" v="4226"/>
    </bk>
    <bk>
      <rc t="1" v="4227"/>
    </bk>
    <bk>
      <rc t="1" v="4228"/>
    </bk>
    <bk>
      <rc t="1" v="4229"/>
    </bk>
    <bk>
      <rc t="1" v="4230"/>
    </bk>
    <bk>
      <rc t="1" v="4231"/>
    </bk>
    <bk>
      <rc t="1" v="4232"/>
    </bk>
    <bk>
      <rc t="1" v="4233"/>
    </bk>
    <bk>
      <rc t="1" v="4234"/>
    </bk>
    <bk>
      <rc t="1" v="4235"/>
    </bk>
    <bk>
      <rc t="1" v="4236"/>
    </bk>
    <bk>
      <rc t="1" v="4237"/>
    </bk>
    <bk>
      <rc t="1" v="4238"/>
    </bk>
    <bk>
      <rc t="1" v="4239"/>
    </bk>
    <bk>
      <rc t="1" v="4240"/>
    </bk>
    <bk>
      <rc t="1" v="4241"/>
    </bk>
    <bk>
      <rc t="1" v="4242"/>
    </bk>
    <bk>
      <rc t="1" v="4243"/>
    </bk>
    <bk>
      <rc t="1" v="4244"/>
    </bk>
    <bk>
      <rc t="1" v="4245"/>
    </bk>
    <bk>
      <rc t="1" v="4246"/>
    </bk>
    <bk>
      <rc t="1" v="4247"/>
    </bk>
    <bk>
      <rc t="1" v="4248"/>
    </bk>
    <bk>
      <rc t="1" v="4249"/>
    </bk>
    <bk>
      <rc t="1" v="4250"/>
    </bk>
    <bk>
      <rc t="1" v="4251"/>
    </bk>
    <bk>
      <rc t="1" v="4252"/>
    </bk>
    <bk>
      <rc t="1" v="4253"/>
    </bk>
    <bk>
      <rc t="1" v="4254"/>
    </bk>
    <bk>
      <rc t="1" v="4255"/>
    </bk>
    <bk>
      <rc t="1" v="4256"/>
    </bk>
    <bk>
      <rc t="1" v="4257"/>
    </bk>
    <bk>
      <rc t="1" v="4258"/>
    </bk>
    <bk>
      <rc t="1" v="4259"/>
    </bk>
    <bk>
      <rc t="1" v="4260"/>
    </bk>
    <bk>
      <rc t="1" v="4261"/>
    </bk>
    <bk>
      <rc t="1" v="4262"/>
    </bk>
    <bk>
      <rc t="1" v="4263"/>
    </bk>
    <bk>
      <rc t="1" v="4264"/>
    </bk>
    <bk>
      <rc t="1" v="4265"/>
    </bk>
    <bk>
      <rc t="1" v="4266"/>
    </bk>
    <bk>
      <rc t="1" v="4267"/>
    </bk>
    <bk>
      <rc t="1" v="4268"/>
    </bk>
    <bk>
      <rc t="1" v="4269"/>
    </bk>
    <bk>
      <rc t="1" v="4270"/>
    </bk>
    <bk>
      <rc t="1" v="4271"/>
    </bk>
    <bk>
      <rc t="1" v="4272"/>
    </bk>
    <bk>
      <rc t="1" v="4273"/>
    </bk>
    <bk>
      <rc t="1" v="4274"/>
    </bk>
    <bk>
      <rc t="1" v="4275"/>
    </bk>
    <bk>
      <rc t="1" v="4276"/>
    </bk>
    <bk>
      <rc t="1" v="4277"/>
    </bk>
    <bk>
      <rc t="1" v="4278"/>
    </bk>
    <bk>
      <rc t="1" v="4279"/>
    </bk>
    <bk>
      <rc t="1" v="4280"/>
    </bk>
    <bk>
      <rc t="1" v="4281"/>
    </bk>
    <bk>
      <rc t="1" v="4282"/>
    </bk>
    <bk>
      <rc t="1" v="4283"/>
    </bk>
    <bk>
      <rc t="1" v="4284"/>
    </bk>
    <bk>
      <rc t="1" v="4285"/>
    </bk>
    <bk>
      <rc t="1" v="4286"/>
    </bk>
    <bk>
      <rc t="1" v="4287"/>
    </bk>
    <bk>
      <rc t="1" v="4288"/>
    </bk>
    <bk>
      <rc t="1" v="4289"/>
    </bk>
    <bk>
      <rc t="1" v="4290"/>
    </bk>
    <bk>
      <rc t="1" v="4291"/>
    </bk>
    <bk>
      <rc t="1" v="4292"/>
    </bk>
    <bk>
      <rc t="1" v="4293"/>
    </bk>
    <bk>
      <rc t="1" v="4294"/>
    </bk>
    <bk>
      <rc t="1" v="4295"/>
    </bk>
    <bk>
      <rc t="1" v="4296"/>
    </bk>
    <bk>
      <rc t="1" v="4297"/>
    </bk>
    <bk>
      <rc t="1" v="4298"/>
    </bk>
    <bk>
      <rc t="1" v="4299"/>
    </bk>
    <bk>
      <rc t="1" v="4300"/>
    </bk>
    <bk>
      <rc t="1" v="4301"/>
    </bk>
    <bk>
      <rc t="1" v="4302"/>
    </bk>
    <bk>
      <rc t="1" v="4303"/>
    </bk>
    <bk>
      <rc t="1" v="4304"/>
    </bk>
    <bk>
      <rc t="1" v="4305"/>
    </bk>
    <bk>
      <rc t="1" v="4306"/>
    </bk>
    <bk>
      <rc t="1" v="4307"/>
    </bk>
    <bk>
      <rc t="1" v="4308"/>
    </bk>
    <bk>
      <rc t="1" v="4309"/>
    </bk>
    <bk>
      <rc t="1" v="4310"/>
    </bk>
    <bk>
      <rc t="1" v="4311"/>
    </bk>
    <bk>
      <rc t="1" v="4312"/>
    </bk>
    <bk>
      <rc t="1" v="4313"/>
    </bk>
    <bk>
      <rc t="1" v="4314"/>
    </bk>
    <bk>
      <rc t="1" v="4315"/>
    </bk>
    <bk>
      <rc t="1" v="4316"/>
    </bk>
    <bk>
      <rc t="1" v="4317"/>
    </bk>
    <bk>
      <rc t="1" v="4318"/>
    </bk>
    <bk>
      <rc t="1" v="4319"/>
    </bk>
    <bk>
      <rc t="1" v="4320"/>
    </bk>
    <bk>
      <rc t="1" v="4321"/>
    </bk>
    <bk>
      <rc t="1" v="4322"/>
    </bk>
    <bk>
      <rc t="1" v="4323"/>
    </bk>
    <bk>
      <rc t="1" v="4324"/>
    </bk>
    <bk>
      <rc t="1" v="4325"/>
    </bk>
    <bk>
      <rc t="1" v="4326"/>
    </bk>
    <bk>
      <rc t="1" v="4327"/>
    </bk>
    <bk>
      <rc t="1" v="4328"/>
    </bk>
    <bk>
      <rc t="1" v="4329"/>
    </bk>
    <bk>
      <rc t="1" v="4330"/>
    </bk>
    <bk>
      <rc t="1" v="4331"/>
    </bk>
    <bk>
      <rc t="1" v="4332"/>
    </bk>
    <bk>
      <rc t="1" v="4333"/>
    </bk>
    <bk>
      <rc t="1" v="4334"/>
    </bk>
    <bk>
      <rc t="1" v="4335"/>
    </bk>
    <bk>
      <rc t="1" v="4336"/>
    </bk>
    <bk>
      <rc t="1" v="4337"/>
    </bk>
    <bk>
      <rc t="1" v="4338"/>
    </bk>
    <bk>
      <rc t="1" v="4339"/>
    </bk>
    <bk>
      <rc t="1" v="4340"/>
    </bk>
    <bk>
      <rc t="1" v="4341"/>
    </bk>
    <bk>
      <rc t="1" v="4342"/>
    </bk>
    <bk>
      <rc t="1" v="4343"/>
    </bk>
    <bk>
      <rc t="1" v="4344"/>
    </bk>
    <bk>
      <rc t="1" v="4345"/>
    </bk>
    <bk>
      <rc t="1" v="4346"/>
    </bk>
    <bk>
      <rc t="1" v="4347"/>
    </bk>
    <bk>
      <rc t="1" v="4348"/>
    </bk>
    <bk>
      <rc t="1" v="4349"/>
    </bk>
    <bk>
      <rc t="1" v="4350"/>
    </bk>
    <bk>
      <rc t="1" v="4351"/>
    </bk>
    <bk>
      <rc t="1" v="4352"/>
    </bk>
    <bk>
      <rc t="1" v="4353"/>
    </bk>
    <bk>
      <rc t="1" v="4354"/>
    </bk>
    <bk>
      <rc t="1" v="4355"/>
    </bk>
    <bk>
      <rc t="1" v="4356"/>
    </bk>
    <bk>
      <rc t="1" v="4357"/>
    </bk>
    <bk>
      <rc t="1" v="4358"/>
    </bk>
    <bk>
      <rc t="1" v="4359"/>
    </bk>
    <bk>
      <rc t="1" v="4360"/>
    </bk>
    <bk>
      <rc t="1" v="4361"/>
    </bk>
    <bk>
      <rc t="1" v="4362"/>
    </bk>
    <bk>
      <rc t="1" v="4363"/>
    </bk>
    <bk>
      <rc t="1" v="4364"/>
    </bk>
    <bk>
      <rc t="1" v="4365"/>
    </bk>
    <bk>
      <rc t="1" v="4366"/>
    </bk>
    <bk>
      <rc t="1" v="4367"/>
    </bk>
    <bk>
      <rc t="1" v="4368"/>
    </bk>
    <bk>
      <rc t="1" v="4369"/>
    </bk>
    <bk>
      <rc t="1" v="4370"/>
    </bk>
    <bk>
      <rc t="1" v="4371"/>
    </bk>
    <bk>
      <rc t="1" v="4372"/>
    </bk>
    <bk>
      <rc t="1" v="4373"/>
    </bk>
    <bk>
      <rc t="1" v="4374"/>
    </bk>
    <bk>
      <rc t="1" v="4375"/>
    </bk>
    <bk>
      <rc t="1" v="4376"/>
    </bk>
    <bk>
      <rc t="1" v="4377"/>
    </bk>
    <bk>
      <rc t="1" v="4378"/>
    </bk>
    <bk>
      <rc t="1" v="4379"/>
    </bk>
    <bk>
      <rc t="1" v="4380"/>
    </bk>
    <bk>
      <rc t="1" v="4381"/>
    </bk>
    <bk>
      <rc t="1" v="4382"/>
    </bk>
    <bk>
      <rc t="1" v="4383"/>
    </bk>
    <bk>
      <rc t="1" v="4384"/>
    </bk>
    <bk>
      <rc t="1" v="4385"/>
    </bk>
    <bk>
      <rc t="1" v="4386"/>
    </bk>
    <bk>
      <rc t="1" v="4387"/>
    </bk>
    <bk>
      <rc t="1" v="4388"/>
    </bk>
    <bk>
      <rc t="1" v="4389"/>
    </bk>
    <bk>
      <rc t="1" v="4390"/>
    </bk>
    <bk>
      <rc t="1" v="4391"/>
    </bk>
    <bk>
      <rc t="1" v="4392"/>
    </bk>
    <bk>
      <rc t="1" v="4393"/>
    </bk>
    <bk>
      <rc t="1" v="4394"/>
    </bk>
    <bk>
      <rc t="1" v="4395"/>
    </bk>
    <bk>
      <rc t="1" v="4396"/>
    </bk>
    <bk>
      <rc t="1" v="4397"/>
    </bk>
    <bk>
      <rc t="1" v="4398"/>
    </bk>
    <bk>
      <rc t="1" v="4399"/>
    </bk>
    <bk>
      <rc t="1" v="4400"/>
    </bk>
    <bk>
      <rc t="1" v="4401"/>
    </bk>
    <bk>
      <rc t="1" v="4402"/>
    </bk>
    <bk>
      <rc t="1" v="4403"/>
    </bk>
    <bk>
      <rc t="1" v="4404"/>
    </bk>
    <bk>
      <rc t="1" v="4405"/>
    </bk>
    <bk>
      <rc t="1" v="4406"/>
    </bk>
    <bk>
      <rc t="1" v="4407"/>
    </bk>
    <bk>
      <rc t="1" v="4408"/>
    </bk>
    <bk>
      <rc t="1" v="4409"/>
    </bk>
    <bk>
      <rc t="1" v="4410"/>
    </bk>
    <bk>
      <rc t="1" v="4411"/>
    </bk>
    <bk>
      <rc t="1" v="4412"/>
    </bk>
    <bk>
      <rc t="1" v="4413"/>
    </bk>
    <bk>
      <rc t="1" v="4414"/>
    </bk>
    <bk>
      <rc t="1" v="4415"/>
    </bk>
    <bk>
      <rc t="1" v="4416"/>
    </bk>
    <bk>
      <rc t="1" v="4417"/>
    </bk>
    <bk>
      <rc t="1" v="4418"/>
    </bk>
    <bk>
      <rc t="1" v="4419"/>
    </bk>
    <bk>
      <rc t="1" v="4420"/>
    </bk>
    <bk>
      <rc t="1" v="4421"/>
    </bk>
    <bk>
      <rc t="1" v="4422"/>
    </bk>
    <bk>
      <rc t="1" v="4423"/>
    </bk>
    <bk>
      <rc t="1" v="4424"/>
    </bk>
    <bk>
      <rc t="1" v="4425"/>
    </bk>
    <bk>
      <rc t="1" v="4426"/>
    </bk>
    <bk>
      <rc t="1" v="4427"/>
    </bk>
    <bk>
      <rc t="1" v="4428"/>
    </bk>
    <bk>
      <rc t="1" v="4429"/>
    </bk>
    <bk>
      <rc t="1" v="4430"/>
    </bk>
    <bk>
      <rc t="1" v="4431"/>
    </bk>
    <bk>
      <rc t="1" v="4432"/>
    </bk>
    <bk>
      <rc t="1" v="4433"/>
    </bk>
    <bk>
      <rc t="1" v="4434"/>
    </bk>
    <bk>
      <rc t="1" v="4435"/>
    </bk>
    <bk>
      <rc t="1" v="4436"/>
    </bk>
    <bk>
      <rc t="1" v="4437"/>
    </bk>
    <bk>
      <rc t="1" v="4438"/>
    </bk>
    <bk>
      <rc t="1" v="4439"/>
    </bk>
    <bk>
      <rc t="1" v="4440"/>
    </bk>
    <bk>
      <rc t="1" v="4441"/>
    </bk>
    <bk>
      <rc t="1" v="4442"/>
    </bk>
    <bk>
      <rc t="1" v="4443"/>
    </bk>
    <bk>
      <rc t="1" v="4444"/>
    </bk>
    <bk>
      <rc t="1" v="4445"/>
    </bk>
    <bk>
      <rc t="1" v="4446"/>
    </bk>
    <bk>
      <rc t="1" v="4447"/>
    </bk>
    <bk>
      <rc t="1" v="4448"/>
    </bk>
    <bk>
      <rc t="1" v="4449"/>
    </bk>
    <bk>
      <rc t="1" v="4450"/>
    </bk>
    <bk>
      <rc t="1" v="4451"/>
    </bk>
    <bk>
      <rc t="1" v="4452"/>
    </bk>
    <bk>
      <rc t="1" v="4453"/>
    </bk>
    <bk>
      <rc t="1" v="4454"/>
    </bk>
    <bk>
      <rc t="1" v="4455"/>
    </bk>
    <bk>
      <rc t="1" v="4456"/>
    </bk>
    <bk>
      <rc t="1" v="4457"/>
    </bk>
    <bk>
      <rc t="1" v="4458"/>
    </bk>
    <bk>
      <rc t="1" v="4459"/>
    </bk>
    <bk>
      <rc t="1" v="4460"/>
    </bk>
    <bk>
      <rc t="1" v="4461"/>
    </bk>
    <bk>
      <rc t="1" v="4462"/>
    </bk>
    <bk>
      <rc t="1" v="4463"/>
    </bk>
    <bk>
      <rc t="1" v="4464"/>
    </bk>
    <bk>
      <rc t="1" v="4465"/>
    </bk>
    <bk>
      <rc t="1" v="4466"/>
    </bk>
    <bk>
      <rc t="1" v="4467"/>
    </bk>
    <bk>
      <rc t="1" v="4468"/>
    </bk>
    <bk>
      <rc t="1" v="4469"/>
    </bk>
    <bk>
      <rc t="1" v="4470"/>
    </bk>
    <bk>
      <rc t="1" v="4471"/>
    </bk>
    <bk>
      <rc t="1" v="4472"/>
    </bk>
    <bk>
      <rc t="1" v="4473"/>
    </bk>
    <bk>
      <rc t="1" v="4474"/>
    </bk>
    <bk>
      <rc t="1" v="4475"/>
    </bk>
    <bk>
      <rc t="1" v="4476"/>
    </bk>
    <bk>
      <rc t="1" v="4477"/>
    </bk>
    <bk>
      <rc t="1" v="4478"/>
    </bk>
    <bk>
      <rc t="1" v="4479"/>
    </bk>
    <bk>
      <rc t="1" v="4480"/>
    </bk>
    <bk>
      <rc t="1" v="4481"/>
    </bk>
    <bk>
      <rc t="1" v="4482"/>
    </bk>
    <bk>
      <rc t="1" v="4483"/>
    </bk>
    <bk>
      <rc t="1" v="4484"/>
    </bk>
    <bk>
      <rc t="1" v="4485"/>
    </bk>
    <bk>
      <rc t="1" v="4486"/>
    </bk>
    <bk>
      <rc t="1" v="4487"/>
    </bk>
    <bk>
      <rc t="1" v="4488"/>
    </bk>
    <bk>
      <rc t="1" v="4489"/>
    </bk>
    <bk>
      <rc t="1" v="4490"/>
    </bk>
    <bk>
      <rc t="1" v="4491"/>
    </bk>
    <bk>
      <rc t="1" v="4492"/>
    </bk>
    <bk>
      <rc t="1" v="4493"/>
    </bk>
    <bk>
      <rc t="1" v="4494"/>
    </bk>
    <bk>
      <rc t="1" v="4495"/>
    </bk>
    <bk>
      <rc t="1" v="4496"/>
    </bk>
    <bk>
      <rc t="1" v="4497"/>
    </bk>
    <bk>
      <rc t="1" v="4498"/>
    </bk>
    <bk>
      <rc t="1" v="4499"/>
    </bk>
    <bk>
      <rc t="1" v="4500"/>
    </bk>
    <bk>
      <rc t="1" v="4501"/>
    </bk>
    <bk>
      <rc t="1" v="4502"/>
    </bk>
    <bk>
      <rc t="1" v="4503"/>
    </bk>
    <bk>
      <rc t="1" v="4504"/>
    </bk>
    <bk>
      <rc t="1" v="4505"/>
    </bk>
    <bk>
      <rc t="1" v="4506"/>
    </bk>
    <bk>
      <rc t="1" v="4507"/>
    </bk>
    <bk>
      <rc t="1" v="4508"/>
    </bk>
    <bk>
      <rc t="1" v="4509"/>
    </bk>
    <bk>
      <rc t="1" v="4510"/>
    </bk>
    <bk>
      <rc t="1" v="4511"/>
    </bk>
    <bk>
      <rc t="1" v="4512"/>
    </bk>
    <bk>
      <rc t="1" v="4513"/>
    </bk>
    <bk>
      <rc t="1" v="4514"/>
    </bk>
    <bk>
      <rc t="1" v="4515"/>
    </bk>
    <bk>
      <rc t="1" v="4516"/>
    </bk>
    <bk>
      <rc t="1" v="4517"/>
    </bk>
    <bk>
      <rc t="1" v="4518"/>
    </bk>
    <bk>
      <rc t="1" v="4519"/>
    </bk>
    <bk>
      <rc t="1" v="4520"/>
    </bk>
    <bk>
      <rc t="1" v="4521"/>
    </bk>
    <bk>
      <rc t="1" v="4522"/>
    </bk>
    <bk>
      <rc t="1" v="4523"/>
    </bk>
    <bk>
      <rc t="1" v="4524"/>
    </bk>
    <bk>
      <rc t="1" v="4525"/>
    </bk>
    <bk>
      <rc t="1" v="4526"/>
    </bk>
    <bk>
      <rc t="1" v="4527"/>
    </bk>
    <bk>
      <rc t="1" v="4528"/>
    </bk>
    <bk>
      <rc t="1" v="4529"/>
    </bk>
    <bk>
      <rc t="1" v="4530"/>
    </bk>
    <bk>
      <rc t="1" v="4531"/>
    </bk>
    <bk>
      <rc t="1" v="4532"/>
    </bk>
    <bk>
      <rc t="1" v="4533"/>
    </bk>
    <bk>
      <rc t="1" v="4534"/>
    </bk>
    <bk>
      <rc t="1" v="4535"/>
    </bk>
    <bk>
      <rc t="1" v="4536"/>
    </bk>
    <bk>
      <rc t="1" v="4537"/>
    </bk>
    <bk>
      <rc t="1" v="4538"/>
    </bk>
    <bk>
      <rc t="1" v="4539"/>
    </bk>
    <bk>
      <rc t="1" v="4540"/>
    </bk>
    <bk>
      <rc t="1" v="4541"/>
    </bk>
    <bk>
      <rc t="1" v="4542"/>
    </bk>
    <bk>
      <rc t="1" v="4543"/>
    </bk>
    <bk>
      <rc t="1" v="4544"/>
    </bk>
    <bk>
      <rc t="1" v="4545"/>
    </bk>
    <bk>
      <rc t="1" v="4546"/>
    </bk>
    <bk>
      <rc t="1" v="4547"/>
    </bk>
    <bk>
      <rc t="1" v="4548"/>
    </bk>
    <bk>
      <rc t="1" v="4549"/>
    </bk>
    <bk>
      <rc t="1" v="4550"/>
    </bk>
    <bk>
      <rc t="1" v="4551"/>
    </bk>
    <bk>
      <rc t="1" v="4552"/>
    </bk>
    <bk>
      <rc t="1" v="4553"/>
    </bk>
    <bk>
      <rc t="1" v="4554"/>
    </bk>
    <bk>
      <rc t="1" v="4555"/>
    </bk>
    <bk>
      <rc t="1" v="4556"/>
    </bk>
    <bk>
      <rc t="1" v="4557"/>
    </bk>
    <bk>
      <rc t="1" v="4558"/>
    </bk>
    <bk>
      <rc t="1" v="4559"/>
    </bk>
    <bk>
      <rc t="1" v="4560"/>
    </bk>
    <bk>
      <rc t="1" v="4561"/>
    </bk>
    <bk>
      <rc t="1" v="4562"/>
    </bk>
    <bk>
      <rc t="1" v="4563"/>
    </bk>
    <bk>
      <rc t="1" v="4564"/>
    </bk>
    <bk>
      <rc t="1" v="4565"/>
    </bk>
    <bk>
      <rc t="1" v="4566"/>
    </bk>
    <bk>
      <rc t="1" v="4567"/>
    </bk>
    <bk>
      <rc t="1" v="4568"/>
    </bk>
    <bk>
      <rc t="1" v="4569"/>
    </bk>
    <bk>
      <rc t="1" v="4570"/>
    </bk>
    <bk>
      <rc t="1" v="4571"/>
    </bk>
    <bk>
      <rc t="1" v="4572"/>
    </bk>
    <bk>
      <rc t="1" v="4573"/>
    </bk>
    <bk>
      <rc t="1" v="4574"/>
    </bk>
    <bk>
      <rc t="1" v="4575"/>
    </bk>
    <bk>
      <rc t="1" v="4576"/>
    </bk>
    <bk>
      <rc t="1" v="4577"/>
    </bk>
    <bk>
      <rc t="1" v="4578"/>
    </bk>
    <bk>
      <rc t="1" v="4579"/>
    </bk>
    <bk>
      <rc t="1" v="4580"/>
    </bk>
    <bk>
      <rc t="1" v="4581"/>
    </bk>
    <bk>
      <rc t="1" v="4582"/>
    </bk>
    <bk>
      <rc t="1" v="4583"/>
    </bk>
    <bk>
      <rc t="1" v="4584"/>
    </bk>
    <bk>
      <rc t="1" v="4585"/>
    </bk>
    <bk>
      <rc t="1" v="4586"/>
    </bk>
    <bk>
      <rc t="1" v="4587"/>
    </bk>
    <bk>
      <rc t="1" v="4588"/>
    </bk>
    <bk>
      <rc t="1" v="4589"/>
    </bk>
    <bk>
      <rc t="1" v="4590"/>
    </bk>
    <bk>
      <rc t="1" v="4591"/>
    </bk>
    <bk>
      <rc t="1" v="4592"/>
    </bk>
    <bk>
      <rc t="1" v="4593"/>
    </bk>
    <bk>
      <rc t="1" v="4594"/>
    </bk>
    <bk>
      <rc t="1" v="4595"/>
    </bk>
    <bk>
      <rc t="1" v="4596"/>
    </bk>
    <bk>
      <rc t="1" v="4597"/>
    </bk>
    <bk>
      <rc t="1" v="4598"/>
    </bk>
    <bk>
      <rc t="1" v="4599"/>
    </bk>
    <bk>
      <rc t="1" v="4600"/>
    </bk>
    <bk>
      <rc t="1" v="4601"/>
    </bk>
    <bk>
      <rc t="1" v="4602"/>
    </bk>
    <bk>
      <rc t="1" v="4603"/>
    </bk>
    <bk>
      <rc t="1" v="4604"/>
    </bk>
    <bk>
      <rc t="1" v="4605"/>
    </bk>
    <bk>
      <rc t="1" v="4606"/>
    </bk>
    <bk>
      <rc t="1" v="4607"/>
    </bk>
    <bk>
      <rc t="1" v="4608"/>
    </bk>
    <bk>
      <rc t="1" v="4609"/>
    </bk>
    <bk>
      <rc t="1" v="4610"/>
    </bk>
    <bk>
      <rc t="1" v="4611"/>
    </bk>
    <bk>
      <rc t="1" v="4612"/>
    </bk>
    <bk>
      <rc t="1" v="4613"/>
    </bk>
    <bk>
      <rc t="1" v="4614"/>
    </bk>
    <bk>
      <rc t="1" v="4615"/>
    </bk>
    <bk>
      <rc t="1" v="4616"/>
    </bk>
    <bk>
      <rc t="1" v="4617"/>
    </bk>
    <bk>
      <rc t="1" v="4618"/>
    </bk>
    <bk>
      <rc t="1" v="4619"/>
    </bk>
    <bk>
      <rc t="1" v="4620"/>
    </bk>
    <bk>
      <rc t="1" v="4621"/>
    </bk>
    <bk>
      <rc t="1" v="4622"/>
    </bk>
    <bk>
      <rc t="1" v="4623"/>
    </bk>
    <bk>
      <rc t="1" v="4624"/>
    </bk>
    <bk>
      <rc t="1" v="4625"/>
    </bk>
    <bk>
      <rc t="1" v="4626"/>
    </bk>
    <bk>
      <rc t="1" v="4627"/>
    </bk>
    <bk>
      <rc t="1" v="4628"/>
    </bk>
    <bk>
      <rc t="1" v="4629"/>
    </bk>
    <bk>
      <rc t="1" v="4630"/>
    </bk>
    <bk>
      <rc t="1" v="4631"/>
    </bk>
    <bk>
      <rc t="1" v="4632"/>
    </bk>
    <bk>
      <rc t="1" v="4633"/>
    </bk>
    <bk>
      <rc t="1" v="4634"/>
    </bk>
    <bk>
      <rc t="1" v="4635"/>
    </bk>
    <bk>
      <rc t="1" v="4636"/>
    </bk>
    <bk>
      <rc t="1" v="4637"/>
    </bk>
    <bk>
      <rc t="1" v="4638"/>
    </bk>
    <bk>
      <rc t="1" v="4639"/>
    </bk>
    <bk>
      <rc t="1" v="4640"/>
    </bk>
    <bk>
      <rc t="1" v="4641"/>
    </bk>
    <bk>
      <rc t="1" v="4642"/>
    </bk>
    <bk>
      <rc t="1" v="4643"/>
    </bk>
    <bk>
      <rc t="1" v="4644"/>
    </bk>
    <bk>
      <rc t="1" v="4645"/>
    </bk>
    <bk>
      <rc t="1" v="4646"/>
    </bk>
    <bk>
      <rc t="1" v="4647"/>
    </bk>
    <bk>
      <rc t="1" v="4648"/>
    </bk>
    <bk>
      <rc t="1" v="4649"/>
    </bk>
    <bk>
      <rc t="1" v="4650"/>
    </bk>
    <bk>
      <rc t="1" v="4651"/>
    </bk>
    <bk>
      <rc t="1" v="4652"/>
    </bk>
    <bk>
      <rc t="1" v="4653"/>
    </bk>
    <bk>
      <rc t="1" v="4654"/>
    </bk>
    <bk>
      <rc t="1" v="4655"/>
    </bk>
    <bk>
      <rc t="1" v="4656"/>
    </bk>
    <bk>
      <rc t="1" v="4657"/>
    </bk>
    <bk>
      <rc t="1" v="4658"/>
    </bk>
    <bk>
      <rc t="1" v="4659"/>
    </bk>
    <bk>
      <rc t="1" v="4660"/>
    </bk>
    <bk>
      <rc t="1" v="4661"/>
    </bk>
    <bk>
      <rc t="1" v="4662"/>
    </bk>
    <bk>
      <rc t="1" v="4663"/>
    </bk>
    <bk>
      <rc t="1" v="4664"/>
    </bk>
    <bk>
      <rc t="1" v="4665"/>
    </bk>
    <bk>
      <rc t="1" v="4666"/>
    </bk>
    <bk>
      <rc t="1" v="4667"/>
    </bk>
    <bk>
      <rc t="1" v="4668"/>
    </bk>
    <bk>
      <rc t="1" v="4669"/>
    </bk>
    <bk>
      <rc t="1" v="4670"/>
    </bk>
    <bk>
      <rc t="1" v="4671"/>
    </bk>
    <bk>
      <rc t="1" v="4672"/>
    </bk>
    <bk>
      <rc t="1" v="4673"/>
    </bk>
    <bk>
      <rc t="1" v="4674"/>
    </bk>
    <bk>
      <rc t="1" v="4675"/>
    </bk>
    <bk>
      <rc t="1" v="4676"/>
    </bk>
    <bk>
      <rc t="1" v="4677"/>
    </bk>
    <bk>
      <rc t="1" v="4678"/>
    </bk>
    <bk>
      <rc t="1" v="4679"/>
    </bk>
    <bk>
      <rc t="1" v="4680"/>
    </bk>
    <bk>
      <rc t="1" v="4681"/>
    </bk>
    <bk>
      <rc t="1" v="4682"/>
    </bk>
    <bk>
      <rc t="1" v="4683"/>
    </bk>
    <bk>
      <rc t="1" v="4684"/>
    </bk>
    <bk>
      <rc t="1" v="4685"/>
    </bk>
    <bk>
      <rc t="1" v="4686"/>
    </bk>
    <bk>
      <rc t="1" v="4687"/>
    </bk>
    <bk>
      <rc t="1" v="4688"/>
    </bk>
    <bk>
      <rc t="1" v="4689"/>
    </bk>
    <bk>
      <rc t="1" v="4690"/>
    </bk>
    <bk>
      <rc t="1" v="4691"/>
    </bk>
    <bk>
      <rc t="1" v="4692"/>
    </bk>
    <bk>
      <rc t="1" v="4693"/>
    </bk>
    <bk>
      <rc t="1" v="4694"/>
    </bk>
    <bk>
      <rc t="1" v="4695"/>
    </bk>
    <bk>
      <rc t="1" v="4696"/>
    </bk>
    <bk>
      <rc t="1" v="4697"/>
    </bk>
    <bk>
      <rc t="1" v="4698"/>
    </bk>
    <bk>
      <rc t="1" v="4699"/>
    </bk>
    <bk>
      <rc t="1" v="4700"/>
    </bk>
    <bk>
      <rc t="1" v="4701"/>
    </bk>
    <bk>
      <rc t="1" v="4702"/>
    </bk>
    <bk>
      <rc t="1" v="4703"/>
    </bk>
    <bk>
      <rc t="1" v="4704"/>
    </bk>
    <bk>
      <rc t="1" v="4705"/>
    </bk>
    <bk>
      <rc t="1" v="4706"/>
    </bk>
    <bk>
      <rc t="1" v="4707"/>
    </bk>
    <bk>
      <rc t="1" v="4708"/>
    </bk>
    <bk>
      <rc t="1" v="4709"/>
    </bk>
    <bk>
      <rc t="1" v="4710"/>
    </bk>
    <bk>
      <rc t="1" v="4711"/>
    </bk>
    <bk>
      <rc t="1" v="4712"/>
    </bk>
    <bk>
      <rc t="1" v="4713"/>
    </bk>
    <bk>
      <rc t="1" v="4714"/>
    </bk>
    <bk>
      <rc t="1" v="4715"/>
    </bk>
    <bk>
      <rc t="1" v="4716"/>
    </bk>
    <bk>
      <rc t="1" v="4717"/>
    </bk>
    <bk>
      <rc t="1" v="4718"/>
    </bk>
    <bk>
      <rc t="1" v="4719"/>
    </bk>
    <bk>
      <rc t="1" v="4720"/>
    </bk>
    <bk>
      <rc t="1" v="4721"/>
    </bk>
    <bk>
      <rc t="1" v="4722"/>
    </bk>
    <bk>
      <rc t="1" v="4723"/>
    </bk>
    <bk>
      <rc t="1" v="4724"/>
    </bk>
    <bk>
      <rc t="1" v="4725"/>
    </bk>
    <bk>
      <rc t="1" v="4726"/>
    </bk>
    <bk>
      <rc t="1" v="4727"/>
    </bk>
    <bk>
      <rc t="1" v="4728"/>
    </bk>
    <bk>
      <rc t="1" v="4729"/>
    </bk>
    <bk>
      <rc t="1" v="4730"/>
    </bk>
    <bk>
      <rc t="1" v="4731"/>
    </bk>
    <bk>
      <rc t="1" v="4732"/>
    </bk>
    <bk>
      <rc t="1" v="4733"/>
    </bk>
    <bk>
      <rc t="1" v="4734"/>
    </bk>
    <bk>
      <rc t="1" v="4735"/>
    </bk>
    <bk>
      <rc t="1" v="4736"/>
    </bk>
    <bk>
      <rc t="1" v="4737"/>
    </bk>
    <bk>
      <rc t="1" v="4738"/>
    </bk>
    <bk>
      <rc t="1" v="4739"/>
    </bk>
    <bk>
      <rc t="1" v="4740"/>
    </bk>
    <bk>
      <rc t="1" v="4741"/>
    </bk>
    <bk>
      <rc t="1" v="4742"/>
    </bk>
    <bk>
      <rc t="1" v="4743"/>
    </bk>
    <bk>
      <rc t="1" v="4744"/>
    </bk>
    <bk>
      <rc t="1" v="4745"/>
    </bk>
    <bk>
      <rc t="1" v="4746"/>
    </bk>
    <bk>
      <rc t="1" v="4747"/>
    </bk>
    <bk>
      <rc t="1" v="4748"/>
    </bk>
    <bk>
      <rc t="1" v="4749"/>
    </bk>
    <bk>
      <rc t="1" v="4750"/>
    </bk>
    <bk>
      <rc t="1" v="4751"/>
    </bk>
    <bk>
      <rc t="1" v="4752"/>
    </bk>
    <bk>
      <rc t="1" v="4753"/>
    </bk>
    <bk>
      <rc t="1" v="4754"/>
    </bk>
    <bk>
      <rc t="1" v="4755"/>
    </bk>
    <bk>
      <rc t="1" v="4756"/>
    </bk>
    <bk>
      <rc t="1" v="4757"/>
    </bk>
    <bk>
      <rc t="1" v="4758"/>
    </bk>
    <bk>
      <rc t="1" v="4759"/>
    </bk>
    <bk>
      <rc t="1" v="4760"/>
    </bk>
    <bk>
      <rc t="1" v="4761"/>
    </bk>
    <bk>
      <rc t="1" v="4762"/>
    </bk>
    <bk>
      <rc t="1" v="4763"/>
    </bk>
    <bk>
      <rc t="1" v="4764"/>
    </bk>
    <bk>
      <rc t="1" v="4765"/>
    </bk>
    <bk>
      <rc t="1" v="4766"/>
    </bk>
    <bk>
      <rc t="1" v="4767"/>
    </bk>
    <bk>
      <rc t="1" v="4768"/>
    </bk>
    <bk>
      <rc t="1" v="4769"/>
    </bk>
    <bk>
      <rc t="1" v="4770"/>
    </bk>
    <bk>
      <rc t="1" v="4771"/>
    </bk>
    <bk>
      <rc t="1" v="4772"/>
    </bk>
    <bk>
      <rc t="1" v="4773"/>
    </bk>
    <bk>
      <rc t="1" v="4774"/>
    </bk>
    <bk>
      <rc t="1" v="4775"/>
    </bk>
    <bk>
      <rc t="1" v="4776"/>
    </bk>
    <bk>
      <rc t="1" v="4777"/>
    </bk>
    <bk>
      <rc t="1" v="4778"/>
    </bk>
    <bk>
      <rc t="1" v="4779"/>
    </bk>
    <bk>
      <rc t="1" v="4780"/>
    </bk>
    <bk>
      <rc t="1" v="4781"/>
    </bk>
    <bk>
      <rc t="1" v="4782"/>
    </bk>
    <bk>
      <rc t="1" v="4783"/>
    </bk>
    <bk>
      <rc t="1" v="4784"/>
    </bk>
    <bk>
      <rc t="1" v="4785"/>
    </bk>
    <bk>
      <rc t="1" v="4786"/>
    </bk>
    <bk>
      <rc t="1" v="4787"/>
    </bk>
    <bk>
      <rc t="1" v="4788"/>
    </bk>
    <bk>
      <rc t="1" v="4789"/>
    </bk>
    <bk>
      <rc t="1" v="4790"/>
    </bk>
    <bk>
      <rc t="1" v="4791"/>
    </bk>
    <bk>
      <rc t="1" v="4792"/>
    </bk>
    <bk>
      <rc t="1" v="4793"/>
    </bk>
    <bk>
      <rc t="1" v="4794"/>
    </bk>
    <bk>
      <rc t="1" v="4795"/>
    </bk>
    <bk>
      <rc t="1" v="4796"/>
    </bk>
    <bk>
      <rc t="1" v="4797"/>
    </bk>
    <bk>
      <rc t="1" v="4798"/>
    </bk>
    <bk>
      <rc t="1" v="4799"/>
    </bk>
    <bk>
      <rc t="1" v="4800"/>
    </bk>
    <bk>
      <rc t="1" v="4801"/>
    </bk>
    <bk>
      <rc t="1" v="4802"/>
    </bk>
    <bk>
      <rc t="1" v="4803"/>
    </bk>
    <bk>
      <rc t="1" v="4804"/>
    </bk>
    <bk>
      <rc t="1" v="4805"/>
    </bk>
    <bk>
      <rc t="1" v="4806"/>
    </bk>
    <bk>
      <rc t="1" v="4807"/>
    </bk>
    <bk>
      <rc t="1" v="4808"/>
    </bk>
    <bk>
      <rc t="1" v="4809"/>
    </bk>
    <bk>
      <rc t="1" v="4810"/>
    </bk>
    <bk>
      <rc t="1" v="4811"/>
    </bk>
    <bk>
      <rc t="1" v="4812"/>
    </bk>
    <bk>
      <rc t="1" v="4813"/>
    </bk>
    <bk>
      <rc t="1" v="4814"/>
    </bk>
    <bk>
      <rc t="1" v="4815"/>
    </bk>
    <bk>
      <rc t="1" v="4816"/>
    </bk>
    <bk>
      <rc t="1" v="4817"/>
    </bk>
    <bk>
      <rc t="1" v="4818"/>
    </bk>
    <bk>
      <rc t="1" v="4819"/>
    </bk>
    <bk>
      <rc t="1" v="4820"/>
    </bk>
    <bk>
      <rc t="1" v="4821"/>
    </bk>
    <bk>
      <rc t="1" v="4822"/>
    </bk>
    <bk>
      <rc t="1" v="4823"/>
    </bk>
    <bk>
      <rc t="1" v="4824"/>
    </bk>
    <bk>
      <rc t="1" v="4825"/>
    </bk>
    <bk>
      <rc t="1" v="4826"/>
    </bk>
    <bk>
      <rc t="1" v="4827"/>
    </bk>
    <bk>
      <rc t="1" v="4828"/>
    </bk>
    <bk>
      <rc t="1" v="4829"/>
    </bk>
    <bk>
      <rc t="1" v="4830"/>
    </bk>
    <bk>
      <rc t="1" v="4831"/>
    </bk>
    <bk>
      <rc t="1" v="4832"/>
    </bk>
    <bk>
      <rc t="1" v="4833"/>
    </bk>
    <bk>
      <rc t="1" v="4834"/>
    </bk>
    <bk>
      <rc t="1" v="4835"/>
    </bk>
    <bk>
      <rc t="1" v="4836"/>
    </bk>
    <bk>
      <rc t="1" v="4837"/>
    </bk>
    <bk>
      <rc t="1" v="4838"/>
    </bk>
    <bk>
      <rc t="1" v="4839"/>
    </bk>
    <bk>
      <rc t="1" v="4840"/>
    </bk>
    <bk>
      <rc t="1" v="4841"/>
    </bk>
    <bk>
      <rc t="1" v="4842"/>
    </bk>
    <bk>
      <rc t="1" v="4843"/>
    </bk>
    <bk>
      <rc t="1" v="4844"/>
    </bk>
    <bk>
      <rc t="1" v="4845"/>
    </bk>
    <bk>
      <rc t="1" v="4846"/>
    </bk>
    <bk>
      <rc t="1" v="4847"/>
    </bk>
    <bk>
      <rc t="1" v="4848"/>
    </bk>
    <bk>
      <rc t="1" v="4849"/>
    </bk>
    <bk>
      <rc t="1" v="4850"/>
    </bk>
    <bk>
      <rc t="1" v="4851"/>
    </bk>
    <bk>
      <rc t="1" v="4852"/>
    </bk>
    <bk>
      <rc t="1" v="4853"/>
    </bk>
    <bk>
      <rc t="1" v="4854"/>
    </bk>
    <bk>
      <rc t="1" v="4855"/>
    </bk>
    <bk>
      <rc t="1" v="4856"/>
    </bk>
    <bk>
      <rc t="1" v="4857"/>
    </bk>
    <bk>
      <rc t="1" v="4858"/>
    </bk>
    <bk>
      <rc t="1" v="4859"/>
    </bk>
    <bk>
      <rc t="1" v="4860"/>
    </bk>
    <bk>
      <rc t="1" v="4861"/>
    </bk>
    <bk>
      <rc t="1" v="4862"/>
    </bk>
    <bk>
      <rc t="1" v="4863"/>
    </bk>
    <bk>
      <rc t="1" v="4864"/>
    </bk>
    <bk>
      <rc t="1" v="4865"/>
    </bk>
    <bk>
      <rc t="1" v="4866"/>
    </bk>
    <bk>
      <rc t="1" v="4867"/>
    </bk>
    <bk>
      <rc t="1" v="4868"/>
    </bk>
    <bk>
      <rc t="1" v="4869"/>
    </bk>
    <bk>
      <rc t="1" v="4870"/>
    </bk>
    <bk>
      <rc t="1" v="4871"/>
    </bk>
    <bk>
      <rc t="1" v="4872"/>
    </bk>
    <bk>
      <rc t="1" v="4873"/>
    </bk>
    <bk>
      <rc t="1" v="4874"/>
    </bk>
    <bk>
      <rc t="1" v="4875"/>
    </bk>
    <bk>
      <rc t="1" v="4876"/>
    </bk>
    <bk>
      <rc t="1" v="4877"/>
    </bk>
    <bk>
      <rc t="1" v="4878"/>
    </bk>
    <bk>
      <rc t="1" v="4879"/>
    </bk>
    <bk>
      <rc t="1" v="4880"/>
    </bk>
    <bk>
      <rc t="1" v="4881"/>
    </bk>
    <bk>
      <rc t="1" v="4882"/>
    </bk>
    <bk>
      <rc t="1" v="4883"/>
    </bk>
    <bk>
      <rc t="1" v="4884"/>
    </bk>
    <bk>
      <rc t="1" v="4885"/>
    </bk>
    <bk>
      <rc t="1" v="4886"/>
    </bk>
    <bk>
      <rc t="1" v="4887"/>
    </bk>
    <bk>
      <rc t="1" v="4888"/>
    </bk>
    <bk>
      <rc t="1" v="4889"/>
    </bk>
    <bk>
      <rc t="1" v="4890"/>
    </bk>
    <bk>
      <rc t="1" v="4891"/>
    </bk>
    <bk>
      <rc t="1" v="4892"/>
    </bk>
    <bk>
      <rc t="1" v="4893"/>
    </bk>
    <bk>
      <rc t="1" v="4894"/>
    </bk>
    <bk>
      <rc t="1" v="4895"/>
    </bk>
    <bk>
      <rc t="1" v="4896"/>
    </bk>
    <bk>
      <rc t="1" v="4897"/>
    </bk>
    <bk>
      <rc t="1" v="4898"/>
    </bk>
    <bk>
      <rc t="1" v="4899"/>
    </bk>
    <bk>
      <rc t="1" v="4900"/>
    </bk>
    <bk>
      <rc t="1" v="4901"/>
    </bk>
    <bk>
      <rc t="1" v="4902"/>
    </bk>
    <bk>
      <rc t="1" v="4903"/>
    </bk>
    <bk>
      <rc t="1" v="4904"/>
    </bk>
    <bk>
      <rc t="1" v="4905"/>
    </bk>
    <bk>
      <rc t="1" v="4906"/>
    </bk>
    <bk>
      <rc t="1" v="4907"/>
    </bk>
    <bk>
      <rc t="1" v="4908"/>
    </bk>
    <bk>
      <rc t="1" v="4909"/>
    </bk>
    <bk>
      <rc t="1" v="4910"/>
    </bk>
    <bk>
      <rc t="1" v="4911"/>
    </bk>
    <bk>
      <rc t="1" v="4912"/>
    </bk>
    <bk>
      <rc t="1" v="4913"/>
    </bk>
    <bk>
      <rc t="1" v="4914"/>
    </bk>
    <bk>
      <rc t="1" v="4915"/>
    </bk>
    <bk>
      <rc t="1" v="4916"/>
    </bk>
    <bk>
      <rc t="1" v="4917"/>
    </bk>
    <bk>
      <rc t="1" v="4918"/>
    </bk>
    <bk>
      <rc t="1" v="4919"/>
    </bk>
    <bk>
      <rc t="1" v="4920"/>
    </bk>
    <bk>
      <rc t="1" v="4921"/>
    </bk>
    <bk>
      <rc t="1" v="4922"/>
    </bk>
    <bk>
      <rc t="1" v="4923"/>
    </bk>
    <bk>
      <rc t="1" v="4924"/>
    </bk>
    <bk>
      <rc t="1" v="4925"/>
    </bk>
    <bk>
      <rc t="1" v="4926"/>
    </bk>
    <bk>
      <rc t="1" v="4927"/>
    </bk>
    <bk>
      <rc t="1" v="4928"/>
    </bk>
    <bk>
      <rc t="1" v="4929"/>
    </bk>
    <bk>
      <rc t="1" v="4930"/>
    </bk>
    <bk>
      <rc t="1" v="4931"/>
    </bk>
    <bk>
      <rc t="1" v="4932"/>
    </bk>
    <bk>
      <rc t="1" v="4933"/>
    </bk>
    <bk>
      <rc t="1" v="4934"/>
    </bk>
    <bk>
      <rc t="1" v="4935"/>
    </bk>
    <bk>
      <rc t="1" v="4936"/>
    </bk>
    <bk>
      <rc t="1" v="4937"/>
    </bk>
    <bk>
      <rc t="1" v="4938"/>
    </bk>
    <bk>
      <rc t="1" v="4939"/>
    </bk>
    <bk>
      <rc t="1" v="4940"/>
    </bk>
    <bk>
      <rc t="1" v="4941"/>
    </bk>
    <bk>
      <rc t="1" v="4942"/>
    </bk>
    <bk>
      <rc t="1" v="4943"/>
    </bk>
    <bk>
      <rc t="1" v="4944"/>
    </bk>
    <bk>
      <rc t="1" v="4945"/>
    </bk>
    <bk>
      <rc t="1" v="4946"/>
    </bk>
    <bk>
      <rc t="1" v="4947"/>
    </bk>
    <bk>
      <rc t="1" v="4948"/>
    </bk>
    <bk>
      <rc t="1" v="4949"/>
    </bk>
    <bk>
      <rc t="1" v="4950"/>
    </bk>
    <bk>
      <rc t="1" v="4951"/>
    </bk>
    <bk>
      <rc t="1" v="4952"/>
    </bk>
    <bk>
      <rc t="1" v="4953"/>
    </bk>
    <bk>
      <rc t="1" v="4954"/>
    </bk>
    <bk>
      <rc t="1" v="4955"/>
    </bk>
    <bk>
      <rc t="1" v="4956"/>
    </bk>
    <bk>
      <rc t="1" v="4957"/>
    </bk>
    <bk>
      <rc t="1" v="4958"/>
    </bk>
    <bk>
      <rc t="1" v="4959"/>
    </bk>
    <bk>
      <rc t="1" v="4960"/>
    </bk>
    <bk>
      <rc t="1" v="4961"/>
    </bk>
    <bk>
      <rc t="1" v="4962"/>
    </bk>
    <bk>
      <rc t="1" v="4963"/>
    </bk>
    <bk>
      <rc t="1" v="4964"/>
    </bk>
    <bk>
      <rc t="1" v="4965"/>
    </bk>
    <bk>
      <rc t="1" v="4966"/>
    </bk>
    <bk>
      <rc t="1" v="4967"/>
    </bk>
    <bk>
      <rc t="1" v="4968"/>
    </bk>
    <bk>
      <rc t="1" v="4969"/>
    </bk>
    <bk>
      <rc t="1" v="4970"/>
    </bk>
    <bk>
      <rc t="1" v="4971"/>
    </bk>
    <bk>
      <rc t="1" v="4972"/>
    </bk>
    <bk>
      <rc t="1" v="4973"/>
    </bk>
    <bk>
      <rc t="1" v="4974"/>
    </bk>
    <bk>
      <rc t="1" v="4975"/>
    </bk>
    <bk>
      <rc t="1" v="4976"/>
    </bk>
    <bk>
      <rc t="1" v="4977"/>
    </bk>
    <bk>
      <rc t="1" v="4978"/>
    </bk>
    <bk>
      <rc t="1" v="4979"/>
    </bk>
    <bk>
      <rc t="1" v="4980"/>
    </bk>
    <bk>
      <rc t="1" v="4981"/>
    </bk>
    <bk>
      <rc t="1" v="4982"/>
    </bk>
    <bk>
      <rc t="1" v="4983"/>
    </bk>
    <bk>
      <rc t="1" v="4984"/>
    </bk>
    <bk>
      <rc t="1" v="4985"/>
    </bk>
    <bk>
      <rc t="1" v="4986"/>
    </bk>
    <bk>
      <rc t="1" v="4987"/>
    </bk>
    <bk>
      <rc t="1" v="4988"/>
    </bk>
    <bk>
      <rc t="1" v="4989"/>
    </bk>
    <bk>
      <rc t="1" v="4990"/>
    </bk>
    <bk>
      <rc t="1" v="4991"/>
    </bk>
    <bk>
      <rc t="1" v="4992"/>
    </bk>
    <bk>
      <rc t="1" v="4993"/>
    </bk>
    <bk>
      <rc t="1" v="4994"/>
    </bk>
    <bk>
      <rc t="1" v="4995"/>
    </bk>
    <bk>
      <rc t="1" v="4996"/>
    </bk>
    <bk>
      <rc t="1" v="4997"/>
    </bk>
    <bk>
      <rc t="1" v="4998"/>
    </bk>
    <bk>
      <rc t="1" v="4999"/>
    </bk>
    <bk>
      <rc t="1" v="5000"/>
    </bk>
    <bk>
      <rc t="1" v="5001"/>
    </bk>
    <bk>
      <rc t="1" v="5002"/>
    </bk>
    <bk>
      <rc t="1" v="5003"/>
    </bk>
    <bk>
      <rc t="1" v="5004"/>
    </bk>
    <bk>
      <rc t="1" v="5005"/>
    </bk>
    <bk>
      <rc t="1" v="5006"/>
    </bk>
    <bk>
      <rc t="1" v="5007"/>
    </bk>
    <bk>
      <rc t="1" v="5008"/>
    </bk>
    <bk>
      <rc t="1" v="5009"/>
    </bk>
    <bk>
      <rc t="1" v="5010"/>
    </bk>
    <bk>
      <rc t="1" v="5011"/>
    </bk>
    <bk>
      <rc t="1" v="5012"/>
    </bk>
    <bk>
      <rc t="1" v="5013"/>
    </bk>
    <bk>
      <rc t="1" v="5014"/>
    </bk>
    <bk>
      <rc t="1" v="5015"/>
    </bk>
    <bk>
      <rc t="1" v="5016"/>
    </bk>
    <bk>
      <rc t="1" v="5017"/>
    </bk>
    <bk>
      <rc t="1" v="5018"/>
    </bk>
    <bk>
      <rc t="1" v="5019"/>
    </bk>
    <bk>
      <rc t="1" v="5020"/>
    </bk>
    <bk>
      <rc t="1" v="5021"/>
    </bk>
    <bk>
      <rc t="1" v="5022"/>
    </bk>
    <bk>
      <rc t="1" v="5023"/>
    </bk>
    <bk>
      <rc t="1" v="5024"/>
    </bk>
    <bk>
      <rc t="1" v="5025"/>
    </bk>
    <bk>
      <rc t="1" v="5026"/>
    </bk>
    <bk>
      <rc t="1" v="5027"/>
    </bk>
    <bk>
      <rc t="1" v="5028"/>
    </bk>
    <bk>
      <rc t="1" v="5029"/>
    </bk>
    <bk>
      <rc t="1" v="5030"/>
    </bk>
    <bk>
      <rc t="1" v="5031"/>
    </bk>
    <bk>
      <rc t="1" v="5032"/>
    </bk>
    <bk>
      <rc t="1" v="5033"/>
    </bk>
    <bk>
      <rc t="1" v="5034"/>
    </bk>
    <bk>
      <rc t="1" v="5035"/>
    </bk>
    <bk>
      <rc t="1" v="5036"/>
    </bk>
    <bk>
      <rc t="1" v="5037"/>
    </bk>
    <bk>
      <rc t="1" v="5038"/>
    </bk>
    <bk>
      <rc t="1" v="5039"/>
    </bk>
    <bk>
      <rc t="1" v="5040"/>
    </bk>
    <bk>
      <rc t="1" v="5041"/>
    </bk>
    <bk>
      <rc t="1" v="5042"/>
    </bk>
    <bk>
      <rc t="1" v="5043"/>
    </bk>
    <bk>
      <rc t="1" v="5044"/>
    </bk>
    <bk>
      <rc t="1" v="5045"/>
    </bk>
    <bk>
      <rc t="1" v="5046"/>
    </bk>
    <bk>
      <rc t="1" v="5047"/>
    </bk>
    <bk>
      <rc t="1" v="5048"/>
    </bk>
    <bk>
      <rc t="1" v="5049"/>
    </bk>
    <bk>
      <rc t="1" v="5050"/>
    </bk>
    <bk>
      <rc t="1" v="5051"/>
    </bk>
    <bk>
      <rc t="1" v="5052"/>
    </bk>
    <bk>
      <rc t="1" v="5053"/>
    </bk>
    <bk>
      <rc t="1" v="5054"/>
    </bk>
    <bk>
      <rc t="1" v="5055"/>
    </bk>
    <bk>
      <rc t="1" v="5056"/>
    </bk>
    <bk>
      <rc t="1" v="5057"/>
    </bk>
    <bk>
      <rc t="1" v="5058"/>
    </bk>
    <bk>
      <rc t="1" v="5059"/>
    </bk>
    <bk>
      <rc t="1" v="5060"/>
    </bk>
    <bk>
      <rc t="1" v="5061"/>
    </bk>
    <bk>
      <rc t="1" v="5062"/>
    </bk>
    <bk>
      <rc t="1" v="5063"/>
    </bk>
    <bk>
      <rc t="1" v="5064"/>
    </bk>
    <bk>
      <rc t="1" v="5065"/>
    </bk>
    <bk>
      <rc t="1" v="5066"/>
    </bk>
    <bk>
      <rc t="1" v="5067"/>
    </bk>
    <bk>
      <rc t="1" v="5068"/>
    </bk>
    <bk>
      <rc t="1" v="5069"/>
    </bk>
    <bk>
      <rc t="1" v="5070"/>
    </bk>
    <bk>
      <rc t="1" v="5071"/>
    </bk>
    <bk>
      <rc t="1" v="5072"/>
    </bk>
    <bk>
      <rc t="1" v="5073"/>
    </bk>
    <bk>
      <rc t="1" v="5074"/>
    </bk>
    <bk>
      <rc t="1" v="5075"/>
    </bk>
    <bk>
      <rc t="1" v="5076"/>
    </bk>
    <bk>
      <rc t="1" v="5077"/>
    </bk>
    <bk>
      <rc t="1" v="5078"/>
    </bk>
    <bk>
      <rc t="1" v="5079"/>
    </bk>
    <bk>
      <rc t="1" v="5080"/>
    </bk>
    <bk>
      <rc t="1" v="5081"/>
    </bk>
    <bk>
      <rc t="1" v="5082"/>
    </bk>
    <bk>
      <rc t="1" v="5083"/>
    </bk>
    <bk>
      <rc t="1" v="5084"/>
    </bk>
    <bk>
      <rc t="1" v="5085"/>
    </bk>
    <bk>
      <rc t="1" v="5086"/>
    </bk>
    <bk>
      <rc t="1" v="5087"/>
    </bk>
    <bk>
      <rc t="1" v="5088"/>
    </bk>
    <bk>
      <rc t="1" v="5089"/>
    </bk>
    <bk>
      <rc t="1" v="5090"/>
    </bk>
    <bk>
      <rc t="1" v="5091"/>
    </bk>
    <bk>
      <rc t="1" v="5092"/>
    </bk>
    <bk>
      <rc t="1" v="5093"/>
    </bk>
    <bk>
      <rc t="1" v="5094"/>
    </bk>
    <bk>
      <rc t="1" v="5095"/>
    </bk>
    <bk>
      <rc t="1" v="5096"/>
    </bk>
    <bk>
      <rc t="1" v="5097"/>
    </bk>
    <bk>
      <rc t="1" v="5098"/>
    </bk>
    <bk>
      <rc t="1" v="5099"/>
    </bk>
    <bk>
      <rc t="1" v="5100"/>
    </bk>
    <bk>
      <rc t="1" v="5101"/>
    </bk>
    <bk>
      <rc t="1" v="5102"/>
    </bk>
    <bk>
      <rc t="1" v="5103"/>
    </bk>
    <bk>
      <rc t="1" v="5104"/>
    </bk>
    <bk>
      <rc t="1" v="5105"/>
    </bk>
    <bk>
      <rc t="1" v="5106"/>
    </bk>
    <bk>
      <rc t="1" v="5107"/>
    </bk>
    <bk>
      <rc t="1" v="5108"/>
    </bk>
    <bk>
      <rc t="1" v="5109"/>
    </bk>
    <bk>
      <rc t="1" v="5110"/>
    </bk>
    <bk>
      <rc t="1" v="5111"/>
    </bk>
    <bk>
      <rc t="1" v="5112"/>
    </bk>
    <bk>
      <rc t="1" v="5113"/>
    </bk>
    <bk>
      <rc t="1" v="5114"/>
    </bk>
    <bk>
      <rc t="1" v="5115"/>
    </bk>
    <bk>
      <rc t="1" v="5116"/>
    </bk>
    <bk>
      <rc t="1" v="5117"/>
    </bk>
    <bk>
      <rc t="1" v="5118"/>
    </bk>
    <bk>
      <rc t="1" v="5119"/>
    </bk>
    <bk>
      <rc t="1" v="5120"/>
    </bk>
    <bk>
      <rc t="1" v="5121"/>
    </bk>
    <bk>
      <rc t="1" v="5122"/>
    </bk>
    <bk>
      <rc t="1" v="5123"/>
    </bk>
    <bk>
      <rc t="1" v="5124"/>
    </bk>
    <bk>
      <rc t="1" v="5125"/>
    </bk>
    <bk>
      <rc t="1" v="5126"/>
    </bk>
    <bk>
      <rc t="1" v="5127"/>
    </bk>
    <bk>
      <rc t="1" v="5128"/>
    </bk>
    <bk>
      <rc t="1" v="5129"/>
    </bk>
    <bk>
      <rc t="1" v="5130"/>
    </bk>
    <bk>
      <rc t="1" v="5131"/>
    </bk>
    <bk>
      <rc t="1" v="5132"/>
    </bk>
    <bk>
      <rc t="1" v="5133"/>
    </bk>
    <bk>
      <rc t="1" v="5134"/>
    </bk>
    <bk>
      <rc t="1" v="5135"/>
    </bk>
    <bk>
      <rc t="1" v="5136"/>
    </bk>
    <bk>
      <rc t="1" v="5137"/>
    </bk>
    <bk>
      <rc t="1" v="5138"/>
    </bk>
    <bk>
      <rc t="1" v="5139"/>
    </bk>
    <bk>
      <rc t="1" v="5140"/>
    </bk>
    <bk>
      <rc t="1" v="5141"/>
    </bk>
    <bk>
      <rc t="1" v="5142"/>
    </bk>
    <bk>
      <rc t="1" v="5143"/>
    </bk>
    <bk>
      <rc t="1" v="5144"/>
    </bk>
    <bk>
      <rc t="1" v="5145"/>
    </bk>
    <bk>
      <rc t="1" v="5146"/>
    </bk>
    <bk>
      <rc t="1" v="5147"/>
    </bk>
    <bk>
      <rc t="1" v="5148"/>
    </bk>
    <bk>
      <rc t="1" v="5149"/>
    </bk>
    <bk>
      <rc t="1" v="5150"/>
    </bk>
    <bk>
      <rc t="1" v="5151"/>
    </bk>
    <bk>
      <rc t="1" v="5152"/>
    </bk>
    <bk>
      <rc t="1" v="5153"/>
    </bk>
    <bk>
      <rc t="1" v="5154"/>
    </bk>
    <bk>
      <rc t="1" v="5155"/>
    </bk>
    <bk>
      <rc t="1" v="5156"/>
    </bk>
    <bk>
      <rc t="1" v="5157"/>
    </bk>
    <bk>
      <rc t="1" v="5158"/>
    </bk>
    <bk>
      <rc t="1" v="5159"/>
    </bk>
    <bk>
      <rc t="1" v="5160"/>
    </bk>
    <bk>
      <rc t="1" v="5161"/>
    </bk>
    <bk>
      <rc t="1" v="5162"/>
    </bk>
    <bk>
      <rc t="1" v="5163"/>
    </bk>
    <bk>
      <rc t="1" v="5164"/>
    </bk>
    <bk>
      <rc t="1" v="5165"/>
    </bk>
    <bk>
      <rc t="1" v="5166"/>
    </bk>
    <bk>
      <rc t="1" v="5167"/>
    </bk>
    <bk>
      <rc t="1" v="5168"/>
    </bk>
    <bk>
      <rc t="1" v="5169"/>
    </bk>
    <bk>
      <rc t="1" v="5170"/>
    </bk>
    <bk>
      <rc t="1" v="5171"/>
    </bk>
    <bk>
      <rc t="1" v="5172"/>
    </bk>
    <bk>
      <rc t="1" v="5173"/>
    </bk>
    <bk>
      <rc t="1" v="5174"/>
    </bk>
    <bk>
      <rc t="1" v="5175"/>
    </bk>
    <bk>
      <rc t="1" v="5176"/>
    </bk>
    <bk>
      <rc t="1" v="5177"/>
    </bk>
    <bk>
      <rc t="1" v="5178"/>
    </bk>
    <bk>
      <rc t="1" v="5179"/>
    </bk>
    <bk>
      <rc t="1" v="5180"/>
    </bk>
    <bk>
      <rc t="1" v="5181"/>
    </bk>
    <bk>
      <rc t="1" v="5182"/>
    </bk>
    <bk>
      <rc t="1" v="5183"/>
    </bk>
    <bk>
      <rc t="1" v="5184"/>
    </bk>
    <bk>
      <rc t="1" v="5185"/>
    </bk>
    <bk>
      <rc t="1" v="5186"/>
    </bk>
    <bk>
      <rc t="1" v="5187"/>
    </bk>
    <bk>
      <rc t="1" v="5188"/>
    </bk>
    <bk>
      <rc t="1" v="5189"/>
    </bk>
    <bk>
      <rc t="1" v="5190"/>
    </bk>
    <bk>
      <rc t="1" v="5191"/>
    </bk>
    <bk>
      <rc t="1" v="5192"/>
    </bk>
    <bk>
      <rc t="1" v="5193"/>
    </bk>
    <bk>
      <rc t="1" v="5194"/>
    </bk>
    <bk>
      <rc t="1" v="5195"/>
    </bk>
    <bk>
      <rc t="1" v="5196"/>
    </bk>
    <bk>
      <rc t="1" v="5197"/>
    </bk>
    <bk>
      <rc t="1" v="5198"/>
    </bk>
    <bk>
      <rc t="1" v="5199"/>
    </bk>
    <bk>
      <rc t="1" v="5200"/>
    </bk>
    <bk>
      <rc t="1" v="5201"/>
    </bk>
    <bk>
      <rc t="1" v="5202"/>
    </bk>
    <bk>
      <rc t="1" v="5203"/>
    </bk>
    <bk>
      <rc t="1" v="5204"/>
    </bk>
    <bk>
      <rc t="1" v="5205"/>
    </bk>
    <bk>
      <rc t="1" v="5206"/>
    </bk>
    <bk>
      <rc t="1" v="5207"/>
    </bk>
    <bk>
      <rc t="1" v="5208"/>
    </bk>
    <bk>
      <rc t="1" v="5209"/>
    </bk>
    <bk>
      <rc t="1" v="5210"/>
    </bk>
    <bk>
      <rc t="1" v="5211"/>
    </bk>
    <bk>
      <rc t="1" v="5212"/>
    </bk>
    <bk>
      <rc t="1" v="5213"/>
    </bk>
    <bk>
      <rc t="1" v="5214"/>
    </bk>
    <bk>
      <rc t="1" v="5215"/>
    </bk>
    <bk>
      <rc t="1" v="5216"/>
    </bk>
    <bk>
      <rc t="1" v="5217"/>
    </bk>
    <bk>
      <rc t="1" v="5218"/>
    </bk>
    <bk>
      <rc t="1" v="5219"/>
    </bk>
    <bk>
      <rc t="1" v="5220"/>
    </bk>
    <bk>
      <rc t="1" v="5221"/>
    </bk>
    <bk>
      <rc t="1" v="5222"/>
    </bk>
    <bk>
      <rc t="1" v="5223"/>
    </bk>
    <bk>
      <rc t="1" v="5224"/>
    </bk>
    <bk>
      <rc t="1" v="5225"/>
    </bk>
    <bk>
      <rc t="1" v="5226"/>
    </bk>
    <bk>
      <rc t="1" v="5227"/>
    </bk>
    <bk>
      <rc t="1" v="5228"/>
    </bk>
    <bk>
      <rc t="1" v="5229"/>
    </bk>
    <bk>
      <rc t="1" v="5230"/>
    </bk>
    <bk>
      <rc t="1" v="5231"/>
    </bk>
    <bk>
      <rc t="1" v="5232"/>
    </bk>
    <bk>
      <rc t="1" v="5233"/>
    </bk>
    <bk>
      <rc t="1" v="5234"/>
    </bk>
    <bk>
      <rc t="1" v="5235"/>
    </bk>
    <bk>
      <rc t="1" v="5236"/>
    </bk>
    <bk>
      <rc t="1" v="5237"/>
    </bk>
    <bk>
      <rc t="1" v="5238"/>
    </bk>
    <bk>
      <rc t="1" v="5239"/>
    </bk>
    <bk>
      <rc t="1" v="5240"/>
    </bk>
    <bk>
      <rc t="1" v="5241"/>
    </bk>
    <bk>
      <rc t="1" v="5242"/>
    </bk>
    <bk>
      <rc t="1" v="5243"/>
    </bk>
    <bk>
      <rc t="1" v="5244"/>
    </bk>
    <bk>
      <rc t="1" v="5245"/>
    </bk>
    <bk>
      <rc t="1" v="5246"/>
    </bk>
    <bk>
      <rc t="1" v="5247"/>
    </bk>
    <bk>
      <rc t="1" v="5248"/>
    </bk>
    <bk>
      <rc t="1" v="5249"/>
    </bk>
    <bk>
      <rc t="1" v="5250"/>
    </bk>
    <bk>
      <rc t="1" v="5251"/>
    </bk>
    <bk>
      <rc t="1" v="5252"/>
    </bk>
    <bk>
      <rc t="1" v="5253"/>
    </bk>
    <bk>
      <rc t="1" v="5254"/>
    </bk>
    <bk>
      <rc t="1" v="5255"/>
    </bk>
    <bk>
      <rc t="1" v="5256"/>
    </bk>
    <bk>
      <rc t="1" v="5257"/>
    </bk>
    <bk>
      <rc t="1" v="5258"/>
    </bk>
    <bk>
      <rc t="1" v="5259"/>
    </bk>
    <bk>
      <rc t="1" v="5260"/>
    </bk>
    <bk>
      <rc t="1" v="5261"/>
    </bk>
    <bk>
      <rc t="1" v="5262"/>
    </bk>
    <bk>
      <rc t="1" v="5263"/>
    </bk>
    <bk>
      <rc t="1" v="5264"/>
    </bk>
    <bk>
      <rc t="1" v="5265"/>
    </bk>
    <bk>
      <rc t="1" v="5266"/>
    </bk>
    <bk>
      <rc t="1" v="5267"/>
    </bk>
    <bk>
      <rc t="1" v="5268"/>
    </bk>
    <bk>
      <rc t="1" v="5269"/>
    </bk>
    <bk>
      <rc t="1" v="5270"/>
    </bk>
    <bk>
      <rc t="1" v="5271"/>
    </bk>
    <bk>
      <rc t="1" v="5272"/>
    </bk>
    <bk>
      <rc t="1" v="5273"/>
    </bk>
    <bk>
      <rc t="1" v="5274"/>
    </bk>
    <bk>
      <rc t="1" v="5275"/>
    </bk>
    <bk>
      <rc t="1" v="5276"/>
    </bk>
    <bk>
      <rc t="1" v="5277"/>
    </bk>
    <bk>
      <rc t="1" v="5278"/>
    </bk>
    <bk>
      <rc t="1" v="5279"/>
    </bk>
    <bk>
      <rc t="1" v="5280"/>
    </bk>
    <bk>
      <rc t="1" v="5281"/>
    </bk>
    <bk>
      <rc t="1" v="5282"/>
    </bk>
    <bk>
      <rc t="1" v="5283"/>
    </bk>
    <bk>
      <rc t="1" v="5284"/>
    </bk>
    <bk>
      <rc t="1" v="5285"/>
    </bk>
    <bk>
      <rc t="1" v="5286"/>
    </bk>
    <bk>
      <rc t="1" v="5287"/>
    </bk>
    <bk>
      <rc t="1" v="5288"/>
    </bk>
    <bk>
      <rc t="1" v="5289"/>
    </bk>
    <bk>
      <rc t="1" v="5290"/>
    </bk>
    <bk>
      <rc t="1" v="5291"/>
    </bk>
    <bk>
      <rc t="1" v="5292"/>
    </bk>
    <bk>
      <rc t="1" v="5293"/>
    </bk>
    <bk>
      <rc t="1" v="5294"/>
    </bk>
    <bk>
      <rc t="1" v="5295"/>
    </bk>
    <bk>
      <rc t="1" v="5296"/>
    </bk>
    <bk>
      <rc t="1" v="5297"/>
    </bk>
    <bk>
      <rc t="1" v="5298"/>
    </bk>
    <bk>
      <rc t="1" v="5299"/>
    </bk>
    <bk>
      <rc t="1" v="5300"/>
    </bk>
    <bk>
      <rc t="1" v="5301"/>
    </bk>
    <bk>
      <rc t="1" v="5302"/>
    </bk>
    <bk>
      <rc t="1" v="5303"/>
    </bk>
    <bk>
      <rc t="1" v="5304"/>
    </bk>
    <bk>
      <rc t="1" v="5305"/>
    </bk>
    <bk>
      <rc t="1" v="5306"/>
    </bk>
    <bk>
      <rc t="1" v="5307"/>
    </bk>
    <bk>
      <rc t="1" v="5308"/>
    </bk>
    <bk>
      <rc t="1" v="5309"/>
    </bk>
    <bk>
      <rc t="1" v="5310"/>
    </bk>
    <bk>
      <rc t="1" v="5311"/>
    </bk>
    <bk>
      <rc t="1" v="5312"/>
    </bk>
    <bk>
      <rc t="1" v="5313"/>
    </bk>
    <bk>
      <rc t="1" v="5314"/>
    </bk>
    <bk>
      <rc t="1" v="5315"/>
    </bk>
    <bk>
      <rc t="1" v="5316"/>
    </bk>
    <bk>
      <rc t="1" v="5317"/>
    </bk>
    <bk>
      <rc t="1" v="5318"/>
    </bk>
    <bk>
      <rc t="1" v="5319"/>
    </bk>
    <bk>
      <rc t="1" v="5320"/>
    </bk>
    <bk>
      <rc t="1" v="5321"/>
    </bk>
    <bk>
      <rc t="1" v="5322"/>
    </bk>
    <bk>
      <rc t="1" v="5323"/>
    </bk>
    <bk>
      <rc t="1" v="5324"/>
    </bk>
    <bk>
      <rc t="1" v="5325"/>
    </bk>
    <bk>
      <rc t="1" v="5326"/>
    </bk>
    <bk>
      <rc t="1" v="5327"/>
    </bk>
    <bk>
      <rc t="1" v="5328"/>
    </bk>
    <bk>
      <rc t="1" v="5329"/>
    </bk>
    <bk>
      <rc t="1" v="5330"/>
    </bk>
    <bk>
      <rc t="1" v="5331"/>
    </bk>
    <bk>
      <rc t="1" v="5332"/>
    </bk>
    <bk>
      <rc t="1" v="5333"/>
    </bk>
    <bk>
      <rc t="1" v="5334"/>
    </bk>
    <bk>
      <rc t="1" v="5335"/>
    </bk>
    <bk>
      <rc t="1" v="5336"/>
    </bk>
    <bk>
      <rc t="1" v="5337"/>
    </bk>
    <bk>
      <rc t="1" v="5338"/>
    </bk>
    <bk>
      <rc t="1" v="5339"/>
    </bk>
    <bk>
      <rc t="1" v="5340"/>
    </bk>
    <bk>
      <rc t="1" v="5341"/>
    </bk>
    <bk>
      <rc t="1" v="5342"/>
    </bk>
    <bk>
      <rc t="1" v="5343"/>
    </bk>
    <bk>
      <rc t="1" v="5344"/>
    </bk>
    <bk>
      <rc t="1" v="5345"/>
    </bk>
    <bk>
      <rc t="1" v="5346"/>
    </bk>
    <bk>
      <rc t="1" v="5347"/>
    </bk>
    <bk>
      <rc t="1" v="5348"/>
    </bk>
    <bk>
      <rc t="1" v="5349"/>
    </bk>
    <bk>
      <rc t="1" v="5350"/>
    </bk>
    <bk>
      <rc t="1" v="5351"/>
    </bk>
    <bk>
      <rc t="1" v="5352"/>
    </bk>
    <bk>
      <rc t="1" v="5353"/>
    </bk>
    <bk>
      <rc t="1" v="5354"/>
    </bk>
    <bk>
      <rc t="1" v="5355"/>
    </bk>
    <bk>
      <rc t="1" v="5356"/>
    </bk>
    <bk>
      <rc t="1" v="5357"/>
    </bk>
    <bk>
      <rc t="1" v="5358"/>
    </bk>
    <bk>
      <rc t="1" v="5359"/>
    </bk>
    <bk>
      <rc t="1" v="5360"/>
    </bk>
    <bk>
      <rc t="1" v="5361"/>
    </bk>
    <bk>
      <rc t="1" v="5362"/>
    </bk>
    <bk>
      <rc t="1" v="5363"/>
    </bk>
    <bk>
      <rc t="1" v="5364"/>
    </bk>
    <bk>
      <rc t="1" v="5365"/>
    </bk>
    <bk>
      <rc t="1" v="5366"/>
    </bk>
    <bk>
      <rc t="1" v="5367"/>
    </bk>
    <bk>
      <rc t="1" v="5368"/>
    </bk>
    <bk>
      <rc t="1" v="5369"/>
    </bk>
    <bk>
      <rc t="1" v="5370"/>
    </bk>
    <bk>
      <rc t="1" v="5371"/>
    </bk>
    <bk>
      <rc t="1" v="5372"/>
    </bk>
    <bk>
      <rc t="1" v="5373"/>
    </bk>
    <bk>
      <rc t="1" v="5374"/>
    </bk>
    <bk>
      <rc t="1" v="5375"/>
    </bk>
    <bk>
      <rc t="1" v="5376"/>
    </bk>
    <bk>
      <rc t="1" v="5377"/>
    </bk>
    <bk>
      <rc t="1" v="5378"/>
    </bk>
    <bk>
      <rc t="1" v="5379"/>
    </bk>
    <bk>
      <rc t="1" v="5380"/>
    </bk>
    <bk>
      <rc t="1" v="5381"/>
    </bk>
    <bk>
      <rc t="1" v="5382"/>
    </bk>
    <bk>
      <rc t="1" v="5383"/>
    </bk>
    <bk>
      <rc t="1" v="5384"/>
    </bk>
    <bk>
      <rc t="1" v="5385"/>
    </bk>
    <bk>
      <rc t="1" v="5386"/>
    </bk>
    <bk>
      <rc t="1" v="5387"/>
    </bk>
    <bk>
      <rc t="1" v="5388"/>
    </bk>
    <bk>
      <rc t="1" v="5389"/>
    </bk>
    <bk>
      <rc t="1" v="5390"/>
    </bk>
    <bk>
      <rc t="1" v="5391"/>
    </bk>
    <bk>
      <rc t="1" v="5392"/>
    </bk>
    <bk>
      <rc t="1" v="5393"/>
    </bk>
    <bk>
      <rc t="1" v="5394"/>
    </bk>
    <bk>
      <rc t="1" v="5395"/>
    </bk>
    <bk>
      <rc t="1" v="5396"/>
    </bk>
    <bk>
      <rc t="1" v="5397"/>
    </bk>
    <bk>
      <rc t="1" v="5398"/>
    </bk>
    <bk>
      <rc t="1" v="5399"/>
    </bk>
    <bk>
      <rc t="1" v="5400"/>
    </bk>
    <bk>
      <rc t="1" v="5401"/>
    </bk>
    <bk>
      <rc t="1" v="5402"/>
    </bk>
    <bk>
      <rc t="1" v="5403"/>
    </bk>
    <bk>
      <rc t="1" v="5404"/>
    </bk>
    <bk>
      <rc t="1" v="5405"/>
    </bk>
    <bk>
      <rc t="1" v="5406"/>
    </bk>
    <bk>
      <rc t="1" v="5407"/>
    </bk>
    <bk>
      <rc t="1" v="5408"/>
    </bk>
    <bk>
      <rc t="1" v="5409"/>
    </bk>
    <bk>
      <rc t="1" v="5410"/>
    </bk>
    <bk>
      <rc t="1" v="5411"/>
    </bk>
    <bk>
      <rc t="1" v="5412"/>
    </bk>
    <bk>
      <rc t="1" v="5413"/>
    </bk>
    <bk>
      <rc t="1" v="5414"/>
    </bk>
    <bk>
      <rc t="1" v="5415"/>
    </bk>
    <bk>
      <rc t="1" v="5416"/>
    </bk>
    <bk>
      <rc t="1" v="5417"/>
    </bk>
    <bk>
      <rc t="1" v="5418"/>
    </bk>
    <bk>
      <rc t="1" v="5419"/>
    </bk>
    <bk>
      <rc t="1" v="5420"/>
    </bk>
    <bk>
      <rc t="1" v="5421"/>
    </bk>
    <bk>
      <rc t="1" v="5422"/>
    </bk>
    <bk>
      <rc t="1" v="5423"/>
    </bk>
    <bk>
      <rc t="1" v="5424"/>
    </bk>
    <bk>
      <rc t="1" v="5425"/>
    </bk>
    <bk>
      <rc t="1" v="5426"/>
    </bk>
    <bk>
      <rc t="1" v="5427"/>
    </bk>
    <bk>
      <rc t="1" v="5428"/>
    </bk>
    <bk>
      <rc t="1" v="5429"/>
    </bk>
    <bk>
      <rc t="1" v="5430"/>
    </bk>
    <bk>
      <rc t="1" v="5431"/>
    </bk>
    <bk>
      <rc t="1" v="5432"/>
    </bk>
    <bk>
      <rc t="1" v="5433"/>
    </bk>
    <bk>
      <rc t="1" v="5434"/>
    </bk>
    <bk>
      <rc t="1" v="5435"/>
    </bk>
    <bk>
      <rc t="1" v="5436"/>
    </bk>
    <bk>
      <rc t="1" v="5437"/>
    </bk>
    <bk>
      <rc t="1" v="5438"/>
    </bk>
    <bk>
      <rc t="1" v="5439"/>
    </bk>
    <bk>
      <rc t="1" v="5440"/>
    </bk>
    <bk>
      <rc t="1" v="5441"/>
    </bk>
    <bk>
      <rc t="1" v="5442"/>
    </bk>
    <bk>
      <rc t="1" v="5443"/>
    </bk>
    <bk>
      <rc t="1" v="5444"/>
    </bk>
    <bk>
      <rc t="1" v="5445"/>
    </bk>
    <bk>
      <rc t="1" v="5446"/>
    </bk>
    <bk>
      <rc t="1" v="5447"/>
    </bk>
    <bk>
      <rc t="1" v="5448"/>
    </bk>
    <bk>
      <rc t="1" v="5449"/>
    </bk>
    <bk>
      <rc t="1" v="5450"/>
    </bk>
    <bk>
      <rc t="1" v="5451"/>
    </bk>
    <bk>
      <rc t="1" v="5452"/>
    </bk>
    <bk>
      <rc t="1" v="5453"/>
    </bk>
    <bk>
      <rc t="1" v="5454"/>
    </bk>
    <bk>
      <rc t="1" v="5455"/>
    </bk>
    <bk>
      <rc t="1" v="5456"/>
    </bk>
    <bk>
      <rc t="1" v="5457"/>
    </bk>
    <bk>
      <rc t="1" v="5458"/>
    </bk>
    <bk>
      <rc t="1" v="5459"/>
    </bk>
    <bk>
      <rc t="1" v="5460"/>
    </bk>
    <bk>
      <rc t="1" v="5461"/>
    </bk>
    <bk>
      <rc t="1" v="5462"/>
    </bk>
    <bk>
      <rc t="1" v="5463"/>
    </bk>
    <bk>
      <rc t="1" v="5464"/>
    </bk>
    <bk>
      <rc t="1" v="5465"/>
    </bk>
    <bk>
      <rc t="1" v="5466"/>
    </bk>
    <bk>
      <rc t="1" v="5467"/>
    </bk>
    <bk>
      <rc t="1" v="5468"/>
    </bk>
    <bk>
      <rc t="1" v="5469"/>
    </bk>
    <bk>
      <rc t="1" v="5470"/>
    </bk>
    <bk>
      <rc t="1" v="5471"/>
    </bk>
    <bk>
      <rc t="1" v="5472"/>
    </bk>
    <bk>
      <rc t="1" v="5473"/>
    </bk>
    <bk>
      <rc t="1" v="5474"/>
    </bk>
    <bk>
      <rc t="1" v="5475"/>
    </bk>
    <bk>
      <rc t="1" v="5476"/>
    </bk>
    <bk>
      <rc t="1" v="5477"/>
    </bk>
    <bk>
      <rc t="1" v="5478"/>
    </bk>
    <bk>
      <rc t="1" v="5479"/>
    </bk>
    <bk>
      <rc t="1" v="5480"/>
    </bk>
    <bk>
      <rc t="1" v="5481"/>
    </bk>
    <bk>
      <rc t="1" v="5482"/>
    </bk>
    <bk>
      <rc t="1" v="5483"/>
    </bk>
    <bk>
      <rc t="1" v="5484"/>
    </bk>
    <bk>
      <rc t="1" v="5485"/>
    </bk>
    <bk>
      <rc t="1" v="5486"/>
    </bk>
    <bk>
      <rc t="1" v="5487"/>
    </bk>
    <bk>
      <rc t="1" v="5488"/>
    </bk>
    <bk>
      <rc t="1" v="5489"/>
    </bk>
    <bk>
      <rc t="1" v="5490"/>
    </bk>
    <bk>
      <rc t="1" v="5491"/>
    </bk>
    <bk>
      <rc t="1" v="5492"/>
    </bk>
    <bk>
      <rc t="1" v="5493"/>
    </bk>
    <bk>
      <rc t="1" v="5494"/>
    </bk>
    <bk>
      <rc t="1" v="5495"/>
    </bk>
    <bk>
      <rc t="1" v="5496"/>
    </bk>
    <bk>
      <rc t="1" v="5497"/>
    </bk>
    <bk>
      <rc t="1" v="5498"/>
    </bk>
    <bk>
      <rc t="1" v="5499"/>
    </bk>
    <bk>
      <rc t="1" v="5500"/>
    </bk>
    <bk>
      <rc t="1" v="5501"/>
    </bk>
    <bk>
      <rc t="1" v="5502"/>
    </bk>
    <bk>
      <rc t="1" v="5503"/>
    </bk>
    <bk>
      <rc t="1" v="5504"/>
    </bk>
    <bk>
      <rc t="1" v="5505"/>
    </bk>
    <bk>
      <rc t="1" v="5506"/>
    </bk>
    <bk>
      <rc t="1" v="5507"/>
    </bk>
    <bk>
      <rc t="1" v="5508"/>
    </bk>
    <bk>
      <rc t="1" v="5509"/>
    </bk>
    <bk>
      <rc t="1" v="5510"/>
    </bk>
    <bk>
      <rc t="1" v="5511"/>
    </bk>
    <bk>
      <rc t="1" v="5512"/>
    </bk>
    <bk>
      <rc t="1" v="5513"/>
    </bk>
    <bk>
      <rc t="1" v="5514"/>
    </bk>
    <bk>
      <rc t="1" v="5515"/>
    </bk>
    <bk>
      <rc t="1" v="5516"/>
    </bk>
    <bk>
      <rc t="1" v="5517"/>
    </bk>
    <bk>
      <rc t="1" v="5518"/>
    </bk>
    <bk>
      <rc t="1" v="5519"/>
    </bk>
    <bk>
      <rc t="1" v="5520"/>
    </bk>
    <bk>
      <rc t="1" v="5521"/>
    </bk>
    <bk>
      <rc t="1" v="5522"/>
    </bk>
    <bk>
      <rc t="1" v="5523"/>
    </bk>
    <bk>
      <rc t="1" v="5524"/>
    </bk>
    <bk>
      <rc t="1" v="5525"/>
    </bk>
    <bk>
      <rc t="1" v="5526"/>
    </bk>
    <bk>
      <rc t="1" v="5527"/>
    </bk>
    <bk>
      <rc t="1" v="5528"/>
    </bk>
    <bk>
      <rc t="1" v="5529"/>
    </bk>
    <bk>
      <rc t="1" v="5530"/>
    </bk>
    <bk>
      <rc t="1" v="5531"/>
    </bk>
    <bk>
      <rc t="1" v="5532"/>
    </bk>
    <bk>
      <rc t="1" v="5533"/>
    </bk>
    <bk>
      <rc t="1" v="5534"/>
    </bk>
    <bk>
      <rc t="1" v="5535"/>
    </bk>
    <bk>
      <rc t="1" v="5536"/>
    </bk>
    <bk>
      <rc t="1" v="5537"/>
    </bk>
    <bk>
      <rc t="1" v="5538"/>
    </bk>
    <bk>
      <rc t="1" v="5539"/>
    </bk>
    <bk>
      <rc t="1" v="5540"/>
    </bk>
    <bk>
      <rc t="1" v="5541"/>
    </bk>
    <bk>
      <rc t="1" v="5542"/>
    </bk>
    <bk>
      <rc t="1" v="5543"/>
    </bk>
    <bk>
      <rc t="1" v="5544"/>
    </bk>
    <bk>
      <rc t="1" v="5545"/>
    </bk>
    <bk>
      <rc t="1" v="5546"/>
    </bk>
    <bk>
      <rc t="1" v="5547"/>
    </bk>
    <bk>
      <rc t="1" v="5548"/>
    </bk>
    <bk>
      <rc t="1" v="5549"/>
    </bk>
    <bk>
      <rc t="1" v="5550"/>
    </bk>
    <bk>
      <rc t="1" v="5551"/>
    </bk>
    <bk>
      <rc t="1" v="5552"/>
    </bk>
    <bk>
      <rc t="1" v="5553"/>
    </bk>
    <bk>
      <rc t="1" v="5554"/>
    </bk>
    <bk>
      <rc t="1" v="5555"/>
    </bk>
    <bk>
      <rc t="1" v="5556"/>
    </bk>
    <bk>
      <rc t="1" v="5557"/>
    </bk>
    <bk>
      <rc t="1" v="5558"/>
    </bk>
    <bk>
      <rc t="1" v="5559"/>
    </bk>
    <bk>
      <rc t="1" v="5560"/>
    </bk>
    <bk>
      <rc t="1" v="5561"/>
    </bk>
    <bk>
      <rc t="1" v="5562"/>
    </bk>
    <bk>
      <rc t="1" v="5563"/>
    </bk>
    <bk>
      <rc t="1" v="5564"/>
    </bk>
    <bk>
      <rc t="1" v="5565"/>
    </bk>
    <bk>
      <rc t="1" v="5566"/>
    </bk>
    <bk>
      <rc t="1" v="5567"/>
    </bk>
    <bk>
      <rc t="1" v="5568"/>
    </bk>
    <bk>
      <rc t="1" v="5569"/>
    </bk>
    <bk>
      <rc t="1" v="5570"/>
    </bk>
    <bk>
      <rc t="1" v="5571"/>
    </bk>
    <bk>
      <rc t="1" v="5572"/>
    </bk>
    <bk>
      <rc t="1" v="5573"/>
    </bk>
    <bk>
      <rc t="1" v="5574"/>
    </bk>
    <bk>
      <rc t="1" v="5575"/>
    </bk>
    <bk>
      <rc t="1" v="5576"/>
    </bk>
    <bk>
      <rc t="1" v="5577"/>
    </bk>
    <bk>
      <rc t="1" v="5578"/>
    </bk>
    <bk>
      <rc t="1" v="5579"/>
    </bk>
    <bk>
      <rc t="1" v="5580"/>
    </bk>
    <bk>
      <rc t="1" v="5581"/>
    </bk>
    <bk>
      <rc t="1" v="5582"/>
    </bk>
    <bk>
      <rc t="1" v="5583"/>
    </bk>
    <bk>
      <rc t="1" v="5584"/>
    </bk>
    <bk>
      <rc t="1" v="5585"/>
    </bk>
    <bk>
      <rc t="1" v="5586"/>
    </bk>
    <bk>
      <rc t="1" v="5587"/>
    </bk>
    <bk>
      <rc t="1" v="5588"/>
    </bk>
    <bk>
      <rc t="1" v="5589"/>
    </bk>
    <bk>
      <rc t="1" v="5590"/>
    </bk>
    <bk>
      <rc t="1" v="5591"/>
    </bk>
    <bk>
      <rc t="1" v="5592"/>
    </bk>
    <bk>
      <rc t="1" v="5593"/>
    </bk>
    <bk>
      <rc t="1" v="5594"/>
    </bk>
    <bk>
      <rc t="1" v="5595"/>
    </bk>
    <bk>
      <rc t="1" v="5596"/>
    </bk>
    <bk>
      <rc t="1" v="5597"/>
    </bk>
    <bk>
      <rc t="1" v="5598"/>
    </bk>
    <bk>
      <rc t="1" v="5599"/>
    </bk>
    <bk>
      <rc t="1" v="5600"/>
    </bk>
    <bk>
      <rc t="1" v="5601"/>
    </bk>
    <bk>
      <rc t="1" v="5602"/>
    </bk>
    <bk>
      <rc t="1" v="5603"/>
    </bk>
    <bk>
      <rc t="1" v="5604"/>
    </bk>
    <bk>
      <rc t="1" v="5605"/>
    </bk>
    <bk>
      <rc t="1" v="5606"/>
    </bk>
    <bk>
      <rc t="1" v="5607"/>
    </bk>
    <bk>
      <rc t="1" v="5608"/>
    </bk>
    <bk>
      <rc t="1" v="5609"/>
    </bk>
    <bk>
      <rc t="1" v="5610"/>
    </bk>
    <bk>
      <rc t="1" v="5611"/>
    </bk>
    <bk>
      <rc t="1" v="5612"/>
    </bk>
    <bk>
      <rc t="1" v="5613"/>
    </bk>
    <bk>
      <rc t="1" v="5614"/>
    </bk>
    <bk>
      <rc t="1" v="5615"/>
    </bk>
    <bk>
      <rc t="1" v="5616"/>
    </bk>
    <bk>
      <rc t="1" v="5617"/>
    </bk>
    <bk>
      <rc t="1" v="5618"/>
    </bk>
    <bk>
      <rc t="1" v="5619"/>
    </bk>
    <bk>
      <rc t="1" v="5620"/>
    </bk>
    <bk>
      <rc t="1" v="5621"/>
    </bk>
    <bk>
      <rc t="1" v="5622"/>
    </bk>
    <bk>
      <rc t="1" v="5623"/>
    </bk>
    <bk>
      <rc t="1" v="5624"/>
    </bk>
    <bk>
      <rc t="1" v="5625"/>
    </bk>
    <bk>
      <rc t="1" v="5626"/>
    </bk>
    <bk>
      <rc t="1" v="5627"/>
    </bk>
    <bk>
      <rc t="1" v="5628"/>
    </bk>
    <bk>
      <rc t="1" v="5629"/>
    </bk>
    <bk>
      <rc t="1" v="5630"/>
    </bk>
    <bk>
      <rc t="1" v="5631"/>
    </bk>
    <bk>
      <rc t="1" v="5632"/>
    </bk>
    <bk>
      <rc t="1" v="5633"/>
    </bk>
    <bk>
      <rc t="1" v="5634"/>
    </bk>
    <bk>
      <rc t="1" v="5635"/>
    </bk>
    <bk>
      <rc t="1" v="5636"/>
    </bk>
    <bk>
      <rc t="1" v="5637"/>
    </bk>
    <bk>
      <rc t="1" v="5638"/>
    </bk>
    <bk>
      <rc t="1" v="5639"/>
    </bk>
    <bk>
      <rc t="1" v="5640"/>
    </bk>
    <bk>
      <rc t="1" v="5641"/>
    </bk>
    <bk>
      <rc t="1" v="5642"/>
    </bk>
    <bk>
      <rc t="1" v="5643"/>
    </bk>
    <bk>
      <rc t="1" v="5644"/>
    </bk>
    <bk>
      <rc t="1" v="5645"/>
    </bk>
    <bk>
      <rc t="1" v="5646"/>
    </bk>
    <bk>
      <rc t="1" v="5647"/>
    </bk>
    <bk>
      <rc t="1" v="5648"/>
    </bk>
    <bk>
      <rc t="1" v="5649"/>
    </bk>
    <bk>
      <rc t="1" v="5650"/>
    </bk>
    <bk>
      <rc t="1" v="5651"/>
    </bk>
    <bk>
      <rc t="1" v="5652"/>
    </bk>
    <bk>
      <rc t="1" v="5653"/>
    </bk>
    <bk>
      <rc t="1" v="5654"/>
    </bk>
    <bk>
      <rc t="1" v="5655"/>
    </bk>
    <bk>
      <rc t="1" v="5656"/>
    </bk>
    <bk>
      <rc t="1" v="5657"/>
    </bk>
    <bk>
      <rc t="1" v="5658"/>
    </bk>
    <bk>
      <rc t="1" v="5659"/>
    </bk>
    <bk>
      <rc t="1" v="5660"/>
    </bk>
    <bk>
      <rc t="1" v="5661"/>
    </bk>
    <bk>
      <rc t="1" v="5662"/>
    </bk>
    <bk>
      <rc t="1" v="5663"/>
    </bk>
    <bk>
      <rc t="1" v="5664"/>
    </bk>
    <bk>
      <rc t="1" v="5665"/>
    </bk>
    <bk>
      <rc t="1" v="5666"/>
    </bk>
    <bk>
      <rc t="1" v="5667"/>
    </bk>
    <bk>
      <rc t="1" v="5668"/>
    </bk>
    <bk>
      <rc t="1" v="5669"/>
    </bk>
    <bk>
      <rc t="1" v="5670"/>
    </bk>
    <bk>
      <rc t="1" v="5671"/>
    </bk>
    <bk>
      <rc t="1" v="5672"/>
    </bk>
    <bk>
      <rc t="1" v="5673"/>
    </bk>
    <bk>
      <rc t="1" v="5674"/>
    </bk>
    <bk>
      <rc t="1" v="5675"/>
    </bk>
    <bk>
      <rc t="1" v="5676"/>
    </bk>
    <bk>
      <rc t="1" v="5677"/>
    </bk>
    <bk>
      <rc t="1" v="5678"/>
    </bk>
    <bk>
      <rc t="1" v="5679"/>
    </bk>
    <bk>
      <rc t="1" v="5680"/>
    </bk>
    <bk>
      <rc t="1" v="5681"/>
    </bk>
    <bk>
      <rc t="1" v="5682"/>
    </bk>
    <bk>
      <rc t="1" v="5683"/>
    </bk>
    <bk>
      <rc t="1" v="5684"/>
    </bk>
    <bk>
      <rc t="1" v="5685"/>
    </bk>
    <bk>
      <rc t="1" v="5686"/>
    </bk>
    <bk>
      <rc t="1" v="5687"/>
    </bk>
    <bk>
      <rc t="1" v="5688"/>
    </bk>
    <bk>
      <rc t="1" v="5689"/>
    </bk>
    <bk>
      <rc t="1" v="5690"/>
    </bk>
    <bk>
      <rc t="1" v="5691"/>
    </bk>
    <bk>
      <rc t="1" v="5692"/>
    </bk>
    <bk>
      <rc t="1" v="5693"/>
    </bk>
    <bk>
      <rc t="1" v="5694"/>
    </bk>
    <bk>
      <rc t="1" v="5695"/>
    </bk>
    <bk>
      <rc t="1" v="5696"/>
    </bk>
    <bk>
      <rc t="1" v="5697"/>
    </bk>
    <bk>
      <rc t="1" v="5698"/>
    </bk>
    <bk>
      <rc t="1" v="5699"/>
    </bk>
    <bk>
      <rc t="1" v="5700"/>
    </bk>
    <bk>
      <rc t="1" v="5701"/>
    </bk>
    <bk>
      <rc t="1" v="5702"/>
    </bk>
    <bk>
      <rc t="1" v="5703"/>
    </bk>
    <bk>
      <rc t="1" v="5704"/>
    </bk>
    <bk>
      <rc t="1" v="5705"/>
    </bk>
    <bk>
      <rc t="1" v="5706"/>
    </bk>
    <bk>
      <rc t="1" v="5707"/>
    </bk>
    <bk>
      <rc t="1" v="5708"/>
    </bk>
    <bk>
      <rc t="1" v="5709"/>
    </bk>
    <bk>
      <rc t="1" v="5710"/>
    </bk>
    <bk>
      <rc t="1" v="5711"/>
    </bk>
    <bk>
      <rc t="1" v="5712"/>
    </bk>
    <bk>
      <rc t="1" v="5713"/>
    </bk>
    <bk>
      <rc t="1" v="5714"/>
    </bk>
    <bk>
      <rc t="1" v="5715"/>
    </bk>
    <bk>
      <rc t="1" v="5716"/>
    </bk>
    <bk>
      <rc t="1" v="5717"/>
    </bk>
    <bk>
      <rc t="1" v="5718"/>
    </bk>
    <bk>
      <rc t="1" v="5719"/>
    </bk>
    <bk>
      <rc t="1" v="5720"/>
    </bk>
    <bk>
      <rc t="1" v="5721"/>
    </bk>
    <bk>
      <rc t="1" v="5722"/>
    </bk>
    <bk>
      <rc t="1" v="5723"/>
    </bk>
    <bk>
      <rc t="1" v="5724"/>
    </bk>
    <bk>
      <rc t="1" v="5725"/>
    </bk>
    <bk>
      <rc t="1" v="5726"/>
    </bk>
    <bk>
      <rc t="1" v="5727"/>
    </bk>
    <bk>
      <rc t="1" v="5728"/>
    </bk>
    <bk>
      <rc t="1" v="5729"/>
    </bk>
    <bk>
      <rc t="1" v="5730"/>
    </bk>
    <bk>
      <rc t="1" v="5731"/>
    </bk>
    <bk>
      <rc t="1" v="5732"/>
    </bk>
    <bk>
      <rc t="1" v="5733"/>
    </bk>
    <bk>
      <rc t="1" v="5734"/>
    </bk>
    <bk>
      <rc t="1" v="5735"/>
    </bk>
    <bk>
      <rc t="1" v="5736"/>
    </bk>
    <bk>
      <rc t="1" v="5737"/>
    </bk>
    <bk>
      <rc t="1" v="5738"/>
    </bk>
    <bk>
      <rc t="1" v="5739"/>
    </bk>
    <bk>
      <rc t="1" v="5740"/>
    </bk>
    <bk>
      <rc t="1" v="5741"/>
    </bk>
    <bk>
      <rc t="1" v="5742"/>
    </bk>
    <bk>
      <rc t="1" v="5743"/>
    </bk>
    <bk>
      <rc t="1" v="5744"/>
    </bk>
    <bk>
      <rc t="1" v="5745"/>
    </bk>
    <bk>
      <rc t="1" v="5746"/>
    </bk>
    <bk>
      <rc t="1" v="5747"/>
    </bk>
    <bk>
      <rc t="1" v="5748"/>
    </bk>
    <bk>
      <rc t="1" v="5749"/>
    </bk>
    <bk>
      <rc t="1" v="5750"/>
    </bk>
    <bk>
      <rc t="1" v="5751"/>
    </bk>
    <bk>
      <rc t="1" v="5752"/>
    </bk>
    <bk>
      <rc t="1" v="5753"/>
    </bk>
    <bk>
      <rc t="1" v="5754"/>
    </bk>
    <bk>
      <rc t="1" v="5755"/>
    </bk>
    <bk>
      <rc t="1" v="5756"/>
    </bk>
    <bk>
      <rc t="1" v="5757"/>
    </bk>
    <bk>
      <rc t="1" v="5758"/>
    </bk>
    <bk>
      <rc t="1" v="5759"/>
    </bk>
    <bk>
      <rc t="1" v="5760"/>
    </bk>
    <bk>
      <rc t="1" v="5761"/>
    </bk>
    <bk>
      <rc t="1" v="5762"/>
    </bk>
    <bk>
      <rc t="1" v="5763"/>
    </bk>
    <bk>
      <rc t="1" v="5764"/>
    </bk>
    <bk>
      <rc t="1" v="5765"/>
    </bk>
    <bk>
      <rc t="1" v="5766"/>
    </bk>
    <bk>
      <rc t="1" v="5767"/>
    </bk>
    <bk>
      <rc t="1" v="5768"/>
    </bk>
    <bk>
      <rc t="1" v="5769"/>
    </bk>
    <bk>
      <rc t="1" v="5770"/>
    </bk>
    <bk>
      <rc t="1" v="5771"/>
    </bk>
    <bk>
      <rc t="1" v="5772"/>
    </bk>
    <bk>
      <rc t="1" v="5773"/>
    </bk>
    <bk>
      <rc t="1" v="5774"/>
    </bk>
    <bk>
      <rc t="1" v="5775"/>
    </bk>
    <bk>
      <rc t="1" v="5776"/>
    </bk>
    <bk>
      <rc t="1" v="5777"/>
    </bk>
    <bk>
      <rc t="1" v="5778"/>
    </bk>
    <bk>
      <rc t="1" v="5779"/>
    </bk>
    <bk>
      <rc t="1" v="5780"/>
    </bk>
    <bk>
      <rc t="1" v="5781"/>
    </bk>
    <bk>
      <rc t="1" v="5782"/>
    </bk>
    <bk>
      <rc t="1" v="5783"/>
    </bk>
    <bk>
      <rc t="1" v="5784"/>
    </bk>
    <bk>
      <rc t="1" v="5785"/>
    </bk>
    <bk>
      <rc t="1" v="5786"/>
    </bk>
    <bk>
      <rc t="1" v="5787"/>
    </bk>
    <bk>
      <rc t="1" v="5788"/>
    </bk>
    <bk>
      <rc t="1" v="5789"/>
    </bk>
    <bk>
      <rc t="1" v="5790"/>
    </bk>
    <bk>
      <rc t="1" v="5791"/>
    </bk>
    <bk>
      <rc t="1" v="5792"/>
    </bk>
    <bk>
      <rc t="1" v="5793"/>
    </bk>
    <bk>
      <rc t="1" v="5794"/>
    </bk>
    <bk>
      <rc t="1" v="5795"/>
    </bk>
    <bk>
      <rc t="1" v="5796"/>
    </bk>
    <bk>
      <rc t="1" v="5797"/>
    </bk>
    <bk>
      <rc t="1" v="5798"/>
    </bk>
    <bk>
      <rc t="1" v="5799"/>
    </bk>
    <bk>
      <rc t="1" v="5800"/>
    </bk>
    <bk>
      <rc t="1" v="5801"/>
    </bk>
    <bk>
      <rc t="1" v="5802"/>
    </bk>
    <bk>
      <rc t="1" v="5803"/>
    </bk>
    <bk>
      <rc t="1" v="5804"/>
    </bk>
    <bk>
      <rc t="1" v="5805"/>
    </bk>
    <bk>
      <rc t="1" v="5806"/>
    </bk>
    <bk>
      <rc t="1" v="5807"/>
    </bk>
    <bk>
      <rc t="1" v="5808"/>
    </bk>
    <bk>
      <rc t="1" v="5809"/>
    </bk>
    <bk>
      <rc t="1" v="5810"/>
    </bk>
    <bk>
      <rc t="1" v="5811"/>
    </bk>
    <bk>
      <rc t="1" v="5812"/>
    </bk>
    <bk>
      <rc t="1" v="5813"/>
    </bk>
    <bk>
      <rc t="1" v="5814"/>
    </bk>
    <bk>
      <rc t="1" v="5815"/>
    </bk>
    <bk>
      <rc t="1" v="5816"/>
    </bk>
    <bk>
      <rc t="1" v="5817"/>
    </bk>
    <bk>
      <rc t="1" v="5818"/>
    </bk>
    <bk>
      <rc t="1" v="5819"/>
    </bk>
    <bk>
      <rc t="1" v="5820"/>
    </bk>
    <bk>
      <rc t="1" v="5821"/>
    </bk>
    <bk>
      <rc t="1" v="5822"/>
    </bk>
    <bk>
      <rc t="1" v="5823"/>
    </bk>
    <bk>
      <rc t="1" v="5824"/>
    </bk>
    <bk>
      <rc t="1" v="5825"/>
    </bk>
    <bk>
      <rc t="1" v="5826"/>
    </bk>
    <bk>
      <rc t="1" v="5827"/>
    </bk>
    <bk>
      <rc t="1" v="5828"/>
    </bk>
    <bk>
      <rc t="1" v="5829"/>
    </bk>
    <bk>
      <rc t="1" v="5830"/>
    </bk>
    <bk>
      <rc t="1" v="5831"/>
    </bk>
    <bk>
      <rc t="1" v="5832"/>
    </bk>
    <bk>
      <rc t="1" v="5833"/>
    </bk>
    <bk>
      <rc t="1" v="5834"/>
    </bk>
    <bk>
      <rc t="1" v="5835"/>
    </bk>
    <bk>
      <rc t="1" v="5836"/>
    </bk>
    <bk>
      <rc t="1" v="5837"/>
    </bk>
    <bk>
      <rc t="1" v="5838"/>
    </bk>
    <bk>
      <rc t="1" v="5839"/>
    </bk>
    <bk>
      <rc t="1" v="5840"/>
    </bk>
    <bk>
      <rc t="1" v="5841"/>
    </bk>
    <bk>
      <rc t="1" v="5842"/>
    </bk>
    <bk>
      <rc t="1" v="5843"/>
    </bk>
    <bk>
      <rc t="1" v="5844"/>
    </bk>
    <bk>
      <rc t="1" v="5845"/>
    </bk>
    <bk>
      <rc t="1" v="5846"/>
    </bk>
    <bk>
      <rc t="1" v="5847"/>
    </bk>
    <bk>
      <rc t="1" v="5848"/>
    </bk>
    <bk>
      <rc t="1" v="5849"/>
    </bk>
    <bk>
      <rc t="1" v="5850"/>
    </bk>
    <bk>
      <rc t="1" v="5851"/>
    </bk>
    <bk>
      <rc t="1" v="5852"/>
    </bk>
    <bk>
      <rc t="1" v="5853"/>
    </bk>
    <bk>
      <rc t="1" v="5854"/>
    </bk>
    <bk>
      <rc t="1" v="5855"/>
    </bk>
    <bk>
      <rc t="1" v="5856"/>
    </bk>
    <bk>
      <rc t="1" v="5857"/>
    </bk>
    <bk>
      <rc t="1" v="5858"/>
    </bk>
    <bk>
      <rc t="1" v="5859"/>
    </bk>
    <bk>
      <rc t="1" v="5860"/>
    </bk>
    <bk>
      <rc t="1" v="5861"/>
    </bk>
    <bk>
      <rc t="1" v="5862"/>
    </bk>
    <bk>
      <rc t="1" v="5863"/>
    </bk>
    <bk>
      <rc t="1" v="5864"/>
    </bk>
    <bk>
      <rc t="1" v="5865"/>
    </bk>
    <bk>
      <rc t="1" v="5866"/>
    </bk>
    <bk>
      <rc t="1" v="5867"/>
    </bk>
    <bk>
      <rc t="1" v="5868"/>
    </bk>
    <bk>
      <rc t="1" v="5869"/>
    </bk>
    <bk>
      <rc t="1" v="5870"/>
    </bk>
    <bk>
      <rc t="1" v="5871"/>
    </bk>
    <bk>
      <rc t="1" v="5872"/>
    </bk>
    <bk>
      <rc t="1" v="5873"/>
    </bk>
    <bk>
      <rc t="1" v="5874"/>
    </bk>
    <bk>
      <rc t="1" v="5875"/>
    </bk>
    <bk>
      <rc t="1" v="5876"/>
    </bk>
    <bk>
      <rc t="1" v="5877"/>
    </bk>
    <bk>
      <rc t="1" v="5878"/>
    </bk>
    <bk>
      <rc t="1" v="5879"/>
    </bk>
    <bk>
      <rc t="1" v="5880"/>
    </bk>
    <bk>
      <rc t="1" v="5881"/>
    </bk>
    <bk>
      <rc t="1" v="5882"/>
    </bk>
    <bk>
      <rc t="1" v="5883"/>
    </bk>
    <bk>
      <rc t="1" v="5884"/>
    </bk>
    <bk>
      <rc t="1" v="5885"/>
    </bk>
    <bk>
      <rc t="1" v="5886"/>
    </bk>
    <bk>
      <rc t="1" v="5887"/>
    </bk>
    <bk>
      <rc t="1" v="5888"/>
    </bk>
    <bk>
      <rc t="1" v="5889"/>
    </bk>
    <bk>
      <rc t="1" v="5890"/>
    </bk>
    <bk>
      <rc t="1" v="5891"/>
    </bk>
    <bk>
      <rc t="1" v="5892"/>
    </bk>
    <bk>
      <rc t="1" v="5893"/>
    </bk>
    <bk>
      <rc t="1" v="5894"/>
    </bk>
    <bk>
      <rc t="1" v="5895"/>
    </bk>
    <bk>
      <rc t="1" v="5896"/>
    </bk>
    <bk>
      <rc t="1" v="5897"/>
    </bk>
    <bk>
      <rc t="1" v="5898"/>
    </bk>
    <bk>
      <rc t="1" v="5899"/>
    </bk>
    <bk>
      <rc t="1" v="5900"/>
    </bk>
    <bk>
      <rc t="1" v="5901"/>
    </bk>
    <bk>
      <rc t="1" v="5902"/>
    </bk>
    <bk>
      <rc t="1" v="5903"/>
    </bk>
    <bk>
      <rc t="1" v="5904"/>
    </bk>
    <bk>
      <rc t="1" v="5905"/>
    </bk>
    <bk>
      <rc t="1" v="5906"/>
    </bk>
    <bk>
      <rc t="1" v="5907"/>
    </bk>
    <bk>
      <rc t="1" v="5908"/>
    </bk>
    <bk>
      <rc t="1" v="5909"/>
    </bk>
    <bk>
      <rc t="1" v="5910"/>
    </bk>
    <bk>
      <rc t="1" v="5911"/>
    </bk>
    <bk>
      <rc t="1" v="5912"/>
    </bk>
    <bk>
      <rc t="1" v="5913"/>
    </bk>
    <bk>
      <rc t="1" v="5914"/>
    </bk>
    <bk>
      <rc t="1" v="5915"/>
    </bk>
    <bk>
      <rc t="1" v="5916"/>
    </bk>
    <bk>
      <rc t="1" v="5917"/>
    </bk>
    <bk>
      <rc t="1" v="5918"/>
    </bk>
    <bk>
      <rc t="1" v="5919"/>
    </bk>
    <bk>
      <rc t="1" v="5920"/>
    </bk>
    <bk>
      <rc t="1" v="5921"/>
    </bk>
    <bk>
      <rc t="1" v="5922"/>
    </bk>
    <bk>
      <rc t="1" v="5923"/>
    </bk>
    <bk>
      <rc t="1" v="5924"/>
    </bk>
    <bk>
      <rc t="1" v="5925"/>
    </bk>
    <bk>
      <rc t="1" v="5926"/>
    </bk>
    <bk>
      <rc t="1" v="5927"/>
    </bk>
    <bk>
      <rc t="1" v="5928"/>
    </bk>
    <bk>
      <rc t="1" v="5929"/>
    </bk>
    <bk>
      <rc t="1" v="5930"/>
    </bk>
    <bk>
      <rc t="1" v="5931"/>
    </bk>
    <bk>
      <rc t="1" v="5932"/>
    </bk>
    <bk>
      <rc t="1" v="5933"/>
    </bk>
    <bk>
      <rc t="1" v="5934"/>
    </bk>
    <bk>
      <rc t="1" v="5935"/>
    </bk>
    <bk>
      <rc t="1" v="5936"/>
    </bk>
    <bk>
      <rc t="1" v="5937"/>
    </bk>
    <bk>
      <rc t="1" v="5938"/>
    </bk>
    <bk>
      <rc t="1" v="5939"/>
    </bk>
    <bk>
      <rc t="1" v="5940"/>
    </bk>
    <bk>
      <rc t="1" v="5941"/>
    </bk>
    <bk>
      <rc t="1" v="5942"/>
    </bk>
    <bk>
      <rc t="1" v="5943"/>
    </bk>
    <bk>
      <rc t="1" v="5944"/>
    </bk>
    <bk>
      <rc t="1" v="5945"/>
    </bk>
    <bk>
      <rc t="1" v="5946"/>
    </bk>
    <bk>
      <rc t="1" v="5947"/>
    </bk>
    <bk>
      <rc t="1" v="5948"/>
    </bk>
    <bk>
      <rc t="1" v="5949"/>
    </bk>
    <bk>
      <rc t="1" v="5950"/>
    </bk>
    <bk>
      <rc t="1" v="5951"/>
    </bk>
    <bk>
      <rc t="1" v="5952"/>
    </bk>
    <bk>
      <rc t="1" v="5953"/>
    </bk>
    <bk>
      <rc t="1" v="5954"/>
    </bk>
    <bk>
      <rc t="1" v="5955"/>
    </bk>
    <bk>
      <rc t="1" v="5956"/>
    </bk>
    <bk>
      <rc t="1" v="5957"/>
    </bk>
    <bk>
      <rc t="1" v="5958"/>
    </bk>
    <bk>
      <rc t="1" v="5959"/>
    </bk>
    <bk>
      <rc t="1" v="5960"/>
    </bk>
    <bk>
      <rc t="1" v="5961"/>
    </bk>
    <bk>
      <rc t="1" v="5962"/>
    </bk>
    <bk>
      <rc t="1" v="5963"/>
    </bk>
    <bk>
      <rc t="1" v="5964"/>
    </bk>
    <bk>
      <rc t="1" v="5965"/>
    </bk>
    <bk>
      <rc t="1" v="5966"/>
    </bk>
    <bk>
      <rc t="1" v="5967"/>
    </bk>
    <bk>
      <rc t="1" v="5968"/>
    </bk>
    <bk>
      <rc t="1" v="5969"/>
    </bk>
    <bk>
      <rc t="1" v="5970"/>
    </bk>
    <bk>
      <rc t="1" v="5971"/>
    </bk>
    <bk>
      <rc t="1" v="5972"/>
    </bk>
    <bk>
      <rc t="1" v="5973"/>
    </bk>
    <bk>
      <rc t="1" v="5974"/>
    </bk>
    <bk>
      <rc t="1" v="5975"/>
    </bk>
    <bk>
      <rc t="1" v="5976"/>
    </bk>
    <bk>
      <rc t="1" v="5977"/>
    </bk>
    <bk>
      <rc t="1" v="5978"/>
    </bk>
    <bk>
      <rc t="1" v="5979"/>
    </bk>
    <bk>
      <rc t="1" v="5980"/>
    </bk>
    <bk>
      <rc t="1" v="5981"/>
    </bk>
    <bk>
      <rc t="1" v="5982"/>
    </bk>
    <bk>
      <rc t="1" v="5983"/>
    </bk>
    <bk>
      <rc t="1" v="5984"/>
    </bk>
    <bk>
      <rc t="1" v="5985"/>
    </bk>
    <bk>
      <rc t="1" v="5986"/>
    </bk>
    <bk>
      <rc t="1" v="5987"/>
    </bk>
    <bk>
      <rc t="1" v="5988"/>
    </bk>
    <bk>
      <rc t="1" v="5989"/>
    </bk>
    <bk>
      <rc t="1" v="5990"/>
    </bk>
    <bk>
      <rc t="1" v="5991"/>
    </bk>
    <bk>
      <rc t="1" v="5992"/>
    </bk>
    <bk>
      <rc t="1" v="5993"/>
    </bk>
    <bk>
      <rc t="1" v="5994"/>
    </bk>
    <bk>
      <rc t="1" v="5995"/>
    </bk>
    <bk>
      <rc t="1" v="5996"/>
    </bk>
    <bk>
      <rc t="1" v="5997"/>
    </bk>
    <bk>
      <rc t="1" v="5998"/>
    </bk>
    <bk>
      <rc t="1" v="5999"/>
    </bk>
    <bk>
      <rc t="1" v="6000"/>
    </bk>
    <bk>
      <rc t="1" v="6001"/>
    </bk>
    <bk>
      <rc t="1" v="6002"/>
    </bk>
    <bk>
      <rc t="1" v="6003"/>
    </bk>
    <bk>
      <rc t="1" v="6004"/>
    </bk>
    <bk>
      <rc t="1" v="6005"/>
    </bk>
    <bk>
      <rc t="1" v="6006"/>
    </bk>
    <bk>
      <rc t="1" v="6007"/>
    </bk>
    <bk>
      <rc t="1" v="6008"/>
    </bk>
    <bk>
      <rc t="1" v="6009"/>
    </bk>
    <bk>
      <rc t="1" v="6010"/>
    </bk>
    <bk>
      <rc t="1" v="6011"/>
    </bk>
    <bk>
      <rc t="1" v="6012"/>
    </bk>
    <bk>
      <rc t="1" v="6013"/>
    </bk>
    <bk>
      <rc t="1" v="6014"/>
    </bk>
    <bk>
      <rc t="1" v="6015"/>
    </bk>
    <bk>
      <rc t="1" v="6016"/>
    </bk>
    <bk>
      <rc t="1" v="6017"/>
    </bk>
    <bk>
      <rc t="1" v="6018"/>
    </bk>
    <bk>
      <rc t="1" v="6019"/>
    </bk>
    <bk>
      <rc t="1" v="6020"/>
    </bk>
    <bk>
      <rc t="1" v="6021"/>
    </bk>
    <bk>
      <rc t="1" v="6022"/>
    </bk>
    <bk>
      <rc t="1" v="6023"/>
    </bk>
    <bk>
      <rc t="1" v="6024"/>
    </bk>
    <bk>
      <rc t="1" v="6025"/>
    </bk>
    <bk>
      <rc t="1" v="6026"/>
    </bk>
    <bk>
      <rc t="1" v="6027"/>
    </bk>
    <bk>
      <rc t="1" v="6028"/>
    </bk>
    <bk>
      <rc t="1" v="6029"/>
    </bk>
    <bk>
      <rc t="1" v="6030"/>
    </bk>
    <bk>
      <rc t="1" v="6031"/>
    </bk>
    <bk>
      <rc t="1" v="6032"/>
    </bk>
    <bk>
      <rc t="1" v="6033"/>
    </bk>
    <bk>
      <rc t="1" v="6034"/>
    </bk>
    <bk>
      <rc t="1" v="6035"/>
    </bk>
    <bk>
      <rc t="1" v="6036"/>
    </bk>
    <bk>
      <rc t="1" v="6037"/>
    </bk>
    <bk>
      <rc t="1" v="6038"/>
    </bk>
    <bk>
      <rc t="1" v="6039"/>
    </bk>
    <bk>
      <rc t="1" v="6040"/>
    </bk>
    <bk>
      <rc t="1" v="6041"/>
    </bk>
    <bk>
      <rc t="1" v="6042"/>
    </bk>
    <bk>
      <rc t="1" v="6043"/>
    </bk>
    <bk>
      <rc t="1" v="6044"/>
    </bk>
    <bk>
      <rc t="1" v="6045"/>
    </bk>
    <bk>
      <rc t="1" v="6046"/>
    </bk>
    <bk>
      <rc t="1" v="6047"/>
    </bk>
    <bk>
      <rc t="1" v="6048"/>
    </bk>
    <bk>
      <rc t="1" v="6049"/>
    </bk>
    <bk>
      <rc t="1" v="6050"/>
    </bk>
    <bk>
      <rc t="1" v="6051"/>
    </bk>
    <bk>
      <rc t="1" v="6052"/>
    </bk>
    <bk>
      <rc t="1" v="6053"/>
    </bk>
    <bk>
      <rc t="1" v="6054"/>
    </bk>
    <bk>
      <rc t="1" v="6055"/>
    </bk>
    <bk>
      <rc t="1" v="6056"/>
    </bk>
    <bk>
      <rc t="1" v="6057"/>
    </bk>
    <bk>
      <rc t="1" v="6058"/>
    </bk>
    <bk>
      <rc t="1" v="6059"/>
    </bk>
    <bk>
      <rc t="1" v="6060"/>
    </bk>
    <bk>
      <rc t="1" v="6061"/>
    </bk>
    <bk>
      <rc t="1" v="6062"/>
    </bk>
    <bk>
      <rc t="1" v="6063"/>
    </bk>
    <bk>
      <rc t="1" v="6064"/>
    </bk>
    <bk>
      <rc t="1" v="6065"/>
    </bk>
    <bk>
      <rc t="1" v="6066"/>
    </bk>
    <bk>
      <rc t="1" v="6067"/>
    </bk>
    <bk>
      <rc t="1" v="6068"/>
    </bk>
    <bk>
      <rc t="1" v="6069"/>
    </bk>
    <bk>
      <rc t="1" v="6070"/>
    </bk>
    <bk>
      <rc t="1" v="6071"/>
    </bk>
    <bk>
      <rc t="1" v="6072"/>
    </bk>
    <bk>
      <rc t="1" v="6073"/>
    </bk>
    <bk>
      <rc t="1" v="6074"/>
    </bk>
    <bk>
      <rc t="1" v="6075"/>
    </bk>
    <bk>
      <rc t="1" v="6076"/>
    </bk>
    <bk>
      <rc t="1" v="6077"/>
    </bk>
    <bk>
      <rc t="1" v="6078"/>
    </bk>
    <bk>
      <rc t="1" v="6079"/>
    </bk>
    <bk>
      <rc t="1" v="6080"/>
    </bk>
    <bk>
      <rc t="1" v="6081"/>
    </bk>
    <bk>
      <rc t="1" v="6082"/>
    </bk>
    <bk>
      <rc t="1" v="6083"/>
    </bk>
    <bk>
      <rc t="1" v="6084"/>
    </bk>
    <bk>
      <rc t="1" v="6085"/>
    </bk>
    <bk>
      <rc t="1" v="6086"/>
    </bk>
    <bk>
      <rc t="1" v="6087"/>
    </bk>
    <bk>
      <rc t="1" v="6088"/>
    </bk>
    <bk>
      <rc t="1" v="6089"/>
    </bk>
    <bk>
      <rc t="1" v="6090"/>
    </bk>
    <bk>
      <rc t="1" v="6091"/>
    </bk>
    <bk>
      <rc t="1" v="6092"/>
    </bk>
    <bk>
      <rc t="1" v="6093"/>
    </bk>
    <bk>
      <rc t="1" v="6094"/>
    </bk>
    <bk>
      <rc t="1" v="6095"/>
    </bk>
    <bk>
      <rc t="1" v="6096"/>
    </bk>
    <bk>
      <rc t="1" v="6097"/>
    </bk>
    <bk>
      <rc t="1" v="6098"/>
    </bk>
    <bk>
      <rc t="1" v="6099"/>
    </bk>
    <bk>
      <rc t="1" v="6100"/>
    </bk>
    <bk>
      <rc t="1" v="6101"/>
    </bk>
    <bk>
      <rc t="1" v="6102"/>
    </bk>
    <bk>
      <rc t="1" v="6103"/>
    </bk>
    <bk>
      <rc t="1" v="6104"/>
    </bk>
    <bk>
      <rc t="1" v="6105"/>
    </bk>
    <bk>
      <rc t="1" v="6106"/>
    </bk>
    <bk>
      <rc t="1" v="6107"/>
    </bk>
    <bk>
      <rc t="1" v="6108"/>
    </bk>
    <bk>
      <rc t="1" v="6109"/>
    </bk>
    <bk>
      <rc t="1" v="6110"/>
    </bk>
    <bk>
      <rc t="1" v="6111"/>
    </bk>
    <bk>
      <rc t="1" v="6112"/>
    </bk>
    <bk>
      <rc t="1" v="6113"/>
    </bk>
    <bk>
      <rc t="1" v="6114"/>
    </bk>
    <bk>
      <rc t="1" v="6115"/>
    </bk>
    <bk>
      <rc t="1" v="6116"/>
    </bk>
    <bk>
      <rc t="1" v="6117"/>
    </bk>
    <bk>
      <rc t="1" v="6118"/>
    </bk>
    <bk>
      <rc t="1" v="6119"/>
    </bk>
    <bk>
      <rc t="1" v="6120"/>
    </bk>
    <bk>
      <rc t="1" v="6121"/>
    </bk>
    <bk>
      <rc t="1" v="6122"/>
    </bk>
    <bk>
      <rc t="1" v="6123"/>
    </bk>
    <bk>
      <rc t="1" v="6124"/>
    </bk>
    <bk>
      <rc t="1" v="6125"/>
    </bk>
    <bk>
      <rc t="1" v="6126"/>
    </bk>
    <bk>
      <rc t="1" v="6127"/>
    </bk>
    <bk>
      <rc t="1" v="6128"/>
    </bk>
    <bk>
      <rc t="1" v="6129"/>
    </bk>
    <bk>
      <rc t="1" v="6130"/>
    </bk>
    <bk>
      <rc t="1" v="6131"/>
    </bk>
    <bk>
      <rc t="1" v="6132"/>
    </bk>
    <bk>
      <rc t="1" v="6133"/>
    </bk>
    <bk>
      <rc t="1" v="6134"/>
    </bk>
    <bk>
      <rc t="1" v="6135"/>
    </bk>
    <bk>
      <rc t="1" v="6136"/>
    </bk>
    <bk>
      <rc t="1" v="6137"/>
    </bk>
    <bk>
      <rc t="1" v="6138"/>
    </bk>
    <bk>
      <rc t="1" v="6139"/>
    </bk>
    <bk>
      <rc t="1" v="6140"/>
    </bk>
    <bk>
      <rc t="1" v="6141"/>
    </bk>
    <bk>
      <rc t="1" v="6142"/>
    </bk>
    <bk>
      <rc t="1" v="6143"/>
    </bk>
    <bk>
      <rc t="1" v="6144"/>
    </bk>
    <bk>
      <rc t="1" v="6145"/>
    </bk>
    <bk>
      <rc t="1" v="6146"/>
    </bk>
    <bk>
      <rc t="1" v="6147"/>
    </bk>
    <bk>
      <rc t="1" v="6148"/>
    </bk>
    <bk>
      <rc t="1" v="6149"/>
    </bk>
    <bk>
      <rc t="1" v="6150"/>
    </bk>
    <bk>
      <rc t="1" v="6151"/>
    </bk>
    <bk>
      <rc t="1" v="6152"/>
    </bk>
    <bk>
      <rc t="1" v="6153"/>
    </bk>
    <bk>
      <rc t="1" v="6154"/>
    </bk>
    <bk>
      <rc t="1" v="6155"/>
    </bk>
    <bk>
      <rc t="1" v="6156"/>
    </bk>
    <bk>
      <rc t="1" v="6157"/>
    </bk>
    <bk>
      <rc t="1" v="6158"/>
    </bk>
    <bk>
      <rc t="1" v="6159"/>
    </bk>
    <bk>
      <rc t="1" v="6160"/>
    </bk>
    <bk>
      <rc t="1" v="6161"/>
    </bk>
    <bk>
      <rc t="1" v="6162"/>
    </bk>
    <bk>
      <rc t="1" v="6163"/>
    </bk>
    <bk>
      <rc t="1" v="6164"/>
    </bk>
    <bk>
      <rc t="1" v="6165"/>
    </bk>
    <bk>
      <rc t="1" v="6166"/>
    </bk>
    <bk>
      <rc t="1" v="6167"/>
    </bk>
    <bk>
      <rc t="1" v="6168"/>
    </bk>
    <bk>
      <rc t="1" v="6169"/>
    </bk>
    <bk>
      <rc t="1" v="6170"/>
    </bk>
    <bk>
      <rc t="1" v="6171"/>
    </bk>
    <bk>
      <rc t="1" v="6172"/>
    </bk>
    <bk>
      <rc t="1" v="6173"/>
    </bk>
    <bk>
      <rc t="1" v="6174"/>
    </bk>
    <bk>
      <rc t="1" v="6175"/>
    </bk>
    <bk>
      <rc t="1" v="6176"/>
    </bk>
    <bk>
      <rc t="1" v="6177"/>
    </bk>
    <bk>
      <rc t="1" v="6178"/>
    </bk>
    <bk>
      <rc t="1" v="6179"/>
    </bk>
    <bk>
      <rc t="1" v="6180"/>
    </bk>
    <bk>
      <rc t="1" v="6181"/>
    </bk>
    <bk>
      <rc t="1" v="6182"/>
    </bk>
    <bk>
      <rc t="1" v="6183"/>
    </bk>
    <bk>
      <rc t="1" v="6184"/>
    </bk>
    <bk>
      <rc t="1" v="6185"/>
    </bk>
    <bk>
      <rc t="1" v="6186"/>
    </bk>
    <bk>
      <rc t="1" v="6187"/>
    </bk>
    <bk>
      <rc t="1" v="6188"/>
    </bk>
    <bk>
      <rc t="1" v="6189"/>
    </bk>
    <bk>
      <rc t="1" v="6190"/>
    </bk>
    <bk>
      <rc t="1" v="6191"/>
    </bk>
    <bk>
      <rc t="1" v="6192"/>
    </bk>
    <bk>
      <rc t="1" v="6193"/>
    </bk>
    <bk>
      <rc t="1" v="6194"/>
    </bk>
    <bk>
      <rc t="1" v="6195"/>
    </bk>
    <bk>
      <rc t="1" v="6196"/>
    </bk>
    <bk>
      <rc t="1" v="6197"/>
    </bk>
    <bk>
      <rc t="1" v="6198"/>
    </bk>
    <bk>
      <rc t="1" v="6199"/>
    </bk>
    <bk>
      <rc t="1" v="6200"/>
    </bk>
    <bk>
      <rc t="1" v="6201"/>
    </bk>
    <bk>
      <rc t="1" v="6202"/>
    </bk>
    <bk>
      <rc t="1" v="6203"/>
    </bk>
    <bk>
      <rc t="1" v="6204"/>
    </bk>
    <bk>
      <rc t="1" v="6205"/>
    </bk>
    <bk>
      <rc t="1" v="6206"/>
    </bk>
    <bk>
      <rc t="1" v="6207"/>
    </bk>
    <bk>
      <rc t="1" v="6208"/>
    </bk>
    <bk>
      <rc t="1" v="6209"/>
    </bk>
    <bk>
      <rc t="1" v="6210"/>
    </bk>
    <bk>
      <rc t="1" v="6211"/>
    </bk>
    <bk>
      <rc t="1" v="6212"/>
    </bk>
    <bk>
      <rc t="1" v="6213"/>
    </bk>
    <bk>
      <rc t="1" v="6214"/>
    </bk>
    <bk>
      <rc t="1" v="6215"/>
    </bk>
    <bk>
      <rc t="1" v="6216"/>
    </bk>
    <bk>
      <rc t="1" v="6217"/>
    </bk>
    <bk>
      <rc t="1" v="6218"/>
    </bk>
    <bk>
      <rc t="1" v="6219"/>
    </bk>
    <bk>
      <rc t="1" v="6220"/>
    </bk>
    <bk>
      <rc t="1" v="6221"/>
    </bk>
    <bk>
      <rc t="1" v="6222"/>
    </bk>
    <bk>
      <rc t="1" v="6223"/>
    </bk>
    <bk>
      <rc t="1" v="6224"/>
    </bk>
    <bk>
      <rc t="1" v="6225"/>
    </bk>
    <bk>
      <rc t="1" v="6226"/>
    </bk>
    <bk>
      <rc t="1" v="6227"/>
    </bk>
    <bk>
      <rc t="1" v="6228"/>
    </bk>
    <bk>
      <rc t="1" v="6229"/>
    </bk>
    <bk>
      <rc t="1" v="6230"/>
    </bk>
    <bk>
      <rc t="1" v="6231"/>
    </bk>
    <bk>
      <rc t="1" v="6232"/>
    </bk>
    <bk>
      <rc t="1" v="6233"/>
    </bk>
    <bk>
      <rc t="1" v="6234"/>
    </bk>
    <bk>
      <rc t="1" v="6235"/>
    </bk>
    <bk>
      <rc t="1" v="6236"/>
    </bk>
    <bk>
      <rc t="1" v="6237"/>
    </bk>
    <bk>
      <rc t="1" v="6238"/>
    </bk>
    <bk>
      <rc t="1" v="6239"/>
    </bk>
    <bk>
      <rc t="1" v="6240"/>
    </bk>
    <bk>
      <rc t="1" v="6241"/>
    </bk>
    <bk>
      <rc t="1" v="6242"/>
    </bk>
    <bk>
      <rc t="1" v="6243"/>
    </bk>
    <bk>
      <rc t="1" v="6244"/>
    </bk>
    <bk>
      <rc t="1" v="6245"/>
    </bk>
    <bk>
      <rc t="1" v="6246"/>
    </bk>
    <bk>
      <rc t="1" v="6247"/>
    </bk>
    <bk>
      <rc t="1" v="6248"/>
    </bk>
    <bk>
      <rc t="1" v="6249"/>
    </bk>
    <bk>
      <rc t="1" v="6250"/>
    </bk>
    <bk>
      <rc t="1" v="6251"/>
    </bk>
    <bk>
      <rc t="1" v="6252"/>
    </bk>
    <bk>
      <rc t="1" v="6253"/>
    </bk>
    <bk>
      <rc t="1" v="6254"/>
    </bk>
    <bk>
      <rc t="1" v="6255"/>
    </bk>
    <bk>
      <rc t="1" v="6256"/>
    </bk>
    <bk>
      <rc t="1" v="6257"/>
    </bk>
    <bk>
      <rc t="1" v="6258"/>
    </bk>
    <bk>
      <rc t="1" v="6259"/>
    </bk>
    <bk>
      <rc t="1" v="6260"/>
    </bk>
    <bk>
      <rc t="1" v="6261"/>
    </bk>
    <bk>
      <rc t="1" v="6262"/>
    </bk>
    <bk>
      <rc t="1" v="6263"/>
    </bk>
    <bk>
      <rc t="1" v="6264"/>
    </bk>
    <bk>
      <rc t="1" v="6265"/>
    </bk>
    <bk>
      <rc t="1" v="6266"/>
    </bk>
    <bk>
      <rc t="1" v="6267"/>
    </bk>
    <bk>
      <rc t="1" v="6268"/>
    </bk>
    <bk>
      <rc t="1" v="6269"/>
    </bk>
    <bk>
      <rc t="1" v="6270"/>
    </bk>
    <bk>
      <rc t="1" v="6271"/>
    </bk>
    <bk>
      <rc t="1" v="6272"/>
    </bk>
    <bk>
      <rc t="1" v="6273"/>
    </bk>
    <bk>
      <rc t="1" v="6274"/>
    </bk>
    <bk>
      <rc t="1" v="6275"/>
    </bk>
    <bk>
      <rc t="1" v="6276"/>
    </bk>
    <bk>
      <rc t="1" v="6277"/>
    </bk>
    <bk>
      <rc t="1" v="6278"/>
    </bk>
    <bk>
      <rc t="1" v="6279"/>
    </bk>
    <bk>
      <rc t="1" v="6280"/>
    </bk>
    <bk>
      <rc t="1" v="6281"/>
    </bk>
    <bk>
      <rc t="1" v="6282"/>
    </bk>
    <bk>
      <rc t="1" v="6283"/>
    </bk>
    <bk>
      <rc t="1" v="6284"/>
    </bk>
    <bk>
      <rc t="1" v="6285"/>
    </bk>
    <bk>
      <rc t="1" v="6286"/>
    </bk>
    <bk>
      <rc t="1" v="6287"/>
    </bk>
    <bk>
      <rc t="1" v="6288"/>
    </bk>
    <bk>
      <rc t="1" v="6289"/>
    </bk>
    <bk>
      <rc t="1" v="6290"/>
    </bk>
    <bk>
      <rc t="1" v="6291"/>
    </bk>
    <bk>
      <rc t="1" v="6292"/>
    </bk>
    <bk>
      <rc t="1" v="6293"/>
    </bk>
    <bk>
      <rc t="1" v="6294"/>
    </bk>
    <bk>
      <rc t="1" v="6295"/>
    </bk>
    <bk>
      <rc t="1" v="6296"/>
    </bk>
    <bk>
      <rc t="1" v="6297"/>
    </bk>
    <bk>
      <rc t="1" v="6298"/>
    </bk>
    <bk>
      <rc t="1" v="6299"/>
    </bk>
    <bk>
      <rc t="1" v="6300"/>
    </bk>
    <bk>
      <rc t="1" v="6301"/>
    </bk>
    <bk>
      <rc t="1" v="6302"/>
    </bk>
    <bk>
      <rc t="1" v="6303"/>
    </bk>
    <bk>
      <rc t="1" v="6304"/>
    </bk>
    <bk>
      <rc t="1" v="6305"/>
    </bk>
    <bk>
      <rc t="1" v="6306"/>
    </bk>
    <bk>
      <rc t="1" v="6307"/>
    </bk>
    <bk>
      <rc t="1" v="6308"/>
    </bk>
    <bk>
      <rc t="1" v="6309"/>
    </bk>
    <bk>
      <rc t="1" v="6310"/>
    </bk>
    <bk>
      <rc t="1" v="6311"/>
    </bk>
    <bk>
      <rc t="1" v="6312"/>
    </bk>
    <bk>
      <rc t="1" v="6313"/>
    </bk>
    <bk>
      <rc t="1" v="6314"/>
    </bk>
    <bk>
      <rc t="1" v="6315"/>
    </bk>
    <bk>
      <rc t="1" v="6316"/>
    </bk>
    <bk>
      <rc t="1" v="6317"/>
    </bk>
    <bk>
      <rc t="1" v="6318"/>
    </bk>
    <bk>
      <rc t="1" v="6319"/>
    </bk>
    <bk>
      <rc t="1" v="6320"/>
    </bk>
    <bk>
      <rc t="1" v="6321"/>
    </bk>
    <bk>
      <rc t="1" v="6322"/>
    </bk>
    <bk>
      <rc t="1" v="6323"/>
    </bk>
    <bk>
      <rc t="1" v="6324"/>
    </bk>
    <bk>
      <rc t="1" v="6325"/>
    </bk>
    <bk>
      <rc t="1" v="6326"/>
    </bk>
    <bk>
      <rc t="1" v="6327"/>
    </bk>
    <bk>
      <rc t="1" v="6328"/>
    </bk>
    <bk>
      <rc t="1" v="6329"/>
    </bk>
    <bk>
      <rc t="1" v="6330"/>
    </bk>
    <bk>
      <rc t="1" v="6331"/>
    </bk>
    <bk>
      <rc t="1" v="6332"/>
    </bk>
    <bk>
      <rc t="1" v="6333"/>
    </bk>
    <bk>
      <rc t="1" v="6334"/>
    </bk>
    <bk>
      <rc t="1" v="6335"/>
    </bk>
    <bk>
      <rc t="1" v="6336"/>
    </bk>
    <bk>
      <rc t="1" v="6337"/>
    </bk>
    <bk>
      <rc t="1" v="6338"/>
    </bk>
    <bk>
      <rc t="1" v="6339"/>
    </bk>
    <bk>
      <rc t="1" v="6340"/>
    </bk>
    <bk>
      <rc t="1" v="6341"/>
    </bk>
    <bk>
      <rc t="1" v="6342"/>
    </bk>
    <bk>
      <rc t="1" v="6343"/>
    </bk>
    <bk>
      <rc t="1" v="6344"/>
    </bk>
    <bk>
      <rc t="1" v="6345"/>
    </bk>
    <bk>
      <rc t="1" v="6346"/>
    </bk>
    <bk>
      <rc t="1" v="6347"/>
    </bk>
    <bk>
      <rc t="1" v="6348"/>
    </bk>
    <bk>
      <rc t="1" v="6349"/>
    </bk>
    <bk>
      <rc t="1" v="6350"/>
    </bk>
    <bk>
      <rc t="1" v="6351"/>
    </bk>
    <bk>
      <rc t="1" v="6352"/>
    </bk>
    <bk>
      <rc t="1" v="6353"/>
    </bk>
    <bk>
      <rc t="1" v="6354"/>
    </bk>
    <bk>
      <rc t="1" v="6355"/>
    </bk>
    <bk>
      <rc t="1" v="6356"/>
    </bk>
    <bk>
      <rc t="1" v="6357"/>
    </bk>
    <bk>
      <rc t="1" v="6358"/>
    </bk>
    <bk>
      <rc t="1" v="6359"/>
    </bk>
    <bk>
      <rc t="1" v="6360"/>
    </bk>
    <bk>
      <rc t="1" v="6361"/>
    </bk>
    <bk>
      <rc t="1" v="6362"/>
    </bk>
    <bk>
      <rc t="1" v="6363"/>
    </bk>
    <bk>
      <rc t="1" v="6364"/>
    </bk>
    <bk>
      <rc t="1" v="6365"/>
    </bk>
    <bk>
      <rc t="1" v="6366"/>
    </bk>
    <bk>
      <rc t="1" v="6367"/>
    </bk>
    <bk>
      <rc t="1" v="6368"/>
    </bk>
    <bk>
      <rc t="1" v="6369"/>
    </bk>
    <bk>
      <rc t="1" v="6370"/>
    </bk>
    <bk>
      <rc t="1" v="6371"/>
    </bk>
    <bk>
      <rc t="1" v="6372"/>
    </bk>
    <bk>
      <rc t="1" v="6373"/>
    </bk>
    <bk>
      <rc t="1" v="6374"/>
    </bk>
    <bk>
      <rc t="1" v="6375"/>
    </bk>
    <bk>
      <rc t="1" v="6376"/>
    </bk>
    <bk>
      <rc t="1" v="6377"/>
    </bk>
    <bk>
      <rc t="1" v="6378"/>
    </bk>
    <bk>
      <rc t="1" v="6379"/>
    </bk>
    <bk>
      <rc t="1" v="6380"/>
    </bk>
    <bk>
      <rc t="1" v="6381"/>
    </bk>
    <bk>
      <rc t="1" v="6382"/>
    </bk>
    <bk>
      <rc t="1" v="6383"/>
    </bk>
    <bk>
      <rc t="1" v="6384"/>
    </bk>
    <bk>
      <rc t="1" v="6385"/>
    </bk>
    <bk>
      <rc t="1" v="6386"/>
    </bk>
    <bk>
      <rc t="1" v="6387"/>
    </bk>
    <bk>
      <rc t="1" v="6388"/>
    </bk>
    <bk>
      <rc t="1" v="6389"/>
    </bk>
    <bk>
      <rc t="1" v="6390"/>
    </bk>
    <bk>
      <rc t="1" v="6391"/>
    </bk>
    <bk>
      <rc t="1" v="6392"/>
    </bk>
    <bk>
      <rc t="1" v="6393"/>
    </bk>
    <bk>
      <rc t="1" v="6394"/>
    </bk>
    <bk>
      <rc t="1" v="6395"/>
    </bk>
    <bk>
      <rc t="1" v="6396"/>
    </bk>
    <bk>
      <rc t="1" v="6397"/>
    </bk>
    <bk>
      <rc t="1" v="6398"/>
    </bk>
    <bk>
      <rc t="1" v="6399"/>
    </bk>
    <bk>
      <rc t="1" v="6400"/>
    </bk>
    <bk>
      <rc t="1" v="6401"/>
    </bk>
    <bk>
      <rc t="1" v="6402"/>
    </bk>
    <bk>
      <rc t="1" v="6403"/>
    </bk>
    <bk>
      <rc t="1" v="6404"/>
    </bk>
    <bk>
      <rc t="1" v="6405"/>
    </bk>
    <bk>
      <rc t="1" v="6406"/>
    </bk>
    <bk>
      <rc t="1" v="6407"/>
    </bk>
    <bk>
      <rc t="1" v="6408"/>
    </bk>
    <bk>
      <rc t="1" v="6409"/>
    </bk>
    <bk>
      <rc t="1" v="6410"/>
    </bk>
    <bk>
      <rc t="1" v="6411"/>
    </bk>
    <bk>
      <rc t="1" v="6412"/>
    </bk>
    <bk>
      <rc t="1" v="6413"/>
    </bk>
    <bk>
      <rc t="1" v="6414"/>
    </bk>
    <bk>
      <rc t="1" v="6415"/>
    </bk>
    <bk>
      <rc t="1" v="6416"/>
    </bk>
    <bk>
      <rc t="1" v="6417"/>
    </bk>
    <bk>
      <rc t="1" v="6418"/>
    </bk>
    <bk>
      <rc t="1" v="6419"/>
    </bk>
    <bk>
      <rc t="1" v="6420"/>
    </bk>
    <bk>
      <rc t="1" v="6421"/>
    </bk>
    <bk>
      <rc t="1" v="6422"/>
    </bk>
    <bk>
      <rc t="1" v="6423"/>
    </bk>
    <bk>
      <rc t="1" v="6424"/>
    </bk>
    <bk>
      <rc t="1" v="6425"/>
    </bk>
    <bk>
      <rc t="1" v="6426"/>
    </bk>
    <bk>
      <rc t="1" v="6427"/>
    </bk>
    <bk>
      <rc t="1" v="6428"/>
    </bk>
    <bk>
      <rc t="1" v="6429"/>
    </bk>
    <bk>
      <rc t="1" v="6430"/>
    </bk>
    <bk>
      <rc t="1" v="6431"/>
    </bk>
    <bk>
      <rc t="1" v="6432"/>
    </bk>
    <bk>
      <rc t="1" v="6433"/>
    </bk>
    <bk>
      <rc t="1" v="6434"/>
    </bk>
    <bk>
      <rc t="1" v="6435"/>
    </bk>
    <bk>
      <rc t="1" v="6436"/>
    </bk>
    <bk>
      <rc t="1" v="6437"/>
    </bk>
    <bk>
      <rc t="1" v="6438"/>
    </bk>
    <bk>
      <rc t="1" v="6439"/>
    </bk>
    <bk>
      <rc t="1" v="6440"/>
    </bk>
    <bk>
      <rc t="1" v="6441"/>
    </bk>
    <bk>
      <rc t="1" v="6442"/>
    </bk>
    <bk>
      <rc t="1" v="6443"/>
    </bk>
    <bk>
      <rc t="1" v="6444"/>
    </bk>
    <bk>
      <rc t="1" v="6445"/>
    </bk>
    <bk>
      <rc t="1" v="6446"/>
    </bk>
    <bk>
      <rc t="1" v="6447"/>
    </bk>
    <bk>
      <rc t="1" v="6448"/>
    </bk>
    <bk>
      <rc t="1" v="6449"/>
    </bk>
    <bk>
      <rc t="1" v="6450"/>
    </bk>
    <bk>
      <rc t="1" v="6451"/>
    </bk>
    <bk>
      <rc t="1" v="6452"/>
    </bk>
    <bk>
      <rc t="1" v="6453"/>
    </bk>
    <bk>
      <rc t="1" v="6454"/>
    </bk>
    <bk>
      <rc t="1" v="6455"/>
    </bk>
    <bk>
      <rc t="1" v="6456"/>
    </bk>
    <bk>
      <rc t="1" v="6457"/>
    </bk>
    <bk>
      <rc t="1" v="6458"/>
    </bk>
    <bk>
      <rc t="1" v="6459"/>
    </bk>
    <bk>
      <rc t="1" v="6460"/>
    </bk>
    <bk>
      <rc t="1" v="6461"/>
    </bk>
    <bk>
      <rc t="1" v="6462"/>
    </bk>
    <bk>
      <rc t="1" v="6463"/>
    </bk>
    <bk>
      <rc t="1" v="6464"/>
    </bk>
    <bk>
      <rc t="1" v="6465"/>
    </bk>
    <bk>
      <rc t="1" v="6466"/>
    </bk>
    <bk>
      <rc t="1" v="6467"/>
    </bk>
    <bk>
      <rc t="1" v="6468"/>
    </bk>
    <bk>
      <rc t="1" v="6469"/>
    </bk>
    <bk>
      <rc t="1" v="6470"/>
    </bk>
    <bk>
      <rc t="1" v="6471"/>
    </bk>
    <bk>
      <rc t="1" v="6472"/>
    </bk>
    <bk>
      <rc t="1" v="6473"/>
    </bk>
    <bk>
      <rc t="1" v="6474"/>
    </bk>
    <bk>
      <rc t="1" v="6475"/>
    </bk>
    <bk>
      <rc t="1" v="6476"/>
    </bk>
    <bk>
      <rc t="1" v="6477"/>
    </bk>
    <bk>
      <rc t="1" v="6478"/>
    </bk>
    <bk>
      <rc t="1" v="6479"/>
    </bk>
    <bk>
      <rc t="1" v="6480"/>
    </bk>
    <bk>
      <rc t="1" v="6481"/>
    </bk>
    <bk>
      <rc t="1" v="6482"/>
    </bk>
    <bk>
      <rc t="1" v="6483"/>
    </bk>
    <bk>
      <rc t="1" v="6484"/>
    </bk>
    <bk>
      <rc t="1" v="6485"/>
    </bk>
    <bk>
      <rc t="1" v="6486"/>
    </bk>
    <bk>
      <rc t="1" v="6487"/>
    </bk>
    <bk>
      <rc t="1" v="6488"/>
    </bk>
    <bk>
      <rc t="1" v="6489"/>
    </bk>
    <bk>
      <rc t="1" v="6490"/>
    </bk>
    <bk>
      <rc t="1" v="6491"/>
    </bk>
    <bk>
      <rc t="1" v="6492"/>
    </bk>
    <bk>
      <rc t="1" v="6493"/>
    </bk>
    <bk>
      <rc t="1" v="6494"/>
    </bk>
    <bk>
      <rc t="1" v="6495"/>
    </bk>
    <bk>
      <rc t="1" v="6496"/>
    </bk>
    <bk>
      <rc t="1" v="6497"/>
    </bk>
    <bk>
      <rc t="1" v="6498"/>
    </bk>
    <bk>
      <rc t="1" v="6499"/>
    </bk>
    <bk>
      <rc t="1" v="6500"/>
    </bk>
    <bk>
      <rc t="1" v="6501"/>
    </bk>
    <bk>
      <rc t="1" v="6502"/>
    </bk>
    <bk>
      <rc t="1" v="6503"/>
    </bk>
    <bk>
      <rc t="1" v="6504"/>
    </bk>
    <bk>
      <rc t="1" v="6505"/>
    </bk>
    <bk>
      <rc t="1" v="6506"/>
    </bk>
    <bk>
      <rc t="1" v="6507"/>
    </bk>
    <bk>
      <rc t="1" v="6508"/>
    </bk>
    <bk>
      <rc t="1" v="6509"/>
    </bk>
    <bk>
      <rc t="1" v="6510"/>
    </bk>
    <bk>
      <rc t="1" v="6511"/>
    </bk>
    <bk>
      <rc t="1" v="6512"/>
    </bk>
    <bk>
      <rc t="1" v="6513"/>
    </bk>
    <bk>
      <rc t="1" v="6514"/>
    </bk>
    <bk>
      <rc t="1" v="6515"/>
    </bk>
    <bk>
      <rc t="1" v="6516"/>
    </bk>
    <bk>
      <rc t="1" v="6517"/>
    </bk>
    <bk>
      <rc t="1" v="6518"/>
    </bk>
    <bk>
      <rc t="1" v="6519"/>
    </bk>
    <bk>
      <rc t="1" v="6520"/>
    </bk>
    <bk>
      <rc t="1" v="6521"/>
    </bk>
    <bk>
      <rc t="1" v="6522"/>
    </bk>
    <bk>
      <rc t="1" v="6523"/>
    </bk>
    <bk>
      <rc t="1" v="6524"/>
    </bk>
    <bk>
      <rc t="1" v="6525"/>
    </bk>
    <bk>
      <rc t="1" v="6526"/>
    </bk>
    <bk>
      <rc t="1" v="6527"/>
    </bk>
    <bk>
      <rc t="1" v="6528"/>
    </bk>
    <bk>
      <rc t="1" v="6529"/>
    </bk>
    <bk>
      <rc t="1" v="6530"/>
    </bk>
    <bk>
      <rc t="1" v="6531"/>
    </bk>
    <bk>
      <rc t="1" v="6532"/>
    </bk>
    <bk>
      <rc t="1" v="6533"/>
    </bk>
    <bk>
      <rc t="1" v="6534"/>
    </bk>
    <bk>
      <rc t="1" v="6535"/>
    </bk>
    <bk>
      <rc t="1" v="6536"/>
    </bk>
    <bk>
      <rc t="1" v="6537"/>
    </bk>
    <bk>
      <rc t="1" v="6538"/>
    </bk>
    <bk>
      <rc t="1" v="6539"/>
    </bk>
    <bk>
      <rc t="1" v="6540"/>
    </bk>
    <bk>
      <rc t="1" v="6541"/>
    </bk>
    <bk>
      <rc t="1" v="6542"/>
    </bk>
    <bk>
      <rc t="1" v="6543"/>
    </bk>
    <bk>
      <rc t="1" v="6544"/>
    </bk>
    <bk>
      <rc t="1" v="6545"/>
    </bk>
    <bk>
      <rc t="1" v="6546"/>
    </bk>
    <bk>
      <rc t="1" v="6547"/>
    </bk>
    <bk>
      <rc t="1" v="6548"/>
    </bk>
    <bk>
      <rc t="1" v="6549"/>
    </bk>
    <bk>
      <rc t="1" v="6550"/>
    </bk>
    <bk>
      <rc t="1" v="6551"/>
    </bk>
    <bk>
      <rc t="1" v="6552"/>
    </bk>
    <bk>
      <rc t="1" v="6553"/>
    </bk>
    <bk>
      <rc t="1" v="6554"/>
    </bk>
    <bk>
      <rc t="1" v="6555"/>
    </bk>
  </valueMetadata>
</metadata>
</file>

<file path=xl/sharedStrings.xml><?xml version="1.0" encoding="utf-8"?>
<sst xmlns="http://schemas.openxmlformats.org/spreadsheetml/2006/main" count="706" uniqueCount="448">
  <si>
    <t>Stock(Exchange: Ticker)</t>
  </si>
  <si>
    <t>Industry</t>
  </si>
  <si>
    <t>Units</t>
  </si>
  <si>
    <t>Current Price</t>
  </si>
  <si>
    <t>Market Value</t>
  </si>
  <si>
    <t>Today's Change</t>
  </si>
  <si>
    <t>Gain/(Loss)</t>
  </si>
  <si>
    <t>Last 12 Months</t>
  </si>
  <si>
    <t>Stock</t>
  </si>
  <si>
    <t>Date</t>
  </si>
  <si>
    <t>Price</t>
  </si>
  <si>
    <t>Transaction Amount</t>
  </si>
  <si>
    <t>Transaction Type</t>
  </si>
  <si>
    <t>Buy</t>
  </si>
  <si>
    <t>Ticker</t>
  </si>
  <si>
    <t>AMD</t>
  </si>
  <si>
    <t>MSFT</t>
  </si>
  <si>
    <t>BABA</t>
  </si>
  <si>
    <t>DELL</t>
  </si>
  <si>
    <t>GS</t>
  </si>
  <si>
    <t>XOM</t>
  </si>
  <si>
    <t>GM</t>
  </si>
  <si>
    <t>BAC</t>
  </si>
  <si>
    <t>LMT</t>
  </si>
  <si>
    <t>COST</t>
  </si>
  <si>
    <t>Ticker symbol</t>
  </si>
  <si>
    <t>52 week high</t>
  </si>
  <si>
    <t>52 week low</t>
  </si>
  <si>
    <t>Beta</t>
  </si>
  <si>
    <t>Description</t>
  </si>
  <si>
    <t>P/E</t>
  </si>
  <si>
    <t>Change</t>
  </si>
  <si>
    <t>High</t>
  </si>
  <si>
    <t>Low</t>
  </si>
  <si>
    <t>Market cap</t>
  </si>
  <si>
    <t>Exchange abbreviation</t>
  </si>
  <si>
    <t>XNAS</t>
  </si>
  <si>
    <t>XNYS</t>
  </si>
  <si>
    <t>(All)</t>
  </si>
  <si>
    <t>PORTFOLIO ANALYTICS</t>
  </si>
  <si>
    <t>Advanced Financial Metrics &amp; Risk Analysis</t>
  </si>
  <si>
    <t>KEY PORTFOLIO METRICS</t>
  </si>
  <si>
    <t>Total Cost Basis</t>
  </si>
  <si>
    <t>Total Market Value</t>
  </si>
  <si>
    <t>Unrealised P&amp;L</t>
  </si>
  <si>
    <t># Holdings</t>
  </si>
  <si>
    <t>Best Performer</t>
  </si>
  <si>
    <t>Worst Performer</t>
  </si>
  <si>
    <t>INDIVIDUAL STOCK ANALYSIS</t>
  </si>
  <si>
    <t>Cost Basis</t>
  </si>
  <si>
    <t>Return %</t>
  </si>
  <si>
    <t>Weight %</t>
  </si>
  <si>
    <t>Avg Buy Price</t>
  </si>
  <si>
    <t>Ann. Return</t>
  </si>
  <si>
    <t>SECTOR CONCENTRATION &amp; RISK</t>
  </si>
  <si>
    <t>HHI Index (Concentration)</t>
  </si>
  <si>
    <t>Interpretation:</t>
  </si>
  <si>
    <t>RISK METRICS</t>
  </si>
  <si>
    <t>Metric</t>
  </si>
  <si>
    <t>Value</t>
  </si>
  <si>
    <t>Status</t>
  </si>
  <si>
    <t>Total Invested</t>
  </si>
  <si>
    <t>Current Value</t>
  </si>
  <si>
    <t>Worst Stock Return</t>
  </si>
  <si>
    <t>Top Holding Weight</t>
  </si>
  <si>
    <t>Top 3 Concentration</t>
  </si>
  <si>
    <t>Avg Return per Stock</t>
  </si>
  <si>
    <t>Profitable Positions</t>
  </si>
  <si>
    <t>TRANSACTION LEDGER</t>
  </si>
  <si>
    <t>📊 STOCK PORTFOLIO TRACKER &amp; ANALYTICS ENGINE</t>
  </si>
  <si>
    <t>A comprehensive Excel-based financial analytics platform for multi-asset portfolio management</t>
  </si>
  <si>
    <t>🎯 PROJECT OVERVIEW</t>
  </si>
  <si>
    <t>Objective</t>
  </si>
  <si>
    <t>Build a real-world stock portfolio tracking system with advanced analytics, risk metrics, and sector diversification analysis — designed to demonstrate proficiency in financial modelling, data transformation, and dashboard design.</t>
  </si>
  <si>
    <t>Scope</t>
  </si>
  <si>
    <t>16 stocks across 10 GICS industries, tracked over 7 years (2019-2025) with Buy/Sell transactions, live market data integration via Excel Stocks data type, and automated P&amp;L calculations.</t>
  </si>
  <si>
    <t>Investment Strategy</t>
  </si>
  <si>
    <t>Data Sources</t>
  </si>
  <si>
    <t>Excel Linked Data Types (Stocks), STOCKHISTORY function for price series, historical closing prices from Nasdaq/Yahoo Finance for transaction pricing.</t>
  </si>
  <si>
    <t>Sheet Name</t>
  </si>
  <si>
    <t>Dashboard</t>
  </si>
  <si>
    <t>Analytics</t>
  </si>
  <si>
    <t>Ledger</t>
  </si>
  <si>
    <t>Watchlist</t>
  </si>
  <si>
    <t>Technique</t>
  </si>
  <si>
    <t>Implementation</t>
  </si>
  <si>
    <t>Dynamic Arrays</t>
  </si>
  <si>
    <t>Linked Data Types</t>
  </si>
  <si>
    <t>WORKBOOK STRUCTURE</t>
  </si>
  <si>
    <t>Main portfolio view with live stock prices, market values, daily P&amp;L, unrealised gains/losses, sparkline charts, and KPI summary cards.</t>
  </si>
  <si>
    <t>Transaction history: 112 records, 16 stocks, 7 years. Date, Stock, Type, Price, Units, Transaction Amount.</t>
  </si>
  <si>
    <t>Competitor analysis: 10 rival stocks with live data, 52-week ranges, beta, P/E, market cap.</t>
  </si>
  <si>
    <t>Price history data feeding Dashboard sparkline trend visualizations.</t>
  </si>
  <si>
    <t>Stock Sheets</t>
  </si>
  <si>
    <t>Individual stock deep-dives with STOCKHISTORY price series and charts.</t>
  </si>
  <si>
    <t>KEY FORMULAS &amp; TECHNIQUES</t>
  </si>
  <si>
    <t>SORT, UNIQUE, FILTER, SORTBY with spill ranges for automatic data propagation</t>
  </si>
  <si>
    <t>Excel Stocks data type with dot notation for real-time market data integration</t>
  </si>
  <si>
    <t>STOCKHISTORY</t>
  </si>
  <si>
    <t>Historical price series retrieval for sparklines and stock analysis sheets</t>
  </si>
  <si>
    <t>SUMIF / COUNTIF</t>
  </si>
  <si>
    <t>Cross-sheet aggregation for transaction totals and sector-level rollups from Ledger</t>
  </si>
  <si>
    <t>INDEX / MATCH</t>
  </si>
  <si>
    <t>Best and worst performer identification with dynamic lookups across spill ranges</t>
  </si>
  <si>
    <t>HHI Index</t>
  </si>
  <si>
    <t>Sum of squared sector weights to quantify portfolio concentration risk</t>
  </si>
  <si>
    <t>Conditional Formatting</t>
  </si>
  <si>
    <t>Automated color coding for negative/positive values with emoji risk indicators</t>
  </si>
  <si>
    <t>Allocation Model</t>
  </si>
  <si>
    <t>SKILLS DEMONSTRATED</t>
  </si>
  <si>
    <t>Category</t>
  </si>
  <si>
    <t>Skills</t>
  </si>
  <si>
    <t>Financial Modelling</t>
  </si>
  <si>
    <t>Portfolio construction, P&amp;L tracking, CAGR analysis, risk-adjusted metrics, sector allocation</t>
  </si>
  <si>
    <t>Data Engineering</t>
  </si>
  <si>
    <t>Dynamic arrays, linked data types, structured references, cross-sheet data pipelines</t>
  </si>
  <si>
    <t>Risk Analysis</t>
  </si>
  <si>
    <t>Dashboard Design</t>
  </si>
  <si>
    <t>KPI cards, conditional formatting, sparklines, interactive charts, professional color themes</t>
  </si>
  <si>
    <t>Data Visualisation</t>
  </si>
  <si>
    <t>Pie charts, bar charts, sparklines, color-coded tables, trend analysis</t>
  </si>
  <si>
    <t>Domain Knowledge</t>
  </si>
  <si>
    <t>GICS sector classification, stock market mechanics, Buy/Sell transaction modelling</t>
  </si>
  <si>
    <t>HOW TO USE</t>
  </si>
  <si>
    <t>1. Enable Data Types</t>
  </si>
  <si>
    <t>Ensure Excel is connected to the internet. The Stocks linked data types in the Ledger and Dashboard require a Microsoft 365 subscription.</t>
  </si>
  <si>
    <t>2. Review Dashboard</t>
  </si>
  <si>
    <t>The Dashboard auto-updates with live prices. Check KPI cards at top for portfolio summary, stock table for details, and sector breakdown below.</t>
  </si>
  <si>
    <t>3. Explore Analytics</t>
  </si>
  <si>
    <t>The Analytics sheet provides deeper metrics: per-stock returns, sector HHI, risk flags, and allocation charts.</t>
  </si>
  <si>
    <t>4. Monitor Watchlist</t>
  </si>
  <si>
    <t>Track competitor stocks with live data. Use this for benchmarking and identifying new investment opportunities.</t>
  </si>
  <si>
    <t>5. Add Transactions</t>
  </si>
  <si>
    <t>Add new rows to the Ledger table. All Dashboard and Analytics formulas auto-update via structured references.</t>
  </si>
  <si>
    <t>Built with Microsoft Excel 365 | Dynamic Arrays | Stocks Data Type | Advanced Formulas</t>
  </si>
  <si>
    <t>PORTFOLIO VALUE</t>
  </si>
  <si>
    <t>UNREALISED P&amp;L</t>
  </si>
  <si>
    <t>TOTAL RETURN</t>
  </si>
  <si>
    <t>WORST STOCK</t>
  </si>
  <si>
    <t>COST BASIS</t>
  </si>
  <si>
    <t>TOP HOLDING</t>
  </si>
  <si>
    <t>TOP 3 CONC.</t>
  </si>
  <si>
    <t>AVG RETURN</t>
  </si>
  <si>
    <t>PROFITABLE</t>
  </si>
  <si>
    <t>HHI INDEX</t>
  </si>
  <si>
    <t>BEST STOCK</t>
  </si>
  <si>
    <t>SECTOR ALLOCATION</t>
  </si>
  <si>
    <t>HHI Contrib.</t>
  </si>
  <si>
    <t>CURRENT HOLDINGS  ·  16 STOCKS  ·  10 INDUSTRIES</t>
  </si>
  <si>
    <t xml:space="preserve"> </t>
  </si>
  <si>
    <t>$10,000 annual investment allocated with 35% Technology, 20% Finance, 45% Other sectors. 70/30 Buy/Sell split per stock with systematic rebalancing.</t>
  </si>
  <si>
    <t>Weighted allocation with sector caps (Tech max 35%) and systematic Buy/Sell rules</t>
  </si>
  <si>
    <t>Sell</t>
  </si>
  <si>
    <t>WATCHLIST DASHBOARD</t>
  </si>
  <si>
    <t>TOTAL MARKET CAP</t>
  </si>
  <si>
    <t>AVG P/E RATIO</t>
  </si>
  <si>
    <t>AVG BETA</t>
  </si>
  <si>
    <t>HIGHEST P/E</t>
  </si>
  <si>
    <t>LOWEST P/E</t>
  </si>
  <si>
    <t>TOP GAINER TODAY</t>
  </si>
  <si>
    <t>TOP LOSER TODAY</t>
  </si>
  <si>
    <t>MEDIAN P/E</t>
  </si>
  <si>
    <t>WATCHLIST STOCKS  ·  LIVE MARKET DATA  ·  52-WEEK ANALYSIS</t>
  </si>
  <si>
    <t>Change ($)</t>
  </si>
  <si>
    <t>P/E Ratio</t>
  </si>
  <si>
    <t>Market Cap</t>
  </si>
  <si>
    <t>52W High</t>
  </si>
  <si>
    <t>52W Low</t>
  </si>
  <si>
    <t>52W Range %</t>
  </si>
  <si>
    <t>VISUALIZATIONS</t>
  </si>
  <si>
    <t>52-WEEK RANGE ANALYSIS</t>
  </si>
  <si>
    <t>DAILY P&amp;L</t>
  </si>
  <si>
    <t>WIN RATE</t>
  </si>
  <si>
    <t>FINANCIAL METRICS  ·  PER-STOCK ANALYTICS  ·  RISK ASSESSMENT</t>
  </si>
  <si>
    <t>Price/Cost</t>
  </si>
  <si>
    <t>Risk Score</t>
  </si>
  <si>
    <t>Signal</t>
  </si>
  <si>
    <t>Gain/Loss</t>
  </si>
  <si>
    <t>Weight</t>
  </si>
  <si>
    <t>ADVANCED PORTFOLIO ANALYTICS</t>
  </si>
  <si>
    <t>RETURN ATTRIBUTION &amp; RISK DECOMPOSITION</t>
  </si>
  <si>
    <t>Benchmark</t>
  </si>
  <si>
    <t>Assessment</t>
  </si>
  <si>
    <t>CAGR / Max Loss</t>
  </si>
  <si>
    <t>Avg Win / Avg Loss</t>
  </si>
  <si>
    <t>Profit / Loss</t>
  </si>
  <si>
    <t>PORTFOLIO CONSTRUCTION ANALYSIS</t>
  </si>
  <si>
    <t>Optimal Range</t>
  </si>
  <si>
    <t>10-20 ideal</t>
  </si>
  <si>
    <t>Position Size Spread (Max/Min)</t>
  </si>
  <si>
    <t>Top Sector Weight</t>
  </si>
  <si>
    <t>PORTFOLIO HEALTH SCORECARD</t>
  </si>
  <si>
    <t>Score</t>
  </si>
  <si>
    <t>Grade</t>
  </si>
  <si>
    <t>Return Performance</t>
  </si>
  <si>
    <t>Risk Management</t>
  </si>
  <si>
    <t>Diversification</t>
  </si>
  <si>
    <t>Win Rate</t>
  </si>
  <si>
    <t>Sector Breadth</t>
  </si>
  <si>
    <t>OVERALL PORTFOLIO GRADE</t>
  </si>
  <si>
    <t>▲ STRONG</t>
  </si>
  <si>
    <t>▶ HOLD</t>
  </si>
  <si>
    <t>▼ REVIEW</t>
  </si>
  <si>
    <t>SORTINO RATIO</t>
  </si>
  <si>
    <t>CALMAR RATIO</t>
  </si>
  <si>
    <t>PORT. GRADE</t>
  </si>
  <si>
    <t>STOCKS</t>
  </si>
  <si>
    <t>INDUSTRIES</t>
  </si>
  <si>
    <t>COMPARATIVE VALUATION &amp; MOMENTUM ANALYTICS</t>
  </si>
  <si>
    <t>Multi-Factor Scoring Model — Ranks Watchlist Stocks by Value, Momentum &amp; Risk</t>
  </si>
  <si>
    <t>P/E Rank</t>
  </si>
  <si>
    <t>Risk Rank</t>
  </si>
  <si>
    <t>Momentum</t>
  </si>
  <si>
    <t>Value Score</t>
  </si>
  <si>
    <t>Composite</t>
  </si>
  <si>
    <t>⭐ BUY SIGNALS</t>
  </si>
  <si>
    <t>🔍 WATCH LIST</t>
  </si>
  <si>
    <t>⚠️ AVOID</t>
  </si>
  <si>
    <t>AVG P/E (BUYS)</t>
  </si>
  <si>
    <t>AVG BETA (BUYS)</t>
  </si>
  <si>
    <t>CHEAPEST STOCK</t>
  </si>
  <si>
    <t>RISKIEST STOCK</t>
  </si>
  <si>
    <t>BEST VALUE/RISK</t>
  </si>
  <si>
    <t>STRONG MOMENTUM</t>
  </si>
  <si>
    <t>WEAK MOMENTUM</t>
  </si>
  <si>
    <t>REBALANCING ANALYSIS</t>
  </si>
  <si>
    <t>Current Wt.</t>
  </si>
  <si>
    <t>Equal Wt.</t>
  </si>
  <si>
    <t>Deviation</t>
  </si>
  <si>
    <t>Action</t>
  </si>
  <si>
    <t>RISK ANALYTICS</t>
  </si>
  <si>
    <t>CAPM &amp; FACTOR ANALYSIS</t>
  </si>
  <si>
    <t>Context</t>
  </si>
  <si>
    <t>Risk-Free Rate (Rf)</t>
  </si>
  <si>
    <t>US 10Y Treasury</t>
  </si>
  <si>
    <t>Input Assumption</t>
  </si>
  <si>
    <t>Market Return (Rm)</t>
  </si>
  <si>
    <t>S&amp;P 500 LT Avg</t>
  </si>
  <si>
    <t>Equity Risk Premium (Rm − Rf)</t>
  </si>
  <si>
    <t>Historical: 4-6%</t>
  </si>
  <si>
    <t>Portfolio Beta (βp)</t>
  </si>
  <si>
    <t>β = 1.0 = Market</t>
  </si>
  <si>
    <t>Expected Return — CAPM: E(Rp) = Rf + βp(Rm − Rf)</t>
  </si>
  <si>
    <t>CAPM Equilibrium</t>
  </si>
  <si>
    <t>Jensen's Alpha (αp) = Rp − [Rf + βp(Rm − Rf)]</t>
  </si>
  <si>
    <t>α &gt; 0 = Skill</t>
  </si>
  <si>
    <t>ADVANCED RISK METRICS</t>
  </si>
  <si>
    <t>Benchmark / Context</t>
  </si>
  <si>
    <t>Treynor Ratio = (Rp − Rf) / βp</t>
  </si>
  <si>
    <t>Per unit β risk</t>
  </si>
  <si>
    <t>&gt; 0.5 Good, &gt; 1.0 Elite</t>
  </si>
  <si>
    <t>&lt; 2% Passive, &gt; 5% Active</t>
  </si>
  <si>
    <t>Sharpe Ratio = (Rp − Rf) / σp</t>
  </si>
  <si>
    <t>&gt; 1.0 Good, &gt; 2.0 Elite</t>
  </si>
  <si>
    <t>Sortino Ratio = (Rp − Rf) / Downside σ</t>
  </si>
  <si>
    <t>&gt; 2.0 Good, &gt; 3.0 Elite</t>
  </si>
  <si>
    <t>&gt; 1.0 Good, &gt; 3.0 Elite</t>
  </si>
  <si>
    <t>VALUE AT RISK (VaR) &amp; TAIL RISK</t>
  </si>
  <si>
    <t>Interpretation</t>
  </si>
  <si>
    <t>Parametric VaR (95%, 1-Year)</t>
  </si>
  <si>
    <t>95% confidence</t>
  </si>
  <si>
    <t>Parametric VaR (99%, 1-Year)</t>
  </si>
  <si>
    <t>99% confidence</t>
  </si>
  <si>
    <t>Expected Shortfall (CVaR 95%)</t>
  </si>
  <si>
    <t>Avg loss beyond VaR</t>
  </si>
  <si>
    <t>Max Individual Position Loss</t>
  </si>
  <si>
    <t>PORTFOLIO CONSTRUCTION &amp; DIVERSIFICATION</t>
  </si>
  <si>
    <t>10–20 ideal</t>
  </si>
  <si>
    <t>Largest / Smallest Position Ratio</t>
  </si>
  <si>
    <t>&lt; 5x balanced</t>
  </si>
  <si>
    <t>INDIVIDUAL STOCK RISK DECOMPOSITION</t>
  </si>
  <si>
    <t>Beta (βi)</t>
  </si>
  <si>
    <t>CAGR</t>
  </si>
  <si>
    <t>Risk Contrib.</t>
  </si>
  <si>
    <t>CAPM E(Ri)</t>
  </si>
  <si>
    <t>Stock αi</t>
  </si>
  <si>
    <t>PORTFOLIO TOTAL</t>
  </si>
  <si>
    <t>Factor</t>
  </si>
  <si>
    <t>Exposure</t>
  </si>
  <si>
    <t>Detail</t>
  </si>
  <si>
    <t>β = 1.0 neutral</t>
  </si>
  <si>
    <t>Sector Concentration (HHI)</t>
  </si>
  <si>
    <t>&lt; 15% diversified</t>
  </si>
  <si>
    <t>Active Share Proxy (vs Equal Wt.)</t>
  </si>
  <si>
    <t>&gt; 60% Active</t>
  </si>
  <si>
    <t>CAPITAL MARKET LINE ANALYSIS</t>
  </si>
  <si>
    <t>CML Position</t>
  </si>
  <si>
    <t>CML Expected Return at Port. σ</t>
  </si>
  <si>
    <t>CML benchmark</t>
  </si>
  <si>
    <t>Portfolio vs CML Spread</t>
  </si>
  <si>
    <t>&gt; 0 = efficient</t>
  </si>
  <si>
    <t>M² (Modigliani-Modigliani) = Sp × σm + Rf − Rm</t>
  </si>
  <si>
    <t>M² &gt; 0 = outperform</t>
  </si>
  <si>
    <t>PORT. BETA</t>
  </si>
  <si>
    <t>TREYNOR</t>
  </si>
  <si>
    <t>SHARPE RATIO</t>
  </si>
  <si>
    <t>Jensen's Alpha (αp)</t>
  </si>
  <si>
    <t>Sharpe Ratio (Rp−Rf)/σp</t>
  </si>
  <si>
    <t>Rf = 4.25%</t>
  </si>
  <si>
    <t>Treynor Ratio (Rp−Rf)/βp</t>
  </si>
  <si>
    <t>Sortino Ratio</t>
  </si>
  <si>
    <t>Downside σ Only</t>
  </si>
  <si>
    <t>M² (Modigliani-Modigliani)</t>
  </si>
  <si>
    <t>Calmar Ratio</t>
  </si>
  <si>
    <t>&lt; 30% balanced</t>
  </si>
  <si>
    <t>Active Share (vs Equal Wt.)</t>
  </si>
  <si>
    <t>&gt; CAGR = good</t>
  </si>
  <si>
    <t>PORTFOLIO VALIDATION TESTS</t>
  </si>
  <si>
    <t>DATA INTEGRITY CHECKS</t>
  </si>
  <si>
    <t>Test</t>
  </si>
  <si>
    <t>Expected</t>
  </si>
  <si>
    <t>Actual</t>
  </si>
  <si>
    <t>Notes</t>
  </si>
  <si>
    <t>Portfolio weights sum to 100%</t>
  </si>
  <si>
    <t>Sum of all portfolio weights must equal 100%</t>
  </si>
  <si>
    <t>Total MV = Sum of holdings MV</t>
  </si>
  <si>
    <t>Portfolio value KPI matches sum of individual market values</t>
  </si>
  <si>
    <t>Cost basis consistency</t>
  </si>
  <si>
    <t>Portfolio cost basis KPI matches sum of per-stock cost bases</t>
  </si>
  <si>
    <t>P&amp;L identity: MV - CB = Unrealised P&amp;L</t>
  </si>
  <si>
    <t>Accounting identity: Unrealised P&amp;L = Market Value − Cost Basis</t>
  </si>
  <si>
    <t>Unique stock count matches</t>
  </si>
  <si>
    <t>Dashboard shows all 16 unique stocks from Ledger</t>
  </si>
  <si>
    <t>Sector allocation weights sum to 100%</t>
  </si>
  <si>
    <t>Sector allocation must sum to 100%</t>
  </si>
  <si>
    <t>HHI consistency (Dashboard vs Analytics)</t>
  </si>
  <si>
    <t>HHI Index must be identical between KPI strip and bottom KPIs</t>
  </si>
  <si>
    <t>HHI = sum of sector squared weights</t>
  </si>
  <si>
    <t>HHI = Σ(wi²) from sector allocation table</t>
  </si>
  <si>
    <t>Win rate consistency</t>
  </si>
  <si>
    <t>Win rate KPI matches manual count of profitable holdings</t>
  </si>
  <si>
    <t>Rebalancing equal weights = 1/N</t>
  </si>
  <si>
    <t>Equal weight target = 1/N = 6.25% for 16 stocks</t>
  </si>
  <si>
    <t>Sector MV = sum of stock MVs per sector</t>
  </si>
  <si>
    <t>Sum of sector market values equals total portfolio market value</t>
  </si>
  <si>
    <t>RISK METRIC CHECKS</t>
  </si>
  <si>
    <t>Expected Range</t>
  </si>
  <si>
    <t>Sharpe Ratio in valid range</t>
  </si>
  <si>
    <t>-3.0 to 5.0</t>
  </si>
  <si>
    <t>Sharpe = (Rp−Rf)/σp; typical range -3 to 5 for diversified portfolios</t>
  </si>
  <si>
    <t>Portfolio Beta reasonable</t>
  </si>
  <si>
    <t>0.3 to 2.5</t>
  </si>
  <si>
    <t>βp = Σ(wi×βi); 0.3-2.5 typical for equity-only portfolio</t>
  </si>
  <si>
    <t>Treynor Ratio valid</t>
  </si>
  <si>
    <t>-0.5 to 1.0</t>
  </si>
  <si>
    <t>Treynor = (Rp−Rf)/βp; measures excess return per unit systematic risk</t>
  </si>
  <si>
    <t>Max Drawdown ≤ 0</t>
  </si>
  <si>
    <t>≤ 0%</t>
  </si>
  <si>
    <t>Calmar Ratio positive (if CAGR positive)</t>
  </si>
  <si>
    <t>&gt; 0</t>
  </si>
  <si>
    <t>SUMMARY</t>
  </si>
  <si>
    <t>Tests Passed</t>
  </si>
  <si>
    <t>Tests Failed</t>
  </si>
  <si>
    <t>Tests Warning</t>
  </si>
  <si>
    <t>Overall Score</t>
  </si>
  <si>
    <t>Risk Analytics</t>
  </si>
  <si>
    <t>WL Dashboard</t>
  </si>
  <si>
    <t>Watchlist scoring model: multi-factor evaluation (P/E, Beta, 52-week range, margin of safety) with composite rankings and entry-point signals.</t>
  </si>
  <si>
    <t>Validation</t>
  </si>
  <si>
    <t>CROSS-SHEET CONSISTENCY CHECKS</t>
  </si>
  <si>
    <t>Sheet A</t>
  </si>
  <si>
    <t>Sheet B</t>
  </si>
  <si>
    <t>CAGR: Dashboard ↔ Analytics</t>
  </si>
  <si>
    <t>Portfolio CAGR must match across Dashboard and Analytics</t>
  </si>
  <si>
    <t>Beta: Dashboard ↔ Risk Analytics</t>
  </si>
  <si>
    <t>Weighted portfolio beta must match between Dashboard KPI and Risk Analytics</t>
  </si>
  <si>
    <t>Sharpe: Dashboard ↔ Risk Analytics</t>
  </si>
  <si>
    <t>Sharpe Ratio must match between Dashboard KPI and Risk Analytics</t>
  </si>
  <si>
    <t>Treynor: Dashboard ↔ Risk Analytics</t>
  </si>
  <si>
    <t>Treynor Ratio must match between Dashboard and Risk Analytics</t>
  </si>
  <si>
    <t>CAPM: E(Rp) = Rf + βp(Rm-Rf)</t>
  </si>
  <si>
    <t>CAPM expected return formula: Rf + βp × ERP must be internally consistent</t>
  </si>
  <si>
    <t>Alpha = Actual CAGR minus CAPM expected return</t>
  </si>
  <si>
    <t>Risk decomp weights sum to 100%</t>
  </si>
  <si>
    <t>Stock weights in risk decomposition table must sum to 100%</t>
  </si>
  <si>
    <t>PORTFOLIO SERIES: 12-MONTH BACK-CAST OF CURRENT HOLDINGS</t>
  </si>
  <si>
    <t>Daily closes from Price History x today's net units. Holdings without price history are excluded (see B10:B11). SPY is the benchmark.</t>
  </si>
  <si>
    <t>Portfolio value</t>
  </si>
  <si>
    <t>Daily return</t>
  </si>
  <si>
    <t>SPY close</t>
  </si>
  <si>
    <t>SPY daily return</t>
  </si>
  <si>
    <t>Holdings with price history (of 16)</t>
  </si>
  <si>
    <t>Share of market value covered</t>
  </si>
  <si>
    <t>Daily returns in window</t>
  </si>
  <si>
    <t>12-month return, current holdings</t>
  </si>
  <si>
    <t>Annualised volatility</t>
  </si>
  <si>
    <t>Annualised downside deviation</t>
  </si>
  <si>
    <t>Maximum drawdown (12 months)</t>
  </si>
  <si>
    <t>Historical VaR, 1-day, 95%</t>
  </si>
  <si>
    <t>SPY 12-month return</t>
  </si>
  <si>
    <t>Beta vs SPY (realised)</t>
  </si>
  <si>
    <t>Tracking error vs SPY</t>
  </si>
  <si>
    <t>Active return vs SPY</t>
  </si>
  <si>
    <t>Information ratio</t>
  </si>
  <si>
    <t>Valuation date (used by every IRR)</t>
  </si>
  <si>
    <t>ANN. RETURN (IRR)</t>
  </si>
  <si>
    <t>MAX DRAWDOWN (12M)</t>
  </si>
  <si>
    <t>Ann. Return (IRR)</t>
  </si>
  <si>
    <t>REALISED P&amp;L</t>
  </si>
  <si>
    <t>Risk &amp; Return Decomposition</t>
  </si>
  <si>
    <t>Total Return % (incl. realised)</t>
  </si>
  <si>
    <t>Realised P&amp;L</t>
  </si>
  <si>
    <t>Portfolio Ann. Return (IRR)</t>
  </si>
  <si>
    <t>Avg Winner / Avg Loser (holding returns)</t>
  </si>
  <si>
    <t>Total Gains / Total Losses (holdings)</t>
  </si>
  <si>
    <t>Effective # Sectors (1/sector HHI)</t>
  </si>
  <si>
    <t>Weighted Avg Holding Return</t>
  </si>
  <si>
    <t>Quantitative Risk &amp; Return Decomposition</t>
  </si>
  <si>
    <t>Rp on this sheet = 12-month return of the current holdings ('Portfolio Series'); the since-inception IRR is on the Dashboard.</t>
  </si>
  <si>
    <t>Information Ratio = Active Return / Tracking Error (vs SPY)</t>
  </si>
  <si>
    <t>Tracking Error vs SPY (12m daily, annualised)</t>
  </si>
  <si>
    <t>Calmar Ratio = 12m Return / 12m Max Drawdown</t>
  </si>
  <si>
    <t>Expected Return (CAPM), mean for normal VaR</t>
  </si>
  <si>
    <t>CAPM E(Rp)</t>
  </si>
  <si>
    <t>Arithmetic expectation</t>
  </si>
  <si>
    <t>Portfolio Volatility (realised, 12m daily)</t>
  </si>
  <si>
    <t>Annualised from daily returns</t>
  </si>
  <si>
    <t>Downside Deviation (12m daily, annualised)</t>
  </si>
  <si>
    <t>Negative daily returns only</t>
  </si>
  <si>
    <t>Historical VaR (95%, 1-day)</t>
  </si>
  <si>
    <t>Worst 5% of daily moves</t>
  </si>
  <si>
    <t>Effective # Holdings (1/HHI of holding weights)</t>
  </si>
  <si>
    <t>Return Band</t>
  </si>
  <si>
    <t>RETURN BANDS &amp; MARKET SENSITIVITY</t>
  </si>
  <si>
    <t>Return Band Mix (holding returns)</t>
  </si>
  <si>
    <t>Bands by unrealised return, not investment style</t>
  </si>
  <si>
    <t>Weighted Avg β (market sensitivity)</t>
  </si>
  <si>
    <t>Automated integrity checks · Real-time validation</t>
  </si>
  <si>
    <t>Framework</t>
  </si>
  <si>
    <t>Units = bought − sold (ledger)</t>
  </si>
  <si>
    <t>Held units must equal units bought minus units sold</t>
  </si>
  <si>
    <t>12-month peak-to-trough decline of the current holdings; must be ≤ 0</t>
  </si>
  <si>
    <t>Calmar = 12m return / |12m max drawdown|</t>
  </si>
  <si>
    <t>No negative holdings</t>
  </si>
  <si>
    <t>≥ 0</t>
  </si>
  <si>
    <t>Every holding's net units must be zero or positive</t>
  </si>
  <si>
    <t>Jensen's α = Rp(12m) − E(Rp)</t>
  </si>
  <si>
    <t>Total gain = realised + unrealised</t>
  </si>
  <si>
    <t>Market value + sale proceeds − purchases = realised + unrealised P&amp;L</t>
  </si>
  <si>
    <t>Advanced metrics: per-stock returns and IRR, realised P&amp;L, sector concentration (HHI Index), risk assessment, allocation charts.</t>
  </si>
  <si>
    <t>CAPM analysis, parametric and historical VaR, realised volatility, drawdown and tracking error from 12 months of daily prices, beta decomposition, CML positioning, individual stock risk attribution.</t>
  </si>
  <si>
    <t>Automated integrity tests: weight summation, P&amp;L identity, net-of-sales units, HHI consistency, risk metric reasonableness and cross-sheet checks, real-time pass/fail.</t>
  </si>
  <si>
    <t>Price History</t>
  </si>
  <si>
    <t>Portfolio Series</t>
  </si>
  <si>
    <t>12-month back-cast of the current holdings: daily value, returns, volatility, drawdown, VaR and tracking error vs SPY.</t>
  </si>
  <si>
    <t>IRR (XIRR)</t>
  </si>
  <si>
    <t>Money-weighted annual return over the dated purchase and sale cash flows, with today's market value as the final flow</t>
  </si>
  <si>
    <t>HHI concentration index, 12-month drawdown and volatility, position sizing, diversification metrics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</si>
</sst>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4">
    <numFmt numFmtId="164" formatCode="_([$$-409]* #,##0.00_);_([$$-409]* \(#,##0.00\);_([$$-409]* &quot;-&quot;??_);_(@_)"/>
    <numFmt numFmtId="165" formatCode="[$$-409]#,##0.00"/>
    <numFmt numFmtId="166" formatCode="[$$-409]#,##0.00_ ;[Red]\-[$$-409]#,##0.00\ "/>
    <numFmt numFmtId="167" formatCode="0.00%;[Red]\-0.00%"/>
    <numFmt numFmtId="168" formatCode="0.0%"/>
    <numFmt numFmtId="169" formatCode="[$$-409]#,##0"/>
    <numFmt numFmtId="170" formatCode="0.0\x"/>
    <numFmt numFmtId="171" formatCode="0.0"/>
    <numFmt numFmtId="172" formatCode="0.0&quot;x&quot;"/>
    <numFmt numFmtId="173" formatCode="mm/dd/yyyy"/>
    <numFmt numFmtId="174" formatCode="0.000"/>
    <numFmt numFmtId="175" formatCode="0.00&quot;x&quot;"/>
    <numFmt numFmtId="176" formatCode="\+0.0%;\-0.0%;&quot;-&quot;"/>
    <numFmt numFmtId="177" formatCode="[$$ -409]#,##0"/>
    <numFmt numFmtId="178" formatCode="[$$ -409]#,##0;\([$$ -409]#,##0\);&quot;-&quot;"/>
    <numFmt numFmtId="179" formatCode="[$$ -409]#,##0.00;\([$$ -409]#,##0.00\);&quot;-&quot;"/>
    <numFmt numFmtId="180" formatCode="[$$ -409]#,##0.00"/>
    <numFmt numFmtId="181" formatCode="[$$ -409]#,##0.0,,,&quot;T&quot;"/>
    <numFmt numFmtId="182" formatCode="[$$ -409]#,##0,,&quot;B&quot;"/>
    <numFmt numFmtId="183" formatCode="[$$ -409]#,##0,,,&quot;T&quot;"/>
    <numFmt numFmtId="184" formatCode="\+0.00%;\-0.00%;&quot;-&quot;"/>
    <numFmt numFmtId="185" formatCode="0.00%;\-0.00%"/>
    <numFmt numFmtId="186" formatCode="yyyy\-mm\-dd"/>
    <numFmt numFmtId="187" formatCode="&quot;$&quot;#,##0;\(&quot;$&quot;#,##0\)"/>
  </numFmts>
  <fonts count="81" x14ac:knownFonts="1">
    <font>
      <sz val="11"/>
      <color theme="1"/>
      <name val="Aptos Narrow"/>
      <family val="2"/>
      <scheme val="minor"/>
    </font>
    <font>
      <b/>
      <sz val="11"/>
      <color theme="1"/>
      <name val="Aptos Narrow"/>
      <family val="2"/>
      <scheme val="minor"/>
    </font>
    <font>
      <sz val="8"/>
      <name val="Aptos Narrow"/>
      <family val="2"/>
      <scheme val="minor"/>
    </font>
    <font>
      <b/>
      <sz val="10"/>
      <color rgb="FFFFFFFF"/>
      <name val="Aptos Narrow"/>
      <family val="2"/>
      <scheme val="minor"/>
    </font>
    <font>
      <b/>
      <sz val="14"/>
      <color rgb="FFFFFFFF"/>
      <name val="Aptos Narrow"/>
      <family val="2"/>
      <scheme val="minor"/>
    </font>
    <font>
      <b/>
      <sz val="11"/>
      <color rgb="FF1B2A4A"/>
      <name val="Aptos Narrow"/>
      <family val="2"/>
      <scheme val="minor"/>
    </font>
    <font>
      <b/>
      <sz val="11"/>
      <color rgb="FF0D7377"/>
      <name val="Aptos Narrow"/>
      <family val="2"/>
      <scheme val="minor"/>
    </font>
    <font>
      <i/>
      <sz val="9"/>
      <color rgb="FF0D7377"/>
      <name val="Aptos Narrow"/>
      <family val="2"/>
      <scheme val="minor"/>
    </font>
    <font>
      <sz val="11"/>
      <color rgb="FFFFFFFF"/>
      <name val="Aptos Narrow"/>
      <family val="2"/>
      <scheme val="minor"/>
    </font>
    <font>
      <b/>
      <sz val="16"/>
      <color rgb="FFFFFFFF"/>
      <name val="Calibri"/>
    </font>
    <font>
      <b/>
      <sz val="20"/>
      <color rgb="FFFFFFFF"/>
      <name val="Calibri"/>
    </font>
    <font>
      <b/>
      <sz val="9"/>
      <color rgb="FF94A3B8"/>
      <name val="Calibri"/>
    </font>
    <font>
      <sz val="9"/>
      <color indexed="81"/>
      <name val="Tahoma"/>
      <family val="2"/>
    </font>
    <font>
      <b/>
      <sz val="9"/>
      <color indexed="81"/>
      <name val="Tahoma"/>
      <family val="2"/>
    </font>
    <font>
      <sz val="9"/>
      <color indexed="81"/>
      <name val="Tahoma"/>
      <charset val="1"/>
    </font>
    <font>
      <b/>
      <sz val="9"/>
      <color indexed="81"/>
      <name val="Tahoma"/>
      <charset val="1"/>
    </font>
    <font>
      <b/>
      <sz val="12"/>
      <color rgb="FF38BDF8"/>
      <name val="Calibri"/>
      <family val="2"/>
    </font>
    <font>
      <b/>
      <sz val="10"/>
      <color rgb="FFFFFFFF"/>
      <name val="Calibri"/>
    </font>
    <font>
      <b/>
      <sz val="14"/>
      <color rgb="FFFFFFFF"/>
      <name val="Calibri"/>
    </font>
    <font>
      <b/>
      <sz val="11"/>
      <color rgb="FFFFFFFF"/>
      <name val="Calibri"/>
    </font>
    <font>
      <b/>
      <sz val="18"/>
      <color rgb="FFEF4444"/>
      <name val="Calibri"/>
    </font>
    <font>
      <b/>
      <sz val="12"/>
      <color rgb="FFFFFFFF"/>
      <name val="Calibri"/>
    </font>
    <font>
      <b/>
      <sz val="12"/>
      <color rgb="FF38BDF8"/>
      <name val="Calibri"/>
    </font>
    <font>
      <b/>
      <sz val="11"/>
      <color rgb="FF4ADE80"/>
      <name val="Calibri"/>
    </font>
    <font>
      <b/>
      <sz val="11"/>
      <color rgb="FF38BDF8"/>
      <name val="Calibri"/>
    </font>
    <font>
      <b/>
      <sz val="9"/>
      <color rgb="FFFFFFFF"/>
      <name val="Calibri"/>
    </font>
    <font>
      <sz val="11"/>
      <color rgb="FFFFFFFF"/>
      <name val="Calibri"/>
    </font>
    <font>
      <b/>
      <i/>
      <sz val="10"/>
      <color rgb="FFFFFFFF"/>
      <name val="Calibri"/>
    </font>
    <font>
      <b/>
      <i/>
      <sz val="14"/>
      <color rgb="FFFFFFFF"/>
      <name val="Calibri"/>
    </font>
    <font>
      <b/>
      <sz val="11"/>
      <color rgb="FF1B2A4A"/>
      <name val="Calibri"/>
    </font>
    <font>
      <sz val="11"/>
      <color rgb="FF1E293B"/>
      <name val="Calibri"/>
    </font>
    <font>
      <b/>
      <sz val="11"/>
      <color rgb="FF1E293B"/>
      <name val="Calibri"/>
    </font>
    <font>
      <sz val="10"/>
      <color rgb="FF1E293B"/>
      <name val="Calibri"/>
    </font>
    <font>
      <b/>
      <sz val="13"/>
      <color rgb="FF1E293B"/>
      <name val="Calibri"/>
    </font>
    <font>
      <i/>
      <sz val="11"/>
      <color rgb="FF1E293B"/>
      <name val="Calibri"/>
    </font>
    <font>
      <i/>
      <sz val="10"/>
      <color rgb="FF94A3B8"/>
      <name val="Calibri"/>
    </font>
    <font>
      <i/>
      <sz val="11"/>
      <color rgb="FF64748B"/>
      <name val="Calibri"/>
    </font>
    <font>
      <i/>
      <sz val="10"/>
      <color rgb="FF64748B"/>
      <name val="Calibri"/>
    </font>
    <font>
      <sz val="11"/>
      <color rgb="FF94A3B8"/>
      <name val="Calibri"/>
    </font>
    <font>
      <sz val="10"/>
      <color rgb="FF64748B"/>
      <name val="Aptos Narrow"/>
      <family val="2"/>
      <scheme val="minor"/>
    </font>
    <font>
      <i/>
      <sz val="11"/>
      <color rgb="FF0F766E"/>
      <name val="Calibri"/>
    </font>
    <font>
      <b/>
      <sz val="11"/>
      <color rgb="FF0F766E"/>
      <name val="Calibri"/>
    </font>
    <font>
      <sz val="11"/>
      <color rgb="FF4ADE80"/>
      <name val="Calibri"/>
    </font>
    <font>
      <b/>
      <sz val="18"/>
      <color rgb="FFF59E0B"/>
      <name val="Calibri"/>
    </font>
    <font>
      <b/>
      <sz val="11"/>
      <color rgb="FF2D4A7A"/>
      <name val="Calibri"/>
    </font>
    <font>
      <b/>
      <sz val="12"/>
      <color rgb="FF2D4A7A"/>
      <name val="Calibri"/>
    </font>
    <font>
      <b/>
      <sz val="13"/>
      <color rgb="FF2D4A7A"/>
      <name val="Calibri"/>
    </font>
    <font>
      <b/>
      <sz val="11"/>
      <color rgb="FF2D4A7A"/>
      <name val="Aptos Narrow"/>
      <family val="2"/>
      <scheme val="minor"/>
    </font>
    <font>
      <b/>
      <sz val="14"/>
      <color rgb="FF2D4A7A"/>
      <name val="Calibri"/>
    </font>
    <font>
      <b/>
      <sz val="14"/>
      <color rgb="FF0F766E"/>
      <name val="Calibri"/>
    </font>
    <font>
      <sz val="11"/>
      <color theme="1"/>
      <name val="Calibri"/>
    </font>
    <font>
      <b/>
      <sz val="11"/>
      <color theme="1"/>
      <name val="Calibri"/>
    </font>
    <font>
      <sz val="10"/>
      <color rgb="FF64748B"/>
      <name val="Calibri"/>
    </font>
    <font>
      <b/>
      <sz val="14"/>
      <color theme="1"/>
      <name val="Calibri"/>
    </font>
    <font>
      <b/>
      <sz val="18"/>
      <color rgb="FF10B981"/>
      <name val="Calibri"/>
    </font>
    <font>
      <sz val="11"/>
      <color rgb="FFE2E8F0"/>
      <name val="Calibri"/>
    </font>
    <font>
      <sz val="10"/>
      <color rgb="FFE2E8F0"/>
      <name val="Calibri"/>
    </font>
    <font>
      <b/>
      <sz val="11"/>
      <color rgb="FF93C5FD"/>
      <name val="Calibri"/>
    </font>
    <font>
      <sz val="11"/>
      <color rgb="FFF87171"/>
      <name val="Calibri"/>
    </font>
    <font>
      <b/>
      <sz val="11"/>
      <color rgb="FFF87171"/>
      <name val="Calibri"/>
    </font>
    <font>
      <b/>
      <sz val="11"/>
      <color rgb="FFFBBF24"/>
      <name val="Calibri"/>
      <family val="2"/>
    </font>
    <font>
      <b/>
      <sz val="11"/>
      <color rgb="FF4ADE80"/>
      <name val="Calibri"/>
      <family val="2"/>
    </font>
    <font>
      <sz val="11"/>
      <color rgb="FF4ADE80"/>
      <name val="Calibri"/>
      <family val="2"/>
    </font>
    <font>
      <b/>
      <sz val="9"/>
      <color rgb="FFFFFFFF"/>
      <name val="Calibri"/>
      <family val="2"/>
    </font>
    <font>
      <b/>
      <sz val="9"/>
      <color rgb="FF94A3B8"/>
      <name val="Calibri"/>
      <family val="2"/>
    </font>
    <font>
      <b/>
      <sz val="16"/>
      <color rgb="FFFFFFFF"/>
      <name val="Calibri"/>
      <family val="2"/>
    </font>
    <font>
      <b/>
      <sz val="16"/>
      <color rgb="FF4ADE80"/>
      <name val="Calibri"/>
      <family val="2"/>
    </font>
    <font>
      <b/>
      <sz val="16"/>
      <color rgb="FFFBBF24"/>
      <name val="Calibri"/>
      <family val="2"/>
    </font>
    <font>
      <b/>
      <sz val="10"/>
      <color rgb="FFFFFFFF"/>
      <name val="Calibri"/>
      <family val="2"/>
    </font>
    <font>
      <b/>
      <i/>
      <sz val="9"/>
      <color rgb="FF94A3B8"/>
      <name val="Calibri"/>
      <family val="2"/>
    </font>
    <font>
      <sz val="11"/>
      <color rgb="FFE2E8F0"/>
      <name val="Calibri"/>
      <family val="2"/>
    </font>
    <font>
      <sz val="10"/>
      <color rgb="FFE2E8F0"/>
      <name val="Calibri"/>
      <family val="2"/>
    </font>
    <font>
      <i/>
      <sz val="11"/>
      <color rgb="FFE2E8F0"/>
      <name val="Calibri"/>
      <family val="2"/>
    </font>
    <font>
      <b/>
      <sz val="11"/>
      <color rgb="FFFFFFFF"/>
      <name val="Calibri"/>
      <family val="2"/>
    </font>
    <font>
      <b/>
      <sz val="16"/>
      <color rgb="FFF87171"/>
      <name val="Calibri"/>
      <family val="2"/>
    </font>
    <font>
      <b/>
      <sz val="11"/>
      <color rgb="FF38BDF8"/>
      <name val="Calibri"/>
      <family val="2"/>
    </font>
    <font>
      <sz val="11"/>
      <color rgb="FFFBBF24"/>
      <name val="Calibri"/>
      <family val="2"/>
    </font>
    <font>
      <b/>
      <sz val="11"/>
      <color rgb="FF93C5FD"/>
      <name val="Calibri"/>
      <family val="2"/>
    </font>
    <font>
      <sz val="11"/>
      <color rgb="FF94A3B8"/>
      <name val="Calibri"/>
      <family val="2"/>
    </font>
    <font>
      <sz val="11"/>
      <color rgb="FFF87171"/>
      <name val="Calibri"/>
      <family val="2"/>
    </font>
    <font>
      <b/>
      <sz val="11"/>
      <color rgb="FFF87171"/>
      <name val="Calibri"/>
      <family val="2"/>
    </font>
  </fonts>
  <fills count="13">
    <fill>
      <patternFill patternType="none"/>
    </fill>
    <fill>
      <patternFill patternType="gray125"/>
    </fill>
    <fill>
      <patternFill patternType="solid">
        <fgColor rgb="FF1B2A4A"/>
        <bgColor indexed="64"/>
      </patternFill>
    </fill>
    <fill>
      <patternFill patternType="solid">
        <fgColor rgb="FFF7F9FC"/>
        <bgColor indexed="64"/>
      </patternFill>
    </fill>
    <fill>
      <patternFill patternType="solid">
        <fgColor rgb="FF0D7377"/>
        <bgColor indexed="64"/>
      </patternFill>
    </fill>
    <fill>
      <patternFill patternType="solid">
        <fgColor rgb="FFFFFFFF"/>
        <bgColor indexed="64"/>
      </patternFill>
    </fill>
    <fill>
      <patternFill patternType="solid">
        <fgColor rgb="FF1E3A5F"/>
        <bgColor indexed="64"/>
      </patternFill>
    </fill>
    <fill>
      <patternFill patternType="solid">
        <fgColor rgb="FFEEF2F7"/>
        <bgColor indexed="64"/>
      </patternFill>
    </fill>
    <fill>
      <patternFill patternType="solid">
        <fgColor rgb="FF2D4A7A"/>
        <bgColor indexed="64"/>
      </patternFill>
    </fill>
    <fill>
      <patternFill patternType="solid">
        <fgColor rgb="FFF0F4F8"/>
        <bgColor indexed="64"/>
      </patternFill>
    </fill>
    <fill>
      <patternFill patternType="solid">
        <fgColor rgb="FF1E3455"/>
        <bgColor indexed="64"/>
      </patternFill>
    </fill>
    <fill>
      <patternFill patternType="solid">
        <fgColor rgb="FF162744"/>
        <bgColor indexed="64"/>
      </patternFill>
    </fill>
    <fill>
      <patternFill patternType="solid">
        <fgColor theme="1"/>
        <bgColor indexed="64"/>
      </patternFill>
    </fill>
  </fills>
  <borders count="34">
    <border>
      <left/>
      <right/>
      <top/>
      <bottom/>
      <diagonal/>
    </border>
    <border>
      <left/>
      <right/>
      <top/>
      <bottom style="thick">
        <color rgb="FFBCD9DE"/>
      </bottom>
      <diagonal/>
    </border>
    <border>
      <left style="thin">
        <color rgb="FFD9D9D9"/>
      </left>
      <right/>
      <top style="thin">
        <color rgb="FFE2E8F0"/>
      </top>
      <bottom style="thin">
        <color rgb="FFE2E8F0"/>
      </bottom>
      <diagonal/>
    </border>
    <border>
      <left/>
      <right/>
      <top style="thin">
        <color rgb="FFE2E8F0"/>
      </top>
      <bottom style="thin">
        <color rgb="FFE2E8F0"/>
      </bottom>
      <diagonal/>
    </border>
    <border>
      <left style="thin">
        <color rgb="FFD9D9D9"/>
      </left>
      <right/>
      <top style="thin">
        <color rgb="FFE2E8F0"/>
      </top>
      <bottom/>
      <diagonal/>
    </border>
    <border>
      <left/>
      <right/>
      <top style="thin">
        <color rgb="FFE2E8F0"/>
      </top>
      <bottom/>
      <diagonal/>
    </border>
    <border>
      <left/>
      <right/>
      <top style="medium">
        <color rgb="FF417A85"/>
      </top>
      <bottom/>
      <diagonal/>
    </border>
    <border>
      <left style="medium">
        <color rgb="FF417A85"/>
      </left>
      <right/>
      <top style="medium">
        <color rgb="FF417A85"/>
      </top>
      <bottom/>
      <diagonal/>
    </border>
    <border>
      <left style="thin">
        <color rgb="FFD9D9D9"/>
      </left>
      <right/>
      <top/>
      <bottom/>
      <diagonal/>
    </border>
    <border>
      <left style="thin">
        <color rgb="FFD9D9D9"/>
      </left>
      <right style="thin">
        <color rgb="FFD9D9D9"/>
      </right>
      <top/>
      <bottom/>
      <diagonal/>
    </border>
    <border>
      <left/>
      <right/>
      <top/>
      <bottom style="medium">
        <color rgb="FF44B3E1"/>
      </bottom>
      <diagonal/>
    </border>
    <border>
      <left/>
      <right/>
      <top style="thin">
        <color rgb="FFDEE2E6"/>
      </top>
      <bottom style="thin">
        <color rgb="FFDEE2E6"/>
      </bottom>
      <diagonal/>
    </border>
    <border>
      <left/>
      <right/>
      <top style="thin">
        <color rgb="FFDEE2E6"/>
      </top>
      <bottom/>
      <diagonal/>
    </border>
    <border>
      <left/>
      <right style="thin">
        <color rgb="FFE9ECEF"/>
      </right>
      <top style="thin">
        <color rgb="FFDEE2E6"/>
      </top>
      <bottom style="thin">
        <color rgb="FFDEE2E6"/>
      </bottom>
      <diagonal/>
    </border>
    <border>
      <left style="thin">
        <color rgb="FFE9ECEF"/>
      </left>
      <right style="thin">
        <color rgb="FFE9ECEF"/>
      </right>
      <top style="thin">
        <color rgb="FFDEE2E6"/>
      </top>
      <bottom style="thin">
        <color rgb="FFDEE2E6"/>
      </bottom>
      <diagonal/>
    </border>
    <border>
      <left style="thin">
        <color rgb="FFE9ECEF"/>
      </left>
      <right/>
      <top style="thin">
        <color rgb="FFDEE2E6"/>
      </top>
      <bottom style="thin">
        <color rgb="FFDEE2E6"/>
      </bottom>
      <diagonal/>
    </border>
    <border>
      <left/>
      <right style="thin">
        <color rgb="FFE9ECEF"/>
      </right>
      <top style="thin">
        <color rgb="FFDEE2E6"/>
      </top>
      <bottom/>
      <diagonal/>
    </border>
    <border>
      <left style="thin">
        <color rgb="FFE9ECEF"/>
      </left>
      <right style="thin">
        <color rgb="FFE9ECEF"/>
      </right>
      <top style="thin">
        <color rgb="FFDEE2E6"/>
      </top>
      <bottom/>
      <diagonal/>
    </border>
    <border>
      <left style="thin">
        <color rgb="FFE9ECEF"/>
      </left>
      <right/>
      <top style="thin">
        <color rgb="FFDEE2E6"/>
      </top>
      <bottom/>
      <diagonal/>
    </border>
    <border>
      <left/>
      <right/>
      <top/>
      <bottom style="medium">
        <color rgb="FF38BDF8"/>
      </bottom>
      <diagonal/>
    </border>
    <border>
      <left/>
      <right/>
      <top style="medium">
        <color rgb="FF38BDF8"/>
      </top>
      <bottom style="thin">
        <color rgb="FFE2E8F0"/>
      </bottom>
      <diagonal/>
    </border>
    <border>
      <left/>
      <right/>
      <top style="medium">
        <color rgb="FF38BDF8"/>
      </top>
      <bottom/>
      <diagonal/>
    </border>
    <border>
      <left/>
      <right/>
      <top/>
      <bottom style="thin">
        <color rgb="FFDEE2E6"/>
      </bottom>
      <diagonal/>
    </border>
    <border>
      <left/>
      <right/>
      <top style="thin">
        <color rgb="FF0D7C66"/>
      </top>
      <bottom style="medium">
        <color rgb="FF38BDF8"/>
      </bottom>
      <diagonal/>
    </border>
    <border>
      <left/>
      <right style="thin">
        <color rgb="FFE9ECEF"/>
      </right>
      <top/>
      <bottom style="thin">
        <color rgb="FFDEE2E6"/>
      </bottom>
      <diagonal/>
    </border>
    <border>
      <left style="thin">
        <color rgb="FFE9ECEF"/>
      </left>
      <right style="thin">
        <color rgb="FFE9ECEF"/>
      </right>
      <top/>
      <bottom style="thin">
        <color rgb="FFDEE2E6"/>
      </bottom>
      <diagonal/>
    </border>
    <border>
      <left style="thin">
        <color rgb="FFE9ECEF"/>
      </left>
      <right/>
      <top/>
      <bottom style="thin">
        <color rgb="FFDEE2E6"/>
      </bottom>
      <diagonal/>
    </border>
    <border>
      <left/>
      <right style="thin">
        <color rgb="FFE9ECEF"/>
      </right>
      <top/>
      <bottom style="medium">
        <color rgb="FF38BDF8"/>
      </bottom>
      <diagonal/>
    </border>
    <border>
      <left style="thin">
        <color rgb="FFE9ECEF"/>
      </left>
      <right style="thin">
        <color rgb="FFE9ECEF"/>
      </right>
      <top/>
      <bottom style="medium">
        <color rgb="FF38BDF8"/>
      </bottom>
      <diagonal/>
    </border>
    <border>
      <left style="thin">
        <color rgb="FFE9ECEF"/>
      </left>
      <right/>
      <top/>
      <bottom style="medium">
        <color rgb="FF38BDF8"/>
      </bottom>
      <diagonal/>
    </border>
    <border>
      <left style="thin">
        <color rgb="FFD9D9D9"/>
      </left>
      <right/>
      <top style="medium">
        <color rgb="FF38BDF8"/>
      </top>
      <bottom/>
      <diagonal/>
    </border>
    <border>
      <left/>
      <right/>
      <top/>
      <bottom style="medium">
        <color rgb="FF417A85"/>
      </bottom>
      <diagonal/>
    </border>
    <border>
      <left/>
      <right/>
      <top style="thin">
        <color rgb="FF2D4A7A"/>
      </top>
      <bottom style="thin">
        <color rgb="FF2D4A7A"/>
      </bottom>
      <diagonal/>
    </border>
    <border>
      <left/>
      <right/>
      <top style="thin">
        <color rgb="FF2D4A7A"/>
      </top>
      <bottom/>
      <diagonal/>
    </border>
  </borders>
  <cellStyleXfs count="1">
    <xf numFmtId="0" fontId="0" fillId="0" borderId="0"/>
  </cellStyleXfs>
  <cellXfs count="508">
    <xf numFmtId="0" fontId="0" fillId="0" borderId="0" xfId="0"/>
    <xf numFmtId="165" fontId="0" fillId="0" borderId="0" xfId="0" applyNumberFormat="1"/>
    <xf numFmtId="0" fontId="0" fillId="0" borderId="0" xfId="0" pivotButton="1"/>
    <xf numFmtId="0" fontId="4" fillId="4" borderId="0" xfId="0" applyFont="1" applyFill="1"/>
    <xf numFmtId="0" fontId="5" fillId="0" borderId="0" xfId="0" applyFont="1"/>
    <xf numFmtId="0" fontId="6" fillId="0" borderId="0" xfId="0" applyFont="1"/>
    <xf numFmtId="0" fontId="6" fillId="3" borderId="0" xfId="0" applyFont="1" applyFill="1"/>
    <xf numFmtId="0" fontId="5" fillId="3" borderId="0" xfId="0" applyFont="1" applyFill="1"/>
    <xf numFmtId="0" fontId="7" fillId="0" borderId="0" xfId="0" applyFont="1"/>
    <xf numFmtId="0" fontId="0" fillId="0" borderId="0" xfId="0" applyAlignment="1">
      <alignment wrapText="1"/>
    </xf>
    <xf numFmtId="0" fontId="0" fillId="4" borderId="0" xfId="0" applyFill="1" applyAlignment="1">
      <alignment wrapText="1"/>
    </xf>
    <xf numFmtId="0" fontId="0" fillId="3" borderId="0" xfId="0" applyFill="1" applyAlignment="1">
      <alignment wrapText="1"/>
    </xf>
    <xf numFmtId="49" fontId="0" fillId="0" borderId="0" xfId="0" applyNumberFormat="1"/>
    <xf numFmtId="0" fontId="0" fillId="5" borderId="0" xfId="0" applyFill="1"/>
    <xf numFmtId="0" fontId="25" fillId="6" borderId="0" xfId="0" applyFont="1" applyFill="1"/>
    <xf numFmtId="0" fontId="19" fillId="6" borderId="0" xfId="0" applyFont="1" applyFill="1"/>
    <xf numFmtId="174" fontId="19" fillId="6" borderId="0" xfId="0" applyNumberFormat="1" applyFont="1" applyFill="1" applyAlignment="1">
      <alignment horizontal="center"/>
    </xf>
    <xf numFmtId="0" fontId="32" fillId="5" borderId="0" xfId="0" applyFont="1" applyFill="1"/>
    <xf numFmtId="173" fontId="30" fillId="5" borderId="13" xfId="0" applyNumberFormat="1" applyFont="1" applyFill="1" applyBorder="1"/>
    <xf numFmtId="0" fontId="30" fillId="5" borderId="14" xfId="0" applyFont="1" applyFill="1" applyBorder="1"/>
    <xf numFmtId="4" fontId="30" fillId="5" borderId="14" xfId="0" applyNumberFormat="1" applyFont="1" applyFill="1" applyBorder="1"/>
    <xf numFmtId="49" fontId="30" fillId="5" borderId="15" xfId="0" applyNumberFormat="1" applyFont="1" applyFill="1" applyBorder="1"/>
    <xf numFmtId="173" fontId="30" fillId="5" borderId="16" xfId="0" applyNumberFormat="1" applyFont="1" applyFill="1" applyBorder="1"/>
    <xf numFmtId="0" fontId="30" fillId="5" borderId="17" xfId="0" applyFont="1" applyFill="1" applyBorder="1"/>
    <xf numFmtId="4" fontId="30" fillId="5" borderId="17" xfId="0" applyNumberFormat="1" applyFont="1" applyFill="1" applyBorder="1"/>
    <xf numFmtId="49" fontId="30" fillId="5" borderId="18" xfId="0" applyNumberFormat="1" applyFont="1" applyFill="1" applyBorder="1"/>
    <xf numFmtId="0" fontId="30" fillId="5" borderId="0" xfId="0" applyFont="1" applyFill="1"/>
    <xf numFmtId="168" fontId="30" fillId="5" borderId="0" xfId="0" applyNumberFormat="1" applyFont="1" applyFill="1" applyAlignment="1">
      <alignment horizontal="center"/>
    </xf>
    <xf numFmtId="174" fontId="30" fillId="5" borderId="0" xfId="0" applyNumberFormat="1" applyFont="1" applyFill="1" applyAlignment="1">
      <alignment horizontal="center"/>
    </xf>
    <xf numFmtId="169" fontId="30" fillId="5" borderId="0" xfId="0" applyNumberFormat="1" applyFont="1" applyFill="1" applyAlignment="1">
      <alignment horizontal="center"/>
    </xf>
    <xf numFmtId="168" fontId="30" fillId="5" borderId="5" xfId="0" applyNumberFormat="1" applyFont="1" applyFill="1" applyBorder="1" applyAlignment="1">
      <alignment horizontal="center"/>
    </xf>
    <xf numFmtId="174" fontId="30" fillId="5" borderId="5" xfId="0" applyNumberFormat="1" applyFont="1" applyFill="1" applyBorder="1" applyAlignment="1">
      <alignment horizontal="center"/>
    </xf>
    <xf numFmtId="0" fontId="30" fillId="5" borderId="0" xfId="0" applyFont="1" applyFill="1" applyAlignment="1">
      <alignment horizontal="center"/>
    </xf>
    <xf numFmtId="168" fontId="30" fillId="5" borderId="3" xfId="0" applyNumberFormat="1" applyFont="1" applyFill="1" applyBorder="1" applyAlignment="1">
      <alignment horizontal="center"/>
    </xf>
    <xf numFmtId="174" fontId="30" fillId="5" borderId="3" xfId="0" applyNumberFormat="1" applyFont="1" applyFill="1" applyBorder="1" applyAlignment="1">
      <alignment horizontal="center"/>
    </xf>
    <xf numFmtId="0" fontId="34" fillId="5" borderId="0" xfId="0" applyFont="1" applyFill="1"/>
    <xf numFmtId="170" fontId="30" fillId="5" borderId="0" xfId="0" applyNumberFormat="1" applyFont="1" applyFill="1" applyAlignment="1">
      <alignment horizontal="center"/>
    </xf>
    <xf numFmtId="171" fontId="30" fillId="5" borderId="0" xfId="0" applyNumberFormat="1" applyFont="1" applyFill="1" applyAlignment="1">
      <alignment horizontal="center"/>
    </xf>
    <xf numFmtId="0" fontId="30" fillId="5" borderId="5" xfId="0" applyFont="1" applyFill="1" applyBorder="1"/>
    <xf numFmtId="1" fontId="30" fillId="5" borderId="0" xfId="0" applyNumberFormat="1" applyFont="1" applyFill="1" applyAlignment="1">
      <alignment horizontal="center"/>
    </xf>
    <xf numFmtId="0" fontId="30" fillId="2" borderId="0" xfId="0" applyFont="1" applyFill="1"/>
    <xf numFmtId="0" fontId="35" fillId="2" borderId="0" xfId="0" applyFont="1" applyFill="1"/>
    <xf numFmtId="0" fontId="29" fillId="7" borderId="0" xfId="0" applyFont="1" applyFill="1"/>
    <xf numFmtId="0" fontId="36" fillId="5" borderId="0" xfId="0" applyFont="1" applyFill="1"/>
    <xf numFmtId="0" fontId="37" fillId="5" borderId="0" xfId="0" applyFont="1" applyFill="1"/>
    <xf numFmtId="0" fontId="30" fillId="7" borderId="0" xfId="0" applyFont="1" applyFill="1" applyAlignment="1">
      <alignment wrapText="1"/>
    </xf>
    <xf numFmtId="0" fontId="30" fillId="5" borderId="0" xfId="0" applyFont="1" applyFill="1" applyAlignment="1">
      <alignment wrapText="1"/>
    </xf>
    <xf numFmtId="0" fontId="41" fillId="7" borderId="0" xfId="0" applyFont="1" applyFill="1"/>
    <xf numFmtId="0" fontId="41" fillId="5" borderId="0" xfId="0" applyFont="1" applyFill="1"/>
    <xf numFmtId="0" fontId="11" fillId="8" borderId="0" xfId="0" applyFont="1" applyFill="1" applyAlignment="1">
      <alignment horizontal="center"/>
    </xf>
    <xf numFmtId="0" fontId="17" fillId="6" borderId="6" xfId="0" applyFont="1" applyFill="1" applyBorder="1" applyAlignment="1">
      <alignment horizontal="center"/>
    </xf>
    <xf numFmtId="0" fontId="44" fillId="9" borderId="0" xfId="0" applyFont="1" applyFill="1"/>
    <xf numFmtId="0" fontId="44" fillId="9" borderId="21" xfId="0" applyFont="1" applyFill="1" applyBorder="1"/>
    <xf numFmtId="0" fontId="44" fillId="5" borderId="3" xfId="0" applyFont="1" applyFill="1" applyBorder="1"/>
    <xf numFmtId="0" fontId="44" fillId="5" borderId="5" xfId="0" applyFont="1" applyFill="1" applyBorder="1"/>
    <xf numFmtId="0" fontId="44" fillId="9" borderId="3" xfId="0" applyFont="1" applyFill="1" applyBorder="1"/>
    <xf numFmtId="0" fontId="44" fillId="9" borderId="5" xfId="0" applyFont="1" applyFill="1" applyBorder="1"/>
    <xf numFmtId="0" fontId="45" fillId="5" borderId="0" xfId="0" applyFont="1" applyFill="1"/>
    <xf numFmtId="0" fontId="17" fillId="6" borderId="0" xfId="0" applyFont="1" applyFill="1" applyAlignment="1">
      <alignment horizontal="center"/>
    </xf>
    <xf numFmtId="0" fontId="17" fillId="6" borderId="19" xfId="0" applyFont="1" applyFill="1" applyBorder="1" applyAlignment="1">
      <alignment horizontal="center"/>
    </xf>
    <xf numFmtId="168" fontId="30" fillId="9" borderId="21" xfId="0" applyNumberFormat="1" applyFont="1" applyFill="1" applyBorder="1" applyAlignment="1">
      <alignment horizontal="center"/>
    </xf>
    <xf numFmtId="0" fontId="30" fillId="9" borderId="21" xfId="0" applyFont="1" applyFill="1" applyBorder="1" applyAlignment="1">
      <alignment horizontal="center"/>
    </xf>
    <xf numFmtId="0" fontId="30" fillId="9" borderId="21" xfId="0" applyFont="1" applyFill="1" applyBorder="1"/>
    <xf numFmtId="0" fontId="30" fillId="5" borderId="3" xfId="0" applyFont="1" applyFill="1" applyBorder="1" applyAlignment="1">
      <alignment horizontal="center"/>
    </xf>
    <xf numFmtId="0" fontId="30" fillId="5" borderId="5" xfId="0" applyFont="1" applyFill="1" applyBorder="1" applyAlignment="1">
      <alignment horizontal="center"/>
    </xf>
    <xf numFmtId="168" fontId="30" fillId="9" borderId="3" xfId="0" applyNumberFormat="1" applyFont="1" applyFill="1" applyBorder="1" applyAlignment="1">
      <alignment horizontal="center"/>
    </xf>
    <xf numFmtId="0" fontId="30" fillId="9" borderId="3" xfId="0" applyFont="1" applyFill="1" applyBorder="1" applyAlignment="1">
      <alignment horizontal="center"/>
    </xf>
    <xf numFmtId="0" fontId="30" fillId="9" borderId="3" xfId="0" applyFont="1" applyFill="1" applyBorder="1"/>
    <xf numFmtId="168" fontId="30" fillId="9" borderId="5" xfId="0" applyNumberFormat="1" applyFont="1" applyFill="1" applyBorder="1" applyAlignment="1">
      <alignment horizontal="center"/>
    </xf>
    <xf numFmtId="0" fontId="30" fillId="9" borderId="5" xfId="0" applyFont="1" applyFill="1" applyBorder="1" applyAlignment="1">
      <alignment horizontal="center"/>
    </xf>
    <xf numFmtId="0" fontId="30" fillId="9" borderId="5" xfId="0" applyFont="1" applyFill="1" applyBorder="1"/>
    <xf numFmtId="0" fontId="32" fillId="9" borderId="0" xfId="0" applyFont="1" applyFill="1"/>
    <xf numFmtId="0" fontId="18" fillId="8" borderId="0" xfId="0" applyFont="1" applyFill="1"/>
    <xf numFmtId="165" fontId="18" fillId="8" borderId="0" xfId="0" applyNumberFormat="1" applyFont="1" applyFill="1"/>
    <xf numFmtId="49" fontId="18" fillId="8" borderId="0" xfId="0" applyNumberFormat="1" applyFont="1" applyFill="1"/>
    <xf numFmtId="0" fontId="19" fillId="6" borderId="27" xfId="0" applyFont="1" applyFill="1" applyBorder="1" applyAlignment="1">
      <alignment horizontal="center"/>
    </xf>
    <xf numFmtId="0" fontId="19" fillId="6" borderId="28" xfId="0" applyFont="1" applyFill="1" applyBorder="1" applyAlignment="1">
      <alignment horizontal="center"/>
    </xf>
    <xf numFmtId="165" fontId="19" fillId="6" borderId="28" xfId="0" applyNumberFormat="1" applyFont="1" applyFill="1" applyBorder="1" applyAlignment="1">
      <alignment horizontal="center"/>
    </xf>
    <xf numFmtId="49" fontId="19" fillId="6" borderId="29" xfId="0" applyNumberFormat="1" applyFont="1" applyFill="1" applyBorder="1" applyAlignment="1">
      <alignment horizontal="center"/>
    </xf>
    <xf numFmtId="173" fontId="30" fillId="9" borderId="24" xfId="0" applyNumberFormat="1" applyFont="1" applyFill="1" applyBorder="1"/>
    <xf numFmtId="0" fontId="30" fillId="9" borderId="25" xfId="0" applyFont="1" applyFill="1" applyBorder="1"/>
    <xf numFmtId="4" fontId="30" fillId="9" borderId="25" xfId="0" applyNumberFormat="1" applyFont="1" applyFill="1" applyBorder="1"/>
    <xf numFmtId="49" fontId="30" fillId="9" borderId="26" xfId="0" applyNumberFormat="1" applyFont="1" applyFill="1" applyBorder="1"/>
    <xf numFmtId="173" fontId="30" fillId="9" borderId="13" xfId="0" applyNumberFormat="1" applyFont="1" applyFill="1" applyBorder="1"/>
    <xf numFmtId="0" fontId="30" fillId="9" borderId="14" xfId="0" applyFont="1" applyFill="1" applyBorder="1"/>
    <xf numFmtId="4" fontId="30" fillId="9" borderId="14" xfId="0" applyNumberFormat="1" applyFont="1" applyFill="1" applyBorder="1"/>
    <xf numFmtId="49" fontId="30" fillId="9" borderId="15" xfId="0" applyNumberFormat="1" applyFont="1" applyFill="1" applyBorder="1"/>
    <xf numFmtId="0" fontId="9" fillId="8" borderId="0" xfId="0" applyFont="1" applyFill="1"/>
    <xf numFmtId="0" fontId="35" fillId="8" borderId="0" xfId="0" applyFont="1" applyFill="1"/>
    <xf numFmtId="0" fontId="44" fillId="5" borderId="0" xfId="0" applyFont="1" applyFill="1"/>
    <xf numFmtId="168" fontId="33" fillId="9" borderId="20" xfId="0" applyNumberFormat="1" applyFont="1" applyFill="1" applyBorder="1" applyAlignment="1">
      <alignment horizontal="center"/>
    </xf>
    <xf numFmtId="1" fontId="33" fillId="9" borderId="20" xfId="0" applyNumberFormat="1" applyFont="1" applyFill="1" applyBorder="1" applyAlignment="1">
      <alignment horizontal="center"/>
    </xf>
    <xf numFmtId="0" fontId="33" fillId="9" borderId="20" xfId="0" applyFont="1" applyFill="1" applyBorder="1" applyAlignment="1">
      <alignment horizontal="center"/>
    </xf>
    <xf numFmtId="168" fontId="30" fillId="9" borderId="0" xfId="0" applyNumberFormat="1" applyFont="1" applyFill="1" applyAlignment="1">
      <alignment horizontal="center"/>
    </xf>
    <xf numFmtId="174" fontId="30" fillId="9" borderId="0" xfId="0" applyNumberFormat="1" applyFont="1" applyFill="1" applyAlignment="1">
      <alignment horizontal="center"/>
    </xf>
    <xf numFmtId="174" fontId="30" fillId="9" borderId="5" xfId="0" applyNumberFormat="1" applyFont="1" applyFill="1" applyBorder="1" applyAlignment="1">
      <alignment horizontal="center"/>
    </xf>
    <xf numFmtId="169" fontId="30" fillId="9" borderId="0" xfId="0" applyNumberFormat="1" applyFont="1" applyFill="1" applyAlignment="1">
      <alignment horizontal="center"/>
    </xf>
    <xf numFmtId="0" fontId="30" fillId="9" borderId="0" xfId="0" applyFont="1" applyFill="1"/>
    <xf numFmtId="0" fontId="30" fillId="9" borderId="0" xfId="0" applyFont="1" applyFill="1" applyAlignment="1">
      <alignment horizontal="center"/>
    </xf>
    <xf numFmtId="0" fontId="21" fillId="8" borderId="0" xfId="0" applyFont="1" applyFill="1"/>
    <xf numFmtId="0" fontId="21" fillId="8" borderId="0" xfId="0" applyFont="1" applyFill="1" applyAlignment="1">
      <alignment horizontal="center"/>
    </xf>
    <xf numFmtId="0" fontId="44" fillId="5" borderId="21" xfId="0" applyFont="1" applyFill="1" applyBorder="1"/>
    <xf numFmtId="0" fontId="30" fillId="5" borderId="21" xfId="0" applyFont="1" applyFill="1" applyBorder="1"/>
    <xf numFmtId="2" fontId="30" fillId="9" borderId="3" xfId="0" applyNumberFormat="1" applyFont="1" applyFill="1" applyBorder="1" applyAlignment="1">
      <alignment horizontal="center"/>
    </xf>
    <xf numFmtId="2" fontId="30" fillId="9" borderId="5" xfId="0" applyNumberFormat="1" applyFont="1" applyFill="1" applyBorder="1" applyAlignment="1">
      <alignment horizontal="center"/>
    </xf>
    <xf numFmtId="10" fontId="30" fillId="5" borderId="3" xfId="0" applyNumberFormat="1" applyFont="1" applyFill="1" applyBorder="1" applyAlignment="1">
      <alignment horizontal="center"/>
    </xf>
    <xf numFmtId="10" fontId="30" fillId="5" borderId="5" xfId="0" applyNumberFormat="1" applyFont="1" applyFill="1" applyBorder="1" applyAlignment="1">
      <alignment horizontal="center"/>
    </xf>
    <xf numFmtId="168" fontId="17" fillId="6" borderId="0" xfId="0" applyNumberFormat="1" applyFont="1" applyFill="1" applyAlignment="1">
      <alignment horizontal="center"/>
    </xf>
    <xf numFmtId="171" fontId="30" fillId="9" borderId="21" xfId="0" applyNumberFormat="1" applyFont="1" applyFill="1" applyBorder="1" applyAlignment="1">
      <alignment horizontal="center"/>
    </xf>
    <xf numFmtId="10" fontId="30" fillId="9" borderId="3" xfId="0" applyNumberFormat="1" applyFont="1" applyFill="1" applyBorder="1" applyAlignment="1">
      <alignment horizontal="center"/>
    </xf>
    <xf numFmtId="0" fontId="30" fillId="8" borderId="0" xfId="0" applyFont="1" applyFill="1"/>
    <xf numFmtId="0" fontId="26" fillId="8" borderId="0" xfId="0" applyFont="1" applyFill="1"/>
    <xf numFmtId="0" fontId="38" fillId="8" borderId="0" xfId="0" applyFont="1" applyFill="1"/>
    <xf numFmtId="10" fontId="30" fillId="9" borderId="21" xfId="0" applyNumberFormat="1" applyFont="1" applyFill="1" applyBorder="1" applyAlignment="1">
      <alignment horizontal="center"/>
    </xf>
    <xf numFmtId="10" fontId="30" fillId="9" borderId="5" xfId="0" applyNumberFormat="1" applyFont="1" applyFill="1" applyBorder="1" applyAlignment="1">
      <alignment horizontal="center"/>
    </xf>
    <xf numFmtId="2" fontId="30" fillId="5" borderId="5" xfId="0" applyNumberFormat="1" applyFont="1" applyFill="1" applyBorder="1" applyAlignment="1">
      <alignment horizontal="center"/>
    </xf>
    <xf numFmtId="0" fontId="30" fillId="5" borderId="21" xfId="0" applyFont="1" applyFill="1" applyBorder="1" applyAlignment="1">
      <alignment horizontal="center"/>
    </xf>
    <xf numFmtId="172" fontId="30" fillId="5" borderId="3" xfId="0" applyNumberFormat="1" applyFont="1" applyFill="1" applyBorder="1" applyAlignment="1">
      <alignment horizontal="center"/>
    </xf>
    <xf numFmtId="0" fontId="44" fillId="5" borderId="21" xfId="0" applyFont="1" applyFill="1" applyBorder="1" applyAlignment="1">
      <alignment horizontal="center"/>
    </xf>
    <xf numFmtId="168" fontId="30" fillId="5" borderId="21" xfId="0" applyNumberFormat="1" applyFont="1" applyFill="1" applyBorder="1" applyAlignment="1">
      <alignment horizontal="center"/>
    </xf>
    <xf numFmtId="2" fontId="30" fillId="5" borderId="21" xfId="0" applyNumberFormat="1" applyFont="1" applyFill="1" applyBorder="1" applyAlignment="1">
      <alignment horizontal="center"/>
    </xf>
    <xf numFmtId="174" fontId="30" fillId="5" borderId="21" xfId="0" applyNumberFormat="1" applyFont="1" applyFill="1" applyBorder="1" applyAlignment="1">
      <alignment horizontal="center"/>
    </xf>
    <xf numFmtId="0" fontId="44" fillId="9" borderId="3" xfId="0" applyFont="1" applyFill="1" applyBorder="1" applyAlignment="1">
      <alignment horizontal="center"/>
    </xf>
    <xf numFmtId="174" fontId="30" fillId="9" borderId="3" xfId="0" applyNumberFormat="1" applyFont="1" applyFill="1" applyBorder="1" applyAlignment="1">
      <alignment horizontal="center"/>
    </xf>
    <xf numFmtId="0" fontId="44" fillId="9" borderId="5" xfId="0" applyFont="1" applyFill="1" applyBorder="1" applyAlignment="1">
      <alignment horizontal="center"/>
    </xf>
    <xf numFmtId="0" fontId="44" fillId="5" borderId="5" xfId="0" applyFont="1" applyFill="1" applyBorder="1" applyAlignment="1">
      <alignment horizontal="center"/>
    </xf>
    <xf numFmtId="0" fontId="19" fillId="8" borderId="22" xfId="0" applyFont="1" applyFill="1" applyBorder="1" applyAlignment="1">
      <alignment horizontal="center"/>
    </xf>
    <xf numFmtId="168" fontId="19" fillId="8" borderId="22" xfId="0" applyNumberFormat="1" applyFont="1" applyFill="1" applyBorder="1" applyAlignment="1">
      <alignment horizontal="center"/>
    </xf>
    <xf numFmtId="2" fontId="19" fillId="8" borderId="22" xfId="0" applyNumberFormat="1" applyFont="1" applyFill="1" applyBorder="1" applyAlignment="1">
      <alignment horizontal="center"/>
    </xf>
    <xf numFmtId="174" fontId="19" fillId="8" borderId="22" xfId="0" applyNumberFormat="1" applyFont="1" applyFill="1" applyBorder="1" applyAlignment="1">
      <alignment horizontal="center"/>
    </xf>
    <xf numFmtId="170" fontId="9" fillId="8" borderId="19" xfId="0" applyNumberFormat="1" applyFont="1" applyFill="1" applyBorder="1" applyAlignment="1">
      <alignment horizontal="center"/>
    </xf>
    <xf numFmtId="2" fontId="9" fillId="8" borderId="19" xfId="0" applyNumberFormat="1" applyFont="1" applyFill="1" applyBorder="1" applyAlignment="1">
      <alignment horizontal="center"/>
    </xf>
    <xf numFmtId="0" fontId="9" fillId="8" borderId="19" xfId="0" applyFont="1" applyFill="1" applyBorder="1" applyAlignment="1">
      <alignment horizontal="center"/>
    </xf>
    <xf numFmtId="0" fontId="27" fillId="6" borderId="0" xfId="0" applyFont="1" applyFill="1" applyAlignment="1">
      <alignment horizontal="center"/>
    </xf>
    <xf numFmtId="0" fontId="28" fillId="8" borderId="19" xfId="0" applyFont="1" applyFill="1" applyBorder="1" applyAlignment="1">
      <alignment horizontal="center"/>
    </xf>
    <xf numFmtId="0" fontId="17" fillId="6" borderId="8" xfId="0" applyFont="1" applyFill="1" applyBorder="1" applyAlignment="1">
      <alignment horizontal="center"/>
    </xf>
    <xf numFmtId="0" fontId="17" fillId="6" borderId="9" xfId="0" applyFont="1" applyFill="1" applyBorder="1" applyAlignment="1">
      <alignment horizontal="center"/>
    </xf>
    <xf numFmtId="0" fontId="30" fillId="9" borderId="30" xfId="0" applyFont="1" applyFill="1" applyBorder="1"/>
    <xf numFmtId="2" fontId="30" fillId="9" borderId="21" xfId="0" applyNumberFormat="1" applyFont="1" applyFill="1" applyBorder="1"/>
    <xf numFmtId="171" fontId="30" fillId="9" borderId="21" xfId="0" applyNumberFormat="1" applyFont="1" applyFill="1" applyBorder="1"/>
    <xf numFmtId="164" fontId="30" fillId="9" borderId="21" xfId="0" applyNumberFormat="1" applyFont="1" applyFill="1" applyBorder="1"/>
    <xf numFmtId="0" fontId="30" fillId="5" borderId="2" xfId="0" applyFont="1" applyFill="1" applyBorder="1"/>
    <xf numFmtId="2" fontId="30" fillId="5" borderId="3" xfId="0" applyNumberFormat="1" applyFont="1" applyFill="1" applyBorder="1"/>
    <xf numFmtId="171" fontId="30" fillId="5" borderId="3" xfId="0" applyNumberFormat="1" applyFont="1" applyFill="1" applyBorder="1"/>
    <xf numFmtId="164" fontId="30" fillId="5" borderId="3" xfId="0" applyNumberFormat="1" applyFont="1" applyFill="1" applyBorder="1"/>
    <xf numFmtId="0" fontId="30" fillId="5" borderId="4" xfId="0" applyFont="1" applyFill="1" applyBorder="1"/>
    <xf numFmtId="2" fontId="30" fillId="5" borderId="5" xfId="0" applyNumberFormat="1" applyFont="1" applyFill="1" applyBorder="1"/>
    <xf numFmtId="171" fontId="30" fillId="5" borderId="5" xfId="0" applyNumberFormat="1" applyFont="1" applyFill="1" applyBorder="1"/>
    <xf numFmtId="164" fontId="30" fillId="5" borderId="5" xfId="0" applyNumberFormat="1" applyFont="1" applyFill="1" applyBorder="1"/>
    <xf numFmtId="0" fontId="30" fillId="9" borderId="4" xfId="0" applyFont="1" applyFill="1" applyBorder="1"/>
    <xf numFmtId="2" fontId="30" fillId="9" borderId="5" xfId="0" applyNumberFormat="1" applyFont="1" applyFill="1" applyBorder="1"/>
    <xf numFmtId="171" fontId="30" fillId="9" borderId="5" xfId="0" applyNumberFormat="1" applyFont="1" applyFill="1" applyBorder="1"/>
    <xf numFmtId="164" fontId="30" fillId="9" borderId="5" xfId="0" applyNumberFormat="1" applyFont="1" applyFill="1" applyBorder="1"/>
    <xf numFmtId="0" fontId="10" fillId="8" borderId="0" xfId="0" applyFont="1" applyFill="1"/>
    <xf numFmtId="0" fontId="8" fillId="8" borderId="0" xfId="0" applyFont="1" applyFill="1"/>
    <xf numFmtId="0" fontId="40" fillId="9" borderId="0" xfId="0" applyFont="1" applyFill="1"/>
    <xf numFmtId="0" fontId="0" fillId="9" borderId="0" xfId="0" applyFill="1"/>
    <xf numFmtId="0" fontId="26" fillId="8" borderId="0" xfId="0" applyFont="1" applyFill="1" applyAlignment="1">
      <alignment wrapText="1"/>
    </xf>
    <xf numFmtId="0" fontId="19" fillId="6" borderId="19" xfId="0" applyFont="1" applyFill="1" applyBorder="1"/>
    <xf numFmtId="0" fontId="19" fillId="6" borderId="19" xfId="0" applyFont="1" applyFill="1" applyBorder="1" applyAlignment="1">
      <alignment wrapText="1"/>
    </xf>
    <xf numFmtId="0" fontId="30" fillId="9" borderId="0" xfId="0" applyFont="1" applyFill="1" applyAlignment="1">
      <alignment wrapText="1"/>
    </xf>
    <xf numFmtId="0" fontId="48" fillId="5" borderId="0" xfId="0" applyFont="1" applyFill="1"/>
    <xf numFmtId="0" fontId="44" fillId="9" borderId="10" xfId="0" applyFont="1" applyFill="1" applyBorder="1"/>
    <xf numFmtId="0" fontId="31" fillId="9" borderId="10" xfId="0" applyFont="1" applyFill="1" applyBorder="1" applyAlignment="1">
      <alignment wrapText="1"/>
    </xf>
    <xf numFmtId="0" fontId="41" fillId="9" borderId="0" xfId="0" applyFont="1" applyFill="1"/>
    <xf numFmtId="0" fontId="49" fillId="5" borderId="0" xfId="0" applyFont="1" applyFill="1"/>
    <xf numFmtId="0" fontId="41" fillId="9" borderId="10" xfId="0" applyFont="1" applyFill="1" applyBorder="1"/>
    <xf numFmtId="0" fontId="31" fillId="9" borderId="0" xfId="0" applyFont="1" applyFill="1" applyAlignment="1">
      <alignment wrapText="1"/>
    </xf>
    <xf numFmtId="0" fontId="50" fillId="0" borderId="0" xfId="0" applyFont="1"/>
    <xf numFmtId="0" fontId="51" fillId="5" borderId="12" xfId="0" applyFont="1" applyFill="1" applyBorder="1" applyAlignment="1">
      <alignment horizontal="center"/>
    </xf>
    <xf numFmtId="0" fontId="52" fillId="5" borderId="12" xfId="0" applyFont="1" applyFill="1" applyBorder="1"/>
    <xf numFmtId="168" fontId="50" fillId="5" borderId="12" xfId="0" applyNumberFormat="1" applyFont="1" applyFill="1" applyBorder="1" applyAlignment="1">
      <alignment horizontal="center"/>
    </xf>
    <xf numFmtId="174" fontId="50" fillId="5" borderId="12" xfId="0" applyNumberFormat="1" applyFont="1" applyFill="1" applyBorder="1" applyAlignment="1">
      <alignment horizontal="center"/>
    </xf>
    <xf numFmtId="0" fontId="50" fillId="5" borderId="12" xfId="0" applyFont="1" applyFill="1" applyBorder="1" applyAlignment="1">
      <alignment horizontal="center"/>
    </xf>
    <xf numFmtId="2" fontId="50" fillId="5" borderId="12" xfId="0" applyNumberFormat="1" applyFont="1" applyFill="1" applyBorder="1" applyAlignment="1">
      <alignment horizontal="center"/>
    </xf>
    <xf numFmtId="0" fontId="50" fillId="8" borderId="0" xfId="0" applyFont="1" applyFill="1"/>
    <xf numFmtId="0" fontId="45" fillId="0" borderId="0" xfId="0" applyFont="1"/>
    <xf numFmtId="168" fontId="50" fillId="9" borderId="0" xfId="0" applyNumberFormat="1" applyFont="1" applyFill="1" applyAlignment="1">
      <alignment horizontal="center"/>
    </xf>
    <xf numFmtId="0" fontId="51" fillId="9" borderId="0" xfId="0" applyFont="1" applyFill="1" applyAlignment="1">
      <alignment horizontal="center"/>
    </xf>
    <xf numFmtId="0" fontId="52" fillId="9" borderId="0" xfId="0" applyFont="1" applyFill="1"/>
    <xf numFmtId="0" fontId="44" fillId="5" borderId="12" xfId="0" applyFont="1" applyFill="1" applyBorder="1"/>
    <xf numFmtId="0" fontId="51" fillId="9" borderId="12" xfId="0" applyFont="1" applyFill="1" applyBorder="1" applyAlignment="1">
      <alignment horizontal="center"/>
    </xf>
    <xf numFmtId="0" fontId="52" fillId="9" borderId="12" xfId="0" applyFont="1" applyFill="1" applyBorder="1"/>
    <xf numFmtId="0" fontId="44" fillId="9" borderId="12" xfId="0" applyFont="1" applyFill="1" applyBorder="1"/>
    <xf numFmtId="0" fontId="50" fillId="9" borderId="12" xfId="0" applyFont="1" applyFill="1" applyBorder="1" applyAlignment="1">
      <alignment horizontal="center"/>
    </xf>
    <xf numFmtId="174" fontId="50" fillId="9" borderId="12" xfId="0" applyNumberFormat="1" applyFont="1" applyFill="1" applyBorder="1" applyAlignment="1">
      <alignment horizontal="center"/>
    </xf>
    <xf numFmtId="168" fontId="50" fillId="9" borderId="12" xfId="0" applyNumberFormat="1" applyFont="1" applyFill="1" applyBorder="1" applyAlignment="1">
      <alignment horizontal="center"/>
    </xf>
    <xf numFmtId="0" fontId="51" fillId="9" borderId="11" xfId="0" applyFont="1" applyFill="1" applyBorder="1" applyAlignment="1">
      <alignment horizontal="center"/>
    </xf>
    <xf numFmtId="0" fontId="52" fillId="9" borderId="11" xfId="0" applyFont="1" applyFill="1" applyBorder="1"/>
    <xf numFmtId="0" fontId="44" fillId="9" borderId="11" xfId="0" applyFont="1" applyFill="1" applyBorder="1"/>
    <xf numFmtId="0" fontId="50" fillId="9" borderId="0" xfId="0" applyFont="1" applyFill="1" applyAlignment="1">
      <alignment horizontal="center"/>
    </xf>
    <xf numFmtId="2" fontId="50" fillId="9" borderId="0" xfId="0" applyNumberFormat="1" applyFont="1" applyFill="1" applyAlignment="1">
      <alignment horizontal="center"/>
    </xf>
    <xf numFmtId="0" fontId="50" fillId="9" borderId="11" xfId="0" applyFont="1" applyFill="1" applyBorder="1" applyAlignment="1">
      <alignment horizontal="center"/>
    </xf>
    <xf numFmtId="2" fontId="50" fillId="9" borderId="11" xfId="0" applyNumberFormat="1" applyFont="1" applyFill="1" applyBorder="1" applyAlignment="1">
      <alignment horizontal="center"/>
    </xf>
    <xf numFmtId="0" fontId="20" fillId="9" borderId="0" xfId="0" applyFont="1" applyFill="1" applyAlignment="1">
      <alignment horizontal="center"/>
    </xf>
    <xf numFmtId="0" fontId="53" fillId="9" borderId="0" xfId="0" applyFont="1" applyFill="1" applyAlignment="1">
      <alignment horizontal="center"/>
    </xf>
    <xf numFmtId="172" fontId="30" fillId="5" borderId="5" xfId="0" applyNumberFormat="1" applyFont="1" applyFill="1" applyBorder="1" applyAlignment="1">
      <alignment horizontal="center"/>
    </xf>
    <xf numFmtId="172" fontId="30" fillId="9" borderId="3" xfId="0" applyNumberFormat="1" applyFont="1" applyFill="1" applyBorder="1" applyAlignment="1">
      <alignment horizontal="center"/>
    </xf>
    <xf numFmtId="1" fontId="30" fillId="9" borderId="0" xfId="0" applyNumberFormat="1" applyFont="1" applyFill="1" applyAlignment="1">
      <alignment horizontal="center"/>
    </xf>
    <xf numFmtId="171" fontId="21" fillId="8" borderId="0" xfId="0" applyNumberFormat="1" applyFont="1" applyFill="1" applyAlignment="1">
      <alignment horizontal="center"/>
    </xf>
    <xf numFmtId="0" fontId="54" fillId="9" borderId="0" xfId="0" applyFont="1" applyFill="1" applyAlignment="1">
      <alignment horizontal="center"/>
    </xf>
    <xf numFmtId="0" fontId="43" fillId="9" borderId="0" xfId="0" applyFont="1" applyFill="1" applyAlignment="1">
      <alignment horizontal="center"/>
    </xf>
    <xf numFmtId="0" fontId="3" fillId="6" borderId="0" xfId="0" applyFont="1" applyFill="1" applyAlignment="1">
      <alignment horizontal="center"/>
    </xf>
    <xf numFmtId="0" fontId="47" fillId="9" borderId="21" xfId="0" applyFont="1" applyFill="1" applyBorder="1"/>
    <xf numFmtId="10" fontId="0" fillId="9" borderId="21" xfId="0" applyNumberFormat="1" applyFill="1" applyBorder="1" applyAlignment="1">
      <alignment horizontal="center"/>
    </xf>
    <xf numFmtId="0" fontId="1" fillId="9" borderId="21" xfId="0" applyFont="1" applyFill="1" applyBorder="1" applyAlignment="1">
      <alignment horizontal="center"/>
    </xf>
    <xf numFmtId="0" fontId="39" fillId="9" borderId="21" xfId="0" applyFont="1" applyFill="1" applyBorder="1"/>
    <xf numFmtId="0" fontId="47" fillId="5" borderId="5" xfId="0" applyFont="1" applyFill="1" applyBorder="1"/>
    <xf numFmtId="2" fontId="0" fillId="5" borderId="5" xfId="0" applyNumberFormat="1" applyFill="1" applyBorder="1" applyAlignment="1">
      <alignment horizontal="center"/>
    </xf>
    <xf numFmtId="0" fontId="1" fillId="5" borderId="5" xfId="0" applyFont="1" applyFill="1" applyBorder="1" applyAlignment="1">
      <alignment horizontal="center"/>
    </xf>
    <xf numFmtId="0" fontId="39" fillId="5" borderId="5" xfId="0" applyFont="1" applyFill="1" applyBorder="1"/>
    <xf numFmtId="0" fontId="47" fillId="9" borderId="3" xfId="0" applyFont="1" applyFill="1" applyBorder="1"/>
    <xf numFmtId="0" fontId="1" fillId="9" borderId="3" xfId="0" applyFont="1" applyFill="1" applyBorder="1" applyAlignment="1">
      <alignment horizontal="center"/>
    </xf>
    <xf numFmtId="0" fontId="39" fillId="9" borderId="3" xfId="0" applyFont="1" applyFill="1" applyBorder="1"/>
    <xf numFmtId="0" fontId="47" fillId="9" borderId="5" xfId="0" applyFont="1" applyFill="1" applyBorder="1"/>
    <xf numFmtId="2" fontId="0" fillId="9" borderId="5" xfId="0" applyNumberFormat="1" applyFill="1" applyBorder="1" applyAlignment="1">
      <alignment horizontal="center"/>
    </xf>
    <xf numFmtId="0" fontId="1" fillId="9" borderId="5" xfId="0" applyFont="1" applyFill="1" applyBorder="1" applyAlignment="1">
      <alignment horizontal="center"/>
    </xf>
    <xf numFmtId="0" fontId="39" fillId="9" borderId="5" xfId="0" applyFont="1" applyFill="1" applyBorder="1"/>
    <xf numFmtId="174" fontId="0" fillId="5" borderId="5" xfId="0" applyNumberFormat="1" applyFill="1" applyBorder="1" applyAlignment="1">
      <alignment horizontal="center"/>
    </xf>
    <xf numFmtId="10" fontId="0" fillId="9" borderId="5" xfId="0" applyNumberFormat="1" applyFill="1" applyBorder="1" applyAlignment="1">
      <alignment horizontal="center"/>
    </xf>
    <xf numFmtId="10" fontId="0" fillId="5" borderId="5" xfId="0" applyNumberFormat="1" applyFill="1" applyBorder="1" applyAlignment="1">
      <alignment horizontal="center"/>
    </xf>
    <xf numFmtId="168" fontId="0" fillId="9" borderId="3" xfId="0" applyNumberFormat="1" applyFill="1" applyBorder="1" applyAlignment="1">
      <alignment horizontal="center"/>
    </xf>
    <xf numFmtId="0" fontId="55" fillId="2" borderId="0" xfId="0" applyFont="1" applyFill="1"/>
    <xf numFmtId="3" fontId="55" fillId="2" borderId="0" xfId="0" applyNumberFormat="1" applyFont="1" applyFill="1"/>
    <xf numFmtId="0" fontId="55" fillId="2" borderId="0" xfId="0" applyFont="1" applyFill="1" applyAlignment="1">
      <alignment horizontal="center"/>
    </xf>
    <xf numFmtId="170" fontId="55" fillId="2" borderId="0" xfId="0" applyNumberFormat="1" applyFont="1" applyFill="1" applyAlignment="1">
      <alignment horizontal="center"/>
    </xf>
    <xf numFmtId="2" fontId="55" fillId="2" borderId="0" xfId="0" applyNumberFormat="1" applyFont="1" applyFill="1" applyAlignment="1">
      <alignment horizontal="center"/>
    </xf>
    <xf numFmtId="0" fontId="55" fillId="8" borderId="0" xfId="0" applyFont="1" applyFill="1"/>
    <xf numFmtId="0" fontId="24" fillId="2" borderId="0" xfId="0" applyFont="1" applyFill="1"/>
    <xf numFmtId="0" fontId="57" fillId="10" borderId="21" xfId="0" applyFont="1" applyFill="1" applyBorder="1" applyAlignment="1">
      <alignment horizontal="center"/>
    </xf>
    <xf numFmtId="0" fontId="38" fillId="10" borderId="21" xfId="0" applyFont="1" applyFill="1" applyBorder="1" applyAlignment="1">
      <alignment horizontal="center"/>
    </xf>
    <xf numFmtId="171" fontId="55" fillId="10" borderId="21" xfId="0" applyNumberFormat="1" applyFont="1" applyFill="1" applyBorder="1" applyAlignment="1">
      <alignment horizontal="center"/>
    </xf>
    <xf numFmtId="2" fontId="55" fillId="10" borderId="21" xfId="0" applyNumberFormat="1" applyFont="1" applyFill="1" applyBorder="1" applyAlignment="1">
      <alignment horizontal="center"/>
    </xf>
    <xf numFmtId="168" fontId="55" fillId="10" borderId="21" xfId="0" applyNumberFormat="1" applyFont="1" applyFill="1" applyBorder="1" applyAlignment="1">
      <alignment horizontal="center"/>
    </xf>
    <xf numFmtId="0" fontId="57" fillId="11" borderId="32" xfId="0" applyFont="1" applyFill="1" applyBorder="1" applyAlignment="1">
      <alignment horizontal="center"/>
    </xf>
    <xf numFmtId="0" fontId="38" fillId="11" borderId="32" xfId="0" applyFont="1" applyFill="1" applyBorder="1" applyAlignment="1">
      <alignment horizontal="center"/>
    </xf>
    <xf numFmtId="171" fontId="55" fillId="11" borderId="32" xfId="0" applyNumberFormat="1" applyFont="1" applyFill="1" applyBorder="1" applyAlignment="1">
      <alignment horizontal="center"/>
    </xf>
    <xf numFmtId="2" fontId="55" fillId="11" borderId="32" xfId="0" applyNumberFormat="1" applyFont="1" applyFill="1" applyBorder="1" applyAlignment="1">
      <alignment horizontal="center"/>
    </xf>
    <xf numFmtId="0" fontId="57" fillId="11" borderId="33" xfId="0" applyFont="1" applyFill="1" applyBorder="1" applyAlignment="1">
      <alignment horizontal="center"/>
    </xf>
    <xf numFmtId="0" fontId="38" fillId="11" borderId="33" xfId="0" applyFont="1" applyFill="1" applyBorder="1" applyAlignment="1">
      <alignment horizontal="center"/>
    </xf>
    <xf numFmtId="171" fontId="55" fillId="11" borderId="33" xfId="0" applyNumberFormat="1" applyFont="1" applyFill="1" applyBorder="1" applyAlignment="1">
      <alignment horizontal="center"/>
    </xf>
    <xf numFmtId="2" fontId="55" fillId="11" borderId="33" xfId="0" applyNumberFormat="1" applyFont="1" applyFill="1" applyBorder="1" applyAlignment="1">
      <alignment horizontal="center"/>
    </xf>
    <xf numFmtId="168" fontId="55" fillId="11" borderId="33" xfId="0" applyNumberFormat="1" applyFont="1" applyFill="1" applyBorder="1" applyAlignment="1">
      <alignment horizontal="center"/>
    </xf>
    <xf numFmtId="0" fontId="57" fillId="10" borderId="33" xfId="0" applyFont="1" applyFill="1" applyBorder="1" applyAlignment="1">
      <alignment horizontal="center"/>
    </xf>
    <xf numFmtId="0" fontId="38" fillId="10" borderId="33" xfId="0" applyFont="1" applyFill="1" applyBorder="1" applyAlignment="1">
      <alignment horizontal="center"/>
    </xf>
    <xf numFmtId="171" fontId="55" fillId="10" borderId="33" xfId="0" applyNumberFormat="1" applyFont="1" applyFill="1" applyBorder="1" applyAlignment="1">
      <alignment horizontal="center"/>
    </xf>
    <xf numFmtId="2" fontId="55" fillId="10" borderId="33" xfId="0" applyNumberFormat="1" applyFont="1" applyFill="1" applyBorder="1" applyAlignment="1">
      <alignment horizontal="center"/>
    </xf>
    <xf numFmtId="168" fontId="55" fillId="10" borderId="33" xfId="0" applyNumberFormat="1" applyFont="1" applyFill="1" applyBorder="1" applyAlignment="1">
      <alignment horizontal="center"/>
    </xf>
    <xf numFmtId="0" fontId="22" fillId="2" borderId="0" xfId="0" applyFont="1" applyFill="1"/>
    <xf numFmtId="0" fontId="57" fillId="10" borderId="21" xfId="0" applyFont="1" applyFill="1" applyBorder="1"/>
    <xf numFmtId="0" fontId="55" fillId="10" borderId="21" xfId="0" applyFont="1" applyFill="1" applyBorder="1" applyAlignment="1">
      <alignment horizontal="center"/>
    </xf>
    <xf numFmtId="0" fontId="57" fillId="11" borderId="33" xfId="0" applyFont="1" applyFill="1" applyBorder="1"/>
    <xf numFmtId="3" fontId="55" fillId="11" borderId="33" xfId="0" applyNumberFormat="1" applyFont="1" applyFill="1" applyBorder="1" applyAlignment="1">
      <alignment horizontal="center"/>
    </xf>
    <xf numFmtId="0" fontId="57" fillId="10" borderId="32" xfId="0" applyFont="1" applyFill="1" applyBorder="1"/>
    <xf numFmtId="3" fontId="55" fillId="10" borderId="32" xfId="0" applyNumberFormat="1" applyFont="1" applyFill="1" applyBorder="1" applyAlignment="1">
      <alignment horizontal="center"/>
    </xf>
    <xf numFmtId="0" fontId="57" fillId="10" borderId="33" xfId="0" applyFont="1" applyFill="1" applyBorder="1"/>
    <xf numFmtId="3" fontId="55" fillId="10" borderId="33" xfId="0" applyNumberFormat="1" applyFont="1" applyFill="1" applyBorder="1" applyAlignment="1">
      <alignment horizontal="center"/>
    </xf>
    <xf numFmtId="0" fontId="17" fillId="6" borderId="21" xfId="0" applyFont="1" applyFill="1" applyBorder="1" applyAlignment="1">
      <alignment horizontal="center"/>
    </xf>
    <xf numFmtId="171" fontId="17" fillId="6" borderId="21" xfId="0" applyNumberFormat="1" applyFont="1" applyFill="1" applyBorder="1" applyAlignment="1">
      <alignment horizontal="center"/>
    </xf>
    <xf numFmtId="2" fontId="17" fillId="6" borderId="21" xfId="0" applyNumberFormat="1" applyFont="1" applyFill="1" applyBorder="1" applyAlignment="1">
      <alignment horizontal="center"/>
    </xf>
    <xf numFmtId="168" fontId="17" fillId="6" borderId="21" xfId="0" applyNumberFormat="1" applyFont="1" applyFill="1" applyBorder="1" applyAlignment="1">
      <alignment horizontal="center"/>
    </xf>
    <xf numFmtId="0" fontId="55" fillId="11" borderId="33" xfId="0" applyFont="1" applyFill="1" applyBorder="1" applyAlignment="1">
      <alignment horizontal="center"/>
    </xf>
    <xf numFmtId="0" fontId="55" fillId="10" borderId="33" xfId="0" applyFont="1" applyFill="1" applyBorder="1" applyAlignment="1">
      <alignment horizontal="center"/>
    </xf>
    <xf numFmtId="0" fontId="11" fillId="8" borderId="33" xfId="0" applyFont="1" applyFill="1" applyBorder="1" applyAlignment="1">
      <alignment horizontal="center"/>
    </xf>
    <xf numFmtId="0" fontId="56" fillId="10" borderId="21" xfId="0" applyFont="1" applyFill="1" applyBorder="1"/>
    <xf numFmtId="0" fontId="56" fillId="11" borderId="32" xfId="0" applyFont="1" applyFill="1" applyBorder="1"/>
    <xf numFmtId="0" fontId="56" fillId="11" borderId="33" xfId="0" applyFont="1" applyFill="1" applyBorder="1"/>
    <xf numFmtId="0" fontId="56" fillId="10" borderId="33" xfId="0" applyFont="1" applyFill="1" applyBorder="1"/>
    <xf numFmtId="0" fontId="70" fillId="2" borderId="0" xfId="0" applyFont="1" applyFill="1"/>
    <xf numFmtId="0" fontId="70" fillId="2" borderId="0" xfId="0" applyFont="1" applyFill="1" applyAlignment="1">
      <alignment vertical="center"/>
    </xf>
    <xf numFmtId="0" fontId="70" fillId="2" borderId="0" xfId="0" applyFont="1" applyFill="1" applyAlignment="1">
      <alignment horizontal="left" vertical="center"/>
    </xf>
    <xf numFmtId="166" fontId="70" fillId="2" borderId="0" xfId="0" applyNumberFormat="1" applyFont="1" applyFill="1"/>
    <xf numFmtId="167" fontId="70" fillId="2" borderId="0" xfId="0" applyNumberFormat="1" applyFont="1" applyFill="1"/>
    <xf numFmtId="0" fontId="72" fillId="2" borderId="1" xfId="0" applyFont="1" applyFill="1" applyBorder="1" applyAlignment="1">
      <alignment horizontal="center" vertical="center"/>
    </xf>
    <xf numFmtId="0" fontId="70" fillId="2" borderId="1" xfId="0" applyFont="1" applyFill="1" applyBorder="1" applyAlignment="1">
      <alignment horizontal="center"/>
    </xf>
    <xf numFmtId="0" fontId="70" fillId="2" borderId="31" xfId="0" applyFont="1" applyFill="1" applyBorder="1"/>
    <xf numFmtId="166" fontId="70" fillId="2" borderId="31" xfId="0" applyNumberFormat="1" applyFont="1" applyFill="1" applyBorder="1"/>
    <xf numFmtId="167" fontId="70" fillId="2" borderId="31" xfId="0" applyNumberFormat="1" applyFont="1" applyFill="1" applyBorder="1"/>
    <xf numFmtId="0" fontId="64" fillId="8" borderId="0" xfId="0" applyFont="1" applyFill="1" applyAlignment="1">
      <alignment horizontal="center" vertical="center"/>
    </xf>
    <xf numFmtId="0" fontId="64" fillId="8" borderId="0" xfId="0" applyFont="1" applyFill="1" applyAlignment="1">
      <alignment horizontal="center" vertical="center" wrapText="1"/>
    </xf>
    <xf numFmtId="0" fontId="64" fillId="8" borderId="0" xfId="0" applyFont="1" applyFill="1" applyAlignment="1">
      <alignment horizontal="center"/>
    </xf>
    <xf numFmtId="0" fontId="65" fillId="8" borderId="19" xfId="0" applyFont="1" applyFill="1" applyBorder="1" applyAlignment="1">
      <alignment horizontal="center" vertical="center"/>
    </xf>
    <xf numFmtId="174" fontId="65" fillId="8" borderId="19" xfId="0" applyNumberFormat="1" applyFont="1" applyFill="1" applyBorder="1" applyAlignment="1">
      <alignment horizontal="center" vertical="center"/>
    </xf>
    <xf numFmtId="2" fontId="65" fillId="8" borderId="19" xfId="0" applyNumberFormat="1" applyFont="1" applyFill="1" applyBorder="1" applyAlignment="1">
      <alignment horizontal="center"/>
    </xf>
    <xf numFmtId="168" fontId="65" fillId="8" borderId="19" xfId="0" applyNumberFormat="1" applyFont="1" applyFill="1" applyBorder="1" applyAlignment="1">
      <alignment horizontal="center"/>
    </xf>
    <xf numFmtId="174" fontId="65" fillId="8" borderId="19" xfId="0" applyNumberFormat="1" applyFont="1" applyFill="1" applyBorder="1" applyAlignment="1">
      <alignment horizontal="center"/>
    </xf>
    <xf numFmtId="168" fontId="66" fillId="8" borderId="19" xfId="0" applyNumberFormat="1" applyFont="1" applyFill="1" applyBorder="1" applyAlignment="1">
      <alignment horizontal="center" vertical="center"/>
    </xf>
    <xf numFmtId="10" fontId="66" fillId="8" borderId="19" xfId="0" applyNumberFormat="1" applyFont="1" applyFill="1" applyBorder="1" applyAlignment="1">
      <alignment horizontal="center" vertical="center"/>
    </xf>
    <xf numFmtId="2" fontId="67" fillId="8" borderId="19" xfId="0" applyNumberFormat="1" applyFont="1" applyFill="1" applyBorder="1" applyAlignment="1">
      <alignment horizontal="center"/>
    </xf>
    <xf numFmtId="168" fontId="74" fillId="8" borderId="19" xfId="0" applyNumberFormat="1" applyFont="1" applyFill="1" applyBorder="1" applyAlignment="1">
      <alignment horizontal="center"/>
    </xf>
    <xf numFmtId="0" fontId="68" fillId="6" borderId="7" xfId="0" applyFont="1" applyFill="1" applyBorder="1" applyAlignment="1">
      <alignment horizontal="center"/>
    </xf>
    <xf numFmtId="0" fontId="68" fillId="6" borderId="6" xfId="0" applyFont="1" applyFill="1" applyBorder="1" applyAlignment="1">
      <alignment horizontal="center"/>
    </xf>
    <xf numFmtId="0" fontId="77" fillId="10" borderId="21" xfId="0" applyFont="1" applyFill="1" applyBorder="1"/>
    <xf numFmtId="0" fontId="78" fillId="10" borderId="21" xfId="0" applyFont="1" applyFill="1" applyBorder="1"/>
    <xf numFmtId="3" fontId="70" fillId="10" borderId="21" xfId="0" applyNumberFormat="1" applyFont="1" applyFill="1" applyBorder="1" applyAlignment="1">
      <alignment horizontal="center"/>
    </xf>
    <xf numFmtId="0" fontId="70" fillId="10" borderId="21" xfId="0" applyFont="1" applyFill="1" applyBorder="1"/>
    <xf numFmtId="168" fontId="75" fillId="10" borderId="21" xfId="0" applyNumberFormat="1" applyFont="1" applyFill="1" applyBorder="1" applyAlignment="1">
      <alignment horizontal="center"/>
    </xf>
    <xf numFmtId="0" fontId="77" fillId="11" borderId="32" xfId="0" applyFont="1" applyFill="1" applyBorder="1"/>
    <xf numFmtId="0" fontId="78" fillId="11" borderId="32" xfId="0" applyFont="1" applyFill="1" applyBorder="1"/>
    <xf numFmtId="3" fontId="70" fillId="11" borderId="32" xfId="0" applyNumberFormat="1" applyFont="1" applyFill="1" applyBorder="1" applyAlignment="1">
      <alignment horizontal="center"/>
    </xf>
    <xf numFmtId="0" fontId="70" fillId="11" borderId="32" xfId="0" applyFont="1" applyFill="1" applyBorder="1"/>
    <xf numFmtId="168" fontId="75" fillId="11" borderId="32" xfId="0" applyNumberFormat="1" applyFont="1" applyFill="1" applyBorder="1" applyAlignment="1">
      <alignment horizontal="center"/>
    </xf>
    <xf numFmtId="0" fontId="77" fillId="10" borderId="21" xfId="0" applyFont="1" applyFill="1" applyBorder="1" applyAlignment="1">
      <alignment horizontal="center"/>
    </xf>
    <xf numFmtId="168" fontId="70" fillId="10" borderId="21" xfId="0" applyNumberFormat="1" applyFont="1" applyFill="1" applyBorder="1" applyAlignment="1">
      <alignment horizontal="center"/>
    </xf>
    <xf numFmtId="0" fontId="70" fillId="10" borderId="21" xfId="0" applyFont="1" applyFill="1" applyBorder="1" applyAlignment="1">
      <alignment horizontal="center"/>
    </xf>
    <xf numFmtId="0" fontId="77" fillId="11" borderId="32" xfId="0" applyFont="1" applyFill="1" applyBorder="1" applyAlignment="1">
      <alignment horizontal="center"/>
    </xf>
    <xf numFmtId="168" fontId="70" fillId="11" borderId="32" xfId="0" applyNumberFormat="1" applyFont="1" applyFill="1" applyBorder="1" applyAlignment="1">
      <alignment horizontal="center"/>
    </xf>
    <xf numFmtId="0" fontId="70" fillId="11" borderId="32" xfId="0" applyFont="1" applyFill="1" applyBorder="1" applyAlignment="1">
      <alignment horizontal="center"/>
    </xf>
    <xf numFmtId="0" fontId="77" fillId="11" borderId="33" xfId="0" applyFont="1" applyFill="1" applyBorder="1"/>
    <xf numFmtId="0" fontId="78" fillId="11" borderId="33" xfId="0" applyFont="1" applyFill="1" applyBorder="1"/>
    <xf numFmtId="3" fontId="70" fillId="11" borderId="33" xfId="0" applyNumberFormat="1" applyFont="1" applyFill="1" applyBorder="1" applyAlignment="1">
      <alignment horizontal="center"/>
    </xf>
    <xf numFmtId="0" fontId="70" fillId="11" borderId="33" xfId="0" applyFont="1" applyFill="1" applyBorder="1"/>
    <xf numFmtId="168" fontId="75" fillId="11" borderId="33" xfId="0" applyNumberFormat="1" applyFont="1" applyFill="1" applyBorder="1" applyAlignment="1">
      <alignment horizontal="center"/>
    </xf>
    <xf numFmtId="0" fontId="77" fillId="11" borderId="33" xfId="0" applyFont="1" applyFill="1" applyBorder="1" applyAlignment="1">
      <alignment horizontal="center"/>
    </xf>
    <xf numFmtId="168" fontId="70" fillId="11" borderId="33" xfId="0" applyNumberFormat="1" applyFont="1" applyFill="1" applyBorder="1" applyAlignment="1">
      <alignment horizontal="center"/>
    </xf>
    <xf numFmtId="0" fontId="70" fillId="11" borderId="33" xfId="0" applyFont="1" applyFill="1" applyBorder="1" applyAlignment="1">
      <alignment horizontal="center"/>
    </xf>
    <xf numFmtId="0" fontId="77" fillId="10" borderId="33" xfId="0" applyFont="1" applyFill="1" applyBorder="1"/>
    <xf numFmtId="0" fontId="78" fillId="10" borderId="33" xfId="0" applyFont="1" applyFill="1" applyBorder="1"/>
    <xf numFmtId="3" fontId="70" fillId="10" borderId="33" xfId="0" applyNumberFormat="1" applyFont="1" applyFill="1" applyBorder="1" applyAlignment="1">
      <alignment horizontal="center"/>
    </xf>
    <xf numFmtId="0" fontId="70" fillId="10" borderId="33" xfId="0" applyFont="1" applyFill="1" applyBorder="1"/>
    <xf numFmtId="168" fontId="75" fillId="10" borderId="33" xfId="0" applyNumberFormat="1" applyFont="1" applyFill="1" applyBorder="1" applyAlignment="1">
      <alignment horizontal="center"/>
    </xf>
    <xf numFmtId="0" fontId="77" fillId="10" borderId="33" xfId="0" applyFont="1" applyFill="1" applyBorder="1" applyAlignment="1">
      <alignment horizontal="center"/>
    </xf>
    <xf numFmtId="168" fontId="70" fillId="10" borderId="33" xfId="0" applyNumberFormat="1" applyFont="1" applyFill="1" applyBorder="1" applyAlignment="1">
      <alignment horizontal="center"/>
    </xf>
    <xf numFmtId="0" fontId="70" fillId="10" borderId="33" xfId="0" applyFont="1" applyFill="1" applyBorder="1" applyAlignment="1">
      <alignment horizontal="center"/>
    </xf>
    <xf numFmtId="0" fontId="69" fillId="8" borderId="0" xfId="0" applyFont="1" applyFill="1" applyAlignment="1">
      <alignment horizontal="center" vertical="center"/>
    </xf>
    <xf numFmtId="0" fontId="65" fillId="8" borderId="23" xfId="0" applyFont="1" applyFill="1" applyBorder="1" applyAlignment="1">
      <alignment horizontal="center"/>
    </xf>
    <xf numFmtId="168" fontId="65" fillId="8" borderId="23" xfId="0" applyNumberFormat="1" applyFont="1" applyFill="1" applyBorder="1" applyAlignment="1">
      <alignment horizontal="center"/>
    </xf>
    <xf numFmtId="49" fontId="65" fillId="8" borderId="23" xfId="0" applyNumberFormat="1" applyFont="1" applyFill="1" applyBorder="1" applyAlignment="1">
      <alignment horizontal="center"/>
    </xf>
    <xf numFmtId="174" fontId="65" fillId="8" borderId="23" xfId="0" applyNumberFormat="1" applyFont="1" applyFill="1" applyBorder="1" applyAlignment="1">
      <alignment horizontal="center"/>
    </xf>
    <xf numFmtId="2" fontId="65" fillId="8" borderId="23" xfId="0" applyNumberFormat="1" applyFont="1" applyFill="1" applyBorder="1" applyAlignment="1">
      <alignment horizontal="center"/>
    </xf>
    <xf numFmtId="168" fontId="66" fillId="8" borderId="23" xfId="0" applyNumberFormat="1" applyFont="1" applyFill="1" applyBorder="1" applyAlignment="1">
      <alignment horizontal="center"/>
    </xf>
    <xf numFmtId="2" fontId="66" fillId="8" borderId="23" xfId="0" applyNumberFormat="1" applyFont="1" applyFill="1" applyBorder="1" applyAlignment="1">
      <alignment horizontal="center"/>
    </xf>
    <xf numFmtId="0" fontId="16" fillId="2" borderId="31" xfId="0" applyFont="1" applyFill="1" applyBorder="1"/>
    <xf numFmtId="166" fontId="68" fillId="6" borderId="6" xfId="0" applyNumberFormat="1" applyFont="1" applyFill="1" applyBorder="1" applyAlignment="1">
      <alignment horizontal="center"/>
    </xf>
    <xf numFmtId="174" fontId="70" fillId="10" borderId="21" xfId="0" applyNumberFormat="1" applyFont="1" applyFill="1" applyBorder="1" applyAlignment="1">
      <alignment horizontal="center"/>
    </xf>
    <xf numFmtId="174" fontId="70" fillId="11" borderId="32" xfId="0" applyNumberFormat="1" applyFont="1" applyFill="1" applyBorder="1" applyAlignment="1">
      <alignment horizontal="center"/>
    </xf>
    <xf numFmtId="174" fontId="70" fillId="11" borderId="33" xfId="0" applyNumberFormat="1" applyFont="1" applyFill="1" applyBorder="1" applyAlignment="1">
      <alignment horizontal="center"/>
    </xf>
    <xf numFmtId="174" fontId="70" fillId="10" borderId="33" xfId="0" applyNumberFormat="1" applyFont="1" applyFill="1" applyBorder="1" applyAlignment="1">
      <alignment horizontal="center"/>
    </xf>
    <xf numFmtId="166" fontId="16" fillId="2" borderId="31" xfId="0" applyNumberFormat="1" applyFont="1" applyFill="1" applyBorder="1"/>
    <xf numFmtId="167" fontId="68" fillId="6" borderId="6" xfId="0" applyNumberFormat="1" applyFont="1" applyFill="1" applyBorder="1" applyAlignment="1">
      <alignment horizontal="center"/>
    </xf>
    <xf numFmtId="166" fontId="77" fillId="10" borderId="21" xfId="0" applyNumberFormat="1" applyFont="1" applyFill="1" applyBorder="1"/>
    <xf numFmtId="166" fontId="77" fillId="11" borderId="32" xfId="0" applyNumberFormat="1" applyFont="1" applyFill="1" applyBorder="1"/>
    <xf numFmtId="166" fontId="77" fillId="11" borderId="33" xfId="0" applyNumberFormat="1" applyFont="1" applyFill="1" applyBorder="1"/>
    <xf numFmtId="166" fontId="77" fillId="10" borderId="33" xfId="0" applyNumberFormat="1" applyFont="1" applyFill="1" applyBorder="1"/>
    <xf numFmtId="0" fontId="63" fillId="6" borderId="0" xfId="0" applyFont="1" applyFill="1" applyAlignment="1">
      <alignment horizontal="center"/>
    </xf>
    <xf numFmtId="168" fontId="63" fillId="6" borderId="0" xfId="0" applyNumberFormat="1" applyFont="1" applyFill="1" applyAlignment="1">
      <alignment horizontal="center"/>
    </xf>
    <xf numFmtId="0" fontId="71" fillId="10" borderId="21" xfId="0" applyFont="1" applyFill="1" applyBorder="1"/>
    <xf numFmtId="168" fontId="71" fillId="10" borderId="21" xfId="0" applyNumberFormat="1" applyFont="1" applyFill="1" applyBorder="1"/>
    <xf numFmtId="0" fontId="71" fillId="11" borderId="32" xfId="0" applyFont="1" applyFill="1" applyBorder="1"/>
    <xf numFmtId="168" fontId="71" fillId="11" borderId="32" xfId="0" applyNumberFormat="1" applyFont="1" applyFill="1" applyBorder="1"/>
    <xf numFmtId="0" fontId="71" fillId="11" borderId="33" xfId="0" applyFont="1" applyFill="1" applyBorder="1"/>
    <xf numFmtId="168" fontId="71" fillId="11" borderId="33" xfId="0" applyNumberFormat="1" applyFont="1" applyFill="1" applyBorder="1"/>
    <xf numFmtId="0" fontId="71" fillId="10" borderId="32" xfId="0" applyFont="1" applyFill="1" applyBorder="1"/>
    <xf numFmtId="168" fontId="71" fillId="10" borderId="32" xfId="0" applyNumberFormat="1" applyFont="1" applyFill="1" applyBorder="1"/>
    <xf numFmtId="0" fontId="71" fillId="10" borderId="33" xfId="0" applyFont="1" applyFill="1" applyBorder="1"/>
    <xf numFmtId="168" fontId="71" fillId="10" borderId="33" xfId="0" applyNumberFormat="1" applyFont="1" applyFill="1" applyBorder="1"/>
    <xf numFmtId="0" fontId="62" fillId="10" borderId="21" xfId="0" applyFont="1" applyFill="1" applyBorder="1" applyAlignment="1">
      <alignment horizontal="center"/>
    </xf>
    <xf numFmtId="0" fontId="61" fillId="10" borderId="21" xfId="0" applyFont="1" applyFill="1" applyBorder="1" applyAlignment="1">
      <alignment horizontal="center"/>
    </xf>
    <xf numFmtId="175" fontId="62" fillId="10" borderId="21" xfId="0" applyNumberFormat="1" applyFont="1" applyFill="1" applyBorder="1" applyAlignment="1">
      <alignment horizontal="center"/>
    </xf>
    <xf numFmtId="168" fontId="62" fillId="10" borderId="21" xfId="0" applyNumberFormat="1" applyFont="1" applyFill="1" applyBorder="1" applyAlignment="1">
      <alignment horizontal="center"/>
    </xf>
    <xf numFmtId="0" fontId="62" fillId="11" borderId="33" xfId="0" applyFont="1" applyFill="1" applyBorder="1" applyAlignment="1">
      <alignment horizontal="center"/>
    </xf>
    <xf numFmtId="0" fontId="61" fillId="11" borderId="33" xfId="0" applyFont="1" applyFill="1" applyBorder="1" applyAlignment="1">
      <alignment horizontal="center"/>
    </xf>
    <xf numFmtId="175" fontId="62" fillId="11" borderId="33" xfId="0" applyNumberFormat="1" applyFont="1" applyFill="1" applyBorder="1" applyAlignment="1">
      <alignment horizontal="center"/>
    </xf>
    <xf numFmtId="168" fontId="62" fillId="11" borderId="33" xfId="0" applyNumberFormat="1" applyFont="1" applyFill="1" applyBorder="1" applyAlignment="1">
      <alignment horizontal="center"/>
    </xf>
    <xf numFmtId="0" fontId="76" fillId="10" borderId="33" xfId="0" applyFont="1" applyFill="1" applyBorder="1" applyAlignment="1">
      <alignment horizontal="center"/>
    </xf>
    <xf numFmtId="0" fontId="60" fillId="10" borderId="33" xfId="0" applyFont="1" applyFill="1" applyBorder="1" applyAlignment="1">
      <alignment horizontal="center"/>
    </xf>
    <xf numFmtId="175" fontId="62" fillId="10" borderId="33" xfId="0" applyNumberFormat="1" applyFont="1" applyFill="1" applyBorder="1" applyAlignment="1">
      <alignment horizontal="center"/>
    </xf>
    <xf numFmtId="168" fontId="62" fillId="10" borderId="33" xfId="0" applyNumberFormat="1" applyFont="1" applyFill="1" applyBorder="1" applyAlignment="1">
      <alignment horizontal="center"/>
    </xf>
    <xf numFmtId="0" fontId="76" fillId="11" borderId="33" xfId="0" applyFont="1" applyFill="1" applyBorder="1" applyAlignment="1">
      <alignment horizontal="center"/>
    </xf>
    <xf numFmtId="0" fontId="60" fillId="11" borderId="33" xfId="0" applyFont="1" applyFill="1" applyBorder="1" applyAlignment="1">
      <alignment horizontal="center"/>
    </xf>
    <xf numFmtId="0" fontId="79" fillId="10" borderId="33" xfId="0" applyFont="1" applyFill="1" applyBorder="1" applyAlignment="1">
      <alignment horizontal="center"/>
    </xf>
    <xf numFmtId="0" fontId="80" fillId="10" borderId="33" xfId="0" applyFont="1" applyFill="1" applyBorder="1" applyAlignment="1">
      <alignment horizontal="center"/>
    </xf>
    <xf numFmtId="168" fontId="79" fillId="10" borderId="33" xfId="0" applyNumberFormat="1" applyFont="1" applyFill="1" applyBorder="1" applyAlignment="1">
      <alignment horizontal="center"/>
    </xf>
    <xf numFmtId="0" fontId="79" fillId="11" borderId="33" xfId="0" applyFont="1" applyFill="1" applyBorder="1" applyAlignment="1">
      <alignment horizontal="center"/>
    </xf>
    <xf numFmtId="0" fontId="80" fillId="11" borderId="33" xfId="0" applyFont="1" applyFill="1" applyBorder="1" applyAlignment="1">
      <alignment horizontal="center"/>
    </xf>
    <xf numFmtId="168" fontId="79" fillId="11" borderId="33" xfId="0" applyNumberFormat="1" applyFont="1" applyFill="1" applyBorder="1" applyAlignment="1">
      <alignment horizontal="center"/>
    </xf>
    <xf numFmtId="0" fontId="62" fillId="11" borderId="32" xfId="0" applyFont="1" applyFill="1" applyBorder="1" applyAlignment="1">
      <alignment horizontal="center"/>
    </xf>
    <xf numFmtId="0" fontId="61" fillId="11" borderId="32" xfId="0" applyFont="1" applyFill="1" applyBorder="1" applyAlignment="1">
      <alignment horizontal="center"/>
    </xf>
    <xf numFmtId="175" fontId="62" fillId="11" borderId="32" xfId="0" applyNumberFormat="1" applyFont="1" applyFill="1" applyBorder="1" applyAlignment="1">
      <alignment horizontal="center"/>
    </xf>
    <xf numFmtId="168" fontId="62" fillId="11" borderId="32" xfId="0" applyNumberFormat="1" applyFont="1" applyFill="1" applyBorder="1" applyAlignment="1">
      <alignment horizontal="center"/>
    </xf>
    <xf numFmtId="49" fontId="74" fillId="8" borderId="19" xfId="0" applyNumberFormat="1" applyFont="1" applyFill="1" applyBorder="1" applyAlignment="1">
      <alignment horizontal="center" vertical="center"/>
    </xf>
    <xf numFmtId="168" fontId="73" fillId="12" borderId="33" xfId="0" applyNumberFormat="1" applyFont="1" applyFill="1" applyBorder="1" applyAlignment="1">
      <alignment horizontal="center"/>
    </xf>
    <xf numFmtId="0" fontId="76" fillId="10" borderId="21" xfId="0" applyFont="1" applyFill="1" applyBorder="1" applyAlignment="1">
      <alignment horizontal="center"/>
    </xf>
    <xf numFmtId="0" fontId="80" fillId="10" borderId="21" xfId="0" applyFont="1" applyFill="1" applyBorder="1" applyAlignment="1">
      <alignment horizontal="center"/>
    </xf>
    <xf numFmtId="0" fontId="62" fillId="10" borderId="33" xfId="0" applyFont="1" applyFill="1" applyBorder="1" applyAlignment="1">
      <alignment horizontal="center"/>
    </xf>
    <xf numFmtId="0" fontId="61" fillId="10" borderId="33" xfId="0" applyFont="1" applyFill="1" applyBorder="1" applyAlignment="1">
      <alignment horizontal="center"/>
    </xf>
    <xf numFmtId="176" fontId="61" fillId="10" borderId="21" xfId="0" applyNumberFormat="1" applyFont="1" applyFill="1" applyBorder="1" applyAlignment="1">
      <alignment horizontal="center"/>
    </xf>
    <xf numFmtId="176" fontId="61" fillId="11" borderId="33" xfId="0" applyNumberFormat="1" applyFont="1" applyFill="1" applyBorder="1" applyAlignment="1">
      <alignment horizontal="center"/>
    </xf>
    <xf numFmtId="176" fontId="61" fillId="10" borderId="33" xfId="0" applyNumberFormat="1" applyFont="1" applyFill="1" applyBorder="1" applyAlignment="1">
      <alignment horizontal="center"/>
    </xf>
    <xf numFmtId="176" fontId="80" fillId="10" borderId="33" xfId="0" applyNumberFormat="1" applyFont="1" applyFill="1" applyBorder="1" applyAlignment="1">
      <alignment horizontal="center"/>
    </xf>
    <xf numFmtId="176" fontId="80" fillId="11" borderId="33" xfId="0" applyNumberFormat="1" applyFont="1" applyFill="1" applyBorder="1" applyAlignment="1">
      <alignment horizontal="center"/>
    </xf>
    <xf numFmtId="176" fontId="61" fillId="11" borderId="32" xfId="0" applyNumberFormat="1" applyFont="1" applyFill="1" applyBorder="1" applyAlignment="1">
      <alignment horizontal="center"/>
    </xf>
    <xf numFmtId="176" fontId="62" fillId="10" borderId="21" xfId="0" applyNumberFormat="1" applyFont="1" applyFill="1" applyBorder="1" applyAlignment="1">
      <alignment horizontal="center"/>
    </xf>
    <xf numFmtId="176" fontId="62" fillId="11" borderId="33" xfId="0" applyNumberFormat="1" applyFont="1" applyFill="1" applyBorder="1" applyAlignment="1">
      <alignment horizontal="center"/>
    </xf>
    <xf numFmtId="176" fontId="79" fillId="10" borderId="33" xfId="0" applyNumberFormat="1" applyFont="1" applyFill="1" applyBorder="1" applyAlignment="1">
      <alignment horizontal="center"/>
    </xf>
    <xf numFmtId="176" fontId="79" fillId="11" borderId="33" xfId="0" applyNumberFormat="1" applyFont="1" applyFill="1" applyBorder="1" applyAlignment="1">
      <alignment horizontal="center"/>
    </xf>
    <xf numFmtId="176" fontId="62" fillId="11" borderId="32" xfId="0" applyNumberFormat="1" applyFont="1" applyFill="1" applyBorder="1" applyAlignment="1">
      <alignment horizontal="center"/>
    </xf>
    <xf numFmtId="175" fontId="79" fillId="10" borderId="33" xfId="0" applyNumberFormat="1" applyFont="1" applyFill="1" applyBorder="1" applyAlignment="1">
      <alignment horizontal="center"/>
    </xf>
    <xf numFmtId="175" fontId="79" fillId="11" borderId="33" xfId="0" applyNumberFormat="1" applyFont="1" applyFill="1" applyBorder="1" applyAlignment="1">
      <alignment horizontal="center"/>
    </xf>
    <xf numFmtId="177" fontId="65" fillId="8" borderId="19" xfId="0" applyNumberFormat="1" applyFont="1" applyFill="1" applyBorder="1" applyAlignment="1">
      <alignment horizontal="center" vertical="center"/>
    </xf>
    <xf numFmtId="178" fontId="66" fillId="8" borderId="19" xfId="0" applyNumberFormat="1" applyFont="1" applyFill="1" applyBorder="1" applyAlignment="1">
      <alignment horizontal="center" vertical="center"/>
    </xf>
    <xf numFmtId="179" fontId="66" fillId="8" borderId="19" xfId="0" applyNumberFormat="1" applyFont="1" applyFill="1" applyBorder="1" applyAlignment="1">
      <alignment horizontal="center"/>
    </xf>
    <xf numFmtId="180" fontId="70" fillId="10" borderId="21" xfId="0" applyNumberFormat="1" applyFont="1" applyFill="1" applyBorder="1" applyAlignment="1">
      <alignment horizontal="center"/>
    </xf>
    <xf numFmtId="180" fontId="70" fillId="11" borderId="33" xfId="0" applyNumberFormat="1" applyFont="1" applyFill="1" applyBorder="1" applyAlignment="1">
      <alignment horizontal="center"/>
    </xf>
    <xf numFmtId="180" fontId="70" fillId="10" borderId="33" xfId="0" applyNumberFormat="1" applyFont="1" applyFill="1" applyBorder="1" applyAlignment="1">
      <alignment horizontal="center"/>
    </xf>
    <xf numFmtId="180" fontId="70" fillId="11" borderId="32" xfId="0" applyNumberFormat="1" applyFont="1" applyFill="1" applyBorder="1" applyAlignment="1">
      <alignment horizontal="center"/>
    </xf>
    <xf numFmtId="177" fontId="70" fillId="10" borderId="21" xfId="0" applyNumberFormat="1" applyFont="1" applyFill="1" applyBorder="1" applyAlignment="1">
      <alignment horizontal="center"/>
    </xf>
    <xf numFmtId="177" fontId="70" fillId="11" borderId="33" xfId="0" applyNumberFormat="1" applyFont="1" applyFill="1" applyBorder="1" applyAlignment="1">
      <alignment horizontal="center"/>
    </xf>
    <xf numFmtId="177" fontId="70" fillId="10" borderId="33" xfId="0" applyNumberFormat="1" applyFont="1" applyFill="1" applyBorder="1" applyAlignment="1">
      <alignment horizontal="center"/>
    </xf>
    <xf numFmtId="177" fontId="70" fillId="11" borderId="32" xfId="0" applyNumberFormat="1" applyFont="1" applyFill="1" applyBorder="1" applyAlignment="1">
      <alignment horizontal="center"/>
    </xf>
    <xf numFmtId="179" fontId="62" fillId="10" borderId="21" xfId="0" applyNumberFormat="1" applyFont="1" applyFill="1" applyBorder="1" applyAlignment="1">
      <alignment horizontal="center"/>
    </xf>
    <xf numFmtId="179" fontId="79" fillId="11" borderId="33" xfId="0" applyNumberFormat="1" applyFont="1" applyFill="1" applyBorder="1" applyAlignment="1">
      <alignment horizontal="center"/>
    </xf>
    <xf numFmtId="179" fontId="79" fillId="10" borderId="33" xfId="0" applyNumberFormat="1" applyFont="1" applyFill="1" applyBorder="1" applyAlignment="1">
      <alignment horizontal="center"/>
    </xf>
    <xf numFmtId="179" fontId="62" fillId="11" borderId="33" xfId="0" applyNumberFormat="1" applyFont="1" applyFill="1" applyBorder="1" applyAlignment="1">
      <alignment horizontal="center"/>
    </xf>
    <xf numFmtId="179" fontId="62" fillId="10" borderId="33" xfId="0" applyNumberFormat="1" applyFont="1" applyFill="1" applyBorder="1" applyAlignment="1">
      <alignment horizontal="center"/>
    </xf>
    <xf numFmtId="179" fontId="62" fillId="11" borderId="32" xfId="0" applyNumberFormat="1" applyFont="1" applyFill="1" applyBorder="1" applyAlignment="1">
      <alignment horizontal="center"/>
    </xf>
    <xf numFmtId="178" fontId="61" fillId="10" borderId="21" xfId="0" applyNumberFormat="1" applyFont="1" applyFill="1" applyBorder="1" applyAlignment="1">
      <alignment horizontal="center"/>
    </xf>
    <xf numFmtId="178" fontId="61" fillId="11" borderId="33" xfId="0" applyNumberFormat="1" applyFont="1" applyFill="1" applyBorder="1" applyAlignment="1">
      <alignment horizontal="center"/>
    </xf>
    <xf numFmtId="178" fontId="61" fillId="10" borderId="33" xfId="0" applyNumberFormat="1" applyFont="1" applyFill="1" applyBorder="1" applyAlignment="1">
      <alignment horizontal="center"/>
    </xf>
    <xf numFmtId="178" fontId="80" fillId="10" borderId="33" xfId="0" applyNumberFormat="1" applyFont="1" applyFill="1" applyBorder="1" applyAlignment="1">
      <alignment horizontal="center"/>
    </xf>
    <xf numFmtId="178" fontId="80" fillId="11" borderId="33" xfId="0" applyNumberFormat="1" applyFont="1" applyFill="1" applyBorder="1" applyAlignment="1">
      <alignment horizontal="center"/>
    </xf>
    <xf numFmtId="178" fontId="61" fillId="11" borderId="32" xfId="0" applyNumberFormat="1" applyFont="1" applyFill="1" applyBorder="1" applyAlignment="1">
      <alignment horizontal="center"/>
    </xf>
    <xf numFmtId="177" fontId="65" fillId="8" borderId="23" xfId="0" applyNumberFormat="1" applyFont="1" applyFill="1" applyBorder="1" applyAlignment="1">
      <alignment horizontal="center" vertical="center"/>
    </xf>
    <xf numFmtId="181" fontId="9" fillId="8" borderId="19" xfId="0" applyNumberFormat="1" applyFont="1" applyFill="1" applyBorder="1" applyAlignment="1">
      <alignment horizontal="center"/>
    </xf>
    <xf numFmtId="180" fontId="55" fillId="10" borderId="21" xfId="0" applyNumberFormat="1" applyFont="1" applyFill="1" applyBorder="1" applyAlignment="1">
      <alignment horizontal="center"/>
    </xf>
    <xf numFmtId="180" fontId="55" fillId="11" borderId="33" xfId="0" applyNumberFormat="1" applyFont="1" applyFill="1" applyBorder="1" applyAlignment="1">
      <alignment horizontal="center"/>
    </xf>
    <xf numFmtId="180" fontId="55" fillId="10" borderId="33" xfId="0" applyNumberFormat="1" applyFont="1" applyFill="1" applyBorder="1" applyAlignment="1">
      <alignment horizontal="center"/>
    </xf>
    <xf numFmtId="180" fontId="55" fillId="11" borderId="32" xfId="0" applyNumberFormat="1" applyFont="1" applyFill="1" applyBorder="1" applyAlignment="1">
      <alignment horizontal="center"/>
    </xf>
    <xf numFmtId="182" fontId="55" fillId="10" borderId="21" xfId="0" applyNumberFormat="1" applyFont="1" applyFill="1" applyBorder="1" applyAlignment="1">
      <alignment horizontal="center"/>
    </xf>
    <xf numFmtId="182" fontId="55" fillId="11" borderId="33" xfId="0" applyNumberFormat="1" applyFont="1" applyFill="1" applyBorder="1" applyAlignment="1">
      <alignment horizontal="center"/>
    </xf>
    <xf numFmtId="182" fontId="55" fillId="10" borderId="33" xfId="0" applyNumberFormat="1" applyFont="1" applyFill="1" applyBorder="1" applyAlignment="1">
      <alignment horizontal="center"/>
    </xf>
    <xf numFmtId="182" fontId="55" fillId="11" borderId="32" xfId="0" applyNumberFormat="1" applyFont="1" applyFill="1" applyBorder="1" applyAlignment="1">
      <alignment horizontal="center"/>
    </xf>
    <xf numFmtId="180" fontId="30" fillId="9" borderId="25" xfId="0" applyNumberFormat="1" applyFont="1" applyFill="1" applyBorder="1"/>
    <xf numFmtId="180" fontId="30" fillId="5" borderId="14" xfId="0" applyNumberFormat="1" applyFont="1" applyFill="1" applyBorder="1"/>
    <xf numFmtId="180" fontId="30" fillId="9" borderId="14" xfId="0" applyNumberFormat="1" applyFont="1" applyFill="1" applyBorder="1"/>
    <xf numFmtId="180" fontId="30" fillId="5" borderId="17" xfId="0" applyNumberFormat="1" applyFont="1" applyFill="1" applyBorder="1"/>
    <xf numFmtId="177" fontId="46" fillId="9" borderId="20" xfId="0" applyNumberFormat="1" applyFont="1" applyFill="1" applyBorder="1" applyAlignment="1">
      <alignment horizontal="center"/>
    </xf>
    <xf numFmtId="177" fontId="33" fillId="9" borderId="20" xfId="0" applyNumberFormat="1" applyFont="1" applyFill="1" applyBorder="1" applyAlignment="1">
      <alignment horizontal="center"/>
    </xf>
    <xf numFmtId="177" fontId="30" fillId="9" borderId="21" xfId="0" applyNumberFormat="1" applyFont="1" applyFill="1" applyBorder="1" applyAlignment="1">
      <alignment horizontal="center"/>
    </xf>
    <xf numFmtId="177" fontId="30" fillId="5" borderId="5" xfId="0" applyNumberFormat="1" applyFont="1" applyFill="1" applyBorder="1" applyAlignment="1">
      <alignment horizontal="center"/>
    </xf>
    <xf numFmtId="177" fontId="30" fillId="9" borderId="5" xfId="0" applyNumberFormat="1" applyFont="1" applyFill="1" applyBorder="1" applyAlignment="1">
      <alignment horizontal="center"/>
    </xf>
    <xf numFmtId="177" fontId="30" fillId="5" borderId="3" xfId="0" applyNumberFormat="1" applyFont="1" applyFill="1" applyBorder="1" applyAlignment="1">
      <alignment horizontal="center"/>
    </xf>
    <xf numFmtId="180" fontId="30" fillId="9" borderId="21" xfId="0" applyNumberFormat="1" applyFont="1" applyFill="1" applyBorder="1" applyAlignment="1">
      <alignment horizontal="center"/>
    </xf>
    <xf numFmtId="180" fontId="30" fillId="5" borderId="5" xfId="0" applyNumberFormat="1" applyFont="1" applyFill="1" applyBorder="1" applyAlignment="1">
      <alignment horizontal="center"/>
    </xf>
    <xf numFmtId="180" fontId="30" fillId="9" borderId="5" xfId="0" applyNumberFormat="1" applyFont="1" applyFill="1" applyBorder="1" applyAlignment="1">
      <alignment horizontal="center"/>
    </xf>
    <xf numFmtId="180" fontId="30" fillId="5" borderId="3" xfId="0" applyNumberFormat="1" applyFont="1" applyFill="1" applyBorder="1" applyAlignment="1">
      <alignment horizontal="center"/>
    </xf>
    <xf numFmtId="177" fontId="30" fillId="9" borderId="0" xfId="0" applyNumberFormat="1" applyFont="1" applyFill="1" applyAlignment="1">
      <alignment horizontal="center"/>
    </xf>
    <xf numFmtId="177" fontId="30" fillId="5" borderId="0" xfId="0" applyNumberFormat="1" applyFont="1" applyFill="1" applyAlignment="1">
      <alignment horizontal="center"/>
    </xf>
    <xf numFmtId="178" fontId="42" fillId="9" borderId="21" xfId="0" applyNumberFormat="1" applyFont="1" applyFill="1" applyBorder="1" applyAlignment="1">
      <alignment horizontal="center"/>
    </xf>
    <xf numFmtId="176" fontId="42" fillId="9" borderId="21" xfId="0" applyNumberFormat="1" applyFont="1" applyFill="1" applyBorder="1" applyAlignment="1">
      <alignment horizontal="center"/>
    </xf>
    <xf numFmtId="178" fontId="42" fillId="5" borderId="5" xfId="0" applyNumberFormat="1" applyFont="1" applyFill="1" applyBorder="1" applyAlignment="1">
      <alignment horizontal="center"/>
    </xf>
    <xf numFmtId="176" fontId="42" fillId="5" borderId="5" xfId="0" applyNumberFormat="1" applyFont="1" applyFill="1" applyBorder="1" applyAlignment="1">
      <alignment horizontal="center"/>
    </xf>
    <xf numFmtId="178" fontId="42" fillId="9" borderId="5" xfId="0" applyNumberFormat="1" applyFont="1" applyFill="1" applyBorder="1" applyAlignment="1">
      <alignment horizontal="center"/>
    </xf>
    <xf numFmtId="176" fontId="42" fillId="9" borderId="5" xfId="0" applyNumberFormat="1" applyFont="1" applyFill="1" applyBorder="1" applyAlignment="1">
      <alignment horizontal="center"/>
    </xf>
    <xf numFmtId="178" fontId="58" fillId="9" borderId="5" xfId="0" applyNumberFormat="1" applyFont="1" applyFill="1" applyBorder="1" applyAlignment="1">
      <alignment horizontal="center"/>
    </xf>
    <xf numFmtId="176" fontId="58" fillId="9" borderId="5" xfId="0" applyNumberFormat="1" applyFont="1" applyFill="1" applyBorder="1" applyAlignment="1">
      <alignment horizontal="center"/>
    </xf>
    <xf numFmtId="178" fontId="58" fillId="5" borderId="5" xfId="0" applyNumberFormat="1" applyFont="1" applyFill="1" applyBorder="1" applyAlignment="1">
      <alignment horizontal="center"/>
    </xf>
    <xf numFmtId="176" fontId="58" fillId="5" borderId="5" xfId="0" applyNumberFormat="1" applyFont="1" applyFill="1" applyBorder="1" applyAlignment="1">
      <alignment horizontal="center"/>
    </xf>
    <xf numFmtId="178" fontId="42" fillId="5" borderId="3" xfId="0" applyNumberFormat="1" applyFont="1" applyFill="1" applyBorder="1" applyAlignment="1">
      <alignment horizontal="center"/>
    </xf>
    <xf numFmtId="176" fontId="42" fillId="5" borderId="3" xfId="0" applyNumberFormat="1" applyFont="1" applyFill="1" applyBorder="1" applyAlignment="1">
      <alignment horizontal="center"/>
    </xf>
    <xf numFmtId="180" fontId="30" fillId="9" borderId="21" xfId="0" applyNumberFormat="1" applyFont="1" applyFill="1" applyBorder="1"/>
    <xf numFmtId="180" fontId="30" fillId="5" borderId="5" xfId="0" applyNumberFormat="1" applyFont="1" applyFill="1" applyBorder="1"/>
    <xf numFmtId="180" fontId="30" fillId="9" borderId="5" xfId="0" applyNumberFormat="1" applyFont="1" applyFill="1" applyBorder="1"/>
    <xf numFmtId="180" fontId="30" fillId="5" borderId="3" xfId="0" applyNumberFormat="1" applyFont="1" applyFill="1" applyBorder="1"/>
    <xf numFmtId="183" fontId="30" fillId="9" borderId="21" xfId="0" applyNumberFormat="1" applyFont="1" applyFill="1" applyBorder="1"/>
    <xf numFmtId="183" fontId="30" fillId="5" borderId="5" xfId="0" applyNumberFormat="1" applyFont="1" applyFill="1" applyBorder="1"/>
    <xf numFmtId="183" fontId="30" fillId="9" borderId="5" xfId="0" applyNumberFormat="1" applyFont="1" applyFill="1" applyBorder="1"/>
    <xf numFmtId="183" fontId="30" fillId="5" borderId="3" xfId="0" applyNumberFormat="1" applyFont="1" applyFill="1" applyBorder="1"/>
    <xf numFmtId="176" fontId="42" fillId="5" borderId="21" xfId="0" applyNumberFormat="1" applyFont="1" applyFill="1" applyBorder="1" applyAlignment="1">
      <alignment horizontal="center"/>
    </xf>
    <xf numFmtId="176" fontId="42" fillId="9" borderId="3" xfId="0" applyNumberFormat="1" applyFont="1" applyFill="1" applyBorder="1" applyAlignment="1">
      <alignment horizontal="center"/>
    </xf>
    <xf numFmtId="176" fontId="23" fillId="8" borderId="22" xfId="0" applyNumberFormat="1" applyFont="1" applyFill="1" applyBorder="1" applyAlignment="1">
      <alignment horizontal="center"/>
    </xf>
    <xf numFmtId="176" fontId="59" fillId="8" borderId="22" xfId="0" applyNumberFormat="1" applyFont="1" applyFill="1" applyBorder="1" applyAlignment="1">
      <alignment horizontal="center"/>
    </xf>
    <xf numFmtId="184" fontId="62" fillId="10" borderId="21" xfId="0" applyNumberFormat="1" applyFont="1" applyFill="1" applyBorder="1" applyAlignment="1">
      <alignment horizontal="center"/>
    </xf>
    <xf numFmtId="184" fontId="79" fillId="11" borderId="33" xfId="0" applyNumberFormat="1" applyFont="1" applyFill="1" applyBorder="1" applyAlignment="1">
      <alignment horizontal="center"/>
    </xf>
    <xf numFmtId="184" fontId="79" fillId="10" borderId="33" xfId="0" applyNumberFormat="1" applyFont="1" applyFill="1" applyBorder="1" applyAlignment="1">
      <alignment horizontal="center"/>
    </xf>
    <xf numFmtId="184" fontId="62" fillId="11" borderId="33" xfId="0" applyNumberFormat="1" applyFont="1" applyFill="1" applyBorder="1" applyAlignment="1">
      <alignment horizontal="center"/>
    </xf>
    <xf numFmtId="184" fontId="62" fillId="10" borderId="33" xfId="0" applyNumberFormat="1" applyFont="1" applyFill="1" applyBorder="1" applyAlignment="1">
      <alignment horizontal="center"/>
    </xf>
    <xf numFmtId="184" fontId="62" fillId="11" borderId="32" xfId="0" applyNumberFormat="1" applyFont="1" applyFill="1" applyBorder="1" applyAlignment="1">
      <alignment horizontal="center"/>
    </xf>
    <xf numFmtId="185" fontId="65" fillId="8" borderId="23" xfId="0" applyNumberFormat="1" applyFont="1" applyFill="1" applyBorder="1" applyAlignment="1">
      <alignment horizontal="center"/>
    </xf>
    <xf numFmtId="177" fontId="63" fillId="6" borderId="0" xfId="0" applyNumberFormat="1" applyFont="1" applyFill="1" applyAlignment="1">
      <alignment horizontal="center"/>
    </xf>
    <xf numFmtId="177" fontId="71" fillId="10" borderId="21" xfId="0" applyNumberFormat="1" applyFont="1" applyFill="1" applyBorder="1"/>
    <xf numFmtId="177" fontId="71" fillId="11" borderId="33" xfId="0" applyNumberFormat="1" applyFont="1" applyFill="1" applyBorder="1"/>
    <xf numFmtId="177" fontId="71" fillId="10" borderId="32" xfId="0" applyNumberFormat="1" applyFont="1" applyFill="1" applyBorder="1"/>
    <xf numFmtId="177" fontId="71" fillId="10" borderId="33" xfId="0" applyNumberFormat="1" applyFont="1" applyFill="1" applyBorder="1"/>
    <xf numFmtId="177" fontId="71" fillId="11" borderId="32" xfId="0" applyNumberFormat="1" applyFont="1" applyFill="1" applyBorder="1"/>
    <xf numFmtId="177" fontId="50" fillId="5" borderId="12" xfId="0" applyNumberFormat="1" applyFont="1" applyFill="1" applyBorder="1" applyAlignment="1">
      <alignment horizontal="center"/>
    </xf>
    <xf numFmtId="177" fontId="50" fillId="9" borderId="12" xfId="0" applyNumberFormat="1" applyFont="1" applyFill="1" applyBorder="1" applyAlignment="1">
      <alignment horizontal="center"/>
    </xf>
    <xf numFmtId="177" fontId="50" fillId="9" borderId="11" xfId="0" applyNumberFormat="1" applyFont="1" applyFill="1" applyBorder="1" applyAlignment="1">
      <alignment horizontal="center"/>
    </xf>
    <xf numFmtId="168" fontId="73" fillId="12" borderId="21" xfId="0" applyNumberFormat="1" applyFont="1" applyFill="1" applyBorder="1" applyAlignment="1">
      <alignment horizontal="center"/>
    </xf>
    <xf numFmtId="168" fontId="73" fillId="12" borderId="32" xfId="0" applyNumberFormat="1" applyFont="1" applyFill="1" applyBorder="1" applyAlignment="1">
      <alignment horizontal="center"/>
    </xf>
    <xf numFmtId="3" fontId="0" fillId="0" borderId="0" xfId="0" applyNumberFormat="1"/>
    <xf numFmtId="186" fontId="0" fillId="0" borderId="0" xfId="0" applyNumberFormat="1"/>
    <xf numFmtId="4" fontId="0" fillId="0" borderId="0" xfId="0" applyNumberFormat="1"/>
    <xf numFmtId="10" fontId="0" fillId="0" borderId="0" xfId="0" applyNumberFormat="1"/>
    <xf numFmtId="2" fontId="0" fillId="0" borderId="0" xfId="0" applyNumberFormat="1"/>
    <xf numFmtId="0" fontId="1" fillId="0" borderId="0" xfId="0" applyFont="1"/>
    <xf numFmtId="186" fontId="1" fillId="0" borderId="0" xfId="0" applyNumberFormat="1" applyFont="1"/>
    <xf numFmtId="3" fontId="1" fillId="0" borderId="0" xfId="0" applyNumberFormat="1" applyFont="1"/>
    <xf numFmtId="10" fontId="1" fillId="0" borderId="0" xfId="0" applyNumberFormat="1" applyFont="1"/>
    <xf numFmtId="4" fontId="1" fillId="0" borderId="0" xfId="0" applyNumberFormat="1" applyFont="1"/>
    <xf numFmtId="10" fontId="30" fillId="5" borderId="0" xfId="0" applyNumberFormat="1" applyFont="1" applyFill="1"/>
    <xf numFmtId="3" fontId="50" fillId="0" borderId="0" xfId="0" applyNumberFormat="1" applyFont="1"/>
    <xf numFmtId="187" fontId="0" fillId="0" borderId="0" xfId="0" applyNumberFormat="1"/>
    <xf numFmtId="187" fontId="65" fillId="8" borderId="23" xfId="0" applyNumberFormat="1" applyFont="1" applyFill="1" applyBorder="1" applyAlignment="1">
      <alignment horizontal="center"/>
    </xf>
    <xf numFmtId="0" fontId="75" fillId="2" borderId="0" xfId="0" applyFont="1" applyFill="1" applyAlignment="1">
      <alignment horizontal="left" vertical="center"/>
    </xf>
    <xf numFmtId="0" fontId="70" fillId="2" borderId="0" xfId="0" applyFont="1" applyFill="1" applyAlignment="1">
      <alignment horizontal="left" vertical="center"/>
    </xf>
    <xf numFmtId="1" fontId="65" fillId="8" borderId="23" xfId="0" applyNumberFormat="1" applyFont="1" applyFill="1" applyBorder="1" applyAlignment="1">
      <alignment horizontal="center"/>
    </xf>
    <xf numFmtId="1" fontId="67" fillId="8" borderId="23" xfId="0" applyNumberFormat="1" applyFont="1" applyFill="1" applyBorder="1" applyAlignment="1">
      <alignment horizontal="center"/>
    </xf>
  </cellXfs>
  <cellStyles count="1">
    <cellStyle name="Normal" xfId="0" builtinId="0"/>
  </cellStyles>
  <dxfs count="243">
    <dxf>
      <font>
        <color rgb="FFEF4444"/>
      </font>
    </dxf>
    <dxf>
      <font>
        <color rgb="FF10B981"/>
      </font>
    </dxf>
    <dxf>
      <font>
        <color rgb="FFEF4444"/>
      </font>
    </dxf>
    <dxf>
      <font>
        <color rgb="FFF59E0B"/>
      </font>
    </dxf>
    <dxf>
      <font>
        <color rgb="FF10B981"/>
      </font>
    </dxf>
    <dxf>
      <font>
        <b/>
        <i val="0"/>
        <color rgb="FFFFFFFF"/>
      </font>
    </dxf>
    <dxf>
      <font>
        <b/>
        <i val="0"/>
        <color rgb="FFFFFFFF"/>
      </font>
    </dxf>
    <dxf>
      <font>
        <b/>
        <i val="0"/>
        <color rgb="FFFFFFFF"/>
      </font>
    </dxf>
    <dxf>
      <font>
        <color rgb="FFEF4444"/>
      </font>
    </dxf>
    <dxf>
      <font>
        <color rgb="FF10B981"/>
      </font>
    </dxf>
    <dxf>
      <font>
        <color rgb="FFEF4444"/>
      </font>
    </dxf>
    <dxf>
      <font>
        <color rgb="FF4ADE80"/>
      </font>
    </dxf>
    <dxf>
      <font>
        <color rgb="FFEF4444"/>
      </font>
    </dxf>
    <dxf>
      <font>
        <color rgb="FFF59E0B"/>
      </font>
    </dxf>
    <dxf>
      <font>
        <color rgb="FF10B981"/>
      </font>
    </dxf>
    <dxf>
      <font>
        <color rgb="FFEF4444"/>
      </font>
    </dxf>
    <dxf>
      <font>
        <color rgb="FFFBBF24"/>
      </font>
    </dxf>
    <dxf>
      <font>
        <color rgb="FF4ADE80"/>
      </font>
    </dxf>
    <dxf>
      <font>
        <color rgb="FFEF4444"/>
      </font>
    </dxf>
    <dxf>
      <font>
        <color rgb="FFF59E0B"/>
      </font>
    </dxf>
    <dxf>
      <font>
        <color rgb="FF10B981"/>
      </font>
    </dxf>
    <dxf>
      <font>
        <color rgb="FF4ADE80"/>
      </font>
    </dxf>
    <dxf>
      <font>
        <color rgb="FFFBBF24"/>
      </font>
    </dxf>
    <dxf>
      <font>
        <color rgb="FFEF4444"/>
      </font>
    </dxf>
    <dxf>
      <font>
        <color rgb="FFFF0000"/>
      </font>
    </dxf>
    <dxf>
      <font>
        <color rgb="FF00FF00"/>
      </font>
    </dxf>
    <dxf>
      <font>
        <color rgb="FFEF4444"/>
      </font>
    </dxf>
    <dxf>
      <font>
        <color rgb="FF10B981"/>
      </font>
    </dxf>
    <dxf>
      <font>
        <color rgb="FFFF0000"/>
      </font>
    </dxf>
    <dxf>
      <font>
        <color rgb="FF00FF00"/>
      </font>
    </dxf>
    <dxf>
      <font>
        <color rgb="FFEF4444"/>
      </font>
    </dxf>
    <dxf>
      <font>
        <color rgb="FF10B981"/>
      </font>
    </dxf>
    <dxf>
      <font>
        <color rgb="FFEF4444"/>
      </font>
    </dxf>
    <dxf>
      <font>
        <color rgb="FF10B981"/>
      </font>
    </dxf>
    <dxf>
      <font>
        <color rgb="FFFF0000"/>
      </font>
    </dxf>
    <dxf>
      <font>
        <color rgb="FFEF4444"/>
      </font>
    </dxf>
    <dxf>
      <font>
        <color rgb="FF10B981"/>
      </font>
    </dxf>
    <dxf>
      <border diagonalUp="0" diagonalDown="0">
        <left style="thin">
          <color rgb="FFE9ECEF"/>
        </left>
        <right/>
        <top style="thin">
          <color rgb="FFDEE2E6"/>
        </top>
        <bottom style="thin">
          <color rgb="FFDEE2E6"/>
        </bottom>
        <vertical style="thin">
          <color rgb="FFE9ECEF"/>
        </vertical>
        <horizontal style="thin">
          <color rgb="FFDEE2E6"/>
        </horizontal>
      </border>
    </dxf>
    <dxf>
      <numFmt numFmtId="165" formatCode="[$$-409]#,##0.00"/>
      <border diagonalUp="0" diagonalDown="0">
        <left style="thin">
          <color rgb="FFE9ECEF"/>
        </left>
        <right style="thin">
          <color rgb="FFE9ECEF"/>
        </right>
        <top style="thin">
          <color rgb="FFDEE2E6"/>
        </top>
        <bottom style="thin">
          <color rgb="FFDEE2E6"/>
        </bottom>
        <vertical style="thin">
          <color rgb="FFE9ECEF"/>
        </vertical>
        <horizontal style="thin">
          <color rgb="FFDEE2E6"/>
        </horizontal>
      </border>
    </dxf>
    <dxf>
      <numFmt numFmtId="4" formatCode="#,##0.00"/>
      <border diagonalUp="0" diagonalDown="0">
        <left style="thin">
          <color rgb="FFE9ECEF"/>
        </left>
        <right style="thin">
          <color rgb="FFE9ECEF"/>
        </right>
        <top style="thin">
          <color rgb="FFDEE2E6"/>
        </top>
        <bottom style="thin">
          <color rgb="FFDEE2E6"/>
        </bottom>
        <vertical style="thin">
          <color rgb="FFE9ECEF"/>
        </vertical>
        <horizontal style="thin">
          <color rgb="FFDEE2E6"/>
        </horizontal>
      </border>
    </dxf>
    <dxf>
      <numFmt numFmtId="165" formatCode="[$$-409]#,##0.00"/>
      <border diagonalUp="0" diagonalDown="0">
        <left style="thin">
          <color rgb="FFE9ECEF"/>
        </left>
        <right style="thin">
          <color rgb="FFE9ECEF"/>
        </right>
        <top style="thin">
          <color rgb="FFDEE2E6"/>
        </top>
        <bottom style="thin">
          <color rgb="FFDEE2E6"/>
        </bottom>
        <vertical style="thin">
          <color rgb="FFE9ECEF"/>
        </vertical>
        <horizontal style="thin">
          <color rgb="FFDEE2E6"/>
        </horizontal>
      </border>
    </dxf>
    <dxf>
      <border diagonalUp="0" diagonalDown="0">
        <left style="thin">
          <color rgb="FFE9ECEF"/>
        </left>
        <right style="thin">
          <color rgb="FFE9ECEF"/>
        </right>
        <top style="thin">
          <color rgb="FFDEE2E6"/>
        </top>
        <bottom style="thin">
          <color rgb="FFDEE2E6"/>
        </bottom>
        <vertical style="thin">
          <color rgb="FFE9ECEF"/>
        </vertical>
        <horizontal style="thin">
          <color rgb="FFDEE2E6"/>
        </horizontal>
      </border>
    </dxf>
    <dxf>
      <border diagonalUp="0" diagonalDown="0">
        <left style="thin">
          <color rgb="FFE9ECEF"/>
        </left>
        <right style="thin">
          <color rgb="FFE9ECEF"/>
        </right>
        <top style="thin">
          <color rgb="FFDEE2E6"/>
        </top>
        <bottom style="thin">
          <color rgb="FFDEE2E6"/>
        </bottom>
        <vertical style="thin">
          <color rgb="FFE9ECEF"/>
        </vertical>
        <horizontal style="thin">
          <color rgb="FFDEE2E6"/>
        </horizontal>
      </border>
    </dxf>
    <dxf>
      <numFmt numFmtId="188" formatCode="dd/mm/yyyy"/>
      <border diagonalUp="0" diagonalDown="0">
        <left/>
        <right style="thin">
          <color rgb="FFE9ECEF"/>
        </right>
        <top style="thin">
          <color rgb="FFDEE2E6"/>
        </top>
        <bottom style="thin">
          <color rgb="FFDEE2E6"/>
        </bottom>
        <vertical style="thin">
          <color rgb="FFE9ECEF"/>
        </vertical>
        <horizontal style="thin">
          <color rgb="FFDEE2E6"/>
        </horizontal>
      </border>
    </dxf>
    <dxf>
      <border>
        <top style="thin">
          <color rgb="FFE9ECEF"/>
        </top>
      </border>
    </dxf>
    <dxf>
      <border diagonalUp="0" diagonalDown="0">
        <left/>
        <right/>
        <top/>
        <bottom/>
      </border>
    </dxf>
    <dxf>
      <border>
        <bottom style="medium">
          <color rgb="FF38BDF8"/>
        </bottom>
      </border>
    </dxf>
    <dxf>
      <font>
        <b/>
        <sz val="11"/>
        <color rgb="FFFFFFFF"/>
        <name val="Calibri"/>
      </font>
      <fill>
        <patternFill patternType="solid">
          <fgColor indexed="64"/>
          <bgColor rgb="FF1E3A5F"/>
        </patternFill>
      </fill>
      <alignment horizontal="center"/>
      <border diagonalUp="0" diagonalDown="0">
        <left style="thin">
          <color rgb="FFE9ECEF"/>
        </left>
        <right style="thin">
          <color rgb="FFE9ECEF"/>
        </right>
        <top/>
        <bottom/>
        <vertical style="thin">
          <color rgb="FFE9ECEF"/>
        </vertical>
        <horizontal style="thin">
          <color rgb="FFE9ECEF"/>
        </horizontal>
      </border>
    </dxf>
    <dxf>
      <font>
        <b val="0"/>
        <sz val="11"/>
        <color rgb="FF1E293B"/>
        <name val="Calibri"/>
      </font>
      <numFmt numFmtId="164" formatCode="_([$$-409]* #,##0.00_);_([$$-409]* \(#,##0.00\);_([$$-409]* &quot;-&quot;??_);_(@_)"/>
      <fill>
        <patternFill patternType="solid">
          <fgColor indexed="64"/>
          <bgColor rgb="FFFFFFFF"/>
        </patternFill>
      </fill>
      <border diagonalUp="0" diagonalDown="0">
        <left/>
        <right/>
        <top style="thin">
          <color rgb="FFE9ECEF"/>
        </top>
        <bottom style="thin">
          <color rgb="FFE9ECEF"/>
        </bottom>
        <vertical/>
        <horizontal style="thin">
          <color rgb="FFE9ECEF"/>
        </horizontal>
      </border>
    </dxf>
    <dxf>
      <font>
        <b val="0"/>
        <sz val="11"/>
        <color rgb="FF1E293B"/>
        <name val="Calibri"/>
      </font>
      <numFmt numFmtId="164" formatCode="_([$$-409]* #,##0.00_);_([$$-409]* \(#,##0.00\);_([$$-409]* &quot;-&quot;??_);_(@_)"/>
      <fill>
        <patternFill patternType="solid">
          <fgColor indexed="64"/>
          <bgColor rgb="FFFFFFFF"/>
        </patternFill>
      </fill>
      <border diagonalUp="0" diagonalDown="0">
        <left/>
        <right/>
        <top style="thin">
          <color rgb="FFE9ECEF"/>
        </top>
        <bottom style="thin">
          <color rgb="FFE9ECEF"/>
        </bottom>
        <vertical/>
        <horizontal style="thin">
          <color rgb="FFE9ECEF"/>
        </horizontal>
      </border>
    </dxf>
    <dxf>
      <font>
        <b val="0"/>
        <sz val="11"/>
        <color rgb="FF1E293B"/>
        <name val="Calibri"/>
      </font>
      <numFmt numFmtId="164" formatCode="_([$$-409]* #,##0.00_);_([$$-409]* \(#,##0.00\);_([$$-409]* &quot;-&quot;??_);_(@_)"/>
      <fill>
        <patternFill patternType="solid">
          <fgColor indexed="64"/>
          <bgColor rgb="FFFFFFFF"/>
        </patternFill>
      </fill>
      <border diagonalUp="0" diagonalDown="0">
        <left/>
        <right/>
        <top style="thin">
          <color rgb="FFE9ECEF"/>
        </top>
        <bottom style="thin">
          <color rgb="FFE9ECEF"/>
        </bottom>
        <vertical/>
        <horizontal style="thin">
          <color rgb="FFE9ECEF"/>
        </horizontal>
      </border>
    </dxf>
    <dxf>
      <font>
        <b val="0"/>
        <sz val="11"/>
        <color rgb="FF1E293B"/>
        <name val="Calibri"/>
      </font>
      <numFmt numFmtId="164" formatCode="_([$$-409]* #,##0.00_);_([$$-409]* \(#,##0.00\);_([$$-409]* &quot;-&quot;??_);_(@_)"/>
      <fill>
        <patternFill patternType="solid">
          <fgColor indexed="64"/>
          <bgColor rgb="FFFFFFFF"/>
        </patternFill>
      </fill>
      <border diagonalUp="0" diagonalDown="0">
        <left/>
        <right/>
        <top style="thin">
          <color rgb="FFE9ECEF"/>
        </top>
        <bottom style="thin">
          <color rgb="FFE9ECEF"/>
        </bottom>
        <vertical/>
        <horizontal style="thin">
          <color rgb="FFE9ECEF"/>
        </horizontal>
      </border>
    </dxf>
    <dxf>
      <font>
        <b val="0"/>
        <sz val="11"/>
        <color rgb="FF1E293B"/>
        <name val="Calibri"/>
      </font>
      <numFmt numFmtId="164" formatCode="_([$$-409]* #,##0.00_);_([$$-409]* \(#,##0.00\);_([$$-409]* &quot;-&quot;??_);_(@_)"/>
      <fill>
        <patternFill patternType="solid">
          <fgColor indexed="64"/>
          <bgColor rgb="FFFFFFFF"/>
        </patternFill>
      </fill>
      <border diagonalUp="0" diagonalDown="0">
        <left/>
        <right/>
        <top style="thin">
          <color rgb="FFE9ECEF"/>
        </top>
        <bottom style="thin">
          <color rgb="FFE9ECEF"/>
        </bottom>
        <vertical/>
        <horizontal style="thin">
          <color rgb="FFE9ECEF"/>
        </horizontal>
      </border>
    </dxf>
    <dxf>
      <font>
        <b val="0"/>
        <sz val="11"/>
        <color rgb="FF1E293B"/>
        <name val="Calibri"/>
      </font>
      <numFmt numFmtId="164" formatCode="_([$$-409]* #,##0.00_);_([$$-409]* \(#,##0.00\);_([$$-409]* &quot;-&quot;??_);_(@_)"/>
      <fill>
        <patternFill patternType="solid">
          <fgColor indexed="64"/>
          <bgColor rgb="FFFFFFFF"/>
        </patternFill>
      </fill>
      <border diagonalUp="0" diagonalDown="0">
        <left/>
        <right/>
        <top style="thin">
          <color rgb="FFE9ECEF"/>
        </top>
        <bottom style="thin">
          <color rgb="FFE9ECEF"/>
        </bottom>
        <vertical/>
        <horizontal style="thin">
          <color rgb="FFE9ECEF"/>
        </horizontal>
      </border>
    </dxf>
    <dxf>
      <font>
        <b val="0"/>
        <sz val="11"/>
        <color rgb="FF1E293B"/>
        <name val="Calibri"/>
      </font>
      <numFmt numFmtId="4" formatCode="#,##0.00"/>
      <fill>
        <patternFill patternType="solid">
          <fgColor indexed="64"/>
          <bgColor rgb="FFFFFFFF"/>
        </patternFill>
      </fill>
      <border diagonalUp="0" diagonalDown="0">
        <left/>
        <right/>
        <top style="thin">
          <color rgb="FFE9ECEF"/>
        </top>
        <bottom style="thin">
          <color rgb="FFE9ECEF"/>
        </bottom>
        <vertical/>
        <horizontal style="thin">
          <color rgb="FFE9ECEF"/>
        </horizontal>
      </border>
    </dxf>
    <dxf>
      <font>
        <b val="0"/>
        <sz val="11"/>
        <color rgb="FF1E293B"/>
        <name val="Calibri"/>
      </font>
      <numFmt numFmtId="4" formatCode="#,##0.00"/>
      <fill>
        <patternFill patternType="solid">
          <fgColor indexed="64"/>
          <bgColor rgb="FFFFFFFF"/>
        </patternFill>
      </fill>
      <border diagonalUp="0" diagonalDown="0">
        <left/>
        <right/>
        <top style="thin">
          <color rgb="FFE9ECEF"/>
        </top>
        <bottom style="thin">
          <color rgb="FFE9ECEF"/>
        </bottom>
        <vertical/>
        <horizontal style="thin">
          <color rgb="FFE9ECEF"/>
        </horizontal>
      </border>
    </dxf>
    <dxf>
      <font>
        <b val="0"/>
        <sz val="11"/>
        <color rgb="FF1E293B"/>
        <name val="Calibri"/>
      </font>
      <numFmt numFmtId="164" formatCode="_([$$-409]* #,##0.00_);_([$$-409]* \(#,##0.00\);_([$$-409]* &quot;-&quot;??_);_(@_)"/>
      <fill>
        <patternFill patternType="solid">
          <fgColor indexed="64"/>
          <bgColor rgb="FFFFFFFF"/>
        </patternFill>
      </fill>
      <border diagonalUp="0" diagonalDown="0">
        <left/>
        <right/>
        <top style="thin">
          <color rgb="FFE9ECEF"/>
        </top>
        <bottom style="thin">
          <color rgb="FFE9ECEF"/>
        </bottom>
        <vertical/>
        <horizontal style="thin">
          <color rgb="FFE9ECEF"/>
        </horizontal>
      </border>
    </dxf>
    <dxf>
      <font>
        <b val="0"/>
        <sz val="11"/>
        <color rgb="FF1E293B"/>
        <name val="Calibri"/>
      </font>
      <numFmt numFmtId="164" formatCode="_([$$-409]* #,##0.00_);_([$$-409]* \(#,##0.00\);_([$$-409]* &quot;-&quot;??_);_(@_)"/>
      <fill>
        <patternFill patternType="solid">
          <fgColor indexed="64"/>
          <bgColor rgb="FFFFFFFF"/>
        </patternFill>
      </fill>
      <border diagonalUp="0" diagonalDown="0">
        <left/>
        <right/>
        <top style="thin">
          <color rgb="FFE9ECEF"/>
        </top>
        <bottom style="thin">
          <color rgb="FFE9ECEF"/>
        </bottom>
        <vertical/>
        <horizontal style="thin">
          <color rgb="FFE9ECEF"/>
        </horizontal>
      </border>
    </dxf>
    <dxf>
      <font>
        <b val="0"/>
        <sz val="11"/>
        <color rgb="FF1E293B"/>
        <name val="Calibri"/>
      </font>
      <fill>
        <patternFill patternType="solid">
          <fgColor indexed="64"/>
          <bgColor rgb="FFFFFFFF"/>
        </patternFill>
      </fill>
      <border diagonalUp="0" diagonalDown="0">
        <left/>
        <right/>
        <top style="thin">
          <color rgb="FFE9ECEF"/>
        </top>
        <bottom style="thin">
          <color rgb="FFE9ECEF"/>
        </bottom>
        <vertical/>
        <horizontal style="thin">
          <color rgb="FFE9ECEF"/>
        </horizontal>
      </border>
    </dxf>
    <dxf>
      <font>
        <b val="0"/>
        <i val="0"/>
        <strike val="0"/>
        <condense val="0"/>
        <extend val="0"/>
        <outline val="0"/>
        <shadow val="0"/>
        <u val="none"/>
        <vertAlign val="baseline"/>
        <sz val="11"/>
        <color rgb="FF1E293B"/>
        <name val="Calibri"/>
        <scheme val="minor"/>
      </font>
      <fill>
        <patternFill patternType="solid">
          <fgColor indexed="64"/>
          <bgColor rgb="FFFFFFFF"/>
        </patternFill>
      </fill>
      <border diagonalUp="0" diagonalDown="0">
        <left style="thin">
          <color rgb="FFD9D9D9"/>
        </left>
        <right/>
        <top style="thin">
          <color rgb="FFE9ECEF"/>
        </top>
        <bottom style="thin">
          <color rgb="FFE9ECEF"/>
        </bottom>
        <vertical/>
        <horizontal style="thin">
          <color rgb="FFE9ECEF"/>
        </horizontal>
      </border>
    </dxf>
    <dxf>
      <border outline="0">
        <top style="thin">
          <color rgb="FFD9D9D9"/>
        </top>
      </border>
    </dxf>
    <dxf>
      <border outline="0">
        <right style="thin">
          <color rgb="FFD9D9D9"/>
        </right>
        <top style="thin">
          <color rgb="FF417A85"/>
        </top>
        <bottom style="thin">
          <color rgb="FF417A85"/>
        </bottom>
      </border>
    </dxf>
    <dxf>
      <font>
        <b val="0"/>
        <sz val="11"/>
        <color rgb="FF1E293B"/>
        <name val="Calibri"/>
      </font>
      <fill>
        <patternFill patternType="solid">
          <fgColor indexed="64"/>
          <bgColor rgb="FFFFFFFF"/>
        </patternFill>
      </fill>
    </dxf>
    <dxf>
      <border>
        <bottom style="medium">
          <color rgb="FF38BDF8"/>
        </bottom>
      </border>
    </dxf>
    <dxf>
      <font>
        <b/>
        <i val="0"/>
        <strike val="0"/>
        <condense val="0"/>
        <extend val="0"/>
        <outline val="0"/>
        <shadow val="0"/>
        <u val="none"/>
        <vertAlign val="baseline"/>
        <sz val="10"/>
        <color rgb="FFFFFFFF"/>
        <name val="Calibri"/>
        <scheme val="minor"/>
      </font>
      <fill>
        <patternFill patternType="solid">
          <fgColor indexed="64"/>
          <bgColor rgb="FF1E3A5F"/>
        </patternFill>
      </fill>
      <alignment horizontal="center"/>
      <border diagonalUp="0" diagonalDown="0">
        <left style="thin">
          <color rgb="FFD9D9D9"/>
        </left>
        <right style="thin">
          <color rgb="FFD9D9D9"/>
        </right>
        <top/>
        <bottom/>
      </border>
    </dxf>
    <dxf>
      <font>
        <sz val="10"/>
      </font>
    </dxf>
    <dxf>
      <font>
        <sz val="10"/>
      </font>
    </dxf>
    <dxf>
      <fill>
        <patternFill patternType="solid">
          <fgColor indexed="64"/>
          <bgColor rgb="FFFFFFFF"/>
        </patternFill>
      </fill>
    </dxf>
    <dxf>
      <fill>
        <patternFill patternType="solid">
          <fgColor indexed="64"/>
          <bgColor rgb="FFFFFFFF"/>
        </patternFill>
      </fill>
    </dxf>
    <dxf>
      <fill>
        <patternFill patternType="solid">
          <fgColor indexed="64"/>
          <bgColor rgb="FFF0F4F8"/>
        </patternFill>
      </fill>
    </dxf>
    <dxf>
      <fill>
        <patternFill patternType="solid">
          <fgColor indexed="64"/>
          <bgColor rgb="FFF0F4F8"/>
        </patternFill>
      </fill>
    </dxf>
    <dxf>
      <fill>
        <patternFill patternType="solid">
          <fgColor indexed="64"/>
          <bgColor rgb="FFFFFFFF"/>
        </patternFill>
      </fill>
    </dxf>
    <dxf>
      <fill>
        <patternFill patternType="solid">
          <fgColor indexed="64"/>
          <bgColor rgb="FFFFFFFF"/>
        </patternFill>
      </fill>
    </dxf>
    <dxf>
      <fill>
        <patternFill patternType="solid">
          <fgColor indexed="64"/>
          <bgColor rgb="FFF0F4F8"/>
        </patternFill>
      </fill>
    </dxf>
    <dxf>
      <fill>
        <patternFill patternType="solid">
          <fgColor indexed="64"/>
          <bgColor rgb="FFF0F4F8"/>
        </patternFill>
      </fill>
    </dxf>
    <dxf>
      <fill>
        <patternFill patternType="solid">
          <fgColor indexed="64"/>
          <bgColor rgb="FFFFFFFF"/>
        </patternFill>
      </fill>
    </dxf>
    <dxf>
      <fill>
        <patternFill patternType="solid">
          <fgColor indexed="64"/>
          <bgColor rgb="FFFFFFFF"/>
        </patternFill>
      </fill>
    </dxf>
    <dxf>
      <fill>
        <patternFill patternType="solid">
          <fgColor indexed="64"/>
          <bgColor rgb="FFF0F4F8"/>
        </patternFill>
      </fill>
    </dxf>
    <dxf>
      <fill>
        <patternFill patternType="solid">
          <fgColor indexed="64"/>
          <bgColor rgb="FFF0F4F8"/>
        </patternFill>
      </fill>
    </dxf>
    <dxf>
      <font>
        <sz val="10"/>
      </font>
    </dxf>
    <dxf>
      <font>
        <sz val="10"/>
      </font>
    </dxf>
    <dxf>
      <fill>
        <patternFill patternType="solid">
          <fgColor indexed="64"/>
          <bgColor rgb="FFFFFFFF"/>
        </patternFill>
      </fill>
    </dxf>
    <dxf>
      <fill>
        <patternFill patternType="solid">
          <fgColor indexed="64"/>
          <bgColor rgb="FFFFFFFF"/>
        </patternFill>
      </fill>
    </dxf>
    <dxf>
      <font>
        <sz val="10"/>
      </font>
    </dxf>
    <dxf>
      <font>
        <sz val="10"/>
      </font>
    </dxf>
    <dxf>
      <fill>
        <patternFill patternType="solid">
          <fgColor indexed="64"/>
          <bgColor rgb="FFF0F4F8"/>
        </patternFill>
      </fill>
    </dxf>
    <dxf>
      <fill>
        <patternFill patternType="solid">
          <fgColor indexed="64"/>
          <bgColor rgb="FFF0F4F8"/>
        </patternFill>
      </fill>
    </dxf>
    <dxf>
      <fill>
        <patternFill patternType="solid">
          <fgColor indexed="64"/>
          <bgColor rgb="FFFFFFFF"/>
        </patternFill>
      </fill>
    </dxf>
    <dxf>
      <fill>
        <patternFill patternType="solid">
          <fgColor indexed="64"/>
          <bgColor rgb="FFFFFFFF"/>
        </patternFill>
      </fill>
    </dxf>
    <dxf>
      <font>
        <sz val="10"/>
      </font>
    </dxf>
    <dxf>
      <font>
        <sz val="10"/>
      </font>
    </dxf>
    <dxf>
      <fill>
        <patternFill patternType="solid">
          <fgColor indexed="64"/>
          <bgColor rgb="FFF0F4F8"/>
        </patternFill>
      </fill>
    </dxf>
    <dxf>
      <fill>
        <patternFill patternType="solid">
          <fgColor indexed="64"/>
          <bgColor rgb="FFF0F4F8"/>
        </patternFill>
      </fill>
    </dxf>
    <dxf>
      <font>
        <sz val="10"/>
      </font>
    </dxf>
    <dxf>
      <font>
        <sz val="10"/>
      </font>
    </dxf>
    <dxf>
      <fill>
        <patternFill patternType="solid">
          <fgColor indexed="64"/>
          <bgColor rgb="FFFFFFFF"/>
        </patternFill>
      </fill>
    </dxf>
    <dxf>
      <fill>
        <patternFill patternType="solid">
          <fgColor indexed="64"/>
          <bgColor rgb="FFFFFFFF"/>
        </patternFill>
      </fill>
    </dxf>
    <dxf>
      <font>
        <sz val="11"/>
      </font>
    </dxf>
    <dxf>
      <font>
        <sz val="11"/>
      </font>
    </dxf>
    <dxf>
      <font>
        <sz val="11"/>
      </font>
    </dxf>
    <dxf>
      <font>
        <sz val="11"/>
      </font>
    </dxf>
    <dxf>
      <font>
        <sz val="11"/>
      </font>
    </dxf>
    <dxf>
      <font>
        <sz val="11"/>
      </font>
    </dxf>
    <dxf>
      <font>
        <name val="Calibri"/>
      </font>
    </dxf>
    <dxf>
      <font>
        <name val="Calibri"/>
      </font>
    </dxf>
    <dxf>
      <font>
        <name val="Calibri"/>
      </font>
    </dxf>
    <dxf>
      <font>
        <name val="Calibri"/>
      </font>
    </dxf>
    <dxf>
      <font>
        <name val="Calibri"/>
      </font>
    </dxf>
    <dxf>
      <font>
        <name val="Calibri"/>
      </font>
    </dxf>
    <dxf>
      <font>
        <color rgb="FF1E293B"/>
      </font>
    </dxf>
    <dxf>
      <font>
        <color rgb="FF1E293B"/>
      </font>
    </dxf>
    <dxf>
      <font>
        <color rgb="FF1E293B"/>
      </font>
    </dxf>
    <dxf>
      <font>
        <color rgb="FF1E293B"/>
      </font>
    </dxf>
    <dxf>
      <font>
        <color rgb="FF1E293B"/>
      </font>
    </dxf>
    <dxf>
      <font>
        <color rgb="FF1E293B"/>
      </font>
    </dxf>
    <dxf>
      <fill>
        <patternFill patternType="solid">
          <fgColor indexed="64"/>
          <bgColor rgb="FFFFFFFF"/>
        </patternFill>
      </fill>
    </dxf>
    <dxf>
      <fill>
        <patternFill patternType="solid">
          <fgColor indexed="64"/>
          <bgColor rgb="FFFFFFFF"/>
        </patternFill>
      </fill>
    </dxf>
    <dxf>
      <fill>
        <patternFill patternType="solid">
          <fgColor indexed="64"/>
          <bgColor rgb="FFFFFFFF"/>
        </patternFill>
      </fill>
    </dxf>
    <dxf>
      <fill>
        <patternFill patternType="solid">
          <fgColor indexed="64"/>
          <bgColor rgb="FFFFFFFF"/>
        </patternFill>
      </fill>
    </dxf>
    <dxf>
      <fill>
        <patternFill patternType="solid">
          <fgColor indexed="64"/>
          <bgColor rgb="FFFFFFFF"/>
        </patternFill>
      </fill>
    </dxf>
    <dxf>
      <fill>
        <patternFill patternType="solid">
          <fgColor indexed="64"/>
          <bgColor rgb="FFFFFFFF"/>
        </patternFill>
      </fill>
    </dxf>
    <dxf>
      <font>
        <sz val="10"/>
      </font>
    </dxf>
    <dxf>
      <font>
        <sz val="10"/>
      </font>
    </dxf>
    <dxf>
      <fill>
        <patternFill patternType="solid">
          <fgColor indexed="64"/>
          <bgColor rgb="FFFFFFFF"/>
        </patternFill>
      </fill>
    </dxf>
    <dxf>
      <font>
        <sz val="10"/>
      </font>
    </dxf>
    <dxf>
      <font>
        <sz val="10"/>
      </font>
    </dxf>
    <dxf>
      <fill>
        <patternFill patternType="solid">
          <fgColor indexed="64"/>
          <bgColor rgb="FFFFFFFF"/>
        </patternFill>
      </fill>
    </dxf>
    <dxf>
      <font>
        <sz val="10"/>
      </font>
    </dxf>
    <dxf>
      <font>
        <sz val="10"/>
      </font>
    </dxf>
    <dxf>
      <fill>
        <patternFill patternType="solid">
          <fgColor indexed="64"/>
          <bgColor rgb="FFEEF2F7"/>
        </patternFill>
      </fill>
    </dxf>
    <dxf>
      <font>
        <sz val="10"/>
      </font>
    </dxf>
    <dxf>
      <font>
        <sz val="10"/>
      </font>
    </dxf>
    <dxf>
      <fill>
        <patternFill patternType="solid">
          <fgColor indexed="64"/>
          <bgColor rgb="FFEEF2F7"/>
        </patternFill>
      </fill>
    </dxf>
    <dxf>
      <font>
        <sz val="10"/>
      </font>
    </dxf>
    <dxf>
      <font>
        <sz val="10"/>
      </font>
    </dxf>
    <dxf>
      <fill>
        <patternFill patternType="solid">
          <fgColor indexed="64"/>
          <bgColor rgb="FFFFFFFF"/>
        </patternFill>
      </fill>
    </dxf>
    <dxf>
      <fill>
        <patternFill patternType="solid">
          <fgColor indexed="64"/>
          <bgColor rgb="FFFFFFFF"/>
        </patternFill>
      </fill>
    </dxf>
    <dxf>
      <font>
        <b val="0"/>
      </font>
    </dxf>
    <dxf>
      <font>
        <b val="0"/>
      </font>
    </dxf>
    <dxf>
      <font>
        <b val="0"/>
      </font>
    </dxf>
    <dxf>
      <font>
        <b val="0"/>
      </font>
    </dxf>
    <dxf>
      <font>
        <b val="0"/>
      </font>
    </dxf>
    <dxf>
      <font>
        <b val="0"/>
      </font>
    </dxf>
    <dxf>
      <font>
        <sz val="11"/>
      </font>
    </dxf>
    <dxf>
      <font>
        <sz val="11"/>
      </font>
    </dxf>
    <dxf>
      <font>
        <sz val="11"/>
      </font>
    </dxf>
    <dxf>
      <font>
        <sz val="11"/>
      </font>
    </dxf>
    <dxf>
      <font>
        <sz val="11"/>
      </font>
    </dxf>
    <dxf>
      <font>
        <sz val="11"/>
      </font>
    </dxf>
    <dxf>
      <font>
        <name val="Calibri"/>
      </font>
    </dxf>
    <dxf>
      <font>
        <name val="Calibri"/>
      </font>
    </dxf>
    <dxf>
      <font>
        <name val="Calibri"/>
      </font>
    </dxf>
    <dxf>
      <font>
        <name val="Calibri"/>
      </font>
    </dxf>
    <dxf>
      <font>
        <name val="Calibri"/>
      </font>
    </dxf>
    <dxf>
      <font>
        <name val="Calibri"/>
      </font>
    </dxf>
    <dxf>
      <font>
        <color rgb="FF1E293B"/>
      </font>
    </dxf>
    <dxf>
      <font>
        <color rgb="FF1E293B"/>
      </font>
    </dxf>
    <dxf>
      <font>
        <color rgb="FF1E293B"/>
      </font>
    </dxf>
    <dxf>
      <font>
        <color rgb="FF1E293B"/>
      </font>
    </dxf>
    <dxf>
      <font>
        <color rgb="FF1E293B"/>
      </font>
    </dxf>
    <dxf>
      <font>
        <color rgb="FF1E293B"/>
      </font>
    </dxf>
    <dxf>
      <fill>
        <patternFill patternType="solid">
          <fgColor indexed="64"/>
          <bgColor rgb="FFFFFFFF"/>
        </patternFill>
      </fill>
    </dxf>
    <dxf>
      <fill>
        <patternFill patternType="solid">
          <fgColor indexed="64"/>
          <bgColor rgb="FFFFFFFF"/>
        </patternFill>
      </fill>
    </dxf>
    <dxf>
      <fill>
        <patternFill patternType="solid">
          <fgColor indexed="64"/>
          <bgColor rgb="FFFFFFFF"/>
        </patternFill>
      </fill>
    </dxf>
    <dxf>
      <fill>
        <patternFill patternType="solid">
          <fgColor indexed="64"/>
          <bgColor rgb="FFFFFFFF"/>
        </patternFill>
      </fill>
    </dxf>
    <dxf>
      <fill>
        <patternFill patternType="solid">
          <fgColor indexed="64"/>
          <bgColor rgb="FFFFFFFF"/>
        </patternFill>
      </fill>
    </dxf>
    <dxf>
      <fill>
        <patternFill patternType="solid">
          <fgColor indexed="64"/>
          <bgColor rgb="FFFFFFFF"/>
        </patternFill>
      </fill>
    </dxf>
    <dxf>
      <font>
        <sz val="10"/>
      </font>
    </dxf>
    <dxf>
      <font>
        <sz val="10"/>
      </font>
    </dxf>
    <dxf>
      <fill>
        <patternFill patternType="solid">
          <fgColor indexed="64"/>
          <bgColor rgb="FFFFFFFF"/>
        </patternFill>
      </fill>
    </dxf>
    <dxf>
      <font>
        <sz val="10"/>
      </font>
    </dxf>
    <dxf>
      <font>
        <sz val="10"/>
      </font>
    </dxf>
    <dxf>
      <fill>
        <patternFill patternType="solid">
          <fgColor indexed="64"/>
          <bgColor rgb="FFFFFFFF"/>
        </patternFill>
      </fill>
    </dxf>
    <dxf>
      <font>
        <sz val="10"/>
      </font>
    </dxf>
    <dxf>
      <font>
        <sz val="10"/>
      </font>
    </dxf>
    <dxf>
      <fill>
        <patternFill patternType="solid">
          <fgColor indexed="64"/>
          <bgColor rgb="FFF8F9FA"/>
        </patternFill>
      </fill>
    </dxf>
    <dxf>
      <font>
        <sz val="10"/>
      </font>
    </dxf>
    <dxf>
      <font>
        <sz val="10"/>
      </font>
    </dxf>
    <dxf>
      <fill>
        <patternFill patternType="solid">
          <fgColor indexed="64"/>
          <bgColor rgb="FFF8F9FA"/>
        </patternFill>
      </fill>
    </dxf>
    <dxf>
      <font>
        <sz val="10"/>
      </font>
    </dxf>
    <dxf>
      <font>
        <sz val="10"/>
      </font>
    </dxf>
    <dxf>
      <fill>
        <patternFill patternType="solid">
          <fgColor indexed="64"/>
          <bgColor rgb="FFFFFFFF"/>
        </patternFill>
      </fill>
    </dxf>
    <dxf>
      <fill>
        <patternFill patternType="solid">
          <fgColor indexed="64"/>
          <bgColor rgb="FFFFFFFF"/>
        </patternFill>
      </fill>
    </dxf>
    <dxf>
      <font>
        <b val="0"/>
      </font>
    </dxf>
    <dxf>
      <font>
        <b val="0"/>
      </font>
    </dxf>
    <dxf>
      <font>
        <b val="0"/>
      </font>
    </dxf>
    <dxf>
      <font>
        <b val="0"/>
      </font>
    </dxf>
    <dxf>
      <font>
        <b val="0"/>
      </font>
    </dxf>
    <dxf>
      <font>
        <b val="0"/>
      </font>
    </dxf>
    <dxf>
      <font>
        <sz val="11"/>
      </font>
    </dxf>
    <dxf>
      <font>
        <sz val="11"/>
      </font>
    </dxf>
    <dxf>
      <font>
        <sz val="11"/>
      </font>
    </dxf>
    <dxf>
      <font>
        <sz val="11"/>
      </font>
    </dxf>
    <dxf>
      <font>
        <sz val="11"/>
      </font>
    </dxf>
    <dxf>
      <font>
        <sz val="11"/>
      </font>
    </dxf>
    <dxf>
      <font>
        <name val="Calibri"/>
      </font>
    </dxf>
    <dxf>
      <font>
        <name val="Calibri"/>
      </font>
    </dxf>
    <dxf>
      <font>
        <name val="Calibri"/>
      </font>
    </dxf>
    <dxf>
      <font>
        <name val="Calibri"/>
      </font>
    </dxf>
    <dxf>
      <font>
        <name val="Calibri"/>
      </font>
    </dxf>
    <dxf>
      <font>
        <name val="Calibri"/>
      </font>
    </dxf>
    <dxf>
      <font>
        <color rgb="FF212529"/>
      </font>
    </dxf>
    <dxf>
      <font>
        <color rgb="FF212529"/>
      </font>
    </dxf>
    <dxf>
      <font>
        <color rgb="FF212529"/>
      </font>
    </dxf>
    <dxf>
      <font>
        <color rgb="FF212529"/>
      </font>
    </dxf>
    <dxf>
      <font>
        <color rgb="FF212529"/>
      </font>
    </dxf>
    <dxf>
      <font>
        <color rgb="FF212529"/>
      </font>
    </dxf>
    <dxf>
      <fill>
        <patternFill patternType="solid">
          <fgColor indexed="64"/>
          <bgColor rgb="FFFFFFFF"/>
        </patternFill>
      </fill>
    </dxf>
    <dxf>
      <fill>
        <patternFill patternType="solid">
          <fgColor indexed="64"/>
          <bgColor rgb="FFFFFFFF"/>
        </patternFill>
      </fill>
    </dxf>
    <dxf>
      <fill>
        <patternFill patternType="solid">
          <fgColor indexed="64"/>
          <bgColor rgb="FFFFFFFF"/>
        </patternFill>
      </fill>
    </dxf>
    <dxf>
      <fill>
        <patternFill patternType="solid">
          <fgColor indexed="64"/>
          <bgColor rgb="FFFFFFFF"/>
        </patternFill>
      </fill>
    </dxf>
    <dxf>
      <fill>
        <patternFill patternType="solid">
          <fgColor indexed="64"/>
          <bgColor rgb="FFFFFFFF"/>
        </patternFill>
      </fill>
    </dxf>
    <dxf>
      <fill>
        <patternFill patternType="solid">
          <fgColor indexed="64"/>
          <bgColor rgb="FFFFFFFF"/>
        </patternFill>
      </fill>
    </dxf>
    <dxf>
      <font>
        <b val="0"/>
      </font>
    </dxf>
    <dxf>
      <font>
        <b val="0"/>
      </font>
    </dxf>
    <dxf>
      <font>
        <b val="0"/>
      </font>
    </dxf>
    <dxf>
      <font>
        <b val="0"/>
      </font>
    </dxf>
    <dxf>
      <font>
        <b val="0"/>
      </font>
    </dxf>
    <dxf>
      <font>
        <b val="0"/>
      </font>
    </dxf>
    <dxf>
      <font>
        <sz val="11"/>
      </font>
    </dxf>
    <dxf>
      <font>
        <sz val="11"/>
      </font>
    </dxf>
    <dxf>
      <font>
        <sz val="11"/>
      </font>
    </dxf>
    <dxf>
      <font>
        <sz val="11"/>
      </font>
    </dxf>
    <dxf>
      <font>
        <sz val="11"/>
      </font>
    </dxf>
    <dxf>
      <font>
        <sz val="11"/>
      </font>
    </dxf>
    <dxf>
      <font>
        <name val="Calibri"/>
      </font>
    </dxf>
    <dxf>
      <font>
        <name val="Calibri"/>
      </font>
    </dxf>
    <dxf>
      <font>
        <name val="Calibri"/>
      </font>
    </dxf>
    <dxf>
      <font>
        <name val="Calibri"/>
      </font>
    </dxf>
    <dxf>
      <font>
        <name val="Calibri"/>
      </font>
    </dxf>
    <dxf>
      <font>
        <name val="Calibri"/>
      </font>
    </dxf>
    <dxf>
      <font>
        <color rgb="FF212529"/>
      </font>
    </dxf>
    <dxf>
      <font>
        <color rgb="FF212529"/>
      </font>
    </dxf>
    <dxf>
      <font>
        <color rgb="FF212529"/>
      </font>
    </dxf>
    <dxf>
      <font>
        <color rgb="FF212529"/>
      </font>
    </dxf>
    <dxf>
      <font>
        <color rgb="FF212529"/>
      </font>
    </dxf>
    <dxf>
      <font>
        <color rgb="FF212529"/>
      </font>
    </dxf>
    <dxf>
      <fill>
        <patternFill patternType="solid">
          <fgColor indexed="64"/>
          <bgColor rgb="FFFFFFFF"/>
        </patternFill>
      </fill>
    </dxf>
    <dxf>
      <fill>
        <patternFill patternType="solid">
          <fgColor indexed="64"/>
          <bgColor rgb="FFFFFFFF"/>
        </patternFill>
      </fill>
    </dxf>
    <dxf>
      <fill>
        <patternFill patternType="solid">
          <fgColor indexed="64"/>
          <bgColor rgb="FFFFFFFF"/>
        </patternFill>
      </fill>
    </dxf>
    <dxf>
      <fill>
        <patternFill patternType="solid">
          <fgColor indexed="64"/>
          <bgColor rgb="FFFFFFFF"/>
        </patternFill>
      </fill>
    </dxf>
    <dxf>
      <fill>
        <patternFill patternType="solid">
          <fgColor indexed="64"/>
          <bgColor rgb="FFFFFFFF"/>
        </patternFill>
      </fill>
    </dxf>
    <dxf>
      <fill>
        <patternFill patternType="solid">
          <fgColor indexed="64"/>
          <bgColor rgb="FFFFFFFF"/>
        </patternFill>
      </fill>
    </dxf>
  </dxfs>
  <tableStyles count="0" defaultTableStyle="TableStyleMedium2" defaultPivotStyle="PivotStyleLight16"/>
  <colors>
    <mruColors>
      <color rgb="FF417A8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17/06/relationships/rdRichValue" Target="richData/rdrichvalue.xml"/><Relationship Id="rId3" Type="http://schemas.openxmlformats.org/officeDocument/2006/relationships/worksheet" Target="worksheets/sheet3.xml"/><Relationship Id="rId21" Type="http://schemas.openxmlformats.org/officeDocument/2006/relationships/pivotCacheDefinition" Target="pivotCache/pivotCacheDefinition1.xml"/><Relationship Id="rId34"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eetMetadata" Target="metadata.xml"/><Relationship Id="rId33"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microsoft.com/office/2017/06/relationships/richStyles" Target="richData/rich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32" Type="http://schemas.microsoft.com/office/2017/06/relationships/rdRichValueTypes" Target="richData/rdRichValueTyp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28" Type="http://schemas.microsoft.com/office/2017/06/relationships/rdArray" Target="richData/rdarray.xml"/><Relationship Id="rId10" Type="http://schemas.openxmlformats.org/officeDocument/2006/relationships/worksheet" Target="worksheets/sheet10.xml"/><Relationship Id="rId19" Type="http://schemas.openxmlformats.org/officeDocument/2006/relationships/worksheet" Target="worksheets/sheet19.xml"/><Relationship Id="rId31" Type="http://schemas.microsoft.com/office/2017/06/relationships/rdSupportingPropertyBag" Target="richData/rdsupportingpropertybag.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 Id="rId27" Type="http://schemas.microsoft.com/office/2017/06/relationships/rdRichValueStructure" Target="richData/rdrichvaluestructure.xml"/><Relationship Id="rId30" Type="http://schemas.microsoft.com/office/2017/06/relationships/rdSupportingPropertyBagStructure" Target="richData/rdsupportingpropertybagstructure.xml"/><Relationship Id="rId8" Type="http://schemas.openxmlformats.org/officeDocument/2006/relationships/worksheet" Target="worksheets/sheet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9.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rgbClr val="E2E8F0"/>
                </a:solidFill>
                <a:latin typeface="+mn-lt"/>
                <a:ea typeface="+mn-ea"/>
                <a:cs typeface="+mn-cs"/>
              </a:defRPr>
            </a:pPr>
            <a:r>
              <a:rPr lang="en-US"/>
              <a:t>Total Return % by Stock</a:t>
            </a:r>
          </a:p>
        </c:rich>
      </c:tx>
      <c:overlay val="0"/>
      <c:spPr>
        <a:noFill/>
        <a:ln>
          <a:noFill/>
        </a:ln>
        <a:effectLst/>
      </c:spPr>
      <c:txPr>
        <a:bodyPr rot="0" spcFirstLastPara="1" vertOverflow="ellipsis" vert="horz" wrap="square" anchor="ctr" anchorCtr="1"/>
        <a:lstStyle/>
        <a:p>
          <a:pPr>
            <a:defRPr sz="1200" b="1" i="0" u="none" strike="noStrike" kern="1200" spc="0" baseline="0">
              <a:solidFill>
                <a:srgbClr val="E2E8F0"/>
              </a:solidFill>
              <a:latin typeface="+mn-lt"/>
              <a:ea typeface="+mn-ea"/>
              <a:cs typeface="+mn-cs"/>
            </a:defRPr>
          </a:pPr>
          <a:endParaRPr lang="en-KE"/>
        </a:p>
      </c:txPr>
    </c:title>
    <c:autoTitleDeleted val="0"/>
    <c:plotArea>
      <c:layout/>
      <c:barChart>
        <c:barDir val="bar"/>
        <c:grouping val="clustered"/>
        <c:varyColors val="0"/>
        <c:ser>
          <c:idx val="0"/>
          <c:order val="0"/>
          <c:tx>
            <c:strRef>
              <c:f>Dashboard!$V$1</c:f>
              <c:strCache>
                <c:ptCount val="1"/>
                <c:pt idx="0">
                  <c:v>Return %</c:v>
                </c:pt>
              </c:strCache>
            </c:strRef>
          </c:tx>
          <c:spPr>
            <a:solidFill>
              <a:srgbClr val="38BDF8"/>
            </a:solidFill>
            <a:ln>
              <a:noFill/>
            </a:ln>
            <a:effectLst/>
          </c:spPr>
          <c:invertIfNegative val="0"/>
          <c:dPt>
            <c:idx val="0"/>
            <c:invertIfNegative val="0"/>
            <c:bubble3D val="0"/>
            <c:spPr>
              <a:solidFill>
                <a:srgbClr val="4ADE80"/>
              </a:solidFill>
              <a:ln>
                <a:noFill/>
              </a:ln>
              <a:effectLst/>
            </c:spPr>
            <c:extLst>
              <c:ext xmlns:c16="http://schemas.microsoft.com/office/drawing/2014/chart" uri="{C3380CC4-5D6E-409C-BE32-E72D297353CC}">
                <c16:uniqueId val="{00000001-96C6-47C8-9824-64BE1B616DD2}"/>
              </c:ext>
            </c:extLst>
          </c:dPt>
          <c:dPt>
            <c:idx val="1"/>
            <c:invertIfNegative val="0"/>
            <c:bubble3D val="0"/>
            <c:spPr>
              <a:solidFill>
                <a:srgbClr val="4ADE80"/>
              </a:solidFill>
              <a:ln>
                <a:noFill/>
              </a:ln>
              <a:effectLst/>
            </c:spPr>
            <c:extLst>
              <c:ext xmlns:c16="http://schemas.microsoft.com/office/drawing/2014/chart" uri="{C3380CC4-5D6E-409C-BE32-E72D297353CC}">
                <c16:uniqueId val="{00000002-96C6-47C8-9824-64BE1B616DD2}"/>
              </c:ext>
            </c:extLst>
          </c:dPt>
          <c:dPt>
            <c:idx val="2"/>
            <c:invertIfNegative val="0"/>
            <c:bubble3D val="0"/>
            <c:spPr>
              <a:solidFill>
                <a:srgbClr val="4ADE80"/>
              </a:solidFill>
              <a:ln>
                <a:noFill/>
              </a:ln>
              <a:effectLst/>
            </c:spPr>
            <c:extLst>
              <c:ext xmlns:c16="http://schemas.microsoft.com/office/drawing/2014/chart" uri="{C3380CC4-5D6E-409C-BE32-E72D297353CC}">
                <c16:uniqueId val="{00000003-96C6-47C8-9824-64BE1B616DD2}"/>
              </c:ext>
            </c:extLst>
          </c:dPt>
          <c:dPt>
            <c:idx val="3"/>
            <c:invertIfNegative val="0"/>
            <c:bubble3D val="0"/>
            <c:spPr>
              <a:solidFill>
                <a:srgbClr val="4ADE80"/>
              </a:solidFill>
              <a:ln>
                <a:noFill/>
              </a:ln>
              <a:effectLst/>
            </c:spPr>
            <c:extLst>
              <c:ext xmlns:c16="http://schemas.microsoft.com/office/drawing/2014/chart" uri="{C3380CC4-5D6E-409C-BE32-E72D297353CC}">
                <c16:uniqueId val="{00000004-96C6-47C8-9824-64BE1B616DD2}"/>
              </c:ext>
            </c:extLst>
          </c:dPt>
          <c:dPt>
            <c:idx val="4"/>
            <c:invertIfNegative val="0"/>
            <c:bubble3D val="0"/>
            <c:spPr>
              <a:solidFill>
                <a:srgbClr val="4ADE80"/>
              </a:solidFill>
              <a:ln>
                <a:noFill/>
              </a:ln>
              <a:effectLst/>
            </c:spPr>
            <c:extLst>
              <c:ext xmlns:c16="http://schemas.microsoft.com/office/drawing/2014/chart" uri="{C3380CC4-5D6E-409C-BE32-E72D297353CC}">
                <c16:uniqueId val="{00000005-96C6-47C8-9824-64BE1B616DD2}"/>
              </c:ext>
            </c:extLst>
          </c:dPt>
          <c:dPt>
            <c:idx val="5"/>
            <c:invertIfNegative val="0"/>
            <c:bubble3D val="0"/>
            <c:spPr>
              <a:solidFill>
                <a:srgbClr val="4ADE80"/>
              </a:solidFill>
              <a:ln>
                <a:noFill/>
              </a:ln>
              <a:effectLst/>
            </c:spPr>
            <c:extLst>
              <c:ext xmlns:c16="http://schemas.microsoft.com/office/drawing/2014/chart" uri="{C3380CC4-5D6E-409C-BE32-E72D297353CC}">
                <c16:uniqueId val="{00000006-96C6-47C8-9824-64BE1B616DD2}"/>
              </c:ext>
            </c:extLst>
          </c:dPt>
          <c:dPt>
            <c:idx val="6"/>
            <c:invertIfNegative val="0"/>
            <c:bubble3D val="0"/>
            <c:spPr>
              <a:solidFill>
                <a:srgbClr val="4ADE80"/>
              </a:solidFill>
              <a:ln>
                <a:noFill/>
              </a:ln>
              <a:effectLst/>
            </c:spPr>
            <c:extLst>
              <c:ext xmlns:c16="http://schemas.microsoft.com/office/drawing/2014/chart" uri="{C3380CC4-5D6E-409C-BE32-E72D297353CC}">
                <c16:uniqueId val="{00000007-96C6-47C8-9824-64BE1B616DD2}"/>
              </c:ext>
            </c:extLst>
          </c:dPt>
          <c:dPt>
            <c:idx val="7"/>
            <c:invertIfNegative val="0"/>
            <c:bubble3D val="0"/>
            <c:spPr>
              <a:solidFill>
                <a:srgbClr val="4ADE80"/>
              </a:solidFill>
              <a:ln>
                <a:noFill/>
              </a:ln>
              <a:effectLst/>
            </c:spPr>
            <c:extLst>
              <c:ext xmlns:c16="http://schemas.microsoft.com/office/drawing/2014/chart" uri="{C3380CC4-5D6E-409C-BE32-E72D297353CC}">
                <c16:uniqueId val="{00000008-96C6-47C8-9824-64BE1B616DD2}"/>
              </c:ext>
            </c:extLst>
          </c:dPt>
          <c:dPt>
            <c:idx val="8"/>
            <c:invertIfNegative val="0"/>
            <c:bubble3D val="0"/>
            <c:spPr>
              <a:solidFill>
                <a:srgbClr val="EF4444"/>
              </a:solidFill>
              <a:ln>
                <a:noFill/>
              </a:ln>
              <a:effectLst/>
            </c:spPr>
            <c:extLst>
              <c:ext xmlns:c16="http://schemas.microsoft.com/office/drawing/2014/chart" uri="{C3380CC4-5D6E-409C-BE32-E72D297353CC}">
                <c16:uniqueId val="{00000009-96C6-47C8-9824-64BE1B616DD2}"/>
              </c:ext>
            </c:extLst>
          </c:dPt>
          <c:dPt>
            <c:idx val="9"/>
            <c:invertIfNegative val="0"/>
            <c:bubble3D val="0"/>
            <c:spPr>
              <a:solidFill>
                <a:srgbClr val="4ADE80"/>
              </a:solidFill>
              <a:ln>
                <a:noFill/>
              </a:ln>
              <a:effectLst/>
            </c:spPr>
            <c:extLst>
              <c:ext xmlns:c16="http://schemas.microsoft.com/office/drawing/2014/chart" uri="{C3380CC4-5D6E-409C-BE32-E72D297353CC}">
                <c16:uniqueId val="{0000000A-96C6-47C8-9824-64BE1B616DD2}"/>
              </c:ext>
            </c:extLst>
          </c:dPt>
          <c:dPt>
            <c:idx val="10"/>
            <c:invertIfNegative val="0"/>
            <c:bubble3D val="0"/>
            <c:spPr>
              <a:solidFill>
                <a:srgbClr val="4ADE80"/>
              </a:solidFill>
              <a:ln>
                <a:noFill/>
              </a:ln>
              <a:effectLst/>
            </c:spPr>
            <c:extLst>
              <c:ext xmlns:c16="http://schemas.microsoft.com/office/drawing/2014/chart" uri="{C3380CC4-5D6E-409C-BE32-E72D297353CC}">
                <c16:uniqueId val="{0000000B-96C6-47C8-9824-64BE1B616DD2}"/>
              </c:ext>
            </c:extLst>
          </c:dPt>
          <c:dPt>
            <c:idx val="11"/>
            <c:invertIfNegative val="0"/>
            <c:bubble3D val="0"/>
            <c:spPr>
              <a:solidFill>
                <a:srgbClr val="4ADE80"/>
              </a:solidFill>
              <a:ln>
                <a:noFill/>
              </a:ln>
              <a:effectLst/>
            </c:spPr>
            <c:extLst>
              <c:ext xmlns:c16="http://schemas.microsoft.com/office/drawing/2014/chart" uri="{C3380CC4-5D6E-409C-BE32-E72D297353CC}">
                <c16:uniqueId val="{0000000C-96C6-47C8-9824-64BE1B616DD2}"/>
              </c:ext>
            </c:extLst>
          </c:dPt>
          <c:dPt>
            <c:idx val="12"/>
            <c:invertIfNegative val="0"/>
            <c:bubble3D val="0"/>
            <c:spPr>
              <a:solidFill>
                <a:srgbClr val="4ADE80"/>
              </a:solidFill>
              <a:ln>
                <a:noFill/>
              </a:ln>
              <a:effectLst/>
            </c:spPr>
            <c:extLst>
              <c:ext xmlns:c16="http://schemas.microsoft.com/office/drawing/2014/chart" uri="{C3380CC4-5D6E-409C-BE32-E72D297353CC}">
                <c16:uniqueId val="{0000000D-96C6-47C8-9824-64BE1B616DD2}"/>
              </c:ext>
            </c:extLst>
          </c:dPt>
          <c:dPt>
            <c:idx val="13"/>
            <c:invertIfNegative val="0"/>
            <c:bubble3D val="0"/>
            <c:spPr>
              <a:solidFill>
                <a:srgbClr val="EF4444"/>
              </a:solidFill>
              <a:ln>
                <a:noFill/>
              </a:ln>
              <a:effectLst/>
            </c:spPr>
            <c:extLst>
              <c:ext xmlns:c16="http://schemas.microsoft.com/office/drawing/2014/chart" uri="{C3380CC4-5D6E-409C-BE32-E72D297353CC}">
                <c16:uniqueId val="{0000000E-96C6-47C8-9824-64BE1B616DD2}"/>
              </c:ext>
            </c:extLst>
          </c:dPt>
          <c:dPt>
            <c:idx val="14"/>
            <c:invertIfNegative val="0"/>
            <c:bubble3D val="0"/>
            <c:spPr>
              <a:solidFill>
                <a:srgbClr val="4ADE80"/>
              </a:solidFill>
              <a:ln>
                <a:noFill/>
              </a:ln>
              <a:effectLst/>
            </c:spPr>
            <c:extLst>
              <c:ext xmlns:c16="http://schemas.microsoft.com/office/drawing/2014/chart" uri="{C3380CC4-5D6E-409C-BE32-E72D297353CC}">
                <c16:uniqueId val="{0000000F-96C6-47C8-9824-64BE1B616DD2}"/>
              </c:ext>
            </c:extLst>
          </c:dPt>
          <c:dPt>
            <c:idx val="15"/>
            <c:invertIfNegative val="0"/>
            <c:bubble3D val="0"/>
            <c:spPr>
              <a:solidFill>
                <a:srgbClr val="4ADE80"/>
              </a:solidFill>
              <a:ln>
                <a:noFill/>
              </a:ln>
              <a:effectLst/>
            </c:spPr>
            <c:extLst>
              <c:ext xmlns:c16="http://schemas.microsoft.com/office/drawing/2014/chart" uri="{C3380CC4-5D6E-409C-BE32-E72D297353CC}">
                <c16:uniqueId val="{00000010-96C6-47C8-9824-64BE1B616DD2}"/>
              </c:ext>
            </c:extLst>
          </c:dPt>
          <c:cat>
            <c:strRef>
              <c:f>Dashboard!$U$2:$U$17</c:f>
              <c:strCache>
                <c:ptCount val="16"/>
                <c:pt idx="0">
                  <c:v>AMD</c:v>
                </c:pt>
                <c:pt idx="1">
                  <c:v>GOOG</c:v>
                </c:pt>
                <c:pt idx="2">
                  <c:v>AMZN</c:v>
                </c:pt>
                <c:pt idx="3">
                  <c:v>AAPL</c:v>
                </c:pt>
                <c:pt idx="4">
                  <c:v>BLK</c:v>
                </c:pt>
                <c:pt idx="5">
                  <c:v>CVX</c:v>
                </c:pt>
                <c:pt idx="6">
                  <c:v>C</c:v>
                </c:pt>
                <c:pt idx="7">
                  <c:v>F</c:v>
                </c:pt>
                <c:pt idx="8">
                  <c:v>HMC</c:v>
                </c:pt>
                <c:pt idx="9">
                  <c:v>JPM</c:v>
                </c:pt>
                <c:pt idx="10">
                  <c:v>META</c:v>
                </c:pt>
                <c:pt idx="11">
                  <c:v>NVDA</c:v>
                </c:pt>
                <c:pt idx="12">
                  <c:v>0R2N</c:v>
                </c:pt>
                <c:pt idx="13">
                  <c:v>BA</c:v>
                </c:pt>
                <c:pt idx="14">
                  <c:v>TM</c:v>
                </c:pt>
                <c:pt idx="15">
                  <c:v>WMT</c:v>
                </c:pt>
              </c:strCache>
            </c:strRef>
          </c:cat>
          <c:val>
            <c:numRef>
              <c:f>Dashboard!$V$2:$V$17</c:f>
              <c:numCache>
                <c:formatCode>[$$ -409]#,##0</c:formatCode>
                <c:ptCount val="16"/>
                <c:pt idx="0">
                  <c:v>10.322389701746523</c:v>
                </c:pt>
                <c:pt idx="1">
                  <c:v>2.594222437205481</c:v>
                </c:pt>
                <c:pt idx="2">
                  <c:v>1.0848749119659624</c:v>
                </c:pt>
                <c:pt idx="3">
                  <c:v>2.1898434275323488</c:v>
                </c:pt>
                <c:pt idx="4">
                  <c:v>0.64601445317717687</c:v>
                </c:pt>
                <c:pt idx="5">
                  <c:v>0.59446216215240999</c:v>
                </c:pt>
                <c:pt idx="6">
                  <c:v>1.4028359885070314</c:v>
                </c:pt>
                <c:pt idx="7">
                  <c:v>0.18513049791802064</c:v>
                </c:pt>
                <c:pt idx="8">
                  <c:v>0.15869699264785217</c:v>
                </c:pt>
                <c:pt idx="9">
                  <c:v>1.3670008016958448</c:v>
                </c:pt>
                <c:pt idx="10">
                  <c:v>2.1443626423053246</c:v>
                </c:pt>
                <c:pt idx="11">
                  <c:v>18.77793424350422</c:v>
                </c:pt>
                <c:pt idx="12">
                  <c:v>1.0248368847996976</c:v>
                </c:pt>
                <c:pt idx="13">
                  <c:v>-0.2614727584801092</c:v>
                </c:pt>
                <c:pt idx="14">
                  <c:v>0.22035737480809336</c:v>
                </c:pt>
                <c:pt idx="15">
                  <c:v>1.3986435313366852</c:v>
                </c:pt>
              </c:numCache>
            </c:numRef>
          </c:val>
          <c:extLst>
            <c:ext xmlns:c16="http://schemas.microsoft.com/office/drawing/2014/chart" uri="{C3380CC4-5D6E-409C-BE32-E72D297353CC}">
              <c16:uniqueId val="{00000000-96C6-47C8-9824-64BE1B616DD2}"/>
            </c:ext>
          </c:extLst>
        </c:ser>
        <c:dLbls>
          <c:showLegendKey val="0"/>
          <c:showVal val="0"/>
          <c:showCatName val="0"/>
          <c:showSerName val="0"/>
          <c:showPercent val="0"/>
          <c:showBubbleSize val="0"/>
        </c:dLbls>
        <c:gapWidth val="182"/>
        <c:axId val="230349199"/>
        <c:axId val="230337679"/>
      </c:barChart>
      <c:catAx>
        <c:axId val="230349199"/>
        <c:scaling>
          <c:orientation val="minMax"/>
        </c:scaling>
        <c:delete val="0"/>
        <c:axPos val="l"/>
        <c:numFmt formatCode="General" sourceLinked="1"/>
        <c:majorTickMark val="none"/>
        <c:minorTickMark val="none"/>
        <c:tickLblPos val="nextTo"/>
        <c:spPr>
          <a:noFill/>
          <a:ln w="9525" cap="flat" cmpd="sng" algn="ctr">
            <a:solidFill>
              <a:srgbClr val="334155"/>
            </a:solidFill>
            <a:prstDash val="solid"/>
            <a:round/>
          </a:ln>
          <a:effectLst/>
        </c:spPr>
        <c:txPr>
          <a:bodyPr rot="-60000000" spcFirstLastPara="1" vertOverflow="ellipsis" vert="horz" wrap="square" anchor="ctr" anchorCtr="1"/>
          <a:lstStyle/>
          <a:p>
            <a:pPr>
              <a:defRPr sz="800" b="1" i="0" u="none" strike="noStrike" kern="1200" baseline="0">
                <a:solidFill>
                  <a:srgbClr val="E2E8F0"/>
                </a:solidFill>
                <a:latin typeface="+mn-lt"/>
                <a:ea typeface="+mn-ea"/>
                <a:cs typeface="+mn-cs"/>
              </a:defRPr>
            </a:pPr>
            <a:endParaRPr lang="en-KE"/>
          </a:p>
        </c:txPr>
        <c:crossAx val="230337679"/>
        <c:crosses val="autoZero"/>
        <c:auto val="1"/>
        <c:lblAlgn val="ctr"/>
        <c:lblOffset val="100"/>
        <c:noMultiLvlLbl val="0"/>
      </c:catAx>
      <c:valAx>
        <c:axId val="230337679"/>
        <c:scaling>
          <c:orientation val="minMax"/>
        </c:scaling>
        <c:delete val="0"/>
        <c:axPos val="b"/>
        <c:majorGridlines>
          <c:spPr>
            <a:ln w="9525" cap="flat" cmpd="sng" algn="ctr">
              <a:solidFill>
                <a:srgbClr val="2D3B55"/>
              </a:solidFill>
              <a:prstDash val="solid"/>
              <a:round/>
            </a:ln>
            <a:effectLst/>
          </c:spPr>
        </c:majorGridlines>
        <c:numFmt formatCode="0%" sourceLinked="0"/>
        <c:majorTickMark val="none"/>
        <c:minorTickMark val="none"/>
        <c:tickLblPos val="nextTo"/>
        <c:spPr>
          <a:noFill/>
          <a:ln>
            <a:solidFill>
              <a:srgbClr val="334155"/>
            </a:solidFill>
            <a:prstDash val="solid"/>
          </a:ln>
          <a:effectLst/>
        </c:spPr>
        <c:txPr>
          <a:bodyPr rot="-60000000" spcFirstLastPara="1" vertOverflow="ellipsis" vert="horz" wrap="square" anchor="ctr" anchorCtr="1"/>
          <a:lstStyle/>
          <a:p>
            <a:pPr>
              <a:defRPr sz="800" b="0" i="0" u="none" strike="noStrike" kern="1200" baseline="0">
                <a:solidFill>
                  <a:srgbClr val="94A3B8"/>
                </a:solidFill>
                <a:latin typeface="+mn-lt"/>
                <a:ea typeface="+mn-ea"/>
                <a:cs typeface="+mn-cs"/>
              </a:defRPr>
            </a:pPr>
            <a:endParaRPr lang="en-KE"/>
          </a:p>
        </c:txPr>
        <c:crossAx val="230349199"/>
        <c:crosses val="autoZero"/>
        <c:crossBetween val="between"/>
      </c:valAx>
      <c:spPr>
        <a:solidFill>
          <a:srgbClr val="1B2A4A"/>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B2A4A"/>
    </a:solidFill>
    <a:ln w="25400" cap="flat" cmpd="sng" algn="ctr">
      <a:noFill/>
      <a:round/>
    </a:ln>
    <a:effectLst/>
  </c:spPr>
  <c:txPr>
    <a:bodyPr/>
    <a:lstStyle/>
    <a:p>
      <a:pPr>
        <a:defRPr/>
      </a:pPr>
      <a:endParaRPr lang="en-KE"/>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rgbClr val="E2E8F0"/>
                </a:solidFill>
                <a:latin typeface="+mn-lt"/>
                <a:ea typeface="+mn-ea"/>
                <a:cs typeface="+mn-cs"/>
              </a:defRPr>
            </a:pPr>
            <a:r>
              <a:rPr lang="en-US"/>
              <a:t>Unrealised Gain / (Loss) by Stock</a:t>
            </a:r>
          </a:p>
        </c:rich>
      </c:tx>
      <c:overlay val="0"/>
      <c:spPr>
        <a:noFill/>
        <a:ln>
          <a:noFill/>
        </a:ln>
        <a:effectLst/>
      </c:spPr>
      <c:txPr>
        <a:bodyPr rot="0" spcFirstLastPara="1" vertOverflow="ellipsis" vert="horz" wrap="square" anchor="ctr" anchorCtr="1"/>
        <a:lstStyle/>
        <a:p>
          <a:pPr>
            <a:defRPr sz="1200" b="1" i="0" u="none" strike="noStrike" kern="1200" spc="0" baseline="0">
              <a:solidFill>
                <a:srgbClr val="E2E8F0"/>
              </a:solidFill>
              <a:latin typeface="+mn-lt"/>
              <a:ea typeface="+mn-ea"/>
              <a:cs typeface="+mn-cs"/>
            </a:defRPr>
          </a:pPr>
          <a:endParaRPr lang="en-KE"/>
        </a:p>
      </c:txPr>
    </c:title>
    <c:autoTitleDeleted val="0"/>
    <c:plotArea>
      <c:layout/>
      <c:barChart>
        <c:barDir val="col"/>
        <c:grouping val="clustered"/>
        <c:varyColors val="0"/>
        <c:ser>
          <c:idx val="0"/>
          <c:order val="0"/>
          <c:tx>
            <c:strRef>
              <c:f>Dashboard!$AA$1</c:f>
              <c:strCache>
                <c:ptCount val="1"/>
                <c:pt idx="0">
                  <c:v>Gain/Loss</c:v>
                </c:pt>
              </c:strCache>
            </c:strRef>
          </c:tx>
          <c:spPr>
            <a:solidFill>
              <a:srgbClr val="38BDF8"/>
            </a:solidFill>
            <a:ln>
              <a:noFill/>
            </a:ln>
            <a:effectLst/>
          </c:spPr>
          <c:invertIfNegative val="0"/>
          <c:dPt>
            <c:idx val="0"/>
            <c:invertIfNegative val="0"/>
            <c:bubble3D val="0"/>
            <c:spPr>
              <a:solidFill>
                <a:srgbClr val="4ADE80"/>
              </a:solidFill>
              <a:ln>
                <a:noFill/>
              </a:ln>
              <a:effectLst/>
            </c:spPr>
            <c:extLst>
              <c:ext xmlns:c16="http://schemas.microsoft.com/office/drawing/2014/chart" uri="{C3380CC4-5D6E-409C-BE32-E72D297353CC}">
                <c16:uniqueId val="{00000001-7951-4840-BC75-39A036496C62}"/>
              </c:ext>
            </c:extLst>
          </c:dPt>
          <c:dPt>
            <c:idx val="1"/>
            <c:invertIfNegative val="0"/>
            <c:bubble3D val="0"/>
            <c:spPr>
              <a:solidFill>
                <a:srgbClr val="4ADE80"/>
              </a:solidFill>
              <a:ln>
                <a:noFill/>
              </a:ln>
              <a:effectLst/>
            </c:spPr>
            <c:extLst>
              <c:ext xmlns:c16="http://schemas.microsoft.com/office/drawing/2014/chart" uri="{C3380CC4-5D6E-409C-BE32-E72D297353CC}">
                <c16:uniqueId val="{00000002-7951-4840-BC75-39A036496C62}"/>
              </c:ext>
            </c:extLst>
          </c:dPt>
          <c:dPt>
            <c:idx val="2"/>
            <c:invertIfNegative val="0"/>
            <c:bubble3D val="0"/>
            <c:spPr>
              <a:solidFill>
                <a:srgbClr val="4ADE80"/>
              </a:solidFill>
              <a:ln>
                <a:noFill/>
              </a:ln>
              <a:effectLst/>
            </c:spPr>
            <c:extLst>
              <c:ext xmlns:c16="http://schemas.microsoft.com/office/drawing/2014/chart" uri="{C3380CC4-5D6E-409C-BE32-E72D297353CC}">
                <c16:uniqueId val="{00000003-7951-4840-BC75-39A036496C62}"/>
              </c:ext>
            </c:extLst>
          </c:dPt>
          <c:dPt>
            <c:idx val="3"/>
            <c:invertIfNegative val="0"/>
            <c:bubble3D val="0"/>
            <c:spPr>
              <a:solidFill>
                <a:srgbClr val="4ADE80"/>
              </a:solidFill>
              <a:ln>
                <a:noFill/>
              </a:ln>
              <a:effectLst/>
            </c:spPr>
            <c:extLst>
              <c:ext xmlns:c16="http://schemas.microsoft.com/office/drawing/2014/chart" uri="{C3380CC4-5D6E-409C-BE32-E72D297353CC}">
                <c16:uniqueId val="{00000004-7951-4840-BC75-39A036496C62}"/>
              </c:ext>
            </c:extLst>
          </c:dPt>
          <c:dPt>
            <c:idx val="4"/>
            <c:invertIfNegative val="0"/>
            <c:bubble3D val="0"/>
            <c:spPr>
              <a:solidFill>
                <a:srgbClr val="4ADE80"/>
              </a:solidFill>
              <a:ln>
                <a:noFill/>
              </a:ln>
              <a:effectLst/>
            </c:spPr>
            <c:extLst>
              <c:ext xmlns:c16="http://schemas.microsoft.com/office/drawing/2014/chart" uri="{C3380CC4-5D6E-409C-BE32-E72D297353CC}">
                <c16:uniqueId val="{00000005-7951-4840-BC75-39A036496C62}"/>
              </c:ext>
            </c:extLst>
          </c:dPt>
          <c:dPt>
            <c:idx val="5"/>
            <c:invertIfNegative val="0"/>
            <c:bubble3D val="0"/>
            <c:spPr>
              <a:solidFill>
                <a:srgbClr val="4ADE80"/>
              </a:solidFill>
              <a:ln>
                <a:noFill/>
              </a:ln>
              <a:effectLst/>
            </c:spPr>
            <c:extLst>
              <c:ext xmlns:c16="http://schemas.microsoft.com/office/drawing/2014/chart" uri="{C3380CC4-5D6E-409C-BE32-E72D297353CC}">
                <c16:uniqueId val="{00000006-7951-4840-BC75-39A036496C62}"/>
              </c:ext>
            </c:extLst>
          </c:dPt>
          <c:dPt>
            <c:idx val="6"/>
            <c:invertIfNegative val="0"/>
            <c:bubble3D val="0"/>
            <c:spPr>
              <a:solidFill>
                <a:srgbClr val="4ADE80"/>
              </a:solidFill>
              <a:ln>
                <a:noFill/>
              </a:ln>
              <a:effectLst/>
            </c:spPr>
            <c:extLst>
              <c:ext xmlns:c16="http://schemas.microsoft.com/office/drawing/2014/chart" uri="{C3380CC4-5D6E-409C-BE32-E72D297353CC}">
                <c16:uniqueId val="{00000007-7951-4840-BC75-39A036496C62}"/>
              </c:ext>
            </c:extLst>
          </c:dPt>
          <c:dPt>
            <c:idx val="7"/>
            <c:invertIfNegative val="0"/>
            <c:bubble3D val="0"/>
            <c:spPr>
              <a:solidFill>
                <a:srgbClr val="4ADE80"/>
              </a:solidFill>
              <a:ln>
                <a:noFill/>
              </a:ln>
              <a:effectLst/>
            </c:spPr>
            <c:extLst>
              <c:ext xmlns:c16="http://schemas.microsoft.com/office/drawing/2014/chart" uri="{C3380CC4-5D6E-409C-BE32-E72D297353CC}">
                <c16:uniqueId val="{00000008-7951-4840-BC75-39A036496C62}"/>
              </c:ext>
            </c:extLst>
          </c:dPt>
          <c:dPt>
            <c:idx val="8"/>
            <c:invertIfNegative val="0"/>
            <c:bubble3D val="0"/>
            <c:spPr>
              <a:solidFill>
                <a:srgbClr val="EF4444"/>
              </a:solidFill>
              <a:ln>
                <a:noFill/>
              </a:ln>
              <a:effectLst/>
            </c:spPr>
            <c:extLst>
              <c:ext xmlns:c16="http://schemas.microsoft.com/office/drawing/2014/chart" uri="{C3380CC4-5D6E-409C-BE32-E72D297353CC}">
                <c16:uniqueId val="{00000009-7951-4840-BC75-39A036496C62}"/>
              </c:ext>
            </c:extLst>
          </c:dPt>
          <c:dPt>
            <c:idx val="9"/>
            <c:invertIfNegative val="0"/>
            <c:bubble3D val="0"/>
            <c:spPr>
              <a:solidFill>
                <a:srgbClr val="4ADE80"/>
              </a:solidFill>
              <a:ln>
                <a:noFill/>
              </a:ln>
              <a:effectLst/>
            </c:spPr>
            <c:extLst>
              <c:ext xmlns:c16="http://schemas.microsoft.com/office/drawing/2014/chart" uri="{C3380CC4-5D6E-409C-BE32-E72D297353CC}">
                <c16:uniqueId val="{0000000A-7951-4840-BC75-39A036496C62}"/>
              </c:ext>
            </c:extLst>
          </c:dPt>
          <c:dPt>
            <c:idx val="10"/>
            <c:invertIfNegative val="0"/>
            <c:bubble3D val="0"/>
            <c:spPr>
              <a:solidFill>
                <a:srgbClr val="4ADE80"/>
              </a:solidFill>
              <a:ln>
                <a:noFill/>
              </a:ln>
              <a:effectLst/>
            </c:spPr>
            <c:extLst>
              <c:ext xmlns:c16="http://schemas.microsoft.com/office/drawing/2014/chart" uri="{C3380CC4-5D6E-409C-BE32-E72D297353CC}">
                <c16:uniqueId val="{0000000B-7951-4840-BC75-39A036496C62}"/>
              </c:ext>
            </c:extLst>
          </c:dPt>
          <c:dPt>
            <c:idx val="11"/>
            <c:invertIfNegative val="0"/>
            <c:bubble3D val="0"/>
            <c:spPr>
              <a:solidFill>
                <a:srgbClr val="4ADE80"/>
              </a:solidFill>
              <a:ln>
                <a:noFill/>
              </a:ln>
              <a:effectLst/>
            </c:spPr>
            <c:extLst>
              <c:ext xmlns:c16="http://schemas.microsoft.com/office/drawing/2014/chart" uri="{C3380CC4-5D6E-409C-BE32-E72D297353CC}">
                <c16:uniqueId val="{0000000C-7951-4840-BC75-39A036496C62}"/>
              </c:ext>
            </c:extLst>
          </c:dPt>
          <c:dPt>
            <c:idx val="12"/>
            <c:invertIfNegative val="0"/>
            <c:bubble3D val="0"/>
            <c:spPr>
              <a:solidFill>
                <a:srgbClr val="4ADE80"/>
              </a:solidFill>
              <a:ln>
                <a:noFill/>
              </a:ln>
              <a:effectLst/>
            </c:spPr>
            <c:extLst>
              <c:ext xmlns:c16="http://schemas.microsoft.com/office/drawing/2014/chart" uri="{C3380CC4-5D6E-409C-BE32-E72D297353CC}">
                <c16:uniqueId val="{0000000D-7951-4840-BC75-39A036496C62}"/>
              </c:ext>
            </c:extLst>
          </c:dPt>
          <c:dPt>
            <c:idx val="13"/>
            <c:invertIfNegative val="0"/>
            <c:bubble3D val="0"/>
            <c:spPr>
              <a:solidFill>
                <a:srgbClr val="EF4444"/>
              </a:solidFill>
              <a:ln>
                <a:noFill/>
              </a:ln>
              <a:effectLst/>
            </c:spPr>
            <c:extLst>
              <c:ext xmlns:c16="http://schemas.microsoft.com/office/drawing/2014/chart" uri="{C3380CC4-5D6E-409C-BE32-E72D297353CC}">
                <c16:uniqueId val="{0000000E-7951-4840-BC75-39A036496C62}"/>
              </c:ext>
            </c:extLst>
          </c:dPt>
          <c:dPt>
            <c:idx val="14"/>
            <c:invertIfNegative val="0"/>
            <c:bubble3D val="0"/>
            <c:spPr>
              <a:solidFill>
                <a:srgbClr val="4ADE80"/>
              </a:solidFill>
              <a:ln>
                <a:noFill/>
              </a:ln>
              <a:effectLst/>
            </c:spPr>
            <c:extLst>
              <c:ext xmlns:c16="http://schemas.microsoft.com/office/drawing/2014/chart" uri="{C3380CC4-5D6E-409C-BE32-E72D297353CC}">
                <c16:uniqueId val="{0000000F-7951-4840-BC75-39A036496C62}"/>
              </c:ext>
            </c:extLst>
          </c:dPt>
          <c:dPt>
            <c:idx val="15"/>
            <c:invertIfNegative val="0"/>
            <c:bubble3D val="0"/>
            <c:spPr>
              <a:solidFill>
                <a:srgbClr val="4ADE80"/>
              </a:solidFill>
              <a:ln>
                <a:noFill/>
              </a:ln>
              <a:effectLst/>
            </c:spPr>
            <c:extLst>
              <c:ext xmlns:c16="http://schemas.microsoft.com/office/drawing/2014/chart" uri="{C3380CC4-5D6E-409C-BE32-E72D297353CC}">
                <c16:uniqueId val="{00000010-7951-4840-BC75-39A036496C62}"/>
              </c:ext>
            </c:extLst>
          </c:dPt>
          <c:cat>
            <c:strRef>
              <c:f>Dashboard!$Z$2:$Z$17</c:f>
              <c:strCache>
                <c:ptCount val="16"/>
                <c:pt idx="0">
                  <c:v>AMD</c:v>
                </c:pt>
                <c:pt idx="1">
                  <c:v>GOOG</c:v>
                </c:pt>
                <c:pt idx="2">
                  <c:v>AMZN</c:v>
                </c:pt>
                <c:pt idx="3">
                  <c:v>AAPL</c:v>
                </c:pt>
                <c:pt idx="4">
                  <c:v>BLK</c:v>
                </c:pt>
                <c:pt idx="5">
                  <c:v>CVX</c:v>
                </c:pt>
                <c:pt idx="6">
                  <c:v>C</c:v>
                </c:pt>
                <c:pt idx="7">
                  <c:v>F</c:v>
                </c:pt>
                <c:pt idx="8">
                  <c:v>HMC</c:v>
                </c:pt>
                <c:pt idx="9">
                  <c:v>JPM</c:v>
                </c:pt>
                <c:pt idx="10">
                  <c:v>META</c:v>
                </c:pt>
                <c:pt idx="11">
                  <c:v>NVDA</c:v>
                </c:pt>
                <c:pt idx="12">
                  <c:v>0R2N</c:v>
                </c:pt>
                <c:pt idx="13">
                  <c:v>BA</c:v>
                </c:pt>
                <c:pt idx="14">
                  <c:v>TM</c:v>
                </c:pt>
                <c:pt idx="15">
                  <c:v>WMT</c:v>
                </c:pt>
              </c:strCache>
            </c:strRef>
          </c:cat>
          <c:val>
            <c:numRef>
              <c:f>Dashboard!$AA$2:$AA$17</c:f>
              <c:numCache>
                <c:formatCode>[$$ -409]#,##0</c:formatCode>
                <c:ptCount val="16"/>
                <c:pt idx="0">
                  <c:v>33106.866755781899</c:v>
                </c:pt>
                <c:pt idx="1">
                  <c:v>8141.9631355670108</c:v>
                </c:pt>
                <c:pt idx="2">
                  <c:v>2685.9500588075884</c:v>
                </c:pt>
                <c:pt idx="3">
                  <c:v>6848.5957396825388</c:v>
                </c:pt>
                <c:pt idx="4">
                  <c:v>1938.2078603960399</c:v>
                </c:pt>
                <c:pt idx="5">
                  <c:v>1396.4750883243246</c:v>
                </c:pt>
                <c:pt idx="6">
                  <c:v>3375.4311785078198</c:v>
                </c:pt>
                <c:pt idx="7">
                  <c:v>336.78746451212328</c:v>
                </c:pt>
                <c:pt idx="8">
                  <c:v>219.06770785881463</c:v>
                </c:pt>
                <c:pt idx="9">
                  <c:v>4572.0280975609776</c:v>
                </c:pt>
                <c:pt idx="10">
                  <c:v>7696.2606530022567</c:v>
                </c:pt>
                <c:pt idx="11">
                  <c:v>90468.074681831044</c:v>
                </c:pt>
                <c:pt idx="12">
                  <c:v>2220.9960291788575</c:v>
                </c:pt>
                <c:pt idx="13">
                  <c:v>-166.47057281754269</c:v>
                </c:pt>
                <c:pt idx="14">
                  <c:v>383.87057371601213</c:v>
                </c:pt>
                <c:pt idx="15">
                  <c:v>5195.0134656689352</c:v>
                </c:pt>
              </c:numCache>
            </c:numRef>
          </c:val>
          <c:extLst>
            <c:ext xmlns:c16="http://schemas.microsoft.com/office/drawing/2014/chart" uri="{C3380CC4-5D6E-409C-BE32-E72D297353CC}">
              <c16:uniqueId val="{00000000-7951-4840-BC75-39A036496C62}"/>
            </c:ext>
          </c:extLst>
        </c:ser>
        <c:dLbls>
          <c:showLegendKey val="0"/>
          <c:showVal val="0"/>
          <c:showCatName val="0"/>
          <c:showSerName val="0"/>
          <c:showPercent val="0"/>
          <c:showBubbleSize val="0"/>
        </c:dLbls>
        <c:gapWidth val="219"/>
        <c:overlap val="-27"/>
        <c:axId val="230332879"/>
        <c:axId val="230333839"/>
      </c:barChart>
      <c:catAx>
        <c:axId val="230332879"/>
        <c:scaling>
          <c:orientation val="minMax"/>
        </c:scaling>
        <c:delete val="0"/>
        <c:axPos val="b"/>
        <c:numFmt formatCode="General" sourceLinked="1"/>
        <c:majorTickMark val="none"/>
        <c:minorTickMark val="none"/>
        <c:tickLblPos val="nextTo"/>
        <c:spPr>
          <a:noFill/>
          <a:ln w="9525" cap="flat" cmpd="sng" algn="ctr">
            <a:solidFill>
              <a:srgbClr val="334155"/>
            </a:solidFill>
            <a:prstDash val="solid"/>
            <a:round/>
          </a:ln>
          <a:effectLst/>
        </c:spPr>
        <c:txPr>
          <a:bodyPr rot="-60000000" spcFirstLastPara="1" vertOverflow="ellipsis" vert="horz" wrap="square" anchor="ctr" anchorCtr="1"/>
          <a:lstStyle/>
          <a:p>
            <a:pPr>
              <a:defRPr sz="800" b="1" i="0" u="none" strike="noStrike" kern="1200" baseline="0">
                <a:solidFill>
                  <a:srgbClr val="E2E8F0"/>
                </a:solidFill>
                <a:latin typeface="+mn-lt"/>
                <a:ea typeface="+mn-ea"/>
                <a:cs typeface="+mn-cs"/>
              </a:defRPr>
            </a:pPr>
            <a:endParaRPr lang="en-KE"/>
          </a:p>
        </c:txPr>
        <c:crossAx val="230333839"/>
        <c:crosses val="autoZero"/>
        <c:auto val="1"/>
        <c:lblAlgn val="ctr"/>
        <c:lblOffset val="100"/>
        <c:noMultiLvlLbl val="0"/>
      </c:catAx>
      <c:valAx>
        <c:axId val="230333839"/>
        <c:scaling>
          <c:orientation val="minMax"/>
        </c:scaling>
        <c:delete val="0"/>
        <c:axPos val="l"/>
        <c:majorGridlines>
          <c:spPr>
            <a:ln w="9525" cap="flat" cmpd="sng" algn="ctr">
              <a:solidFill>
                <a:srgbClr val="2D3B55"/>
              </a:solidFill>
              <a:prstDash val="solid"/>
              <a:round/>
            </a:ln>
            <a:effectLst/>
          </c:spPr>
        </c:majorGridlines>
        <c:numFmt formatCode="[$$-409]#,##0,&quot;K&quot;" sourceLinked="0"/>
        <c:majorTickMark val="none"/>
        <c:minorTickMark val="none"/>
        <c:tickLblPos val="nextTo"/>
        <c:spPr>
          <a:noFill/>
          <a:ln>
            <a:solidFill>
              <a:srgbClr val="334155"/>
            </a:solidFill>
            <a:prstDash val="solid"/>
          </a:ln>
          <a:effectLst/>
        </c:spPr>
        <c:txPr>
          <a:bodyPr rot="-60000000" spcFirstLastPara="1" vertOverflow="ellipsis" vert="horz" wrap="square" anchor="ctr" anchorCtr="1"/>
          <a:lstStyle/>
          <a:p>
            <a:pPr>
              <a:defRPr sz="800" b="0" i="0" u="none" strike="noStrike" kern="1200" baseline="0">
                <a:solidFill>
                  <a:srgbClr val="94A3B8"/>
                </a:solidFill>
                <a:latin typeface="+mn-lt"/>
                <a:ea typeface="+mn-ea"/>
                <a:cs typeface="+mn-cs"/>
              </a:defRPr>
            </a:pPr>
            <a:endParaRPr lang="en-KE"/>
          </a:p>
        </c:txPr>
        <c:crossAx val="230332879"/>
        <c:crosses val="autoZero"/>
        <c:crossBetween val="between"/>
      </c:valAx>
      <c:spPr>
        <a:solidFill>
          <a:srgbClr val="1B2A4A"/>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B2A4A"/>
    </a:solidFill>
    <a:ln w="25400" cap="flat" cmpd="sng" algn="ctr">
      <a:noFill/>
      <a:round/>
    </a:ln>
    <a:effectLst/>
  </c:spPr>
  <c:txPr>
    <a:bodyPr/>
    <a:lstStyle/>
    <a:p>
      <a:pPr>
        <a:defRPr/>
      </a:pPr>
      <a:endParaRPr lang="en-KE"/>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rgbClr val="E2E8F0"/>
                </a:solidFill>
                <a:latin typeface="+mn-lt"/>
                <a:ea typeface="+mn-ea"/>
                <a:cs typeface="+mn-cs"/>
              </a:defRPr>
            </a:pPr>
            <a:r>
              <a:rPr lang="en-US"/>
              <a:t>Annualised Return (IRR) by Stock</a:t>
            </a:r>
          </a:p>
        </c:rich>
      </c:tx>
      <c:overlay val="0"/>
      <c:spPr>
        <a:noFill/>
        <a:ln>
          <a:noFill/>
        </a:ln>
        <a:effectLst/>
      </c:spPr>
      <c:txPr>
        <a:bodyPr rot="0" spcFirstLastPara="1" vertOverflow="ellipsis" vert="horz" wrap="square" anchor="ctr" anchorCtr="1"/>
        <a:lstStyle/>
        <a:p>
          <a:pPr>
            <a:defRPr sz="1200" b="1" i="0" u="none" strike="noStrike" kern="1200" spc="0" baseline="0">
              <a:solidFill>
                <a:srgbClr val="E2E8F0"/>
              </a:solidFill>
              <a:latin typeface="+mn-lt"/>
              <a:ea typeface="+mn-ea"/>
              <a:cs typeface="+mn-cs"/>
            </a:defRPr>
          </a:pPr>
          <a:endParaRPr lang="en-KE"/>
        </a:p>
      </c:txPr>
    </c:title>
    <c:autoTitleDeleted val="0"/>
    <c:plotArea>
      <c:layout/>
      <c:barChart>
        <c:barDir val="bar"/>
        <c:grouping val="clustered"/>
        <c:varyColors val="0"/>
        <c:ser>
          <c:idx val="0"/>
          <c:order val="0"/>
          <c:tx>
            <c:strRef>
              <c:f>Dashboard!$AC$1</c:f>
              <c:strCache>
                <c:ptCount val="1"/>
                <c:pt idx="0">
                  <c:v>Ann. Return</c:v>
                </c:pt>
              </c:strCache>
            </c:strRef>
          </c:tx>
          <c:spPr>
            <a:solidFill>
              <a:srgbClr val="A78BFA"/>
            </a:solidFill>
            <a:ln>
              <a:noFill/>
            </a:ln>
            <a:effectLst/>
          </c:spPr>
          <c:invertIfNegative val="0"/>
          <c:dPt>
            <c:idx val="8"/>
            <c:invertIfNegative val="0"/>
            <c:bubble3D val="0"/>
            <c:spPr>
              <a:solidFill>
                <a:srgbClr val="EF4444"/>
              </a:solidFill>
              <a:ln>
                <a:noFill/>
              </a:ln>
              <a:effectLst/>
            </c:spPr>
            <c:extLst>
              <c:ext xmlns:c16="http://schemas.microsoft.com/office/drawing/2014/chart" uri="{C3380CC4-5D6E-409C-BE32-E72D297353CC}">
                <c16:uniqueId val="{00000009-D811-432F-A3E3-E326BFFB3397}"/>
              </c:ext>
            </c:extLst>
          </c:dPt>
          <c:dPt>
            <c:idx val="13"/>
            <c:invertIfNegative val="0"/>
            <c:bubble3D val="0"/>
            <c:spPr>
              <a:solidFill>
                <a:srgbClr val="EF4444"/>
              </a:solidFill>
              <a:ln>
                <a:noFill/>
              </a:ln>
              <a:effectLst/>
            </c:spPr>
            <c:extLst>
              <c:ext xmlns:c16="http://schemas.microsoft.com/office/drawing/2014/chart" uri="{C3380CC4-5D6E-409C-BE32-E72D297353CC}">
                <c16:uniqueId val="{0000000E-D811-432F-A3E3-E326BFFB3397}"/>
              </c:ext>
            </c:extLst>
          </c:dPt>
          <c:cat>
            <c:strRef>
              <c:f>Dashboard!$AB$2:$AB$17</c:f>
              <c:strCache>
                <c:ptCount val="16"/>
                <c:pt idx="0">
                  <c:v>AMD</c:v>
                </c:pt>
                <c:pt idx="1">
                  <c:v>GOOG</c:v>
                </c:pt>
                <c:pt idx="2">
                  <c:v>AMZN</c:v>
                </c:pt>
                <c:pt idx="3">
                  <c:v>AAPL</c:v>
                </c:pt>
                <c:pt idx="4">
                  <c:v>BLK</c:v>
                </c:pt>
                <c:pt idx="5">
                  <c:v>CVX</c:v>
                </c:pt>
                <c:pt idx="6">
                  <c:v>C</c:v>
                </c:pt>
                <c:pt idx="7">
                  <c:v>F</c:v>
                </c:pt>
                <c:pt idx="8">
                  <c:v>HMC</c:v>
                </c:pt>
                <c:pt idx="9">
                  <c:v>JPM</c:v>
                </c:pt>
                <c:pt idx="10">
                  <c:v>META</c:v>
                </c:pt>
                <c:pt idx="11">
                  <c:v>NVDA</c:v>
                </c:pt>
                <c:pt idx="12">
                  <c:v>0R2N</c:v>
                </c:pt>
                <c:pt idx="13">
                  <c:v>BA</c:v>
                </c:pt>
                <c:pt idx="14">
                  <c:v>TM</c:v>
                </c:pt>
                <c:pt idx="15">
                  <c:v>WMT</c:v>
                </c:pt>
              </c:strCache>
            </c:strRef>
          </c:cat>
          <c:val>
            <c:numRef>
              <c:f>Dashboard!$AC$2:$AC$17</c:f>
              <c:numCache>
                <c:formatCode>0.0%</c:formatCode>
                <c:ptCount val="16"/>
                <c:pt idx="0">
                  <c:v>0.55674188733100904</c:v>
                </c:pt>
                <c:pt idx="1">
                  <c:v>0.30156798958778397</c:v>
                </c:pt>
                <c:pt idx="2">
                  <c:v>0.19556204676628111</c:v>
                </c:pt>
                <c:pt idx="3">
                  <c:v>0.28999215960502633</c:v>
                </c:pt>
                <c:pt idx="4">
                  <c:v>0.13977040648460387</c:v>
                </c:pt>
                <c:pt idx="5">
                  <c:v>7.7858725190162681E-2</c:v>
                </c:pt>
                <c:pt idx="6">
                  <c:v>0.17262423634529114</c:v>
                </c:pt>
                <c:pt idx="7">
                  <c:v>3.2022061944007862E-2</c:v>
                </c:pt>
                <c:pt idx="8">
                  <c:v>7.2583466768264783E-3</c:v>
                </c:pt>
                <c:pt idx="9">
                  <c:v>0.20443895459175115</c:v>
                </c:pt>
                <c:pt idx="10">
                  <c:v>0.2907351553440094</c:v>
                </c:pt>
                <c:pt idx="11">
                  <c:v>0.74484885931015032</c:v>
                </c:pt>
                <c:pt idx="12">
                  <c:v>0.13563055396080018</c:v>
                </c:pt>
                <c:pt idx="13">
                  <c:v>-0.13631248408928515</c:v>
                </c:pt>
                <c:pt idx="14">
                  <c:v>5.1768842339515689E-2</c:v>
                </c:pt>
                <c:pt idx="15">
                  <c:v>0.21649660468101503</c:v>
                </c:pt>
              </c:numCache>
            </c:numRef>
          </c:val>
          <c:extLst>
            <c:ext xmlns:c16="http://schemas.microsoft.com/office/drawing/2014/chart" uri="{C3380CC4-5D6E-409C-BE32-E72D297353CC}">
              <c16:uniqueId val="{00000000-D811-432F-A3E3-E326BFFB3397}"/>
            </c:ext>
          </c:extLst>
        </c:ser>
        <c:dLbls>
          <c:showLegendKey val="0"/>
          <c:showVal val="0"/>
          <c:showCatName val="0"/>
          <c:showSerName val="0"/>
          <c:showPercent val="0"/>
          <c:showBubbleSize val="0"/>
        </c:dLbls>
        <c:gapWidth val="182"/>
        <c:axId val="230335759"/>
        <c:axId val="230337199"/>
      </c:barChart>
      <c:catAx>
        <c:axId val="230335759"/>
        <c:scaling>
          <c:orientation val="minMax"/>
        </c:scaling>
        <c:delete val="0"/>
        <c:axPos val="l"/>
        <c:numFmt formatCode="General" sourceLinked="1"/>
        <c:majorTickMark val="none"/>
        <c:minorTickMark val="none"/>
        <c:tickLblPos val="nextTo"/>
        <c:spPr>
          <a:noFill/>
          <a:ln w="9525" cap="flat" cmpd="sng" algn="ctr">
            <a:solidFill>
              <a:srgbClr val="334155"/>
            </a:solidFill>
            <a:prstDash val="solid"/>
            <a:round/>
          </a:ln>
          <a:effectLst/>
        </c:spPr>
        <c:txPr>
          <a:bodyPr rot="-60000000" spcFirstLastPara="1" vertOverflow="ellipsis" vert="horz" wrap="square" anchor="ctr" anchorCtr="1"/>
          <a:lstStyle/>
          <a:p>
            <a:pPr>
              <a:defRPr sz="800" b="1" i="0" u="none" strike="noStrike" kern="1200" baseline="0">
                <a:solidFill>
                  <a:srgbClr val="E2E8F0"/>
                </a:solidFill>
                <a:latin typeface="+mn-lt"/>
                <a:ea typeface="+mn-ea"/>
                <a:cs typeface="+mn-cs"/>
              </a:defRPr>
            </a:pPr>
            <a:endParaRPr lang="en-KE"/>
          </a:p>
        </c:txPr>
        <c:crossAx val="230337199"/>
        <c:crosses val="autoZero"/>
        <c:auto val="1"/>
        <c:lblAlgn val="ctr"/>
        <c:lblOffset val="100"/>
        <c:noMultiLvlLbl val="0"/>
      </c:catAx>
      <c:valAx>
        <c:axId val="230337199"/>
        <c:scaling>
          <c:orientation val="minMax"/>
        </c:scaling>
        <c:delete val="0"/>
        <c:axPos val="b"/>
        <c:majorGridlines>
          <c:spPr>
            <a:ln w="9525" cap="flat" cmpd="sng" algn="ctr">
              <a:solidFill>
                <a:srgbClr val="2D3B55"/>
              </a:solidFill>
              <a:prstDash val="solid"/>
              <a:round/>
            </a:ln>
            <a:effectLst/>
          </c:spPr>
        </c:majorGridlines>
        <c:numFmt formatCode="0%" sourceLinked="0"/>
        <c:majorTickMark val="none"/>
        <c:minorTickMark val="none"/>
        <c:tickLblPos val="nextTo"/>
        <c:spPr>
          <a:noFill/>
          <a:ln>
            <a:solidFill>
              <a:srgbClr val="334155"/>
            </a:solidFill>
            <a:prstDash val="solid"/>
          </a:ln>
          <a:effectLst/>
        </c:spPr>
        <c:txPr>
          <a:bodyPr rot="-60000000" spcFirstLastPara="1" vertOverflow="ellipsis" vert="horz" wrap="square" anchor="ctr" anchorCtr="1"/>
          <a:lstStyle/>
          <a:p>
            <a:pPr>
              <a:defRPr sz="800" b="0" i="0" u="none" strike="noStrike" kern="1200" baseline="0">
                <a:solidFill>
                  <a:srgbClr val="94A3B8"/>
                </a:solidFill>
                <a:latin typeface="+mn-lt"/>
                <a:ea typeface="+mn-ea"/>
                <a:cs typeface="+mn-cs"/>
              </a:defRPr>
            </a:pPr>
            <a:endParaRPr lang="en-KE"/>
          </a:p>
        </c:txPr>
        <c:crossAx val="230335759"/>
        <c:crosses val="autoZero"/>
        <c:crossBetween val="between"/>
      </c:valAx>
      <c:spPr>
        <a:solidFill>
          <a:srgbClr val="1B2A4A"/>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B2A4A"/>
    </a:solidFill>
    <a:ln w="25400" cap="flat" cmpd="sng" algn="ctr">
      <a:noFill/>
      <a:round/>
    </a:ln>
    <a:effectLst/>
  </c:spPr>
  <c:txPr>
    <a:bodyPr/>
    <a:lstStyle/>
    <a:p>
      <a:pPr>
        <a:defRPr/>
      </a:pPr>
      <a:endParaRPr lang="en-KE"/>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rgbClr val="E2E8F0"/>
                </a:solidFill>
                <a:latin typeface="+mn-lt"/>
                <a:ea typeface="+mn-ea"/>
                <a:cs typeface="+mn-cs"/>
              </a:defRPr>
            </a:pPr>
            <a:r>
              <a:rPr lang="en-US"/>
              <a:t>Portfolio Weight Distribution</a:t>
            </a:r>
          </a:p>
        </c:rich>
      </c:tx>
      <c:overlay val="0"/>
      <c:spPr>
        <a:noFill/>
        <a:ln>
          <a:noFill/>
        </a:ln>
        <a:effectLst/>
      </c:spPr>
      <c:txPr>
        <a:bodyPr rot="0" spcFirstLastPara="1" vertOverflow="ellipsis" vert="horz" wrap="square" anchor="ctr" anchorCtr="1"/>
        <a:lstStyle/>
        <a:p>
          <a:pPr>
            <a:defRPr sz="1200" b="1" i="0" u="none" strike="noStrike" kern="1200" spc="0" baseline="0">
              <a:solidFill>
                <a:srgbClr val="E2E8F0"/>
              </a:solidFill>
              <a:latin typeface="+mn-lt"/>
              <a:ea typeface="+mn-ea"/>
              <a:cs typeface="+mn-cs"/>
            </a:defRPr>
          </a:pPr>
          <a:endParaRPr lang="en-KE"/>
        </a:p>
      </c:txPr>
    </c:title>
    <c:autoTitleDeleted val="0"/>
    <c:plotArea>
      <c:layout/>
      <c:doughnutChart>
        <c:varyColors val="1"/>
        <c:ser>
          <c:idx val="0"/>
          <c:order val="0"/>
          <c:tx>
            <c:strRef>
              <c:f>Dashboard!$AE$1</c:f>
              <c:strCache>
                <c:ptCount val="1"/>
                <c:pt idx="0">
                  <c:v>Weight</c:v>
                </c:pt>
              </c:strCache>
            </c:strRef>
          </c:tx>
          <c:dPt>
            <c:idx val="0"/>
            <c:bubble3D val="0"/>
            <c:spPr>
              <a:solidFill>
                <a:srgbClr val="38BDF8"/>
              </a:solidFill>
              <a:ln w="19050">
                <a:solidFill>
                  <a:schemeClr val="lt1"/>
                </a:solidFill>
              </a:ln>
              <a:effectLst/>
            </c:spPr>
            <c:extLst>
              <c:ext xmlns:c16="http://schemas.microsoft.com/office/drawing/2014/chart" uri="{C3380CC4-5D6E-409C-BE32-E72D297353CC}">
                <c16:uniqueId val="{00000001-458C-4027-90E6-52BDDBE460CE}"/>
              </c:ext>
            </c:extLst>
          </c:dPt>
          <c:dPt>
            <c:idx val="1"/>
            <c:bubble3D val="0"/>
            <c:spPr>
              <a:solidFill>
                <a:srgbClr val="A78BFA"/>
              </a:solidFill>
              <a:ln w="19050">
                <a:solidFill>
                  <a:schemeClr val="lt1"/>
                </a:solidFill>
              </a:ln>
              <a:effectLst/>
            </c:spPr>
            <c:extLst>
              <c:ext xmlns:c16="http://schemas.microsoft.com/office/drawing/2014/chart" uri="{C3380CC4-5D6E-409C-BE32-E72D297353CC}">
                <c16:uniqueId val="{00000002-458C-4027-90E6-52BDDBE460CE}"/>
              </c:ext>
            </c:extLst>
          </c:dPt>
          <c:dPt>
            <c:idx val="2"/>
            <c:bubble3D val="0"/>
            <c:spPr>
              <a:solidFill>
                <a:srgbClr val="F87171"/>
              </a:solidFill>
              <a:ln w="19050">
                <a:solidFill>
                  <a:schemeClr val="lt1"/>
                </a:solidFill>
              </a:ln>
              <a:effectLst/>
            </c:spPr>
            <c:extLst>
              <c:ext xmlns:c16="http://schemas.microsoft.com/office/drawing/2014/chart" uri="{C3380CC4-5D6E-409C-BE32-E72D297353CC}">
                <c16:uniqueId val="{00000003-458C-4027-90E6-52BDDBE460CE}"/>
              </c:ext>
            </c:extLst>
          </c:dPt>
          <c:dPt>
            <c:idx val="3"/>
            <c:bubble3D val="0"/>
            <c:spPr>
              <a:solidFill>
                <a:srgbClr val="4ADE80"/>
              </a:solidFill>
              <a:ln w="19050">
                <a:solidFill>
                  <a:schemeClr val="lt1"/>
                </a:solidFill>
              </a:ln>
              <a:effectLst/>
            </c:spPr>
            <c:extLst>
              <c:ext xmlns:c16="http://schemas.microsoft.com/office/drawing/2014/chart" uri="{C3380CC4-5D6E-409C-BE32-E72D297353CC}">
                <c16:uniqueId val="{00000004-458C-4027-90E6-52BDDBE460CE}"/>
              </c:ext>
            </c:extLst>
          </c:dPt>
          <c:dPt>
            <c:idx val="4"/>
            <c:bubble3D val="0"/>
            <c:spPr>
              <a:solidFill>
                <a:srgbClr val="FBBF24"/>
              </a:solidFill>
              <a:ln w="19050">
                <a:solidFill>
                  <a:schemeClr val="lt1"/>
                </a:solidFill>
              </a:ln>
              <a:effectLst/>
            </c:spPr>
            <c:extLst>
              <c:ext xmlns:c16="http://schemas.microsoft.com/office/drawing/2014/chart" uri="{C3380CC4-5D6E-409C-BE32-E72D297353CC}">
                <c16:uniqueId val="{00000005-458C-4027-90E6-52BDDBE460CE}"/>
              </c:ext>
            </c:extLst>
          </c:dPt>
          <c:dPt>
            <c:idx val="5"/>
            <c:bubble3D val="0"/>
            <c:spPr>
              <a:solidFill>
                <a:srgbClr val="FB923C"/>
              </a:solidFill>
              <a:ln w="19050">
                <a:solidFill>
                  <a:schemeClr val="lt1"/>
                </a:solidFill>
              </a:ln>
              <a:effectLst/>
            </c:spPr>
            <c:extLst>
              <c:ext xmlns:c16="http://schemas.microsoft.com/office/drawing/2014/chart" uri="{C3380CC4-5D6E-409C-BE32-E72D297353CC}">
                <c16:uniqueId val="{00000006-458C-4027-90E6-52BDDBE460CE}"/>
              </c:ext>
            </c:extLst>
          </c:dPt>
          <c:dPt>
            <c:idx val="6"/>
            <c:bubble3D val="0"/>
            <c:spPr>
              <a:solidFill>
                <a:srgbClr val="E879F9"/>
              </a:solidFill>
              <a:ln w="19050">
                <a:solidFill>
                  <a:schemeClr val="lt1"/>
                </a:solidFill>
              </a:ln>
              <a:effectLst/>
            </c:spPr>
            <c:extLst>
              <c:ext xmlns:c16="http://schemas.microsoft.com/office/drawing/2014/chart" uri="{C3380CC4-5D6E-409C-BE32-E72D297353CC}">
                <c16:uniqueId val="{00000007-458C-4027-90E6-52BDDBE460CE}"/>
              </c:ext>
            </c:extLst>
          </c:dPt>
          <c:dPt>
            <c:idx val="7"/>
            <c:bubble3D val="0"/>
            <c:spPr>
              <a:solidFill>
                <a:srgbClr val="2DD4BF"/>
              </a:solidFill>
              <a:ln w="19050">
                <a:solidFill>
                  <a:schemeClr val="lt1"/>
                </a:solidFill>
              </a:ln>
              <a:effectLst/>
            </c:spPr>
            <c:extLst>
              <c:ext xmlns:c16="http://schemas.microsoft.com/office/drawing/2014/chart" uri="{C3380CC4-5D6E-409C-BE32-E72D297353CC}">
                <c16:uniqueId val="{00000008-458C-4027-90E6-52BDDBE460CE}"/>
              </c:ext>
            </c:extLst>
          </c:dPt>
          <c:dPt>
            <c:idx val="8"/>
            <c:bubble3D val="0"/>
            <c:spPr>
              <a:solidFill>
                <a:srgbClr val="F472B6"/>
              </a:solidFill>
              <a:ln w="19050">
                <a:solidFill>
                  <a:schemeClr val="lt1"/>
                </a:solidFill>
              </a:ln>
              <a:effectLst/>
            </c:spPr>
            <c:extLst>
              <c:ext xmlns:c16="http://schemas.microsoft.com/office/drawing/2014/chart" uri="{C3380CC4-5D6E-409C-BE32-E72D297353CC}">
                <c16:uniqueId val="{00000009-458C-4027-90E6-52BDDBE460CE}"/>
              </c:ext>
            </c:extLst>
          </c:dPt>
          <c:dPt>
            <c:idx val="9"/>
            <c:bubble3D val="0"/>
            <c:spPr>
              <a:solidFill>
                <a:srgbClr val="818CF8"/>
              </a:solidFill>
              <a:ln w="19050">
                <a:solidFill>
                  <a:schemeClr val="lt1"/>
                </a:solidFill>
              </a:ln>
              <a:effectLst/>
            </c:spPr>
            <c:extLst>
              <c:ext xmlns:c16="http://schemas.microsoft.com/office/drawing/2014/chart" uri="{C3380CC4-5D6E-409C-BE32-E72D297353CC}">
                <c16:uniqueId val="{0000000A-458C-4027-90E6-52BDDBE460CE}"/>
              </c:ext>
            </c:extLst>
          </c:dPt>
          <c:dPt>
            <c:idx val="10"/>
            <c:bubble3D val="0"/>
            <c:spPr>
              <a:solidFill>
                <a:srgbClr val="34D399"/>
              </a:solidFill>
              <a:ln w="19050">
                <a:solidFill>
                  <a:schemeClr val="lt1"/>
                </a:solidFill>
              </a:ln>
              <a:effectLst/>
            </c:spPr>
            <c:extLst>
              <c:ext xmlns:c16="http://schemas.microsoft.com/office/drawing/2014/chart" uri="{C3380CC4-5D6E-409C-BE32-E72D297353CC}">
                <c16:uniqueId val="{0000000B-458C-4027-90E6-52BDDBE460CE}"/>
              </c:ext>
            </c:extLst>
          </c:dPt>
          <c:dPt>
            <c:idx val="11"/>
            <c:bubble3D val="0"/>
            <c:spPr>
              <a:solidFill>
                <a:srgbClr val="FCD34D"/>
              </a:solidFill>
              <a:ln w="19050">
                <a:solidFill>
                  <a:schemeClr val="lt1"/>
                </a:solidFill>
              </a:ln>
              <a:effectLst/>
            </c:spPr>
            <c:extLst>
              <c:ext xmlns:c16="http://schemas.microsoft.com/office/drawing/2014/chart" uri="{C3380CC4-5D6E-409C-BE32-E72D297353CC}">
                <c16:uniqueId val="{0000000C-458C-4027-90E6-52BDDBE460CE}"/>
              </c:ext>
            </c:extLst>
          </c:dPt>
          <c:dPt>
            <c:idx val="12"/>
            <c:bubble3D val="0"/>
            <c:spPr>
              <a:solidFill>
                <a:srgbClr val="F97316"/>
              </a:solidFill>
              <a:ln w="19050">
                <a:solidFill>
                  <a:schemeClr val="lt1"/>
                </a:solidFill>
              </a:ln>
              <a:effectLst/>
            </c:spPr>
            <c:extLst>
              <c:ext xmlns:c16="http://schemas.microsoft.com/office/drawing/2014/chart" uri="{C3380CC4-5D6E-409C-BE32-E72D297353CC}">
                <c16:uniqueId val="{0000000D-458C-4027-90E6-52BDDBE460CE}"/>
              </c:ext>
            </c:extLst>
          </c:dPt>
          <c:dPt>
            <c:idx val="13"/>
            <c:bubble3D val="0"/>
            <c:spPr>
              <a:solidFill>
                <a:srgbClr val="06B6D4"/>
              </a:solidFill>
              <a:ln w="19050">
                <a:solidFill>
                  <a:schemeClr val="lt1"/>
                </a:solidFill>
              </a:ln>
              <a:effectLst/>
            </c:spPr>
            <c:extLst>
              <c:ext xmlns:c16="http://schemas.microsoft.com/office/drawing/2014/chart" uri="{C3380CC4-5D6E-409C-BE32-E72D297353CC}">
                <c16:uniqueId val="{0000000E-458C-4027-90E6-52BDDBE460CE}"/>
              </c:ext>
            </c:extLst>
          </c:dPt>
          <c:dPt>
            <c:idx val="14"/>
            <c:bubble3D val="0"/>
            <c:spPr>
              <a:solidFill>
                <a:srgbClr val="A3E635"/>
              </a:solidFill>
              <a:ln w="19050">
                <a:solidFill>
                  <a:schemeClr val="lt1"/>
                </a:solidFill>
              </a:ln>
              <a:effectLst/>
            </c:spPr>
            <c:extLst>
              <c:ext xmlns:c16="http://schemas.microsoft.com/office/drawing/2014/chart" uri="{C3380CC4-5D6E-409C-BE32-E72D297353CC}">
                <c16:uniqueId val="{0000000F-458C-4027-90E6-52BDDBE460CE}"/>
              </c:ext>
            </c:extLst>
          </c:dPt>
          <c:dPt>
            <c:idx val="15"/>
            <c:bubble3D val="0"/>
            <c:spPr>
              <a:solidFill>
                <a:srgbClr val="EC4899"/>
              </a:solidFill>
              <a:ln w="19050">
                <a:solidFill>
                  <a:schemeClr val="lt1"/>
                </a:solidFill>
              </a:ln>
              <a:effectLst/>
            </c:spPr>
            <c:extLst>
              <c:ext xmlns:c16="http://schemas.microsoft.com/office/drawing/2014/chart" uri="{C3380CC4-5D6E-409C-BE32-E72D297353CC}">
                <c16:uniqueId val="{00000010-458C-4027-90E6-52BDDBE460CE}"/>
              </c:ext>
            </c:extLst>
          </c:dPt>
          <c:cat>
            <c:strRef>
              <c:f>Dashboard!$AD$2:$AD$17</c:f>
              <c:strCache>
                <c:ptCount val="16"/>
                <c:pt idx="0">
                  <c:v>AMD</c:v>
                </c:pt>
                <c:pt idx="1">
                  <c:v>GOOG</c:v>
                </c:pt>
                <c:pt idx="2">
                  <c:v>AMZN</c:v>
                </c:pt>
                <c:pt idx="3">
                  <c:v>AAPL</c:v>
                </c:pt>
                <c:pt idx="4">
                  <c:v>BLK</c:v>
                </c:pt>
                <c:pt idx="5">
                  <c:v>CVX</c:v>
                </c:pt>
                <c:pt idx="6">
                  <c:v>C</c:v>
                </c:pt>
                <c:pt idx="7">
                  <c:v>F</c:v>
                </c:pt>
                <c:pt idx="8">
                  <c:v>HMC</c:v>
                </c:pt>
                <c:pt idx="9">
                  <c:v>JPM</c:v>
                </c:pt>
                <c:pt idx="10">
                  <c:v>META</c:v>
                </c:pt>
                <c:pt idx="11">
                  <c:v>NVDA</c:v>
                </c:pt>
                <c:pt idx="12">
                  <c:v>0R2N</c:v>
                </c:pt>
                <c:pt idx="13">
                  <c:v>BA</c:v>
                </c:pt>
                <c:pt idx="14">
                  <c:v>TM</c:v>
                </c:pt>
                <c:pt idx="15">
                  <c:v>WMT</c:v>
                </c:pt>
              </c:strCache>
            </c:strRef>
          </c:cat>
          <c:val>
            <c:numRef>
              <c:f>Dashboard!$AE$2:$AE$17</c:f>
              <c:numCache>
                <c:formatCode>0.0%</c:formatCode>
                <c:ptCount val="16"/>
                <c:pt idx="0">
                  <c:v>0.17183224596601931</c:v>
                </c:pt>
                <c:pt idx="1">
                  <c:v>5.3377178026421099E-2</c:v>
                </c:pt>
                <c:pt idx="2">
                  <c:v>2.4424574613519229E-2</c:v>
                </c:pt>
                <c:pt idx="3">
                  <c:v>4.7204844530588506E-2</c:v>
                </c:pt>
                <c:pt idx="4">
                  <c:v>2.3367943740822145E-2</c:v>
                </c:pt>
                <c:pt idx="5">
                  <c:v>1.7723599658547865E-2</c:v>
                </c:pt>
                <c:pt idx="6">
                  <c:v>2.7357425477160534E-2</c:v>
                </c:pt>
                <c:pt idx="7">
                  <c:v>1.0201707361857361E-2</c:v>
                </c:pt>
                <c:pt idx="8">
                  <c:v>7.5684733351763459E-3</c:v>
                </c:pt>
                <c:pt idx="9">
                  <c:v>3.7459956138407996E-2</c:v>
                </c:pt>
                <c:pt idx="10">
                  <c:v>5.3400202143877508E-2</c:v>
                </c:pt>
                <c:pt idx="11">
                  <c:v>0.45087608524794898</c:v>
                </c:pt>
                <c:pt idx="12">
                  <c:v>2.0764038042968173E-2</c:v>
                </c:pt>
                <c:pt idx="13">
                  <c:v>2.2248784157506544E-3</c:v>
                </c:pt>
                <c:pt idx="14">
                  <c:v>1.0059421363272472E-2</c:v>
                </c:pt>
                <c:pt idx="15">
                  <c:v>4.2157425937661815E-2</c:v>
                </c:pt>
              </c:numCache>
            </c:numRef>
          </c:val>
          <c:extLst>
            <c:ext xmlns:c16="http://schemas.microsoft.com/office/drawing/2014/chart" uri="{C3380CC4-5D6E-409C-BE32-E72D297353CC}">
              <c16:uniqueId val="{00000000-458C-4027-90E6-52BDDBE460CE}"/>
            </c:ext>
          </c:extLst>
        </c:ser>
        <c:dLbls>
          <c:showLegendKey val="0"/>
          <c:showVal val="0"/>
          <c:showCatName val="0"/>
          <c:showSerName val="0"/>
          <c:showPercent val="0"/>
          <c:showBubbleSize val="0"/>
          <c:showLeaderLines val="1"/>
        </c:dLbls>
        <c:firstSliceAng val="0"/>
        <c:holeSize val="75"/>
      </c:doughnutChart>
      <c:spPr>
        <a:solidFill>
          <a:srgbClr val="1B2A4A"/>
        </a:solidFill>
        <a:ln>
          <a:noFill/>
        </a:ln>
        <a:effectLst/>
      </c:spPr>
    </c:plotArea>
    <c:legend>
      <c:legendPos val="r"/>
      <c:overlay val="0"/>
      <c:spPr>
        <a:noFill/>
        <a:ln>
          <a:noFill/>
        </a:ln>
        <a:effectLst/>
      </c:spPr>
      <c:txPr>
        <a:bodyPr rot="0" spcFirstLastPara="1" vertOverflow="ellipsis" vert="horz" wrap="square" anchor="ctr" anchorCtr="1"/>
        <a:lstStyle/>
        <a:p>
          <a:pPr>
            <a:defRPr sz="700" b="0" i="0" u="none" strike="noStrike" kern="1200" baseline="0">
              <a:solidFill>
                <a:srgbClr val="94A3B8"/>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B2A4A"/>
    </a:solidFill>
    <a:ln w="25400" cap="flat" cmpd="sng" algn="ctr">
      <a:noFill/>
      <a:round/>
    </a:ln>
    <a:effectLst/>
  </c:spPr>
  <c:txPr>
    <a:bodyPr/>
    <a:lstStyle/>
    <a:p>
      <a:pPr>
        <a:defRPr/>
      </a:pPr>
      <a:endParaRPr lang="en-KE"/>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300" b="1" i="0" u="none" strike="noStrike" kern="1200" spc="0" baseline="0">
                <a:solidFill>
                  <a:srgbClr val="E2E8F0"/>
                </a:solidFill>
                <a:latin typeface="+mn-lt"/>
                <a:ea typeface="+mn-ea"/>
                <a:cs typeface="+mn-cs"/>
              </a:defRPr>
            </a:pPr>
            <a:r>
              <a:rPr lang="en-US"/>
              <a:t>Market Cap Comparison</a:t>
            </a:r>
          </a:p>
        </c:rich>
      </c:tx>
      <c:overlay val="0"/>
      <c:spPr>
        <a:noFill/>
        <a:ln>
          <a:noFill/>
        </a:ln>
        <a:effectLst/>
      </c:spPr>
      <c:txPr>
        <a:bodyPr rot="0" spcFirstLastPara="1" vertOverflow="ellipsis" vert="horz" wrap="square" anchor="ctr" anchorCtr="1"/>
        <a:lstStyle/>
        <a:p>
          <a:pPr>
            <a:defRPr sz="1300" b="1" i="0" u="none" strike="noStrike" kern="1200" spc="0" baseline="0">
              <a:solidFill>
                <a:srgbClr val="E2E8F0"/>
              </a:solidFill>
              <a:latin typeface="+mn-lt"/>
              <a:ea typeface="+mn-ea"/>
              <a:cs typeface="+mn-cs"/>
            </a:defRPr>
          </a:pPr>
          <a:endParaRPr lang="en-KE"/>
        </a:p>
      </c:txPr>
    </c:title>
    <c:autoTitleDeleted val="0"/>
    <c:plotArea>
      <c:layout/>
      <c:barChart>
        <c:barDir val="bar"/>
        <c:grouping val="clustered"/>
        <c:varyColors val="0"/>
        <c:ser>
          <c:idx val="0"/>
          <c:order val="0"/>
          <c:tx>
            <c:v>Market Cap</c:v>
          </c:tx>
          <c:spPr>
            <a:solidFill>
              <a:srgbClr val="38BDF8"/>
            </a:solidFill>
            <a:ln>
              <a:noFill/>
            </a:ln>
            <a:effectLst/>
          </c:spPr>
          <c:invertIfNegative val="0"/>
          <c:cat>
            <c:strRef>
              <c:f>'WL Dashboard'!$B$8:$B$17</c:f>
              <c:strCache>
                <c:ptCount val="10"/>
                <c:pt idx="0">
                  <c:v>AMD</c:v>
                </c:pt>
                <c:pt idx="1">
                  <c:v>MSFT</c:v>
                </c:pt>
                <c:pt idx="2">
                  <c:v>BABA</c:v>
                </c:pt>
                <c:pt idx="3">
                  <c:v>DELL</c:v>
                </c:pt>
                <c:pt idx="4">
                  <c:v>GS</c:v>
                </c:pt>
                <c:pt idx="5">
                  <c:v>XOM</c:v>
                </c:pt>
                <c:pt idx="6">
                  <c:v>GM</c:v>
                </c:pt>
                <c:pt idx="7">
                  <c:v>BAC</c:v>
                </c:pt>
                <c:pt idx="8">
                  <c:v>LMT</c:v>
                </c:pt>
                <c:pt idx="9">
                  <c:v>COST</c:v>
                </c:pt>
              </c:strCache>
            </c:strRef>
          </c:cat>
          <c:val>
            <c:numRef>
              <c:f>'WL Dashboard'!$H$8:$H$17</c:f>
              <c:numCache>
                <c:formatCode>[$$ -409]#,##0,,"B"</c:formatCode>
                <c:ptCount val="10"/>
                <c:pt idx="0">
                  <c:v>992332578250</c:v>
                </c:pt>
                <c:pt idx="1">
                  <c:v>3781236024900</c:v>
                </c:pt>
                <c:pt idx="2">
                  <c:v>270336466240</c:v>
                </c:pt>
                <c:pt idx="3">
                  <c:v>345519695560</c:v>
                </c:pt>
                <c:pt idx="4">
                  <c:v>266794530392</c:v>
                </c:pt>
                <c:pt idx="5">
                  <c:v>668267938240</c:v>
                </c:pt>
                <c:pt idx="6">
                  <c:v>70757688960</c:v>
                </c:pt>
                <c:pt idx="7">
                  <c:v>387887787030</c:v>
                </c:pt>
                <c:pt idx="8">
                  <c:v>119572713480</c:v>
                </c:pt>
                <c:pt idx="9">
                  <c:v>409099056720</c:v>
                </c:pt>
              </c:numCache>
            </c:numRef>
          </c:val>
          <c:extLst>
            <c:ext xmlns:c16="http://schemas.microsoft.com/office/drawing/2014/chart" uri="{C3380CC4-5D6E-409C-BE32-E72D297353CC}">
              <c16:uniqueId val="{00000001-22C9-489C-BFCD-E678AA482362}"/>
            </c:ext>
          </c:extLst>
        </c:ser>
        <c:dLbls>
          <c:showLegendKey val="0"/>
          <c:showVal val="0"/>
          <c:showCatName val="0"/>
          <c:showSerName val="0"/>
          <c:showPercent val="0"/>
          <c:showBubbleSize val="0"/>
        </c:dLbls>
        <c:gapWidth val="182"/>
        <c:axId val="14527199"/>
        <c:axId val="14521919"/>
      </c:barChart>
      <c:catAx>
        <c:axId val="14527199"/>
        <c:scaling>
          <c:orientation val="minMax"/>
        </c:scaling>
        <c:delete val="0"/>
        <c:axPos val="l"/>
        <c:numFmt formatCode="General" sourceLinked="1"/>
        <c:majorTickMark val="none"/>
        <c:minorTickMark val="none"/>
        <c:tickLblPos val="nextTo"/>
        <c:spPr>
          <a:noFill/>
          <a:ln w="9525" cap="flat" cmpd="sng" algn="ctr">
            <a:solidFill>
              <a:srgbClr val="334155"/>
            </a:solidFill>
            <a:prstDash val="solid"/>
            <a:round/>
          </a:ln>
          <a:effectLst/>
        </c:spPr>
        <c:txPr>
          <a:bodyPr rot="-60000000" spcFirstLastPara="1" vertOverflow="ellipsis" vert="horz" wrap="square" anchor="ctr" anchorCtr="1"/>
          <a:lstStyle/>
          <a:p>
            <a:pPr>
              <a:defRPr sz="1000" b="1" i="0" u="none" strike="noStrike" kern="1200" baseline="0">
                <a:solidFill>
                  <a:srgbClr val="E2E8F0"/>
                </a:solidFill>
                <a:latin typeface="+mn-lt"/>
                <a:ea typeface="+mn-ea"/>
                <a:cs typeface="+mn-cs"/>
              </a:defRPr>
            </a:pPr>
            <a:endParaRPr lang="en-KE"/>
          </a:p>
        </c:txPr>
        <c:crossAx val="14521919"/>
        <c:crosses val="autoZero"/>
        <c:auto val="1"/>
        <c:lblAlgn val="ctr"/>
        <c:lblOffset val="100"/>
        <c:noMultiLvlLbl val="0"/>
      </c:catAx>
      <c:valAx>
        <c:axId val="14521919"/>
        <c:scaling>
          <c:orientation val="minMax"/>
        </c:scaling>
        <c:delete val="0"/>
        <c:axPos val="b"/>
        <c:majorGridlines>
          <c:spPr>
            <a:ln w="9525" cap="flat" cmpd="sng" algn="ctr">
              <a:solidFill>
                <a:srgbClr val="2D3B55"/>
              </a:solidFill>
              <a:prstDash val="solid"/>
              <a:round/>
            </a:ln>
            <a:effectLst/>
          </c:spPr>
        </c:majorGridlines>
        <c:numFmt formatCode="[$$-409]#,##0,,,&quot;B&quot;" sourceLinked="0"/>
        <c:majorTickMark val="none"/>
        <c:minorTickMark val="none"/>
        <c:tickLblPos val="nextTo"/>
        <c:spPr>
          <a:noFill/>
          <a:ln>
            <a:solidFill>
              <a:srgbClr val="334155"/>
            </a:solidFill>
            <a:prstDash val="solid"/>
          </a:ln>
          <a:effectLst/>
        </c:spPr>
        <c:txPr>
          <a:bodyPr rot="-60000000" spcFirstLastPara="1" vertOverflow="ellipsis" vert="horz" wrap="square" anchor="ctr" anchorCtr="1"/>
          <a:lstStyle/>
          <a:p>
            <a:pPr>
              <a:defRPr sz="900" b="0" i="0" u="none" strike="noStrike" kern="1200" baseline="0">
                <a:solidFill>
                  <a:srgbClr val="94A3B8"/>
                </a:solidFill>
                <a:latin typeface="+mn-lt"/>
                <a:ea typeface="+mn-ea"/>
                <a:cs typeface="+mn-cs"/>
              </a:defRPr>
            </a:pPr>
            <a:endParaRPr lang="en-KE"/>
          </a:p>
        </c:txPr>
        <c:crossAx val="14527199"/>
        <c:crosses val="autoZero"/>
        <c:crossBetween val="between"/>
      </c:valAx>
      <c:spPr>
        <a:solidFill>
          <a:srgbClr val="1B2A4A"/>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B2A4A"/>
    </a:solidFill>
    <a:ln w="25400" cap="flat" cmpd="sng" algn="ctr">
      <a:noFill/>
      <a:round/>
    </a:ln>
    <a:effectLst/>
  </c:spPr>
  <c:txPr>
    <a:bodyPr/>
    <a:lstStyle/>
    <a:p>
      <a:pPr>
        <a:defRPr/>
      </a:pPr>
      <a:endParaRPr lang="en-KE"/>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300" b="1" i="0" u="none" strike="noStrike" kern="1200" spc="0" baseline="0">
                <a:solidFill>
                  <a:srgbClr val="E2E8F0"/>
                </a:solidFill>
                <a:latin typeface="+mn-lt"/>
                <a:ea typeface="+mn-ea"/>
                <a:cs typeface="+mn-cs"/>
              </a:defRPr>
            </a:pPr>
            <a:r>
              <a:rPr lang="en-US"/>
              <a:t>P/E Ratio Comparison</a:t>
            </a:r>
          </a:p>
        </c:rich>
      </c:tx>
      <c:overlay val="0"/>
      <c:spPr>
        <a:noFill/>
        <a:ln>
          <a:noFill/>
        </a:ln>
        <a:effectLst/>
      </c:spPr>
      <c:txPr>
        <a:bodyPr rot="0" spcFirstLastPara="1" vertOverflow="ellipsis" vert="horz" wrap="square" anchor="ctr" anchorCtr="1"/>
        <a:lstStyle/>
        <a:p>
          <a:pPr>
            <a:defRPr sz="1300" b="1" i="0" u="none" strike="noStrike" kern="1200" spc="0" baseline="0">
              <a:solidFill>
                <a:srgbClr val="E2E8F0"/>
              </a:solidFill>
              <a:latin typeface="+mn-lt"/>
              <a:ea typeface="+mn-ea"/>
              <a:cs typeface="+mn-cs"/>
            </a:defRPr>
          </a:pPr>
          <a:endParaRPr lang="en-KE"/>
        </a:p>
      </c:txPr>
    </c:title>
    <c:autoTitleDeleted val="0"/>
    <c:plotArea>
      <c:layout/>
      <c:barChart>
        <c:barDir val="col"/>
        <c:grouping val="clustered"/>
        <c:varyColors val="0"/>
        <c:ser>
          <c:idx val="0"/>
          <c:order val="0"/>
          <c:tx>
            <c:v>P/E Ratio</c:v>
          </c:tx>
          <c:spPr>
            <a:solidFill>
              <a:srgbClr val="A78BFA"/>
            </a:solidFill>
            <a:ln>
              <a:noFill/>
            </a:ln>
            <a:effectLst/>
          </c:spPr>
          <c:invertIfNegative val="0"/>
          <c:cat>
            <c:strRef>
              <c:f>'WL Dashboard'!$B$8:$B$17</c:f>
              <c:strCache>
                <c:ptCount val="10"/>
                <c:pt idx="0">
                  <c:v>AMD</c:v>
                </c:pt>
                <c:pt idx="1">
                  <c:v>MSFT</c:v>
                </c:pt>
                <c:pt idx="2">
                  <c:v>BABA</c:v>
                </c:pt>
                <c:pt idx="3">
                  <c:v>DELL</c:v>
                </c:pt>
                <c:pt idx="4">
                  <c:v>GS</c:v>
                </c:pt>
                <c:pt idx="5">
                  <c:v>XOM</c:v>
                </c:pt>
                <c:pt idx="6">
                  <c:v>GM</c:v>
                </c:pt>
                <c:pt idx="7">
                  <c:v>BAC</c:v>
                </c:pt>
                <c:pt idx="8">
                  <c:v>LMT</c:v>
                </c:pt>
                <c:pt idx="9">
                  <c:v>COST</c:v>
                </c:pt>
              </c:strCache>
            </c:strRef>
          </c:cat>
          <c:val>
            <c:numRef>
              <c:f>'WL Dashboard'!$F$8:$F$17</c:f>
              <c:numCache>
                <c:formatCode>0.0</c:formatCode>
                <c:ptCount val="10"/>
                <c:pt idx="0">
                  <c:v>155.14330000000001</c:v>
                </c:pt>
                <c:pt idx="1">
                  <c:v>28.374099999999999</c:v>
                </c:pt>
                <c:pt idx="2">
                  <c:v>24.247199999999999</c:v>
                </c:pt>
                <c:pt idx="3">
                  <c:v>31.531300000000002</c:v>
                </c:pt>
                <c:pt idx="4">
                  <c:v>14.1387</c:v>
                </c:pt>
                <c:pt idx="5">
                  <c:v>20.958500000000001</c:v>
                </c:pt>
                <c:pt idx="6">
                  <c:v>40.673499999999997</c:v>
                </c:pt>
                <c:pt idx="7">
                  <c:v>12.848699999999999</c:v>
                </c:pt>
                <c:pt idx="8">
                  <c:v>19.091000000000001</c:v>
                </c:pt>
                <c:pt idx="9">
                  <c:v>44.458100000000002</c:v>
                </c:pt>
              </c:numCache>
            </c:numRef>
          </c:val>
          <c:extLst>
            <c:ext xmlns:c16="http://schemas.microsoft.com/office/drawing/2014/chart" uri="{C3380CC4-5D6E-409C-BE32-E72D297353CC}">
              <c16:uniqueId val="{00000001-CBDB-4C15-B762-98299C0CA34F}"/>
            </c:ext>
          </c:extLst>
        </c:ser>
        <c:dLbls>
          <c:showLegendKey val="0"/>
          <c:showVal val="0"/>
          <c:showCatName val="0"/>
          <c:showSerName val="0"/>
          <c:showPercent val="0"/>
          <c:showBubbleSize val="0"/>
        </c:dLbls>
        <c:gapWidth val="219"/>
        <c:overlap val="-27"/>
        <c:axId val="14519999"/>
        <c:axId val="14520479"/>
      </c:barChart>
      <c:catAx>
        <c:axId val="14519999"/>
        <c:scaling>
          <c:orientation val="minMax"/>
        </c:scaling>
        <c:delete val="0"/>
        <c:axPos val="b"/>
        <c:numFmt formatCode="General" sourceLinked="1"/>
        <c:majorTickMark val="none"/>
        <c:minorTickMark val="none"/>
        <c:tickLblPos val="nextTo"/>
        <c:spPr>
          <a:noFill/>
          <a:ln w="9525" cap="flat" cmpd="sng" algn="ctr">
            <a:solidFill>
              <a:srgbClr val="334155"/>
            </a:solidFill>
            <a:prstDash val="solid"/>
            <a:round/>
          </a:ln>
          <a:effectLst/>
        </c:spPr>
        <c:txPr>
          <a:bodyPr rot="-60000000" spcFirstLastPara="1" vertOverflow="ellipsis" vert="horz" wrap="square" anchor="ctr" anchorCtr="1"/>
          <a:lstStyle/>
          <a:p>
            <a:pPr>
              <a:defRPr sz="1000" b="1" i="0" u="none" strike="noStrike" kern="1200" baseline="0">
                <a:solidFill>
                  <a:srgbClr val="E2E8F0"/>
                </a:solidFill>
                <a:latin typeface="+mn-lt"/>
                <a:ea typeface="+mn-ea"/>
                <a:cs typeface="+mn-cs"/>
              </a:defRPr>
            </a:pPr>
            <a:endParaRPr lang="en-KE"/>
          </a:p>
        </c:txPr>
        <c:crossAx val="14520479"/>
        <c:crosses val="autoZero"/>
        <c:auto val="1"/>
        <c:lblAlgn val="ctr"/>
        <c:lblOffset val="100"/>
        <c:noMultiLvlLbl val="0"/>
      </c:catAx>
      <c:valAx>
        <c:axId val="14520479"/>
        <c:scaling>
          <c:orientation val="minMax"/>
        </c:scaling>
        <c:delete val="0"/>
        <c:axPos val="l"/>
        <c:majorGridlines>
          <c:spPr>
            <a:ln w="9525" cap="flat" cmpd="sng" algn="ctr">
              <a:solidFill>
                <a:srgbClr val="2D3B55"/>
              </a:solidFill>
              <a:prstDash val="solid"/>
              <a:round/>
            </a:ln>
            <a:effectLst/>
          </c:spPr>
        </c:majorGridlines>
        <c:numFmt formatCode="0.0\x" sourceLinked="0"/>
        <c:majorTickMark val="none"/>
        <c:minorTickMark val="none"/>
        <c:tickLblPos val="nextTo"/>
        <c:spPr>
          <a:noFill/>
          <a:ln>
            <a:solidFill>
              <a:srgbClr val="334155"/>
            </a:solidFill>
            <a:prstDash val="solid"/>
          </a:ln>
          <a:effectLst/>
        </c:spPr>
        <c:txPr>
          <a:bodyPr rot="-60000000" spcFirstLastPara="1" vertOverflow="ellipsis" vert="horz" wrap="square" anchor="ctr" anchorCtr="1"/>
          <a:lstStyle/>
          <a:p>
            <a:pPr>
              <a:defRPr sz="900" b="0" i="0" u="none" strike="noStrike" kern="1200" baseline="0">
                <a:solidFill>
                  <a:srgbClr val="94A3B8"/>
                </a:solidFill>
                <a:latin typeface="+mn-lt"/>
                <a:ea typeface="+mn-ea"/>
                <a:cs typeface="+mn-cs"/>
              </a:defRPr>
            </a:pPr>
            <a:endParaRPr lang="en-KE"/>
          </a:p>
        </c:txPr>
        <c:crossAx val="14519999"/>
        <c:crosses val="autoZero"/>
        <c:crossBetween val="between"/>
      </c:valAx>
      <c:spPr>
        <a:solidFill>
          <a:srgbClr val="1B2A4A"/>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B2A4A"/>
    </a:solidFill>
    <a:ln w="25400" cap="flat" cmpd="sng" algn="ctr">
      <a:noFill/>
      <a:round/>
    </a:ln>
    <a:effectLst/>
  </c:spPr>
  <c:txPr>
    <a:bodyPr/>
    <a:lstStyle/>
    <a:p>
      <a:pPr>
        <a:defRPr/>
      </a:pPr>
      <a:endParaRPr lang="en-KE"/>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300" b="1" i="0" u="none" strike="noStrike" kern="1200" spc="0" baseline="0">
                <a:solidFill>
                  <a:srgbClr val="E2E8F0"/>
                </a:solidFill>
                <a:latin typeface="+mn-lt"/>
                <a:ea typeface="+mn-ea"/>
                <a:cs typeface="+mn-cs"/>
              </a:defRPr>
            </a:pPr>
            <a:r>
              <a:rPr lang="en-US"/>
              <a:t>Beta Risk Profile (</a:t>
            </a:r>
            <a:r>
              <a:rPr lang="el-GR"/>
              <a:t>β)</a:t>
            </a:r>
          </a:p>
        </c:rich>
      </c:tx>
      <c:overlay val="0"/>
      <c:spPr>
        <a:noFill/>
        <a:ln>
          <a:noFill/>
        </a:ln>
        <a:effectLst/>
      </c:spPr>
      <c:txPr>
        <a:bodyPr rot="0" spcFirstLastPara="1" vertOverflow="ellipsis" vert="horz" wrap="square" anchor="ctr" anchorCtr="1"/>
        <a:lstStyle/>
        <a:p>
          <a:pPr>
            <a:defRPr sz="1300" b="1" i="0" u="none" strike="noStrike" kern="1200" spc="0" baseline="0">
              <a:solidFill>
                <a:srgbClr val="E2E8F0"/>
              </a:solidFill>
              <a:latin typeface="+mn-lt"/>
              <a:ea typeface="+mn-ea"/>
              <a:cs typeface="+mn-cs"/>
            </a:defRPr>
          </a:pPr>
          <a:endParaRPr lang="en-KE"/>
        </a:p>
      </c:txPr>
    </c:title>
    <c:autoTitleDeleted val="0"/>
    <c:plotArea>
      <c:layout/>
      <c:barChart>
        <c:barDir val="col"/>
        <c:grouping val="clustered"/>
        <c:varyColors val="0"/>
        <c:ser>
          <c:idx val="0"/>
          <c:order val="0"/>
          <c:tx>
            <c:v>Beta</c:v>
          </c:tx>
          <c:spPr>
            <a:solidFill>
              <a:srgbClr val="FBBF24"/>
            </a:solidFill>
            <a:ln>
              <a:noFill/>
            </a:ln>
            <a:effectLst/>
          </c:spPr>
          <c:invertIfNegative val="0"/>
          <c:dPt>
            <c:idx val="0"/>
            <c:invertIfNegative val="0"/>
            <c:bubble3D val="0"/>
            <c:spPr>
              <a:solidFill>
                <a:srgbClr val="EF4444"/>
              </a:solidFill>
              <a:ln>
                <a:noFill/>
              </a:ln>
              <a:effectLst/>
            </c:spPr>
            <c:extLst>
              <c:ext xmlns:c16="http://schemas.microsoft.com/office/drawing/2014/chart" uri="{C3380CC4-5D6E-409C-BE32-E72D297353CC}">
                <c16:uniqueId val="{00000002-94E1-4A1E-AC0D-D6F1BFFD1BA2}"/>
              </c:ext>
            </c:extLst>
          </c:dPt>
          <c:dPt>
            <c:idx val="5"/>
            <c:invertIfNegative val="0"/>
            <c:bubble3D val="0"/>
            <c:spPr>
              <a:solidFill>
                <a:srgbClr val="4ADE80"/>
              </a:solidFill>
              <a:ln>
                <a:noFill/>
              </a:ln>
              <a:effectLst/>
            </c:spPr>
            <c:extLst>
              <c:ext xmlns:c16="http://schemas.microsoft.com/office/drawing/2014/chart" uri="{C3380CC4-5D6E-409C-BE32-E72D297353CC}">
                <c16:uniqueId val="{00000007-94E1-4A1E-AC0D-D6F1BFFD1BA2}"/>
              </c:ext>
            </c:extLst>
          </c:dPt>
          <c:dPt>
            <c:idx val="8"/>
            <c:invertIfNegative val="0"/>
            <c:bubble3D val="0"/>
            <c:spPr>
              <a:solidFill>
                <a:srgbClr val="4ADE80"/>
              </a:solidFill>
              <a:ln>
                <a:noFill/>
              </a:ln>
              <a:effectLst/>
            </c:spPr>
            <c:extLst>
              <c:ext xmlns:c16="http://schemas.microsoft.com/office/drawing/2014/chart" uri="{C3380CC4-5D6E-409C-BE32-E72D297353CC}">
                <c16:uniqueId val="{0000000A-94E1-4A1E-AC0D-D6F1BFFD1BA2}"/>
              </c:ext>
            </c:extLst>
          </c:dPt>
          <c:cat>
            <c:strRef>
              <c:f>'WL Dashboard'!$B$8:$B$17</c:f>
              <c:strCache>
                <c:ptCount val="10"/>
                <c:pt idx="0">
                  <c:v>AMD</c:v>
                </c:pt>
                <c:pt idx="1">
                  <c:v>MSFT</c:v>
                </c:pt>
                <c:pt idx="2">
                  <c:v>BABA</c:v>
                </c:pt>
                <c:pt idx="3">
                  <c:v>DELL</c:v>
                </c:pt>
                <c:pt idx="4">
                  <c:v>GS</c:v>
                </c:pt>
                <c:pt idx="5">
                  <c:v>XOM</c:v>
                </c:pt>
                <c:pt idx="6">
                  <c:v>GM</c:v>
                </c:pt>
                <c:pt idx="7">
                  <c:v>BAC</c:v>
                </c:pt>
                <c:pt idx="8">
                  <c:v>LMT</c:v>
                </c:pt>
                <c:pt idx="9">
                  <c:v>COST</c:v>
                </c:pt>
              </c:strCache>
            </c:strRef>
          </c:cat>
          <c:val>
            <c:numRef>
              <c:f>'WL Dashboard'!$G$8:$G$17</c:f>
              <c:numCache>
                <c:formatCode>0.00</c:formatCode>
                <c:ptCount val="10"/>
                <c:pt idx="0">
                  <c:v>2.4824000000000002</c:v>
                </c:pt>
                <c:pt idx="1">
                  <c:v>1.1008</c:v>
                </c:pt>
                <c:pt idx="2">
                  <c:v>0.46160000000000001</c:v>
                </c:pt>
                <c:pt idx="3">
                  <c:v>1.3674999999999999</c:v>
                </c:pt>
                <c:pt idx="4">
                  <c:v>1.2712000000000001</c:v>
                </c:pt>
                <c:pt idx="5">
                  <c:v>0.2089</c:v>
                </c:pt>
                <c:pt idx="6">
                  <c:v>1.3933</c:v>
                </c:pt>
                <c:pt idx="7">
                  <c:v>1.2090000000000001</c:v>
                </c:pt>
                <c:pt idx="8">
                  <c:v>9.0300000000000005E-2</c:v>
                </c:pt>
                <c:pt idx="9">
                  <c:v>0.87529999999999997</c:v>
                </c:pt>
              </c:numCache>
            </c:numRef>
          </c:val>
          <c:extLst>
            <c:ext xmlns:c16="http://schemas.microsoft.com/office/drawing/2014/chart" uri="{C3380CC4-5D6E-409C-BE32-E72D297353CC}">
              <c16:uniqueId val="{00000001-94E1-4A1E-AC0D-D6F1BFFD1BA2}"/>
            </c:ext>
          </c:extLst>
        </c:ser>
        <c:dLbls>
          <c:showLegendKey val="0"/>
          <c:showVal val="0"/>
          <c:showCatName val="0"/>
          <c:showSerName val="0"/>
          <c:showPercent val="0"/>
          <c:showBubbleSize val="0"/>
        </c:dLbls>
        <c:gapWidth val="219"/>
        <c:overlap val="-27"/>
        <c:axId val="14443679"/>
        <c:axId val="14426879"/>
      </c:barChart>
      <c:catAx>
        <c:axId val="14443679"/>
        <c:scaling>
          <c:orientation val="minMax"/>
        </c:scaling>
        <c:delete val="0"/>
        <c:axPos val="b"/>
        <c:numFmt formatCode="General" sourceLinked="1"/>
        <c:majorTickMark val="none"/>
        <c:minorTickMark val="none"/>
        <c:tickLblPos val="nextTo"/>
        <c:spPr>
          <a:noFill/>
          <a:ln w="9525" cap="flat" cmpd="sng" algn="ctr">
            <a:solidFill>
              <a:srgbClr val="334155"/>
            </a:solidFill>
            <a:prstDash val="solid"/>
            <a:round/>
          </a:ln>
          <a:effectLst/>
        </c:spPr>
        <c:txPr>
          <a:bodyPr rot="-60000000" spcFirstLastPara="1" vertOverflow="ellipsis" vert="horz" wrap="square" anchor="ctr" anchorCtr="1"/>
          <a:lstStyle/>
          <a:p>
            <a:pPr>
              <a:defRPr sz="1000" b="1" i="0" u="none" strike="noStrike" kern="1200" baseline="0">
                <a:solidFill>
                  <a:srgbClr val="E2E8F0"/>
                </a:solidFill>
                <a:latin typeface="+mn-lt"/>
                <a:ea typeface="+mn-ea"/>
                <a:cs typeface="+mn-cs"/>
              </a:defRPr>
            </a:pPr>
            <a:endParaRPr lang="en-KE"/>
          </a:p>
        </c:txPr>
        <c:crossAx val="14426879"/>
        <c:crosses val="autoZero"/>
        <c:auto val="1"/>
        <c:lblAlgn val="ctr"/>
        <c:lblOffset val="100"/>
        <c:noMultiLvlLbl val="0"/>
      </c:catAx>
      <c:valAx>
        <c:axId val="14426879"/>
        <c:scaling>
          <c:orientation val="minMax"/>
        </c:scaling>
        <c:delete val="0"/>
        <c:axPos val="l"/>
        <c:majorGridlines>
          <c:spPr>
            <a:ln w="9525" cap="flat" cmpd="sng" algn="ctr">
              <a:solidFill>
                <a:srgbClr val="2D3B55"/>
              </a:solidFill>
              <a:prstDash val="solid"/>
              <a:round/>
            </a:ln>
            <a:effectLst/>
          </c:spPr>
        </c:majorGridlines>
        <c:numFmt formatCode="0.00" sourceLinked="0"/>
        <c:majorTickMark val="none"/>
        <c:minorTickMark val="none"/>
        <c:tickLblPos val="nextTo"/>
        <c:spPr>
          <a:noFill/>
          <a:ln>
            <a:solidFill>
              <a:srgbClr val="334155"/>
            </a:solidFill>
            <a:prstDash val="solid"/>
          </a:ln>
          <a:effectLst/>
        </c:spPr>
        <c:txPr>
          <a:bodyPr rot="-60000000" spcFirstLastPara="1" vertOverflow="ellipsis" vert="horz" wrap="square" anchor="ctr" anchorCtr="1"/>
          <a:lstStyle/>
          <a:p>
            <a:pPr>
              <a:defRPr sz="900" b="0" i="0" u="none" strike="noStrike" kern="1200" baseline="0">
                <a:solidFill>
                  <a:srgbClr val="94A3B8"/>
                </a:solidFill>
                <a:latin typeface="+mn-lt"/>
                <a:ea typeface="+mn-ea"/>
                <a:cs typeface="+mn-cs"/>
              </a:defRPr>
            </a:pPr>
            <a:endParaRPr lang="en-KE"/>
          </a:p>
        </c:txPr>
        <c:crossAx val="14443679"/>
        <c:crosses val="autoZero"/>
        <c:crossBetween val="between"/>
      </c:valAx>
      <c:spPr>
        <a:solidFill>
          <a:srgbClr val="1B2A4A"/>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B2A4A"/>
    </a:solidFill>
    <a:ln w="25400" cap="flat" cmpd="sng" algn="ctr">
      <a:noFill/>
      <a:round/>
    </a:ln>
    <a:effectLst/>
  </c:spPr>
  <c:txPr>
    <a:bodyPr/>
    <a:lstStyle/>
    <a:p>
      <a:pPr>
        <a:defRPr/>
      </a:pPr>
      <a:endParaRPr lang="en-KE"/>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300" b="1" i="0" u="none" strike="noStrike" kern="1200" spc="0" baseline="0">
                <a:solidFill>
                  <a:srgbClr val="E2E8F0"/>
                </a:solidFill>
                <a:latin typeface="+mn-lt"/>
                <a:ea typeface="+mn-ea"/>
                <a:cs typeface="+mn-cs"/>
              </a:defRPr>
            </a:pPr>
            <a:r>
              <a:rPr lang="en-US"/>
              <a:t>Industry Breakdown by Market Cap</a:t>
            </a:r>
          </a:p>
        </c:rich>
      </c:tx>
      <c:overlay val="0"/>
      <c:spPr>
        <a:noFill/>
        <a:ln>
          <a:noFill/>
        </a:ln>
        <a:effectLst/>
      </c:spPr>
      <c:txPr>
        <a:bodyPr rot="0" spcFirstLastPara="1" vertOverflow="ellipsis" vert="horz" wrap="square" anchor="ctr" anchorCtr="1"/>
        <a:lstStyle/>
        <a:p>
          <a:pPr>
            <a:defRPr sz="1300" b="1" i="0" u="none" strike="noStrike" kern="1200" spc="0" baseline="0">
              <a:solidFill>
                <a:srgbClr val="E2E8F0"/>
              </a:solidFill>
              <a:latin typeface="+mn-lt"/>
              <a:ea typeface="+mn-ea"/>
              <a:cs typeface="+mn-cs"/>
            </a:defRPr>
          </a:pPr>
          <a:endParaRPr lang="en-KE"/>
        </a:p>
      </c:txPr>
    </c:title>
    <c:autoTitleDeleted val="0"/>
    <c:plotArea>
      <c:layout/>
      <c:doughnutChart>
        <c:varyColors val="1"/>
        <c:ser>
          <c:idx val="0"/>
          <c:order val="0"/>
          <c:tx>
            <c:strRef>
              <c:f>'WL Dashboard'!$C$53</c:f>
              <c:strCache>
                <c:ptCount val="1"/>
                <c:pt idx="0">
                  <c:v>Market Cap</c:v>
                </c:pt>
              </c:strCache>
            </c:strRef>
          </c:tx>
          <c:dPt>
            <c:idx val="0"/>
            <c:bubble3D val="0"/>
            <c:spPr>
              <a:solidFill>
                <a:srgbClr val="38BDF8"/>
              </a:solidFill>
              <a:ln w="19050">
                <a:solidFill>
                  <a:schemeClr val="lt1"/>
                </a:solidFill>
              </a:ln>
              <a:effectLst/>
            </c:spPr>
            <c:extLst>
              <c:ext xmlns:c16="http://schemas.microsoft.com/office/drawing/2014/chart" uri="{C3380CC4-5D6E-409C-BE32-E72D297353CC}">
                <c16:uniqueId val="{00000001-F817-468A-A630-6FBBF7058EC8}"/>
              </c:ext>
            </c:extLst>
          </c:dPt>
          <c:dPt>
            <c:idx val="1"/>
            <c:bubble3D val="0"/>
            <c:spPr>
              <a:solidFill>
                <a:srgbClr val="A78BFA"/>
              </a:solidFill>
              <a:ln w="19050">
                <a:solidFill>
                  <a:schemeClr val="lt1"/>
                </a:solidFill>
              </a:ln>
              <a:effectLst/>
            </c:spPr>
            <c:extLst>
              <c:ext xmlns:c16="http://schemas.microsoft.com/office/drawing/2014/chart" uri="{C3380CC4-5D6E-409C-BE32-E72D297353CC}">
                <c16:uniqueId val="{00000002-F817-468A-A630-6FBBF7058EC8}"/>
              </c:ext>
            </c:extLst>
          </c:dPt>
          <c:dPt>
            <c:idx val="2"/>
            <c:bubble3D val="0"/>
            <c:spPr>
              <a:solidFill>
                <a:srgbClr val="F87171"/>
              </a:solidFill>
              <a:ln w="19050">
                <a:solidFill>
                  <a:schemeClr val="lt1"/>
                </a:solidFill>
              </a:ln>
              <a:effectLst/>
            </c:spPr>
            <c:extLst>
              <c:ext xmlns:c16="http://schemas.microsoft.com/office/drawing/2014/chart" uri="{C3380CC4-5D6E-409C-BE32-E72D297353CC}">
                <c16:uniqueId val="{00000003-F817-468A-A630-6FBBF7058EC8}"/>
              </c:ext>
            </c:extLst>
          </c:dPt>
          <c:dPt>
            <c:idx val="3"/>
            <c:bubble3D val="0"/>
            <c:spPr>
              <a:solidFill>
                <a:srgbClr val="4ADE80"/>
              </a:solidFill>
              <a:ln w="19050">
                <a:solidFill>
                  <a:schemeClr val="lt1"/>
                </a:solidFill>
              </a:ln>
              <a:effectLst/>
            </c:spPr>
            <c:extLst>
              <c:ext xmlns:c16="http://schemas.microsoft.com/office/drawing/2014/chart" uri="{C3380CC4-5D6E-409C-BE32-E72D297353CC}">
                <c16:uniqueId val="{00000004-F817-468A-A630-6FBBF7058EC8}"/>
              </c:ext>
            </c:extLst>
          </c:dPt>
          <c:dPt>
            <c:idx val="4"/>
            <c:bubble3D val="0"/>
            <c:spPr>
              <a:solidFill>
                <a:srgbClr val="FBBF24"/>
              </a:solidFill>
              <a:ln w="19050">
                <a:solidFill>
                  <a:schemeClr val="lt1"/>
                </a:solidFill>
              </a:ln>
              <a:effectLst/>
            </c:spPr>
            <c:extLst>
              <c:ext xmlns:c16="http://schemas.microsoft.com/office/drawing/2014/chart" uri="{C3380CC4-5D6E-409C-BE32-E72D297353CC}">
                <c16:uniqueId val="{00000005-F817-468A-A630-6FBBF7058EC8}"/>
              </c:ext>
            </c:extLst>
          </c:dPt>
          <c:dPt>
            <c:idx val="5"/>
            <c:bubble3D val="0"/>
            <c:spPr>
              <a:solidFill>
                <a:srgbClr val="FB923C"/>
              </a:solidFill>
              <a:ln w="19050">
                <a:solidFill>
                  <a:schemeClr val="lt1"/>
                </a:solidFill>
              </a:ln>
              <a:effectLst/>
            </c:spPr>
            <c:extLst>
              <c:ext xmlns:c16="http://schemas.microsoft.com/office/drawing/2014/chart" uri="{C3380CC4-5D6E-409C-BE32-E72D297353CC}">
                <c16:uniqueId val="{00000006-F817-468A-A630-6FBBF7058EC8}"/>
              </c:ext>
            </c:extLst>
          </c:dPt>
          <c:dPt>
            <c:idx val="6"/>
            <c:bubble3D val="0"/>
            <c:spPr>
              <a:solidFill>
                <a:srgbClr val="E879F9"/>
              </a:solidFill>
              <a:ln w="19050">
                <a:solidFill>
                  <a:schemeClr val="lt1"/>
                </a:solidFill>
              </a:ln>
              <a:effectLst/>
            </c:spPr>
            <c:extLst>
              <c:ext xmlns:c16="http://schemas.microsoft.com/office/drawing/2014/chart" uri="{C3380CC4-5D6E-409C-BE32-E72D297353CC}">
                <c16:uniqueId val="{00000007-F817-468A-A630-6FBBF7058EC8}"/>
              </c:ext>
            </c:extLst>
          </c:dPt>
          <c:dPt>
            <c:idx val="7"/>
            <c:bubble3D val="0"/>
            <c:spPr>
              <a:solidFill>
                <a:srgbClr val="2DD4BF"/>
              </a:solidFill>
              <a:ln w="19050">
                <a:solidFill>
                  <a:schemeClr val="lt1"/>
                </a:solidFill>
              </a:ln>
              <a:effectLst/>
            </c:spPr>
            <c:extLst>
              <c:ext xmlns:c16="http://schemas.microsoft.com/office/drawing/2014/chart" uri="{C3380CC4-5D6E-409C-BE32-E72D297353CC}">
                <c16:uniqueId val="{00000008-F817-468A-A630-6FBBF7058EC8}"/>
              </c:ext>
            </c:extLst>
          </c:dPt>
          <c:dPt>
            <c:idx val="8"/>
            <c:bubble3D val="0"/>
            <c:spPr>
              <a:solidFill>
                <a:srgbClr val="F472B6"/>
              </a:solidFill>
              <a:ln w="19050">
                <a:solidFill>
                  <a:schemeClr val="lt1"/>
                </a:solidFill>
              </a:ln>
              <a:effectLst/>
            </c:spPr>
            <c:extLst>
              <c:ext xmlns:c16="http://schemas.microsoft.com/office/drawing/2014/chart" uri="{C3380CC4-5D6E-409C-BE32-E72D297353CC}">
                <c16:uniqueId val="{00000009-F817-468A-A630-6FBBF7058EC8}"/>
              </c:ext>
            </c:extLst>
          </c:dPt>
          <c:cat>
            <c:strRef>
              <c:f>'WL Dashboard'!$B$54:$B$62</c:f>
              <c:strCache>
                <c:ptCount val="9"/>
                <c:pt idx="0">
                  <c:v>Semiconductors &amp; Semiconductor Equipment</c:v>
                </c:pt>
                <c:pt idx="1">
                  <c:v>Software &amp; IT Services</c:v>
                </c:pt>
                <c:pt idx="2">
                  <c:v>Computers, Phones &amp; Household Electronics</c:v>
                </c:pt>
                <c:pt idx="3">
                  <c:v>Investment Banking &amp; Investment Services</c:v>
                </c:pt>
                <c:pt idx="4">
                  <c:v>Oil &amp; Gas</c:v>
                </c:pt>
                <c:pt idx="5">
                  <c:v>Automobiles &amp; Auto Parts</c:v>
                </c:pt>
                <c:pt idx="6">
                  <c:v>Banking Services</c:v>
                </c:pt>
                <c:pt idx="7">
                  <c:v>Aerospace &amp; Defense</c:v>
                </c:pt>
                <c:pt idx="8">
                  <c:v>Diversified Retail</c:v>
                </c:pt>
              </c:strCache>
            </c:strRef>
          </c:cat>
          <c:val>
            <c:numRef>
              <c:f>'WL Dashboard'!$C$54:$C$62</c:f>
              <c:numCache>
                <c:formatCode>#,##0</c:formatCode>
                <c:ptCount val="9"/>
                <c:pt idx="0">
                  <c:v>992332578250</c:v>
                </c:pt>
                <c:pt idx="1">
                  <c:v>4051572491140</c:v>
                </c:pt>
                <c:pt idx="2">
                  <c:v>345519695560</c:v>
                </c:pt>
                <c:pt idx="3">
                  <c:v>266794530392</c:v>
                </c:pt>
                <c:pt idx="4">
                  <c:v>668267938240</c:v>
                </c:pt>
                <c:pt idx="5">
                  <c:v>70757688960</c:v>
                </c:pt>
                <c:pt idx="6">
                  <c:v>387887787030</c:v>
                </c:pt>
                <c:pt idx="7">
                  <c:v>119572713480</c:v>
                </c:pt>
                <c:pt idx="8">
                  <c:v>409099056720</c:v>
                </c:pt>
              </c:numCache>
            </c:numRef>
          </c:val>
          <c:extLst>
            <c:ext xmlns:c16="http://schemas.microsoft.com/office/drawing/2014/chart" uri="{C3380CC4-5D6E-409C-BE32-E72D297353CC}">
              <c16:uniqueId val="{00000000-F817-468A-A630-6FBBF7058EC8}"/>
            </c:ext>
          </c:extLst>
        </c:ser>
        <c:dLbls>
          <c:showLegendKey val="0"/>
          <c:showVal val="0"/>
          <c:showCatName val="0"/>
          <c:showSerName val="0"/>
          <c:showPercent val="0"/>
          <c:showBubbleSize val="0"/>
          <c:showLeaderLines val="1"/>
        </c:dLbls>
        <c:firstSliceAng val="0"/>
        <c:holeSize val="75"/>
      </c:doughnutChart>
      <c:spPr>
        <a:solidFill>
          <a:srgbClr val="1B2A4A"/>
        </a:solidFill>
        <a:ln>
          <a:noFill/>
        </a:ln>
        <a:effectLst/>
      </c:spPr>
    </c:plotArea>
    <c:legend>
      <c:legendPos val="b"/>
      <c:overlay val="0"/>
      <c:spPr>
        <a:noFill/>
        <a:ln>
          <a:noFill/>
        </a:ln>
        <a:effectLst/>
      </c:spPr>
      <c:txPr>
        <a:bodyPr rot="0" spcFirstLastPara="1" vertOverflow="ellipsis" vert="horz" wrap="square" anchor="ctr" anchorCtr="1"/>
        <a:lstStyle/>
        <a:p>
          <a:pPr>
            <a:defRPr sz="800" b="0" i="0" u="none" strike="noStrike" kern="1200" baseline="0">
              <a:solidFill>
                <a:srgbClr val="94A3B8"/>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B2A4A"/>
    </a:solidFill>
    <a:ln w="25400" cap="flat" cmpd="sng" algn="ctr">
      <a:noFill/>
      <a:round/>
    </a:ln>
    <a:effectLst/>
  </c:spPr>
  <c:txPr>
    <a:bodyPr/>
    <a:lstStyle/>
    <a:p>
      <a:pPr>
        <a:defRPr/>
      </a:pPr>
      <a:endParaRPr lang="en-KE"/>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300" b="1" i="0" u="none" strike="noStrike" kern="1200" spc="0" baseline="0">
                <a:solidFill>
                  <a:srgbClr val="E2E8F0"/>
                </a:solidFill>
                <a:latin typeface="+mn-lt"/>
                <a:ea typeface="+mn-ea"/>
                <a:cs typeface="+mn-cs"/>
              </a:defRPr>
            </a:pPr>
            <a:r>
              <a:rPr lang="en-US"/>
              <a:t>52-Week Range Position (% from Low to High)</a:t>
            </a:r>
          </a:p>
        </c:rich>
      </c:tx>
      <c:overlay val="0"/>
      <c:spPr>
        <a:noFill/>
        <a:ln>
          <a:noFill/>
        </a:ln>
        <a:effectLst/>
      </c:spPr>
      <c:txPr>
        <a:bodyPr rot="0" spcFirstLastPara="1" vertOverflow="ellipsis" vert="horz" wrap="square" anchor="ctr" anchorCtr="1"/>
        <a:lstStyle/>
        <a:p>
          <a:pPr>
            <a:defRPr sz="1300" b="1" i="0" u="none" strike="noStrike" kern="1200" spc="0" baseline="0">
              <a:solidFill>
                <a:srgbClr val="E2E8F0"/>
              </a:solidFill>
              <a:latin typeface="+mn-lt"/>
              <a:ea typeface="+mn-ea"/>
              <a:cs typeface="+mn-cs"/>
            </a:defRPr>
          </a:pPr>
          <a:endParaRPr lang="en-KE"/>
        </a:p>
      </c:txPr>
    </c:title>
    <c:autoTitleDeleted val="0"/>
    <c:plotArea>
      <c:layout/>
      <c:barChart>
        <c:barDir val="bar"/>
        <c:grouping val="clustered"/>
        <c:varyColors val="0"/>
        <c:ser>
          <c:idx val="0"/>
          <c:order val="0"/>
          <c:tx>
            <c:strRef>
              <c:f>'WL Dashboard'!$N$8</c:f>
              <c:strCache>
                <c:ptCount val="1"/>
                <c:pt idx="0">
                  <c:v>52W Range %</c:v>
                </c:pt>
              </c:strCache>
            </c:strRef>
          </c:tx>
          <c:spPr>
            <a:solidFill>
              <a:srgbClr val="0D7377"/>
            </a:solidFill>
            <a:ln>
              <a:noFill/>
            </a:ln>
            <a:effectLst/>
          </c:spPr>
          <c:invertIfNegative val="0"/>
          <c:dPt>
            <c:idx val="0"/>
            <c:invertIfNegative val="0"/>
            <c:bubble3D val="0"/>
            <c:spPr>
              <a:solidFill>
                <a:srgbClr val="FBBF24"/>
              </a:solidFill>
              <a:ln>
                <a:noFill/>
              </a:ln>
              <a:effectLst/>
            </c:spPr>
            <c:extLst>
              <c:ext xmlns:c16="http://schemas.microsoft.com/office/drawing/2014/chart" uri="{C3380CC4-5D6E-409C-BE32-E72D297353CC}">
                <c16:uniqueId val="{00000001-FCAF-43EA-B050-8DA9D8EEA877}"/>
              </c:ext>
            </c:extLst>
          </c:dPt>
          <c:dPt>
            <c:idx val="1"/>
            <c:invertIfNegative val="0"/>
            <c:bubble3D val="0"/>
            <c:spPr>
              <a:solidFill>
                <a:srgbClr val="EF4444"/>
              </a:solidFill>
              <a:ln>
                <a:noFill/>
              </a:ln>
              <a:effectLst/>
            </c:spPr>
            <c:extLst>
              <c:ext xmlns:c16="http://schemas.microsoft.com/office/drawing/2014/chart" uri="{C3380CC4-5D6E-409C-BE32-E72D297353CC}">
                <c16:uniqueId val="{00000002-FCAF-43EA-B050-8DA9D8EEA877}"/>
              </c:ext>
            </c:extLst>
          </c:dPt>
          <c:dPt>
            <c:idx val="2"/>
            <c:invertIfNegative val="0"/>
            <c:bubble3D val="0"/>
            <c:spPr>
              <a:solidFill>
                <a:srgbClr val="EF4444"/>
              </a:solidFill>
              <a:ln>
                <a:noFill/>
              </a:ln>
              <a:effectLst/>
            </c:spPr>
            <c:extLst>
              <c:ext xmlns:c16="http://schemas.microsoft.com/office/drawing/2014/chart" uri="{C3380CC4-5D6E-409C-BE32-E72D297353CC}">
                <c16:uniqueId val="{00000003-FCAF-43EA-B050-8DA9D8EEA877}"/>
              </c:ext>
            </c:extLst>
          </c:dPt>
          <c:dPt>
            <c:idx val="3"/>
            <c:invertIfNegative val="0"/>
            <c:bubble3D val="0"/>
            <c:spPr>
              <a:solidFill>
                <a:srgbClr val="4ADE80"/>
              </a:solidFill>
              <a:ln>
                <a:noFill/>
              </a:ln>
              <a:effectLst/>
            </c:spPr>
            <c:extLst>
              <c:ext xmlns:c16="http://schemas.microsoft.com/office/drawing/2014/chart" uri="{C3380CC4-5D6E-409C-BE32-E72D297353CC}">
                <c16:uniqueId val="{00000004-FCAF-43EA-B050-8DA9D8EEA877}"/>
              </c:ext>
            </c:extLst>
          </c:dPt>
          <c:dPt>
            <c:idx val="4"/>
            <c:invertIfNegative val="0"/>
            <c:bubble3D val="0"/>
            <c:spPr>
              <a:solidFill>
                <a:srgbClr val="4ADE80"/>
              </a:solidFill>
              <a:ln>
                <a:noFill/>
              </a:ln>
              <a:effectLst/>
            </c:spPr>
            <c:extLst>
              <c:ext xmlns:c16="http://schemas.microsoft.com/office/drawing/2014/chart" uri="{C3380CC4-5D6E-409C-BE32-E72D297353CC}">
                <c16:uniqueId val="{00000005-FCAF-43EA-B050-8DA9D8EEA877}"/>
              </c:ext>
            </c:extLst>
          </c:dPt>
          <c:dPt>
            <c:idx val="5"/>
            <c:invertIfNegative val="0"/>
            <c:bubble3D val="0"/>
            <c:spPr>
              <a:solidFill>
                <a:srgbClr val="4ADE80"/>
              </a:solidFill>
              <a:ln>
                <a:noFill/>
              </a:ln>
              <a:effectLst/>
            </c:spPr>
            <c:extLst>
              <c:ext xmlns:c16="http://schemas.microsoft.com/office/drawing/2014/chart" uri="{C3380CC4-5D6E-409C-BE32-E72D297353CC}">
                <c16:uniqueId val="{00000006-FCAF-43EA-B050-8DA9D8EEA877}"/>
              </c:ext>
            </c:extLst>
          </c:dPt>
          <c:dPt>
            <c:idx val="6"/>
            <c:invertIfNegative val="0"/>
            <c:bubble3D val="0"/>
            <c:spPr>
              <a:solidFill>
                <a:srgbClr val="4ADE80"/>
              </a:solidFill>
              <a:ln>
                <a:noFill/>
              </a:ln>
              <a:effectLst/>
            </c:spPr>
            <c:extLst>
              <c:ext xmlns:c16="http://schemas.microsoft.com/office/drawing/2014/chart" uri="{C3380CC4-5D6E-409C-BE32-E72D297353CC}">
                <c16:uniqueId val="{00000007-FCAF-43EA-B050-8DA9D8EEA877}"/>
              </c:ext>
            </c:extLst>
          </c:dPt>
          <c:dPt>
            <c:idx val="7"/>
            <c:invertIfNegative val="0"/>
            <c:bubble3D val="0"/>
            <c:spPr>
              <a:solidFill>
                <a:srgbClr val="FBBF24"/>
              </a:solidFill>
              <a:ln>
                <a:noFill/>
              </a:ln>
              <a:effectLst/>
            </c:spPr>
            <c:extLst>
              <c:ext xmlns:c16="http://schemas.microsoft.com/office/drawing/2014/chart" uri="{C3380CC4-5D6E-409C-BE32-E72D297353CC}">
                <c16:uniqueId val="{00000008-FCAF-43EA-B050-8DA9D8EEA877}"/>
              </c:ext>
            </c:extLst>
          </c:dPt>
          <c:dPt>
            <c:idx val="8"/>
            <c:invertIfNegative val="0"/>
            <c:bubble3D val="0"/>
            <c:spPr>
              <a:solidFill>
                <a:srgbClr val="FBBF24"/>
              </a:solidFill>
              <a:ln>
                <a:noFill/>
              </a:ln>
              <a:effectLst/>
            </c:spPr>
            <c:extLst>
              <c:ext xmlns:c16="http://schemas.microsoft.com/office/drawing/2014/chart" uri="{C3380CC4-5D6E-409C-BE32-E72D297353CC}">
                <c16:uniqueId val="{00000009-FCAF-43EA-B050-8DA9D8EEA877}"/>
              </c:ext>
            </c:extLst>
          </c:dPt>
          <c:dPt>
            <c:idx val="9"/>
            <c:invertIfNegative val="0"/>
            <c:bubble3D val="0"/>
            <c:spPr>
              <a:solidFill>
                <a:srgbClr val="FBBF24"/>
              </a:solidFill>
              <a:ln>
                <a:noFill/>
              </a:ln>
              <a:effectLst/>
            </c:spPr>
            <c:extLst>
              <c:ext xmlns:c16="http://schemas.microsoft.com/office/drawing/2014/chart" uri="{C3380CC4-5D6E-409C-BE32-E72D297353CC}">
                <c16:uniqueId val="{0000000A-FCAF-43EA-B050-8DA9D8EEA877}"/>
              </c:ext>
            </c:extLst>
          </c:dPt>
          <c:cat>
            <c:strRef>
              <c:f>'WL Dashboard'!$M$9:$M$18</c:f>
              <c:strCache>
                <c:ptCount val="10"/>
                <c:pt idx="0">
                  <c:v>AMD</c:v>
                </c:pt>
                <c:pt idx="1">
                  <c:v>MSFT</c:v>
                </c:pt>
                <c:pt idx="2">
                  <c:v>BABA</c:v>
                </c:pt>
                <c:pt idx="3">
                  <c:v>DELL</c:v>
                </c:pt>
                <c:pt idx="4">
                  <c:v>GS</c:v>
                </c:pt>
                <c:pt idx="5">
                  <c:v>XOM</c:v>
                </c:pt>
                <c:pt idx="6">
                  <c:v>GM</c:v>
                </c:pt>
                <c:pt idx="7">
                  <c:v>BAC</c:v>
                </c:pt>
                <c:pt idx="8">
                  <c:v>LMT</c:v>
                </c:pt>
                <c:pt idx="9">
                  <c:v>COST</c:v>
                </c:pt>
              </c:strCache>
            </c:strRef>
          </c:cat>
          <c:val>
            <c:numRef>
              <c:f>'WL Dashboard'!$N$9:$N$18</c:f>
              <c:numCache>
                <c:formatCode>General</c:formatCode>
                <c:ptCount val="10"/>
                <c:pt idx="0">
                  <c:v>0.94560843913523895</c:v>
                </c:pt>
                <c:pt idx="1">
                  <c:v>0.77535204380989642</c:v>
                </c:pt>
                <c:pt idx="2">
                  <c:v>0.17332141438220108</c:v>
                </c:pt>
                <c:pt idx="3">
                  <c:v>0.89849368418883557</c:v>
                </c:pt>
                <c:pt idx="4">
                  <c:v>0.44263007874776561</c:v>
                </c:pt>
                <c:pt idx="5">
                  <c:v>0.78621734191594117</c:v>
                </c:pt>
                <c:pt idx="6">
                  <c:v>0.72574626865671665</c:v>
                </c:pt>
                <c:pt idx="7">
                  <c:v>0.51818419675562533</c:v>
                </c:pt>
                <c:pt idx="8">
                  <c:v>0.32555446516192327</c:v>
                </c:pt>
                <c:pt idx="9">
                  <c:v>0.30892489304389203</c:v>
                </c:pt>
              </c:numCache>
            </c:numRef>
          </c:val>
          <c:extLst>
            <c:ext xmlns:c16="http://schemas.microsoft.com/office/drawing/2014/chart" uri="{C3380CC4-5D6E-409C-BE32-E72D297353CC}">
              <c16:uniqueId val="{00000000-FCAF-43EA-B050-8DA9D8EEA877}"/>
            </c:ext>
          </c:extLst>
        </c:ser>
        <c:dLbls>
          <c:showLegendKey val="0"/>
          <c:showVal val="0"/>
          <c:showCatName val="0"/>
          <c:showSerName val="0"/>
          <c:showPercent val="0"/>
          <c:showBubbleSize val="0"/>
        </c:dLbls>
        <c:gapWidth val="182"/>
        <c:axId val="241754879"/>
        <c:axId val="241744799"/>
      </c:barChart>
      <c:catAx>
        <c:axId val="241754879"/>
        <c:scaling>
          <c:orientation val="minMax"/>
        </c:scaling>
        <c:delete val="0"/>
        <c:axPos val="l"/>
        <c:numFmt formatCode="General" sourceLinked="1"/>
        <c:majorTickMark val="none"/>
        <c:minorTickMark val="none"/>
        <c:tickLblPos val="nextTo"/>
        <c:spPr>
          <a:noFill/>
          <a:ln w="9525" cap="flat" cmpd="sng" algn="ctr">
            <a:solidFill>
              <a:srgbClr val="334155"/>
            </a:solidFill>
            <a:prstDash val="solid"/>
            <a:round/>
          </a:ln>
          <a:effectLst/>
        </c:spPr>
        <c:txPr>
          <a:bodyPr rot="-60000000" spcFirstLastPara="1" vertOverflow="ellipsis" vert="horz" wrap="square" anchor="ctr" anchorCtr="1"/>
          <a:lstStyle/>
          <a:p>
            <a:pPr>
              <a:defRPr sz="1000" b="1" i="0" u="none" strike="noStrike" kern="1200" baseline="0">
                <a:solidFill>
                  <a:srgbClr val="E2E8F0"/>
                </a:solidFill>
                <a:latin typeface="+mn-lt"/>
                <a:ea typeface="+mn-ea"/>
                <a:cs typeface="+mn-cs"/>
              </a:defRPr>
            </a:pPr>
            <a:endParaRPr lang="en-KE"/>
          </a:p>
        </c:txPr>
        <c:crossAx val="241744799"/>
        <c:crosses val="autoZero"/>
        <c:auto val="1"/>
        <c:lblAlgn val="ctr"/>
        <c:lblOffset val="100"/>
        <c:noMultiLvlLbl val="0"/>
      </c:catAx>
      <c:valAx>
        <c:axId val="241744799"/>
        <c:scaling>
          <c:orientation val="minMax"/>
          <c:max val="1"/>
          <c:min val="0"/>
        </c:scaling>
        <c:delete val="0"/>
        <c:axPos val="b"/>
        <c:majorGridlines>
          <c:spPr>
            <a:ln w="9525" cap="flat" cmpd="sng" algn="ctr">
              <a:solidFill>
                <a:srgbClr val="2D3B55"/>
              </a:solidFill>
              <a:prstDash val="solid"/>
              <a:round/>
            </a:ln>
            <a:effectLst/>
          </c:spPr>
        </c:majorGridlines>
        <c:numFmt formatCode="0%" sourceLinked="0"/>
        <c:majorTickMark val="none"/>
        <c:minorTickMark val="none"/>
        <c:tickLblPos val="nextTo"/>
        <c:spPr>
          <a:noFill/>
          <a:ln>
            <a:solidFill>
              <a:srgbClr val="334155"/>
            </a:solidFill>
            <a:prstDash val="solid"/>
          </a:ln>
          <a:effectLst/>
        </c:spPr>
        <c:txPr>
          <a:bodyPr rot="-60000000" spcFirstLastPara="1" vertOverflow="ellipsis" vert="horz" wrap="square" anchor="ctr" anchorCtr="1"/>
          <a:lstStyle/>
          <a:p>
            <a:pPr>
              <a:defRPr sz="900" b="0" i="0" u="none" strike="noStrike" kern="1200" baseline="0">
                <a:solidFill>
                  <a:srgbClr val="94A3B8"/>
                </a:solidFill>
                <a:latin typeface="+mn-lt"/>
                <a:ea typeface="+mn-ea"/>
                <a:cs typeface="+mn-cs"/>
              </a:defRPr>
            </a:pPr>
            <a:endParaRPr lang="en-KE"/>
          </a:p>
        </c:txPr>
        <c:crossAx val="241754879"/>
        <c:crosses val="autoZero"/>
        <c:crossBetween val="between"/>
      </c:valAx>
      <c:spPr>
        <a:solidFill>
          <a:srgbClr val="1B2A4A"/>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B2A4A"/>
    </a:solidFill>
    <a:ln w="25400" cap="flat" cmpd="sng" algn="ctr">
      <a:noFill/>
      <a:round/>
    </a:ln>
    <a:effectLst/>
  </c:spPr>
  <c:txPr>
    <a:bodyPr/>
    <a:lstStyle/>
    <a:p>
      <a:pPr>
        <a:defRPr/>
      </a:pPr>
      <a:endParaRPr lang="en-KE"/>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AMD!$B$1</c:f>
          <c:strCache>
            <c:ptCount val="1"/>
            <c:pt idx="0">
              <c:v>ADVANCED MICRO DEVICES, INC. (XNAS:AMD)</c:v>
            </c:pt>
          </c:strCache>
        </c:strRef>
      </c:tx>
      <c:layout>
        <c:manualLayout>
          <c:xMode val="edge"/>
          <c:yMode val="edge"/>
          <c:x val="0.23316712421039931"/>
          <c:y val="1.537475666723699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lotArea>
      <c:layout/>
      <c:barChart>
        <c:barDir val="col"/>
        <c:grouping val="clustered"/>
        <c:varyColors val="0"/>
        <c:ser>
          <c:idx val="0"/>
          <c:order val="0"/>
          <c:tx>
            <c:strRef>
              <c:f>AMD!$B$6</c:f>
              <c:strCache>
                <c:ptCount val="1"/>
                <c:pt idx="0">
                  <c:v>Volume</c:v>
                </c:pt>
              </c:strCache>
            </c:strRef>
          </c:tx>
          <c:spPr>
            <a:solidFill>
              <a:schemeClr val="accent1"/>
            </a:solidFill>
            <a:ln w="38100">
              <a:noFill/>
            </a:ln>
            <a:effectLst/>
          </c:spPr>
          <c:invertIfNegative val="0"/>
          <c:cat>
            <c:numRef>
              <c:f>AMD!$A$7:$A$27</c:f>
              <c:numCache>
                <c:formatCode>m/d/yyyy</c:formatCode>
                <c:ptCount val="21"/>
                <c:pt idx="0">
                  <c:v>46265</c:v>
                </c:pt>
                <c:pt idx="1">
                  <c:v>46266</c:v>
                </c:pt>
                <c:pt idx="2">
                  <c:v>46267</c:v>
                </c:pt>
                <c:pt idx="3">
                  <c:v>46268</c:v>
                </c:pt>
                <c:pt idx="4">
                  <c:v>46269</c:v>
                </c:pt>
                <c:pt idx="5">
                  <c:v>46273</c:v>
                </c:pt>
                <c:pt idx="6">
                  <c:v>46274</c:v>
                </c:pt>
                <c:pt idx="7">
                  <c:v>46275</c:v>
                </c:pt>
                <c:pt idx="8">
                  <c:v>46276</c:v>
                </c:pt>
                <c:pt idx="9">
                  <c:v>46279</c:v>
                </c:pt>
                <c:pt idx="10">
                  <c:v>46280</c:v>
                </c:pt>
                <c:pt idx="11">
                  <c:v>46281</c:v>
                </c:pt>
                <c:pt idx="12">
                  <c:v>46282</c:v>
                </c:pt>
                <c:pt idx="13">
                  <c:v>46283</c:v>
                </c:pt>
                <c:pt idx="14">
                  <c:v>46286</c:v>
                </c:pt>
                <c:pt idx="15">
                  <c:v>46287</c:v>
                </c:pt>
                <c:pt idx="16">
                  <c:v>46288</c:v>
                </c:pt>
                <c:pt idx="17">
                  <c:v>46289</c:v>
                </c:pt>
                <c:pt idx="18">
                  <c:v>46290</c:v>
                </c:pt>
                <c:pt idx="19">
                  <c:v>46293</c:v>
                </c:pt>
              </c:numCache>
            </c:numRef>
          </c:cat>
          <c:val>
            <c:numRef>
              <c:f>AMD!$B$7:$B$27</c:f>
              <c:numCache>
                <c:formatCode>#,##0</c:formatCode>
                <c:ptCount val="21"/>
                <c:pt idx="0">
                  <c:v>12462999</c:v>
                </c:pt>
                <c:pt idx="1">
                  <c:v>16212787</c:v>
                </c:pt>
                <c:pt idx="2">
                  <c:v>11938812</c:v>
                </c:pt>
                <c:pt idx="3">
                  <c:v>14868085</c:v>
                </c:pt>
                <c:pt idx="4">
                  <c:v>19678742</c:v>
                </c:pt>
                <c:pt idx="5">
                  <c:v>28166529</c:v>
                </c:pt>
                <c:pt idx="6">
                  <c:v>22152382</c:v>
                </c:pt>
                <c:pt idx="7">
                  <c:v>15887968</c:v>
                </c:pt>
                <c:pt idx="8">
                  <c:v>18760534</c:v>
                </c:pt>
                <c:pt idx="9">
                  <c:v>24810136</c:v>
                </c:pt>
                <c:pt idx="10">
                  <c:v>16833235</c:v>
                </c:pt>
                <c:pt idx="11">
                  <c:v>22317673</c:v>
                </c:pt>
                <c:pt idx="12">
                  <c:v>28464702</c:v>
                </c:pt>
                <c:pt idx="13">
                  <c:v>31867285</c:v>
                </c:pt>
                <c:pt idx="14">
                  <c:v>44494272</c:v>
                </c:pt>
                <c:pt idx="15">
                  <c:v>28282819</c:v>
                </c:pt>
                <c:pt idx="16">
                  <c:v>16338150</c:v>
                </c:pt>
                <c:pt idx="17">
                  <c:v>25318929</c:v>
                </c:pt>
                <c:pt idx="18">
                  <c:v>17632078</c:v>
                </c:pt>
                <c:pt idx="19">
                  <c:v>22124072</c:v>
                </c:pt>
              </c:numCache>
            </c:numRef>
          </c:val>
          <c:extLst>
            <c:ext xmlns:c16="http://schemas.microsoft.com/office/drawing/2014/chart" uri="{C3380CC4-5D6E-409C-BE32-E72D297353CC}">
              <c16:uniqueId val="{00000000-4DEC-405D-BC69-BC35BF18994C}"/>
            </c:ext>
          </c:extLst>
        </c:ser>
        <c:dLbls>
          <c:showLegendKey val="0"/>
          <c:showVal val="0"/>
          <c:showCatName val="0"/>
          <c:showSerName val="0"/>
          <c:showPercent val="0"/>
          <c:showBubbleSize val="0"/>
        </c:dLbls>
        <c:gapWidth val="150"/>
        <c:axId val="1641718448"/>
        <c:axId val="1641718928"/>
      </c:barChart>
      <c:stockChart>
        <c:ser>
          <c:idx val="1"/>
          <c:order val="1"/>
          <c:tx>
            <c:strRef>
              <c:f>AMD!$C$6</c:f>
              <c:strCache>
                <c:ptCount val="1"/>
                <c:pt idx="0">
                  <c:v>Open</c:v>
                </c:pt>
              </c:strCache>
            </c:strRef>
          </c:tx>
          <c:spPr>
            <a:ln w="38100" cap="rnd">
              <a:noFill/>
              <a:round/>
            </a:ln>
            <a:effectLst/>
          </c:spPr>
          <c:marker>
            <c:symbol val="none"/>
          </c:marker>
          <c:cat>
            <c:numRef>
              <c:f>AMD!$A$7:$A$27</c:f>
              <c:numCache>
                <c:formatCode>m/d/yyyy</c:formatCode>
                <c:ptCount val="21"/>
                <c:pt idx="0">
                  <c:v>46265</c:v>
                </c:pt>
                <c:pt idx="1">
                  <c:v>46266</c:v>
                </c:pt>
                <c:pt idx="2">
                  <c:v>46267</c:v>
                </c:pt>
                <c:pt idx="3">
                  <c:v>46268</c:v>
                </c:pt>
                <c:pt idx="4">
                  <c:v>46269</c:v>
                </c:pt>
                <c:pt idx="5">
                  <c:v>46273</c:v>
                </c:pt>
                <c:pt idx="6">
                  <c:v>46274</c:v>
                </c:pt>
                <c:pt idx="7">
                  <c:v>46275</c:v>
                </c:pt>
                <c:pt idx="8">
                  <c:v>46276</c:v>
                </c:pt>
                <c:pt idx="9">
                  <c:v>46279</c:v>
                </c:pt>
                <c:pt idx="10">
                  <c:v>46280</c:v>
                </c:pt>
                <c:pt idx="11">
                  <c:v>46281</c:v>
                </c:pt>
                <c:pt idx="12">
                  <c:v>46282</c:v>
                </c:pt>
                <c:pt idx="13">
                  <c:v>46283</c:v>
                </c:pt>
                <c:pt idx="14">
                  <c:v>46286</c:v>
                </c:pt>
                <c:pt idx="15">
                  <c:v>46287</c:v>
                </c:pt>
                <c:pt idx="16">
                  <c:v>46288</c:v>
                </c:pt>
                <c:pt idx="17">
                  <c:v>46289</c:v>
                </c:pt>
                <c:pt idx="18">
                  <c:v>46290</c:v>
                </c:pt>
                <c:pt idx="19">
                  <c:v>46293</c:v>
                </c:pt>
              </c:numCache>
            </c:numRef>
          </c:cat>
          <c:val>
            <c:numRef>
              <c:f>AMD!$C$7:$C$27</c:f>
              <c:numCache>
                <c:formatCode>_([$$-409]* #,##0.00_);_([$$-409]* \(#,##0.00\);_([$$-409]* "-"??_);_(@_)</c:formatCode>
                <c:ptCount val="21"/>
                <c:pt idx="0">
                  <c:v>466.22</c:v>
                </c:pt>
                <c:pt idx="1">
                  <c:v>459.91</c:v>
                </c:pt>
                <c:pt idx="2">
                  <c:v>459.51</c:v>
                </c:pt>
                <c:pt idx="3">
                  <c:v>453.15</c:v>
                </c:pt>
                <c:pt idx="4">
                  <c:v>462</c:v>
                </c:pt>
                <c:pt idx="5">
                  <c:v>488.92</c:v>
                </c:pt>
                <c:pt idx="6">
                  <c:v>507.5</c:v>
                </c:pt>
                <c:pt idx="7">
                  <c:v>509.07</c:v>
                </c:pt>
                <c:pt idx="8">
                  <c:v>510.71</c:v>
                </c:pt>
                <c:pt idx="9">
                  <c:v>486.28</c:v>
                </c:pt>
                <c:pt idx="10">
                  <c:v>501.7</c:v>
                </c:pt>
                <c:pt idx="11">
                  <c:v>517.39</c:v>
                </c:pt>
                <c:pt idx="12">
                  <c:v>533.6</c:v>
                </c:pt>
                <c:pt idx="13">
                  <c:v>547.37</c:v>
                </c:pt>
                <c:pt idx="14">
                  <c:v>583.88</c:v>
                </c:pt>
                <c:pt idx="15">
                  <c:v>606.56500000000005</c:v>
                </c:pt>
                <c:pt idx="16">
                  <c:v>621.5</c:v>
                </c:pt>
                <c:pt idx="17">
                  <c:v>600.27</c:v>
                </c:pt>
                <c:pt idx="18">
                  <c:v>634.53499999999997</c:v>
                </c:pt>
                <c:pt idx="19">
                  <c:v>624.89499999999998</c:v>
                </c:pt>
              </c:numCache>
            </c:numRef>
          </c:val>
          <c:smooth val="0"/>
          <c:extLst>
            <c:ext xmlns:c16="http://schemas.microsoft.com/office/drawing/2014/chart" uri="{C3380CC4-5D6E-409C-BE32-E72D297353CC}">
              <c16:uniqueId val="{00000001-4DEC-405D-BC69-BC35BF18994C}"/>
            </c:ext>
          </c:extLst>
        </c:ser>
        <c:ser>
          <c:idx val="2"/>
          <c:order val="2"/>
          <c:tx>
            <c:strRef>
              <c:f>AMD!$D$6</c:f>
              <c:strCache>
                <c:ptCount val="1"/>
                <c:pt idx="0">
                  <c:v>High</c:v>
                </c:pt>
              </c:strCache>
            </c:strRef>
          </c:tx>
          <c:spPr>
            <a:ln w="38100" cap="rnd">
              <a:noFill/>
              <a:round/>
            </a:ln>
            <a:effectLst/>
          </c:spPr>
          <c:marker>
            <c:symbol val="none"/>
          </c:marker>
          <c:cat>
            <c:numRef>
              <c:f>AMD!$A$7:$A$27</c:f>
              <c:numCache>
                <c:formatCode>m/d/yyyy</c:formatCode>
                <c:ptCount val="21"/>
                <c:pt idx="0">
                  <c:v>46265</c:v>
                </c:pt>
                <c:pt idx="1">
                  <c:v>46266</c:v>
                </c:pt>
                <c:pt idx="2">
                  <c:v>46267</c:v>
                </c:pt>
                <c:pt idx="3">
                  <c:v>46268</c:v>
                </c:pt>
                <c:pt idx="4">
                  <c:v>46269</c:v>
                </c:pt>
                <c:pt idx="5">
                  <c:v>46273</c:v>
                </c:pt>
                <c:pt idx="6">
                  <c:v>46274</c:v>
                </c:pt>
                <c:pt idx="7">
                  <c:v>46275</c:v>
                </c:pt>
                <c:pt idx="8">
                  <c:v>46276</c:v>
                </c:pt>
                <c:pt idx="9">
                  <c:v>46279</c:v>
                </c:pt>
                <c:pt idx="10">
                  <c:v>46280</c:v>
                </c:pt>
                <c:pt idx="11">
                  <c:v>46281</c:v>
                </c:pt>
                <c:pt idx="12">
                  <c:v>46282</c:v>
                </c:pt>
                <c:pt idx="13">
                  <c:v>46283</c:v>
                </c:pt>
                <c:pt idx="14">
                  <c:v>46286</c:v>
                </c:pt>
                <c:pt idx="15">
                  <c:v>46287</c:v>
                </c:pt>
                <c:pt idx="16">
                  <c:v>46288</c:v>
                </c:pt>
                <c:pt idx="17">
                  <c:v>46289</c:v>
                </c:pt>
                <c:pt idx="18">
                  <c:v>46290</c:v>
                </c:pt>
                <c:pt idx="19">
                  <c:v>46293</c:v>
                </c:pt>
              </c:numCache>
            </c:numRef>
          </c:cat>
          <c:val>
            <c:numRef>
              <c:f>AMD!$D$7:$D$27</c:f>
              <c:numCache>
                <c:formatCode>_([$$-409]* #,##0.00_);_([$$-409]* \(#,##0.00\);_([$$-409]* "-"??_);_(@_)</c:formatCode>
                <c:ptCount val="21"/>
                <c:pt idx="0">
                  <c:v>475.80990000000003</c:v>
                </c:pt>
                <c:pt idx="1">
                  <c:v>461.5</c:v>
                </c:pt>
                <c:pt idx="2">
                  <c:v>462.21</c:v>
                </c:pt>
                <c:pt idx="3">
                  <c:v>459.77</c:v>
                </c:pt>
                <c:pt idx="4">
                  <c:v>478.83</c:v>
                </c:pt>
                <c:pt idx="5">
                  <c:v>512.3569</c:v>
                </c:pt>
                <c:pt idx="6">
                  <c:v>526.79</c:v>
                </c:pt>
                <c:pt idx="7">
                  <c:v>516.33219999999994</c:v>
                </c:pt>
                <c:pt idx="8">
                  <c:v>521.05999999999995</c:v>
                </c:pt>
                <c:pt idx="9">
                  <c:v>498.39</c:v>
                </c:pt>
                <c:pt idx="10">
                  <c:v>513.66499999999996</c:v>
                </c:pt>
                <c:pt idx="11">
                  <c:v>527.25</c:v>
                </c:pt>
                <c:pt idx="12">
                  <c:v>551.41999999999996</c:v>
                </c:pt>
                <c:pt idx="13">
                  <c:v>559.91</c:v>
                </c:pt>
                <c:pt idx="14">
                  <c:v>616.69000000000005</c:v>
                </c:pt>
                <c:pt idx="15">
                  <c:v>624.52</c:v>
                </c:pt>
                <c:pt idx="16">
                  <c:v>624.68989999999997</c:v>
                </c:pt>
                <c:pt idx="17">
                  <c:v>630.79999999999995</c:v>
                </c:pt>
                <c:pt idx="18">
                  <c:v>639</c:v>
                </c:pt>
                <c:pt idx="19">
                  <c:v>629.75</c:v>
                </c:pt>
              </c:numCache>
            </c:numRef>
          </c:val>
          <c:smooth val="0"/>
          <c:extLst>
            <c:ext xmlns:c16="http://schemas.microsoft.com/office/drawing/2014/chart" uri="{C3380CC4-5D6E-409C-BE32-E72D297353CC}">
              <c16:uniqueId val="{00000002-4DEC-405D-BC69-BC35BF18994C}"/>
            </c:ext>
          </c:extLst>
        </c:ser>
        <c:ser>
          <c:idx val="3"/>
          <c:order val="3"/>
          <c:tx>
            <c:strRef>
              <c:f>AMD!$E$6</c:f>
              <c:strCache>
                <c:ptCount val="1"/>
                <c:pt idx="0">
                  <c:v>Low</c:v>
                </c:pt>
              </c:strCache>
            </c:strRef>
          </c:tx>
          <c:spPr>
            <a:ln w="38100" cap="rnd">
              <a:noFill/>
              <a:round/>
            </a:ln>
            <a:effectLst/>
          </c:spPr>
          <c:marker>
            <c:symbol val="none"/>
          </c:marker>
          <c:cat>
            <c:numRef>
              <c:f>AMD!$A$7:$A$27</c:f>
              <c:numCache>
                <c:formatCode>m/d/yyyy</c:formatCode>
                <c:ptCount val="21"/>
                <c:pt idx="0">
                  <c:v>46265</c:v>
                </c:pt>
                <c:pt idx="1">
                  <c:v>46266</c:v>
                </c:pt>
                <c:pt idx="2">
                  <c:v>46267</c:v>
                </c:pt>
                <c:pt idx="3">
                  <c:v>46268</c:v>
                </c:pt>
                <c:pt idx="4">
                  <c:v>46269</c:v>
                </c:pt>
                <c:pt idx="5">
                  <c:v>46273</c:v>
                </c:pt>
                <c:pt idx="6">
                  <c:v>46274</c:v>
                </c:pt>
                <c:pt idx="7">
                  <c:v>46275</c:v>
                </c:pt>
                <c:pt idx="8">
                  <c:v>46276</c:v>
                </c:pt>
                <c:pt idx="9">
                  <c:v>46279</c:v>
                </c:pt>
                <c:pt idx="10">
                  <c:v>46280</c:v>
                </c:pt>
                <c:pt idx="11">
                  <c:v>46281</c:v>
                </c:pt>
                <c:pt idx="12">
                  <c:v>46282</c:v>
                </c:pt>
                <c:pt idx="13">
                  <c:v>46283</c:v>
                </c:pt>
                <c:pt idx="14">
                  <c:v>46286</c:v>
                </c:pt>
                <c:pt idx="15">
                  <c:v>46287</c:v>
                </c:pt>
                <c:pt idx="16">
                  <c:v>46288</c:v>
                </c:pt>
                <c:pt idx="17">
                  <c:v>46289</c:v>
                </c:pt>
                <c:pt idx="18">
                  <c:v>46290</c:v>
                </c:pt>
                <c:pt idx="19">
                  <c:v>46293</c:v>
                </c:pt>
              </c:numCache>
            </c:numRef>
          </c:cat>
          <c:val>
            <c:numRef>
              <c:f>AMD!$E$7:$E$27</c:f>
              <c:numCache>
                <c:formatCode>_([$$-409]* #,##0.00_);_([$$-409]* \(#,##0.00\);_([$$-409]* "-"??_);_(@_)</c:formatCode>
                <c:ptCount val="21"/>
                <c:pt idx="0">
                  <c:v>463.68</c:v>
                </c:pt>
                <c:pt idx="1">
                  <c:v>452.3</c:v>
                </c:pt>
                <c:pt idx="2">
                  <c:v>452.36</c:v>
                </c:pt>
                <c:pt idx="3">
                  <c:v>440.5</c:v>
                </c:pt>
                <c:pt idx="4">
                  <c:v>458</c:v>
                </c:pt>
                <c:pt idx="5">
                  <c:v>486.57060000000001</c:v>
                </c:pt>
                <c:pt idx="6">
                  <c:v>506.36</c:v>
                </c:pt>
                <c:pt idx="7">
                  <c:v>502.81</c:v>
                </c:pt>
                <c:pt idx="8">
                  <c:v>501.35</c:v>
                </c:pt>
                <c:pt idx="9">
                  <c:v>480.33</c:v>
                </c:pt>
                <c:pt idx="10">
                  <c:v>497.51100000000002</c:v>
                </c:pt>
                <c:pt idx="11">
                  <c:v>506.05</c:v>
                </c:pt>
                <c:pt idx="12">
                  <c:v>527.6</c:v>
                </c:pt>
                <c:pt idx="13">
                  <c:v>541.53</c:v>
                </c:pt>
                <c:pt idx="14">
                  <c:v>582.27</c:v>
                </c:pt>
                <c:pt idx="15">
                  <c:v>606.3125</c:v>
                </c:pt>
                <c:pt idx="16">
                  <c:v>608.08000000000004</c:v>
                </c:pt>
                <c:pt idx="17">
                  <c:v>599.24</c:v>
                </c:pt>
                <c:pt idx="18">
                  <c:v>625.52</c:v>
                </c:pt>
                <c:pt idx="19">
                  <c:v>596.07000000000005</c:v>
                </c:pt>
              </c:numCache>
            </c:numRef>
          </c:val>
          <c:smooth val="0"/>
          <c:extLst>
            <c:ext xmlns:c16="http://schemas.microsoft.com/office/drawing/2014/chart" uri="{C3380CC4-5D6E-409C-BE32-E72D297353CC}">
              <c16:uniqueId val="{00000003-4DEC-405D-BC69-BC35BF18994C}"/>
            </c:ext>
          </c:extLst>
        </c:ser>
        <c:ser>
          <c:idx val="4"/>
          <c:order val="4"/>
          <c:tx>
            <c:strRef>
              <c:f>AMD!$F$6</c:f>
              <c:strCache>
                <c:ptCount val="1"/>
                <c:pt idx="0">
                  <c:v>Close</c:v>
                </c:pt>
              </c:strCache>
            </c:strRef>
          </c:tx>
          <c:spPr>
            <a:ln w="38100" cap="rnd">
              <a:noFill/>
              <a:round/>
            </a:ln>
            <a:effectLst/>
          </c:spPr>
          <c:marker>
            <c:symbol val="none"/>
          </c:marker>
          <c:cat>
            <c:numRef>
              <c:f>AMD!$A$7:$A$27</c:f>
              <c:numCache>
                <c:formatCode>m/d/yyyy</c:formatCode>
                <c:ptCount val="21"/>
                <c:pt idx="0">
                  <c:v>46265</c:v>
                </c:pt>
                <c:pt idx="1">
                  <c:v>46266</c:v>
                </c:pt>
                <c:pt idx="2">
                  <c:v>46267</c:v>
                </c:pt>
                <c:pt idx="3">
                  <c:v>46268</c:v>
                </c:pt>
                <c:pt idx="4">
                  <c:v>46269</c:v>
                </c:pt>
                <c:pt idx="5">
                  <c:v>46273</c:v>
                </c:pt>
                <c:pt idx="6">
                  <c:v>46274</c:v>
                </c:pt>
                <c:pt idx="7">
                  <c:v>46275</c:v>
                </c:pt>
                <c:pt idx="8">
                  <c:v>46276</c:v>
                </c:pt>
                <c:pt idx="9">
                  <c:v>46279</c:v>
                </c:pt>
                <c:pt idx="10">
                  <c:v>46280</c:v>
                </c:pt>
                <c:pt idx="11">
                  <c:v>46281</c:v>
                </c:pt>
                <c:pt idx="12">
                  <c:v>46282</c:v>
                </c:pt>
                <c:pt idx="13">
                  <c:v>46283</c:v>
                </c:pt>
                <c:pt idx="14">
                  <c:v>46286</c:v>
                </c:pt>
                <c:pt idx="15">
                  <c:v>46287</c:v>
                </c:pt>
                <c:pt idx="16">
                  <c:v>46288</c:v>
                </c:pt>
                <c:pt idx="17">
                  <c:v>46289</c:v>
                </c:pt>
                <c:pt idx="18">
                  <c:v>46290</c:v>
                </c:pt>
                <c:pt idx="19">
                  <c:v>46293</c:v>
                </c:pt>
              </c:numCache>
            </c:numRef>
          </c:cat>
          <c:val>
            <c:numRef>
              <c:f>AMD!$F$7:$F$27</c:f>
              <c:numCache>
                <c:formatCode>_([$$-409]* #,##0.00_);_([$$-409]* \(#,##0.00\);_([$$-409]* "-"??_);_(@_)</c:formatCode>
                <c:ptCount val="21"/>
                <c:pt idx="0">
                  <c:v>470.72</c:v>
                </c:pt>
                <c:pt idx="1">
                  <c:v>459.61</c:v>
                </c:pt>
                <c:pt idx="2">
                  <c:v>457.06</c:v>
                </c:pt>
                <c:pt idx="3">
                  <c:v>456.16</c:v>
                </c:pt>
                <c:pt idx="4">
                  <c:v>477.57</c:v>
                </c:pt>
                <c:pt idx="5">
                  <c:v>505.74</c:v>
                </c:pt>
                <c:pt idx="6">
                  <c:v>521.09500000000003</c:v>
                </c:pt>
                <c:pt idx="7">
                  <c:v>503.6</c:v>
                </c:pt>
                <c:pt idx="8">
                  <c:v>516.13</c:v>
                </c:pt>
                <c:pt idx="9">
                  <c:v>493.41</c:v>
                </c:pt>
                <c:pt idx="10">
                  <c:v>504.2</c:v>
                </c:pt>
                <c:pt idx="11">
                  <c:v>512.5</c:v>
                </c:pt>
                <c:pt idx="12">
                  <c:v>545.09</c:v>
                </c:pt>
                <c:pt idx="13">
                  <c:v>559.82000000000005</c:v>
                </c:pt>
                <c:pt idx="14">
                  <c:v>615.52</c:v>
                </c:pt>
                <c:pt idx="15">
                  <c:v>623.77</c:v>
                </c:pt>
                <c:pt idx="16">
                  <c:v>614.61</c:v>
                </c:pt>
                <c:pt idx="17">
                  <c:v>629.26</c:v>
                </c:pt>
                <c:pt idx="18">
                  <c:v>630.63</c:v>
                </c:pt>
                <c:pt idx="19">
                  <c:v>607.87</c:v>
                </c:pt>
              </c:numCache>
            </c:numRef>
          </c:val>
          <c:smooth val="0"/>
          <c:extLst>
            <c:ext xmlns:c16="http://schemas.microsoft.com/office/drawing/2014/chart" uri="{C3380CC4-5D6E-409C-BE32-E72D297353CC}">
              <c16:uniqueId val="{00000004-4DEC-405D-BC69-BC35BF18994C}"/>
            </c:ext>
          </c:extLst>
        </c:ser>
        <c:dLbls>
          <c:showLegendKey val="0"/>
          <c:showVal val="0"/>
          <c:showCatName val="0"/>
          <c:showSerName val="0"/>
          <c:showPercent val="0"/>
          <c:showBubbleSize val="0"/>
        </c:dLbls>
        <c:hiLowLines>
          <c:spPr>
            <a:ln w="9525" cap="flat" cmpd="sng" algn="ctr">
              <a:solidFill>
                <a:schemeClr val="tx1">
                  <a:lumMod val="75000"/>
                  <a:lumOff val="25000"/>
                </a:schemeClr>
              </a:solidFill>
              <a:round/>
            </a:ln>
            <a:effectLst/>
          </c:spPr>
        </c:hiLowLines>
        <c:upDownBars>
          <c:gapWidth val="150"/>
          <c:upBars>
            <c:spPr>
              <a:solidFill>
                <a:schemeClr val="lt1"/>
              </a:solidFill>
              <a:ln w="9525" cap="flat" cmpd="sng" algn="ctr">
                <a:solidFill>
                  <a:schemeClr val="tx1">
                    <a:lumMod val="65000"/>
                    <a:lumOff val="35000"/>
                  </a:schemeClr>
                </a:solidFill>
                <a:round/>
              </a:ln>
              <a:effectLst/>
            </c:spPr>
          </c:upBars>
          <c:downBars>
            <c:spPr>
              <a:solidFill>
                <a:schemeClr val="dk1">
                  <a:lumMod val="75000"/>
                  <a:lumOff val="25000"/>
                </a:schemeClr>
              </a:solidFill>
              <a:ln w="9525" cap="flat" cmpd="sng" algn="ctr">
                <a:solidFill>
                  <a:schemeClr val="tx1">
                    <a:lumMod val="65000"/>
                    <a:lumOff val="35000"/>
                  </a:schemeClr>
                </a:solidFill>
                <a:round/>
              </a:ln>
              <a:effectLst/>
            </c:spPr>
          </c:downBars>
        </c:upDownBars>
        <c:axId val="1641844592"/>
        <c:axId val="1948494816"/>
      </c:stockChart>
      <c:dateAx>
        <c:axId val="1641718448"/>
        <c:scaling>
          <c:orientation val="minMax"/>
        </c:scaling>
        <c:delete val="0"/>
        <c:axPos val="b"/>
        <c:numFmt formatCode="d\-mmm"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crossAx val="1641718928"/>
        <c:crosses val="autoZero"/>
        <c:auto val="1"/>
        <c:lblOffset val="100"/>
        <c:baseTimeUnit val="days"/>
      </c:dateAx>
      <c:valAx>
        <c:axId val="1641718928"/>
        <c:scaling>
          <c:orientation val="minMax"/>
        </c:scaling>
        <c:delete val="0"/>
        <c:axPos val="l"/>
        <c:majorGridlines>
          <c:spPr>
            <a:ln w="9525" cap="flat" cmpd="sng" algn="ctr">
              <a:solidFill>
                <a:schemeClr val="tx1">
                  <a:lumMod val="15000"/>
                  <a:lumOff val="85000"/>
                </a:schemeClr>
              </a:solidFill>
              <a:round/>
            </a:ln>
            <a:effectLst/>
          </c:spPr>
        </c:majorGridlines>
        <c:numFmt formatCode="#,##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crossAx val="1641718448"/>
        <c:crosses val="autoZero"/>
        <c:crossBetween val="between"/>
      </c:valAx>
      <c:valAx>
        <c:axId val="1948494816"/>
        <c:scaling>
          <c:orientation val="minMax"/>
        </c:scaling>
        <c:delete val="0"/>
        <c:axPos val="r"/>
        <c:majorGridlines>
          <c:spPr>
            <a:ln w="9525" cap="flat" cmpd="sng" algn="ctr">
              <a:solidFill>
                <a:schemeClr val="tx1">
                  <a:lumMod val="15000"/>
                  <a:lumOff val="85000"/>
                </a:schemeClr>
              </a:solidFill>
              <a:round/>
            </a:ln>
            <a:effectLst/>
          </c:spPr>
        </c:majorGridlines>
        <c:numFmt formatCode="_([$$-409]* #,##0.00_);_([$$-409]* \(#,##0.00\);_([$$-4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crossAx val="1641844592"/>
        <c:crosses val="max"/>
        <c:crossBetween val="between"/>
      </c:valAx>
      <c:dateAx>
        <c:axId val="1641844592"/>
        <c:scaling>
          <c:orientation val="minMax"/>
        </c:scaling>
        <c:delete val="1"/>
        <c:axPos val="b"/>
        <c:numFmt formatCode="m/d/yyyy" sourceLinked="1"/>
        <c:majorTickMark val="out"/>
        <c:minorTickMark val="none"/>
        <c:tickLblPos val="nextTo"/>
        <c:crossAx val="1948494816"/>
        <c:crosses val="autoZero"/>
        <c:auto val="1"/>
        <c:lblOffset val="100"/>
        <c:baseTimeUnit val="days"/>
      </c:date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Close Last 12 Months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lotArea>
      <c:layout>
        <c:manualLayout>
          <c:layoutTarget val="inner"/>
          <c:xMode val="edge"/>
          <c:yMode val="edge"/>
          <c:x val="0.10554733053577883"/>
          <c:y val="0.12968531468531469"/>
          <c:w val="0.88247662156002959"/>
          <c:h val="0.83185314685314682"/>
        </c:manualLayout>
      </c:layout>
      <c:areaChart>
        <c:grouping val="standard"/>
        <c:varyColors val="0"/>
        <c:ser>
          <c:idx val="0"/>
          <c:order val="0"/>
          <c:spPr>
            <a:gradFill>
              <a:gsLst>
                <a:gs pos="96000">
                  <a:schemeClr val="accent1">
                    <a:lumMod val="5000"/>
                    <a:lumOff val="95000"/>
                  </a:schemeClr>
                </a:gs>
                <a:gs pos="43000">
                  <a:srgbClr val="417A85"/>
                </a:gs>
                <a:gs pos="76000">
                  <a:srgbClr val="417A85"/>
                </a:gs>
              </a:gsLst>
              <a:lin ang="5400000" scaled="1"/>
            </a:gradFill>
            <a:ln>
              <a:noFill/>
            </a:ln>
            <a:effectLst/>
          </c:spPr>
          <c:val>
            <c:numRef>
              <c:f>AMD!$C$4:$IR$4</c:f>
              <c:numCache>
                <c:formatCode>_([$$-409]* #,##0.00_);_([$$-409]* \(#,##0.00\);_([$$-409]* "-"??_);_(@_)</c:formatCode>
                <c:ptCount val="250"/>
                <c:pt idx="0">
                  <c:v>161.36000000000001</c:v>
                </c:pt>
                <c:pt idx="1">
                  <c:v>161.79</c:v>
                </c:pt>
                <c:pt idx="2">
                  <c:v>164.01</c:v>
                </c:pt>
                <c:pt idx="3">
                  <c:v>169.73</c:v>
                </c:pt>
                <c:pt idx="4">
                  <c:v>164.67</c:v>
                </c:pt>
                <c:pt idx="5">
                  <c:v>203.71</c:v>
                </c:pt>
                <c:pt idx="6">
                  <c:v>211.51</c:v>
                </c:pt>
                <c:pt idx="7">
                  <c:v>235.56</c:v>
                </c:pt>
                <c:pt idx="8">
                  <c:v>232.89</c:v>
                </c:pt>
                <c:pt idx="9">
                  <c:v>214.9</c:v>
                </c:pt>
                <c:pt idx="10">
                  <c:v>216.42</c:v>
                </c:pt>
                <c:pt idx="11">
                  <c:v>218.09</c:v>
                </c:pt>
                <c:pt idx="12">
                  <c:v>238.6</c:v>
                </c:pt>
                <c:pt idx="13">
                  <c:v>234.56</c:v>
                </c:pt>
                <c:pt idx="14">
                  <c:v>233.08</c:v>
                </c:pt>
                <c:pt idx="15">
                  <c:v>240.56</c:v>
                </c:pt>
                <c:pt idx="16">
                  <c:v>238.03</c:v>
                </c:pt>
                <c:pt idx="17">
                  <c:v>230.23</c:v>
                </c:pt>
                <c:pt idx="18">
                  <c:v>234.99</c:v>
                </c:pt>
                <c:pt idx="19">
                  <c:v>252.92</c:v>
                </c:pt>
                <c:pt idx="20">
                  <c:v>259.67</c:v>
                </c:pt>
                <c:pt idx="21">
                  <c:v>258.01</c:v>
                </c:pt>
                <c:pt idx="22">
                  <c:v>264.33</c:v>
                </c:pt>
                <c:pt idx="23">
                  <c:v>254.84</c:v>
                </c:pt>
                <c:pt idx="24">
                  <c:v>256.12</c:v>
                </c:pt>
                <c:pt idx="25">
                  <c:v>259.64999999999998</c:v>
                </c:pt>
                <c:pt idx="26">
                  <c:v>250.05</c:v>
                </c:pt>
                <c:pt idx="27">
                  <c:v>256.33</c:v>
                </c:pt>
                <c:pt idx="28">
                  <c:v>237.7</c:v>
                </c:pt>
                <c:pt idx="29">
                  <c:v>233.54</c:v>
                </c:pt>
                <c:pt idx="30">
                  <c:v>243.98</c:v>
                </c:pt>
                <c:pt idx="31">
                  <c:v>237.52</c:v>
                </c:pt>
                <c:pt idx="32">
                  <c:v>258.89</c:v>
                </c:pt>
                <c:pt idx="33">
                  <c:v>247.96</c:v>
                </c:pt>
                <c:pt idx="34">
                  <c:v>246.81</c:v>
                </c:pt>
                <c:pt idx="35">
                  <c:v>240.52</c:v>
                </c:pt>
                <c:pt idx="36">
                  <c:v>230.29</c:v>
                </c:pt>
                <c:pt idx="37">
                  <c:v>223.55</c:v>
                </c:pt>
                <c:pt idx="38">
                  <c:v>206.02</c:v>
                </c:pt>
                <c:pt idx="39">
                  <c:v>203.78</c:v>
                </c:pt>
                <c:pt idx="40">
                  <c:v>215.05</c:v>
                </c:pt>
                <c:pt idx="41">
                  <c:v>206.13</c:v>
                </c:pt>
                <c:pt idx="42">
                  <c:v>214.24</c:v>
                </c:pt>
                <c:pt idx="43">
                  <c:v>217.53</c:v>
                </c:pt>
                <c:pt idx="44">
                  <c:v>219.76</c:v>
                </c:pt>
                <c:pt idx="45">
                  <c:v>215.24</c:v>
                </c:pt>
                <c:pt idx="46">
                  <c:v>217.6</c:v>
                </c:pt>
                <c:pt idx="47">
                  <c:v>215.98</c:v>
                </c:pt>
                <c:pt idx="48">
                  <c:v>217.97</c:v>
                </c:pt>
                <c:pt idx="49">
                  <c:v>221.11</c:v>
                </c:pt>
                <c:pt idx="50">
                  <c:v>221.62</c:v>
                </c:pt>
                <c:pt idx="51">
                  <c:v>221.42</c:v>
                </c:pt>
                <c:pt idx="52">
                  <c:v>221.43</c:v>
                </c:pt>
                <c:pt idx="53">
                  <c:v>210.78</c:v>
                </c:pt>
                <c:pt idx="54">
                  <c:v>207.58</c:v>
                </c:pt>
                <c:pt idx="55">
                  <c:v>209.17</c:v>
                </c:pt>
                <c:pt idx="56">
                  <c:v>198.11</c:v>
                </c:pt>
                <c:pt idx="57">
                  <c:v>201.06</c:v>
                </c:pt>
                <c:pt idx="58">
                  <c:v>213.43</c:v>
                </c:pt>
                <c:pt idx="59">
                  <c:v>214.95</c:v>
                </c:pt>
                <c:pt idx="60">
                  <c:v>214.9</c:v>
                </c:pt>
                <c:pt idx="61">
                  <c:v>215.04</c:v>
                </c:pt>
                <c:pt idx="62">
                  <c:v>214.99</c:v>
                </c:pt>
                <c:pt idx="63">
                  <c:v>215.61</c:v>
                </c:pt>
                <c:pt idx="64">
                  <c:v>215.34</c:v>
                </c:pt>
                <c:pt idx="65">
                  <c:v>214.16</c:v>
                </c:pt>
                <c:pt idx="66">
                  <c:v>223.47</c:v>
                </c:pt>
                <c:pt idx="67">
                  <c:v>221.08</c:v>
                </c:pt>
                <c:pt idx="68">
                  <c:v>214.35</c:v>
                </c:pt>
                <c:pt idx="69">
                  <c:v>210.02</c:v>
                </c:pt>
                <c:pt idx="70">
                  <c:v>204.68</c:v>
                </c:pt>
                <c:pt idx="71">
                  <c:v>203.17</c:v>
                </c:pt>
                <c:pt idx="72">
                  <c:v>207.69</c:v>
                </c:pt>
                <c:pt idx="73">
                  <c:v>220.97</c:v>
                </c:pt>
                <c:pt idx="74">
                  <c:v>223.6</c:v>
                </c:pt>
                <c:pt idx="75">
                  <c:v>227.92</c:v>
                </c:pt>
                <c:pt idx="76">
                  <c:v>231.83</c:v>
                </c:pt>
                <c:pt idx="77">
                  <c:v>231.92</c:v>
                </c:pt>
                <c:pt idx="78">
                  <c:v>249.8</c:v>
                </c:pt>
                <c:pt idx="79">
                  <c:v>253.73</c:v>
                </c:pt>
                <c:pt idx="80">
                  <c:v>259.68</c:v>
                </c:pt>
                <c:pt idx="81">
                  <c:v>251.31</c:v>
                </c:pt>
                <c:pt idx="82">
                  <c:v>252.03</c:v>
                </c:pt>
                <c:pt idx="83">
                  <c:v>252.74</c:v>
                </c:pt>
                <c:pt idx="84">
                  <c:v>252.18</c:v>
                </c:pt>
                <c:pt idx="85">
                  <c:v>236.73</c:v>
                </c:pt>
                <c:pt idx="86">
                  <c:v>246.27</c:v>
                </c:pt>
                <c:pt idx="87">
                  <c:v>242.11</c:v>
                </c:pt>
                <c:pt idx="88">
                  <c:v>200.19</c:v>
                </c:pt>
                <c:pt idx="89">
                  <c:v>192.5</c:v>
                </c:pt>
                <c:pt idx="90">
                  <c:v>208.44</c:v>
                </c:pt>
                <c:pt idx="91">
                  <c:v>216</c:v>
                </c:pt>
                <c:pt idx="92">
                  <c:v>213.57</c:v>
                </c:pt>
                <c:pt idx="93">
                  <c:v>213.58</c:v>
                </c:pt>
                <c:pt idx="94">
                  <c:v>205.94</c:v>
                </c:pt>
                <c:pt idx="95">
                  <c:v>207.32</c:v>
                </c:pt>
                <c:pt idx="96">
                  <c:v>203.08</c:v>
                </c:pt>
                <c:pt idx="97">
                  <c:v>200.12</c:v>
                </c:pt>
                <c:pt idx="98">
                  <c:v>203.37</c:v>
                </c:pt>
                <c:pt idx="99">
                  <c:v>200.15</c:v>
                </c:pt>
                <c:pt idx="100">
                  <c:v>196.6</c:v>
                </c:pt>
                <c:pt idx="101">
                  <c:v>213.84</c:v>
                </c:pt>
                <c:pt idx="102">
                  <c:v>210.86</c:v>
                </c:pt>
                <c:pt idx="103">
                  <c:v>203.68</c:v>
                </c:pt>
                <c:pt idx="104">
                  <c:v>200.21</c:v>
                </c:pt>
                <c:pt idx="105">
                  <c:v>198.62</c:v>
                </c:pt>
                <c:pt idx="106">
                  <c:v>190.95</c:v>
                </c:pt>
                <c:pt idx="107">
                  <c:v>202.07</c:v>
                </c:pt>
                <c:pt idx="108">
                  <c:v>199.45</c:v>
                </c:pt>
                <c:pt idx="109">
                  <c:v>192.43</c:v>
                </c:pt>
                <c:pt idx="110">
                  <c:v>202.68</c:v>
                </c:pt>
                <c:pt idx="111">
                  <c:v>203.23</c:v>
                </c:pt>
                <c:pt idx="112">
                  <c:v>204.83</c:v>
                </c:pt>
                <c:pt idx="113">
                  <c:v>197.74</c:v>
                </c:pt>
                <c:pt idx="114">
                  <c:v>193.39</c:v>
                </c:pt>
                <c:pt idx="115">
                  <c:v>196.58</c:v>
                </c:pt>
                <c:pt idx="116">
                  <c:v>196.31</c:v>
                </c:pt>
                <c:pt idx="117">
                  <c:v>199.46</c:v>
                </c:pt>
                <c:pt idx="118">
                  <c:v>205.27</c:v>
                </c:pt>
                <c:pt idx="119">
                  <c:v>201.33</c:v>
                </c:pt>
                <c:pt idx="120">
                  <c:v>202.68</c:v>
                </c:pt>
                <c:pt idx="121">
                  <c:v>205.37</c:v>
                </c:pt>
                <c:pt idx="122">
                  <c:v>220.27</c:v>
                </c:pt>
                <c:pt idx="123">
                  <c:v>203.77</c:v>
                </c:pt>
                <c:pt idx="124">
                  <c:v>201.99</c:v>
                </c:pt>
                <c:pt idx="125">
                  <c:v>196.04</c:v>
                </c:pt>
                <c:pt idx="126">
                  <c:v>203.43</c:v>
                </c:pt>
                <c:pt idx="127">
                  <c:v>210.21</c:v>
                </c:pt>
                <c:pt idx="128">
                  <c:v>217.5</c:v>
                </c:pt>
                <c:pt idx="129">
                  <c:v>220.18</c:v>
                </c:pt>
                <c:pt idx="130">
                  <c:v>221.53</c:v>
                </c:pt>
                <c:pt idx="131">
                  <c:v>231.82</c:v>
                </c:pt>
                <c:pt idx="132">
                  <c:v>236.64</c:v>
                </c:pt>
                <c:pt idx="133">
                  <c:v>245.04</c:v>
                </c:pt>
                <c:pt idx="134">
                  <c:v>246.83</c:v>
                </c:pt>
                <c:pt idx="135">
                  <c:v>255.07</c:v>
                </c:pt>
                <c:pt idx="136">
                  <c:v>258.12</c:v>
                </c:pt>
                <c:pt idx="137">
                  <c:v>278.26</c:v>
                </c:pt>
                <c:pt idx="138">
                  <c:v>278.39</c:v>
                </c:pt>
                <c:pt idx="139">
                  <c:v>274.95</c:v>
                </c:pt>
                <c:pt idx="140">
                  <c:v>284.49</c:v>
                </c:pt>
                <c:pt idx="141">
                  <c:v>303.45999999999998</c:v>
                </c:pt>
                <c:pt idx="142">
                  <c:v>305.33</c:v>
                </c:pt>
                <c:pt idx="143">
                  <c:v>347.81</c:v>
                </c:pt>
                <c:pt idx="144">
                  <c:v>334.63</c:v>
                </c:pt>
                <c:pt idx="145">
                  <c:v>323.20999999999998</c:v>
                </c:pt>
                <c:pt idx="146">
                  <c:v>337.11</c:v>
                </c:pt>
                <c:pt idx="147">
                  <c:v>354.49</c:v>
                </c:pt>
                <c:pt idx="148">
                  <c:v>360.54</c:v>
                </c:pt>
                <c:pt idx="149">
                  <c:v>341.54</c:v>
                </c:pt>
                <c:pt idx="150">
                  <c:v>355.26</c:v>
                </c:pt>
                <c:pt idx="151">
                  <c:v>421.39</c:v>
                </c:pt>
                <c:pt idx="152">
                  <c:v>408.46</c:v>
                </c:pt>
                <c:pt idx="153">
                  <c:v>455.19</c:v>
                </c:pt>
                <c:pt idx="154">
                  <c:v>458.79</c:v>
                </c:pt>
                <c:pt idx="155">
                  <c:v>448.29</c:v>
                </c:pt>
                <c:pt idx="156">
                  <c:v>445.5</c:v>
                </c:pt>
                <c:pt idx="157">
                  <c:v>449.7</c:v>
                </c:pt>
                <c:pt idx="158">
                  <c:v>424.1</c:v>
                </c:pt>
                <c:pt idx="159">
                  <c:v>420.99</c:v>
                </c:pt>
                <c:pt idx="160">
                  <c:v>414.05</c:v>
                </c:pt>
                <c:pt idx="161">
                  <c:v>447.58</c:v>
                </c:pt>
                <c:pt idx="162">
                  <c:v>449.59</c:v>
                </c:pt>
                <c:pt idx="163">
                  <c:v>467.51</c:v>
                </c:pt>
                <c:pt idx="164">
                  <c:v>503.89</c:v>
                </c:pt>
                <c:pt idx="165">
                  <c:v>495.54</c:v>
                </c:pt>
                <c:pt idx="166">
                  <c:v>518.09</c:v>
                </c:pt>
                <c:pt idx="167">
                  <c:v>516.1</c:v>
                </c:pt>
                <c:pt idx="168">
                  <c:v>510.13</c:v>
                </c:pt>
                <c:pt idx="169">
                  <c:v>521.54</c:v>
                </c:pt>
                <c:pt idx="170">
                  <c:v>542.52</c:v>
                </c:pt>
                <c:pt idx="171">
                  <c:v>523.20000000000005</c:v>
                </c:pt>
                <c:pt idx="172">
                  <c:v>466.38</c:v>
                </c:pt>
                <c:pt idx="173">
                  <c:v>490.33</c:v>
                </c:pt>
                <c:pt idx="174">
                  <c:v>475.505</c:v>
                </c:pt>
                <c:pt idx="175">
                  <c:v>452.4</c:v>
                </c:pt>
                <c:pt idx="176">
                  <c:v>488.45</c:v>
                </c:pt>
                <c:pt idx="177">
                  <c:v>511.57</c:v>
                </c:pt>
                <c:pt idx="178">
                  <c:v>547.26</c:v>
                </c:pt>
                <c:pt idx="179">
                  <c:v>507.29</c:v>
                </c:pt>
                <c:pt idx="180">
                  <c:v>512.48</c:v>
                </c:pt>
                <c:pt idx="181">
                  <c:v>537.37</c:v>
                </c:pt>
                <c:pt idx="182">
                  <c:v>551.63</c:v>
                </c:pt>
                <c:pt idx="183">
                  <c:v>519.85</c:v>
                </c:pt>
                <c:pt idx="184">
                  <c:v>519.74</c:v>
                </c:pt>
                <c:pt idx="185">
                  <c:v>532.57000000000005</c:v>
                </c:pt>
                <c:pt idx="186">
                  <c:v>521.58000000000004</c:v>
                </c:pt>
                <c:pt idx="187">
                  <c:v>539.49</c:v>
                </c:pt>
                <c:pt idx="188">
                  <c:v>580.91</c:v>
                </c:pt>
                <c:pt idx="189">
                  <c:v>540.88</c:v>
                </c:pt>
                <c:pt idx="190">
                  <c:v>517.82000000000005</c:v>
                </c:pt>
                <c:pt idx="191">
                  <c:v>552.04999999999995</c:v>
                </c:pt>
                <c:pt idx="192">
                  <c:v>516.11</c:v>
                </c:pt>
                <c:pt idx="193">
                  <c:v>517.40499999999997</c:v>
                </c:pt>
                <c:pt idx="194">
                  <c:v>546.72</c:v>
                </c:pt>
                <c:pt idx="195">
                  <c:v>557.89</c:v>
                </c:pt>
                <c:pt idx="196">
                  <c:v>534.39</c:v>
                </c:pt>
                <c:pt idx="197">
                  <c:v>548.13</c:v>
                </c:pt>
                <c:pt idx="198">
                  <c:v>529.14</c:v>
                </c:pt>
                <c:pt idx="199">
                  <c:v>500.94</c:v>
                </c:pt>
                <c:pt idx="200">
                  <c:v>495.76</c:v>
                </c:pt>
                <c:pt idx="201">
                  <c:v>503.57</c:v>
                </c:pt>
                <c:pt idx="202">
                  <c:v>544.42999999999995</c:v>
                </c:pt>
                <c:pt idx="203">
                  <c:v>552.33000000000004</c:v>
                </c:pt>
                <c:pt idx="204">
                  <c:v>539.69000000000005</c:v>
                </c:pt>
                <c:pt idx="205">
                  <c:v>521.95000000000005</c:v>
                </c:pt>
                <c:pt idx="206">
                  <c:v>494.95</c:v>
                </c:pt>
                <c:pt idx="207">
                  <c:v>454.62</c:v>
                </c:pt>
                <c:pt idx="208">
                  <c:v>429.56</c:v>
                </c:pt>
                <c:pt idx="209">
                  <c:v>485.39</c:v>
                </c:pt>
                <c:pt idx="210">
                  <c:v>476.15</c:v>
                </c:pt>
                <c:pt idx="211">
                  <c:v>484.64</c:v>
                </c:pt>
                <c:pt idx="212">
                  <c:v>518.58000000000004</c:v>
                </c:pt>
                <c:pt idx="213">
                  <c:v>482.05</c:v>
                </c:pt>
                <c:pt idx="214">
                  <c:v>489.28</c:v>
                </c:pt>
                <c:pt idx="215">
                  <c:v>483.36</c:v>
                </c:pt>
                <c:pt idx="216">
                  <c:v>469.56</c:v>
                </c:pt>
                <c:pt idx="217">
                  <c:v>474.32</c:v>
                </c:pt>
                <c:pt idx="218">
                  <c:v>482.93</c:v>
                </c:pt>
                <c:pt idx="219">
                  <c:v>483.01</c:v>
                </c:pt>
                <c:pt idx="220">
                  <c:v>514.39</c:v>
                </c:pt>
                <c:pt idx="221">
                  <c:v>506</c:v>
                </c:pt>
                <c:pt idx="222">
                  <c:v>484.39</c:v>
                </c:pt>
                <c:pt idx="223">
                  <c:v>466.42</c:v>
                </c:pt>
                <c:pt idx="224">
                  <c:v>469.45499999999998</c:v>
                </c:pt>
                <c:pt idx="225">
                  <c:v>473.25</c:v>
                </c:pt>
                <c:pt idx="226">
                  <c:v>456.745</c:v>
                </c:pt>
                <c:pt idx="227">
                  <c:v>479.18</c:v>
                </c:pt>
                <c:pt idx="228">
                  <c:v>480.93</c:v>
                </c:pt>
                <c:pt idx="229">
                  <c:v>476.67</c:v>
                </c:pt>
                <c:pt idx="230">
                  <c:v>465.58</c:v>
                </c:pt>
                <c:pt idx="231">
                  <c:v>470.72</c:v>
                </c:pt>
                <c:pt idx="232">
                  <c:v>459.61</c:v>
                </c:pt>
                <c:pt idx="233">
                  <c:v>457.06</c:v>
                </c:pt>
                <c:pt idx="234">
                  <c:v>456.16</c:v>
                </c:pt>
                <c:pt idx="235">
                  <c:v>477.57</c:v>
                </c:pt>
                <c:pt idx="236">
                  <c:v>505.74</c:v>
                </c:pt>
                <c:pt idx="237">
                  <c:v>521.09500000000003</c:v>
                </c:pt>
                <c:pt idx="238">
                  <c:v>503.6</c:v>
                </c:pt>
                <c:pt idx="239">
                  <c:v>516.13</c:v>
                </c:pt>
                <c:pt idx="240">
                  <c:v>493.41</c:v>
                </c:pt>
                <c:pt idx="241">
                  <c:v>504.2</c:v>
                </c:pt>
                <c:pt idx="242">
                  <c:v>512.5</c:v>
                </c:pt>
                <c:pt idx="243">
                  <c:v>545.09</c:v>
                </c:pt>
                <c:pt idx="244">
                  <c:v>559.82000000000005</c:v>
                </c:pt>
                <c:pt idx="245">
                  <c:v>615.52</c:v>
                </c:pt>
                <c:pt idx="246">
                  <c:v>623.77</c:v>
                </c:pt>
                <c:pt idx="247">
                  <c:v>614.61</c:v>
                </c:pt>
                <c:pt idx="248">
                  <c:v>629.26</c:v>
                </c:pt>
                <c:pt idx="249">
                  <c:v>630.63</c:v>
                </c:pt>
              </c:numCache>
            </c:numRef>
          </c:val>
          <c:extLst>
            <c:ext xmlns:c16="http://schemas.microsoft.com/office/drawing/2014/chart" uri="{C3380CC4-5D6E-409C-BE32-E72D297353CC}">
              <c16:uniqueId val="{00000000-8496-4EF5-9641-D8BF8BB429BC}"/>
            </c:ext>
          </c:extLst>
        </c:ser>
        <c:dLbls>
          <c:showLegendKey val="0"/>
          <c:showVal val="0"/>
          <c:showCatName val="0"/>
          <c:showSerName val="0"/>
          <c:showPercent val="0"/>
          <c:showBubbleSize val="0"/>
        </c:dLbls>
        <c:axId val="1076253871"/>
        <c:axId val="1076274511"/>
      </c:areaChart>
      <c:catAx>
        <c:axId val="1076253871"/>
        <c:scaling>
          <c:orientation val="minMax"/>
        </c:scaling>
        <c:delete val="1"/>
        <c:axPos val="b"/>
        <c:majorTickMark val="out"/>
        <c:minorTickMark val="none"/>
        <c:tickLblPos val="nextTo"/>
        <c:crossAx val="1076274511"/>
        <c:crosses val="autoZero"/>
        <c:auto val="1"/>
        <c:lblAlgn val="ctr"/>
        <c:lblOffset val="100"/>
        <c:noMultiLvlLbl val="0"/>
      </c:catAx>
      <c:valAx>
        <c:axId val="1076274511"/>
        <c:scaling>
          <c:orientation val="minMax"/>
        </c:scaling>
        <c:delete val="0"/>
        <c:axPos val="l"/>
        <c:numFmt formatCode="_([$$-409]* #,##0.00_);_([$$-409]* \(#,##0.00\);_([$$-4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crossAx val="1076253871"/>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Close Last 12 Months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lotArea>
      <c:layout>
        <c:manualLayout>
          <c:layoutTarget val="inner"/>
          <c:xMode val="edge"/>
          <c:yMode val="edge"/>
          <c:x val="0.1035513225517469"/>
          <c:y val="0.12968531468531469"/>
          <c:w val="0.88247662156002959"/>
          <c:h val="0.83185314685314682"/>
        </c:manualLayout>
      </c:layout>
      <c:areaChart>
        <c:grouping val="standard"/>
        <c:varyColors val="0"/>
        <c:ser>
          <c:idx val="0"/>
          <c:order val="0"/>
          <c:spPr>
            <a:gradFill>
              <a:gsLst>
                <a:gs pos="96000">
                  <a:schemeClr val="accent1">
                    <a:lumMod val="5000"/>
                    <a:lumOff val="95000"/>
                  </a:schemeClr>
                </a:gs>
                <a:gs pos="43000">
                  <a:srgbClr val="417A85"/>
                </a:gs>
                <a:gs pos="76000">
                  <a:srgbClr val="417A85"/>
                </a:gs>
              </a:gsLst>
              <a:lin ang="5400000" scaled="1"/>
            </a:gradFill>
            <a:ln>
              <a:noFill/>
            </a:ln>
            <a:effectLst/>
          </c:spPr>
          <c:val>
            <c:numRef>
              <c:f>BABA!$C$4:$IR$4</c:f>
              <c:numCache>
                <c:formatCode>_([$$-409]* #,##0.00_);_([$$-409]* \(#,##0.00\);_([$$-409]* "-"??_);_(@_)</c:formatCode>
                <c:ptCount val="250"/>
                <c:pt idx="0">
                  <c:v>179.9</c:v>
                </c:pt>
                <c:pt idx="1">
                  <c:v>178.73</c:v>
                </c:pt>
                <c:pt idx="2">
                  <c:v>182.78</c:v>
                </c:pt>
                <c:pt idx="3">
                  <c:v>189.34</c:v>
                </c:pt>
                <c:pt idx="4">
                  <c:v>188.03</c:v>
                </c:pt>
                <c:pt idx="5">
                  <c:v>187.22</c:v>
                </c:pt>
                <c:pt idx="6">
                  <c:v>181.33</c:v>
                </c:pt>
                <c:pt idx="7">
                  <c:v>181.12</c:v>
                </c:pt>
                <c:pt idx="8">
                  <c:v>173.68</c:v>
                </c:pt>
                <c:pt idx="9">
                  <c:v>159.01</c:v>
                </c:pt>
                <c:pt idx="10">
                  <c:v>166.81</c:v>
                </c:pt>
                <c:pt idx="11">
                  <c:v>162.86000000000001</c:v>
                </c:pt>
                <c:pt idx="12">
                  <c:v>165.91</c:v>
                </c:pt>
                <c:pt idx="13">
                  <c:v>165.09</c:v>
                </c:pt>
                <c:pt idx="14">
                  <c:v>167.05</c:v>
                </c:pt>
                <c:pt idx="15">
                  <c:v>173.47</c:v>
                </c:pt>
                <c:pt idx="16">
                  <c:v>166.67</c:v>
                </c:pt>
                <c:pt idx="17">
                  <c:v>165.86</c:v>
                </c:pt>
                <c:pt idx="18">
                  <c:v>171.9</c:v>
                </c:pt>
                <c:pt idx="19">
                  <c:v>174.7</c:v>
                </c:pt>
                <c:pt idx="20">
                  <c:v>179.45</c:v>
                </c:pt>
                <c:pt idx="21">
                  <c:v>176.72</c:v>
                </c:pt>
                <c:pt idx="22">
                  <c:v>179.97</c:v>
                </c:pt>
                <c:pt idx="23">
                  <c:v>173.93</c:v>
                </c:pt>
                <c:pt idx="24">
                  <c:v>170.43</c:v>
                </c:pt>
                <c:pt idx="25">
                  <c:v>167.69</c:v>
                </c:pt>
                <c:pt idx="26">
                  <c:v>164.3</c:v>
                </c:pt>
                <c:pt idx="27">
                  <c:v>164.82</c:v>
                </c:pt>
                <c:pt idx="28">
                  <c:v>167.61</c:v>
                </c:pt>
                <c:pt idx="29">
                  <c:v>166.34</c:v>
                </c:pt>
                <c:pt idx="30">
                  <c:v>165.89</c:v>
                </c:pt>
                <c:pt idx="31">
                  <c:v>160.80000000000001</c:v>
                </c:pt>
                <c:pt idx="32">
                  <c:v>157.91</c:v>
                </c:pt>
                <c:pt idx="33">
                  <c:v>159.84</c:v>
                </c:pt>
                <c:pt idx="34">
                  <c:v>153.80000000000001</c:v>
                </c:pt>
                <c:pt idx="35">
                  <c:v>157.71</c:v>
                </c:pt>
                <c:pt idx="36">
                  <c:v>159.72</c:v>
                </c:pt>
                <c:pt idx="37">
                  <c:v>158.88999999999999</c:v>
                </c:pt>
                <c:pt idx="38">
                  <c:v>153.28</c:v>
                </c:pt>
                <c:pt idx="39">
                  <c:v>152.93</c:v>
                </c:pt>
                <c:pt idx="40">
                  <c:v>160.72999999999999</c:v>
                </c:pt>
                <c:pt idx="41">
                  <c:v>157.01</c:v>
                </c:pt>
                <c:pt idx="42">
                  <c:v>157.6</c:v>
                </c:pt>
                <c:pt idx="43">
                  <c:v>157.30000000000001</c:v>
                </c:pt>
                <c:pt idx="44">
                  <c:v>164.26</c:v>
                </c:pt>
                <c:pt idx="45">
                  <c:v>161.13</c:v>
                </c:pt>
                <c:pt idx="46">
                  <c:v>158.08000000000001</c:v>
                </c:pt>
                <c:pt idx="47">
                  <c:v>157.44</c:v>
                </c:pt>
                <c:pt idx="48">
                  <c:v>158.32</c:v>
                </c:pt>
                <c:pt idx="49">
                  <c:v>158.13</c:v>
                </c:pt>
                <c:pt idx="50">
                  <c:v>155.96</c:v>
                </c:pt>
                <c:pt idx="51">
                  <c:v>158.82</c:v>
                </c:pt>
                <c:pt idx="52">
                  <c:v>156.9</c:v>
                </c:pt>
                <c:pt idx="53">
                  <c:v>155.68</c:v>
                </c:pt>
                <c:pt idx="54">
                  <c:v>150.09</c:v>
                </c:pt>
                <c:pt idx="55">
                  <c:v>149.29</c:v>
                </c:pt>
                <c:pt idx="56">
                  <c:v>147.09</c:v>
                </c:pt>
                <c:pt idx="57">
                  <c:v>147.32</c:v>
                </c:pt>
                <c:pt idx="58">
                  <c:v>149.79</c:v>
                </c:pt>
                <c:pt idx="59">
                  <c:v>150.96</c:v>
                </c:pt>
                <c:pt idx="60">
                  <c:v>151.22999999999999</c:v>
                </c:pt>
                <c:pt idx="61">
                  <c:v>150.06</c:v>
                </c:pt>
                <c:pt idx="62">
                  <c:v>152.24</c:v>
                </c:pt>
                <c:pt idx="63">
                  <c:v>148.49</c:v>
                </c:pt>
                <c:pt idx="64">
                  <c:v>147.36000000000001</c:v>
                </c:pt>
                <c:pt idx="65">
                  <c:v>146.58000000000001</c:v>
                </c:pt>
                <c:pt idx="66">
                  <c:v>155.74</c:v>
                </c:pt>
                <c:pt idx="67">
                  <c:v>156.26</c:v>
                </c:pt>
                <c:pt idx="68">
                  <c:v>150.9</c:v>
                </c:pt>
                <c:pt idx="69">
                  <c:v>146.75</c:v>
                </c:pt>
                <c:pt idx="70">
                  <c:v>154.47</c:v>
                </c:pt>
                <c:pt idx="71">
                  <c:v>150.96</c:v>
                </c:pt>
                <c:pt idx="72">
                  <c:v>166.31</c:v>
                </c:pt>
                <c:pt idx="73">
                  <c:v>167.01</c:v>
                </c:pt>
                <c:pt idx="74">
                  <c:v>169.9</c:v>
                </c:pt>
                <c:pt idx="75">
                  <c:v>170.93</c:v>
                </c:pt>
                <c:pt idx="76">
                  <c:v>165.4</c:v>
                </c:pt>
                <c:pt idx="77">
                  <c:v>162.38999999999999</c:v>
                </c:pt>
                <c:pt idx="78">
                  <c:v>168.67</c:v>
                </c:pt>
                <c:pt idx="79">
                  <c:v>177.18</c:v>
                </c:pt>
                <c:pt idx="80">
                  <c:v>173.23</c:v>
                </c:pt>
                <c:pt idx="81">
                  <c:v>171.37</c:v>
                </c:pt>
                <c:pt idx="82">
                  <c:v>172.72</c:v>
                </c:pt>
                <c:pt idx="83">
                  <c:v>175.66</c:v>
                </c:pt>
                <c:pt idx="84">
                  <c:v>174.25</c:v>
                </c:pt>
                <c:pt idx="85">
                  <c:v>169.56</c:v>
                </c:pt>
                <c:pt idx="86">
                  <c:v>168.39</c:v>
                </c:pt>
                <c:pt idx="87">
                  <c:v>163.65</c:v>
                </c:pt>
                <c:pt idx="88">
                  <c:v>159.13999999999999</c:v>
                </c:pt>
                <c:pt idx="89">
                  <c:v>157.76</c:v>
                </c:pt>
                <c:pt idx="90">
                  <c:v>162.51</c:v>
                </c:pt>
                <c:pt idx="91">
                  <c:v>163</c:v>
                </c:pt>
                <c:pt idx="92">
                  <c:v>166.51</c:v>
                </c:pt>
                <c:pt idx="93">
                  <c:v>164.32</c:v>
                </c:pt>
                <c:pt idx="94">
                  <c:v>158.72999999999999</c:v>
                </c:pt>
                <c:pt idx="95">
                  <c:v>155.72999999999999</c:v>
                </c:pt>
                <c:pt idx="96">
                  <c:v>155.43</c:v>
                </c:pt>
                <c:pt idx="97">
                  <c:v>155.77000000000001</c:v>
                </c:pt>
                <c:pt idx="98">
                  <c:v>154.27000000000001</c:v>
                </c:pt>
                <c:pt idx="99">
                  <c:v>154.44999999999999</c:v>
                </c:pt>
                <c:pt idx="100">
                  <c:v>152.78</c:v>
                </c:pt>
                <c:pt idx="101">
                  <c:v>153.11000000000001</c:v>
                </c:pt>
                <c:pt idx="102">
                  <c:v>152.28</c:v>
                </c:pt>
                <c:pt idx="103">
                  <c:v>148.05000000000001</c:v>
                </c:pt>
                <c:pt idx="104">
                  <c:v>144.11000000000001</c:v>
                </c:pt>
                <c:pt idx="105">
                  <c:v>142.56</c:v>
                </c:pt>
                <c:pt idx="106">
                  <c:v>135.59</c:v>
                </c:pt>
                <c:pt idx="107">
                  <c:v>133.27000000000001</c:v>
                </c:pt>
                <c:pt idx="108">
                  <c:v>130.35</c:v>
                </c:pt>
                <c:pt idx="109">
                  <c:v>130.79</c:v>
                </c:pt>
                <c:pt idx="110">
                  <c:v>132.63999999999999</c:v>
                </c:pt>
                <c:pt idx="111">
                  <c:v>136.85</c:v>
                </c:pt>
                <c:pt idx="112">
                  <c:v>136.29</c:v>
                </c:pt>
                <c:pt idx="113">
                  <c:v>134.19999999999999</c:v>
                </c:pt>
                <c:pt idx="114">
                  <c:v>135.21</c:v>
                </c:pt>
                <c:pt idx="115">
                  <c:v>136.71</c:v>
                </c:pt>
                <c:pt idx="116">
                  <c:v>136.57</c:v>
                </c:pt>
                <c:pt idx="117">
                  <c:v>134.43</c:v>
                </c:pt>
                <c:pt idx="118">
                  <c:v>124.9</c:v>
                </c:pt>
                <c:pt idx="119">
                  <c:v>122.41</c:v>
                </c:pt>
                <c:pt idx="120">
                  <c:v>126.06</c:v>
                </c:pt>
                <c:pt idx="121">
                  <c:v>125.48</c:v>
                </c:pt>
                <c:pt idx="122">
                  <c:v>129.87</c:v>
                </c:pt>
                <c:pt idx="123">
                  <c:v>125.41</c:v>
                </c:pt>
                <c:pt idx="124">
                  <c:v>122.69</c:v>
                </c:pt>
                <c:pt idx="125">
                  <c:v>121.98</c:v>
                </c:pt>
                <c:pt idx="126">
                  <c:v>125.46</c:v>
                </c:pt>
                <c:pt idx="127">
                  <c:v>123.73</c:v>
                </c:pt>
                <c:pt idx="128">
                  <c:v>122.05</c:v>
                </c:pt>
                <c:pt idx="129">
                  <c:v>122.31</c:v>
                </c:pt>
                <c:pt idx="130">
                  <c:v>119.72</c:v>
                </c:pt>
                <c:pt idx="131">
                  <c:v>125.32</c:v>
                </c:pt>
                <c:pt idx="132">
                  <c:v>127.68</c:v>
                </c:pt>
                <c:pt idx="133">
                  <c:v>127.33</c:v>
                </c:pt>
                <c:pt idx="134">
                  <c:v>128.01</c:v>
                </c:pt>
                <c:pt idx="135">
                  <c:v>131.35</c:v>
                </c:pt>
                <c:pt idx="136">
                  <c:v>133.28</c:v>
                </c:pt>
                <c:pt idx="137">
                  <c:v>138.59</c:v>
                </c:pt>
                <c:pt idx="138">
                  <c:v>141.01</c:v>
                </c:pt>
                <c:pt idx="139">
                  <c:v>140.16999999999999</c:v>
                </c:pt>
                <c:pt idx="140">
                  <c:v>135.38</c:v>
                </c:pt>
                <c:pt idx="141">
                  <c:v>136.41999999999999</c:v>
                </c:pt>
                <c:pt idx="142">
                  <c:v>131.69999999999999</c:v>
                </c:pt>
                <c:pt idx="143">
                  <c:v>135.82</c:v>
                </c:pt>
                <c:pt idx="144">
                  <c:v>132.52000000000001</c:v>
                </c:pt>
                <c:pt idx="145">
                  <c:v>130.85</c:v>
                </c:pt>
                <c:pt idx="146">
                  <c:v>130.43</c:v>
                </c:pt>
                <c:pt idx="147">
                  <c:v>131.88</c:v>
                </c:pt>
                <c:pt idx="148">
                  <c:v>131.5</c:v>
                </c:pt>
                <c:pt idx="149">
                  <c:v>133.27000000000001</c:v>
                </c:pt>
                <c:pt idx="150">
                  <c:v>132.26</c:v>
                </c:pt>
                <c:pt idx="151">
                  <c:v>141.44</c:v>
                </c:pt>
                <c:pt idx="152">
                  <c:v>141</c:v>
                </c:pt>
                <c:pt idx="153">
                  <c:v>140.06</c:v>
                </c:pt>
                <c:pt idx="154">
                  <c:v>137.30000000000001</c:v>
                </c:pt>
                <c:pt idx="155">
                  <c:v>134.78</c:v>
                </c:pt>
                <c:pt idx="156">
                  <c:v>145.81</c:v>
                </c:pt>
                <c:pt idx="157">
                  <c:v>141.12</c:v>
                </c:pt>
                <c:pt idx="158">
                  <c:v>132.59</c:v>
                </c:pt>
                <c:pt idx="159">
                  <c:v>133.26</c:v>
                </c:pt>
                <c:pt idx="160">
                  <c:v>135.63999999999999</c:v>
                </c:pt>
                <c:pt idx="161">
                  <c:v>134.47</c:v>
                </c:pt>
                <c:pt idx="162">
                  <c:v>131.47</c:v>
                </c:pt>
                <c:pt idx="163">
                  <c:v>130</c:v>
                </c:pt>
                <c:pt idx="164">
                  <c:v>129.47</c:v>
                </c:pt>
                <c:pt idx="165">
                  <c:v>127.76</c:v>
                </c:pt>
                <c:pt idx="166">
                  <c:v>126.16</c:v>
                </c:pt>
                <c:pt idx="167">
                  <c:v>124.22</c:v>
                </c:pt>
                <c:pt idx="168">
                  <c:v>125.4</c:v>
                </c:pt>
                <c:pt idx="169">
                  <c:v>130.82</c:v>
                </c:pt>
                <c:pt idx="170">
                  <c:v>127.21</c:v>
                </c:pt>
                <c:pt idx="171">
                  <c:v>125.95</c:v>
                </c:pt>
                <c:pt idx="172">
                  <c:v>121.06</c:v>
                </c:pt>
                <c:pt idx="173">
                  <c:v>120.07</c:v>
                </c:pt>
                <c:pt idx="174">
                  <c:v>119.7</c:v>
                </c:pt>
                <c:pt idx="175">
                  <c:v>115.38</c:v>
                </c:pt>
                <c:pt idx="176">
                  <c:v>112.69</c:v>
                </c:pt>
                <c:pt idx="177">
                  <c:v>112.82</c:v>
                </c:pt>
                <c:pt idx="178">
                  <c:v>112.55</c:v>
                </c:pt>
                <c:pt idx="179">
                  <c:v>110.97</c:v>
                </c:pt>
                <c:pt idx="180">
                  <c:v>107.44</c:v>
                </c:pt>
                <c:pt idx="181">
                  <c:v>107.1</c:v>
                </c:pt>
                <c:pt idx="182">
                  <c:v>104.97</c:v>
                </c:pt>
                <c:pt idx="183">
                  <c:v>102.6</c:v>
                </c:pt>
                <c:pt idx="184">
                  <c:v>99.8</c:v>
                </c:pt>
                <c:pt idx="185">
                  <c:v>95.07</c:v>
                </c:pt>
                <c:pt idx="186">
                  <c:v>94.81</c:v>
                </c:pt>
                <c:pt idx="187">
                  <c:v>95.51</c:v>
                </c:pt>
                <c:pt idx="188">
                  <c:v>95.98</c:v>
                </c:pt>
                <c:pt idx="189">
                  <c:v>97.99</c:v>
                </c:pt>
                <c:pt idx="190">
                  <c:v>96.14</c:v>
                </c:pt>
                <c:pt idx="191">
                  <c:v>97.91</c:v>
                </c:pt>
                <c:pt idx="192">
                  <c:v>98.14</c:v>
                </c:pt>
                <c:pt idx="193">
                  <c:v>108.98</c:v>
                </c:pt>
                <c:pt idx="194">
                  <c:v>111.14</c:v>
                </c:pt>
                <c:pt idx="195">
                  <c:v>112.33</c:v>
                </c:pt>
                <c:pt idx="196">
                  <c:v>112.35</c:v>
                </c:pt>
                <c:pt idx="197">
                  <c:v>112.32</c:v>
                </c:pt>
                <c:pt idx="198">
                  <c:v>117.69</c:v>
                </c:pt>
                <c:pt idx="199">
                  <c:v>117.49</c:v>
                </c:pt>
                <c:pt idx="200">
                  <c:v>114.97</c:v>
                </c:pt>
                <c:pt idx="201">
                  <c:v>120.34</c:v>
                </c:pt>
                <c:pt idx="202">
                  <c:v>117.97</c:v>
                </c:pt>
                <c:pt idx="203">
                  <c:v>116.56</c:v>
                </c:pt>
                <c:pt idx="204">
                  <c:v>114.06</c:v>
                </c:pt>
                <c:pt idx="205">
                  <c:v>112.14</c:v>
                </c:pt>
                <c:pt idx="206">
                  <c:v>115</c:v>
                </c:pt>
                <c:pt idx="207">
                  <c:v>115.19</c:v>
                </c:pt>
                <c:pt idx="208">
                  <c:v>115.03</c:v>
                </c:pt>
                <c:pt idx="209">
                  <c:v>116.32</c:v>
                </c:pt>
                <c:pt idx="210">
                  <c:v>122.25</c:v>
                </c:pt>
                <c:pt idx="211">
                  <c:v>127.3</c:v>
                </c:pt>
                <c:pt idx="212">
                  <c:v>128.99</c:v>
                </c:pt>
                <c:pt idx="213">
                  <c:v>128.53</c:v>
                </c:pt>
                <c:pt idx="214">
                  <c:v>126.81</c:v>
                </c:pt>
                <c:pt idx="215">
                  <c:v>128.41</c:v>
                </c:pt>
                <c:pt idx="216">
                  <c:v>132.32</c:v>
                </c:pt>
                <c:pt idx="217">
                  <c:v>127.85</c:v>
                </c:pt>
                <c:pt idx="218">
                  <c:v>125.22</c:v>
                </c:pt>
                <c:pt idx="219">
                  <c:v>122.16</c:v>
                </c:pt>
                <c:pt idx="220">
                  <c:v>123.81</c:v>
                </c:pt>
                <c:pt idx="221">
                  <c:v>124.71</c:v>
                </c:pt>
                <c:pt idx="222">
                  <c:v>128.15</c:v>
                </c:pt>
                <c:pt idx="223">
                  <c:v>128.9</c:v>
                </c:pt>
                <c:pt idx="224">
                  <c:v>130.53</c:v>
                </c:pt>
                <c:pt idx="225">
                  <c:v>119.34</c:v>
                </c:pt>
                <c:pt idx="226">
                  <c:v>118.47</c:v>
                </c:pt>
                <c:pt idx="227">
                  <c:v>119.44</c:v>
                </c:pt>
                <c:pt idx="228">
                  <c:v>119.83</c:v>
                </c:pt>
                <c:pt idx="229">
                  <c:v>116.31</c:v>
                </c:pt>
                <c:pt idx="230">
                  <c:v>118.9</c:v>
                </c:pt>
                <c:pt idx="231">
                  <c:v>114.02</c:v>
                </c:pt>
                <c:pt idx="232">
                  <c:v>112.85</c:v>
                </c:pt>
                <c:pt idx="233">
                  <c:v>111.81</c:v>
                </c:pt>
                <c:pt idx="234">
                  <c:v>111.81</c:v>
                </c:pt>
                <c:pt idx="235">
                  <c:v>113.24</c:v>
                </c:pt>
                <c:pt idx="236">
                  <c:v>112.66</c:v>
                </c:pt>
                <c:pt idx="237">
                  <c:v>109.4</c:v>
                </c:pt>
                <c:pt idx="238">
                  <c:v>108.56</c:v>
                </c:pt>
                <c:pt idx="239">
                  <c:v>109.3</c:v>
                </c:pt>
                <c:pt idx="240">
                  <c:v>109.23</c:v>
                </c:pt>
                <c:pt idx="241">
                  <c:v>109.34</c:v>
                </c:pt>
                <c:pt idx="242">
                  <c:v>107.27</c:v>
                </c:pt>
                <c:pt idx="243">
                  <c:v>108.54</c:v>
                </c:pt>
                <c:pt idx="244">
                  <c:v>113.24</c:v>
                </c:pt>
                <c:pt idx="245">
                  <c:v>115.75</c:v>
                </c:pt>
                <c:pt idx="246">
                  <c:v>116.31</c:v>
                </c:pt>
                <c:pt idx="247">
                  <c:v>110.8</c:v>
                </c:pt>
                <c:pt idx="248">
                  <c:v>110.63</c:v>
                </c:pt>
                <c:pt idx="249">
                  <c:v>109.74</c:v>
                </c:pt>
              </c:numCache>
            </c:numRef>
          </c:val>
          <c:extLst>
            <c:ext xmlns:c16="http://schemas.microsoft.com/office/drawing/2014/chart" uri="{C3380CC4-5D6E-409C-BE32-E72D297353CC}">
              <c16:uniqueId val="{00000000-6283-4CA8-9E5C-C430491A2209}"/>
            </c:ext>
          </c:extLst>
        </c:ser>
        <c:dLbls>
          <c:showLegendKey val="0"/>
          <c:showVal val="0"/>
          <c:showCatName val="0"/>
          <c:showSerName val="0"/>
          <c:showPercent val="0"/>
          <c:showBubbleSize val="0"/>
        </c:dLbls>
        <c:axId val="1076253871"/>
        <c:axId val="1076274511"/>
      </c:areaChart>
      <c:catAx>
        <c:axId val="1076253871"/>
        <c:scaling>
          <c:orientation val="minMax"/>
        </c:scaling>
        <c:delete val="1"/>
        <c:axPos val="b"/>
        <c:majorTickMark val="out"/>
        <c:minorTickMark val="none"/>
        <c:tickLblPos val="nextTo"/>
        <c:crossAx val="1076274511"/>
        <c:crosses val="autoZero"/>
        <c:auto val="1"/>
        <c:lblAlgn val="ctr"/>
        <c:lblOffset val="100"/>
        <c:noMultiLvlLbl val="0"/>
      </c:catAx>
      <c:valAx>
        <c:axId val="1076274511"/>
        <c:scaling>
          <c:orientation val="minMax"/>
        </c:scaling>
        <c:delete val="0"/>
        <c:axPos val="l"/>
        <c:numFmt formatCode="_([$$-409]* #,##0.00_);_([$$-409]* \(#,##0.00\);_([$$-4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crossAx val="1076253871"/>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BABA!$B$1</c:f>
          <c:strCache>
            <c:ptCount val="1"/>
            <c:pt idx="0">
              <c:v>Alibaba Group Holding Limited (XNYS:BABA)</c:v>
            </c:pt>
          </c:strCache>
        </c:strRef>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KE"/>
        </a:p>
      </c:txPr>
    </c:title>
    <c:autoTitleDeleted val="0"/>
    <c:plotArea>
      <c:layout/>
      <c:barChart>
        <c:barDir val="col"/>
        <c:grouping val="clustered"/>
        <c:varyColors val="0"/>
        <c:ser>
          <c:idx val="0"/>
          <c:order val="0"/>
          <c:tx>
            <c:strRef>
              <c:f>BABA!$B$6</c:f>
              <c:strCache>
                <c:ptCount val="1"/>
                <c:pt idx="0">
                  <c:v>Volume</c:v>
                </c:pt>
              </c:strCache>
            </c:strRef>
          </c:tx>
          <c:spPr>
            <a:solidFill>
              <a:schemeClr val="accent1"/>
            </a:solidFill>
            <a:ln w="38100">
              <a:noFill/>
            </a:ln>
            <a:effectLst/>
          </c:spPr>
          <c:invertIfNegative val="0"/>
          <c:cat>
            <c:numRef>
              <c:f>BABA!$A$7:$A$27</c:f>
              <c:numCache>
                <c:formatCode>m/d/yyyy</c:formatCode>
                <c:ptCount val="21"/>
                <c:pt idx="0">
                  <c:v>46265</c:v>
                </c:pt>
                <c:pt idx="1">
                  <c:v>46266</c:v>
                </c:pt>
                <c:pt idx="2">
                  <c:v>46267</c:v>
                </c:pt>
                <c:pt idx="3">
                  <c:v>46268</c:v>
                </c:pt>
                <c:pt idx="4">
                  <c:v>46269</c:v>
                </c:pt>
                <c:pt idx="5">
                  <c:v>46273</c:v>
                </c:pt>
                <c:pt idx="6">
                  <c:v>46274</c:v>
                </c:pt>
                <c:pt idx="7">
                  <c:v>46275</c:v>
                </c:pt>
                <c:pt idx="8">
                  <c:v>46276</c:v>
                </c:pt>
                <c:pt idx="9">
                  <c:v>46279</c:v>
                </c:pt>
                <c:pt idx="10">
                  <c:v>46280</c:v>
                </c:pt>
                <c:pt idx="11">
                  <c:v>46281</c:v>
                </c:pt>
                <c:pt idx="12">
                  <c:v>46282</c:v>
                </c:pt>
                <c:pt idx="13">
                  <c:v>46283</c:v>
                </c:pt>
                <c:pt idx="14">
                  <c:v>46286</c:v>
                </c:pt>
                <c:pt idx="15">
                  <c:v>46287</c:v>
                </c:pt>
                <c:pt idx="16">
                  <c:v>46288</c:v>
                </c:pt>
                <c:pt idx="17">
                  <c:v>46289</c:v>
                </c:pt>
                <c:pt idx="18">
                  <c:v>46290</c:v>
                </c:pt>
                <c:pt idx="19">
                  <c:v>46293</c:v>
                </c:pt>
              </c:numCache>
            </c:numRef>
          </c:cat>
          <c:val>
            <c:numRef>
              <c:f>BABA!$B$7:$B$27</c:f>
              <c:numCache>
                <c:formatCode>#,##0</c:formatCode>
                <c:ptCount val="21"/>
                <c:pt idx="0">
                  <c:v>9340068</c:v>
                </c:pt>
                <c:pt idx="1">
                  <c:v>9865205</c:v>
                </c:pt>
                <c:pt idx="2">
                  <c:v>6875197</c:v>
                </c:pt>
                <c:pt idx="3">
                  <c:v>8604955</c:v>
                </c:pt>
                <c:pt idx="4">
                  <c:v>7182522</c:v>
                </c:pt>
                <c:pt idx="5">
                  <c:v>6965707</c:v>
                </c:pt>
                <c:pt idx="6">
                  <c:v>9100923</c:v>
                </c:pt>
                <c:pt idx="7">
                  <c:v>6572796</c:v>
                </c:pt>
                <c:pt idx="8">
                  <c:v>4882700</c:v>
                </c:pt>
                <c:pt idx="9">
                  <c:v>6946666</c:v>
                </c:pt>
                <c:pt idx="10">
                  <c:v>6739481</c:v>
                </c:pt>
                <c:pt idx="11">
                  <c:v>7345873</c:v>
                </c:pt>
                <c:pt idx="12">
                  <c:v>8725550</c:v>
                </c:pt>
                <c:pt idx="13">
                  <c:v>13250900</c:v>
                </c:pt>
                <c:pt idx="14">
                  <c:v>9540664</c:v>
                </c:pt>
                <c:pt idx="15">
                  <c:v>14786015</c:v>
                </c:pt>
                <c:pt idx="16">
                  <c:v>12223741</c:v>
                </c:pt>
                <c:pt idx="17">
                  <c:v>7453523</c:v>
                </c:pt>
                <c:pt idx="18">
                  <c:v>5926901</c:v>
                </c:pt>
                <c:pt idx="19">
                  <c:v>5876156</c:v>
                </c:pt>
              </c:numCache>
            </c:numRef>
          </c:val>
          <c:extLst>
            <c:ext xmlns:c16="http://schemas.microsoft.com/office/drawing/2014/chart" uri="{C3380CC4-5D6E-409C-BE32-E72D297353CC}">
              <c16:uniqueId val="{00000000-DD3A-4718-B306-A4995118BE2C}"/>
            </c:ext>
          </c:extLst>
        </c:ser>
        <c:dLbls>
          <c:showLegendKey val="0"/>
          <c:showVal val="0"/>
          <c:showCatName val="0"/>
          <c:showSerName val="0"/>
          <c:showPercent val="0"/>
          <c:showBubbleSize val="0"/>
        </c:dLbls>
        <c:gapWidth val="150"/>
        <c:axId val="1069529423"/>
        <c:axId val="1069531343"/>
      </c:barChart>
      <c:stockChart>
        <c:ser>
          <c:idx val="1"/>
          <c:order val="1"/>
          <c:tx>
            <c:strRef>
              <c:f>BABA!$C$6</c:f>
              <c:strCache>
                <c:ptCount val="1"/>
                <c:pt idx="0">
                  <c:v>Open</c:v>
                </c:pt>
              </c:strCache>
            </c:strRef>
          </c:tx>
          <c:spPr>
            <a:ln w="38100" cap="rnd">
              <a:noFill/>
              <a:round/>
            </a:ln>
            <a:effectLst/>
          </c:spPr>
          <c:marker>
            <c:symbol val="none"/>
          </c:marker>
          <c:cat>
            <c:numRef>
              <c:f>BABA!$A$7:$A$27</c:f>
              <c:numCache>
                <c:formatCode>m/d/yyyy</c:formatCode>
                <c:ptCount val="21"/>
                <c:pt idx="0">
                  <c:v>46265</c:v>
                </c:pt>
                <c:pt idx="1">
                  <c:v>46266</c:v>
                </c:pt>
                <c:pt idx="2">
                  <c:v>46267</c:v>
                </c:pt>
                <c:pt idx="3">
                  <c:v>46268</c:v>
                </c:pt>
                <c:pt idx="4">
                  <c:v>46269</c:v>
                </c:pt>
                <c:pt idx="5">
                  <c:v>46273</c:v>
                </c:pt>
                <c:pt idx="6">
                  <c:v>46274</c:v>
                </c:pt>
                <c:pt idx="7">
                  <c:v>46275</c:v>
                </c:pt>
                <c:pt idx="8">
                  <c:v>46276</c:v>
                </c:pt>
                <c:pt idx="9">
                  <c:v>46279</c:v>
                </c:pt>
                <c:pt idx="10">
                  <c:v>46280</c:v>
                </c:pt>
                <c:pt idx="11">
                  <c:v>46281</c:v>
                </c:pt>
                <c:pt idx="12">
                  <c:v>46282</c:v>
                </c:pt>
                <c:pt idx="13">
                  <c:v>46283</c:v>
                </c:pt>
                <c:pt idx="14">
                  <c:v>46286</c:v>
                </c:pt>
                <c:pt idx="15">
                  <c:v>46287</c:v>
                </c:pt>
                <c:pt idx="16">
                  <c:v>46288</c:v>
                </c:pt>
                <c:pt idx="17">
                  <c:v>46289</c:v>
                </c:pt>
                <c:pt idx="18">
                  <c:v>46290</c:v>
                </c:pt>
                <c:pt idx="19">
                  <c:v>46293</c:v>
                </c:pt>
              </c:numCache>
            </c:numRef>
          </c:cat>
          <c:val>
            <c:numRef>
              <c:f>BABA!$C$7:$C$27</c:f>
              <c:numCache>
                <c:formatCode>_([$$-409]* #,##0.00_);_([$$-409]* \(#,##0.00\);_([$$-409]* "-"??_);_(@_)</c:formatCode>
                <c:ptCount val="21"/>
                <c:pt idx="0">
                  <c:v>116.67</c:v>
                </c:pt>
                <c:pt idx="1">
                  <c:v>112.175</c:v>
                </c:pt>
                <c:pt idx="2">
                  <c:v>112.52</c:v>
                </c:pt>
                <c:pt idx="3">
                  <c:v>110.39</c:v>
                </c:pt>
                <c:pt idx="4">
                  <c:v>112.37</c:v>
                </c:pt>
                <c:pt idx="5">
                  <c:v>112.56</c:v>
                </c:pt>
                <c:pt idx="6">
                  <c:v>111.69</c:v>
                </c:pt>
                <c:pt idx="7">
                  <c:v>108.63</c:v>
                </c:pt>
                <c:pt idx="8">
                  <c:v>109.57</c:v>
                </c:pt>
                <c:pt idx="9">
                  <c:v>108.28</c:v>
                </c:pt>
                <c:pt idx="10">
                  <c:v>109.76</c:v>
                </c:pt>
                <c:pt idx="11">
                  <c:v>108.6</c:v>
                </c:pt>
                <c:pt idx="12">
                  <c:v>107.965</c:v>
                </c:pt>
                <c:pt idx="13">
                  <c:v>110.99</c:v>
                </c:pt>
                <c:pt idx="14">
                  <c:v>115.12</c:v>
                </c:pt>
                <c:pt idx="15">
                  <c:v>120.15</c:v>
                </c:pt>
                <c:pt idx="16">
                  <c:v>112</c:v>
                </c:pt>
                <c:pt idx="17">
                  <c:v>111.61</c:v>
                </c:pt>
                <c:pt idx="18">
                  <c:v>111.14</c:v>
                </c:pt>
                <c:pt idx="19">
                  <c:v>109.64</c:v>
                </c:pt>
              </c:numCache>
            </c:numRef>
          </c:val>
          <c:smooth val="0"/>
          <c:extLst>
            <c:ext xmlns:c16="http://schemas.microsoft.com/office/drawing/2014/chart" uri="{C3380CC4-5D6E-409C-BE32-E72D297353CC}">
              <c16:uniqueId val="{00000001-DD3A-4718-B306-A4995118BE2C}"/>
            </c:ext>
          </c:extLst>
        </c:ser>
        <c:ser>
          <c:idx val="2"/>
          <c:order val="2"/>
          <c:tx>
            <c:strRef>
              <c:f>BABA!$D$6</c:f>
              <c:strCache>
                <c:ptCount val="1"/>
                <c:pt idx="0">
                  <c:v>High</c:v>
                </c:pt>
              </c:strCache>
            </c:strRef>
          </c:tx>
          <c:spPr>
            <a:ln w="38100" cap="rnd">
              <a:noFill/>
              <a:round/>
            </a:ln>
            <a:effectLst/>
          </c:spPr>
          <c:marker>
            <c:symbol val="none"/>
          </c:marker>
          <c:cat>
            <c:numRef>
              <c:f>BABA!$A$7:$A$27</c:f>
              <c:numCache>
                <c:formatCode>m/d/yyyy</c:formatCode>
                <c:ptCount val="21"/>
                <c:pt idx="0">
                  <c:v>46265</c:v>
                </c:pt>
                <c:pt idx="1">
                  <c:v>46266</c:v>
                </c:pt>
                <c:pt idx="2">
                  <c:v>46267</c:v>
                </c:pt>
                <c:pt idx="3">
                  <c:v>46268</c:v>
                </c:pt>
                <c:pt idx="4">
                  <c:v>46269</c:v>
                </c:pt>
                <c:pt idx="5">
                  <c:v>46273</c:v>
                </c:pt>
                <c:pt idx="6">
                  <c:v>46274</c:v>
                </c:pt>
                <c:pt idx="7">
                  <c:v>46275</c:v>
                </c:pt>
                <c:pt idx="8">
                  <c:v>46276</c:v>
                </c:pt>
                <c:pt idx="9">
                  <c:v>46279</c:v>
                </c:pt>
                <c:pt idx="10">
                  <c:v>46280</c:v>
                </c:pt>
                <c:pt idx="11">
                  <c:v>46281</c:v>
                </c:pt>
                <c:pt idx="12">
                  <c:v>46282</c:v>
                </c:pt>
                <c:pt idx="13">
                  <c:v>46283</c:v>
                </c:pt>
                <c:pt idx="14">
                  <c:v>46286</c:v>
                </c:pt>
                <c:pt idx="15">
                  <c:v>46287</c:v>
                </c:pt>
                <c:pt idx="16">
                  <c:v>46288</c:v>
                </c:pt>
                <c:pt idx="17">
                  <c:v>46289</c:v>
                </c:pt>
                <c:pt idx="18">
                  <c:v>46290</c:v>
                </c:pt>
                <c:pt idx="19">
                  <c:v>46293</c:v>
                </c:pt>
              </c:numCache>
            </c:numRef>
          </c:cat>
          <c:val>
            <c:numRef>
              <c:f>BABA!$D$7:$D$27</c:f>
              <c:numCache>
                <c:formatCode>_([$$-409]* #,##0.00_);_([$$-409]* \(#,##0.00\);_([$$-409]* "-"??_);_(@_)</c:formatCode>
                <c:ptCount val="21"/>
                <c:pt idx="0">
                  <c:v>116.82680000000001</c:v>
                </c:pt>
                <c:pt idx="1">
                  <c:v>113.855</c:v>
                </c:pt>
                <c:pt idx="2">
                  <c:v>113.07</c:v>
                </c:pt>
                <c:pt idx="3">
                  <c:v>112.06</c:v>
                </c:pt>
                <c:pt idx="4">
                  <c:v>113.41</c:v>
                </c:pt>
                <c:pt idx="5">
                  <c:v>113.11499999999999</c:v>
                </c:pt>
                <c:pt idx="6">
                  <c:v>111.8</c:v>
                </c:pt>
                <c:pt idx="7">
                  <c:v>109.19</c:v>
                </c:pt>
                <c:pt idx="8">
                  <c:v>110.69</c:v>
                </c:pt>
                <c:pt idx="9">
                  <c:v>110.435</c:v>
                </c:pt>
                <c:pt idx="10">
                  <c:v>111.25</c:v>
                </c:pt>
                <c:pt idx="11">
                  <c:v>108.63</c:v>
                </c:pt>
                <c:pt idx="12">
                  <c:v>109.14</c:v>
                </c:pt>
                <c:pt idx="13">
                  <c:v>113.77</c:v>
                </c:pt>
                <c:pt idx="14">
                  <c:v>116.2</c:v>
                </c:pt>
                <c:pt idx="15">
                  <c:v>120.4</c:v>
                </c:pt>
                <c:pt idx="16">
                  <c:v>112.28</c:v>
                </c:pt>
                <c:pt idx="17">
                  <c:v>111.98</c:v>
                </c:pt>
                <c:pt idx="18">
                  <c:v>111.22499999999999</c:v>
                </c:pt>
                <c:pt idx="19">
                  <c:v>110.12</c:v>
                </c:pt>
              </c:numCache>
            </c:numRef>
          </c:val>
          <c:smooth val="0"/>
          <c:extLst>
            <c:ext xmlns:c16="http://schemas.microsoft.com/office/drawing/2014/chart" uri="{C3380CC4-5D6E-409C-BE32-E72D297353CC}">
              <c16:uniqueId val="{00000002-DD3A-4718-B306-A4995118BE2C}"/>
            </c:ext>
          </c:extLst>
        </c:ser>
        <c:ser>
          <c:idx val="3"/>
          <c:order val="3"/>
          <c:tx>
            <c:strRef>
              <c:f>BABA!$E$6</c:f>
              <c:strCache>
                <c:ptCount val="1"/>
                <c:pt idx="0">
                  <c:v>Low</c:v>
                </c:pt>
              </c:strCache>
            </c:strRef>
          </c:tx>
          <c:spPr>
            <a:ln w="38100" cap="rnd">
              <a:noFill/>
              <a:round/>
            </a:ln>
            <a:effectLst/>
          </c:spPr>
          <c:marker>
            <c:symbol val="none"/>
          </c:marker>
          <c:cat>
            <c:numRef>
              <c:f>BABA!$A$7:$A$27</c:f>
              <c:numCache>
                <c:formatCode>m/d/yyyy</c:formatCode>
                <c:ptCount val="21"/>
                <c:pt idx="0">
                  <c:v>46265</c:v>
                </c:pt>
                <c:pt idx="1">
                  <c:v>46266</c:v>
                </c:pt>
                <c:pt idx="2">
                  <c:v>46267</c:v>
                </c:pt>
                <c:pt idx="3">
                  <c:v>46268</c:v>
                </c:pt>
                <c:pt idx="4">
                  <c:v>46269</c:v>
                </c:pt>
                <c:pt idx="5">
                  <c:v>46273</c:v>
                </c:pt>
                <c:pt idx="6">
                  <c:v>46274</c:v>
                </c:pt>
                <c:pt idx="7">
                  <c:v>46275</c:v>
                </c:pt>
                <c:pt idx="8">
                  <c:v>46276</c:v>
                </c:pt>
                <c:pt idx="9">
                  <c:v>46279</c:v>
                </c:pt>
                <c:pt idx="10">
                  <c:v>46280</c:v>
                </c:pt>
                <c:pt idx="11">
                  <c:v>46281</c:v>
                </c:pt>
                <c:pt idx="12">
                  <c:v>46282</c:v>
                </c:pt>
                <c:pt idx="13">
                  <c:v>46283</c:v>
                </c:pt>
                <c:pt idx="14">
                  <c:v>46286</c:v>
                </c:pt>
                <c:pt idx="15">
                  <c:v>46287</c:v>
                </c:pt>
                <c:pt idx="16">
                  <c:v>46288</c:v>
                </c:pt>
                <c:pt idx="17">
                  <c:v>46289</c:v>
                </c:pt>
                <c:pt idx="18">
                  <c:v>46290</c:v>
                </c:pt>
                <c:pt idx="19">
                  <c:v>46293</c:v>
                </c:pt>
              </c:numCache>
            </c:numRef>
          </c:cat>
          <c:val>
            <c:numRef>
              <c:f>BABA!$E$7:$E$27</c:f>
              <c:numCache>
                <c:formatCode>_([$$-409]* #,##0.00_);_([$$-409]* \(#,##0.00\);_([$$-409]* "-"??_);_(@_)</c:formatCode>
                <c:ptCount val="21"/>
                <c:pt idx="0">
                  <c:v>113.93</c:v>
                </c:pt>
                <c:pt idx="1">
                  <c:v>112.0655</c:v>
                </c:pt>
                <c:pt idx="2">
                  <c:v>111.53</c:v>
                </c:pt>
                <c:pt idx="3">
                  <c:v>109.67</c:v>
                </c:pt>
                <c:pt idx="4">
                  <c:v>111.97</c:v>
                </c:pt>
                <c:pt idx="5">
                  <c:v>111.2683</c:v>
                </c:pt>
                <c:pt idx="6">
                  <c:v>109.39</c:v>
                </c:pt>
                <c:pt idx="7">
                  <c:v>107.72</c:v>
                </c:pt>
                <c:pt idx="8">
                  <c:v>109</c:v>
                </c:pt>
                <c:pt idx="9">
                  <c:v>107.83</c:v>
                </c:pt>
                <c:pt idx="10">
                  <c:v>109.28</c:v>
                </c:pt>
                <c:pt idx="11">
                  <c:v>106.64</c:v>
                </c:pt>
                <c:pt idx="12">
                  <c:v>107.31</c:v>
                </c:pt>
                <c:pt idx="13">
                  <c:v>110.85</c:v>
                </c:pt>
                <c:pt idx="14">
                  <c:v>113.35</c:v>
                </c:pt>
                <c:pt idx="15">
                  <c:v>116.06</c:v>
                </c:pt>
                <c:pt idx="16">
                  <c:v>110.59099999999999</c:v>
                </c:pt>
                <c:pt idx="17">
                  <c:v>110.12</c:v>
                </c:pt>
                <c:pt idx="18">
                  <c:v>109.56</c:v>
                </c:pt>
                <c:pt idx="19">
                  <c:v>108.76</c:v>
                </c:pt>
              </c:numCache>
            </c:numRef>
          </c:val>
          <c:smooth val="0"/>
          <c:extLst>
            <c:ext xmlns:c16="http://schemas.microsoft.com/office/drawing/2014/chart" uri="{C3380CC4-5D6E-409C-BE32-E72D297353CC}">
              <c16:uniqueId val="{00000003-DD3A-4718-B306-A4995118BE2C}"/>
            </c:ext>
          </c:extLst>
        </c:ser>
        <c:ser>
          <c:idx val="4"/>
          <c:order val="4"/>
          <c:tx>
            <c:strRef>
              <c:f>BABA!$F$6</c:f>
              <c:strCache>
                <c:ptCount val="1"/>
                <c:pt idx="0">
                  <c:v>Close</c:v>
                </c:pt>
              </c:strCache>
            </c:strRef>
          </c:tx>
          <c:spPr>
            <a:ln w="38100" cap="rnd">
              <a:noFill/>
              <a:round/>
            </a:ln>
            <a:effectLst/>
          </c:spPr>
          <c:marker>
            <c:symbol val="none"/>
          </c:marker>
          <c:cat>
            <c:numRef>
              <c:f>BABA!$A$7:$A$27</c:f>
              <c:numCache>
                <c:formatCode>m/d/yyyy</c:formatCode>
                <c:ptCount val="21"/>
                <c:pt idx="0">
                  <c:v>46265</c:v>
                </c:pt>
                <c:pt idx="1">
                  <c:v>46266</c:v>
                </c:pt>
                <c:pt idx="2">
                  <c:v>46267</c:v>
                </c:pt>
                <c:pt idx="3">
                  <c:v>46268</c:v>
                </c:pt>
                <c:pt idx="4">
                  <c:v>46269</c:v>
                </c:pt>
                <c:pt idx="5">
                  <c:v>46273</c:v>
                </c:pt>
                <c:pt idx="6">
                  <c:v>46274</c:v>
                </c:pt>
                <c:pt idx="7">
                  <c:v>46275</c:v>
                </c:pt>
                <c:pt idx="8">
                  <c:v>46276</c:v>
                </c:pt>
                <c:pt idx="9">
                  <c:v>46279</c:v>
                </c:pt>
                <c:pt idx="10">
                  <c:v>46280</c:v>
                </c:pt>
                <c:pt idx="11">
                  <c:v>46281</c:v>
                </c:pt>
                <c:pt idx="12">
                  <c:v>46282</c:v>
                </c:pt>
                <c:pt idx="13">
                  <c:v>46283</c:v>
                </c:pt>
                <c:pt idx="14">
                  <c:v>46286</c:v>
                </c:pt>
                <c:pt idx="15">
                  <c:v>46287</c:v>
                </c:pt>
                <c:pt idx="16">
                  <c:v>46288</c:v>
                </c:pt>
                <c:pt idx="17">
                  <c:v>46289</c:v>
                </c:pt>
                <c:pt idx="18">
                  <c:v>46290</c:v>
                </c:pt>
                <c:pt idx="19">
                  <c:v>46293</c:v>
                </c:pt>
              </c:numCache>
            </c:numRef>
          </c:cat>
          <c:val>
            <c:numRef>
              <c:f>BABA!$F$7:$F$27</c:f>
              <c:numCache>
                <c:formatCode>_([$$-409]* #,##0.00_);_([$$-409]* \(#,##0.00\);_([$$-409]* "-"??_);_(@_)</c:formatCode>
                <c:ptCount val="21"/>
                <c:pt idx="0">
                  <c:v>114.02</c:v>
                </c:pt>
                <c:pt idx="1">
                  <c:v>112.85</c:v>
                </c:pt>
                <c:pt idx="2">
                  <c:v>111.81</c:v>
                </c:pt>
                <c:pt idx="3">
                  <c:v>111.81</c:v>
                </c:pt>
                <c:pt idx="4">
                  <c:v>113.24</c:v>
                </c:pt>
                <c:pt idx="5">
                  <c:v>112.66</c:v>
                </c:pt>
                <c:pt idx="6">
                  <c:v>109.4</c:v>
                </c:pt>
                <c:pt idx="7">
                  <c:v>108.56</c:v>
                </c:pt>
                <c:pt idx="8">
                  <c:v>109.3</c:v>
                </c:pt>
                <c:pt idx="9">
                  <c:v>109.23</c:v>
                </c:pt>
                <c:pt idx="10">
                  <c:v>109.34</c:v>
                </c:pt>
                <c:pt idx="11">
                  <c:v>107.27</c:v>
                </c:pt>
                <c:pt idx="12">
                  <c:v>108.54</c:v>
                </c:pt>
                <c:pt idx="13">
                  <c:v>113.24</c:v>
                </c:pt>
                <c:pt idx="14">
                  <c:v>115.75</c:v>
                </c:pt>
                <c:pt idx="15">
                  <c:v>116.31</c:v>
                </c:pt>
                <c:pt idx="16">
                  <c:v>110.8</c:v>
                </c:pt>
                <c:pt idx="17">
                  <c:v>110.63</c:v>
                </c:pt>
                <c:pt idx="18">
                  <c:v>109.74</c:v>
                </c:pt>
                <c:pt idx="19">
                  <c:v>108.76</c:v>
                </c:pt>
              </c:numCache>
            </c:numRef>
          </c:val>
          <c:smooth val="0"/>
          <c:extLst>
            <c:ext xmlns:c16="http://schemas.microsoft.com/office/drawing/2014/chart" uri="{C3380CC4-5D6E-409C-BE32-E72D297353CC}">
              <c16:uniqueId val="{00000004-DD3A-4718-B306-A4995118BE2C}"/>
            </c:ext>
          </c:extLst>
        </c:ser>
        <c:dLbls>
          <c:showLegendKey val="0"/>
          <c:showVal val="0"/>
          <c:showCatName val="0"/>
          <c:showSerName val="0"/>
          <c:showPercent val="0"/>
          <c:showBubbleSize val="0"/>
        </c:dLbls>
        <c:hiLowLines>
          <c:spPr>
            <a:ln w="9525" cap="flat" cmpd="sng" algn="ctr">
              <a:solidFill>
                <a:schemeClr val="tx1">
                  <a:lumMod val="75000"/>
                  <a:lumOff val="25000"/>
                </a:schemeClr>
              </a:solidFill>
              <a:round/>
            </a:ln>
            <a:effectLst/>
          </c:spPr>
        </c:hiLowLines>
        <c:upDownBars>
          <c:gapWidth val="150"/>
          <c:upBars>
            <c:spPr>
              <a:solidFill>
                <a:schemeClr val="lt1"/>
              </a:solidFill>
              <a:ln w="9525" cap="flat" cmpd="sng" algn="ctr">
                <a:solidFill>
                  <a:schemeClr val="tx1">
                    <a:lumMod val="65000"/>
                    <a:lumOff val="35000"/>
                  </a:schemeClr>
                </a:solidFill>
                <a:round/>
              </a:ln>
              <a:effectLst/>
            </c:spPr>
          </c:upBars>
          <c:downBars>
            <c:spPr>
              <a:solidFill>
                <a:schemeClr val="dk1">
                  <a:lumMod val="75000"/>
                  <a:lumOff val="25000"/>
                </a:schemeClr>
              </a:solidFill>
              <a:ln w="9525" cap="flat" cmpd="sng" algn="ctr">
                <a:solidFill>
                  <a:schemeClr val="tx1">
                    <a:lumMod val="65000"/>
                    <a:lumOff val="35000"/>
                  </a:schemeClr>
                </a:solidFill>
                <a:round/>
              </a:ln>
              <a:effectLst/>
            </c:spPr>
          </c:downBars>
        </c:upDownBars>
        <c:axId val="1069521743"/>
        <c:axId val="1069519343"/>
      </c:stockChart>
      <c:dateAx>
        <c:axId val="1069529423"/>
        <c:scaling>
          <c:orientation val="minMax"/>
        </c:scaling>
        <c:delete val="0"/>
        <c:axPos val="b"/>
        <c:numFmt formatCode="d\-mmm"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crossAx val="1069531343"/>
        <c:crosses val="autoZero"/>
        <c:auto val="1"/>
        <c:lblOffset val="100"/>
        <c:baseTimeUnit val="days"/>
      </c:dateAx>
      <c:valAx>
        <c:axId val="1069531343"/>
        <c:scaling>
          <c:orientation val="minMax"/>
        </c:scaling>
        <c:delete val="0"/>
        <c:axPos val="l"/>
        <c:majorGridlines>
          <c:spPr>
            <a:ln w="9525" cap="flat" cmpd="sng" algn="ctr">
              <a:solidFill>
                <a:schemeClr val="tx1">
                  <a:lumMod val="15000"/>
                  <a:lumOff val="85000"/>
                </a:schemeClr>
              </a:solidFill>
              <a:round/>
            </a:ln>
            <a:effectLst/>
          </c:spPr>
        </c:majorGridlines>
        <c:numFmt formatCode="#,##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crossAx val="1069529423"/>
        <c:crosses val="autoZero"/>
        <c:crossBetween val="between"/>
      </c:valAx>
      <c:valAx>
        <c:axId val="1069519343"/>
        <c:scaling>
          <c:orientation val="minMax"/>
        </c:scaling>
        <c:delete val="0"/>
        <c:axPos val="r"/>
        <c:majorGridlines>
          <c:spPr>
            <a:ln w="9525" cap="flat" cmpd="sng" algn="ctr">
              <a:solidFill>
                <a:schemeClr val="tx1">
                  <a:lumMod val="15000"/>
                  <a:lumOff val="85000"/>
                </a:schemeClr>
              </a:solidFill>
              <a:round/>
            </a:ln>
            <a:effectLst/>
          </c:spPr>
        </c:majorGridlines>
        <c:numFmt formatCode="_([$$-409]* #,##0.00_);_([$$-409]* \(#,##0.00\);_([$$-4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crossAx val="1069521743"/>
        <c:crosses val="max"/>
        <c:crossBetween val="between"/>
      </c:valAx>
      <c:dateAx>
        <c:axId val="1069521743"/>
        <c:scaling>
          <c:orientation val="minMax"/>
        </c:scaling>
        <c:delete val="1"/>
        <c:axPos val="b"/>
        <c:numFmt formatCode="m/d/yyyy" sourceLinked="1"/>
        <c:majorTickMark val="out"/>
        <c:minorTickMark val="none"/>
        <c:tickLblPos val="nextTo"/>
        <c:crossAx val="1069519343"/>
        <c:crosses val="autoZero"/>
        <c:auto val="1"/>
        <c:lblOffset val="100"/>
        <c:baseTimeUnit val="days"/>
      </c:date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1"/>
      </a:pPr>
      <a:endParaRPr lang="en-KE"/>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BAC!$B$1</c:f>
          <c:strCache>
            <c:ptCount val="1"/>
            <c:pt idx="0">
              <c:v>BANK OF AMERICA CORPORATION (XNYS:BAC)</c:v>
            </c:pt>
          </c:strCache>
        </c:strRef>
      </c:tx>
      <c:layout>
        <c:manualLayout>
          <c:xMode val="edge"/>
          <c:yMode val="edge"/>
          <c:x val="0.23316712421039931"/>
          <c:y val="1.537475666723699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lotArea>
      <c:layout/>
      <c:barChart>
        <c:barDir val="col"/>
        <c:grouping val="clustered"/>
        <c:varyColors val="0"/>
        <c:ser>
          <c:idx val="0"/>
          <c:order val="0"/>
          <c:tx>
            <c:strRef>
              <c:f>BABA!$B$6</c:f>
              <c:strCache>
                <c:ptCount val="1"/>
                <c:pt idx="0">
                  <c:v>Volume</c:v>
                </c:pt>
              </c:strCache>
            </c:strRef>
          </c:tx>
          <c:spPr>
            <a:solidFill>
              <a:schemeClr val="accent1"/>
            </a:solidFill>
            <a:ln w="38100">
              <a:noFill/>
            </a:ln>
            <a:effectLst/>
          </c:spPr>
          <c:invertIfNegative val="0"/>
          <c:cat>
            <c:numRef>
              <c:f>BABA!$A$7:$A$27</c:f>
              <c:numCache>
                <c:formatCode>m/d/yyyy</c:formatCode>
                <c:ptCount val="21"/>
                <c:pt idx="0">
                  <c:v>46265</c:v>
                </c:pt>
                <c:pt idx="1">
                  <c:v>46266</c:v>
                </c:pt>
                <c:pt idx="2">
                  <c:v>46267</c:v>
                </c:pt>
                <c:pt idx="3">
                  <c:v>46268</c:v>
                </c:pt>
                <c:pt idx="4">
                  <c:v>46269</c:v>
                </c:pt>
                <c:pt idx="5">
                  <c:v>46273</c:v>
                </c:pt>
                <c:pt idx="6">
                  <c:v>46274</c:v>
                </c:pt>
                <c:pt idx="7">
                  <c:v>46275</c:v>
                </c:pt>
                <c:pt idx="8">
                  <c:v>46276</c:v>
                </c:pt>
                <c:pt idx="9">
                  <c:v>46279</c:v>
                </c:pt>
                <c:pt idx="10">
                  <c:v>46280</c:v>
                </c:pt>
                <c:pt idx="11">
                  <c:v>46281</c:v>
                </c:pt>
                <c:pt idx="12">
                  <c:v>46282</c:v>
                </c:pt>
                <c:pt idx="13">
                  <c:v>46283</c:v>
                </c:pt>
                <c:pt idx="14">
                  <c:v>46286</c:v>
                </c:pt>
                <c:pt idx="15">
                  <c:v>46287</c:v>
                </c:pt>
                <c:pt idx="16">
                  <c:v>46288</c:v>
                </c:pt>
                <c:pt idx="17">
                  <c:v>46289</c:v>
                </c:pt>
                <c:pt idx="18">
                  <c:v>46290</c:v>
                </c:pt>
                <c:pt idx="19">
                  <c:v>46293</c:v>
                </c:pt>
              </c:numCache>
            </c:numRef>
          </c:cat>
          <c:val>
            <c:numRef>
              <c:f>BABA!$B$7:$B$27</c:f>
              <c:numCache>
                <c:formatCode>#,##0</c:formatCode>
                <c:ptCount val="21"/>
                <c:pt idx="0">
                  <c:v>9340068</c:v>
                </c:pt>
                <c:pt idx="1">
                  <c:v>9865205</c:v>
                </c:pt>
                <c:pt idx="2">
                  <c:v>6875197</c:v>
                </c:pt>
                <c:pt idx="3">
                  <c:v>8604955</c:v>
                </c:pt>
                <c:pt idx="4">
                  <c:v>7182522</c:v>
                </c:pt>
                <c:pt idx="5">
                  <c:v>6965707</c:v>
                </c:pt>
                <c:pt idx="6">
                  <c:v>9100923</c:v>
                </c:pt>
                <c:pt idx="7">
                  <c:v>6572796</c:v>
                </c:pt>
                <c:pt idx="8">
                  <c:v>4882700</c:v>
                </c:pt>
                <c:pt idx="9">
                  <c:v>6946666</c:v>
                </c:pt>
                <c:pt idx="10">
                  <c:v>6739481</c:v>
                </c:pt>
                <c:pt idx="11">
                  <c:v>7345873</c:v>
                </c:pt>
                <c:pt idx="12">
                  <c:v>8725550</c:v>
                </c:pt>
                <c:pt idx="13">
                  <c:v>13250900</c:v>
                </c:pt>
                <c:pt idx="14">
                  <c:v>9540664</c:v>
                </c:pt>
                <c:pt idx="15">
                  <c:v>14786015</c:v>
                </c:pt>
                <c:pt idx="16">
                  <c:v>12223741</c:v>
                </c:pt>
                <c:pt idx="17">
                  <c:v>7453523</c:v>
                </c:pt>
                <c:pt idx="18">
                  <c:v>5926901</c:v>
                </c:pt>
                <c:pt idx="19">
                  <c:v>5876156</c:v>
                </c:pt>
              </c:numCache>
            </c:numRef>
          </c:val>
          <c:extLst>
            <c:ext xmlns:c16="http://schemas.microsoft.com/office/drawing/2014/chart" uri="{C3380CC4-5D6E-409C-BE32-E72D297353CC}">
              <c16:uniqueId val="{00000000-5DA2-4826-A768-74521B0A6A55}"/>
            </c:ext>
          </c:extLst>
        </c:ser>
        <c:dLbls>
          <c:showLegendKey val="0"/>
          <c:showVal val="0"/>
          <c:showCatName val="0"/>
          <c:showSerName val="0"/>
          <c:showPercent val="0"/>
          <c:showBubbleSize val="0"/>
        </c:dLbls>
        <c:gapWidth val="150"/>
        <c:axId val="1641718448"/>
        <c:axId val="1641718928"/>
      </c:barChart>
      <c:stockChart>
        <c:ser>
          <c:idx val="1"/>
          <c:order val="1"/>
          <c:tx>
            <c:strRef>
              <c:f>BABA!$C$6</c:f>
              <c:strCache>
                <c:ptCount val="1"/>
                <c:pt idx="0">
                  <c:v>Open</c:v>
                </c:pt>
              </c:strCache>
            </c:strRef>
          </c:tx>
          <c:spPr>
            <a:ln w="38100" cap="rnd">
              <a:noFill/>
              <a:round/>
            </a:ln>
            <a:effectLst/>
          </c:spPr>
          <c:marker>
            <c:symbol val="none"/>
          </c:marker>
          <c:cat>
            <c:numRef>
              <c:f>BABA!$A$7:$A$27</c:f>
              <c:numCache>
                <c:formatCode>m/d/yyyy</c:formatCode>
                <c:ptCount val="21"/>
                <c:pt idx="0">
                  <c:v>46265</c:v>
                </c:pt>
                <c:pt idx="1">
                  <c:v>46266</c:v>
                </c:pt>
                <c:pt idx="2">
                  <c:v>46267</c:v>
                </c:pt>
                <c:pt idx="3">
                  <c:v>46268</c:v>
                </c:pt>
                <c:pt idx="4">
                  <c:v>46269</c:v>
                </c:pt>
                <c:pt idx="5">
                  <c:v>46273</c:v>
                </c:pt>
                <c:pt idx="6">
                  <c:v>46274</c:v>
                </c:pt>
                <c:pt idx="7">
                  <c:v>46275</c:v>
                </c:pt>
                <c:pt idx="8">
                  <c:v>46276</c:v>
                </c:pt>
                <c:pt idx="9">
                  <c:v>46279</c:v>
                </c:pt>
                <c:pt idx="10">
                  <c:v>46280</c:v>
                </c:pt>
                <c:pt idx="11">
                  <c:v>46281</c:v>
                </c:pt>
                <c:pt idx="12">
                  <c:v>46282</c:v>
                </c:pt>
                <c:pt idx="13">
                  <c:v>46283</c:v>
                </c:pt>
                <c:pt idx="14">
                  <c:v>46286</c:v>
                </c:pt>
                <c:pt idx="15">
                  <c:v>46287</c:v>
                </c:pt>
                <c:pt idx="16">
                  <c:v>46288</c:v>
                </c:pt>
                <c:pt idx="17">
                  <c:v>46289</c:v>
                </c:pt>
                <c:pt idx="18">
                  <c:v>46290</c:v>
                </c:pt>
                <c:pt idx="19">
                  <c:v>46293</c:v>
                </c:pt>
              </c:numCache>
            </c:numRef>
          </c:cat>
          <c:val>
            <c:numRef>
              <c:f>BABA!$C$7:$C$27</c:f>
              <c:numCache>
                <c:formatCode>_([$$-409]* #,##0.00_);_([$$-409]* \(#,##0.00\);_([$$-409]* "-"??_);_(@_)</c:formatCode>
                <c:ptCount val="21"/>
                <c:pt idx="0">
                  <c:v>116.67</c:v>
                </c:pt>
                <c:pt idx="1">
                  <c:v>112.175</c:v>
                </c:pt>
                <c:pt idx="2">
                  <c:v>112.52</c:v>
                </c:pt>
                <c:pt idx="3">
                  <c:v>110.39</c:v>
                </c:pt>
                <c:pt idx="4">
                  <c:v>112.37</c:v>
                </c:pt>
                <c:pt idx="5">
                  <c:v>112.56</c:v>
                </c:pt>
                <c:pt idx="6">
                  <c:v>111.69</c:v>
                </c:pt>
                <c:pt idx="7">
                  <c:v>108.63</c:v>
                </c:pt>
                <c:pt idx="8">
                  <c:v>109.57</c:v>
                </c:pt>
                <c:pt idx="9">
                  <c:v>108.28</c:v>
                </c:pt>
                <c:pt idx="10">
                  <c:v>109.76</c:v>
                </c:pt>
                <c:pt idx="11">
                  <c:v>108.6</c:v>
                </c:pt>
                <c:pt idx="12">
                  <c:v>107.965</c:v>
                </c:pt>
                <c:pt idx="13">
                  <c:v>110.99</c:v>
                </c:pt>
                <c:pt idx="14">
                  <c:v>115.12</c:v>
                </c:pt>
                <c:pt idx="15">
                  <c:v>120.15</c:v>
                </c:pt>
                <c:pt idx="16">
                  <c:v>112</c:v>
                </c:pt>
                <c:pt idx="17">
                  <c:v>111.61</c:v>
                </c:pt>
                <c:pt idx="18">
                  <c:v>111.14</c:v>
                </c:pt>
                <c:pt idx="19">
                  <c:v>109.64</c:v>
                </c:pt>
              </c:numCache>
            </c:numRef>
          </c:val>
          <c:smooth val="0"/>
          <c:extLst>
            <c:ext xmlns:c16="http://schemas.microsoft.com/office/drawing/2014/chart" uri="{C3380CC4-5D6E-409C-BE32-E72D297353CC}">
              <c16:uniqueId val="{00000001-5DA2-4826-A768-74521B0A6A55}"/>
            </c:ext>
          </c:extLst>
        </c:ser>
        <c:ser>
          <c:idx val="2"/>
          <c:order val="2"/>
          <c:tx>
            <c:strRef>
              <c:f>BABA!$D$6</c:f>
              <c:strCache>
                <c:ptCount val="1"/>
                <c:pt idx="0">
                  <c:v>High</c:v>
                </c:pt>
              </c:strCache>
            </c:strRef>
          </c:tx>
          <c:spPr>
            <a:ln w="38100" cap="rnd">
              <a:noFill/>
              <a:round/>
            </a:ln>
            <a:effectLst/>
          </c:spPr>
          <c:marker>
            <c:symbol val="none"/>
          </c:marker>
          <c:cat>
            <c:numRef>
              <c:f>BABA!$A$7:$A$27</c:f>
              <c:numCache>
                <c:formatCode>m/d/yyyy</c:formatCode>
                <c:ptCount val="21"/>
                <c:pt idx="0">
                  <c:v>46265</c:v>
                </c:pt>
                <c:pt idx="1">
                  <c:v>46266</c:v>
                </c:pt>
                <c:pt idx="2">
                  <c:v>46267</c:v>
                </c:pt>
                <c:pt idx="3">
                  <c:v>46268</c:v>
                </c:pt>
                <c:pt idx="4">
                  <c:v>46269</c:v>
                </c:pt>
                <c:pt idx="5">
                  <c:v>46273</c:v>
                </c:pt>
                <c:pt idx="6">
                  <c:v>46274</c:v>
                </c:pt>
                <c:pt idx="7">
                  <c:v>46275</c:v>
                </c:pt>
                <c:pt idx="8">
                  <c:v>46276</c:v>
                </c:pt>
                <c:pt idx="9">
                  <c:v>46279</c:v>
                </c:pt>
                <c:pt idx="10">
                  <c:v>46280</c:v>
                </c:pt>
                <c:pt idx="11">
                  <c:v>46281</c:v>
                </c:pt>
                <c:pt idx="12">
                  <c:v>46282</c:v>
                </c:pt>
                <c:pt idx="13">
                  <c:v>46283</c:v>
                </c:pt>
                <c:pt idx="14">
                  <c:v>46286</c:v>
                </c:pt>
                <c:pt idx="15">
                  <c:v>46287</c:v>
                </c:pt>
                <c:pt idx="16">
                  <c:v>46288</c:v>
                </c:pt>
                <c:pt idx="17">
                  <c:v>46289</c:v>
                </c:pt>
                <c:pt idx="18">
                  <c:v>46290</c:v>
                </c:pt>
                <c:pt idx="19">
                  <c:v>46293</c:v>
                </c:pt>
              </c:numCache>
            </c:numRef>
          </c:cat>
          <c:val>
            <c:numRef>
              <c:f>BABA!$D$7:$D$27</c:f>
              <c:numCache>
                <c:formatCode>_([$$-409]* #,##0.00_);_([$$-409]* \(#,##0.00\);_([$$-409]* "-"??_);_(@_)</c:formatCode>
                <c:ptCount val="21"/>
                <c:pt idx="0">
                  <c:v>116.82680000000001</c:v>
                </c:pt>
                <c:pt idx="1">
                  <c:v>113.855</c:v>
                </c:pt>
                <c:pt idx="2">
                  <c:v>113.07</c:v>
                </c:pt>
                <c:pt idx="3">
                  <c:v>112.06</c:v>
                </c:pt>
                <c:pt idx="4">
                  <c:v>113.41</c:v>
                </c:pt>
                <c:pt idx="5">
                  <c:v>113.11499999999999</c:v>
                </c:pt>
                <c:pt idx="6">
                  <c:v>111.8</c:v>
                </c:pt>
                <c:pt idx="7">
                  <c:v>109.19</c:v>
                </c:pt>
                <c:pt idx="8">
                  <c:v>110.69</c:v>
                </c:pt>
                <c:pt idx="9">
                  <c:v>110.435</c:v>
                </c:pt>
                <c:pt idx="10">
                  <c:v>111.25</c:v>
                </c:pt>
                <c:pt idx="11">
                  <c:v>108.63</c:v>
                </c:pt>
                <c:pt idx="12">
                  <c:v>109.14</c:v>
                </c:pt>
                <c:pt idx="13">
                  <c:v>113.77</c:v>
                </c:pt>
                <c:pt idx="14">
                  <c:v>116.2</c:v>
                </c:pt>
                <c:pt idx="15">
                  <c:v>120.4</c:v>
                </c:pt>
                <c:pt idx="16">
                  <c:v>112.28</c:v>
                </c:pt>
                <c:pt idx="17">
                  <c:v>111.98</c:v>
                </c:pt>
                <c:pt idx="18">
                  <c:v>111.22499999999999</c:v>
                </c:pt>
                <c:pt idx="19">
                  <c:v>110.12</c:v>
                </c:pt>
              </c:numCache>
            </c:numRef>
          </c:val>
          <c:smooth val="0"/>
          <c:extLst>
            <c:ext xmlns:c16="http://schemas.microsoft.com/office/drawing/2014/chart" uri="{C3380CC4-5D6E-409C-BE32-E72D297353CC}">
              <c16:uniqueId val="{00000002-5DA2-4826-A768-74521B0A6A55}"/>
            </c:ext>
          </c:extLst>
        </c:ser>
        <c:ser>
          <c:idx val="3"/>
          <c:order val="3"/>
          <c:tx>
            <c:strRef>
              <c:f>BABA!$E$6</c:f>
              <c:strCache>
                <c:ptCount val="1"/>
                <c:pt idx="0">
                  <c:v>Low</c:v>
                </c:pt>
              </c:strCache>
            </c:strRef>
          </c:tx>
          <c:spPr>
            <a:ln w="38100" cap="rnd">
              <a:noFill/>
              <a:round/>
            </a:ln>
            <a:effectLst/>
          </c:spPr>
          <c:marker>
            <c:symbol val="none"/>
          </c:marker>
          <c:cat>
            <c:numRef>
              <c:f>BABA!$A$7:$A$27</c:f>
              <c:numCache>
                <c:formatCode>m/d/yyyy</c:formatCode>
                <c:ptCount val="21"/>
                <c:pt idx="0">
                  <c:v>46265</c:v>
                </c:pt>
                <c:pt idx="1">
                  <c:v>46266</c:v>
                </c:pt>
                <c:pt idx="2">
                  <c:v>46267</c:v>
                </c:pt>
                <c:pt idx="3">
                  <c:v>46268</c:v>
                </c:pt>
                <c:pt idx="4">
                  <c:v>46269</c:v>
                </c:pt>
                <c:pt idx="5">
                  <c:v>46273</c:v>
                </c:pt>
                <c:pt idx="6">
                  <c:v>46274</c:v>
                </c:pt>
                <c:pt idx="7">
                  <c:v>46275</c:v>
                </c:pt>
                <c:pt idx="8">
                  <c:v>46276</c:v>
                </c:pt>
                <c:pt idx="9">
                  <c:v>46279</c:v>
                </c:pt>
                <c:pt idx="10">
                  <c:v>46280</c:v>
                </c:pt>
                <c:pt idx="11">
                  <c:v>46281</c:v>
                </c:pt>
                <c:pt idx="12">
                  <c:v>46282</c:v>
                </c:pt>
                <c:pt idx="13">
                  <c:v>46283</c:v>
                </c:pt>
                <c:pt idx="14">
                  <c:v>46286</c:v>
                </c:pt>
                <c:pt idx="15">
                  <c:v>46287</c:v>
                </c:pt>
                <c:pt idx="16">
                  <c:v>46288</c:v>
                </c:pt>
                <c:pt idx="17">
                  <c:v>46289</c:v>
                </c:pt>
                <c:pt idx="18">
                  <c:v>46290</c:v>
                </c:pt>
                <c:pt idx="19">
                  <c:v>46293</c:v>
                </c:pt>
              </c:numCache>
            </c:numRef>
          </c:cat>
          <c:val>
            <c:numRef>
              <c:f>BABA!$E$7:$E$27</c:f>
              <c:numCache>
                <c:formatCode>_([$$-409]* #,##0.00_);_([$$-409]* \(#,##0.00\);_([$$-409]* "-"??_);_(@_)</c:formatCode>
                <c:ptCount val="21"/>
                <c:pt idx="0">
                  <c:v>113.93</c:v>
                </c:pt>
                <c:pt idx="1">
                  <c:v>112.0655</c:v>
                </c:pt>
                <c:pt idx="2">
                  <c:v>111.53</c:v>
                </c:pt>
                <c:pt idx="3">
                  <c:v>109.67</c:v>
                </c:pt>
                <c:pt idx="4">
                  <c:v>111.97</c:v>
                </c:pt>
                <c:pt idx="5">
                  <c:v>111.2683</c:v>
                </c:pt>
                <c:pt idx="6">
                  <c:v>109.39</c:v>
                </c:pt>
                <c:pt idx="7">
                  <c:v>107.72</c:v>
                </c:pt>
                <c:pt idx="8">
                  <c:v>109</c:v>
                </c:pt>
                <c:pt idx="9">
                  <c:v>107.83</c:v>
                </c:pt>
                <c:pt idx="10">
                  <c:v>109.28</c:v>
                </c:pt>
                <c:pt idx="11">
                  <c:v>106.64</c:v>
                </c:pt>
                <c:pt idx="12">
                  <c:v>107.31</c:v>
                </c:pt>
                <c:pt idx="13">
                  <c:v>110.85</c:v>
                </c:pt>
                <c:pt idx="14">
                  <c:v>113.35</c:v>
                </c:pt>
                <c:pt idx="15">
                  <c:v>116.06</c:v>
                </c:pt>
                <c:pt idx="16">
                  <c:v>110.59099999999999</c:v>
                </c:pt>
                <c:pt idx="17">
                  <c:v>110.12</c:v>
                </c:pt>
                <c:pt idx="18">
                  <c:v>109.56</c:v>
                </c:pt>
                <c:pt idx="19">
                  <c:v>108.76</c:v>
                </c:pt>
              </c:numCache>
            </c:numRef>
          </c:val>
          <c:smooth val="0"/>
          <c:extLst>
            <c:ext xmlns:c16="http://schemas.microsoft.com/office/drawing/2014/chart" uri="{C3380CC4-5D6E-409C-BE32-E72D297353CC}">
              <c16:uniqueId val="{00000003-5DA2-4826-A768-74521B0A6A55}"/>
            </c:ext>
          </c:extLst>
        </c:ser>
        <c:ser>
          <c:idx val="4"/>
          <c:order val="4"/>
          <c:tx>
            <c:strRef>
              <c:f>BABA!$F$6</c:f>
              <c:strCache>
                <c:ptCount val="1"/>
                <c:pt idx="0">
                  <c:v>Close</c:v>
                </c:pt>
              </c:strCache>
            </c:strRef>
          </c:tx>
          <c:spPr>
            <a:ln w="38100" cap="rnd">
              <a:noFill/>
              <a:round/>
            </a:ln>
            <a:effectLst/>
          </c:spPr>
          <c:marker>
            <c:symbol val="none"/>
          </c:marker>
          <c:cat>
            <c:numRef>
              <c:f>BABA!$A$7:$A$27</c:f>
              <c:numCache>
                <c:formatCode>m/d/yyyy</c:formatCode>
                <c:ptCount val="21"/>
                <c:pt idx="0">
                  <c:v>46265</c:v>
                </c:pt>
                <c:pt idx="1">
                  <c:v>46266</c:v>
                </c:pt>
                <c:pt idx="2">
                  <c:v>46267</c:v>
                </c:pt>
                <c:pt idx="3">
                  <c:v>46268</c:v>
                </c:pt>
                <c:pt idx="4">
                  <c:v>46269</c:v>
                </c:pt>
                <c:pt idx="5">
                  <c:v>46273</c:v>
                </c:pt>
                <c:pt idx="6">
                  <c:v>46274</c:v>
                </c:pt>
                <c:pt idx="7">
                  <c:v>46275</c:v>
                </c:pt>
                <c:pt idx="8">
                  <c:v>46276</c:v>
                </c:pt>
                <c:pt idx="9">
                  <c:v>46279</c:v>
                </c:pt>
                <c:pt idx="10">
                  <c:v>46280</c:v>
                </c:pt>
                <c:pt idx="11">
                  <c:v>46281</c:v>
                </c:pt>
                <c:pt idx="12">
                  <c:v>46282</c:v>
                </c:pt>
                <c:pt idx="13">
                  <c:v>46283</c:v>
                </c:pt>
                <c:pt idx="14">
                  <c:v>46286</c:v>
                </c:pt>
                <c:pt idx="15">
                  <c:v>46287</c:v>
                </c:pt>
                <c:pt idx="16">
                  <c:v>46288</c:v>
                </c:pt>
                <c:pt idx="17">
                  <c:v>46289</c:v>
                </c:pt>
                <c:pt idx="18">
                  <c:v>46290</c:v>
                </c:pt>
                <c:pt idx="19">
                  <c:v>46293</c:v>
                </c:pt>
              </c:numCache>
            </c:numRef>
          </c:cat>
          <c:val>
            <c:numRef>
              <c:f>BABA!$F$7:$F$27</c:f>
              <c:numCache>
                <c:formatCode>_([$$-409]* #,##0.00_);_([$$-409]* \(#,##0.00\);_([$$-409]* "-"??_);_(@_)</c:formatCode>
                <c:ptCount val="21"/>
                <c:pt idx="0">
                  <c:v>114.02</c:v>
                </c:pt>
                <c:pt idx="1">
                  <c:v>112.85</c:v>
                </c:pt>
                <c:pt idx="2">
                  <c:v>111.81</c:v>
                </c:pt>
                <c:pt idx="3">
                  <c:v>111.81</c:v>
                </c:pt>
                <c:pt idx="4">
                  <c:v>113.24</c:v>
                </c:pt>
                <c:pt idx="5">
                  <c:v>112.66</c:v>
                </c:pt>
                <c:pt idx="6">
                  <c:v>109.4</c:v>
                </c:pt>
                <c:pt idx="7">
                  <c:v>108.56</c:v>
                </c:pt>
                <c:pt idx="8">
                  <c:v>109.3</c:v>
                </c:pt>
                <c:pt idx="9">
                  <c:v>109.23</c:v>
                </c:pt>
                <c:pt idx="10">
                  <c:v>109.34</c:v>
                </c:pt>
                <c:pt idx="11">
                  <c:v>107.27</c:v>
                </c:pt>
                <c:pt idx="12">
                  <c:v>108.54</c:v>
                </c:pt>
                <c:pt idx="13">
                  <c:v>113.24</c:v>
                </c:pt>
                <c:pt idx="14">
                  <c:v>115.75</c:v>
                </c:pt>
                <c:pt idx="15">
                  <c:v>116.31</c:v>
                </c:pt>
                <c:pt idx="16">
                  <c:v>110.8</c:v>
                </c:pt>
                <c:pt idx="17">
                  <c:v>110.63</c:v>
                </c:pt>
                <c:pt idx="18">
                  <c:v>109.74</c:v>
                </c:pt>
                <c:pt idx="19">
                  <c:v>108.76</c:v>
                </c:pt>
              </c:numCache>
            </c:numRef>
          </c:val>
          <c:smooth val="0"/>
          <c:extLst>
            <c:ext xmlns:c16="http://schemas.microsoft.com/office/drawing/2014/chart" uri="{C3380CC4-5D6E-409C-BE32-E72D297353CC}">
              <c16:uniqueId val="{00000004-5DA2-4826-A768-74521B0A6A55}"/>
            </c:ext>
          </c:extLst>
        </c:ser>
        <c:dLbls>
          <c:showLegendKey val="0"/>
          <c:showVal val="0"/>
          <c:showCatName val="0"/>
          <c:showSerName val="0"/>
          <c:showPercent val="0"/>
          <c:showBubbleSize val="0"/>
        </c:dLbls>
        <c:hiLowLines>
          <c:spPr>
            <a:ln w="9525" cap="flat" cmpd="sng" algn="ctr">
              <a:solidFill>
                <a:schemeClr val="tx1">
                  <a:lumMod val="75000"/>
                  <a:lumOff val="25000"/>
                </a:schemeClr>
              </a:solidFill>
              <a:round/>
            </a:ln>
            <a:effectLst/>
          </c:spPr>
        </c:hiLowLines>
        <c:upDownBars>
          <c:gapWidth val="150"/>
          <c:upBars>
            <c:spPr>
              <a:solidFill>
                <a:schemeClr val="lt1"/>
              </a:solidFill>
              <a:ln w="9525" cap="flat" cmpd="sng" algn="ctr">
                <a:solidFill>
                  <a:schemeClr val="tx1">
                    <a:lumMod val="65000"/>
                    <a:lumOff val="35000"/>
                  </a:schemeClr>
                </a:solidFill>
                <a:round/>
              </a:ln>
              <a:effectLst/>
            </c:spPr>
          </c:upBars>
          <c:downBars>
            <c:spPr>
              <a:solidFill>
                <a:schemeClr val="dk1">
                  <a:lumMod val="75000"/>
                  <a:lumOff val="25000"/>
                </a:schemeClr>
              </a:solidFill>
              <a:ln w="9525" cap="flat" cmpd="sng" algn="ctr">
                <a:solidFill>
                  <a:schemeClr val="tx1">
                    <a:lumMod val="65000"/>
                    <a:lumOff val="35000"/>
                  </a:schemeClr>
                </a:solidFill>
                <a:round/>
              </a:ln>
              <a:effectLst/>
            </c:spPr>
          </c:downBars>
        </c:upDownBars>
        <c:axId val="1641844592"/>
        <c:axId val="1948494816"/>
      </c:stockChart>
      <c:dateAx>
        <c:axId val="1641718448"/>
        <c:scaling>
          <c:orientation val="minMax"/>
        </c:scaling>
        <c:delete val="0"/>
        <c:axPos val="b"/>
        <c:numFmt formatCode="d\-mmm"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crossAx val="1641718928"/>
        <c:crosses val="autoZero"/>
        <c:auto val="1"/>
        <c:lblOffset val="100"/>
        <c:baseTimeUnit val="days"/>
      </c:dateAx>
      <c:valAx>
        <c:axId val="1641718928"/>
        <c:scaling>
          <c:orientation val="minMax"/>
        </c:scaling>
        <c:delete val="0"/>
        <c:axPos val="l"/>
        <c:majorGridlines>
          <c:spPr>
            <a:ln w="9525" cap="flat" cmpd="sng" algn="ctr">
              <a:solidFill>
                <a:schemeClr val="tx1">
                  <a:lumMod val="15000"/>
                  <a:lumOff val="85000"/>
                </a:schemeClr>
              </a:solidFill>
              <a:round/>
            </a:ln>
            <a:effectLst/>
          </c:spPr>
        </c:majorGridlines>
        <c:numFmt formatCode="#,##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crossAx val="1641718448"/>
        <c:crosses val="autoZero"/>
        <c:crossBetween val="between"/>
      </c:valAx>
      <c:valAx>
        <c:axId val="1948494816"/>
        <c:scaling>
          <c:orientation val="minMax"/>
        </c:scaling>
        <c:delete val="0"/>
        <c:axPos val="r"/>
        <c:majorGridlines>
          <c:spPr>
            <a:ln w="9525" cap="flat" cmpd="sng" algn="ctr">
              <a:solidFill>
                <a:schemeClr val="tx1">
                  <a:lumMod val="15000"/>
                  <a:lumOff val="85000"/>
                </a:schemeClr>
              </a:solidFill>
              <a:round/>
            </a:ln>
            <a:effectLst/>
          </c:spPr>
        </c:majorGridlines>
        <c:numFmt formatCode="_([$$-409]* #,##0.00_);_([$$-409]* \(#,##0.00\);_([$$-4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crossAx val="1641844592"/>
        <c:crosses val="max"/>
        <c:crossBetween val="between"/>
      </c:valAx>
      <c:dateAx>
        <c:axId val="1641844592"/>
        <c:scaling>
          <c:orientation val="minMax"/>
        </c:scaling>
        <c:delete val="1"/>
        <c:axPos val="b"/>
        <c:numFmt formatCode="m/d/yyyy" sourceLinked="1"/>
        <c:majorTickMark val="out"/>
        <c:minorTickMark val="none"/>
        <c:tickLblPos val="nextTo"/>
        <c:crossAx val="1948494816"/>
        <c:crosses val="autoZero"/>
        <c:auto val="1"/>
        <c:lblOffset val="100"/>
        <c:baseTimeUnit val="days"/>
      </c:date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Close Last 12 Months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lotArea>
      <c:layout>
        <c:manualLayout>
          <c:layoutTarget val="inner"/>
          <c:xMode val="edge"/>
          <c:yMode val="edge"/>
          <c:x val="0.1035513225517469"/>
          <c:y val="0.12968531468531469"/>
          <c:w val="0.88247662156002959"/>
          <c:h val="0.83185314685314682"/>
        </c:manualLayout>
      </c:layout>
      <c:areaChart>
        <c:grouping val="standard"/>
        <c:varyColors val="0"/>
        <c:ser>
          <c:idx val="0"/>
          <c:order val="0"/>
          <c:spPr>
            <a:gradFill>
              <a:gsLst>
                <a:gs pos="96000">
                  <a:schemeClr val="accent1">
                    <a:lumMod val="5000"/>
                    <a:lumOff val="95000"/>
                  </a:schemeClr>
                </a:gs>
                <a:gs pos="43000">
                  <a:srgbClr val="417A85"/>
                </a:gs>
                <a:gs pos="76000">
                  <a:srgbClr val="417A85"/>
                </a:gs>
              </a:gsLst>
              <a:lin ang="5400000" scaled="1"/>
            </a:gradFill>
            <a:ln>
              <a:noFill/>
            </a:ln>
            <a:effectLst/>
          </c:spPr>
          <c:val>
            <c:numRef>
              <c:f>BAC!$C$4:$IR$4</c:f>
              <c:numCache>
                <c:formatCode>_([$$-409]* #,##0.00_);_([$$-409]* \(#,##0.00\);_([$$-409]* "-"??_);_(@_)</c:formatCode>
                <c:ptCount val="250"/>
                <c:pt idx="0">
                  <c:v>52.42</c:v>
                </c:pt>
                <c:pt idx="1">
                  <c:v>51.59</c:v>
                </c:pt>
                <c:pt idx="2">
                  <c:v>50.68</c:v>
                </c:pt>
                <c:pt idx="3">
                  <c:v>50.48</c:v>
                </c:pt>
                <c:pt idx="4">
                  <c:v>50.64</c:v>
                </c:pt>
                <c:pt idx="5">
                  <c:v>50.39</c:v>
                </c:pt>
                <c:pt idx="6">
                  <c:v>50.29</c:v>
                </c:pt>
                <c:pt idx="7">
                  <c:v>49.84</c:v>
                </c:pt>
                <c:pt idx="8">
                  <c:v>49.79</c:v>
                </c:pt>
                <c:pt idx="9">
                  <c:v>48.65</c:v>
                </c:pt>
                <c:pt idx="10">
                  <c:v>48.86</c:v>
                </c:pt>
                <c:pt idx="11">
                  <c:v>50.09</c:v>
                </c:pt>
                <c:pt idx="12">
                  <c:v>52.28</c:v>
                </c:pt>
                <c:pt idx="13">
                  <c:v>50.44</c:v>
                </c:pt>
                <c:pt idx="14">
                  <c:v>51.28</c:v>
                </c:pt>
                <c:pt idx="15">
                  <c:v>52.04</c:v>
                </c:pt>
                <c:pt idx="16">
                  <c:v>51.52</c:v>
                </c:pt>
                <c:pt idx="17">
                  <c:v>51.1</c:v>
                </c:pt>
                <c:pt idx="18">
                  <c:v>51.76</c:v>
                </c:pt>
                <c:pt idx="19">
                  <c:v>52.57</c:v>
                </c:pt>
                <c:pt idx="20">
                  <c:v>53.02</c:v>
                </c:pt>
                <c:pt idx="21">
                  <c:v>52.87</c:v>
                </c:pt>
                <c:pt idx="22">
                  <c:v>52.58</c:v>
                </c:pt>
                <c:pt idx="23">
                  <c:v>53.03</c:v>
                </c:pt>
                <c:pt idx="24">
                  <c:v>53.45</c:v>
                </c:pt>
                <c:pt idx="25">
                  <c:v>53.56</c:v>
                </c:pt>
                <c:pt idx="26">
                  <c:v>53.54</c:v>
                </c:pt>
                <c:pt idx="27">
                  <c:v>52.45</c:v>
                </c:pt>
                <c:pt idx="28">
                  <c:v>53.29</c:v>
                </c:pt>
                <c:pt idx="29">
                  <c:v>53.2</c:v>
                </c:pt>
                <c:pt idx="30">
                  <c:v>53.42</c:v>
                </c:pt>
                <c:pt idx="31">
                  <c:v>53.63</c:v>
                </c:pt>
                <c:pt idx="32">
                  <c:v>54.11</c:v>
                </c:pt>
                <c:pt idx="33">
                  <c:v>52.87</c:v>
                </c:pt>
                <c:pt idx="34">
                  <c:v>52.61</c:v>
                </c:pt>
                <c:pt idx="35">
                  <c:v>51.48</c:v>
                </c:pt>
                <c:pt idx="36">
                  <c:v>51.64</c:v>
                </c:pt>
                <c:pt idx="37">
                  <c:v>52.02</c:v>
                </c:pt>
                <c:pt idx="38">
                  <c:v>51</c:v>
                </c:pt>
                <c:pt idx="39">
                  <c:v>51.56</c:v>
                </c:pt>
                <c:pt idx="40">
                  <c:v>51.93</c:v>
                </c:pt>
                <c:pt idx="41">
                  <c:v>52.48</c:v>
                </c:pt>
                <c:pt idx="42">
                  <c:v>52.99</c:v>
                </c:pt>
                <c:pt idx="43">
                  <c:v>53.65</c:v>
                </c:pt>
                <c:pt idx="44">
                  <c:v>53.24</c:v>
                </c:pt>
                <c:pt idx="45">
                  <c:v>53.19</c:v>
                </c:pt>
                <c:pt idx="46">
                  <c:v>54.09</c:v>
                </c:pt>
                <c:pt idx="47">
                  <c:v>54.16</c:v>
                </c:pt>
                <c:pt idx="48">
                  <c:v>53.95</c:v>
                </c:pt>
                <c:pt idx="49">
                  <c:v>53.9</c:v>
                </c:pt>
                <c:pt idx="50">
                  <c:v>53.54</c:v>
                </c:pt>
                <c:pt idx="51">
                  <c:v>54.08</c:v>
                </c:pt>
                <c:pt idx="52">
                  <c:v>54.56</c:v>
                </c:pt>
                <c:pt idx="53">
                  <c:v>55.14</c:v>
                </c:pt>
                <c:pt idx="54">
                  <c:v>55.33</c:v>
                </c:pt>
                <c:pt idx="55">
                  <c:v>54.81</c:v>
                </c:pt>
                <c:pt idx="56">
                  <c:v>54.55</c:v>
                </c:pt>
                <c:pt idx="57">
                  <c:v>54.26</c:v>
                </c:pt>
                <c:pt idx="58">
                  <c:v>55.27</c:v>
                </c:pt>
                <c:pt idx="59">
                  <c:v>55.88</c:v>
                </c:pt>
                <c:pt idx="60">
                  <c:v>55.97</c:v>
                </c:pt>
                <c:pt idx="61">
                  <c:v>56.25</c:v>
                </c:pt>
                <c:pt idx="62">
                  <c:v>56.17</c:v>
                </c:pt>
                <c:pt idx="63">
                  <c:v>55.35</c:v>
                </c:pt>
                <c:pt idx="64">
                  <c:v>55.28</c:v>
                </c:pt>
                <c:pt idx="65">
                  <c:v>55</c:v>
                </c:pt>
                <c:pt idx="66">
                  <c:v>55.95</c:v>
                </c:pt>
                <c:pt idx="67">
                  <c:v>56.89</c:v>
                </c:pt>
                <c:pt idx="68">
                  <c:v>57.25</c:v>
                </c:pt>
                <c:pt idx="69">
                  <c:v>55.64</c:v>
                </c:pt>
                <c:pt idx="70">
                  <c:v>56.18</c:v>
                </c:pt>
                <c:pt idx="71">
                  <c:v>55.85</c:v>
                </c:pt>
                <c:pt idx="72">
                  <c:v>55.19</c:v>
                </c:pt>
                <c:pt idx="73">
                  <c:v>54.54</c:v>
                </c:pt>
                <c:pt idx="74">
                  <c:v>52.48</c:v>
                </c:pt>
                <c:pt idx="75">
                  <c:v>52.59</c:v>
                </c:pt>
                <c:pt idx="76">
                  <c:v>52.97</c:v>
                </c:pt>
                <c:pt idx="77">
                  <c:v>52.1</c:v>
                </c:pt>
                <c:pt idx="78">
                  <c:v>52.07</c:v>
                </c:pt>
                <c:pt idx="79">
                  <c:v>52.45</c:v>
                </c:pt>
                <c:pt idx="80">
                  <c:v>51.72</c:v>
                </c:pt>
                <c:pt idx="81">
                  <c:v>52.02</c:v>
                </c:pt>
                <c:pt idx="82">
                  <c:v>52.17</c:v>
                </c:pt>
                <c:pt idx="83">
                  <c:v>51.81</c:v>
                </c:pt>
                <c:pt idx="84">
                  <c:v>53.08</c:v>
                </c:pt>
                <c:pt idx="85">
                  <c:v>53.2</c:v>
                </c:pt>
                <c:pt idx="86">
                  <c:v>54.03</c:v>
                </c:pt>
                <c:pt idx="87">
                  <c:v>54.45</c:v>
                </c:pt>
                <c:pt idx="88">
                  <c:v>55.38</c:v>
                </c:pt>
                <c:pt idx="89">
                  <c:v>54.94</c:v>
                </c:pt>
                <c:pt idx="90">
                  <c:v>56.53</c:v>
                </c:pt>
                <c:pt idx="91">
                  <c:v>56.41</c:v>
                </c:pt>
                <c:pt idx="92">
                  <c:v>55.39</c:v>
                </c:pt>
                <c:pt idx="93">
                  <c:v>53.85</c:v>
                </c:pt>
                <c:pt idx="94">
                  <c:v>52.52</c:v>
                </c:pt>
                <c:pt idx="95">
                  <c:v>52.55</c:v>
                </c:pt>
                <c:pt idx="96">
                  <c:v>52.74</c:v>
                </c:pt>
                <c:pt idx="97">
                  <c:v>53.36</c:v>
                </c:pt>
                <c:pt idx="98">
                  <c:v>52.77</c:v>
                </c:pt>
                <c:pt idx="99">
                  <c:v>53.06</c:v>
                </c:pt>
                <c:pt idx="100">
                  <c:v>51.07</c:v>
                </c:pt>
                <c:pt idx="101">
                  <c:v>50.41</c:v>
                </c:pt>
                <c:pt idx="102">
                  <c:v>51.69</c:v>
                </c:pt>
                <c:pt idx="103">
                  <c:v>52.3</c:v>
                </c:pt>
                <c:pt idx="104">
                  <c:v>49.83</c:v>
                </c:pt>
                <c:pt idx="105">
                  <c:v>49.81</c:v>
                </c:pt>
                <c:pt idx="106">
                  <c:v>49.97</c:v>
                </c:pt>
                <c:pt idx="107">
                  <c:v>50.3</c:v>
                </c:pt>
                <c:pt idx="108">
                  <c:v>49.81</c:v>
                </c:pt>
                <c:pt idx="109">
                  <c:v>48.64</c:v>
                </c:pt>
                <c:pt idx="110">
                  <c:v>47.9</c:v>
                </c:pt>
                <c:pt idx="111">
                  <c:v>48.56</c:v>
                </c:pt>
                <c:pt idx="112">
                  <c:v>48.52</c:v>
                </c:pt>
                <c:pt idx="113">
                  <c:v>47.13</c:v>
                </c:pt>
                <c:pt idx="114">
                  <c:v>46.72</c:v>
                </c:pt>
                <c:pt idx="115">
                  <c:v>47.06</c:v>
                </c:pt>
                <c:pt idx="116">
                  <c:v>47.28</c:v>
                </c:pt>
                <c:pt idx="117">
                  <c:v>46.83</c:v>
                </c:pt>
                <c:pt idx="118">
                  <c:v>47.01</c:v>
                </c:pt>
                <c:pt idx="119">
                  <c:v>47.16</c:v>
                </c:pt>
                <c:pt idx="120">
                  <c:v>47.52</c:v>
                </c:pt>
                <c:pt idx="121">
                  <c:v>48.14</c:v>
                </c:pt>
                <c:pt idx="122">
                  <c:v>48.75</c:v>
                </c:pt>
                <c:pt idx="123">
                  <c:v>48.24</c:v>
                </c:pt>
                <c:pt idx="124">
                  <c:v>46.97</c:v>
                </c:pt>
                <c:pt idx="125">
                  <c:v>47.23</c:v>
                </c:pt>
                <c:pt idx="126">
                  <c:v>48.75</c:v>
                </c:pt>
                <c:pt idx="127">
                  <c:v>49.27</c:v>
                </c:pt>
                <c:pt idx="128">
                  <c:v>49.38</c:v>
                </c:pt>
                <c:pt idx="129">
                  <c:v>50.06</c:v>
                </c:pt>
                <c:pt idx="130">
                  <c:v>50.28</c:v>
                </c:pt>
                <c:pt idx="131">
                  <c:v>51.88</c:v>
                </c:pt>
                <c:pt idx="132">
                  <c:v>52.71</c:v>
                </c:pt>
                <c:pt idx="133">
                  <c:v>52.54</c:v>
                </c:pt>
                <c:pt idx="134">
                  <c:v>53.35</c:v>
                </c:pt>
                <c:pt idx="135">
                  <c:v>53.35</c:v>
                </c:pt>
                <c:pt idx="136">
                  <c:v>54.32</c:v>
                </c:pt>
                <c:pt idx="137">
                  <c:v>53.51</c:v>
                </c:pt>
                <c:pt idx="138">
                  <c:v>53.91</c:v>
                </c:pt>
                <c:pt idx="139">
                  <c:v>53.95</c:v>
                </c:pt>
                <c:pt idx="140">
                  <c:v>53.48</c:v>
                </c:pt>
                <c:pt idx="141">
                  <c:v>53.12</c:v>
                </c:pt>
                <c:pt idx="142">
                  <c:v>52.47</c:v>
                </c:pt>
                <c:pt idx="143">
                  <c:v>52.05</c:v>
                </c:pt>
                <c:pt idx="144">
                  <c:v>52.63</c:v>
                </c:pt>
                <c:pt idx="145">
                  <c:v>52.66</c:v>
                </c:pt>
                <c:pt idx="146">
                  <c:v>52.88</c:v>
                </c:pt>
                <c:pt idx="147">
                  <c:v>53.46</c:v>
                </c:pt>
                <c:pt idx="148">
                  <c:v>53.24</c:v>
                </c:pt>
                <c:pt idx="149">
                  <c:v>52.19</c:v>
                </c:pt>
                <c:pt idx="150">
                  <c:v>53.12</c:v>
                </c:pt>
                <c:pt idx="151">
                  <c:v>53.6</c:v>
                </c:pt>
                <c:pt idx="152">
                  <c:v>52.75</c:v>
                </c:pt>
                <c:pt idx="153">
                  <c:v>51.31</c:v>
                </c:pt>
                <c:pt idx="154">
                  <c:v>50.55</c:v>
                </c:pt>
                <c:pt idx="155">
                  <c:v>50.78</c:v>
                </c:pt>
                <c:pt idx="156">
                  <c:v>49.84</c:v>
                </c:pt>
                <c:pt idx="157">
                  <c:v>49.85</c:v>
                </c:pt>
                <c:pt idx="158">
                  <c:v>49.77</c:v>
                </c:pt>
                <c:pt idx="159">
                  <c:v>50.69</c:v>
                </c:pt>
                <c:pt idx="160">
                  <c:v>50.7</c:v>
                </c:pt>
                <c:pt idx="161">
                  <c:v>51.23</c:v>
                </c:pt>
                <c:pt idx="162">
                  <c:v>51.49</c:v>
                </c:pt>
                <c:pt idx="163">
                  <c:v>51.8</c:v>
                </c:pt>
                <c:pt idx="164">
                  <c:v>52.2</c:v>
                </c:pt>
                <c:pt idx="165">
                  <c:v>51.1</c:v>
                </c:pt>
                <c:pt idx="166">
                  <c:v>50.77</c:v>
                </c:pt>
                <c:pt idx="167">
                  <c:v>51.6</c:v>
                </c:pt>
                <c:pt idx="168">
                  <c:v>51.51</c:v>
                </c:pt>
                <c:pt idx="169">
                  <c:v>52.48</c:v>
                </c:pt>
                <c:pt idx="170">
                  <c:v>52.4</c:v>
                </c:pt>
                <c:pt idx="171">
                  <c:v>54.17</c:v>
                </c:pt>
                <c:pt idx="172">
                  <c:v>53.83</c:v>
                </c:pt>
                <c:pt idx="173">
                  <c:v>53.63</c:v>
                </c:pt>
                <c:pt idx="174">
                  <c:v>54.42</c:v>
                </c:pt>
                <c:pt idx="175">
                  <c:v>54.54</c:v>
                </c:pt>
                <c:pt idx="176">
                  <c:v>55.16</c:v>
                </c:pt>
                <c:pt idx="177">
                  <c:v>56.02</c:v>
                </c:pt>
                <c:pt idx="178">
                  <c:v>55.87</c:v>
                </c:pt>
                <c:pt idx="179">
                  <c:v>56.84</c:v>
                </c:pt>
                <c:pt idx="180">
                  <c:v>56.53</c:v>
                </c:pt>
                <c:pt idx="181">
                  <c:v>56.2</c:v>
                </c:pt>
                <c:pt idx="182">
                  <c:v>57.37</c:v>
                </c:pt>
                <c:pt idx="183">
                  <c:v>57.91</c:v>
                </c:pt>
                <c:pt idx="184">
                  <c:v>57.73</c:v>
                </c:pt>
                <c:pt idx="185">
                  <c:v>58.19</c:v>
                </c:pt>
                <c:pt idx="186">
                  <c:v>57.88</c:v>
                </c:pt>
                <c:pt idx="187">
                  <c:v>57.88</c:v>
                </c:pt>
                <c:pt idx="188">
                  <c:v>56.98</c:v>
                </c:pt>
                <c:pt idx="189">
                  <c:v>58.36</c:v>
                </c:pt>
                <c:pt idx="190">
                  <c:v>58.73</c:v>
                </c:pt>
                <c:pt idx="191">
                  <c:v>59.9</c:v>
                </c:pt>
                <c:pt idx="192">
                  <c:v>59.86</c:v>
                </c:pt>
                <c:pt idx="193">
                  <c:v>58.3</c:v>
                </c:pt>
                <c:pt idx="194">
                  <c:v>59.25</c:v>
                </c:pt>
                <c:pt idx="195">
                  <c:v>59.67</c:v>
                </c:pt>
                <c:pt idx="196">
                  <c:v>59.5</c:v>
                </c:pt>
                <c:pt idx="197">
                  <c:v>60.62</c:v>
                </c:pt>
                <c:pt idx="198">
                  <c:v>61.59</c:v>
                </c:pt>
                <c:pt idx="199">
                  <c:v>61.49</c:v>
                </c:pt>
                <c:pt idx="200">
                  <c:v>61.27</c:v>
                </c:pt>
                <c:pt idx="201">
                  <c:v>60.42</c:v>
                </c:pt>
                <c:pt idx="202">
                  <c:v>61.22</c:v>
                </c:pt>
                <c:pt idx="203">
                  <c:v>61.62</c:v>
                </c:pt>
                <c:pt idx="204">
                  <c:v>61.28</c:v>
                </c:pt>
                <c:pt idx="205">
                  <c:v>62.05</c:v>
                </c:pt>
                <c:pt idx="206">
                  <c:v>62.13</c:v>
                </c:pt>
                <c:pt idx="207">
                  <c:v>62.62</c:v>
                </c:pt>
                <c:pt idx="208">
                  <c:v>61.07</c:v>
                </c:pt>
                <c:pt idx="209">
                  <c:v>61.73</c:v>
                </c:pt>
                <c:pt idx="210">
                  <c:v>61.95</c:v>
                </c:pt>
                <c:pt idx="211">
                  <c:v>62.48</c:v>
                </c:pt>
                <c:pt idx="212">
                  <c:v>62.9</c:v>
                </c:pt>
                <c:pt idx="213">
                  <c:v>63.25</c:v>
                </c:pt>
                <c:pt idx="214">
                  <c:v>63</c:v>
                </c:pt>
                <c:pt idx="215">
                  <c:v>63.17</c:v>
                </c:pt>
                <c:pt idx="216">
                  <c:v>63.86</c:v>
                </c:pt>
                <c:pt idx="217">
                  <c:v>64</c:v>
                </c:pt>
                <c:pt idx="218">
                  <c:v>64.81</c:v>
                </c:pt>
                <c:pt idx="219">
                  <c:v>64.09</c:v>
                </c:pt>
                <c:pt idx="220">
                  <c:v>64.489999999999995</c:v>
                </c:pt>
                <c:pt idx="221">
                  <c:v>63.89</c:v>
                </c:pt>
                <c:pt idx="222">
                  <c:v>64.23</c:v>
                </c:pt>
                <c:pt idx="223">
                  <c:v>63.17</c:v>
                </c:pt>
                <c:pt idx="224">
                  <c:v>61.86</c:v>
                </c:pt>
                <c:pt idx="225">
                  <c:v>61.69</c:v>
                </c:pt>
                <c:pt idx="226">
                  <c:v>62.33</c:v>
                </c:pt>
                <c:pt idx="227">
                  <c:v>62.43</c:v>
                </c:pt>
                <c:pt idx="228">
                  <c:v>62.23</c:v>
                </c:pt>
                <c:pt idx="229">
                  <c:v>61.17</c:v>
                </c:pt>
                <c:pt idx="230">
                  <c:v>62.32</c:v>
                </c:pt>
                <c:pt idx="231">
                  <c:v>61.94</c:v>
                </c:pt>
                <c:pt idx="232">
                  <c:v>61.99</c:v>
                </c:pt>
                <c:pt idx="233">
                  <c:v>62.6</c:v>
                </c:pt>
                <c:pt idx="234">
                  <c:v>63.04</c:v>
                </c:pt>
                <c:pt idx="235">
                  <c:v>62.68</c:v>
                </c:pt>
                <c:pt idx="236">
                  <c:v>62.39</c:v>
                </c:pt>
                <c:pt idx="237">
                  <c:v>62.67</c:v>
                </c:pt>
                <c:pt idx="238">
                  <c:v>62.56</c:v>
                </c:pt>
                <c:pt idx="239">
                  <c:v>62.69</c:v>
                </c:pt>
                <c:pt idx="240">
                  <c:v>59.47</c:v>
                </c:pt>
                <c:pt idx="241">
                  <c:v>59.52</c:v>
                </c:pt>
                <c:pt idx="242">
                  <c:v>57.9</c:v>
                </c:pt>
                <c:pt idx="243">
                  <c:v>58.18</c:v>
                </c:pt>
                <c:pt idx="244">
                  <c:v>57.73</c:v>
                </c:pt>
                <c:pt idx="245">
                  <c:v>57.96</c:v>
                </c:pt>
                <c:pt idx="246">
                  <c:v>56.2</c:v>
                </c:pt>
                <c:pt idx="247">
                  <c:v>56</c:v>
                </c:pt>
                <c:pt idx="248">
                  <c:v>56.03</c:v>
                </c:pt>
                <c:pt idx="249">
                  <c:v>56.7</c:v>
                </c:pt>
              </c:numCache>
            </c:numRef>
          </c:val>
          <c:extLst>
            <c:ext xmlns:c16="http://schemas.microsoft.com/office/drawing/2014/chart" uri="{C3380CC4-5D6E-409C-BE32-E72D297353CC}">
              <c16:uniqueId val="{00000000-B41E-49C1-8514-2D282D715734}"/>
            </c:ext>
          </c:extLst>
        </c:ser>
        <c:dLbls>
          <c:showLegendKey val="0"/>
          <c:showVal val="0"/>
          <c:showCatName val="0"/>
          <c:showSerName val="0"/>
          <c:showPercent val="0"/>
          <c:showBubbleSize val="0"/>
        </c:dLbls>
        <c:axId val="1076253871"/>
        <c:axId val="1076274511"/>
      </c:areaChart>
      <c:catAx>
        <c:axId val="1076253871"/>
        <c:scaling>
          <c:orientation val="minMax"/>
        </c:scaling>
        <c:delete val="1"/>
        <c:axPos val="b"/>
        <c:majorTickMark val="out"/>
        <c:minorTickMark val="none"/>
        <c:tickLblPos val="nextTo"/>
        <c:crossAx val="1076274511"/>
        <c:crosses val="autoZero"/>
        <c:auto val="1"/>
        <c:lblAlgn val="ctr"/>
        <c:lblOffset val="100"/>
        <c:noMultiLvlLbl val="0"/>
      </c:catAx>
      <c:valAx>
        <c:axId val="1076274511"/>
        <c:scaling>
          <c:orientation val="minMax"/>
        </c:scaling>
        <c:delete val="0"/>
        <c:axPos val="l"/>
        <c:numFmt formatCode="_([$$-409]* #,##0.00_);_([$$-409]* \(#,##0.00\);_([$$-4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crossAx val="1076253871"/>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AMD!$B$1</c:f>
          <c:strCache>
            <c:ptCount val="1"/>
            <c:pt idx="0">
              <c:v>ADVANCED MICRO DEVICES, INC. (XNAS:AMD)</c:v>
            </c:pt>
          </c:strCache>
        </c:strRef>
      </c:tx>
      <c:layout>
        <c:manualLayout>
          <c:xMode val="edge"/>
          <c:yMode val="edge"/>
          <c:x val="0.23316712421039931"/>
          <c:y val="1.537475666723699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lotArea>
      <c:layout/>
      <c:barChart>
        <c:barDir val="col"/>
        <c:grouping val="clustered"/>
        <c:varyColors val="0"/>
        <c:ser>
          <c:idx val="0"/>
          <c:order val="0"/>
          <c:tx>
            <c:strRef>
              <c:f>COST!$B$6</c:f>
              <c:strCache>
                <c:ptCount val="1"/>
                <c:pt idx="0">
                  <c:v>Volume</c:v>
                </c:pt>
              </c:strCache>
            </c:strRef>
          </c:tx>
          <c:spPr>
            <a:solidFill>
              <a:schemeClr val="accent1"/>
            </a:solidFill>
            <a:ln w="38100">
              <a:noFill/>
            </a:ln>
            <a:effectLst/>
          </c:spPr>
          <c:invertIfNegative val="0"/>
          <c:cat>
            <c:numRef>
              <c:f>COST!$A$7:$A$27</c:f>
              <c:numCache>
                <c:formatCode>m/d/yyyy</c:formatCode>
                <c:ptCount val="21"/>
                <c:pt idx="0">
                  <c:v>46265</c:v>
                </c:pt>
                <c:pt idx="1">
                  <c:v>46266</c:v>
                </c:pt>
                <c:pt idx="2">
                  <c:v>46267</c:v>
                </c:pt>
                <c:pt idx="3">
                  <c:v>46268</c:v>
                </c:pt>
                <c:pt idx="4">
                  <c:v>46269</c:v>
                </c:pt>
                <c:pt idx="5">
                  <c:v>46273</c:v>
                </c:pt>
                <c:pt idx="6">
                  <c:v>46274</c:v>
                </c:pt>
                <c:pt idx="7">
                  <c:v>46275</c:v>
                </c:pt>
                <c:pt idx="8">
                  <c:v>46276</c:v>
                </c:pt>
                <c:pt idx="9">
                  <c:v>46279</c:v>
                </c:pt>
                <c:pt idx="10">
                  <c:v>46280</c:v>
                </c:pt>
                <c:pt idx="11">
                  <c:v>46281</c:v>
                </c:pt>
                <c:pt idx="12">
                  <c:v>46282</c:v>
                </c:pt>
                <c:pt idx="13">
                  <c:v>46283</c:v>
                </c:pt>
                <c:pt idx="14">
                  <c:v>46286</c:v>
                </c:pt>
                <c:pt idx="15">
                  <c:v>46287</c:v>
                </c:pt>
                <c:pt idx="16">
                  <c:v>46288</c:v>
                </c:pt>
                <c:pt idx="17">
                  <c:v>46289</c:v>
                </c:pt>
                <c:pt idx="18">
                  <c:v>46290</c:v>
                </c:pt>
                <c:pt idx="19">
                  <c:v>46293</c:v>
                </c:pt>
              </c:numCache>
            </c:numRef>
          </c:cat>
          <c:val>
            <c:numRef>
              <c:f>COST!$B$7:$B$27</c:f>
              <c:numCache>
                <c:formatCode>#,##0</c:formatCode>
                <c:ptCount val="21"/>
                <c:pt idx="0">
                  <c:v>2393041</c:v>
                </c:pt>
                <c:pt idx="1">
                  <c:v>1508559</c:v>
                </c:pt>
                <c:pt idx="2">
                  <c:v>2166373</c:v>
                </c:pt>
                <c:pt idx="3">
                  <c:v>2172780</c:v>
                </c:pt>
                <c:pt idx="4">
                  <c:v>2079070</c:v>
                </c:pt>
                <c:pt idx="5">
                  <c:v>2240323</c:v>
                </c:pt>
                <c:pt idx="6">
                  <c:v>2067832</c:v>
                </c:pt>
                <c:pt idx="7">
                  <c:v>1921405</c:v>
                </c:pt>
                <c:pt idx="8">
                  <c:v>1763239</c:v>
                </c:pt>
                <c:pt idx="9">
                  <c:v>2014224</c:v>
                </c:pt>
                <c:pt idx="10">
                  <c:v>2184182</c:v>
                </c:pt>
                <c:pt idx="11">
                  <c:v>2101651</c:v>
                </c:pt>
                <c:pt idx="12">
                  <c:v>2322546</c:v>
                </c:pt>
                <c:pt idx="13">
                  <c:v>4180440</c:v>
                </c:pt>
                <c:pt idx="14">
                  <c:v>2163492</c:v>
                </c:pt>
                <c:pt idx="15">
                  <c:v>1982884</c:v>
                </c:pt>
                <c:pt idx="16">
                  <c:v>2283883</c:v>
                </c:pt>
                <c:pt idx="17">
                  <c:v>2893294</c:v>
                </c:pt>
                <c:pt idx="18">
                  <c:v>4631424</c:v>
                </c:pt>
                <c:pt idx="19">
                  <c:v>2443760</c:v>
                </c:pt>
              </c:numCache>
            </c:numRef>
          </c:val>
          <c:extLst>
            <c:ext xmlns:c16="http://schemas.microsoft.com/office/drawing/2014/chart" uri="{C3380CC4-5D6E-409C-BE32-E72D297353CC}">
              <c16:uniqueId val="{00000000-4349-447E-8005-FDFCD0B29788}"/>
            </c:ext>
          </c:extLst>
        </c:ser>
        <c:dLbls>
          <c:showLegendKey val="0"/>
          <c:showVal val="0"/>
          <c:showCatName val="0"/>
          <c:showSerName val="0"/>
          <c:showPercent val="0"/>
          <c:showBubbleSize val="0"/>
        </c:dLbls>
        <c:gapWidth val="150"/>
        <c:axId val="1641718448"/>
        <c:axId val="1641718928"/>
      </c:barChart>
      <c:stockChart>
        <c:ser>
          <c:idx val="1"/>
          <c:order val="1"/>
          <c:tx>
            <c:strRef>
              <c:f>COST!$C$6</c:f>
              <c:strCache>
                <c:ptCount val="1"/>
                <c:pt idx="0">
                  <c:v>Open</c:v>
                </c:pt>
              </c:strCache>
            </c:strRef>
          </c:tx>
          <c:spPr>
            <a:ln w="38100" cap="rnd">
              <a:noFill/>
              <a:round/>
            </a:ln>
            <a:effectLst/>
          </c:spPr>
          <c:marker>
            <c:symbol val="none"/>
          </c:marker>
          <c:cat>
            <c:numRef>
              <c:f>COST!$A$7:$A$27</c:f>
              <c:numCache>
                <c:formatCode>m/d/yyyy</c:formatCode>
                <c:ptCount val="21"/>
                <c:pt idx="0">
                  <c:v>46265</c:v>
                </c:pt>
                <c:pt idx="1">
                  <c:v>46266</c:v>
                </c:pt>
                <c:pt idx="2">
                  <c:v>46267</c:v>
                </c:pt>
                <c:pt idx="3">
                  <c:v>46268</c:v>
                </c:pt>
                <c:pt idx="4">
                  <c:v>46269</c:v>
                </c:pt>
                <c:pt idx="5">
                  <c:v>46273</c:v>
                </c:pt>
                <c:pt idx="6">
                  <c:v>46274</c:v>
                </c:pt>
                <c:pt idx="7">
                  <c:v>46275</c:v>
                </c:pt>
                <c:pt idx="8">
                  <c:v>46276</c:v>
                </c:pt>
                <c:pt idx="9">
                  <c:v>46279</c:v>
                </c:pt>
                <c:pt idx="10">
                  <c:v>46280</c:v>
                </c:pt>
                <c:pt idx="11">
                  <c:v>46281</c:v>
                </c:pt>
                <c:pt idx="12">
                  <c:v>46282</c:v>
                </c:pt>
                <c:pt idx="13">
                  <c:v>46283</c:v>
                </c:pt>
                <c:pt idx="14">
                  <c:v>46286</c:v>
                </c:pt>
                <c:pt idx="15">
                  <c:v>46287</c:v>
                </c:pt>
                <c:pt idx="16">
                  <c:v>46288</c:v>
                </c:pt>
                <c:pt idx="17">
                  <c:v>46289</c:v>
                </c:pt>
                <c:pt idx="18">
                  <c:v>46290</c:v>
                </c:pt>
                <c:pt idx="19">
                  <c:v>46293</c:v>
                </c:pt>
              </c:numCache>
            </c:numRef>
          </c:cat>
          <c:val>
            <c:numRef>
              <c:f>COST!$C$7:$C$27</c:f>
              <c:numCache>
                <c:formatCode>_([$$-409]* #,##0.00_);_([$$-409]* \(#,##0.00\);_([$$-409]* "-"??_);_(@_)</c:formatCode>
                <c:ptCount val="21"/>
                <c:pt idx="0">
                  <c:v>945.19</c:v>
                </c:pt>
                <c:pt idx="1">
                  <c:v>947.35</c:v>
                </c:pt>
                <c:pt idx="2">
                  <c:v>938.49</c:v>
                </c:pt>
                <c:pt idx="3">
                  <c:v>927.79</c:v>
                </c:pt>
                <c:pt idx="4">
                  <c:v>926.09</c:v>
                </c:pt>
                <c:pt idx="5">
                  <c:v>912.4</c:v>
                </c:pt>
                <c:pt idx="6">
                  <c:v>907</c:v>
                </c:pt>
                <c:pt idx="7">
                  <c:v>906.62</c:v>
                </c:pt>
                <c:pt idx="8">
                  <c:v>905.17</c:v>
                </c:pt>
                <c:pt idx="9">
                  <c:v>913.64499999999998</c:v>
                </c:pt>
                <c:pt idx="10">
                  <c:v>916.92</c:v>
                </c:pt>
                <c:pt idx="11">
                  <c:v>901.05</c:v>
                </c:pt>
                <c:pt idx="12">
                  <c:v>895.31500000000005</c:v>
                </c:pt>
                <c:pt idx="13">
                  <c:v>892.42499999999995</c:v>
                </c:pt>
                <c:pt idx="14">
                  <c:v>891.07</c:v>
                </c:pt>
                <c:pt idx="15">
                  <c:v>902.255</c:v>
                </c:pt>
                <c:pt idx="16">
                  <c:v>901.31</c:v>
                </c:pt>
                <c:pt idx="17">
                  <c:v>908.81</c:v>
                </c:pt>
                <c:pt idx="18">
                  <c:v>887</c:v>
                </c:pt>
                <c:pt idx="19">
                  <c:v>924.38499999999999</c:v>
                </c:pt>
              </c:numCache>
            </c:numRef>
          </c:val>
          <c:smooth val="0"/>
          <c:extLst>
            <c:ext xmlns:c16="http://schemas.microsoft.com/office/drawing/2014/chart" uri="{C3380CC4-5D6E-409C-BE32-E72D297353CC}">
              <c16:uniqueId val="{00000001-4349-447E-8005-FDFCD0B29788}"/>
            </c:ext>
          </c:extLst>
        </c:ser>
        <c:ser>
          <c:idx val="2"/>
          <c:order val="2"/>
          <c:tx>
            <c:strRef>
              <c:f>COST!$D$6</c:f>
              <c:strCache>
                <c:ptCount val="1"/>
                <c:pt idx="0">
                  <c:v>High</c:v>
                </c:pt>
              </c:strCache>
            </c:strRef>
          </c:tx>
          <c:spPr>
            <a:ln w="38100" cap="rnd">
              <a:noFill/>
              <a:round/>
            </a:ln>
            <a:effectLst/>
          </c:spPr>
          <c:marker>
            <c:symbol val="none"/>
          </c:marker>
          <c:cat>
            <c:numRef>
              <c:f>COST!$A$7:$A$27</c:f>
              <c:numCache>
                <c:formatCode>m/d/yyyy</c:formatCode>
                <c:ptCount val="21"/>
                <c:pt idx="0">
                  <c:v>46265</c:v>
                </c:pt>
                <c:pt idx="1">
                  <c:v>46266</c:v>
                </c:pt>
                <c:pt idx="2">
                  <c:v>46267</c:v>
                </c:pt>
                <c:pt idx="3">
                  <c:v>46268</c:v>
                </c:pt>
                <c:pt idx="4">
                  <c:v>46269</c:v>
                </c:pt>
                <c:pt idx="5">
                  <c:v>46273</c:v>
                </c:pt>
                <c:pt idx="6">
                  <c:v>46274</c:v>
                </c:pt>
                <c:pt idx="7">
                  <c:v>46275</c:v>
                </c:pt>
                <c:pt idx="8">
                  <c:v>46276</c:v>
                </c:pt>
                <c:pt idx="9">
                  <c:v>46279</c:v>
                </c:pt>
                <c:pt idx="10">
                  <c:v>46280</c:v>
                </c:pt>
                <c:pt idx="11">
                  <c:v>46281</c:v>
                </c:pt>
                <c:pt idx="12">
                  <c:v>46282</c:v>
                </c:pt>
                <c:pt idx="13">
                  <c:v>46283</c:v>
                </c:pt>
                <c:pt idx="14">
                  <c:v>46286</c:v>
                </c:pt>
                <c:pt idx="15">
                  <c:v>46287</c:v>
                </c:pt>
                <c:pt idx="16">
                  <c:v>46288</c:v>
                </c:pt>
                <c:pt idx="17">
                  <c:v>46289</c:v>
                </c:pt>
                <c:pt idx="18">
                  <c:v>46290</c:v>
                </c:pt>
                <c:pt idx="19">
                  <c:v>46293</c:v>
                </c:pt>
              </c:numCache>
            </c:numRef>
          </c:cat>
          <c:val>
            <c:numRef>
              <c:f>COST!$D$7:$D$27</c:f>
              <c:numCache>
                <c:formatCode>_([$$-409]* #,##0.00_);_([$$-409]* \(#,##0.00\);_([$$-409]* "-"??_);_(@_)</c:formatCode>
                <c:ptCount val="21"/>
                <c:pt idx="0">
                  <c:v>949.3</c:v>
                </c:pt>
                <c:pt idx="1">
                  <c:v>952.09500000000003</c:v>
                </c:pt>
                <c:pt idx="2">
                  <c:v>938.88</c:v>
                </c:pt>
                <c:pt idx="3">
                  <c:v>930.76</c:v>
                </c:pt>
                <c:pt idx="4">
                  <c:v>928.04</c:v>
                </c:pt>
                <c:pt idx="5">
                  <c:v>915.13</c:v>
                </c:pt>
                <c:pt idx="6">
                  <c:v>909.22990000000004</c:v>
                </c:pt>
                <c:pt idx="7">
                  <c:v>912.1</c:v>
                </c:pt>
                <c:pt idx="8">
                  <c:v>907.35879999999997</c:v>
                </c:pt>
                <c:pt idx="9">
                  <c:v>921.99</c:v>
                </c:pt>
                <c:pt idx="10">
                  <c:v>916.92</c:v>
                </c:pt>
                <c:pt idx="11">
                  <c:v>902</c:v>
                </c:pt>
                <c:pt idx="12">
                  <c:v>895.99990000000003</c:v>
                </c:pt>
                <c:pt idx="13">
                  <c:v>898.4</c:v>
                </c:pt>
                <c:pt idx="14">
                  <c:v>899.44</c:v>
                </c:pt>
                <c:pt idx="15">
                  <c:v>903.4</c:v>
                </c:pt>
                <c:pt idx="16">
                  <c:v>905.59</c:v>
                </c:pt>
                <c:pt idx="17">
                  <c:v>909.42759999999998</c:v>
                </c:pt>
                <c:pt idx="18">
                  <c:v>925.14</c:v>
                </c:pt>
                <c:pt idx="19">
                  <c:v>931.09</c:v>
                </c:pt>
              </c:numCache>
            </c:numRef>
          </c:val>
          <c:smooth val="0"/>
          <c:extLst>
            <c:ext xmlns:c16="http://schemas.microsoft.com/office/drawing/2014/chart" uri="{C3380CC4-5D6E-409C-BE32-E72D297353CC}">
              <c16:uniqueId val="{00000002-4349-447E-8005-FDFCD0B29788}"/>
            </c:ext>
          </c:extLst>
        </c:ser>
        <c:ser>
          <c:idx val="3"/>
          <c:order val="3"/>
          <c:tx>
            <c:strRef>
              <c:f>COST!$E$6</c:f>
              <c:strCache>
                <c:ptCount val="1"/>
                <c:pt idx="0">
                  <c:v>Low</c:v>
                </c:pt>
              </c:strCache>
            </c:strRef>
          </c:tx>
          <c:spPr>
            <a:ln w="38100" cap="rnd">
              <a:noFill/>
              <a:round/>
            </a:ln>
            <a:effectLst/>
          </c:spPr>
          <c:marker>
            <c:symbol val="none"/>
          </c:marker>
          <c:cat>
            <c:numRef>
              <c:f>COST!$A$7:$A$27</c:f>
              <c:numCache>
                <c:formatCode>m/d/yyyy</c:formatCode>
                <c:ptCount val="21"/>
                <c:pt idx="0">
                  <c:v>46265</c:v>
                </c:pt>
                <c:pt idx="1">
                  <c:v>46266</c:v>
                </c:pt>
                <c:pt idx="2">
                  <c:v>46267</c:v>
                </c:pt>
                <c:pt idx="3">
                  <c:v>46268</c:v>
                </c:pt>
                <c:pt idx="4">
                  <c:v>46269</c:v>
                </c:pt>
                <c:pt idx="5">
                  <c:v>46273</c:v>
                </c:pt>
                <c:pt idx="6">
                  <c:v>46274</c:v>
                </c:pt>
                <c:pt idx="7">
                  <c:v>46275</c:v>
                </c:pt>
                <c:pt idx="8">
                  <c:v>46276</c:v>
                </c:pt>
                <c:pt idx="9">
                  <c:v>46279</c:v>
                </c:pt>
                <c:pt idx="10">
                  <c:v>46280</c:v>
                </c:pt>
                <c:pt idx="11">
                  <c:v>46281</c:v>
                </c:pt>
                <c:pt idx="12">
                  <c:v>46282</c:v>
                </c:pt>
                <c:pt idx="13">
                  <c:v>46283</c:v>
                </c:pt>
                <c:pt idx="14">
                  <c:v>46286</c:v>
                </c:pt>
                <c:pt idx="15">
                  <c:v>46287</c:v>
                </c:pt>
                <c:pt idx="16">
                  <c:v>46288</c:v>
                </c:pt>
                <c:pt idx="17">
                  <c:v>46289</c:v>
                </c:pt>
                <c:pt idx="18">
                  <c:v>46290</c:v>
                </c:pt>
                <c:pt idx="19">
                  <c:v>46293</c:v>
                </c:pt>
              </c:numCache>
            </c:numRef>
          </c:cat>
          <c:val>
            <c:numRef>
              <c:f>COST!$E$7:$E$27</c:f>
              <c:numCache>
                <c:formatCode>_([$$-409]* #,##0.00_);_([$$-409]* \(#,##0.00\);_([$$-409]* "-"??_);_(@_)</c:formatCode>
                <c:ptCount val="21"/>
                <c:pt idx="0">
                  <c:v>940.71</c:v>
                </c:pt>
                <c:pt idx="1">
                  <c:v>935.92499999999995</c:v>
                </c:pt>
                <c:pt idx="2">
                  <c:v>920.31010000000003</c:v>
                </c:pt>
                <c:pt idx="3">
                  <c:v>915.31</c:v>
                </c:pt>
                <c:pt idx="4">
                  <c:v>914.54</c:v>
                </c:pt>
                <c:pt idx="5">
                  <c:v>906.1</c:v>
                </c:pt>
                <c:pt idx="6">
                  <c:v>898.43</c:v>
                </c:pt>
                <c:pt idx="7">
                  <c:v>899</c:v>
                </c:pt>
                <c:pt idx="8">
                  <c:v>900.75</c:v>
                </c:pt>
                <c:pt idx="9">
                  <c:v>910.79</c:v>
                </c:pt>
                <c:pt idx="10">
                  <c:v>900.25</c:v>
                </c:pt>
                <c:pt idx="11">
                  <c:v>892.67</c:v>
                </c:pt>
                <c:pt idx="12">
                  <c:v>888.04</c:v>
                </c:pt>
                <c:pt idx="13">
                  <c:v>890.55</c:v>
                </c:pt>
                <c:pt idx="14">
                  <c:v>885.5</c:v>
                </c:pt>
                <c:pt idx="15">
                  <c:v>895.84</c:v>
                </c:pt>
                <c:pt idx="16">
                  <c:v>893.36</c:v>
                </c:pt>
                <c:pt idx="17">
                  <c:v>895.26</c:v>
                </c:pt>
                <c:pt idx="18">
                  <c:v>883.1</c:v>
                </c:pt>
                <c:pt idx="19">
                  <c:v>913</c:v>
                </c:pt>
              </c:numCache>
            </c:numRef>
          </c:val>
          <c:smooth val="0"/>
          <c:extLst>
            <c:ext xmlns:c16="http://schemas.microsoft.com/office/drawing/2014/chart" uri="{C3380CC4-5D6E-409C-BE32-E72D297353CC}">
              <c16:uniqueId val="{00000003-4349-447E-8005-FDFCD0B29788}"/>
            </c:ext>
          </c:extLst>
        </c:ser>
        <c:ser>
          <c:idx val="4"/>
          <c:order val="4"/>
          <c:tx>
            <c:strRef>
              <c:f>COST!$F$6</c:f>
              <c:strCache>
                <c:ptCount val="1"/>
                <c:pt idx="0">
                  <c:v>Close</c:v>
                </c:pt>
              </c:strCache>
            </c:strRef>
          </c:tx>
          <c:spPr>
            <a:ln w="38100" cap="rnd">
              <a:noFill/>
              <a:round/>
            </a:ln>
            <a:effectLst/>
          </c:spPr>
          <c:marker>
            <c:symbol val="none"/>
          </c:marker>
          <c:cat>
            <c:numRef>
              <c:f>COST!$A$7:$A$27</c:f>
              <c:numCache>
                <c:formatCode>m/d/yyyy</c:formatCode>
                <c:ptCount val="21"/>
                <c:pt idx="0">
                  <c:v>46265</c:v>
                </c:pt>
                <c:pt idx="1">
                  <c:v>46266</c:v>
                </c:pt>
                <c:pt idx="2">
                  <c:v>46267</c:v>
                </c:pt>
                <c:pt idx="3">
                  <c:v>46268</c:v>
                </c:pt>
                <c:pt idx="4">
                  <c:v>46269</c:v>
                </c:pt>
                <c:pt idx="5">
                  <c:v>46273</c:v>
                </c:pt>
                <c:pt idx="6">
                  <c:v>46274</c:v>
                </c:pt>
                <c:pt idx="7">
                  <c:v>46275</c:v>
                </c:pt>
                <c:pt idx="8">
                  <c:v>46276</c:v>
                </c:pt>
                <c:pt idx="9">
                  <c:v>46279</c:v>
                </c:pt>
                <c:pt idx="10">
                  <c:v>46280</c:v>
                </c:pt>
                <c:pt idx="11">
                  <c:v>46281</c:v>
                </c:pt>
                <c:pt idx="12">
                  <c:v>46282</c:v>
                </c:pt>
                <c:pt idx="13">
                  <c:v>46283</c:v>
                </c:pt>
                <c:pt idx="14">
                  <c:v>46286</c:v>
                </c:pt>
                <c:pt idx="15">
                  <c:v>46287</c:v>
                </c:pt>
                <c:pt idx="16">
                  <c:v>46288</c:v>
                </c:pt>
                <c:pt idx="17">
                  <c:v>46289</c:v>
                </c:pt>
                <c:pt idx="18">
                  <c:v>46290</c:v>
                </c:pt>
                <c:pt idx="19">
                  <c:v>46293</c:v>
                </c:pt>
              </c:numCache>
            </c:numRef>
          </c:cat>
          <c:val>
            <c:numRef>
              <c:f>COST!$F$7:$F$27</c:f>
              <c:numCache>
                <c:formatCode>_([$$-409]* #,##0.00_);_([$$-409]* \(#,##0.00\);_([$$-409]* "-"??_);_(@_)</c:formatCode>
                <c:ptCount val="21"/>
                <c:pt idx="0">
                  <c:v>943.89</c:v>
                </c:pt>
                <c:pt idx="1">
                  <c:v>939.96</c:v>
                </c:pt>
                <c:pt idx="2">
                  <c:v>928.48</c:v>
                </c:pt>
                <c:pt idx="3">
                  <c:v>925.41</c:v>
                </c:pt>
                <c:pt idx="4">
                  <c:v>915.74</c:v>
                </c:pt>
                <c:pt idx="5">
                  <c:v>910.18</c:v>
                </c:pt>
                <c:pt idx="6">
                  <c:v>902.6</c:v>
                </c:pt>
                <c:pt idx="7">
                  <c:v>902.38</c:v>
                </c:pt>
                <c:pt idx="8">
                  <c:v>904.77</c:v>
                </c:pt>
                <c:pt idx="9">
                  <c:v>918.91</c:v>
                </c:pt>
                <c:pt idx="10">
                  <c:v>901.35</c:v>
                </c:pt>
                <c:pt idx="11">
                  <c:v>893.74</c:v>
                </c:pt>
                <c:pt idx="12">
                  <c:v>893.93</c:v>
                </c:pt>
                <c:pt idx="13">
                  <c:v>895.31</c:v>
                </c:pt>
                <c:pt idx="14">
                  <c:v>898.48</c:v>
                </c:pt>
                <c:pt idx="15">
                  <c:v>899.41</c:v>
                </c:pt>
                <c:pt idx="16">
                  <c:v>904.7</c:v>
                </c:pt>
                <c:pt idx="17">
                  <c:v>896.48</c:v>
                </c:pt>
                <c:pt idx="18">
                  <c:v>922.76499999999999</c:v>
                </c:pt>
                <c:pt idx="19">
                  <c:v>922.92</c:v>
                </c:pt>
              </c:numCache>
            </c:numRef>
          </c:val>
          <c:smooth val="0"/>
          <c:extLst>
            <c:ext xmlns:c16="http://schemas.microsoft.com/office/drawing/2014/chart" uri="{C3380CC4-5D6E-409C-BE32-E72D297353CC}">
              <c16:uniqueId val="{00000004-4349-447E-8005-FDFCD0B29788}"/>
            </c:ext>
          </c:extLst>
        </c:ser>
        <c:dLbls>
          <c:showLegendKey val="0"/>
          <c:showVal val="0"/>
          <c:showCatName val="0"/>
          <c:showSerName val="0"/>
          <c:showPercent val="0"/>
          <c:showBubbleSize val="0"/>
        </c:dLbls>
        <c:hiLowLines>
          <c:spPr>
            <a:ln w="9525" cap="flat" cmpd="sng" algn="ctr">
              <a:solidFill>
                <a:schemeClr val="tx1">
                  <a:lumMod val="75000"/>
                  <a:lumOff val="25000"/>
                </a:schemeClr>
              </a:solidFill>
              <a:round/>
            </a:ln>
            <a:effectLst/>
          </c:spPr>
        </c:hiLowLines>
        <c:upDownBars>
          <c:gapWidth val="150"/>
          <c:upBars>
            <c:spPr>
              <a:solidFill>
                <a:schemeClr val="lt1"/>
              </a:solidFill>
              <a:ln w="9525" cap="flat" cmpd="sng" algn="ctr">
                <a:solidFill>
                  <a:schemeClr val="tx1">
                    <a:lumMod val="65000"/>
                    <a:lumOff val="35000"/>
                  </a:schemeClr>
                </a:solidFill>
                <a:round/>
              </a:ln>
              <a:effectLst/>
            </c:spPr>
          </c:upBars>
          <c:downBars>
            <c:spPr>
              <a:solidFill>
                <a:schemeClr val="dk1">
                  <a:lumMod val="75000"/>
                  <a:lumOff val="25000"/>
                </a:schemeClr>
              </a:solidFill>
              <a:ln w="9525" cap="flat" cmpd="sng" algn="ctr">
                <a:solidFill>
                  <a:schemeClr val="tx1">
                    <a:lumMod val="65000"/>
                    <a:lumOff val="35000"/>
                  </a:schemeClr>
                </a:solidFill>
                <a:round/>
              </a:ln>
              <a:effectLst/>
            </c:spPr>
          </c:downBars>
        </c:upDownBars>
        <c:axId val="1641844592"/>
        <c:axId val="1948494816"/>
      </c:stockChart>
      <c:dateAx>
        <c:axId val="1641718448"/>
        <c:scaling>
          <c:orientation val="minMax"/>
        </c:scaling>
        <c:delete val="0"/>
        <c:axPos val="b"/>
        <c:numFmt formatCode="d\-mmm"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crossAx val="1641718928"/>
        <c:crosses val="autoZero"/>
        <c:auto val="1"/>
        <c:lblOffset val="100"/>
        <c:baseTimeUnit val="days"/>
      </c:dateAx>
      <c:valAx>
        <c:axId val="1641718928"/>
        <c:scaling>
          <c:orientation val="minMax"/>
        </c:scaling>
        <c:delete val="0"/>
        <c:axPos val="l"/>
        <c:majorGridlines>
          <c:spPr>
            <a:ln w="9525" cap="flat" cmpd="sng" algn="ctr">
              <a:solidFill>
                <a:schemeClr val="tx1">
                  <a:lumMod val="15000"/>
                  <a:lumOff val="85000"/>
                </a:schemeClr>
              </a:solidFill>
              <a:round/>
            </a:ln>
            <a:effectLst/>
          </c:spPr>
        </c:majorGridlines>
        <c:numFmt formatCode="#,##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crossAx val="1641718448"/>
        <c:crosses val="autoZero"/>
        <c:crossBetween val="between"/>
      </c:valAx>
      <c:valAx>
        <c:axId val="1948494816"/>
        <c:scaling>
          <c:orientation val="minMax"/>
        </c:scaling>
        <c:delete val="0"/>
        <c:axPos val="r"/>
        <c:majorGridlines>
          <c:spPr>
            <a:ln w="9525" cap="flat" cmpd="sng" algn="ctr">
              <a:solidFill>
                <a:schemeClr val="tx1">
                  <a:lumMod val="15000"/>
                  <a:lumOff val="85000"/>
                </a:schemeClr>
              </a:solidFill>
              <a:round/>
            </a:ln>
            <a:effectLst/>
          </c:spPr>
        </c:majorGridlines>
        <c:numFmt formatCode="_([$$-409]* #,##0.00_);_([$$-409]* \(#,##0.00\);_([$$-4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crossAx val="1641844592"/>
        <c:crosses val="max"/>
        <c:crossBetween val="between"/>
      </c:valAx>
      <c:dateAx>
        <c:axId val="1641844592"/>
        <c:scaling>
          <c:orientation val="minMax"/>
        </c:scaling>
        <c:delete val="1"/>
        <c:axPos val="b"/>
        <c:numFmt formatCode="m/d/yyyy" sourceLinked="1"/>
        <c:majorTickMark val="out"/>
        <c:minorTickMark val="none"/>
        <c:tickLblPos val="nextTo"/>
        <c:crossAx val="1948494816"/>
        <c:crosses val="autoZero"/>
        <c:auto val="1"/>
        <c:lblOffset val="100"/>
        <c:baseTimeUnit val="days"/>
      </c:date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Close Last 12 Months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lotArea>
      <c:layout>
        <c:manualLayout>
          <c:layoutTarget val="inner"/>
          <c:xMode val="edge"/>
          <c:yMode val="edge"/>
          <c:x val="0.1035513225517469"/>
          <c:y val="0.12968531468531469"/>
          <c:w val="0.88247662156002959"/>
          <c:h val="0.83185314685314682"/>
        </c:manualLayout>
      </c:layout>
      <c:areaChart>
        <c:grouping val="standard"/>
        <c:varyColors val="0"/>
        <c:ser>
          <c:idx val="0"/>
          <c:order val="0"/>
          <c:spPr>
            <a:gradFill>
              <a:gsLst>
                <a:gs pos="96000">
                  <a:schemeClr val="accent1">
                    <a:lumMod val="5000"/>
                    <a:lumOff val="95000"/>
                  </a:schemeClr>
                </a:gs>
                <a:gs pos="43000">
                  <a:srgbClr val="417A85"/>
                </a:gs>
                <a:gs pos="76000">
                  <a:srgbClr val="417A85"/>
                </a:gs>
              </a:gsLst>
              <a:lin ang="5400000" scaled="1"/>
            </a:gradFill>
            <a:ln>
              <a:noFill/>
            </a:ln>
            <a:effectLst/>
          </c:spPr>
          <c:val>
            <c:numRef>
              <c:f>COST!$C$4:$IR$4</c:f>
              <c:numCache>
                <c:formatCode>_([$$-409]* #,##0.00_);_([$$-409]* \(#,##0.00\);_([$$-409]* "-"??_);_(@_)</c:formatCode>
                <c:ptCount val="250"/>
                <c:pt idx="0">
                  <c:v>916.87</c:v>
                </c:pt>
                <c:pt idx="1">
                  <c:v>925.63</c:v>
                </c:pt>
                <c:pt idx="2">
                  <c:v>917.34</c:v>
                </c:pt>
                <c:pt idx="3">
                  <c:v>916.77</c:v>
                </c:pt>
                <c:pt idx="4">
                  <c:v>915.38</c:v>
                </c:pt>
                <c:pt idx="5">
                  <c:v>910.94</c:v>
                </c:pt>
                <c:pt idx="6">
                  <c:v>914.8</c:v>
                </c:pt>
                <c:pt idx="7">
                  <c:v>914.8</c:v>
                </c:pt>
                <c:pt idx="8">
                  <c:v>942.89</c:v>
                </c:pt>
                <c:pt idx="9">
                  <c:v>930.01</c:v>
                </c:pt>
                <c:pt idx="10">
                  <c:v>935.56</c:v>
                </c:pt>
                <c:pt idx="11">
                  <c:v>946.51</c:v>
                </c:pt>
                <c:pt idx="12">
                  <c:v>954.99</c:v>
                </c:pt>
                <c:pt idx="13">
                  <c:v>925.62</c:v>
                </c:pt>
                <c:pt idx="14">
                  <c:v>936.33</c:v>
                </c:pt>
                <c:pt idx="15">
                  <c:v>936.11</c:v>
                </c:pt>
                <c:pt idx="16">
                  <c:v>937.5</c:v>
                </c:pt>
                <c:pt idx="17">
                  <c:v>944.68</c:v>
                </c:pt>
                <c:pt idx="18">
                  <c:v>942.05</c:v>
                </c:pt>
                <c:pt idx="19">
                  <c:v>932.14</c:v>
                </c:pt>
                <c:pt idx="20">
                  <c:v>929.85</c:v>
                </c:pt>
                <c:pt idx="21">
                  <c:v>924.16</c:v>
                </c:pt>
                <c:pt idx="22">
                  <c:v>912.42</c:v>
                </c:pt>
                <c:pt idx="23">
                  <c:v>920.18</c:v>
                </c:pt>
                <c:pt idx="24">
                  <c:v>911.45</c:v>
                </c:pt>
                <c:pt idx="25">
                  <c:v>928.04</c:v>
                </c:pt>
                <c:pt idx="26">
                  <c:v>940.74</c:v>
                </c:pt>
                <c:pt idx="27">
                  <c:v>935.03</c:v>
                </c:pt>
                <c:pt idx="28">
                  <c:v>923.58</c:v>
                </c:pt>
                <c:pt idx="29">
                  <c:v>922.74</c:v>
                </c:pt>
                <c:pt idx="30">
                  <c:v>915.56</c:v>
                </c:pt>
                <c:pt idx="31">
                  <c:v>913.86</c:v>
                </c:pt>
                <c:pt idx="32">
                  <c:v>914</c:v>
                </c:pt>
                <c:pt idx="33">
                  <c:v>925.08</c:v>
                </c:pt>
                <c:pt idx="34">
                  <c:v>922.98</c:v>
                </c:pt>
                <c:pt idx="35">
                  <c:v>912.59</c:v>
                </c:pt>
                <c:pt idx="36">
                  <c:v>895.08</c:v>
                </c:pt>
                <c:pt idx="37">
                  <c:v>890.6</c:v>
                </c:pt>
                <c:pt idx="38">
                  <c:v>893.29</c:v>
                </c:pt>
                <c:pt idx="39">
                  <c:v>899.01</c:v>
                </c:pt>
                <c:pt idx="40">
                  <c:v>886.12</c:v>
                </c:pt>
                <c:pt idx="41">
                  <c:v>894.33</c:v>
                </c:pt>
                <c:pt idx="42">
                  <c:v>908.26</c:v>
                </c:pt>
                <c:pt idx="43">
                  <c:v>913.59</c:v>
                </c:pt>
                <c:pt idx="44">
                  <c:v>911.96</c:v>
                </c:pt>
                <c:pt idx="45">
                  <c:v>922.03</c:v>
                </c:pt>
                <c:pt idx="46">
                  <c:v>922.26</c:v>
                </c:pt>
                <c:pt idx="47">
                  <c:v>895.85500000000002</c:v>
                </c:pt>
                <c:pt idx="48">
                  <c:v>894.68</c:v>
                </c:pt>
                <c:pt idx="49">
                  <c:v>887.52</c:v>
                </c:pt>
                <c:pt idx="50">
                  <c:v>888.44</c:v>
                </c:pt>
                <c:pt idx="51">
                  <c:v>874.41</c:v>
                </c:pt>
                <c:pt idx="52">
                  <c:v>884.48</c:v>
                </c:pt>
                <c:pt idx="53">
                  <c:v>884.47</c:v>
                </c:pt>
                <c:pt idx="54">
                  <c:v>860.56</c:v>
                </c:pt>
                <c:pt idx="55">
                  <c:v>860.39</c:v>
                </c:pt>
                <c:pt idx="56">
                  <c:v>862.65</c:v>
                </c:pt>
                <c:pt idx="57">
                  <c:v>857.59</c:v>
                </c:pt>
                <c:pt idx="58">
                  <c:v>855.62</c:v>
                </c:pt>
                <c:pt idx="59">
                  <c:v>850</c:v>
                </c:pt>
                <c:pt idx="60">
                  <c:v>854.79</c:v>
                </c:pt>
                <c:pt idx="61">
                  <c:v>871.86</c:v>
                </c:pt>
                <c:pt idx="62">
                  <c:v>873.35</c:v>
                </c:pt>
                <c:pt idx="63">
                  <c:v>867.84</c:v>
                </c:pt>
                <c:pt idx="64">
                  <c:v>865.65</c:v>
                </c:pt>
                <c:pt idx="65">
                  <c:v>862.34</c:v>
                </c:pt>
                <c:pt idx="66">
                  <c:v>854.5</c:v>
                </c:pt>
                <c:pt idx="67">
                  <c:v>875.74</c:v>
                </c:pt>
                <c:pt idx="68">
                  <c:v>889.1</c:v>
                </c:pt>
                <c:pt idx="69">
                  <c:v>882.58</c:v>
                </c:pt>
                <c:pt idx="70">
                  <c:v>915.31</c:v>
                </c:pt>
                <c:pt idx="71">
                  <c:v>924.88</c:v>
                </c:pt>
                <c:pt idx="72">
                  <c:v>943.08</c:v>
                </c:pt>
                <c:pt idx="73">
                  <c:v>941.93</c:v>
                </c:pt>
                <c:pt idx="74">
                  <c:v>950.98</c:v>
                </c:pt>
                <c:pt idx="75">
                  <c:v>956.75</c:v>
                </c:pt>
                <c:pt idx="76">
                  <c:v>963.61</c:v>
                </c:pt>
                <c:pt idx="77">
                  <c:v>964.26</c:v>
                </c:pt>
                <c:pt idx="78">
                  <c:v>982.86</c:v>
                </c:pt>
                <c:pt idx="79">
                  <c:v>976.17</c:v>
                </c:pt>
                <c:pt idx="80">
                  <c:v>983.25</c:v>
                </c:pt>
                <c:pt idx="81">
                  <c:v>977.67</c:v>
                </c:pt>
                <c:pt idx="82">
                  <c:v>970.28</c:v>
                </c:pt>
                <c:pt idx="83">
                  <c:v>960.78</c:v>
                </c:pt>
                <c:pt idx="84">
                  <c:v>952.89</c:v>
                </c:pt>
                <c:pt idx="85">
                  <c:v>940.25</c:v>
                </c:pt>
                <c:pt idx="86">
                  <c:v>968.36</c:v>
                </c:pt>
                <c:pt idx="87">
                  <c:v>977.92</c:v>
                </c:pt>
                <c:pt idx="88">
                  <c:v>978.35</c:v>
                </c:pt>
                <c:pt idx="89">
                  <c:v>989.29</c:v>
                </c:pt>
                <c:pt idx="90">
                  <c:v>1001.16</c:v>
                </c:pt>
                <c:pt idx="91">
                  <c:v>997.59</c:v>
                </c:pt>
                <c:pt idx="92">
                  <c:v>971.23</c:v>
                </c:pt>
                <c:pt idx="93">
                  <c:v>978.14</c:v>
                </c:pt>
                <c:pt idx="94">
                  <c:v>998.86</c:v>
                </c:pt>
                <c:pt idx="95">
                  <c:v>1018.48</c:v>
                </c:pt>
                <c:pt idx="96">
                  <c:v>1012.05</c:v>
                </c:pt>
                <c:pt idx="97">
                  <c:v>996.08</c:v>
                </c:pt>
                <c:pt idx="98">
                  <c:v>987.82</c:v>
                </c:pt>
                <c:pt idx="99">
                  <c:v>985.27</c:v>
                </c:pt>
                <c:pt idx="100">
                  <c:v>986.02</c:v>
                </c:pt>
                <c:pt idx="101">
                  <c:v>998.43</c:v>
                </c:pt>
                <c:pt idx="102">
                  <c:v>994.76</c:v>
                </c:pt>
                <c:pt idx="103">
                  <c:v>986.74</c:v>
                </c:pt>
                <c:pt idx="104">
                  <c:v>1010.79</c:v>
                </c:pt>
                <c:pt idx="105">
                  <c:v>1002.77</c:v>
                </c:pt>
                <c:pt idx="106">
                  <c:v>1007.77</c:v>
                </c:pt>
                <c:pt idx="107">
                  <c:v>1006.74</c:v>
                </c:pt>
                <c:pt idx="108">
                  <c:v>982.57</c:v>
                </c:pt>
                <c:pt idx="109">
                  <c:v>998.1</c:v>
                </c:pt>
                <c:pt idx="110">
                  <c:v>1005.3</c:v>
                </c:pt>
                <c:pt idx="111">
                  <c:v>997.36</c:v>
                </c:pt>
                <c:pt idx="112">
                  <c:v>992.23</c:v>
                </c:pt>
                <c:pt idx="113">
                  <c:v>1003.32</c:v>
                </c:pt>
                <c:pt idx="114">
                  <c:v>1008.43</c:v>
                </c:pt>
                <c:pt idx="115">
                  <c:v>1001.74</c:v>
                </c:pt>
                <c:pt idx="116">
                  <c:v>996.16</c:v>
                </c:pt>
                <c:pt idx="117">
                  <c:v>979.92</c:v>
                </c:pt>
                <c:pt idx="118">
                  <c:v>974.78</c:v>
                </c:pt>
                <c:pt idx="119">
                  <c:v>972.33</c:v>
                </c:pt>
                <c:pt idx="120">
                  <c:v>965.73</c:v>
                </c:pt>
                <c:pt idx="121">
                  <c:v>973.82</c:v>
                </c:pt>
                <c:pt idx="122">
                  <c:v>974.86</c:v>
                </c:pt>
                <c:pt idx="123">
                  <c:v>979.65</c:v>
                </c:pt>
                <c:pt idx="124">
                  <c:v>983.86</c:v>
                </c:pt>
                <c:pt idx="125">
                  <c:v>996.58</c:v>
                </c:pt>
                <c:pt idx="126">
                  <c:v>996.43</c:v>
                </c:pt>
                <c:pt idx="127">
                  <c:v>996.56</c:v>
                </c:pt>
                <c:pt idx="128">
                  <c:v>1014.96</c:v>
                </c:pt>
                <c:pt idx="129">
                  <c:v>1018.55</c:v>
                </c:pt>
                <c:pt idx="130">
                  <c:v>1013.21</c:v>
                </c:pt>
                <c:pt idx="131">
                  <c:v>1030.27</c:v>
                </c:pt>
                <c:pt idx="132">
                  <c:v>1032.03</c:v>
                </c:pt>
                <c:pt idx="133">
                  <c:v>998.47</c:v>
                </c:pt>
                <c:pt idx="134">
                  <c:v>980.85</c:v>
                </c:pt>
                <c:pt idx="135">
                  <c:v>974.8</c:v>
                </c:pt>
                <c:pt idx="136">
                  <c:v>984.75</c:v>
                </c:pt>
                <c:pt idx="137">
                  <c:v>987.21</c:v>
                </c:pt>
                <c:pt idx="138">
                  <c:v>999.89</c:v>
                </c:pt>
                <c:pt idx="139">
                  <c:v>997.84</c:v>
                </c:pt>
                <c:pt idx="140">
                  <c:v>1005.81</c:v>
                </c:pt>
                <c:pt idx="141">
                  <c:v>1003.7</c:v>
                </c:pt>
                <c:pt idx="142">
                  <c:v>1014.38</c:v>
                </c:pt>
                <c:pt idx="143">
                  <c:v>1011.15</c:v>
                </c:pt>
                <c:pt idx="144">
                  <c:v>998.01</c:v>
                </c:pt>
                <c:pt idx="145">
                  <c:v>994</c:v>
                </c:pt>
                <c:pt idx="146">
                  <c:v>998.67</c:v>
                </c:pt>
                <c:pt idx="147">
                  <c:v>1014.53</c:v>
                </c:pt>
                <c:pt idx="148">
                  <c:v>1011.7</c:v>
                </c:pt>
                <c:pt idx="149">
                  <c:v>1012.79</c:v>
                </c:pt>
                <c:pt idx="150">
                  <c:v>1016.42</c:v>
                </c:pt>
                <c:pt idx="151">
                  <c:v>995.75</c:v>
                </c:pt>
                <c:pt idx="152">
                  <c:v>1012.06</c:v>
                </c:pt>
                <c:pt idx="153">
                  <c:v>1008.79</c:v>
                </c:pt>
                <c:pt idx="154">
                  <c:v>999.47</c:v>
                </c:pt>
                <c:pt idx="155">
                  <c:v>1021.88</c:v>
                </c:pt>
                <c:pt idx="156">
                  <c:v>1033.08</c:v>
                </c:pt>
                <c:pt idx="157">
                  <c:v>1041.25</c:v>
                </c:pt>
                <c:pt idx="158">
                  <c:v>1048.95</c:v>
                </c:pt>
                <c:pt idx="159">
                  <c:v>1076.47</c:v>
                </c:pt>
                <c:pt idx="160">
                  <c:v>1094.32</c:v>
                </c:pt>
                <c:pt idx="161">
                  <c:v>1074.01</c:v>
                </c:pt>
                <c:pt idx="162">
                  <c:v>1050.45</c:v>
                </c:pt>
                <c:pt idx="163">
                  <c:v>1028.24</c:v>
                </c:pt>
                <c:pt idx="164">
                  <c:v>1002.93</c:v>
                </c:pt>
                <c:pt idx="165">
                  <c:v>1003.69</c:v>
                </c:pt>
                <c:pt idx="166">
                  <c:v>995.2</c:v>
                </c:pt>
                <c:pt idx="167">
                  <c:v>956.32</c:v>
                </c:pt>
                <c:pt idx="168">
                  <c:v>946.11</c:v>
                </c:pt>
                <c:pt idx="169">
                  <c:v>954.27</c:v>
                </c:pt>
                <c:pt idx="170">
                  <c:v>961.83</c:v>
                </c:pt>
                <c:pt idx="171">
                  <c:v>972.35</c:v>
                </c:pt>
                <c:pt idx="172">
                  <c:v>971.87</c:v>
                </c:pt>
                <c:pt idx="173">
                  <c:v>974.75</c:v>
                </c:pt>
                <c:pt idx="174">
                  <c:v>968.59</c:v>
                </c:pt>
                <c:pt idx="175">
                  <c:v>983.37</c:v>
                </c:pt>
                <c:pt idx="176">
                  <c:v>975.69</c:v>
                </c:pt>
                <c:pt idx="177">
                  <c:v>982.35</c:v>
                </c:pt>
                <c:pt idx="178">
                  <c:v>979.45</c:v>
                </c:pt>
                <c:pt idx="179">
                  <c:v>986.68</c:v>
                </c:pt>
                <c:pt idx="180">
                  <c:v>965.59</c:v>
                </c:pt>
                <c:pt idx="181">
                  <c:v>951.45</c:v>
                </c:pt>
                <c:pt idx="182">
                  <c:v>951.35</c:v>
                </c:pt>
                <c:pt idx="183">
                  <c:v>957.68</c:v>
                </c:pt>
                <c:pt idx="184">
                  <c:v>961.09</c:v>
                </c:pt>
                <c:pt idx="185">
                  <c:v>942.24</c:v>
                </c:pt>
                <c:pt idx="186">
                  <c:v>952.54</c:v>
                </c:pt>
                <c:pt idx="187">
                  <c:v>946.68</c:v>
                </c:pt>
                <c:pt idx="188">
                  <c:v>935.47</c:v>
                </c:pt>
                <c:pt idx="189">
                  <c:v>924.67</c:v>
                </c:pt>
                <c:pt idx="190">
                  <c:v>951.67</c:v>
                </c:pt>
                <c:pt idx="191">
                  <c:v>950.25</c:v>
                </c:pt>
                <c:pt idx="192">
                  <c:v>947.5</c:v>
                </c:pt>
                <c:pt idx="193">
                  <c:v>953.13</c:v>
                </c:pt>
                <c:pt idx="194">
                  <c:v>912.97</c:v>
                </c:pt>
                <c:pt idx="195">
                  <c:v>916.25</c:v>
                </c:pt>
                <c:pt idx="196">
                  <c:v>926.43</c:v>
                </c:pt>
                <c:pt idx="197">
                  <c:v>921.75</c:v>
                </c:pt>
                <c:pt idx="198">
                  <c:v>916.54</c:v>
                </c:pt>
                <c:pt idx="199">
                  <c:v>945.57</c:v>
                </c:pt>
                <c:pt idx="200">
                  <c:v>940.87</c:v>
                </c:pt>
                <c:pt idx="201">
                  <c:v>935.8</c:v>
                </c:pt>
                <c:pt idx="202">
                  <c:v>929.22</c:v>
                </c:pt>
                <c:pt idx="203">
                  <c:v>927.31</c:v>
                </c:pt>
                <c:pt idx="204">
                  <c:v>926.06</c:v>
                </c:pt>
                <c:pt idx="205">
                  <c:v>935.03</c:v>
                </c:pt>
                <c:pt idx="206">
                  <c:v>951.58</c:v>
                </c:pt>
                <c:pt idx="207">
                  <c:v>966.58</c:v>
                </c:pt>
                <c:pt idx="208">
                  <c:v>974.03</c:v>
                </c:pt>
                <c:pt idx="209">
                  <c:v>954.17</c:v>
                </c:pt>
                <c:pt idx="210">
                  <c:v>951.89</c:v>
                </c:pt>
                <c:pt idx="211">
                  <c:v>954.08</c:v>
                </c:pt>
                <c:pt idx="212">
                  <c:v>947.85</c:v>
                </c:pt>
                <c:pt idx="213">
                  <c:v>941.99</c:v>
                </c:pt>
                <c:pt idx="214">
                  <c:v>949.15</c:v>
                </c:pt>
                <c:pt idx="215">
                  <c:v>947.82</c:v>
                </c:pt>
                <c:pt idx="216">
                  <c:v>952.75</c:v>
                </c:pt>
                <c:pt idx="217">
                  <c:v>944.32</c:v>
                </c:pt>
                <c:pt idx="218">
                  <c:v>949.57500000000005</c:v>
                </c:pt>
                <c:pt idx="219">
                  <c:v>961.85</c:v>
                </c:pt>
                <c:pt idx="220">
                  <c:v>961.1</c:v>
                </c:pt>
                <c:pt idx="221">
                  <c:v>953.5</c:v>
                </c:pt>
                <c:pt idx="222">
                  <c:v>961.35</c:v>
                </c:pt>
                <c:pt idx="223">
                  <c:v>956.99</c:v>
                </c:pt>
                <c:pt idx="224">
                  <c:v>933.51</c:v>
                </c:pt>
                <c:pt idx="225">
                  <c:v>947.74</c:v>
                </c:pt>
                <c:pt idx="226">
                  <c:v>971.4</c:v>
                </c:pt>
                <c:pt idx="227">
                  <c:v>960.01</c:v>
                </c:pt>
                <c:pt idx="228">
                  <c:v>956.12</c:v>
                </c:pt>
                <c:pt idx="229">
                  <c:v>934.66</c:v>
                </c:pt>
                <c:pt idx="230">
                  <c:v>945.47</c:v>
                </c:pt>
                <c:pt idx="231">
                  <c:v>943.89</c:v>
                </c:pt>
                <c:pt idx="232">
                  <c:v>939.96</c:v>
                </c:pt>
                <c:pt idx="233">
                  <c:v>928.48</c:v>
                </c:pt>
                <c:pt idx="234">
                  <c:v>925.41</c:v>
                </c:pt>
                <c:pt idx="235">
                  <c:v>915.74</c:v>
                </c:pt>
                <c:pt idx="236">
                  <c:v>910.18</c:v>
                </c:pt>
                <c:pt idx="237">
                  <c:v>902.6</c:v>
                </c:pt>
                <c:pt idx="238">
                  <c:v>902.38</c:v>
                </c:pt>
                <c:pt idx="239">
                  <c:v>904.77</c:v>
                </c:pt>
                <c:pt idx="240">
                  <c:v>918.91</c:v>
                </c:pt>
                <c:pt idx="241">
                  <c:v>901.35</c:v>
                </c:pt>
                <c:pt idx="242">
                  <c:v>893.74</c:v>
                </c:pt>
                <c:pt idx="243">
                  <c:v>893.93</c:v>
                </c:pt>
                <c:pt idx="244">
                  <c:v>895.31</c:v>
                </c:pt>
                <c:pt idx="245">
                  <c:v>898.48</c:v>
                </c:pt>
                <c:pt idx="246">
                  <c:v>899.41</c:v>
                </c:pt>
                <c:pt idx="247">
                  <c:v>904.7</c:v>
                </c:pt>
                <c:pt idx="248">
                  <c:v>896.48</c:v>
                </c:pt>
                <c:pt idx="249">
                  <c:v>922.76499999999999</c:v>
                </c:pt>
              </c:numCache>
            </c:numRef>
          </c:val>
          <c:extLst>
            <c:ext xmlns:c16="http://schemas.microsoft.com/office/drawing/2014/chart" uri="{C3380CC4-5D6E-409C-BE32-E72D297353CC}">
              <c16:uniqueId val="{00000000-7145-454F-B7DD-F6950E4F7CCD}"/>
            </c:ext>
          </c:extLst>
        </c:ser>
        <c:dLbls>
          <c:showLegendKey val="0"/>
          <c:showVal val="0"/>
          <c:showCatName val="0"/>
          <c:showSerName val="0"/>
          <c:showPercent val="0"/>
          <c:showBubbleSize val="0"/>
        </c:dLbls>
        <c:axId val="1076253871"/>
        <c:axId val="1076274511"/>
      </c:areaChart>
      <c:catAx>
        <c:axId val="1076253871"/>
        <c:scaling>
          <c:orientation val="minMax"/>
        </c:scaling>
        <c:delete val="1"/>
        <c:axPos val="b"/>
        <c:majorTickMark val="out"/>
        <c:minorTickMark val="none"/>
        <c:tickLblPos val="nextTo"/>
        <c:crossAx val="1076274511"/>
        <c:crosses val="autoZero"/>
        <c:auto val="1"/>
        <c:lblAlgn val="ctr"/>
        <c:lblOffset val="100"/>
        <c:noMultiLvlLbl val="0"/>
      </c:catAx>
      <c:valAx>
        <c:axId val="1076274511"/>
        <c:scaling>
          <c:orientation val="minMax"/>
        </c:scaling>
        <c:delete val="0"/>
        <c:axPos val="l"/>
        <c:numFmt formatCode="_([$$-409]* #,##0.00_);_([$$-409]* \(#,##0.00\);_([$$-4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crossAx val="1076253871"/>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DELL!$B$1</c:f>
          <c:strCache>
            <c:ptCount val="1"/>
            <c:pt idx="0">
              <c:v>DELL TECHNOLOGIES INC. (XNYS:DELL)</c:v>
            </c:pt>
          </c:strCache>
        </c:strRef>
      </c:tx>
      <c:layout>
        <c:manualLayout>
          <c:xMode val="edge"/>
          <c:yMode val="edge"/>
          <c:x val="0.23316712421039931"/>
          <c:y val="1.537475666723699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lotArea>
      <c:layout/>
      <c:barChart>
        <c:barDir val="col"/>
        <c:grouping val="clustered"/>
        <c:varyColors val="0"/>
        <c:ser>
          <c:idx val="0"/>
          <c:order val="0"/>
          <c:tx>
            <c:strRef>
              <c:f>DELL!$B$6</c:f>
              <c:strCache>
                <c:ptCount val="1"/>
                <c:pt idx="0">
                  <c:v>Volume</c:v>
                </c:pt>
              </c:strCache>
            </c:strRef>
          </c:tx>
          <c:spPr>
            <a:solidFill>
              <a:schemeClr val="accent1"/>
            </a:solidFill>
            <a:ln w="38100">
              <a:noFill/>
            </a:ln>
            <a:effectLst/>
          </c:spPr>
          <c:invertIfNegative val="0"/>
          <c:cat>
            <c:numRef>
              <c:f>DELL!$A$7:$A$27</c:f>
              <c:numCache>
                <c:formatCode>m/d/yyyy</c:formatCode>
                <c:ptCount val="21"/>
                <c:pt idx="0">
                  <c:v>46265</c:v>
                </c:pt>
                <c:pt idx="1">
                  <c:v>46266</c:v>
                </c:pt>
                <c:pt idx="2">
                  <c:v>46267</c:v>
                </c:pt>
                <c:pt idx="3">
                  <c:v>46268</c:v>
                </c:pt>
                <c:pt idx="4">
                  <c:v>46269</c:v>
                </c:pt>
                <c:pt idx="5">
                  <c:v>46273</c:v>
                </c:pt>
                <c:pt idx="6">
                  <c:v>46274</c:v>
                </c:pt>
                <c:pt idx="7">
                  <c:v>46275</c:v>
                </c:pt>
                <c:pt idx="8">
                  <c:v>46276</c:v>
                </c:pt>
                <c:pt idx="9">
                  <c:v>46279</c:v>
                </c:pt>
                <c:pt idx="10">
                  <c:v>46280</c:v>
                </c:pt>
                <c:pt idx="11">
                  <c:v>46281</c:v>
                </c:pt>
                <c:pt idx="12">
                  <c:v>46282</c:v>
                </c:pt>
                <c:pt idx="13">
                  <c:v>46283</c:v>
                </c:pt>
                <c:pt idx="14">
                  <c:v>46286</c:v>
                </c:pt>
                <c:pt idx="15">
                  <c:v>46287</c:v>
                </c:pt>
                <c:pt idx="16">
                  <c:v>46288</c:v>
                </c:pt>
                <c:pt idx="17">
                  <c:v>46289</c:v>
                </c:pt>
                <c:pt idx="18">
                  <c:v>46290</c:v>
                </c:pt>
                <c:pt idx="19">
                  <c:v>46293</c:v>
                </c:pt>
              </c:numCache>
            </c:numRef>
          </c:cat>
          <c:val>
            <c:numRef>
              <c:f>DELL!$B$7:$B$27</c:f>
              <c:numCache>
                <c:formatCode>#,##0</c:formatCode>
                <c:ptCount val="21"/>
                <c:pt idx="0">
                  <c:v>7686469</c:v>
                </c:pt>
                <c:pt idx="1">
                  <c:v>15947971</c:v>
                </c:pt>
                <c:pt idx="2">
                  <c:v>36720176</c:v>
                </c:pt>
                <c:pt idx="3">
                  <c:v>20327994</c:v>
                </c:pt>
                <c:pt idx="4">
                  <c:v>11118744</c:v>
                </c:pt>
                <c:pt idx="5">
                  <c:v>6662471</c:v>
                </c:pt>
                <c:pt idx="6">
                  <c:v>7282344</c:v>
                </c:pt>
                <c:pt idx="7">
                  <c:v>5796790</c:v>
                </c:pt>
                <c:pt idx="8">
                  <c:v>14309811</c:v>
                </c:pt>
                <c:pt idx="9">
                  <c:v>9173770</c:v>
                </c:pt>
                <c:pt idx="10">
                  <c:v>9566824</c:v>
                </c:pt>
                <c:pt idx="11">
                  <c:v>13108085</c:v>
                </c:pt>
                <c:pt idx="12">
                  <c:v>9350696</c:v>
                </c:pt>
                <c:pt idx="13">
                  <c:v>11739108</c:v>
                </c:pt>
                <c:pt idx="14">
                  <c:v>7736621</c:v>
                </c:pt>
                <c:pt idx="15">
                  <c:v>9781562</c:v>
                </c:pt>
                <c:pt idx="16">
                  <c:v>8252347</c:v>
                </c:pt>
                <c:pt idx="17">
                  <c:v>7962968</c:v>
                </c:pt>
                <c:pt idx="18">
                  <c:v>8729823</c:v>
                </c:pt>
                <c:pt idx="19">
                  <c:v>6863140</c:v>
                </c:pt>
              </c:numCache>
            </c:numRef>
          </c:val>
          <c:extLst>
            <c:ext xmlns:c16="http://schemas.microsoft.com/office/drawing/2014/chart" uri="{C3380CC4-5D6E-409C-BE32-E72D297353CC}">
              <c16:uniqueId val="{00000000-1541-49FC-AD67-21FA29BE54CA}"/>
            </c:ext>
          </c:extLst>
        </c:ser>
        <c:dLbls>
          <c:showLegendKey val="0"/>
          <c:showVal val="0"/>
          <c:showCatName val="0"/>
          <c:showSerName val="0"/>
          <c:showPercent val="0"/>
          <c:showBubbleSize val="0"/>
        </c:dLbls>
        <c:gapWidth val="150"/>
        <c:axId val="1641718448"/>
        <c:axId val="1641718928"/>
      </c:barChart>
      <c:stockChart>
        <c:ser>
          <c:idx val="1"/>
          <c:order val="1"/>
          <c:tx>
            <c:strRef>
              <c:f>DELL!$C$6</c:f>
              <c:strCache>
                <c:ptCount val="1"/>
                <c:pt idx="0">
                  <c:v>Open</c:v>
                </c:pt>
              </c:strCache>
            </c:strRef>
          </c:tx>
          <c:spPr>
            <a:ln w="38100" cap="rnd">
              <a:noFill/>
              <a:round/>
            </a:ln>
            <a:effectLst/>
          </c:spPr>
          <c:marker>
            <c:symbol val="none"/>
          </c:marker>
          <c:cat>
            <c:numRef>
              <c:f>DELL!$A$7:$A$27</c:f>
              <c:numCache>
                <c:formatCode>m/d/yyyy</c:formatCode>
                <c:ptCount val="21"/>
                <c:pt idx="0">
                  <c:v>46265</c:v>
                </c:pt>
                <c:pt idx="1">
                  <c:v>46266</c:v>
                </c:pt>
                <c:pt idx="2">
                  <c:v>46267</c:v>
                </c:pt>
                <c:pt idx="3">
                  <c:v>46268</c:v>
                </c:pt>
                <c:pt idx="4">
                  <c:v>46269</c:v>
                </c:pt>
                <c:pt idx="5">
                  <c:v>46273</c:v>
                </c:pt>
                <c:pt idx="6">
                  <c:v>46274</c:v>
                </c:pt>
                <c:pt idx="7">
                  <c:v>46275</c:v>
                </c:pt>
                <c:pt idx="8">
                  <c:v>46276</c:v>
                </c:pt>
                <c:pt idx="9">
                  <c:v>46279</c:v>
                </c:pt>
                <c:pt idx="10">
                  <c:v>46280</c:v>
                </c:pt>
                <c:pt idx="11">
                  <c:v>46281</c:v>
                </c:pt>
                <c:pt idx="12">
                  <c:v>46282</c:v>
                </c:pt>
                <c:pt idx="13">
                  <c:v>46283</c:v>
                </c:pt>
                <c:pt idx="14">
                  <c:v>46286</c:v>
                </c:pt>
                <c:pt idx="15">
                  <c:v>46287</c:v>
                </c:pt>
                <c:pt idx="16">
                  <c:v>46288</c:v>
                </c:pt>
                <c:pt idx="17">
                  <c:v>46289</c:v>
                </c:pt>
                <c:pt idx="18">
                  <c:v>46290</c:v>
                </c:pt>
                <c:pt idx="19">
                  <c:v>46293</c:v>
                </c:pt>
              </c:numCache>
            </c:numRef>
          </c:cat>
          <c:val>
            <c:numRef>
              <c:f>DELL!$C$7:$C$27</c:f>
              <c:numCache>
                <c:formatCode>_([$$-409]* #,##0.00_);_([$$-409]* \(#,##0.00\);_([$$-409]* "-"??_);_(@_)</c:formatCode>
                <c:ptCount val="21"/>
                <c:pt idx="0">
                  <c:v>459.85</c:v>
                </c:pt>
                <c:pt idx="1">
                  <c:v>455.69</c:v>
                </c:pt>
                <c:pt idx="2">
                  <c:v>462.05</c:v>
                </c:pt>
                <c:pt idx="3">
                  <c:v>486.31</c:v>
                </c:pt>
                <c:pt idx="4">
                  <c:v>513.78</c:v>
                </c:pt>
                <c:pt idx="5">
                  <c:v>521.15</c:v>
                </c:pt>
                <c:pt idx="6">
                  <c:v>538.47</c:v>
                </c:pt>
                <c:pt idx="7">
                  <c:v>523.82500000000005</c:v>
                </c:pt>
                <c:pt idx="8">
                  <c:v>518.07000000000005</c:v>
                </c:pt>
                <c:pt idx="9">
                  <c:v>538.57000000000005</c:v>
                </c:pt>
                <c:pt idx="10">
                  <c:v>541.54999999999995</c:v>
                </c:pt>
                <c:pt idx="11">
                  <c:v>553.625</c:v>
                </c:pt>
                <c:pt idx="12">
                  <c:v>570.4</c:v>
                </c:pt>
                <c:pt idx="13">
                  <c:v>593.15</c:v>
                </c:pt>
                <c:pt idx="14">
                  <c:v>586.77</c:v>
                </c:pt>
                <c:pt idx="15">
                  <c:v>569.79999999999995</c:v>
                </c:pt>
                <c:pt idx="16">
                  <c:v>559</c:v>
                </c:pt>
                <c:pt idx="17">
                  <c:v>535.97</c:v>
                </c:pt>
                <c:pt idx="18">
                  <c:v>546.29</c:v>
                </c:pt>
                <c:pt idx="19">
                  <c:v>551.74</c:v>
                </c:pt>
              </c:numCache>
            </c:numRef>
          </c:val>
          <c:smooth val="0"/>
          <c:extLst>
            <c:ext xmlns:c16="http://schemas.microsoft.com/office/drawing/2014/chart" uri="{C3380CC4-5D6E-409C-BE32-E72D297353CC}">
              <c16:uniqueId val="{00000001-1541-49FC-AD67-21FA29BE54CA}"/>
            </c:ext>
          </c:extLst>
        </c:ser>
        <c:ser>
          <c:idx val="2"/>
          <c:order val="2"/>
          <c:tx>
            <c:strRef>
              <c:f>DELL!$D$6</c:f>
              <c:strCache>
                <c:ptCount val="1"/>
                <c:pt idx="0">
                  <c:v>High</c:v>
                </c:pt>
              </c:strCache>
            </c:strRef>
          </c:tx>
          <c:spPr>
            <a:ln w="38100" cap="rnd">
              <a:noFill/>
              <a:round/>
            </a:ln>
            <a:effectLst/>
          </c:spPr>
          <c:marker>
            <c:symbol val="none"/>
          </c:marker>
          <c:cat>
            <c:numRef>
              <c:f>DELL!$A$7:$A$27</c:f>
              <c:numCache>
                <c:formatCode>m/d/yyyy</c:formatCode>
                <c:ptCount val="21"/>
                <c:pt idx="0">
                  <c:v>46265</c:v>
                </c:pt>
                <c:pt idx="1">
                  <c:v>46266</c:v>
                </c:pt>
                <c:pt idx="2">
                  <c:v>46267</c:v>
                </c:pt>
                <c:pt idx="3">
                  <c:v>46268</c:v>
                </c:pt>
                <c:pt idx="4">
                  <c:v>46269</c:v>
                </c:pt>
                <c:pt idx="5">
                  <c:v>46273</c:v>
                </c:pt>
                <c:pt idx="6">
                  <c:v>46274</c:v>
                </c:pt>
                <c:pt idx="7">
                  <c:v>46275</c:v>
                </c:pt>
                <c:pt idx="8">
                  <c:v>46276</c:v>
                </c:pt>
                <c:pt idx="9">
                  <c:v>46279</c:v>
                </c:pt>
                <c:pt idx="10">
                  <c:v>46280</c:v>
                </c:pt>
                <c:pt idx="11">
                  <c:v>46281</c:v>
                </c:pt>
                <c:pt idx="12">
                  <c:v>46282</c:v>
                </c:pt>
                <c:pt idx="13">
                  <c:v>46283</c:v>
                </c:pt>
                <c:pt idx="14">
                  <c:v>46286</c:v>
                </c:pt>
                <c:pt idx="15">
                  <c:v>46287</c:v>
                </c:pt>
                <c:pt idx="16">
                  <c:v>46288</c:v>
                </c:pt>
                <c:pt idx="17">
                  <c:v>46289</c:v>
                </c:pt>
                <c:pt idx="18">
                  <c:v>46290</c:v>
                </c:pt>
                <c:pt idx="19">
                  <c:v>46293</c:v>
                </c:pt>
              </c:numCache>
            </c:numRef>
          </c:cat>
          <c:val>
            <c:numRef>
              <c:f>DELL!$D$7:$D$27</c:f>
              <c:numCache>
                <c:formatCode>_([$$-409]* #,##0.00_);_([$$-409]* \(#,##0.00\);_([$$-409]* "-"??_);_(@_)</c:formatCode>
                <c:ptCount val="21"/>
                <c:pt idx="0">
                  <c:v>474.49</c:v>
                </c:pt>
                <c:pt idx="1">
                  <c:v>463</c:v>
                </c:pt>
                <c:pt idx="2">
                  <c:v>497.98989999999998</c:v>
                </c:pt>
                <c:pt idx="3">
                  <c:v>530.78</c:v>
                </c:pt>
                <c:pt idx="4">
                  <c:v>534.99</c:v>
                </c:pt>
                <c:pt idx="5">
                  <c:v>538.47</c:v>
                </c:pt>
                <c:pt idx="6">
                  <c:v>562.98990000000003</c:v>
                </c:pt>
                <c:pt idx="7">
                  <c:v>530.51</c:v>
                </c:pt>
                <c:pt idx="8">
                  <c:v>567.75</c:v>
                </c:pt>
                <c:pt idx="9">
                  <c:v>546.29</c:v>
                </c:pt>
                <c:pt idx="10">
                  <c:v>568.66999999999996</c:v>
                </c:pt>
                <c:pt idx="11">
                  <c:v>576.75</c:v>
                </c:pt>
                <c:pt idx="12">
                  <c:v>593.97990000000004</c:v>
                </c:pt>
                <c:pt idx="13">
                  <c:v>595.51</c:v>
                </c:pt>
                <c:pt idx="14">
                  <c:v>592.44000000000005</c:v>
                </c:pt>
                <c:pt idx="15">
                  <c:v>574.6</c:v>
                </c:pt>
                <c:pt idx="16">
                  <c:v>570.72</c:v>
                </c:pt>
                <c:pt idx="17">
                  <c:v>549.85</c:v>
                </c:pt>
                <c:pt idx="18">
                  <c:v>573.79999999999995</c:v>
                </c:pt>
                <c:pt idx="19">
                  <c:v>557</c:v>
                </c:pt>
              </c:numCache>
            </c:numRef>
          </c:val>
          <c:smooth val="0"/>
          <c:extLst>
            <c:ext xmlns:c16="http://schemas.microsoft.com/office/drawing/2014/chart" uri="{C3380CC4-5D6E-409C-BE32-E72D297353CC}">
              <c16:uniqueId val="{00000002-1541-49FC-AD67-21FA29BE54CA}"/>
            </c:ext>
          </c:extLst>
        </c:ser>
        <c:ser>
          <c:idx val="3"/>
          <c:order val="3"/>
          <c:tx>
            <c:strRef>
              <c:f>DELL!$E$6</c:f>
              <c:strCache>
                <c:ptCount val="1"/>
                <c:pt idx="0">
                  <c:v>Low</c:v>
                </c:pt>
              </c:strCache>
            </c:strRef>
          </c:tx>
          <c:spPr>
            <a:ln w="38100" cap="rnd">
              <a:noFill/>
              <a:round/>
            </a:ln>
            <a:effectLst/>
          </c:spPr>
          <c:marker>
            <c:symbol val="none"/>
          </c:marker>
          <c:cat>
            <c:numRef>
              <c:f>DELL!$A$7:$A$27</c:f>
              <c:numCache>
                <c:formatCode>m/d/yyyy</c:formatCode>
                <c:ptCount val="21"/>
                <c:pt idx="0">
                  <c:v>46265</c:v>
                </c:pt>
                <c:pt idx="1">
                  <c:v>46266</c:v>
                </c:pt>
                <c:pt idx="2">
                  <c:v>46267</c:v>
                </c:pt>
                <c:pt idx="3">
                  <c:v>46268</c:v>
                </c:pt>
                <c:pt idx="4">
                  <c:v>46269</c:v>
                </c:pt>
                <c:pt idx="5">
                  <c:v>46273</c:v>
                </c:pt>
                <c:pt idx="6">
                  <c:v>46274</c:v>
                </c:pt>
                <c:pt idx="7">
                  <c:v>46275</c:v>
                </c:pt>
                <c:pt idx="8">
                  <c:v>46276</c:v>
                </c:pt>
                <c:pt idx="9">
                  <c:v>46279</c:v>
                </c:pt>
                <c:pt idx="10">
                  <c:v>46280</c:v>
                </c:pt>
                <c:pt idx="11">
                  <c:v>46281</c:v>
                </c:pt>
                <c:pt idx="12">
                  <c:v>46282</c:v>
                </c:pt>
                <c:pt idx="13">
                  <c:v>46283</c:v>
                </c:pt>
                <c:pt idx="14">
                  <c:v>46286</c:v>
                </c:pt>
                <c:pt idx="15">
                  <c:v>46287</c:v>
                </c:pt>
                <c:pt idx="16">
                  <c:v>46288</c:v>
                </c:pt>
                <c:pt idx="17">
                  <c:v>46289</c:v>
                </c:pt>
                <c:pt idx="18">
                  <c:v>46290</c:v>
                </c:pt>
                <c:pt idx="19">
                  <c:v>46293</c:v>
                </c:pt>
              </c:numCache>
            </c:numRef>
          </c:cat>
          <c:val>
            <c:numRef>
              <c:f>DELL!$E$7:$E$27</c:f>
              <c:numCache>
                <c:formatCode>_([$$-409]* #,##0.00_);_([$$-409]* \(#,##0.00\);_([$$-409]* "-"??_);_(@_)</c:formatCode>
                <c:ptCount val="21"/>
                <c:pt idx="0">
                  <c:v>456.01</c:v>
                </c:pt>
                <c:pt idx="1">
                  <c:v>421.89010000000002</c:v>
                </c:pt>
                <c:pt idx="2">
                  <c:v>432.26510000000002</c:v>
                </c:pt>
                <c:pt idx="3">
                  <c:v>478.3064</c:v>
                </c:pt>
                <c:pt idx="4">
                  <c:v>510.15</c:v>
                </c:pt>
                <c:pt idx="5">
                  <c:v>515.56010000000003</c:v>
                </c:pt>
                <c:pt idx="6">
                  <c:v>532.39260000000002</c:v>
                </c:pt>
                <c:pt idx="7">
                  <c:v>506.25</c:v>
                </c:pt>
                <c:pt idx="8">
                  <c:v>517.51499999999999</c:v>
                </c:pt>
                <c:pt idx="9">
                  <c:v>525.85</c:v>
                </c:pt>
                <c:pt idx="10">
                  <c:v>539</c:v>
                </c:pt>
                <c:pt idx="11">
                  <c:v>550.09</c:v>
                </c:pt>
                <c:pt idx="12">
                  <c:v>565.5</c:v>
                </c:pt>
                <c:pt idx="13">
                  <c:v>568.05999999999995</c:v>
                </c:pt>
                <c:pt idx="14">
                  <c:v>567.38</c:v>
                </c:pt>
                <c:pt idx="15">
                  <c:v>547.71</c:v>
                </c:pt>
                <c:pt idx="16">
                  <c:v>542.23030000000006</c:v>
                </c:pt>
                <c:pt idx="17">
                  <c:v>530.45000000000005</c:v>
                </c:pt>
                <c:pt idx="18">
                  <c:v>541.23509999999999</c:v>
                </c:pt>
                <c:pt idx="19">
                  <c:v>535.5</c:v>
                </c:pt>
              </c:numCache>
            </c:numRef>
          </c:val>
          <c:smooth val="0"/>
          <c:extLst>
            <c:ext xmlns:c16="http://schemas.microsoft.com/office/drawing/2014/chart" uri="{C3380CC4-5D6E-409C-BE32-E72D297353CC}">
              <c16:uniqueId val="{00000003-1541-49FC-AD67-21FA29BE54CA}"/>
            </c:ext>
          </c:extLst>
        </c:ser>
        <c:ser>
          <c:idx val="4"/>
          <c:order val="4"/>
          <c:tx>
            <c:strRef>
              <c:f>DELL!$F$6</c:f>
              <c:strCache>
                <c:ptCount val="1"/>
                <c:pt idx="0">
                  <c:v>Close</c:v>
                </c:pt>
              </c:strCache>
            </c:strRef>
          </c:tx>
          <c:spPr>
            <a:ln w="38100" cap="rnd">
              <a:noFill/>
              <a:round/>
            </a:ln>
            <a:effectLst/>
          </c:spPr>
          <c:marker>
            <c:symbol val="none"/>
          </c:marker>
          <c:cat>
            <c:numRef>
              <c:f>DELL!$A$7:$A$27</c:f>
              <c:numCache>
                <c:formatCode>m/d/yyyy</c:formatCode>
                <c:ptCount val="21"/>
                <c:pt idx="0">
                  <c:v>46265</c:v>
                </c:pt>
                <c:pt idx="1">
                  <c:v>46266</c:v>
                </c:pt>
                <c:pt idx="2">
                  <c:v>46267</c:v>
                </c:pt>
                <c:pt idx="3">
                  <c:v>46268</c:v>
                </c:pt>
                <c:pt idx="4">
                  <c:v>46269</c:v>
                </c:pt>
                <c:pt idx="5">
                  <c:v>46273</c:v>
                </c:pt>
                <c:pt idx="6">
                  <c:v>46274</c:v>
                </c:pt>
                <c:pt idx="7">
                  <c:v>46275</c:v>
                </c:pt>
                <c:pt idx="8">
                  <c:v>46276</c:v>
                </c:pt>
                <c:pt idx="9">
                  <c:v>46279</c:v>
                </c:pt>
                <c:pt idx="10">
                  <c:v>46280</c:v>
                </c:pt>
                <c:pt idx="11">
                  <c:v>46281</c:v>
                </c:pt>
                <c:pt idx="12">
                  <c:v>46282</c:v>
                </c:pt>
                <c:pt idx="13">
                  <c:v>46283</c:v>
                </c:pt>
                <c:pt idx="14">
                  <c:v>46286</c:v>
                </c:pt>
                <c:pt idx="15">
                  <c:v>46287</c:v>
                </c:pt>
                <c:pt idx="16">
                  <c:v>46288</c:v>
                </c:pt>
                <c:pt idx="17">
                  <c:v>46289</c:v>
                </c:pt>
                <c:pt idx="18">
                  <c:v>46290</c:v>
                </c:pt>
                <c:pt idx="19">
                  <c:v>46293</c:v>
                </c:pt>
              </c:numCache>
            </c:numRef>
          </c:cat>
          <c:val>
            <c:numRef>
              <c:f>DELL!$F$7:$F$27</c:f>
              <c:numCache>
                <c:formatCode>_([$$-409]* #,##0.00_);_([$$-409]* \(#,##0.00\);_([$$-409]* "-"??_);_(@_)</c:formatCode>
                <c:ptCount val="21"/>
                <c:pt idx="0">
                  <c:v>456.01</c:v>
                </c:pt>
                <c:pt idx="1">
                  <c:v>425</c:v>
                </c:pt>
                <c:pt idx="2">
                  <c:v>492.2</c:v>
                </c:pt>
                <c:pt idx="3">
                  <c:v>516.39</c:v>
                </c:pt>
                <c:pt idx="4">
                  <c:v>524.14</c:v>
                </c:pt>
                <c:pt idx="5">
                  <c:v>533.88</c:v>
                </c:pt>
                <c:pt idx="6">
                  <c:v>535.25</c:v>
                </c:pt>
                <c:pt idx="7">
                  <c:v>506.62</c:v>
                </c:pt>
                <c:pt idx="8">
                  <c:v>567.29</c:v>
                </c:pt>
                <c:pt idx="9">
                  <c:v>534.28</c:v>
                </c:pt>
                <c:pt idx="10">
                  <c:v>543.51</c:v>
                </c:pt>
                <c:pt idx="11">
                  <c:v>563.29</c:v>
                </c:pt>
                <c:pt idx="12">
                  <c:v>588.4</c:v>
                </c:pt>
                <c:pt idx="13">
                  <c:v>568.05999999999995</c:v>
                </c:pt>
                <c:pt idx="14">
                  <c:v>575.30999999999995</c:v>
                </c:pt>
                <c:pt idx="15">
                  <c:v>548.91999999999996</c:v>
                </c:pt>
                <c:pt idx="16">
                  <c:v>549.83000000000004</c:v>
                </c:pt>
                <c:pt idx="17">
                  <c:v>536.02</c:v>
                </c:pt>
                <c:pt idx="18">
                  <c:v>562.89</c:v>
                </c:pt>
                <c:pt idx="19">
                  <c:v>543.42999999999995</c:v>
                </c:pt>
              </c:numCache>
            </c:numRef>
          </c:val>
          <c:smooth val="0"/>
          <c:extLst>
            <c:ext xmlns:c16="http://schemas.microsoft.com/office/drawing/2014/chart" uri="{C3380CC4-5D6E-409C-BE32-E72D297353CC}">
              <c16:uniqueId val="{00000004-1541-49FC-AD67-21FA29BE54CA}"/>
            </c:ext>
          </c:extLst>
        </c:ser>
        <c:dLbls>
          <c:showLegendKey val="0"/>
          <c:showVal val="0"/>
          <c:showCatName val="0"/>
          <c:showSerName val="0"/>
          <c:showPercent val="0"/>
          <c:showBubbleSize val="0"/>
        </c:dLbls>
        <c:hiLowLines>
          <c:spPr>
            <a:ln w="9525" cap="flat" cmpd="sng" algn="ctr">
              <a:solidFill>
                <a:schemeClr val="tx1">
                  <a:lumMod val="75000"/>
                  <a:lumOff val="25000"/>
                </a:schemeClr>
              </a:solidFill>
              <a:round/>
            </a:ln>
            <a:effectLst/>
          </c:spPr>
        </c:hiLowLines>
        <c:upDownBars>
          <c:gapWidth val="150"/>
          <c:upBars>
            <c:spPr>
              <a:solidFill>
                <a:schemeClr val="lt1"/>
              </a:solidFill>
              <a:ln w="9525" cap="flat" cmpd="sng" algn="ctr">
                <a:solidFill>
                  <a:schemeClr val="tx1">
                    <a:lumMod val="65000"/>
                    <a:lumOff val="35000"/>
                  </a:schemeClr>
                </a:solidFill>
                <a:round/>
              </a:ln>
              <a:effectLst/>
            </c:spPr>
          </c:upBars>
          <c:downBars>
            <c:spPr>
              <a:solidFill>
                <a:schemeClr val="dk1">
                  <a:lumMod val="75000"/>
                  <a:lumOff val="25000"/>
                </a:schemeClr>
              </a:solidFill>
              <a:ln w="9525" cap="flat" cmpd="sng" algn="ctr">
                <a:solidFill>
                  <a:schemeClr val="tx1">
                    <a:lumMod val="65000"/>
                    <a:lumOff val="35000"/>
                  </a:schemeClr>
                </a:solidFill>
                <a:round/>
              </a:ln>
              <a:effectLst/>
            </c:spPr>
          </c:downBars>
        </c:upDownBars>
        <c:axId val="1641844592"/>
        <c:axId val="1948494816"/>
      </c:stockChart>
      <c:dateAx>
        <c:axId val="1641718448"/>
        <c:scaling>
          <c:orientation val="minMax"/>
        </c:scaling>
        <c:delete val="0"/>
        <c:axPos val="b"/>
        <c:numFmt formatCode="d\-mmm"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crossAx val="1641718928"/>
        <c:crosses val="autoZero"/>
        <c:auto val="1"/>
        <c:lblOffset val="100"/>
        <c:baseTimeUnit val="days"/>
      </c:dateAx>
      <c:valAx>
        <c:axId val="1641718928"/>
        <c:scaling>
          <c:orientation val="minMax"/>
        </c:scaling>
        <c:delete val="0"/>
        <c:axPos val="l"/>
        <c:majorGridlines>
          <c:spPr>
            <a:ln w="9525" cap="flat" cmpd="sng" algn="ctr">
              <a:solidFill>
                <a:schemeClr val="tx1">
                  <a:lumMod val="15000"/>
                  <a:lumOff val="85000"/>
                </a:schemeClr>
              </a:solidFill>
              <a:round/>
            </a:ln>
            <a:effectLst/>
          </c:spPr>
        </c:majorGridlines>
        <c:numFmt formatCode="#,##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crossAx val="1641718448"/>
        <c:crosses val="autoZero"/>
        <c:crossBetween val="between"/>
      </c:valAx>
      <c:valAx>
        <c:axId val="1948494816"/>
        <c:scaling>
          <c:orientation val="minMax"/>
        </c:scaling>
        <c:delete val="0"/>
        <c:axPos val="r"/>
        <c:majorGridlines>
          <c:spPr>
            <a:ln w="9525" cap="flat" cmpd="sng" algn="ctr">
              <a:solidFill>
                <a:schemeClr val="tx1">
                  <a:lumMod val="15000"/>
                  <a:lumOff val="85000"/>
                </a:schemeClr>
              </a:solidFill>
              <a:round/>
            </a:ln>
            <a:effectLst/>
          </c:spPr>
        </c:majorGridlines>
        <c:numFmt formatCode="_([$$-409]* #,##0.00_);_([$$-409]* \(#,##0.00\);_([$$-4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crossAx val="1641844592"/>
        <c:crosses val="max"/>
        <c:crossBetween val="between"/>
      </c:valAx>
      <c:dateAx>
        <c:axId val="1641844592"/>
        <c:scaling>
          <c:orientation val="minMax"/>
        </c:scaling>
        <c:delete val="1"/>
        <c:axPos val="b"/>
        <c:numFmt formatCode="m/d/yyyy" sourceLinked="1"/>
        <c:majorTickMark val="out"/>
        <c:minorTickMark val="none"/>
        <c:tickLblPos val="nextTo"/>
        <c:crossAx val="1948494816"/>
        <c:crosses val="autoZero"/>
        <c:auto val="1"/>
        <c:lblOffset val="100"/>
        <c:baseTimeUnit val="days"/>
      </c:date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Close Last 12 Months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lotArea>
      <c:layout>
        <c:manualLayout>
          <c:layoutTarget val="inner"/>
          <c:xMode val="edge"/>
          <c:yMode val="edge"/>
          <c:x val="0.1035513225517469"/>
          <c:y val="0.12968531468531469"/>
          <c:w val="0.88247662156002959"/>
          <c:h val="0.83185314685314682"/>
        </c:manualLayout>
      </c:layout>
      <c:areaChart>
        <c:grouping val="standard"/>
        <c:varyColors val="0"/>
        <c:ser>
          <c:idx val="0"/>
          <c:order val="0"/>
          <c:spPr>
            <a:gradFill>
              <a:gsLst>
                <a:gs pos="96000">
                  <a:schemeClr val="accent1">
                    <a:lumMod val="5000"/>
                    <a:lumOff val="95000"/>
                  </a:schemeClr>
                </a:gs>
                <a:gs pos="43000">
                  <a:srgbClr val="417A85"/>
                </a:gs>
                <a:gs pos="76000">
                  <a:srgbClr val="417A85"/>
                </a:gs>
              </a:gsLst>
              <a:lin ang="5400000" scaled="1"/>
            </a:gradFill>
            <a:ln>
              <a:noFill/>
            </a:ln>
            <a:effectLst/>
          </c:spPr>
          <c:val>
            <c:numRef>
              <c:f>DELL!$C$4:$IR$4</c:f>
              <c:numCache>
                <c:formatCode>_([$$-409]* #,##0.00_);_([$$-409]* \(#,##0.00\);_([$$-409]* "-"??_);_(@_)</c:formatCode>
                <c:ptCount val="250"/>
                <c:pt idx="0">
                  <c:v>133.9</c:v>
                </c:pt>
                <c:pt idx="1">
                  <c:v>141.77000000000001</c:v>
                </c:pt>
                <c:pt idx="2">
                  <c:v>149.68</c:v>
                </c:pt>
                <c:pt idx="3">
                  <c:v>147.37</c:v>
                </c:pt>
                <c:pt idx="4">
                  <c:v>140.74</c:v>
                </c:pt>
                <c:pt idx="5">
                  <c:v>145.76</c:v>
                </c:pt>
                <c:pt idx="6">
                  <c:v>150.87</c:v>
                </c:pt>
                <c:pt idx="7">
                  <c:v>164.53</c:v>
                </c:pt>
                <c:pt idx="8">
                  <c:v>155.94999999999999</c:v>
                </c:pt>
                <c:pt idx="9">
                  <c:v>150.57</c:v>
                </c:pt>
                <c:pt idx="10">
                  <c:v>153.4</c:v>
                </c:pt>
                <c:pt idx="11">
                  <c:v>148.77000000000001</c:v>
                </c:pt>
                <c:pt idx="12">
                  <c:v>153.69999999999999</c:v>
                </c:pt>
                <c:pt idx="13">
                  <c:v>151.31</c:v>
                </c:pt>
                <c:pt idx="14">
                  <c:v>149.59</c:v>
                </c:pt>
                <c:pt idx="15">
                  <c:v>147.87</c:v>
                </c:pt>
                <c:pt idx="16">
                  <c:v>149.43</c:v>
                </c:pt>
                <c:pt idx="17">
                  <c:v>150.13</c:v>
                </c:pt>
                <c:pt idx="18">
                  <c:v>154.22999999999999</c:v>
                </c:pt>
                <c:pt idx="19">
                  <c:v>158.63999999999999</c:v>
                </c:pt>
                <c:pt idx="20">
                  <c:v>162.19</c:v>
                </c:pt>
                <c:pt idx="21">
                  <c:v>164.88</c:v>
                </c:pt>
                <c:pt idx="22">
                  <c:v>163.6</c:v>
                </c:pt>
                <c:pt idx="23">
                  <c:v>161.01</c:v>
                </c:pt>
                <c:pt idx="24">
                  <c:v>162.01</c:v>
                </c:pt>
                <c:pt idx="25">
                  <c:v>160.11000000000001</c:v>
                </c:pt>
                <c:pt idx="26">
                  <c:v>154.63999999999999</c:v>
                </c:pt>
                <c:pt idx="27">
                  <c:v>152.41</c:v>
                </c:pt>
                <c:pt idx="28">
                  <c:v>149.18</c:v>
                </c:pt>
                <c:pt idx="29">
                  <c:v>146.69999999999999</c:v>
                </c:pt>
                <c:pt idx="30">
                  <c:v>142.69</c:v>
                </c:pt>
                <c:pt idx="31">
                  <c:v>138.76</c:v>
                </c:pt>
                <c:pt idx="32">
                  <c:v>140.71</c:v>
                </c:pt>
                <c:pt idx="33">
                  <c:v>133.94</c:v>
                </c:pt>
                <c:pt idx="34">
                  <c:v>133.76</c:v>
                </c:pt>
                <c:pt idx="35">
                  <c:v>122.48</c:v>
                </c:pt>
                <c:pt idx="36">
                  <c:v>122.69</c:v>
                </c:pt>
                <c:pt idx="37">
                  <c:v>119.38</c:v>
                </c:pt>
                <c:pt idx="38">
                  <c:v>117.4</c:v>
                </c:pt>
                <c:pt idx="39">
                  <c:v>122.51</c:v>
                </c:pt>
                <c:pt idx="40">
                  <c:v>127.22</c:v>
                </c:pt>
                <c:pt idx="41">
                  <c:v>125.92</c:v>
                </c:pt>
                <c:pt idx="42">
                  <c:v>133.26</c:v>
                </c:pt>
                <c:pt idx="43">
                  <c:v>133.35</c:v>
                </c:pt>
                <c:pt idx="44">
                  <c:v>132.09</c:v>
                </c:pt>
                <c:pt idx="45">
                  <c:v>135.94999999999999</c:v>
                </c:pt>
                <c:pt idx="46">
                  <c:v>133.63</c:v>
                </c:pt>
                <c:pt idx="47">
                  <c:v>138.99</c:v>
                </c:pt>
                <c:pt idx="48">
                  <c:v>138.91</c:v>
                </c:pt>
                <c:pt idx="49">
                  <c:v>140.41</c:v>
                </c:pt>
                <c:pt idx="50">
                  <c:v>138.22</c:v>
                </c:pt>
                <c:pt idx="51">
                  <c:v>140.63</c:v>
                </c:pt>
                <c:pt idx="52">
                  <c:v>138.6</c:v>
                </c:pt>
                <c:pt idx="53">
                  <c:v>129.97999999999999</c:v>
                </c:pt>
                <c:pt idx="54">
                  <c:v>130.51</c:v>
                </c:pt>
                <c:pt idx="55">
                  <c:v>133.75</c:v>
                </c:pt>
                <c:pt idx="56">
                  <c:v>127.89</c:v>
                </c:pt>
                <c:pt idx="57">
                  <c:v>122.94</c:v>
                </c:pt>
                <c:pt idx="58">
                  <c:v>126.42</c:v>
                </c:pt>
                <c:pt idx="59">
                  <c:v>126.61</c:v>
                </c:pt>
                <c:pt idx="60">
                  <c:v>127.62</c:v>
                </c:pt>
                <c:pt idx="61">
                  <c:v>128.38</c:v>
                </c:pt>
                <c:pt idx="62">
                  <c:v>129.24</c:v>
                </c:pt>
                <c:pt idx="63">
                  <c:v>127.46</c:v>
                </c:pt>
                <c:pt idx="64">
                  <c:v>127.92</c:v>
                </c:pt>
                <c:pt idx="65">
                  <c:v>125.88</c:v>
                </c:pt>
                <c:pt idx="66">
                  <c:v>127.8</c:v>
                </c:pt>
                <c:pt idx="67">
                  <c:v>124.01</c:v>
                </c:pt>
                <c:pt idx="68">
                  <c:v>123.93</c:v>
                </c:pt>
                <c:pt idx="69">
                  <c:v>120.07</c:v>
                </c:pt>
                <c:pt idx="70">
                  <c:v>118.5</c:v>
                </c:pt>
                <c:pt idx="71">
                  <c:v>120.62</c:v>
                </c:pt>
                <c:pt idx="72">
                  <c:v>120.47</c:v>
                </c:pt>
                <c:pt idx="73">
                  <c:v>119.66</c:v>
                </c:pt>
                <c:pt idx="74">
                  <c:v>118.69</c:v>
                </c:pt>
                <c:pt idx="75">
                  <c:v>119.66</c:v>
                </c:pt>
                <c:pt idx="76">
                  <c:v>120.53</c:v>
                </c:pt>
                <c:pt idx="77">
                  <c:v>111.07</c:v>
                </c:pt>
                <c:pt idx="78">
                  <c:v>113.26</c:v>
                </c:pt>
                <c:pt idx="79">
                  <c:v>117.17</c:v>
                </c:pt>
                <c:pt idx="80">
                  <c:v>115.43</c:v>
                </c:pt>
                <c:pt idx="81">
                  <c:v>115.93</c:v>
                </c:pt>
                <c:pt idx="82">
                  <c:v>114.66</c:v>
                </c:pt>
                <c:pt idx="83">
                  <c:v>117.32</c:v>
                </c:pt>
                <c:pt idx="84">
                  <c:v>118.49</c:v>
                </c:pt>
                <c:pt idx="85">
                  <c:v>114.44</c:v>
                </c:pt>
                <c:pt idx="86">
                  <c:v>119.16</c:v>
                </c:pt>
                <c:pt idx="87">
                  <c:v>117.15</c:v>
                </c:pt>
                <c:pt idx="88">
                  <c:v>122.04</c:v>
                </c:pt>
                <c:pt idx="89">
                  <c:v>115.39</c:v>
                </c:pt>
                <c:pt idx="90">
                  <c:v>121.05</c:v>
                </c:pt>
                <c:pt idx="91">
                  <c:v>120.91</c:v>
                </c:pt>
                <c:pt idx="92">
                  <c:v>126.01</c:v>
                </c:pt>
                <c:pt idx="93">
                  <c:v>124.16</c:v>
                </c:pt>
                <c:pt idx="94">
                  <c:v>112.82</c:v>
                </c:pt>
                <c:pt idx="95">
                  <c:v>117.49</c:v>
                </c:pt>
                <c:pt idx="96">
                  <c:v>116.09</c:v>
                </c:pt>
                <c:pt idx="97">
                  <c:v>116.78</c:v>
                </c:pt>
                <c:pt idx="98">
                  <c:v>119.06</c:v>
                </c:pt>
                <c:pt idx="99">
                  <c:v>122.27</c:v>
                </c:pt>
                <c:pt idx="100">
                  <c:v>119.14</c:v>
                </c:pt>
                <c:pt idx="101">
                  <c:v>119.78</c:v>
                </c:pt>
                <c:pt idx="102">
                  <c:v>123.48</c:v>
                </c:pt>
                <c:pt idx="103">
                  <c:v>121.45</c:v>
                </c:pt>
                <c:pt idx="104">
                  <c:v>148.08000000000001</c:v>
                </c:pt>
                <c:pt idx="105">
                  <c:v>153.55000000000001</c:v>
                </c:pt>
                <c:pt idx="106">
                  <c:v>145.18</c:v>
                </c:pt>
                <c:pt idx="107">
                  <c:v>147.1</c:v>
                </c:pt>
                <c:pt idx="108">
                  <c:v>146.52000000000001</c:v>
                </c:pt>
                <c:pt idx="109">
                  <c:v>146.47999999999999</c:v>
                </c:pt>
                <c:pt idx="110">
                  <c:v>146.51</c:v>
                </c:pt>
                <c:pt idx="111">
                  <c:v>143.80000000000001</c:v>
                </c:pt>
                <c:pt idx="112">
                  <c:v>147.37</c:v>
                </c:pt>
                <c:pt idx="113">
                  <c:v>149.91</c:v>
                </c:pt>
                <c:pt idx="114">
                  <c:v>151.62</c:v>
                </c:pt>
                <c:pt idx="115">
                  <c:v>156.54</c:v>
                </c:pt>
                <c:pt idx="116">
                  <c:v>153.01</c:v>
                </c:pt>
                <c:pt idx="117">
                  <c:v>149.21</c:v>
                </c:pt>
                <c:pt idx="118">
                  <c:v>156.76</c:v>
                </c:pt>
                <c:pt idx="119">
                  <c:v>157.66999999999999</c:v>
                </c:pt>
                <c:pt idx="120">
                  <c:v>164.59</c:v>
                </c:pt>
                <c:pt idx="121">
                  <c:v>176.91</c:v>
                </c:pt>
                <c:pt idx="122">
                  <c:v>184.01</c:v>
                </c:pt>
                <c:pt idx="123">
                  <c:v>175.82</c:v>
                </c:pt>
                <c:pt idx="124">
                  <c:v>171.81</c:v>
                </c:pt>
                <c:pt idx="125">
                  <c:v>164.66</c:v>
                </c:pt>
                <c:pt idx="126">
                  <c:v>164.13</c:v>
                </c:pt>
                <c:pt idx="127">
                  <c:v>169.38</c:v>
                </c:pt>
                <c:pt idx="128">
                  <c:v>174.37</c:v>
                </c:pt>
                <c:pt idx="129">
                  <c:v>173.18</c:v>
                </c:pt>
                <c:pt idx="130">
                  <c:v>177.69</c:v>
                </c:pt>
                <c:pt idx="131">
                  <c:v>185.47</c:v>
                </c:pt>
                <c:pt idx="132">
                  <c:v>181.46</c:v>
                </c:pt>
                <c:pt idx="133">
                  <c:v>177.8</c:v>
                </c:pt>
                <c:pt idx="134">
                  <c:v>189.79</c:v>
                </c:pt>
                <c:pt idx="135">
                  <c:v>184.51</c:v>
                </c:pt>
                <c:pt idx="136">
                  <c:v>177.28</c:v>
                </c:pt>
                <c:pt idx="137">
                  <c:v>193.09</c:v>
                </c:pt>
                <c:pt idx="138">
                  <c:v>196.55</c:v>
                </c:pt>
                <c:pt idx="139">
                  <c:v>204.24</c:v>
                </c:pt>
                <c:pt idx="140">
                  <c:v>212.36</c:v>
                </c:pt>
                <c:pt idx="141">
                  <c:v>214.65</c:v>
                </c:pt>
                <c:pt idx="142">
                  <c:v>212.14</c:v>
                </c:pt>
                <c:pt idx="143">
                  <c:v>216.09</c:v>
                </c:pt>
                <c:pt idx="144">
                  <c:v>215.97</c:v>
                </c:pt>
                <c:pt idx="145">
                  <c:v>205.93</c:v>
                </c:pt>
                <c:pt idx="146">
                  <c:v>205.66</c:v>
                </c:pt>
                <c:pt idx="147">
                  <c:v>208.95</c:v>
                </c:pt>
                <c:pt idx="148">
                  <c:v>210.17</c:v>
                </c:pt>
                <c:pt idx="149">
                  <c:v>211.64</c:v>
                </c:pt>
                <c:pt idx="150">
                  <c:v>216.32</c:v>
                </c:pt>
                <c:pt idx="151">
                  <c:v>238.8</c:v>
                </c:pt>
                <c:pt idx="152">
                  <c:v>230.27</c:v>
                </c:pt>
                <c:pt idx="153">
                  <c:v>260.45999999999998</c:v>
                </c:pt>
                <c:pt idx="154">
                  <c:v>247.04</c:v>
                </c:pt>
                <c:pt idx="155">
                  <c:v>238.94</c:v>
                </c:pt>
                <c:pt idx="156">
                  <c:v>243.87</c:v>
                </c:pt>
                <c:pt idx="157">
                  <c:v>247.89</c:v>
                </c:pt>
                <c:pt idx="158">
                  <c:v>241.99</c:v>
                </c:pt>
                <c:pt idx="159">
                  <c:v>238.03</c:v>
                </c:pt>
                <c:pt idx="160">
                  <c:v>235.26</c:v>
                </c:pt>
                <c:pt idx="161">
                  <c:v>242.93</c:v>
                </c:pt>
                <c:pt idx="162">
                  <c:v>252.8</c:v>
                </c:pt>
                <c:pt idx="163">
                  <c:v>295.19</c:v>
                </c:pt>
                <c:pt idx="164">
                  <c:v>305.08</c:v>
                </c:pt>
                <c:pt idx="165">
                  <c:v>305.32</c:v>
                </c:pt>
                <c:pt idx="166">
                  <c:v>317.05</c:v>
                </c:pt>
                <c:pt idx="167">
                  <c:v>420.91</c:v>
                </c:pt>
                <c:pt idx="168">
                  <c:v>465.96</c:v>
                </c:pt>
                <c:pt idx="169">
                  <c:v>435.31</c:v>
                </c:pt>
                <c:pt idx="170">
                  <c:v>421.08</c:v>
                </c:pt>
                <c:pt idx="171">
                  <c:v>422.05</c:v>
                </c:pt>
                <c:pt idx="172">
                  <c:v>394.39</c:v>
                </c:pt>
                <c:pt idx="173">
                  <c:v>400.77</c:v>
                </c:pt>
                <c:pt idx="174">
                  <c:v>381.78</c:v>
                </c:pt>
                <c:pt idx="175">
                  <c:v>369.83</c:v>
                </c:pt>
                <c:pt idx="176">
                  <c:v>391.45</c:v>
                </c:pt>
                <c:pt idx="177">
                  <c:v>395.57</c:v>
                </c:pt>
                <c:pt idx="178">
                  <c:v>409.07</c:v>
                </c:pt>
                <c:pt idx="179">
                  <c:v>404.08</c:v>
                </c:pt>
                <c:pt idx="180">
                  <c:v>419.32</c:v>
                </c:pt>
                <c:pt idx="181">
                  <c:v>409.5</c:v>
                </c:pt>
                <c:pt idx="182">
                  <c:v>418.71</c:v>
                </c:pt>
                <c:pt idx="183">
                  <c:v>427.78</c:v>
                </c:pt>
                <c:pt idx="184">
                  <c:v>434.06</c:v>
                </c:pt>
                <c:pt idx="185">
                  <c:v>409.45</c:v>
                </c:pt>
                <c:pt idx="186">
                  <c:v>399.49</c:v>
                </c:pt>
                <c:pt idx="187">
                  <c:v>414.61</c:v>
                </c:pt>
                <c:pt idx="188">
                  <c:v>431.46</c:v>
                </c:pt>
                <c:pt idx="189">
                  <c:v>425.25</c:v>
                </c:pt>
                <c:pt idx="190">
                  <c:v>394.32</c:v>
                </c:pt>
                <c:pt idx="191">
                  <c:v>411.8</c:v>
                </c:pt>
                <c:pt idx="192">
                  <c:v>417.28</c:v>
                </c:pt>
                <c:pt idx="193">
                  <c:v>431.97</c:v>
                </c:pt>
                <c:pt idx="194">
                  <c:v>450.22</c:v>
                </c:pt>
                <c:pt idx="195">
                  <c:v>434.97</c:v>
                </c:pt>
                <c:pt idx="196">
                  <c:v>427.11</c:v>
                </c:pt>
                <c:pt idx="197">
                  <c:v>457.54</c:v>
                </c:pt>
                <c:pt idx="198">
                  <c:v>412.68</c:v>
                </c:pt>
                <c:pt idx="199">
                  <c:v>391.38</c:v>
                </c:pt>
                <c:pt idx="200">
                  <c:v>396.34</c:v>
                </c:pt>
                <c:pt idx="201">
                  <c:v>381.88</c:v>
                </c:pt>
                <c:pt idx="202">
                  <c:v>404.15</c:v>
                </c:pt>
                <c:pt idx="203">
                  <c:v>441.8</c:v>
                </c:pt>
                <c:pt idx="204">
                  <c:v>439.34</c:v>
                </c:pt>
                <c:pt idx="205">
                  <c:v>437.5</c:v>
                </c:pt>
                <c:pt idx="206">
                  <c:v>426.91</c:v>
                </c:pt>
                <c:pt idx="207">
                  <c:v>392.1</c:v>
                </c:pt>
                <c:pt idx="208">
                  <c:v>369.64</c:v>
                </c:pt>
                <c:pt idx="209">
                  <c:v>404.81</c:v>
                </c:pt>
                <c:pt idx="210">
                  <c:v>405.37</c:v>
                </c:pt>
                <c:pt idx="211">
                  <c:v>429.02</c:v>
                </c:pt>
                <c:pt idx="212">
                  <c:v>467.27</c:v>
                </c:pt>
                <c:pt idx="213">
                  <c:v>462.7</c:v>
                </c:pt>
                <c:pt idx="214">
                  <c:v>437.65</c:v>
                </c:pt>
                <c:pt idx="215">
                  <c:v>453.77</c:v>
                </c:pt>
                <c:pt idx="216">
                  <c:v>457.88</c:v>
                </c:pt>
                <c:pt idx="217">
                  <c:v>440.97</c:v>
                </c:pt>
                <c:pt idx="218">
                  <c:v>484.5</c:v>
                </c:pt>
                <c:pt idx="219">
                  <c:v>494.51</c:v>
                </c:pt>
                <c:pt idx="220">
                  <c:v>490.81</c:v>
                </c:pt>
                <c:pt idx="221">
                  <c:v>479.81</c:v>
                </c:pt>
                <c:pt idx="222">
                  <c:v>468.65</c:v>
                </c:pt>
                <c:pt idx="223">
                  <c:v>437.55</c:v>
                </c:pt>
                <c:pt idx="224">
                  <c:v>434.78</c:v>
                </c:pt>
                <c:pt idx="225">
                  <c:v>442.08</c:v>
                </c:pt>
                <c:pt idx="226">
                  <c:v>433.19</c:v>
                </c:pt>
                <c:pt idx="227">
                  <c:v>451.5</c:v>
                </c:pt>
                <c:pt idx="228">
                  <c:v>463.82</c:v>
                </c:pt>
                <c:pt idx="229">
                  <c:v>472.26</c:v>
                </c:pt>
                <c:pt idx="230">
                  <c:v>456.24</c:v>
                </c:pt>
                <c:pt idx="231">
                  <c:v>456.01</c:v>
                </c:pt>
                <c:pt idx="232">
                  <c:v>425</c:v>
                </c:pt>
                <c:pt idx="233">
                  <c:v>492.2</c:v>
                </c:pt>
                <c:pt idx="234">
                  <c:v>516.39</c:v>
                </c:pt>
                <c:pt idx="235">
                  <c:v>524.14</c:v>
                </c:pt>
                <c:pt idx="236">
                  <c:v>533.88</c:v>
                </c:pt>
                <c:pt idx="237">
                  <c:v>535.25</c:v>
                </c:pt>
                <c:pt idx="238">
                  <c:v>506.62</c:v>
                </c:pt>
                <c:pt idx="239">
                  <c:v>567.29</c:v>
                </c:pt>
                <c:pt idx="240">
                  <c:v>534.28</c:v>
                </c:pt>
                <c:pt idx="241">
                  <c:v>543.51</c:v>
                </c:pt>
                <c:pt idx="242">
                  <c:v>563.29</c:v>
                </c:pt>
                <c:pt idx="243">
                  <c:v>588.4</c:v>
                </c:pt>
                <c:pt idx="244">
                  <c:v>568.05999999999995</c:v>
                </c:pt>
                <c:pt idx="245">
                  <c:v>575.30999999999995</c:v>
                </c:pt>
                <c:pt idx="246">
                  <c:v>548.91999999999996</c:v>
                </c:pt>
                <c:pt idx="247">
                  <c:v>549.83000000000004</c:v>
                </c:pt>
                <c:pt idx="248">
                  <c:v>536.02</c:v>
                </c:pt>
                <c:pt idx="249">
                  <c:v>562.89</c:v>
                </c:pt>
              </c:numCache>
            </c:numRef>
          </c:val>
          <c:extLst>
            <c:ext xmlns:c16="http://schemas.microsoft.com/office/drawing/2014/chart" uri="{C3380CC4-5D6E-409C-BE32-E72D297353CC}">
              <c16:uniqueId val="{00000000-32CB-495C-AF5A-FD0DE40D422D}"/>
            </c:ext>
          </c:extLst>
        </c:ser>
        <c:dLbls>
          <c:showLegendKey val="0"/>
          <c:showVal val="0"/>
          <c:showCatName val="0"/>
          <c:showSerName val="0"/>
          <c:showPercent val="0"/>
          <c:showBubbleSize val="0"/>
        </c:dLbls>
        <c:axId val="1076253871"/>
        <c:axId val="1076274511"/>
      </c:areaChart>
      <c:catAx>
        <c:axId val="1076253871"/>
        <c:scaling>
          <c:orientation val="minMax"/>
        </c:scaling>
        <c:delete val="1"/>
        <c:axPos val="b"/>
        <c:majorTickMark val="out"/>
        <c:minorTickMark val="none"/>
        <c:tickLblPos val="nextTo"/>
        <c:crossAx val="1076274511"/>
        <c:crosses val="autoZero"/>
        <c:auto val="1"/>
        <c:lblAlgn val="ctr"/>
        <c:lblOffset val="100"/>
        <c:noMultiLvlLbl val="0"/>
      </c:catAx>
      <c:valAx>
        <c:axId val="1076274511"/>
        <c:scaling>
          <c:orientation val="minMax"/>
        </c:scaling>
        <c:delete val="0"/>
        <c:axPos val="l"/>
        <c:numFmt formatCode="_([$$-409]* #,##0.00_);_([$$-409]* \(#,##0.00\);_([$$-4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crossAx val="1076253871"/>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XOM!$B$1</c:f>
          <c:strCache>
            <c:ptCount val="1"/>
            <c:pt idx="0">
              <c:v>EXXONMOBIL HOLDINGS CORPORATION (XNYS:XOM)</c:v>
            </c:pt>
          </c:strCache>
        </c:strRef>
      </c:tx>
      <c:layout>
        <c:manualLayout>
          <c:xMode val="edge"/>
          <c:yMode val="edge"/>
          <c:x val="0.23316712421039931"/>
          <c:y val="1.537475666723699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lotArea>
      <c:layout/>
      <c:barChart>
        <c:barDir val="col"/>
        <c:grouping val="clustered"/>
        <c:varyColors val="0"/>
        <c:ser>
          <c:idx val="0"/>
          <c:order val="0"/>
          <c:tx>
            <c:strRef>
              <c:f>XOM!$B$6</c:f>
              <c:strCache>
                <c:ptCount val="1"/>
              </c:strCache>
            </c:strRef>
          </c:tx>
          <c:spPr>
            <a:solidFill>
              <a:schemeClr val="accent1"/>
            </a:solidFill>
            <a:ln w="38100">
              <a:noFill/>
            </a:ln>
            <a:effectLst/>
          </c:spPr>
          <c:invertIfNegative val="0"/>
          <c:cat>
            <c:numRef>
              <c:f>XOM!$A$7:$A$27</c:f>
              <c:numCache>
                <c:formatCode>General</c:formatCode>
                <c:ptCount val="21"/>
              </c:numCache>
            </c:numRef>
          </c:cat>
          <c:val>
            <c:numRef>
              <c:f>XOM!$B$7:$B$27</c:f>
              <c:numCache>
                <c:formatCode>General</c:formatCode>
                <c:ptCount val="21"/>
              </c:numCache>
            </c:numRef>
          </c:val>
          <c:extLst>
            <c:ext xmlns:c16="http://schemas.microsoft.com/office/drawing/2014/chart" uri="{C3380CC4-5D6E-409C-BE32-E72D297353CC}">
              <c16:uniqueId val="{00000000-9726-4048-979D-0CC5EEF4FD0F}"/>
            </c:ext>
          </c:extLst>
        </c:ser>
        <c:dLbls>
          <c:showLegendKey val="0"/>
          <c:showVal val="0"/>
          <c:showCatName val="0"/>
          <c:showSerName val="0"/>
          <c:showPercent val="0"/>
          <c:showBubbleSize val="0"/>
        </c:dLbls>
        <c:gapWidth val="150"/>
        <c:axId val="1641718448"/>
        <c:axId val="1641718928"/>
      </c:barChart>
      <c:stockChart>
        <c:ser>
          <c:idx val="1"/>
          <c:order val="1"/>
          <c:tx>
            <c:strRef>
              <c:f>XOM!$C$6</c:f>
              <c:strCache>
                <c:ptCount val="1"/>
              </c:strCache>
            </c:strRef>
          </c:tx>
          <c:spPr>
            <a:ln w="38100" cap="rnd">
              <a:noFill/>
              <a:round/>
            </a:ln>
            <a:effectLst/>
          </c:spPr>
          <c:marker>
            <c:symbol val="none"/>
          </c:marker>
          <c:cat>
            <c:numRef>
              <c:f>XOM!$A$7:$A$27</c:f>
              <c:numCache>
                <c:formatCode>General</c:formatCode>
                <c:ptCount val="21"/>
              </c:numCache>
            </c:numRef>
          </c:cat>
          <c:val>
            <c:numRef>
              <c:f>XOM!$C$7:$C$27</c:f>
              <c:numCache>
                <c:formatCode>General</c:formatCode>
                <c:ptCount val="21"/>
              </c:numCache>
            </c:numRef>
          </c:val>
          <c:smooth val="0"/>
          <c:extLst>
            <c:ext xmlns:c16="http://schemas.microsoft.com/office/drawing/2014/chart" uri="{C3380CC4-5D6E-409C-BE32-E72D297353CC}">
              <c16:uniqueId val="{00000001-9726-4048-979D-0CC5EEF4FD0F}"/>
            </c:ext>
          </c:extLst>
        </c:ser>
        <c:ser>
          <c:idx val="2"/>
          <c:order val="2"/>
          <c:tx>
            <c:strRef>
              <c:f>XOM!$D$6</c:f>
              <c:strCache>
                <c:ptCount val="1"/>
              </c:strCache>
            </c:strRef>
          </c:tx>
          <c:spPr>
            <a:ln w="38100" cap="rnd">
              <a:noFill/>
              <a:round/>
            </a:ln>
            <a:effectLst/>
          </c:spPr>
          <c:marker>
            <c:symbol val="none"/>
          </c:marker>
          <c:cat>
            <c:numRef>
              <c:f>XOM!$A$7:$A$27</c:f>
              <c:numCache>
                <c:formatCode>General</c:formatCode>
                <c:ptCount val="21"/>
              </c:numCache>
            </c:numRef>
          </c:cat>
          <c:val>
            <c:numRef>
              <c:f>XOM!$D$7:$D$27</c:f>
              <c:numCache>
                <c:formatCode>General</c:formatCode>
                <c:ptCount val="21"/>
              </c:numCache>
            </c:numRef>
          </c:val>
          <c:smooth val="0"/>
          <c:extLst>
            <c:ext xmlns:c16="http://schemas.microsoft.com/office/drawing/2014/chart" uri="{C3380CC4-5D6E-409C-BE32-E72D297353CC}">
              <c16:uniqueId val="{00000002-9726-4048-979D-0CC5EEF4FD0F}"/>
            </c:ext>
          </c:extLst>
        </c:ser>
        <c:ser>
          <c:idx val="3"/>
          <c:order val="3"/>
          <c:tx>
            <c:strRef>
              <c:f>XOM!$E$6</c:f>
              <c:strCache>
                <c:ptCount val="1"/>
              </c:strCache>
            </c:strRef>
          </c:tx>
          <c:spPr>
            <a:ln w="38100" cap="rnd">
              <a:noFill/>
              <a:round/>
            </a:ln>
            <a:effectLst/>
          </c:spPr>
          <c:marker>
            <c:symbol val="none"/>
          </c:marker>
          <c:cat>
            <c:numRef>
              <c:f>XOM!$A$7:$A$27</c:f>
              <c:numCache>
                <c:formatCode>General</c:formatCode>
                <c:ptCount val="21"/>
              </c:numCache>
            </c:numRef>
          </c:cat>
          <c:val>
            <c:numRef>
              <c:f>XOM!$E$7:$E$27</c:f>
              <c:numCache>
                <c:formatCode>General</c:formatCode>
                <c:ptCount val="21"/>
              </c:numCache>
            </c:numRef>
          </c:val>
          <c:smooth val="0"/>
          <c:extLst>
            <c:ext xmlns:c16="http://schemas.microsoft.com/office/drawing/2014/chart" uri="{C3380CC4-5D6E-409C-BE32-E72D297353CC}">
              <c16:uniqueId val="{00000003-9726-4048-979D-0CC5EEF4FD0F}"/>
            </c:ext>
          </c:extLst>
        </c:ser>
        <c:ser>
          <c:idx val="4"/>
          <c:order val="4"/>
          <c:tx>
            <c:strRef>
              <c:f>XOM!$F$6</c:f>
              <c:strCache>
                <c:ptCount val="1"/>
              </c:strCache>
            </c:strRef>
          </c:tx>
          <c:spPr>
            <a:ln w="38100" cap="rnd">
              <a:noFill/>
              <a:round/>
            </a:ln>
            <a:effectLst/>
          </c:spPr>
          <c:marker>
            <c:symbol val="none"/>
          </c:marker>
          <c:cat>
            <c:numRef>
              <c:f>XOM!$A$7:$A$27</c:f>
              <c:numCache>
                <c:formatCode>General</c:formatCode>
                <c:ptCount val="21"/>
              </c:numCache>
            </c:numRef>
          </c:cat>
          <c:val>
            <c:numRef>
              <c:f>XOM!$F$7:$F$27</c:f>
              <c:numCache>
                <c:formatCode>General</c:formatCode>
                <c:ptCount val="21"/>
              </c:numCache>
            </c:numRef>
          </c:val>
          <c:smooth val="0"/>
          <c:extLst>
            <c:ext xmlns:c16="http://schemas.microsoft.com/office/drawing/2014/chart" uri="{C3380CC4-5D6E-409C-BE32-E72D297353CC}">
              <c16:uniqueId val="{00000004-9726-4048-979D-0CC5EEF4FD0F}"/>
            </c:ext>
          </c:extLst>
        </c:ser>
        <c:dLbls>
          <c:showLegendKey val="0"/>
          <c:showVal val="0"/>
          <c:showCatName val="0"/>
          <c:showSerName val="0"/>
          <c:showPercent val="0"/>
          <c:showBubbleSize val="0"/>
        </c:dLbls>
        <c:hiLowLines>
          <c:spPr>
            <a:ln w="9525" cap="flat" cmpd="sng" algn="ctr">
              <a:solidFill>
                <a:schemeClr val="tx1">
                  <a:lumMod val="75000"/>
                  <a:lumOff val="25000"/>
                </a:schemeClr>
              </a:solidFill>
              <a:round/>
            </a:ln>
            <a:effectLst/>
          </c:spPr>
        </c:hiLowLines>
        <c:upDownBars>
          <c:gapWidth val="150"/>
          <c:upBars>
            <c:spPr>
              <a:solidFill>
                <a:schemeClr val="lt1"/>
              </a:solidFill>
              <a:ln w="9525" cap="flat" cmpd="sng" algn="ctr">
                <a:solidFill>
                  <a:schemeClr val="tx1">
                    <a:lumMod val="65000"/>
                    <a:lumOff val="35000"/>
                  </a:schemeClr>
                </a:solidFill>
                <a:round/>
              </a:ln>
              <a:effectLst/>
            </c:spPr>
          </c:upBars>
          <c:downBars>
            <c:spPr>
              <a:solidFill>
                <a:schemeClr val="dk1">
                  <a:lumMod val="75000"/>
                  <a:lumOff val="25000"/>
                </a:schemeClr>
              </a:solidFill>
              <a:ln w="9525" cap="flat" cmpd="sng" algn="ctr">
                <a:solidFill>
                  <a:schemeClr val="tx1">
                    <a:lumMod val="65000"/>
                    <a:lumOff val="35000"/>
                  </a:schemeClr>
                </a:solidFill>
                <a:round/>
              </a:ln>
              <a:effectLst/>
            </c:spPr>
          </c:downBars>
        </c:upDownBars>
        <c:axId val="1641844592"/>
        <c:axId val="1948494816"/>
      </c:stockChart>
      <c:catAx>
        <c:axId val="1641718448"/>
        <c:scaling>
          <c:orientation val="minMax"/>
        </c:scaling>
        <c:delete val="0"/>
        <c:axPos val="b"/>
        <c:numFmt formatCode="d\-mmm"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crossAx val="1641718928"/>
        <c:crosses val="autoZero"/>
        <c:auto val="1"/>
        <c:lblAlgn val="ctr"/>
        <c:lblOffset val="100"/>
        <c:noMultiLvlLbl val="1"/>
      </c:catAx>
      <c:valAx>
        <c:axId val="1641718928"/>
        <c:scaling>
          <c:orientation val="minMax"/>
        </c:scaling>
        <c:delete val="0"/>
        <c:axPos val="l"/>
        <c:majorGridlines>
          <c:spPr>
            <a:ln w="9525" cap="flat" cmpd="sng" algn="ctr">
              <a:solidFill>
                <a:schemeClr val="tx1">
                  <a:lumMod val="15000"/>
                  <a:lumOff val="85000"/>
                </a:schemeClr>
              </a:solidFill>
              <a:round/>
            </a:ln>
            <a:effectLst/>
          </c:spPr>
        </c:majorGridlines>
        <c:numFmt formatCode="#,##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crossAx val="1641718448"/>
        <c:crosses val="autoZero"/>
        <c:crossBetween val="between"/>
      </c:valAx>
      <c:valAx>
        <c:axId val="1948494816"/>
        <c:scaling>
          <c:orientation val="minMax"/>
        </c:scaling>
        <c:delete val="0"/>
        <c:axPos val="r"/>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crossAx val="1641844592"/>
        <c:crosses val="max"/>
        <c:crossBetween val="between"/>
      </c:valAx>
      <c:catAx>
        <c:axId val="1641844592"/>
        <c:scaling>
          <c:orientation val="minMax"/>
        </c:scaling>
        <c:delete val="1"/>
        <c:axPos val="b"/>
        <c:numFmt formatCode="General" sourceLinked="1"/>
        <c:majorTickMark val="out"/>
        <c:minorTickMark val="none"/>
        <c:tickLblPos val="nextTo"/>
        <c:crossAx val="1948494816"/>
        <c:crosses val="autoZero"/>
        <c:auto val="1"/>
        <c:lblAlgn val="ctr"/>
        <c:lblOffset val="100"/>
        <c:noMultiLvlLbl val="1"/>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Close Last 12 Months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lotArea>
      <c:layout>
        <c:manualLayout>
          <c:layoutTarget val="inner"/>
          <c:xMode val="edge"/>
          <c:yMode val="edge"/>
          <c:x val="0.1035513225517469"/>
          <c:y val="0.12968531468531469"/>
          <c:w val="0.88247662156002959"/>
          <c:h val="0.83185314685314682"/>
        </c:manualLayout>
      </c:layout>
      <c:areaChart>
        <c:grouping val="standard"/>
        <c:varyColors val="0"/>
        <c:ser>
          <c:idx val="0"/>
          <c:order val="0"/>
          <c:spPr>
            <a:gradFill>
              <a:gsLst>
                <a:gs pos="96000">
                  <a:schemeClr val="accent1">
                    <a:lumMod val="5000"/>
                    <a:lumOff val="95000"/>
                  </a:schemeClr>
                </a:gs>
                <a:gs pos="43000">
                  <a:srgbClr val="417A85"/>
                </a:gs>
                <a:gs pos="76000">
                  <a:srgbClr val="417A85"/>
                </a:gs>
              </a:gsLst>
              <a:lin ang="5400000" scaled="1"/>
            </a:gradFill>
            <a:ln>
              <a:noFill/>
            </a:ln>
            <a:effectLst/>
          </c:spPr>
          <c:val>
            <c:numRef>
              <c:f>XOM!$C$4:$IR$4</c:f>
              <c:numCache>
                <c:formatCode>General</c:formatCode>
                <c:ptCount val="250"/>
                <c:pt idx="0">
                  <c:v>0</c:v>
                </c:pt>
              </c:numCache>
            </c:numRef>
          </c:val>
          <c:extLst>
            <c:ext xmlns:c16="http://schemas.microsoft.com/office/drawing/2014/chart" uri="{C3380CC4-5D6E-409C-BE32-E72D297353CC}">
              <c16:uniqueId val="{00000000-1C6A-4B80-A316-7258687B856F}"/>
            </c:ext>
          </c:extLst>
        </c:ser>
        <c:dLbls>
          <c:showLegendKey val="0"/>
          <c:showVal val="0"/>
          <c:showCatName val="0"/>
          <c:showSerName val="0"/>
          <c:showPercent val="0"/>
          <c:showBubbleSize val="0"/>
        </c:dLbls>
        <c:axId val="1076253871"/>
        <c:axId val="1076274511"/>
      </c:areaChart>
      <c:catAx>
        <c:axId val="1076253871"/>
        <c:scaling>
          <c:orientation val="minMax"/>
        </c:scaling>
        <c:delete val="1"/>
        <c:axPos val="b"/>
        <c:majorTickMark val="out"/>
        <c:minorTickMark val="none"/>
        <c:tickLblPos val="nextTo"/>
        <c:crossAx val="1076274511"/>
        <c:crosses val="autoZero"/>
        <c:auto val="1"/>
        <c:lblAlgn val="ctr"/>
        <c:lblOffset val="100"/>
        <c:noMultiLvlLbl val="0"/>
      </c:catAx>
      <c:valAx>
        <c:axId val="107627451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crossAx val="1076253871"/>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GM!$B$1</c:f>
          <c:strCache>
            <c:ptCount val="1"/>
            <c:pt idx="0">
              <c:v>GENERAL MOTORS COMPANY (XNYS:GM)</c:v>
            </c:pt>
          </c:strCache>
        </c:strRef>
      </c:tx>
      <c:layout>
        <c:manualLayout>
          <c:xMode val="edge"/>
          <c:yMode val="edge"/>
          <c:x val="0.23316712421039931"/>
          <c:y val="1.537475666723699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lotArea>
      <c:layout/>
      <c:barChart>
        <c:barDir val="col"/>
        <c:grouping val="clustered"/>
        <c:varyColors val="0"/>
        <c:ser>
          <c:idx val="0"/>
          <c:order val="0"/>
          <c:tx>
            <c:strRef>
              <c:f>GM!$B$6</c:f>
              <c:strCache>
                <c:ptCount val="1"/>
                <c:pt idx="0">
                  <c:v>Volume</c:v>
                </c:pt>
              </c:strCache>
            </c:strRef>
          </c:tx>
          <c:spPr>
            <a:solidFill>
              <a:schemeClr val="accent1"/>
            </a:solidFill>
            <a:ln w="38100">
              <a:noFill/>
            </a:ln>
            <a:effectLst/>
          </c:spPr>
          <c:invertIfNegative val="0"/>
          <c:cat>
            <c:numRef>
              <c:f>GM!$A$7:$A$27</c:f>
              <c:numCache>
                <c:formatCode>m/d/yyyy</c:formatCode>
                <c:ptCount val="21"/>
                <c:pt idx="0">
                  <c:v>46265</c:v>
                </c:pt>
                <c:pt idx="1">
                  <c:v>46266</c:v>
                </c:pt>
                <c:pt idx="2">
                  <c:v>46267</c:v>
                </c:pt>
                <c:pt idx="3">
                  <c:v>46268</c:v>
                </c:pt>
                <c:pt idx="4">
                  <c:v>46269</c:v>
                </c:pt>
                <c:pt idx="5">
                  <c:v>46273</c:v>
                </c:pt>
                <c:pt idx="6">
                  <c:v>46274</c:v>
                </c:pt>
                <c:pt idx="7">
                  <c:v>46275</c:v>
                </c:pt>
                <c:pt idx="8">
                  <c:v>46276</c:v>
                </c:pt>
                <c:pt idx="9">
                  <c:v>46279</c:v>
                </c:pt>
                <c:pt idx="10">
                  <c:v>46280</c:v>
                </c:pt>
                <c:pt idx="11">
                  <c:v>46281</c:v>
                </c:pt>
                <c:pt idx="12">
                  <c:v>46282</c:v>
                </c:pt>
                <c:pt idx="13">
                  <c:v>46283</c:v>
                </c:pt>
                <c:pt idx="14">
                  <c:v>46286</c:v>
                </c:pt>
                <c:pt idx="15">
                  <c:v>46287</c:v>
                </c:pt>
                <c:pt idx="16">
                  <c:v>46288</c:v>
                </c:pt>
                <c:pt idx="17">
                  <c:v>46289</c:v>
                </c:pt>
                <c:pt idx="18">
                  <c:v>46290</c:v>
                </c:pt>
                <c:pt idx="19">
                  <c:v>46293</c:v>
                </c:pt>
              </c:numCache>
            </c:numRef>
          </c:cat>
          <c:val>
            <c:numRef>
              <c:f>GM!$B$7:$B$27</c:f>
              <c:numCache>
                <c:formatCode>#,##0</c:formatCode>
                <c:ptCount val="21"/>
                <c:pt idx="0">
                  <c:v>8260227</c:v>
                </c:pt>
                <c:pt idx="1">
                  <c:v>5360435</c:v>
                </c:pt>
                <c:pt idx="2">
                  <c:v>5887896</c:v>
                </c:pt>
                <c:pt idx="3">
                  <c:v>5216174</c:v>
                </c:pt>
                <c:pt idx="4">
                  <c:v>5440717</c:v>
                </c:pt>
                <c:pt idx="5">
                  <c:v>6239759</c:v>
                </c:pt>
                <c:pt idx="6">
                  <c:v>7780490</c:v>
                </c:pt>
                <c:pt idx="7">
                  <c:v>6081026</c:v>
                </c:pt>
                <c:pt idx="8">
                  <c:v>7366075</c:v>
                </c:pt>
                <c:pt idx="9">
                  <c:v>5558164</c:v>
                </c:pt>
                <c:pt idx="10">
                  <c:v>6191866</c:v>
                </c:pt>
                <c:pt idx="11">
                  <c:v>6428913</c:v>
                </c:pt>
                <c:pt idx="12">
                  <c:v>8832813</c:v>
                </c:pt>
                <c:pt idx="13">
                  <c:v>21148053</c:v>
                </c:pt>
                <c:pt idx="14">
                  <c:v>7936516</c:v>
                </c:pt>
                <c:pt idx="15">
                  <c:v>6232948</c:v>
                </c:pt>
                <c:pt idx="16">
                  <c:v>4730304</c:v>
                </c:pt>
                <c:pt idx="17">
                  <c:v>7936246</c:v>
                </c:pt>
                <c:pt idx="18">
                  <c:v>7222753</c:v>
                </c:pt>
                <c:pt idx="19">
                  <c:v>8626724</c:v>
                </c:pt>
              </c:numCache>
            </c:numRef>
          </c:val>
          <c:extLst>
            <c:ext xmlns:c16="http://schemas.microsoft.com/office/drawing/2014/chart" uri="{C3380CC4-5D6E-409C-BE32-E72D297353CC}">
              <c16:uniqueId val="{00000000-FA09-4C7F-9032-76CB5673ABF4}"/>
            </c:ext>
          </c:extLst>
        </c:ser>
        <c:dLbls>
          <c:showLegendKey val="0"/>
          <c:showVal val="0"/>
          <c:showCatName val="0"/>
          <c:showSerName val="0"/>
          <c:showPercent val="0"/>
          <c:showBubbleSize val="0"/>
        </c:dLbls>
        <c:gapWidth val="150"/>
        <c:axId val="1641718448"/>
        <c:axId val="1641718928"/>
      </c:barChart>
      <c:stockChart>
        <c:ser>
          <c:idx val="1"/>
          <c:order val="1"/>
          <c:tx>
            <c:strRef>
              <c:f>GM!$C$6</c:f>
              <c:strCache>
                <c:ptCount val="1"/>
                <c:pt idx="0">
                  <c:v>Open</c:v>
                </c:pt>
              </c:strCache>
            </c:strRef>
          </c:tx>
          <c:spPr>
            <a:ln w="38100" cap="rnd">
              <a:noFill/>
              <a:round/>
            </a:ln>
            <a:effectLst/>
          </c:spPr>
          <c:marker>
            <c:symbol val="none"/>
          </c:marker>
          <c:cat>
            <c:numRef>
              <c:f>GM!$A$7:$A$27</c:f>
              <c:numCache>
                <c:formatCode>m/d/yyyy</c:formatCode>
                <c:ptCount val="21"/>
                <c:pt idx="0">
                  <c:v>46265</c:v>
                </c:pt>
                <c:pt idx="1">
                  <c:v>46266</c:v>
                </c:pt>
                <c:pt idx="2">
                  <c:v>46267</c:v>
                </c:pt>
                <c:pt idx="3">
                  <c:v>46268</c:v>
                </c:pt>
                <c:pt idx="4">
                  <c:v>46269</c:v>
                </c:pt>
                <c:pt idx="5">
                  <c:v>46273</c:v>
                </c:pt>
                <c:pt idx="6">
                  <c:v>46274</c:v>
                </c:pt>
                <c:pt idx="7">
                  <c:v>46275</c:v>
                </c:pt>
                <c:pt idx="8">
                  <c:v>46276</c:v>
                </c:pt>
                <c:pt idx="9">
                  <c:v>46279</c:v>
                </c:pt>
                <c:pt idx="10">
                  <c:v>46280</c:v>
                </c:pt>
                <c:pt idx="11">
                  <c:v>46281</c:v>
                </c:pt>
                <c:pt idx="12">
                  <c:v>46282</c:v>
                </c:pt>
                <c:pt idx="13">
                  <c:v>46283</c:v>
                </c:pt>
                <c:pt idx="14">
                  <c:v>46286</c:v>
                </c:pt>
                <c:pt idx="15">
                  <c:v>46287</c:v>
                </c:pt>
                <c:pt idx="16">
                  <c:v>46288</c:v>
                </c:pt>
                <c:pt idx="17">
                  <c:v>46289</c:v>
                </c:pt>
                <c:pt idx="18">
                  <c:v>46290</c:v>
                </c:pt>
                <c:pt idx="19">
                  <c:v>46293</c:v>
                </c:pt>
              </c:numCache>
            </c:numRef>
          </c:cat>
          <c:val>
            <c:numRef>
              <c:f>GM!$C$7:$C$27</c:f>
              <c:numCache>
                <c:formatCode>_([$$-409]* #,##0.00_);_([$$-409]* \(#,##0.00\);_([$$-409]* "-"??_);_(@_)</c:formatCode>
                <c:ptCount val="21"/>
                <c:pt idx="0">
                  <c:v>86.28</c:v>
                </c:pt>
                <c:pt idx="1">
                  <c:v>86.32</c:v>
                </c:pt>
                <c:pt idx="2">
                  <c:v>85.64</c:v>
                </c:pt>
                <c:pt idx="3">
                  <c:v>85.724999999999994</c:v>
                </c:pt>
                <c:pt idx="4">
                  <c:v>86.41</c:v>
                </c:pt>
                <c:pt idx="5">
                  <c:v>87.38</c:v>
                </c:pt>
                <c:pt idx="6">
                  <c:v>85.22</c:v>
                </c:pt>
                <c:pt idx="7">
                  <c:v>83.8</c:v>
                </c:pt>
                <c:pt idx="8">
                  <c:v>87.25</c:v>
                </c:pt>
                <c:pt idx="9">
                  <c:v>85.84</c:v>
                </c:pt>
                <c:pt idx="10">
                  <c:v>87.05</c:v>
                </c:pt>
                <c:pt idx="11">
                  <c:v>85.05</c:v>
                </c:pt>
                <c:pt idx="12">
                  <c:v>86.19</c:v>
                </c:pt>
                <c:pt idx="13">
                  <c:v>86.16</c:v>
                </c:pt>
                <c:pt idx="14">
                  <c:v>82.375</c:v>
                </c:pt>
                <c:pt idx="15">
                  <c:v>84.85</c:v>
                </c:pt>
                <c:pt idx="16">
                  <c:v>83.05</c:v>
                </c:pt>
                <c:pt idx="17">
                  <c:v>83.355000000000004</c:v>
                </c:pt>
                <c:pt idx="18">
                  <c:v>80.94</c:v>
                </c:pt>
                <c:pt idx="19">
                  <c:v>81.900000000000006</c:v>
                </c:pt>
              </c:numCache>
            </c:numRef>
          </c:val>
          <c:smooth val="0"/>
          <c:extLst>
            <c:ext xmlns:c16="http://schemas.microsoft.com/office/drawing/2014/chart" uri="{C3380CC4-5D6E-409C-BE32-E72D297353CC}">
              <c16:uniqueId val="{00000001-FA09-4C7F-9032-76CB5673ABF4}"/>
            </c:ext>
          </c:extLst>
        </c:ser>
        <c:ser>
          <c:idx val="2"/>
          <c:order val="2"/>
          <c:tx>
            <c:strRef>
              <c:f>GM!$D$6</c:f>
              <c:strCache>
                <c:ptCount val="1"/>
                <c:pt idx="0">
                  <c:v>High</c:v>
                </c:pt>
              </c:strCache>
            </c:strRef>
          </c:tx>
          <c:spPr>
            <a:ln w="38100" cap="rnd">
              <a:noFill/>
              <a:round/>
            </a:ln>
            <a:effectLst/>
          </c:spPr>
          <c:marker>
            <c:symbol val="none"/>
          </c:marker>
          <c:cat>
            <c:numRef>
              <c:f>GM!$A$7:$A$27</c:f>
              <c:numCache>
                <c:formatCode>m/d/yyyy</c:formatCode>
                <c:ptCount val="21"/>
                <c:pt idx="0">
                  <c:v>46265</c:v>
                </c:pt>
                <c:pt idx="1">
                  <c:v>46266</c:v>
                </c:pt>
                <c:pt idx="2">
                  <c:v>46267</c:v>
                </c:pt>
                <c:pt idx="3">
                  <c:v>46268</c:v>
                </c:pt>
                <c:pt idx="4">
                  <c:v>46269</c:v>
                </c:pt>
                <c:pt idx="5">
                  <c:v>46273</c:v>
                </c:pt>
                <c:pt idx="6">
                  <c:v>46274</c:v>
                </c:pt>
                <c:pt idx="7">
                  <c:v>46275</c:v>
                </c:pt>
                <c:pt idx="8">
                  <c:v>46276</c:v>
                </c:pt>
                <c:pt idx="9">
                  <c:v>46279</c:v>
                </c:pt>
                <c:pt idx="10">
                  <c:v>46280</c:v>
                </c:pt>
                <c:pt idx="11">
                  <c:v>46281</c:v>
                </c:pt>
                <c:pt idx="12">
                  <c:v>46282</c:v>
                </c:pt>
                <c:pt idx="13">
                  <c:v>46283</c:v>
                </c:pt>
                <c:pt idx="14">
                  <c:v>46286</c:v>
                </c:pt>
                <c:pt idx="15">
                  <c:v>46287</c:v>
                </c:pt>
                <c:pt idx="16">
                  <c:v>46288</c:v>
                </c:pt>
                <c:pt idx="17">
                  <c:v>46289</c:v>
                </c:pt>
                <c:pt idx="18">
                  <c:v>46290</c:v>
                </c:pt>
                <c:pt idx="19">
                  <c:v>46293</c:v>
                </c:pt>
              </c:numCache>
            </c:numRef>
          </c:cat>
          <c:val>
            <c:numRef>
              <c:f>GM!$D$7:$D$27</c:f>
              <c:numCache>
                <c:formatCode>_([$$-409]* #,##0.00_);_([$$-409]* \(#,##0.00\);_([$$-409]* "-"??_);_(@_)</c:formatCode>
                <c:ptCount val="21"/>
                <c:pt idx="0">
                  <c:v>87.19</c:v>
                </c:pt>
                <c:pt idx="1">
                  <c:v>87.19</c:v>
                </c:pt>
                <c:pt idx="2">
                  <c:v>86.64</c:v>
                </c:pt>
                <c:pt idx="3">
                  <c:v>87.38</c:v>
                </c:pt>
                <c:pt idx="4">
                  <c:v>87.76</c:v>
                </c:pt>
                <c:pt idx="5">
                  <c:v>87.85</c:v>
                </c:pt>
                <c:pt idx="6">
                  <c:v>86.3</c:v>
                </c:pt>
                <c:pt idx="7">
                  <c:v>86.18</c:v>
                </c:pt>
                <c:pt idx="8">
                  <c:v>87.77</c:v>
                </c:pt>
                <c:pt idx="9">
                  <c:v>87.39</c:v>
                </c:pt>
                <c:pt idx="10">
                  <c:v>87.65</c:v>
                </c:pt>
                <c:pt idx="11">
                  <c:v>85.35</c:v>
                </c:pt>
                <c:pt idx="12">
                  <c:v>87.86</c:v>
                </c:pt>
                <c:pt idx="13">
                  <c:v>86.486800000000002</c:v>
                </c:pt>
                <c:pt idx="14">
                  <c:v>84.88</c:v>
                </c:pt>
                <c:pt idx="15">
                  <c:v>85.2</c:v>
                </c:pt>
                <c:pt idx="16">
                  <c:v>84.564999999999998</c:v>
                </c:pt>
                <c:pt idx="17">
                  <c:v>83.7</c:v>
                </c:pt>
                <c:pt idx="18">
                  <c:v>83.5</c:v>
                </c:pt>
                <c:pt idx="19">
                  <c:v>82.69</c:v>
                </c:pt>
              </c:numCache>
            </c:numRef>
          </c:val>
          <c:smooth val="0"/>
          <c:extLst>
            <c:ext xmlns:c16="http://schemas.microsoft.com/office/drawing/2014/chart" uri="{C3380CC4-5D6E-409C-BE32-E72D297353CC}">
              <c16:uniqueId val="{00000002-FA09-4C7F-9032-76CB5673ABF4}"/>
            </c:ext>
          </c:extLst>
        </c:ser>
        <c:ser>
          <c:idx val="3"/>
          <c:order val="3"/>
          <c:tx>
            <c:strRef>
              <c:f>GM!$E$6</c:f>
              <c:strCache>
                <c:ptCount val="1"/>
                <c:pt idx="0">
                  <c:v>Low</c:v>
                </c:pt>
              </c:strCache>
            </c:strRef>
          </c:tx>
          <c:spPr>
            <a:ln w="38100" cap="rnd">
              <a:noFill/>
              <a:round/>
            </a:ln>
            <a:effectLst/>
          </c:spPr>
          <c:marker>
            <c:symbol val="none"/>
          </c:marker>
          <c:cat>
            <c:numRef>
              <c:f>GM!$A$7:$A$27</c:f>
              <c:numCache>
                <c:formatCode>m/d/yyyy</c:formatCode>
                <c:ptCount val="21"/>
                <c:pt idx="0">
                  <c:v>46265</c:v>
                </c:pt>
                <c:pt idx="1">
                  <c:v>46266</c:v>
                </c:pt>
                <c:pt idx="2">
                  <c:v>46267</c:v>
                </c:pt>
                <c:pt idx="3">
                  <c:v>46268</c:v>
                </c:pt>
                <c:pt idx="4">
                  <c:v>46269</c:v>
                </c:pt>
                <c:pt idx="5">
                  <c:v>46273</c:v>
                </c:pt>
                <c:pt idx="6">
                  <c:v>46274</c:v>
                </c:pt>
                <c:pt idx="7">
                  <c:v>46275</c:v>
                </c:pt>
                <c:pt idx="8">
                  <c:v>46276</c:v>
                </c:pt>
                <c:pt idx="9">
                  <c:v>46279</c:v>
                </c:pt>
                <c:pt idx="10">
                  <c:v>46280</c:v>
                </c:pt>
                <c:pt idx="11">
                  <c:v>46281</c:v>
                </c:pt>
                <c:pt idx="12">
                  <c:v>46282</c:v>
                </c:pt>
                <c:pt idx="13">
                  <c:v>46283</c:v>
                </c:pt>
                <c:pt idx="14">
                  <c:v>46286</c:v>
                </c:pt>
                <c:pt idx="15">
                  <c:v>46287</c:v>
                </c:pt>
                <c:pt idx="16">
                  <c:v>46288</c:v>
                </c:pt>
                <c:pt idx="17">
                  <c:v>46289</c:v>
                </c:pt>
                <c:pt idx="18">
                  <c:v>46290</c:v>
                </c:pt>
                <c:pt idx="19">
                  <c:v>46293</c:v>
                </c:pt>
              </c:numCache>
            </c:numRef>
          </c:cat>
          <c:val>
            <c:numRef>
              <c:f>GM!$E$7:$E$27</c:f>
              <c:numCache>
                <c:formatCode>_([$$-409]* #,##0.00_);_([$$-409]* \(#,##0.00\);_([$$-409]* "-"??_);_(@_)</c:formatCode>
                <c:ptCount val="21"/>
                <c:pt idx="0">
                  <c:v>86.004999999999995</c:v>
                </c:pt>
                <c:pt idx="1">
                  <c:v>85.22</c:v>
                </c:pt>
                <c:pt idx="2">
                  <c:v>83.95</c:v>
                </c:pt>
                <c:pt idx="3">
                  <c:v>85.120800000000003</c:v>
                </c:pt>
                <c:pt idx="4">
                  <c:v>85.685000000000002</c:v>
                </c:pt>
                <c:pt idx="5">
                  <c:v>85.31</c:v>
                </c:pt>
                <c:pt idx="6">
                  <c:v>83.76</c:v>
                </c:pt>
                <c:pt idx="7">
                  <c:v>82.858199999999997</c:v>
                </c:pt>
                <c:pt idx="8">
                  <c:v>85.31</c:v>
                </c:pt>
                <c:pt idx="9">
                  <c:v>85.48</c:v>
                </c:pt>
                <c:pt idx="10">
                  <c:v>84.9</c:v>
                </c:pt>
                <c:pt idx="11">
                  <c:v>83.47</c:v>
                </c:pt>
                <c:pt idx="12">
                  <c:v>86.15</c:v>
                </c:pt>
                <c:pt idx="13">
                  <c:v>81.394999999999996</c:v>
                </c:pt>
                <c:pt idx="14">
                  <c:v>82.2</c:v>
                </c:pt>
                <c:pt idx="15">
                  <c:v>82.95</c:v>
                </c:pt>
                <c:pt idx="16">
                  <c:v>82.76</c:v>
                </c:pt>
                <c:pt idx="17">
                  <c:v>80.040000000000006</c:v>
                </c:pt>
                <c:pt idx="18">
                  <c:v>80.88</c:v>
                </c:pt>
                <c:pt idx="19">
                  <c:v>80.430000000000007</c:v>
                </c:pt>
              </c:numCache>
            </c:numRef>
          </c:val>
          <c:smooth val="0"/>
          <c:extLst>
            <c:ext xmlns:c16="http://schemas.microsoft.com/office/drawing/2014/chart" uri="{C3380CC4-5D6E-409C-BE32-E72D297353CC}">
              <c16:uniqueId val="{00000003-FA09-4C7F-9032-76CB5673ABF4}"/>
            </c:ext>
          </c:extLst>
        </c:ser>
        <c:ser>
          <c:idx val="4"/>
          <c:order val="4"/>
          <c:tx>
            <c:strRef>
              <c:f>GM!$F$6</c:f>
              <c:strCache>
                <c:ptCount val="1"/>
                <c:pt idx="0">
                  <c:v>Close</c:v>
                </c:pt>
              </c:strCache>
            </c:strRef>
          </c:tx>
          <c:spPr>
            <a:ln w="38100" cap="rnd">
              <a:noFill/>
              <a:round/>
            </a:ln>
            <a:effectLst/>
          </c:spPr>
          <c:marker>
            <c:symbol val="none"/>
          </c:marker>
          <c:cat>
            <c:numRef>
              <c:f>GM!$A$7:$A$27</c:f>
              <c:numCache>
                <c:formatCode>m/d/yyyy</c:formatCode>
                <c:ptCount val="21"/>
                <c:pt idx="0">
                  <c:v>46265</c:v>
                </c:pt>
                <c:pt idx="1">
                  <c:v>46266</c:v>
                </c:pt>
                <c:pt idx="2">
                  <c:v>46267</c:v>
                </c:pt>
                <c:pt idx="3">
                  <c:v>46268</c:v>
                </c:pt>
                <c:pt idx="4">
                  <c:v>46269</c:v>
                </c:pt>
                <c:pt idx="5">
                  <c:v>46273</c:v>
                </c:pt>
                <c:pt idx="6">
                  <c:v>46274</c:v>
                </c:pt>
                <c:pt idx="7">
                  <c:v>46275</c:v>
                </c:pt>
                <c:pt idx="8">
                  <c:v>46276</c:v>
                </c:pt>
                <c:pt idx="9">
                  <c:v>46279</c:v>
                </c:pt>
                <c:pt idx="10">
                  <c:v>46280</c:v>
                </c:pt>
                <c:pt idx="11">
                  <c:v>46281</c:v>
                </c:pt>
                <c:pt idx="12">
                  <c:v>46282</c:v>
                </c:pt>
                <c:pt idx="13">
                  <c:v>46283</c:v>
                </c:pt>
                <c:pt idx="14">
                  <c:v>46286</c:v>
                </c:pt>
                <c:pt idx="15">
                  <c:v>46287</c:v>
                </c:pt>
                <c:pt idx="16">
                  <c:v>46288</c:v>
                </c:pt>
                <c:pt idx="17">
                  <c:v>46289</c:v>
                </c:pt>
                <c:pt idx="18">
                  <c:v>46290</c:v>
                </c:pt>
                <c:pt idx="19">
                  <c:v>46293</c:v>
                </c:pt>
              </c:numCache>
            </c:numRef>
          </c:cat>
          <c:val>
            <c:numRef>
              <c:f>GM!$F$7:$F$27</c:f>
              <c:numCache>
                <c:formatCode>_([$$-409]* #,##0.00_);_([$$-409]* \(#,##0.00\);_([$$-409]* "-"??_);_(@_)</c:formatCode>
                <c:ptCount val="21"/>
                <c:pt idx="0">
                  <c:v>86.32</c:v>
                </c:pt>
                <c:pt idx="1">
                  <c:v>85.63</c:v>
                </c:pt>
                <c:pt idx="2">
                  <c:v>84.87</c:v>
                </c:pt>
                <c:pt idx="3">
                  <c:v>87.22</c:v>
                </c:pt>
                <c:pt idx="4">
                  <c:v>87.76</c:v>
                </c:pt>
                <c:pt idx="5">
                  <c:v>85.79</c:v>
                </c:pt>
                <c:pt idx="6">
                  <c:v>83.76</c:v>
                </c:pt>
                <c:pt idx="7">
                  <c:v>86.12</c:v>
                </c:pt>
                <c:pt idx="8">
                  <c:v>85.62</c:v>
                </c:pt>
                <c:pt idx="9">
                  <c:v>87.16</c:v>
                </c:pt>
                <c:pt idx="10">
                  <c:v>85.37</c:v>
                </c:pt>
                <c:pt idx="11">
                  <c:v>84.29</c:v>
                </c:pt>
                <c:pt idx="12">
                  <c:v>86.62</c:v>
                </c:pt>
                <c:pt idx="13">
                  <c:v>82.2</c:v>
                </c:pt>
                <c:pt idx="14">
                  <c:v>83.95</c:v>
                </c:pt>
                <c:pt idx="15">
                  <c:v>83.45</c:v>
                </c:pt>
                <c:pt idx="16">
                  <c:v>83.77</c:v>
                </c:pt>
                <c:pt idx="17">
                  <c:v>80.569999999999993</c:v>
                </c:pt>
                <c:pt idx="18">
                  <c:v>82.63</c:v>
                </c:pt>
                <c:pt idx="19">
                  <c:v>80.64</c:v>
                </c:pt>
              </c:numCache>
            </c:numRef>
          </c:val>
          <c:smooth val="0"/>
          <c:extLst>
            <c:ext xmlns:c16="http://schemas.microsoft.com/office/drawing/2014/chart" uri="{C3380CC4-5D6E-409C-BE32-E72D297353CC}">
              <c16:uniqueId val="{00000004-FA09-4C7F-9032-76CB5673ABF4}"/>
            </c:ext>
          </c:extLst>
        </c:ser>
        <c:dLbls>
          <c:showLegendKey val="0"/>
          <c:showVal val="0"/>
          <c:showCatName val="0"/>
          <c:showSerName val="0"/>
          <c:showPercent val="0"/>
          <c:showBubbleSize val="0"/>
        </c:dLbls>
        <c:hiLowLines>
          <c:spPr>
            <a:ln w="9525" cap="flat" cmpd="sng" algn="ctr">
              <a:solidFill>
                <a:schemeClr val="tx1">
                  <a:lumMod val="75000"/>
                  <a:lumOff val="25000"/>
                </a:schemeClr>
              </a:solidFill>
              <a:round/>
            </a:ln>
            <a:effectLst/>
          </c:spPr>
        </c:hiLowLines>
        <c:upDownBars>
          <c:gapWidth val="150"/>
          <c:upBars>
            <c:spPr>
              <a:solidFill>
                <a:schemeClr val="lt1"/>
              </a:solidFill>
              <a:ln w="9525" cap="flat" cmpd="sng" algn="ctr">
                <a:solidFill>
                  <a:schemeClr val="tx1">
                    <a:lumMod val="65000"/>
                    <a:lumOff val="35000"/>
                  </a:schemeClr>
                </a:solidFill>
                <a:round/>
              </a:ln>
              <a:effectLst/>
            </c:spPr>
          </c:upBars>
          <c:downBars>
            <c:spPr>
              <a:solidFill>
                <a:schemeClr val="dk1">
                  <a:lumMod val="75000"/>
                  <a:lumOff val="25000"/>
                </a:schemeClr>
              </a:solidFill>
              <a:ln w="9525" cap="flat" cmpd="sng" algn="ctr">
                <a:solidFill>
                  <a:schemeClr val="tx1">
                    <a:lumMod val="65000"/>
                    <a:lumOff val="35000"/>
                  </a:schemeClr>
                </a:solidFill>
                <a:round/>
              </a:ln>
              <a:effectLst/>
            </c:spPr>
          </c:downBars>
        </c:upDownBars>
        <c:axId val="1641844592"/>
        <c:axId val="1948494816"/>
      </c:stockChart>
      <c:dateAx>
        <c:axId val="1641718448"/>
        <c:scaling>
          <c:orientation val="minMax"/>
        </c:scaling>
        <c:delete val="0"/>
        <c:axPos val="b"/>
        <c:numFmt formatCode="d\-mmm"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crossAx val="1641718928"/>
        <c:crosses val="autoZero"/>
        <c:auto val="1"/>
        <c:lblOffset val="100"/>
        <c:baseTimeUnit val="days"/>
      </c:dateAx>
      <c:valAx>
        <c:axId val="1641718928"/>
        <c:scaling>
          <c:orientation val="minMax"/>
        </c:scaling>
        <c:delete val="0"/>
        <c:axPos val="l"/>
        <c:majorGridlines>
          <c:spPr>
            <a:ln w="9525" cap="flat" cmpd="sng" algn="ctr">
              <a:solidFill>
                <a:schemeClr val="tx1">
                  <a:lumMod val="15000"/>
                  <a:lumOff val="85000"/>
                </a:schemeClr>
              </a:solidFill>
              <a:round/>
            </a:ln>
            <a:effectLst/>
          </c:spPr>
        </c:majorGridlines>
        <c:numFmt formatCode="#,##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crossAx val="1641718448"/>
        <c:crosses val="autoZero"/>
        <c:crossBetween val="between"/>
      </c:valAx>
      <c:valAx>
        <c:axId val="1948494816"/>
        <c:scaling>
          <c:orientation val="minMax"/>
        </c:scaling>
        <c:delete val="0"/>
        <c:axPos val="r"/>
        <c:majorGridlines>
          <c:spPr>
            <a:ln w="9525" cap="flat" cmpd="sng" algn="ctr">
              <a:solidFill>
                <a:schemeClr val="tx1">
                  <a:lumMod val="15000"/>
                  <a:lumOff val="85000"/>
                </a:schemeClr>
              </a:solidFill>
              <a:round/>
            </a:ln>
            <a:effectLst/>
          </c:spPr>
        </c:majorGridlines>
        <c:numFmt formatCode="_([$$-409]* #,##0.00_);_([$$-409]* \(#,##0.00\);_([$$-4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crossAx val="1641844592"/>
        <c:crosses val="max"/>
        <c:crossBetween val="between"/>
      </c:valAx>
      <c:dateAx>
        <c:axId val="1641844592"/>
        <c:scaling>
          <c:orientation val="minMax"/>
        </c:scaling>
        <c:delete val="1"/>
        <c:axPos val="b"/>
        <c:numFmt formatCode="m/d/yyyy" sourceLinked="1"/>
        <c:majorTickMark val="out"/>
        <c:minorTickMark val="none"/>
        <c:tickLblPos val="nextTo"/>
        <c:crossAx val="1948494816"/>
        <c:crosses val="autoZero"/>
        <c:auto val="1"/>
        <c:lblOffset val="100"/>
        <c:baseTimeUnit val="days"/>
      </c:date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Close Last 12 Months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lotArea>
      <c:layout>
        <c:manualLayout>
          <c:layoutTarget val="inner"/>
          <c:xMode val="edge"/>
          <c:yMode val="edge"/>
          <c:x val="0.1035513225517469"/>
          <c:y val="0.12968531468531469"/>
          <c:w val="0.88247662156002959"/>
          <c:h val="0.83185314685314682"/>
        </c:manualLayout>
      </c:layout>
      <c:areaChart>
        <c:grouping val="standard"/>
        <c:varyColors val="0"/>
        <c:ser>
          <c:idx val="0"/>
          <c:order val="0"/>
          <c:spPr>
            <a:gradFill>
              <a:gsLst>
                <a:gs pos="96000">
                  <a:schemeClr val="accent1">
                    <a:lumMod val="5000"/>
                    <a:lumOff val="95000"/>
                  </a:schemeClr>
                </a:gs>
                <a:gs pos="43000">
                  <a:srgbClr val="417A85"/>
                </a:gs>
                <a:gs pos="76000">
                  <a:srgbClr val="417A85"/>
                </a:gs>
              </a:gsLst>
              <a:lin ang="5400000" scaled="1"/>
            </a:gradFill>
            <a:ln>
              <a:noFill/>
            </a:ln>
            <a:effectLst/>
          </c:spPr>
          <c:val>
            <c:numRef>
              <c:f>GM!$C$4:$IR$4</c:f>
              <c:numCache>
                <c:formatCode>_([$$-409]* #,##0.00_);_([$$-409]* \(#,##0.00\);_([$$-409]* "-"??_);_(@_)</c:formatCode>
                <c:ptCount val="250"/>
                <c:pt idx="0">
                  <c:v>61.12</c:v>
                </c:pt>
                <c:pt idx="1">
                  <c:v>60.97</c:v>
                </c:pt>
                <c:pt idx="2">
                  <c:v>61.34</c:v>
                </c:pt>
                <c:pt idx="3">
                  <c:v>59.36</c:v>
                </c:pt>
                <c:pt idx="4">
                  <c:v>60.13</c:v>
                </c:pt>
                <c:pt idx="5">
                  <c:v>58.19</c:v>
                </c:pt>
                <c:pt idx="6">
                  <c:v>57.26</c:v>
                </c:pt>
                <c:pt idx="7">
                  <c:v>56.4</c:v>
                </c:pt>
                <c:pt idx="8">
                  <c:v>55.92</c:v>
                </c:pt>
                <c:pt idx="9">
                  <c:v>55.35</c:v>
                </c:pt>
                <c:pt idx="10">
                  <c:v>55.62</c:v>
                </c:pt>
                <c:pt idx="11">
                  <c:v>57.15</c:v>
                </c:pt>
                <c:pt idx="12">
                  <c:v>57.8</c:v>
                </c:pt>
                <c:pt idx="13">
                  <c:v>57.34</c:v>
                </c:pt>
                <c:pt idx="14">
                  <c:v>58.38</c:v>
                </c:pt>
                <c:pt idx="15">
                  <c:v>58</c:v>
                </c:pt>
                <c:pt idx="16">
                  <c:v>66.62</c:v>
                </c:pt>
                <c:pt idx="17">
                  <c:v>67.31</c:v>
                </c:pt>
                <c:pt idx="18">
                  <c:v>66.849999999999994</c:v>
                </c:pt>
                <c:pt idx="19">
                  <c:v>69.66</c:v>
                </c:pt>
                <c:pt idx="20">
                  <c:v>69.38</c:v>
                </c:pt>
                <c:pt idx="21">
                  <c:v>69.87</c:v>
                </c:pt>
                <c:pt idx="22">
                  <c:v>69.13</c:v>
                </c:pt>
                <c:pt idx="23">
                  <c:v>68.67</c:v>
                </c:pt>
                <c:pt idx="24">
                  <c:v>69.09</c:v>
                </c:pt>
                <c:pt idx="25">
                  <c:v>68.22</c:v>
                </c:pt>
                <c:pt idx="26">
                  <c:v>66.87</c:v>
                </c:pt>
                <c:pt idx="27">
                  <c:v>68.77</c:v>
                </c:pt>
                <c:pt idx="28">
                  <c:v>68.84</c:v>
                </c:pt>
                <c:pt idx="29">
                  <c:v>70.75</c:v>
                </c:pt>
                <c:pt idx="30">
                  <c:v>71.05</c:v>
                </c:pt>
                <c:pt idx="31">
                  <c:v>71.22</c:v>
                </c:pt>
                <c:pt idx="32">
                  <c:v>71.84</c:v>
                </c:pt>
                <c:pt idx="33">
                  <c:v>71.89</c:v>
                </c:pt>
                <c:pt idx="34">
                  <c:v>70.52</c:v>
                </c:pt>
                <c:pt idx="35">
                  <c:v>67.91</c:v>
                </c:pt>
                <c:pt idx="36">
                  <c:v>67.930000000000007</c:v>
                </c:pt>
                <c:pt idx="37">
                  <c:v>68.5</c:v>
                </c:pt>
                <c:pt idx="38">
                  <c:v>68.040000000000006</c:v>
                </c:pt>
                <c:pt idx="39">
                  <c:v>70.33</c:v>
                </c:pt>
                <c:pt idx="40">
                  <c:v>71</c:v>
                </c:pt>
                <c:pt idx="41">
                  <c:v>72.78</c:v>
                </c:pt>
                <c:pt idx="42">
                  <c:v>72.81</c:v>
                </c:pt>
                <c:pt idx="43">
                  <c:v>73.52</c:v>
                </c:pt>
                <c:pt idx="44">
                  <c:v>72.95</c:v>
                </c:pt>
                <c:pt idx="45">
                  <c:v>73.66</c:v>
                </c:pt>
                <c:pt idx="46">
                  <c:v>74.69</c:v>
                </c:pt>
                <c:pt idx="47">
                  <c:v>75.290000000000006</c:v>
                </c:pt>
                <c:pt idx="48">
                  <c:v>76.05</c:v>
                </c:pt>
                <c:pt idx="49">
                  <c:v>75.709999999999994</c:v>
                </c:pt>
                <c:pt idx="50">
                  <c:v>77.16</c:v>
                </c:pt>
                <c:pt idx="51">
                  <c:v>80.8</c:v>
                </c:pt>
                <c:pt idx="52">
                  <c:v>80.849999999999994</c:v>
                </c:pt>
                <c:pt idx="53">
                  <c:v>80.89</c:v>
                </c:pt>
                <c:pt idx="54">
                  <c:v>81.98</c:v>
                </c:pt>
                <c:pt idx="55">
                  <c:v>81.760000000000005</c:v>
                </c:pt>
                <c:pt idx="56">
                  <c:v>80.510000000000005</c:v>
                </c:pt>
                <c:pt idx="57">
                  <c:v>81.17</c:v>
                </c:pt>
                <c:pt idx="58">
                  <c:v>82.35</c:v>
                </c:pt>
                <c:pt idx="59">
                  <c:v>83.03</c:v>
                </c:pt>
                <c:pt idx="60">
                  <c:v>82.75</c:v>
                </c:pt>
                <c:pt idx="61">
                  <c:v>82.88</c:v>
                </c:pt>
                <c:pt idx="62">
                  <c:v>83.06</c:v>
                </c:pt>
                <c:pt idx="63">
                  <c:v>82.93</c:v>
                </c:pt>
                <c:pt idx="64">
                  <c:v>82.33</c:v>
                </c:pt>
                <c:pt idx="65">
                  <c:v>81.319999999999993</c:v>
                </c:pt>
                <c:pt idx="66">
                  <c:v>80.98</c:v>
                </c:pt>
                <c:pt idx="67">
                  <c:v>83.15</c:v>
                </c:pt>
                <c:pt idx="68">
                  <c:v>82.18</c:v>
                </c:pt>
                <c:pt idx="69">
                  <c:v>81.91</c:v>
                </c:pt>
                <c:pt idx="70">
                  <c:v>85.13</c:v>
                </c:pt>
                <c:pt idx="71">
                  <c:v>82.87</c:v>
                </c:pt>
                <c:pt idx="72">
                  <c:v>82.9</c:v>
                </c:pt>
                <c:pt idx="73">
                  <c:v>83.24</c:v>
                </c:pt>
                <c:pt idx="74">
                  <c:v>81.23</c:v>
                </c:pt>
                <c:pt idx="75">
                  <c:v>80.91</c:v>
                </c:pt>
                <c:pt idx="76">
                  <c:v>80.819999999999993</c:v>
                </c:pt>
                <c:pt idx="77">
                  <c:v>77.81</c:v>
                </c:pt>
                <c:pt idx="78">
                  <c:v>80.930000000000007</c:v>
                </c:pt>
                <c:pt idx="79">
                  <c:v>81.14</c:v>
                </c:pt>
                <c:pt idx="80">
                  <c:v>79.680000000000007</c:v>
                </c:pt>
                <c:pt idx="81">
                  <c:v>79.430000000000007</c:v>
                </c:pt>
                <c:pt idx="82">
                  <c:v>86.38</c:v>
                </c:pt>
                <c:pt idx="83">
                  <c:v>84.9</c:v>
                </c:pt>
                <c:pt idx="84">
                  <c:v>86.26</c:v>
                </c:pt>
                <c:pt idx="85">
                  <c:v>84</c:v>
                </c:pt>
                <c:pt idx="86">
                  <c:v>84.27</c:v>
                </c:pt>
                <c:pt idx="87">
                  <c:v>85.71</c:v>
                </c:pt>
                <c:pt idx="88">
                  <c:v>86.29</c:v>
                </c:pt>
                <c:pt idx="89">
                  <c:v>83.3</c:v>
                </c:pt>
                <c:pt idx="90">
                  <c:v>84.24</c:v>
                </c:pt>
                <c:pt idx="91">
                  <c:v>80.680000000000007</c:v>
                </c:pt>
                <c:pt idx="92">
                  <c:v>80.27</c:v>
                </c:pt>
                <c:pt idx="93">
                  <c:v>79.819999999999993</c:v>
                </c:pt>
                <c:pt idx="94">
                  <c:v>79.930000000000007</c:v>
                </c:pt>
                <c:pt idx="95">
                  <c:v>81.08</c:v>
                </c:pt>
                <c:pt idx="96">
                  <c:v>81.22</c:v>
                </c:pt>
                <c:pt idx="97">
                  <c:v>83.67</c:v>
                </c:pt>
                <c:pt idx="98">
                  <c:v>81.47</c:v>
                </c:pt>
                <c:pt idx="99">
                  <c:v>81.510000000000005</c:v>
                </c:pt>
                <c:pt idx="100">
                  <c:v>79.66</c:v>
                </c:pt>
                <c:pt idx="101">
                  <c:v>81.290000000000006</c:v>
                </c:pt>
                <c:pt idx="102">
                  <c:v>82.43</c:v>
                </c:pt>
                <c:pt idx="103">
                  <c:v>80.790000000000006</c:v>
                </c:pt>
                <c:pt idx="104">
                  <c:v>78.709999999999994</c:v>
                </c:pt>
                <c:pt idx="105">
                  <c:v>77.760000000000005</c:v>
                </c:pt>
                <c:pt idx="106">
                  <c:v>77.27</c:v>
                </c:pt>
                <c:pt idx="107">
                  <c:v>78.599999999999994</c:v>
                </c:pt>
                <c:pt idx="108">
                  <c:v>76.2</c:v>
                </c:pt>
                <c:pt idx="109">
                  <c:v>75.209999999999994</c:v>
                </c:pt>
                <c:pt idx="110">
                  <c:v>74.69</c:v>
                </c:pt>
                <c:pt idx="111">
                  <c:v>74.930000000000007</c:v>
                </c:pt>
                <c:pt idx="112">
                  <c:v>74.790000000000006</c:v>
                </c:pt>
                <c:pt idx="113">
                  <c:v>73.45</c:v>
                </c:pt>
                <c:pt idx="114">
                  <c:v>72.39</c:v>
                </c:pt>
                <c:pt idx="115">
                  <c:v>72.95</c:v>
                </c:pt>
                <c:pt idx="116">
                  <c:v>74.040000000000006</c:v>
                </c:pt>
                <c:pt idx="117">
                  <c:v>73.53</c:v>
                </c:pt>
                <c:pt idx="118">
                  <c:v>73.790000000000006</c:v>
                </c:pt>
                <c:pt idx="119">
                  <c:v>72.81</c:v>
                </c:pt>
                <c:pt idx="120">
                  <c:v>75.72</c:v>
                </c:pt>
                <c:pt idx="121">
                  <c:v>76.569999999999993</c:v>
                </c:pt>
                <c:pt idx="122">
                  <c:v>76.61</c:v>
                </c:pt>
                <c:pt idx="123">
                  <c:v>75.599999999999994</c:v>
                </c:pt>
                <c:pt idx="124">
                  <c:v>72.98</c:v>
                </c:pt>
                <c:pt idx="125">
                  <c:v>72.760000000000005</c:v>
                </c:pt>
                <c:pt idx="126">
                  <c:v>74.5</c:v>
                </c:pt>
                <c:pt idx="127">
                  <c:v>75.040000000000006</c:v>
                </c:pt>
                <c:pt idx="128">
                  <c:v>72.540000000000006</c:v>
                </c:pt>
                <c:pt idx="129">
                  <c:v>73.430000000000007</c:v>
                </c:pt>
                <c:pt idx="130">
                  <c:v>72.760000000000005</c:v>
                </c:pt>
                <c:pt idx="131">
                  <c:v>76.739999999999995</c:v>
                </c:pt>
                <c:pt idx="132">
                  <c:v>76.73</c:v>
                </c:pt>
                <c:pt idx="133">
                  <c:v>76.42</c:v>
                </c:pt>
                <c:pt idx="134">
                  <c:v>76.83</c:v>
                </c:pt>
                <c:pt idx="135">
                  <c:v>79.459999999999994</c:v>
                </c:pt>
                <c:pt idx="136">
                  <c:v>77.78</c:v>
                </c:pt>
                <c:pt idx="137">
                  <c:v>78.05</c:v>
                </c:pt>
                <c:pt idx="138">
                  <c:v>81.319999999999993</c:v>
                </c:pt>
                <c:pt idx="139">
                  <c:v>80.540000000000006</c:v>
                </c:pt>
                <c:pt idx="140">
                  <c:v>79.05</c:v>
                </c:pt>
                <c:pt idx="141">
                  <c:v>79</c:v>
                </c:pt>
                <c:pt idx="142">
                  <c:v>78.52</c:v>
                </c:pt>
                <c:pt idx="143">
                  <c:v>78.05</c:v>
                </c:pt>
                <c:pt idx="144">
                  <c:v>77.959999999999994</c:v>
                </c:pt>
                <c:pt idx="145">
                  <c:v>78.95</c:v>
                </c:pt>
                <c:pt idx="146">
                  <c:v>76.62</c:v>
                </c:pt>
                <c:pt idx="147">
                  <c:v>76.89</c:v>
                </c:pt>
                <c:pt idx="148">
                  <c:v>75.77</c:v>
                </c:pt>
                <c:pt idx="149">
                  <c:v>75.7</c:v>
                </c:pt>
                <c:pt idx="150">
                  <c:v>76.150000000000006</c:v>
                </c:pt>
                <c:pt idx="151">
                  <c:v>78.7</c:v>
                </c:pt>
                <c:pt idx="152">
                  <c:v>78.41</c:v>
                </c:pt>
                <c:pt idx="153">
                  <c:v>78.8</c:v>
                </c:pt>
                <c:pt idx="154">
                  <c:v>75.290000000000006</c:v>
                </c:pt>
                <c:pt idx="155">
                  <c:v>76.44</c:v>
                </c:pt>
                <c:pt idx="156">
                  <c:v>75.81</c:v>
                </c:pt>
                <c:pt idx="157">
                  <c:v>77.75</c:v>
                </c:pt>
                <c:pt idx="158">
                  <c:v>74.86</c:v>
                </c:pt>
                <c:pt idx="159">
                  <c:v>73.099999999999994</c:v>
                </c:pt>
                <c:pt idx="160">
                  <c:v>72.63</c:v>
                </c:pt>
                <c:pt idx="161">
                  <c:v>76.14</c:v>
                </c:pt>
                <c:pt idx="162">
                  <c:v>77.209999999999994</c:v>
                </c:pt>
                <c:pt idx="163">
                  <c:v>78.790000000000006</c:v>
                </c:pt>
                <c:pt idx="164">
                  <c:v>79.790000000000006</c:v>
                </c:pt>
                <c:pt idx="165">
                  <c:v>84.12</c:v>
                </c:pt>
                <c:pt idx="166">
                  <c:v>84.35</c:v>
                </c:pt>
                <c:pt idx="167">
                  <c:v>83.24</c:v>
                </c:pt>
                <c:pt idx="168">
                  <c:v>82.68</c:v>
                </c:pt>
                <c:pt idx="169">
                  <c:v>81.73</c:v>
                </c:pt>
                <c:pt idx="170">
                  <c:v>81.7</c:v>
                </c:pt>
                <c:pt idx="171">
                  <c:v>83.22</c:v>
                </c:pt>
                <c:pt idx="172">
                  <c:v>82.11</c:v>
                </c:pt>
                <c:pt idx="173">
                  <c:v>83.77</c:v>
                </c:pt>
                <c:pt idx="174">
                  <c:v>83.76</c:v>
                </c:pt>
                <c:pt idx="175">
                  <c:v>79.400000000000006</c:v>
                </c:pt>
                <c:pt idx="176">
                  <c:v>80.849999999999994</c:v>
                </c:pt>
                <c:pt idx="177">
                  <c:v>81.5</c:v>
                </c:pt>
                <c:pt idx="178">
                  <c:v>84.07</c:v>
                </c:pt>
                <c:pt idx="179">
                  <c:v>82.51</c:v>
                </c:pt>
                <c:pt idx="180">
                  <c:v>79.58</c:v>
                </c:pt>
                <c:pt idx="181">
                  <c:v>79.290000000000006</c:v>
                </c:pt>
                <c:pt idx="182">
                  <c:v>80.430000000000007</c:v>
                </c:pt>
                <c:pt idx="183">
                  <c:v>78.95</c:v>
                </c:pt>
                <c:pt idx="184">
                  <c:v>78.95</c:v>
                </c:pt>
                <c:pt idx="185">
                  <c:v>78.53</c:v>
                </c:pt>
                <c:pt idx="186">
                  <c:v>78.099999999999994</c:v>
                </c:pt>
                <c:pt idx="187">
                  <c:v>77.34</c:v>
                </c:pt>
                <c:pt idx="188">
                  <c:v>77.08</c:v>
                </c:pt>
                <c:pt idx="189">
                  <c:v>75.52</c:v>
                </c:pt>
                <c:pt idx="190">
                  <c:v>76</c:v>
                </c:pt>
                <c:pt idx="191">
                  <c:v>77.849999999999994</c:v>
                </c:pt>
                <c:pt idx="192">
                  <c:v>76.03</c:v>
                </c:pt>
                <c:pt idx="193">
                  <c:v>76.239999999999995</c:v>
                </c:pt>
                <c:pt idx="194">
                  <c:v>76.650000000000006</c:v>
                </c:pt>
                <c:pt idx="195">
                  <c:v>77.849999999999994</c:v>
                </c:pt>
                <c:pt idx="196">
                  <c:v>76.72</c:v>
                </c:pt>
                <c:pt idx="197">
                  <c:v>76.87</c:v>
                </c:pt>
                <c:pt idx="198">
                  <c:v>77.64</c:v>
                </c:pt>
                <c:pt idx="199">
                  <c:v>77.72</c:v>
                </c:pt>
                <c:pt idx="200">
                  <c:v>76.069999999999993</c:v>
                </c:pt>
                <c:pt idx="201">
                  <c:v>75.8</c:v>
                </c:pt>
                <c:pt idx="202">
                  <c:v>79.52</c:v>
                </c:pt>
                <c:pt idx="203">
                  <c:v>82.13</c:v>
                </c:pt>
                <c:pt idx="204">
                  <c:v>80.67</c:v>
                </c:pt>
                <c:pt idx="205">
                  <c:v>82.64</c:v>
                </c:pt>
                <c:pt idx="206">
                  <c:v>87.04</c:v>
                </c:pt>
                <c:pt idx="207">
                  <c:v>90.3</c:v>
                </c:pt>
                <c:pt idx="208">
                  <c:v>89.4</c:v>
                </c:pt>
                <c:pt idx="209">
                  <c:v>88.4</c:v>
                </c:pt>
                <c:pt idx="210">
                  <c:v>88.86</c:v>
                </c:pt>
                <c:pt idx="211">
                  <c:v>87.68</c:v>
                </c:pt>
                <c:pt idx="212">
                  <c:v>88.31</c:v>
                </c:pt>
                <c:pt idx="213">
                  <c:v>89.16</c:v>
                </c:pt>
                <c:pt idx="214">
                  <c:v>86.94</c:v>
                </c:pt>
                <c:pt idx="215">
                  <c:v>87.58</c:v>
                </c:pt>
                <c:pt idx="216">
                  <c:v>87.96</c:v>
                </c:pt>
                <c:pt idx="217">
                  <c:v>89.35</c:v>
                </c:pt>
                <c:pt idx="218">
                  <c:v>86.76</c:v>
                </c:pt>
                <c:pt idx="219">
                  <c:v>86.39</c:v>
                </c:pt>
                <c:pt idx="220">
                  <c:v>86.77</c:v>
                </c:pt>
                <c:pt idx="221">
                  <c:v>84.37</c:v>
                </c:pt>
                <c:pt idx="222">
                  <c:v>83.71</c:v>
                </c:pt>
                <c:pt idx="223">
                  <c:v>84.96</c:v>
                </c:pt>
                <c:pt idx="224">
                  <c:v>86.15</c:v>
                </c:pt>
                <c:pt idx="225">
                  <c:v>87.93</c:v>
                </c:pt>
                <c:pt idx="226">
                  <c:v>86.98</c:v>
                </c:pt>
                <c:pt idx="227">
                  <c:v>85.81</c:v>
                </c:pt>
                <c:pt idx="228">
                  <c:v>86.33</c:v>
                </c:pt>
                <c:pt idx="229">
                  <c:v>86.18</c:v>
                </c:pt>
                <c:pt idx="230">
                  <c:v>86.27</c:v>
                </c:pt>
                <c:pt idx="231">
                  <c:v>86.32</c:v>
                </c:pt>
                <c:pt idx="232">
                  <c:v>85.63</c:v>
                </c:pt>
                <c:pt idx="233">
                  <c:v>84.87</c:v>
                </c:pt>
                <c:pt idx="234">
                  <c:v>87.22</c:v>
                </c:pt>
                <c:pt idx="235">
                  <c:v>87.76</c:v>
                </c:pt>
                <c:pt idx="236">
                  <c:v>85.79</c:v>
                </c:pt>
                <c:pt idx="237">
                  <c:v>83.76</c:v>
                </c:pt>
                <c:pt idx="238">
                  <c:v>86.12</c:v>
                </c:pt>
                <c:pt idx="239">
                  <c:v>85.62</c:v>
                </c:pt>
                <c:pt idx="240">
                  <c:v>87.16</c:v>
                </c:pt>
                <c:pt idx="241">
                  <c:v>85.37</c:v>
                </c:pt>
                <c:pt idx="242">
                  <c:v>84.29</c:v>
                </c:pt>
                <c:pt idx="243">
                  <c:v>86.62</c:v>
                </c:pt>
                <c:pt idx="244">
                  <c:v>82.2</c:v>
                </c:pt>
                <c:pt idx="245">
                  <c:v>83.95</c:v>
                </c:pt>
                <c:pt idx="246">
                  <c:v>83.45</c:v>
                </c:pt>
                <c:pt idx="247">
                  <c:v>83.77</c:v>
                </c:pt>
                <c:pt idx="248">
                  <c:v>80.569999999999993</c:v>
                </c:pt>
                <c:pt idx="249">
                  <c:v>82.63</c:v>
                </c:pt>
              </c:numCache>
            </c:numRef>
          </c:val>
          <c:extLst>
            <c:ext xmlns:c16="http://schemas.microsoft.com/office/drawing/2014/chart" uri="{C3380CC4-5D6E-409C-BE32-E72D297353CC}">
              <c16:uniqueId val="{00000000-E2C4-4130-9CD6-9F821D7A8C37}"/>
            </c:ext>
          </c:extLst>
        </c:ser>
        <c:dLbls>
          <c:showLegendKey val="0"/>
          <c:showVal val="0"/>
          <c:showCatName val="0"/>
          <c:showSerName val="0"/>
          <c:showPercent val="0"/>
          <c:showBubbleSize val="0"/>
        </c:dLbls>
        <c:axId val="1076253871"/>
        <c:axId val="1076274511"/>
      </c:areaChart>
      <c:catAx>
        <c:axId val="1076253871"/>
        <c:scaling>
          <c:orientation val="minMax"/>
        </c:scaling>
        <c:delete val="1"/>
        <c:axPos val="b"/>
        <c:majorTickMark val="out"/>
        <c:minorTickMark val="none"/>
        <c:tickLblPos val="nextTo"/>
        <c:crossAx val="1076274511"/>
        <c:crosses val="autoZero"/>
        <c:auto val="1"/>
        <c:lblAlgn val="ctr"/>
        <c:lblOffset val="100"/>
        <c:noMultiLvlLbl val="0"/>
      </c:catAx>
      <c:valAx>
        <c:axId val="1076274511"/>
        <c:scaling>
          <c:orientation val="minMax"/>
        </c:scaling>
        <c:delete val="0"/>
        <c:axPos val="l"/>
        <c:numFmt formatCode="_([$$-409]* #,##0.00_);_([$$-409]* \(#,##0.00\);_([$$-4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crossAx val="1076253871"/>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LMT!$B$1</c:f>
          <c:strCache>
            <c:ptCount val="1"/>
            <c:pt idx="0">
              <c:v>LOCKHEED MARTIN CORPORATION (XNYS:LMT)</c:v>
            </c:pt>
          </c:strCache>
        </c:strRef>
      </c:tx>
      <c:layout>
        <c:manualLayout>
          <c:xMode val="edge"/>
          <c:yMode val="edge"/>
          <c:x val="0.23316712421039931"/>
          <c:y val="1.537475666723699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lotArea>
      <c:layout/>
      <c:barChart>
        <c:barDir val="col"/>
        <c:grouping val="clustered"/>
        <c:varyColors val="0"/>
        <c:ser>
          <c:idx val="0"/>
          <c:order val="0"/>
          <c:tx>
            <c:strRef>
              <c:f>LMT!$B$6</c:f>
              <c:strCache>
                <c:ptCount val="1"/>
                <c:pt idx="0">
                  <c:v>Volume</c:v>
                </c:pt>
              </c:strCache>
            </c:strRef>
          </c:tx>
          <c:spPr>
            <a:solidFill>
              <a:schemeClr val="accent1"/>
            </a:solidFill>
            <a:ln w="38100">
              <a:noFill/>
            </a:ln>
            <a:effectLst/>
          </c:spPr>
          <c:invertIfNegative val="0"/>
          <c:cat>
            <c:numRef>
              <c:f>LMT!$A$7:$A$27</c:f>
              <c:numCache>
                <c:formatCode>m/d/yyyy</c:formatCode>
                <c:ptCount val="21"/>
                <c:pt idx="0">
                  <c:v>46265</c:v>
                </c:pt>
                <c:pt idx="1">
                  <c:v>46266</c:v>
                </c:pt>
                <c:pt idx="2">
                  <c:v>46267</c:v>
                </c:pt>
                <c:pt idx="3">
                  <c:v>46268</c:v>
                </c:pt>
                <c:pt idx="4">
                  <c:v>46269</c:v>
                </c:pt>
                <c:pt idx="5">
                  <c:v>46273</c:v>
                </c:pt>
                <c:pt idx="6">
                  <c:v>46274</c:v>
                </c:pt>
                <c:pt idx="7">
                  <c:v>46275</c:v>
                </c:pt>
                <c:pt idx="8">
                  <c:v>46276</c:v>
                </c:pt>
                <c:pt idx="9">
                  <c:v>46279</c:v>
                </c:pt>
                <c:pt idx="10">
                  <c:v>46280</c:v>
                </c:pt>
                <c:pt idx="11">
                  <c:v>46281</c:v>
                </c:pt>
                <c:pt idx="12">
                  <c:v>46282</c:v>
                </c:pt>
                <c:pt idx="13">
                  <c:v>46283</c:v>
                </c:pt>
                <c:pt idx="14">
                  <c:v>46286</c:v>
                </c:pt>
                <c:pt idx="15">
                  <c:v>46287</c:v>
                </c:pt>
                <c:pt idx="16">
                  <c:v>46288</c:v>
                </c:pt>
                <c:pt idx="17">
                  <c:v>46289</c:v>
                </c:pt>
                <c:pt idx="18">
                  <c:v>46290</c:v>
                </c:pt>
                <c:pt idx="19">
                  <c:v>46293</c:v>
                </c:pt>
              </c:numCache>
            </c:numRef>
          </c:cat>
          <c:val>
            <c:numRef>
              <c:f>LMT!$B$7:$B$27</c:f>
              <c:numCache>
                <c:formatCode>#,##0</c:formatCode>
                <c:ptCount val="21"/>
                <c:pt idx="0">
                  <c:v>945428</c:v>
                </c:pt>
                <c:pt idx="1">
                  <c:v>1046016</c:v>
                </c:pt>
                <c:pt idx="2">
                  <c:v>1238407</c:v>
                </c:pt>
                <c:pt idx="3">
                  <c:v>775700</c:v>
                </c:pt>
                <c:pt idx="4">
                  <c:v>946582</c:v>
                </c:pt>
                <c:pt idx="5">
                  <c:v>1692605</c:v>
                </c:pt>
                <c:pt idx="6">
                  <c:v>1548934</c:v>
                </c:pt>
                <c:pt idx="7">
                  <c:v>1071274</c:v>
                </c:pt>
                <c:pt idx="8">
                  <c:v>922596</c:v>
                </c:pt>
                <c:pt idx="9">
                  <c:v>971364</c:v>
                </c:pt>
                <c:pt idx="10">
                  <c:v>877770</c:v>
                </c:pt>
                <c:pt idx="11">
                  <c:v>912115</c:v>
                </c:pt>
                <c:pt idx="12">
                  <c:v>1344476</c:v>
                </c:pt>
                <c:pt idx="13">
                  <c:v>2860825</c:v>
                </c:pt>
                <c:pt idx="14">
                  <c:v>967050</c:v>
                </c:pt>
                <c:pt idx="15">
                  <c:v>1427486</c:v>
                </c:pt>
                <c:pt idx="16">
                  <c:v>1134593</c:v>
                </c:pt>
                <c:pt idx="17">
                  <c:v>833627</c:v>
                </c:pt>
                <c:pt idx="18">
                  <c:v>1127654</c:v>
                </c:pt>
                <c:pt idx="19">
                  <c:v>1076504</c:v>
                </c:pt>
              </c:numCache>
            </c:numRef>
          </c:val>
          <c:extLst>
            <c:ext xmlns:c16="http://schemas.microsoft.com/office/drawing/2014/chart" uri="{C3380CC4-5D6E-409C-BE32-E72D297353CC}">
              <c16:uniqueId val="{00000000-F5C4-4777-A840-DD6FA593730E}"/>
            </c:ext>
          </c:extLst>
        </c:ser>
        <c:dLbls>
          <c:showLegendKey val="0"/>
          <c:showVal val="0"/>
          <c:showCatName val="0"/>
          <c:showSerName val="0"/>
          <c:showPercent val="0"/>
          <c:showBubbleSize val="0"/>
        </c:dLbls>
        <c:gapWidth val="150"/>
        <c:axId val="1641718448"/>
        <c:axId val="1641718928"/>
      </c:barChart>
      <c:stockChart>
        <c:ser>
          <c:idx val="1"/>
          <c:order val="1"/>
          <c:tx>
            <c:strRef>
              <c:f>LMT!$C$6</c:f>
              <c:strCache>
                <c:ptCount val="1"/>
                <c:pt idx="0">
                  <c:v>Open</c:v>
                </c:pt>
              </c:strCache>
            </c:strRef>
          </c:tx>
          <c:spPr>
            <a:ln w="38100" cap="rnd">
              <a:noFill/>
              <a:round/>
            </a:ln>
            <a:effectLst/>
          </c:spPr>
          <c:marker>
            <c:symbol val="none"/>
          </c:marker>
          <c:cat>
            <c:numRef>
              <c:f>LMT!$A$7:$A$27</c:f>
              <c:numCache>
                <c:formatCode>m/d/yyyy</c:formatCode>
                <c:ptCount val="21"/>
                <c:pt idx="0">
                  <c:v>46265</c:v>
                </c:pt>
                <c:pt idx="1">
                  <c:v>46266</c:v>
                </c:pt>
                <c:pt idx="2">
                  <c:v>46267</c:v>
                </c:pt>
                <c:pt idx="3">
                  <c:v>46268</c:v>
                </c:pt>
                <c:pt idx="4">
                  <c:v>46269</c:v>
                </c:pt>
                <c:pt idx="5">
                  <c:v>46273</c:v>
                </c:pt>
                <c:pt idx="6">
                  <c:v>46274</c:v>
                </c:pt>
                <c:pt idx="7">
                  <c:v>46275</c:v>
                </c:pt>
                <c:pt idx="8">
                  <c:v>46276</c:v>
                </c:pt>
                <c:pt idx="9">
                  <c:v>46279</c:v>
                </c:pt>
                <c:pt idx="10">
                  <c:v>46280</c:v>
                </c:pt>
                <c:pt idx="11">
                  <c:v>46281</c:v>
                </c:pt>
                <c:pt idx="12">
                  <c:v>46282</c:v>
                </c:pt>
                <c:pt idx="13">
                  <c:v>46283</c:v>
                </c:pt>
                <c:pt idx="14">
                  <c:v>46286</c:v>
                </c:pt>
                <c:pt idx="15">
                  <c:v>46287</c:v>
                </c:pt>
                <c:pt idx="16">
                  <c:v>46288</c:v>
                </c:pt>
                <c:pt idx="17">
                  <c:v>46289</c:v>
                </c:pt>
                <c:pt idx="18">
                  <c:v>46290</c:v>
                </c:pt>
                <c:pt idx="19">
                  <c:v>46293</c:v>
                </c:pt>
              </c:numCache>
            </c:numRef>
          </c:cat>
          <c:val>
            <c:numRef>
              <c:f>LMT!$C$7:$C$27</c:f>
              <c:numCache>
                <c:formatCode>_([$$-409]* #,##0.00_);_([$$-409]* \(#,##0.00\);_([$$-409]* "-"??_);_(@_)</c:formatCode>
                <c:ptCount val="21"/>
                <c:pt idx="0">
                  <c:v>563.73</c:v>
                </c:pt>
                <c:pt idx="1">
                  <c:v>557.51</c:v>
                </c:pt>
                <c:pt idx="2">
                  <c:v>545.65</c:v>
                </c:pt>
                <c:pt idx="3">
                  <c:v>536</c:v>
                </c:pt>
                <c:pt idx="4">
                  <c:v>529.79</c:v>
                </c:pt>
                <c:pt idx="5">
                  <c:v>532</c:v>
                </c:pt>
                <c:pt idx="6">
                  <c:v>538.91</c:v>
                </c:pt>
                <c:pt idx="7">
                  <c:v>526.01</c:v>
                </c:pt>
                <c:pt idx="8">
                  <c:v>532.24</c:v>
                </c:pt>
                <c:pt idx="9">
                  <c:v>526.6</c:v>
                </c:pt>
                <c:pt idx="10">
                  <c:v>532.13</c:v>
                </c:pt>
                <c:pt idx="11">
                  <c:v>534.79999999999995</c:v>
                </c:pt>
                <c:pt idx="12">
                  <c:v>539.17999999999995</c:v>
                </c:pt>
                <c:pt idx="13">
                  <c:v>536.98</c:v>
                </c:pt>
                <c:pt idx="14">
                  <c:v>532.29499999999996</c:v>
                </c:pt>
                <c:pt idx="15">
                  <c:v>536.87</c:v>
                </c:pt>
                <c:pt idx="16">
                  <c:v>524.57000000000005</c:v>
                </c:pt>
                <c:pt idx="17">
                  <c:v>523.76</c:v>
                </c:pt>
                <c:pt idx="18">
                  <c:v>524.12</c:v>
                </c:pt>
                <c:pt idx="19">
                  <c:v>519</c:v>
                </c:pt>
              </c:numCache>
            </c:numRef>
          </c:val>
          <c:smooth val="0"/>
          <c:extLst>
            <c:ext xmlns:c16="http://schemas.microsoft.com/office/drawing/2014/chart" uri="{C3380CC4-5D6E-409C-BE32-E72D297353CC}">
              <c16:uniqueId val="{00000001-F5C4-4777-A840-DD6FA593730E}"/>
            </c:ext>
          </c:extLst>
        </c:ser>
        <c:ser>
          <c:idx val="2"/>
          <c:order val="2"/>
          <c:tx>
            <c:strRef>
              <c:f>LMT!$D$6</c:f>
              <c:strCache>
                <c:ptCount val="1"/>
                <c:pt idx="0">
                  <c:v>High</c:v>
                </c:pt>
              </c:strCache>
            </c:strRef>
          </c:tx>
          <c:spPr>
            <a:ln w="38100" cap="rnd">
              <a:noFill/>
              <a:round/>
            </a:ln>
            <a:effectLst/>
          </c:spPr>
          <c:marker>
            <c:symbol val="none"/>
          </c:marker>
          <c:cat>
            <c:numRef>
              <c:f>LMT!$A$7:$A$27</c:f>
              <c:numCache>
                <c:formatCode>m/d/yyyy</c:formatCode>
                <c:ptCount val="21"/>
                <c:pt idx="0">
                  <c:v>46265</c:v>
                </c:pt>
                <c:pt idx="1">
                  <c:v>46266</c:v>
                </c:pt>
                <c:pt idx="2">
                  <c:v>46267</c:v>
                </c:pt>
                <c:pt idx="3">
                  <c:v>46268</c:v>
                </c:pt>
                <c:pt idx="4">
                  <c:v>46269</c:v>
                </c:pt>
                <c:pt idx="5">
                  <c:v>46273</c:v>
                </c:pt>
                <c:pt idx="6">
                  <c:v>46274</c:v>
                </c:pt>
                <c:pt idx="7">
                  <c:v>46275</c:v>
                </c:pt>
                <c:pt idx="8">
                  <c:v>46276</c:v>
                </c:pt>
                <c:pt idx="9">
                  <c:v>46279</c:v>
                </c:pt>
                <c:pt idx="10">
                  <c:v>46280</c:v>
                </c:pt>
                <c:pt idx="11">
                  <c:v>46281</c:v>
                </c:pt>
                <c:pt idx="12">
                  <c:v>46282</c:v>
                </c:pt>
                <c:pt idx="13">
                  <c:v>46283</c:v>
                </c:pt>
                <c:pt idx="14">
                  <c:v>46286</c:v>
                </c:pt>
                <c:pt idx="15">
                  <c:v>46287</c:v>
                </c:pt>
                <c:pt idx="16">
                  <c:v>46288</c:v>
                </c:pt>
                <c:pt idx="17">
                  <c:v>46289</c:v>
                </c:pt>
                <c:pt idx="18">
                  <c:v>46290</c:v>
                </c:pt>
                <c:pt idx="19">
                  <c:v>46293</c:v>
                </c:pt>
              </c:numCache>
            </c:numRef>
          </c:cat>
          <c:val>
            <c:numRef>
              <c:f>LMT!$D$7:$D$27</c:f>
              <c:numCache>
                <c:formatCode>_([$$-409]* #,##0.00_);_([$$-409]* \(#,##0.00\);_([$$-409]* "-"??_);_(@_)</c:formatCode>
                <c:ptCount val="21"/>
                <c:pt idx="0">
                  <c:v>563.73</c:v>
                </c:pt>
                <c:pt idx="1">
                  <c:v>564.98</c:v>
                </c:pt>
                <c:pt idx="2">
                  <c:v>548</c:v>
                </c:pt>
                <c:pt idx="3">
                  <c:v>537.91999999999996</c:v>
                </c:pt>
                <c:pt idx="4">
                  <c:v>533.72</c:v>
                </c:pt>
                <c:pt idx="5">
                  <c:v>541.59</c:v>
                </c:pt>
                <c:pt idx="6">
                  <c:v>543.59</c:v>
                </c:pt>
                <c:pt idx="7">
                  <c:v>531</c:v>
                </c:pt>
                <c:pt idx="8">
                  <c:v>533.99</c:v>
                </c:pt>
                <c:pt idx="9">
                  <c:v>532.34</c:v>
                </c:pt>
                <c:pt idx="10">
                  <c:v>537.19000000000005</c:v>
                </c:pt>
                <c:pt idx="11">
                  <c:v>539.98990000000003</c:v>
                </c:pt>
                <c:pt idx="12">
                  <c:v>542.61369999999999</c:v>
                </c:pt>
                <c:pt idx="13">
                  <c:v>538.1</c:v>
                </c:pt>
                <c:pt idx="14">
                  <c:v>537.82000000000005</c:v>
                </c:pt>
                <c:pt idx="15">
                  <c:v>537</c:v>
                </c:pt>
                <c:pt idx="16">
                  <c:v>534.92999999999995</c:v>
                </c:pt>
                <c:pt idx="17">
                  <c:v>531</c:v>
                </c:pt>
                <c:pt idx="18">
                  <c:v>528</c:v>
                </c:pt>
                <c:pt idx="19">
                  <c:v>524.27</c:v>
                </c:pt>
              </c:numCache>
            </c:numRef>
          </c:val>
          <c:smooth val="0"/>
          <c:extLst>
            <c:ext xmlns:c16="http://schemas.microsoft.com/office/drawing/2014/chart" uri="{C3380CC4-5D6E-409C-BE32-E72D297353CC}">
              <c16:uniqueId val="{00000002-F5C4-4777-A840-DD6FA593730E}"/>
            </c:ext>
          </c:extLst>
        </c:ser>
        <c:ser>
          <c:idx val="3"/>
          <c:order val="3"/>
          <c:tx>
            <c:strRef>
              <c:f>LMT!$E$6</c:f>
              <c:strCache>
                <c:ptCount val="1"/>
                <c:pt idx="0">
                  <c:v>Low</c:v>
                </c:pt>
              </c:strCache>
            </c:strRef>
          </c:tx>
          <c:spPr>
            <a:ln w="38100" cap="rnd">
              <a:noFill/>
              <a:round/>
            </a:ln>
            <a:effectLst/>
          </c:spPr>
          <c:marker>
            <c:symbol val="none"/>
          </c:marker>
          <c:cat>
            <c:numRef>
              <c:f>LMT!$A$7:$A$27</c:f>
              <c:numCache>
                <c:formatCode>m/d/yyyy</c:formatCode>
                <c:ptCount val="21"/>
                <c:pt idx="0">
                  <c:v>46265</c:v>
                </c:pt>
                <c:pt idx="1">
                  <c:v>46266</c:v>
                </c:pt>
                <c:pt idx="2">
                  <c:v>46267</c:v>
                </c:pt>
                <c:pt idx="3">
                  <c:v>46268</c:v>
                </c:pt>
                <c:pt idx="4">
                  <c:v>46269</c:v>
                </c:pt>
                <c:pt idx="5">
                  <c:v>46273</c:v>
                </c:pt>
                <c:pt idx="6">
                  <c:v>46274</c:v>
                </c:pt>
                <c:pt idx="7">
                  <c:v>46275</c:v>
                </c:pt>
                <c:pt idx="8">
                  <c:v>46276</c:v>
                </c:pt>
                <c:pt idx="9">
                  <c:v>46279</c:v>
                </c:pt>
                <c:pt idx="10">
                  <c:v>46280</c:v>
                </c:pt>
                <c:pt idx="11">
                  <c:v>46281</c:v>
                </c:pt>
                <c:pt idx="12">
                  <c:v>46282</c:v>
                </c:pt>
                <c:pt idx="13">
                  <c:v>46283</c:v>
                </c:pt>
                <c:pt idx="14">
                  <c:v>46286</c:v>
                </c:pt>
                <c:pt idx="15">
                  <c:v>46287</c:v>
                </c:pt>
                <c:pt idx="16">
                  <c:v>46288</c:v>
                </c:pt>
                <c:pt idx="17">
                  <c:v>46289</c:v>
                </c:pt>
                <c:pt idx="18">
                  <c:v>46290</c:v>
                </c:pt>
                <c:pt idx="19">
                  <c:v>46293</c:v>
                </c:pt>
              </c:numCache>
            </c:numRef>
          </c:cat>
          <c:val>
            <c:numRef>
              <c:f>LMT!$E$7:$E$27</c:f>
              <c:numCache>
                <c:formatCode>_([$$-409]* #,##0.00_);_([$$-409]* \(#,##0.00\);_([$$-409]* "-"??_);_(@_)</c:formatCode>
                <c:ptCount val="21"/>
                <c:pt idx="0">
                  <c:v>558.4</c:v>
                </c:pt>
                <c:pt idx="1">
                  <c:v>541.54999999999995</c:v>
                </c:pt>
                <c:pt idx="2">
                  <c:v>530.15</c:v>
                </c:pt>
                <c:pt idx="3">
                  <c:v>527.28</c:v>
                </c:pt>
                <c:pt idx="4">
                  <c:v>524.03</c:v>
                </c:pt>
                <c:pt idx="5">
                  <c:v>531.37</c:v>
                </c:pt>
                <c:pt idx="6">
                  <c:v>524.37</c:v>
                </c:pt>
                <c:pt idx="7">
                  <c:v>524.09400000000005</c:v>
                </c:pt>
                <c:pt idx="8">
                  <c:v>521.87</c:v>
                </c:pt>
                <c:pt idx="9">
                  <c:v>525.42499999999995</c:v>
                </c:pt>
                <c:pt idx="10">
                  <c:v>525.88</c:v>
                </c:pt>
                <c:pt idx="11">
                  <c:v>531.01</c:v>
                </c:pt>
                <c:pt idx="12">
                  <c:v>520.41999999999996</c:v>
                </c:pt>
                <c:pt idx="13">
                  <c:v>527.1001</c:v>
                </c:pt>
                <c:pt idx="14">
                  <c:v>530.01</c:v>
                </c:pt>
                <c:pt idx="15">
                  <c:v>515.59799999999996</c:v>
                </c:pt>
                <c:pt idx="16">
                  <c:v>523.21</c:v>
                </c:pt>
                <c:pt idx="17">
                  <c:v>523.32000000000005</c:v>
                </c:pt>
                <c:pt idx="18">
                  <c:v>516.49</c:v>
                </c:pt>
                <c:pt idx="19">
                  <c:v>516.1</c:v>
                </c:pt>
              </c:numCache>
            </c:numRef>
          </c:val>
          <c:smooth val="0"/>
          <c:extLst>
            <c:ext xmlns:c16="http://schemas.microsoft.com/office/drawing/2014/chart" uri="{C3380CC4-5D6E-409C-BE32-E72D297353CC}">
              <c16:uniqueId val="{00000003-F5C4-4777-A840-DD6FA593730E}"/>
            </c:ext>
          </c:extLst>
        </c:ser>
        <c:ser>
          <c:idx val="4"/>
          <c:order val="4"/>
          <c:tx>
            <c:strRef>
              <c:f>LMT!$F$6</c:f>
              <c:strCache>
                <c:ptCount val="1"/>
                <c:pt idx="0">
                  <c:v>Close</c:v>
                </c:pt>
              </c:strCache>
            </c:strRef>
          </c:tx>
          <c:spPr>
            <a:ln w="38100" cap="rnd">
              <a:noFill/>
              <a:round/>
            </a:ln>
            <a:effectLst/>
          </c:spPr>
          <c:marker>
            <c:symbol val="none"/>
          </c:marker>
          <c:cat>
            <c:numRef>
              <c:f>LMT!$A$7:$A$27</c:f>
              <c:numCache>
                <c:formatCode>m/d/yyyy</c:formatCode>
                <c:ptCount val="21"/>
                <c:pt idx="0">
                  <c:v>46265</c:v>
                </c:pt>
                <c:pt idx="1">
                  <c:v>46266</c:v>
                </c:pt>
                <c:pt idx="2">
                  <c:v>46267</c:v>
                </c:pt>
                <c:pt idx="3">
                  <c:v>46268</c:v>
                </c:pt>
                <c:pt idx="4">
                  <c:v>46269</c:v>
                </c:pt>
                <c:pt idx="5">
                  <c:v>46273</c:v>
                </c:pt>
                <c:pt idx="6">
                  <c:v>46274</c:v>
                </c:pt>
                <c:pt idx="7">
                  <c:v>46275</c:v>
                </c:pt>
                <c:pt idx="8">
                  <c:v>46276</c:v>
                </c:pt>
                <c:pt idx="9">
                  <c:v>46279</c:v>
                </c:pt>
                <c:pt idx="10">
                  <c:v>46280</c:v>
                </c:pt>
                <c:pt idx="11">
                  <c:v>46281</c:v>
                </c:pt>
                <c:pt idx="12">
                  <c:v>46282</c:v>
                </c:pt>
                <c:pt idx="13">
                  <c:v>46283</c:v>
                </c:pt>
                <c:pt idx="14">
                  <c:v>46286</c:v>
                </c:pt>
                <c:pt idx="15">
                  <c:v>46287</c:v>
                </c:pt>
                <c:pt idx="16">
                  <c:v>46288</c:v>
                </c:pt>
                <c:pt idx="17">
                  <c:v>46289</c:v>
                </c:pt>
                <c:pt idx="18">
                  <c:v>46290</c:v>
                </c:pt>
                <c:pt idx="19">
                  <c:v>46293</c:v>
                </c:pt>
              </c:numCache>
            </c:numRef>
          </c:cat>
          <c:val>
            <c:numRef>
              <c:f>LMT!$F$7:$F$27</c:f>
              <c:numCache>
                <c:formatCode>_([$$-409]* #,##0.00_);_([$$-409]* \(#,##0.00\);_([$$-409]* "-"??_);_(@_)</c:formatCode>
                <c:ptCount val="21"/>
                <c:pt idx="0">
                  <c:v>561.23</c:v>
                </c:pt>
                <c:pt idx="1">
                  <c:v>544.5</c:v>
                </c:pt>
                <c:pt idx="2">
                  <c:v>531.54999999999995</c:v>
                </c:pt>
                <c:pt idx="3">
                  <c:v>532.95000000000005</c:v>
                </c:pt>
                <c:pt idx="4">
                  <c:v>525.28</c:v>
                </c:pt>
                <c:pt idx="5">
                  <c:v>536.15</c:v>
                </c:pt>
                <c:pt idx="6">
                  <c:v>524.46</c:v>
                </c:pt>
                <c:pt idx="7">
                  <c:v>530.12</c:v>
                </c:pt>
                <c:pt idx="8">
                  <c:v>524.19000000000005</c:v>
                </c:pt>
                <c:pt idx="9">
                  <c:v>529.38</c:v>
                </c:pt>
                <c:pt idx="10">
                  <c:v>533.46</c:v>
                </c:pt>
                <c:pt idx="11">
                  <c:v>537.25</c:v>
                </c:pt>
                <c:pt idx="12">
                  <c:v>538.09</c:v>
                </c:pt>
                <c:pt idx="13">
                  <c:v>533.38</c:v>
                </c:pt>
                <c:pt idx="14">
                  <c:v>535.4</c:v>
                </c:pt>
                <c:pt idx="15">
                  <c:v>522.34</c:v>
                </c:pt>
                <c:pt idx="16">
                  <c:v>524.67999999999995</c:v>
                </c:pt>
                <c:pt idx="17">
                  <c:v>523.70000000000005</c:v>
                </c:pt>
                <c:pt idx="18">
                  <c:v>519.55999999999995</c:v>
                </c:pt>
                <c:pt idx="19">
                  <c:v>518.1</c:v>
                </c:pt>
              </c:numCache>
            </c:numRef>
          </c:val>
          <c:smooth val="0"/>
          <c:extLst>
            <c:ext xmlns:c16="http://schemas.microsoft.com/office/drawing/2014/chart" uri="{C3380CC4-5D6E-409C-BE32-E72D297353CC}">
              <c16:uniqueId val="{00000004-F5C4-4777-A840-DD6FA593730E}"/>
            </c:ext>
          </c:extLst>
        </c:ser>
        <c:dLbls>
          <c:showLegendKey val="0"/>
          <c:showVal val="0"/>
          <c:showCatName val="0"/>
          <c:showSerName val="0"/>
          <c:showPercent val="0"/>
          <c:showBubbleSize val="0"/>
        </c:dLbls>
        <c:hiLowLines>
          <c:spPr>
            <a:ln w="9525" cap="flat" cmpd="sng" algn="ctr">
              <a:solidFill>
                <a:schemeClr val="tx1">
                  <a:lumMod val="75000"/>
                  <a:lumOff val="25000"/>
                </a:schemeClr>
              </a:solidFill>
              <a:round/>
            </a:ln>
            <a:effectLst/>
          </c:spPr>
        </c:hiLowLines>
        <c:upDownBars>
          <c:gapWidth val="150"/>
          <c:upBars>
            <c:spPr>
              <a:solidFill>
                <a:schemeClr val="lt1"/>
              </a:solidFill>
              <a:ln w="9525" cap="flat" cmpd="sng" algn="ctr">
                <a:solidFill>
                  <a:schemeClr val="tx1">
                    <a:lumMod val="65000"/>
                    <a:lumOff val="35000"/>
                  </a:schemeClr>
                </a:solidFill>
                <a:round/>
              </a:ln>
              <a:effectLst/>
            </c:spPr>
          </c:upBars>
          <c:downBars>
            <c:spPr>
              <a:solidFill>
                <a:schemeClr val="dk1">
                  <a:lumMod val="75000"/>
                  <a:lumOff val="25000"/>
                </a:schemeClr>
              </a:solidFill>
              <a:ln w="9525" cap="flat" cmpd="sng" algn="ctr">
                <a:solidFill>
                  <a:schemeClr val="tx1">
                    <a:lumMod val="65000"/>
                    <a:lumOff val="35000"/>
                  </a:schemeClr>
                </a:solidFill>
                <a:round/>
              </a:ln>
              <a:effectLst/>
            </c:spPr>
          </c:downBars>
        </c:upDownBars>
        <c:axId val="1641844592"/>
        <c:axId val="1948494816"/>
      </c:stockChart>
      <c:dateAx>
        <c:axId val="1641718448"/>
        <c:scaling>
          <c:orientation val="minMax"/>
        </c:scaling>
        <c:delete val="0"/>
        <c:axPos val="b"/>
        <c:numFmt formatCode="d\-mmm"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crossAx val="1641718928"/>
        <c:crosses val="autoZero"/>
        <c:auto val="1"/>
        <c:lblOffset val="100"/>
        <c:baseTimeUnit val="days"/>
      </c:dateAx>
      <c:valAx>
        <c:axId val="1641718928"/>
        <c:scaling>
          <c:orientation val="minMax"/>
        </c:scaling>
        <c:delete val="0"/>
        <c:axPos val="l"/>
        <c:majorGridlines>
          <c:spPr>
            <a:ln w="9525" cap="flat" cmpd="sng" algn="ctr">
              <a:solidFill>
                <a:schemeClr val="tx1">
                  <a:lumMod val="15000"/>
                  <a:lumOff val="85000"/>
                </a:schemeClr>
              </a:solidFill>
              <a:round/>
            </a:ln>
            <a:effectLst/>
          </c:spPr>
        </c:majorGridlines>
        <c:numFmt formatCode="#,##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crossAx val="1641718448"/>
        <c:crosses val="autoZero"/>
        <c:crossBetween val="between"/>
      </c:valAx>
      <c:valAx>
        <c:axId val="1948494816"/>
        <c:scaling>
          <c:orientation val="minMax"/>
        </c:scaling>
        <c:delete val="0"/>
        <c:axPos val="r"/>
        <c:majorGridlines>
          <c:spPr>
            <a:ln w="9525" cap="flat" cmpd="sng" algn="ctr">
              <a:solidFill>
                <a:schemeClr val="tx1">
                  <a:lumMod val="15000"/>
                  <a:lumOff val="85000"/>
                </a:schemeClr>
              </a:solidFill>
              <a:round/>
            </a:ln>
            <a:effectLst/>
          </c:spPr>
        </c:majorGridlines>
        <c:numFmt formatCode="_([$$-409]* #,##0.00_);_([$$-409]* \(#,##0.00\);_([$$-4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crossAx val="1641844592"/>
        <c:crosses val="max"/>
        <c:crossBetween val="between"/>
      </c:valAx>
      <c:dateAx>
        <c:axId val="1641844592"/>
        <c:scaling>
          <c:orientation val="minMax"/>
        </c:scaling>
        <c:delete val="1"/>
        <c:axPos val="b"/>
        <c:numFmt formatCode="m/d/yyyy" sourceLinked="1"/>
        <c:majorTickMark val="out"/>
        <c:minorTickMark val="none"/>
        <c:tickLblPos val="nextTo"/>
        <c:crossAx val="1948494816"/>
        <c:crosses val="autoZero"/>
        <c:auto val="1"/>
        <c:lblOffset val="100"/>
        <c:baseTimeUnit val="days"/>
      </c:date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Close Last 12 Months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lotArea>
      <c:layout>
        <c:manualLayout>
          <c:layoutTarget val="inner"/>
          <c:xMode val="edge"/>
          <c:yMode val="edge"/>
          <c:x val="0.1035513225517469"/>
          <c:y val="0.12968531468531469"/>
          <c:w val="0.88247662156002959"/>
          <c:h val="0.83185314685314682"/>
        </c:manualLayout>
      </c:layout>
      <c:areaChart>
        <c:grouping val="standard"/>
        <c:varyColors val="0"/>
        <c:ser>
          <c:idx val="0"/>
          <c:order val="0"/>
          <c:spPr>
            <a:gradFill>
              <a:gsLst>
                <a:gs pos="96000">
                  <a:schemeClr val="accent1">
                    <a:lumMod val="5000"/>
                    <a:lumOff val="95000"/>
                  </a:schemeClr>
                </a:gs>
                <a:gs pos="43000">
                  <a:srgbClr val="417A85"/>
                </a:gs>
                <a:gs pos="76000">
                  <a:srgbClr val="417A85"/>
                </a:gs>
              </a:gsLst>
              <a:lin ang="5400000" scaled="1"/>
            </a:gradFill>
            <a:ln>
              <a:noFill/>
            </a:ln>
            <a:effectLst/>
          </c:spPr>
          <c:val>
            <c:numRef>
              <c:f>AMD!$C$4:$IR$4</c:f>
              <c:numCache>
                <c:formatCode>_([$$-409]* #,##0.00_);_([$$-409]* \(#,##0.00\);_([$$-409]* "-"??_);_(@_)</c:formatCode>
                <c:ptCount val="250"/>
                <c:pt idx="0">
                  <c:v>161.36000000000001</c:v>
                </c:pt>
                <c:pt idx="1">
                  <c:v>161.79</c:v>
                </c:pt>
                <c:pt idx="2">
                  <c:v>164.01</c:v>
                </c:pt>
                <c:pt idx="3">
                  <c:v>169.73</c:v>
                </c:pt>
                <c:pt idx="4">
                  <c:v>164.67</c:v>
                </c:pt>
                <c:pt idx="5">
                  <c:v>203.71</c:v>
                </c:pt>
                <c:pt idx="6">
                  <c:v>211.51</c:v>
                </c:pt>
                <c:pt idx="7">
                  <c:v>235.56</c:v>
                </c:pt>
                <c:pt idx="8">
                  <c:v>232.89</c:v>
                </c:pt>
                <c:pt idx="9">
                  <c:v>214.9</c:v>
                </c:pt>
                <c:pt idx="10">
                  <c:v>216.42</c:v>
                </c:pt>
                <c:pt idx="11">
                  <c:v>218.09</c:v>
                </c:pt>
                <c:pt idx="12">
                  <c:v>238.6</c:v>
                </c:pt>
                <c:pt idx="13">
                  <c:v>234.56</c:v>
                </c:pt>
                <c:pt idx="14">
                  <c:v>233.08</c:v>
                </c:pt>
                <c:pt idx="15">
                  <c:v>240.56</c:v>
                </c:pt>
                <c:pt idx="16">
                  <c:v>238.03</c:v>
                </c:pt>
                <c:pt idx="17">
                  <c:v>230.23</c:v>
                </c:pt>
                <c:pt idx="18">
                  <c:v>234.99</c:v>
                </c:pt>
                <c:pt idx="19">
                  <c:v>252.92</c:v>
                </c:pt>
                <c:pt idx="20">
                  <c:v>259.67</c:v>
                </c:pt>
                <c:pt idx="21">
                  <c:v>258.01</c:v>
                </c:pt>
                <c:pt idx="22">
                  <c:v>264.33</c:v>
                </c:pt>
                <c:pt idx="23">
                  <c:v>254.84</c:v>
                </c:pt>
                <c:pt idx="24">
                  <c:v>256.12</c:v>
                </c:pt>
                <c:pt idx="25">
                  <c:v>259.64999999999998</c:v>
                </c:pt>
                <c:pt idx="26">
                  <c:v>250.05</c:v>
                </c:pt>
                <c:pt idx="27">
                  <c:v>256.33</c:v>
                </c:pt>
                <c:pt idx="28">
                  <c:v>237.7</c:v>
                </c:pt>
                <c:pt idx="29">
                  <c:v>233.54</c:v>
                </c:pt>
                <c:pt idx="30">
                  <c:v>243.98</c:v>
                </c:pt>
                <c:pt idx="31">
                  <c:v>237.52</c:v>
                </c:pt>
                <c:pt idx="32">
                  <c:v>258.89</c:v>
                </c:pt>
                <c:pt idx="33">
                  <c:v>247.96</c:v>
                </c:pt>
                <c:pt idx="34">
                  <c:v>246.81</c:v>
                </c:pt>
                <c:pt idx="35">
                  <c:v>240.52</c:v>
                </c:pt>
                <c:pt idx="36">
                  <c:v>230.29</c:v>
                </c:pt>
                <c:pt idx="37">
                  <c:v>223.55</c:v>
                </c:pt>
                <c:pt idx="38">
                  <c:v>206.02</c:v>
                </c:pt>
                <c:pt idx="39">
                  <c:v>203.78</c:v>
                </c:pt>
                <c:pt idx="40">
                  <c:v>215.05</c:v>
                </c:pt>
                <c:pt idx="41">
                  <c:v>206.13</c:v>
                </c:pt>
                <c:pt idx="42">
                  <c:v>214.24</c:v>
                </c:pt>
                <c:pt idx="43">
                  <c:v>217.53</c:v>
                </c:pt>
                <c:pt idx="44">
                  <c:v>219.76</c:v>
                </c:pt>
                <c:pt idx="45">
                  <c:v>215.24</c:v>
                </c:pt>
                <c:pt idx="46">
                  <c:v>217.6</c:v>
                </c:pt>
                <c:pt idx="47">
                  <c:v>215.98</c:v>
                </c:pt>
                <c:pt idx="48">
                  <c:v>217.97</c:v>
                </c:pt>
                <c:pt idx="49">
                  <c:v>221.11</c:v>
                </c:pt>
                <c:pt idx="50">
                  <c:v>221.62</c:v>
                </c:pt>
                <c:pt idx="51">
                  <c:v>221.42</c:v>
                </c:pt>
                <c:pt idx="52">
                  <c:v>221.43</c:v>
                </c:pt>
                <c:pt idx="53">
                  <c:v>210.78</c:v>
                </c:pt>
                <c:pt idx="54">
                  <c:v>207.58</c:v>
                </c:pt>
                <c:pt idx="55">
                  <c:v>209.17</c:v>
                </c:pt>
                <c:pt idx="56">
                  <c:v>198.11</c:v>
                </c:pt>
                <c:pt idx="57">
                  <c:v>201.06</c:v>
                </c:pt>
                <c:pt idx="58">
                  <c:v>213.43</c:v>
                </c:pt>
                <c:pt idx="59">
                  <c:v>214.95</c:v>
                </c:pt>
                <c:pt idx="60">
                  <c:v>214.9</c:v>
                </c:pt>
                <c:pt idx="61">
                  <c:v>215.04</c:v>
                </c:pt>
                <c:pt idx="62">
                  <c:v>214.99</c:v>
                </c:pt>
                <c:pt idx="63">
                  <c:v>215.61</c:v>
                </c:pt>
                <c:pt idx="64">
                  <c:v>215.34</c:v>
                </c:pt>
                <c:pt idx="65">
                  <c:v>214.16</c:v>
                </c:pt>
                <c:pt idx="66">
                  <c:v>223.47</c:v>
                </c:pt>
                <c:pt idx="67">
                  <c:v>221.08</c:v>
                </c:pt>
                <c:pt idx="68">
                  <c:v>214.35</c:v>
                </c:pt>
                <c:pt idx="69">
                  <c:v>210.02</c:v>
                </c:pt>
                <c:pt idx="70">
                  <c:v>204.68</c:v>
                </c:pt>
                <c:pt idx="71">
                  <c:v>203.17</c:v>
                </c:pt>
                <c:pt idx="72">
                  <c:v>207.69</c:v>
                </c:pt>
                <c:pt idx="73">
                  <c:v>220.97</c:v>
                </c:pt>
                <c:pt idx="74">
                  <c:v>223.6</c:v>
                </c:pt>
                <c:pt idx="75">
                  <c:v>227.92</c:v>
                </c:pt>
                <c:pt idx="76">
                  <c:v>231.83</c:v>
                </c:pt>
                <c:pt idx="77">
                  <c:v>231.92</c:v>
                </c:pt>
                <c:pt idx="78">
                  <c:v>249.8</c:v>
                </c:pt>
                <c:pt idx="79">
                  <c:v>253.73</c:v>
                </c:pt>
                <c:pt idx="80">
                  <c:v>259.68</c:v>
                </c:pt>
                <c:pt idx="81">
                  <c:v>251.31</c:v>
                </c:pt>
                <c:pt idx="82">
                  <c:v>252.03</c:v>
                </c:pt>
                <c:pt idx="83">
                  <c:v>252.74</c:v>
                </c:pt>
                <c:pt idx="84">
                  <c:v>252.18</c:v>
                </c:pt>
                <c:pt idx="85">
                  <c:v>236.73</c:v>
                </c:pt>
                <c:pt idx="86">
                  <c:v>246.27</c:v>
                </c:pt>
                <c:pt idx="87">
                  <c:v>242.11</c:v>
                </c:pt>
                <c:pt idx="88">
                  <c:v>200.19</c:v>
                </c:pt>
                <c:pt idx="89">
                  <c:v>192.5</c:v>
                </c:pt>
                <c:pt idx="90">
                  <c:v>208.44</c:v>
                </c:pt>
                <c:pt idx="91">
                  <c:v>216</c:v>
                </c:pt>
                <c:pt idx="92">
                  <c:v>213.57</c:v>
                </c:pt>
                <c:pt idx="93">
                  <c:v>213.58</c:v>
                </c:pt>
                <c:pt idx="94">
                  <c:v>205.94</c:v>
                </c:pt>
                <c:pt idx="95">
                  <c:v>207.32</c:v>
                </c:pt>
                <c:pt idx="96">
                  <c:v>203.08</c:v>
                </c:pt>
                <c:pt idx="97">
                  <c:v>200.12</c:v>
                </c:pt>
                <c:pt idx="98">
                  <c:v>203.37</c:v>
                </c:pt>
                <c:pt idx="99">
                  <c:v>200.15</c:v>
                </c:pt>
                <c:pt idx="100">
                  <c:v>196.6</c:v>
                </c:pt>
                <c:pt idx="101">
                  <c:v>213.84</c:v>
                </c:pt>
                <c:pt idx="102">
                  <c:v>210.86</c:v>
                </c:pt>
                <c:pt idx="103">
                  <c:v>203.68</c:v>
                </c:pt>
                <c:pt idx="104">
                  <c:v>200.21</c:v>
                </c:pt>
                <c:pt idx="105">
                  <c:v>198.62</c:v>
                </c:pt>
                <c:pt idx="106">
                  <c:v>190.95</c:v>
                </c:pt>
                <c:pt idx="107">
                  <c:v>202.07</c:v>
                </c:pt>
                <c:pt idx="108">
                  <c:v>199.45</c:v>
                </c:pt>
                <c:pt idx="109">
                  <c:v>192.43</c:v>
                </c:pt>
                <c:pt idx="110">
                  <c:v>202.68</c:v>
                </c:pt>
                <c:pt idx="111">
                  <c:v>203.23</c:v>
                </c:pt>
                <c:pt idx="112">
                  <c:v>204.83</c:v>
                </c:pt>
                <c:pt idx="113">
                  <c:v>197.74</c:v>
                </c:pt>
                <c:pt idx="114">
                  <c:v>193.39</c:v>
                </c:pt>
                <c:pt idx="115">
                  <c:v>196.58</c:v>
                </c:pt>
                <c:pt idx="116">
                  <c:v>196.31</c:v>
                </c:pt>
                <c:pt idx="117">
                  <c:v>199.46</c:v>
                </c:pt>
                <c:pt idx="118">
                  <c:v>205.27</c:v>
                </c:pt>
                <c:pt idx="119">
                  <c:v>201.33</c:v>
                </c:pt>
                <c:pt idx="120">
                  <c:v>202.68</c:v>
                </c:pt>
                <c:pt idx="121">
                  <c:v>205.37</c:v>
                </c:pt>
                <c:pt idx="122">
                  <c:v>220.27</c:v>
                </c:pt>
                <c:pt idx="123">
                  <c:v>203.77</c:v>
                </c:pt>
                <c:pt idx="124">
                  <c:v>201.99</c:v>
                </c:pt>
                <c:pt idx="125">
                  <c:v>196.04</c:v>
                </c:pt>
                <c:pt idx="126">
                  <c:v>203.43</c:v>
                </c:pt>
                <c:pt idx="127">
                  <c:v>210.21</c:v>
                </c:pt>
                <c:pt idx="128">
                  <c:v>217.5</c:v>
                </c:pt>
                <c:pt idx="129">
                  <c:v>220.18</c:v>
                </c:pt>
                <c:pt idx="130">
                  <c:v>221.53</c:v>
                </c:pt>
                <c:pt idx="131">
                  <c:v>231.82</c:v>
                </c:pt>
                <c:pt idx="132">
                  <c:v>236.64</c:v>
                </c:pt>
                <c:pt idx="133">
                  <c:v>245.04</c:v>
                </c:pt>
                <c:pt idx="134">
                  <c:v>246.83</c:v>
                </c:pt>
                <c:pt idx="135">
                  <c:v>255.07</c:v>
                </c:pt>
                <c:pt idx="136">
                  <c:v>258.12</c:v>
                </c:pt>
                <c:pt idx="137">
                  <c:v>278.26</c:v>
                </c:pt>
                <c:pt idx="138">
                  <c:v>278.39</c:v>
                </c:pt>
                <c:pt idx="139">
                  <c:v>274.95</c:v>
                </c:pt>
                <c:pt idx="140">
                  <c:v>284.49</c:v>
                </c:pt>
                <c:pt idx="141">
                  <c:v>303.45999999999998</c:v>
                </c:pt>
                <c:pt idx="142">
                  <c:v>305.33</c:v>
                </c:pt>
                <c:pt idx="143">
                  <c:v>347.81</c:v>
                </c:pt>
                <c:pt idx="144">
                  <c:v>334.63</c:v>
                </c:pt>
                <c:pt idx="145">
                  <c:v>323.20999999999998</c:v>
                </c:pt>
                <c:pt idx="146">
                  <c:v>337.11</c:v>
                </c:pt>
                <c:pt idx="147">
                  <c:v>354.49</c:v>
                </c:pt>
                <c:pt idx="148">
                  <c:v>360.54</c:v>
                </c:pt>
                <c:pt idx="149">
                  <c:v>341.54</c:v>
                </c:pt>
                <c:pt idx="150">
                  <c:v>355.26</c:v>
                </c:pt>
                <c:pt idx="151">
                  <c:v>421.39</c:v>
                </c:pt>
                <c:pt idx="152">
                  <c:v>408.46</c:v>
                </c:pt>
                <c:pt idx="153">
                  <c:v>455.19</c:v>
                </c:pt>
                <c:pt idx="154">
                  <c:v>458.79</c:v>
                </c:pt>
                <c:pt idx="155">
                  <c:v>448.29</c:v>
                </c:pt>
                <c:pt idx="156">
                  <c:v>445.5</c:v>
                </c:pt>
                <c:pt idx="157">
                  <c:v>449.7</c:v>
                </c:pt>
                <c:pt idx="158">
                  <c:v>424.1</c:v>
                </c:pt>
                <c:pt idx="159">
                  <c:v>420.99</c:v>
                </c:pt>
                <c:pt idx="160">
                  <c:v>414.05</c:v>
                </c:pt>
                <c:pt idx="161">
                  <c:v>447.58</c:v>
                </c:pt>
                <c:pt idx="162">
                  <c:v>449.59</c:v>
                </c:pt>
                <c:pt idx="163">
                  <c:v>467.51</c:v>
                </c:pt>
                <c:pt idx="164">
                  <c:v>503.89</c:v>
                </c:pt>
                <c:pt idx="165">
                  <c:v>495.54</c:v>
                </c:pt>
                <c:pt idx="166">
                  <c:v>518.09</c:v>
                </c:pt>
                <c:pt idx="167">
                  <c:v>516.1</c:v>
                </c:pt>
                <c:pt idx="168">
                  <c:v>510.13</c:v>
                </c:pt>
                <c:pt idx="169">
                  <c:v>521.54</c:v>
                </c:pt>
                <c:pt idx="170">
                  <c:v>542.52</c:v>
                </c:pt>
                <c:pt idx="171">
                  <c:v>523.20000000000005</c:v>
                </c:pt>
                <c:pt idx="172">
                  <c:v>466.38</c:v>
                </c:pt>
                <c:pt idx="173">
                  <c:v>490.33</c:v>
                </c:pt>
                <c:pt idx="174">
                  <c:v>475.505</c:v>
                </c:pt>
                <c:pt idx="175">
                  <c:v>452.4</c:v>
                </c:pt>
                <c:pt idx="176">
                  <c:v>488.45</c:v>
                </c:pt>
                <c:pt idx="177">
                  <c:v>511.57</c:v>
                </c:pt>
                <c:pt idx="178">
                  <c:v>547.26</c:v>
                </c:pt>
                <c:pt idx="179">
                  <c:v>507.29</c:v>
                </c:pt>
                <c:pt idx="180">
                  <c:v>512.48</c:v>
                </c:pt>
                <c:pt idx="181">
                  <c:v>537.37</c:v>
                </c:pt>
                <c:pt idx="182">
                  <c:v>551.63</c:v>
                </c:pt>
                <c:pt idx="183">
                  <c:v>519.85</c:v>
                </c:pt>
                <c:pt idx="184">
                  <c:v>519.74</c:v>
                </c:pt>
                <c:pt idx="185">
                  <c:v>532.57000000000005</c:v>
                </c:pt>
                <c:pt idx="186">
                  <c:v>521.58000000000004</c:v>
                </c:pt>
                <c:pt idx="187">
                  <c:v>539.49</c:v>
                </c:pt>
                <c:pt idx="188">
                  <c:v>580.91</c:v>
                </c:pt>
                <c:pt idx="189">
                  <c:v>540.88</c:v>
                </c:pt>
                <c:pt idx="190">
                  <c:v>517.82000000000005</c:v>
                </c:pt>
                <c:pt idx="191">
                  <c:v>552.04999999999995</c:v>
                </c:pt>
                <c:pt idx="192">
                  <c:v>516.11</c:v>
                </c:pt>
                <c:pt idx="193">
                  <c:v>517.40499999999997</c:v>
                </c:pt>
                <c:pt idx="194">
                  <c:v>546.72</c:v>
                </c:pt>
                <c:pt idx="195">
                  <c:v>557.89</c:v>
                </c:pt>
                <c:pt idx="196">
                  <c:v>534.39</c:v>
                </c:pt>
                <c:pt idx="197">
                  <c:v>548.13</c:v>
                </c:pt>
                <c:pt idx="198">
                  <c:v>529.14</c:v>
                </c:pt>
                <c:pt idx="199">
                  <c:v>500.94</c:v>
                </c:pt>
                <c:pt idx="200">
                  <c:v>495.76</c:v>
                </c:pt>
                <c:pt idx="201">
                  <c:v>503.57</c:v>
                </c:pt>
                <c:pt idx="202">
                  <c:v>544.42999999999995</c:v>
                </c:pt>
                <c:pt idx="203">
                  <c:v>552.33000000000004</c:v>
                </c:pt>
                <c:pt idx="204">
                  <c:v>539.69000000000005</c:v>
                </c:pt>
                <c:pt idx="205">
                  <c:v>521.95000000000005</c:v>
                </c:pt>
                <c:pt idx="206">
                  <c:v>494.95</c:v>
                </c:pt>
                <c:pt idx="207">
                  <c:v>454.62</c:v>
                </c:pt>
                <c:pt idx="208">
                  <c:v>429.56</c:v>
                </c:pt>
                <c:pt idx="209">
                  <c:v>485.39</c:v>
                </c:pt>
                <c:pt idx="210">
                  <c:v>476.15</c:v>
                </c:pt>
                <c:pt idx="211">
                  <c:v>484.64</c:v>
                </c:pt>
                <c:pt idx="212">
                  <c:v>518.58000000000004</c:v>
                </c:pt>
                <c:pt idx="213">
                  <c:v>482.05</c:v>
                </c:pt>
                <c:pt idx="214">
                  <c:v>489.28</c:v>
                </c:pt>
                <c:pt idx="215">
                  <c:v>483.36</c:v>
                </c:pt>
                <c:pt idx="216">
                  <c:v>469.56</c:v>
                </c:pt>
                <c:pt idx="217">
                  <c:v>474.32</c:v>
                </c:pt>
                <c:pt idx="218">
                  <c:v>482.93</c:v>
                </c:pt>
                <c:pt idx="219">
                  <c:v>483.01</c:v>
                </c:pt>
                <c:pt idx="220">
                  <c:v>514.39</c:v>
                </c:pt>
                <c:pt idx="221">
                  <c:v>506</c:v>
                </c:pt>
                <c:pt idx="222">
                  <c:v>484.39</c:v>
                </c:pt>
                <c:pt idx="223">
                  <c:v>466.42</c:v>
                </c:pt>
                <c:pt idx="224">
                  <c:v>469.45499999999998</c:v>
                </c:pt>
                <c:pt idx="225">
                  <c:v>473.25</c:v>
                </c:pt>
                <c:pt idx="226">
                  <c:v>456.745</c:v>
                </c:pt>
                <c:pt idx="227">
                  <c:v>479.18</c:v>
                </c:pt>
                <c:pt idx="228">
                  <c:v>480.93</c:v>
                </c:pt>
                <c:pt idx="229">
                  <c:v>476.67</c:v>
                </c:pt>
                <c:pt idx="230">
                  <c:v>465.58</c:v>
                </c:pt>
                <c:pt idx="231">
                  <c:v>470.72</c:v>
                </c:pt>
                <c:pt idx="232">
                  <c:v>459.61</c:v>
                </c:pt>
                <c:pt idx="233">
                  <c:v>457.06</c:v>
                </c:pt>
                <c:pt idx="234">
                  <c:v>456.16</c:v>
                </c:pt>
                <c:pt idx="235">
                  <c:v>477.57</c:v>
                </c:pt>
                <c:pt idx="236">
                  <c:v>505.74</c:v>
                </c:pt>
                <c:pt idx="237">
                  <c:v>521.09500000000003</c:v>
                </c:pt>
                <c:pt idx="238">
                  <c:v>503.6</c:v>
                </c:pt>
                <c:pt idx="239">
                  <c:v>516.13</c:v>
                </c:pt>
                <c:pt idx="240">
                  <c:v>493.41</c:v>
                </c:pt>
                <c:pt idx="241">
                  <c:v>504.2</c:v>
                </c:pt>
                <c:pt idx="242">
                  <c:v>512.5</c:v>
                </c:pt>
                <c:pt idx="243">
                  <c:v>545.09</c:v>
                </c:pt>
                <c:pt idx="244">
                  <c:v>559.82000000000005</c:v>
                </c:pt>
                <c:pt idx="245">
                  <c:v>615.52</c:v>
                </c:pt>
                <c:pt idx="246">
                  <c:v>623.77</c:v>
                </c:pt>
                <c:pt idx="247">
                  <c:v>614.61</c:v>
                </c:pt>
                <c:pt idx="248">
                  <c:v>629.26</c:v>
                </c:pt>
                <c:pt idx="249">
                  <c:v>630.63</c:v>
                </c:pt>
              </c:numCache>
            </c:numRef>
          </c:val>
          <c:extLst>
            <c:ext xmlns:c16="http://schemas.microsoft.com/office/drawing/2014/chart" uri="{C3380CC4-5D6E-409C-BE32-E72D297353CC}">
              <c16:uniqueId val="{00000000-D63B-4CDC-983B-84277AD33082}"/>
            </c:ext>
          </c:extLst>
        </c:ser>
        <c:dLbls>
          <c:showLegendKey val="0"/>
          <c:showVal val="0"/>
          <c:showCatName val="0"/>
          <c:showSerName val="0"/>
          <c:showPercent val="0"/>
          <c:showBubbleSize val="0"/>
        </c:dLbls>
        <c:axId val="1076253871"/>
        <c:axId val="1076274511"/>
      </c:areaChart>
      <c:catAx>
        <c:axId val="1076253871"/>
        <c:scaling>
          <c:orientation val="minMax"/>
        </c:scaling>
        <c:delete val="1"/>
        <c:axPos val="b"/>
        <c:majorTickMark val="out"/>
        <c:minorTickMark val="none"/>
        <c:tickLblPos val="nextTo"/>
        <c:crossAx val="1076274511"/>
        <c:crosses val="autoZero"/>
        <c:auto val="1"/>
        <c:lblAlgn val="ctr"/>
        <c:lblOffset val="100"/>
        <c:noMultiLvlLbl val="0"/>
      </c:catAx>
      <c:valAx>
        <c:axId val="1076274511"/>
        <c:scaling>
          <c:orientation val="minMax"/>
        </c:scaling>
        <c:delete val="0"/>
        <c:axPos val="l"/>
        <c:numFmt formatCode="_([$$-409]* #,##0.00_);_([$$-409]* \(#,##0.00\);_([$$-4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crossAx val="1076253871"/>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MSFT!$B$1</c:f>
          <c:strCache>
            <c:ptCount val="1"/>
            <c:pt idx="0">
              <c:v>MICROSOFT CORPORATION (XNAS:MSFT)</c:v>
            </c:pt>
          </c:strCache>
        </c:strRef>
      </c:tx>
      <c:layout>
        <c:manualLayout>
          <c:xMode val="edge"/>
          <c:yMode val="edge"/>
          <c:x val="0.23316712421039931"/>
          <c:y val="1.537475666723699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lotArea>
      <c:layout/>
      <c:barChart>
        <c:barDir val="col"/>
        <c:grouping val="clustered"/>
        <c:varyColors val="0"/>
        <c:ser>
          <c:idx val="0"/>
          <c:order val="0"/>
          <c:tx>
            <c:strRef>
              <c:f>MSFT!$B$6</c:f>
              <c:strCache>
                <c:ptCount val="1"/>
                <c:pt idx="0">
                  <c:v>Volume</c:v>
                </c:pt>
              </c:strCache>
            </c:strRef>
          </c:tx>
          <c:spPr>
            <a:solidFill>
              <a:schemeClr val="accent1"/>
            </a:solidFill>
            <a:ln w="38100">
              <a:noFill/>
            </a:ln>
            <a:effectLst/>
          </c:spPr>
          <c:invertIfNegative val="0"/>
          <c:cat>
            <c:numRef>
              <c:f>MSFT!$A$7:$A$27</c:f>
              <c:numCache>
                <c:formatCode>m/d/yyyy</c:formatCode>
                <c:ptCount val="21"/>
                <c:pt idx="0">
                  <c:v>46265</c:v>
                </c:pt>
                <c:pt idx="1">
                  <c:v>46266</c:v>
                </c:pt>
                <c:pt idx="2">
                  <c:v>46267</c:v>
                </c:pt>
                <c:pt idx="3">
                  <c:v>46268</c:v>
                </c:pt>
                <c:pt idx="4">
                  <c:v>46269</c:v>
                </c:pt>
                <c:pt idx="5">
                  <c:v>46273</c:v>
                </c:pt>
                <c:pt idx="6">
                  <c:v>46274</c:v>
                </c:pt>
                <c:pt idx="7">
                  <c:v>46275</c:v>
                </c:pt>
                <c:pt idx="8">
                  <c:v>46276</c:v>
                </c:pt>
                <c:pt idx="9">
                  <c:v>46279</c:v>
                </c:pt>
                <c:pt idx="10">
                  <c:v>46280</c:v>
                </c:pt>
                <c:pt idx="11">
                  <c:v>46281</c:v>
                </c:pt>
                <c:pt idx="12">
                  <c:v>46282</c:v>
                </c:pt>
                <c:pt idx="13">
                  <c:v>46283</c:v>
                </c:pt>
                <c:pt idx="14">
                  <c:v>46286</c:v>
                </c:pt>
                <c:pt idx="15">
                  <c:v>46287</c:v>
                </c:pt>
                <c:pt idx="16">
                  <c:v>46288</c:v>
                </c:pt>
                <c:pt idx="17">
                  <c:v>46289</c:v>
                </c:pt>
                <c:pt idx="18">
                  <c:v>46290</c:v>
                </c:pt>
                <c:pt idx="19">
                  <c:v>46293</c:v>
                </c:pt>
              </c:numCache>
            </c:numRef>
          </c:cat>
          <c:val>
            <c:numRef>
              <c:f>MSFT!$B$7:$B$27</c:f>
              <c:numCache>
                <c:formatCode>#,##0</c:formatCode>
                <c:ptCount val="21"/>
                <c:pt idx="0">
                  <c:v>27208911</c:v>
                </c:pt>
                <c:pt idx="1">
                  <c:v>21046892</c:v>
                </c:pt>
                <c:pt idx="2">
                  <c:v>15336074</c:v>
                </c:pt>
                <c:pt idx="3">
                  <c:v>24125893</c:v>
                </c:pt>
                <c:pt idx="4">
                  <c:v>18101758</c:v>
                </c:pt>
                <c:pt idx="5">
                  <c:v>18882338</c:v>
                </c:pt>
                <c:pt idx="6">
                  <c:v>12889572</c:v>
                </c:pt>
                <c:pt idx="7">
                  <c:v>15418192</c:v>
                </c:pt>
                <c:pt idx="8">
                  <c:v>13783652</c:v>
                </c:pt>
                <c:pt idx="9">
                  <c:v>23091892</c:v>
                </c:pt>
                <c:pt idx="10">
                  <c:v>17385982</c:v>
                </c:pt>
                <c:pt idx="11">
                  <c:v>16670285</c:v>
                </c:pt>
                <c:pt idx="12">
                  <c:v>17841640</c:v>
                </c:pt>
                <c:pt idx="13">
                  <c:v>39622288</c:v>
                </c:pt>
                <c:pt idx="14">
                  <c:v>27959944</c:v>
                </c:pt>
                <c:pt idx="15">
                  <c:v>21652838</c:v>
                </c:pt>
                <c:pt idx="16">
                  <c:v>19445555</c:v>
                </c:pt>
                <c:pt idx="17">
                  <c:v>16657643</c:v>
                </c:pt>
                <c:pt idx="18">
                  <c:v>38193112</c:v>
                </c:pt>
                <c:pt idx="19">
                  <c:v>19626939</c:v>
                </c:pt>
              </c:numCache>
            </c:numRef>
          </c:val>
          <c:extLst>
            <c:ext xmlns:c16="http://schemas.microsoft.com/office/drawing/2014/chart" uri="{C3380CC4-5D6E-409C-BE32-E72D297353CC}">
              <c16:uniqueId val="{00000000-E6B8-4912-B4B1-FE906FA08879}"/>
            </c:ext>
          </c:extLst>
        </c:ser>
        <c:dLbls>
          <c:showLegendKey val="0"/>
          <c:showVal val="0"/>
          <c:showCatName val="0"/>
          <c:showSerName val="0"/>
          <c:showPercent val="0"/>
          <c:showBubbleSize val="0"/>
        </c:dLbls>
        <c:gapWidth val="150"/>
        <c:axId val="1641718448"/>
        <c:axId val="1641718928"/>
      </c:barChart>
      <c:stockChart>
        <c:ser>
          <c:idx val="1"/>
          <c:order val="1"/>
          <c:tx>
            <c:strRef>
              <c:f>MSFT!$C$6</c:f>
              <c:strCache>
                <c:ptCount val="1"/>
                <c:pt idx="0">
                  <c:v>Open</c:v>
                </c:pt>
              </c:strCache>
            </c:strRef>
          </c:tx>
          <c:spPr>
            <a:ln w="38100" cap="rnd">
              <a:noFill/>
              <a:round/>
            </a:ln>
            <a:effectLst/>
          </c:spPr>
          <c:marker>
            <c:symbol val="none"/>
          </c:marker>
          <c:cat>
            <c:numRef>
              <c:f>MSFT!$A$7:$A$27</c:f>
              <c:numCache>
                <c:formatCode>m/d/yyyy</c:formatCode>
                <c:ptCount val="21"/>
                <c:pt idx="0">
                  <c:v>46265</c:v>
                </c:pt>
                <c:pt idx="1">
                  <c:v>46266</c:v>
                </c:pt>
                <c:pt idx="2">
                  <c:v>46267</c:v>
                </c:pt>
                <c:pt idx="3">
                  <c:v>46268</c:v>
                </c:pt>
                <c:pt idx="4">
                  <c:v>46269</c:v>
                </c:pt>
                <c:pt idx="5">
                  <c:v>46273</c:v>
                </c:pt>
                <c:pt idx="6">
                  <c:v>46274</c:v>
                </c:pt>
                <c:pt idx="7">
                  <c:v>46275</c:v>
                </c:pt>
                <c:pt idx="8">
                  <c:v>46276</c:v>
                </c:pt>
                <c:pt idx="9">
                  <c:v>46279</c:v>
                </c:pt>
                <c:pt idx="10">
                  <c:v>46280</c:v>
                </c:pt>
                <c:pt idx="11">
                  <c:v>46281</c:v>
                </c:pt>
                <c:pt idx="12">
                  <c:v>46282</c:v>
                </c:pt>
                <c:pt idx="13">
                  <c:v>46283</c:v>
                </c:pt>
                <c:pt idx="14">
                  <c:v>46286</c:v>
                </c:pt>
                <c:pt idx="15">
                  <c:v>46287</c:v>
                </c:pt>
                <c:pt idx="16">
                  <c:v>46288</c:v>
                </c:pt>
                <c:pt idx="17">
                  <c:v>46289</c:v>
                </c:pt>
                <c:pt idx="18">
                  <c:v>46290</c:v>
                </c:pt>
                <c:pt idx="19">
                  <c:v>46293</c:v>
                </c:pt>
              </c:numCache>
            </c:numRef>
          </c:cat>
          <c:val>
            <c:numRef>
              <c:f>MSFT!$C$7:$C$27</c:f>
              <c:numCache>
                <c:formatCode>_([$$-409]* #,##0.00_);_([$$-409]* \(#,##0.00\);_([$$-409]* "-"??_);_(@_)</c:formatCode>
                <c:ptCount val="21"/>
                <c:pt idx="0">
                  <c:v>510.38</c:v>
                </c:pt>
                <c:pt idx="1">
                  <c:v>497.52</c:v>
                </c:pt>
                <c:pt idx="2">
                  <c:v>499.85</c:v>
                </c:pt>
                <c:pt idx="3">
                  <c:v>501.66</c:v>
                </c:pt>
                <c:pt idx="4">
                  <c:v>510</c:v>
                </c:pt>
                <c:pt idx="5">
                  <c:v>493.01</c:v>
                </c:pt>
                <c:pt idx="6">
                  <c:v>493.07</c:v>
                </c:pt>
                <c:pt idx="7">
                  <c:v>488.32</c:v>
                </c:pt>
                <c:pt idx="8">
                  <c:v>495.65</c:v>
                </c:pt>
                <c:pt idx="9">
                  <c:v>497.06</c:v>
                </c:pt>
                <c:pt idx="10">
                  <c:v>500.06</c:v>
                </c:pt>
                <c:pt idx="11">
                  <c:v>493.03</c:v>
                </c:pt>
                <c:pt idx="12">
                  <c:v>497.79500000000002</c:v>
                </c:pt>
                <c:pt idx="13">
                  <c:v>497.96499999999997</c:v>
                </c:pt>
                <c:pt idx="14">
                  <c:v>494.94499999999999</c:v>
                </c:pt>
                <c:pt idx="15">
                  <c:v>507.32</c:v>
                </c:pt>
                <c:pt idx="16">
                  <c:v>500.755</c:v>
                </c:pt>
                <c:pt idx="17">
                  <c:v>495.07</c:v>
                </c:pt>
                <c:pt idx="18">
                  <c:v>499.03500000000003</c:v>
                </c:pt>
                <c:pt idx="19">
                  <c:v>505.47</c:v>
                </c:pt>
              </c:numCache>
            </c:numRef>
          </c:val>
          <c:smooth val="0"/>
          <c:extLst>
            <c:ext xmlns:c16="http://schemas.microsoft.com/office/drawing/2014/chart" uri="{C3380CC4-5D6E-409C-BE32-E72D297353CC}">
              <c16:uniqueId val="{00000001-E6B8-4912-B4B1-FE906FA08879}"/>
            </c:ext>
          </c:extLst>
        </c:ser>
        <c:ser>
          <c:idx val="2"/>
          <c:order val="2"/>
          <c:tx>
            <c:strRef>
              <c:f>MSFT!$D$6</c:f>
              <c:strCache>
                <c:ptCount val="1"/>
                <c:pt idx="0">
                  <c:v>High</c:v>
                </c:pt>
              </c:strCache>
            </c:strRef>
          </c:tx>
          <c:spPr>
            <a:ln w="38100" cap="rnd">
              <a:noFill/>
              <a:round/>
            </a:ln>
            <a:effectLst/>
          </c:spPr>
          <c:marker>
            <c:symbol val="none"/>
          </c:marker>
          <c:cat>
            <c:numRef>
              <c:f>MSFT!$A$7:$A$27</c:f>
              <c:numCache>
                <c:formatCode>m/d/yyyy</c:formatCode>
                <c:ptCount val="21"/>
                <c:pt idx="0">
                  <c:v>46265</c:v>
                </c:pt>
                <c:pt idx="1">
                  <c:v>46266</c:v>
                </c:pt>
                <c:pt idx="2">
                  <c:v>46267</c:v>
                </c:pt>
                <c:pt idx="3">
                  <c:v>46268</c:v>
                </c:pt>
                <c:pt idx="4">
                  <c:v>46269</c:v>
                </c:pt>
                <c:pt idx="5">
                  <c:v>46273</c:v>
                </c:pt>
                <c:pt idx="6">
                  <c:v>46274</c:v>
                </c:pt>
                <c:pt idx="7">
                  <c:v>46275</c:v>
                </c:pt>
                <c:pt idx="8">
                  <c:v>46276</c:v>
                </c:pt>
                <c:pt idx="9">
                  <c:v>46279</c:v>
                </c:pt>
                <c:pt idx="10">
                  <c:v>46280</c:v>
                </c:pt>
                <c:pt idx="11">
                  <c:v>46281</c:v>
                </c:pt>
                <c:pt idx="12">
                  <c:v>46282</c:v>
                </c:pt>
                <c:pt idx="13">
                  <c:v>46283</c:v>
                </c:pt>
                <c:pt idx="14">
                  <c:v>46286</c:v>
                </c:pt>
                <c:pt idx="15">
                  <c:v>46287</c:v>
                </c:pt>
                <c:pt idx="16">
                  <c:v>46288</c:v>
                </c:pt>
                <c:pt idx="17">
                  <c:v>46289</c:v>
                </c:pt>
                <c:pt idx="18">
                  <c:v>46290</c:v>
                </c:pt>
                <c:pt idx="19">
                  <c:v>46293</c:v>
                </c:pt>
              </c:numCache>
            </c:numRef>
          </c:cat>
          <c:val>
            <c:numRef>
              <c:f>MSFT!$D$7:$D$27</c:f>
              <c:numCache>
                <c:formatCode>_([$$-409]* #,##0.00_);_([$$-409]* \(#,##0.00\);_([$$-409]* "-"??_);_(@_)</c:formatCode>
                <c:ptCount val="21"/>
                <c:pt idx="0">
                  <c:v>512.19000000000005</c:v>
                </c:pt>
                <c:pt idx="1">
                  <c:v>505.97</c:v>
                </c:pt>
                <c:pt idx="2">
                  <c:v>500.27</c:v>
                </c:pt>
                <c:pt idx="3">
                  <c:v>515.65</c:v>
                </c:pt>
                <c:pt idx="4">
                  <c:v>511</c:v>
                </c:pt>
                <c:pt idx="5">
                  <c:v>495.19</c:v>
                </c:pt>
                <c:pt idx="6">
                  <c:v>494.39</c:v>
                </c:pt>
                <c:pt idx="7">
                  <c:v>494.52</c:v>
                </c:pt>
                <c:pt idx="8">
                  <c:v>498.97</c:v>
                </c:pt>
                <c:pt idx="9">
                  <c:v>509.95</c:v>
                </c:pt>
                <c:pt idx="10">
                  <c:v>505.9</c:v>
                </c:pt>
                <c:pt idx="11">
                  <c:v>495.97</c:v>
                </c:pt>
                <c:pt idx="12">
                  <c:v>501.47</c:v>
                </c:pt>
                <c:pt idx="13">
                  <c:v>498.65</c:v>
                </c:pt>
                <c:pt idx="14">
                  <c:v>501.87</c:v>
                </c:pt>
                <c:pt idx="15">
                  <c:v>508.5</c:v>
                </c:pt>
                <c:pt idx="16">
                  <c:v>509.44</c:v>
                </c:pt>
                <c:pt idx="17">
                  <c:v>498.9</c:v>
                </c:pt>
                <c:pt idx="18">
                  <c:v>519.4</c:v>
                </c:pt>
                <c:pt idx="19">
                  <c:v>513.33000000000004</c:v>
                </c:pt>
              </c:numCache>
            </c:numRef>
          </c:val>
          <c:smooth val="0"/>
          <c:extLst>
            <c:ext xmlns:c16="http://schemas.microsoft.com/office/drawing/2014/chart" uri="{C3380CC4-5D6E-409C-BE32-E72D297353CC}">
              <c16:uniqueId val="{00000002-E6B8-4912-B4B1-FE906FA08879}"/>
            </c:ext>
          </c:extLst>
        </c:ser>
        <c:ser>
          <c:idx val="3"/>
          <c:order val="3"/>
          <c:tx>
            <c:strRef>
              <c:f>MSFT!$E$6</c:f>
              <c:strCache>
                <c:ptCount val="1"/>
                <c:pt idx="0">
                  <c:v>Low</c:v>
                </c:pt>
              </c:strCache>
            </c:strRef>
          </c:tx>
          <c:spPr>
            <a:ln w="38100" cap="rnd">
              <a:noFill/>
              <a:round/>
            </a:ln>
            <a:effectLst/>
          </c:spPr>
          <c:marker>
            <c:symbol val="none"/>
          </c:marker>
          <c:cat>
            <c:numRef>
              <c:f>MSFT!$A$7:$A$27</c:f>
              <c:numCache>
                <c:formatCode>m/d/yyyy</c:formatCode>
                <c:ptCount val="21"/>
                <c:pt idx="0">
                  <c:v>46265</c:v>
                </c:pt>
                <c:pt idx="1">
                  <c:v>46266</c:v>
                </c:pt>
                <c:pt idx="2">
                  <c:v>46267</c:v>
                </c:pt>
                <c:pt idx="3">
                  <c:v>46268</c:v>
                </c:pt>
                <c:pt idx="4">
                  <c:v>46269</c:v>
                </c:pt>
                <c:pt idx="5">
                  <c:v>46273</c:v>
                </c:pt>
                <c:pt idx="6">
                  <c:v>46274</c:v>
                </c:pt>
                <c:pt idx="7">
                  <c:v>46275</c:v>
                </c:pt>
                <c:pt idx="8">
                  <c:v>46276</c:v>
                </c:pt>
                <c:pt idx="9">
                  <c:v>46279</c:v>
                </c:pt>
                <c:pt idx="10">
                  <c:v>46280</c:v>
                </c:pt>
                <c:pt idx="11">
                  <c:v>46281</c:v>
                </c:pt>
                <c:pt idx="12">
                  <c:v>46282</c:v>
                </c:pt>
                <c:pt idx="13">
                  <c:v>46283</c:v>
                </c:pt>
                <c:pt idx="14">
                  <c:v>46286</c:v>
                </c:pt>
                <c:pt idx="15">
                  <c:v>46287</c:v>
                </c:pt>
                <c:pt idx="16">
                  <c:v>46288</c:v>
                </c:pt>
                <c:pt idx="17">
                  <c:v>46289</c:v>
                </c:pt>
                <c:pt idx="18">
                  <c:v>46290</c:v>
                </c:pt>
                <c:pt idx="19">
                  <c:v>46293</c:v>
                </c:pt>
              </c:numCache>
            </c:numRef>
          </c:cat>
          <c:val>
            <c:numRef>
              <c:f>MSFT!$E$7:$E$27</c:f>
              <c:numCache>
                <c:formatCode>_([$$-409]* #,##0.00_);_([$$-409]* \(#,##0.00\);_([$$-409]* "-"??_);_(@_)</c:formatCode>
                <c:ptCount val="21"/>
                <c:pt idx="0">
                  <c:v>506.39</c:v>
                </c:pt>
                <c:pt idx="1">
                  <c:v>496.78</c:v>
                </c:pt>
                <c:pt idx="2">
                  <c:v>493.81</c:v>
                </c:pt>
                <c:pt idx="3">
                  <c:v>500.8</c:v>
                </c:pt>
                <c:pt idx="4">
                  <c:v>499.36</c:v>
                </c:pt>
                <c:pt idx="5">
                  <c:v>490.15</c:v>
                </c:pt>
                <c:pt idx="6">
                  <c:v>489.8</c:v>
                </c:pt>
                <c:pt idx="7">
                  <c:v>486</c:v>
                </c:pt>
                <c:pt idx="8">
                  <c:v>492.58</c:v>
                </c:pt>
                <c:pt idx="9">
                  <c:v>495.34160000000003</c:v>
                </c:pt>
                <c:pt idx="10">
                  <c:v>495.54</c:v>
                </c:pt>
                <c:pt idx="11">
                  <c:v>487.23</c:v>
                </c:pt>
                <c:pt idx="12">
                  <c:v>493.17</c:v>
                </c:pt>
                <c:pt idx="13">
                  <c:v>491.1</c:v>
                </c:pt>
                <c:pt idx="14">
                  <c:v>491.33</c:v>
                </c:pt>
                <c:pt idx="15">
                  <c:v>493.65</c:v>
                </c:pt>
                <c:pt idx="16">
                  <c:v>495.88</c:v>
                </c:pt>
                <c:pt idx="17">
                  <c:v>491.22</c:v>
                </c:pt>
                <c:pt idx="18">
                  <c:v>497.25</c:v>
                </c:pt>
                <c:pt idx="19">
                  <c:v>502.22</c:v>
                </c:pt>
              </c:numCache>
            </c:numRef>
          </c:val>
          <c:smooth val="0"/>
          <c:extLst>
            <c:ext xmlns:c16="http://schemas.microsoft.com/office/drawing/2014/chart" uri="{C3380CC4-5D6E-409C-BE32-E72D297353CC}">
              <c16:uniqueId val="{00000003-E6B8-4912-B4B1-FE906FA08879}"/>
            </c:ext>
          </c:extLst>
        </c:ser>
        <c:ser>
          <c:idx val="4"/>
          <c:order val="4"/>
          <c:tx>
            <c:strRef>
              <c:f>MSFT!$F$6</c:f>
              <c:strCache>
                <c:ptCount val="1"/>
                <c:pt idx="0">
                  <c:v>Close</c:v>
                </c:pt>
              </c:strCache>
            </c:strRef>
          </c:tx>
          <c:spPr>
            <a:ln w="38100" cap="rnd">
              <a:noFill/>
              <a:round/>
            </a:ln>
            <a:effectLst/>
          </c:spPr>
          <c:marker>
            <c:symbol val="none"/>
          </c:marker>
          <c:cat>
            <c:numRef>
              <c:f>MSFT!$A$7:$A$27</c:f>
              <c:numCache>
                <c:formatCode>m/d/yyyy</c:formatCode>
                <c:ptCount val="21"/>
                <c:pt idx="0">
                  <c:v>46265</c:v>
                </c:pt>
                <c:pt idx="1">
                  <c:v>46266</c:v>
                </c:pt>
                <c:pt idx="2">
                  <c:v>46267</c:v>
                </c:pt>
                <c:pt idx="3">
                  <c:v>46268</c:v>
                </c:pt>
                <c:pt idx="4">
                  <c:v>46269</c:v>
                </c:pt>
                <c:pt idx="5">
                  <c:v>46273</c:v>
                </c:pt>
                <c:pt idx="6">
                  <c:v>46274</c:v>
                </c:pt>
                <c:pt idx="7">
                  <c:v>46275</c:v>
                </c:pt>
                <c:pt idx="8">
                  <c:v>46276</c:v>
                </c:pt>
                <c:pt idx="9">
                  <c:v>46279</c:v>
                </c:pt>
                <c:pt idx="10">
                  <c:v>46280</c:v>
                </c:pt>
                <c:pt idx="11">
                  <c:v>46281</c:v>
                </c:pt>
                <c:pt idx="12">
                  <c:v>46282</c:v>
                </c:pt>
                <c:pt idx="13">
                  <c:v>46283</c:v>
                </c:pt>
                <c:pt idx="14">
                  <c:v>46286</c:v>
                </c:pt>
                <c:pt idx="15">
                  <c:v>46287</c:v>
                </c:pt>
                <c:pt idx="16">
                  <c:v>46288</c:v>
                </c:pt>
                <c:pt idx="17">
                  <c:v>46289</c:v>
                </c:pt>
                <c:pt idx="18">
                  <c:v>46290</c:v>
                </c:pt>
                <c:pt idx="19">
                  <c:v>46293</c:v>
                </c:pt>
              </c:numCache>
            </c:numRef>
          </c:cat>
          <c:val>
            <c:numRef>
              <c:f>MSFT!$F$7:$F$27</c:f>
              <c:numCache>
                <c:formatCode>_([$$-409]* #,##0.00_);_([$$-409]* \(#,##0.00\);_([$$-409]* "-"??_);_(@_)</c:formatCode>
                <c:ptCount val="21"/>
                <c:pt idx="0">
                  <c:v>507.29</c:v>
                </c:pt>
                <c:pt idx="1">
                  <c:v>501.02</c:v>
                </c:pt>
                <c:pt idx="2">
                  <c:v>496.82</c:v>
                </c:pt>
                <c:pt idx="3">
                  <c:v>510.12</c:v>
                </c:pt>
                <c:pt idx="4">
                  <c:v>499.7</c:v>
                </c:pt>
                <c:pt idx="5">
                  <c:v>493.95</c:v>
                </c:pt>
                <c:pt idx="6">
                  <c:v>491.65</c:v>
                </c:pt>
                <c:pt idx="7">
                  <c:v>492.44</c:v>
                </c:pt>
                <c:pt idx="8">
                  <c:v>495.63</c:v>
                </c:pt>
                <c:pt idx="9">
                  <c:v>505.41</c:v>
                </c:pt>
                <c:pt idx="10">
                  <c:v>497.12</c:v>
                </c:pt>
                <c:pt idx="11">
                  <c:v>490.3</c:v>
                </c:pt>
                <c:pt idx="12">
                  <c:v>497.75</c:v>
                </c:pt>
                <c:pt idx="13">
                  <c:v>493.78</c:v>
                </c:pt>
                <c:pt idx="14">
                  <c:v>501.61</c:v>
                </c:pt>
                <c:pt idx="15">
                  <c:v>498</c:v>
                </c:pt>
                <c:pt idx="16">
                  <c:v>500.59</c:v>
                </c:pt>
                <c:pt idx="17">
                  <c:v>497.93</c:v>
                </c:pt>
                <c:pt idx="18">
                  <c:v>516.16999999999996</c:v>
                </c:pt>
                <c:pt idx="19">
                  <c:v>509.22</c:v>
                </c:pt>
              </c:numCache>
            </c:numRef>
          </c:val>
          <c:smooth val="0"/>
          <c:extLst>
            <c:ext xmlns:c16="http://schemas.microsoft.com/office/drawing/2014/chart" uri="{C3380CC4-5D6E-409C-BE32-E72D297353CC}">
              <c16:uniqueId val="{00000004-E6B8-4912-B4B1-FE906FA08879}"/>
            </c:ext>
          </c:extLst>
        </c:ser>
        <c:dLbls>
          <c:showLegendKey val="0"/>
          <c:showVal val="0"/>
          <c:showCatName val="0"/>
          <c:showSerName val="0"/>
          <c:showPercent val="0"/>
          <c:showBubbleSize val="0"/>
        </c:dLbls>
        <c:hiLowLines>
          <c:spPr>
            <a:ln w="9525" cap="flat" cmpd="sng" algn="ctr">
              <a:solidFill>
                <a:schemeClr val="tx1">
                  <a:lumMod val="75000"/>
                  <a:lumOff val="25000"/>
                </a:schemeClr>
              </a:solidFill>
              <a:round/>
            </a:ln>
            <a:effectLst/>
          </c:spPr>
        </c:hiLowLines>
        <c:upDownBars>
          <c:gapWidth val="150"/>
          <c:upBars>
            <c:spPr>
              <a:solidFill>
                <a:schemeClr val="lt1"/>
              </a:solidFill>
              <a:ln w="9525" cap="flat" cmpd="sng" algn="ctr">
                <a:solidFill>
                  <a:schemeClr val="tx1">
                    <a:lumMod val="65000"/>
                    <a:lumOff val="35000"/>
                  </a:schemeClr>
                </a:solidFill>
                <a:round/>
              </a:ln>
              <a:effectLst/>
            </c:spPr>
          </c:upBars>
          <c:downBars>
            <c:spPr>
              <a:solidFill>
                <a:schemeClr val="dk1">
                  <a:lumMod val="75000"/>
                  <a:lumOff val="25000"/>
                </a:schemeClr>
              </a:solidFill>
              <a:ln w="9525" cap="flat" cmpd="sng" algn="ctr">
                <a:solidFill>
                  <a:schemeClr val="tx1">
                    <a:lumMod val="65000"/>
                    <a:lumOff val="35000"/>
                  </a:schemeClr>
                </a:solidFill>
                <a:round/>
              </a:ln>
              <a:effectLst/>
            </c:spPr>
          </c:downBars>
        </c:upDownBars>
        <c:axId val="1641844592"/>
        <c:axId val="1948494816"/>
      </c:stockChart>
      <c:dateAx>
        <c:axId val="1641718448"/>
        <c:scaling>
          <c:orientation val="minMax"/>
        </c:scaling>
        <c:delete val="0"/>
        <c:axPos val="b"/>
        <c:numFmt formatCode="d\-mmm"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crossAx val="1641718928"/>
        <c:crosses val="autoZero"/>
        <c:auto val="1"/>
        <c:lblOffset val="100"/>
        <c:baseTimeUnit val="days"/>
      </c:dateAx>
      <c:valAx>
        <c:axId val="1641718928"/>
        <c:scaling>
          <c:orientation val="minMax"/>
        </c:scaling>
        <c:delete val="0"/>
        <c:axPos val="l"/>
        <c:majorGridlines>
          <c:spPr>
            <a:ln w="9525" cap="flat" cmpd="sng" algn="ctr">
              <a:solidFill>
                <a:schemeClr val="tx1">
                  <a:lumMod val="15000"/>
                  <a:lumOff val="85000"/>
                </a:schemeClr>
              </a:solidFill>
              <a:round/>
            </a:ln>
            <a:effectLst/>
          </c:spPr>
        </c:majorGridlines>
        <c:numFmt formatCode="#,##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crossAx val="1641718448"/>
        <c:crosses val="autoZero"/>
        <c:crossBetween val="between"/>
      </c:valAx>
      <c:valAx>
        <c:axId val="1948494816"/>
        <c:scaling>
          <c:orientation val="minMax"/>
        </c:scaling>
        <c:delete val="0"/>
        <c:axPos val="r"/>
        <c:majorGridlines>
          <c:spPr>
            <a:ln w="9525" cap="flat" cmpd="sng" algn="ctr">
              <a:solidFill>
                <a:schemeClr val="tx1">
                  <a:lumMod val="15000"/>
                  <a:lumOff val="85000"/>
                </a:schemeClr>
              </a:solidFill>
              <a:round/>
            </a:ln>
            <a:effectLst/>
          </c:spPr>
        </c:majorGridlines>
        <c:numFmt formatCode="_([$$-409]* #,##0.00_);_([$$-409]* \(#,##0.00\);_([$$-4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crossAx val="1641844592"/>
        <c:crosses val="max"/>
        <c:crossBetween val="between"/>
      </c:valAx>
      <c:dateAx>
        <c:axId val="1641844592"/>
        <c:scaling>
          <c:orientation val="minMax"/>
        </c:scaling>
        <c:delete val="1"/>
        <c:axPos val="b"/>
        <c:numFmt formatCode="m/d/yyyy" sourceLinked="1"/>
        <c:majorTickMark val="out"/>
        <c:minorTickMark val="none"/>
        <c:tickLblPos val="nextTo"/>
        <c:crossAx val="1948494816"/>
        <c:crosses val="autoZero"/>
        <c:auto val="1"/>
        <c:lblOffset val="100"/>
        <c:baseTimeUnit val="days"/>
      </c:date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Close Last 12 Months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lotArea>
      <c:layout>
        <c:manualLayout>
          <c:layoutTarget val="inner"/>
          <c:xMode val="edge"/>
          <c:yMode val="edge"/>
          <c:x val="0.1035513225517469"/>
          <c:y val="0.12968531468531469"/>
          <c:w val="0.88247662156002959"/>
          <c:h val="0.83185314685314682"/>
        </c:manualLayout>
      </c:layout>
      <c:areaChart>
        <c:grouping val="standard"/>
        <c:varyColors val="0"/>
        <c:ser>
          <c:idx val="0"/>
          <c:order val="0"/>
          <c:spPr>
            <a:gradFill>
              <a:gsLst>
                <a:gs pos="96000">
                  <a:schemeClr val="accent1">
                    <a:lumMod val="5000"/>
                    <a:lumOff val="95000"/>
                  </a:schemeClr>
                </a:gs>
                <a:gs pos="43000">
                  <a:srgbClr val="417A85"/>
                </a:gs>
                <a:gs pos="76000">
                  <a:srgbClr val="417A85"/>
                </a:gs>
              </a:gsLst>
              <a:lin ang="5400000" scaled="1"/>
            </a:gradFill>
            <a:ln>
              <a:noFill/>
            </a:ln>
            <a:effectLst/>
          </c:spPr>
          <c:val>
            <c:numRef>
              <c:f>MSFT!$C$4:$IR$4</c:f>
              <c:numCache>
                <c:formatCode>_([$$-409]* #,##0.00_);_([$$-409]* \(#,##0.00\);_([$$-409]* "-"??_);_(@_)</c:formatCode>
                <c:ptCount val="250"/>
                <c:pt idx="0">
                  <c:v>514.6</c:v>
                </c:pt>
                <c:pt idx="1">
                  <c:v>517.95000000000005</c:v>
                </c:pt>
                <c:pt idx="2">
                  <c:v>519.71</c:v>
                </c:pt>
                <c:pt idx="3">
                  <c:v>515.74</c:v>
                </c:pt>
                <c:pt idx="4">
                  <c:v>517.35</c:v>
                </c:pt>
                <c:pt idx="5">
                  <c:v>528.57000000000005</c:v>
                </c:pt>
                <c:pt idx="6">
                  <c:v>523.98</c:v>
                </c:pt>
                <c:pt idx="7">
                  <c:v>524.85</c:v>
                </c:pt>
                <c:pt idx="8">
                  <c:v>522.4</c:v>
                </c:pt>
                <c:pt idx="9">
                  <c:v>510.96</c:v>
                </c:pt>
                <c:pt idx="10">
                  <c:v>514.04999999999995</c:v>
                </c:pt>
                <c:pt idx="11">
                  <c:v>513.57000000000005</c:v>
                </c:pt>
                <c:pt idx="12">
                  <c:v>513.42999999999995</c:v>
                </c:pt>
                <c:pt idx="13">
                  <c:v>511.61</c:v>
                </c:pt>
                <c:pt idx="14">
                  <c:v>513.58000000000004</c:v>
                </c:pt>
                <c:pt idx="15">
                  <c:v>516.79</c:v>
                </c:pt>
                <c:pt idx="16">
                  <c:v>517.66</c:v>
                </c:pt>
                <c:pt idx="17">
                  <c:v>520.54</c:v>
                </c:pt>
                <c:pt idx="18">
                  <c:v>520.55999999999995</c:v>
                </c:pt>
                <c:pt idx="19">
                  <c:v>523.61</c:v>
                </c:pt>
                <c:pt idx="20">
                  <c:v>531.52</c:v>
                </c:pt>
                <c:pt idx="21">
                  <c:v>542.07000000000005</c:v>
                </c:pt>
                <c:pt idx="22">
                  <c:v>541.54999999999995</c:v>
                </c:pt>
                <c:pt idx="23">
                  <c:v>525.76</c:v>
                </c:pt>
                <c:pt idx="24">
                  <c:v>517.80999999999995</c:v>
                </c:pt>
                <c:pt idx="25">
                  <c:v>517.03</c:v>
                </c:pt>
                <c:pt idx="26">
                  <c:v>514.33000000000004</c:v>
                </c:pt>
                <c:pt idx="27">
                  <c:v>507.16</c:v>
                </c:pt>
                <c:pt idx="28">
                  <c:v>497.1</c:v>
                </c:pt>
                <c:pt idx="29">
                  <c:v>496.82</c:v>
                </c:pt>
                <c:pt idx="30">
                  <c:v>506</c:v>
                </c:pt>
                <c:pt idx="31">
                  <c:v>508.68</c:v>
                </c:pt>
                <c:pt idx="32">
                  <c:v>511.14</c:v>
                </c:pt>
                <c:pt idx="33">
                  <c:v>503.29</c:v>
                </c:pt>
                <c:pt idx="34">
                  <c:v>510.18</c:v>
                </c:pt>
                <c:pt idx="35">
                  <c:v>507.49</c:v>
                </c:pt>
                <c:pt idx="36">
                  <c:v>493.79</c:v>
                </c:pt>
                <c:pt idx="37">
                  <c:v>487.12</c:v>
                </c:pt>
                <c:pt idx="38">
                  <c:v>478.43</c:v>
                </c:pt>
                <c:pt idx="39">
                  <c:v>472.12</c:v>
                </c:pt>
                <c:pt idx="40">
                  <c:v>474</c:v>
                </c:pt>
                <c:pt idx="41">
                  <c:v>476.99</c:v>
                </c:pt>
                <c:pt idx="42">
                  <c:v>485.5</c:v>
                </c:pt>
                <c:pt idx="43">
                  <c:v>492.01</c:v>
                </c:pt>
                <c:pt idx="44">
                  <c:v>486.74</c:v>
                </c:pt>
                <c:pt idx="45">
                  <c:v>490</c:v>
                </c:pt>
                <c:pt idx="46">
                  <c:v>477.73</c:v>
                </c:pt>
                <c:pt idx="47">
                  <c:v>480.84</c:v>
                </c:pt>
                <c:pt idx="48">
                  <c:v>483.16</c:v>
                </c:pt>
                <c:pt idx="49">
                  <c:v>491.02</c:v>
                </c:pt>
                <c:pt idx="50">
                  <c:v>492.02</c:v>
                </c:pt>
                <c:pt idx="51">
                  <c:v>478.56</c:v>
                </c:pt>
                <c:pt idx="52">
                  <c:v>483.47</c:v>
                </c:pt>
                <c:pt idx="53">
                  <c:v>478.53</c:v>
                </c:pt>
                <c:pt idx="54">
                  <c:v>474.82</c:v>
                </c:pt>
                <c:pt idx="55">
                  <c:v>476.39</c:v>
                </c:pt>
                <c:pt idx="56">
                  <c:v>476.12</c:v>
                </c:pt>
                <c:pt idx="57">
                  <c:v>483.98</c:v>
                </c:pt>
                <c:pt idx="58">
                  <c:v>485.92</c:v>
                </c:pt>
                <c:pt idx="59">
                  <c:v>484.92</c:v>
                </c:pt>
                <c:pt idx="60">
                  <c:v>486.85</c:v>
                </c:pt>
                <c:pt idx="61">
                  <c:v>488.02</c:v>
                </c:pt>
                <c:pt idx="62">
                  <c:v>487.71</c:v>
                </c:pt>
                <c:pt idx="63">
                  <c:v>487.1</c:v>
                </c:pt>
                <c:pt idx="64">
                  <c:v>487.48</c:v>
                </c:pt>
                <c:pt idx="65">
                  <c:v>483.62</c:v>
                </c:pt>
                <c:pt idx="66">
                  <c:v>472.94</c:v>
                </c:pt>
                <c:pt idx="67">
                  <c:v>472.85</c:v>
                </c:pt>
                <c:pt idx="68">
                  <c:v>478.51</c:v>
                </c:pt>
                <c:pt idx="69">
                  <c:v>483.47</c:v>
                </c:pt>
                <c:pt idx="70">
                  <c:v>478.11</c:v>
                </c:pt>
                <c:pt idx="71">
                  <c:v>479.28</c:v>
                </c:pt>
                <c:pt idx="72">
                  <c:v>477.18</c:v>
                </c:pt>
                <c:pt idx="73">
                  <c:v>470.67</c:v>
                </c:pt>
                <c:pt idx="74">
                  <c:v>459.38</c:v>
                </c:pt>
                <c:pt idx="75">
                  <c:v>456.66</c:v>
                </c:pt>
                <c:pt idx="76">
                  <c:v>459.86</c:v>
                </c:pt>
                <c:pt idx="77">
                  <c:v>454.52</c:v>
                </c:pt>
                <c:pt idx="78">
                  <c:v>444.11</c:v>
                </c:pt>
                <c:pt idx="79">
                  <c:v>451.14</c:v>
                </c:pt>
                <c:pt idx="80">
                  <c:v>465.95</c:v>
                </c:pt>
                <c:pt idx="81">
                  <c:v>470.28</c:v>
                </c:pt>
                <c:pt idx="82">
                  <c:v>480.58</c:v>
                </c:pt>
                <c:pt idx="83">
                  <c:v>481.63</c:v>
                </c:pt>
                <c:pt idx="84">
                  <c:v>433.5</c:v>
                </c:pt>
                <c:pt idx="85">
                  <c:v>430.29</c:v>
                </c:pt>
                <c:pt idx="86">
                  <c:v>423.37</c:v>
                </c:pt>
                <c:pt idx="87">
                  <c:v>411.21</c:v>
                </c:pt>
                <c:pt idx="88">
                  <c:v>414.19</c:v>
                </c:pt>
                <c:pt idx="89">
                  <c:v>393.67</c:v>
                </c:pt>
                <c:pt idx="90">
                  <c:v>401.14</c:v>
                </c:pt>
                <c:pt idx="91">
                  <c:v>413.6</c:v>
                </c:pt>
                <c:pt idx="92">
                  <c:v>413.27</c:v>
                </c:pt>
                <c:pt idx="93">
                  <c:v>404.37</c:v>
                </c:pt>
                <c:pt idx="94">
                  <c:v>401.84</c:v>
                </c:pt>
                <c:pt idx="95">
                  <c:v>401.32</c:v>
                </c:pt>
                <c:pt idx="96">
                  <c:v>396.86</c:v>
                </c:pt>
                <c:pt idx="97">
                  <c:v>399.6</c:v>
                </c:pt>
                <c:pt idx="98">
                  <c:v>398.46</c:v>
                </c:pt>
                <c:pt idx="99">
                  <c:v>397.23</c:v>
                </c:pt>
                <c:pt idx="100">
                  <c:v>384.47</c:v>
                </c:pt>
                <c:pt idx="101">
                  <c:v>389</c:v>
                </c:pt>
                <c:pt idx="102">
                  <c:v>400.6</c:v>
                </c:pt>
                <c:pt idx="103">
                  <c:v>401.72</c:v>
                </c:pt>
                <c:pt idx="104">
                  <c:v>392.74</c:v>
                </c:pt>
                <c:pt idx="105">
                  <c:v>398.55</c:v>
                </c:pt>
                <c:pt idx="106">
                  <c:v>403.93</c:v>
                </c:pt>
                <c:pt idx="107">
                  <c:v>405.2</c:v>
                </c:pt>
                <c:pt idx="108">
                  <c:v>410.68</c:v>
                </c:pt>
                <c:pt idx="109">
                  <c:v>408.96</c:v>
                </c:pt>
                <c:pt idx="110">
                  <c:v>409.41</c:v>
                </c:pt>
                <c:pt idx="111">
                  <c:v>405.76</c:v>
                </c:pt>
                <c:pt idx="112">
                  <c:v>404.88</c:v>
                </c:pt>
                <c:pt idx="113">
                  <c:v>401.86</c:v>
                </c:pt>
                <c:pt idx="114">
                  <c:v>395.55</c:v>
                </c:pt>
                <c:pt idx="115">
                  <c:v>399.95</c:v>
                </c:pt>
                <c:pt idx="116">
                  <c:v>399.41</c:v>
                </c:pt>
                <c:pt idx="117">
                  <c:v>391.79</c:v>
                </c:pt>
                <c:pt idx="118">
                  <c:v>389.02</c:v>
                </c:pt>
                <c:pt idx="119">
                  <c:v>381.87</c:v>
                </c:pt>
                <c:pt idx="120">
                  <c:v>383</c:v>
                </c:pt>
                <c:pt idx="121">
                  <c:v>372.74</c:v>
                </c:pt>
                <c:pt idx="122">
                  <c:v>371.04</c:v>
                </c:pt>
                <c:pt idx="123">
                  <c:v>365.97</c:v>
                </c:pt>
                <c:pt idx="124">
                  <c:v>356.77</c:v>
                </c:pt>
                <c:pt idx="125">
                  <c:v>358.96</c:v>
                </c:pt>
                <c:pt idx="126">
                  <c:v>370.17</c:v>
                </c:pt>
                <c:pt idx="127">
                  <c:v>369.37</c:v>
                </c:pt>
                <c:pt idx="128">
                  <c:v>373.46</c:v>
                </c:pt>
                <c:pt idx="129">
                  <c:v>372.88</c:v>
                </c:pt>
                <c:pt idx="130">
                  <c:v>372.29</c:v>
                </c:pt>
                <c:pt idx="131">
                  <c:v>374.33</c:v>
                </c:pt>
                <c:pt idx="132">
                  <c:v>373.07</c:v>
                </c:pt>
                <c:pt idx="133">
                  <c:v>370.87</c:v>
                </c:pt>
                <c:pt idx="134">
                  <c:v>384.37</c:v>
                </c:pt>
                <c:pt idx="135">
                  <c:v>393.11</c:v>
                </c:pt>
                <c:pt idx="136">
                  <c:v>411.22</c:v>
                </c:pt>
                <c:pt idx="137">
                  <c:v>420.26</c:v>
                </c:pt>
                <c:pt idx="138">
                  <c:v>422.79</c:v>
                </c:pt>
                <c:pt idx="139">
                  <c:v>418.07</c:v>
                </c:pt>
                <c:pt idx="140">
                  <c:v>424.16</c:v>
                </c:pt>
                <c:pt idx="141">
                  <c:v>432.92</c:v>
                </c:pt>
                <c:pt idx="142">
                  <c:v>415.75</c:v>
                </c:pt>
                <c:pt idx="143">
                  <c:v>424.62</c:v>
                </c:pt>
                <c:pt idx="144">
                  <c:v>424.82</c:v>
                </c:pt>
                <c:pt idx="145">
                  <c:v>429.25</c:v>
                </c:pt>
                <c:pt idx="146">
                  <c:v>424.46</c:v>
                </c:pt>
                <c:pt idx="147">
                  <c:v>407.78</c:v>
                </c:pt>
                <c:pt idx="148">
                  <c:v>414.44</c:v>
                </c:pt>
                <c:pt idx="149">
                  <c:v>413.62</c:v>
                </c:pt>
                <c:pt idx="150">
                  <c:v>411.38</c:v>
                </c:pt>
                <c:pt idx="151">
                  <c:v>413.96</c:v>
                </c:pt>
                <c:pt idx="152">
                  <c:v>420.77</c:v>
                </c:pt>
                <c:pt idx="153">
                  <c:v>415.12</c:v>
                </c:pt>
                <c:pt idx="154">
                  <c:v>412.66</c:v>
                </c:pt>
                <c:pt idx="155">
                  <c:v>407.77</c:v>
                </c:pt>
                <c:pt idx="156">
                  <c:v>405.21</c:v>
                </c:pt>
                <c:pt idx="157">
                  <c:v>409.43</c:v>
                </c:pt>
                <c:pt idx="158">
                  <c:v>421.92</c:v>
                </c:pt>
                <c:pt idx="159">
                  <c:v>423.54</c:v>
                </c:pt>
                <c:pt idx="160">
                  <c:v>417.42</c:v>
                </c:pt>
                <c:pt idx="161">
                  <c:v>421.06</c:v>
                </c:pt>
                <c:pt idx="162">
                  <c:v>419.09</c:v>
                </c:pt>
                <c:pt idx="163">
                  <c:v>418.57</c:v>
                </c:pt>
                <c:pt idx="164">
                  <c:v>416.03</c:v>
                </c:pt>
                <c:pt idx="165">
                  <c:v>412.67</c:v>
                </c:pt>
                <c:pt idx="166">
                  <c:v>426.99</c:v>
                </c:pt>
                <c:pt idx="167">
                  <c:v>450.24</c:v>
                </c:pt>
                <c:pt idx="168">
                  <c:v>460.52</c:v>
                </c:pt>
                <c:pt idx="169">
                  <c:v>441.31</c:v>
                </c:pt>
                <c:pt idx="170">
                  <c:v>427.34</c:v>
                </c:pt>
                <c:pt idx="171">
                  <c:v>428.05</c:v>
                </c:pt>
                <c:pt idx="172">
                  <c:v>416.67</c:v>
                </c:pt>
                <c:pt idx="173">
                  <c:v>411.74</c:v>
                </c:pt>
                <c:pt idx="174">
                  <c:v>403.41</c:v>
                </c:pt>
                <c:pt idx="175">
                  <c:v>397.36</c:v>
                </c:pt>
                <c:pt idx="176">
                  <c:v>390.34</c:v>
                </c:pt>
                <c:pt idx="177">
                  <c:v>390.74</c:v>
                </c:pt>
                <c:pt idx="178">
                  <c:v>399.76</c:v>
                </c:pt>
                <c:pt idx="179">
                  <c:v>393.83</c:v>
                </c:pt>
                <c:pt idx="180">
                  <c:v>378.91</c:v>
                </c:pt>
                <c:pt idx="181">
                  <c:v>379.4</c:v>
                </c:pt>
                <c:pt idx="182">
                  <c:v>367.34</c:v>
                </c:pt>
                <c:pt idx="183">
                  <c:v>373.94</c:v>
                </c:pt>
                <c:pt idx="184">
                  <c:v>365.46</c:v>
                </c:pt>
                <c:pt idx="185">
                  <c:v>352.83</c:v>
                </c:pt>
                <c:pt idx="186">
                  <c:v>372.97</c:v>
                </c:pt>
                <c:pt idx="187">
                  <c:v>368.57</c:v>
                </c:pt>
                <c:pt idx="188">
                  <c:v>373.02</c:v>
                </c:pt>
                <c:pt idx="189">
                  <c:v>384.28</c:v>
                </c:pt>
                <c:pt idx="190">
                  <c:v>390.49</c:v>
                </c:pt>
                <c:pt idx="191">
                  <c:v>386.74</c:v>
                </c:pt>
                <c:pt idx="192">
                  <c:v>388.84</c:v>
                </c:pt>
                <c:pt idx="193">
                  <c:v>383.34</c:v>
                </c:pt>
                <c:pt idx="194">
                  <c:v>384.36</c:v>
                </c:pt>
                <c:pt idx="195">
                  <c:v>385.1</c:v>
                </c:pt>
                <c:pt idx="196">
                  <c:v>390.99</c:v>
                </c:pt>
                <c:pt idx="197">
                  <c:v>384.93</c:v>
                </c:pt>
                <c:pt idx="198">
                  <c:v>395.63</c:v>
                </c:pt>
                <c:pt idx="199">
                  <c:v>401.1</c:v>
                </c:pt>
                <c:pt idx="200">
                  <c:v>393.82</c:v>
                </c:pt>
                <c:pt idx="201">
                  <c:v>402.29</c:v>
                </c:pt>
                <c:pt idx="202">
                  <c:v>397.75</c:v>
                </c:pt>
                <c:pt idx="203">
                  <c:v>390.34</c:v>
                </c:pt>
                <c:pt idx="204">
                  <c:v>381.58</c:v>
                </c:pt>
                <c:pt idx="205">
                  <c:v>381.7</c:v>
                </c:pt>
                <c:pt idx="206">
                  <c:v>389.1</c:v>
                </c:pt>
                <c:pt idx="207">
                  <c:v>393.35</c:v>
                </c:pt>
                <c:pt idx="208">
                  <c:v>390.54</c:v>
                </c:pt>
                <c:pt idx="209">
                  <c:v>451.1</c:v>
                </c:pt>
                <c:pt idx="210">
                  <c:v>464.72</c:v>
                </c:pt>
                <c:pt idx="211">
                  <c:v>487.65</c:v>
                </c:pt>
                <c:pt idx="212">
                  <c:v>492.81</c:v>
                </c:pt>
                <c:pt idx="213">
                  <c:v>487.46</c:v>
                </c:pt>
                <c:pt idx="214">
                  <c:v>499.86</c:v>
                </c:pt>
                <c:pt idx="215">
                  <c:v>499.99</c:v>
                </c:pt>
                <c:pt idx="216">
                  <c:v>506.06</c:v>
                </c:pt>
                <c:pt idx="217">
                  <c:v>503.81</c:v>
                </c:pt>
                <c:pt idx="218">
                  <c:v>492.43</c:v>
                </c:pt>
                <c:pt idx="219">
                  <c:v>496.88</c:v>
                </c:pt>
                <c:pt idx="220">
                  <c:v>495.4</c:v>
                </c:pt>
                <c:pt idx="221">
                  <c:v>480.35</c:v>
                </c:pt>
                <c:pt idx="222">
                  <c:v>481.63</c:v>
                </c:pt>
                <c:pt idx="223">
                  <c:v>484.31</c:v>
                </c:pt>
                <c:pt idx="224">
                  <c:v>481.15</c:v>
                </c:pt>
                <c:pt idx="225">
                  <c:v>483.24</c:v>
                </c:pt>
                <c:pt idx="226">
                  <c:v>487.31</c:v>
                </c:pt>
                <c:pt idx="227">
                  <c:v>491.71</c:v>
                </c:pt>
                <c:pt idx="228">
                  <c:v>496.37</c:v>
                </c:pt>
                <c:pt idx="229">
                  <c:v>505.06</c:v>
                </c:pt>
                <c:pt idx="230">
                  <c:v>513.53</c:v>
                </c:pt>
                <c:pt idx="231">
                  <c:v>507.29</c:v>
                </c:pt>
                <c:pt idx="232">
                  <c:v>501.02</c:v>
                </c:pt>
                <c:pt idx="233">
                  <c:v>496.82</c:v>
                </c:pt>
                <c:pt idx="234">
                  <c:v>510.12</c:v>
                </c:pt>
                <c:pt idx="235">
                  <c:v>499.7</c:v>
                </c:pt>
                <c:pt idx="236">
                  <c:v>493.95</c:v>
                </c:pt>
                <c:pt idx="237">
                  <c:v>491.65</c:v>
                </c:pt>
                <c:pt idx="238">
                  <c:v>492.44</c:v>
                </c:pt>
                <c:pt idx="239">
                  <c:v>495.63</c:v>
                </c:pt>
                <c:pt idx="240">
                  <c:v>505.41</c:v>
                </c:pt>
                <c:pt idx="241">
                  <c:v>497.12</c:v>
                </c:pt>
                <c:pt idx="242">
                  <c:v>490.3</c:v>
                </c:pt>
                <c:pt idx="243">
                  <c:v>497.75</c:v>
                </c:pt>
                <c:pt idx="244">
                  <c:v>493.78</c:v>
                </c:pt>
                <c:pt idx="245">
                  <c:v>501.61</c:v>
                </c:pt>
                <c:pt idx="246">
                  <c:v>498</c:v>
                </c:pt>
                <c:pt idx="247">
                  <c:v>500.59</c:v>
                </c:pt>
                <c:pt idx="248">
                  <c:v>497.93</c:v>
                </c:pt>
                <c:pt idx="249">
                  <c:v>516.16999999999996</c:v>
                </c:pt>
              </c:numCache>
            </c:numRef>
          </c:val>
          <c:extLst>
            <c:ext xmlns:c16="http://schemas.microsoft.com/office/drawing/2014/chart" uri="{C3380CC4-5D6E-409C-BE32-E72D297353CC}">
              <c16:uniqueId val="{00000000-8D09-446A-B7B8-F458358EEB60}"/>
            </c:ext>
          </c:extLst>
        </c:ser>
        <c:dLbls>
          <c:showLegendKey val="0"/>
          <c:showVal val="0"/>
          <c:showCatName val="0"/>
          <c:showSerName val="0"/>
          <c:showPercent val="0"/>
          <c:showBubbleSize val="0"/>
        </c:dLbls>
        <c:axId val="1076253871"/>
        <c:axId val="1076274511"/>
      </c:areaChart>
      <c:catAx>
        <c:axId val="1076253871"/>
        <c:scaling>
          <c:orientation val="minMax"/>
        </c:scaling>
        <c:delete val="1"/>
        <c:axPos val="b"/>
        <c:majorTickMark val="out"/>
        <c:minorTickMark val="none"/>
        <c:tickLblPos val="nextTo"/>
        <c:crossAx val="1076274511"/>
        <c:crosses val="autoZero"/>
        <c:auto val="1"/>
        <c:lblAlgn val="ctr"/>
        <c:lblOffset val="100"/>
        <c:noMultiLvlLbl val="0"/>
      </c:catAx>
      <c:valAx>
        <c:axId val="1076274511"/>
        <c:scaling>
          <c:orientation val="minMax"/>
        </c:scaling>
        <c:delete val="0"/>
        <c:axPos val="l"/>
        <c:numFmt formatCode="_([$$-409]* #,##0.00_);_([$$-409]* \(#,##0.00\);_([$$-4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crossAx val="1076253871"/>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GS!$B$1</c:f>
          <c:strCache>
            <c:ptCount val="1"/>
            <c:pt idx="0">
              <c:v>THE GOLDMAN SACHS GROUP, INC. (XNYS:GS)</c:v>
            </c:pt>
          </c:strCache>
        </c:strRef>
      </c:tx>
      <c:layout>
        <c:manualLayout>
          <c:xMode val="edge"/>
          <c:yMode val="edge"/>
          <c:x val="0.23316712421039931"/>
          <c:y val="1.537475666723699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lotArea>
      <c:layout/>
      <c:barChart>
        <c:barDir val="col"/>
        <c:grouping val="clustered"/>
        <c:varyColors val="0"/>
        <c:ser>
          <c:idx val="0"/>
          <c:order val="0"/>
          <c:tx>
            <c:strRef>
              <c:f>GS!$B$6</c:f>
              <c:strCache>
                <c:ptCount val="1"/>
                <c:pt idx="0">
                  <c:v>Volume</c:v>
                </c:pt>
              </c:strCache>
            </c:strRef>
          </c:tx>
          <c:spPr>
            <a:solidFill>
              <a:schemeClr val="accent1"/>
            </a:solidFill>
            <a:ln w="38100">
              <a:noFill/>
            </a:ln>
            <a:effectLst/>
          </c:spPr>
          <c:invertIfNegative val="0"/>
          <c:cat>
            <c:numRef>
              <c:f>GS!$A$7:$A$27</c:f>
              <c:numCache>
                <c:formatCode>m/d/yyyy</c:formatCode>
                <c:ptCount val="21"/>
                <c:pt idx="0">
                  <c:v>46265</c:v>
                </c:pt>
                <c:pt idx="1">
                  <c:v>46266</c:v>
                </c:pt>
                <c:pt idx="2">
                  <c:v>46267</c:v>
                </c:pt>
                <c:pt idx="3">
                  <c:v>46268</c:v>
                </c:pt>
                <c:pt idx="4">
                  <c:v>46269</c:v>
                </c:pt>
                <c:pt idx="5">
                  <c:v>46273</c:v>
                </c:pt>
                <c:pt idx="6">
                  <c:v>46274</c:v>
                </c:pt>
                <c:pt idx="7">
                  <c:v>46275</c:v>
                </c:pt>
                <c:pt idx="8">
                  <c:v>46276</c:v>
                </c:pt>
                <c:pt idx="9">
                  <c:v>46279</c:v>
                </c:pt>
                <c:pt idx="10">
                  <c:v>46280</c:v>
                </c:pt>
                <c:pt idx="11">
                  <c:v>46281</c:v>
                </c:pt>
                <c:pt idx="12">
                  <c:v>46282</c:v>
                </c:pt>
                <c:pt idx="13">
                  <c:v>46283</c:v>
                </c:pt>
                <c:pt idx="14">
                  <c:v>46286</c:v>
                </c:pt>
                <c:pt idx="15">
                  <c:v>46287</c:v>
                </c:pt>
                <c:pt idx="16">
                  <c:v>46288</c:v>
                </c:pt>
                <c:pt idx="17">
                  <c:v>46289</c:v>
                </c:pt>
                <c:pt idx="18">
                  <c:v>46290</c:v>
                </c:pt>
                <c:pt idx="19">
                  <c:v>46293</c:v>
                </c:pt>
              </c:numCache>
            </c:numRef>
          </c:cat>
          <c:val>
            <c:numRef>
              <c:f>GS!$B$7:$B$27</c:f>
              <c:numCache>
                <c:formatCode>#,##0</c:formatCode>
                <c:ptCount val="21"/>
                <c:pt idx="0">
                  <c:v>1361114</c:v>
                </c:pt>
                <c:pt idx="1">
                  <c:v>1846398</c:v>
                </c:pt>
                <c:pt idx="2">
                  <c:v>2194092</c:v>
                </c:pt>
                <c:pt idx="3">
                  <c:v>1676091</c:v>
                </c:pt>
                <c:pt idx="4">
                  <c:v>1429525</c:v>
                </c:pt>
                <c:pt idx="5">
                  <c:v>1263453</c:v>
                </c:pt>
                <c:pt idx="6">
                  <c:v>1661698</c:v>
                </c:pt>
                <c:pt idx="7">
                  <c:v>1886255</c:v>
                </c:pt>
                <c:pt idx="8">
                  <c:v>1156879</c:v>
                </c:pt>
                <c:pt idx="9">
                  <c:v>2209520</c:v>
                </c:pt>
                <c:pt idx="10">
                  <c:v>2349222</c:v>
                </c:pt>
                <c:pt idx="11">
                  <c:v>3551273</c:v>
                </c:pt>
                <c:pt idx="12">
                  <c:v>3288098</c:v>
                </c:pt>
                <c:pt idx="13">
                  <c:v>3983987</c:v>
                </c:pt>
                <c:pt idx="14">
                  <c:v>1864045</c:v>
                </c:pt>
                <c:pt idx="15">
                  <c:v>2053377</c:v>
                </c:pt>
                <c:pt idx="16">
                  <c:v>2136310</c:v>
                </c:pt>
                <c:pt idx="17">
                  <c:v>2354548</c:v>
                </c:pt>
                <c:pt idx="18">
                  <c:v>1956111</c:v>
                </c:pt>
                <c:pt idx="19">
                  <c:v>1825530</c:v>
                </c:pt>
              </c:numCache>
            </c:numRef>
          </c:val>
          <c:extLst>
            <c:ext xmlns:c16="http://schemas.microsoft.com/office/drawing/2014/chart" uri="{C3380CC4-5D6E-409C-BE32-E72D297353CC}">
              <c16:uniqueId val="{00000000-544B-40F8-8E68-2813BA02C889}"/>
            </c:ext>
          </c:extLst>
        </c:ser>
        <c:dLbls>
          <c:showLegendKey val="0"/>
          <c:showVal val="0"/>
          <c:showCatName val="0"/>
          <c:showSerName val="0"/>
          <c:showPercent val="0"/>
          <c:showBubbleSize val="0"/>
        </c:dLbls>
        <c:gapWidth val="150"/>
        <c:axId val="1641718448"/>
        <c:axId val="1641718928"/>
      </c:barChart>
      <c:stockChart>
        <c:ser>
          <c:idx val="1"/>
          <c:order val="1"/>
          <c:tx>
            <c:strRef>
              <c:f>GS!$C$6</c:f>
              <c:strCache>
                <c:ptCount val="1"/>
                <c:pt idx="0">
                  <c:v>Open</c:v>
                </c:pt>
              </c:strCache>
            </c:strRef>
          </c:tx>
          <c:spPr>
            <a:ln w="38100" cap="rnd">
              <a:noFill/>
              <a:round/>
            </a:ln>
            <a:effectLst/>
          </c:spPr>
          <c:marker>
            <c:symbol val="none"/>
          </c:marker>
          <c:cat>
            <c:numRef>
              <c:f>GS!$A$7:$A$27</c:f>
              <c:numCache>
                <c:formatCode>m/d/yyyy</c:formatCode>
                <c:ptCount val="21"/>
                <c:pt idx="0">
                  <c:v>46265</c:v>
                </c:pt>
                <c:pt idx="1">
                  <c:v>46266</c:v>
                </c:pt>
                <c:pt idx="2">
                  <c:v>46267</c:v>
                </c:pt>
                <c:pt idx="3">
                  <c:v>46268</c:v>
                </c:pt>
                <c:pt idx="4">
                  <c:v>46269</c:v>
                </c:pt>
                <c:pt idx="5">
                  <c:v>46273</c:v>
                </c:pt>
                <c:pt idx="6">
                  <c:v>46274</c:v>
                </c:pt>
                <c:pt idx="7">
                  <c:v>46275</c:v>
                </c:pt>
                <c:pt idx="8">
                  <c:v>46276</c:v>
                </c:pt>
                <c:pt idx="9">
                  <c:v>46279</c:v>
                </c:pt>
                <c:pt idx="10">
                  <c:v>46280</c:v>
                </c:pt>
                <c:pt idx="11">
                  <c:v>46281</c:v>
                </c:pt>
                <c:pt idx="12">
                  <c:v>46282</c:v>
                </c:pt>
                <c:pt idx="13">
                  <c:v>46283</c:v>
                </c:pt>
                <c:pt idx="14">
                  <c:v>46286</c:v>
                </c:pt>
                <c:pt idx="15">
                  <c:v>46287</c:v>
                </c:pt>
                <c:pt idx="16">
                  <c:v>46288</c:v>
                </c:pt>
                <c:pt idx="17">
                  <c:v>46289</c:v>
                </c:pt>
                <c:pt idx="18">
                  <c:v>46290</c:v>
                </c:pt>
                <c:pt idx="19">
                  <c:v>46293</c:v>
                </c:pt>
              </c:numCache>
            </c:numRef>
          </c:cat>
          <c:val>
            <c:numRef>
              <c:f>GS!$C$7:$C$27</c:f>
              <c:numCache>
                <c:formatCode>_([$$-409]* #,##0.00_);_([$$-409]* \(#,##0.00\);_([$$-409]* "-"??_);_(@_)</c:formatCode>
                <c:ptCount val="21"/>
                <c:pt idx="0">
                  <c:v>1032.5999999999999</c:v>
                </c:pt>
                <c:pt idx="1">
                  <c:v>1004.72</c:v>
                </c:pt>
                <c:pt idx="2">
                  <c:v>1009.74</c:v>
                </c:pt>
                <c:pt idx="3">
                  <c:v>1013.5</c:v>
                </c:pt>
                <c:pt idx="4">
                  <c:v>1031.0899999999999</c:v>
                </c:pt>
                <c:pt idx="5">
                  <c:v>1040.55</c:v>
                </c:pt>
                <c:pt idx="6">
                  <c:v>1028</c:v>
                </c:pt>
                <c:pt idx="7">
                  <c:v>1017.29</c:v>
                </c:pt>
                <c:pt idx="8">
                  <c:v>1035.05</c:v>
                </c:pt>
                <c:pt idx="9">
                  <c:v>1010</c:v>
                </c:pt>
                <c:pt idx="10">
                  <c:v>984.65</c:v>
                </c:pt>
                <c:pt idx="11">
                  <c:v>981.46</c:v>
                </c:pt>
                <c:pt idx="12">
                  <c:v>940.1</c:v>
                </c:pt>
                <c:pt idx="13">
                  <c:v>948.96</c:v>
                </c:pt>
                <c:pt idx="14">
                  <c:v>956.495</c:v>
                </c:pt>
                <c:pt idx="15">
                  <c:v>967.39</c:v>
                </c:pt>
                <c:pt idx="16">
                  <c:v>940.73</c:v>
                </c:pt>
                <c:pt idx="17">
                  <c:v>931</c:v>
                </c:pt>
                <c:pt idx="18">
                  <c:v>927.5</c:v>
                </c:pt>
                <c:pt idx="19">
                  <c:v>930.94</c:v>
                </c:pt>
              </c:numCache>
            </c:numRef>
          </c:val>
          <c:smooth val="0"/>
          <c:extLst>
            <c:ext xmlns:c16="http://schemas.microsoft.com/office/drawing/2014/chart" uri="{C3380CC4-5D6E-409C-BE32-E72D297353CC}">
              <c16:uniqueId val="{00000001-544B-40F8-8E68-2813BA02C889}"/>
            </c:ext>
          </c:extLst>
        </c:ser>
        <c:ser>
          <c:idx val="2"/>
          <c:order val="2"/>
          <c:tx>
            <c:strRef>
              <c:f>GS!$D$6</c:f>
              <c:strCache>
                <c:ptCount val="1"/>
                <c:pt idx="0">
                  <c:v>High</c:v>
                </c:pt>
              </c:strCache>
            </c:strRef>
          </c:tx>
          <c:spPr>
            <a:ln w="38100" cap="rnd">
              <a:noFill/>
              <a:round/>
            </a:ln>
            <a:effectLst/>
          </c:spPr>
          <c:marker>
            <c:symbol val="none"/>
          </c:marker>
          <c:cat>
            <c:numRef>
              <c:f>GS!$A$7:$A$27</c:f>
              <c:numCache>
                <c:formatCode>m/d/yyyy</c:formatCode>
                <c:ptCount val="21"/>
                <c:pt idx="0">
                  <c:v>46265</c:v>
                </c:pt>
                <c:pt idx="1">
                  <c:v>46266</c:v>
                </c:pt>
                <c:pt idx="2">
                  <c:v>46267</c:v>
                </c:pt>
                <c:pt idx="3">
                  <c:v>46268</c:v>
                </c:pt>
                <c:pt idx="4">
                  <c:v>46269</c:v>
                </c:pt>
                <c:pt idx="5">
                  <c:v>46273</c:v>
                </c:pt>
                <c:pt idx="6">
                  <c:v>46274</c:v>
                </c:pt>
                <c:pt idx="7">
                  <c:v>46275</c:v>
                </c:pt>
                <c:pt idx="8">
                  <c:v>46276</c:v>
                </c:pt>
                <c:pt idx="9">
                  <c:v>46279</c:v>
                </c:pt>
                <c:pt idx="10">
                  <c:v>46280</c:v>
                </c:pt>
                <c:pt idx="11">
                  <c:v>46281</c:v>
                </c:pt>
                <c:pt idx="12">
                  <c:v>46282</c:v>
                </c:pt>
                <c:pt idx="13">
                  <c:v>46283</c:v>
                </c:pt>
                <c:pt idx="14">
                  <c:v>46286</c:v>
                </c:pt>
                <c:pt idx="15">
                  <c:v>46287</c:v>
                </c:pt>
                <c:pt idx="16">
                  <c:v>46288</c:v>
                </c:pt>
                <c:pt idx="17">
                  <c:v>46289</c:v>
                </c:pt>
                <c:pt idx="18">
                  <c:v>46290</c:v>
                </c:pt>
                <c:pt idx="19">
                  <c:v>46293</c:v>
                </c:pt>
              </c:numCache>
            </c:numRef>
          </c:cat>
          <c:val>
            <c:numRef>
              <c:f>GS!$D$7:$D$27</c:f>
              <c:numCache>
                <c:formatCode>_([$$-409]* #,##0.00_);_([$$-409]* \(#,##0.00\);_([$$-409]* "-"??_);_(@_)</c:formatCode>
                <c:ptCount val="21"/>
                <c:pt idx="0">
                  <c:v>1032.5999999999999</c:v>
                </c:pt>
                <c:pt idx="1">
                  <c:v>1031.1199999999999</c:v>
                </c:pt>
                <c:pt idx="2">
                  <c:v>1021.843</c:v>
                </c:pt>
                <c:pt idx="3">
                  <c:v>1039.83</c:v>
                </c:pt>
                <c:pt idx="4">
                  <c:v>1041.1953000000001</c:v>
                </c:pt>
                <c:pt idx="5">
                  <c:v>1043.8399999999999</c:v>
                </c:pt>
                <c:pt idx="6">
                  <c:v>1038.4324999999999</c:v>
                </c:pt>
                <c:pt idx="7">
                  <c:v>1027.23</c:v>
                </c:pt>
                <c:pt idx="8">
                  <c:v>1042.99</c:v>
                </c:pt>
                <c:pt idx="9">
                  <c:v>1013.69</c:v>
                </c:pt>
                <c:pt idx="10">
                  <c:v>988.28</c:v>
                </c:pt>
                <c:pt idx="11">
                  <c:v>984.66</c:v>
                </c:pt>
                <c:pt idx="12">
                  <c:v>957.97</c:v>
                </c:pt>
                <c:pt idx="13">
                  <c:v>952.99</c:v>
                </c:pt>
                <c:pt idx="14">
                  <c:v>962.22</c:v>
                </c:pt>
                <c:pt idx="15">
                  <c:v>967.76</c:v>
                </c:pt>
                <c:pt idx="16">
                  <c:v>954.98</c:v>
                </c:pt>
                <c:pt idx="17">
                  <c:v>933.41</c:v>
                </c:pt>
                <c:pt idx="18">
                  <c:v>935.83</c:v>
                </c:pt>
                <c:pt idx="19">
                  <c:v>932</c:v>
                </c:pt>
              </c:numCache>
            </c:numRef>
          </c:val>
          <c:smooth val="0"/>
          <c:extLst>
            <c:ext xmlns:c16="http://schemas.microsoft.com/office/drawing/2014/chart" uri="{C3380CC4-5D6E-409C-BE32-E72D297353CC}">
              <c16:uniqueId val="{00000002-544B-40F8-8E68-2813BA02C889}"/>
            </c:ext>
          </c:extLst>
        </c:ser>
        <c:ser>
          <c:idx val="3"/>
          <c:order val="3"/>
          <c:tx>
            <c:strRef>
              <c:f>GS!$E$6</c:f>
              <c:strCache>
                <c:ptCount val="1"/>
                <c:pt idx="0">
                  <c:v>Low</c:v>
                </c:pt>
              </c:strCache>
            </c:strRef>
          </c:tx>
          <c:spPr>
            <a:ln w="38100" cap="rnd">
              <a:noFill/>
              <a:round/>
            </a:ln>
            <a:effectLst/>
          </c:spPr>
          <c:marker>
            <c:symbol val="none"/>
          </c:marker>
          <c:cat>
            <c:numRef>
              <c:f>GS!$A$7:$A$27</c:f>
              <c:numCache>
                <c:formatCode>m/d/yyyy</c:formatCode>
                <c:ptCount val="21"/>
                <c:pt idx="0">
                  <c:v>46265</c:v>
                </c:pt>
                <c:pt idx="1">
                  <c:v>46266</c:v>
                </c:pt>
                <c:pt idx="2">
                  <c:v>46267</c:v>
                </c:pt>
                <c:pt idx="3">
                  <c:v>46268</c:v>
                </c:pt>
                <c:pt idx="4">
                  <c:v>46269</c:v>
                </c:pt>
                <c:pt idx="5">
                  <c:v>46273</c:v>
                </c:pt>
                <c:pt idx="6">
                  <c:v>46274</c:v>
                </c:pt>
                <c:pt idx="7">
                  <c:v>46275</c:v>
                </c:pt>
                <c:pt idx="8">
                  <c:v>46276</c:v>
                </c:pt>
                <c:pt idx="9">
                  <c:v>46279</c:v>
                </c:pt>
                <c:pt idx="10">
                  <c:v>46280</c:v>
                </c:pt>
                <c:pt idx="11">
                  <c:v>46281</c:v>
                </c:pt>
                <c:pt idx="12">
                  <c:v>46282</c:v>
                </c:pt>
                <c:pt idx="13">
                  <c:v>46283</c:v>
                </c:pt>
                <c:pt idx="14">
                  <c:v>46286</c:v>
                </c:pt>
                <c:pt idx="15">
                  <c:v>46287</c:v>
                </c:pt>
                <c:pt idx="16">
                  <c:v>46288</c:v>
                </c:pt>
                <c:pt idx="17">
                  <c:v>46289</c:v>
                </c:pt>
                <c:pt idx="18">
                  <c:v>46290</c:v>
                </c:pt>
                <c:pt idx="19">
                  <c:v>46293</c:v>
                </c:pt>
              </c:numCache>
            </c:numRef>
          </c:cat>
          <c:val>
            <c:numRef>
              <c:f>GS!$E$7:$E$27</c:f>
              <c:numCache>
                <c:formatCode>_([$$-409]* #,##0.00_);_([$$-409]* \(#,##0.00\);_([$$-409]* "-"??_);_(@_)</c:formatCode>
                <c:ptCount val="21"/>
                <c:pt idx="0">
                  <c:v>1022.6201</c:v>
                </c:pt>
                <c:pt idx="1">
                  <c:v>996.97</c:v>
                </c:pt>
                <c:pt idx="2">
                  <c:v>998</c:v>
                </c:pt>
                <c:pt idx="3">
                  <c:v>1012.5</c:v>
                </c:pt>
                <c:pt idx="4">
                  <c:v>1024.6300000000001</c:v>
                </c:pt>
                <c:pt idx="5">
                  <c:v>1028.56</c:v>
                </c:pt>
                <c:pt idx="6">
                  <c:v>1011.4</c:v>
                </c:pt>
                <c:pt idx="7">
                  <c:v>1011.68</c:v>
                </c:pt>
                <c:pt idx="8">
                  <c:v>1018.585</c:v>
                </c:pt>
                <c:pt idx="9">
                  <c:v>978.93</c:v>
                </c:pt>
                <c:pt idx="10">
                  <c:v>954.49</c:v>
                </c:pt>
                <c:pt idx="11">
                  <c:v>932.37009999999998</c:v>
                </c:pt>
                <c:pt idx="12">
                  <c:v>922</c:v>
                </c:pt>
                <c:pt idx="13">
                  <c:v>939.55</c:v>
                </c:pt>
                <c:pt idx="14">
                  <c:v>942.62</c:v>
                </c:pt>
                <c:pt idx="15">
                  <c:v>936.77499999999998</c:v>
                </c:pt>
                <c:pt idx="16">
                  <c:v>933.67499999999995</c:v>
                </c:pt>
                <c:pt idx="17">
                  <c:v>914.68</c:v>
                </c:pt>
                <c:pt idx="18">
                  <c:v>915.3</c:v>
                </c:pt>
                <c:pt idx="19">
                  <c:v>914.5</c:v>
                </c:pt>
              </c:numCache>
            </c:numRef>
          </c:val>
          <c:smooth val="0"/>
          <c:extLst>
            <c:ext xmlns:c16="http://schemas.microsoft.com/office/drawing/2014/chart" uri="{C3380CC4-5D6E-409C-BE32-E72D297353CC}">
              <c16:uniqueId val="{00000003-544B-40F8-8E68-2813BA02C889}"/>
            </c:ext>
          </c:extLst>
        </c:ser>
        <c:ser>
          <c:idx val="4"/>
          <c:order val="4"/>
          <c:tx>
            <c:strRef>
              <c:f>GS!$F$6</c:f>
              <c:strCache>
                <c:ptCount val="1"/>
                <c:pt idx="0">
                  <c:v>Close</c:v>
                </c:pt>
              </c:strCache>
            </c:strRef>
          </c:tx>
          <c:spPr>
            <a:ln w="38100" cap="rnd">
              <a:noFill/>
              <a:round/>
            </a:ln>
            <a:effectLst/>
          </c:spPr>
          <c:marker>
            <c:symbol val="none"/>
          </c:marker>
          <c:cat>
            <c:numRef>
              <c:f>GS!$A$7:$A$27</c:f>
              <c:numCache>
                <c:formatCode>m/d/yyyy</c:formatCode>
                <c:ptCount val="21"/>
                <c:pt idx="0">
                  <c:v>46265</c:v>
                </c:pt>
                <c:pt idx="1">
                  <c:v>46266</c:v>
                </c:pt>
                <c:pt idx="2">
                  <c:v>46267</c:v>
                </c:pt>
                <c:pt idx="3">
                  <c:v>46268</c:v>
                </c:pt>
                <c:pt idx="4">
                  <c:v>46269</c:v>
                </c:pt>
                <c:pt idx="5">
                  <c:v>46273</c:v>
                </c:pt>
                <c:pt idx="6">
                  <c:v>46274</c:v>
                </c:pt>
                <c:pt idx="7">
                  <c:v>46275</c:v>
                </c:pt>
                <c:pt idx="8">
                  <c:v>46276</c:v>
                </c:pt>
                <c:pt idx="9">
                  <c:v>46279</c:v>
                </c:pt>
                <c:pt idx="10">
                  <c:v>46280</c:v>
                </c:pt>
                <c:pt idx="11">
                  <c:v>46281</c:v>
                </c:pt>
                <c:pt idx="12">
                  <c:v>46282</c:v>
                </c:pt>
                <c:pt idx="13">
                  <c:v>46283</c:v>
                </c:pt>
                <c:pt idx="14">
                  <c:v>46286</c:v>
                </c:pt>
                <c:pt idx="15">
                  <c:v>46287</c:v>
                </c:pt>
                <c:pt idx="16">
                  <c:v>46288</c:v>
                </c:pt>
                <c:pt idx="17">
                  <c:v>46289</c:v>
                </c:pt>
                <c:pt idx="18">
                  <c:v>46290</c:v>
                </c:pt>
                <c:pt idx="19">
                  <c:v>46293</c:v>
                </c:pt>
              </c:numCache>
            </c:numRef>
          </c:cat>
          <c:val>
            <c:numRef>
              <c:f>GS!$F$7:$F$27</c:f>
              <c:numCache>
                <c:formatCode>_([$$-409]* #,##0.00_);_([$$-409]* \(#,##0.00\);_([$$-409]* "-"??_);_(@_)</c:formatCode>
                <c:ptCount val="21"/>
                <c:pt idx="0">
                  <c:v>1025.9000000000001</c:v>
                </c:pt>
                <c:pt idx="1">
                  <c:v>1002.56</c:v>
                </c:pt>
                <c:pt idx="2">
                  <c:v>1004.42</c:v>
                </c:pt>
                <c:pt idx="3">
                  <c:v>1037.93</c:v>
                </c:pt>
                <c:pt idx="4">
                  <c:v>1038.6099999999999</c:v>
                </c:pt>
                <c:pt idx="5">
                  <c:v>1036.53</c:v>
                </c:pt>
                <c:pt idx="6">
                  <c:v>1028.78</c:v>
                </c:pt>
                <c:pt idx="7">
                  <c:v>1019.77</c:v>
                </c:pt>
                <c:pt idx="8">
                  <c:v>1029.18</c:v>
                </c:pt>
                <c:pt idx="9">
                  <c:v>988.45</c:v>
                </c:pt>
                <c:pt idx="10">
                  <c:v>976.67</c:v>
                </c:pt>
                <c:pt idx="11">
                  <c:v>937.98</c:v>
                </c:pt>
                <c:pt idx="12">
                  <c:v>951.47</c:v>
                </c:pt>
                <c:pt idx="13">
                  <c:v>942</c:v>
                </c:pt>
                <c:pt idx="14">
                  <c:v>959.39</c:v>
                </c:pt>
                <c:pt idx="15">
                  <c:v>949.49</c:v>
                </c:pt>
                <c:pt idx="16">
                  <c:v>936.36</c:v>
                </c:pt>
                <c:pt idx="17">
                  <c:v>923.29</c:v>
                </c:pt>
                <c:pt idx="18">
                  <c:v>935.45</c:v>
                </c:pt>
                <c:pt idx="19">
                  <c:v>916.28</c:v>
                </c:pt>
              </c:numCache>
            </c:numRef>
          </c:val>
          <c:smooth val="0"/>
          <c:extLst>
            <c:ext xmlns:c16="http://schemas.microsoft.com/office/drawing/2014/chart" uri="{C3380CC4-5D6E-409C-BE32-E72D297353CC}">
              <c16:uniqueId val="{00000004-544B-40F8-8E68-2813BA02C889}"/>
            </c:ext>
          </c:extLst>
        </c:ser>
        <c:dLbls>
          <c:showLegendKey val="0"/>
          <c:showVal val="0"/>
          <c:showCatName val="0"/>
          <c:showSerName val="0"/>
          <c:showPercent val="0"/>
          <c:showBubbleSize val="0"/>
        </c:dLbls>
        <c:hiLowLines>
          <c:spPr>
            <a:ln w="9525" cap="flat" cmpd="sng" algn="ctr">
              <a:solidFill>
                <a:schemeClr val="tx1">
                  <a:lumMod val="75000"/>
                  <a:lumOff val="25000"/>
                </a:schemeClr>
              </a:solidFill>
              <a:round/>
            </a:ln>
            <a:effectLst/>
          </c:spPr>
        </c:hiLowLines>
        <c:upDownBars>
          <c:gapWidth val="150"/>
          <c:upBars>
            <c:spPr>
              <a:solidFill>
                <a:schemeClr val="lt1"/>
              </a:solidFill>
              <a:ln w="9525" cap="flat" cmpd="sng" algn="ctr">
                <a:solidFill>
                  <a:schemeClr val="tx1">
                    <a:lumMod val="65000"/>
                    <a:lumOff val="35000"/>
                  </a:schemeClr>
                </a:solidFill>
                <a:round/>
              </a:ln>
              <a:effectLst/>
            </c:spPr>
          </c:upBars>
          <c:downBars>
            <c:spPr>
              <a:solidFill>
                <a:schemeClr val="dk1">
                  <a:lumMod val="75000"/>
                  <a:lumOff val="25000"/>
                </a:schemeClr>
              </a:solidFill>
              <a:ln w="9525" cap="flat" cmpd="sng" algn="ctr">
                <a:solidFill>
                  <a:schemeClr val="tx1">
                    <a:lumMod val="65000"/>
                    <a:lumOff val="35000"/>
                  </a:schemeClr>
                </a:solidFill>
                <a:round/>
              </a:ln>
              <a:effectLst/>
            </c:spPr>
          </c:downBars>
        </c:upDownBars>
        <c:axId val="1641844592"/>
        <c:axId val="1948494816"/>
      </c:stockChart>
      <c:dateAx>
        <c:axId val="1641718448"/>
        <c:scaling>
          <c:orientation val="minMax"/>
        </c:scaling>
        <c:delete val="0"/>
        <c:axPos val="b"/>
        <c:numFmt formatCode="d\-mmm"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crossAx val="1641718928"/>
        <c:crosses val="autoZero"/>
        <c:auto val="1"/>
        <c:lblOffset val="100"/>
        <c:baseTimeUnit val="days"/>
      </c:dateAx>
      <c:valAx>
        <c:axId val="1641718928"/>
        <c:scaling>
          <c:orientation val="minMax"/>
        </c:scaling>
        <c:delete val="0"/>
        <c:axPos val="l"/>
        <c:majorGridlines>
          <c:spPr>
            <a:ln w="9525" cap="flat" cmpd="sng" algn="ctr">
              <a:solidFill>
                <a:schemeClr val="tx1">
                  <a:lumMod val="15000"/>
                  <a:lumOff val="85000"/>
                </a:schemeClr>
              </a:solidFill>
              <a:round/>
            </a:ln>
            <a:effectLst/>
          </c:spPr>
        </c:majorGridlines>
        <c:numFmt formatCode="#,##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crossAx val="1641718448"/>
        <c:crosses val="autoZero"/>
        <c:crossBetween val="between"/>
      </c:valAx>
      <c:valAx>
        <c:axId val="1948494816"/>
        <c:scaling>
          <c:orientation val="minMax"/>
        </c:scaling>
        <c:delete val="0"/>
        <c:axPos val="r"/>
        <c:majorGridlines>
          <c:spPr>
            <a:ln w="9525" cap="flat" cmpd="sng" algn="ctr">
              <a:solidFill>
                <a:schemeClr val="tx1">
                  <a:lumMod val="15000"/>
                  <a:lumOff val="85000"/>
                </a:schemeClr>
              </a:solidFill>
              <a:round/>
            </a:ln>
            <a:effectLst/>
          </c:spPr>
        </c:majorGridlines>
        <c:numFmt formatCode="_([$$-409]* #,##0.00_);_([$$-409]* \(#,##0.00\);_([$$-4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crossAx val="1641844592"/>
        <c:crosses val="max"/>
        <c:crossBetween val="between"/>
      </c:valAx>
      <c:dateAx>
        <c:axId val="1641844592"/>
        <c:scaling>
          <c:orientation val="minMax"/>
        </c:scaling>
        <c:delete val="1"/>
        <c:axPos val="b"/>
        <c:numFmt formatCode="m/d/yyyy" sourceLinked="1"/>
        <c:majorTickMark val="out"/>
        <c:minorTickMark val="none"/>
        <c:tickLblPos val="nextTo"/>
        <c:crossAx val="1948494816"/>
        <c:crosses val="autoZero"/>
        <c:auto val="1"/>
        <c:lblOffset val="100"/>
        <c:baseTimeUnit val="days"/>
      </c:date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Close Last 12 Months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lotArea>
      <c:layout>
        <c:manualLayout>
          <c:layoutTarget val="inner"/>
          <c:xMode val="edge"/>
          <c:yMode val="edge"/>
          <c:x val="0.1035513225517469"/>
          <c:y val="0.12968531468531469"/>
          <c:w val="0.88247662156002959"/>
          <c:h val="0.83185314685314682"/>
        </c:manualLayout>
      </c:layout>
      <c:areaChart>
        <c:grouping val="standard"/>
        <c:varyColors val="0"/>
        <c:ser>
          <c:idx val="0"/>
          <c:order val="0"/>
          <c:spPr>
            <a:gradFill>
              <a:gsLst>
                <a:gs pos="96000">
                  <a:schemeClr val="accent1">
                    <a:lumMod val="5000"/>
                    <a:lumOff val="95000"/>
                  </a:schemeClr>
                </a:gs>
                <a:gs pos="43000">
                  <a:srgbClr val="417A85"/>
                </a:gs>
                <a:gs pos="76000">
                  <a:srgbClr val="417A85"/>
                </a:gs>
              </a:gsLst>
              <a:lin ang="5400000" scaled="1"/>
            </a:gradFill>
            <a:ln>
              <a:noFill/>
            </a:ln>
            <a:effectLst/>
          </c:spPr>
          <c:val>
            <c:numRef>
              <c:f>GS!$C$4:$IR$4</c:f>
              <c:numCache>
                <c:formatCode>_([$$-409]* #,##0.00_);_([$$-409]* \(#,##0.00\);_([$$-409]* "-"??_);_(@_)</c:formatCode>
                <c:ptCount val="250"/>
                <c:pt idx="0">
                  <c:v>804.12</c:v>
                </c:pt>
                <c:pt idx="1">
                  <c:v>796.35</c:v>
                </c:pt>
                <c:pt idx="2">
                  <c:v>785.51</c:v>
                </c:pt>
                <c:pt idx="3">
                  <c:v>779.38</c:v>
                </c:pt>
                <c:pt idx="4">
                  <c:v>789.98</c:v>
                </c:pt>
                <c:pt idx="5">
                  <c:v>796.78</c:v>
                </c:pt>
                <c:pt idx="6">
                  <c:v>789.65</c:v>
                </c:pt>
                <c:pt idx="7">
                  <c:v>776.51</c:v>
                </c:pt>
                <c:pt idx="8">
                  <c:v>779.96</c:v>
                </c:pt>
                <c:pt idx="9">
                  <c:v>764.36</c:v>
                </c:pt>
                <c:pt idx="10">
                  <c:v>786.78</c:v>
                </c:pt>
                <c:pt idx="11">
                  <c:v>770.76</c:v>
                </c:pt>
                <c:pt idx="12">
                  <c:v>767.93</c:v>
                </c:pt>
                <c:pt idx="13">
                  <c:v>758.09</c:v>
                </c:pt>
                <c:pt idx="14">
                  <c:v>750.77</c:v>
                </c:pt>
                <c:pt idx="15">
                  <c:v>763.32</c:v>
                </c:pt>
                <c:pt idx="16">
                  <c:v>758.98</c:v>
                </c:pt>
                <c:pt idx="17">
                  <c:v>744.6</c:v>
                </c:pt>
                <c:pt idx="18">
                  <c:v>750.78</c:v>
                </c:pt>
                <c:pt idx="19">
                  <c:v>783.88</c:v>
                </c:pt>
                <c:pt idx="20">
                  <c:v>789.99</c:v>
                </c:pt>
                <c:pt idx="21">
                  <c:v>792.09</c:v>
                </c:pt>
                <c:pt idx="22">
                  <c:v>783.06</c:v>
                </c:pt>
                <c:pt idx="23">
                  <c:v>790.16</c:v>
                </c:pt>
                <c:pt idx="24">
                  <c:v>789.37</c:v>
                </c:pt>
                <c:pt idx="25">
                  <c:v>785.52</c:v>
                </c:pt>
                <c:pt idx="26">
                  <c:v>790.83</c:v>
                </c:pt>
                <c:pt idx="27">
                  <c:v>793.09</c:v>
                </c:pt>
                <c:pt idx="28">
                  <c:v>787.58</c:v>
                </c:pt>
                <c:pt idx="29">
                  <c:v>786.34</c:v>
                </c:pt>
                <c:pt idx="30">
                  <c:v>797.2</c:v>
                </c:pt>
                <c:pt idx="31">
                  <c:v>810.31</c:v>
                </c:pt>
                <c:pt idx="32">
                  <c:v>838.97</c:v>
                </c:pt>
                <c:pt idx="33">
                  <c:v>805.5</c:v>
                </c:pt>
                <c:pt idx="34">
                  <c:v>790.91</c:v>
                </c:pt>
                <c:pt idx="35">
                  <c:v>775.56</c:v>
                </c:pt>
                <c:pt idx="36">
                  <c:v>776.3</c:v>
                </c:pt>
                <c:pt idx="37">
                  <c:v>785.99</c:v>
                </c:pt>
                <c:pt idx="38">
                  <c:v>773.7</c:v>
                </c:pt>
                <c:pt idx="39">
                  <c:v>774.03</c:v>
                </c:pt>
                <c:pt idx="40">
                  <c:v>790.71</c:v>
                </c:pt>
                <c:pt idx="41">
                  <c:v>802.32</c:v>
                </c:pt>
                <c:pt idx="42">
                  <c:v>816.01</c:v>
                </c:pt>
                <c:pt idx="43">
                  <c:v>826.04</c:v>
                </c:pt>
                <c:pt idx="44">
                  <c:v>810.86</c:v>
                </c:pt>
                <c:pt idx="45">
                  <c:v>815.21</c:v>
                </c:pt>
                <c:pt idx="46">
                  <c:v>836.57</c:v>
                </c:pt>
                <c:pt idx="47">
                  <c:v>837.83</c:v>
                </c:pt>
                <c:pt idx="48">
                  <c:v>854.56</c:v>
                </c:pt>
                <c:pt idx="49">
                  <c:v>866.69</c:v>
                </c:pt>
                <c:pt idx="50">
                  <c:v>876.58</c:v>
                </c:pt>
                <c:pt idx="51">
                  <c:v>889.24</c:v>
                </c:pt>
                <c:pt idx="52">
                  <c:v>911.03</c:v>
                </c:pt>
                <c:pt idx="53">
                  <c:v>887.96</c:v>
                </c:pt>
                <c:pt idx="54">
                  <c:v>889.59</c:v>
                </c:pt>
                <c:pt idx="55">
                  <c:v>879.15</c:v>
                </c:pt>
                <c:pt idx="56">
                  <c:v>872.33</c:v>
                </c:pt>
                <c:pt idx="57">
                  <c:v>876.3</c:v>
                </c:pt>
                <c:pt idx="58">
                  <c:v>893.48</c:v>
                </c:pt>
                <c:pt idx="59">
                  <c:v>899</c:v>
                </c:pt>
                <c:pt idx="60">
                  <c:v>901.71</c:v>
                </c:pt>
                <c:pt idx="61">
                  <c:v>910.78</c:v>
                </c:pt>
                <c:pt idx="62">
                  <c:v>907.04</c:v>
                </c:pt>
                <c:pt idx="63">
                  <c:v>892.18</c:v>
                </c:pt>
                <c:pt idx="64">
                  <c:v>884.42</c:v>
                </c:pt>
                <c:pt idx="65">
                  <c:v>879</c:v>
                </c:pt>
                <c:pt idx="66">
                  <c:v>914.34</c:v>
                </c:pt>
                <c:pt idx="67">
                  <c:v>948.44</c:v>
                </c:pt>
                <c:pt idx="68">
                  <c:v>955.47</c:v>
                </c:pt>
                <c:pt idx="69">
                  <c:v>941.02</c:v>
                </c:pt>
                <c:pt idx="70">
                  <c:v>934.83</c:v>
                </c:pt>
                <c:pt idx="71">
                  <c:v>938.98</c:v>
                </c:pt>
                <c:pt idx="72">
                  <c:v>949.55</c:v>
                </c:pt>
                <c:pt idx="73">
                  <c:v>938.15</c:v>
                </c:pt>
                <c:pt idx="74">
                  <c:v>932.67</c:v>
                </c:pt>
                <c:pt idx="75">
                  <c:v>975.86</c:v>
                </c:pt>
                <c:pt idx="76">
                  <c:v>962</c:v>
                </c:pt>
                <c:pt idx="77">
                  <c:v>943.37</c:v>
                </c:pt>
                <c:pt idx="78">
                  <c:v>953.01</c:v>
                </c:pt>
                <c:pt idx="79">
                  <c:v>954.65</c:v>
                </c:pt>
                <c:pt idx="80">
                  <c:v>918.88</c:v>
                </c:pt>
                <c:pt idx="81">
                  <c:v>931.86</c:v>
                </c:pt>
                <c:pt idx="82">
                  <c:v>929.72</c:v>
                </c:pt>
                <c:pt idx="83">
                  <c:v>936.81</c:v>
                </c:pt>
                <c:pt idx="84">
                  <c:v>940.12</c:v>
                </c:pt>
                <c:pt idx="85">
                  <c:v>935.41</c:v>
                </c:pt>
                <c:pt idx="86">
                  <c:v>946.33</c:v>
                </c:pt>
                <c:pt idx="87">
                  <c:v>938.99</c:v>
                </c:pt>
                <c:pt idx="88">
                  <c:v>913.3</c:v>
                </c:pt>
                <c:pt idx="89">
                  <c:v>890.41</c:v>
                </c:pt>
                <c:pt idx="90">
                  <c:v>928.75</c:v>
                </c:pt>
                <c:pt idx="91">
                  <c:v>943.62</c:v>
                </c:pt>
                <c:pt idx="92">
                  <c:v>948.99</c:v>
                </c:pt>
                <c:pt idx="93">
                  <c:v>944.59</c:v>
                </c:pt>
                <c:pt idx="94">
                  <c:v>904.55</c:v>
                </c:pt>
                <c:pt idx="95">
                  <c:v>905.14</c:v>
                </c:pt>
                <c:pt idx="96">
                  <c:v>916.04</c:v>
                </c:pt>
                <c:pt idx="97">
                  <c:v>933.73</c:v>
                </c:pt>
                <c:pt idx="98">
                  <c:v>916.65</c:v>
                </c:pt>
                <c:pt idx="99">
                  <c:v>922.24</c:v>
                </c:pt>
                <c:pt idx="100">
                  <c:v>892.31</c:v>
                </c:pt>
                <c:pt idx="101">
                  <c:v>902.27</c:v>
                </c:pt>
                <c:pt idx="102">
                  <c:v>921.38</c:v>
                </c:pt>
                <c:pt idx="103">
                  <c:v>929</c:v>
                </c:pt>
                <c:pt idx="104">
                  <c:v>859.57</c:v>
                </c:pt>
                <c:pt idx="105">
                  <c:v>861.7</c:v>
                </c:pt>
                <c:pt idx="106">
                  <c:v>862.58</c:v>
                </c:pt>
                <c:pt idx="107">
                  <c:v>867.25</c:v>
                </c:pt>
                <c:pt idx="108">
                  <c:v>835.46</c:v>
                </c:pt>
                <c:pt idx="109">
                  <c:v>821.42</c:v>
                </c:pt>
                <c:pt idx="110">
                  <c:v>832.03</c:v>
                </c:pt>
                <c:pt idx="111">
                  <c:v>833.81</c:v>
                </c:pt>
                <c:pt idx="112">
                  <c:v>823.76</c:v>
                </c:pt>
                <c:pt idx="113">
                  <c:v>787.52</c:v>
                </c:pt>
                <c:pt idx="114">
                  <c:v>782.21</c:v>
                </c:pt>
                <c:pt idx="115">
                  <c:v>794.77</c:v>
                </c:pt>
                <c:pt idx="116">
                  <c:v>807.04</c:v>
                </c:pt>
                <c:pt idx="117">
                  <c:v>805.48</c:v>
                </c:pt>
                <c:pt idx="118">
                  <c:v>809.5</c:v>
                </c:pt>
                <c:pt idx="119">
                  <c:v>813.53</c:v>
                </c:pt>
                <c:pt idx="120">
                  <c:v>831.27</c:v>
                </c:pt>
                <c:pt idx="121">
                  <c:v>835.72</c:v>
                </c:pt>
                <c:pt idx="122">
                  <c:v>841.84</c:v>
                </c:pt>
                <c:pt idx="123">
                  <c:v>822.64</c:v>
                </c:pt>
                <c:pt idx="124">
                  <c:v>802.89</c:v>
                </c:pt>
                <c:pt idx="125">
                  <c:v>807.6</c:v>
                </c:pt>
                <c:pt idx="126">
                  <c:v>845.99</c:v>
                </c:pt>
                <c:pt idx="127">
                  <c:v>860.21</c:v>
                </c:pt>
                <c:pt idx="128">
                  <c:v>863.04</c:v>
                </c:pt>
                <c:pt idx="129">
                  <c:v>866.05</c:v>
                </c:pt>
                <c:pt idx="130">
                  <c:v>864.15</c:v>
                </c:pt>
                <c:pt idx="131">
                  <c:v>905.75</c:v>
                </c:pt>
                <c:pt idx="132">
                  <c:v>903.72</c:v>
                </c:pt>
                <c:pt idx="133">
                  <c:v>907.8</c:v>
                </c:pt>
                <c:pt idx="134">
                  <c:v>890.79</c:v>
                </c:pt>
                <c:pt idx="135">
                  <c:v>909.63</c:v>
                </c:pt>
                <c:pt idx="136">
                  <c:v>899.49</c:v>
                </c:pt>
                <c:pt idx="137">
                  <c:v>900</c:v>
                </c:pt>
                <c:pt idx="138">
                  <c:v>925.95</c:v>
                </c:pt>
                <c:pt idx="139">
                  <c:v>941.74</c:v>
                </c:pt>
                <c:pt idx="140">
                  <c:v>926.55</c:v>
                </c:pt>
                <c:pt idx="141">
                  <c:v>934.84</c:v>
                </c:pt>
                <c:pt idx="142">
                  <c:v>931.3</c:v>
                </c:pt>
                <c:pt idx="143">
                  <c:v>926.91</c:v>
                </c:pt>
                <c:pt idx="144">
                  <c:v>937.81</c:v>
                </c:pt>
                <c:pt idx="145">
                  <c:v>926.55</c:v>
                </c:pt>
                <c:pt idx="146">
                  <c:v>905.6</c:v>
                </c:pt>
                <c:pt idx="147">
                  <c:v>923.77</c:v>
                </c:pt>
                <c:pt idx="148">
                  <c:v>923.71</c:v>
                </c:pt>
                <c:pt idx="149">
                  <c:v>903.27</c:v>
                </c:pt>
                <c:pt idx="150">
                  <c:v>918.89</c:v>
                </c:pt>
                <c:pt idx="151">
                  <c:v>937.35</c:v>
                </c:pt>
                <c:pt idx="152">
                  <c:v>925.87</c:v>
                </c:pt>
                <c:pt idx="153">
                  <c:v>936.48</c:v>
                </c:pt>
                <c:pt idx="154">
                  <c:v>944.86</c:v>
                </c:pt>
                <c:pt idx="155">
                  <c:v>945.9</c:v>
                </c:pt>
                <c:pt idx="156">
                  <c:v>955.42</c:v>
                </c:pt>
                <c:pt idx="157">
                  <c:v>968.96</c:v>
                </c:pt>
                <c:pt idx="158">
                  <c:v>948.47</c:v>
                </c:pt>
                <c:pt idx="159">
                  <c:v>946.36</c:v>
                </c:pt>
                <c:pt idx="160">
                  <c:v>928.74</c:v>
                </c:pt>
                <c:pt idx="161">
                  <c:v>982.12</c:v>
                </c:pt>
                <c:pt idx="162">
                  <c:v>988.17</c:v>
                </c:pt>
                <c:pt idx="163">
                  <c:v>996.73</c:v>
                </c:pt>
                <c:pt idx="164">
                  <c:v>994.52</c:v>
                </c:pt>
                <c:pt idx="165">
                  <c:v>996.47</c:v>
                </c:pt>
                <c:pt idx="166">
                  <c:v>1008.37</c:v>
                </c:pt>
                <c:pt idx="167">
                  <c:v>1025.56</c:v>
                </c:pt>
                <c:pt idx="168">
                  <c:v>1048.58</c:v>
                </c:pt>
                <c:pt idx="169">
                  <c:v>1064.58</c:v>
                </c:pt>
                <c:pt idx="170">
                  <c:v>1041.02</c:v>
                </c:pt>
                <c:pt idx="171">
                  <c:v>1092.6099999999999</c:v>
                </c:pt>
                <c:pt idx="172">
                  <c:v>1038.68</c:v>
                </c:pt>
                <c:pt idx="173">
                  <c:v>1045</c:v>
                </c:pt>
                <c:pt idx="174">
                  <c:v>1032.01</c:v>
                </c:pt>
                <c:pt idx="175">
                  <c:v>1001.29</c:v>
                </c:pt>
                <c:pt idx="176">
                  <c:v>1035.6400000000001</c:v>
                </c:pt>
                <c:pt idx="177">
                  <c:v>1062.75</c:v>
                </c:pt>
                <c:pt idx="178">
                  <c:v>1076.17</c:v>
                </c:pt>
                <c:pt idx="179">
                  <c:v>1090.67</c:v>
                </c:pt>
                <c:pt idx="180">
                  <c:v>1099.1400000000001</c:v>
                </c:pt>
                <c:pt idx="181">
                  <c:v>1096.56</c:v>
                </c:pt>
                <c:pt idx="182">
                  <c:v>1106.3699999999999</c:v>
                </c:pt>
                <c:pt idx="183">
                  <c:v>1094.44</c:v>
                </c:pt>
                <c:pt idx="184">
                  <c:v>1076.9100000000001</c:v>
                </c:pt>
                <c:pt idx="185">
                  <c:v>1065.0899999999999</c:v>
                </c:pt>
                <c:pt idx="186">
                  <c:v>1019.61</c:v>
                </c:pt>
                <c:pt idx="187">
                  <c:v>1020.21</c:v>
                </c:pt>
                <c:pt idx="188">
                  <c:v>1011.37</c:v>
                </c:pt>
                <c:pt idx="189">
                  <c:v>1019.61</c:v>
                </c:pt>
                <c:pt idx="190">
                  <c:v>1021</c:v>
                </c:pt>
                <c:pt idx="191">
                  <c:v>1055.29</c:v>
                </c:pt>
                <c:pt idx="192">
                  <c:v>1042.98</c:v>
                </c:pt>
                <c:pt idx="193">
                  <c:v>1029.6400000000001</c:v>
                </c:pt>
                <c:pt idx="194">
                  <c:v>1055.97</c:v>
                </c:pt>
                <c:pt idx="195">
                  <c:v>1055.18</c:v>
                </c:pt>
                <c:pt idx="196">
                  <c:v>1045.9100000000001</c:v>
                </c:pt>
                <c:pt idx="197">
                  <c:v>1140</c:v>
                </c:pt>
                <c:pt idx="198">
                  <c:v>1152.07</c:v>
                </c:pt>
                <c:pt idx="199">
                  <c:v>1095.46</c:v>
                </c:pt>
                <c:pt idx="200">
                  <c:v>1065.22</c:v>
                </c:pt>
                <c:pt idx="201">
                  <c:v>1055.03</c:v>
                </c:pt>
                <c:pt idx="202">
                  <c:v>1085.56</c:v>
                </c:pt>
                <c:pt idx="203">
                  <c:v>1098.2</c:v>
                </c:pt>
                <c:pt idx="204">
                  <c:v>1074.72</c:v>
                </c:pt>
                <c:pt idx="205">
                  <c:v>1061.23</c:v>
                </c:pt>
                <c:pt idx="206">
                  <c:v>1048.23</c:v>
                </c:pt>
                <c:pt idx="207">
                  <c:v>1033.3399999999999</c:v>
                </c:pt>
                <c:pt idx="208">
                  <c:v>980.75</c:v>
                </c:pt>
                <c:pt idx="209">
                  <c:v>1024.8599999999999</c:v>
                </c:pt>
                <c:pt idx="210">
                  <c:v>1018.38</c:v>
                </c:pt>
                <c:pt idx="211">
                  <c:v>1027.06</c:v>
                </c:pt>
                <c:pt idx="212">
                  <c:v>1052.98</c:v>
                </c:pt>
                <c:pt idx="213">
                  <c:v>1060.3800000000001</c:v>
                </c:pt>
                <c:pt idx="214">
                  <c:v>1032.58</c:v>
                </c:pt>
                <c:pt idx="215">
                  <c:v>1039.6099999999999</c:v>
                </c:pt>
                <c:pt idx="216">
                  <c:v>1034.51</c:v>
                </c:pt>
                <c:pt idx="217">
                  <c:v>1034.4100000000001</c:v>
                </c:pt>
                <c:pt idx="218">
                  <c:v>1037.21</c:v>
                </c:pt>
                <c:pt idx="219">
                  <c:v>1042.6300000000001</c:v>
                </c:pt>
                <c:pt idx="220">
                  <c:v>1039.42</c:v>
                </c:pt>
                <c:pt idx="221">
                  <c:v>1051.31</c:v>
                </c:pt>
                <c:pt idx="222">
                  <c:v>1040.47</c:v>
                </c:pt>
                <c:pt idx="223">
                  <c:v>1021.65</c:v>
                </c:pt>
                <c:pt idx="224">
                  <c:v>1001.95</c:v>
                </c:pt>
                <c:pt idx="225">
                  <c:v>1039.28</c:v>
                </c:pt>
                <c:pt idx="226">
                  <c:v>1036.28</c:v>
                </c:pt>
                <c:pt idx="227">
                  <c:v>1058.8800000000001</c:v>
                </c:pt>
                <c:pt idx="228">
                  <c:v>1040.46</c:v>
                </c:pt>
                <c:pt idx="229">
                  <c:v>1040.8699999999999</c:v>
                </c:pt>
                <c:pt idx="230">
                  <c:v>1033.99</c:v>
                </c:pt>
                <c:pt idx="231">
                  <c:v>1025.9000000000001</c:v>
                </c:pt>
                <c:pt idx="232">
                  <c:v>1002.56</c:v>
                </c:pt>
                <c:pt idx="233">
                  <c:v>1004.42</c:v>
                </c:pt>
                <c:pt idx="234">
                  <c:v>1037.93</c:v>
                </c:pt>
                <c:pt idx="235">
                  <c:v>1038.6099999999999</c:v>
                </c:pt>
                <c:pt idx="236">
                  <c:v>1036.53</c:v>
                </c:pt>
                <c:pt idx="237">
                  <c:v>1028.78</c:v>
                </c:pt>
                <c:pt idx="238">
                  <c:v>1019.77</c:v>
                </c:pt>
                <c:pt idx="239">
                  <c:v>1029.18</c:v>
                </c:pt>
                <c:pt idx="240">
                  <c:v>988.45</c:v>
                </c:pt>
                <c:pt idx="241">
                  <c:v>976.67</c:v>
                </c:pt>
                <c:pt idx="242">
                  <c:v>937.98</c:v>
                </c:pt>
                <c:pt idx="243">
                  <c:v>951.47</c:v>
                </c:pt>
                <c:pt idx="244">
                  <c:v>942</c:v>
                </c:pt>
                <c:pt idx="245">
                  <c:v>959.39</c:v>
                </c:pt>
                <c:pt idx="246">
                  <c:v>949.49</c:v>
                </c:pt>
                <c:pt idx="247">
                  <c:v>936.36</c:v>
                </c:pt>
                <c:pt idx="248">
                  <c:v>923.29</c:v>
                </c:pt>
                <c:pt idx="249">
                  <c:v>935.45</c:v>
                </c:pt>
              </c:numCache>
            </c:numRef>
          </c:val>
          <c:extLst>
            <c:ext xmlns:c16="http://schemas.microsoft.com/office/drawing/2014/chart" uri="{C3380CC4-5D6E-409C-BE32-E72D297353CC}">
              <c16:uniqueId val="{00000000-29CA-4122-A29E-27BACD8001AF}"/>
            </c:ext>
          </c:extLst>
        </c:ser>
        <c:dLbls>
          <c:showLegendKey val="0"/>
          <c:showVal val="0"/>
          <c:showCatName val="0"/>
          <c:showSerName val="0"/>
          <c:showPercent val="0"/>
          <c:showBubbleSize val="0"/>
        </c:dLbls>
        <c:axId val="1076253871"/>
        <c:axId val="1076274511"/>
      </c:areaChart>
      <c:catAx>
        <c:axId val="1076253871"/>
        <c:scaling>
          <c:orientation val="minMax"/>
        </c:scaling>
        <c:delete val="1"/>
        <c:axPos val="b"/>
        <c:majorTickMark val="out"/>
        <c:minorTickMark val="none"/>
        <c:tickLblPos val="nextTo"/>
        <c:crossAx val="1076274511"/>
        <c:crosses val="autoZero"/>
        <c:auto val="1"/>
        <c:lblAlgn val="ctr"/>
        <c:lblOffset val="100"/>
        <c:noMultiLvlLbl val="0"/>
      </c:catAx>
      <c:valAx>
        <c:axId val="1076274511"/>
        <c:scaling>
          <c:orientation val="minMax"/>
        </c:scaling>
        <c:delete val="0"/>
        <c:axPos val="l"/>
        <c:numFmt formatCode="_([$$-409]* #,##0.00_);_([$$-409]* \(#,##0.00\);_([$$-4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crossAx val="1076253871"/>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5" Type="http://schemas.openxmlformats.org/officeDocument/2006/relationships/chart" Target="../charts/chart9.xml"/><Relationship Id="rId4" Type="http://schemas.openxmlformats.org/officeDocument/2006/relationships/chart" Target="../charts/chart8.xml"/></Relationships>
</file>

<file path=xl/drawings/_rels/drawing3.xml.rels><?xml version="1.0" encoding="UTF-8" standalone="yes"?>
<Relationships xmlns="http://schemas.openxmlformats.org/package/2006/relationships"><Relationship Id="rId2" Type="http://schemas.openxmlformats.org/officeDocument/2006/relationships/chart" Target="../charts/chart11.xml"/><Relationship Id="rId1" Type="http://schemas.openxmlformats.org/officeDocument/2006/relationships/chart" Target="../charts/chart10.xml"/></Relationships>
</file>

<file path=xl/drawings/_rels/drawing4.xml.rels><?xml version="1.0" encoding="UTF-8" standalone="yes"?>
<Relationships xmlns="http://schemas.openxmlformats.org/package/2006/relationships"><Relationship Id="rId2" Type="http://schemas.openxmlformats.org/officeDocument/2006/relationships/chart" Target="../charts/chart13.xml"/><Relationship Id="rId1" Type="http://schemas.openxmlformats.org/officeDocument/2006/relationships/chart" Target="../charts/chart12.xml"/></Relationships>
</file>

<file path=xl/drawings/_rels/drawing5.xml.rels><?xml version="1.0" encoding="UTF-8" standalone="yes"?>
<Relationships xmlns="http://schemas.openxmlformats.org/package/2006/relationships"><Relationship Id="rId2" Type="http://schemas.openxmlformats.org/officeDocument/2006/relationships/chart" Target="../charts/chart15.xml"/><Relationship Id="rId1" Type="http://schemas.openxmlformats.org/officeDocument/2006/relationships/chart" Target="../charts/chart14.xml"/></Relationships>
</file>

<file path=xl/drawings/_rels/drawing6.xml.rels><?xml version="1.0" encoding="UTF-8" standalone="yes"?>
<Relationships xmlns="http://schemas.openxmlformats.org/package/2006/relationships"><Relationship Id="rId2" Type="http://schemas.openxmlformats.org/officeDocument/2006/relationships/chart" Target="../charts/chart17.xml"/><Relationship Id="rId1" Type="http://schemas.openxmlformats.org/officeDocument/2006/relationships/chart" Target="../charts/chart16.xml"/></Relationships>
</file>

<file path=xl/drawings/_rels/drawing7.xml.rels><?xml version="1.0" encoding="UTF-8" standalone="yes"?>
<Relationships xmlns="http://schemas.openxmlformats.org/package/2006/relationships"><Relationship Id="rId2" Type="http://schemas.openxmlformats.org/officeDocument/2006/relationships/chart" Target="../charts/chart19.xml"/><Relationship Id="rId1" Type="http://schemas.openxmlformats.org/officeDocument/2006/relationships/chart" Target="../charts/chart18.xml"/></Relationships>
</file>

<file path=xl/drawings/_rels/drawing8.xml.rels><?xml version="1.0" encoding="UTF-8" standalone="yes"?>
<Relationships xmlns="http://schemas.openxmlformats.org/package/2006/relationships"><Relationship Id="rId2" Type="http://schemas.openxmlformats.org/officeDocument/2006/relationships/chart" Target="../charts/chart21.xml"/><Relationship Id="rId1" Type="http://schemas.openxmlformats.org/officeDocument/2006/relationships/chart" Target="../charts/chart20.xml"/></Relationships>
</file>

<file path=xl/drawings/_rels/drawing9.xml.rels><?xml version="1.0" encoding="UTF-8" standalone="yes"?>
<Relationships xmlns="http://schemas.openxmlformats.org/package/2006/relationships"><Relationship Id="rId2" Type="http://schemas.openxmlformats.org/officeDocument/2006/relationships/chart" Target="../charts/chart23.xml"/><Relationship Id="rId1" Type="http://schemas.openxmlformats.org/officeDocument/2006/relationships/chart" Target="../charts/chart22.xml"/></Relationships>
</file>

<file path=xl/drawings/_rels/drawing10.xml.rels><?xml version="1.0" encoding="UTF-8" standalone="yes"?>
<Relationships xmlns="http://schemas.openxmlformats.org/package/2006/relationships"><Relationship Id="rId2" Type="http://schemas.openxmlformats.org/officeDocument/2006/relationships/chart" Target="../charts/chart25.xml"/><Relationship Id="rId1" Type="http://schemas.openxmlformats.org/officeDocument/2006/relationships/chart" Target="../charts/chart24.xml"/></Relationships>
</file>

<file path=xl/drawings/_rels/drawing11.xml.rels><?xml version="1.0" encoding="UTF-8" standalone="yes"?>
<Relationships xmlns="http://schemas.openxmlformats.org/package/2006/relationships"><Relationship Id="rId2" Type="http://schemas.openxmlformats.org/officeDocument/2006/relationships/chart" Target="../charts/chart27.xml"/><Relationship Id="rId1" Type="http://schemas.openxmlformats.org/officeDocument/2006/relationships/chart" Target="../charts/chart26.xml"/></Relationships>
</file>

<file path=xl/drawings/_rels/drawing12.xml.rels><?xml version="1.0" encoding="UTF-8" standalone="yes"?>
<Relationships xmlns="http://schemas.openxmlformats.org/package/2006/relationships"><Relationship Id="rId2" Type="http://schemas.openxmlformats.org/officeDocument/2006/relationships/chart" Target="../charts/chart29.xml"/><Relationship Id="rId1" Type="http://schemas.openxmlformats.org/officeDocument/2006/relationships/chart" Target="../charts/chart28.xml"/></Relationships>
</file>

<file path=xl/drawings/drawing1.xml><?xml version="1.0" encoding="utf-8"?>
<xdr:wsDr xmlns:xdr="http://schemas.openxmlformats.org/drawingml/2006/spreadsheetDrawing" xmlns:a="http://schemas.openxmlformats.org/drawingml/2006/main">
  <xdr:twoCellAnchor>
    <xdr:from>
      <xdr:col>12</xdr:col>
      <xdr:colOff>0</xdr:colOff>
      <xdr:row>26</xdr:row>
      <xdr:rowOff>0</xdr:rowOff>
    </xdr:from>
    <xdr:to>
      <xdr:col>15</xdr:col>
      <xdr:colOff>1058334</xdr:colOff>
      <xdr:row>42</xdr:row>
      <xdr:rowOff>0</xdr:rowOff>
    </xdr:to>
    <xdr:graphicFrame macro="">
      <xdr:nvGraphicFramePr>
        <xdr:cNvPr id="5" name="Chart 4">
          <a:extLst>
            <a:ext uri="{FF2B5EF4-FFF2-40B4-BE49-F238E27FC236}">
              <a16:creationId xmlns:a16="http://schemas.microsoft.com/office/drawing/2014/main" id="{CE699C7B-ADA3-4508-1D69-839073EC8B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1051277</xdr:colOff>
      <xdr:row>25</xdr:row>
      <xdr:rowOff>42333</xdr:rowOff>
    </xdr:from>
    <xdr:to>
      <xdr:col>19</xdr:col>
      <xdr:colOff>14110</xdr:colOff>
      <xdr:row>41</xdr:row>
      <xdr:rowOff>176390</xdr:rowOff>
    </xdr:to>
    <xdr:graphicFrame macro="">
      <xdr:nvGraphicFramePr>
        <xdr:cNvPr id="6" name="Chart 5">
          <a:extLst>
            <a:ext uri="{FF2B5EF4-FFF2-40B4-BE49-F238E27FC236}">
              <a16:creationId xmlns:a16="http://schemas.microsoft.com/office/drawing/2014/main" id="{0DC6E946-51AE-99F6-0FA1-D0AB2E893D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21166</xdr:colOff>
      <xdr:row>41</xdr:row>
      <xdr:rowOff>176389</xdr:rowOff>
    </xdr:from>
    <xdr:to>
      <xdr:col>18</xdr:col>
      <xdr:colOff>1262943</xdr:colOff>
      <xdr:row>59</xdr:row>
      <xdr:rowOff>158044</xdr:rowOff>
    </xdr:to>
    <xdr:graphicFrame macro="">
      <xdr:nvGraphicFramePr>
        <xdr:cNvPr id="7" name="Chart 6">
          <a:extLst>
            <a:ext uri="{FF2B5EF4-FFF2-40B4-BE49-F238E27FC236}">
              <a16:creationId xmlns:a16="http://schemas.microsoft.com/office/drawing/2014/main" id="{672CB8B5-2436-2ED5-3B5A-0906570B04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592667</xdr:colOff>
      <xdr:row>40</xdr:row>
      <xdr:rowOff>7056</xdr:rowOff>
    </xdr:from>
    <xdr:to>
      <xdr:col>4</xdr:col>
      <xdr:colOff>458611</xdr:colOff>
      <xdr:row>59</xdr:row>
      <xdr:rowOff>84666</xdr:rowOff>
    </xdr:to>
    <xdr:graphicFrame macro="">
      <xdr:nvGraphicFramePr>
        <xdr:cNvPr id="8" name="Chart 7">
          <a:extLst>
            <a:ext uri="{FF2B5EF4-FFF2-40B4-BE49-F238E27FC236}">
              <a16:creationId xmlns:a16="http://schemas.microsoft.com/office/drawing/2014/main" id="{5524C931-4EE1-C621-CBEC-4F06EA4E84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19</xdr:row>
      <xdr:rowOff>0</xdr:rowOff>
    </xdr:from>
    <xdr:to>
      <xdr:col>6</xdr:col>
      <xdr:colOff>0</xdr:colOff>
      <xdr:row>35</xdr:row>
      <xdr:rowOff>0</xdr:rowOff>
    </xdr:to>
    <xdr:graphicFrame macro="">
      <xdr:nvGraphicFramePr>
        <xdr:cNvPr id="2" name="Chart 1">
          <a:extLst>
            <a:ext uri="{FF2B5EF4-FFF2-40B4-BE49-F238E27FC236}">
              <a16:creationId xmlns:a16="http://schemas.microsoft.com/office/drawing/2014/main" id="{23BB2866-386A-5B3E-CEC6-9CAF153B17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19</xdr:row>
      <xdr:rowOff>0</xdr:rowOff>
    </xdr:from>
    <xdr:to>
      <xdr:col>11</xdr:col>
      <xdr:colOff>0</xdr:colOff>
      <xdr:row>35</xdr:row>
      <xdr:rowOff>0</xdr:rowOff>
    </xdr:to>
    <xdr:graphicFrame macro="">
      <xdr:nvGraphicFramePr>
        <xdr:cNvPr id="3" name="Chart 2">
          <a:extLst>
            <a:ext uri="{FF2B5EF4-FFF2-40B4-BE49-F238E27FC236}">
              <a16:creationId xmlns:a16="http://schemas.microsoft.com/office/drawing/2014/main" id="{24571029-E7DA-8C06-9B7D-C8954C4A3B6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35</xdr:row>
      <xdr:rowOff>0</xdr:rowOff>
    </xdr:from>
    <xdr:to>
      <xdr:col>6</xdr:col>
      <xdr:colOff>0</xdr:colOff>
      <xdr:row>51</xdr:row>
      <xdr:rowOff>0</xdr:rowOff>
    </xdr:to>
    <xdr:graphicFrame macro="">
      <xdr:nvGraphicFramePr>
        <xdr:cNvPr id="4" name="Chart 3">
          <a:extLst>
            <a:ext uri="{FF2B5EF4-FFF2-40B4-BE49-F238E27FC236}">
              <a16:creationId xmlns:a16="http://schemas.microsoft.com/office/drawing/2014/main" id="{5D432DEC-D883-DD43-9218-5D49A46740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0</xdr:colOff>
      <xdr:row>35</xdr:row>
      <xdr:rowOff>0</xdr:rowOff>
    </xdr:from>
    <xdr:to>
      <xdr:col>11</xdr:col>
      <xdr:colOff>0</xdr:colOff>
      <xdr:row>51</xdr:row>
      <xdr:rowOff>0</xdr:rowOff>
    </xdr:to>
    <xdr:graphicFrame macro="">
      <xdr:nvGraphicFramePr>
        <xdr:cNvPr id="5" name="Chart 4">
          <a:extLst>
            <a:ext uri="{FF2B5EF4-FFF2-40B4-BE49-F238E27FC236}">
              <a16:creationId xmlns:a16="http://schemas.microsoft.com/office/drawing/2014/main" id="{0559427F-27A8-9D9F-F842-4A4CEE1ED6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184150</xdr:colOff>
      <xdr:row>51</xdr:row>
      <xdr:rowOff>0</xdr:rowOff>
    </xdr:from>
    <xdr:to>
      <xdr:col>11</xdr:col>
      <xdr:colOff>0</xdr:colOff>
      <xdr:row>62</xdr:row>
      <xdr:rowOff>165100</xdr:rowOff>
    </xdr:to>
    <xdr:graphicFrame macro="">
      <xdr:nvGraphicFramePr>
        <xdr:cNvPr id="11" name="Chart 10">
          <a:extLst>
            <a:ext uri="{FF2B5EF4-FFF2-40B4-BE49-F238E27FC236}">
              <a16:creationId xmlns:a16="http://schemas.microsoft.com/office/drawing/2014/main" id="{701555E1-1BB4-A853-B906-EB169A70E4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7</xdr:col>
      <xdr:colOff>66674</xdr:colOff>
      <xdr:row>5</xdr:row>
      <xdr:rowOff>111124</xdr:rowOff>
    </xdr:from>
    <xdr:to>
      <xdr:col>17</xdr:col>
      <xdr:colOff>336550</xdr:colOff>
      <xdr:row>32</xdr:row>
      <xdr:rowOff>95250</xdr:rowOff>
    </xdr:to>
    <xdr:graphicFrame macro="">
      <xdr:nvGraphicFramePr>
        <xdr:cNvPr id="4" name="Chart 3">
          <a:extLst>
            <a:ext uri="{FF2B5EF4-FFF2-40B4-BE49-F238E27FC236}">
              <a16:creationId xmlns:a16="http://schemas.microsoft.com/office/drawing/2014/main" id="{90E38646-CF8D-3B47-A473-4978B652CD5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6350</xdr:colOff>
      <xdr:row>33</xdr:row>
      <xdr:rowOff>19050</xdr:rowOff>
    </xdr:from>
    <xdr:to>
      <xdr:col>17</xdr:col>
      <xdr:colOff>273050</xdr:colOff>
      <xdr:row>52</xdr:row>
      <xdr:rowOff>152400</xdr:rowOff>
    </xdr:to>
    <xdr:graphicFrame macro="">
      <xdr:nvGraphicFramePr>
        <xdr:cNvPr id="7" name="Chart 6">
          <a:extLst>
            <a:ext uri="{FF2B5EF4-FFF2-40B4-BE49-F238E27FC236}">
              <a16:creationId xmlns:a16="http://schemas.microsoft.com/office/drawing/2014/main" id="{7AAF1816-8EFD-4779-9A1E-AFED405C07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7</xdr:col>
      <xdr:colOff>0</xdr:colOff>
      <xdr:row>33</xdr:row>
      <xdr:rowOff>0</xdr:rowOff>
    </xdr:from>
    <xdr:to>
      <xdr:col>17</xdr:col>
      <xdr:colOff>266700</xdr:colOff>
      <xdr:row>52</xdr:row>
      <xdr:rowOff>133350</xdr:rowOff>
    </xdr:to>
    <xdr:graphicFrame macro="">
      <xdr:nvGraphicFramePr>
        <xdr:cNvPr id="3" name="Chart 2">
          <a:extLst>
            <a:ext uri="{FF2B5EF4-FFF2-40B4-BE49-F238E27FC236}">
              <a16:creationId xmlns:a16="http://schemas.microsoft.com/office/drawing/2014/main" id="{5870E5D8-DFF6-4EA2-A489-5FF90693AE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31750</xdr:colOff>
      <xdr:row>6</xdr:row>
      <xdr:rowOff>12700</xdr:rowOff>
    </xdr:from>
    <xdr:to>
      <xdr:col>17</xdr:col>
      <xdr:colOff>209550</xdr:colOff>
      <xdr:row>30</xdr:row>
      <xdr:rowOff>139700</xdr:rowOff>
    </xdr:to>
    <xdr:graphicFrame macro="">
      <xdr:nvGraphicFramePr>
        <xdr:cNvPr id="4" name="Chart 3">
          <a:extLst>
            <a:ext uri="{FF2B5EF4-FFF2-40B4-BE49-F238E27FC236}">
              <a16:creationId xmlns:a16="http://schemas.microsoft.com/office/drawing/2014/main" id="{ED2F134E-A5D1-D0B9-679B-06BC5BE00A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7</xdr:col>
      <xdr:colOff>0</xdr:colOff>
      <xdr:row>5</xdr:row>
      <xdr:rowOff>0</xdr:rowOff>
    </xdr:from>
    <xdr:to>
      <xdr:col>17</xdr:col>
      <xdr:colOff>269876</xdr:colOff>
      <xdr:row>31</xdr:row>
      <xdr:rowOff>168276</xdr:rowOff>
    </xdr:to>
    <xdr:graphicFrame macro="">
      <xdr:nvGraphicFramePr>
        <xdr:cNvPr id="2" name="Chart 1">
          <a:extLst>
            <a:ext uri="{FF2B5EF4-FFF2-40B4-BE49-F238E27FC236}">
              <a16:creationId xmlns:a16="http://schemas.microsoft.com/office/drawing/2014/main" id="{36955943-BF01-4FCD-8B88-1FE699C0F2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0</xdr:colOff>
      <xdr:row>33</xdr:row>
      <xdr:rowOff>0</xdr:rowOff>
    </xdr:from>
    <xdr:to>
      <xdr:col>17</xdr:col>
      <xdr:colOff>266700</xdr:colOff>
      <xdr:row>52</xdr:row>
      <xdr:rowOff>133350</xdr:rowOff>
    </xdr:to>
    <xdr:graphicFrame macro="">
      <xdr:nvGraphicFramePr>
        <xdr:cNvPr id="3" name="Chart 2">
          <a:extLst>
            <a:ext uri="{FF2B5EF4-FFF2-40B4-BE49-F238E27FC236}">
              <a16:creationId xmlns:a16="http://schemas.microsoft.com/office/drawing/2014/main" id="{54449CEE-7170-4E4D-A60B-095EFAC326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7</xdr:col>
      <xdr:colOff>0</xdr:colOff>
      <xdr:row>5</xdr:row>
      <xdr:rowOff>0</xdr:rowOff>
    </xdr:from>
    <xdr:to>
      <xdr:col>17</xdr:col>
      <xdr:colOff>269876</xdr:colOff>
      <xdr:row>31</xdr:row>
      <xdr:rowOff>168276</xdr:rowOff>
    </xdr:to>
    <xdr:graphicFrame macro="">
      <xdr:nvGraphicFramePr>
        <xdr:cNvPr id="2" name="Chart 1">
          <a:extLst>
            <a:ext uri="{FF2B5EF4-FFF2-40B4-BE49-F238E27FC236}">
              <a16:creationId xmlns:a16="http://schemas.microsoft.com/office/drawing/2014/main" id="{DA7FCC97-4A19-4010-9464-969D23B3BE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0</xdr:colOff>
      <xdr:row>33</xdr:row>
      <xdr:rowOff>0</xdr:rowOff>
    </xdr:from>
    <xdr:to>
      <xdr:col>17</xdr:col>
      <xdr:colOff>266700</xdr:colOff>
      <xdr:row>52</xdr:row>
      <xdr:rowOff>133350</xdr:rowOff>
    </xdr:to>
    <xdr:graphicFrame macro="">
      <xdr:nvGraphicFramePr>
        <xdr:cNvPr id="3" name="Chart 2">
          <a:extLst>
            <a:ext uri="{FF2B5EF4-FFF2-40B4-BE49-F238E27FC236}">
              <a16:creationId xmlns:a16="http://schemas.microsoft.com/office/drawing/2014/main" id="{A4A34DC5-18E2-4538-971F-A0C261DEDC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7</xdr:col>
      <xdr:colOff>0</xdr:colOff>
      <xdr:row>5</xdr:row>
      <xdr:rowOff>0</xdr:rowOff>
    </xdr:from>
    <xdr:to>
      <xdr:col>17</xdr:col>
      <xdr:colOff>269876</xdr:colOff>
      <xdr:row>31</xdr:row>
      <xdr:rowOff>168276</xdr:rowOff>
    </xdr:to>
    <xdr:graphicFrame macro="">
      <xdr:nvGraphicFramePr>
        <xdr:cNvPr id="2" name="Chart 1">
          <a:extLst>
            <a:ext uri="{FF2B5EF4-FFF2-40B4-BE49-F238E27FC236}">
              <a16:creationId xmlns:a16="http://schemas.microsoft.com/office/drawing/2014/main" id="{5CC00299-48F8-45B9-B349-E1ADE39CDD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0</xdr:colOff>
      <xdr:row>33</xdr:row>
      <xdr:rowOff>0</xdr:rowOff>
    </xdr:from>
    <xdr:to>
      <xdr:col>17</xdr:col>
      <xdr:colOff>266700</xdr:colOff>
      <xdr:row>52</xdr:row>
      <xdr:rowOff>133350</xdr:rowOff>
    </xdr:to>
    <xdr:graphicFrame macro="">
      <xdr:nvGraphicFramePr>
        <xdr:cNvPr id="3" name="Chart 2">
          <a:extLst>
            <a:ext uri="{FF2B5EF4-FFF2-40B4-BE49-F238E27FC236}">
              <a16:creationId xmlns:a16="http://schemas.microsoft.com/office/drawing/2014/main" id="{96E4471C-242F-40FE-B45F-599AB64494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7</xdr:col>
      <xdr:colOff>0</xdr:colOff>
      <xdr:row>5</xdr:row>
      <xdr:rowOff>0</xdr:rowOff>
    </xdr:from>
    <xdr:to>
      <xdr:col>17</xdr:col>
      <xdr:colOff>269876</xdr:colOff>
      <xdr:row>31</xdr:row>
      <xdr:rowOff>168276</xdr:rowOff>
    </xdr:to>
    <xdr:graphicFrame macro="">
      <xdr:nvGraphicFramePr>
        <xdr:cNvPr id="2" name="Chart 1">
          <a:extLst>
            <a:ext uri="{FF2B5EF4-FFF2-40B4-BE49-F238E27FC236}">
              <a16:creationId xmlns:a16="http://schemas.microsoft.com/office/drawing/2014/main" id="{200FEED3-9751-4797-B0E9-8B373FED9C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0</xdr:colOff>
      <xdr:row>33</xdr:row>
      <xdr:rowOff>0</xdr:rowOff>
    </xdr:from>
    <xdr:to>
      <xdr:col>17</xdr:col>
      <xdr:colOff>266700</xdr:colOff>
      <xdr:row>52</xdr:row>
      <xdr:rowOff>133350</xdr:rowOff>
    </xdr:to>
    <xdr:graphicFrame macro="">
      <xdr:nvGraphicFramePr>
        <xdr:cNvPr id="3" name="Chart 2">
          <a:extLst>
            <a:ext uri="{FF2B5EF4-FFF2-40B4-BE49-F238E27FC236}">
              <a16:creationId xmlns:a16="http://schemas.microsoft.com/office/drawing/2014/main" id="{75E56D6D-B316-4261-A8C5-F1029E35A2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7</xdr:col>
      <xdr:colOff>0</xdr:colOff>
      <xdr:row>5</xdr:row>
      <xdr:rowOff>0</xdr:rowOff>
    </xdr:from>
    <xdr:to>
      <xdr:col>17</xdr:col>
      <xdr:colOff>269876</xdr:colOff>
      <xdr:row>31</xdr:row>
      <xdr:rowOff>168276</xdr:rowOff>
    </xdr:to>
    <xdr:graphicFrame macro="">
      <xdr:nvGraphicFramePr>
        <xdr:cNvPr id="2" name="Chart 1">
          <a:extLst>
            <a:ext uri="{FF2B5EF4-FFF2-40B4-BE49-F238E27FC236}">
              <a16:creationId xmlns:a16="http://schemas.microsoft.com/office/drawing/2014/main" id="{75D76BF9-A8AF-43D7-92B1-EF205CECAB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0</xdr:colOff>
      <xdr:row>33</xdr:row>
      <xdr:rowOff>0</xdr:rowOff>
    </xdr:from>
    <xdr:to>
      <xdr:col>17</xdr:col>
      <xdr:colOff>266700</xdr:colOff>
      <xdr:row>52</xdr:row>
      <xdr:rowOff>133350</xdr:rowOff>
    </xdr:to>
    <xdr:graphicFrame macro="">
      <xdr:nvGraphicFramePr>
        <xdr:cNvPr id="3" name="Chart 2">
          <a:extLst>
            <a:ext uri="{FF2B5EF4-FFF2-40B4-BE49-F238E27FC236}">
              <a16:creationId xmlns:a16="http://schemas.microsoft.com/office/drawing/2014/main" id="{2F7E3B5A-4BC0-46C5-BA39-BAC1194C07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7</xdr:col>
      <xdr:colOff>0</xdr:colOff>
      <xdr:row>5</xdr:row>
      <xdr:rowOff>0</xdr:rowOff>
    </xdr:from>
    <xdr:to>
      <xdr:col>17</xdr:col>
      <xdr:colOff>269876</xdr:colOff>
      <xdr:row>31</xdr:row>
      <xdr:rowOff>168276</xdr:rowOff>
    </xdr:to>
    <xdr:graphicFrame macro="">
      <xdr:nvGraphicFramePr>
        <xdr:cNvPr id="2" name="Chart 1">
          <a:extLst>
            <a:ext uri="{FF2B5EF4-FFF2-40B4-BE49-F238E27FC236}">
              <a16:creationId xmlns:a16="http://schemas.microsoft.com/office/drawing/2014/main" id="{CF25CCDC-A559-4D26-AFDE-87277C799F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0</xdr:colOff>
      <xdr:row>33</xdr:row>
      <xdr:rowOff>0</xdr:rowOff>
    </xdr:from>
    <xdr:to>
      <xdr:col>17</xdr:col>
      <xdr:colOff>266700</xdr:colOff>
      <xdr:row>52</xdr:row>
      <xdr:rowOff>133350</xdr:rowOff>
    </xdr:to>
    <xdr:graphicFrame macro="">
      <xdr:nvGraphicFramePr>
        <xdr:cNvPr id="3" name="Chart 2">
          <a:extLst>
            <a:ext uri="{FF2B5EF4-FFF2-40B4-BE49-F238E27FC236}">
              <a16:creationId xmlns:a16="http://schemas.microsoft.com/office/drawing/2014/main" id="{1E6CBD72-F446-451D-B310-3559070BA0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7</xdr:col>
      <xdr:colOff>0</xdr:colOff>
      <xdr:row>5</xdr:row>
      <xdr:rowOff>0</xdr:rowOff>
    </xdr:from>
    <xdr:to>
      <xdr:col>17</xdr:col>
      <xdr:colOff>269876</xdr:colOff>
      <xdr:row>31</xdr:row>
      <xdr:rowOff>168276</xdr:rowOff>
    </xdr:to>
    <xdr:graphicFrame macro="">
      <xdr:nvGraphicFramePr>
        <xdr:cNvPr id="2" name="Chart 1">
          <a:extLst>
            <a:ext uri="{FF2B5EF4-FFF2-40B4-BE49-F238E27FC236}">
              <a16:creationId xmlns:a16="http://schemas.microsoft.com/office/drawing/2014/main" id="{1CAA7AF5-2F31-4688-8BC3-4D5A7C12D7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0</xdr:colOff>
      <xdr:row>33</xdr:row>
      <xdr:rowOff>0</xdr:rowOff>
    </xdr:from>
    <xdr:to>
      <xdr:col>17</xdr:col>
      <xdr:colOff>266700</xdr:colOff>
      <xdr:row>52</xdr:row>
      <xdr:rowOff>133350</xdr:rowOff>
    </xdr:to>
    <xdr:graphicFrame macro="">
      <xdr:nvGraphicFramePr>
        <xdr:cNvPr id="3" name="Chart 2">
          <a:extLst>
            <a:ext uri="{FF2B5EF4-FFF2-40B4-BE49-F238E27FC236}">
              <a16:creationId xmlns:a16="http://schemas.microsoft.com/office/drawing/2014/main" id="{867D96DA-376F-4708-B989-A8A0D5F5A3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7</xdr:col>
      <xdr:colOff>0</xdr:colOff>
      <xdr:row>5</xdr:row>
      <xdr:rowOff>0</xdr:rowOff>
    </xdr:from>
    <xdr:to>
      <xdr:col>17</xdr:col>
      <xdr:colOff>269876</xdr:colOff>
      <xdr:row>31</xdr:row>
      <xdr:rowOff>168276</xdr:rowOff>
    </xdr:to>
    <xdr:graphicFrame macro="">
      <xdr:nvGraphicFramePr>
        <xdr:cNvPr id="2" name="Chart 1">
          <a:extLst>
            <a:ext uri="{FF2B5EF4-FFF2-40B4-BE49-F238E27FC236}">
              <a16:creationId xmlns:a16="http://schemas.microsoft.com/office/drawing/2014/main" id="{3D9C7ECB-ACC0-4C93-9B46-31ED10ADB1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0</xdr:colOff>
      <xdr:row>33</xdr:row>
      <xdr:rowOff>0</xdr:rowOff>
    </xdr:from>
    <xdr:to>
      <xdr:col>17</xdr:col>
      <xdr:colOff>266700</xdr:colOff>
      <xdr:row>52</xdr:row>
      <xdr:rowOff>133350</xdr:rowOff>
    </xdr:to>
    <xdr:graphicFrame macro="">
      <xdr:nvGraphicFramePr>
        <xdr:cNvPr id="3" name="Chart 2">
          <a:extLst>
            <a:ext uri="{FF2B5EF4-FFF2-40B4-BE49-F238E27FC236}">
              <a16:creationId xmlns:a16="http://schemas.microsoft.com/office/drawing/2014/main" id="{B32B2D2C-4D5B-43C1-82DC-9F604463A2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alven yuka" id="{B501DFE9-12CB-4589-BE40-9625E6D75A56}" userId="862585f1b4a79d03" providerId="Windows Live"/>
</personList>
</file>

<file path=xl/pivotCache/_rels/pivotCacheDefinition1.xml.rels><?xml version="1.0" encoding="UTF-8" standalone="yes"?>
<Relationships xmlns="http://schemas.openxmlformats.org/package/2006/relationships"><Relationship Id="rId1" Type="http://schemas.openxmlformats.org/officeDocument/2006/relationships/richPivotRecords" Target="richPivot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refreshedBy="ADMIN" refreshedDate="46294.605485185188" createdVersion="8" refreshedVersion="8" minRefreshableVersion="3" recordCount="10" xr:uid="{C95F8C75-B2E0-4221-B4F5-DB6040B91045}">
  <cacheSource type="worksheet">
    <worksheetSource name="Table2"/>
  </cacheSource>
  <cacheFields count="12">
    <cacheField name="Stock" numFmtId="0">
      <sharedItems count="11">
        <s v="ADVANCED MICRO DEVICES, INC. (XNAS:AMD)"/>
        <s v="MICROSOFT CORPORATION (XNAS:MSFT)"/>
        <s v="Alibaba Group Holding Limited (XNYS:BABA)"/>
        <s v="DELL TECHNOLOGIES INC. (XNYS:DELL)"/>
        <s v="THE GOLDMAN SACHS GROUP, INC. (XNYS:GS)"/>
        <s v="EXXONMOBIL HOLDINGS CORPORATION (XNYS:XOM)"/>
        <s v="GENERAL MOTORS COMPANY (XNYS:GM)"/>
        <s v="BANK OF AMERICA CORPORATION (XNYS:BAC)"/>
        <s v="LOCKHEED MARTIN CORPORATION (XNYS:LMT)"/>
        <s v="COSTCO WHOLESALE CORPORATION (XNAS:COST)"/>
        <s v="EXXON MOBIL CORPORATION (XNYS:XOM)"/>
      </sharedItems>
    </cacheField>
    <cacheField name="Ticker symbol" numFmtId="0">
      <sharedItems count="10">
        <s v="AMD"/>
        <s v="MSFT"/>
        <s v="BABA"/>
        <s v="DELL"/>
        <s v="GS"/>
        <s v="XOM"/>
        <s v="GM"/>
        <s v="BAC"/>
        <s v="LMT"/>
        <s v="COST"/>
      </sharedItems>
    </cacheField>
    <cacheField name="52 week high" numFmtId="180">
      <sharedItems containsSemiMixedTypes="0" containsString="0" containsNumber="1" minValue="65.224999999999994" maxValue="1153.99"/>
    </cacheField>
    <cacheField name="52 week low" numFmtId="180">
      <sharedItems containsSemiMixedTypes="0" containsString="0" containsNumber="1" minValue="46.115000000000002" maxValue="844.06"/>
    </cacheField>
    <cacheField name="Beta" numFmtId="2">
      <sharedItems containsSemiMixedTypes="0" containsString="0" containsNumber="1" minValue="9.0300000000000005E-2" maxValue="2.4824000000000002"/>
    </cacheField>
    <cacheField name="P/E" numFmtId="171">
      <sharedItems containsSemiMixedTypes="0" containsString="0" containsNumber="1" minValue="12.848699999999999" maxValue="155.14330000000001"/>
    </cacheField>
    <cacheField name="Change" numFmtId="180">
      <sharedItems containsSemiMixedTypes="0" containsString="0" containsNumber="1" minValue="-22.76" maxValue="1.93"/>
    </cacheField>
    <cacheField name="High" numFmtId="180">
      <sharedItems containsSemiMixedTypes="0" containsString="0" containsNumber="1" minValue="56.67" maxValue="932"/>
    </cacheField>
    <cacheField name="Low" numFmtId="180">
      <sharedItems containsSemiMixedTypes="0" containsString="0" containsNumber="1" minValue="55.365000000000002" maxValue="914.5"/>
    </cacheField>
    <cacheField name="Market cap" numFmtId="183">
      <sharedItems containsSemiMixedTypes="0" containsString="0" containsNumber="1" containsInteger="1" minValue="70757688960" maxValue="3781236024900"/>
    </cacheField>
    <cacheField name="Industry" numFmtId="164">
      <sharedItems/>
    </cacheField>
    <cacheField name="Exchange abbreviation" numFmtId="164">
      <sharedItems count="2">
        <s v="XNAS"/>
        <s v="XNYS"/>
      </sharedItems>
    </cacheField>
  </cacheFields>
  <extLst>
    <ext xmlns:x14="http://schemas.microsoft.com/office/spreadsheetml/2009/9/main" uri="{725AE2AE-9491-48be-B2B4-4EB974FC3084}">
      <x14:pivotCacheDefinition/>
    </ext>
    <ext xmlns:xxpvi="http://schemas.microsoft.com/office/spreadsheetml/2022/pivotVersionInfo" uri="{9F748A41-CAEA-4470-BF7A-CE61E8FFA7F9}">
      <xxpvi:cacheVersionInfo>
        <xxpvi:lastRefreshFeature>RichData</xxpvi:lastRefreshFeature>
      </xxpvi:cacheVersionInfo>
    </ext>
    <ext xmlns:xprd="http://schemas.microsoft.com/office/spreadsheetml/2022/pivotRichData" uri="{2C874A73-7782-4A18-856F-96AC7E287872}">
      <xprd:richInfo pivotCacheGuid="{C95F8C75-B2E0-4221-B4F5-DB6040B91045}" pivotIgnoreInvalidCache="1" r:id="rId1"/>
    </ext>
  </extLst>
</pivotCacheDefinition>
</file>

<file path=xl/pivotCache/richPivot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x v="0"/>
    <x v="0"/>
    <n v="639"/>
    <n v="159.33000000000001"/>
    <n v="2.4824000000000002"/>
    <n v="155.14330000000001"/>
    <n v="-22.76"/>
    <n v="629.75"/>
    <n v="596.07000000000005"/>
    <n v="992332578250"/>
    <s v="Semiconductors &amp; Semiconductor Equipment"/>
    <x v="0"/>
  </r>
  <r>
    <x v="1"/>
    <x v="1"/>
    <n v="553.72"/>
    <n v="349.2"/>
    <n v="1.1008"/>
    <n v="28.374099999999999"/>
    <n v="-6.95"/>
    <n v="513.33000000000004"/>
    <n v="502.22"/>
    <n v="3781236024900"/>
    <s v="Software &amp; IT Services"/>
    <x v="0"/>
  </r>
  <r>
    <x v="2"/>
    <x v="2"/>
    <n v="192.67"/>
    <n v="91.99"/>
    <n v="0.46160000000000001"/>
    <n v="24.247199999999999"/>
    <n v="-0.98"/>
    <n v="110.12"/>
    <n v="108.76"/>
    <n v="270336466240"/>
    <s v="Software &amp; IT Services"/>
    <x v="1"/>
  </r>
  <r>
    <x v="3"/>
    <x v="3"/>
    <n v="595.51"/>
    <n v="110.22"/>
    <n v="1.3674999999999999"/>
    <n v="31.531300000000002"/>
    <n v="-19.46"/>
    <n v="557"/>
    <n v="535.5"/>
    <n v="345519695560"/>
    <s v="Computers, Phones &amp; Household Electronics"/>
    <x v="1"/>
  </r>
  <r>
    <x v="4"/>
    <x v="4"/>
    <n v="1153.99"/>
    <n v="740.01"/>
    <n v="1.2712000000000001"/>
    <n v="14.1387"/>
    <n v="-19.170000000000002"/>
    <n v="932"/>
    <n v="914.5"/>
    <n v="266794530392"/>
    <s v="Investment Banking &amp; Investment Services"/>
    <x v="1"/>
  </r>
  <r>
    <x v="5"/>
    <x v="5"/>
    <n v="176.41"/>
    <n v="110.38500000000001"/>
    <n v="0.2089"/>
    <n v="20.958500000000001"/>
    <n v="1.93"/>
    <n v="163.54"/>
    <n v="161.05000000000001"/>
    <n v="668267938240"/>
    <s v="Oil &amp; Gas"/>
    <x v="1"/>
  </r>
  <r>
    <x v="6"/>
    <x v="6"/>
    <n v="91.85"/>
    <n v="54.33"/>
    <n v="1.3933"/>
    <n v="40.673499999999997"/>
    <n v="-1.99"/>
    <n v="82.69"/>
    <n v="80.430000000000007"/>
    <n v="70757688960"/>
    <s v="Automobiles &amp; Auto Parts"/>
    <x v="1"/>
  </r>
  <r>
    <x v="7"/>
    <x v="7"/>
    <n v="65.224999999999994"/>
    <n v="46.115000000000002"/>
    <n v="1.2090000000000001"/>
    <n v="12.848699999999999"/>
    <n v="-1.23"/>
    <n v="56.67"/>
    <n v="55.365000000000002"/>
    <n v="387887787030"/>
    <s v="Banking Services"/>
    <x v="1"/>
  </r>
  <r>
    <x v="8"/>
    <x v="8"/>
    <n v="692"/>
    <n v="437.25"/>
    <n v="9.0300000000000005E-2"/>
    <n v="19.091000000000001"/>
    <n v="-1.46"/>
    <n v="524.27"/>
    <n v="516.1"/>
    <n v="119572713480"/>
    <s v="Aerospace &amp; Defense"/>
    <x v="1"/>
  </r>
  <r>
    <x v="9"/>
    <x v="9"/>
    <n v="1096.5"/>
    <n v="844.06"/>
    <n v="0.87529999999999997"/>
    <n v="44.458100000000002"/>
    <n v="0.155"/>
    <n v="931.09"/>
    <n v="913"/>
    <n v="409099056720"/>
    <s v="Diversified Retail"/>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F4174E8-A0FE-41BE-9EE2-BD36AAF25309}" name="PivotTable2" cacheId="0" applyNumberFormats="0" applyBorderFormats="0" applyFontFormats="0" applyPatternFormats="0" applyAlignmentFormats="0" applyWidthHeightFormats="1" dataCaption="Values" updatedVersion="8" minRefreshableVersion="3" showDrill="0" useAutoFormatting="1" rowGrandTotals="0" colGrandTotals="0" itemPrintTitles="1" createdVersion="8" indent="0" compact="0" compactData="0" multipleFieldFilters="0">
  <location ref="N3:O13" firstHeaderRow="1" firstDataRow="1" firstDataCol="2" rowPageCount="1" colPageCount="1"/>
  <pivotFields count="12">
    <pivotField axis="axisPage" compact="0" outline="0" showAll="0" defaultSubtotal="0">
      <items count="11">
        <item x="0"/>
        <item x="2"/>
        <item x="7"/>
        <item x="9"/>
        <item x="3"/>
        <item x="10"/>
        <item x="6"/>
        <item x="8"/>
        <item x="1"/>
        <item x="4"/>
        <item x="5"/>
      </items>
      <extLst>
        <ext xmlns:x14="http://schemas.microsoft.com/office/spreadsheetml/2009/9/main" uri="{2946ED86-A175-432a-8AC1-64E0C546D7DE}">
          <x14:pivotField fillDownLabels="1"/>
        </ext>
      </extLst>
    </pivotField>
    <pivotField axis="axisRow" compact="0" outline="0" showAll="0" defaultSubtotal="0">
      <items count="10">
        <item x="0"/>
        <item x="2"/>
        <item x="7"/>
        <item x="9"/>
        <item x="3"/>
        <item x="6"/>
        <item x="4"/>
        <item x="8"/>
        <item x="1"/>
        <item x="5"/>
      </items>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 compact="0" numFmtId="4" outline="0" showAll="0" defaultSubtotal="0">
      <extLst>
        <ext xmlns:x14="http://schemas.microsoft.com/office/spreadsheetml/2009/9/main" uri="{2946ED86-A175-432a-8AC1-64E0C546D7DE}">
          <x14:pivotField fillDownLabels="1"/>
        </ext>
      </extLst>
    </pivotField>
    <pivotField compact="0" numFmtId="4" outline="0" showAll="0" defaultSubtotal="0">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2">
        <item x="0"/>
        <item x="1"/>
      </items>
      <extLst>
        <ext xmlns:x14="http://schemas.microsoft.com/office/spreadsheetml/2009/9/main" uri="{2946ED86-A175-432a-8AC1-64E0C546D7DE}">
          <x14:pivotField fillDownLabels="1"/>
        </ext>
      </extLst>
    </pivotField>
  </pivotFields>
  <rowFields count="2">
    <field x="11"/>
    <field x="1"/>
  </rowFields>
  <rowItems count="10">
    <i>
      <x/>
      <x/>
    </i>
    <i r="1">
      <x v="3"/>
    </i>
    <i r="1">
      <x v="8"/>
    </i>
    <i>
      <x v="1"/>
      <x v="1"/>
    </i>
    <i r="1">
      <x v="2"/>
    </i>
    <i r="1">
      <x v="4"/>
    </i>
    <i r="1">
      <x v="5"/>
    </i>
    <i r="1">
      <x v="6"/>
    </i>
    <i r="1">
      <x v="7"/>
    </i>
    <i r="1">
      <x v="9"/>
    </i>
  </rowItems>
  <colItems count="1">
    <i/>
  </colItems>
  <pageFields count="1">
    <pageField fld="0" hier="-1"/>
  </pageFields>
  <formats count="178">
    <format dxfId="242">
      <pivotArea type="all" dataOnly="0" outline="0" fieldPosition="0"/>
    </format>
    <format dxfId="241">
      <pivotArea field="11" type="button" dataOnly="0" labelOnly="1" outline="0" axis="axisRow" fieldPosition="0"/>
    </format>
    <format dxfId="240">
      <pivotArea field="1" type="button" dataOnly="0" labelOnly="1" outline="0" axis="axisRow" fieldPosition="1"/>
    </format>
    <format dxfId="239">
      <pivotArea dataOnly="0" labelOnly="1" outline="0" fieldPosition="0">
        <references count="1">
          <reference field="11" count="0"/>
        </references>
      </pivotArea>
    </format>
    <format dxfId="238">
      <pivotArea dataOnly="0" labelOnly="1" outline="0" fieldPosition="0">
        <references count="2">
          <reference field="1" count="3">
            <x v="0"/>
            <x v="3"/>
            <x v="8"/>
          </reference>
          <reference field="11" count="1" selected="0">
            <x v="0"/>
          </reference>
        </references>
      </pivotArea>
    </format>
    <format dxfId="237">
      <pivotArea dataOnly="0" labelOnly="1" outline="0" fieldPosition="0">
        <references count="2">
          <reference field="1" count="7">
            <x v="1"/>
            <x v="2"/>
            <x v="4"/>
            <x v="5"/>
            <x v="6"/>
            <x v="7"/>
            <x v="9"/>
          </reference>
          <reference field="11" count="1" selected="0">
            <x v="1"/>
          </reference>
        </references>
      </pivotArea>
    </format>
    <format dxfId="236">
      <pivotArea type="all" dataOnly="0" outline="0" fieldPosition="0"/>
    </format>
    <format dxfId="235">
      <pivotArea field="11" type="button" dataOnly="0" labelOnly="1" outline="0" axis="axisRow" fieldPosition="0"/>
    </format>
    <format dxfId="234">
      <pivotArea field="1" type="button" dataOnly="0" labelOnly="1" outline="0" axis="axisRow" fieldPosition="1"/>
    </format>
    <format dxfId="233">
      <pivotArea dataOnly="0" labelOnly="1" outline="0" fieldPosition="0">
        <references count="1">
          <reference field="11" count="0"/>
        </references>
      </pivotArea>
    </format>
    <format dxfId="232">
      <pivotArea dataOnly="0" labelOnly="1" outline="0" fieldPosition="0">
        <references count="2">
          <reference field="1" count="3">
            <x v="0"/>
            <x v="3"/>
            <x v="8"/>
          </reference>
          <reference field="11" count="1" selected="0">
            <x v="0"/>
          </reference>
        </references>
      </pivotArea>
    </format>
    <format dxfId="231">
      <pivotArea dataOnly="0" labelOnly="1" outline="0" fieldPosition="0">
        <references count="2">
          <reference field="1" count="7">
            <x v="1"/>
            <x v="2"/>
            <x v="4"/>
            <x v="5"/>
            <x v="6"/>
            <x v="7"/>
            <x v="9"/>
          </reference>
          <reference field="11" count="1" selected="0">
            <x v="1"/>
          </reference>
        </references>
      </pivotArea>
    </format>
    <format dxfId="230">
      <pivotArea type="all" dataOnly="0" outline="0" fieldPosition="0"/>
    </format>
    <format dxfId="229">
      <pivotArea field="11" type="button" dataOnly="0" labelOnly="1" outline="0" axis="axisRow" fieldPosition="0"/>
    </format>
    <format dxfId="228">
      <pivotArea field="1" type="button" dataOnly="0" labelOnly="1" outline="0" axis="axisRow" fieldPosition="1"/>
    </format>
    <format dxfId="227">
      <pivotArea dataOnly="0" labelOnly="1" outline="0" fieldPosition="0">
        <references count="1">
          <reference field="11" count="0"/>
        </references>
      </pivotArea>
    </format>
    <format dxfId="226">
      <pivotArea dataOnly="0" labelOnly="1" outline="0" fieldPosition="0">
        <references count="2">
          <reference field="1" count="3">
            <x v="0"/>
            <x v="3"/>
            <x v="8"/>
          </reference>
          <reference field="11" count="1" selected="0">
            <x v="0"/>
          </reference>
        </references>
      </pivotArea>
    </format>
    <format dxfId="225">
      <pivotArea dataOnly="0" labelOnly="1" outline="0" fieldPosition="0">
        <references count="2">
          <reference field="1" count="7">
            <x v="1"/>
            <x v="2"/>
            <x v="4"/>
            <x v="5"/>
            <x v="6"/>
            <x v="7"/>
            <x v="9"/>
          </reference>
          <reference field="11" count="1" selected="0">
            <x v="1"/>
          </reference>
        </references>
      </pivotArea>
    </format>
    <format dxfId="224">
      <pivotArea type="all" dataOnly="0" outline="0" fieldPosition="0"/>
    </format>
    <format dxfId="223">
      <pivotArea field="11" type="button" dataOnly="0" labelOnly="1" outline="0" axis="axisRow" fieldPosition="0"/>
    </format>
    <format dxfId="222">
      <pivotArea field="1" type="button" dataOnly="0" labelOnly="1" outline="0" axis="axisRow" fieldPosition="1"/>
    </format>
    <format dxfId="221">
      <pivotArea dataOnly="0" labelOnly="1" outline="0" fieldPosition="0">
        <references count="1">
          <reference field="11" count="0"/>
        </references>
      </pivotArea>
    </format>
    <format dxfId="220">
      <pivotArea dataOnly="0" labelOnly="1" outline="0" fieldPosition="0">
        <references count="2">
          <reference field="1" count="3">
            <x v="0"/>
            <x v="3"/>
            <x v="8"/>
          </reference>
          <reference field="11" count="1" selected="0">
            <x v="0"/>
          </reference>
        </references>
      </pivotArea>
    </format>
    <format dxfId="219">
      <pivotArea dataOnly="0" labelOnly="1" outline="0" fieldPosition="0">
        <references count="2">
          <reference field="1" count="7">
            <x v="1"/>
            <x v="2"/>
            <x v="4"/>
            <x v="5"/>
            <x v="6"/>
            <x v="7"/>
            <x v="9"/>
          </reference>
          <reference field="11" count="1" selected="0">
            <x v="1"/>
          </reference>
        </references>
      </pivotArea>
    </format>
    <format dxfId="218">
      <pivotArea type="all" dataOnly="0" outline="0" fieldPosition="0"/>
    </format>
    <format dxfId="217">
      <pivotArea field="11" type="button" dataOnly="0" labelOnly="1" outline="0" axis="axisRow" fieldPosition="0"/>
    </format>
    <format dxfId="216">
      <pivotArea field="1" type="button" dataOnly="0" labelOnly="1" outline="0" axis="axisRow" fieldPosition="1"/>
    </format>
    <format dxfId="215">
      <pivotArea dataOnly="0" labelOnly="1" outline="0" fieldPosition="0">
        <references count="1">
          <reference field="11" count="0"/>
        </references>
      </pivotArea>
    </format>
    <format dxfId="214">
      <pivotArea dataOnly="0" labelOnly="1" outline="0" fieldPosition="0">
        <references count="2">
          <reference field="1" count="3">
            <x v="0"/>
            <x v="3"/>
            <x v="8"/>
          </reference>
          <reference field="11" count="1" selected="0">
            <x v="0"/>
          </reference>
        </references>
      </pivotArea>
    </format>
    <format dxfId="213">
      <pivotArea dataOnly="0" labelOnly="1" outline="0" fieldPosition="0">
        <references count="2">
          <reference field="1" count="7">
            <x v="1"/>
            <x v="2"/>
            <x v="4"/>
            <x v="5"/>
            <x v="6"/>
            <x v="7"/>
            <x v="9"/>
          </reference>
          <reference field="11" count="1" selected="0">
            <x v="1"/>
          </reference>
        </references>
      </pivotArea>
    </format>
    <format dxfId="212">
      <pivotArea type="all" dataOnly="0" outline="0" fieldPosition="0"/>
    </format>
    <format dxfId="211">
      <pivotArea field="11" type="button" dataOnly="0" labelOnly="1" outline="0" axis="axisRow" fieldPosition="0"/>
    </format>
    <format dxfId="210">
      <pivotArea field="1" type="button" dataOnly="0" labelOnly="1" outline="0" axis="axisRow" fieldPosition="1"/>
    </format>
    <format dxfId="209">
      <pivotArea dataOnly="0" labelOnly="1" outline="0" fieldPosition="0">
        <references count="1">
          <reference field="11" count="0"/>
        </references>
      </pivotArea>
    </format>
    <format dxfId="208">
      <pivotArea dataOnly="0" labelOnly="1" outline="0" fieldPosition="0">
        <references count="2">
          <reference field="1" count="3">
            <x v="0"/>
            <x v="3"/>
            <x v="8"/>
          </reference>
          <reference field="11" count="1" selected="0">
            <x v="0"/>
          </reference>
        </references>
      </pivotArea>
    </format>
    <format dxfId="207">
      <pivotArea dataOnly="0" labelOnly="1" outline="0" fieldPosition="0">
        <references count="2">
          <reference field="1" count="7">
            <x v="1"/>
            <x v="2"/>
            <x v="4"/>
            <x v="5"/>
            <x v="6"/>
            <x v="7"/>
            <x v="9"/>
          </reference>
          <reference field="11" count="1" selected="0">
            <x v="1"/>
          </reference>
        </references>
      </pivotArea>
    </format>
    <format dxfId="206">
      <pivotArea type="all" dataOnly="0" outline="0" fieldPosition="0"/>
    </format>
    <format dxfId="205">
      <pivotArea field="11" type="button" dataOnly="0" labelOnly="1" outline="0" axis="axisRow" fieldPosition="0"/>
    </format>
    <format dxfId="204">
      <pivotArea field="1" type="button" dataOnly="0" labelOnly="1" outline="0" axis="axisRow" fieldPosition="1"/>
    </format>
    <format dxfId="203">
      <pivotArea dataOnly="0" labelOnly="1" outline="0" fieldPosition="0">
        <references count="1">
          <reference field="11" count="0"/>
        </references>
      </pivotArea>
    </format>
    <format dxfId="202">
      <pivotArea dataOnly="0" labelOnly="1" outline="0" fieldPosition="0">
        <references count="2">
          <reference field="1" count="3">
            <x v="0"/>
            <x v="3"/>
            <x v="8"/>
          </reference>
          <reference field="11" count="1" selected="0">
            <x v="0"/>
          </reference>
        </references>
      </pivotArea>
    </format>
    <format dxfId="201">
      <pivotArea dataOnly="0" labelOnly="1" outline="0" fieldPosition="0">
        <references count="2">
          <reference field="1" count="7">
            <x v="1"/>
            <x v="2"/>
            <x v="4"/>
            <x v="5"/>
            <x v="6"/>
            <x v="7"/>
            <x v="9"/>
          </reference>
          <reference field="11" count="1" selected="0">
            <x v="1"/>
          </reference>
        </references>
      </pivotArea>
    </format>
    <format dxfId="200">
      <pivotArea type="all" dataOnly="0" outline="0" fieldPosition="0"/>
    </format>
    <format dxfId="199">
      <pivotArea field="11" type="button" dataOnly="0" labelOnly="1" outline="0" axis="axisRow" fieldPosition="0"/>
    </format>
    <format dxfId="198">
      <pivotArea field="1" type="button" dataOnly="0" labelOnly="1" outline="0" axis="axisRow" fieldPosition="1"/>
    </format>
    <format dxfId="197">
      <pivotArea dataOnly="0" labelOnly="1" outline="0" fieldPosition="0">
        <references count="1">
          <reference field="11" count="0"/>
        </references>
      </pivotArea>
    </format>
    <format dxfId="196">
      <pivotArea dataOnly="0" labelOnly="1" outline="0" fieldPosition="0">
        <references count="2">
          <reference field="1" count="3">
            <x v="0"/>
            <x v="3"/>
            <x v="8"/>
          </reference>
          <reference field="11" count="1" selected="0">
            <x v="0"/>
          </reference>
        </references>
      </pivotArea>
    </format>
    <format dxfId="195">
      <pivotArea dataOnly="0" labelOnly="1" outline="0" fieldPosition="0">
        <references count="2">
          <reference field="1" count="7">
            <x v="1"/>
            <x v="2"/>
            <x v="4"/>
            <x v="5"/>
            <x v="6"/>
            <x v="7"/>
            <x v="9"/>
          </reference>
          <reference field="11" count="1" selected="0">
            <x v="1"/>
          </reference>
        </references>
      </pivotArea>
    </format>
    <format dxfId="194">
      <pivotArea type="all" dataOnly="0" outline="0" fieldPosition="0"/>
    </format>
    <format dxfId="193">
      <pivotArea field="11" type="button" dataOnly="0" labelOnly="1" outline="0" axis="axisRow" fieldPosition="0"/>
    </format>
    <format dxfId="192">
      <pivotArea field="1" type="button" dataOnly="0" labelOnly="1" outline="0" axis="axisRow" fieldPosition="1"/>
    </format>
    <format dxfId="191">
      <pivotArea dataOnly="0" labelOnly="1" outline="0" fieldPosition="0">
        <references count="1">
          <reference field="11" count="0"/>
        </references>
      </pivotArea>
    </format>
    <format dxfId="190">
      <pivotArea dataOnly="0" labelOnly="1" outline="0" fieldPosition="0">
        <references count="2">
          <reference field="1" count="3">
            <x v="0"/>
            <x v="3"/>
            <x v="8"/>
          </reference>
          <reference field="11" count="1" selected="0">
            <x v="0"/>
          </reference>
        </references>
      </pivotArea>
    </format>
    <format dxfId="189">
      <pivotArea dataOnly="0" labelOnly="1" outline="0" fieldPosition="0">
        <references count="2">
          <reference field="1" count="7">
            <x v="1"/>
            <x v="2"/>
            <x v="4"/>
            <x v="5"/>
            <x v="6"/>
            <x v="7"/>
            <x v="9"/>
          </reference>
          <reference field="11" count="1" selected="0">
            <x v="1"/>
          </reference>
        </references>
      </pivotArea>
    </format>
    <format dxfId="188">
      <pivotArea type="all" dataOnly="0" outline="0" fieldPosition="0"/>
    </format>
    <format dxfId="187">
      <pivotArea field="11" type="button" dataOnly="0" labelOnly="1" outline="0" axis="axisRow" fieldPosition="0"/>
    </format>
    <format dxfId="186">
      <pivotArea field="1" type="button" dataOnly="0" labelOnly="1" outline="0" axis="axisRow" fieldPosition="1"/>
    </format>
    <format dxfId="185">
      <pivotArea dataOnly="0" labelOnly="1" outline="0" fieldPosition="0">
        <references count="1">
          <reference field="11" count="0"/>
        </references>
      </pivotArea>
    </format>
    <format dxfId="184">
      <pivotArea dataOnly="0" labelOnly="1" outline="0" fieldPosition="0">
        <references count="2">
          <reference field="1" count="3">
            <x v="0"/>
            <x v="3"/>
            <x v="8"/>
          </reference>
          <reference field="11" count="1" selected="0">
            <x v="0"/>
          </reference>
        </references>
      </pivotArea>
    </format>
    <format dxfId="183">
      <pivotArea dataOnly="0" labelOnly="1" outline="0" fieldPosition="0">
        <references count="2">
          <reference field="1" count="7">
            <x v="1"/>
            <x v="2"/>
            <x v="4"/>
            <x v="5"/>
            <x v="6"/>
            <x v="7"/>
            <x v="9"/>
          </reference>
          <reference field="11" count="1" selected="0">
            <x v="1"/>
          </reference>
        </references>
      </pivotArea>
    </format>
    <format dxfId="182">
      <pivotArea field="11" type="button" dataOnly="0" labelOnly="1" outline="0" axis="axisRow" fieldPosition="0"/>
    </format>
    <format dxfId="181">
      <pivotArea field="1" type="button" dataOnly="0" labelOnly="1" outline="0" axis="axisRow" fieldPosition="1"/>
    </format>
    <format dxfId="180">
      <pivotArea field="11" type="button" dataOnly="0" labelOnly="1" outline="0" axis="axisRow" fieldPosition="0"/>
    </format>
    <format dxfId="179">
      <pivotArea field="1" type="button" dataOnly="0" labelOnly="1" outline="0" axis="axisRow" fieldPosition="1"/>
    </format>
    <format dxfId="178">
      <pivotArea dataOnly="0" labelOnly="1" outline="0" fieldPosition="0">
        <references count="2">
          <reference field="1" count="1">
            <x v="0"/>
          </reference>
          <reference field="11" count="1" selected="0">
            <x v="0"/>
          </reference>
        </references>
      </pivotArea>
    </format>
    <format dxfId="177">
      <pivotArea dataOnly="0" labelOnly="1" outline="0" fieldPosition="0">
        <references count="1">
          <reference field="11" count="1">
            <x v="0"/>
          </reference>
        </references>
      </pivotArea>
    </format>
    <format dxfId="176">
      <pivotArea dataOnly="0" labelOnly="1" outline="0" fieldPosition="0">
        <references count="2">
          <reference field="1" count="1">
            <x v="0"/>
          </reference>
          <reference field="11" count="1" selected="0">
            <x v="0"/>
          </reference>
        </references>
      </pivotArea>
    </format>
    <format dxfId="175">
      <pivotArea dataOnly="0" labelOnly="1" outline="0" fieldPosition="0">
        <references count="2">
          <reference field="1" count="1">
            <x v="8"/>
          </reference>
          <reference field="11" count="1" selected="0">
            <x v="0"/>
          </reference>
        </references>
      </pivotArea>
    </format>
    <format dxfId="174">
      <pivotArea dataOnly="0" labelOnly="1" outline="0" fieldPosition="0">
        <references count="1">
          <reference field="11" count="1">
            <x v="0"/>
          </reference>
        </references>
      </pivotArea>
    </format>
    <format dxfId="173">
      <pivotArea dataOnly="0" labelOnly="1" outline="0" fieldPosition="0">
        <references count="2">
          <reference field="1" count="1">
            <x v="8"/>
          </reference>
          <reference field="11" count="1" selected="0">
            <x v="0"/>
          </reference>
        </references>
      </pivotArea>
    </format>
    <format dxfId="172">
      <pivotArea dataOnly="0" labelOnly="1" outline="0" fieldPosition="0">
        <references count="2">
          <reference field="1" count="1">
            <x v="1"/>
          </reference>
          <reference field="11" count="1" selected="0">
            <x v="1"/>
          </reference>
        </references>
      </pivotArea>
    </format>
    <format dxfId="171">
      <pivotArea dataOnly="0" labelOnly="1" outline="0" fieldPosition="0">
        <references count="1">
          <reference field="11" count="1">
            <x v="1"/>
          </reference>
        </references>
      </pivotArea>
    </format>
    <format dxfId="170">
      <pivotArea dataOnly="0" labelOnly="1" outline="0" fieldPosition="0">
        <references count="2">
          <reference field="1" count="1">
            <x v="1"/>
          </reference>
          <reference field="11" count="1" selected="0">
            <x v="1"/>
          </reference>
        </references>
      </pivotArea>
    </format>
    <format dxfId="169">
      <pivotArea dataOnly="0" labelOnly="1" outline="0" fieldPosition="0">
        <references count="2">
          <reference field="1" count="1">
            <x v="9"/>
          </reference>
          <reference field="11" count="1" selected="0">
            <x v="1"/>
          </reference>
        </references>
      </pivotArea>
    </format>
    <format dxfId="168">
      <pivotArea dataOnly="0" labelOnly="1" outline="0" fieldPosition="0">
        <references count="1">
          <reference field="11" count="1">
            <x v="1"/>
          </reference>
        </references>
      </pivotArea>
    </format>
    <format dxfId="167">
      <pivotArea dataOnly="0" labelOnly="1" outline="0" fieldPosition="0">
        <references count="2">
          <reference field="1" count="1">
            <x v="9"/>
          </reference>
          <reference field="11" count="1" selected="0">
            <x v="1"/>
          </reference>
        </references>
      </pivotArea>
    </format>
    <format dxfId="166">
      <pivotArea type="all" dataOnly="0" outline="0" fieldPosition="0"/>
    </format>
    <format dxfId="165">
      <pivotArea field="11" type="button" dataOnly="0" labelOnly="1" outline="0" axis="axisRow" fieldPosition="0"/>
    </format>
    <format dxfId="164">
      <pivotArea field="1" type="button" dataOnly="0" labelOnly="1" outline="0" axis="axisRow" fieldPosition="1"/>
    </format>
    <format dxfId="163">
      <pivotArea dataOnly="0" labelOnly="1" outline="0" fieldPosition="0">
        <references count="1">
          <reference field="11" count="0"/>
        </references>
      </pivotArea>
    </format>
    <format dxfId="162">
      <pivotArea dataOnly="0" labelOnly="1" outline="0" fieldPosition="0">
        <references count="2">
          <reference field="1" count="3">
            <x v="0"/>
            <x v="3"/>
            <x v="8"/>
          </reference>
          <reference field="11" count="1" selected="0">
            <x v="0"/>
          </reference>
        </references>
      </pivotArea>
    </format>
    <format dxfId="161">
      <pivotArea dataOnly="0" labelOnly="1" outline="0" fieldPosition="0">
        <references count="2">
          <reference field="1" count="7">
            <x v="1"/>
            <x v="2"/>
            <x v="4"/>
            <x v="5"/>
            <x v="6"/>
            <x v="7"/>
            <x v="9"/>
          </reference>
          <reference field="11" count="1" selected="0">
            <x v="1"/>
          </reference>
        </references>
      </pivotArea>
    </format>
    <format dxfId="160">
      <pivotArea type="all" dataOnly="0" outline="0" fieldPosition="0"/>
    </format>
    <format dxfId="159">
      <pivotArea field="11" type="button" dataOnly="0" labelOnly="1" outline="0" axis="axisRow" fieldPosition="0"/>
    </format>
    <format dxfId="158">
      <pivotArea field="1" type="button" dataOnly="0" labelOnly="1" outline="0" axis="axisRow" fieldPosition="1"/>
    </format>
    <format dxfId="157">
      <pivotArea dataOnly="0" labelOnly="1" outline="0" fieldPosition="0">
        <references count="1">
          <reference field="11" count="0"/>
        </references>
      </pivotArea>
    </format>
    <format dxfId="156">
      <pivotArea dataOnly="0" labelOnly="1" outline="0" fieldPosition="0">
        <references count="2">
          <reference field="1" count="3">
            <x v="0"/>
            <x v="3"/>
            <x v="8"/>
          </reference>
          <reference field="11" count="1" selected="0">
            <x v="0"/>
          </reference>
        </references>
      </pivotArea>
    </format>
    <format dxfId="155">
      <pivotArea dataOnly="0" labelOnly="1" outline="0" fieldPosition="0">
        <references count="2">
          <reference field="1" count="7">
            <x v="1"/>
            <x v="2"/>
            <x v="4"/>
            <x v="5"/>
            <x v="6"/>
            <x v="7"/>
            <x v="9"/>
          </reference>
          <reference field="11" count="1" selected="0">
            <x v="1"/>
          </reference>
        </references>
      </pivotArea>
    </format>
    <format dxfId="154">
      <pivotArea type="all" dataOnly="0" outline="0" fieldPosition="0"/>
    </format>
    <format dxfId="153">
      <pivotArea field="11" type="button" dataOnly="0" labelOnly="1" outline="0" axis="axisRow" fieldPosition="0"/>
    </format>
    <format dxfId="152">
      <pivotArea field="1" type="button" dataOnly="0" labelOnly="1" outline="0" axis="axisRow" fieldPosition="1"/>
    </format>
    <format dxfId="151">
      <pivotArea dataOnly="0" labelOnly="1" outline="0" fieldPosition="0">
        <references count="1">
          <reference field="11" count="0"/>
        </references>
      </pivotArea>
    </format>
    <format dxfId="150">
      <pivotArea dataOnly="0" labelOnly="1" outline="0" fieldPosition="0">
        <references count="2">
          <reference field="1" count="3">
            <x v="0"/>
            <x v="3"/>
            <x v="8"/>
          </reference>
          <reference field="11" count="1" selected="0">
            <x v="0"/>
          </reference>
        </references>
      </pivotArea>
    </format>
    <format dxfId="149">
      <pivotArea dataOnly="0" labelOnly="1" outline="0" fieldPosition="0">
        <references count="2">
          <reference field="1" count="7">
            <x v="1"/>
            <x v="2"/>
            <x v="4"/>
            <x v="5"/>
            <x v="6"/>
            <x v="7"/>
            <x v="9"/>
          </reference>
          <reference field="11" count="1" selected="0">
            <x v="1"/>
          </reference>
        </references>
      </pivotArea>
    </format>
    <format dxfId="148">
      <pivotArea type="all" dataOnly="0" outline="0" fieldPosition="0"/>
    </format>
    <format dxfId="147">
      <pivotArea field="11" type="button" dataOnly="0" labelOnly="1" outline="0" axis="axisRow" fieldPosition="0"/>
    </format>
    <format dxfId="146">
      <pivotArea field="1" type="button" dataOnly="0" labelOnly="1" outline="0" axis="axisRow" fieldPosition="1"/>
    </format>
    <format dxfId="145">
      <pivotArea dataOnly="0" labelOnly="1" outline="0" fieldPosition="0">
        <references count="1">
          <reference field="11" count="0"/>
        </references>
      </pivotArea>
    </format>
    <format dxfId="144">
      <pivotArea dataOnly="0" labelOnly="1" outline="0" fieldPosition="0">
        <references count="2">
          <reference field="1" count="3">
            <x v="0"/>
            <x v="3"/>
            <x v="8"/>
          </reference>
          <reference field="11" count="1" selected="0">
            <x v="0"/>
          </reference>
        </references>
      </pivotArea>
    </format>
    <format dxfId="143">
      <pivotArea dataOnly="0" labelOnly="1" outline="0" fieldPosition="0">
        <references count="2">
          <reference field="1" count="7">
            <x v="1"/>
            <x v="2"/>
            <x v="4"/>
            <x v="5"/>
            <x v="6"/>
            <x v="7"/>
            <x v="9"/>
          </reference>
          <reference field="11" count="1" selected="0">
            <x v="1"/>
          </reference>
        </references>
      </pivotArea>
    </format>
    <format dxfId="142">
      <pivotArea type="all" dataOnly="0" outline="0" fieldPosition="0"/>
    </format>
    <format dxfId="141">
      <pivotArea field="11" type="button" dataOnly="0" labelOnly="1" outline="0" axis="axisRow" fieldPosition="0"/>
    </format>
    <format dxfId="140">
      <pivotArea field="1" type="button" dataOnly="0" labelOnly="1" outline="0" axis="axisRow" fieldPosition="1"/>
    </format>
    <format dxfId="139">
      <pivotArea dataOnly="0" labelOnly="1" outline="0" fieldPosition="0">
        <references count="1">
          <reference field="11" count="0"/>
        </references>
      </pivotArea>
    </format>
    <format dxfId="138">
      <pivotArea dataOnly="0" labelOnly="1" outline="0" fieldPosition="0">
        <references count="2">
          <reference field="1" count="3">
            <x v="0"/>
            <x v="3"/>
            <x v="8"/>
          </reference>
          <reference field="11" count="1" selected="0">
            <x v="0"/>
          </reference>
        </references>
      </pivotArea>
    </format>
    <format dxfId="137">
      <pivotArea dataOnly="0" labelOnly="1" outline="0" fieldPosition="0">
        <references count="2">
          <reference field="1" count="7">
            <x v="1"/>
            <x v="2"/>
            <x v="4"/>
            <x v="5"/>
            <x v="6"/>
            <x v="7"/>
            <x v="9"/>
          </reference>
          <reference field="11" count="1" selected="0">
            <x v="1"/>
          </reference>
        </references>
      </pivotArea>
    </format>
    <format dxfId="136">
      <pivotArea field="11" type="button" dataOnly="0" labelOnly="1" outline="0" axis="axisRow" fieldPosition="0"/>
    </format>
    <format dxfId="135">
      <pivotArea field="1" type="button" dataOnly="0" labelOnly="1" outline="0" axis="axisRow" fieldPosition="1"/>
    </format>
    <format dxfId="134">
      <pivotArea field="11" type="button" dataOnly="0" labelOnly="1" outline="0" axis="axisRow" fieldPosition="0"/>
    </format>
    <format dxfId="133">
      <pivotArea field="1" type="button" dataOnly="0" labelOnly="1" outline="0" axis="axisRow" fieldPosition="1"/>
    </format>
    <format dxfId="132">
      <pivotArea dataOnly="0" labelOnly="1" outline="0" fieldPosition="0">
        <references count="2">
          <reference field="1" count="1">
            <x v="0"/>
          </reference>
          <reference field="11" count="1" selected="0">
            <x v="0"/>
          </reference>
        </references>
      </pivotArea>
    </format>
    <format dxfId="131">
      <pivotArea dataOnly="0" labelOnly="1" outline="0" fieldPosition="0">
        <references count="1">
          <reference field="11" count="1">
            <x v="0"/>
          </reference>
        </references>
      </pivotArea>
    </format>
    <format dxfId="130">
      <pivotArea dataOnly="0" labelOnly="1" outline="0" fieldPosition="0">
        <references count="2">
          <reference field="1" count="1">
            <x v="0"/>
          </reference>
          <reference field="11" count="1" selected="0">
            <x v="0"/>
          </reference>
        </references>
      </pivotArea>
    </format>
    <format dxfId="129">
      <pivotArea dataOnly="0" labelOnly="1" outline="0" fieldPosition="0">
        <references count="2">
          <reference field="1" count="1">
            <x v="8"/>
          </reference>
          <reference field="11" count="1" selected="0">
            <x v="0"/>
          </reference>
        </references>
      </pivotArea>
    </format>
    <format dxfId="128">
      <pivotArea dataOnly="0" labelOnly="1" outline="0" fieldPosition="0">
        <references count="1">
          <reference field="11" count="1">
            <x v="0"/>
          </reference>
        </references>
      </pivotArea>
    </format>
    <format dxfId="127">
      <pivotArea dataOnly="0" labelOnly="1" outline="0" fieldPosition="0">
        <references count="2">
          <reference field="1" count="1">
            <x v="8"/>
          </reference>
          <reference field="11" count="1" selected="0">
            <x v="0"/>
          </reference>
        </references>
      </pivotArea>
    </format>
    <format dxfId="126">
      <pivotArea dataOnly="0" labelOnly="1" outline="0" fieldPosition="0">
        <references count="2">
          <reference field="1" count="1">
            <x v="1"/>
          </reference>
          <reference field="11" count="1" selected="0">
            <x v="1"/>
          </reference>
        </references>
      </pivotArea>
    </format>
    <format dxfId="125">
      <pivotArea dataOnly="0" labelOnly="1" outline="0" fieldPosition="0">
        <references count="1">
          <reference field="11" count="1">
            <x v="1"/>
          </reference>
        </references>
      </pivotArea>
    </format>
    <format dxfId="124">
      <pivotArea dataOnly="0" labelOnly="1" outline="0" fieldPosition="0">
        <references count="2">
          <reference field="1" count="1">
            <x v="1"/>
          </reference>
          <reference field="11" count="1" selected="0">
            <x v="1"/>
          </reference>
        </references>
      </pivotArea>
    </format>
    <format dxfId="123">
      <pivotArea dataOnly="0" labelOnly="1" outline="0" fieldPosition="0">
        <references count="2">
          <reference field="1" count="1">
            <x v="9"/>
          </reference>
          <reference field="11" count="1" selected="0">
            <x v="1"/>
          </reference>
        </references>
      </pivotArea>
    </format>
    <format dxfId="122">
      <pivotArea dataOnly="0" labelOnly="1" outline="0" fieldPosition="0">
        <references count="1">
          <reference field="11" count="1">
            <x v="1"/>
          </reference>
        </references>
      </pivotArea>
    </format>
    <format dxfId="121">
      <pivotArea dataOnly="0" labelOnly="1" outline="0" fieldPosition="0">
        <references count="2">
          <reference field="1" count="1">
            <x v="9"/>
          </reference>
          <reference field="11" count="1" selected="0">
            <x v="1"/>
          </reference>
        </references>
      </pivotArea>
    </format>
    <format dxfId="120">
      <pivotArea type="all" dataOnly="0" outline="0" fieldPosition="0"/>
    </format>
    <format dxfId="119">
      <pivotArea field="11" type="button" dataOnly="0" labelOnly="1" outline="0" axis="axisRow" fieldPosition="0"/>
    </format>
    <format dxfId="118">
      <pivotArea field="1" type="button" dataOnly="0" labelOnly="1" outline="0" axis="axisRow" fieldPosition="1"/>
    </format>
    <format dxfId="117">
      <pivotArea dataOnly="0" labelOnly="1" outline="0" fieldPosition="0">
        <references count="1">
          <reference field="11" count="0"/>
        </references>
      </pivotArea>
    </format>
    <format dxfId="116">
      <pivotArea dataOnly="0" labelOnly="1" outline="0" fieldPosition="0">
        <references count="2">
          <reference field="1" count="3">
            <x v="0"/>
            <x v="3"/>
            <x v="8"/>
          </reference>
          <reference field="11" count="1" selected="0">
            <x v="0"/>
          </reference>
        </references>
      </pivotArea>
    </format>
    <format dxfId="115">
      <pivotArea dataOnly="0" labelOnly="1" outline="0" fieldPosition="0">
        <references count="2">
          <reference field="1" count="7">
            <x v="1"/>
            <x v="2"/>
            <x v="4"/>
            <x v="5"/>
            <x v="6"/>
            <x v="7"/>
            <x v="9"/>
          </reference>
          <reference field="11" count="1" selected="0">
            <x v="1"/>
          </reference>
        </references>
      </pivotArea>
    </format>
    <format dxfId="114">
      <pivotArea type="all" dataOnly="0" outline="0" fieldPosition="0"/>
    </format>
    <format dxfId="113">
      <pivotArea field="11" type="button" dataOnly="0" labelOnly="1" outline="0" axis="axisRow" fieldPosition="0"/>
    </format>
    <format dxfId="112">
      <pivotArea field="1" type="button" dataOnly="0" labelOnly="1" outline="0" axis="axisRow" fieldPosition="1"/>
    </format>
    <format dxfId="111">
      <pivotArea dataOnly="0" labelOnly="1" outline="0" fieldPosition="0">
        <references count="1">
          <reference field="11" count="0"/>
        </references>
      </pivotArea>
    </format>
    <format dxfId="110">
      <pivotArea dataOnly="0" labelOnly="1" outline="0" fieldPosition="0">
        <references count="2">
          <reference field="1" count="3">
            <x v="0"/>
            <x v="3"/>
            <x v="8"/>
          </reference>
          <reference field="11" count="1" selected="0">
            <x v="0"/>
          </reference>
        </references>
      </pivotArea>
    </format>
    <format dxfId="109">
      <pivotArea dataOnly="0" labelOnly="1" outline="0" fieldPosition="0">
        <references count="2">
          <reference field="1" count="7">
            <x v="1"/>
            <x v="2"/>
            <x v="4"/>
            <x v="5"/>
            <x v="6"/>
            <x v="7"/>
            <x v="9"/>
          </reference>
          <reference field="11" count="1" selected="0">
            <x v="1"/>
          </reference>
        </references>
      </pivotArea>
    </format>
    <format dxfId="108">
      <pivotArea type="all" dataOnly="0" outline="0" fieldPosition="0"/>
    </format>
    <format dxfId="107">
      <pivotArea field="11" type="button" dataOnly="0" labelOnly="1" outline="0" axis="axisRow" fieldPosition="0"/>
    </format>
    <format dxfId="106">
      <pivotArea field="1" type="button" dataOnly="0" labelOnly="1" outline="0" axis="axisRow" fieldPosition="1"/>
    </format>
    <format dxfId="105">
      <pivotArea dataOnly="0" labelOnly="1" outline="0" fieldPosition="0">
        <references count="1">
          <reference field="11" count="0"/>
        </references>
      </pivotArea>
    </format>
    <format dxfId="104">
      <pivotArea dataOnly="0" labelOnly="1" outline="0" fieldPosition="0">
        <references count="2">
          <reference field="1" count="3">
            <x v="0"/>
            <x v="3"/>
            <x v="8"/>
          </reference>
          <reference field="11" count="1" selected="0">
            <x v="0"/>
          </reference>
        </references>
      </pivotArea>
    </format>
    <format dxfId="103">
      <pivotArea dataOnly="0" labelOnly="1" outline="0" fieldPosition="0">
        <references count="2">
          <reference field="1" count="7">
            <x v="1"/>
            <x v="2"/>
            <x v="4"/>
            <x v="5"/>
            <x v="6"/>
            <x v="7"/>
            <x v="9"/>
          </reference>
          <reference field="11" count="1" selected="0">
            <x v="1"/>
          </reference>
        </references>
      </pivotArea>
    </format>
    <format dxfId="102">
      <pivotArea type="all" dataOnly="0" outline="0" fieldPosition="0"/>
    </format>
    <format dxfId="101">
      <pivotArea field="11" type="button" dataOnly="0" labelOnly="1" outline="0" axis="axisRow" fieldPosition="0"/>
    </format>
    <format dxfId="100">
      <pivotArea field="1" type="button" dataOnly="0" labelOnly="1" outline="0" axis="axisRow" fieldPosition="1"/>
    </format>
    <format dxfId="99">
      <pivotArea dataOnly="0" labelOnly="1" outline="0" fieldPosition="0">
        <references count="1">
          <reference field="11" count="0"/>
        </references>
      </pivotArea>
    </format>
    <format dxfId="98">
      <pivotArea dataOnly="0" labelOnly="1" outline="0" fieldPosition="0">
        <references count="2">
          <reference field="1" count="3">
            <x v="0"/>
            <x v="3"/>
            <x v="8"/>
          </reference>
          <reference field="11" count="1" selected="0">
            <x v="0"/>
          </reference>
        </references>
      </pivotArea>
    </format>
    <format dxfId="97">
      <pivotArea dataOnly="0" labelOnly="1" outline="0" fieldPosition="0">
        <references count="2">
          <reference field="1" count="7">
            <x v="1"/>
            <x v="2"/>
            <x v="4"/>
            <x v="5"/>
            <x v="6"/>
            <x v="7"/>
            <x v="9"/>
          </reference>
          <reference field="11" count="1" selected="0">
            <x v="1"/>
          </reference>
        </references>
      </pivotArea>
    </format>
    <format dxfId="96">
      <pivotArea field="11" type="button" dataOnly="0" labelOnly="1" outline="0" axis="axisRow" fieldPosition="0"/>
    </format>
    <format dxfId="95">
      <pivotArea field="1" type="button" dataOnly="0" labelOnly="1" outline="0" axis="axisRow" fieldPosition="1"/>
    </format>
    <format dxfId="94">
      <pivotArea field="11" type="button" dataOnly="0" labelOnly="1" outline="0" axis="axisRow" fieldPosition="0"/>
    </format>
    <format dxfId="93">
      <pivotArea field="1" type="button" dataOnly="0" labelOnly="1" outline="0" axis="axisRow" fieldPosition="1"/>
    </format>
    <format dxfId="92">
      <pivotArea dataOnly="0" labelOnly="1" outline="0" offset="IV1" fieldPosition="0">
        <references count="1">
          <reference field="11" count="1">
            <x v="0"/>
          </reference>
        </references>
      </pivotArea>
    </format>
    <format dxfId="91">
      <pivotArea dataOnly="0" labelOnly="1" outline="0" fieldPosition="0">
        <references count="2">
          <reference field="1" count="1">
            <x v="0"/>
          </reference>
          <reference field="11" count="1" selected="0">
            <x v="0"/>
          </reference>
        </references>
      </pivotArea>
    </format>
    <format dxfId="90">
      <pivotArea dataOnly="0" labelOnly="1" outline="0" fieldPosition="0">
        <references count="1">
          <reference field="11" count="1">
            <x v="0"/>
          </reference>
        </references>
      </pivotArea>
    </format>
    <format dxfId="89">
      <pivotArea dataOnly="0" labelOnly="1" outline="0" fieldPosition="0">
        <references count="2">
          <reference field="1" count="1">
            <x v="0"/>
          </reference>
          <reference field="11" count="1" selected="0">
            <x v="0"/>
          </reference>
        </references>
      </pivotArea>
    </format>
    <format dxfId="88">
      <pivotArea dataOnly="0" labelOnly="1" outline="0" offset="IV2" fieldPosition="0">
        <references count="1">
          <reference field="11" count="1">
            <x v="0"/>
          </reference>
        </references>
      </pivotArea>
    </format>
    <format dxfId="87">
      <pivotArea dataOnly="0" labelOnly="1" outline="0" fieldPosition="0">
        <references count="2">
          <reference field="1" count="1">
            <x v="3"/>
          </reference>
          <reference field="11" count="1" selected="0">
            <x v="0"/>
          </reference>
        </references>
      </pivotArea>
    </format>
    <format dxfId="86">
      <pivotArea dataOnly="0" labelOnly="1" outline="0" offset="IV256" fieldPosition="0">
        <references count="1">
          <reference field="11" count="1">
            <x v="0"/>
          </reference>
        </references>
      </pivotArea>
    </format>
    <format dxfId="85">
      <pivotArea dataOnly="0" labelOnly="1" outline="0" fieldPosition="0">
        <references count="2">
          <reference field="1" count="1">
            <x v="8"/>
          </reference>
          <reference field="11" count="1" selected="0">
            <x v="0"/>
          </reference>
        </references>
      </pivotArea>
    </format>
    <format dxfId="84">
      <pivotArea dataOnly="0" labelOnly="1" outline="0" fieldPosition="0">
        <references count="1">
          <reference field="11" count="1">
            <x v="0"/>
          </reference>
        </references>
      </pivotArea>
    </format>
    <format dxfId="83">
      <pivotArea dataOnly="0" labelOnly="1" outline="0" fieldPosition="0">
        <references count="2">
          <reference field="1" count="1">
            <x v="8"/>
          </reference>
          <reference field="11" count="1" selected="0">
            <x v="0"/>
          </reference>
        </references>
      </pivotArea>
    </format>
    <format dxfId="82">
      <pivotArea dataOnly="0" labelOnly="1" outline="0" offset="IV1" fieldPosition="0">
        <references count="1">
          <reference field="11" count="1">
            <x v="1"/>
          </reference>
        </references>
      </pivotArea>
    </format>
    <format dxfId="81">
      <pivotArea dataOnly="0" labelOnly="1" outline="0" fieldPosition="0">
        <references count="2">
          <reference field="1" count="1">
            <x v="1"/>
          </reference>
          <reference field="11" count="1" selected="0">
            <x v="1"/>
          </reference>
        </references>
      </pivotArea>
    </format>
    <format dxfId="80">
      <pivotArea dataOnly="0" labelOnly="1" outline="0" fieldPosition="0">
        <references count="1">
          <reference field="11" count="1">
            <x v="1"/>
          </reference>
        </references>
      </pivotArea>
    </format>
    <format dxfId="79">
      <pivotArea dataOnly="0" labelOnly="1" outline="0" fieldPosition="0">
        <references count="2">
          <reference field="1" count="1">
            <x v="1"/>
          </reference>
          <reference field="11" count="1" selected="0">
            <x v="1"/>
          </reference>
        </references>
      </pivotArea>
    </format>
    <format dxfId="78">
      <pivotArea dataOnly="0" labelOnly="1" outline="0" offset="IV2" fieldPosition="0">
        <references count="1">
          <reference field="11" count="1">
            <x v="1"/>
          </reference>
        </references>
      </pivotArea>
    </format>
    <format dxfId="77">
      <pivotArea dataOnly="0" labelOnly="1" outline="0" fieldPosition="0">
        <references count="2">
          <reference field="1" count="1">
            <x v="2"/>
          </reference>
          <reference field="11" count="1" selected="0">
            <x v="1"/>
          </reference>
        </references>
      </pivotArea>
    </format>
    <format dxfId="76">
      <pivotArea dataOnly="0" labelOnly="1" outline="0" offset="IV3" fieldPosition="0">
        <references count="1">
          <reference field="11" count="1">
            <x v="1"/>
          </reference>
        </references>
      </pivotArea>
    </format>
    <format dxfId="75">
      <pivotArea dataOnly="0" labelOnly="1" outline="0" fieldPosition="0">
        <references count="2">
          <reference field="1" count="1">
            <x v="4"/>
          </reference>
          <reference field="11" count="1" selected="0">
            <x v="1"/>
          </reference>
        </references>
      </pivotArea>
    </format>
    <format dxfId="74">
      <pivotArea dataOnly="0" labelOnly="1" outline="0" offset="IV4" fieldPosition="0">
        <references count="1">
          <reference field="11" count="1">
            <x v="1"/>
          </reference>
        </references>
      </pivotArea>
    </format>
    <format dxfId="73">
      <pivotArea dataOnly="0" labelOnly="1" outline="0" fieldPosition="0">
        <references count="2">
          <reference field="1" count="1">
            <x v="5"/>
          </reference>
          <reference field="11" count="1" selected="0">
            <x v="1"/>
          </reference>
        </references>
      </pivotArea>
    </format>
    <format dxfId="72">
      <pivotArea dataOnly="0" labelOnly="1" outline="0" offset="IV5" fieldPosition="0">
        <references count="1">
          <reference field="11" count="1">
            <x v="1"/>
          </reference>
        </references>
      </pivotArea>
    </format>
    <format dxfId="71">
      <pivotArea dataOnly="0" labelOnly="1" outline="0" fieldPosition="0">
        <references count="2">
          <reference field="1" count="1">
            <x v="6"/>
          </reference>
          <reference field="11" count="1" selected="0">
            <x v="1"/>
          </reference>
        </references>
      </pivotArea>
    </format>
    <format dxfId="70">
      <pivotArea dataOnly="0" labelOnly="1" outline="0" offset="IV6" fieldPosition="0">
        <references count="1">
          <reference field="11" count="1">
            <x v="1"/>
          </reference>
        </references>
      </pivotArea>
    </format>
    <format dxfId="69">
      <pivotArea dataOnly="0" labelOnly="1" outline="0" fieldPosition="0">
        <references count="2">
          <reference field="1" count="1">
            <x v="7"/>
          </reference>
          <reference field="11" count="1" selected="0">
            <x v="1"/>
          </reference>
        </references>
      </pivotArea>
    </format>
    <format dxfId="68">
      <pivotArea dataOnly="0" labelOnly="1" outline="0" offset="IV256" fieldPosition="0">
        <references count="1">
          <reference field="11" count="1">
            <x v="1"/>
          </reference>
        </references>
      </pivotArea>
    </format>
    <format dxfId="67">
      <pivotArea dataOnly="0" labelOnly="1" outline="0" fieldPosition="0">
        <references count="2">
          <reference field="1" count="1">
            <x v="9"/>
          </reference>
          <reference field="11" count="1" selected="0">
            <x v="1"/>
          </reference>
        </references>
      </pivotArea>
    </format>
    <format dxfId="66">
      <pivotArea dataOnly="0" labelOnly="1" outline="0" fieldPosition="0">
        <references count="1">
          <reference field="11" count="1">
            <x v="1"/>
          </reference>
        </references>
      </pivotArea>
    </format>
    <format dxfId="65">
      <pivotArea dataOnly="0" labelOnly="1" outline="0" fieldPosition="0">
        <references count="2">
          <reference field="1" count="1">
            <x v="9"/>
          </reference>
          <reference field="11"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 xmlns:xxpvi="http://schemas.microsoft.com/office/spreadsheetml/2022/pivotVersionInfo" uri="{9F748A41-CAEA-4470-BF7A-CE61E8FFA7F9}">
      <xxpvi:pivotVersionInfo>
        <xxpvi:lastUpdateFeature>RichData</xxpvi:lastUpdateFeature>
      </xxpvi:pivotVersionInfo>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F4174E8-A0FE-41BE-9EE2-BD36AAF25309}" name="PivotTable12" cacheId="0" applyNumberFormats="0" applyBorderFormats="0" applyFontFormats="0" applyPatternFormats="0" applyAlignmentFormats="0" applyWidthHeightFormats="1" dataCaption="Values" updatedVersion="8" minRefreshableVersion="3" showDrill="0" useAutoFormatting="1" rowGrandTotals="0" colGrandTotals="0" itemPrintTitles="1" createdVersion="8" indent="0" compact="0" compactData="0" multipleFieldFilters="0">
  <location ref="A3:B4" firstHeaderRow="1" firstDataRow="1" firstDataCol="2" rowPageCount="1" colPageCount="1"/>
  <pivotFields count="12">
    <pivotField axis="axisPage" compact="0" outline="0" showAll="0" defaultSubtotal="0">
      <items count="11">
        <item x="0"/>
        <item x="2"/>
        <item x="7"/>
        <item x="9"/>
        <item x="3"/>
        <item x="10"/>
        <item x="6"/>
        <item x="8"/>
        <item x="1"/>
        <item x="4"/>
        <item x="5"/>
      </items>
      <extLst>
        <ext xmlns:x14="http://schemas.microsoft.com/office/spreadsheetml/2009/9/main" uri="{2946ED86-A175-432a-8AC1-64E0C546D7DE}">
          <x14:pivotField fillDownLabels="1"/>
        </ext>
      </extLst>
    </pivotField>
    <pivotField axis="axisRow" compact="0" outline="0" showAll="0" defaultSubtotal="0">
      <items count="10">
        <item x="0"/>
        <item x="2"/>
        <item x="7"/>
        <item x="9"/>
        <item x="3"/>
        <item x="6"/>
        <item x="4"/>
        <item x="8"/>
        <item x="1"/>
        <item x="5"/>
      </items>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 compact="0" numFmtId="4" outline="0" showAll="0" defaultSubtotal="0">
      <extLst>
        <ext xmlns:x14="http://schemas.microsoft.com/office/spreadsheetml/2009/9/main" uri="{2946ED86-A175-432a-8AC1-64E0C546D7DE}">
          <x14:pivotField fillDownLabels="1"/>
        </ext>
      </extLst>
    </pivotField>
    <pivotField compact="0" numFmtId="4" outline="0" showAll="0" defaultSubtotal="0">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2">
        <item x="0"/>
        <item x="1"/>
      </items>
      <extLst>
        <ext xmlns:x14="http://schemas.microsoft.com/office/spreadsheetml/2009/9/main" uri="{2946ED86-A175-432a-8AC1-64E0C546D7DE}">
          <x14:pivotField fillDownLabels="1"/>
        </ext>
      </extLst>
    </pivotField>
  </pivotFields>
  <rowFields count="2">
    <field x="11"/>
    <field x="1"/>
  </rowFields>
  <rowItems count="1">
    <i>
      <x/>
      <x/>
    </i>
  </rowItems>
  <colItems count="1">
    <i/>
  </colItems>
  <pageFields count="1">
    <pageField fld="0" item="0" hier="-1"/>
  </page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 xmlns:xxpvi="http://schemas.microsoft.com/office/spreadsheetml/2022/pivotVersionInfo" uri="{9F748A41-CAEA-4470-BF7A-CE61E8FFA7F9}">
      <xxpvi:pivotVersionInfo>
        <xxpvi:lastUpdateFeature>RichData</xxpvi:lastUpdateFeature>
      </xxpvi:pivotVersionInfo>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F4174E8-A0FE-41BE-9EE2-BD36AAF25309}" name="PivotTable11" cacheId="0" applyNumberFormats="0" applyBorderFormats="0" applyFontFormats="0" applyPatternFormats="0" applyAlignmentFormats="0" applyWidthHeightFormats="1" dataCaption="Values" updatedVersion="8" minRefreshableVersion="3" showDrill="0" useAutoFormatting="1" rowGrandTotals="0" colGrandTotals="0" itemPrintTitles="1" createdVersion="8" indent="0" compact="0" compactData="0" multipleFieldFilters="0">
  <location ref="A3:B4" firstHeaderRow="1" firstDataRow="1" firstDataCol="2" rowPageCount="1" colPageCount="1"/>
  <pivotFields count="12">
    <pivotField axis="axisPage" compact="0" outline="0" showAll="0" defaultSubtotal="0">
      <items count="11">
        <item x="0"/>
        <item x="2"/>
        <item x="7"/>
        <item x="9"/>
        <item x="3"/>
        <item x="10"/>
        <item x="6"/>
        <item x="8"/>
        <item x="1"/>
        <item x="4"/>
        <item x="5"/>
      </items>
      <extLst>
        <ext xmlns:x14="http://schemas.microsoft.com/office/spreadsheetml/2009/9/main" uri="{2946ED86-A175-432a-8AC1-64E0C546D7DE}">
          <x14:pivotField fillDownLabels="1"/>
        </ext>
      </extLst>
    </pivotField>
    <pivotField axis="axisRow" compact="0" outline="0" showAll="0" defaultSubtotal="0">
      <items count="10">
        <item x="0"/>
        <item x="2"/>
        <item x="7"/>
        <item x="9"/>
        <item x="3"/>
        <item x="6"/>
        <item x="4"/>
        <item x="8"/>
        <item x="1"/>
        <item x="5"/>
      </items>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 compact="0" numFmtId="4" outline="0" showAll="0" defaultSubtotal="0">
      <extLst>
        <ext xmlns:x14="http://schemas.microsoft.com/office/spreadsheetml/2009/9/main" uri="{2946ED86-A175-432a-8AC1-64E0C546D7DE}">
          <x14:pivotField fillDownLabels="1"/>
        </ext>
      </extLst>
    </pivotField>
    <pivotField compact="0" numFmtId="4" outline="0" showAll="0" defaultSubtotal="0">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2">
        <item x="0"/>
        <item x="1"/>
      </items>
      <extLst>
        <ext xmlns:x14="http://schemas.microsoft.com/office/spreadsheetml/2009/9/main" uri="{2946ED86-A175-432a-8AC1-64E0C546D7DE}">
          <x14:pivotField fillDownLabels="1"/>
        </ext>
      </extLst>
    </pivotField>
  </pivotFields>
  <rowFields count="2">
    <field x="11"/>
    <field x="1"/>
  </rowFields>
  <rowItems count="1">
    <i>
      <x v="1"/>
      <x v="1"/>
    </i>
  </rowItems>
  <colItems count="1">
    <i/>
  </colItems>
  <pageFields count="1">
    <pageField fld="0" item="1" hier="-1"/>
  </page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 xmlns:xxpvi="http://schemas.microsoft.com/office/spreadsheetml/2022/pivotVersionInfo" uri="{9F748A41-CAEA-4470-BF7A-CE61E8FFA7F9}">
      <xxpvi:pivotVersionInfo>
        <xxpvi:lastUpdateFeature>RichData</xxpvi:lastUpdateFeature>
      </xxpvi:pivotVersionInfo>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F4174E8-A0FE-41BE-9EE2-BD36AAF25309}" name="PivotTable10" cacheId="0" applyNumberFormats="0" applyBorderFormats="0" applyFontFormats="0" applyPatternFormats="0" applyAlignmentFormats="0" applyWidthHeightFormats="1" dataCaption="Values" updatedVersion="8" minRefreshableVersion="3" showDrill="0" useAutoFormatting="1" rowGrandTotals="0" colGrandTotals="0" itemPrintTitles="1" createdVersion="8" indent="0" compact="0" compactData="0" multipleFieldFilters="0">
  <location ref="A3:B4" firstHeaderRow="1" firstDataRow="1" firstDataCol="2" rowPageCount="1" colPageCount="1"/>
  <pivotFields count="12">
    <pivotField axis="axisPage" compact="0" outline="0" showAll="0" defaultSubtotal="0">
      <items count="11">
        <item x="0"/>
        <item x="2"/>
        <item x="7"/>
        <item x="9"/>
        <item x="3"/>
        <item x="10"/>
        <item x="6"/>
        <item x="8"/>
        <item x="1"/>
        <item x="4"/>
        <item x="5"/>
      </items>
      <extLst>
        <ext xmlns:x14="http://schemas.microsoft.com/office/spreadsheetml/2009/9/main" uri="{2946ED86-A175-432a-8AC1-64E0C546D7DE}">
          <x14:pivotField fillDownLabels="1"/>
        </ext>
      </extLst>
    </pivotField>
    <pivotField axis="axisRow" compact="0" outline="0" showAll="0" defaultSubtotal="0">
      <items count="10">
        <item x="0"/>
        <item x="2"/>
        <item x="7"/>
        <item x="9"/>
        <item x="3"/>
        <item x="6"/>
        <item x="4"/>
        <item x="8"/>
        <item x="1"/>
        <item x="5"/>
      </items>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 compact="0" numFmtId="4" outline="0" showAll="0" defaultSubtotal="0">
      <extLst>
        <ext xmlns:x14="http://schemas.microsoft.com/office/spreadsheetml/2009/9/main" uri="{2946ED86-A175-432a-8AC1-64E0C546D7DE}">
          <x14:pivotField fillDownLabels="1"/>
        </ext>
      </extLst>
    </pivotField>
    <pivotField compact="0" numFmtId="4" outline="0" showAll="0" defaultSubtotal="0">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2">
        <item x="0"/>
        <item x="1"/>
      </items>
      <extLst>
        <ext xmlns:x14="http://schemas.microsoft.com/office/spreadsheetml/2009/9/main" uri="{2946ED86-A175-432a-8AC1-64E0C546D7DE}">
          <x14:pivotField fillDownLabels="1"/>
        </ext>
      </extLst>
    </pivotField>
  </pivotFields>
  <rowFields count="2">
    <field x="11"/>
    <field x="1"/>
  </rowFields>
  <rowItems count="1">
    <i>
      <x v="1"/>
      <x v="2"/>
    </i>
  </rowItems>
  <colItems count="1">
    <i/>
  </colItems>
  <pageFields count="1">
    <pageField fld="0" item="2" hier="-1"/>
  </page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 xmlns:xxpvi="http://schemas.microsoft.com/office/spreadsheetml/2022/pivotVersionInfo" uri="{9F748A41-CAEA-4470-BF7A-CE61E8FFA7F9}">
      <xxpvi:pivotVersionInfo>
        <xxpvi:lastUpdateFeature>RichData</xxpvi:lastUpdateFeature>
      </xxpvi:pivotVersionInfo>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F4174E8-A0FE-41BE-9EE2-BD36AAF25309}" name="PivotTable9" cacheId="0" applyNumberFormats="0" applyBorderFormats="0" applyFontFormats="0" applyPatternFormats="0" applyAlignmentFormats="0" applyWidthHeightFormats="1" dataCaption="Values" updatedVersion="8" minRefreshableVersion="3" showDrill="0" useAutoFormatting="1" rowGrandTotals="0" colGrandTotals="0" itemPrintTitles="1" createdVersion="8" indent="0" compact="0" compactData="0" multipleFieldFilters="0">
  <location ref="A3:B4" firstHeaderRow="1" firstDataRow="1" firstDataCol="2" rowPageCount="1" colPageCount="1"/>
  <pivotFields count="12">
    <pivotField axis="axisPage" compact="0" outline="0" showAll="0" defaultSubtotal="0">
      <items count="11">
        <item x="0"/>
        <item x="2"/>
        <item x="7"/>
        <item x="9"/>
        <item x="3"/>
        <item x="10"/>
        <item x="6"/>
        <item x="8"/>
        <item x="1"/>
        <item x="4"/>
        <item x="5"/>
      </items>
      <extLst>
        <ext xmlns:x14="http://schemas.microsoft.com/office/spreadsheetml/2009/9/main" uri="{2946ED86-A175-432a-8AC1-64E0C546D7DE}">
          <x14:pivotField fillDownLabels="1"/>
        </ext>
      </extLst>
    </pivotField>
    <pivotField axis="axisRow" compact="0" outline="0" showAll="0" defaultSubtotal="0">
      <items count="10">
        <item x="0"/>
        <item x="2"/>
        <item x="7"/>
        <item x="9"/>
        <item x="3"/>
        <item x="6"/>
        <item x="4"/>
        <item x="8"/>
        <item x="1"/>
        <item x="5"/>
      </items>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 compact="0" numFmtId="4" outline="0" showAll="0" defaultSubtotal="0">
      <extLst>
        <ext xmlns:x14="http://schemas.microsoft.com/office/spreadsheetml/2009/9/main" uri="{2946ED86-A175-432a-8AC1-64E0C546D7DE}">
          <x14:pivotField fillDownLabels="1"/>
        </ext>
      </extLst>
    </pivotField>
    <pivotField compact="0" numFmtId="4" outline="0" showAll="0" defaultSubtotal="0">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2">
        <item x="0"/>
        <item x="1"/>
      </items>
      <extLst>
        <ext xmlns:x14="http://schemas.microsoft.com/office/spreadsheetml/2009/9/main" uri="{2946ED86-A175-432a-8AC1-64E0C546D7DE}">
          <x14:pivotField fillDownLabels="1"/>
        </ext>
      </extLst>
    </pivotField>
  </pivotFields>
  <rowFields count="2">
    <field x="11"/>
    <field x="1"/>
  </rowFields>
  <rowItems count="1">
    <i>
      <x/>
      <x v="3"/>
    </i>
  </rowItems>
  <colItems count="1">
    <i/>
  </colItems>
  <pageFields count="1">
    <pageField fld="0" item="3" hier="-1"/>
  </page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 xmlns:xxpvi="http://schemas.microsoft.com/office/spreadsheetml/2022/pivotVersionInfo" uri="{9F748A41-CAEA-4470-BF7A-CE61E8FFA7F9}">
      <xxpvi:pivotVersionInfo>
        <xxpvi:lastUpdateFeature>RichData</xxpvi:lastUpdateFeature>
      </xxpvi:pivotVersionInfo>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F4174E8-A0FE-41BE-9EE2-BD36AAF25309}" name="PivotTable8" cacheId="0" applyNumberFormats="0" applyBorderFormats="0" applyFontFormats="0" applyPatternFormats="0" applyAlignmentFormats="0" applyWidthHeightFormats="1" dataCaption="Values" updatedVersion="8" minRefreshableVersion="3" showDrill="0" useAutoFormatting="1" rowGrandTotals="0" colGrandTotals="0" itemPrintTitles="1" createdVersion="8" indent="0" compact="0" compactData="0" multipleFieldFilters="0">
  <location ref="A3:B4" firstHeaderRow="1" firstDataRow="1" firstDataCol="2" rowPageCount="1" colPageCount="1"/>
  <pivotFields count="12">
    <pivotField axis="axisPage" compact="0" outline="0" showAll="0" defaultSubtotal="0">
      <items count="11">
        <item x="0"/>
        <item x="2"/>
        <item x="7"/>
        <item x="9"/>
        <item x="3"/>
        <item x="10"/>
        <item x="6"/>
        <item x="8"/>
        <item x="1"/>
        <item x="4"/>
        <item x="5"/>
      </items>
      <extLst>
        <ext xmlns:x14="http://schemas.microsoft.com/office/spreadsheetml/2009/9/main" uri="{2946ED86-A175-432a-8AC1-64E0C546D7DE}">
          <x14:pivotField fillDownLabels="1"/>
        </ext>
      </extLst>
    </pivotField>
    <pivotField axis="axisRow" compact="0" outline="0" showAll="0" defaultSubtotal="0">
      <items count="10">
        <item x="0"/>
        <item x="2"/>
        <item x="7"/>
        <item x="9"/>
        <item x="3"/>
        <item x="6"/>
        <item x="4"/>
        <item x="8"/>
        <item x="1"/>
        <item x="5"/>
      </items>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 compact="0" numFmtId="4" outline="0" showAll="0" defaultSubtotal="0">
      <extLst>
        <ext xmlns:x14="http://schemas.microsoft.com/office/spreadsheetml/2009/9/main" uri="{2946ED86-A175-432a-8AC1-64E0C546D7DE}">
          <x14:pivotField fillDownLabels="1"/>
        </ext>
      </extLst>
    </pivotField>
    <pivotField compact="0" numFmtId="4" outline="0" showAll="0" defaultSubtotal="0">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2">
        <item x="0"/>
        <item x="1"/>
      </items>
      <extLst>
        <ext xmlns:x14="http://schemas.microsoft.com/office/spreadsheetml/2009/9/main" uri="{2946ED86-A175-432a-8AC1-64E0C546D7DE}">
          <x14:pivotField fillDownLabels="1"/>
        </ext>
      </extLst>
    </pivotField>
  </pivotFields>
  <rowFields count="2">
    <field x="11"/>
    <field x="1"/>
  </rowFields>
  <rowItems count="1">
    <i>
      <x v="1"/>
      <x v="4"/>
    </i>
  </rowItems>
  <colItems count="1">
    <i/>
  </colItems>
  <pageFields count="1">
    <pageField fld="0" item="4" hier="-1"/>
  </page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 xmlns:xxpvi="http://schemas.microsoft.com/office/spreadsheetml/2022/pivotVersionInfo" uri="{9F748A41-CAEA-4470-BF7A-CE61E8FFA7F9}">
      <xxpvi:pivotVersionInfo>
        <xxpvi:lastUpdateFeature>RichData</xxpvi:lastUpdateFeature>
      </xxpvi:pivotVersionInfo>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F4174E8-A0FE-41BE-9EE2-BD36AAF25309}" name="PivotTable7" cacheId="0" applyNumberFormats="0" applyBorderFormats="0" applyFontFormats="0" applyPatternFormats="0" applyAlignmentFormats="0" applyWidthHeightFormats="1" dataCaption="Values" updatedVersion="8" minRefreshableVersion="3" showDrill="0" useAutoFormatting="1" rowGrandTotals="0" colGrandTotals="0" itemPrintTitles="1" createdVersion="8" indent="0" compact="0" compactData="0" multipleFieldFilters="0">
  <location ref="A3:B3" firstHeaderRow="1" firstDataRow="1" firstDataCol="2" rowPageCount="1" colPageCount="1"/>
  <pivotFields count="12">
    <pivotField axis="axisPage" compact="0" outline="0" showAll="0" defaultSubtotal="0">
      <items count="11">
        <item x="0"/>
        <item x="2"/>
        <item x="7"/>
        <item x="9"/>
        <item x="3"/>
        <item x="10"/>
        <item x="6"/>
        <item x="8"/>
        <item x="1"/>
        <item x="4"/>
        <item x="5"/>
      </items>
      <extLst>
        <ext xmlns:x14="http://schemas.microsoft.com/office/spreadsheetml/2009/9/main" uri="{2946ED86-A175-432a-8AC1-64E0C546D7DE}">
          <x14:pivotField fillDownLabels="1"/>
        </ext>
      </extLst>
    </pivotField>
    <pivotField axis="axisRow" compact="0" outline="0" showAll="0" defaultSubtotal="0">
      <items count="10">
        <item x="0"/>
        <item x="2"/>
        <item x="7"/>
        <item x="9"/>
        <item x="3"/>
        <item x="6"/>
        <item x="4"/>
        <item x="8"/>
        <item x="1"/>
        <item x="5"/>
      </items>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 compact="0" numFmtId="4" outline="0" showAll="0" defaultSubtotal="0">
      <extLst>
        <ext xmlns:x14="http://schemas.microsoft.com/office/spreadsheetml/2009/9/main" uri="{2946ED86-A175-432a-8AC1-64E0C546D7DE}">
          <x14:pivotField fillDownLabels="1"/>
        </ext>
      </extLst>
    </pivotField>
    <pivotField compact="0" numFmtId="4" outline="0" showAll="0" defaultSubtotal="0">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2">
        <item x="0"/>
        <item x="1"/>
      </items>
      <extLst>
        <ext xmlns:x14="http://schemas.microsoft.com/office/spreadsheetml/2009/9/main" uri="{2946ED86-A175-432a-8AC1-64E0C546D7DE}">
          <x14:pivotField fillDownLabels="1"/>
        </ext>
      </extLst>
    </pivotField>
  </pivotFields>
  <rowFields count="2">
    <field x="11"/>
    <field x="1"/>
  </rowFields>
  <colItems count="1">
    <i/>
  </colItems>
  <pageFields count="1">
    <pageField fld="0" item="5" hier="-1"/>
  </page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 xmlns:xxpvi="http://schemas.microsoft.com/office/spreadsheetml/2022/pivotVersionInfo" uri="{9F748A41-CAEA-4470-BF7A-CE61E8FFA7F9}">
      <xxpvi:pivotVersionInfo>
        <xxpvi:lastUpdateFeature>RichData</xxpvi:lastUpdateFeature>
      </xxpvi:pivotVersionInfo>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F4174E8-A0FE-41BE-9EE2-BD36AAF25309}" name="PivotTable6" cacheId="0" applyNumberFormats="0" applyBorderFormats="0" applyFontFormats="0" applyPatternFormats="0" applyAlignmentFormats="0" applyWidthHeightFormats="1" dataCaption="Values" updatedVersion="8" minRefreshableVersion="3" showDrill="0" useAutoFormatting="1" rowGrandTotals="0" colGrandTotals="0" itemPrintTitles="1" createdVersion="8" indent="0" compact="0" compactData="0" multipleFieldFilters="0">
  <location ref="A3:B4" firstHeaderRow="1" firstDataRow="1" firstDataCol="2" rowPageCount="1" colPageCount="1"/>
  <pivotFields count="12">
    <pivotField axis="axisPage" compact="0" outline="0" showAll="0" defaultSubtotal="0">
      <items count="11">
        <item x="0"/>
        <item x="2"/>
        <item x="7"/>
        <item x="9"/>
        <item x="3"/>
        <item x="10"/>
        <item x="6"/>
        <item x="8"/>
        <item x="1"/>
        <item x="4"/>
        <item x="5"/>
      </items>
      <extLst>
        <ext xmlns:x14="http://schemas.microsoft.com/office/spreadsheetml/2009/9/main" uri="{2946ED86-A175-432a-8AC1-64E0C546D7DE}">
          <x14:pivotField fillDownLabels="1"/>
        </ext>
      </extLst>
    </pivotField>
    <pivotField axis="axisRow" compact="0" outline="0" showAll="0" defaultSubtotal="0">
      <items count="10">
        <item x="0"/>
        <item x="2"/>
        <item x="7"/>
        <item x="9"/>
        <item x="3"/>
        <item x="6"/>
        <item x="4"/>
        <item x="8"/>
        <item x="1"/>
        <item x="5"/>
      </items>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 compact="0" numFmtId="4" outline="0" showAll="0" defaultSubtotal="0">
      <extLst>
        <ext xmlns:x14="http://schemas.microsoft.com/office/spreadsheetml/2009/9/main" uri="{2946ED86-A175-432a-8AC1-64E0C546D7DE}">
          <x14:pivotField fillDownLabels="1"/>
        </ext>
      </extLst>
    </pivotField>
    <pivotField compact="0" numFmtId="4" outline="0" showAll="0" defaultSubtotal="0">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2">
        <item x="0"/>
        <item x="1"/>
      </items>
      <extLst>
        <ext xmlns:x14="http://schemas.microsoft.com/office/spreadsheetml/2009/9/main" uri="{2946ED86-A175-432a-8AC1-64E0C546D7DE}">
          <x14:pivotField fillDownLabels="1"/>
        </ext>
      </extLst>
    </pivotField>
  </pivotFields>
  <rowFields count="2">
    <field x="11"/>
    <field x="1"/>
  </rowFields>
  <rowItems count="1">
    <i>
      <x v="1"/>
      <x v="5"/>
    </i>
  </rowItems>
  <colItems count="1">
    <i/>
  </colItems>
  <pageFields count="1">
    <pageField fld="0" item="6" hier="-1"/>
  </page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 xmlns:xxpvi="http://schemas.microsoft.com/office/spreadsheetml/2022/pivotVersionInfo" uri="{9F748A41-CAEA-4470-BF7A-CE61E8FFA7F9}">
      <xxpvi:pivotVersionInfo>
        <xxpvi:lastUpdateFeature>RichData</xxpvi:lastUpdateFeature>
      </xxpvi:pivotVersionInfo>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F4174E8-A0FE-41BE-9EE2-BD36AAF25309}" name="PivotTable5" cacheId="0" applyNumberFormats="0" applyBorderFormats="0" applyFontFormats="0" applyPatternFormats="0" applyAlignmentFormats="0" applyWidthHeightFormats="1" dataCaption="Values" updatedVersion="8" minRefreshableVersion="3" showDrill="0" useAutoFormatting="1" rowGrandTotals="0" colGrandTotals="0" itemPrintTitles="1" createdVersion="8" indent="0" compact="0" compactData="0" multipleFieldFilters="0">
  <location ref="A3:B4" firstHeaderRow="1" firstDataRow="1" firstDataCol="2" rowPageCount="1" colPageCount="1"/>
  <pivotFields count="12">
    <pivotField axis="axisPage" compact="0" outline="0" showAll="0" defaultSubtotal="0">
      <items count="11">
        <item x="0"/>
        <item x="2"/>
        <item x="7"/>
        <item x="9"/>
        <item x="3"/>
        <item x="10"/>
        <item x="6"/>
        <item x="8"/>
        <item x="1"/>
        <item x="4"/>
        <item x="5"/>
      </items>
      <extLst>
        <ext xmlns:x14="http://schemas.microsoft.com/office/spreadsheetml/2009/9/main" uri="{2946ED86-A175-432a-8AC1-64E0C546D7DE}">
          <x14:pivotField fillDownLabels="1"/>
        </ext>
      </extLst>
    </pivotField>
    <pivotField axis="axisRow" compact="0" outline="0" showAll="0" defaultSubtotal="0">
      <items count="10">
        <item x="0"/>
        <item x="2"/>
        <item x="7"/>
        <item x="9"/>
        <item x="3"/>
        <item x="6"/>
        <item x="4"/>
        <item x="8"/>
        <item x="1"/>
        <item x="5"/>
      </items>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 compact="0" numFmtId="4" outline="0" showAll="0" defaultSubtotal="0">
      <extLst>
        <ext xmlns:x14="http://schemas.microsoft.com/office/spreadsheetml/2009/9/main" uri="{2946ED86-A175-432a-8AC1-64E0C546D7DE}">
          <x14:pivotField fillDownLabels="1"/>
        </ext>
      </extLst>
    </pivotField>
    <pivotField compact="0" numFmtId="4" outline="0" showAll="0" defaultSubtotal="0">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2">
        <item x="0"/>
        <item x="1"/>
      </items>
      <extLst>
        <ext xmlns:x14="http://schemas.microsoft.com/office/spreadsheetml/2009/9/main" uri="{2946ED86-A175-432a-8AC1-64E0C546D7DE}">
          <x14:pivotField fillDownLabels="1"/>
        </ext>
      </extLst>
    </pivotField>
  </pivotFields>
  <rowFields count="2">
    <field x="11"/>
    <field x="1"/>
  </rowFields>
  <rowItems count="1">
    <i>
      <x v="1"/>
      <x v="7"/>
    </i>
  </rowItems>
  <colItems count="1">
    <i/>
  </colItems>
  <pageFields count="1">
    <pageField fld="0" item="7" hier="-1"/>
  </page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 xmlns:xxpvi="http://schemas.microsoft.com/office/spreadsheetml/2022/pivotVersionInfo" uri="{9F748A41-CAEA-4470-BF7A-CE61E8FFA7F9}">
      <xxpvi:pivotVersionInfo>
        <xxpvi:lastUpdateFeature>RichData</xxpvi:lastUpdateFeature>
      </xxpvi:pivotVersionInfo>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F4174E8-A0FE-41BE-9EE2-BD36AAF25309}" name="PivotTable4" cacheId="0" applyNumberFormats="0" applyBorderFormats="0" applyFontFormats="0" applyPatternFormats="0" applyAlignmentFormats="0" applyWidthHeightFormats="1" dataCaption="Values" updatedVersion="8" minRefreshableVersion="3" showDrill="0" useAutoFormatting="1" rowGrandTotals="0" colGrandTotals="0" itemPrintTitles="1" createdVersion="8" indent="0" compact="0" compactData="0" multipleFieldFilters="0">
  <location ref="A3:B4" firstHeaderRow="1" firstDataRow="1" firstDataCol="2" rowPageCount="1" colPageCount="1"/>
  <pivotFields count="12">
    <pivotField axis="axisPage" compact="0" outline="0" showAll="0" defaultSubtotal="0">
      <items count="11">
        <item x="0"/>
        <item x="2"/>
        <item x="7"/>
        <item x="9"/>
        <item x="3"/>
        <item x="10"/>
        <item x="6"/>
        <item x="8"/>
        <item x="1"/>
        <item x="4"/>
        <item x="5"/>
      </items>
      <extLst>
        <ext xmlns:x14="http://schemas.microsoft.com/office/spreadsheetml/2009/9/main" uri="{2946ED86-A175-432a-8AC1-64E0C546D7DE}">
          <x14:pivotField fillDownLabels="1"/>
        </ext>
      </extLst>
    </pivotField>
    <pivotField axis="axisRow" compact="0" outline="0" showAll="0" defaultSubtotal="0">
      <items count="10">
        <item x="0"/>
        <item x="2"/>
        <item x="7"/>
        <item x="9"/>
        <item x="3"/>
        <item x="6"/>
        <item x="4"/>
        <item x="8"/>
        <item x="1"/>
        <item x="5"/>
      </items>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 compact="0" numFmtId="4" outline="0" showAll="0" defaultSubtotal="0">
      <extLst>
        <ext xmlns:x14="http://schemas.microsoft.com/office/spreadsheetml/2009/9/main" uri="{2946ED86-A175-432a-8AC1-64E0C546D7DE}">
          <x14:pivotField fillDownLabels="1"/>
        </ext>
      </extLst>
    </pivotField>
    <pivotField compact="0" numFmtId="4" outline="0" showAll="0" defaultSubtotal="0">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2">
        <item x="0"/>
        <item x="1"/>
      </items>
      <extLst>
        <ext xmlns:x14="http://schemas.microsoft.com/office/spreadsheetml/2009/9/main" uri="{2946ED86-A175-432a-8AC1-64E0C546D7DE}">
          <x14:pivotField fillDownLabels="1"/>
        </ext>
      </extLst>
    </pivotField>
  </pivotFields>
  <rowFields count="2">
    <field x="11"/>
    <field x="1"/>
  </rowFields>
  <rowItems count="1">
    <i>
      <x/>
      <x v="8"/>
    </i>
  </rowItems>
  <colItems count="1">
    <i/>
  </colItems>
  <pageFields count="1">
    <pageField fld="0" item="8" hier="-1"/>
  </page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 xmlns:xxpvi="http://schemas.microsoft.com/office/spreadsheetml/2022/pivotVersionInfo" uri="{9F748A41-CAEA-4470-BF7A-CE61E8FFA7F9}">
      <xxpvi:pivotVersionInfo>
        <xxpvi:lastUpdateFeature>RichData</xxpvi:lastUpdateFeature>
      </xxpvi:pivotVersionInfo>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F4174E8-A0FE-41BE-9EE2-BD36AAF25309}" name="PivotTable3" cacheId="0" applyNumberFormats="0" applyBorderFormats="0" applyFontFormats="0" applyPatternFormats="0" applyAlignmentFormats="0" applyWidthHeightFormats="1" dataCaption="Values" updatedVersion="8" minRefreshableVersion="3" showDrill="0" useAutoFormatting="1" rowGrandTotals="0" colGrandTotals="0" itemPrintTitles="1" createdVersion="8" indent="0" compact="0" compactData="0" multipleFieldFilters="0">
  <location ref="A3:B4" firstHeaderRow="1" firstDataRow="1" firstDataCol="2" rowPageCount="1" colPageCount="1"/>
  <pivotFields count="12">
    <pivotField axis="axisPage" compact="0" outline="0" showAll="0" defaultSubtotal="0">
      <items count="11">
        <item x="0"/>
        <item x="2"/>
        <item x="7"/>
        <item x="9"/>
        <item x="3"/>
        <item x="10"/>
        <item x="6"/>
        <item x="8"/>
        <item x="1"/>
        <item x="4"/>
        <item x="5"/>
      </items>
      <extLst>
        <ext xmlns:x14="http://schemas.microsoft.com/office/spreadsheetml/2009/9/main" uri="{2946ED86-A175-432a-8AC1-64E0C546D7DE}">
          <x14:pivotField fillDownLabels="1"/>
        </ext>
      </extLst>
    </pivotField>
    <pivotField axis="axisRow" compact="0" outline="0" showAll="0" defaultSubtotal="0">
      <items count="10">
        <item x="0"/>
        <item x="2"/>
        <item x="7"/>
        <item x="9"/>
        <item x="3"/>
        <item x="6"/>
        <item x="4"/>
        <item x="8"/>
        <item x="1"/>
        <item x="5"/>
      </items>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 compact="0" numFmtId="4" outline="0" showAll="0" defaultSubtotal="0">
      <extLst>
        <ext xmlns:x14="http://schemas.microsoft.com/office/spreadsheetml/2009/9/main" uri="{2946ED86-A175-432a-8AC1-64E0C546D7DE}">
          <x14:pivotField fillDownLabels="1"/>
        </ext>
      </extLst>
    </pivotField>
    <pivotField compact="0" numFmtId="4" outline="0" showAll="0" defaultSubtotal="0">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2">
        <item x="0"/>
        <item x="1"/>
      </items>
      <extLst>
        <ext xmlns:x14="http://schemas.microsoft.com/office/spreadsheetml/2009/9/main" uri="{2946ED86-A175-432a-8AC1-64E0C546D7DE}">
          <x14:pivotField fillDownLabels="1"/>
        </ext>
      </extLst>
    </pivotField>
  </pivotFields>
  <rowFields count="2">
    <field x="11"/>
    <field x="1"/>
  </rowFields>
  <rowItems count="1">
    <i>
      <x v="1"/>
      <x v="6"/>
    </i>
  </rowItems>
  <colItems count="1">
    <i/>
  </colItems>
  <pageFields count="1">
    <pageField fld="0" item="9" hier="-1"/>
  </page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 xmlns:xxpvi="http://schemas.microsoft.com/office/spreadsheetml/2022/pivotVersionInfo" uri="{9F748A41-CAEA-4470-BF7A-CE61E8FFA7F9}">
      <xxpvi:pivotVersionInfo>
        <xxpvi:lastUpdateFeature>RichData</xxpvi:lastUpdateFeature>
      </xxpvi:pivotVersionInfo>
    </ext>
  </extLst>
</pivotTableDefinition>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imageurl">
      <keyFlags>
        <key name="Blip Identifier">
          <flag name="ShowInCardView" value="0"/>
        </key>
      </keyFlags>
    </type>
    <type name="_linkedentity">
      <keyFlags>
        <key name="%cvi">
          <flag name="ShowInCardView" value="0"/>
          <flag name="ShowInDotNotation" value="0"/>
          <flag name="ShowInAutoComplete" value="0"/>
          <flag name="ExcludeFromCalcComparison" value="1"/>
        </key>
      </keyFlags>
    </type>
    <type name="_linkedentitycore">
      <keyFlags>
        <key name="%EntityServiceId">
          <flag name="ShowInCardView" value="0"/>
          <flag name="ShowInDotNotation" value="0"/>
          <flag name="ShowInAutoComplete" value="0"/>
        </key>
        <key name="%EntitySubDomain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DotNotation"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s>
</rvTypesInfo>
</file>

<file path=xl/richData/rdarray.xml><?xml version="1.0" encoding="utf-8"?>
<arrayData xmlns="http://schemas.microsoft.com/office/spreadsheetml/2017/richdata2" count="74">
  <a r="1" c="251">
    <v t="i">0</v>
    <v t="i">1</v>
    <v t="i">2</v>
    <v t="i">3</v>
    <v t="i">4</v>
    <v t="i">7</v>
    <v t="i">8</v>
    <v t="i">9</v>
    <v t="i">10</v>
    <v t="i">11</v>
    <v t="i">14</v>
    <v t="i">15</v>
    <v t="i">16</v>
    <v t="i">17</v>
    <v t="i">18</v>
    <v t="i">21</v>
    <v t="i">22</v>
    <v t="i">23</v>
    <v t="i">24</v>
    <v t="i">25</v>
    <v t="i">28</v>
    <v t="i">29</v>
    <v t="i">30</v>
    <v t="i">31</v>
    <v t="i">32</v>
    <v t="i">35</v>
    <v t="i">36</v>
    <v t="i">37</v>
    <v t="i">38</v>
    <v t="i">39</v>
    <v t="i">42</v>
    <v t="i">43</v>
    <v t="i">44</v>
    <v t="i">45</v>
    <v t="i">46</v>
    <v t="i">49</v>
    <v t="i">50</v>
    <v t="i">51</v>
    <v t="i">52</v>
    <v t="i">53</v>
    <v t="i">56</v>
    <v t="i">57</v>
    <v t="i">58</v>
    <v t="i">60</v>
    <v t="i">63</v>
    <v t="i">64</v>
    <v t="i">65</v>
    <v t="i">66</v>
    <v t="i">67</v>
    <v t="i">70</v>
    <v t="i">71</v>
    <v t="i">72</v>
    <v t="i">73</v>
    <v t="i">74</v>
    <v t="i">77</v>
    <v t="i">78</v>
    <v t="i">79</v>
    <v t="i">80</v>
    <v t="i">81</v>
    <v t="i">84</v>
    <v t="i">85</v>
    <v t="i">86</v>
    <v t="i">88</v>
    <v t="i">91</v>
    <v t="i">92</v>
    <v t="i">93</v>
    <v t="i">95</v>
    <v t="i">98</v>
    <v t="i">99</v>
    <v t="i">100</v>
    <v t="i">101</v>
    <v t="i">102</v>
    <v t="i">105</v>
    <v t="i">106</v>
    <v t="i">107</v>
    <v t="i">108</v>
    <v t="i">109</v>
    <v t="i">113</v>
    <v t="i">114</v>
    <v t="i">115</v>
    <v t="i">116</v>
    <v t="i">119</v>
    <v t="i">120</v>
    <v t="i">121</v>
    <v t="i">122</v>
    <v t="i">123</v>
    <v t="i">126</v>
    <v t="i">127</v>
    <v t="i">128</v>
    <v t="i">129</v>
    <v t="i">130</v>
    <v t="i">133</v>
    <v t="i">134</v>
    <v t="i">135</v>
    <v t="i">136</v>
    <v t="i">137</v>
    <v t="i">141</v>
    <v t="i">142</v>
    <v t="i">143</v>
    <v t="i">144</v>
    <v t="i">147</v>
    <v t="i">148</v>
    <v t="i">149</v>
    <v t="i">150</v>
    <v t="i">151</v>
    <v t="i">154</v>
    <v t="i">155</v>
    <v t="i">156</v>
    <v t="i">157</v>
    <v t="i">158</v>
    <v t="i">161</v>
    <v t="i">162</v>
    <v t="i">163</v>
    <v t="i">164</v>
    <v t="i">165</v>
    <v t="i">168</v>
    <v t="i">169</v>
    <v t="i">170</v>
    <v t="i">171</v>
    <v t="i">172</v>
    <v t="i">175</v>
    <v t="i">176</v>
    <v t="i">177</v>
    <v t="i">178</v>
    <v t="i">179</v>
    <v t="i">182</v>
    <v t="i">183</v>
    <v t="i">184</v>
    <v t="i">185</v>
    <v t="i">189</v>
    <v t="i">190</v>
    <v t="i">191</v>
    <v t="i">192</v>
    <v t="i">193</v>
    <v t="i">196</v>
    <v t="i">197</v>
    <v t="i">198</v>
    <v t="i">199</v>
    <v t="i">200</v>
    <v t="i">203</v>
    <v t="i">204</v>
    <v t="i">205</v>
    <v t="i">206</v>
    <v t="i">207</v>
    <v t="i">210</v>
    <v t="i">211</v>
    <v t="i">212</v>
    <v t="i">213</v>
    <v t="i">214</v>
    <v t="i">217</v>
    <v t="i">218</v>
    <v t="i">219</v>
    <v t="i">220</v>
    <v t="i">221</v>
    <v t="i">224</v>
    <v t="i">225</v>
    <v t="i">226</v>
    <v t="i">227</v>
    <v t="i">228</v>
    <v t="i">231</v>
    <v t="i">232</v>
    <v t="i">233</v>
    <v t="i">234</v>
    <v t="i">235</v>
    <v t="i">239</v>
    <v t="i">240</v>
    <v t="i">241</v>
    <v t="i">242</v>
    <v t="i">245</v>
    <v t="i">246</v>
    <v t="i">247</v>
    <v t="i">248</v>
    <v t="i">249</v>
    <v t="i">252</v>
    <v t="i">253</v>
    <v t="i">254</v>
    <v t="i">255</v>
    <v t="i">256</v>
    <v t="i">259</v>
    <v t="i">260</v>
    <v t="i">261</v>
    <v t="i">262</v>
    <v t="i">266</v>
    <v t="i">267</v>
    <v t="i">268</v>
    <v t="i">269</v>
    <v t="i">270</v>
    <v t="i">273</v>
    <v t="i">274</v>
    <v t="i">275</v>
    <v t="i">276</v>
    <v t="i">280</v>
    <v t="i">281</v>
    <v t="i">282</v>
    <v t="i">283</v>
    <v t="i">284</v>
    <v t="i">287</v>
    <v t="i">288</v>
    <v t="i">289</v>
    <v t="i">290</v>
    <v t="i">291</v>
    <v t="i">294</v>
    <v t="i">295</v>
    <v t="i">296</v>
    <v t="i">297</v>
    <v t="i">298</v>
    <v t="i">301</v>
    <v t="i">302</v>
    <v t="i">303</v>
    <v t="i">304</v>
    <v t="i">305</v>
    <v t="i">308</v>
    <v t="i">309</v>
    <v t="i">310</v>
    <v t="i">311</v>
    <v t="i">312</v>
    <v t="i">315</v>
    <v t="i">316</v>
    <v t="i">317</v>
    <v t="i">318</v>
    <v t="i">319</v>
    <v t="i">322</v>
    <v t="i">323</v>
    <v t="i">324</v>
    <v t="i">325</v>
    <v t="i">326</v>
    <v t="i">329</v>
    <v t="i">330</v>
    <v t="i">331</v>
    <v t="i">332</v>
    <v t="i">333</v>
    <v t="i">336</v>
    <v t="i">337</v>
    <v t="i">338</v>
    <v t="i">339</v>
    <v t="i">340</v>
    <v t="i">344</v>
    <v t="i">345</v>
    <v t="i">346</v>
    <v t="i">347</v>
    <v t="i">350</v>
    <v t="i">351</v>
    <v t="i">352</v>
    <v t="i">353</v>
    <v t="i">354</v>
    <v t="i">357</v>
    <v t="i">358</v>
    <v t="i">359</v>
    <v t="i">360</v>
    <v t="i">361</v>
    <v t="i">364</v>
  </a>
  <a r="1" c="251">
    <v>743.4</v>
    <v>734.38</v>
    <v>717.34</v>
    <v>727.05</v>
    <v>710.56</v>
    <v>715.66</v>
    <v>713.08</v>
    <v>717.84</v>
    <v>733.51</v>
    <v>705.3</v>
    <v>715.7</v>
    <v>708.65</v>
    <v>717.55</v>
    <v>712.07</v>
    <v>716.91499999999996</v>
    <v>732.17</v>
    <v>733.27</v>
    <v>733.41</v>
    <v>734</v>
    <v>738.36</v>
    <v>750.82</v>
    <v>751.44</v>
    <v>751.67</v>
    <v>666.47</v>
    <v>648.35</v>
    <v>637.71</v>
    <v>627.32000000000005</v>
    <v>635.95000000000005</v>
    <v>618.94000000000005</v>
    <v>621.71</v>
    <v>631.76</v>
    <v>627.08000000000004</v>
    <v>609.01</v>
    <v>609.89</v>
    <v>609.46</v>
    <v>602.01</v>
    <v>597.69000000000005</v>
    <v>590.32000000000005</v>
    <v>589.15</v>
    <v>594.25</v>
    <v>613.04999999999995</v>
    <v>636.22</v>
    <v>633.61</v>
    <v>647.95000000000005</v>
    <v>640.87</v>
    <v>647.1</v>
    <v>639.6</v>
    <v>661.53</v>
    <v>673.42</v>
    <v>666.8</v>
    <v>656.96</v>
    <v>650.13</v>
    <v>652.71</v>
    <v>644.23</v>
    <v>647.51</v>
    <v>657.15</v>
    <v>649.5</v>
    <v>664.45</v>
    <v>658.77</v>
    <v>661.5</v>
    <v>664.94</v>
    <v>667.55</v>
    <v>663.29</v>
    <v>658.69</v>
    <v>665.95</v>
    <v>660.09</v>
    <v>650.41</v>
    <v>658.79</v>
    <v>660.62</v>
    <v>648.69000000000005</v>
    <v>646.05999999999995</v>
    <v>653.05999999999995</v>
    <v>641.97</v>
    <v>631.09</v>
    <v>615.52</v>
    <v>620.79999999999995</v>
    <v>620.25</v>
    <v>604.12</v>
    <v>612.96</v>
    <v>647.63</v>
    <v>658.76</v>
    <v>672.36</v>
    <v>672.97</v>
    <v>668.73</v>
    <v>738.31</v>
    <v>716.5</v>
    <v>706.41</v>
    <v>691.7</v>
    <v>668.99</v>
    <v>670.21</v>
    <v>661.46</v>
    <v>677.22</v>
    <v>670.72</v>
    <v>668.69</v>
    <v>649.80999999999995</v>
    <v>639.77</v>
    <v>639.29</v>
    <v>643.22</v>
    <v>644.78</v>
    <v>655.66</v>
    <v>637.25</v>
    <v>639.29999999999995</v>
    <v>653.69000000000005</v>
    <v>657.01</v>
    <v>648.17999999999995</v>
    <v>653.55999999999995</v>
    <v>655.08000000000004</v>
    <v>667.73</v>
    <v>660.57</v>
    <v>644.86</v>
    <v>647.39</v>
    <v>654.07000000000005</v>
    <v>654.86</v>
    <v>638.17999999999995</v>
    <v>613.71</v>
    <v>627.45000000000005</v>
    <v>622.66</v>
    <v>615.67999999999995</v>
    <v>606.70000000000005</v>
    <v>593.66</v>
    <v>604.05999999999995</v>
    <v>592.91999999999996</v>
    <v>594.89</v>
    <v>547.54</v>
    <v>525.72</v>
    <v>536.38</v>
    <v>572.13</v>
    <v>579.23</v>
    <v>574.46</v>
    <v>573.02</v>
    <v>575.04999999999995</v>
    <v>612.41999999999996</v>
    <v>628.39</v>
    <v>629.86</v>
    <v>634.53</v>
    <v>662.49</v>
    <v>671.58</v>
    <v>676.87</v>
    <v>688.55</v>
    <v>670.91</v>
    <v>668.84</v>
    <v>674.72</v>
    <v>659.15</v>
    <v>675.03</v>
    <v>678.62</v>
    <v>671.34</v>
    <v>669.12</v>
    <v>611.91</v>
    <v>608.745</v>
    <v>610.41</v>
    <v>604.96</v>
    <v>612.88</v>
    <v>616.80999999999995</v>
    <v>609.63</v>
    <v>598.86</v>
    <v>603</v>
    <v>616.63</v>
    <v>618.42999999999995</v>
    <v>614.23</v>
    <v>611.21</v>
    <v>602.61</v>
    <v>605.05999999999995</v>
    <v>607.38</v>
    <v>610.26</v>
    <v>612.34</v>
    <v>635.255</v>
    <v>635.29</v>
    <v>632.51</v>
    <v>600.47</v>
    <v>597.63</v>
    <v>622.98</v>
    <v>627.57000000000005</v>
    <v>593</v>
    <v>585.39</v>
    <v>584.59</v>
    <v>570.98</v>
    <v>568.42999999999995</v>
    <v>566.98</v>
    <v>593.48</v>
    <v>600.21</v>
    <v>567.58000000000004</v>
    <v>577.22</v>
    <v>563.85</v>
    <v>562.20000000000005</v>
    <v>557.66999999999996</v>
    <v>542.87</v>
    <v>550.25</v>
    <v>562.6</v>
    <v>563.29</v>
    <v>612.91</v>
    <v>582.9</v>
    <v>600.29</v>
    <v>615.58000000000004</v>
    <v>603.12</v>
    <v>631.48</v>
    <v>669.21</v>
    <v>656.73</v>
    <v>661.04</v>
    <v>681.31</v>
    <v>664.54</v>
    <v>646.01</v>
    <v>645.85</v>
    <v>643.80999999999995</v>
    <v>627.16999999999996</v>
    <v>606.1</v>
    <v>595.19000000000005</v>
    <v>593.87</v>
    <v>593.41</v>
    <v>585.61</v>
    <v>539.03</v>
    <v>556.71</v>
    <v>590.24</v>
    <v>587.94000000000005</v>
    <v>588.77</v>
    <v>589.9</v>
    <v>592.1</v>
    <v>594.91999999999996</v>
    <v>599.12</v>
    <v>578.85</v>
    <v>594.97</v>
    <v>589.85</v>
    <v>568.97</v>
    <v>543.66999999999996</v>
    <v>546.03</v>
    <v>545.83000000000004</v>
    <v>549.9</v>
    <v>559.02</v>
    <v>570.04999999999995</v>
    <v>576.14</v>
    <v>571.1</v>
    <v>578.02</v>
    <v>572.34</v>
    <v>578.54</v>
    <v>592.85</v>
    <v>610.67999999999995</v>
    <v>616.77</v>
    <v>613.48</v>
    <v>653.69000000000005</v>
    <v>644.38</v>
    <v>648.03</v>
    <v>665.6</v>
    <v>670.24</v>
    <v>673.31</v>
    <v>682.31</v>
    <v>665.75</v>
    <v>741.245</v>
    <v>736.59500000000003</v>
    <v>744.1</v>
    <v>777.59</v>
    <v>751.66</v>
    <v>715.62</v>
  </a>
  <a r="1" c="251">
    <v>161.36000000000001</v>
    <v>161.79</v>
    <v>164.01</v>
    <v>169.73</v>
    <v>164.67</v>
    <v>203.71</v>
    <v>211.51</v>
    <v>235.56</v>
    <v>232.89</v>
    <v>214.9</v>
    <v>216.42</v>
    <v>218.09</v>
    <v>238.6</v>
    <v>234.56</v>
    <v>233.08</v>
    <v>240.56</v>
    <v>238.03</v>
    <v>230.23</v>
    <v>234.99</v>
    <v>252.92</v>
    <v>259.67</v>
    <v>258.01</v>
    <v>264.33</v>
    <v>254.84</v>
    <v>256.12</v>
    <v>259.64999999999998</v>
    <v>250.05</v>
    <v>256.33</v>
    <v>237.7</v>
    <v>233.54</v>
    <v>243.98</v>
    <v>237.52</v>
    <v>258.89</v>
    <v>247.96</v>
    <v>246.81</v>
    <v>240.52</v>
    <v>230.29</v>
    <v>223.55</v>
    <v>206.02</v>
    <v>203.78</v>
    <v>215.05</v>
    <v>206.13</v>
    <v>214.24</v>
    <v>217.53</v>
    <v>219.76</v>
    <v>215.24</v>
    <v>217.6</v>
    <v>215.98</v>
    <v>217.97</v>
    <v>221.11</v>
    <v>221.62</v>
    <v>221.42</v>
    <v>221.43</v>
    <v>210.78</v>
    <v>207.58</v>
    <v>209.17</v>
    <v>198.11</v>
    <v>201.06</v>
    <v>213.43</v>
    <v>214.95</v>
    <v>214.9</v>
    <v>215.04</v>
    <v>214.99</v>
    <v>215.61</v>
    <v>215.34</v>
    <v>214.16</v>
    <v>223.47</v>
    <v>221.08</v>
    <v>214.35</v>
    <v>210.02</v>
    <v>204.68</v>
    <v>203.17</v>
    <v>207.69</v>
    <v>220.97</v>
    <v>223.6</v>
    <v>227.92</v>
    <v>231.83</v>
    <v>231.92</v>
    <v>249.8</v>
    <v>253.73</v>
    <v>259.68</v>
    <v>251.31</v>
    <v>252.03</v>
    <v>252.74</v>
    <v>252.18</v>
    <v>236.73</v>
    <v>246.27</v>
    <v>242.11</v>
    <v>200.19</v>
    <v>192.5</v>
    <v>208.44</v>
    <v>216</v>
    <v>213.57</v>
    <v>213.58</v>
    <v>205.94</v>
    <v>207.32</v>
    <v>203.08</v>
    <v>200.12</v>
    <v>203.37</v>
    <v>200.15</v>
    <v>196.6</v>
    <v>213.84</v>
    <v>210.86</v>
    <v>203.68</v>
    <v>200.21</v>
    <v>198.62</v>
    <v>190.95</v>
    <v>202.07</v>
    <v>199.45</v>
    <v>192.43</v>
    <v>202.68</v>
    <v>203.23</v>
    <v>204.83</v>
    <v>197.74</v>
    <v>193.39</v>
    <v>196.58</v>
    <v>196.31</v>
    <v>199.46</v>
    <v>205.27</v>
    <v>201.33</v>
    <v>202.68</v>
    <v>205.37</v>
    <v>220.27</v>
    <v>203.77</v>
    <v>201.99</v>
    <v>196.04</v>
    <v>203.43</v>
    <v>210.21</v>
    <v>217.5</v>
    <v>220.18</v>
    <v>221.53</v>
    <v>231.82</v>
    <v>236.64</v>
    <v>245.04</v>
    <v>246.83</v>
    <v>255.07</v>
    <v>258.12</v>
    <v>278.26</v>
    <v>278.39</v>
    <v>274.95</v>
    <v>284.49</v>
    <v>303.45999999999998</v>
    <v>305.33</v>
    <v>347.81</v>
    <v>334.63</v>
    <v>323.20999999999998</v>
    <v>337.11</v>
    <v>354.49</v>
    <v>360.54</v>
    <v>341.54</v>
    <v>355.26</v>
    <v>421.39</v>
    <v>408.46</v>
    <v>455.19</v>
    <v>458.79</v>
    <v>448.29</v>
    <v>445.5</v>
    <v>449.7</v>
    <v>424.1</v>
    <v>420.99</v>
    <v>414.05</v>
    <v>447.58</v>
    <v>449.59</v>
    <v>467.51</v>
    <v>503.89</v>
    <v>495.54</v>
    <v>518.09</v>
    <v>516.1</v>
    <v>510.13</v>
    <v>521.54</v>
    <v>542.52</v>
    <v>523.20000000000005</v>
    <v>466.38</v>
    <v>490.33</v>
    <v>475.505</v>
    <v>452.4</v>
    <v>488.45</v>
    <v>511.57</v>
    <v>547.26</v>
    <v>507.29</v>
    <v>512.48</v>
    <v>537.37</v>
    <v>551.63</v>
    <v>519.85</v>
    <v>519.74</v>
    <v>532.57000000000005</v>
    <v>521.58000000000004</v>
    <v>539.49</v>
    <v>580.91</v>
    <v>540.88</v>
    <v>517.82000000000005</v>
    <v>552.04999999999995</v>
    <v>516.11</v>
    <v>517.40499999999997</v>
    <v>546.72</v>
    <v>557.89</v>
    <v>534.39</v>
    <v>548.13</v>
    <v>529.14</v>
    <v>500.94</v>
    <v>495.76</v>
    <v>503.57</v>
    <v>544.42999999999995</v>
    <v>552.33000000000004</v>
    <v>539.69000000000005</v>
    <v>521.95000000000005</v>
    <v>494.95</v>
    <v>454.62</v>
    <v>429.56</v>
    <v>485.39</v>
    <v>476.15</v>
    <v>484.64</v>
    <v>518.58000000000004</v>
    <v>482.05</v>
    <v>489.28</v>
    <v>483.36</v>
    <v>469.56</v>
    <v>474.32</v>
    <v>482.93</v>
    <v>483.01</v>
    <v>514.39</v>
    <v>506</v>
    <v>484.39</v>
    <v>466.42</v>
    <v>469.45499999999998</v>
    <v>473.25</v>
    <v>456.745</v>
    <v>479.18</v>
    <v>480.93</v>
    <v>476.67</v>
    <v>465.58</v>
    <v>470.72</v>
    <v>459.61</v>
    <v>457.06</v>
    <v>456.16</v>
    <v>477.57</v>
    <v>505.74</v>
    <v>521.09500000000003</v>
    <v>503.6</v>
    <v>516.13</v>
    <v>493.41</v>
    <v>504.2</v>
    <v>512.5</v>
    <v>545.09</v>
    <v>559.82000000000005</v>
    <v>615.52</v>
    <v>623.77</v>
    <v>614.61</v>
    <v>629.26</v>
    <v>630.63</v>
    <v>607.87</v>
  </a>
  <a r="1" c="251">
    <v>1175.56</v>
    <v>1165.8699999999999</v>
    <v>1141.07</v>
    <v>1160.54</v>
    <v>1160.69</v>
    <v>1179.27</v>
    <v>1166.23</v>
    <v>1165</v>
    <v>1167.43</v>
    <v>1132.3599999999999</v>
    <v>1155.1199999999999</v>
    <v>1194.26</v>
    <v>1202.5899999999999</v>
    <v>1171.3599999999999</v>
    <v>1161.1600000000001</v>
    <v>1160</v>
    <v>1130</v>
    <v>1129.68</v>
    <v>1125</v>
    <v>1136.6300000000001</v>
    <v>1131.31</v>
    <v>1124.95</v>
    <v>1098</v>
    <v>1098.05</v>
    <v>1082.81</v>
    <v>1068.83</v>
    <v>1059.9100000000001</v>
    <v>1073.57</v>
    <v>1069.44</v>
    <v>1082.2</v>
    <v>1082.6300000000001</v>
    <v>1085.76</v>
    <v>1093.93</v>
    <v>1069.6500000000001</v>
    <v>1057.94</v>
    <v>1023.8</v>
    <v>1019.14</v>
    <v>1014.68</v>
    <v>992.52</v>
    <v>1014.72</v>
    <v>1019.49</v>
    <v>1029.77</v>
    <v>1040.06</v>
    <v>1047.3</v>
    <v>1039.94</v>
    <v>1038.6199999999999</v>
    <v>1079.8699999999999</v>
    <v>1075.58</v>
    <v>1072.1600000000001</v>
    <v>1062.02</v>
    <v>1071.31</v>
    <v>1083.3599999999999</v>
    <v>1101.8399999999999</v>
    <v>1089.0899999999999</v>
    <v>1082.1600000000001</v>
    <v>1068.1400000000001</v>
    <v>1065</v>
    <v>1064.99</v>
    <v>1060.17</v>
    <v>1088.21</v>
    <v>1086.55</v>
    <v>1088.96</v>
    <v>1088.1099999999999</v>
    <v>1088.4000000000001</v>
    <v>1083.31</v>
    <v>1070.3399999999999</v>
    <v>1085.06</v>
    <v>1119.76</v>
    <v>1112.28</v>
    <v>1075.0899999999999</v>
    <v>1087.92</v>
    <v>1085.0999999999999</v>
    <v>1089.26</v>
    <v>1089.54</v>
    <v>1091.8499999999999</v>
    <v>1156.6500000000001</v>
    <v>1163.17</v>
    <v>1110.05</v>
    <v>1127.8499999999999</v>
    <v>1139.72</v>
    <v>1129.9100000000001</v>
    <v>1121.54</v>
    <v>1106.69</v>
    <v>1121.67</v>
    <v>1127.78</v>
    <v>1118.94</v>
    <v>1119.6600000000001</v>
    <v>1070.08</v>
    <v>1076.1600000000001</v>
    <v>1054.8</v>
    <v>1056.3800000000001</v>
    <v>1079.9000000000001</v>
    <v>1087.78</v>
    <v>1082.8800000000001</v>
    <v>1055.6300000000001</v>
    <v>1071.51</v>
    <v>1072.67</v>
    <v>1092.26</v>
    <v>1081.28</v>
    <v>1093.6400000000001</v>
    <v>1071.01</v>
    <v>1081.05</v>
    <v>1093.78</v>
    <v>1090.27</v>
    <v>1063.23</v>
    <v>1068.31</v>
    <v>1052.5899999999999</v>
    <v>1049.23</v>
    <v>1035</v>
    <v>955.45</v>
    <v>957.67</v>
    <v>967.36</v>
    <v>951.17</v>
    <v>922.9</v>
    <v>924.11</v>
    <v>943.26</v>
    <v>971.01</v>
    <v>968.31</v>
    <v>969.6</v>
    <v>957.91</v>
    <v>974.58</v>
    <v>976.06</v>
    <v>981.35</v>
    <v>968.46</v>
    <v>933.85</v>
    <v>934.06</v>
    <v>961.71</v>
    <v>957.4</v>
    <v>966.56</v>
    <v>959.41</v>
    <v>958.46</v>
    <v>1001.54</v>
    <v>1001.62</v>
    <v>999.31</v>
    <v>1023.65</v>
    <v>1054.56</v>
    <v>1048.5999999999999</v>
    <v>1024.95</v>
    <v>1052.1400000000001</v>
    <v>1048.42</v>
    <v>1042.8499999999999</v>
    <v>1062.47</v>
    <v>1053.47</v>
    <v>1044.97</v>
    <v>1056.8599999999999</v>
    <v>1049.76</v>
    <v>1039.3800000000001</v>
    <v>1065.5999999999999</v>
    <v>1061.68</v>
    <v>1052.25</v>
    <v>1048.9100000000001</v>
    <v>1073.57</v>
    <v>1067.74</v>
    <v>1084.83</v>
    <v>1081.32</v>
    <v>1092.5</v>
    <v>1094.0999999999999</v>
    <v>1104.03</v>
    <v>1081.9000000000001</v>
    <v>1085.8800000000001</v>
    <v>1036.3</v>
    <v>1051.57</v>
    <v>1063.75</v>
    <v>1073</v>
    <v>1077.4000000000001</v>
    <v>1070.3399999999999</v>
    <v>1046.49</v>
    <v>1046.8800000000001</v>
    <v>1020.73</v>
    <v>1018.96</v>
    <v>990.87</v>
    <v>1022.56</v>
    <v>995.6</v>
    <v>994.77</v>
    <v>1011.96</v>
    <v>1010.68</v>
    <v>1016.58</v>
    <v>1032</v>
    <v>1042.8699999999999</v>
    <v>1052.23</v>
    <v>1057.3800000000001</v>
    <v>1050.0899999999999</v>
    <v>1051.74</v>
    <v>1015.33</v>
    <v>982.6</v>
    <v>971.92</v>
    <v>964.71</v>
    <v>950.17</v>
    <v>961.56</v>
    <v>980.38</v>
    <v>995.73</v>
    <v>1011.21</v>
    <v>1009.43</v>
    <v>990.34</v>
    <v>1019.68</v>
    <v>1036.1099999999999</v>
    <v>1031.56</v>
    <v>1025.44</v>
    <v>1093.4000000000001</v>
    <v>1087.05</v>
    <v>1072.2</v>
    <v>1054.1099999999999</v>
    <v>1038.24</v>
    <v>1056.6300000000001</v>
    <v>1037.1600000000001</v>
    <v>1055.67</v>
    <v>1062.1400000000001</v>
    <v>1097.55</v>
    <v>1079.19</v>
    <v>1098.3699999999999</v>
    <v>1090.3900000000001</v>
    <v>1126.6300000000001</v>
    <v>1131.1300000000001</v>
    <v>1133.58</v>
    <v>1129.3</v>
    <v>1136.3900000000001</v>
    <v>1131.4000000000001</v>
    <v>1148.8399999999999</v>
    <v>1160.9100000000001</v>
    <v>1182.8399999999999</v>
    <v>1173.73</v>
    <v>1147.1099999999999</v>
    <v>1154.3499999999999</v>
    <v>1158.92</v>
    <v>1139.82</v>
    <v>1156.55</v>
    <v>1172.6099999999999</v>
    <v>1176.6400000000001</v>
    <v>1173.21</v>
    <v>1167.57</v>
    <v>1164.48</v>
    <v>1155.6099999999999</v>
    <v>1128.0999999999999</v>
    <v>1107.08</v>
    <v>1126.1500000000001</v>
    <v>1122.29</v>
    <v>1095.3699999999999</v>
    <v>1072.03</v>
    <v>1062.4000000000001</v>
    <v>1079.6500000000001</v>
    <v>1065.5999999999999</v>
    <v>1058.6600000000001</v>
    <v>1037.24</v>
    <v>1053.96</v>
    <v>1069.78</v>
    <v>1090.27</v>
    <v>1066.6600000000001</v>
    <v>1060.8900000000001</v>
    <v>1073.45</v>
    <v>1086.31</v>
    <v>1071.25</v>
  </a>
  <a r="1" c="251">
    <v>254.43</v>
    <v>254.63</v>
    <v>255.45</v>
    <v>257.13</v>
    <v>258.02</v>
    <v>256.69</v>
    <v>256.48</v>
    <v>258.06</v>
    <v>254.04</v>
    <v>245.27</v>
    <v>247.66</v>
    <v>247.77</v>
    <v>249.34</v>
    <v>247.45</v>
    <v>252.29</v>
    <v>262.24</v>
    <v>262.77</v>
    <v>258.45</v>
    <v>259.58</v>
    <v>262.82</v>
    <v>268.81</v>
    <v>269</v>
    <v>269.7</v>
    <v>271.39999999999998</v>
    <v>270.37</v>
    <v>269.05</v>
    <v>270.04000000000002</v>
    <v>270.14</v>
    <v>269.77</v>
    <v>268.47000000000003</v>
    <v>269.43</v>
    <v>275.25</v>
    <v>273.47000000000003</v>
    <v>272.95</v>
    <v>272.41000000000003</v>
    <v>267.45999999999998</v>
    <v>267.44</v>
    <v>268.56</v>
    <v>266.25</v>
    <v>271.49</v>
    <v>275.92</v>
    <v>276.97000000000003</v>
    <v>277.55</v>
    <v>278.85000000000002</v>
    <v>283.10000000000002</v>
    <v>286.19</v>
    <v>284.14999999999998</v>
    <v>280.7</v>
    <v>278.77999999999997</v>
    <v>277.89</v>
    <v>277.18</v>
    <v>278.77999999999997</v>
    <v>278.02999999999997</v>
    <v>278.27999999999997</v>
    <v>274.11</v>
    <v>274.61</v>
    <v>271.83999999999997</v>
    <v>272.19</v>
    <v>273.67</v>
    <v>270.97000000000003</v>
    <v>272.36</v>
    <v>273.81</v>
    <v>273.39999999999998</v>
    <v>273.76</v>
    <v>273.08</v>
    <v>271.86</v>
    <v>271.01</v>
    <v>267.26</v>
    <v>262.36</v>
    <v>260.33</v>
    <v>259.04000000000002</v>
    <v>259.37</v>
    <v>260.25</v>
    <v>261.05</v>
    <v>259.95999999999998</v>
    <v>258.20999999999998</v>
    <v>255.53</v>
    <v>246.7</v>
    <v>247.65</v>
    <v>248.35</v>
    <v>248.04</v>
    <v>255.41</v>
    <v>258.27</v>
    <v>256.44</v>
    <v>258.27999999999997</v>
    <v>259.48</v>
    <v>270.01</v>
    <v>269.48</v>
    <v>276.49</v>
    <v>275.91000000000003</v>
    <v>278.12</v>
    <v>274.62</v>
    <v>273.68</v>
    <v>275.5</v>
    <v>261.73</v>
    <v>255.78</v>
    <v>263.88</v>
    <v>264.35000000000002</v>
    <v>260.58</v>
    <v>264.58</v>
    <v>266.18</v>
    <v>272.14</v>
    <v>274.23</v>
    <v>272.95</v>
    <v>264.18</v>
    <v>264.72000000000003</v>
    <v>263.75</v>
    <v>262.52</v>
    <v>260.29000000000002</v>
    <v>257.45999999999998</v>
    <v>259.88</v>
    <v>260.83</v>
    <v>260.81</v>
    <v>255.76</v>
    <v>250.12</v>
    <v>252.82</v>
    <v>254.23</v>
    <v>249.94</v>
    <v>248.96</v>
    <v>247.99</v>
    <v>251.49</v>
    <v>251.64</v>
    <v>252.62</v>
    <v>252.89</v>
    <v>248.8</v>
    <v>246.63</v>
    <v>253.79</v>
    <v>255.63</v>
    <v>255.92</v>
    <v>258.86</v>
    <v>253.5</v>
    <v>258.89999999999998</v>
    <v>260.49</v>
    <v>260.48</v>
    <v>259.2</v>
    <v>258.83</v>
    <v>266.43</v>
    <v>263.39999999999998</v>
    <v>270.23</v>
    <v>273.05</v>
    <v>266.17</v>
    <v>273.17</v>
    <v>273.43</v>
    <v>271.06</v>
    <v>267.61</v>
    <v>270.70999999999998</v>
    <v>270.17</v>
    <v>271.35000000000002</v>
    <v>280.14</v>
    <v>276.83</v>
    <v>284.18</v>
    <v>287.51</v>
    <v>287.44</v>
    <v>293.32</v>
    <v>292.68</v>
    <v>294.8</v>
    <v>298.87</v>
    <v>298.20999999999998</v>
    <v>300.23</v>
    <v>297.83999999999997</v>
    <v>298.97000000000003</v>
    <v>302.25</v>
    <v>304.99</v>
    <v>308.82</v>
    <v>308.33</v>
    <v>310.85000000000002</v>
    <v>312.51</v>
    <v>312.06</v>
    <v>306.31</v>
    <v>315.2</v>
    <v>310.26</v>
    <v>311.23</v>
    <v>307.33999999999997</v>
    <v>301.54000000000002</v>
    <v>290.55</v>
    <v>291.58</v>
    <v>295.63</v>
    <v>291.13</v>
    <v>296.42</v>
    <v>299.24</v>
    <v>295.95</v>
    <v>298.01</v>
    <v>297.01</v>
    <v>294.3</v>
    <v>293.08</v>
    <v>275.14999999999998</v>
    <v>283.77999999999997</v>
    <v>281.74</v>
    <v>289.36</v>
    <v>294.38</v>
    <v>308.63</v>
    <v>312.66000000000003</v>
    <v>310.66000000000003</v>
    <v>313.39</v>
    <v>316.22000000000003</v>
    <v>315.32</v>
    <v>317.31</v>
    <v>314.86</v>
    <v>327.5</v>
    <v>333.26</v>
    <v>333.74</v>
    <v>326.58999999999997</v>
    <v>327.74</v>
    <v>325.89</v>
    <v>321.66000000000003</v>
    <v>333.02</v>
    <v>336.91</v>
    <v>340.08</v>
    <v>338.19</v>
    <v>333.43</v>
    <v>308.91000000000003</v>
    <v>303.42</v>
    <v>309.38</v>
    <v>311</v>
    <v>312.41000000000003</v>
    <v>313.33</v>
    <v>308.26</v>
    <v>304.91000000000003</v>
    <v>302.25</v>
    <v>305.26</v>
    <v>305.93</v>
    <v>305.58999999999997</v>
    <v>310.02999999999997</v>
    <v>316.83</v>
    <v>311.3</v>
    <v>309.35000000000002</v>
    <v>310.33999999999997</v>
    <v>309.89999999999998</v>
    <v>313.45</v>
    <v>314.58</v>
    <v>319.7</v>
    <v>316.85000000000002</v>
    <v>325.13</v>
    <v>324.95999999999998</v>
    <v>328.21</v>
    <v>319.97000000000003</v>
    <v>316.22000000000003</v>
    <v>315.33999999999997</v>
    <v>326.57</v>
    <v>332.27</v>
    <v>333.08</v>
    <v>331.34</v>
    <v>332.41</v>
    <v>337</v>
    <v>336.13</v>
    <v>338.98</v>
    <v>339.75</v>
    <v>337.02</v>
    <v>335.92</v>
    <v>341.07</v>
    <v>338.4</v>
  </a>
  <a r="1" c="251">
    <v>31.78</v>
    <v>30.8</v>
    <v>30.83</v>
    <v>30.55</v>
    <v>31.37</v>
    <v>31.91</v>
    <v>31.74</v>
    <v>31.45</v>
    <v>30.65</v>
    <v>29.84</v>
    <v>30.14</v>
    <v>30.63</v>
    <v>30.8</v>
    <v>30.6</v>
    <v>30.82</v>
    <v>31.28</v>
    <v>31.28</v>
    <v>31.84</v>
    <v>31.59</v>
    <v>31.52</v>
    <v>31.75</v>
    <v>31.93</v>
    <v>31.19</v>
    <v>31.07</v>
    <v>30.5</v>
    <v>30.57</v>
    <v>30.71</v>
    <v>30.88</v>
    <v>30.41</v>
    <v>29.81</v>
    <v>29.48</v>
    <v>29.7</v>
    <v>30.04</v>
    <v>29.73</v>
    <v>30.07</v>
    <v>29</v>
    <v>28.96</v>
    <v>29.33</v>
    <v>28.48</v>
    <v>29.58</v>
    <v>29.82</v>
    <v>29.96</v>
    <v>30.3</v>
    <v>30.25</v>
    <v>29.77</v>
    <v>29.45</v>
    <v>29.36</v>
    <v>29.66</v>
    <v>29.43</v>
    <v>29.35</v>
    <v>29.79</v>
    <v>30.56</v>
    <v>30.82</v>
    <v>30.93</v>
    <v>31.13</v>
    <v>30.72</v>
    <v>30.35</v>
    <v>30.01</v>
    <v>30.12</v>
    <v>30.24</v>
    <v>30.12</v>
    <v>30.11</v>
    <v>29.8</v>
    <v>29.64</v>
    <v>29.62</v>
    <v>29.48</v>
    <v>29.96</v>
    <v>30.06</v>
    <v>29.52</v>
    <v>29.27</v>
    <v>29.8</v>
    <v>30.65</v>
    <v>30.89</v>
    <v>30.61</v>
    <v>30.74</v>
    <v>31.11</v>
    <v>30.85</v>
    <v>30.3</v>
    <v>31.19</v>
    <v>31.22</v>
    <v>30.42</v>
    <v>30</v>
    <v>29.93</v>
    <v>29.42</v>
    <v>30.29</v>
    <v>30.33</v>
    <v>30.73</v>
    <v>30.58</v>
    <v>31.62</v>
    <v>31.37</v>
    <v>32.82</v>
    <v>31.76</v>
    <v>31.21</v>
    <v>32.4</v>
    <v>31.43</v>
    <v>31.78</v>
    <v>31.13</v>
    <v>30.92</v>
    <v>30.34</v>
    <v>30.27</v>
    <v>30.07</v>
    <v>30.04</v>
    <v>30.12</v>
    <v>30.12</v>
    <v>30.16</v>
    <v>29.29</v>
    <v>28.3</v>
    <v>28.51</v>
    <v>27.47</v>
    <v>27.24</v>
    <v>27.87</v>
    <v>27.89</v>
    <v>27.54</v>
    <v>26.09</v>
    <v>25.78</v>
    <v>25.7</v>
    <v>25.48</v>
    <v>24.81</v>
    <v>24.61</v>
    <v>24.12</v>
    <v>24.74</v>
    <v>24.78</v>
    <v>24.77</v>
    <v>24.58</v>
    <v>24.34</v>
    <v>23.65</v>
    <v>24.31</v>
    <v>24.31</v>
    <v>24.15</v>
    <v>23.84</v>
    <v>23.49</v>
    <v>24.5</v>
    <v>24.37</v>
    <v>24.04</v>
    <v>24.2</v>
    <v>24.16</v>
    <v>24.26</v>
    <v>24.36</v>
    <v>25</v>
    <v>25.36</v>
    <v>24.94</v>
    <v>24.62</v>
    <v>24.48</v>
    <v>24.34</v>
    <v>24.37</v>
    <v>24.2</v>
    <v>24</v>
    <v>24.34</v>
    <v>24.09</v>
    <v>23.86</v>
    <v>24.16</v>
    <v>24.71</v>
    <v>24.06</v>
    <v>24.51</v>
    <v>23.98</v>
    <v>24.11</v>
    <v>24.37</v>
    <v>25.67</v>
    <v>26.18</v>
    <v>25.21</v>
    <v>25.32</v>
    <v>25.87</v>
    <v>26.26</v>
    <v>26.47</v>
    <v>26.42</v>
    <v>26.88</v>
    <v>27.29</v>
    <v>26.99</v>
    <v>26.24</v>
    <v>26.48</v>
    <v>27.71</v>
    <v>27.93</v>
    <v>26.7</v>
    <v>26.97</v>
    <v>26.71</v>
    <v>26.11</v>
    <v>27.07</v>
    <v>26.44</v>
    <v>26.97</v>
    <v>26.85</v>
    <v>26.19</v>
    <v>26.26</v>
    <v>25.99</v>
    <v>25.58</v>
    <v>25.76</v>
    <v>26.14</v>
    <v>26.83</v>
    <v>27.28</v>
    <v>27.11</v>
    <v>27.26</v>
    <v>28.02</v>
    <v>29.63</v>
    <v>28.5</v>
    <v>27.73</v>
    <v>27.59</v>
    <v>27.93</v>
    <v>27.84</v>
    <v>28.09</v>
    <v>27.89</v>
    <v>28.77</v>
    <v>28.16</v>
    <v>28.17</v>
    <v>28.56</v>
    <v>28.53</v>
    <v>27.99</v>
    <v>28.16</v>
    <v>29.13</v>
    <v>30.28</v>
    <v>30.68</v>
    <v>30.72</v>
    <v>30.11</v>
    <v>29.6</v>
    <v>30.12</v>
    <v>30.6</v>
    <v>30.73</v>
    <v>31.82</v>
    <v>31.72</v>
    <v>31.7</v>
    <v>31.31</v>
    <v>31.2</v>
    <v>31.58</v>
    <v>31.9</v>
    <v>31.95</v>
    <v>31.91</v>
    <v>32.6</v>
    <v>33.369999999999997</v>
    <v>32.590000000000003</v>
    <v>31.8</v>
    <v>31.41</v>
    <v>31.33</v>
    <v>31.86</v>
    <v>31.96</v>
    <v>32.03</v>
    <v>32.44</v>
    <v>33.04</v>
    <v>32.67</v>
    <v>31.06</v>
    <v>31.3</v>
    <v>31.62</v>
    <v>32.520000000000003</v>
    <v>32.49</v>
    <v>32.21</v>
    <v>32.11</v>
    <v>32.53</v>
    <v>32.200000000000003</v>
    <v>32.53</v>
    <v>32.42</v>
    <v>32.15</v>
    <v>32.19</v>
    <v>32.93</v>
    <v>32.49</v>
  </a>
  <a r="1" c="251">
    <v>222.17</v>
    <v>219.57</v>
    <v>220.63</v>
    <v>222.41</v>
    <v>219.51</v>
    <v>220.9</v>
    <v>221.78</v>
    <v>225.22</v>
    <v>227.74</v>
    <v>216.37</v>
    <v>220.07</v>
    <v>216.39</v>
    <v>215.57</v>
    <v>214.47</v>
    <v>213.04</v>
    <v>216.48</v>
    <v>222.03</v>
    <v>217.95</v>
    <v>221.09</v>
    <v>224.21</v>
    <v>226.97</v>
    <v>229.25</v>
    <v>230.3</v>
    <v>222.86</v>
    <v>244.22</v>
    <v>254</v>
    <v>249.32</v>
    <v>250.2</v>
    <v>243.04</v>
    <v>244.41</v>
    <v>248.4</v>
    <v>249.1</v>
    <v>244.2</v>
    <v>237.58</v>
    <v>234.69</v>
    <v>232.87</v>
    <v>222.55</v>
    <v>222.69</v>
    <v>217.14</v>
    <v>220.69</v>
    <v>226.28</v>
    <v>229.67</v>
    <v>229.16</v>
    <v>233.22</v>
    <v>233.88</v>
    <v>234.42</v>
    <v>232.38</v>
    <v>229.11</v>
    <v>229.53</v>
    <v>226.89</v>
    <v>227.92</v>
    <v>231.78</v>
    <v>230.28</v>
    <v>226.19</v>
    <v>222.54</v>
    <v>222.56</v>
    <v>221.27</v>
    <v>226.76</v>
    <v>227.35</v>
    <v>228.43</v>
    <v>232.14</v>
    <v>232.38</v>
    <v>232.52</v>
    <v>232.07</v>
    <v>232.53</v>
    <v>230.82</v>
    <v>226.5</v>
    <v>233.06</v>
    <v>240.93</v>
    <v>241.56</v>
    <v>246.29</v>
    <v>247.38</v>
    <v>246.47</v>
    <v>242.6</v>
    <v>236.65</v>
    <v>238.18</v>
    <v>239.12</v>
    <v>231</v>
    <v>231.31</v>
    <v>234.34</v>
    <v>239.16</v>
    <v>238.42</v>
    <v>244.68</v>
    <v>243.01</v>
    <v>241.73</v>
    <v>239.3</v>
    <v>242.96</v>
    <v>238.62</v>
    <v>232.99</v>
    <v>222.69</v>
    <v>210.32</v>
    <v>208.72</v>
    <v>206.96</v>
    <v>204.08</v>
    <v>199.6</v>
    <v>198.79</v>
    <v>201.15</v>
    <v>204.79</v>
    <v>204.86</v>
    <v>210.11</v>
    <v>205.27</v>
    <v>208.56</v>
    <v>210.64</v>
    <v>207.92</v>
    <v>210</v>
    <v>208.39</v>
    <v>208.73</v>
    <v>216.82</v>
    <v>218.94</v>
    <v>213.21</v>
    <v>213.49</v>
    <v>214.33</v>
    <v>212.65</v>
    <v>209.53</v>
    <v>207.67</v>
    <v>211.74</v>
    <v>215.2</v>
    <v>209.87</v>
    <v>208.76</v>
    <v>205.37</v>
    <v>210.14</v>
    <v>207.24</v>
    <v>211.71</v>
    <v>207.54</v>
    <v>199.34</v>
    <v>200.95</v>
    <v>208.27</v>
    <v>210.57</v>
    <v>209.77</v>
    <v>212.79</v>
    <v>213.77</v>
    <v>221.25</v>
    <v>233.65</v>
    <v>238.38</v>
    <v>239.89</v>
    <v>249.02</v>
    <v>248.5</v>
    <v>249.7</v>
    <v>250.56</v>
    <v>248.28</v>
    <v>249.91</v>
    <v>255.36</v>
    <v>255.08</v>
    <v>263.99</v>
    <v>261.12</v>
    <v>259.7</v>
    <v>263.04000000000002</v>
    <v>265.06</v>
    <v>268.26</v>
    <v>272.05</v>
    <v>273.55</v>
    <v>274.99</v>
    <v>271.17</v>
    <v>272.68</v>
    <v>268.99</v>
    <v>265.82</v>
    <v>270.13</v>
    <v>267.22000000000003</v>
    <v>264.14</v>
    <v>264.86</v>
    <v>259.33999999999997</v>
    <v>265.01</v>
    <v>268.45999999999998</v>
    <v>266.32</v>
    <v>265.29000000000002</v>
    <v>271.85000000000002</v>
    <v>274</v>
    <v>270.64</v>
    <v>261.26</v>
    <v>256.52</v>
    <v>250.02</v>
    <v>253.79</v>
    <v>246.03</v>
    <v>245.22</v>
    <v>244.19</v>
    <v>238</v>
    <v>241.51</v>
    <v>238.55</v>
    <v>246.02</v>
    <v>246</v>
    <v>237.5</v>
    <v>244.39</v>
    <v>232.79</v>
    <v>234.11</v>
    <v>234.27</v>
    <v>227.01</v>
    <v>232.69</v>
    <v>240.14</v>
    <v>238.34</v>
    <v>241.7</v>
    <v>242.67</v>
    <v>244.16</v>
    <v>245.98</v>
    <v>243.62</v>
    <v>247.04</v>
    <v>245.34</v>
    <v>247.31</v>
    <v>247.49</v>
    <v>254.96</v>
    <v>249.89</v>
    <v>247.23</v>
    <v>249.99</v>
    <v>247.55</v>
    <v>244.85</v>
    <v>233.66</v>
    <v>232.11</v>
    <v>231.39</v>
    <v>230.86</v>
    <v>226.65</v>
    <v>235.5</v>
    <v>271.58</v>
    <v>284.02</v>
    <v>277.42</v>
    <v>272.64999999999998</v>
    <v>272.26</v>
    <v>274.48</v>
    <v>278.08999999999997</v>
    <v>272.27</v>
    <v>267.27999999999997</v>
    <v>265.13</v>
    <v>262.64999999999998</v>
    <v>261.31</v>
    <v>259.45</v>
    <v>265.83999999999997</v>
    <v>260.11</v>
    <v>258.63</v>
    <v>262.07</v>
    <v>261.06</v>
    <v>260.27999999999997</v>
    <v>256.26</v>
    <v>266.43</v>
    <v>259.77</v>
    <v>254.92</v>
    <v>254.98</v>
    <v>258.89999999999998</v>
    <v>258.51</v>
    <v>256.97000000000003</v>
    <v>252.4</v>
    <v>251.89</v>
    <v>256.77999999999997</v>
    <v>253.54</v>
    <v>248.42</v>
    <v>245.96</v>
    <v>251.19</v>
    <v>253.71</v>
    <v>258.45</v>
    <v>254.98</v>
    <v>249.27</v>
    <v>249.38</v>
    <v>249.67</v>
    <v>246.15</v>
  </a>
  <a r="1" c="251">
    <v>156.1</v>
    <v>155.29</v>
    <v>154.58000000000001</v>
    <v>153.37</v>
    <v>153.55000000000001</v>
    <v>154.02000000000001</v>
    <v>154.91</v>
    <v>153.74</v>
    <v>151.63999999999999</v>
    <v>148.9</v>
    <v>151.94</v>
    <v>152.38999999999999</v>
    <v>152.11000000000001</v>
    <v>151.71</v>
    <v>153.08000000000001</v>
    <v>154.47999999999999</v>
    <v>153.79</v>
    <v>155.57</v>
    <v>156.56</v>
    <v>155.56</v>
    <v>155.28</v>
    <v>154.13</v>
    <v>155.1</v>
    <v>153.52000000000001</v>
    <v>157.72</v>
    <v>154.04</v>
    <v>153.38999999999999</v>
    <v>152.66</v>
    <v>152.94</v>
    <v>155.02000000000001</v>
    <v>155.65</v>
    <v>156.24</v>
    <v>153.32</v>
    <v>155.58000000000001</v>
    <v>157.62</v>
    <v>154.82</v>
    <v>153.62</v>
    <v>151.69999999999999</v>
    <v>150.31</v>
    <v>149.97999999999999</v>
    <v>149.75</v>
    <v>148.53</v>
    <v>149.51</v>
    <v>151.13</v>
    <v>152.54</v>
    <v>150.25</v>
    <v>151.59</v>
    <v>152.26</v>
    <v>150</v>
    <v>148.71</v>
    <v>148.49</v>
    <v>151.41</v>
    <v>150.72</v>
    <v>149.99</v>
    <v>149.80000000000001</v>
    <v>146.75</v>
    <v>149.52000000000001</v>
    <v>147.69</v>
    <v>147.75</v>
    <v>149.80000000000001</v>
    <v>150.51</v>
    <v>150.5</v>
    <v>150.02000000000001</v>
    <v>150.99</v>
    <v>152.31</v>
    <v>152.41</v>
    <v>155.9</v>
    <v>163.85</v>
    <v>156.54</v>
    <v>155.19999999999999</v>
    <v>159.25</v>
    <v>162.11000000000001</v>
    <v>162.34</v>
    <v>163.87</v>
    <v>167.24</v>
    <v>166.16</v>
    <v>166.26</v>
    <v>165.3</v>
    <v>166.73</v>
    <v>166.66</v>
    <v>166.72</v>
    <v>167.5</v>
    <v>169.05</v>
    <v>169.93</v>
    <v>171.19</v>
    <v>176.9</v>
    <v>174.03</v>
    <v>178.04</v>
    <v>181.23</v>
    <v>179.23</v>
    <v>180.86</v>
    <v>182.6</v>
    <v>182.26</v>
    <v>185.82</v>
    <v>182.4</v>
    <v>183.74</v>
    <v>180.55</v>
    <v>183.87</v>
    <v>184.78</v>
    <v>183.93</v>
    <v>184.91</v>
    <v>185.34</v>
    <v>184.22</v>
    <v>184.16</v>
    <v>186.76</v>
    <v>189.6</v>
    <v>188.77</v>
    <v>186.03</v>
    <v>189.9</v>
    <v>189.94</v>
    <v>189.44</v>
    <v>186.29</v>
    <v>191.79</v>
    <v>196.97</v>
    <v>196.82</v>
    <v>196.84</v>
    <v>197.97</v>
    <v>198.61</v>
    <v>201.44</v>
    <v>201.73</v>
    <v>205.21</v>
    <v>206.79</v>
    <v>205.15</v>
    <v>207.79</v>
    <v>211.15</v>
    <v>210.71</v>
    <v>206.9</v>
    <v>197.41</v>
    <v>198.97</v>
    <v>198.86</v>
    <v>201.54</v>
    <v>192.89</v>
    <v>190.36</v>
    <v>188.55</v>
    <v>191.78</v>
    <v>187.02</v>
    <v>184.91</v>
    <v>188.15</v>
    <v>183.99</v>
    <v>183.25</v>
    <v>185.98</v>
    <v>186.32</v>
    <v>187.6</v>
    <v>185.21</v>
    <v>184.78</v>
    <v>188.36</v>
    <v>192.22</v>
    <v>193.31</v>
    <v>190.63</v>
    <v>192.28</v>
    <v>192.64</v>
    <v>185.16</v>
    <v>182.5</v>
    <v>181.62</v>
    <v>184.74</v>
    <v>185.95</v>
    <v>186</v>
    <v>186.64</v>
    <v>191.1</v>
    <v>196.12</v>
    <v>197.25</v>
    <v>191.33</v>
    <v>191.01</v>
    <v>191.43</v>
    <v>184.71</v>
    <v>182.4</v>
    <v>183.03</v>
    <v>182.46</v>
    <v>185.83</v>
    <v>187.55</v>
    <v>189.71</v>
    <v>188.35</v>
    <v>187.31</v>
    <v>189.24</v>
    <v>186.76</v>
    <v>189.8</v>
    <v>185.82</v>
    <v>187.22</v>
    <v>180.4</v>
    <v>180.11</v>
    <v>177.58</v>
    <v>173.63</v>
    <v>175.06</v>
    <v>175.98</v>
    <v>171.45</v>
    <v>172.24</v>
    <v>171.06</v>
    <v>168.47</v>
    <v>165.76</v>
    <v>165.69</v>
    <v>169.2</v>
    <v>168.1</v>
    <v>174.01</v>
    <v>175.97</v>
    <v>174.05</v>
    <v>176.4</v>
    <v>182.2</v>
    <v>181.76</v>
    <v>181.6</v>
    <v>183.86</v>
    <v>187.38</v>
    <v>189.71</v>
    <v>191.07</v>
    <v>192.98</v>
    <v>194.42</v>
    <v>194.79</v>
    <v>190</v>
    <v>187.58</v>
    <v>191.86</v>
    <v>192.31</v>
    <v>196.83</v>
    <v>193.18</v>
    <v>190.4</v>
    <v>186.41</v>
    <v>189.23</v>
    <v>186.56</v>
    <v>194.91</v>
    <v>196.66</v>
    <v>196.6</v>
    <v>197.7</v>
    <v>200</v>
    <v>202.7</v>
    <v>205.74</v>
    <v>205.76</v>
    <v>205.77</v>
    <v>205.27</v>
    <v>203.09</v>
    <v>199.89</v>
    <v>200.21</v>
    <v>199.77</v>
    <v>201.86</v>
    <v>206.14</v>
    <v>211.05</v>
    <v>211.78</v>
    <v>211.32</v>
    <v>208.6</v>
    <v>209.8</v>
    <v>213.81</v>
    <v>212.76</v>
    <v>214.06</v>
    <v>212.17</v>
    <v>217.77</v>
    <v>211.54</v>
    <v>211.57</v>
    <v>209.51</v>
    <v>203.67</v>
    <v>202.41</v>
    <v>205.51</v>
    <v>205.65</v>
    <v>204.45</v>
    <v>206.37</v>
  </a>
  <a r="1" c="20">
    <v t="i">1</v>
    <v t="i">2</v>
    <v t="i">3</v>
    <v t="i">4</v>
    <v t="i">5</v>
    <v t="i">9</v>
    <v t="i">10</v>
    <v t="i">11</v>
    <v t="i">12</v>
    <v t="i">15</v>
    <v t="i">16</v>
    <v t="i">17</v>
    <v t="i">18</v>
    <v t="i">19</v>
    <v t="i">22</v>
    <v t="i">23</v>
    <v t="i">24</v>
    <v t="i">25</v>
    <v t="i">26</v>
    <v t="i">29</v>
  </a>
  <a r="1" c="20">
    <v>470.72</v>
    <v>459.61</v>
    <v>457.06</v>
    <v>456.16</v>
    <v>477.57</v>
    <v>505.74</v>
    <v>521.09500000000003</v>
    <v>503.6</v>
    <v>516.13</v>
    <v>493.41</v>
    <v>504.2</v>
    <v>512.5</v>
    <v>545.09</v>
    <v>559.82000000000005</v>
    <v>615.52</v>
    <v>623.77</v>
    <v>614.61</v>
    <v>629.26</v>
    <v>630.63</v>
    <v>607.87</v>
  </a>
  <a r="1" c="20">
    <v>466.22</v>
    <v>459.91</v>
    <v>459.51</v>
    <v>453.15</v>
    <v>462</v>
    <v>488.92</v>
    <v>507.5</v>
    <v>509.07</v>
    <v>510.71</v>
    <v>486.28</v>
    <v>501.7</v>
    <v>517.39</v>
    <v>533.6</v>
    <v>547.37</v>
    <v>583.88</v>
    <v>606.56500000000005</v>
    <v>621.5</v>
    <v>600.27</v>
    <v>634.53499999999997</v>
    <v>624.89499999999998</v>
  </a>
  <a r="1" c="20">
    <v>475.80990000000003</v>
    <v>461.5</v>
    <v>462.21</v>
    <v>459.77</v>
    <v>478.83</v>
    <v>512.3569</v>
    <v>526.79</v>
    <v>516.33219999999994</v>
    <v>521.05999999999995</v>
    <v>498.39</v>
    <v>513.66499999999996</v>
    <v>527.25</v>
    <v>551.41999999999996</v>
    <v>559.91</v>
    <v>616.69000000000005</v>
    <v>624.52</v>
    <v>624.68989999999997</v>
    <v>630.79999999999995</v>
    <v>639</v>
    <v>629.75</v>
  </a>
  <a r="1" c="20">
    <v>463.68</v>
    <v>452.3</v>
    <v>452.36</v>
    <v>440.5</v>
    <v>458</v>
    <v>486.57060000000001</v>
    <v>506.36</v>
    <v>502.81</v>
    <v>501.35</v>
    <v>480.33</v>
    <v>497.51100000000002</v>
    <v>506.05</v>
    <v>527.6</v>
    <v>541.53</v>
    <v>582.27</v>
    <v>606.3125</v>
    <v>608.08000000000004</v>
    <v>599.24</v>
    <v>625.52</v>
    <v>596.07000000000005</v>
  </a>
  <a r="1" c="20">
    <v>12462999</v>
    <v>16212787</v>
    <v>11938812</v>
    <v>14868085</v>
    <v>19678742</v>
    <v>28166529</v>
    <v>22152382</v>
    <v>15887968</v>
    <v>18760534</v>
    <v>24810136</v>
    <v>16833235</v>
    <v>22317673</v>
    <v>28464702</v>
    <v>31867285</v>
    <v>44494272</v>
    <v>28282819</v>
    <v>16338150</v>
    <v>25318929</v>
    <v>17632078</v>
    <v>22124072</v>
  </a>
  <a r="1" c="251">
    <v>12.09</v>
    <v>11.96</v>
    <v>12.27</v>
    <v>12.22</v>
    <v>12.67</v>
    <v>12.7</v>
    <v>11.92</v>
    <v>11.74</v>
    <v>11.5</v>
    <v>11.41</v>
    <v>11.54</v>
    <v>11.65</v>
    <v>11.76</v>
    <v>11.74</v>
    <v>11.92</v>
    <v>11.99</v>
    <v>12.56</v>
    <v>12.43</v>
    <v>12.34</v>
    <v>13.84</v>
    <v>13.26</v>
    <v>13.13</v>
    <v>13.24</v>
    <v>13.06</v>
    <v>13.13</v>
    <v>13.01</v>
    <v>12.79</v>
    <v>13.11</v>
    <v>13.12</v>
    <v>13.21</v>
    <v>13.16</v>
    <v>13.3</v>
    <v>13.45</v>
    <v>13.28</v>
    <v>13.19</v>
    <v>12.88</v>
    <v>13.02</v>
    <v>12.9</v>
    <v>12.41</v>
    <v>12.83</v>
    <v>12.96</v>
    <v>13.17</v>
    <v>13.19</v>
    <v>13.28</v>
    <v>13.16</v>
    <v>12.96</v>
    <v>13.09</v>
    <v>13.14</v>
    <v>13.03</v>
    <v>13.14</v>
    <v>13.08</v>
    <v>13.41</v>
    <v>13.63</v>
    <v>13.76</v>
    <v>13.65</v>
    <v>13.67</v>
    <v>13.31</v>
    <v>13.32</v>
    <v>13.47</v>
    <v>13.46</v>
    <v>13.29</v>
    <v>13.36</v>
    <v>13.31</v>
    <v>13.28</v>
    <v>13.23</v>
    <v>13.12</v>
    <v>13.34</v>
    <v>13.47</v>
    <v>13.8</v>
    <v>13.74</v>
    <v>14.4</v>
    <v>14.2</v>
    <v>14.03</v>
    <v>13.98</v>
    <v>13.84</v>
    <v>13.81</v>
    <v>13.6</v>
    <v>13.28</v>
    <v>13.77</v>
    <v>13.71</v>
    <v>13.56</v>
    <v>13.44</v>
    <v>13.93</v>
    <v>13.82</v>
    <v>14</v>
    <v>13.88</v>
    <v>13.81</v>
    <v>13.73</v>
    <v>13.82</v>
    <v>13.72</v>
    <v>13.8</v>
    <v>13.59</v>
    <v>13.57</v>
    <v>13.85</v>
    <v>14</v>
    <v>14.12</v>
    <v>14.13</v>
    <v>13.85</v>
    <v>13.78</v>
    <v>14.01</v>
    <v>13.64</v>
    <v>14.2</v>
    <v>14.43</v>
    <v>14.41</v>
    <v>14.09</v>
    <v>13.39</v>
    <v>12.7</v>
    <v>12.81</v>
    <v>12.34</v>
    <v>12.15</v>
    <v>12.19</v>
    <v>12.24</v>
    <v>12.11</v>
    <v>12.04</v>
    <v>11.67</v>
    <v>11.71</v>
    <v>11.94</v>
    <v>11.79</v>
    <v>11.64</v>
    <v>11.52</v>
    <v>11.76</v>
    <v>11.84</v>
    <v>11.67</v>
    <v>11.6</v>
    <v>11.37</v>
    <v>11.21</v>
    <v>11.54</v>
    <v>11.68</v>
    <v>11.6</v>
    <v>11.61</v>
    <v>11.52</v>
    <v>12.18</v>
    <v>12.24</v>
    <v>12.13</v>
    <v>12.16</v>
    <v>12.71</v>
    <v>12.71</v>
    <v>12.44</v>
    <v>12.87</v>
    <v>12.87</v>
    <v>12.78</v>
    <v>12.63</v>
    <v>12.48</v>
    <v>12.38</v>
    <v>12.49</v>
    <v>12.4</v>
    <v>12.24</v>
    <v>12.08</v>
    <v>11.88</v>
    <v>11.5</v>
    <v>11.69</v>
    <v>12.17</v>
    <v>12.18</v>
    <v>12.32</v>
    <v>12.05</v>
    <v>11.99</v>
    <v>13.57</v>
    <v>14.48</v>
    <v>13.4</v>
    <v>13.03</v>
    <v>13.06</v>
    <v>13.22</v>
    <v>13.67</v>
    <v>14.93</v>
    <v>15.32</v>
    <v>15.88</v>
    <v>16.649999999999999</v>
    <v>17.440000000000001</v>
    <v>16.63</v>
    <v>16.149999999999999</v>
    <v>15.71</v>
    <v>15.34</v>
    <v>14.9</v>
    <v>15</v>
    <v>14.95</v>
    <v>14.3</v>
    <v>14.71</v>
    <v>14.84</v>
    <v>14.77</v>
    <v>14.41</v>
    <v>13.96</v>
    <v>14.06</v>
    <v>14.11</v>
    <v>14</v>
    <v>13.84</v>
    <v>14.11</v>
    <v>14.13</v>
    <v>14.02</v>
    <v>13.9</v>
    <v>13.64</v>
    <v>13.36</v>
    <v>13.83</v>
    <v>13.56</v>
    <v>13.5</v>
    <v>13.61</v>
    <v>14</v>
    <v>13.85</v>
    <v>13.94</v>
    <v>14.18</v>
    <v>14.19</v>
    <v>14.23</v>
    <v>13.99</v>
    <v>14.27</v>
    <v>14.42</v>
    <v>14.15</v>
    <v>14.37</v>
    <v>14.68</v>
    <v>14.96</v>
    <v>15.28</v>
    <v>14.86</v>
    <v>14.68</v>
    <v>14.43</v>
    <v>14.24</v>
    <v>14.13</v>
    <v>13.79</v>
    <v>13.98</v>
    <v>14</v>
    <v>13.98</v>
    <v>13.83</v>
    <v>13.89</v>
    <v>14.37</v>
    <v>14.05</v>
    <v>13.93</v>
    <v>14.5</v>
    <v>13.99</v>
    <v>14.41</v>
    <v>13.93</v>
    <v>13.95</v>
    <v>13.9</v>
    <v>13.95</v>
    <v>13.88</v>
    <v>13.94</v>
    <v>13.84</v>
    <v>14.14</v>
    <v>14.41</v>
    <v>14.62</v>
    <v>14</v>
    <v>13.45</v>
    <v>13.88</v>
    <v>13.97</v>
    <v>13.86</v>
    <v>13.5</v>
    <v>13.35</v>
    <v>13.61</v>
    <v>13.21</v>
    <v>13.17</v>
    <v>13.1</v>
    <v>12.94</v>
    <v>12.6</v>
    <v>12.71</v>
    <v>12.38</v>
  </a>
  <a r="1" c="251">
    <v>315.69</v>
    <v>315.43</v>
    <v>310.70999999999998</v>
    <v>307.55</v>
    <v>310.02999999999997</v>
    <v>309.18</v>
    <v>307.69</v>
    <v>304.02999999999997</v>
    <v>305.52999999999997</v>
    <v>300.89</v>
    <v>307.97000000000003</v>
    <v>302.08</v>
    <v>305.69</v>
    <v>298.54000000000002</v>
    <v>297.56</v>
    <v>302.36</v>
    <v>297.08999999999997</v>
    <v>294.11</v>
    <v>294.54000000000002</v>
    <v>300.44</v>
    <v>304.14999999999998</v>
    <v>305.36</v>
    <v>305.51</v>
    <v>309.44</v>
    <v>311.12</v>
    <v>309.35000000000002</v>
    <v>309.25</v>
    <v>311.68</v>
    <v>313.42</v>
    <v>314.20999999999998</v>
    <v>316.89</v>
    <v>315.62</v>
    <v>320.41000000000003</v>
    <v>309.48</v>
    <v>303.61</v>
    <v>300.37</v>
    <v>299.41000000000003</v>
    <v>303.27</v>
    <v>298.38</v>
    <v>298.02</v>
    <v>298</v>
    <v>303</v>
    <v>307.64</v>
    <v>313.08</v>
    <v>308.92</v>
    <v>307.88</v>
    <v>312.13</v>
    <v>316.10000000000002</v>
    <v>315.04000000000002</v>
    <v>315.20999999999998</v>
    <v>300.51</v>
    <v>310.11</v>
    <v>317.38</v>
    <v>318.52</v>
    <v>320.02</v>
    <v>315.55</v>
    <v>314.98</v>
    <v>313</v>
    <v>317.20999999999998</v>
    <v>323.08999999999997</v>
    <v>325.93</v>
    <v>329.17</v>
    <v>327.91</v>
    <v>323.75</v>
    <v>323.42</v>
    <v>322.22000000000003</v>
    <v>325.48</v>
    <v>334.04</v>
    <v>334.61</v>
    <v>326.99</v>
    <v>329.79</v>
    <v>329.19</v>
    <v>324.49</v>
    <v>310.89999999999998</v>
    <v>307.87</v>
    <v>309.26</v>
    <v>312.47000000000003</v>
    <v>302.74</v>
    <v>302.04000000000002</v>
    <v>303.63</v>
    <v>297.72000000000003</v>
    <v>301.04000000000002</v>
    <v>300.31</v>
    <v>300.77</v>
    <v>306.42</v>
    <v>305.89</v>
    <v>308.14</v>
    <v>314.85000000000002</v>
    <v>317.27</v>
    <v>310.16000000000003</v>
    <v>322.39999999999998</v>
    <v>322.10000000000002</v>
    <v>318.27999999999997</v>
    <v>310.82</v>
    <v>302.64</v>
    <v>302.55</v>
    <v>307.13</v>
    <v>308.77999999999997</v>
    <v>308.05</v>
    <v>310.79000000000002</v>
    <v>297.67</v>
    <v>297.3</v>
    <v>303.3</v>
    <v>306.13</v>
    <v>300.3</v>
    <v>297.56</v>
    <v>300.26</v>
    <v>299.39</v>
    <v>293.55</v>
    <v>289.48</v>
    <v>289.92</v>
    <v>288.73</v>
    <v>287.52</v>
    <v>282.89</v>
    <v>283.44</v>
    <v>286.16000000000003</v>
    <v>286.89</v>
    <v>287.74</v>
    <v>287.97000000000003</v>
    <v>286.56</v>
    <v>289.91000000000003</v>
    <v>292.39999999999998</v>
    <v>295.42</v>
    <v>291.66000000000003</v>
    <v>282.83999999999997</v>
    <v>283.77</v>
    <v>294.16000000000003</v>
    <v>295.38</v>
    <v>294.60000000000002</v>
    <v>295.45</v>
    <v>297.39999999999998</v>
    <v>307.97000000000003</v>
    <v>310.33</v>
    <v>309.87</v>
    <v>313.68</v>
    <v>311.12</v>
    <v>305.93</v>
    <v>309.95</v>
    <v>310.29000000000002</v>
    <v>316.99</v>
    <v>313</v>
    <v>313.02</v>
    <v>311.69</v>
    <v>308.27999999999997</v>
    <v>311.63</v>
    <v>311.45</v>
    <v>309.25</v>
    <v>313.23</v>
    <v>312.47000000000003</v>
    <v>307.64999999999998</v>
    <v>309.39999999999998</v>
    <v>314.89999999999998</v>
    <v>306.27</v>
    <v>302.10000000000002</v>
    <v>300</v>
    <v>304.88</v>
    <v>300.25</v>
    <v>299.91000000000003</v>
    <v>297.81</v>
    <v>300.73</v>
    <v>295.7</v>
    <v>301.98</v>
    <v>303</v>
    <v>306.38</v>
    <v>306.74</v>
    <v>299.27999999999997</v>
    <v>296.73</v>
    <v>299.31</v>
    <v>296.58</v>
    <v>300.95999999999998</v>
    <v>300.85000000000002</v>
    <v>310.89</v>
    <v>312.37</v>
    <v>311.11</v>
    <v>312.7</v>
    <v>309.14</v>
    <v>313.49</v>
    <v>320.72000000000003</v>
    <v>319.39999999999998</v>
    <v>331.14</v>
    <v>333.46</v>
    <v>325.22000000000003</v>
    <v>331.48</v>
    <v>334.14</v>
    <v>333.45</v>
    <v>335.12</v>
    <v>329.05</v>
    <v>329.39</v>
    <v>327.33</v>
    <v>334.07</v>
    <v>334.47</v>
    <v>337.72</v>
    <v>339.22</v>
    <v>330.62</v>
    <v>335.47</v>
    <v>336.47</v>
    <v>334.53</v>
    <v>342.89</v>
    <v>346.91</v>
    <v>343.15</v>
    <v>341.1</v>
    <v>338.87</v>
    <v>345.23</v>
    <v>348.21</v>
    <v>349.9</v>
    <v>353.21</v>
    <v>356.2</v>
    <v>357.31</v>
    <v>344.71</v>
    <v>350.85</v>
    <v>351.79</v>
    <v>352.64</v>
    <v>357.52</v>
    <v>359.24</v>
    <v>356.3</v>
    <v>357.52</v>
    <v>359.79</v>
    <v>362.04</v>
    <v>365.18</v>
    <v>363.11</v>
    <v>362.84</v>
    <v>360.96</v>
    <v>363.25</v>
    <v>357.26</v>
    <v>351.55</v>
    <v>351.58</v>
    <v>356.39</v>
    <v>356.69</v>
    <v>356.5</v>
    <v>354.22</v>
    <v>357.62</v>
    <v>356.02</v>
    <v>354.95</v>
    <v>356.22</v>
    <v>362.06</v>
    <v>358.64</v>
    <v>353.51</v>
    <v>354.71</v>
    <v>353.56</v>
    <v>356.23</v>
    <v>350.13</v>
    <v>352.49</v>
    <v>348.92</v>
    <v>349.31</v>
    <v>349.67</v>
    <v>352.04</v>
    <v>340</v>
    <v>337.53</v>
    <v>338.56</v>
    <v>343.06</v>
    <v>336.59</v>
  </a>
  <a r="1" c="251">
    <v>181.85</v>
    <v>186.58</v>
    <v>187.24</v>
    <v>188.89</v>
    <v>187.62</v>
    <v>185.54</v>
    <v>185.04</v>
    <v>189.11</v>
    <v>192.57</v>
    <v>183.16</v>
    <v>188.32</v>
    <v>180.03</v>
    <v>179.83</v>
    <v>181.81</v>
    <v>183.22</v>
    <v>182.64</v>
    <v>181.16</v>
    <v>180.28</v>
    <v>182.16</v>
    <v>186.26</v>
    <v>191.49</v>
    <v>201.03</v>
    <v>207.04</v>
    <v>202.89</v>
    <v>202.49</v>
    <v>206.88</v>
    <v>198.69</v>
    <v>195.21</v>
    <v>188.08</v>
    <v>188.15</v>
    <v>199.05</v>
    <v>193.16</v>
    <v>193.8</v>
    <v>186.86</v>
    <v>190.17</v>
    <v>186.6</v>
    <v>181.36</v>
    <v>186.52</v>
    <v>180.64</v>
    <v>178.88</v>
    <v>182.55</v>
    <v>177.82</v>
    <v>180.26</v>
    <v>177</v>
    <v>179.92</v>
    <v>181.46</v>
    <v>179.59</v>
    <v>183.38</v>
    <v>182.41</v>
    <v>185.55</v>
    <v>184.97</v>
    <v>183.78</v>
    <v>180.93</v>
    <v>175.02</v>
    <v>176.29</v>
    <v>177.72</v>
    <v>170.94</v>
    <v>174.14</v>
    <v>180.99</v>
    <v>183.69</v>
    <v>189.21</v>
    <v>188.61</v>
    <v>190.53</v>
    <v>188.22</v>
    <v>187.54</v>
    <v>186.5</v>
    <v>188.85</v>
    <v>188.12</v>
    <v>187.24</v>
    <v>189.11</v>
    <v>185.04</v>
    <v>184.86</v>
    <v>184.94</v>
    <v>185.81</v>
    <v>183.14</v>
    <v>187.05</v>
    <v>186.23</v>
    <v>178.07</v>
    <v>183.32</v>
    <v>184.84</v>
    <v>187.67</v>
    <v>186.47</v>
    <v>188.52</v>
    <v>191.52</v>
    <v>192.51</v>
    <v>191.13</v>
    <v>185.61</v>
    <v>180.34</v>
    <v>174.19</v>
    <v>171.88</v>
    <v>185.41</v>
    <v>190.04</v>
    <v>188.54</v>
    <v>190.05</v>
    <v>186.94</v>
    <v>182.81</v>
    <v>184.97</v>
    <v>187.98</v>
    <v>187.9</v>
    <v>189.82</v>
    <v>191.55</v>
    <v>192.85</v>
    <v>195.56</v>
    <v>184.89</v>
    <v>177.19</v>
    <v>182.48</v>
    <v>180.05</v>
    <v>183.04</v>
    <v>183.34</v>
    <v>177.82</v>
    <v>182.65</v>
    <v>184.77</v>
    <v>186.03</v>
    <v>183.14</v>
    <v>180.25</v>
    <v>183.22</v>
    <v>181.93</v>
    <v>180.4</v>
    <v>178.56</v>
    <v>172.7</v>
    <v>175.64</v>
    <v>175.2</v>
    <v>178.68</v>
    <v>171.24</v>
    <v>167.52</v>
    <v>165.17</v>
    <v>174.4</v>
    <v>175.75</v>
    <v>177.39</v>
    <v>177.64</v>
    <v>178.1</v>
    <v>182.08</v>
    <v>183.91</v>
    <v>188.63</v>
    <v>189.31</v>
    <v>196.51</v>
    <v>198.87</v>
    <v>198.35</v>
    <v>201.68</v>
    <v>202.06</v>
    <v>199.88</v>
    <v>202.5</v>
    <v>199.64</v>
    <v>208.27</v>
    <v>216.61</v>
    <v>213.17</v>
    <v>209.25</v>
    <v>199.57</v>
    <v>198.45</v>
    <v>198.48</v>
    <v>196.5</v>
    <v>207.83</v>
    <v>211.5</v>
    <v>215.2</v>
    <v>219.44</v>
    <v>220.78</v>
    <v>225.83</v>
    <v>235.74</v>
    <v>225.32</v>
    <v>222.32</v>
    <v>220.61</v>
    <v>223.47</v>
    <v>219.51</v>
    <v>215.33</v>
    <v>214.86</v>
    <v>212.6</v>
    <v>214.25</v>
    <v>211.14</v>
    <v>224.36</v>
    <v>222.82</v>
    <v>214.75</v>
    <v>218.66</v>
    <v>205.1</v>
    <v>208.64</v>
    <v>208.19</v>
    <v>200.42</v>
    <v>204.87</v>
    <v>205.19</v>
    <v>212.45</v>
    <v>207.41</v>
    <v>204.65</v>
    <v>210.69</v>
    <v>208.65</v>
    <v>200.04</v>
    <v>199</v>
    <v>195.74</v>
    <v>192.53</v>
    <v>194.97</v>
    <v>200.09</v>
    <v>197.58</v>
    <v>194.83</v>
    <v>195.55</v>
    <v>196.93</v>
    <v>204.12</v>
    <v>202.78</v>
    <v>210.96</v>
    <v>203.53</v>
    <v>211.8</v>
    <v>212.5</v>
    <v>207.4</v>
    <v>202.81</v>
    <v>203.28</v>
    <v>207.29</v>
    <v>212.06</v>
    <v>208.76</v>
    <v>206.84</v>
    <v>196.51</v>
    <v>197.01</v>
    <v>190.01</v>
    <v>195.04</v>
    <v>200.75</v>
    <v>206.64</v>
    <v>211.94</v>
    <v>219.22</v>
    <v>218.99</v>
    <v>223.96</v>
    <v>217.55</v>
    <v>217.5</v>
    <v>224.09</v>
    <v>225.3</v>
    <v>225.16</v>
    <v>225.01</v>
    <v>219.74</v>
    <v>217.56</v>
    <v>216.85</v>
    <v>214.72</v>
    <v>208.48</v>
    <v>213.05</v>
    <v>209.66</v>
    <v>227.98</v>
    <v>217.55</v>
    <v>220.78</v>
    <v>217.44</v>
    <v>224.41</v>
    <v>228.45</v>
    <v>230.36</v>
    <v>225.73</v>
    <v>223.67</v>
    <v>218.36</v>
    <v>218.29</v>
    <v>210.96</v>
    <v>212.17</v>
    <v>213.9</v>
    <v>219.34</v>
    <v>222.27</v>
    <v>227.38</v>
    <v>228.87</v>
    <v>225.51</v>
    <v>224.58</v>
    <v>225.07</v>
    <v>228.86</v>
  </a>
  <a r="1" c="256">
    <v t="i">0</v>
    <v t="i">1</v>
    <v t="i">2</v>
    <v t="i">3</v>
    <v t="i">4</v>
    <v t="i">7</v>
    <v t="i">8</v>
    <v t="i">9</v>
    <v t="i">10</v>
    <v t="i">11</v>
    <v t="i">14</v>
    <v t="i">15</v>
    <v t="i">16</v>
    <v t="i">17</v>
    <v t="i">18</v>
    <v t="i">21</v>
    <v t="i">22</v>
    <v t="i">23</v>
    <v t="i">24</v>
    <v t="i">25</v>
    <v t="i">28</v>
    <v t="i">29</v>
    <v t="i">30</v>
    <v t="i">31</v>
    <v t="i">32</v>
    <v t="i">35</v>
    <v t="i">36</v>
    <v t="i">37</v>
    <v t="i">38</v>
    <v t="i">39</v>
    <v t="i">42</v>
    <v t="i">43</v>
    <v t="i">44</v>
    <v t="i">45</v>
    <v t="i">46</v>
    <v t="i">49</v>
    <v t="i">50</v>
    <v t="i">51</v>
    <v t="i">52</v>
    <v t="i">53</v>
    <v t="i">56</v>
    <v t="i">57</v>
    <v t="i">58</v>
    <v t="i">59</v>
    <v t="i">60</v>
    <v t="i">63</v>
    <v t="i">64</v>
    <v t="i">65</v>
    <v t="i">66</v>
    <v t="i">67</v>
    <v t="i">70</v>
    <v t="i">71</v>
    <v t="i">72</v>
    <v t="i">73</v>
    <v t="i">74</v>
    <v t="i">77</v>
    <v t="i">78</v>
    <v t="i">79</v>
    <v t="i">80</v>
    <v t="i">81</v>
    <v t="i">84</v>
    <v t="i">85</v>
    <v t="i">86</v>
    <v t="i">91</v>
    <v t="i">92</v>
    <v t="i">93</v>
    <v t="i">95</v>
    <v t="i">98</v>
    <v t="i">99</v>
    <v t="i">100</v>
    <v t="i">101</v>
    <v t="i">102</v>
    <v t="i">105</v>
    <v t="i">106</v>
    <v t="i">107</v>
    <v t="i">108</v>
    <v t="i">109</v>
    <v t="i">112</v>
    <v t="i">113</v>
    <v t="i">114</v>
    <v t="i">115</v>
    <v t="i">116</v>
    <v t="i">119</v>
    <v t="i">120</v>
    <v t="i">121</v>
    <v t="i">122</v>
    <v t="i">123</v>
    <v t="i">126</v>
    <v t="i">127</v>
    <v t="i">128</v>
    <v t="i">129</v>
    <v t="i">130</v>
    <v t="i">133</v>
    <v t="i">134</v>
    <v t="i">135</v>
    <v t="i">136</v>
    <v t="i">137</v>
    <v t="i">140</v>
    <v t="i">141</v>
    <v t="i">142</v>
    <v t="i">143</v>
    <v t="i">144</v>
    <v t="i">147</v>
    <v t="i">148</v>
    <v t="i">149</v>
    <v t="i">150</v>
    <v t="i">151</v>
    <v t="i">154</v>
    <v t="i">155</v>
    <v t="i">156</v>
    <v t="i">157</v>
    <v t="i">158</v>
    <v t="i">161</v>
    <v t="i">162</v>
    <v t="i">163</v>
    <v t="i">164</v>
    <v t="i">165</v>
    <v t="i">168</v>
    <v t="i">169</v>
    <v t="i">170</v>
    <v t="i">171</v>
    <v t="i">172</v>
    <v t="i">175</v>
    <v t="i">176</v>
    <v t="i">177</v>
    <v t="i">178</v>
    <v t="i">179</v>
    <v t="i">182</v>
    <v t="i">183</v>
    <v t="i">184</v>
    <v t="i">185</v>
    <v t="i">190</v>
    <v t="i">191</v>
    <v t="i">192</v>
    <v t="i">193</v>
    <v t="i">196</v>
    <v t="i">197</v>
    <v t="i">198</v>
    <v t="i">199</v>
    <v t="i">200</v>
    <v t="i">203</v>
    <v t="i">204</v>
    <v t="i">205</v>
    <v t="i">206</v>
    <v t="i">207</v>
    <v t="i">210</v>
    <v t="i">211</v>
    <v t="i">212</v>
    <v t="i">213</v>
    <v t="i">214</v>
    <v t="i">217</v>
    <v t="i">218</v>
    <v t="i">219</v>
    <v t="i">220</v>
    <v t="i">221</v>
    <v t="i">224</v>
    <v t="i">225</v>
    <v t="i">226</v>
    <v t="i">227</v>
    <v t="i">228</v>
    <v t="i">231</v>
    <v t="i">232</v>
    <v t="i">233</v>
    <v t="i">234</v>
    <v t="i">235</v>
    <v t="i">238</v>
    <v t="i">239</v>
    <v t="i">240</v>
    <v t="i">241</v>
    <v t="i">242</v>
    <v t="i">245</v>
    <v t="i">246</v>
    <v t="i">247</v>
    <v t="i">248</v>
    <v t="i">249</v>
    <v t="i">252</v>
    <v t="i">253</v>
    <v t="i">254</v>
    <v t="i">255</v>
    <v t="i">256</v>
    <v t="i">259</v>
    <v t="i">260</v>
    <v t="i">261</v>
    <v t="i">262</v>
    <v t="i">263</v>
    <v t="i">266</v>
    <v t="i">267</v>
    <v t="i">268</v>
    <v t="i">269</v>
    <v t="i">270</v>
    <v t="i">273</v>
    <v t="i">274</v>
    <v t="i">275</v>
    <v t="i">276</v>
    <v t="i">277</v>
    <v t="i">280</v>
    <v t="i">281</v>
    <v t="i">282</v>
    <v t="i">283</v>
    <v t="i">284</v>
    <v t="i">287</v>
    <v t="i">288</v>
    <v t="i">289</v>
    <v t="i">290</v>
    <v t="i">291</v>
    <v t="i">294</v>
    <v t="i">295</v>
    <v t="i">296</v>
    <v t="i">297</v>
    <v t="i">298</v>
    <v t="i">301</v>
    <v t="i">302</v>
    <v t="i">303</v>
    <v t="i">304</v>
    <v t="i">305</v>
    <v t="i">308</v>
    <v t="i">309</v>
    <v t="i">310</v>
    <v t="i">311</v>
    <v t="i">312</v>
    <v t="i">315</v>
    <v t="i">316</v>
    <v t="i">317</v>
    <v t="i">318</v>
    <v t="i">319</v>
    <v t="i">322</v>
    <v t="i">323</v>
    <v t="i">324</v>
    <v t="i">325</v>
    <v t="i">326</v>
    <v t="i">329</v>
    <v t="i">330</v>
    <v t="i">331</v>
    <v t="i">332</v>
    <v t="i">333</v>
    <v t="i">336</v>
    <v t="i">337</v>
    <v t="i">338</v>
    <v t="i">339</v>
    <v t="i">340</v>
    <v t="i">343</v>
    <v t="i">344</v>
    <v t="i">345</v>
    <v t="i">346</v>
    <v t="i">347</v>
    <v t="i">350</v>
    <v t="i">351</v>
    <v t="i">352</v>
    <v t="i">353</v>
    <v t="i">354</v>
    <v t="i">357</v>
    <v t="i">358</v>
    <v t="i">359</v>
    <v t="i">360</v>
    <v t="i">361</v>
    <v t="i">364</v>
  </a>
  <a r="1" c="256">
    <v>165.6</v>
    <v>166.7</v>
    <v>166.7</v>
    <v>166.1</v>
    <v>165.8</v>
    <v>169</v>
    <v>168.8</v>
    <v>170.7</v>
    <v>167.1</v>
    <v>160</v>
    <v>159.30000000000001</v>
    <v>158.30000000000001</v>
    <v>160.4</v>
    <v>157.4</v>
    <v>157.19999999999999</v>
    <v>160.80000000000001</v>
    <v>173.6</v>
    <v>176.4</v>
    <v>179.1</v>
    <v>179.5</v>
    <v>178.1</v>
    <v>180.6</v>
    <v>177.6</v>
    <v>177.6</v>
    <v>176.8</v>
    <v>176.6</v>
    <v>176.6</v>
    <v>175.7</v>
    <v>174.3</v>
    <v>174.1</v>
    <v>177.8</v>
    <v>178.5</v>
    <v>179.1</v>
    <v>174.5</v>
    <v>174.5</v>
    <v>175.5</v>
    <v>176</v>
    <v>173</v>
    <v>177</v>
    <v>170.1</v>
    <v>171.1</v>
    <v>171.1</v>
    <v>172.8</v>
    <v>173</v>
    <v>173.6</v>
    <v>170.5</v>
    <v>169</v>
    <v>168.2</v>
    <v>170.7</v>
    <v>170.3</v>
    <v>171.5</v>
    <v>174.9</v>
    <v>172.4</v>
    <v>177.6</v>
    <v>177</v>
    <v>180</v>
    <v>181.2</v>
    <v>179.5</v>
    <v>179.1</v>
    <v>181</v>
    <v>184.8</v>
    <v>187.7</v>
    <v>186.5</v>
    <v>184.4</v>
    <v>184</v>
    <v>184</v>
    <v>183.1</v>
    <v>187.1</v>
    <v>188.6</v>
    <v>191.15</v>
    <v>189.6</v>
    <v>187.5</v>
    <v>191.05</v>
    <v>196.3</v>
    <v>195.85</v>
    <v>197.2</v>
    <v>199.65</v>
    <v>202.45</v>
    <v>201.1</v>
    <v>196.75</v>
    <v>197.2</v>
    <v>195.4</v>
    <v>194.4</v>
    <v>196.85</v>
    <v>201.45</v>
    <v>200.2</v>
    <v>199.2</v>
    <v>199.2</v>
    <v>203.35</v>
    <v>197.75</v>
    <v>196.2</v>
    <v>199.2</v>
    <v>198.65</v>
    <v>193.85</v>
    <v>196.3</v>
    <v>200.55</v>
    <v>202.55</v>
    <v>199.55</v>
    <v>201.1</v>
    <v>202.9</v>
    <v>204.9</v>
    <v>204.9</v>
    <v>203.35</v>
    <v>199.1</v>
    <v>193.5</v>
    <v>197.2</v>
    <v>197.75</v>
    <v>212</v>
    <v>209.25</v>
    <v>207.35</v>
    <v>202.9</v>
    <v>206.7</v>
    <v>209.15</v>
    <v>207.8</v>
    <v>207.25</v>
    <v>204.9</v>
    <v>205.45</v>
    <v>207.15</v>
    <v>201</v>
    <v>204.45</v>
    <v>199.2</v>
    <v>199.2</v>
    <v>198.1</v>
    <v>193.5</v>
    <v>194.5</v>
    <v>192.5</v>
    <v>191.5</v>
    <v>190.5</v>
    <v>190.5</v>
    <v>195.5</v>
    <v>196.5</v>
    <v>196.5</v>
    <v>201</v>
    <v>204</v>
    <v>202</v>
    <v>201</v>
    <v>203</v>
    <v>200</v>
    <v>195.5</v>
    <v>197.5</v>
    <v>195.5</v>
    <v>188</v>
    <v>183</v>
    <v>182</v>
    <v>173.5</v>
    <v>175.5</v>
    <v>172.5</v>
    <v>171.5</v>
    <v>174.5</v>
    <v>174.5</v>
    <v>173.46</v>
    <v>172.5</v>
    <v>176.5</v>
    <v>173.5</v>
    <v>175.5</v>
    <v>176.5</v>
    <v>177.5</v>
    <v>177.5</v>
    <v>176.5</v>
    <v>174.5</v>
    <v>173.5</v>
    <v>175.5</v>
    <v>173.5</v>
    <v>173.5</v>
    <v>175.5</v>
    <v>-99999901</v>
    <v>176.5</v>
    <v>176.5</v>
    <v>181</v>
    <v>177.5</v>
    <v>174.5</v>
    <v>173.5</v>
    <v>175.5</v>
    <v>178.5</v>
    <v>182</v>
    <v>178.5</v>
    <v>181</v>
    <v>180</v>
    <v>182</v>
    <v>184</v>
    <v>184</v>
    <v>184</v>
    <v>189</v>
    <v>186</v>
    <v>185</v>
    <v>183</v>
    <v>183</v>
    <v>186</v>
    <v>189</v>
    <v>189</v>
    <v>188</v>
    <v>187</v>
    <v>189</v>
    <v>197.5</v>
    <v>197.5</v>
    <v>198.5</v>
    <v>200</v>
    <v>196.5</v>
    <v>193.5</v>
    <v>193.5</v>
    <v>196.5</v>
    <v>197.5</v>
    <v>193.5</v>
    <v>194.5</v>
    <v>197.5</v>
    <v>195.5</v>
    <v>195.5</v>
    <v>195.5</v>
    <v>210.5</v>
    <v>214.5</v>
    <v>217.5</v>
    <v>217.5</v>
    <v>215.5</v>
    <v>211.5</v>
    <v>213.5</v>
    <v>216.5</v>
    <v>215.5</v>
    <v>220</v>
    <v>221</v>
    <v>221</v>
    <v>226</v>
    <v>225</v>
    <v>220</v>
    <v>220</v>
    <v>221</v>
    <v>224</v>
    <v>223</v>
    <v>223</v>
    <v>218.5</v>
    <v>210.5</v>
    <v>208</v>
    <v>210.5</v>
    <v>212.5</v>
    <v>210.5</v>
    <v>212.5</v>
    <v>209</v>
    <v>207</v>
    <v>202</v>
    <v>202</v>
    <v>200</v>
    <v>201</v>
    <v>198.5</v>
    <v>197.5</v>
    <v>197.5</v>
    <v>197.5</v>
    <v>194.5</v>
    <v>194.5</v>
    <v>196.5</v>
    <v>194.5</v>
    <v>192.5</v>
    <v>193.5</v>
    <v>188</v>
    <v>192.5</v>
    <v>191.5</v>
    <v>188</v>
    <v>189</v>
  </a>
  <a r="1" c="251">
    <v>217.08</v>
    <v>215.83</v>
    <v>215.2</v>
    <v>217.43</v>
    <v>216.3</v>
    <v>219.73</v>
    <v>221.82</v>
    <v>225.32</v>
    <v>216</v>
    <v>210.73</v>
    <v>215.56</v>
    <v>214.3</v>
    <v>214</v>
    <v>211.89</v>
    <v>212.94</v>
    <v>216.82</v>
    <v>217.26</v>
    <v>216.59</v>
    <v>217.77</v>
    <v>221.35</v>
    <v>223</v>
    <v>223.33</v>
    <v>213.58</v>
    <v>200.08</v>
    <v>201.02</v>
    <v>204.55</v>
    <v>198.05</v>
    <v>197.62</v>
    <v>196.5</v>
    <v>194.61</v>
    <v>194.81</v>
    <v>195.21</v>
    <v>195.5</v>
    <v>194.58</v>
    <v>194.52</v>
    <v>191.81</v>
    <v>189.63</v>
    <v>185.7</v>
    <v>179.38</v>
    <v>179.7</v>
    <v>179.12</v>
    <v>182.44</v>
    <v>186.92</v>
    <v>189</v>
    <v>186.46</v>
    <v>205.38</v>
    <v>202.54</v>
    <v>201.87</v>
    <v>201.89</v>
    <v>206.27</v>
    <v>200.37</v>
    <v>198.72</v>
    <v>200.71</v>
    <v>204.38</v>
    <v>205.5</v>
    <v>206.71</v>
    <v>206.33</v>
    <v>208.27</v>
    <v>214.08</v>
    <v>216.84</v>
    <v>216.85</v>
    <v>218.16</v>
    <v>216.44</v>
    <v>217.25</v>
    <v>218.5</v>
    <v>217.12</v>
    <v>227.77</v>
    <v>228.13</v>
    <v>229.84</v>
    <v>228.12</v>
    <v>227.38</v>
    <v>234.53</v>
    <v>239.81</v>
    <v>244.55</v>
    <v>242.61</v>
    <v>247.74</v>
    <v>247.68</v>
    <v>249</v>
    <v>250.07</v>
    <v>251.41</v>
    <v>252.15</v>
    <v>248.43</v>
    <v>244.56</v>
    <v>241.59</v>
    <v>234.04</v>
    <v>233.72</v>
    <v>233.02</v>
    <v>233.15</v>
    <v>235.95</v>
    <v>236.95</v>
    <v>243.03</v>
    <v>244.71</v>
    <v>242.59</v>
    <v>236.26</v>
    <v>239.35</v>
    <v>242.96</v>
    <v>244.04</v>
    <v>238.93</v>
    <v>233.71</v>
    <v>232.03</v>
    <v>230.44</v>
    <v>233.39</v>
    <v>230.36</v>
    <v>229.41</v>
    <v>227.53</v>
    <v>229.74</v>
    <v>224.12</v>
    <v>227.31</v>
    <v>222.06</v>
    <v>231.11</v>
    <v>225</v>
    <v>217.76</v>
    <v>214.1</v>
    <v>204.76</v>
    <v>209.89</v>
    <v>213.47</v>
    <v>210.82</v>
    <v>205.99</v>
    <v>201.18</v>
    <v>195.12</v>
    <v>198.41</v>
    <v>196.42</v>
    <v>199.61</v>
    <v>194.36</v>
    <v>190.52</v>
    <v>189.21</v>
    <v>199.03</v>
    <v>207.32</v>
    <v>208.22</v>
    <v>212.3</v>
    <v>210</v>
    <v>217.8</v>
    <v>220.06</v>
    <v>217.63</v>
    <v>222.14</v>
    <v>223.77</v>
    <v>223.93</v>
    <v>218.88</v>
    <v>223.38</v>
    <v>225.08</v>
    <v>219.16</v>
    <v>231.28</v>
    <v>234.15</v>
    <v>232.44</v>
    <v>231.33</v>
    <v>230.72</v>
    <v>224.11</v>
    <v>229.03</v>
    <v>227.38</v>
    <v>221.3</v>
    <v>224.38</v>
    <v>229.93</v>
    <v>231.03</v>
    <v>237.36</v>
    <v>238.21</v>
    <v>236.87</v>
    <v>240.6</v>
    <v>229.21</v>
    <v>220.49</v>
    <v>220.61</v>
    <v>215.01</v>
    <v>222.2</v>
    <v>219.61</v>
    <v>219.02</v>
    <v>218.9</v>
    <v>224.3</v>
    <v>228.78</v>
    <v>231.15</v>
    <v>224.3</v>
    <v>217.7</v>
    <v>210.58</v>
    <v>217.42</v>
    <v>215.45</v>
    <v>215.92</v>
    <v>214.51</v>
    <v>209</v>
    <v>221.63</v>
    <v>219.05</v>
    <v>228.95</v>
    <v>227.49</v>
    <v>225.63</v>
    <v>222.72</v>
    <v>220.83</v>
    <v>216.71</v>
    <v>220.25</v>
    <v>218.12</v>
    <v>217.25</v>
    <v>214.69</v>
    <v>216.47</v>
    <v>218.58</v>
    <v>226.49</v>
    <v>234.54</v>
    <v>231.68</v>
    <v>224.95</v>
    <v>223.11</v>
    <v>222.28</v>
    <v>215.51</v>
    <v>217.11</v>
    <v>218.12</v>
    <v>214.34</v>
    <v>214.03</v>
    <v>209.48</v>
    <v>204.8</v>
    <v>208.65</v>
    <v>209.23</v>
    <v>209.52</v>
    <v>211.5</v>
    <v>221.56</v>
    <v>214.01</v>
    <v>220.9</v>
    <v>216.14</v>
    <v>233.49</v>
    <v>237.16</v>
    <v>240.19</v>
    <v>232.19</v>
    <v>234.42</v>
    <v>232.79</v>
    <v>233.24</v>
    <v>231.2</v>
    <v>230.33</v>
    <v>231.67</v>
    <v>225.95</v>
    <v>223.06</v>
    <v>222.2</v>
    <v>215.1</v>
    <v>214.2</v>
    <v>210.46</v>
    <v>211.08</v>
    <v>212.09</v>
    <v>209.89</v>
    <v>209.82</v>
    <v>207.78</v>
    <v>205.66</v>
    <v>208.87</v>
    <v>210.51</v>
    <v>212.25</v>
    <v>210.73</v>
    <v>206.42</v>
    <v>204.8</v>
    <v>210.45</v>
    <v>210.27</v>
    <v>209.69</v>
    <v>201.96</v>
    <v>197</v>
    <v>198.2</v>
    <v>201.15</v>
    <v>197.72</v>
    <v>199.93</v>
    <v>196.8</v>
    <v>198.07</v>
    <v>184.39</v>
  </a>
  <a r="1" c="251">
    <v>196.44</v>
    <v>191.09</v>
    <v>191.83</v>
    <v>190.52</v>
    <v>194.59</v>
    <v>199.18</v>
    <v>199.89</v>
    <v>198.21</v>
    <v>192.33</v>
    <v>185.22</v>
    <v>187.88</v>
    <v>191.74</v>
    <v>194.33</v>
    <v>195.41</v>
    <v>197.83</v>
    <v>200.11</v>
    <v>201.95</v>
    <v>203.51</v>
    <v>204.06</v>
    <v>205.37</v>
    <v>209.22</v>
    <v>211.24</v>
    <v>207.09</v>
    <v>207.21</v>
    <v>204.19</v>
    <v>205.72</v>
    <v>203.89</v>
    <v>199.15</v>
    <v>202.94</v>
    <v>201.98</v>
    <v>203.94</v>
    <v>205.99</v>
    <v>207.29</v>
    <v>203.26</v>
    <v>204.08</v>
    <v>199</v>
    <v>195.96</v>
    <v>196.78</v>
    <v>191.25</v>
    <v>197.62</v>
    <v>199.06</v>
    <v>200.26</v>
    <v>202.44</v>
    <v>201.87</v>
    <v>199.22</v>
    <v>196.99</v>
    <v>195.44</v>
    <v>198.27</v>
    <v>196.56</v>
    <v>195.21</v>
    <v>196.34</v>
    <v>200.78</v>
    <v>203.56</v>
    <v>208.12</v>
    <v>214.81</v>
    <v>214.42</v>
    <v>214.24</v>
    <v>216.08</v>
    <v>219.38</v>
    <v>219.51</v>
    <v>219.24</v>
    <v>216.73</v>
    <v>216.62</v>
    <v>216.44</v>
    <v>214.85</v>
    <v>214.06</v>
    <v>217.87</v>
    <v>218.86</v>
    <v>215.27</v>
    <v>213.33</v>
    <v>214.73</v>
    <v>221.52</v>
    <v>222.59</v>
    <v>229.03</v>
    <v>227.3</v>
    <v>232.33</v>
    <v>231.42</v>
    <v>220.47</v>
    <v>227.74</v>
    <v>227.04</v>
    <v>226.28</v>
    <v>225.62</v>
    <v>224.12</v>
    <v>218.89</v>
    <v>227.07</v>
    <v>226.86</v>
    <v>231.58</v>
    <v>231.42</v>
    <v>241.39</v>
    <v>237.19</v>
    <v>244.22</v>
    <v>242.39</v>
    <v>238.24</v>
    <v>242.81</v>
    <v>241.64</v>
    <v>248.29</v>
    <v>245.51</v>
    <v>243.2</v>
    <v>241.65</v>
    <v>239.6</v>
    <v>238.03</v>
    <v>238.64</v>
    <v>241.73</v>
    <v>242.62</v>
    <v>242.38</v>
    <v>243.66</v>
    <v>232.17</v>
    <v>232.81</v>
    <v>221.48</v>
    <v>219.14</v>
    <v>219.53</v>
    <v>221.01</v>
    <v>220.77</v>
    <v>216.59</v>
    <v>210.84</v>
    <v>213.23</v>
    <v>213.07</v>
    <v>209.11</v>
    <v>208.93</v>
    <v>205.02</v>
    <v>210.64</v>
    <v>209.78</v>
    <v>210.93</v>
    <v>209.93</v>
    <v>206.73</v>
    <v>202.94</v>
    <v>206.09</v>
    <v>209.67</v>
    <v>207.01</v>
    <v>204.42</v>
    <v>203.66</v>
    <v>215</v>
    <v>211.14</v>
    <v>210.64</v>
    <v>211.06</v>
    <v>211.55</v>
    <v>213.18</v>
    <v>212.86</v>
    <v>217.2</v>
    <v>215.25</v>
    <v>203.97</v>
    <v>200.43</v>
    <v>196.08</v>
    <v>192.32</v>
    <v>192.17</v>
    <v>192.98</v>
    <v>191.26</v>
    <v>192.62</v>
    <v>188.71</v>
    <v>188.3</v>
    <v>189.99</v>
    <v>195.05</v>
    <v>189</v>
    <v>187.53</v>
    <v>183.8</v>
    <v>181.67</v>
    <v>186.89</v>
    <v>190.5</v>
    <v>190.68</v>
    <v>187.37</v>
    <v>185.47</v>
    <v>189.94</v>
    <v>189.66</v>
    <v>189.08</v>
    <v>190.09</v>
    <v>190.11</v>
    <v>191.84</v>
    <v>189.95</v>
    <v>182.92</v>
    <v>180.49</v>
    <v>180.22</v>
    <v>179.5</v>
    <v>177.16</v>
    <v>178.45</v>
    <v>175.78</v>
    <v>172.03</v>
    <v>174.95</v>
    <v>174.95</v>
    <v>180.22</v>
    <v>178.19</v>
    <v>172.77</v>
    <v>173.94</v>
    <v>169.73</v>
    <v>167.23</v>
    <v>167.76</v>
    <v>166.5</v>
    <v>171.48</v>
    <v>171.36</v>
    <v>168.42</v>
    <v>169.66</v>
    <v>174.59</v>
    <v>179.8</v>
    <v>179.43</v>
    <v>177.15</v>
    <v>174.32</v>
    <v>176.45</v>
    <v>174.75</v>
    <v>176.22</v>
    <v>176.92</v>
    <v>179.76</v>
    <v>177.61</v>
    <v>178.53</v>
    <v>180.34</v>
    <v>179.94</v>
    <v>176.8</v>
    <v>177.42</v>
    <v>182.15</v>
    <v>186.3</v>
    <v>192.84</v>
    <v>191.45</v>
    <v>188.99</v>
    <v>186.17</v>
    <v>189.17</v>
    <v>185.89</v>
    <v>187.49</v>
    <v>190.09</v>
    <v>188.78</v>
    <v>189.82</v>
    <v>188.22</v>
    <v>188.71</v>
    <v>191.11</v>
    <v>189.18</v>
    <v>188.25</v>
    <v>188.78</v>
    <v>192.24</v>
    <v>197.35</v>
    <v>193.81</v>
    <v>192.95</v>
    <v>191.84</v>
    <v>192</v>
    <v>194.48</v>
    <v>196.54</v>
    <v>198.05</v>
    <v>198.3</v>
    <v>199.87</v>
    <v>197.11</v>
    <v>191.45</v>
    <v>190.97</v>
    <v>192.48</v>
    <v>198.2</v>
    <v>197.56</v>
    <v>195.47</v>
    <v>192.21</v>
    <v>193.91</v>
    <v>191.53</v>
    <v>192.5</v>
    <v>192.06</v>
    <v>190.36</v>
    <v>186.72</v>
    <v>190.34</v>
    <v>188.3</v>
  </a>
  <a r="1" c="251">
    <v>103.08</v>
    <v>103.06</v>
    <v>101.96</v>
    <v>101.7</v>
    <v>102.07</v>
    <v>102.7</v>
    <v>103.24</v>
    <v>102.9</v>
    <v>101.77</v>
    <v>101.84</v>
    <v>102.12</v>
    <v>107.21</v>
    <v>109.03</v>
    <v>106.47</v>
    <v>107.73</v>
    <v>107.05</v>
    <v>106.22</v>
    <v>107.14</v>
    <v>106.86</v>
    <v>106.17</v>
    <v>104.47</v>
    <v>103.17</v>
    <v>102.46</v>
    <v>102.23</v>
    <v>101.18</v>
    <v>101.59</v>
    <v>102.27</v>
    <v>101.47</v>
    <v>101.68</v>
    <v>102.59</v>
    <v>102.42</v>
    <v>103.44</v>
    <v>103.44</v>
    <v>102.54</v>
    <v>102.48</v>
    <v>102.95</v>
    <v>101.39</v>
    <v>100.61</v>
    <v>107.11</v>
    <v>105.32</v>
    <v>104.06</v>
    <v>107</v>
    <v>109.1</v>
    <v>110.51</v>
    <v>111.53</v>
    <v>112.41</v>
    <v>114.41</v>
    <v>114.84</v>
    <v>115.11</v>
    <v>113.56</v>
    <v>115.06</v>
    <v>113.18</v>
    <v>115.52</v>
    <v>116.7</v>
    <v>116.79</v>
    <v>115.42</v>
    <v>115.66</v>
    <v>114.83</v>
    <v>114.36</v>
    <v>112.6</v>
    <v>110.9</v>
    <v>111.61</v>
    <v>111.74</v>
    <v>112.53</v>
    <v>111.92</v>
    <v>111.41</v>
    <v>112.76</v>
    <v>112.71</v>
    <v>114.34</v>
    <v>112.72</v>
    <v>113.07</v>
    <v>114.53</v>
    <v>117.97</v>
    <v>120.36</v>
    <v>120.04</v>
    <v>119.2</v>
    <v>119.7</v>
    <v>118.71</v>
    <v>119.36</v>
    <v>117.83</v>
    <v>117.73</v>
    <v>117.64</v>
    <v>116.94</v>
    <v>116.57</v>
    <v>117.41</v>
    <v>119.14</v>
    <v>124.06</v>
    <v>127.71</v>
    <v>128</v>
    <v>126.94</v>
    <v>131.18</v>
    <v>129.02000000000001</v>
    <v>126.7</v>
    <v>128.77000000000001</v>
    <v>133.63999999999999</v>
    <v>133.88999999999999</v>
    <v>128.85</v>
    <v>126.62</v>
    <v>124.87</v>
    <v>122.99</v>
    <v>125.81</v>
    <v>126.75</v>
    <v>125.75</v>
    <v>124.42</v>
    <v>127.95</v>
    <v>127.1</v>
    <v>127.91</v>
    <v>127.81</v>
    <v>123.31</v>
    <v>123.8</v>
    <v>124.34</v>
    <v>125.12</v>
    <v>123.49</v>
    <v>125.33</v>
    <v>126.52</v>
    <v>125.99</v>
    <v>125.08</v>
    <v>121.98</v>
    <v>121.09</v>
    <v>119.02</v>
    <v>120.72</v>
    <v>122.05</v>
    <v>123.06</v>
    <v>122.18</v>
    <v>122.89</v>
    <v>123.5</v>
    <v>124.28</v>
    <v>124.74</v>
    <v>125.79</v>
    <v>126.79</v>
    <v>122.49</v>
    <v>127.26</v>
    <v>129.13</v>
    <v>126.77</v>
    <v>124.57</v>
    <v>125.05</v>
    <v>124.76</v>
    <v>124.82</v>
    <v>127.5</v>
    <v>127.92</v>
    <v>129.6</v>
    <v>129.97999999999999</v>
    <v>132.03</v>
    <v>129.91999999999999</v>
    <v>127.59</v>
    <v>127.59</v>
    <v>128.01</v>
    <v>131.93</v>
    <v>131.6</v>
    <v>130.33000000000001</v>
    <v>130.79</v>
    <v>130.08000000000001</v>
    <v>130.19999999999999</v>
    <v>130.43</v>
    <v>127.59</v>
    <v>130.35</v>
    <v>131.47</v>
    <v>132.46</v>
    <v>131.44999999999999</v>
    <v>133.34</v>
    <v>134.19999999999999</v>
    <v>130.85</v>
    <v>121.34</v>
    <v>120.27</v>
    <v>118.57</v>
    <v>118.54</v>
    <v>118.9</v>
    <v>115.75</v>
    <v>114.6</v>
    <v>113.06</v>
    <v>116.89</v>
    <v>117.74</v>
    <v>118.88</v>
    <v>119.83</v>
    <v>118.88</v>
    <v>120.59</v>
    <v>120.5</v>
    <v>121.04</v>
    <v>120.82</v>
    <v>121.03</v>
    <v>118.13</v>
    <v>117.18</v>
    <v>117.18</v>
    <v>119.42</v>
    <v>119</v>
    <v>115.78</v>
    <v>115.69</v>
    <v>114.6</v>
    <v>113.26</v>
    <v>108.82</v>
    <v>111.84</v>
    <v>110.65</v>
    <v>111.54</v>
    <v>113.1</v>
    <v>112.21</v>
    <v>113.9</v>
    <v>114.78</v>
    <v>113.7</v>
    <v>112.53</v>
    <v>114.95</v>
    <v>114.24</v>
    <v>112.2</v>
    <v>110.39</v>
    <v>109.33</v>
    <v>108.4</v>
    <v>109.47</v>
    <v>111.74</v>
    <v>113.1</v>
    <v>114.22</v>
    <v>111.1</v>
    <v>111.2</v>
    <v>110.71</v>
    <v>111.55</v>
    <v>112.34</v>
    <v>112.07</v>
    <v>111.85</v>
    <v>112.66</v>
    <v>113.26</v>
    <v>116.01</v>
    <v>115.72</v>
    <v>115.27</v>
    <v>114.33</v>
    <v>115.2</v>
    <v>114.3</v>
    <v>103.84</v>
    <v>103.7</v>
    <v>106.49</v>
    <v>105.38</v>
    <v>104.34</v>
    <v>102.63</v>
    <v>103.09</v>
    <v>104.87</v>
    <v>105.92</v>
    <v>106.09</v>
    <v>108.42</v>
    <v>107.14</v>
    <v>106.05</v>
    <v>105.83</v>
    <v>105.73</v>
    <v>107.15</v>
    <v>109.08</v>
    <v>108.09</v>
    <v>107.5</v>
    <v>106.79</v>
    <v>106.73</v>
    <v>107.44</v>
    <v>110.12</v>
    <v>110.53</v>
    <v>107.59</v>
    <v>107.98</v>
    <v>108.73</v>
  </a>
  <a r="1" c="251">
    <v>179.9</v>
    <v>178.73</v>
    <v>182.78</v>
    <v>189.34</v>
    <v>188.03</v>
    <v>187.22</v>
    <v>181.33</v>
    <v>181.12</v>
    <v>173.68</v>
    <v>159.01</v>
    <v>166.81</v>
    <v>162.86000000000001</v>
    <v>165.91</v>
    <v>165.09</v>
    <v>167.05</v>
    <v>173.47</v>
    <v>166.67</v>
    <v>165.86</v>
    <v>171.9</v>
    <v>174.7</v>
    <v>179.45</v>
    <v>176.72</v>
    <v>179.97</v>
    <v>173.93</v>
    <v>170.43</v>
    <v>167.69</v>
    <v>164.3</v>
    <v>164.82</v>
    <v>167.61</v>
    <v>166.34</v>
    <v>165.89</v>
    <v>160.80000000000001</v>
    <v>157.91</v>
    <v>159.84</v>
    <v>153.80000000000001</v>
    <v>157.71</v>
    <v>159.72</v>
    <v>158.88999999999999</v>
    <v>153.28</v>
    <v>152.93</v>
    <v>160.72999999999999</v>
    <v>157.01</v>
    <v>157.6</v>
    <v>157.30000000000001</v>
    <v>164.26</v>
    <v>161.13</v>
    <v>158.08000000000001</v>
    <v>157.44</v>
    <v>158.32</v>
    <v>158.13</v>
    <v>155.96</v>
    <v>158.82</v>
    <v>156.9</v>
    <v>155.68</v>
    <v>150.09</v>
    <v>149.29</v>
    <v>147.09</v>
    <v>147.32</v>
    <v>149.79</v>
    <v>150.96</v>
    <v>151.22999999999999</v>
    <v>150.06</v>
    <v>152.24</v>
    <v>148.49</v>
    <v>147.36000000000001</v>
    <v>146.58000000000001</v>
    <v>155.74</v>
    <v>156.26</v>
    <v>150.9</v>
    <v>146.75</v>
    <v>154.47</v>
    <v>150.96</v>
    <v>166.31</v>
    <v>167.01</v>
    <v>169.9</v>
    <v>170.93</v>
    <v>165.4</v>
    <v>162.38999999999999</v>
    <v>168.67</v>
    <v>177.18</v>
    <v>173.23</v>
    <v>171.37</v>
    <v>172.72</v>
    <v>175.66</v>
    <v>174.25</v>
    <v>169.56</v>
    <v>168.39</v>
    <v>163.65</v>
    <v>159.13999999999999</v>
    <v>157.76</v>
    <v>162.51</v>
    <v>163</v>
    <v>166.51</v>
    <v>164.32</v>
    <v>158.72999999999999</v>
    <v>155.72999999999999</v>
    <v>155.43</v>
    <v>155.77000000000001</v>
    <v>154.27000000000001</v>
    <v>154.44999999999999</v>
    <v>152.78</v>
    <v>153.11000000000001</v>
    <v>152.28</v>
    <v>148.05000000000001</v>
    <v>144.11000000000001</v>
    <v>142.56</v>
    <v>135.59</v>
    <v>133.27000000000001</v>
    <v>130.35</v>
    <v>130.79</v>
    <v>132.63999999999999</v>
    <v>136.85</v>
    <v>136.29</v>
    <v>134.19999999999999</v>
    <v>135.21</v>
    <v>136.71</v>
    <v>136.57</v>
    <v>134.43</v>
    <v>124.9</v>
    <v>122.41</v>
    <v>126.06</v>
    <v>125.48</v>
    <v>129.87</v>
    <v>125.41</v>
    <v>122.69</v>
    <v>121.98</v>
    <v>125.46</v>
    <v>123.73</v>
    <v>122.05</v>
    <v>122.31</v>
    <v>119.72</v>
    <v>125.32</v>
    <v>127.68</v>
    <v>127.33</v>
    <v>128.01</v>
    <v>131.35</v>
    <v>133.28</v>
    <v>138.59</v>
    <v>141.01</v>
    <v>140.16999999999999</v>
    <v>135.38</v>
    <v>136.41999999999999</v>
    <v>131.69999999999999</v>
    <v>135.82</v>
    <v>132.52000000000001</v>
    <v>130.85</v>
    <v>130.43</v>
    <v>131.88</v>
    <v>131.5</v>
    <v>133.27000000000001</v>
    <v>132.26</v>
    <v>141.44</v>
    <v>141</v>
    <v>140.06</v>
    <v>137.30000000000001</v>
    <v>134.78</v>
    <v>145.81</v>
    <v>141.12</v>
    <v>132.59</v>
    <v>133.26</v>
    <v>135.63999999999999</v>
    <v>134.47</v>
    <v>131.47</v>
    <v>130</v>
    <v>129.47</v>
    <v>127.76</v>
    <v>126.16</v>
    <v>124.22</v>
    <v>125.4</v>
    <v>130.82</v>
    <v>127.21</v>
    <v>125.95</v>
    <v>121.06</v>
    <v>120.07</v>
    <v>119.7</v>
    <v>115.38</v>
    <v>112.69</v>
    <v>112.82</v>
    <v>112.55</v>
    <v>110.97</v>
    <v>107.44</v>
    <v>107.1</v>
    <v>104.97</v>
    <v>102.6</v>
    <v>99.8</v>
    <v>95.07</v>
    <v>94.81</v>
    <v>95.51</v>
    <v>95.98</v>
    <v>97.99</v>
    <v>96.14</v>
    <v>97.91</v>
    <v>98.14</v>
    <v>108.98</v>
    <v>111.14</v>
    <v>112.33</v>
    <v>112.35</v>
    <v>112.32</v>
    <v>117.69</v>
    <v>117.49</v>
    <v>114.97</v>
    <v>120.34</v>
    <v>117.97</v>
    <v>116.56</v>
    <v>114.06</v>
    <v>112.14</v>
    <v>115</v>
    <v>115.19</v>
    <v>115.03</v>
    <v>116.32</v>
    <v>122.25</v>
    <v>127.3</v>
    <v>128.99</v>
    <v>128.53</v>
    <v>126.81</v>
    <v>128.41</v>
    <v>132.32</v>
    <v>127.85</v>
    <v>125.22</v>
    <v>122.16</v>
    <v>123.81</v>
    <v>124.71</v>
    <v>128.15</v>
    <v>128.9</v>
    <v>130.53</v>
    <v>119.34</v>
    <v>118.47</v>
    <v>119.44</v>
    <v>119.83</v>
    <v>116.31</v>
    <v>118.9</v>
    <v>114.02</v>
    <v>112.85</v>
    <v>111.81</v>
    <v>111.81</v>
    <v>113.24</v>
    <v>112.66</v>
    <v>109.4</v>
    <v>108.56</v>
    <v>109.3</v>
    <v>109.23</v>
    <v>109.34</v>
    <v>107.27</v>
    <v>108.54</v>
    <v>113.24</v>
    <v>115.75</v>
    <v>116.31</v>
    <v>110.8</v>
    <v>110.63</v>
    <v>109.74</v>
    <v>108.76</v>
  </a>
  <a r="1" c="20">
    <v>114.02</v>
    <v>112.85</v>
    <v>111.81</v>
    <v>111.81</v>
    <v>113.24</v>
    <v>112.66</v>
    <v>109.4</v>
    <v>108.56</v>
    <v>109.3</v>
    <v>109.23</v>
    <v>109.34</v>
    <v>107.27</v>
    <v>108.54</v>
    <v>113.24</v>
    <v>115.75</v>
    <v>116.31</v>
    <v>110.8</v>
    <v>110.63</v>
    <v>109.74</v>
    <v>108.76</v>
  </a>
  <a r="1" c="20">
    <v>116.67</v>
    <v>112.175</v>
    <v>112.52</v>
    <v>110.39</v>
    <v>112.37</v>
    <v>112.56</v>
    <v>111.69</v>
    <v>108.63</v>
    <v>109.57</v>
    <v>108.28</v>
    <v>109.76</v>
    <v>108.6</v>
    <v>107.965</v>
    <v>110.99</v>
    <v>115.12</v>
    <v>120.15</v>
    <v>112</v>
    <v>111.61</v>
    <v>111.14</v>
    <v>109.64</v>
  </a>
  <a r="1" c="20">
    <v>116.82680000000001</v>
    <v>113.855</v>
    <v>113.07</v>
    <v>112.06</v>
    <v>113.41</v>
    <v>113.11499999999999</v>
    <v>111.8</v>
    <v>109.19</v>
    <v>110.69</v>
    <v>110.435</v>
    <v>111.25</v>
    <v>108.63</v>
    <v>109.14</v>
    <v>113.77</v>
    <v>116.2</v>
    <v>120.4</v>
    <v>112.28</v>
    <v>111.98</v>
    <v>111.22499999999999</v>
    <v>110.12</v>
  </a>
  <a r="1" c="20">
    <v>113.93</v>
    <v>112.0655</v>
    <v>111.53</v>
    <v>109.67</v>
    <v>111.97</v>
    <v>111.2683</v>
    <v>109.39</v>
    <v>107.72</v>
    <v>109</v>
    <v>107.83</v>
    <v>109.28</v>
    <v>106.64</v>
    <v>107.31</v>
    <v>110.85</v>
    <v>113.35</v>
    <v>116.06</v>
    <v>110.59099999999999</v>
    <v>110.12</v>
    <v>109.56</v>
    <v>108.76</v>
  </a>
  <a r="1" c="20">
    <v>9340068</v>
    <v>9865205</v>
    <v>6875197</v>
    <v>8604955</v>
    <v>7182522</v>
    <v>6965707</v>
    <v>9100923</v>
    <v>6572796</v>
    <v>4882700</v>
    <v>6946666</v>
    <v>6739481</v>
    <v>7345873</v>
    <v>8725550</v>
    <v>13250900</v>
    <v>9540664</v>
    <v>14786015</v>
    <v>12223741</v>
    <v>7453523</v>
    <v>5926901</v>
    <v>5876156</v>
  </a>
  <a r="1" c="251">
    <v>103.16</v>
    <v>101.5</v>
    <v>98.71</v>
    <v>97.34</v>
    <v>97.74</v>
    <v>98.05</v>
    <v>97.8</v>
    <v>96.7</v>
    <v>95.92</v>
    <v>93.93</v>
    <v>96.1</v>
    <v>99.84</v>
    <v>99.78</v>
    <v>96.26</v>
    <v>97.07</v>
    <v>99.3</v>
    <v>98.25</v>
    <v>96.3</v>
    <v>96.69</v>
    <v>98.78</v>
    <v>100.99</v>
    <v>101.39</v>
    <v>99.12</v>
    <v>100.22</v>
    <v>101.23</v>
    <v>101.61</v>
    <v>101.01</v>
    <v>101.69</v>
    <v>100.85</v>
    <v>100.79</v>
    <v>101.49</v>
    <v>100.76</v>
    <v>102.87</v>
    <v>100.67</v>
    <v>100.3</v>
    <v>98.19</v>
    <v>98.32</v>
    <v>99.83</v>
    <v>97.63</v>
    <v>98.7</v>
    <v>99.69</v>
    <v>101.17</v>
    <v>102.5</v>
    <v>103.6</v>
    <v>102.68</v>
    <v>103.19</v>
    <v>106.72</v>
    <v>107.79</v>
    <v>108.88</v>
    <v>108.92</v>
    <v>109.43</v>
    <v>111.09</v>
    <v>111.74</v>
    <v>111.8</v>
    <v>112.8</v>
    <v>111.28</v>
    <v>111.46</v>
    <v>112.83</v>
    <v>114.86</v>
    <v>118.09</v>
    <v>119.4</v>
    <v>121.56</v>
    <v>120.42</v>
    <v>118.13</v>
    <v>117.21</v>
    <v>116.69</v>
    <v>118.7</v>
    <v>123.3</v>
    <v>122.5</v>
    <v>121.37</v>
    <v>120.6</v>
    <v>121.32</v>
    <v>117.7</v>
    <v>116.3</v>
    <v>112.41</v>
    <v>117.46</v>
    <v>118.04</v>
    <v>112.8</v>
    <v>113.86</v>
    <v>115.66</v>
    <v>113.59</v>
    <v>114.82</v>
    <v>114.79</v>
    <v>114.2</v>
    <v>115.2</v>
    <v>115.71</v>
    <v>116.23</v>
    <v>117.71</v>
    <v>117.43</v>
    <v>115.74</v>
    <v>122.69</v>
    <v>123.77</v>
    <v>122.15</v>
    <v>117.39</v>
    <v>111.15</v>
    <v>110.86</v>
    <v>113.78</v>
    <v>116.27</v>
    <v>115.55</v>
    <v>116</v>
    <v>110.75</v>
    <v>109.56</v>
    <v>114.34</v>
    <v>116.19</v>
    <v>110.19</v>
    <v>111.45</v>
    <v>110.76</v>
    <v>111.32</v>
    <v>108.95</v>
    <v>106.53</v>
    <v>106.59</v>
    <v>108.97</v>
    <v>109.19</v>
    <v>105.5</v>
    <v>105.69</v>
    <v>107.35</v>
    <v>107.71</v>
    <v>108.67</v>
    <v>109.85</v>
    <v>109.52</v>
    <v>111.64</v>
    <v>113.74</v>
    <v>114.48</v>
    <v>112.41</v>
    <v>107.38</v>
    <v>107.27</v>
    <v>113.41</v>
    <v>115.3</v>
    <v>115.25</v>
    <v>117.36</v>
    <v>117.13</v>
    <v>123.49</v>
    <v>124.92</v>
    <v>124.39</v>
    <v>126.28</v>
    <v>129.58000000000001</v>
    <v>131.69</v>
    <v>129.34</v>
    <v>132.18</v>
    <v>133.05000000000001</v>
    <v>131.68</v>
    <v>129.72999999999999</v>
    <v>128.51</v>
    <v>127.98</v>
    <v>129.13999999999999</v>
    <v>128.53</v>
    <v>127.61</v>
    <v>127.98</v>
    <v>127.44</v>
    <v>125.63</v>
    <v>128.01</v>
    <v>127.6</v>
    <v>129.09</v>
    <v>125.55</v>
    <v>125.85</v>
    <v>126.44</v>
    <v>124.1</v>
    <v>124.82</v>
    <v>123.42</v>
    <v>122.41</v>
    <v>119.97</v>
    <v>124.82</v>
    <v>125.22</v>
    <v>125.09</v>
    <v>126.86</v>
    <v>125.39</v>
    <v>124.68</v>
    <v>125.9</v>
    <v>129.09</v>
    <v>131.26</v>
    <v>129.93</v>
    <v>135.15</v>
    <v>132.47</v>
    <v>133.28</v>
    <v>134.72999999999999</v>
    <v>133.38</v>
    <v>138.07</v>
    <v>139.83000000000001</v>
    <v>141.21</v>
    <v>142.99</v>
    <v>143.78</v>
    <v>143.06</v>
    <v>145.66999999999999</v>
    <v>144.97</v>
    <v>143.59</v>
    <v>144.97999999999999</v>
    <v>141.76</v>
    <v>142.49</v>
    <v>139.96</v>
    <v>140.13</v>
    <v>139.97</v>
    <v>143.86000000000001</v>
    <v>140.77000000000001</v>
    <v>137.38999999999999</v>
    <v>139.57</v>
    <v>140.79</v>
    <v>140.71</v>
    <v>133.27000000000001</v>
    <v>134.88999999999999</v>
    <v>131.71</v>
    <v>129.36000000000001</v>
    <v>128.72</v>
    <v>132.84</v>
    <v>132.25</v>
    <v>131.88</v>
    <v>132.19</v>
    <v>133.1</v>
    <v>132.47</v>
    <v>127.13</v>
    <v>132.32</v>
    <v>132.44999999999999</v>
    <v>133.57</v>
    <v>136.87</v>
    <v>137.63999999999999</v>
    <v>133.82</v>
    <v>135</v>
    <v>135.22</v>
    <v>135.77000000000001</v>
    <v>137.58000000000001</v>
    <v>138.72999999999999</v>
    <v>139.33000000000001</v>
    <v>138.51</v>
    <v>137.65</v>
    <v>132.88999999999999</v>
    <v>129.66999999999999</v>
    <v>131.65</v>
    <v>131.72</v>
    <v>133.25</v>
    <v>133.56</v>
    <v>132.68</v>
    <v>132.9</v>
    <v>131.62</v>
    <v>132.54</v>
    <v>134.34</v>
    <v>138.13999999999999</v>
    <v>137.72</v>
    <v>136.74</v>
    <v>137.80000000000001</v>
    <v>138.5</v>
    <v>138.82</v>
    <v>136.18</v>
    <v>136.16999999999999</v>
    <v>132.94999999999999</v>
    <v>132.69999999999999</v>
    <v>131.77000000000001</v>
    <v>135.05000000000001</v>
    <v>132.47</v>
    <v>131.93</v>
    <v>132.1</v>
    <v>134.28</v>
    <v>131.31</v>
  </a>
  <a r="1" c="20">
    <v>61.94</v>
    <v>61.99</v>
    <v>62.6</v>
    <v>63.04</v>
    <v>62.68</v>
    <v>62.39</v>
    <v>62.67</v>
    <v>62.56</v>
    <v>62.69</v>
    <v>59.47</v>
    <v>59.52</v>
    <v>57.9</v>
    <v>58.18</v>
    <v>57.73</v>
    <v>57.96</v>
    <v>56.2</v>
    <v>56</v>
    <v>56.03</v>
    <v>56.7</v>
    <v>55.47</v>
  </a>
  <a r="1" c="20">
    <v>62.25</v>
    <v>61.97</v>
    <v>62.28</v>
    <v>62.81</v>
    <v>62.56</v>
    <v>62.49</v>
    <v>61.97</v>
    <v>62.645000000000003</v>
    <v>63.225000000000001</v>
    <v>62.335000000000001</v>
    <v>59.365000000000002</v>
    <v>59.27</v>
    <v>58.4</v>
    <v>57.52</v>
    <v>58.05</v>
    <v>58.1</v>
    <v>55.92</v>
    <v>56.39</v>
    <v>56.31</v>
    <v>56.414999999999999</v>
  </a>
  <a r="1" c="20">
    <v>62.49</v>
    <v>62.825000000000003</v>
    <v>63.55</v>
    <v>63.27</v>
    <v>62.918300000000002</v>
    <v>62.82</v>
    <v>63.19</v>
    <v>63.01</v>
    <v>63.83</v>
    <v>62.435000000000002</v>
    <v>59.92</v>
    <v>59.39</v>
    <v>58.494999999999997</v>
    <v>58.23</v>
    <v>58.28</v>
    <v>58.115000000000002</v>
    <v>56.48</v>
    <v>56.53</v>
    <v>56.744999999999997</v>
    <v>56.67</v>
  </a>
  <a r="1" c="20">
    <v>61.9</v>
    <v>61.723500000000001</v>
    <v>61.94</v>
    <v>62.32</v>
    <v>61.96</v>
    <v>62.11</v>
    <v>61.424999999999997</v>
    <v>62.22</v>
    <v>62.375</v>
    <v>58.92</v>
    <v>58.77</v>
    <v>57.18</v>
    <v>57.42</v>
    <v>57.52</v>
    <v>57.465000000000003</v>
    <v>56.064999999999998</v>
    <v>55.734999999999999</v>
    <v>55.84</v>
    <v>55.865000000000002</v>
    <v>55.365000000000002</v>
  </a>
  <a r="1" c="20">
    <v>43470374</v>
    <v>25056390</v>
    <v>28435758</v>
    <v>29951603</v>
    <v>26589402</v>
    <v>28339827</v>
    <v>36025057</v>
    <v>26478935</v>
    <v>25844032</v>
    <v>64773953</v>
    <v>50667997</v>
    <v>50145197</v>
    <v>36733116</v>
    <v>52483860</v>
    <v>33228141</v>
    <v>45137809</v>
    <v>36727762</v>
    <v>40990256</v>
    <v>28601302</v>
    <v>29170534</v>
  </a>
  <a r="1" c="251">
    <v>52.42</v>
    <v>51.59</v>
    <v>50.68</v>
    <v>50.48</v>
    <v>50.64</v>
    <v>50.39</v>
    <v>50.29</v>
    <v>49.84</v>
    <v>49.79</v>
    <v>48.65</v>
    <v>48.86</v>
    <v>50.09</v>
    <v>52.28</v>
    <v>50.44</v>
    <v>51.28</v>
    <v>52.04</v>
    <v>51.52</v>
    <v>51.1</v>
    <v>51.76</v>
    <v>52.57</v>
    <v>53.02</v>
    <v>52.87</v>
    <v>52.58</v>
    <v>53.03</v>
    <v>53.45</v>
    <v>53.56</v>
    <v>53.54</v>
    <v>52.45</v>
    <v>53.29</v>
    <v>53.2</v>
    <v>53.42</v>
    <v>53.63</v>
    <v>54.11</v>
    <v>52.87</v>
    <v>52.61</v>
    <v>51.48</v>
    <v>51.64</v>
    <v>52.02</v>
    <v>51</v>
    <v>51.56</v>
    <v>51.93</v>
    <v>52.48</v>
    <v>52.99</v>
    <v>53.65</v>
    <v>53.24</v>
    <v>53.19</v>
    <v>54.09</v>
    <v>54.16</v>
    <v>53.95</v>
    <v>53.9</v>
    <v>53.54</v>
    <v>54.08</v>
    <v>54.56</v>
    <v>55.14</v>
    <v>55.33</v>
    <v>54.81</v>
    <v>54.55</v>
    <v>54.26</v>
    <v>55.27</v>
    <v>55.88</v>
    <v>55.97</v>
    <v>56.25</v>
    <v>56.17</v>
    <v>55.35</v>
    <v>55.28</v>
    <v>55</v>
    <v>55.95</v>
    <v>56.89</v>
    <v>57.25</v>
    <v>55.64</v>
    <v>56.18</v>
    <v>55.85</v>
    <v>55.19</v>
    <v>54.54</v>
    <v>52.48</v>
    <v>52.59</v>
    <v>52.97</v>
    <v>52.1</v>
    <v>52.07</v>
    <v>52.45</v>
    <v>51.72</v>
    <v>52.02</v>
    <v>52.17</v>
    <v>51.81</v>
    <v>53.08</v>
    <v>53.2</v>
    <v>54.03</v>
    <v>54.45</v>
    <v>55.38</v>
    <v>54.94</v>
    <v>56.53</v>
    <v>56.41</v>
    <v>55.39</v>
    <v>53.85</v>
    <v>52.52</v>
    <v>52.55</v>
    <v>52.74</v>
    <v>53.36</v>
    <v>52.77</v>
    <v>53.06</v>
    <v>51.07</v>
    <v>50.41</v>
    <v>51.69</v>
    <v>52.3</v>
    <v>49.83</v>
    <v>49.81</v>
    <v>49.97</v>
    <v>50.3</v>
    <v>49.81</v>
    <v>48.64</v>
    <v>47.9</v>
    <v>48.56</v>
    <v>48.52</v>
    <v>47.13</v>
    <v>46.72</v>
    <v>47.06</v>
    <v>47.28</v>
    <v>46.83</v>
    <v>47.01</v>
    <v>47.16</v>
    <v>47.52</v>
    <v>48.14</v>
    <v>48.75</v>
    <v>48.24</v>
    <v>46.97</v>
    <v>47.23</v>
    <v>48.75</v>
    <v>49.27</v>
    <v>49.38</v>
    <v>50.06</v>
    <v>50.28</v>
    <v>51.88</v>
    <v>52.71</v>
    <v>52.54</v>
    <v>53.35</v>
    <v>53.35</v>
    <v>54.32</v>
    <v>53.51</v>
    <v>53.91</v>
    <v>53.95</v>
    <v>53.48</v>
    <v>53.12</v>
    <v>52.47</v>
    <v>52.05</v>
    <v>52.63</v>
    <v>52.66</v>
    <v>52.88</v>
    <v>53.46</v>
    <v>53.24</v>
    <v>52.19</v>
    <v>53.12</v>
    <v>53.6</v>
    <v>52.75</v>
    <v>51.31</v>
    <v>50.55</v>
    <v>50.78</v>
    <v>49.84</v>
    <v>49.85</v>
    <v>49.77</v>
    <v>50.69</v>
    <v>50.7</v>
    <v>51.23</v>
    <v>51.49</v>
    <v>51.8</v>
    <v>52.2</v>
    <v>51.1</v>
    <v>50.77</v>
    <v>51.6</v>
    <v>51.51</v>
    <v>52.48</v>
    <v>52.4</v>
    <v>54.17</v>
    <v>53.83</v>
    <v>53.63</v>
    <v>54.42</v>
    <v>54.54</v>
    <v>55.16</v>
    <v>56.02</v>
    <v>55.87</v>
    <v>56.84</v>
    <v>56.53</v>
    <v>56.2</v>
    <v>57.37</v>
    <v>57.91</v>
    <v>57.73</v>
    <v>58.19</v>
    <v>57.88</v>
    <v>57.88</v>
    <v>56.98</v>
    <v>58.36</v>
    <v>58.73</v>
    <v>59.9</v>
    <v>59.86</v>
    <v>58.3</v>
    <v>59.25</v>
    <v>59.67</v>
    <v>59.5</v>
    <v>60.62</v>
    <v>61.59</v>
    <v>61.49</v>
    <v>61.27</v>
    <v>60.42</v>
    <v>61.22</v>
    <v>61.62</v>
    <v>61.28</v>
    <v>62.05</v>
    <v>62.13</v>
    <v>62.62</v>
    <v>61.07</v>
    <v>61.73</v>
    <v>61.95</v>
    <v>62.48</v>
    <v>62.9</v>
    <v>63.25</v>
    <v>63</v>
    <v>63.17</v>
    <v>63.86</v>
    <v>64</v>
    <v>64.81</v>
    <v>64.09</v>
    <v>64.489999999999995</v>
    <v>63.89</v>
    <v>64.23</v>
    <v>63.17</v>
    <v>61.86</v>
    <v>61.69</v>
    <v>62.33</v>
    <v>62.43</v>
    <v>62.23</v>
    <v>61.17</v>
    <v>62.32</v>
    <v>61.94</v>
    <v>61.99</v>
    <v>62.6</v>
    <v>63.04</v>
    <v>62.68</v>
    <v>62.39</v>
    <v>62.67</v>
    <v>62.56</v>
    <v>62.69</v>
    <v>59.47</v>
    <v>59.52</v>
    <v>57.9</v>
    <v>58.18</v>
    <v>57.73</v>
    <v>57.96</v>
    <v>56.2</v>
    <v>56</v>
    <v>56.03</v>
    <v>56.7</v>
    <v>55.47</v>
  </a>
  <a r="1" c="20">
    <v>943.89</v>
    <v>939.96</v>
    <v>928.48</v>
    <v>925.41</v>
    <v>915.74</v>
    <v>910.18</v>
    <v>902.6</v>
    <v>902.38</v>
    <v>904.77</v>
    <v>918.91</v>
    <v>901.35</v>
    <v>893.74</v>
    <v>893.93</v>
    <v>895.31</v>
    <v>898.48</v>
    <v>899.41</v>
    <v>904.7</v>
    <v>896.48</v>
    <v>922.76499999999999</v>
    <v>922.92</v>
  </a>
  <a r="1" c="20">
    <v>945.19</v>
    <v>947.35</v>
    <v>938.49</v>
    <v>927.79</v>
    <v>926.09</v>
    <v>912.4</v>
    <v>907</v>
    <v>906.62</v>
    <v>905.17</v>
    <v>913.64499999999998</v>
    <v>916.92</v>
    <v>901.05</v>
    <v>895.31500000000005</v>
    <v>892.42499999999995</v>
    <v>891.07</v>
    <v>902.255</v>
    <v>901.31</v>
    <v>908.81</v>
    <v>887</v>
    <v>924.38499999999999</v>
  </a>
  <a r="1" c="20">
    <v>949.3</v>
    <v>952.09500000000003</v>
    <v>938.88</v>
    <v>930.76</v>
    <v>928.04</v>
    <v>915.13</v>
    <v>909.22990000000004</v>
    <v>912.1</v>
    <v>907.35879999999997</v>
    <v>921.99</v>
    <v>916.92</v>
    <v>902</v>
    <v>895.99990000000003</v>
    <v>898.4</v>
    <v>899.44</v>
    <v>903.4</v>
    <v>905.59</v>
    <v>909.42759999999998</v>
    <v>925.14</v>
    <v>931.09</v>
  </a>
  <a r="1" c="20">
    <v>940.71</v>
    <v>935.92499999999995</v>
    <v>920.31010000000003</v>
    <v>915.31</v>
    <v>914.54</v>
    <v>906.1</v>
    <v>898.43</v>
    <v>899</v>
    <v>900.75</v>
    <v>910.79</v>
    <v>900.25</v>
    <v>892.67</v>
    <v>888.04</v>
    <v>890.55</v>
    <v>885.5</v>
    <v>895.84</v>
    <v>893.36</v>
    <v>895.26</v>
    <v>883.1</v>
    <v>913</v>
  </a>
  <a r="1" c="20">
    <v>2393041</v>
    <v>1508559</v>
    <v>2166373</v>
    <v>2172780</v>
    <v>2079070</v>
    <v>2240323</v>
    <v>2067832</v>
    <v>1921405</v>
    <v>1763239</v>
    <v>2014224</v>
    <v>2184182</v>
    <v>2101651</v>
    <v>2322546</v>
    <v>4180440</v>
    <v>2163492</v>
    <v>1982884</v>
    <v>2283883</v>
    <v>2893294</v>
    <v>4631424</v>
    <v>2443760</v>
  </a>
  <a r="1" c="251">
    <v>916.87</v>
    <v>925.63</v>
    <v>917.34</v>
    <v>916.77</v>
    <v>915.38</v>
    <v>910.94</v>
    <v>914.8</v>
    <v>914.8</v>
    <v>942.89</v>
    <v>930.01</v>
    <v>935.56</v>
    <v>946.51</v>
    <v>954.99</v>
    <v>925.62</v>
    <v>936.33</v>
    <v>936.11</v>
    <v>937.5</v>
    <v>944.68</v>
    <v>942.05</v>
    <v>932.14</v>
    <v>929.85</v>
    <v>924.16</v>
    <v>912.42</v>
    <v>920.18</v>
    <v>911.45</v>
    <v>928.04</v>
    <v>940.74</v>
    <v>935.03</v>
    <v>923.58</v>
    <v>922.74</v>
    <v>915.56</v>
    <v>913.86</v>
    <v>914</v>
    <v>925.08</v>
    <v>922.98</v>
    <v>912.59</v>
    <v>895.08</v>
    <v>890.6</v>
    <v>893.29</v>
    <v>899.01</v>
    <v>886.12</v>
    <v>894.33</v>
    <v>908.26</v>
    <v>913.59</v>
    <v>911.96</v>
    <v>922.03</v>
    <v>922.26</v>
    <v>895.85500000000002</v>
    <v>894.68</v>
    <v>887.52</v>
    <v>888.44</v>
    <v>874.41</v>
    <v>884.48</v>
    <v>884.47</v>
    <v>860.56</v>
    <v>860.39</v>
    <v>862.65</v>
    <v>857.59</v>
    <v>855.62</v>
    <v>850</v>
    <v>854.79</v>
    <v>871.86</v>
    <v>873.35</v>
    <v>867.84</v>
    <v>865.65</v>
    <v>862.34</v>
    <v>854.5</v>
    <v>875.74</v>
    <v>889.1</v>
    <v>882.58</v>
    <v>915.31</v>
    <v>924.88</v>
    <v>943.08</v>
    <v>941.93</v>
    <v>950.98</v>
    <v>956.75</v>
    <v>963.61</v>
    <v>964.26</v>
    <v>982.86</v>
    <v>976.17</v>
    <v>983.25</v>
    <v>977.67</v>
    <v>970.28</v>
    <v>960.78</v>
    <v>952.89</v>
    <v>940.25</v>
    <v>968.36</v>
    <v>977.92</v>
    <v>978.35</v>
    <v>989.29</v>
    <v>1001.16</v>
    <v>997.59</v>
    <v>971.23</v>
    <v>978.14</v>
    <v>998.86</v>
    <v>1018.48</v>
    <v>1012.05</v>
    <v>996.08</v>
    <v>987.82</v>
    <v>985.27</v>
    <v>986.02</v>
    <v>998.43</v>
    <v>994.76</v>
    <v>986.74</v>
    <v>1010.79</v>
    <v>1002.77</v>
    <v>1007.77</v>
    <v>1006.74</v>
    <v>982.57</v>
    <v>998.1</v>
    <v>1005.3</v>
    <v>997.36</v>
    <v>992.23</v>
    <v>1003.32</v>
    <v>1008.43</v>
    <v>1001.74</v>
    <v>996.16</v>
    <v>979.92</v>
    <v>974.78</v>
    <v>972.33</v>
    <v>965.73</v>
    <v>973.82</v>
    <v>974.86</v>
    <v>979.65</v>
    <v>983.86</v>
    <v>996.58</v>
    <v>996.43</v>
    <v>996.56</v>
    <v>1014.96</v>
    <v>1018.55</v>
    <v>1013.21</v>
    <v>1030.27</v>
    <v>1032.03</v>
    <v>998.47</v>
    <v>980.85</v>
    <v>974.8</v>
    <v>984.75</v>
    <v>987.21</v>
    <v>999.89</v>
    <v>997.84</v>
    <v>1005.81</v>
    <v>1003.7</v>
    <v>1014.38</v>
    <v>1011.15</v>
    <v>998.01</v>
    <v>994</v>
    <v>998.67</v>
    <v>1014.53</v>
    <v>1011.7</v>
    <v>1012.79</v>
    <v>1016.42</v>
    <v>995.75</v>
    <v>1012.06</v>
    <v>1008.79</v>
    <v>999.47</v>
    <v>1021.88</v>
    <v>1033.08</v>
    <v>1041.25</v>
    <v>1048.95</v>
    <v>1076.47</v>
    <v>1094.32</v>
    <v>1074.01</v>
    <v>1050.45</v>
    <v>1028.24</v>
    <v>1002.93</v>
    <v>1003.69</v>
    <v>995.2</v>
    <v>956.32</v>
    <v>946.11</v>
    <v>954.27</v>
    <v>961.83</v>
    <v>972.35</v>
    <v>971.87</v>
    <v>974.75</v>
    <v>968.59</v>
    <v>983.37</v>
    <v>975.69</v>
    <v>982.35</v>
    <v>979.45</v>
    <v>986.68</v>
    <v>965.59</v>
    <v>951.45</v>
    <v>951.35</v>
    <v>957.68</v>
    <v>961.09</v>
    <v>942.24</v>
    <v>952.54</v>
    <v>946.68</v>
    <v>935.47</v>
    <v>924.67</v>
    <v>951.67</v>
    <v>950.25</v>
    <v>947.5</v>
    <v>953.13</v>
    <v>912.97</v>
    <v>916.25</v>
    <v>926.43</v>
    <v>921.75</v>
    <v>916.54</v>
    <v>945.57</v>
    <v>940.87</v>
    <v>935.8</v>
    <v>929.22</v>
    <v>927.31</v>
    <v>926.06</v>
    <v>935.03</v>
    <v>951.58</v>
    <v>966.58</v>
    <v>974.03</v>
    <v>954.17</v>
    <v>951.89</v>
    <v>954.08</v>
    <v>947.85</v>
    <v>941.99</v>
    <v>949.15</v>
    <v>947.82</v>
    <v>952.75</v>
    <v>944.32</v>
    <v>949.57500000000005</v>
    <v>961.85</v>
    <v>961.1</v>
    <v>953.5</v>
    <v>961.35</v>
    <v>956.99</v>
    <v>933.51</v>
    <v>947.74</v>
    <v>971.4</v>
    <v>960.01</v>
    <v>956.12</v>
    <v>934.66</v>
    <v>945.47</v>
    <v>943.89</v>
    <v>939.96</v>
    <v>928.48</v>
    <v>925.41</v>
    <v>915.74</v>
    <v>910.18</v>
    <v>902.6</v>
    <v>902.38</v>
    <v>904.77</v>
    <v>918.91</v>
    <v>901.35</v>
    <v>893.74</v>
    <v>893.93</v>
    <v>895.31</v>
    <v>898.48</v>
    <v>899.41</v>
    <v>904.7</v>
    <v>896.48</v>
    <v>922.76499999999999</v>
    <v>922.92</v>
  </a>
  <a r="1" c="20">
    <v>456.01</v>
    <v>425</v>
    <v>492.2</v>
    <v>516.39</v>
    <v>524.14</v>
    <v>533.88</v>
    <v>535.25</v>
    <v>506.62</v>
    <v>567.29</v>
    <v>534.28</v>
    <v>543.51</v>
    <v>563.29</v>
    <v>588.4</v>
    <v>568.05999999999995</v>
    <v>575.30999999999995</v>
    <v>548.91999999999996</v>
    <v>549.83000000000004</v>
    <v>536.02</v>
    <v>562.89</v>
    <v>543.42999999999995</v>
  </a>
  <a r="1" c="20">
    <v>459.85</v>
    <v>455.69</v>
    <v>462.05</v>
    <v>486.31</v>
    <v>513.78</v>
    <v>521.15</v>
    <v>538.47</v>
    <v>523.82500000000005</v>
    <v>518.07000000000005</v>
    <v>538.57000000000005</v>
    <v>541.54999999999995</v>
    <v>553.625</v>
    <v>570.4</v>
    <v>593.15</v>
    <v>586.77</v>
    <v>569.79999999999995</v>
    <v>559</v>
    <v>535.97</v>
    <v>546.29</v>
    <v>551.74</v>
  </a>
  <a r="1" c="20">
    <v>474.49</v>
    <v>463</v>
    <v>497.98989999999998</v>
    <v>530.78</v>
    <v>534.99</v>
    <v>538.47</v>
    <v>562.98990000000003</v>
    <v>530.51</v>
    <v>567.75</v>
    <v>546.29</v>
    <v>568.66999999999996</v>
    <v>576.75</v>
    <v>593.97990000000004</v>
    <v>595.51</v>
    <v>592.44000000000005</v>
    <v>574.6</v>
    <v>570.72</v>
    <v>549.85</v>
    <v>573.79999999999995</v>
    <v>557</v>
  </a>
  <a r="1" c="20">
    <v>456.01</v>
    <v>421.89010000000002</v>
    <v>432.26510000000002</v>
    <v>478.3064</v>
    <v>510.15</v>
    <v>515.56010000000003</v>
    <v>532.39260000000002</v>
    <v>506.25</v>
    <v>517.51499999999999</v>
    <v>525.85</v>
    <v>539</v>
    <v>550.09</v>
    <v>565.5</v>
    <v>568.05999999999995</v>
    <v>567.38</v>
    <v>547.71</v>
    <v>542.23030000000006</v>
    <v>530.45000000000005</v>
    <v>541.23509999999999</v>
    <v>535.5</v>
  </a>
  <a r="1" c="20">
    <v>7686469</v>
    <v>15947971</v>
    <v>36720176</v>
    <v>20327994</v>
    <v>11118744</v>
    <v>6662471</v>
    <v>7282344</v>
    <v>5796790</v>
    <v>14309811</v>
    <v>9173770</v>
    <v>9566824</v>
    <v>13108085</v>
    <v>9350696</v>
    <v>11739108</v>
    <v>7736621</v>
    <v>9781562</v>
    <v>8252347</v>
    <v>7962968</v>
    <v>8729823</v>
    <v>6863140</v>
  </a>
  <a r="1" c="251">
    <v>133.9</v>
    <v>141.77000000000001</v>
    <v>149.68</v>
    <v>147.37</v>
    <v>140.74</v>
    <v>145.76</v>
    <v>150.87</v>
    <v>164.53</v>
    <v>155.94999999999999</v>
    <v>150.57</v>
    <v>153.4</v>
    <v>148.77000000000001</v>
    <v>153.69999999999999</v>
    <v>151.31</v>
    <v>149.59</v>
    <v>147.87</v>
    <v>149.43</v>
    <v>150.13</v>
    <v>154.22999999999999</v>
    <v>158.63999999999999</v>
    <v>162.19</v>
    <v>164.88</v>
    <v>163.6</v>
    <v>161.01</v>
    <v>162.01</v>
    <v>160.11000000000001</v>
    <v>154.63999999999999</v>
    <v>152.41</v>
    <v>149.18</v>
    <v>146.69999999999999</v>
    <v>142.69</v>
    <v>138.76</v>
    <v>140.71</v>
    <v>133.94</v>
    <v>133.76</v>
    <v>122.48</v>
    <v>122.69</v>
    <v>119.38</v>
    <v>117.4</v>
    <v>122.51</v>
    <v>127.22</v>
    <v>125.92</v>
    <v>133.26</v>
    <v>133.35</v>
    <v>132.09</v>
    <v>135.94999999999999</v>
    <v>133.63</v>
    <v>138.99</v>
    <v>138.91</v>
    <v>140.41</v>
    <v>138.22</v>
    <v>140.63</v>
    <v>138.6</v>
    <v>129.97999999999999</v>
    <v>130.51</v>
    <v>133.75</v>
    <v>127.89</v>
    <v>122.94</v>
    <v>126.42</v>
    <v>126.61</v>
    <v>127.62</v>
    <v>128.38</v>
    <v>129.24</v>
    <v>127.46</v>
    <v>127.92</v>
    <v>125.88</v>
    <v>127.8</v>
    <v>124.01</v>
    <v>123.93</v>
    <v>120.07</v>
    <v>118.5</v>
    <v>120.62</v>
    <v>120.47</v>
    <v>119.66</v>
    <v>118.69</v>
    <v>119.66</v>
    <v>120.53</v>
    <v>111.07</v>
    <v>113.26</v>
    <v>117.17</v>
    <v>115.43</v>
    <v>115.93</v>
    <v>114.66</v>
    <v>117.32</v>
    <v>118.49</v>
    <v>114.44</v>
    <v>119.16</v>
    <v>117.15</v>
    <v>122.04</v>
    <v>115.39</v>
    <v>121.05</v>
    <v>120.91</v>
    <v>126.01</v>
    <v>124.16</v>
    <v>112.82</v>
    <v>117.49</v>
    <v>116.09</v>
    <v>116.78</v>
    <v>119.06</v>
    <v>122.27</v>
    <v>119.14</v>
    <v>119.78</v>
    <v>123.48</v>
    <v>121.45</v>
    <v>148.08000000000001</v>
    <v>153.55000000000001</v>
    <v>145.18</v>
    <v>147.1</v>
    <v>146.52000000000001</v>
    <v>146.47999999999999</v>
    <v>146.51</v>
    <v>143.80000000000001</v>
    <v>147.37</v>
    <v>149.91</v>
    <v>151.62</v>
    <v>156.54</v>
    <v>153.01</v>
    <v>149.21</v>
    <v>156.76</v>
    <v>157.66999999999999</v>
    <v>164.59</v>
    <v>176.91</v>
    <v>184.01</v>
    <v>175.82</v>
    <v>171.81</v>
    <v>164.66</v>
    <v>164.13</v>
    <v>169.38</v>
    <v>174.37</v>
    <v>173.18</v>
    <v>177.69</v>
    <v>185.47</v>
    <v>181.46</v>
    <v>177.8</v>
    <v>189.79</v>
    <v>184.51</v>
    <v>177.28</v>
    <v>193.09</v>
    <v>196.55</v>
    <v>204.24</v>
    <v>212.36</v>
    <v>214.65</v>
    <v>212.14</v>
    <v>216.09</v>
    <v>215.97</v>
    <v>205.93</v>
    <v>205.66</v>
    <v>208.95</v>
    <v>210.17</v>
    <v>211.64</v>
    <v>216.32</v>
    <v>238.8</v>
    <v>230.27</v>
    <v>260.45999999999998</v>
    <v>247.04</v>
    <v>238.94</v>
    <v>243.87</v>
    <v>247.89</v>
    <v>241.99</v>
    <v>238.03</v>
    <v>235.26</v>
    <v>242.93</v>
    <v>252.8</v>
    <v>295.19</v>
    <v>305.08</v>
    <v>305.32</v>
    <v>317.05</v>
    <v>420.91</v>
    <v>465.96</v>
    <v>435.31</v>
    <v>421.08</v>
    <v>422.05</v>
    <v>394.39</v>
    <v>400.77</v>
    <v>381.78</v>
    <v>369.83</v>
    <v>391.45</v>
    <v>395.57</v>
    <v>409.07</v>
    <v>404.08</v>
    <v>419.32</v>
    <v>409.5</v>
    <v>418.71</v>
    <v>427.78</v>
    <v>434.06</v>
    <v>409.45</v>
    <v>399.49</v>
    <v>414.61</v>
    <v>431.46</v>
    <v>425.25</v>
    <v>394.32</v>
    <v>411.8</v>
    <v>417.28</v>
    <v>431.97</v>
    <v>450.22</v>
    <v>434.97</v>
    <v>427.11</v>
    <v>457.54</v>
    <v>412.68</v>
    <v>391.38</v>
    <v>396.34</v>
    <v>381.88</v>
    <v>404.15</v>
    <v>441.8</v>
    <v>439.34</v>
    <v>437.5</v>
    <v>426.91</v>
    <v>392.1</v>
    <v>369.64</v>
    <v>404.81</v>
    <v>405.37</v>
    <v>429.02</v>
    <v>467.27</v>
    <v>462.7</v>
    <v>437.65</v>
    <v>453.77</v>
    <v>457.88</v>
    <v>440.97</v>
    <v>484.5</v>
    <v>494.51</v>
    <v>490.81</v>
    <v>479.81</v>
    <v>468.65</v>
    <v>437.55</v>
    <v>434.78</v>
    <v>442.08</v>
    <v>433.19</v>
    <v>451.5</v>
    <v>463.82</v>
    <v>472.26</v>
    <v>456.24</v>
    <v>456.01</v>
    <v>425</v>
    <v>492.2</v>
    <v>516.39</v>
    <v>524.14</v>
    <v>533.88</v>
    <v>535.25</v>
    <v>506.62</v>
    <v>567.29</v>
    <v>534.28</v>
    <v>543.51</v>
    <v>563.29</v>
    <v>588.4</v>
    <v>568.05999999999995</v>
    <v>575.30999999999995</v>
    <v>548.91999999999996</v>
    <v>549.83000000000004</v>
    <v>536.02</v>
    <v>562.89</v>
    <v>543.42999999999995</v>
  </a>
  <a r="1" c="20">
    <v>86.32</v>
    <v>85.63</v>
    <v>84.87</v>
    <v>87.22</v>
    <v>87.76</v>
    <v>85.79</v>
    <v>83.76</v>
    <v>86.12</v>
    <v>85.62</v>
    <v>87.16</v>
    <v>85.37</v>
    <v>84.29</v>
    <v>86.62</v>
    <v>82.2</v>
    <v>83.95</v>
    <v>83.45</v>
    <v>83.77</v>
    <v>80.569999999999993</v>
    <v>82.63</v>
    <v>80.64</v>
  </a>
  <a r="1" c="20">
    <v>86.28</v>
    <v>86.32</v>
    <v>85.64</v>
    <v>85.724999999999994</v>
    <v>86.41</v>
    <v>87.38</v>
    <v>85.22</v>
    <v>83.8</v>
    <v>87.25</v>
    <v>85.84</v>
    <v>87.05</v>
    <v>85.05</v>
    <v>86.19</v>
    <v>86.16</v>
    <v>82.375</v>
    <v>84.85</v>
    <v>83.05</v>
    <v>83.355000000000004</v>
    <v>80.94</v>
    <v>81.900000000000006</v>
  </a>
  <a r="1" c="20">
    <v>87.19</v>
    <v>87.19</v>
    <v>86.64</v>
    <v>87.38</v>
    <v>87.76</v>
    <v>87.85</v>
    <v>86.3</v>
    <v>86.18</v>
    <v>87.77</v>
    <v>87.39</v>
    <v>87.65</v>
    <v>85.35</v>
    <v>87.86</v>
    <v>86.486800000000002</v>
    <v>84.88</v>
    <v>85.2</v>
    <v>84.564999999999998</v>
    <v>83.7</v>
    <v>83.5</v>
    <v>82.69</v>
  </a>
  <a r="1" c="20">
    <v>86.004999999999995</v>
    <v>85.22</v>
    <v>83.95</v>
    <v>85.120800000000003</v>
    <v>85.685000000000002</v>
    <v>85.31</v>
    <v>83.76</v>
    <v>82.858199999999997</v>
    <v>85.31</v>
    <v>85.48</v>
    <v>84.9</v>
    <v>83.47</v>
    <v>86.15</v>
    <v>81.394999999999996</v>
    <v>82.2</v>
    <v>82.95</v>
    <v>82.76</v>
    <v>80.040000000000006</v>
    <v>80.88</v>
    <v>80.430000000000007</v>
  </a>
  <a r="1" c="20">
    <v>8260227</v>
    <v>5360435</v>
    <v>5887896</v>
    <v>5216174</v>
    <v>5440717</v>
    <v>6239759</v>
    <v>7780490</v>
    <v>6081026</v>
    <v>7366075</v>
    <v>5558164</v>
    <v>6191866</v>
    <v>6428913</v>
    <v>8832813</v>
    <v>21148053</v>
    <v>7936516</v>
    <v>6232948</v>
    <v>4730304</v>
    <v>7936246</v>
    <v>7222753</v>
    <v>8626724</v>
  </a>
  <a r="1" c="251">
    <v>61.12</v>
    <v>60.97</v>
    <v>61.34</v>
    <v>59.36</v>
    <v>60.13</v>
    <v>58.19</v>
    <v>57.26</v>
    <v>56.4</v>
    <v>55.92</v>
    <v>55.35</v>
    <v>55.62</v>
    <v>57.15</v>
    <v>57.8</v>
    <v>57.34</v>
    <v>58.38</v>
    <v>58</v>
    <v>66.62</v>
    <v>67.31</v>
    <v>66.849999999999994</v>
    <v>69.66</v>
    <v>69.38</v>
    <v>69.87</v>
    <v>69.13</v>
    <v>68.67</v>
    <v>69.09</v>
    <v>68.22</v>
    <v>66.87</v>
    <v>68.77</v>
    <v>68.84</v>
    <v>70.75</v>
    <v>71.05</v>
    <v>71.22</v>
    <v>71.84</v>
    <v>71.89</v>
    <v>70.52</v>
    <v>67.91</v>
    <v>67.930000000000007</v>
    <v>68.5</v>
    <v>68.040000000000006</v>
    <v>70.33</v>
    <v>71</v>
    <v>72.78</v>
    <v>72.81</v>
    <v>73.52</v>
    <v>72.95</v>
    <v>73.66</v>
    <v>74.69</v>
    <v>75.290000000000006</v>
    <v>76.05</v>
    <v>75.709999999999994</v>
    <v>77.16</v>
    <v>80.8</v>
    <v>80.849999999999994</v>
    <v>80.89</v>
    <v>81.98</v>
    <v>81.760000000000005</v>
    <v>80.510000000000005</v>
    <v>81.17</v>
    <v>82.35</v>
    <v>83.03</v>
    <v>82.75</v>
    <v>82.88</v>
    <v>83.06</v>
    <v>82.93</v>
    <v>82.33</v>
    <v>81.319999999999993</v>
    <v>80.98</v>
    <v>83.15</v>
    <v>82.18</v>
    <v>81.91</v>
    <v>85.13</v>
    <v>82.87</v>
    <v>82.9</v>
    <v>83.24</v>
    <v>81.23</v>
    <v>80.91</v>
    <v>80.819999999999993</v>
    <v>77.81</v>
    <v>80.930000000000007</v>
    <v>81.14</v>
    <v>79.680000000000007</v>
    <v>79.430000000000007</v>
    <v>86.38</v>
    <v>84.9</v>
    <v>86.26</v>
    <v>84</v>
    <v>84.27</v>
    <v>85.71</v>
    <v>86.29</v>
    <v>83.3</v>
    <v>84.24</v>
    <v>80.680000000000007</v>
    <v>80.27</v>
    <v>79.819999999999993</v>
    <v>79.930000000000007</v>
    <v>81.08</v>
    <v>81.22</v>
    <v>83.67</v>
    <v>81.47</v>
    <v>81.510000000000005</v>
    <v>79.66</v>
    <v>81.290000000000006</v>
    <v>82.43</v>
    <v>80.790000000000006</v>
    <v>78.709999999999994</v>
    <v>77.760000000000005</v>
    <v>77.27</v>
    <v>78.599999999999994</v>
    <v>76.2</v>
    <v>75.209999999999994</v>
    <v>74.69</v>
    <v>74.930000000000007</v>
    <v>74.790000000000006</v>
    <v>73.45</v>
    <v>72.39</v>
    <v>72.95</v>
    <v>74.040000000000006</v>
    <v>73.53</v>
    <v>73.790000000000006</v>
    <v>72.81</v>
    <v>75.72</v>
    <v>76.569999999999993</v>
    <v>76.61</v>
    <v>75.599999999999994</v>
    <v>72.98</v>
    <v>72.760000000000005</v>
    <v>74.5</v>
    <v>75.040000000000006</v>
    <v>72.540000000000006</v>
    <v>73.430000000000007</v>
    <v>72.760000000000005</v>
    <v>76.739999999999995</v>
    <v>76.73</v>
    <v>76.42</v>
    <v>76.83</v>
    <v>79.459999999999994</v>
    <v>77.78</v>
    <v>78.05</v>
    <v>81.319999999999993</v>
    <v>80.540000000000006</v>
    <v>79.05</v>
    <v>79</v>
    <v>78.52</v>
    <v>78.05</v>
    <v>77.959999999999994</v>
    <v>78.95</v>
    <v>76.62</v>
    <v>76.89</v>
    <v>75.77</v>
    <v>75.7</v>
    <v>76.150000000000006</v>
    <v>78.7</v>
    <v>78.41</v>
    <v>78.8</v>
    <v>75.290000000000006</v>
    <v>76.44</v>
    <v>75.81</v>
    <v>77.75</v>
    <v>74.86</v>
    <v>73.099999999999994</v>
    <v>72.63</v>
    <v>76.14</v>
    <v>77.209999999999994</v>
    <v>78.790000000000006</v>
    <v>79.790000000000006</v>
    <v>84.12</v>
    <v>84.35</v>
    <v>83.24</v>
    <v>82.68</v>
    <v>81.73</v>
    <v>81.7</v>
    <v>83.22</v>
    <v>82.11</v>
    <v>83.77</v>
    <v>83.76</v>
    <v>79.400000000000006</v>
    <v>80.849999999999994</v>
    <v>81.5</v>
    <v>84.07</v>
    <v>82.51</v>
    <v>79.58</v>
    <v>79.290000000000006</v>
    <v>80.430000000000007</v>
    <v>78.95</v>
    <v>78.95</v>
    <v>78.53</v>
    <v>78.099999999999994</v>
    <v>77.34</v>
    <v>77.08</v>
    <v>75.52</v>
    <v>76</v>
    <v>77.849999999999994</v>
    <v>76.03</v>
    <v>76.239999999999995</v>
    <v>76.650000000000006</v>
    <v>77.849999999999994</v>
    <v>76.72</v>
    <v>76.87</v>
    <v>77.64</v>
    <v>77.72</v>
    <v>76.069999999999993</v>
    <v>75.8</v>
    <v>79.52</v>
    <v>82.13</v>
    <v>80.67</v>
    <v>82.64</v>
    <v>87.04</v>
    <v>90.3</v>
    <v>89.4</v>
    <v>88.4</v>
    <v>88.86</v>
    <v>87.68</v>
    <v>88.31</v>
    <v>89.16</v>
    <v>86.94</v>
    <v>87.58</v>
    <v>87.96</v>
    <v>89.35</v>
    <v>86.76</v>
    <v>86.39</v>
    <v>86.77</v>
    <v>84.37</v>
    <v>83.71</v>
    <v>84.96</v>
    <v>86.15</v>
    <v>87.93</v>
    <v>86.98</v>
    <v>85.81</v>
    <v>86.33</v>
    <v>86.18</v>
    <v>86.27</v>
    <v>86.32</v>
    <v>85.63</v>
    <v>84.87</v>
    <v>87.22</v>
    <v>87.76</v>
    <v>85.79</v>
    <v>83.76</v>
    <v>86.12</v>
    <v>85.62</v>
    <v>87.16</v>
    <v>85.37</v>
    <v>84.29</v>
    <v>86.62</v>
    <v>82.2</v>
    <v>83.95</v>
    <v>83.45</v>
    <v>83.77</v>
    <v>80.569999999999993</v>
    <v>82.63</v>
    <v>80.64</v>
  </a>
  <a r="1" c="20">
    <v>561.23</v>
    <v>544.5</v>
    <v>531.54999999999995</v>
    <v>532.95000000000005</v>
    <v>525.28</v>
    <v>536.15</v>
    <v>524.46</v>
    <v>530.12</v>
    <v>524.19000000000005</v>
    <v>529.38</v>
    <v>533.46</v>
    <v>537.25</v>
    <v>538.09</v>
    <v>533.38</v>
    <v>535.4</v>
    <v>522.34</v>
    <v>524.67999999999995</v>
    <v>523.70000000000005</v>
    <v>519.55999999999995</v>
    <v>518.1</v>
  </a>
  <a r="1" c="20">
    <v>563.73</v>
    <v>557.51</v>
    <v>545.65</v>
    <v>536</v>
    <v>529.79</v>
    <v>532</v>
    <v>538.91</v>
    <v>526.01</v>
    <v>532.24</v>
    <v>526.6</v>
    <v>532.13</v>
    <v>534.79999999999995</v>
    <v>539.17999999999995</v>
    <v>536.98</v>
    <v>532.29499999999996</v>
    <v>536.87</v>
    <v>524.57000000000005</v>
    <v>523.76</v>
    <v>524.12</v>
    <v>519</v>
  </a>
  <a r="1" c="20">
    <v>563.73</v>
    <v>564.98</v>
    <v>548</v>
    <v>537.91999999999996</v>
    <v>533.72</v>
    <v>541.59</v>
    <v>543.59</v>
    <v>531</v>
    <v>533.99</v>
    <v>532.34</v>
    <v>537.19000000000005</v>
    <v>539.98990000000003</v>
    <v>542.61369999999999</v>
    <v>538.1</v>
    <v>537.82000000000005</v>
    <v>537</v>
    <v>534.92999999999995</v>
    <v>531</v>
    <v>528</v>
    <v>524.27</v>
  </a>
  <a r="1" c="20">
    <v>558.4</v>
    <v>541.54999999999995</v>
    <v>530.15</v>
    <v>527.28</v>
    <v>524.03</v>
    <v>531.37</v>
    <v>524.37</v>
    <v>524.09400000000005</v>
    <v>521.87</v>
    <v>525.42499999999995</v>
    <v>525.88</v>
    <v>531.01</v>
    <v>520.41999999999996</v>
    <v>527.1001</v>
    <v>530.01</v>
    <v>515.59799999999996</v>
    <v>523.21</v>
    <v>523.32000000000005</v>
    <v>516.49</v>
    <v>516.1</v>
  </a>
  <a r="1" c="20">
    <v>945428</v>
    <v>1046016</v>
    <v>1238407</v>
    <v>775700</v>
    <v>946582</v>
    <v>1692605</v>
    <v>1548934</v>
    <v>1071274</v>
    <v>922596</v>
    <v>971364</v>
    <v>877770</v>
    <v>912115</v>
    <v>1344476</v>
    <v>2860825</v>
    <v>967050</v>
    <v>1427486</v>
    <v>1134593</v>
    <v>833627</v>
    <v>1127654</v>
    <v>1076504</v>
  </a>
  <a r="1" c="251">
    <v>491.98</v>
    <v>499.21</v>
    <v>499</v>
    <v>499.36</v>
    <v>504.49</v>
    <v>514.24</v>
    <v>511.07</v>
    <v>514.02</v>
    <v>507.76</v>
    <v>505.05</v>
    <v>503.83</v>
    <v>505.18</v>
    <v>499.41</v>
    <v>493.25</v>
    <v>495.15</v>
    <v>505.9</v>
    <v>489.5</v>
    <v>487.14</v>
    <v>488.05</v>
    <v>485.41</v>
    <v>486.91</v>
    <v>485.77</v>
    <v>485.33</v>
    <v>489.72</v>
    <v>491.88</v>
    <v>487.94</v>
    <v>484.98</v>
    <v>473.14</v>
    <v>468.92</v>
    <v>458.35</v>
    <v>452.1</v>
    <v>457.07</v>
    <v>457.04</v>
    <v>455.85</v>
    <v>465.77</v>
    <v>470.78</v>
    <v>474.72</v>
    <v>469.91</v>
    <v>468.26</v>
    <v>460.78</v>
    <v>451.06</v>
    <v>452.41</v>
    <v>454.16</v>
    <v>457.86</v>
    <v>439.19</v>
    <v>441.82</v>
    <v>446.8</v>
    <v>448.35</v>
    <v>452.2</v>
    <v>465.38</v>
    <v>466.89</v>
    <v>467.94</v>
    <v>474.88</v>
    <v>480.25</v>
    <v>484.42</v>
    <v>477.06</v>
    <v>474.79</v>
    <v>470.14</v>
    <v>474.13</v>
    <v>483.57</v>
    <v>482.55</v>
    <v>485.75</v>
    <v>483.03</v>
    <v>488.87</v>
    <v>488</v>
    <v>483.67</v>
    <v>497.07</v>
    <v>511.57</v>
    <v>522.04</v>
    <v>496.87</v>
    <v>518.44000000000005</v>
    <v>542.91999999999996</v>
    <v>551.24</v>
    <v>558.29999999999995</v>
    <v>572.70000000000005</v>
    <v>577.89</v>
    <v>582.42999999999995</v>
    <v>576.05999999999995</v>
    <v>586.23</v>
    <v>593.91</v>
    <v>590.82000000000005</v>
    <v>581.66</v>
    <v>594.95000000000005</v>
    <v>597.27</v>
    <v>622.51</v>
    <v>634.22</v>
    <v>636</v>
    <v>628.26</v>
    <v>602.76</v>
    <v>609.17999999999995</v>
    <v>623.58000000000004</v>
    <v>638.29</v>
    <v>629.55999999999995</v>
    <v>628.70000000000005</v>
    <v>637.42999999999995</v>
    <v>652.58000000000004</v>
    <v>649.58000000000004</v>
    <v>649.80999999999995</v>
    <v>666.51</v>
    <v>658.26</v>
    <v>660.62</v>
    <v>664.43</v>
    <v>647.5</v>
    <v>641.63</v>
    <v>658.08</v>
    <v>676.7</v>
    <v>667.82</v>
    <v>664.48</v>
    <v>655</v>
    <v>671.77</v>
    <v>664.15</v>
    <v>651.22</v>
    <v>649.47</v>
    <v>652.83000000000004</v>
    <v>646</v>
    <v>645.20000000000005</v>
    <v>636.33000000000004</v>
    <v>642.28</v>
    <v>637.51</v>
    <v>627.42999999999995</v>
    <v>616.25</v>
    <v>610.16999999999996</v>
    <v>624.20000000000005</v>
    <v>627.33000000000004</v>
    <v>615.84</v>
    <v>598.57000000000005</v>
    <v>604.39</v>
    <v>617.64</v>
    <v>622.79</v>
    <v>637.9</v>
    <v>627.70000000000005</v>
    <v>628.5</v>
    <v>623.87</v>
    <v>613.72</v>
    <v>619.69000000000005</v>
    <v>611.58000000000004</v>
    <v>611.1</v>
    <v>607.49</v>
    <v>592.19000000000005</v>
    <v>581.28</v>
    <v>571.95000000000005</v>
    <v>555.42999999999995</v>
    <v>529.79</v>
    <v>513.45000000000005</v>
    <v>513.35</v>
    <v>512.29</v>
    <v>509.81</v>
    <v>517.97</v>
    <v>512.77</v>
    <v>518.15</v>
    <v>508.93</v>
    <v>514.26</v>
    <v>512.41</v>
    <v>506.51</v>
    <v>512.25</v>
    <v>521</v>
    <v>519.94000000000005</v>
    <v>520.41</v>
    <v>516.01</v>
    <v>528.30999999999995</v>
    <v>526.63</v>
    <v>522.59</v>
    <v>522.79</v>
    <v>533.24</v>
    <v>532.9</v>
    <v>531.14</v>
    <v>537.21</v>
    <v>530.45000000000005</v>
    <v>516.5</v>
    <v>513.42999999999995</v>
    <v>512.03</v>
    <v>519.04999999999995</v>
    <v>523.76</v>
    <v>520.07000000000005</v>
    <v>530.13</v>
    <v>525.02</v>
    <v>548.67999999999995</v>
    <v>540.33000000000004</v>
    <v>530.36</v>
    <v>535.95000000000005</v>
    <v>532.32000000000005</v>
    <v>510.95</v>
    <v>493.6</v>
    <v>503.67</v>
    <v>491.64</v>
    <v>505.02</v>
    <v>507.4</v>
    <v>502.07</v>
    <v>509.46</v>
    <v>521.82000000000005</v>
    <v>545.91</v>
    <v>538</v>
    <v>535.38</v>
    <v>527.96</v>
    <v>518.26</v>
    <v>523.22</v>
    <v>520.67999999999995</v>
    <v>514.99</v>
    <v>514.46</v>
    <v>513.52</v>
    <v>508.77</v>
    <v>509.54</v>
    <v>507.09</v>
    <v>514.36</v>
    <v>568.59</v>
    <v>582.6</v>
    <v>580</v>
    <v>581.30999999999995</v>
    <v>569.20000000000005</v>
    <v>574.11</v>
    <v>582.74</v>
    <v>586.29</v>
    <v>589.33000000000004</v>
    <v>577.6</v>
    <v>582.85</v>
    <v>587.95000000000005</v>
    <v>603.16</v>
    <v>597.77</v>
    <v>606.72</v>
    <v>598.01</v>
    <v>608.67999999999995</v>
    <v>593.74</v>
    <v>607.16999999999996</v>
    <v>589.15</v>
    <v>571.48</v>
    <v>563.57000000000005</v>
    <v>564.14</v>
    <v>556.52</v>
    <v>565.62</v>
    <v>565.89</v>
    <v>563.85</v>
    <v>561.23</v>
    <v>544.5</v>
    <v>531.54999999999995</v>
    <v>532.95000000000005</v>
    <v>525.28</v>
    <v>536.15</v>
    <v>524.46</v>
    <v>530.12</v>
    <v>524.19000000000005</v>
    <v>529.38</v>
    <v>533.46</v>
    <v>537.25</v>
    <v>538.09</v>
    <v>533.38</v>
    <v>535.4</v>
    <v>522.34</v>
    <v>524.67999999999995</v>
    <v>523.70000000000005</v>
    <v>519.55999999999995</v>
    <v>518.1</v>
  </a>
  <a r="1" c="20">
    <v>507.29</v>
    <v>501.02</v>
    <v>496.82</v>
    <v>510.12</v>
    <v>499.7</v>
    <v>493.95</v>
    <v>491.65</v>
    <v>492.44</v>
    <v>495.63</v>
    <v>505.41</v>
    <v>497.12</v>
    <v>490.3</v>
    <v>497.75</v>
    <v>493.78</v>
    <v>501.61</v>
    <v>498</v>
    <v>500.59</v>
    <v>497.93</v>
    <v>516.16999999999996</v>
    <v>509.22</v>
  </a>
  <a r="1" c="20">
    <v>510.38</v>
    <v>497.52</v>
    <v>499.85</v>
    <v>501.66</v>
    <v>510</v>
    <v>493.01</v>
    <v>493.07</v>
    <v>488.32</v>
    <v>495.65</v>
    <v>497.06</v>
    <v>500.06</v>
    <v>493.03</v>
    <v>497.79500000000002</v>
    <v>497.96499999999997</v>
    <v>494.94499999999999</v>
    <v>507.32</v>
    <v>500.755</v>
    <v>495.07</v>
    <v>499.03500000000003</v>
    <v>505.47</v>
  </a>
  <a r="1" c="20">
    <v>512.19000000000005</v>
    <v>505.97</v>
    <v>500.27</v>
    <v>515.65</v>
    <v>511</v>
    <v>495.19</v>
    <v>494.39</v>
    <v>494.52</v>
    <v>498.97</v>
    <v>509.95</v>
    <v>505.9</v>
    <v>495.97</v>
    <v>501.47</v>
    <v>498.65</v>
    <v>501.87</v>
    <v>508.5</v>
    <v>509.44</v>
    <v>498.9</v>
    <v>519.4</v>
    <v>513.33000000000004</v>
  </a>
  <a r="1" c="20">
    <v>506.39</v>
    <v>496.78</v>
    <v>493.81</v>
    <v>500.8</v>
    <v>499.36</v>
    <v>490.15</v>
    <v>489.8</v>
    <v>486</v>
    <v>492.58</v>
    <v>495.34160000000003</v>
    <v>495.54</v>
    <v>487.23</v>
    <v>493.17</v>
    <v>491.1</v>
    <v>491.33</v>
    <v>493.65</v>
    <v>495.88</v>
    <v>491.22</v>
    <v>497.25</v>
    <v>502.22</v>
  </a>
  <a r="1" c="20">
    <v>27208911</v>
    <v>21046892</v>
    <v>15336074</v>
    <v>24125893</v>
    <v>18101758</v>
    <v>18882338</v>
    <v>12889572</v>
    <v>15418192</v>
    <v>13783652</v>
    <v>23091892</v>
    <v>17385982</v>
    <v>16670285</v>
    <v>17841640</v>
    <v>39622288</v>
    <v>27959944</v>
    <v>21652838</v>
    <v>19445555</v>
    <v>16657643</v>
    <v>38193112</v>
    <v>19626939</v>
  </a>
  <a r="1" c="251">
    <v>514.6</v>
    <v>517.95000000000005</v>
    <v>519.71</v>
    <v>515.74</v>
    <v>517.35</v>
    <v>528.57000000000005</v>
    <v>523.98</v>
    <v>524.85</v>
    <v>522.4</v>
    <v>510.96</v>
    <v>514.04999999999995</v>
    <v>513.57000000000005</v>
    <v>513.42999999999995</v>
    <v>511.61</v>
    <v>513.58000000000004</v>
    <v>516.79</v>
    <v>517.66</v>
    <v>520.54</v>
    <v>520.55999999999995</v>
    <v>523.61</v>
    <v>531.52</v>
    <v>542.07000000000005</v>
    <v>541.54999999999995</v>
    <v>525.76</v>
    <v>517.80999999999995</v>
    <v>517.03</v>
    <v>514.33000000000004</v>
    <v>507.16</v>
    <v>497.1</v>
    <v>496.82</v>
    <v>506</v>
    <v>508.68</v>
    <v>511.14</v>
    <v>503.29</v>
    <v>510.18</v>
    <v>507.49</v>
    <v>493.79</v>
    <v>487.12</v>
    <v>478.43</v>
    <v>472.12</v>
    <v>474</v>
    <v>476.99</v>
    <v>485.5</v>
    <v>492.01</v>
    <v>486.74</v>
    <v>490</v>
    <v>477.73</v>
    <v>480.84</v>
    <v>483.16</v>
    <v>491.02</v>
    <v>492.02</v>
    <v>478.56</v>
    <v>483.47</v>
    <v>478.53</v>
    <v>474.82</v>
    <v>476.39</v>
    <v>476.12</v>
    <v>483.98</v>
    <v>485.92</v>
    <v>484.92</v>
    <v>486.85</v>
    <v>488.02</v>
    <v>487.71</v>
    <v>487.1</v>
    <v>487.48</v>
    <v>483.62</v>
    <v>472.94</v>
    <v>472.85</v>
    <v>478.51</v>
    <v>483.47</v>
    <v>478.11</v>
    <v>479.28</v>
    <v>477.18</v>
    <v>470.67</v>
    <v>459.38</v>
    <v>456.66</v>
    <v>459.86</v>
    <v>454.52</v>
    <v>444.11</v>
    <v>451.14</v>
    <v>465.95</v>
    <v>470.28</v>
    <v>480.58</v>
    <v>481.63</v>
    <v>433.5</v>
    <v>430.29</v>
    <v>423.37</v>
    <v>411.21</v>
    <v>414.19</v>
    <v>393.67</v>
    <v>401.14</v>
    <v>413.6</v>
    <v>413.27</v>
    <v>404.37</v>
    <v>401.84</v>
    <v>401.32</v>
    <v>396.86</v>
    <v>399.6</v>
    <v>398.46</v>
    <v>397.23</v>
    <v>384.47</v>
    <v>389</v>
    <v>400.6</v>
    <v>401.72</v>
    <v>392.74</v>
    <v>398.55</v>
    <v>403.93</v>
    <v>405.2</v>
    <v>410.68</v>
    <v>408.96</v>
    <v>409.41</v>
    <v>405.76</v>
    <v>404.88</v>
    <v>401.86</v>
    <v>395.55</v>
    <v>399.95</v>
    <v>399.41</v>
    <v>391.79</v>
    <v>389.02</v>
    <v>381.87</v>
    <v>383</v>
    <v>372.74</v>
    <v>371.04</v>
    <v>365.97</v>
    <v>356.77</v>
    <v>358.96</v>
    <v>370.17</v>
    <v>369.37</v>
    <v>373.46</v>
    <v>372.88</v>
    <v>372.29</v>
    <v>374.33</v>
    <v>373.07</v>
    <v>370.87</v>
    <v>384.37</v>
    <v>393.11</v>
    <v>411.22</v>
    <v>420.26</v>
    <v>422.79</v>
    <v>418.07</v>
    <v>424.16</v>
    <v>432.92</v>
    <v>415.75</v>
    <v>424.62</v>
    <v>424.82</v>
    <v>429.25</v>
    <v>424.46</v>
    <v>407.78</v>
    <v>414.44</v>
    <v>413.62</v>
    <v>411.38</v>
    <v>413.96</v>
    <v>420.77</v>
    <v>415.12</v>
    <v>412.66</v>
    <v>407.77</v>
    <v>405.21</v>
    <v>409.43</v>
    <v>421.92</v>
    <v>423.54</v>
    <v>417.42</v>
    <v>421.06</v>
    <v>419.09</v>
    <v>418.57</v>
    <v>416.03</v>
    <v>412.67</v>
    <v>426.99</v>
    <v>450.24</v>
    <v>460.52</v>
    <v>441.31</v>
    <v>427.34</v>
    <v>428.05</v>
    <v>416.67</v>
    <v>411.74</v>
    <v>403.41</v>
    <v>397.36</v>
    <v>390.34</v>
    <v>390.74</v>
    <v>399.76</v>
    <v>393.83</v>
    <v>378.91</v>
    <v>379.4</v>
    <v>367.34</v>
    <v>373.94</v>
    <v>365.46</v>
    <v>352.83</v>
    <v>372.97</v>
    <v>368.57</v>
    <v>373.02</v>
    <v>384.28</v>
    <v>390.49</v>
    <v>386.74</v>
    <v>388.84</v>
    <v>383.34</v>
    <v>384.36</v>
    <v>385.1</v>
    <v>390.99</v>
    <v>384.93</v>
    <v>395.63</v>
    <v>401.1</v>
    <v>393.82</v>
    <v>402.29</v>
    <v>397.75</v>
    <v>390.34</v>
    <v>381.58</v>
    <v>381.7</v>
    <v>389.1</v>
    <v>393.35</v>
    <v>390.54</v>
    <v>451.1</v>
    <v>464.72</v>
    <v>487.65</v>
    <v>492.81</v>
    <v>487.46</v>
    <v>499.86</v>
    <v>499.99</v>
    <v>506.06</v>
    <v>503.81</v>
    <v>492.43</v>
    <v>496.88</v>
    <v>495.4</v>
    <v>480.35</v>
    <v>481.63</v>
    <v>484.31</v>
    <v>481.15</v>
    <v>483.24</v>
    <v>487.31</v>
    <v>491.71</v>
    <v>496.37</v>
    <v>505.06</v>
    <v>513.53</v>
    <v>507.29</v>
    <v>501.02</v>
    <v>496.82</v>
    <v>510.12</v>
    <v>499.7</v>
    <v>493.95</v>
    <v>491.65</v>
    <v>492.44</v>
    <v>495.63</v>
    <v>505.41</v>
    <v>497.12</v>
    <v>490.3</v>
    <v>497.75</v>
    <v>493.78</v>
    <v>501.61</v>
    <v>498</v>
    <v>500.59</v>
    <v>497.93</v>
    <v>516.16999999999996</v>
    <v>509.22</v>
  </a>
  <a r="1" c="20">
    <v>1025.9000000000001</v>
    <v>1002.56</v>
    <v>1004.42</v>
    <v>1037.93</v>
    <v>1038.6099999999999</v>
    <v>1036.53</v>
    <v>1028.78</v>
    <v>1019.77</v>
    <v>1029.18</v>
    <v>988.45</v>
    <v>976.67</v>
    <v>937.98</v>
    <v>951.47</v>
    <v>942</v>
    <v>959.39</v>
    <v>949.49</v>
    <v>936.36</v>
    <v>923.29</v>
    <v>935.45</v>
    <v>916.28</v>
  </a>
  <a r="1" c="20">
    <v>1032.5999999999999</v>
    <v>1004.72</v>
    <v>1009.74</v>
    <v>1013.5</v>
    <v>1031.0899999999999</v>
    <v>1040.55</v>
    <v>1028</v>
    <v>1017.29</v>
    <v>1035.05</v>
    <v>1010</v>
    <v>984.65</v>
    <v>981.46</v>
    <v>940.1</v>
    <v>948.96</v>
    <v>956.495</v>
    <v>967.39</v>
    <v>940.73</v>
    <v>931</v>
    <v>927.5</v>
    <v>930.94</v>
  </a>
  <a r="1" c="20">
    <v>1032.5999999999999</v>
    <v>1031.1199999999999</v>
    <v>1021.843</v>
    <v>1039.83</v>
    <v>1041.1953000000001</v>
    <v>1043.8399999999999</v>
    <v>1038.4324999999999</v>
    <v>1027.23</v>
    <v>1042.99</v>
    <v>1013.69</v>
    <v>988.28</v>
    <v>984.66</v>
    <v>957.97</v>
    <v>952.99</v>
    <v>962.22</v>
    <v>967.76</v>
    <v>954.98</v>
    <v>933.41</v>
    <v>935.83</v>
    <v>932</v>
  </a>
  <a r="1" c="20">
    <v>1022.6201</v>
    <v>996.97</v>
    <v>998</v>
    <v>1012.5</v>
    <v>1024.6300000000001</v>
    <v>1028.56</v>
    <v>1011.4</v>
    <v>1011.68</v>
    <v>1018.585</v>
    <v>978.93</v>
    <v>954.49</v>
    <v>932.37009999999998</v>
    <v>922</v>
    <v>939.55</v>
    <v>942.62</v>
    <v>936.77499999999998</v>
    <v>933.67499999999995</v>
    <v>914.68</v>
    <v>915.3</v>
    <v>914.5</v>
  </a>
  <a r="1" c="20">
    <v>1361114</v>
    <v>1846398</v>
    <v>2194092</v>
    <v>1676091</v>
    <v>1429525</v>
    <v>1263453</v>
    <v>1661698</v>
    <v>1886255</v>
    <v>1156879</v>
    <v>2209520</v>
    <v>2349222</v>
    <v>3551273</v>
    <v>3288098</v>
    <v>3983987</v>
    <v>1864045</v>
    <v>2053377</v>
    <v>2136310</v>
    <v>2354548</v>
    <v>1956111</v>
    <v>1825530</v>
  </a>
  <a r="1" c="251">
    <v>804.12</v>
    <v>796.35</v>
    <v>785.51</v>
    <v>779.38</v>
    <v>789.98</v>
    <v>796.78</v>
    <v>789.65</v>
    <v>776.51</v>
    <v>779.96</v>
    <v>764.36</v>
    <v>786.78</v>
    <v>770.76</v>
    <v>767.93</v>
    <v>758.09</v>
    <v>750.77</v>
    <v>763.32</v>
    <v>758.98</v>
    <v>744.6</v>
    <v>750.78</v>
    <v>783.88</v>
    <v>789.99</v>
    <v>792.09</v>
    <v>783.06</v>
    <v>790.16</v>
    <v>789.37</v>
    <v>785.52</v>
    <v>790.83</v>
    <v>793.09</v>
    <v>787.58</v>
    <v>786.34</v>
    <v>797.2</v>
    <v>810.31</v>
    <v>838.97</v>
    <v>805.5</v>
    <v>790.91</v>
    <v>775.56</v>
    <v>776.3</v>
    <v>785.99</v>
    <v>773.7</v>
    <v>774.03</v>
    <v>790.71</v>
    <v>802.32</v>
    <v>816.01</v>
    <v>826.04</v>
    <v>810.86</v>
    <v>815.21</v>
    <v>836.57</v>
    <v>837.83</v>
    <v>854.56</v>
    <v>866.69</v>
    <v>876.58</v>
    <v>889.24</v>
    <v>911.03</v>
    <v>887.96</v>
    <v>889.59</v>
    <v>879.15</v>
    <v>872.33</v>
    <v>876.3</v>
    <v>893.48</v>
    <v>899</v>
    <v>901.71</v>
    <v>910.78</v>
    <v>907.04</v>
    <v>892.18</v>
    <v>884.42</v>
    <v>879</v>
    <v>914.34</v>
    <v>948.44</v>
    <v>955.47</v>
    <v>941.02</v>
    <v>934.83</v>
    <v>938.98</v>
    <v>949.55</v>
    <v>938.15</v>
    <v>932.67</v>
    <v>975.86</v>
    <v>962</v>
    <v>943.37</v>
    <v>953.01</v>
    <v>954.65</v>
    <v>918.88</v>
    <v>931.86</v>
    <v>929.72</v>
    <v>936.81</v>
    <v>940.12</v>
    <v>935.41</v>
    <v>946.33</v>
    <v>938.99</v>
    <v>913.3</v>
    <v>890.41</v>
    <v>928.75</v>
    <v>943.62</v>
    <v>948.99</v>
    <v>944.59</v>
    <v>904.55</v>
    <v>905.14</v>
    <v>916.04</v>
    <v>933.73</v>
    <v>916.65</v>
    <v>922.24</v>
    <v>892.31</v>
    <v>902.27</v>
    <v>921.38</v>
    <v>929</v>
    <v>859.57</v>
    <v>861.7</v>
    <v>862.58</v>
    <v>867.25</v>
    <v>835.46</v>
    <v>821.42</v>
    <v>832.03</v>
    <v>833.81</v>
    <v>823.76</v>
    <v>787.52</v>
    <v>782.21</v>
    <v>794.77</v>
    <v>807.04</v>
    <v>805.48</v>
    <v>809.5</v>
    <v>813.53</v>
    <v>831.27</v>
    <v>835.72</v>
    <v>841.84</v>
    <v>822.64</v>
    <v>802.89</v>
    <v>807.6</v>
    <v>845.99</v>
    <v>860.21</v>
    <v>863.04</v>
    <v>866.05</v>
    <v>864.15</v>
    <v>905.75</v>
    <v>903.72</v>
    <v>907.8</v>
    <v>890.79</v>
    <v>909.63</v>
    <v>899.49</v>
    <v>900</v>
    <v>925.95</v>
    <v>941.74</v>
    <v>926.55</v>
    <v>934.84</v>
    <v>931.3</v>
    <v>926.91</v>
    <v>937.81</v>
    <v>926.55</v>
    <v>905.6</v>
    <v>923.77</v>
    <v>923.71</v>
    <v>903.27</v>
    <v>918.89</v>
    <v>937.35</v>
    <v>925.87</v>
    <v>936.48</v>
    <v>944.86</v>
    <v>945.9</v>
    <v>955.42</v>
    <v>968.96</v>
    <v>948.47</v>
    <v>946.36</v>
    <v>928.74</v>
    <v>982.12</v>
    <v>988.17</v>
    <v>996.73</v>
    <v>994.52</v>
    <v>996.47</v>
    <v>1008.37</v>
    <v>1025.56</v>
    <v>1048.58</v>
    <v>1064.58</v>
    <v>1041.02</v>
    <v>1092.6099999999999</v>
    <v>1038.68</v>
    <v>1045</v>
    <v>1032.01</v>
    <v>1001.29</v>
    <v>1035.6400000000001</v>
    <v>1062.75</v>
    <v>1076.17</v>
    <v>1090.67</v>
    <v>1099.1400000000001</v>
    <v>1096.56</v>
    <v>1106.3699999999999</v>
    <v>1094.44</v>
    <v>1076.9100000000001</v>
    <v>1065.0899999999999</v>
    <v>1019.61</v>
    <v>1020.21</v>
    <v>1011.37</v>
    <v>1019.61</v>
    <v>1021</v>
    <v>1055.29</v>
    <v>1042.98</v>
    <v>1029.6400000000001</v>
    <v>1055.97</v>
    <v>1055.18</v>
    <v>1045.9100000000001</v>
    <v>1140</v>
    <v>1152.07</v>
    <v>1095.46</v>
    <v>1065.22</v>
    <v>1055.03</v>
    <v>1085.56</v>
    <v>1098.2</v>
    <v>1074.72</v>
    <v>1061.23</v>
    <v>1048.23</v>
    <v>1033.3399999999999</v>
    <v>980.75</v>
    <v>1024.8599999999999</v>
    <v>1018.38</v>
    <v>1027.06</v>
    <v>1052.98</v>
    <v>1060.3800000000001</v>
    <v>1032.58</v>
    <v>1039.6099999999999</v>
    <v>1034.51</v>
    <v>1034.4100000000001</v>
    <v>1037.21</v>
    <v>1042.6300000000001</v>
    <v>1039.42</v>
    <v>1051.31</v>
    <v>1040.47</v>
    <v>1021.65</v>
    <v>1001.95</v>
    <v>1039.28</v>
    <v>1036.28</v>
    <v>1058.8800000000001</v>
    <v>1040.46</v>
    <v>1040.8699999999999</v>
    <v>1033.99</v>
    <v>1025.9000000000001</v>
    <v>1002.56</v>
    <v>1004.42</v>
    <v>1037.93</v>
    <v>1038.6099999999999</v>
    <v>1036.53</v>
    <v>1028.78</v>
    <v>1019.77</v>
    <v>1029.18</v>
    <v>988.45</v>
    <v>976.67</v>
    <v>937.98</v>
    <v>951.47</v>
    <v>942</v>
    <v>959.39</v>
    <v>949.49</v>
    <v>936.36</v>
    <v>923.29</v>
    <v>935.45</v>
    <v>916.28</v>
  </a>
  <a r="1" c="251">
    <v>663.68</v>
    <v>666.18</v>
    <v>668.45</v>
    <v>669.22</v>
    <v>669.21</v>
    <v>671.61</v>
    <v>669.12</v>
    <v>673.11</v>
    <v>671.16</v>
    <v>653.02</v>
    <v>663.04</v>
    <v>662.23</v>
    <v>665.17</v>
    <v>660.64</v>
    <v>664.39</v>
    <v>671.3</v>
    <v>671.29</v>
    <v>667.8</v>
    <v>671.76</v>
    <v>677.25</v>
    <v>685.24</v>
    <v>687.06</v>
    <v>687.39</v>
    <v>679.83</v>
    <v>682.06</v>
    <v>683.34</v>
    <v>675.24</v>
    <v>677.58</v>
    <v>670.31</v>
    <v>670.97</v>
    <v>681.44</v>
    <v>683</v>
    <v>683.38</v>
    <v>672.04</v>
    <v>671.93</v>
    <v>665.67</v>
    <v>660.08</v>
    <v>662.63</v>
    <v>652.53</v>
    <v>659.03</v>
    <v>668.73</v>
    <v>675.02</v>
    <v>679.68</v>
    <v>683.39</v>
    <v>680.27</v>
    <v>681.53</v>
    <v>683.89</v>
    <v>684.39</v>
    <v>685.69</v>
    <v>683.63</v>
    <v>683.04</v>
    <v>687.57</v>
    <v>689.17</v>
    <v>681.76</v>
    <v>680.73</v>
    <v>678.87</v>
    <v>671.4</v>
    <v>676.47</v>
    <v>680.59</v>
    <v>684.83</v>
    <v>687.96</v>
    <v>690.38</v>
    <v>690.31</v>
    <v>687.85</v>
    <v>687.01</v>
    <v>681.92</v>
    <v>683.17</v>
    <v>687.72</v>
    <v>691.81</v>
    <v>689.58</v>
    <v>689.51</v>
    <v>694.07</v>
    <v>695.16</v>
    <v>693.77</v>
    <v>690.36</v>
    <v>692.24</v>
    <v>691.66</v>
    <v>677.58</v>
    <v>685.4</v>
    <v>688.98</v>
    <v>689.23</v>
    <v>692.73</v>
    <v>695.49</v>
    <v>695.42</v>
    <v>694.04</v>
    <v>691.97</v>
    <v>695.41</v>
    <v>689.53</v>
    <v>686.19</v>
    <v>677.62</v>
    <v>690.62</v>
    <v>693.95</v>
    <v>692.12</v>
    <v>691.96</v>
    <v>681.27</v>
    <v>681.75</v>
    <v>682.85</v>
    <v>686.29</v>
    <v>684.48</v>
    <v>689.43</v>
    <v>682.39</v>
    <v>687.35</v>
    <v>693.15</v>
    <v>689.3</v>
    <v>685.99</v>
    <v>686.38</v>
    <v>680.33</v>
    <v>685.13</v>
    <v>681.31</v>
    <v>672.38</v>
    <v>678.27</v>
    <v>677.18</v>
    <v>676.33</v>
    <v>666.06</v>
    <v>662.29</v>
    <v>669.03</v>
    <v>670.79</v>
    <v>661.43</v>
    <v>659.8</v>
    <v>648.57000000000005</v>
    <v>655.38</v>
    <v>653.17999999999995</v>
    <v>656.82</v>
    <v>645.09</v>
    <v>634.09</v>
    <v>631.97</v>
    <v>650.34</v>
    <v>655.24</v>
    <v>655.83</v>
    <v>658.93</v>
    <v>659.22</v>
    <v>676.01</v>
    <v>679.91</v>
    <v>679.46</v>
    <v>686.1</v>
    <v>694.46</v>
    <v>699.94</v>
    <v>701.66</v>
    <v>710.14</v>
    <v>708.72</v>
    <v>704.08</v>
    <v>711.21</v>
    <v>708.45</v>
    <v>713.94</v>
    <v>715.17</v>
    <v>711.69</v>
    <v>711.58</v>
    <v>718.66</v>
    <v>720.65</v>
    <v>718.01</v>
    <v>723.77</v>
    <v>733.83</v>
    <v>731.58</v>
    <v>737.62</v>
    <v>739.3</v>
    <v>738.18</v>
    <v>742.31</v>
    <v>748.17</v>
    <v>739.17</v>
    <v>738.65</v>
    <v>733.73</v>
    <v>741.25</v>
    <v>742.72</v>
    <v>745.64</v>
    <v>750.59</v>
    <v>750.46</v>
    <v>754.6</v>
    <v>756.48</v>
    <v>758.54</v>
    <v>759.57</v>
    <v>754.24</v>
    <v>757.09</v>
    <v>737.55</v>
    <v>739.22</v>
    <v>737.05</v>
    <v>725.43</v>
    <v>737.76</v>
    <v>741.75</v>
    <v>754.83</v>
    <v>750.33</v>
    <v>740.96</v>
    <v>746.74</v>
    <v>744.39</v>
    <v>733.58</v>
    <v>733.24</v>
    <v>734.3</v>
    <v>728.99</v>
    <v>741</v>
    <v>746.77</v>
    <v>745.76</v>
    <v>744.78</v>
    <v>751.28</v>
    <v>747.71</v>
    <v>745.4</v>
    <v>751.71</v>
    <v>754.95</v>
    <v>749.17</v>
    <v>751.83</v>
    <v>754.81</v>
    <v>750.72</v>
    <v>743.29</v>
    <v>742.09</v>
    <v>748.28</v>
    <v>747.41</v>
    <v>738.18</v>
    <v>738.93</v>
    <v>739.09</v>
    <v>740.86</v>
    <v>729.46</v>
    <v>741.69</v>
    <v>747.03</v>
    <v>757.67</v>
    <v>771.33</v>
    <v>769.79</v>
    <v>768.56</v>
    <v>773.26</v>
    <v>773.03</v>
    <v>770.56</v>
    <v>772.49</v>
    <v>777.88</v>
    <v>776.34</v>
    <v>772.67</v>
    <v>767.45</v>
    <v>769.06</v>
    <v>762.6</v>
    <v>765.72</v>
    <v>763.47</v>
    <v>765.91</v>
    <v>766.08</v>
    <v>771.1</v>
    <v>769.35</v>
    <v>767.05</v>
    <v>761.78</v>
    <v>765.16</v>
    <v>773.17</v>
    <v>770.19</v>
    <v>765.96</v>
    <v>762.4</v>
    <v>757.83</v>
    <v>764.29</v>
    <v>760.88</v>
    <v>757.39</v>
    <v>754.05</v>
    <v>762.6</v>
    <v>761.69</v>
    <v>773.5</v>
    <v>773.38</v>
    <v>767.81</v>
    <v>767.18</v>
    <v>771.35</v>
    <v>765.61</v>
  </a>
  <a r="1" c="251">
    <v>244.36</v>
    <v>243.55</v>
    <v>245.54</v>
    <v>246.43</v>
    <v>246.45</v>
    <v>251.51</v>
    <v>247.13</v>
    <v>245.46</v>
    <v>242.21</v>
    <v>237.49</v>
    <v>244.64</v>
    <v>246.19</v>
    <v>251.71</v>
    <v>251.88</v>
    <v>253.79</v>
    <v>257.02</v>
    <v>251.34</v>
    <v>252.53</v>
    <v>253.73</v>
    <v>260.51</v>
    <v>269.93</v>
    <v>268.43</v>
    <v>275.17</v>
    <v>281.89999999999998</v>
    <v>281.82</v>
    <v>284.12</v>
    <v>278.06</v>
    <v>284.75</v>
    <v>285.33999999999997</v>
    <v>279.7</v>
    <v>290.58999999999997</v>
    <v>291.74</v>
    <v>287.43</v>
    <v>279.12</v>
    <v>276.98</v>
    <v>285.60000000000002</v>
    <v>284.95999999999998</v>
    <v>292.99</v>
    <v>289.98</v>
    <v>299.64999999999998</v>
    <v>318.47000000000003</v>
    <v>323.64</v>
    <v>320.27999999999997</v>
    <v>320.12</v>
    <v>315.12</v>
    <v>316.02</v>
    <v>320.62</v>
    <v>318.39</v>
    <v>322.08999999999997</v>
    <v>314.45</v>
    <v>317.75</v>
    <v>321</v>
    <v>313.7</v>
    <v>310.52</v>
    <v>309.32</v>
    <v>307.73</v>
    <v>298.06</v>
    <v>303.75</v>
    <v>308.61</v>
    <v>311.33</v>
    <v>315.68</v>
    <v>315.67</v>
    <v>314.95999999999998</v>
    <v>314.39</v>
    <v>314.55</v>
    <v>313.8</v>
    <v>315.32</v>
    <v>317.32</v>
    <v>314.55</v>
    <v>322.43</v>
    <v>326.01</v>
    <v>329.14</v>
    <v>332.73</v>
    <v>336.43</v>
    <v>336.31</v>
    <v>333.16</v>
    <v>330.34</v>
    <v>322.16000000000003</v>
    <v>328.38</v>
    <v>330.84</v>
    <v>328.43</v>
    <v>333.59</v>
    <v>335</v>
    <v>336.28</v>
    <v>338.66</v>
    <v>338.53</v>
    <v>344.9</v>
    <v>340.7</v>
    <v>333.34</v>
    <v>331.33</v>
    <v>323.10000000000002</v>
    <v>324.39999999999998</v>
    <v>318.63</v>
    <v>311.33</v>
    <v>309.37</v>
    <v>306.02</v>
    <v>302.82</v>
    <v>303.94</v>
    <v>303.56</v>
    <v>314.89999999999998</v>
    <v>311.69</v>
    <v>310.92</v>
    <v>313.02999999999997</v>
    <v>307.14999999999998</v>
    <v>311.43</v>
    <v>306.36</v>
    <v>303.56</v>
    <v>303.45</v>
    <v>300.91000000000003</v>
    <v>298.3</v>
    <v>306.01</v>
    <v>306.93</v>
    <v>308.42</v>
    <v>303.20999999999998</v>
    <v>301.45999999999998</v>
    <v>304.42</v>
    <v>309.41000000000003</v>
    <v>306.3</v>
    <v>305.73</v>
    <v>298.79000000000002</v>
    <v>299.02</v>
    <v>289.2</v>
    <v>289.58999999999997</v>
    <v>280.74</v>
    <v>273.76</v>
    <v>273.14</v>
    <v>286.86</v>
    <v>294.89999999999998</v>
    <v>294.45999999999998</v>
    <v>297.66000000000003</v>
    <v>303.93</v>
    <v>314.74</v>
    <v>316.37</v>
    <v>315.72000000000003</v>
    <v>319.20999999999998</v>
    <v>330.58</v>
    <v>334.47</v>
    <v>332.77</v>
    <v>339.4</v>
    <v>335.4</v>
    <v>330.47</v>
    <v>337.73</v>
    <v>337.75</v>
    <v>342.32</v>
    <v>348.52</v>
    <v>347.5</v>
    <v>347.31</v>
    <v>381.94</v>
    <v>383.22</v>
    <v>379.64</v>
    <v>384.27</v>
    <v>395.14</v>
    <v>395.3</v>
    <v>397.05</v>
    <v>386.77</v>
    <v>383.82</v>
    <v>399.04</v>
    <v>397.17</v>
    <v>393.32</v>
    <v>393.11</v>
    <v>384.9</v>
    <v>384.9</v>
    <v>383.47</v>
    <v>379.38</v>
    <v>384.84</v>
    <v>384.83</v>
    <v>386.12</v>
    <v>376.43</v>
    <v>372.58</v>
    <v>358.39</v>
    <v>355.68</v>
    <v>369.27</v>
    <v>365.76</v>
    <v>361.17</v>
    <v>362.29</v>
    <v>353.32</v>
    <v>356.56</v>
    <v>358.16</v>
    <v>367.11</v>
    <v>371.1</v>
    <v>362.1</v>
    <v>367.46</v>
    <v>348.78</v>
    <v>346.08</v>
    <v>345.04</v>
    <v>342.19</v>
    <v>334.69</v>
    <v>351.28</v>
    <v>353.33</v>
    <v>357.89</v>
    <v>356.18</v>
    <v>364.9</v>
    <v>363.62</v>
    <v>358.71</v>
    <v>356.24</v>
    <v>355.03</v>
    <v>350.67</v>
    <v>357.33</v>
    <v>370.21</v>
    <v>353.81</v>
    <v>346.12</v>
    <v>351.37</v>
    <v>346.19</v>
    <v>341.91</v>
    <v>318.33999999999997</v>
    <v>319.08999999999997</v>
    <v>326.57</v>
    <v>332.6</v>
    <v>335.76</v>
    <v>333.68</v>
    <v>356.65</v>
    <v>372.47</v>
    <v>375.35</v>
    <v>360.13</v>
    <v>356.62</v>
    <v>353.47</v>
    <v>355.84</v>
    <v>343</v>
    <v>342.37</v>
    <v>343.94</v>
    <v>343.54</v>
    <v>341.45</v>
    <v>341.28</v>
    <v>341.7</v>
    <v>338.2</v>
    <v>341.75</v>
    <v>344.59</v>
    <v>343.34</v>
    <v>339.1</v>
    <v>337.71</v>
    <v>342.88</v>
    <v>335.41</v>
    <v>332.03</v>
    <v>333.78</v>
    <v>339.08</v>
    <v>335.31</v>
    <v>335.38</v>
    <v>328.38</v>
    <v>330.39</v>
    <v>335.45</v>
    <v>345.71</v>
    <v>341.43</v>
    <v>339.36</v>
    <v>343.68</v>
    <v>344.41</v>
    <v>350.87</v>
    <v>347.41</v>
    <v>334.98</v>
    <v>339.01</v>
    <v>341.08</v>
    <v>339.16</v>
  </a>
  <a r="12">
    <v t="r">6652</v>
    <v t="r">60</v>
    <v t="r">63</v>
    <v t="r">66</v>
    <v t="r">69</v>
    <v t="r">72</v>
    <v t="r">6654</v>
    <v t="r">78</v>
    <v t="r">81</v>
    <v t="r">84</v>
    <v t="r">6656</v>
    <v t="i">1</v>
  </a>
</arrayData>
</file>

<file path=xl/richData/rdrichvalue.xml><?xml version="1.0" encoding="utf-8"?>
<rvData xmlns="http://schemas.microsoft.com/office/spreadsheetml/2017/richdata" count="6659">
  <rv s="0">
    <v>https://www.bing.com/financeapi/forcetrigger?t=a1ndww&amp;q=XNAS%3aAMD&amp;form=skydnc</v>
    <v>Learn more on Bing</v>
  </rv>
  <rv s="1">
    <v>en-US</v>
    <v>a1ndww</v>
    <v>268435456</v>
    <v>1</v>
    <v>Powered by Refinitiv</v>
    <v>0</v>
    <v>ADVANCED MICRO DEVICES, INC. (XNAS:AMD)</v>
    <v>2</v>
    <v>3</v>
    <v>Finance</v>
    <v>4</v>
    <v>639</v>
    <v>159.33000000000001</v>
    <v>2.4824000000000002</v>
    <v>-22.76</v>
    <v>-3.6091000000000005E-2</v>
    <v>USD</v>
    <v>Advanced Micro Devices, Inc. is a global semiconductor company. The Company is focused on high-performance computing and artificial intelligence (AI). Its segments include Data Center, Client and Gaming, and Embedded. Data Center segment includes AI accelerators, microprocessors (CPUs) for servers, graphics processing units (GPUs), accelerated processing units (APUs), data processing units (DPUs), Field Programmable Gate Arrays (FPGAs), and Adaptive system-on-Chip (SoC) products for data centers. Client and Gaming segment includes CPUs, APUs, chipsets for desktops and notebooks, discrete GPUs, and semi-custom SoC products and development services. Embedded segment includes embedded CPUs, APUs, FPGAs, system on modules (SOMs), and Adaptive SoC products. It markets and sells its products under the AMD trademark. Its products include AMD EPYC, AMD Ryzen, AMD Ryzen PRO, Virtex UltraScale+, among others.</v>
    <v>31000</v>
    <v>Nasdaq Stock Market</v>
    <v>XNAS</v>
    <v>XNAS</v>
    <v>2485 Augustine Drive, SANTA CLARA, CA, 95054 US</v>
    <v>629.75</v>
    <v>Semiconductors &amp; Semiconductor Equipment</v>
    <v>Stock</v>
    <v>46293.999979628905</v>
    <v>0</v>
    <v>596.07000000000005</v>
    <v>992332578250</v>
    <v>ADVANCED MICRO DEVICES, INC.</v>
    <v>ADVANCED MICRO DEVICES, INC.</v>
    <v>624.89499999999998</v>
    <v>155.14330000000001</v>
    <v>630.63</v>
    <v>607.87</v>
    <v>1632475000</v>
    <v>AMD</v>
    <v>ADVANCED MICRO DEVICES, INC. (XNAS:AMD)</v>
    <v>291258</v>
    <v>20531334</v>
    <v>1969</v>
  </rv>
  <rv s="2">
    <v>1</v>
  </rv>
  <rv s="0">
    <v>https://www.bing.com/financeapi/forcetrigger?t=a1u3p2&amp;q=XNAS%3aGOOG&amp;form=skydnc</v>
    <v>Learn more on Bing</v>
  </rv>
  <rv s="1">
    <v>en-US</v>
    <v>a1u3p2</v>
    <v>268435456</v>
    <v>1</v>
    <v>Powered by Refinitiv</v>
    <v>0</v>
    <v>ALPHABET INC. (XNAS:GOOG)</v>
    <v>2</v>
    <v>3</v>
    <v>Finance</v>
    <v>4</v>
    <v>404.47</v>
    <v>236.685</v>
    <v>1.2125999999999999</v>
    <v>-1.92</v>
    <v>-5.6289999999999995E-3</v>
    <v>USD</v>
    <v>Alphabet Inc. is a holding company. The Company's segments include Google Services, Google Cloud, and Other Bets. The Google Services segment includes products and services such as ads, Android, Chrome, devices, Google Maps, Google Play, Search, and YouTube. The Google Cloud segment includes infrastructure and platform services, collaboration tools, and other services for enterprise customers. Its Other Bets segment is engaged in the sale of healthcare-related services and Internet services. Its Google Cloud provides enterprise-ready cloud services, including Google Cloud Platform and Google Workspace. Google Cloud Platform provides access to solutions such as artificial intelligence (AI) offerings, including its AI infrastructure, Vertex AI platform, and Gemini for Google Cloud; cybersecurity, and data and analytics. Google Workspace includes cloud-based communication and collaboration tools for enterprises, such as Calendar, Gmail, Docs, Drive, and Meet.</v>
    <v>198933</v>
    <v>Nasdaq Stock Market</v>
    <v>XNAS</v>
    <v>XNAS</v>
    <v>1600 Amphitheatre Parkway, MOUNTAIN VIEW, CA, 94043 US</v>
    <v>340.11</v>
    <v>Software &amp; IT Services</v>
    <v>Stock</v>
    <v>46293.999949200785</v>
    <v>3</v>
    <v>336.6</v>
    <v>4147926800000</v>
    <v>ALPHABET INC.</v>
    <v>ALPHABET INC.</v>
    <v>337.6</v>
    <v>17.048400000000001</v>
    <v>341.08</v>
    <v>339.16</v>
    <v>12230000000</v>
    <v>GOOG</v>
    <v>ALPHABET INC. (XNAS:GOOG)</v>
    <v>79982</v>
    <v>17250033</v>
    <v>2015</v>
  </rv>
  <rv s="2">
    <v>4</v>
  </rv>
  <rv s="0">
    <v>https://www.bing.com/financeapi/forcetrigger?t=a1nhlh&amp;q=XNAS%3aAMZN&amp;form=skydnc</v>
    <v>Learn more on Bing</v>
  </rv>
  <rv s="1">
    <v>en-US</v>
    <v>a1nhlh</v>
    <v>268435456</v>
    <v>1</v>
    <v>Powered by Refinitiv</v>
    <v>0</v>
    <v>AMAZON.COM, INC. (XNAS:AMZN)</v>
    <v>2</v>
    <v>3</v>
    <v>Finance</v>
    <v>4</v>
    <v>287.2</v>
    <v>196</v>
    <v>1.4564999999999999</v>
    <v>-3.52</v>
    <v>-1.4098999999999999E-2</v>
    <v>USD</v>
    <v>Amazon.com, Inc. offers a variety of products and services to customers. The products offered through its stores include merchandise and content it has purchased for resale and products offered by third-party sellers. The Company's segments include North America, International, and Amazon Web Services (AWS). It serves consumers through its online and physical stores and focuses on selection, price, and convenience. Customers access its offerings through its websites, mobile apps, Alexa, devices, streaming, and physically visiting its stores. It also manufactures and sells electronic devices, including Kindle, Fire tablet, Fire TV, Echo, Ring, Blink, and eero, and develops and produces media content. It serves developers and enterprises of all sizes, including start-ups, government agencies, and academic institutions, through AWS, which offers a set of on-demand technology services, including compute, storage, database, analytics, and machine learning, and other services.</v>
    <v>1595000</v>
    <v>Nasdaq Stock Market</v>
    <v>XNAS</v>
    <v>XNAS</v>
    <v>410 Terry Avenue North, SEATTLE, WA, 98109 US</v>
    <v>247.76990000000001</v>
    <v>Diversified Retail</v>
    <v>Stock</v>
    <v>46293.999909791404</v>
    <v>6</v>
    <v>244.72499999999999</v>
    <v>2655050206500</v>
    <v>AMAZON.COM, INC.</v>
    <v>AMAZON.COM, INC.</v>
    <v>246.625</v>
    <v>19.7987</v>
    <v>249.67</v>
    <v>246.15</v>
    <v>10786310000</v>
    <v>AMZN</v>
    <v>AMAZON.COM, INC. (XNAS:AMZN)</v>
    <v>170217</v>
    <v>34150369</v>
    <v>1996</v>
  </rv>
  <rv s="2">
    <v>7</v>
  </rv>
  <rv s="0">
    <v>https://www.bing.com/financeapi/forcetrigger?t=a1mou2&amp;q=XNAS%3aAAPL&amp;form=skydnc</v>
    <v>Learn more on Bing</v>
  </rv>
  <rv s="1">
    <v>en-US</v>
    <v>a1mou2</v>
    <v>268435456</v>
    <v>1</v>
    <v>Powered by Refinitiv</v>
    <v>0</v>
    <v>APPLE INC. (XNAS:AAPL)</v>
    <v>2</v>
    <v>3</v>
    <v>Finance</v>
    <v>4</v>
    <v>345.34</v>
    <v>243.42</v>
    <v>1.0696000000000001</v>
    <v>-2.67</v>
    <v>-7.8279999999999999E-3</v>
    <v>USD</v>
    <v>Apple Inc. designs, manufactures and markets smartphones, personal computers, tablets, wearables and accessories, and sells a variety of related services. Its product categories include iPhone, Mac, iPad, Wearables, Home and Accessories. Its services include advertising, AppleCare, cloud services, digital content, and payment services. The Company operates various platforms, including the App Store, that allow customers to discover and download applications and digital content, such as books, music, video, games and podcasts. It also offers digital content through subscription-based services, including Apple Arcade, Apple Fitness+, Apple Music, Apple News+, and Apple TV+. Its wearables include smartwatches, wireless headphones, and spatial computers. Its products include iPhone 16 Pro, iPhone 16, iPhone 15, iPhone 14, iPhone SE, MacBook Air, MacBook Pro, iMac, Mac mini, Mac Studio, Mac Pro, iPad Pro, iPad Air, AirPods, AirPods Pro, AirPods Max, Apple TV, Apple Vision Pro and others.</v>
    <v>166000</v>
    <v>Nasdaq Stock Market</v>
    <v>XNAS</v>
    <v>XNAS</v>
    <v>One Apple Park Way, CUPERTINO, CA, 95014 US</v>
    <v>342.988</v>
    <v>Computers, Phones &amp; Household Electronics</v>
    <v>Stock</v>
    <v>46293.999869571096</v>
    <v>9</v>
    <v>338.04</v>
    <v>4938670512000</v>
    <v>APPLE INC.</v>
    <v>APPLE INC.</v>
    <v>340.37</v>
    <v>38.938699999999997</v>
    <v>341.07</v>
    <v>338.4</v>
    <v>14594180000</v>
    <v>AAPL</v>
    <v>APPLE INC. (XNAS:AAPL)</v>
    <v>176362</v>
    <v>41270822</v>
    <v>1977</v>
  </rv>
  <rv s="2">
    <v>10</v>
  </rv>
  <rv s="0">
    <v>https://www.bing.com/financeapi/forcetrigger?t=a1om4c&amp;q=XNYS%3aBLK&amp;form=skydnc</v>
    <v>Learn more on Bing</v>
  </rv>
  <rv s="1">
    <v>en-US</v>
    <v>a1om4c</v>
    <v>268435456</v>
    <v>1</v>
    <v>Powered by Refinitiv</v>
    <v>0</v>
    <v>BLACKROCK, INC. (XNYS:BLK)</v>
    <v>2</v>
    <v>3</v>
    <v>Finance</v>
    <v>4</v>
    <v>1219.9399000000001</v>
    <v>917.39</v>
    <v>1.4134</v>
    <v>-15.06</v>
    <v>-1.3863E-2</v>
    <v>USD</v>
    <v>BlackRock, Inc. is an investment management company. The Company provides a range of investment management and technology and subscription services to institutional and retail clients. Its diverse platforms of alpha-seeking active, private markets, index and cash management investment strategies across asset classes enable it to tailor investment outcomes and asset allocation solutions for clients. Its product offerings include single- and multi-asset portfolios investing in equities, fixed income, alternatives, and money market instruments. Its products are offered directly and through intermediaries in a range of vehicles, including open-end and closed-end mutual funds, iShares exchange-traded funds, separate accounts, collective investment funds and other pooled investment vehicles. It also offers technology services, including the investment and risk management technology platform, Aladdin, Aladdin Wealth, eFront, and Cachematrix, as well as advisory services and solutions.</v>
    <v>26200</v>
    <v>New York Stock Exchange</v>
    <v>XNYS</v>
    <v>XNYS</v>
    <v>50 Hudson Yards, NEW YORK, NY, 10001 US</v>
    <v>1083</v>
    <v>Investment Banking &amp; Investment Services</v>
    <v>Stock</v>
    <v>46293.998856689061</v>
    <v>12</v>
    <v>1063.2</v>
    <v>174052629250</v>
    <v>BLACKROCK, INC.</v>
    <v>BLACKROCK, INC.</v>
    <v>1076.99</v>
    <v>26.877700000000001</v>
    <v>1086.31</v>
    <v>1071.25</v>
    <v>162476200</v>
    <v>BLK</v>
    <v>BLACKROCK, INC. (XNYS:BLK)</v>
    <v>108</v>
    <v>569117</v>
    <v>2024</v>
  </rv>
  <rv s="2">
    <v>13</v>
  </rv>
  <rv s="0">
    <v>https://www.bing.com/financeapi/forcetrigger?t=a1qlz2&amp;q=XNYS%3aCVX&amp;form=skydnc</v>
    <v>Learn more on Bing</v>
  </rv>
  <rv s="1">
    <v>en-US</v>
    <v>a1qlz2</v>
    <v>268435456</v>
    <v>1</v>
    <v>Powered by Refinitiv</v>
    <v>0</v>
    <v>CHEVRON CORPORATION (XNYS:CVX)</v>
    <v>2</v>
    <v>3</v>
    <v>Finance</v>
    <v>4</v>
    <v>217.78</v>
    <v>146.49</v>
    <v>0.5212</v>
    <v>1.92</v>
    <v>9.391E-3</v>
    <v>USD</v>
    <v>Chevron Corporation is an integrated energy company. The Company produces crude oil and natural gas; manufactures transportation fuels, lubricants, petrochemicals and additives; and develops technologies that enhance its business and industry. The Company’s segments include Upstream and Downstream. Upstream operations consist primarily of exploring for, developing, producing and transporting crude oil and natural gas; liquefaction, transportation and regasification associated with LNG; transporting crude oil by major international oil export pipelines; processing, transporting, storage and marketing of natural gas; carbon capture and storage; and a gas-to-liquids plant. Downstream operations consist primarily of the refining of crude oil into petroleum products; marketing crude oil, refined products, and lubricants; manufacturing and marketing of renewable fuels, and transporting of crude oil and refined products by pipeline, marine vessel, motor equipment and rail car.</v>
    <v>43039</v>
    <v>New York Stock Exchange</v>
    <v>XNYS</v>
    <v>XNYS</v>
    <v>1400 SMITH STREET, HOUSTON, TX, 77002 US</v>
    <v>208.25</v>
    <v>Oil &amp; Gas</v>
    <v>Stock</v>
    <v>46293.998412789064</v>
    <v>15</v>
    <v>205.38</v>
    <v>407739861270</v>
    <v>CHEVRON CORPORATION</v>
    <v>CHEVRON CORPORATION</v>
    <v>207</v>
    <v>19.788900000000002</v>
    <v>204.45</v>
    <v>206.37</v>
    <v>1975771000</v>
    <v>CVX</v>
    <v>CHEVRON CORPORATION (XNYS:CVX)</v>
    <v>18961</v>
    <v>9545039</v>
    <v>1926</v>
  </rv>
  <rv s="2">
    <v>16</v>
  </rv>
  <rv s="0">
    <v>https://www.bing.com/financeapi/forcetrigger?t=a1p3ww&amp;q=XNYS%3aC&amp;form=skydnc</v>
    <v>Learn more on Bing</v>
  </rv>
  <rv s="1">
    <v>en-US</v>
    <v>a1p3ww</v>
    <v>268435456</v>
    <v>1</v>
    <v>Powered by Refinitiv</v>
    <v>0</v>
    <v>CITIGROUP INC. (XNYS:C)</v>
    <v>2</v>
    <v>3</v>
    <v>Finance</v>
    <v>4</v>
    <v>147.96</v>
    <v>93.66</v>
    <v>1.1091</v>
    <v>-2.97</v>
    <v>-2.2118000000000002E-2</v>
    <v>USD</v>
    <v>Citigroup Inc. is a global diversified financial services holding company. The Company's segments include Services, Markets, Banking, Wealth and U.S. Consumer Cards (USCC). The Services segment includes Treasury and Trade Solutions (TTS) and Securities Services. TTS provides an integrated suite of cash management, trade and working capital solutions to multinational corporations, financial institutions and public sector organizations. The Markets segment provides corporate, institutional and public sector clients with sales and trading services across equities, foreign exchange, rates, spread products and commodities. The Banking segment includes investment banking, which supports client capital-raising needs. The Wealth segment includes Private Bank, Wealth at Work and Citigold. The U.S. Consumer Cards segment includes branded cards, co-branded cards, private label cards and installment lending solutions.</v>
    <v>219000</v>
    <v>New York Stock Exchange</v>
    <v>XNYS</v>
    <v>XNYS</v>
    <v>388 Greenwich Street, 17th Floor, NEW YORK, NY, 10013 US</v>
    <v>133.96</v>
    <v>Investment Banking &amp; Investment Services</v>
    <v>Stock</v>
    <v>46293.999607753904</v>
    <v>18</v>
    <v>131.06</v>
    <v>220264252470</v>
    <v>CITIGROUP INC.</v>
    <v>CITIGROUP INC.</v>
    <v>133.68</v>
    <v>14.172000000000001</v>
    <v>134.28</v>
    <v>131.31</v>
    <v>1677437000</v>
    <v>C</v>
    <v>CITIGROUP INC. (XNYS:C)</v>
    <v>1321</v>
    <v>9538673</v>
    <v>1988</v>
  </rv>
  <rv s="2">
    <v>19</v>
  </rv>
  <rv s="0">
    <v>http://en.wikipedia.org/wiki/Public_domain</v>
    <v>Public domain</v>
  </rv>
  <rv s="0">
    <v>http://en.wikipedia.org/wiki/Ford_Motor_Company</v>
    <v>Wikipedia</v>
  </rv>
  <rv s="3">
    <v>21</v>
    <v>22</v>
  </rv>
  <rv s="4">
    <v>9</v>
    <v>https://www.bing.com/th?id=AMMS_cf0311a5f2d2dcb3110aca1404330618&amp;qlt=95</v>
    <v>23</v>
    <v>0</v>
    <v>https://www.bing.com/images/search?form=xlimg&amp;q=ford+motor+company</v>
    <v>Image of FORD MOTOR COMPANY</v>
  </rv>
  <rv s="0">
    <v>https://www.bing.com/financeapi/forcetrigger?t=a1sjw7&amp;q=XNYS%3aF&amp;form=skydnc</v>
    <v>Learn more on Bing</v>
  </rv>
  <rv s="5">
    <v>en-US</v>
    <v>a1sjw7</v>
    <v>268435456</v>
    <v>1</v>
    <v>Powered by Refinitiv</v>
    <v>5</v>
    <v>FORD MOTOR COMPANY (XNYS:F)</v>
    <v>7</v>
    <v>8</v>
    <v>Finance</v>
    <v>4</v>
    <v>17.78</v>
    <v>11.11</v>
    <v>1.9253</v>
    <v>-0.33</v>
    <v>-2.5964000000000001E-2</v>
    <v>USD</v>
    <v>Ford Motor Company develops and delivers Ford trucks, sport utility vehicles, commercial vans and cars, and Lincoln luxury vehicles, along with connected services, including BlueCruise (ADAS) and security. The Company's segments include Ford Blue, Ford Model e, Ford Pro, and Ford Credit. The Ford Blue segment primarily includes the sale of Ford and Lincoln internal combustion engine (ICE) and hybrid vehicles, service parts, accessories, and digital services for retail customers. The Ford Model e segment primarily includes the sale of its electric vehicles, service parts, accessories, and digital services for retail customers. The Ford Pro segment primarily includes the sale of Ford and Lincoln vehicles, service parts, accessories, and services for commercial, government, and rental customers. The Ford Credit segment consists of the Ford Credit business on a consolidated basis, which is primarily vehicle-related financing and leasing activities. Its vehicle brands are Ford and Lincoln.</v>
    <v>169000</v>
    <v>New York Stock Exchange</v>
    <v>XNYS</v>
    <v>XNYS</v>
    <v>One American Road, DEARBORN, MI, 48126-2701 US</v>
    <v>12.6692</v>
    <v>24</v>
    <v>Automobiles &amp; Auto Parts</v>
    <v>Stock</v>
    <v>46293.999887210157</v>
    <v>25</v>
    <v>12.29</v>
    <v>49366438480</v>
    <v>FORD MOTOR COMPANY</v>
    <v>FORD MOTOR COMPANY</v>
    <v>12.63</v>
    <v>12.71</v>
    <v>12.38</v>
    <v>3987596000</v>
    <v>F</v>
    <v>FORD MOTOR COMPANY (XNYS:F)</v>
    <v>23226</v>
    <v>47153285</v>
    <v>1919</v>
  </rv>
  <rv s="2">
    <v>26</v>
  </rv>
  <rv s="0">
    <v>http://en.wikipedia.org/wiki/Honda</v>
    <v>Wikipedia</v>
  </rv>
  <rv s="3">
    <v>21</v>
    <v>28</v>
  </rv>
  <rv s="4">
    <v>9</v>
    <v>https://www.bing.com/th?id=AMMS_c0d58c8e4f696e2ded6f7419ca250bd7&amp;qlt=95</v>
    <v>29</v>
    <v>0</v>
    <v>https://www.bing.com/images/search?form=xlimg&amp;q=honda</v>
    <v>Image of HONDA MOTOR CO., LTD.</v>
  </rv>
  <rv s="0">
    <v>https://www.bing.com/financeapi/forcetrigger?t=a1uqyc&amp;q=XNYS%3aHMC&amp;form=skydnc</v>
    <v>Learn more on Bing</v>
  </rv>
  <rv s="5">
    <v>en-US</v>
    <v>a1uqyc</v>
    <v>268435456</v>
    <v>1</v>
    <v>Powered by Refinitiv</v>
    <v>5</v>
    <v>HONDA MOTOR CO., LTD. (XNYS:HMC)</v>
    <v>7</v>
    <v>8</v>
    <v>Finance</v>
    <v>10</v>
    <v>33.445</v>
    <v>23.245000000000001</v>
    <v>0.48799999999999999</v>
    <v>-0.44</v>
    <v>-1.3362000000000001E-2</v>
    <v>USD</v>
    <v>Honda Motor Co Ltd is a Japan-based company principally engaged in the motorcycle business, the automobile business, the financial service business and the life creation business. The Company operates through four business segments. The Motorcycle segment is engaged in the research and development, production and sale of motorcycles, all-terrain vehicles (ATVs), side-by-side vehicles and related parts. The Automobile segment is engaged in the research and development, production and sale of automobiles and related parts. The Financial Service segment is engaged in the sales financing and leasing of its products. The Power Products and Other Business segment is engaged in the research and development, production and sale of power products and related parts.</v>
    <v>195109</v>
    <v>New York Stock Exchange</v>
    <v>XNYS</v>
    <v>XNYS</v>
    <v>Toranomon Alcea Tower, 2-2-3, Toranomon, MINATO-KU, TOKYO-TO, 105-8404 JP</v>
    <v>32.772100000000002</v>
    <v>30</v>
    <v>Automobiles &amp; Auto Parts</v>
    <v>Stock</v>
    <v>46293.999129513279</v>
    <v>31</v>
    <v>32.43</v>
    <v>49092390000</v>
    <v>HONDA MOTOR CO., LTD.</v>
    <v>HONDA MOTOR CO., LTD.</v>
    <v>32.72</v>
    <v>32.93</v>
    <v>32.49</v>
    <v>1511000000</v>
    <v>HMC</v>
    <v>HONDA MOTOR CO., LTD. (XNYS:HMC)</v>
    <v>291</v>
    <v>851394</v>
    <v>1948</v>
  </rv>
  <rv s="2">
    <v>32</v>
  </rv>
  <rv s="0">
    <v>https://www.bing.com/financeapi/forcetrigger?t=a1waa2&amp;q=XNYS%3aJPM&amp;form=skydnc</v>
    <v>Learn more on Bing</v>
  </rv>
  <rv s="1">
    <v>en-US</v>
    <v>a1waa2</v>
    <v>268435456</v>
    <v>1</v>
    <v>Powered by Refinitiv</v>
    <v>0</v>
    <v>JPMORGAN CHASE &amp; CO. (XNYS:JPM)</v>
    <v>2</v>
    <v>3</v>
    <v>Finance</v>
    <v>4</v>
    <v>366.5</v>
    <v>279.10000000000002</v>
    <v>1.0116000000000001</v>
    <v>-6.47</v>
    <v>-1.8859999999999998E-2</v>
    <v>USD</v>
    <v>JPMorgan Chase &amp; Co. is a financial holding company engaged in investment banking, financial services for consumers and small businesses, commercial banking, financial transaction processing and asset management. It operates through three segments: Consumer &amp; Community Banking (CCB), Commercial &amp; Investment Bank (CIB), and Asset &amp; Wealth Management (AWM). Its CCB segment offers products and services to consumers and small businesses through bank branches, ATMs, digital and telephone banking. Its CIB segment consists of banking and payments and markets and securities services, and offers a suite of investment banking, lending, payments, market-making, financing, custody and securities products and services to a global base of corporate and institutional clients. Its AWM segment offers investment and wealth management solutions. It offers multi-asset investment management solutions, retirement products and services, brokerage, custody, estate planning, lending, deposits, and others.</v>
    <v>320560</v>
    <v>New York Stock Exchange</v>
    <v>XNYS</v>
    <v>XNYS</v>
    <v>270 Park Avenue, NEW YORK, NY, 10017 US</v>
    <v>342</v>
    <v>Banking Services</v>
    <v>Stock</v>
    <v>46293.999597117967</v>
    <v>34</v>
    <v>336.3</v>
    <v>894718825739</v>
    <v>JPMORGAN CHASE &amp; CO.</v>
    <v>JPMORGAN CHASE &amp; CO.</v>
    <v>341.83</v>
    <v>14.416700000000001</v>
    <v>343.06</v>
    <v>336.59</v>
    <v>2658186000</v>
    <v>JPM</v>
    <v>JPMORGAN CHASE &amp; CO. (XNYS:JPM)</v>
    <v>9448</v>
    <v>7281975</v>
    <v>1968</v>
  </rv>
  <rv s="2">
    <v>35</v>
  </rv>
  <rv s="0">
    <v>https://www.bing.com/financeapi/forcetrigger?t=a1slm7&amp;q=XNAS%3aMETA&amp;form=skydnc</v>
    <v>Learn more on Bing</v>
  </rv>
  <rv s="1">
    <v>en-US</v>
    <v>a1slm7</v>
    <v>268435456</v>
    <v>1</v>
    <v>Powered by Refinitiv</v>
    <v>0</v>
    <v>META PLATFORMS, INC. (XNAS:META)</v>
    <v>2</v>
    <v>3</v>
    <v>Finance</v>
    <v>4</v>
    <v>779.81920000000002</v>
    <v>520.26</v>
    <v>1.1961999999999999</v>
    <v>-36.04</v>
    <v>-4.7946999999999997E-2</v>
    <v>USD</v>
    <v>Meta Platforms, Inc. is building human connections, powered by artificial intelligence and immersive technologies. The Company's products enable people to connect and share with friends and family through mobile devices, personal computers, virtual reality (VR) and mixed reality (MR) headsets, augmented reality (AR), and wearables. It also helps people discover and learn about what is going on in the world around them, enabling people to share their experiences, ideas, photos, videos, and other content with audiences ranging from their closest family members and friends to the public at large. The Company's segments include Family of Apps (FoA) and Reality Labs (RL). FoA segment includes Facebook, Instagram, Messenger, WhatsApp and Threads. RL segment includes its virtual, augmented, and mixed reality related consumer hardware, software and content. Its product offerings in VR include its Meta Quest devices, as well as software and content available through the Meta Horizon Store.</v>
    <v>75472</v>
    <v>Nasdaq Stock Market</v>
    <v>XNAS</v>
    <v>XNAS</v>
    <v>1 Meta Way, MENLO PARK, CA, 94025 US</v>
    <v>750.57600000000002</v>
    <v>Software &amp; IT Services</v>
    <v>Stock</v>
    <v>46293.999946735938</v>
    <v>37</v>
    <v>713.19</v>
    <v>1823046243720</v>
    <v>META PLATFORMS, INC.</v>
    <v>META PLATFORMS, INC.</v>
    <v>750.04</v>
    <v>24.7805</v>
    <v>751.66</v>
    <v>715.62</v>
    <v>2547506000</v>
    <v>META</v>
    <v>META PLATFORMS, INC. (XNAS:META)</v>
    <v>261952</v>
    <v>21675046</v>
    <v>2004</v>
  </rv>
  <rv s="2">
    <v>38</v>
  </rv>
  <rv s="0">
    <v>https://www.bing.com/financeapi/forcetrigger?t=a1yv52&amp;q=XNAS%3aNVDA&amp;form=skydnc</v>
    <v>Learn more on Bing</v>
  </rv>
  <rv s="1">
    <v>en-US</v>
    <v>a1yv52</v>
    <v>268435456</v>
    <v>1</v>
    <v>Powered by Refinitiv</v>
    <v>0</v>
    <v>NVIDIA CORPORATION (XNAS:NVDA)</v>
    <v>2</v>
    <v>3</v>
    <v>Finance</v>
    <v>4</v>
    <v>236.54</v>
    <v>164.27</v>
    <v>2.2191000000000001</v>
    <v>3.79</v>
    <v>1.6839E-2</v>
    <v>USD</v>
    <v>NVIDIA Corporation is an artificial intelligence (AI) infrastructure company. The Company is engaged in accelerated computing to help solve the challenging computational problems. Its segments include Compute &amp; Networking and Graphics. The Compute &amp; Networking segment includes its Data Center accelerated computing and networking platforms and AI solutions and software, and automotive platforms and autonomous and electric vehicle solutions, including software. The Graphics segment includes GeForce GPUs for gaming and personal computers (PCs), and Quadro/NVIDIA RTX GPUs for enterprise workstation graphics. Its technology stack includes the foundational NVIDIA CUDA development platform that runs on all NVIDIA GPUs, as well as hundreds of domain-specific software libraries, frameworks, algorithms, software development kits (SDKs), and application programming interfaces (APIs). Its platforms address four markets, which include Data Center, Gaming, Professional Visualization, and Automotive.</v>
    <v>42000</v>
    <v>Nasdaq Stock Market</v>
    <v>XNAS</v>
    <v>XNAS</v>
    <v>2788 San Tomas Expressway, SANTA CLARA, CA, 95051 US</v>
    <v>233.21</v>
    <v>Semiconductors &amp; Semiconductor Equipment</v>
    <v>Stock</v>
    <v>46293.999991700781</v>
    <v>40</v>
    <v>228.04</v>
    <v>5515526000000</v>
    <v>NVIDIA CORPORATION</v>
    <v>NVIDIA CORPORATION</v>
    <v>229.75</v>
    <v>28.930299999999999</v>
    <v>225.07</v>
    <v>228.86</v>
    <v>24100000000</v>
    <v>NVDA</v>
    <v>NVIDIA CORPORATION (XNAS:NVDA)</v>
    <v>1381394</v>
    <v>126261017</v>
    <v>1998</v>
  </rv>
  <rv s="2">
    <v>41</v>
  </rv>
  <rv s="0">
    <v>https://www.bing.com/financeapi/forcetrigger?t=by9i27&amp;q=XLON%3a0R2N&amp;form=skydnc</v>
    <v>Learn more on Bing</v>
  </rv>
  <rv s="6">
    <v>en-US</v>
    <v>by9i27</v>
    <v>268435456</v>
    <v>1</v>
    <v>Powered by Refinitiv</v>
    <v>11</v>
    <v>RTX CORPORATION (XLON:0R2N)</v>
    <v>2</v>
    <v>12</v>
    <v>Finance</v>
    <v>13</v>
    <v>229</v>
    <v>155.08000000000001</v>
    <v>0.2964</v>
    <v>0.39</v>
    <v>2.0630000000000002E-3</v>
    <v>USD</v>
    <v>RTX Corporation is an aerospace and defense company, which provides advanced systems and services for commercial, military, and government customers worldwide. The Company operates through three segments: Collins Aerospace, Pratt &amp; Whitney, and Raytheon. Collins Aerospace segment provides technologically advanced aerospace and defense products and aftermarket service solutions for civil and military aircraft manufacturers, commercial airlines, and regional, business and general aviation, as well as for defense and commercial space operations. The Pratt &amp; Whitney segment supplies aircraft engines for commercial, military, business jet, and general aviation customers. The Raytheon segment provides defensive and offensive threat detection, tracking and mitigation capabilities for the United States and foreign government and commercial customers. The Raytheon designs, develops, and provides advanced capabilities in integrated air and missile defense, smart weapons, missiles and others.</v>
    <v>180000</v>
    <v>London Stock Exchange</v>
    <v>XLON</v>
    <v>XLON</v>
    <v>1000 Wilson Blvd, ARLINGTON, VA, 22209 US</v>
    <v>Aerospace &amp; Defense</v>
    <v>Stock</v>
    <v>46294.46940208281</v>
    <v>43</v>
    <v>252920300000</v>
    <v>RTX CORPORATION</v>
    <v>RTX CORPORATION</v>
    <v>187</v>
    <v>33.347999999999999</v>
    <v>189</v>
    <v>189.39</v>
    <v>1347758000</v>
    <v>0R2N</v>
    <v>RTX CORPORATION (XLON:0R2N)</v>
    <v>322</v>
    <v>4375240</v>
    <v>1934</v>
  </rv>
  <rv s="2">
    <v>44</v>
  </rv>
  <rv s="0">
    <v>https://www.bing.com/financeapi/forcetrigger?t=a1o4ec&amp;q=XNYS%3aBA&amp;form=skydnc</v>
    <v>Learn more on Bing</v>
  </rv>
  <rv s="1">
    <v>en-US</v>
    <v>a1o4ec</v>
    <v>268435456</v>
    <v>1</v>
    <v>Powered by Refinitiv</v>
    <v>0</v>
    <v>THE BOEING COMPANY (XNYS:BA)</v>
    <v>2</v>
    <v>3</v>
    <v>Finance</v>
    <v>4</v>
    <v>254.34989999999999</v>
    <v>176.77</v>
    <v>1.2471000000000001</v>
    <v>-13.68</v>
    <v>-6.9066000000000002E-2</v>
    <v>USD</v>
    <v>The Boeing Company is an aerospace company. Its segments include Commercial Airplanes (BCA), Defense, Space &amp; Security (BDS), and Global Services (BGS). Its BCA segment develops, produces and markets commercial jet aircraft principally for the commercial airline industry worldwide. Its family of commercial jet aircraft in production includes the 737 narrow-body model and the 767, 777 and 787 wide-body models. Its BDS segment is engaged in the research, development, production and modification of manned and unmanned military aircraft and weapons systems for strike, surveillance and mobility. Its BGS segment provides services to its commercial and defense customers worldwide. It sustains aerospace platforms and systems with a range of products and services, including supply chain and logistics management, engineering, maintenance and modifications, upgrades and conversions, spare parts, pilot and maintenance training systems and services, technical and maintenance documents, and others.</v>
    <v>182000</v>
    <v>New York Stock Exchange</v>
    <v>XNYS</v>
    <v>XNYS</v>
    <v>929 Long Bridge Drive, ARLINGTON, VA, 22202 US</v>
    <v>192.77</v>
    <v>Aerospace &amp; Defense</v>
    <v>Stock</v>
    <v>46293.999992024997</v>
    <v>46</v>
    <v>184.01</v>
    <v>145736324300</v>
    <v>THE BOEING COMPANY</v>
    <v>THE BOEING COMPANY</v>
    <v>192.61500000000001</v>
    <v>73.11</v>
    <v>198.07</v>
    <v>184.39</v>
    <v>790370000</v>
    <v>BA</v>
    <v>THE BOEING COMPANY (XNYS:BA)</v>
    <v>64191</v>
    <v>6295808</v>
    <v>1934</v>
  </rv>
  <rv s="2">
    <v>47</v>
  </rv>
  <rv s="0">
    <v>https://www.bing.com/financeapi/forcetrigger?t=a24bh7&amp;q=XNYS%3aTM&amp;form=skydnc</v>
    <v>Learn more on Bing</v>
  </rv>
  <rv s="1">
    <v>en-US</v>
    <v>a24bh7</v>
    <v>268435456</v>
    <v>1</v>
    <v>Powered by Refinitiv</v>
    <v>0</v>
    <v>TOYOTA MOTOR CORPORATION (XNYS:TM)</v>
    <v>2</v>
    <v>3</v>
    <v>Finance</v>
    <v>4</v>
    <v>248.9</v>
    <v>166.1</v>
    <v>0.62129999999999996</v>
    <v>-2.04</v>
    <v>-1.0718E-2</v>
    <v>USD</v>
    <v>TOYOTA MOTOR CORPORATION is a Japan-based company mainly engaged in the automotive business, as well as financial services and other businesses. It operates through three business segments. The Automotive segment designs, manufactures, and sells automobiles, including sedans, minivans, compact cars, sport utility vehicles (SUVs), and trucks, as well as related parts and accessories. The Financial Services segment provides financing and vehicle leasing services to complement the sales of automobiles and other products manufactured by itself and its affiliates. The Other segment is engaged in information and communications services. It also oversees manufacturing and sales companies, conducts public relations and research activities, oversees financial companies, and develops various mobility products, primarily software.</v>
    <v>390927</v>
    <v>New York Stock Exchange</v>
    <v>XNYS</v>
    <v>XNYS</v>
    <v>1, Toyota-cho, TOYOTA-SHI, AICHI-KEN, 471-8571 JP</v>
    <v>189.77</v>
    <v>Automobiles &amp; Auto Parts</v>
    <v>Stock</v>
    <v>46293.997741342188</v>
    <v>49</v>
    <v>187.88</v>
    <v>274823661700</v>
    <v>TOYOTA MOTOR CORPORATION</v>
    <v>TOYOTA MOTOR CORPORATION</v>
    <v>189.2</v>
    <v>8.7103000000000002</v>
    <v>190.34</v>
    <v>188.3</v>
    <v>1459499000</v>
    <v>TM</v>
    <v>TOYOTA MOTOR CORPORATION (XNYS:TM)</v>
    <v>1295</v>
    <v>328792</v>
    <v>1937</v>
  </rv>
  <rv s="2">
    <v>50</v>
  </rv>
  <rv s="0">
    <v>https://www.bing.com/financeapi/forcetrigger?t=a25ya2&amp;q=XNYS%3aWMT&amp;form=skydnc</v>
    <v>Learn more on Bing</v>
  </rv>
  <rv s="1">
    <v>en-US</v>
    <v>a25ya2</v>
    <v>268435456</v>
    <v>1</v>
    <v>Powered by Refinitiv</v>
    <v>0</v>
    <v>WALMART INC. (XNAS:WMT)</v>
    <v>2</v>
    <v>3</v>
    <v>Finance</v>
    <v>4</v>
    <v>135.155</v>
    <v>98.88</v>
    <v>0.57540000000000002</v>
    <v>0.75</v>
    <v>6.9459999999999999E-3</v>
    <v>USD</v>
    <v>Walmart Inc. is a technology-powered omnichannel retailer. The Company is engaged in the operation of retail and wholesale stores and clubs, as well as eCommerce websites and mobile applications, located throughout the United States (U.S.), Africa, Canada, Central America, Chile, China, India and Mexico. It operates in three reportable segments: Walmart U.S., Walmart International and Sam's Club U.S. The Walmart U.S. segment includes the Company's mass merchandising concept in the U.S., as well as eCommerce, which includes omnichannel initiatives and certain other business offerings such as advertising services. The Walmart International segment consists of the Company's operations outside of the U.S., as well as eCommerce, which includes omnichannel initiatives. The Sam's Club U.S. segment includes the warehouse membership clubs in the U.S., as well as eCommerce, which includes omnichannel initiatives.</v>
    <v>2100000</v>
    <v>Nasdaq Stock Market</v>
    <v>XNAS</v>
    <v>XNAS</v>
    <v>1 Customer Drive, BENTONVILLE, AR, 72716 US</v>
    <v>109.41500000000001</v>
    <v>Food &amp; Drug Retailing</v>
    <v>Stock</v>
    <v>46293.999668911718</v>
    <v>52</v>
    <v>107.27</v>
    <v>862636202580</v>
    <v>WALMART INC.</v>
    <v>WALMART INC.</v>
    <v>107.9</v>
    <v>39.394199999999998</v>
    <v>107.98</v>
    <v>108.73</v>
    <v>7933746000</v>
    <v>WMT</v>
    <v>WALMART INC. (XNAS:WMT)</v>
    <v>22806</v>
    <v>24778521</v>
    <v>1969</v>
  </rv>
  <rv s="2">
    <v>53</v>
  </rv>
  <rv s="0">
    <v>https://en.wikipedia.org/wiki/Microsoft</v>
    <v>Wikipedia</v>
  </rv>
  <rv s="3">
    <v>21</v>
    <v>55</v>
  </rv>
  <rv s="4">
    <v>9</v>
    <v>https://www.bing.com/th?id=AMMS_e6e837c7bf3a77408619758b7447855a&amp;qlt=95</v>
    <v>56</v>
    <v>0</v>
    <v>https://www.bing.com/images/search?form=xlimg&amp;q=microsoft</v>
    <v>Image of MICROSOFT CORPORATION</v>
  </rv>
  <rv s="0">
    <v>https://www.bing.com/financeapi/forcetrigger?t=a1xzim&amp;q=XNAS%3aMSFT&amp;form=skydnc</v>
    <v>Learn more on Bing</v>
  </rv>
  <rv s="7">
    <v>en-US</v>
    <v>a1xzim</v>
    <v>268435456</v>
    <v>1</v>
    <v>Powered by Refinitiv</v>
    <v>14</v>
    <v>MICROSOFT CORPORATION (XNAS:MSFT)</v>
    <v>7</v>
    <v>15</v>
    <v>Finance</v>
    <v>4</v>
    <v>553.72</v>
    <v>349.2</v>
    <v>1.1008</v>
    <v>-6.95</v>
    <v>-1.3465E-2</v>
    <v>USD</v>
    <v>Microsoft Corporation is a technology company. The Company develops and supports software, services, devices, and solutions. The Company’s segments include Productivity and Business Processes, Intelligent Cloud, and More Personal Computing. The Productivity and Business Processes segment consists of products and services in its portfolio of productivity, communication, and information services. This segment primarily comprises: Office Commercial, Office Consumer, LinkedIn, and Dynamics business solutions. The Intelligent Cloud segment consists of server products and cloud services, including Azure and other cloud services, SQL Server, Windows Server, Visual Studio, System Center, and related Client Access Licenses (CALs), and Nuance and GitHub; and Enterprise Services, including enterprise support services, industry solutions and Nuance professional services. The More Personal Computing segment primarily comprises Windows, Devices, Gaming, and search and news advertising.</v>
    <v>223000</v>
    <v>Nasdaq Stock Market</v>
    <v>XNAS</v>
    <v>XNAS</v>
    <v>One Microsoft Way, REDMOND, WA, 98052 US</v>
    <v>513.33000000000004</v>
    <v>57</v>
    <v>Software &amp; IT Services</v>
    <v>Stock</v>
    <v>46293.99994423594</v>
    <v>58</v>
    <v>502.22</v>
    <v>3781236024900</v>
    <v>MICROSOFT CORPORATION</v>
    <v>MICROSOFT CORPORATION</v>
    <v>505.47</v>
    <v>28.374099999999999</v>
    <v>516.16999999999996</v>
    <v>509.22</v>
    <v>7425545000</v>
    <v>MSFT</v>
    <v>MICROSOFT CORPORATION (XNAS:MSFT)</v>
    <v>77595</v>
    <v>21799757</v>
    <v>1993</v>
  </rv>
  <rv s="2">
    <v>59</v>
  </rv>
  <rv s="0">
    <v>https://www.bing.com/financeapi/forcetrigger?t=a1o4mw&amp;q=XNYS%3aBABA&amp;form=skydnc</v>
    <v>Learn more on Bing</v>
  </rv>
  <rv s="1">
    <v>en-US</v>
    <v>a1o4mw</v>
    <v>268435456</v>
    <v>1</v>
    <v>Powered by Refinitiv</v>
    <v>0</v>
    <v>Alibaba Group Holding Limited (XNYS:BABA)</v>
    <v>2</v>
    <v>3</v>
    <v>Finance</v>
    <v>4</v>
    <v>192.67</v>
    <v>91.99</v>
    <v>0.46160000000000001</v>
    <v>-0.98</v>
    <v>-8.9300000000000004E-3</v>
    <v>USD</v>
    <v>Alibaba Group Holding Ltd is an investment holding company mainly engaged in the provision of technology infrastructure and marketing platforms. The Company operates its business through four segments. The Alibaba China E-commerce Group segment is mainly engaged in E-commerce business, including operating Tmall Supermarket and Tmall Global, providing customer management services, product sales, as well as logistics services. It also operates quick commerce business such as Taobao Instant Commerce and Ele.me, as well as the China commerce wholesale business through 1688.com. The Alibaba International Digital Commerce Group segment is mainly engaged in international commerce retail and wholesale business, operating platforms such as AliExpress, Trendyol, Lazada and Alibaba.com. The Cloud Intelligence Group segment mainly provides public and non-public cloud services. The Other segments primarily include the operations of Freshippo, Cainiao, Alibaba Health and other business.</v>
    <v>132165</v>
    <v>New York Stock Exchange</v>
    <v>XNYS</v>
    <v>XNYS</v>
    <v>26/F, Tower One, Times Square, 1 Matheson Street, Causeway Bay HK</v>
    <v>110.12</v>
    <v>Software &amp; IT Services</v>
    <v>Stock</v>
    <v>46293.999931296094</v>
    <v>61</v>
    <v>108.76</v>
    <v>270336466240</v>
    <v>Alibaba Group Holding Limited</v>
    <v>Alibaba Group Holding Limited</v>
    <v>109.64</v>
    <v>24.247199999999999</v>
    <v>109.74</v>
    <v>108.76</v>
    <v>2485624000</v>
    <v>BABA</v>
    <v>Alibaba Group Holding Limited (XNYS:BABA)</v>
    <v>174436</v>
    <v>10945226</v>
    <v>1999</v>
  </rv>
  <rv s="2">
    <v>62</v>
  </rv>
  <rv s="0">
    <v>https://www.bing.com/financeapi/forcetrigger?t=a1retc&amp;q=XNYS%3aDELL&amp;form=skydnc</v>
    <v>Learn more on Bing</v>
  </rv>
  <rv s="1">
    <v>en-US</v>
    <v>a1retc</v>
    <v>268435456</v>
    <v>1</v>
    <v>Powered by Refinitiv</v>
    <v>0</v>
    <v>DELL TECHNOLOGIES INC. (XNYS:DELL)</v>
    <v>2</v>
    <v>3</v>
    <v>Finance</v>
    <v>4</v>
    <v>595.51</v>
    <v>110.22</v>
    <v>1.3674999999999999</v>
    <v>-19.46</v>
    <v>-3.4571999999999999E-2</v>
    <v>USD</v>
    <v>Dell Technologies Inc. is a global technology company. The Company designs, develops, manufactures, markets, sells, and supports a range of comprehensive and integrated solutions, products, and services. Its segments include Infrastructure Solutions Group (ISG) and Client Solutions Group (CSG). ISG includes the Company’s artificial intelligence (AI)-optimized servers' offerings, traditional servers and networking offerings, and storage offerings as major product categories. The Company's AI-optimized servers are designed to run high-value workloads, including AI model training, fine-tuning, and inferencing. CSG includes the Company’s commercial offerings and consumer offerings as major product categories. The Company’s CSG portfolio includes branded PCs including notebooks, desktops, workstations and branded peripherals that include displays, docking stations, keyboards, mice, and webcam and audio devices, as well as third-party software and peripherals.</v>
    <v>97000</v>
    <v>New York Stock Exchange</v>
    <v>XNYS</v>
    <v>XNYS</v>
    <v>One Dell Way, ROUND ROCK, TX, 78682 US</v>
    <v>557</v>
    <v>Computers, Phones &amp; Household Electronics</v>
    <v>Stock</v>
    <v>46293.999834154689</v>
    <v>64</v>
    <v>535.5</v>
    <v>345519695560</v>
    <v>DELL TECHNOLOGIES INC.</v>
    <v>DELL TECHNOLOGIES INC.</v>
    <v>551.74</v>
    <v>31.531300000000002</v>
    <v>562.89</v>
    <v>543.42999999999995</v>
    <v>635812700</v>
    <v>DELL</v>
    <v>DELL TECHNOLOGIES INC. (XNYS:DELL)</v>
    <v>35508</v>
    <v>9872099</v>
    <v>2026</v>
  </rv>
  <rv s="2">
    <v>65</v>
  </rv>
  <rv s="0">
    <v>https://www.bing.com/financeapi/forcetrigger?t=a1u7xm&amp;q=XNYS%3aGS&amp;form=skydnc</v>
    <v>Learn more on Bing</v>
  </rv>
  <rv s="1">
    <v>en-US</v>
    <v>a1u7xm</v>
    <v>268435456</v>
    <v>1</v>
    <v>Powered by Refinitiv</v>
    <v>0</v>
    <v>THE GOLDMAN SACHS GROUP, INC. (XNYS:GS)</v>
    <v>2</v>
    <v>3</v>
    <v>Finance</v>
    <v>4</v>
    <v>1153.99</v>
    <v>740.01</v>
    <v>1.2712000000000001</v>
    <v>-19.170000000000002</v>
    <v>-2.0493000000000001E-2</v>
    <v>USD</v>
    <v>The Goldman Sachs Group, Inc. is a global financial institution that delivers a range of financial services to a large and diversified client base that includes corporations, financial institutions, governments and individuals. Its segments include Global Banking &amp; Markets, Asset &amp; Wealth Management and Platform Solutions. The Global Banking &amp; Markets segment offers a range of services, including financing, advisory services, risk distribution, and hedging for its institutional and corporate clients. It facilitates client transactions and makes markets in fixed income, equity, currency and commodity products. The Asset &amp; Wealth Management segment manages assets and offers investment products across all asset classes to a diverse set of clients. It also provides investing and wealth advisory solutions. The Platform Solutions segment includes consumer platforms, such as partnerships offering credit cards and point-of-sale financing, and transaction banking and other platform businesses.</v>
    <v>46200</v>
    <v>New York Stock Exchange</v>
    <v>XNYS</v>
    <v>XNYS</v>
    <v>200 West St, NEW YORK, NY, 10282 US</v>
    <v>932</v>
    <v>Investment Banking &amp; Investment Services</v>
    <v>Stock</v>
    <v>46293.999648657031</v>
    <v>67</v>
    <v>914.5</v>
    <v>266794530392</v>
    <v>THE GOLDMAN SACHS GROUP, INC.</v>
    <v>THE GOLDMAN SACHS GROUP, INC.</v>
    <v>930.94</v>
    <v>14.1387</v>
    <v>935.45</v>
    <v>916.28</v>
    <v>291171400</v>
    <v>GS</v>
    <v>THE GOLDMAN SACHS GROUP, INC. (XNYS:GS)</v>
    <v>3601</v>
    <v>2069392</v>
    <v>1998</v>
  </rv>
  <rv s="2">
    <v>68</v>
  </rv>
  <rv s="0">
    <v>https://www.bing.com/financeapi/forcetrigger?t=a269ec&amp;q=XNYS%3aXOM&amp;form=skydnc</v>
    <v>Learn more on Bing</v>
  </rv>
  <rv s="1">
    <v>en-US</v>
    <v>a269ec</v>
    <v>268435456</v>
    <v>1</v>
    <v>Powered by Refinitiv</v>
    <v>0</v>
    <v>EXXONMOBIL HOLDINGS CORPORATION (XNYS:XOM)</v>
    <v>2</v>
    <v>3</v>
    <v>Finance</v>
    <v>4</v>
    <v>176.41</v>
    <v>110.38500000000001</v>
    <v>0.2089</v>
    <v>1.93</v>
    <v>1.2017999999999999E-2</v>
    <v>USD</v>
    <v>ExxonMobil Holdings Corporation is a holding company whose direct, wholly owned subsidiary and principal operating company is Exxon Mobil Corporation. Its principal business involves exploration and production of crude oil and natural gas; manufacture, trade, transport and sale of crude oil, natural gas, petroleum products, petrochemicals, and a wide variety of specialty products; and pursuit of lower-emission and other new business opportunities, including carbon capture and storage, hydrogen and ammonia, lower-emission fuels, Proxxima resin systems, carbon materials, low-carbon data centers, and lithium. Affiliates of the Company conduct research programs in support of these businesses. It operates or markets its products in the United States and most other countries of the world. Its Upstream businesses include unconventional, conventional, deepwater, heavy oil and liquefied natural gas. It also manufactures and distributes products derived from crude oil and other feedstocks.</v>
    <v>58000</v>
    <v>New York Stock Exchange</v>
    <v>XNYS</v>
    <v>XNYS</v>
    <v>22777 SPRINGWOODS VILLAGE PKWY, SPRING, TX, 77389-1425 US</v>
    <v>163.54</v>
    <v>Oil &amp; Gas</v>
    <v>Stock</v>
    <v>46293.999942928123</v>
    <v>70</v>
    <v>161.05000000000001</v>
    <v>668267938240</v>
    <v>EXXONMOBIL HOLDINGS CORPORATION</v>
    <v>EXXONMOBIL HOLDINGS CORPORATION</v>
    <v>162.80000000000001</v>
    <v>20.958500000000001</v>
    <v>160.59</v>
    <v>162.52000000000001</v>
    <v>4111912000</v>
    <v>XOM</v>
    <v>EXXONMOBIL HOLDINGS CORPORATION (XNYS:XOM)</v>
    <v>16029</v>
    <v>14491898</v>
    <v>2026</v>
  </rv>
  <rv s="2">
    <v>71</v>
  </rv>
  <rv s="0">
    <v>https://www.bing.com/financeapi/forcetrigger?t=a1tyrw&amp;q=XNYS%3aGM&amp;form=skydnc</v>
    <v>Learn more on Bing</v>
  </rv>
  <rv s="1">
    <v>en-US</v>
    <v>a1tyrw</v>
    <v>268435456</v>
    <v>1</v>
    <v>Powered by Refinitiv</v>
    <v>0</v>
    <v>GENERAL MOTORS COMPANY (XNYS:GM)</v>
    <v>2</v>
    <v>3</v>
    <v>Finance</v>
    <v>4</v>
    <v>91.85</v>
    <v>54.33</v>
    <v>1.3933</v>
    <v>-1.99</v>
    <v>-2.4083E-2</v>
    <v>USD</v>
    <v>General Motors Company designs, builds and sells trucks, crossovers, cars and automobile parts and provides software-enabled services and subscriptions worldwide. The Company's segments include GMNA, GMI and GM Financial. Its GM North America (GMNA) and GM International (GMI) segment develop, manufacture and/or markets vehicles under the Buick, Cadillac, Chevrolet and GMC brands. The Company's GM Financial segment provides automotive financing and related services. The Company is also focused on investing in electric vehicles (EVs) and autonomous vehicles (Avs), software-enabled services and subscriptions and new business opportunities. The Company's portfolio includes OnStar, GM Energy, GM Insurance, GM Genuine Parts, and the GM Company Store. Its OnStar portfolio offers safety, connectivity and hands-free driver assistance technologies. Its GM Energy provides Home EV Charging, Public EV Charging, Vehicle-To-Home and Energy Storage services.</v>
    <v>156000</v>
    <v>New York Stock Exchange</v>
    <v>XNYS</v>
    <v>XNYS</v>
    <v>P.O. Box 33170, DETROIT, MI, 48232-5170 US</v>
    <v>82.69</v>
    <v>Automobiles &amp; Auto Parts</v>
    <v>Stock</v>
    <v>46293.997983657035</v>
    <v>73</v>
    <v>80.430000000000007</v>
    <v>70757688960</v>
    <v>GENERAL MOTORS COMPANY</v>
    <v>GENERAL MOTORS COMPANY</v>
    <v>81.900000000000006</v>
    <v>40.673499999999997</v>
    <v>82.63</v>
    <v>80.64</v>
    <v>877451500</v>
    <v>GM</v>
    <v>GENERAL MOTORS COMPANY (XNYS:GM)</v>
    <v>1634</v>
    <v>7009647</v>
    <v>2009</v>
  </rv>
  <rv s="2">
    <v>74</v>
  </rv>
  <rv s="0">
    <v>https://www.bing.com/financeapi/forcetrigger?t=a1o4sm&amp;q=XNYS%3aBAC&amp;form=skydnc</v>
    <v>Learn more on Bing</v>
  </rv>
  <rv s="1">
    <v>en-US</v>
    <v>a1o4sm</v>
    <v>268435456</v>
    <v>1</v>
    <v>Powered by Refinitiv</v>
    <v>0</v>
    <v>BANK OF AMERICA CORPORATION (XNYS:BAC)</v>
    <v>2</v>
    <v>3</v>
    <v>Finance</v>
    <v>4</v>
    <v>65.224999999999994</v>
    <v>46.115000000000002</v>
    <v>1.2090000000000001</v>
    <v>-1.23</v>
    <v>-2.1692999999999997E-2</v>
    <v>USD</v>
    <v>Bank of America Corporation is a bank holding company and a financial holding company. Its segments include Consumer Banking, Global Wealth &amp; Investment Management (GWIM), Global Banking and Global Markets. Consumer Banking segment offers a range of credit, banking and investment products and services to consumers and small businesses. The GWIM includes two businesses: Merrill Wealth Management, which provides tailored solutions to meet clients' needs through a full set of investment management, brokerage, banking and retirement products and Bank of America Private Bank, which provides comprehensive wealth management solutions. Global Banking segment provides a range of lending-related products and services, integrated working capital management and treasury solutions, and underwriting and advisory services. Global Markets segment offers sales and trading services and research services to institutional clients across fixed-income, credit, currency, commodity, and equity businesses.</v>
    <v>211000</v>
    <v>New York Stock Exchange</v>
    <v>XNYS</v>
    <v>XNYS</v>
    <v>Bank Of America Corporate Center, 100 N Tryon St, CHARLOTTE, NC, 28255 US</v>
    <v>56.67</v>
    <v>Banking Services</v>
    <v>Stock</v>
    <v>46293.999757673439</v>
    <v>76</v>
    <v>55.365000000000002</v>
    <v>387887787030</v>
    <v>BANK OF AMERICA CORPORATION</v>
    <v>BANK OF AMERICA CORPORATION</v>
    <v>56.414999999999999</v>
    <v>12.848699999999999</v>
    <v>56.7</v>
    <v>55.47</v>
    <v>6992749000</v>
    <v>BAC</v>
    <v>BANK OF AMERICA CORPORATION (XNYS:BAC)</v>
    <v>96304</v>
    <v>36218264</v>
    <v>1998</v>
  </rv>
  <rv s="2">
    <v>77</v>
  </rv>
  <rv s="0">
    <v>https://www.bing.com/financeapi/forcetrigger?t=a1wzw7&amp;q=XNYS%3aLMT&amp;form=skydnc</v>
    <v>Learn more on Bing</v>
  </rv>
  <rv s="1">
    <v>en-US</v>
    <v>a1wzw7</v>
    <v>268435456</v>
    <v>1</v>
    <v>Powered by Refinitiv</v>
    <v>0</v>
    <v>LOCKHEED MARTIN CORPORATION (XNYS:LMT)</v>
    <v>2</v>
    <v>3</v>
    <v>Finance</v>
    <v>4</v>
    <v>692</v>
    <v>437.25</v>
    <v>9.0300000000000005E-2</v>
    <v>-1.46</v>
    <v>-2.8100000000000004E-3</v>
    <v>USD</v>
    <v>Lockheed Martin Corporation is an aerospace and defense technology company. The Company's segments include Aeronautics, Missiles and Fire Control (MFC), Rotary and Mission Systems (RMS) and Space. The Aeronautics segment is engaged in research, design, development, manufacture, integration, sustainment, support and upgrade of advanced military aircraft, including combat and air mobility aircraft, unmanned air vehicles and related technologies. The MFC segment provides air and missile defense systems; tactical missiles and precision strike weapon systems; logistics; fire control systems; engineering support and integration services. The RMS segment designs, manufactures, services and supports various military and commercial helicopters, sea and land-based missile defense systems. The Space segment is engaged in the research and design, development, engineering and production of satellites, space transportation systems, and strategic, advanced strike, and defensive systems.</v>
    <v>123000</v>
    <v>New York Stock Exchange</v>
    <v>XNYS</v>
    <v>XNYS</v>
    <v>6801 ROCKLEDGE DR, BETHESDA, MD, 20817 US</v>
    <v>524.27</v>
    <v>Aerospace &amp; Defense</v>
    <v>Stock</v>
    <v>46293.999245798441</v>
    <v>79</v>
    <v>516.1</v>
    <v>119572713480</v>
    <v>LOCKHEED MARTIN CORPORATION</v>
    <v>LOCKHEED MARTIN CORPORATION</v>
    <v>519</v>
    <v>19.091000000000001</v>
    <v>519.55999999999995</v>
    <v>518.1</v>
    <v>230790800</v>
    <v>LMT</v>
    <v>LOCKHEED MARTIN CORPORATION (XNYS:LMT)</v>
    <v>1741</v>
    <v>1143393</v>
    <v>1994</v>
  </rv>
  <rv s="2">
    <v>80</v>
  </rv>
  <rv s="0">
    <v>https://www.bing.com/financeapi/forcetrigger?t=a1q6k2&amp;q=XNAS%3aCOST&amp;form=skydnc</v>
    <v>Learn more on Bing</v>
  </rv>
  <rv s="1">
    <v>en-US</v>
    <v>a1q6k2</v>
    <v>268435456</v>
    <v>1</v>
    <v>Powered by Refinitiv</v>
    <v>0</v>
    <v>COSTCO WHOLESALE CORPORATION (XNAS:COST)</v>
    <v>2</v>
    <v>3</v>
    <v>Finance</v>
    <v>4</v>
    <v>1096.5</v>
    <v>844.06</v>
    <v>0.87529999999999997</v>
    <v>0.155</v>
    <v>1.6799999999999999E-4</v>
    <v>USD</v>
    <v>Costco Wholesale Corporation (Costco) operates membership warehouses and e-commerce sites that offer a selection of nationally branded and private-label products in a wide range of categories. The Company buys the majority of its merchandise directly from suppliers and route it to cross-docking consolidation points (depots) or directly to its warehouses. It operates 891 warehouses, including 614 in the United States and Puerto Rico, 108 in Canada, 40 in Mexico, 35 in Japan, 29 in the United Kingdom, 19 in Korea, 15 in Australia, 14 in Taiwan, seven in China, five in Spain, two in France, and one each in Iceland, New Zealand and Sweden. It also operates e-commerce sites in the United States, Canada, the United Kingdom, Mexico, Korea, Taiwan, Japan and Australia. The Company provides wide selection of merchandise, plus the convenience of specialty departments and exclusive member services.</v>
    <v>341000</v>
    <v>Nasdaq Stock Market</v>
    <v>XNAS</v>
    <v>XNAS</v>
    <v>999 Lake Dr, ISSAQUAH, WA, 98027- US</v>
    <v>931.09</v>
    <v>Diversified Retail</v>
    <v>Stock</v>
    <v>46293.998766909375</v>
    <v>82</v>
    <v>913</v>
    <v>409099056720</v>
    <v>COSTCO WHOLESALE CORPORATION</v>
    <v>COSTCO WHOLESALE CORPORATION</v>
    <v>924.38499999999999</v>
    <v>44.458100000000002</v>
    <v>922.76499999999999</v>
    <v>922.92</v>
    <v>443266000</v>
    <v>COST</v>
    <v>COSTCO WHOLESALE CORPORATION (XNAS:COST)</v>
    <v>2956</v>
    <v>2236179</v>
    <v>1987</v>
  </rv>
  <rv s="2">
    <v>83</v>
  </rv>
  <rv s="8">
    <fb>45929</fb>
    <v>16</v>
  </rv>
  <rv s="8">
    <fb>45930</fb>
    <v>16</v>
  </rv>
  <rv s="8">
    <fb>45931</fb>
    <v>16</v>
  </rv>
  <rv s="8">
    <fb>45932</fb>
    <v>16</v>
  </rv>
  <rv s="8">
    <fb>45933</fb>
    <v>16</v>
  </rv>
  <rv s="8">
    <fb>45936</fb>
    <v>16</v>
  </rv>
  <rv s="8">
    <fb>45937</fb>
    <v>16</v>
  </rv>
  <rv s="8">
    <fb>45938</fb>
    <v>16</v>
  </rv>
  <rv s="8">
    <fb>45939</fb>
    <v>16</v>
  </rv>
  <rv s="8">
    <fb>45940</fb>
    <v>16</v>
  </rv>
  <rv s="8">
    <fb>45943</fb>
    <v>16</v>
  </rv>
  <rv s="8">
    <fb>45944</fb>
    <v>16</v>
  </rv>
  <rv s="8">
    <fb>45945</fb>
    <v>16</v>
  </rv>
  <rv s="8">
    <fb>45946</fb>
    <v>16</v>
  </rv>
  <rv s="8">
    <fb>45947</fb>
    <v>16</v>
  </rv>
  <rv s="8">
    <fb>45950</fb>
    <v>16</v>
  </rv>
  <rv s="8">
    <fb>45951</fb>
    <v>16</v>
  </rv>
  <rv s="8">
    <fb>45952</fb>
    <v>16</v>
  </rv>
  <rv s="8">
    <fb>45953</fb>
    <v>16</v>
  </rv>
  <rv s="8">
    <fb>45954</fb>
    <v>16</v>
  </rv>
  <rv s="8">
    <fb>45957</fb>
    <v>16</v>
  </rv>
  <rv s="8">
    <fb>45958</fb>
    <v>16</v>
  </rv>
  <rv s="8">
    <fb>45959</fb>
    <v>16</v>
  </rv>
  <rv s="8">
    <fb>45960</fb>
    <v>16</v>
  </rv>
  <rv s="8">
    <fb>45961</fb>
    <v>16</v>
  </rv>
  <rv s="8">
    <fb>45964</fb>
    <v>16</v>
  </rv>
  <rv s="8">
    <fb>45965</fb>
    <v>16</v>
  </rv>
  <rv s="8">
    <fb>45966</fb>
    <v>16</v>
  </rv>
  <rv s="8">
    <fb>45967</fb>
    <v>16</v>
  </rv>
  <rv s="8">
    <fb>45968</fb>
    <v>16</v>
  </rv>
  <rv s="8">
    <fb>45971</fb>
    <v>16</v>
  </rv>
  <rv s="8">
    <fb>45972</fb>
    <v>16</v>
  </rv>
  <rv s="8">
    <fb>45973</fb>
    <v>16</v>
  </rv>
  <rv s="8">
    <fb>45974</fb>
    <v>16</v>
  </rv>
  <rv s="8">
    <fb>45975</fb>
    <v>16</v>
  </rv>
  <rv s="8">
    <fb>45978</fb>
    <v>16</v>
  </rv>
  <rv s="8">
    <fb>45979</fb>
    <v>16</v>
  </rv>
  <rv s="8">
    <fb>45980</fb>
    <v>16</v>
  </rv>
  <rv s="8">
    <fb>45981</fb>
    <v>16</v>
  </rv>
  <rv s="8">
    <fb>45982</fb>
    <v>16</v>
  </rv>
  <rv s="8">
    <fb>45985</fb>
    <v>16</v>
  </rv>
  <rv s="8">
    <fb>45986</fb>
    <v>16</v>
  </rv>
  <rv s="8">
    <fb>45987</fb>
    <v>16</v>
  </rv>
  <rv s="8">
    <fb>45989</fb>
    <v>16</v>
  </rv>
  <rv s="8">
    <fb>45992</fb>
    <v>16</v>
  </rv>
  <rv s="8">
    <fb>45993</fb>
    <v>16</v>
  </rv>
  <rv s="8">
    <fb>45994</fb>
    <v>16</v>
  </rv>
  <rv s="8">
    <fb>45995</fb>
    <v>16</v>
  </rv>
  <rv s="8">
    <fb>45996</fb>
    <v>16</v>
  </rv>
  <rv s="8">
    <fb>45999</fb>
    <v>16</v>
  </rv>
  <rv s="8">
    <fb>46000</fb>
    <v>16</v>
  </rv>
  <rv s="8">
    <fb>46001</fb>
    <v>16</v>
  </rv>
  <rv s="8">
    <fb>46002</fb>
    <v>16</v>
  </rv>
  <rv s="8">
    <fb>46003</fb>
    <v>16</v>
  </rv>
  <rv s="8">
    <fb>46006</fb>
    <v>16</v>
  </rv>
  <rv s="8">
    <fb>46007</fb>
    <v>16</v>
  </rv>
  <rv s="8">
    <fb>46008</fb>
    <v>16</v>
  </rv>
  <rv s="8">
    <fb>46009</fb>
    <v>16</v>
  </rv>
  <rv s="8">
    <fb>46010</fb>
    <v>16</v>
  </rv>
  <rv s="8">
    <fb>46013</fb>
    <v>16</v>
  </rv>
  <rv s="8">
    <fb>46014</fb>
    <v>16</v>
  </rv>
  <rv s="8">
    <fb>46015</fb>
    <v>16</v>
  </rv>
  <rv s="8">
    <fb>46017</fb>
    <v>16</v>
  </rv>
  <rv s="8">
    <fb>46020</fb>
    <v>16</v>
  </rv>
  <rv s="8">
    <fb>46021</fb>
    <v>16</v>
  </rv>
  <rv s="8">
    <fb>46022</fb>
    <v>16</v>
  </rv>
  <rv s="8">
    <fb>46024</fb>
    <v>16</v>
  </rv>
  <rv s="8">
    <fb>46027</fb>
    <v>16</v>
  </rv>
  <rv s="8">
    <fb>46028</fb>
    <v>16</v>
  </rv>
  <rv s="8">
    <fb>46029</fb>
    <v>16</v>
  </rv>
  <rv s="8">
    <fb>46030</fb>
    <v>16</v>
  </rv>
  <rv s="8">
    <fb>46031</fb>
    <v>16</v>
  </rv>
  <rv s="8">
    <fb>46034</fb>
    <v>16</v>
  </rv>
  <rv s="8">
    <fb>46035</fb>
    <v>16</v>
  </rv>
  <rv s="8">
    <fb>46036</fb>
    <v>16</v>
  </rv>
  <rv s="8">
    <fb>46037</fb>
    <v>16</v>
  </rv>
  <rv s="8">
    <fb>46038</fb>
    <v>16</v>
  </rv>
  <rv s="8">
    <fb>46042</fb>
    <v>16</v>
  </rv>
  <rv s="8">
    <fb>46043</fb>
    <v>16</v>
  </rv>
  <rv s="8">
    <fb>46044</fb>
    <v>16</v>
  </rv>
  <rv s="8">
    <fb>46045</fb>
    <v>16</v>
  </rv>
  <rv s="8">
    <fb>46048</fb>
    <v>16</v>
  </rv>
  <rv s="8">
    <fb>46049</fb>
    <v>16</v>
  </rv>
  <rv s="8">
    <fb>46050</fb>
    <v>16</v>
  </rv>
  <rv s="8">
    <fb>46051</fb>
    <v>16</v>
  </rv>
  <rv s="8">
    <fb>46052</fb>
    <v>16</v>
  </rv>
  <rv s="8">
    <fb>46055</fb>
    <v>16</v>
  </rv>
  <rv s="8">
    <fb>46056</fb>
    <v>16</v>
  </rv>
  <rv s="8">
    <fb>46057</fb>
    <v>16</v>
  </rv>
  <rv s="8">
    <fb>46058</fb>
    <v>16</v>
  </rv>
  <rv s="8">
    <fb>46059</fb>
    <v>16</v>
  </rv>
  <rv s="8">
    <fb>46062</fb>
    <v>16</v>
  </rv>
  <rv s="8">
    <fb>46063</fb>
    <v>16</v>
  </rv>
  <rv s="8">
    <fb>46064</fb>
    <v>16</v>
  </rv>
  <rv s="8">
    <fb>46065</fb>
    <v>16</v>
  </rv>
  <rv s="8">
    <fb>46066</fb>
    <v>16</v>
  </rv>
  <rv s="8">
    <fb>46070</fb>
    <v>16</v>
  </rv>
  <rv s="8">
    <fb>46071</fb>
    <v>16</v>
  </rv>
  <rv s="8">
    <fb>46072</fb>
    <v>16</v>
  </rv>
  <rv s="8">
    <fb>46073</fb>
    <v>16</v>
  </rv>
  <rv s="8">
    <fb>46076</fb>
    <v>16</v>
  </rv>
  <rv s="8">
    <fb>46077</fb>
    <v>16</v>
  </rv>
  <rv s="8">
    <fb>46078</fb>
    <v>16</v>
  </rv>
  <rv s="8">
    <fb>46079</fb>
    <v>16</v>
  </rv>
  <rv s="8">
    <fb>46080</fb>
    <v>16</v>
  </rv>
  <rv s="8">
    <fb>46083</fb>
    <v>16</v>
  </rv>
  <rv s="8">
    <fb>46084</fb>
    <v>16</v>
  </rv>
  <rv s="8">
    <fb>46085</fb>
    <v>16</v>
  </rv>
  <rv s="8">
    <fb>46086</fb>
    <v>16</v>
  </rv>
  <rv s="8">
    <fb>46087</fb>
    <v>16</v>
  </rv>
  <rv s="8">
    <fb>46090</fb>
    <v>16</v>
  </rv>
  <rv s="8">
    <fb>46091</fb>
    <v>16</v>
  </rv>
  <rv s="8">
    <fb>46092</fb>
    <v>16</v>
  </rv>
  <rv s="8">
    <fb>46093</fb>
    <v>16</v>
  </rv>
  <rv s="8">
    <fb>46094</fb>
    <v>16</v>
  </rv>
  <rv s="8">
    <fb>46097</fb>
    <v>16</v>
  </rv>
  <rv s="8">
    <fb>46098</fb>
    <v>16</v>
  </rv>
  <rv s="8">
    <fb>46099</fb>
    <v>16</v>
  </rv>
  <rv s="8">
    <fb>46100</fb>
    <v>16</v>
  </rv>
  <rv s="8">
    <fb>46101</fb>
    <v>16</v>
  </rv>
  <rv s="8">
    <fb>46104</fb>
    <v>16</v>
  </rv>
  <rv s="8">
    <fb>46105</fb>
    <v>16</v>
  </rv>
  <rv s="8">
    <fb>46106</fb>
    <v>16</v>
  </rv>
  <rv s="8">
    <fb>46107</fb>
    <v>16</v>
  </rv>
  <rv s="8">
    <fb>46108</fb>
    <v>16</v>
  </rv>
  <rv s="8">
    <fb>46111</fb>
    <v>16</v>
  </rv>
  <rv s="8">
    <fb>46112</fb>
    <v>16</v>
  </rv>
  <rv s="8">
    <fb>46113</fb>
    <v>16</v>
  </rv>
  <rv s="8">
    <fb>46114</fb>
    <v>16</v>
  </rv>
  <rv s="8">
    <fb>46118</fb>
    <v>16</v>
  </rv>
  <rv s="8">
    <fb>46119</fb>
    <v>16</v>
  </rv>
  <rv s="8">
    <fb>46120</fb>
    <v>16</v>
  </rv>
  <rv s="8">
    <fb>46121</fb>
    <v>16</v>
  </rv>
  <rv s="8">
    <fb>46122</fb>
    <v>16</v>
  </rv>
  <rv s="8">
    <fb>46125</fb>
    <v>16</v>
  </rv>
  <rv s="8">
    <fb>46126</fb>
    <v>16</v>
  </rv>
  <rv s="8">
    <fb>46127</fb>
    <v>16</v>
  </rv>
  <rv s="8">
    <fb>46128</fb>
    <v>16</v>
  </rv>
  <rv s="8">
    <fb>46129</fb>
    <v>16</v>
  </rv>
  <rv s="8">
    <fb>46132</fb>
    <v>16</v>
  </rv>
  <rv s="8">
    <fb>46133</fb>
    <v>16</v>
  </rv>
  <rv s="8">
    <fb>46134</fb>
    <v>16</v>
  </rv>
  <rv s="8">
    <fb>46135</fb>
    <v>16</v>
  </rv>
  <rv s="8">
    <fb>46136</fb>
    <v>16</v>
  </rv>
  <rv s="8">
    <fb>46139</fb>
    <v>16</v>
  </rv>
  <rv s="8">
    <fb>46140</fb>
    <v>16</v>
  </rv>
  <rv s="8">
    <fb>46141</fb>
    <v>16</v>
  </rv>
  <rv s="8">
    <fb>46142</fb>
    <v>16</v>
  </rv>
  <rv s="8">
    <fb>46143</fb>
    <v>16</v>
  </rv>
  <rv s="8">
    <fb>46146</fb>
    <v>16</v>
  </rv>
  <rv s="8">
    <fb>46147</fb>
    <v>16</v>
  </rv>
  <rv s="8">
    <fb>46148</fb>
    <v>16</v>
  </rv>
  <rv s="8">
    <fb>46149</fb>
    <v>16</v>
  </rv>
  <rv s="8">
    <fb>46150</fb>
    <v>16</v>
  </rv>
  <rv s="8">
    <fb>46153</fb>
    <v>16</v>
  </rv>
  <rv s="8">
    <fb>46154</fb>
    <v>16</v>
  </rv>
  <rv s="8">
    <fb>46155</fb>
    <v>16</v>
  </rv>
  <rv s="8">
    <fb>46156</fb>
    <v>16</v>
  </rv>
  <rv s="8">
    <fb>46157</fb>
    <v>16</v>
  </rv>
  <rv s="8">
    <fb>46160</fb>
    <v>16</v>
  </rv>
  <rv s="8">
    <fb>46161</fb>
    <v>16</v>
  </rv>
  <rv s="8">
    <fb>46162</fb>
    <v>16</v>
  </rv>
  <rv s="8">
    <fb>46163</fb>
    <v>16</v>
  </rv>
  <rv s="8">
    <fb>46164</fb>
    <v>16</v>
  </rv>
  <rv s="8">
    <fb>46168</fb>
    <v>16</v>
  </rv>
  <rv s="8">
    <fb>46169</fb>
    <v>16</v>
  </rv>
  <rv s="8">
    <fb>46170</fb>
    <v>16</v>
  </rv>
  <rv s="8">
    <fb>46171</fb>
    <v>16</v>
  </rv>
  <rv s="8">
    <fb>46174</fb>
    <v>16</v>
  </rv>
  <rv s="8">
    <fb>46175</fb>
    <v>16</v>
  </rv>
  <rv s="8">
    <fb>46176</fb>
    <v>16</v>
  </rv>
  <rv s="8">
    <fb>46177</fb>
    <v>16</v>
  </rv>
  <rv s="8">
    <fb>46178</fb>
    <v>16</v>
  </rv>
  <rv s="8">
    <fb>46181</fb>
    <v>16</v>
  </rv>
  <rv s="8">
    <fb>46182</fb>
    <v>16</v>
  </rv>
  <rv s="8">
    <fb>46183</fb>
    <v>16</v>
  </rv>
  <rv s="8">
    <fb>46184</fb>
    <v>16</v>
  </rv>
  <rv s="8">
    <fb>46185</fb>
    <v>16</v>
  </rv>
  <rv s="8">
    <fb>46188</fb>
    <v>16</v>
  </rv>
  <rv s="8">
    <fb>46189</fb>
    <v>16</v>
  </rv>
  <rv s="8">
    <fb>46190</fb>
    <v>16</v>
  </rv>
  <rv s="8">
    <fb>46191</fb>
    <v>16</v>
  </rv>
  <rv s="8">
    <fb>46195</fb>
    <v>16</v>
  </rv>
  <rv s="8">
    <fb>46196</fb>
    <v>16</v>
  </rv>
  <rv s="8">
    <fb>46197</fb>
    <v>16</v>
  </rv>
  <rv s="8">
    <fb>46198</fb>
    <v>16</v>
  </rv>
  <rv s="8">
    <fb>46199</fb>
    <v>16</v>
  </rv>
  <rv s="8">
    <fb>46202</fb>
    <v>16</v>
  </rv>
  <rv s="8">
    <fb>46203</fb>
    <v>16</v>
  </rv>
  <rv s="8">
    <fb>46204</fb>
    <v>16</v>
  </rv>
  <rv s="8">
    <fb>46205</fb>
    <v>16</v>
  </rv>
  <rv s="8">
    <fb>46209</fb>
    <v>16</v>
  </rv>
  <rv s="8">
    <fb>46210</fb>
    <v>16</v>
  </rv>
  <rv s="8">
    <fb>46211</fb>
    <v>16</v>
  </rv>
  <rv s="8">
    <fb>46212</fb>
    <v>16</v>
  </rv>
  <rv s="8">
    <fb>46213</fb>
    <v>16</v>
  </rv>
  <rv s="8">
    <fb>46216</fb>
    <v>16</v>
  </rv>
  <rv s="8">
    <fb>46217</fb>
    <v>16</v>
  </rv>
  <rv s="8">
    <fb>46218</fb>
    <v>16</v>
  </rv>
  <rv s="8">
    <fb>46219</fb>
    <v>16</v>
  </rv>
  <rv s="8">
    <fb>46220</fb>
    <v>16</v>
  </rv>
  <rv s="8">
    <fb>46223</fb>
    <v>16</v>
  </rv>
  <rv s="8">
    <fb>46224</fb>
    <v>16</v>
  </rv>
  <rv s="8">
    <fb>46225</fb>
    <v>16</v>
  </rv>
  <rv s="8">
    <fb>46226</fb>
    <v>16</v>
  </rv>
  <rv s="8">
    <fb>46227</fb>
    <v>16</v>
  </rv>
  <rv s="8">
    <fb>46230</fb>
    <v>16</v>
  </rv>
  <rv s="8">
    <fb>46231</fb>
    <v>16</v>
  </rv>
  <rv s="8">
    <fb>46232</fb>
    <v>16</v>
  </rv>
  <rv s="8">
    <fb>46233</fb>
    <v>16</v>
  </rv>
  <rv s="8">
    <fb>46234</fb>
    <v>16</v>
  </rv>
  <rv s="8">
    <fb>46237</fb>
    <v>16</v>
  </rv>
  <rv s="8">
    <fb>46238</fb>
    <v>16</v>
  </rv>
  <rv s="8">
    <fb>46239</fb>
    <v>16</v>
  </rv>
  <rv s="8">
    <fb>46240</fb>
    <v>16</v>
  </rv>
  <rv s="8">
    <fb>46241</fb>
    <v>16</v>
  </rv>
  <rv s="8">
    <fb>46244</fb>
    <v>16</v>
  </rv>
  <rv s="8">
    <fb>46245</fb>
    <v>16</v>
  </rv>
  <rv s="8">
    <fb>46246</fb>
    <v>16</v>
  </rv>
  <rv s="8">
    <fb>46247</fb>
    <v>16</v>
  </rv>
  <rv s="8">
    <fb>46248</fb>
    <v>16</v>
  </rv>
  <rv s="8">
    <fb>46251</fb>
    <v>16</v>
  </rv>
  <rv s="8">
    <fb>46252</fb>
    <v>16</v>
  </rv>
  <rv s="8">
    <fb>46253</fb>
    <v>16</v>
  </rv>
  <rv s="8">
    <fb>46254</fb>
    <v>16</v>
  </rv>
  <rv s="8">
    <fb>46255</fb>
    <v>16</v>
  </rv>
  <rv s="8">
    <fb>46258</fb>
    <v>16</v>
  </rv>
  <rv s="8">
    <fb>46259</fb>
    <v>16</v>
  </rv>
  <rv s="8">
    <fb>46260</fb>
    <v>16</v>
  </rv>
  <rv s="8">
    <fb>46261</fb>
    <v>16</v>
  </rv>
  <rv s="8">
    <fb>46262</fb>
    <v>16</v>
  </rv>
  <rv s="8">
    <fb>46265</fb>
    <v>16</v>
  </rv>
  <rv s="8">
    <fb>46266</fb>
    <v>16</v>
  </rv>
  <rv s="8">
    <fb>46267</fb>
    <v>16</v>
  </rv>
  <rv s="8">
    <fb>46268</fb>
    <v>16</v>
  </rv>
  <rv s="8">
    <fb>46269</fb>
    <v>16</v>
  </rv>
  <rv s="8">
    <fb>46273</fb>
    <v>16</v>
  </rv>
  <rv s="8">
    <fb>46274</fb>
    <v>16</v>
  </rv>
  <rv s="8">
    <fb>46275</fb>
    <v>16</v>
  </rv>
  <rv s="8">
    <fb>46276</fb>
    <v>16</v>
  </rv>
  <rv s="8">
    <fb>46279</fb>
    <v>16</v>
  </rv>
  <rv s="8">
    <fb>46280</fb>
    <v>16</v>
  </rv>
  <rv s="8">
    <fb>46281</fb>
    <v>16</v>
  </rv>
  <rv s="8">
    <fb>46282</fb>
    <v>16</v>
  </rv>
  <rv s="8">
    <fb>46283</fb>
    <v>16</v>
  </rv>
  <rv s="8">
    <fb>46286</fb>
    <v>16</v>
  </rv>
  <rv s="8">
    <fb>46287</fb>
    <v>16</v>
  </rv>
  <rv s="8">
    <fb>46288</fb>
    <v>16</v>
  </rv>
  <rv s="8">
    <fb>46289</fb>
    <v>16</v>
  </rv>
  <rv s="8">
    <fb>46290</fb>
    <v>16</v>
  </rv>
  <rv s="8">
    <fb>46293</fb>
    <v>16</v>
  </rv>
  <rv s="8">
    <fb>161.36000000000001</fb>
    <v>17</v>
  </rv>
  <rv s="8">
    <fb>161.79</fb>
    <v>17</v>
  </rv>
  <rv s="8">
    <fb>164.01</fb>
    <v>17</v>
  </rv>
  <rv s="8">
    <fb>169.73</fb>
    <v>17</v>
  </rv>
  <rv s="8">
    <fb>164.67</fb>
    <v>17</v>
  </rv>
  <rv s="8">
    <fb>203.71</fb>
    <v>17</v>
  </rv>
  <rv s="8">
    <fb>211.51</fb>
    <v>17</v>
  </rv>
  <rv s="8">
    <fb>235.56</fb>
    <v>17</v>
  </rv>
  <rv s="8">
    <fb>232.89</fb>
    <v>17</v>
  </rv>
  <rv s="8">
    <fb>214.9</fb>
    <v>17</v>
  </rv>
  <rv s="8">
    <fb>216.42</fb>
    <v>17</v>
  </rv>
  <rv s="8">
    <fb>218.09</fb>
    <v>17</v>
  </rv>
  <rv s="8">
    <fb>238.6</fb>
    <v>17</v>
  </rv>
  <rv s="8">
    <fb>234.56</fb>
    <v>17</v>
  </rv>
  <rv s="8">
    <fb>233.08</fb>
    <v>17</v>
  </rv>
  <rv s="8">
    <fb>240.56</fb>
    <v>17</v>
  </rv>
  <rv s="8">
    <fb>238.03</fb>
    <v>17</v>
  </rv>
  <rv s="8">
    <fb>230.23</fb>
    <v>17</v>
  </rv>
  <rv s="8">
    <fb>234.99</fb>
    <v>17</v>
  </rv>
  <rv s="8">
    <fb>252.92</fb>
    <v>17</v>
  </rv>
  <rv s="8">
    <fb>259.67</fb>
    <v>17</v>
  </rv>
  <rv s="8">
    <fb>258.01</fb>
    <v>17</v>
  </rv>
  <rv s="8">
    <fb>264.33</fb>
    <v>17</v>
  </rv>
  <rv s="8">
    <fb>254.84</fb>
    <v>17</v>
  </rv>
  <rv s="8">
    <fb>256.12</fb>
    <v>17</v>
  </rv>
  <rv s="8">
    <fb>259.64999999999998</fb>
    <v>17</v>
  </rv>
  <rv s="8">
    <fb>250.05</fb>
    <v>17</v>
  </rv>
  <rv s="8">
    <fb>256.33</fb>
    <v>17</v>
  </rv>
  <rv s="8">
    <fb>237.7</fb>
    <v>17</v>
  </rv>
  <rv s="8">
    <fb>233.54</fb>
    <v>17</v>
  </rv>
  <rv s="8">
    <fb>243.98</fb>
    <v>17</v>
  </rv>
  <rv s="8">
    <fb>237.52</fb>
    <v>17</v>
  </rv>
  <rv s="8">
    <fb>258.89</fb>
    <v>17</v>
  </rv>
  <rv s="8">
    <fb>247.96</fb>
    <v>17</v>
  </rv>
  <rv s="8">
    <fb>246.81</fb>
    <v>17</v>
  </rv>
  <rv s="8">
    <fb>240.52</fb>
    <v>17</v>
  </rv>
  <rv s="8">
    <fb>230.29</fb>
    <v>17</v>
  </rv>
  <rv s="8">
    <fb>223.55</fb>
    <v>17</v>
  </rv>
  <rv s="8">
    <fb>206.02</fb>
    <v>17</v>
  </rv>
  <rv s="8">
    <fb>203.78</fb>
    <v>17</v>
  </rv>
  <rv s="8">
    <fb>215.05</fb>
    <v>17</v>
  </rv>
  <rv s="8">
    <fb>206.13</fb>
    <v>17</v>
  </rv>
  <rv s="8">
    <fb>214.24</fb>
    <v>17</v>
  </rv>
  <rv s="8">
    <fb>217.53</fb>
    <v>17</v>
  </rv>
  <rv s="8">
    <fb>219.76</fb>
    <v>17</v>
  </rv>
  <rv s="8">
    <fb>215.24</fb>
    <v>17</v>
  </rv>
  <rv s="8">
    <fb>217.6</fb>
    <v>17</v>
  </rv>
  <rv s="8">
    <fb>215.98</fb>
    <v>17</v>
  </rv>
  <rv s="8">
    <fb>217.97</fb>
    <v>17</v>
  </rv>
  <rv s="8">
    <fb>221.11</fb>
    <v>17</v>
  </rv>
  <rv s="8">
    <fb>221.62</fb>
    <v>17</v>
  </rv>
  <rv s="8">
    <fb>221.42</fb>
    <v>17</v>
  </rv>
  <rv s="8">
    <fb>221.43</fb>
    <v>17</v>
  </rv>
  <rv s="8">
    <fb>210.78</fb>
    <v>17</v>
  </rv>
  <rv s="8">
    <fb>207.58</fb>
    <v>17</v>
  </rv>
  <rv s="8">
    <fb>209.17</fb>
    <v>17</v>
  </rv>
  <rv s="8">
    <fb>198.11</fb>
    <v>17</v>
  </rv>
  <rv s="8">
    <fb>201.06</fb>
    <v>17</v>
  </rv>
  <rv s="8">
    <fb>213.43</fb>
    <v>17</v>
  </rv>
  <rv s="8">
    <fb>214.95</fb>
    <v>17</v>
  </rv>
  <rv s="8">
    <fb>215.04</fb>
    <v>17</v>
  </rv>
  <rv s="8">
    <fb>214.99</fb>
    <v>17</v>
  </rv>
  <rv s="8">
    <fb>215.61</fb>
    <v>17</v>
  </rv>
  <rv s="8">
    <fb>215.34</fb>
    <v>17</v>
  </rv>
  <rv s="8">
    <fb>214.16</fb>
    <v>17</v>
  </rv>
  <rv s="8">
    <fb>223.47</fb>
    <v>17</v>
  </rv>
  <rv s="8">
    <fb>221.08</fb>
    <v>17</v>
  </rv>
  <rv s="8">
    <fb>214.35</fb>
    <v>17</v>
  </rv>
  <rv s="8">
    <fb>210.02</fb>
    <v>17</v>
  </rv>
  <rv s="8">
    <fb>204.68</fb>
    <v>17</v>
  </rv>
  <rv s="8">
    <fb>203.17</fb>
    <v>17</v>
  </rv>
  <rv s="8">
    <fb>207.69</fb>
    <v>17</v>
  </rv>
  <rv s="8">
    <fb>220.97</fb>
    <v>17</v>
  </rv>
  <rv s="8">
    <fb>223.6</fb>
    <v>17</v>
  </rv>
  <rv s="8">
    <fb>227.92</fb>
    <v>17</v>
  </rv>
  <rv s="8">
    <fb>231.83</fb>
    <v>17</v>
  </rv>
  <rv s="8">
    <fb>231.92</fb>
    <v>17</v>
  </rv>
  <rv s="8">
    <fb>249.8</fb>
    <v>17</v>
  </rv>
  <rv s="8">
    <fb>253.73</fb>
    <v>17</v>
  </rv>
  <rv s="8">
    <fb>259.68</fb>
    <v>17</v>
  </rv>
  <rv s="8">
    <fb>251.31</fb>
    <v>17</v>
  </rv>
  <rv s="8">
    <fb>252.03</fb>
    <v>17</v>
  </rv>
  <rv s="8">
    <fb>252.74</fb>
    <v>17</v>
  </rv>
  <rv s="8">
    <fb>252.18</fb>
    <v>17</v>
  </rv>
  <rv s="8">
    <fb>236.73</fb>
    <v>17</v>
  </rv>
  <rv s="8">
    <fb>246.27</fb>
    <v>17</v>
  </rv>
  <rv s="8">
    <fb>242.11</fb>
    <v>17</v>
  </rv>
  <rv s="8">
    <fb>200.19</fb>
    <v>17</v>
  </rv>
  <rv s="8">
    <fb>192.5</fb>
    <v>17</v>
  </rv>
  <rv s="8">
    <fb>208.44</fb>
    <v>17</v>
  </rv>
  <rv s="8">
    <fb>216</fb>
    <v>17</v>
  </rv>
  <rv s="8">
    <fb>213.57</fb>
    <v>17</v>
  </rv>
  <rv s="8">
    <fb>213.58</fb>
    <v>17</v>
  </rv>
  <rv s="8">
    <fb>205.94</fb>
    <v>17</v>
  </rv>
  <rv s="8">
    <fb>207.32</fb>
    <v>17</v>
  </rv>
  <rv s="8">
    <fb>203.08</fb>
    <v>17</v>
  </rv>
  <rv s="8">
    <fb>200.12</fb>
    <v>17</v>
  </rv>
  <rv s="8">
    <fb>203.37</fb>
    <v>17</v>
  </rv>
  <rv s="8">
    <fb>200.15</fb>
    <v>17</v>
  </rv>
  <rv s="8">
    <fb>196.6</fb>
    <v>17</v>
  </rv>
  <rv s="8">
    <fb>213.84</fb>
    <v>17</v>
  </rv>
  <rv s="8">
    <fb>210.86</fb>
    <v>17</v>
  </rv>
  <rv s="8">
    <fb>203.68</fb>
    <v>17</v>
  </rv>
  <rv s="8">
    <fb>200.21</fb>
    <v>17</v>
  </rv>
  <rv s="8">
    <fb>198.62</fb>
    <v>17</v>
  </rv>
  <rv s="8">
    <fb>190.95</fb>
    <v>17</v>
  </rv>
  <rv s="8">
    <fb>202.07</fb>
    <v>17</v>
  </rv>
  <rv s="8">
    <fb>199.45</fb>
    <v>17</v>
  </rv>
  <rv s="8">
    <fb>192.43</fb>
    <v>17</v>
  </rv>
  <rv s="8">
    <fb>202.68</fb>
    <v>17</v>
  </rv>
  <rv s="8">
    <fb>203.23</fb>
    <v>17</v>
  </rv>
  <rv s="8">
    <fb>204.83</fb>
    <v>17</v>
  </rv>
  <rv s="8">
    <fb>197.74</fb>
    <v>17</v>
  </rv>
  <rv s="8">
    <fb>193.39</fb>
    <v>17</v>
  </rv>
  <rv s="8">
    <fb>196.58</fb>
    <v>17</v>
  </rv>
  <rv s="8">
    <fb>196.31</fb>
    <v>17</v>
  </rv>
  <rv s="8">
    <fb>199.46</fb>
    <v>17</v>
  </rv>
  <rv s="8">
    <fb>205.27</fb>
    <v>17</v>
  </rv>
  <rv s="8">
    <fb>201.33</fb>
    <v>17</v>
  </rv>
  <rv s="8">
    <fb>205.37</fb>
    <v>17</v>
  </rv>
  <rv s="8">
    <fb>220.27</fb>
    <v>17</v>
  </rv>
  <rv s="8">
    <fb>203.77</fb>
    <v>17</v>
  </rv>
  <rv s="8">
    <fb>201.99</fb>
    <v>17</v>
  </rv>
  <rv s="8">
    <fb>196.04</fb>
    <v>17</v>
  </rv>
  <rv s="8">
    <fb>203.43</fb>
    <v>17</v>
  </rv>
  <rv s="8">
    <fb>210.21</fb>
    <v>17</v>
  </rv>
  <rv s="8">
    <fb>217.5</fb>
    <v>17</v>
  </rv>
  <rv s="8">
    <fb>220.18</fb>
    <v>17</v>
  </rv>
  <rv s="8">
    <fb>221.53</fb>
    <v>17</v>
  </rv>
  <rv s="8">
    <fb>231.82</fb>
    <v>17</v>
  </rv>
  <rv s="8">
    <fb>236.64</fb>
    <v>17</v>
  </rv>
  <rv s="8">
    <fb>245.04</fb>
    <v>17</v>
  </rv>
  <rv s="8">
    <fb>246.83</fb>
    <v>17</v>
  </rv>
  <rv s="8">
    <fb>255.07</fb>
    <v>17</v>
  </rv>
  <rv s="8">
    <fb>258.12</fb>
    <v>17</v>
  </rv>
  <rv s="8">
    <fb>278.26</fb>
    <v>17</v>
  </rv>
  <rv s="8">
    <fb>278.39</fb>
    <v>17</v>
  </rv>
  <rv s="8">
    <fb>274.95</fb>
    <v>17</v>
  </rv>
  <rv s="8">
    <fb>284.49</fb>
    <v>17</v>
  </rv>
  <rv s="8">
    <fb>303.45999999999998</fb>
    <v>17</v>
  </rv>
  <rv s="8">
    <fb>305.33</fb>
    <v>17</v>
  </rv>
  <rv s="8">
    <fb>347.81</fb>
    <v>17</v>
  </rv>
  <rv s="8">
    <fb>334.63</fb>
    <v>17</v>
  </rv>
  <rv s="8">
    <fb>323.20999999999998</fb>
    <v>17</v>
  </rv>
  <rv s="8">
    <fb>337.11</fb>
    <v>17</v>
  </rv>
  <rv s="8">
    <fb>354.49</fb>
    <v>17</v>
  </rv>
  <rv s="8">
    <fb>360.54</fb>
    <v>17</v>
  </rv>
  <rv s="8">
    <fb>341.54</fb>
    <v>17</v>
  </rv>
  <rv s="8">
    <fb>355.26</fb>
    <v>17</v>
  </rv>
  <rv s="8">
    <fb>421.39</fb>
    <v>17</v>
  </rv>
  <rv s="8">
    <fb>408.46</fb>
    <v>17</v>
  </rv>
  <rv s="8">
    <fb>455.19</fb>
    <v>17</v>
  </rv>
  <rv s="8">
    <fb>458.79</fb>
    <v>17</v>
  </rv>
  <rv s="8">
    <fb>448.29</fb>
    <v>17</v>
  </rv>
  <rv s="8">
    <fb>445.5</fb>
    <v>17</v>
  </rv>
  <rv s="8">
    <fb>449.7</fb>
    <v>17</v>
  </rv>
  <rv s="8">
    <fb>424.1</fb>
    <v>17</v>
  </rv>
  <rv s="8">
    <fb>420.99</fb>
    <v>17</v>
  </rv>
  <rv s="8">
    <fb>414.05</fb>
    <v>17</v>
  </rv>
  <rv s="8">
    <fb>447.58</fb>
    <v>17</v>
  </rv>
  <rv s="8">
    <fb>449.59</fb>
    <v>17</v>
  </rv>
  <rv s="8">
    <fb>467.51</fb>
    <v>17</v>
  </rv>
  <rv s="8">
    <fb>503.89</fb>
    <v>17</v>
  </rv>
  <rv s="8">
    <fb>495.54</fb>
    <v>17</v>
  </rv>
  <rv s="8">
    <fb>518.09</fb>
    <v>17</v>
  </rv>
  <rv s="8">
    <fb>516.1</fb>
    <v>17</v>
  </rv>
  <rv s="8">
    <fb>510.13</fb>
    <v>17</v>
  </rv>
  <rv s="8">
    <fb>521.54</fb>
    <v>17</v>
  </rv>
  <rv s="8">
    <fb>542.52</fb>
    <v>17</v>
  </rv>
  <rv s="8">
    <fb>523.20000000000005</fb>
    <v>17</v>
  </rv>
  <rv s="8">
    <fb>466.38</fb>
    <v>17</v>
  </rv>
  <rv s="8">
    <fb>490.33</fb>
    <v>17</v>
  </rv>
  <rv s="8">
    <fb>475.505</fb>
    <v>17</v>
  </rv>
  <rv s="8">
    <fb>452.4</fb>
    <v>17</v>
  </rv>
  <rv s="8">
    <fb>488.45</fb>
    <v>17</v>
  </rv>
  <rv s="8">
    <fb>511.57</fb>
    <v>17</v>
  </rv>
  <rv s="8">
    <fb>547.26</fb>
    <v>17</v>
  </rv>
  <rv s="8">
    <fb>507.29</fb>
    <v>17</v>
  </rv>
  <rv s="8">
    <fb>512.48</fb>
    <v>17</v>
  </rv>
  <rv s="8">
    <fb>537.37</fb>
    <v>17</v>
  </rv>
  <rv s="8">
    <fb>551.63</fb>
    <v>17</v>
  </rv>
  <rv s="8">
    <fb>519.85</fb>
    <v>17</v>
  </rv>
  <rv s="8">
    <fb>519.74</fb>
    <v>17</v>
  </rv>
  <rv s="8">
    <fb>532.57000000000005</fb>
    <v>17</v>
  </rv>
  <rv s="8">
    <fb>521.58000000000004</fb>
    <v>17</v>
  </rv>
  <rv s="8">
    <fb>539.49</fb>
    <v>17</v>
  </rv>
  <rv s="8">
    <fb>580.91</fb>
    <v>17</v>
  </rv>
  <rv s="8">
    <fb>540.88</fb>
    <v>17</v>
  </rv>
  <rv s="8">
    <fb>517.82000000000005</fb>
    <v>17</v>
  </rv>
  <rv s="8">
    <fb>552.04999999999995</fb>
    <v>17</v>
  </rv>
  <rv s="8">
    <fb>516.11</fb>
    <v>17</v>
  </rv>
  <rv s="8">
    <fb>517.40499999999997</fb>
    <v>17</v>
  </rv>
  <rv s="8">
    <fb>546.72</fb>
    <v>17</v>
  </rv>
  <rv s="8">
    <fb>557.89</fb>
    <v>17</v>
  </rv>
  <rv s="8">
    <fb>534.39</fb>
    <v>17</v>
  </rv>
  <rv s="8">
    <fb>548.13</fb>
    <v>17</v>
  </rv>
  <rv s="8">
    <fb>529.14</fb>
    <v>17</v>
  </rv>
  <rv s="8">
    <fb>500.94</fb>
    <v>17</v>
  </rv>
  <rv s="8">
    <fb>495.76</fb>
    <v>17</v>
  </rv>
  <rv s="8">
    <fb>503.57</fb>
    <v>17</v>
  </rv>
  <rv s="8">
    <fb>544.42999999999995</fb>
    <v>17</v>
  </rv>
  <rv s="8">
    <fb>552.33000000000004</fb>
    <v>17</v>
  </rv>
  <rv s="8">
    <fb>539.69000000000005</fb>
    <v>17</v>
  </rv>
  <rv s="8">
    <fb>521.95000000000005</fb>
    <v>17</v>
  </rv>
  <rv s="8">
    <fb>494.95</fb>
    <v>17</v>
  </rv>
  <rv s="8">
    <fb>454.62</fb>
    <v>17</v>
  </rv>
  <rv s="8">
    <fb>429.56</fb>
    <v>17</v>
  </rv>
  <rv s="8">
    <fb>485.39</fb>
    <v>17</v>
  </rv>
  <rv s="8">
    <fb>476.15</fb>
    <v>17</v>
  </rv>
  <rv s="8">
    <fb>484.64</fb>
    <v>17</v>
  </rv>
  <rv s="8">
    <fb>518.58000000000004</fb>
    <v>17</v>
  </rv>
  <rv s="8">
    <fb>482.05</fb>
    <v>17</v>
  </rv>
  <rv s="8">
    <fb>489.28</fb>
    <v>17</v>
  </rv>
  <rv s="8">
    <fb>483.36</fb>
    <v>17</v>
  </rv>
  <rv s="8">
    <fb>469.56</fb>
    <v>17</v>
  </rv>
  <rv s="8">
    <fb>474.32</fb>
    <v>17</v>
  </rv>
  <rv s="8">
    <fb>482.93</fb>
    <v>17</v>
  </rv>
  <rv s="8">
    <fb>483.01</fb>
    <v>17</v>
  </rv>
  <rv s="8">
    <fb>514.39</fb>
    <v>17</v>
  </rv>
  <rv s="8">
    <fb>506</fb>
    <v>17</v>
  </rv>
  <rv s="8">
    <fb>484.39</fb>
    <v>17</v>
  </rv>
  <rv s="8">
    <fb>466.42</fb>
    <v>17</v>
  </rv>
  <rv s="8">
    <fb>469.45499999999998</fb>
    <v>17</v>
  </rv>
  <rv s="8">
    <fb>473.25</fb>
    <v>17</v>
  </rv>
  <rv s="8">
    <fb>456.745</fb>
    <v>17</v>
  </rv>
  <rv s="8">
    <fb>479.18</fb>
    <v>17</v>
  </rv>
  <rv s="8">
    <fb>480.93</fb>
    <v>17</v>
  </rv>
  <rv s="8">
    <fb>476.67</fb>
    <v>17</v>
  </rv>
  <rv s="8">
    <fb>465.58</fb>
    <v>17</v>
  </rv>
  <rv s="8">
    <fb>470.72</fb>
    <v>17</v>
  </rv>
  <rv s="8">
    <fb>459.61</fb>
    <v>17</v>
  </rv>
  <rv s="8">
    <fb>457.06</fb>
    <v>17</v>
  </rv>
  <rv s="8">
    <fb>456.16</fb>
    <v>17</v>
  </rv>
  <rv s="8">
    <fb>477.57</fb>
    <v>17</v>
  </rv>
  <rv s="8">
    <fb>505.74</fb>
    <v>17</v>
  </rv>
  <rv s="8">
    <fb>521.09500000000003</fb>
    <v>17</v>
  </rv>
  <rv s="8">
    <fb>503.6</fb>
    <v>17</v>
  </rv>
  <rv s="8">
    <fb>516.13</fb>
    <v>17</v>
  </rv>
  <rv s="8">
    <fb>493.41</fb>
    <v>17</v>
  </rv>
  <rv s="8">
    <fb>504.2</fb>
    <v>17</v>
  </rv>
  <rv s="8">
    <fb>512.5</fb>
    <v>17</v>
  </rv>
  <rv s="8">
    <fb>545.09</fb>
    <v>17</v>
  </rv>
  <rv s="8">
    <fb>559.82000000000005</fb>
    <v>17</v>
  </rv>
  <rv s="8">
    <fb>615.52</fb>
    <v>17</v>
  </rv>
  <rv s="8">
    <fb>623.77</fb>
    <v>17</v>
  </rv>
  <rv s="8">
    <fb>614.61</fb>
    <v>17</v>
  </rv>
  <rv s="8">
    <fb>629.26</fb>
    <v>17</v>
  </rv>
  <rv s="8">
    <fb>630.63</fb>
    <v>17</v>
  </rv>
  <rv s="8">
    <fb>607.87</fb>
    <v>17</v>
  </rv>
  <rv s="8">
    <fb>244.36</fb>
    <v>17</v>
  </rv>
  <rv s="8">
    <fb>243.55</fb>
    <v>17</v>
  </rv>
  <rv s="8">
    <fb>245.54</fb>
    <v>17</v>
  </rv>
  <rv s="8">
    <fb>246.43</fb>
    <v>17</v>
  </rv>
  <rv s="8">
    <fb>246.45</fb>
    <v>17</v>
  </rv>
  <rv s="8">
    <fb>251.51</fb>
    <v>17</v>
  </rv>
  <rv s="8">
    <fb>247.13</fb>
    <v>17</v>
  </rv>
  <rv s="8">
    <fb>245.46</fb>
    <v>17</v>
  </rv>
  <rv s="8">
    <fb>242.21</fb>
    <v>17</v>
  </rv>
  <rv s="8">
    <fb>237.49</fb>
    <v>17</v>
  </rv>
  <rv s="8">
    <fb>244.64</fb>
    <v>17</v>
  </rv>
  <rv s="8">
    <fb>246.19</fb>
    <v>17</v>
  </rv>
  <rv s="8">
    <fb>251.71</fb>
    <v>17</v>
  </rv>
  <rv s="8">
    <fb>251.88</fb>
    <v>17</v>
  </rv>
  <rv s="8">
    <fb>253.79</fb>
    <v>17</v>
  </rv>
  <rv s="8">
    <fb>257.02</fb>
    <v>17</v>
  </rv>
  <rv s="8">
    <fb>251.34</fb>
    <v>17</v>
  </rv>
  <rv s="8">
    <fb>252.53</fb>
    <v>17</v>
  </rv>
  <rv s="8">
    <fb>260.51</fb>
    <v>17</v>
  </rv>
  <rv s="8">
    <fb>269.93</fb>
    <v>17</v>
  </rv>
  <rv s="8">
    <fb>268.43</fb>
    <v>17</v>
  </rv>
  <rv s="8">
    <fb>275.17</fb>
    <v>17</v>
  </rv>
  <rv s="8">
    <fb>281.89999999999998</fb>
    <v>17</v>
  </rv>
  <rv s="8">
    <fb>281.82</fb>
    <v>17</v>
  </rv>
  <rv s="8">
    <fb>284.12</fb>
    <v>17</v>
  </rv>
  <rv s="8">
    <fb>278.06</fb>
    <v>17</v>
  </rv>
  <rv s="8">
    <fb>284.75</fb>
    <v>17</v>
  </rv>
  <rv s="8">
    <fb>285.33999999999997</fb>
    <v>17</v>
  </rv>
  <rv s="8">
    <fb>279.7</fb>
    <v>17</v>
  </rv>
  <rv s="8">
    <fb>290.58999999999997</fb>
    <v>17</v>
  </rv>
  <rv s="8">
    <fb>291.74</fb>
    <v>17</v>
  </rv>
  <rv s="8">
    <fb>287.43</fb>
    <v>17</v>
  </rv>
  <rv s="8">
    <fb>279.12</fb>
    <v>17</v>
  </rv>
  <rv s="8">
    <fb>276.98</fb>
    <v>17</v>
  </rv>
  <rv s="8">
    <fb>285.60000000000002</fb>
    <v>17</v>
  </rv>
  <rv s="8">
    <fb>284.95999999999998</fb>
    <v>17</v>
  </rv>
  <rv s="8">
    <fb>292.99</fb>
    <v>17</v>
  </rv>
  <rv s="8">
    <fb>289.98</fb>
    <v>17</v>
  </rv>
  <rv s="8">
    <fb>299.64999999999998</fb>
    <v>17</v>
  </rv>
  <rv s="8">
    <fb>318.47000000000003</fb>
    <v>17</v>
  </rv>
  <rv s="8">
    <fb>323.64</fb>
    <v>17</v>
  </rv>
  <rv s="8">
    <fb>320.27999999999997</fb>
    <v>17</v>
  </rv>
  <rv s="8">
    <fb>320.12</fb>
    <v>17</v>
  </rv>
  <rv s="8">
    <fb>315.12</fb>
    <v>17</v>
  </rv>
  <rv s="8">
    <fb>316.02</fb>
    <v>17</v>
  </rv>
  <rv s="8">
    <fb>320.62</fb>
    <v>17</v>
  </rv>
  <rv s="8">
    <fb>318.39</fb>
    <v>17</v>
  </rv>
  <rv s="8">
    <fb>322.08999999999997</fb>
    <v>17</v>
  </rv>
  <rv s="8">
    <fb>314.45</fb>
    <v>17</v>
  </rv>
  <rv s="8">
    <fb>317.75</fb>
    <v>17</v>
  </rv>
  <rv s="8">
    <fb>321</fb>
    <v>17</v>
  </rv>
  <rv s="8">
    <fb>313.7</fb>
    <v>17</v>
  </rv>
  <rv s="8">
    <fb>310.52</fb>
    <v>17</v>
  </rv>
  <rv s="8">
    <fb>309.32</fb>
    <v>17</v>
  </rv>
  <rv s="8">
    <fb>307.73</fb>
    <v>17</v>
  </rv>
  <rv s="8">
    <fb>298.06</fb>
    <v>17</v>
  </rv>
  <rv s="8">
    <fb>303.75</fb>
    <v>17</v>
  </rv>
  <rv s="8">
    <fb>308.61</fb>
    <v>17</v>
  </rv>
  <rv s="8">
    <fb>311.33</fb>
    <v>17</v>
  </rv>
  <rv s="8">
    <fb>315.68</fb>
    <v>17</v>
  </rv>
  <rv s="8">
    <fb>315.67</fb>
    <v>17</v>
  </rv>
  <rv s="8">
    <fb>314.95999999999998</fb>
    <v>17</v>
  </rv>
  <rv s="8">
    <fb>314.39</fb>
    <v>17</v>
  </rv>
  <rv s="8">
    <fb>314.55</fb>
    <v>17</v>
  </rv>
  <rv s="8">
    <fb>313.8</fb>
    <v>17</v>
  </rv>
  <rv s="8">
    <fb>315.32</fb>
    <v>17</v>
  </rv>
  <rv s="8">
    <fb>317.32</fb>
    <v>17</v>
  </rv>
  <rv s="8">
    <fb>322.43</fb>
    <v>17</v>
  </rv>
  <rv s="8">
    <fb>326.01</fb>
    <v>17</v>
  </rv>
  <rv s="8">
    <fb>329.14</fb>
    <v>17</v>
  </rv>
  <rv s="8">
    <fb>332.73</fb>
    <v>17</v>
  </rv>
  <rv s="8">
    <fb>336.43</fb>
    <v>17</v>
  </rv>
  <rv s="8">
    <fb>336.31</fb>
    <v>17</v>
  </rv>
  <rv s="8">
    <fb>333.16</fb>
    <v>17</v>
  </rv>
  <rv s="8">
    <fb>330.34</fb>
    <v>17</v>
  </rv>
  <rv s="8">
    <fb>322.16000000000003</fb>
    <v>17</v>
  </rv>
  <rv s="8">
    <fb>328.38</fb>
    <v>17</v>
  </rv>
  <rv s="8">
    <fb>330.84</fb>
    <v>17</v>
  </rv>
  <rv s="8">
    <fb>328.43</fb>
    <v>17</v>
  </rv>
  <rv s="8">
    <fb>333.59</fb>
    <v>17</v>
  </rv>
  <rv s="8">
    <fb>335</fb>
    <v>17</v>
  </rv>
  <rv s="8">
    <fb>336.28</fb>
    <v>17</v>
  </rv>
  <rv s="8">
    <fb>338.66</fb>
    <v>17</v>
  </rv>
  <rv s="8">
    <fb>338.53</fb>
    <v>17</v>
  </rv>
  <rv s="8">
    <fb>344.9</fb>
    <v>17</v>
  </rv>
  <rv s="8">
    <fb>340.7</fb>
    <v>17</v>
  </rv>
  <rv s="8">
    <fb>333.34</fb>
    <v>17</v>
  </rv>
  <rv s="8">
    <fb>331.33</fb>
    <v>17</v>
  </rv>
  <rv s="8">
    <fb>323.10000000000002</fb>
    <v>17</v>
  </rv>
  <rv s="8">
    <fb>324.39999999999998</fb>
    <v>17</v>
  </rv>
  <rv s="8">
    <fb>318.63</fb>
    <v>17</v>
  </rv>
  <rv s="8">
    <fb>309.37</fb>
    <v>17</v>
  </rv>
  <rv s="8">
    <fb>306.02</fb>
    <v>17</v>
  </rv>
  <rv s="8">
    <fb>302.82</fb>
    <v>17</v>
  </rv>
  <rv s="8">
    <fb>303.94</fb>
    <v>17</v>
  </rv>
  <rv s="8">
    <fb>303.56</fb>
    <v>17</v>
  </rv>
  <rv s="8">
    <fb>314.89999999999998</fb>
    <v>17</v>
  </rv>
  <rv s="8">
    <fb>311.69</fb>
    <v>17</v>
  </rv>
  <rv s="8">
    <fb>310.92</fb>
    <v>17</v>
  </rv>
  <rv s="8">
    <fb>313.02999999999997</fb>
    <v>17</v>
  </rv>
  <rv s="8">
    <fb>307.14999999999998</fb>
    <v>17</v>
  </rv>
  <rv s="8">
    <fb>311.43</fb>
    <v>17</v>
  </rv>
  <rv s="8">
    <fb>306.36</fb>
    <v>17</v>
  </rv>
  <rv s="8">
    <fb>303.45</fb>
    <v>17</v>
  </rv>
  <rv s="8">
    <fb>300.91000000000003</fb>
    <v>17</v>
  </rv>
  <rv s="8">
    <fb>298.3</fb>
    <v>17</v>
  </rv>
  <rv s="8">
    <fb>306.01</fb>
    <v>17</v>
  </rv>
  <rv s="8">
    <fb>306.93</fb>
    <v>17</v>
  </rv>
  <rv s="8">
    <fb>308.42</fb>
    <v>17</v>
  </rv>
  <rv s="8">
    <fb>303.20999999999998</fb>
    <v>17</v>
  </rv>
  <rv s="8">
    <fb>301.45999999999998</fb>
    <v>17</v>
  </rv>
  <rv s="8">
    <fb>304.42</fb>
    <v>17</v>
  </rv>
  <rv s="8">
    <fb>309.41000000000003</fb>
    <v>17</v>
  </rv>
  <rv s="8">
    <fb>306.3</fb>
    <v>17</v>
  </rv>
  <rv s="8">
    <fb>305.73</fb>
    <v>17</v>
  </rv>
  <rv s="8">
    <fb>298.79000000000002</fb>
    <v>17</v>
  </rv>
  <rv s="8">
    <fb>299.02</fb>
    <v>17</v>
  </rv>
  <rv s="8">
    <fb>289.2</fb>
    <v>17</v>
  </rv>
  <rv s="8">
    <fb>289.58999999999997</fb>
    <v>17</v>
  </rv>
  <rv s="8">
    <fb>280.74</fb>
    <v>17</v>
  </rv>
  <rv s="8">
    <fb>273.76</fb>
    <v>17</v>
  </rv>
  <rv s="8">
    <fb>273.14</fb>
    <v>17</v>
  </rv>
  <rv s="8">
    <fb>286.86</fb>
    <v>17</v>
  </rv>
  <rv s="8">
    <fb>294.89999999999998</fb>
    <v>17</v>
  </rv>
  <rv s="8">
    <fb>294.45999999999998</fb>
    <v>17</v>
  </rv>
  <rv s="8">
    <fb>297.66000000000003</fb>
    <v>17</v>
  </rv>
  <rv s="8">
    <fb>303.93</fb>
    <v>17</v>
  </rv>
  <rv s="8">
    <fb>314.74</fb>
    <v>17</v>
  </rv>
  <rv s="8">
    <fb>316.37</fb>
    <v>17</v>
  </rv>
  <rv s="8">
    <fb>315.72000000000003</fb>
    <v>17</v>
  </rv>
  <rv s="8">
    <fb>319.20999999999998</fb>
    <v>17</v>
  </rv>
  <rv s="8">
    <fb>330.58</fb>
    <v>17</v>
  </rv>
  <rv s="8">
    <fb>334.47</fb>
    <v>17</v>
  </rv>
  <rv s="8">
    <fb>332.77</fb>
    <v>17</v>
  </rv>
  <rv s="8">
    <fb>339.4</fb>
    <v>17</v>
  </rv>
  <rv s="8">
    <fb>335.4</fb>
    <v>17</v>
  </rv>
  <rv s="8">
    <fb>330.47</fb>
    <v>17</v>
  </rv>
  <rv s="8">
    <fb>337.73</fb>
    <v>17</v>
  </rv>
  <rv s="8">
    <fb>337.75</fb>
    <v>17</v>
  </rv>
  <rv s="8">
    <fb>342.32</fb>
    <v>17</v>
  </rv>
  <rv s="8">
    <fb>348.52</fb>
    <v>17</v>
  </rv>
  <rv s="8">
    <fb>347.5</fb>
    <v>17</v>
  </rv>
  <rv s="8">
    <fb>347.31</fb>
    <v>17</v>
  </rv>
  <rv s="8">
    <fb>381.94</fb>
    <v>17</v>
  </rv>
  <rv s="8">
    <fb>383.22</fb>
    <v>17</v>
  </rv>
  <rv s="8">
    <fb>379.64</fb>
    <v>17</v>
  </rv>
  <rv s="8">
    <fb>384.27</fb>
    <v>17</v>
  </rv>
  <rv s="8">
    <fb>395.14</fb>
    <v>17</v>
  </rv>
  <rv s="8">
    <fb>395.3</fb>
    <v>17</v>
  </rv>
  <rv s="8">
    <fb>397.05</fb>
    <v>17</v>
  </rv>
  <rv s="8">
    <fb>386.77</fb>
    <v>17</v>
  </rv>
  <rv s="8">
    <fb>383.82</fb>
    <v>17</v>
  </rv>
  <rv s="8">
    <fb>399.04</fb>
    <v>17</v>
  </rv>
  <rv s="8">
    <fb>397.17</fb>
    <v>17</v>
  </rv>
  <rv s="8">
    <fb>393.32</fb>
    <v>17</v>
  </rv>
  <rv s="8">
    <fb>393.11</fb>
    <v>17</v>
  </rv>
  <rv s="8">
    <fb>384.9</fb>
    <v>17</v>
  </rv>
  <rv s="8">
    <fb>383.47</fb>
    <v>17</v>
  </rv>
  <rv s="8">
    <fb>379.38</fb>
    <v>17</v>
  </rv>
  <rv s="8">
    <fb>384.84</fb>
    <v>17</v>
  </rv>
  <rv s="8">
    <fb>384.83</fb>
    <v>17</v>
  </rv>
  <rv s="8">
    <fb>386.12</fb>
    <v>17</v>
  </rv>
  <rv s="8">
    <fb>376.43</fb>
    <v>17</v>
  </rv>
  <rv s="8">
    <fb>372.58</fb>
    <v>17</v>
  </rv>
  <rv s="8">
    <fb>358.39</fb>
    <v>17</v>
  </rv>
  <rv s="8">
    <fb>355.68</fb>
    <v>17</v>
  </rv>
  <rv s="8">
    <fb>369.27</fb>
    <v>17</v>
  </rv>
  <rv s="8">
    <fb>365.76</fb>
    <v>17</v>
  </rv>
  <rv s="8">
    <fb>361.17</fb>
    <v>17</v>
  </rv>
  <rv s="8">
    <fb>362.29</fb>
    <v>17</v>
  </rv>
  <rv s="8">
    <fb>353.32</fb>
    <v>17</v>
  </rv>
  <rv s="8">
    <fb>356.56</fb>
    <v>17</v>
  </rv>
  <rv s="8">
    <fb>358.16</fb>
    <v>17</v>
  </rv>
  <rv s="8">
    <fb>367.11</fb>
    <v>17</v>
  </rv>
  <rv s="8">
    <fb>371.1</fb>
    <v>17</v>
  </rv>
  <rv s="8">
    <fb>362.1</fb>
    <v>17</v>
  </rv>
  <rv s="8">
    <fb>367.46</fb>
    <v>17</v>
  </rv>
  <rv s="8">
    <fb>348.78</fb>
    <v>17</v>
  </rv>
  <rv s="8">
    <fb>346.08</fb>
    <v>17</v>
  </rv>
  <rv s="8">
    <fb>345.04</fb>
    <v>17</v>
  </rv>
  <rv s="8">
    <fb>342.19</fb>
    <v>17</v>
  </rv>
  <rv s="8">
    <fb>334.69</fb>
    <v>17</v>
  </rv>
  <rv s="8">
    <fb>351.28</fb>
    <v>17</v>
  </rv>
  <rv s="8">
    <fb>353.33</fb>
    <v>17</v>
  </rv>
  <rv s="8">
    <fb>357.89</fb>
    <v>17</v>
  </rv>
  <rv s="8">
    <fb>356.18</fb>
    <v>17</v>
  </rv>
  <rv s="8">
    <fb>364.9</fb>
    <v>17</v>
  </rv>
  <rv s="8">
    <fb>363.62</fb>
    <v>17</v>
  </rv>
  <rv s="8">
    <fb>358.71</fb>
    <v>17</v>
  </rv>
  <rv s="8">
    <fb>356.24</fb>
    <v>17</v>
  </rv>
  <rv s="8">
    <fb>355.03</fb>
    <v>17</v>
  </rv>
  <rv s="8">
    <fb>350.67</fb>
    <v>17</v>
  </rv>
  <rv s="8">
    <fb>357.33</fb>
    <v>17</v>
  </rv>
  <rv s="8">
    <fb>370.21</fb>
    <v>17</v>
  </rv>
  <rv s="8">
    <fb>353.81</fb>
    <v>17</v>
  </rv>
  <rv s="8">
    <fb>346.12</fb>
    <v>17</v>
  </rv>
  <rv s="8">
    <fb>351.37</fb>
    <v>17</v>
  </rv>
  <rv s="8">
    <fb>346.19</fb>
    <v>17</v>
  </rv>
  <rv s="8">
    <fb>341.91</fb>
    <v>17</v>
  </rv>
  <rv s="8">
    <fb>318.33999999999997</fb>
    <v>17</v>
  </rv>
  <rv s="8">
    <fb>319.08999999999997</fb>
    <v>17</v>
  </rv>
  <rv s="8">
    <fb>326.57</fb>
    <v>17</v>
  </rv>
  <rv s="8">
    <fb>332.6</fb>
    <v>17</v>
  </rv>
  <rv s="8">
    <fb>335.76</fb>
    <v>17</v>
  </rv>
  <rv s="8">
    <fb>333.68</fb>
    <v>17</v>
  </rv>
  <rv s="8">
    <fb>356.65</fb>
    <v>17</v>
  </rv>
  <rv s="8">
    <fb>372.47</fb>
    <v>17</v>
  </rv>
  <rv s="8">
    <fb>375.35</fb>
    <v>17</v>
  </rv>
  <rv s="8">
    <fb>360.13</fb>
    <v>17</v>
  </rv>
  <rv s="8">
    <fb>356.62</fb>
    <v>17</v>
  </rv>
  <rv s="8">
    <fb>353.47</fb>
    <v>17</v>
  </rv>
  <rv s="8">
    <fb>355.84</fb>
    <v>17</v>
  </rv>
  <rv s="8">
    <fb>343</fb>
    <v>17</v>
  </rv>
  <rv s="8">
    <fb>342.37</fb>
    <v>17</v>
  </rv>
  <rv s="8">
    <fb>343.94</fb>
    <v>17</v>
  </rv>
  <rv s="8">
    <fb>343.54</fb>
    <v>17</v>
  </rv>
  <rv s="8">
    <fb>341.45</fb>
    <v>17</v>
  </rv>
  <rv s="8">
    <fb>341.28</fb>
    <v>17</v>
  </rv>
  <rv s="8">
    <fb>341.7</fb>
    <v>17</v>
  </rv>
  <rv s="8">
    <fb>338.2</fb>
    <v>17</v>
  </rv>
  <rv s="8">
    <fb>341.75</fb>
    <v>17</v>
  </rv>
  <rv s="8">
    <fb>344.59</fb>
    <v>17</v>
  </rv>
  <rv s="8">
    <fb>343.34</fb>
    <v>17</v>
  </rv>
  <rv s="8">
    <fb>339.1</fb>
    <v>17</v>
  </rv>
  <rv s="8">
    <fb>337.71</fb>
    <v>17</v>
  </rv>
  <rv s="8">
    <fb>342.88</fb>
    <v>17</v>
  </rv>
  <rv s="8">
    <fb>335.41</fb>
    <v>17</v>
  </rv>
  <rv s="8">
    <fb>332.03</fb>
    <v>17</v>
  </rv>
  <rv s="8">
    <fb>333.78</fb>
    <v>17</v>
  </rv>
  <rv s="8">
    <fb>339.08</fb>
    <v>17</v>
  </rv>
  <rv s="8">
    <fb>335.31</fb>
    <v>17</v>
  </rv>
  <rv s="8">
    <fb>335.38</fb>
    <v>17</v>
  </rv>
  <rv s="8">
    <fb>330.39</fb>
    <v>17</v>
  </rv>
  <rv s="8">
    <fb>335.45</fb>
    <v>17</v>
  </rv>
  <rv s="8">
    <fb>345.71</fb>
    <v>17</v>
  </rv>
  <rv s="8">
    <fb>341.43</fb>
    <v>17</v>
  </rv>
  <rv s="8">
    <fb>339.36</fb>
    <v>17</v>
  </rv>
  <rv s="8">
    <fb>343.68</fb>
    <v>17</v>
  </rv>
  <rv s="8">
    <fb>344.41</fb>
    <v>17</v>
  </rv>
  <rv s="8">
    <fb>350.87</fb>
    <v>17</v>
  </rv>
  <rv s="8">
    <fb>347.41</fb>
    <v>17</v>
  </rv>
  <rv s="8">
    <fb>334.98</fb>
    <v>17</v>
  </rv>
  <rv s="8">
    <fb>339.01</fb>
    <v>17</v>
  </rv>
  <rv s="8">
    <fb>341.08</fb>
    <v>17</v>
  </rv>
  <rv s="8">
    <fb>339.16</fb>
    <v>17</v>
  </rv>
  <rv s="8">
    <fb>222.17</fb>
    <v>17</v>
  </rv>
  <rv s="8">
    <fb>219.57</fb>
    <v>17</v>
  </rv>
  <rv s="8">
    <fb>220.63</fb>
    <v>17</v>
  </rv>
  <rv s="8">
    <fb>222.41</fb>
    <v>17</v>
  </rv>
  <rv s="8">
    <fb>219.51</fb>
    <v>17</v>
  </rv>
  <rv s="8">
    <fb>220.9</fb>
    <v>17</v>
  </rv>
  <rv s="8">
    <fb>221.78</fb>
    <v>17</v>
  </rv>
  <rv s="8">
    <fb>225.22</fb>
    <v>17</v>
  </rv>
  <rv s="8">
    <fb>227.74</fb>
    <v>17</v>
  </rv>
  <rv s="8">
    <fb>216.37</fb>
    <v>17</v>
  </rv>
  <rv s="8">
    <fb>220.07</fb>
    <v>17</v>
  </rv>
  <rv s="8">
    <fb>216.39</fb>
    <v>17</v>
  </rv>
  <rv s="8">
    <fb>215.57</fb>
    <v>17</v>
  </rv>
  <rv s="8">
    <fb>214.47</fb>
    <v>17</v>
  </rv>
  <rv s="8">
    <fb>213.04</fb>
    <v>17</v>
  </rv>
  <rv s="8">
    <fb>216.48</fb>
    <v>17</v>
  </rv>
  <rv s="8">
    <fb>222.03</fb>
    <v>17</v>
  </rv>
  <rv s="8">
    <fb>217.95</fb>
    <v>17</v>
  </rv>
  <rv s="8">
    <fb>221.09</fb>
    <v>17</v>
  </rv>
  <rv s="8">
    <fb>224.21</fb>
    <v>17</v>
  </rv>
  <rv s="8">
    <fb>226.97</fb>
    <v>17</v>
  </rv>
  <rv s="8">
    <fb>229.25</fb>
    <v>17</v>
  </rv>
  <rv s="8">
    <fb>230.3</fb>
    <v>17</v>
  </rv>
  <rv s="8">
    <fb>222.86</fb>
    <v>17</v>
  </rv>
  <rv s="8">
    <fb>244.22</fb>
    <v>17</v>
  </rv>
  <rv s="8">
    <fb>254</fb>
    <v>17</v>
  </rv>
  <rv s="8">
    <fb>249.32</fb>
    <v>17</v>
  </rv>
  <rv s="8">
    <fb>250.2</fb>
    <v>17</v>
  </rv>
  <rv s="8">
    <fb>243.04</fb>
    <v>17</v>
  </rv>
  <rv s="8">
    <fb>244.41</fb>
    <v>17</v>
  </rv>
  <rv s="8">
    <fb>248.4</fb>
    <v>17</v>
  </rv>
  <rv s="8">
    <fb>249.1</fb>
    <v>17</v>
  </rv>
  <rv s="8">
    <fb>244.2</fb>
    <v>17</v>
  </rv>
  <rv s="8">
    <fb>237.58</fb>
    <v>17</v>
  </rv>
  <rv s="8">
    <fb>234.69</fb>
    <v>17</v>
  </rv>
  <rv s="8">
    <fb>232.87</fb>
    <v>17</v>
  </rv>
  <rv s="8">
    <fb>222.55</fb>
    <v>17</v>
  </rv>
  <rv s="8">
    <fb>222.69</fb>
    <v>17</v>
  </rv>
  <rv s="8">
    <fb>217.14</fb>
    <v>17</v>
  </rv>
  <rv s="8">
    <fb>220.69</fb>
    <v>17</v>
  </rv>
  <rv s="8">
    <fb>226.28</fb>
    <v>17</v>
  </rv>
  <rv s="8">
    <fb>229.67</fb>
    <v>17</v>
  </rv>
  <rv s="8">
    <fb>229.16</fb>
    <v>17</v>
  </rv>
  <rv s="8">
    <fb>233.22</fb>
    <v>17</v>
  </rv>
  <rv s="8">
    <fb>233.88</fb>
    <v>17</v>
  </rv>
  <rv s="8">
    <fb>234.42</fb>
    <v>17</v>
  </rv>
  <rv s="8">
    <fb>232.38</fb>
    <v>17</v>
  </rv>
  <rv s="8">
    <fb>229.11</fb>
    <v>17</v>
  </rv>
  <rv s="8">
    <fb>229.53</fb>
    <v>17</v>
  </rv>
  <rv s="8">
    <fb>226.89</fb>
    <v>17</v>
  </rv>
  <rv s="8">
    <fb>231.78</fb>
    <v>17</v>
  </rv>
  <rv s="8">
    <fb>230.28</fb>
    <v>17</v>
  </rv>
  <rv s="8">
    <fb>226.19</fb>
    <v>17</v>
  </rv>
  <rv s="8">
    <fb>222.54</fb>
    <v>17</v>
  </rv>
  <rv s="8">
    <fb>222.56</fb>
    <v>17</v>
  </rv>
  <rv s="8">
    <fb>221.27</fb>
    <v>17</v>
  </rv>
  <rv s="8">
    <fb>226.76</fb>
    <v>17</v>
  </rv>
  <rv s="8">
    <fb>227.35</fb>
    <v>17</v>
  </rv>
  <rv s="8">
    <fb>228.43</fb>
    <v>17</v>
  </rv>
  <rv s="8">
    <fb>232.14</fb>
    <v>17</v>
  </rv>
  <rv s="8">
    <fb>232.52</fb>
    <v>17</v>
  </rv>
  <rv s="8">
    <fb>232.07</fb>
    <v>17</v>
  </rv>
  <rv s="8">
    <fb>232.53</fb>
    <v>17</v>
  </rv>
  <rv s="8">
    <fb>230.82</fb>
    <v>17</v>
  </rv>
  <rv s="8">
    <fb>226.5</fb>
    <v>17</v>
  </rv>
  <rv s="8">
    <fb>233.06</fb>
    <v>17</v>
  </rv>
  <rv s="8">
    <fb>240.93</fb>
    <v>17</v>
  </rv>
  <rv s="8">
    <fb>241.56</fb>
    <v>17</v>
  </rv>
  <rv s="8">
    <fb>246.29</fb>
    <v>17</v>
  </rv>
  <rv s="8">
    <fb>247.38</fb>
    <v>17</v>
  </rv>
  <rv s="8">
    <fb>246.47</fb>
    <v>17</v>
  </rv>
  <rv s="8">
    <fb>242.6</fb>
    <v>17</v>
  </rv>
  <rv s="8">
    <fb>236.65</fb>
    <v>17</v>
  </rv>
  <rv s="8">
    <fb>238.18</fb>
    <v>17</v>
  </rv>
  <rv s="8">
    <fb>239.12</fb>
    <v>17</v>
  </rv>
  <rv s="8">
    <fb>231</fb>
    <v>17</v>
  </rv>
  <rv s="8">
    <fb>231.31</fb>
    <v>17</v>
  </rv>
  <rv s="8">
    <fb>234.34</fb>
    <v>17</v>
  </rv>
  <rv s="8">
    <fb>239.16</fb>
    <v>17</v>
  </rv>
  <rv s="8">
    <fb>238.42</fb>
    <v>17</v>
  </rv>
  <rv s="8">
    <fb>244.68</fb>
    <v>17</v>
  </rv>
  <rv s="8">
    <fb>243.01</fb>
    <v>17</v>
  </rv>
  <rv s="8">
    <fb>241.73</fb>
    <v>17</v>
  </rv>
  <rv s="8">
    <fb>239.3</fb>
    <v>17</v>
  </rv>
  <rv s="8">
    <fb>242.96</fb>
    <v>17</v>
  </rv>
  <rv s="8">
    <fb>238.62</fb>
    <v>17</v>
  </rv>
  <rv s="8">
    <fb>232.99</fb>
    <v>17</v>
  </rv>
  <rv s="8">
    <fb>210.32</fb>
    <v>17</v>
  </rv>
  <rv s="8">
    <fb>208.72</fb>
    <v>17</v>
  </rv>
  <rv s="8">
    <fb>206.96</fb>
    <v>17</v>
  </rv>
  <rv s="8">
    <fb>204.08</fb>
    <v>17</v>
  </rv>
  <rv s="8">
    <fb>199.6</fb>
    <v>17</v>
  </rv>
  <rv s="8">
    <fb>198.79</fb>
    <v>17</v>
  </rv>
  <rv s="8">
    <fb>201.15</fb>
    <v>17</v>
  </rv>
  <rv s="8">
    <fb>204.79</fb>
    <v>17</v>
  </rv>
  <rv s="8">
    <fb>204.86</fb>
    <v>17</v>
  </rv>
  <rv s="8">
    <fb>210.11</fb>
    <v>17</v>
  </rv>
  <rv s="8">
    <fb>208.56</fb>
    <v>17</v>
  </rv>
  <rv s="8">
    <fb>210.64</fb>
    <v>17</v>
  </rv>
  <rv s="8">
    <fb>207.92</fb>
    <v>17</v>
  </rv>
  <rv s="8">
    <fb>210</fb>
    <v>17</v>
  </rv>
  <rv s="8">
    <fb>208.39</fb>
    <v>17</v>
  </rv>
  <rv s="8">
    <fb>208.73</fb>
    <v>17</v>
  </rv>
  <rv s="8">
    <fb>216.82</fb>
    <v>17</v>
  </rv>
  <rv s="8">
    <fb>218.94</fb>
    <v>17</v>
  </rv>
  <rv s="8">
    <fb>213.21</fb>
    <v>17</v>
  </rv>
  <rv s="8">
    <fb>213.49</fb>
    <v>17</v>
  </rv>
  <rv s="8">
    <fb>214.33</fb>
    <v>17</v>
  </rv>
  <rv s="8">
    <fb>212.65</fb>
    <v>17</v>
  </rv>
  <rv s="8">
    <fb>209.53</fb>
    <v>17</v>
  </rv>
  <rv s="8">
    <fb>207.67</fb>
    <v>17</v>
  </rv>
  <rv s="8">
    <fb>211.74</fb>
    <v>17</v>
  </rv>
  <rv s="8">
    <fb>215.2</fb>
    <v>17</v>
  </rv>
  <rv s="8">
    <fb>209.87</fb>
    <v>17</v>
  </rv>
  <rv s="8">
    <fb>208.76</fb>
    <v>17</v>
  </rv>
  <rv s="8">
    <fb>210.14</fb>
    <v>17</v>
  </rv>
  <rv s="8">
    <fb>207.24</fb>
    <v>17</v>
  </rv>
  <rv s="8">
    <fb>211.71</fb>
    <v>17</v>
  </rv>
  <rv s="8">
    <fb>207.54</fb>
    <v>17</v>
  </rv>
  <rv s="8">
    <fb>199.34</fb>
    <v>17</v>
  </rv>
  <rv s="8">
    <fb>200.95</fb>
    <v>17</v>
  </rv>
  <rv s="8">
    <fb>208.27</fb>
    <v>17</v>
  </rv>
  <rv s="8">
    <fb>210.57</fb>
    <v>17</v>
  </rv>
  <rv s="8">
    <fb>209.77</fb>
    <v>17</v>
  </rv>
  <rv s="8">
    <fb>212.79</fb>
    <v>17</v>
  </rv>
  <rv s="8">
    <fb>213.77</fb>
    <v>17</v>
  </rv>
  <rv s="8">
    <fb>221.25</fb>
    <v>17</v>
  </rv>
  <rv s="8">
    <fb>233.65</fb>
    <v>17</v>
  </rv>
  <rv s="8">
    <fb>238.38</fb>
    <v>17</v>
  </rv>
  <rv s="8">
    <fb>239.89</fb>
    <v>17</v>
  </rv>
  <rv s="8">
    <fb>249.02</fb>
    <v>17</v>
  </rv>
  <rv s="8">
    <fb>248.5</fb>
    <v>17</v>
  </rv>
  <rv s="8">
    <fb>249.7</fb>
    <v>17</v>
  </rv>
  <rv s="8">
    <fb>250.56</fb>
    <v>17</v>
  </rv>
  <rv s="8">
    <fb>248.28</fb>
    <v>17</v>
  </rv>
  <rv s="8">
    <fb>249.91</fb>
    <v>17</v>
  </rv>
  <rv s="8">
    <fb>255.36</fb>
    <v>17</v>
  </rv>
  <rv s="8">
    <fb>255.08</fb>
    <v>17</v>
  </rv>
  <rv s="8">
    <fb>263.99</fb>
    <v>17</v>
  </rv>
  <rv s="8">
    <fb>261.12</fb>
    <v>17</v>
  </rv>
  <rv s="8">
    <fb>259.7</fb>
    <v>17</v>
  </rv>
  <rv s="8">
    <fb>263.04000000000002</fb>
    <v>17</v>
  </rv>
  <rv s="8">
    <fb>265.06</fb>
    <v>17</v>
  </rv>
  <rv s="8">
    <fb>268.26</fb>
    <v>17</v>
  </rv>
  <rv s="8">
    <fb>272.05</fb>
    <v>17</v>
  </rv>
  <rv s="8">
    <fb>273.55</fb>
    <v>17</v>
  </rv>
  <rv s="8">
    <fb>274.99</fb>
    <v>17</v>
  </rv>
  <rv s="8">
    <fb>271.17</fb>
    <v>17</v>
  </rv>
  <rv s="8">
    <fb>272.68</fb>
    <v>17</v>
  </rv>
  <rv s="8">
    <fb>268.99</fb>
    <v>17</v>
  </rv>
  <rv s="8">
    <fb>265.82</fb>
    <v>17</v>
  </rv>
  <rv s="8">
    <fb>270.13</fb>
    <v>17</v>
  </rv>
  <rv s="8">
    <fb>267.22000000000003</fb>
    <v>17</v>
  </rv>
  <rv s="8">
    <fb>264.14</fb>
    <v>17</v>
  </rv>
  <rv s="8">
    <fb>264.86</fb>
    <v>17</v>
  </rv>
  <rv s="8">
    <fb>259.33999999999997</fb>
    <v>17</v>
  </rv>
  <rv s="8">
    <fb>265.01</fb>
    <v>17</v>
  </rv>
  <rv s="8">
    <fb>268.45999999999998</fb>
    <v>17</v>
  </rv>
  <rv s="8">
    <fb>266.32</fb>
    <v>17</v>
  </rv>
  <rv s="8">
    <fb>265.29000000000002</fb>
    <v>17</v>
  </rv>
  <rv s="8">
    <fb>271.85000000000002</fb>
    <v>17</v>
  </rv>
  <rv s="8">
    <fb>274</fb>
    <v>17</v>
  </rv>
  <rv s="8">
    <fb>270.64</fb>
    <v>17</v>
  </rv>
  <rv s="8">
    <fb>261.26</fb>
    <v>17</v>
  </rv>
  <rv s="8">
    <fb>256.52</fb>
    <v>17</v>
  </rv>
  <rv s="8">
    <fb>250.02</fb>
    <v>17</v>
  </rv>
  <rv s="8">
    <fb>246.03</fb>
    <v>17</v>
  </rv>
  <rv s="8">
    <fb>245.22</fb>
    <v>17</v>
  </rv>
  <rv s="8">
    <fb>244.19</fb>
    <v>17</v>
  </rv>
  <rv s="8">
    <fb>238</fb>
    <v>17</v>
  </rv>
  <rv s="8">
    <fb>241.51</fb>
    <v>17</v>
  </rv>
  <rv s="8">
    <fb>238.55</fb>
    <v>17</v>
  </rv>
  <rv s="8">
    <fb>246.02</fb>
    <v>17</v>
  </rv>
  <rv s="8">
    <fb>246</fb>
    <v>17</v>
  </rv>
  <rv s="8">
    <fb>237.5</fb>
    <v>17</v>
  </rv>
  <rv s="8">
    <fb>244.39</fb>
    <v>17</v>
  </rv>
  <rv s="8">
    <fb>232.79</fb>
    <v>17</v>
  </rv>
  <rv s="8">
    <fb>234.11</fb>
    <v>17</v>
  </rv>
  <rv s="8">
    <fb>234.27</fb>
    <v>17</v>
  </rv>
  <rv s="8">
    <fb>227.01</fb>
    <v>17</v>
  </rv>
  <rv s="8">
    <fb>232.69</fb>
    <v>17</v>
  </rv>
  <rv s="8">
    <fb>240.14</fb>
    <v>17</v>
  </rv>
  <rv s="8">
    <fb>238.34</fb>
    <v>17</v>
  </rv>
  <rv s="8">
    <fb>241.7</fb>
    <v>17</v>
  </rv>
  <rv s="8">
    <fb>242.67</fb>
    <v>17</v>
  </rv>
  <rv s="8">
    <fb>244.16</fb>
    <v>17</v>
  </rv>
  <rv s="8">
    <fb>245.98</fb>
    <v>17</v>
  </rv>
  <rv s="8">
    <fb>243.62</fb>
    <v>17</v>
  </rv>
  <rv s="8">
    <fb>247.04</fb>
    <v>17</v>
  </rv>
  <rv s="8">
    <fb>245.34</fb>
    <v>17</v>
  </rv>
  <rv s="8">
    <fb>247.31</fb>
    <v>17</v>
  </rv>
  <rv s="8">
    <fb>247.49</fb>
    <v>17</v>
  </rv>
  <rv s="8">
    <fb>254.96</fb>
    <v>17</v>
  </rv>
  <rv s="8">
    <fb>249.89</fb>
    <v>17</v>
  </rv>
  <rv s="8">
    <fb>247.23</fb>
    <v>17</v>
  </rv>
  <rv s="8">
    <fb>249.99</fb>
    <v>17</v>
  </rv>
  <rv s="8">
    <fb>247.55</fb>
    <v>17</v>
  </rv>
  <rv s="8">
    <fb>244.85</fb>
    <v>17</v>
  </rv>
  <rv s="8">
    <fb>233.66</fb>
    <v>17</v>
  </rv>
  <rv s="8">
    <fb>232.11</fb>
    <v>17</v>
  </rv>
  <rv s="8">
    <fb>231.39</fb>
    <v>17</v>
  </rv>
  <rv s="8">
    <fb>230.86</fb>
    <v>17</v>
  </rv>
  <rv s="8">
    <fb>226.65</fb>
    <v>17</v>
  </rv>
  <rv s="8">
    <fb>235.5</fb>
    <v>17</v>
  </rv>
  <rv s="8">
    <fb>271.58</fb>
    <v>17</v>
  </rv>
  <rv s="8">
    <fb>284.02</fb>
    <v>17</v>
  </rv>
  <rv s="8">
    <fb>277.42</fb>
    <v>17</v>
  </rv>
  <rv s="8">
    <fb>272.64999999999998</fb>
    <v>17</v>
  </rv>
  <rv s="8">
    <fb>272.26</fb>
    <v>17</v>
  </rv>
  <rv s="8">
    <fb>274.48</fb>
    <v>17</v>
  </rv>
  <rv s="8">
    <fb>278.08999999999997</fb>
    <v>17</v>
  </rv>
  <rv s="8">
    <fb>272.27</fb>
    <v>17</v>
  </rv>
  <rv s="8">
    <fb>267.27999999999997</fb>
    <v>17</v>
  </rv>
  <rv s="8">
    <fb>265.13</fb>
    <v>17</v>
  </rv>
  <rv s="8">
    <fb>262.64999999999998</fb>
    <v>17</v>
  </rv>
  <rv s="8">
    <fb>261.31</fb>
    <v>17</v>
  </rv>
  <rv s="8">
    <fb>259.45</fb>
    <v>17</v>
  </rv>
  <rv s="8">
    <fb>265.83999999999997</fb>
    <v>17</v>
  </rv>
  <rv s="8">
    <fb>260.11</fb>
    <v>17</v>
  </rv>
  <rv s="8">
    <fb>258.63</fb>
    <v>17</v>
  </rv>
  <rv s="8">
    <fb>262.07</fb>
    <v>17</v>
  </rv>
  <rv s="8">
    <fb>261.06</fb>
    <v>17</v>
  </rv>
  <rv s="8">
    <fb>260.27999999999997</fb>
    <v>17</v>
  </rv>
  <rv s="8">
    <fb>256.26</fb>
    <v>17</v>
  </rv>
  <rv s="8">
    <fb>266.43</fb>
    <v>17</v>
  </rv>
  <rv s="8">
    <fb>259.77</fb>
    <v>17</v>
  </rv>
  <rv s="8">
    <fb>254.92</fb>
    <v>17</v>
  </rv>
  <rv s="8">
    <fb>254.98</fb>
    <v>17</v>
  </rv>
  <rv s="8">
    <fb>258.89999999999998</fb>
    <v>17</v>
  </rv>
  <rv s="8">
    <fb>258.51</fb>
    <v>17</v>
  </rv>
  <rv s="8">
    <fb>256.97000000000003</fb>
    <v>17</v>
  </rv>
  <rv s="8">
    <fb>252.4</fb>
    <v>17</v>
  </rv>
  <rv s="8">
    <fb>251.89</fb>
    <v>17</v>
  </rv>
  <rv s="8">
    <fb>256.77999999999997</fb>
    <v>17</v>
  </rv>
  <rv s="8">
    <fb>253.54</fb>
    <v>17</v>
  </rv>
  <rv s="8">
    <fb>248.42</fb>
    <v>17</v>
  </rv>
  <rv s="8">
    <fb>245.96</fb>
    <v>17</v>
  </rv>
  <rv s="8">
    <fb>251.19</fb>
    <v>17</v>
  </rv>
  <rv s="8">
    <fb>253.71</fb>
    <v>17</v>
  </rv>
  <rv s="8">
    <fb>258.45</fb>
    <v>17</v>
  </rv>
  <rv s="8">
    <fb>249.27</fb>
    <v>17</v>
  </rv>
  <rv s="8">
    <fb>249.38</fb>
    <v>17</v>
  </rv>
  <rv s="8">
    <fb>249.67</fb>
    <v>17</v>
  </rv>
  <rv s="8">
    <fb>246.15</fb>
    <v>17</v>
  </rv>
  <rv s="8">
    <fb>254.43</fb>
    <v>17</v>
  </rv>
  <rv s="8">
    <fb>254.63</fb>
    <v>17</v>
  </rv>
  <rv s="8">
    <fb>255.45</fb>
    <v>17</v>
  </rv>
  <rv s="8">
    <fb>257.13</fb>
    <v>17</v>
  </rv>
  <rv s="8">
    <fb>258.02</fb>
    <v>17</v>
  </rv>
  <rv s="8">
    <fb>256.69</fb>
    <v>17</v>
  </rv>
  <rv s="8">
    <fb>256.48</fb>
    <v>17</v>
  </rv>
  <rv s="8">
    <fb>258.06</fb>
    <v>17</v>
  </rv>
  <rv s="8">
    <fb>254.04</fb>
    <v>17</v>
  </rv>
  <rv s="8">
    <fb>245.27</fb>
    <v>17</v>
  </rv>
  <rv s="8">
    <fb>247.66</fb>
    <v>17</v>
  </rv>
  <rv s="8">
    <fb>247.77</fb>
    <v>17</v>
  </rv>
  <rv s="8">
    <fb>249.34</fb>
    <v>17</v>
  </rv>
  <rv s="8">
    <fb>247.45</fb>
    <v>17</v>
  </rv>
  <rv s="8">
    <fb>252.29</fb>
    <v>17</v>
  </rv>
  <rv s="8">
    <fb>262.24</fb>
    <v>17</v>
  </rv>
  <rv s="8">
    <fb>262.77</fb>
    <v>17</v>
  </rv>
  <rv s="8">
    <fb>259.58</fb>
    <v>17</v>
  </rv>
  <rv s="8">
    <fb>262.82</fb>
    <v>17</v>
  </rv>
  <rv s="8">
    <fb>268.81</fb>
    <v>17</v>
  </rv>
  <rv s="8">
    <fb>269</fb>
    <v>17</v>
  </rv>
  <rv s="8">
    <fb>269.7</fb>
    <v>17</v>
  </rv>
  <rv s="8">
    <fb>271.39999999999998</fb>
    <v>17</v>
  </rv>
  <rv s="8">
    <fb>270.37</fb>
    <v>17</v>
  </rv>
  <rv s="8">
    <fb>269.05</fb>
    <v>17</v>
  </rv>
  <rv s="8">
    <fb>270.04000000000002</fb>
    <v>17</v>
  </rv>
  <rv s="8">
    <fb>270.14</fb>
    <v>17</v>
  </rv>
  <rv s="8">
    <fb>269.77</fb>
    <v>17</v>
  </rv>
  <rv s="8">
    <fb>268.47000000000003</fb>
    <v>17</v>
  </rv>
  <rv s="8">
    <fb>269.43</fb>
    <v>17</v>
  </rv>
  <rv s="8">
    <fb>275.25</fb>
    <v>17</v>
  </rv>
  <rv s="8">
    <fb>273.47000000000003</fb>
    <v>17</v>
  </rv>
  <rv s="8">
    <fb>272.95</fb>
    <v>17</v>
  </rv>
  <rv s="8">
    <fb>272.41000000000003</fb>
    <v>17</v>
  </rv>
  <rv s="8">
    <fb>267.45999999999998</fb>
    <v>17</v>
  </rv>
  <rv s="8">
    <fb>267.44</fb>
    <v>17</v>
  </rv>
  <rv s="8">
    <fb>268.56</fb>
    <v>17</v>
  </rv>
  <rv s="8">
    <fb>266.25</fb>
    <v>17</v>
  </rv>
  <rv s="8">
    <fb>271.49</fb>
    <v>17</v>
  </rv>
  <rv s="8">
    <fb>275.92</fb>
    <v>17</v>
  </rv>
  <rv s="8">
    <fb>276.97000000000003</fb>
    <v>17</v>
  </rv>
  <rv s="8">
    <fb>277.55</fb>
    <v>17</v>
  </rv>
  <rv s="8">
    <fb>278.85000000000002</fb>
    <v>17</v>
  </rv>
  <rv s="8">
    <fb>283.10000000000002</fb>
    <v>17</v>
  </rv>
  <rv s="8">
    <fb>286.19</fb>
    <v>17</v>
  </rv>
  <rv s="8">
    <fb>284.14999999999998</fb>
    <v>17</v>
  </rv>
  <rv s="8">
    <fb>280.7</fb>
    <v>17</v>
  </rv>
  <rv s="8">
    <fb>278.77999999999997</fb>
    <v>17</v>
  </rv>
  <rv s="8">
    <fb>277.89</fb>
    <v>17</v>
  </rv>
  <rv s="8">
    <fb>277.18</fb>
    <v>17</v>
  </rv>
  <rv s="8">
    <fb>278.02999999999997</fb>
    <v>17</v>
  </rv>
  <rv s="8">
    <fb>278.27999999999997</fb>
    <v>17</v>
  </rv>
  <rv s="8">
    <fb>274.11</fb>
    <v>17</v>
  </rv>
  <rv s="8">
    <fb>274.61</fb>
    <v>17</v>
  </rv>
  <rv s="8">
    <fb>271.83999999999997</fb>
    <v>17</v>
  </rv>
  <rv s="8">
    <fb>272.19</fb>
    <v>17</v>
  </rv>
  <rv s="8">
    <fb>273.67</fb>
    <v>17</v>
  </rv>
  <rv s="8">
    <fb>270.97000000000003</fb>
    <v>17</v>
  </rv>
  <rv s="8">
    <fb>272.36</fb>
    <v>17</v>
  </rv>
  <rv s="8">
    <fb>273.81</fb>
    <v>17</v>
  </rv>
  <rv s="8">
    <fb>273.39999999999998</fb>
    <v>17</v>
  </rv>
  <rv s="8">
    <fb>273.08</fb>
    <v>17</v>
  </rv>
  <rv s="8">
    <fb>271.86</fb>
    <v>17</v>
  </rv>
  <rv s="8">
    <fb>271.01</fb>
    <v>17</v>
  </rv>
  <rv s="8">
    <fb>267.26</fb>
    <v>17</v>
  </rv>
  <rv s="8">
    <fb>262.36</fb>
    <v>17</v>
  </rv>
  <rv s="8">
    <fb>260.33</fb>
    <v>17</v>
  </rv>
  <rv s="8">
    <fb>259.04000000000002</fb>
    <v>17</v>
  </rv>
  <rv s="8">
    <fb>259.37</fb>
    <v>17</v>
  </rv>
  <rv s="8">
    <fb>260.25</fb>
    <v>17</v>
  </rv>
  <rv s="8">
    <fb>261.05</fb>
    <v>17</v>
  </rv>
  <rv s="8">
    <fb>259.95999999999998</fb>
    <v>17</v>
  </rv>
  <rv s="8">
    <fb>258.20999999999998</fb>
    <v>17</v>
  </rv>
  <rv s="8">
    <fb>255.53</fb>
    <v>17</v>
  </rv>
  <rv s="8">
    <fb>246.7</fb>
    <v>17</v>
  </rv>
  <rv s="8">
    <fb>247.65</fb>
    <v>17</v>
  </rv>
  <rv s="8">
    <fb>248.35</fb>
    <v>17</v>
  </rv>
  <rv s="8">
    <fb>248.04</fb>
    <v>17</v>
  </rv>
  <rv s="8">
    <fb>255.41</fb>
    <v>17</v>
  </rv>
  <rv s="8">
    <fb>258.27</fb>
    <v>17</v>
  </rv>
  <rv s="8">
    <fb>256.44</fb>
    <v>17</v>
  </rv>
  <rv s="8">
    <fb>258.27999999999997</fb>
    <v>17</v>
  </rv>
  <rv s="8">
    <fb>259.48</fb>
    <v>17</v>
  </rv>
  <rv s="8">
    <fb>270.01</fb>
    <v>17</v>
  </rv>
  <rv s="8">
    <fb>269.48</fb>
    <v>17</v>
  </rv>
  <rv s="8">
    <fb>276.49</fb>
    <v>17</v>
  </rv>
  <rv s="8">
    <fb>275.91000000000003</fb>
    <v>17</v>
  </rv>
  <rv s="8">
    <fb>278.12</fb>
    <v>17</v>
  </rv>
  <rv s="8">
    <fb>274.62</fb>
    <v>17</v>
  </rv>
  <rv s="8">
    <fb>273.68</fb>
    <v>17</v>
  </rv>
  <rv s="8">
    <fb>275.5</fb>
    <v>17</v>
  </rv>
  <rv s="8">
    <fb>261.73</fb>
    <v>17</v>
  </rv>
  <rv s="8">
    <fb>255.78</fb>
    <v>17</v>
  </rv>
  <rv s="8">
    <fb>263.88</fb>
    <v>17</v>
  </rv>
  <rv s="8">
    <fb>264.35000000000002</fb>
    <v>17</v>
  </rv>
  <rv s="8">
    <fb>260.58</fb>
    <v>17</v>
  </rv>
  <rv s="8">
    <fb>264.58</fb>
    <v>17</v>
  </rv>
  <rv s="8">
    <fb>266.18</fb>
    <v>17</v>
  </rv>
  <rv s="8">
    <fb>272.14</fb>
    <v>17</v>
  </rv>
  <rv s="8">
    <fb>274.23</fb>
    <v>17</v>
  </rv>
  <rv s="8">
    <fb>264.18</fb>
    <v>17</v>
  </rv>
  <rv s="8">
    <fb>264.72000000000003</fb>
    <v>17</v>
  </rv>
  <rv s="8">
    <fb>263.75</fb>
    <v>17</v>
  </rv>
  <rv s="8">
    <fb>262.52</fb>
    <v>17</v>
  </rv>
  <rv s="8">
    <fb>260.29000000000002</fb>
    <v>17</v>
  </rv>
  <rv s="8">
    <fb>257.45999999999998</fb>
    <v>17</v>
  </rv>
  <rv s="8">
    <fb>259.88</fb>
    <v>17</v>
  </rv>
  <rv s="8">
    <fb>260.83</fb>
    <v>17</v>
  </rv>
  <rv s="8">
    <fb>260.81</fb>
    <v>17</v>
  </rv>
  <rv s="8">
    <fb>255.76</fb>
    <v>17</v>
  </rv>
  <rv s="8">
    <fb>250.12</fb>
    <v>17</v>
  </rv>
  <rv s="8">
    <fb>252.82</fb>
    <v>17</v>
  </rv>
  <rv s="8">
    <fb>254.23</fb>
    <v>17</v>
  </rv>
  <rv s="8">
    <fb>249.94</fb>
    <v>17</v>
  </rv>
  <rv s="8">
    <fb>248.96</fb>
    <v>17</v>
  </rv>
  <rv s="8">
    <fb>247.99</fb>
    <v>17</v>
  </rv>
  <rv s="8">
    <fb>251.49</fb>
    <v>17</v>
  </rv>
  <rv s="8">
    <fb>251.64</fb>
    <v>17</v>
  </rv>
  <rv s="8">
    <fb>252.62</fb>
    <v>17</v>
  </rv>
  <rv s="8">
    <fb>252.89</fb>
    <v>17</v>
  </rv>
  <rv s="8">
    <fb>248.8</fb>
    <v>17</v>
  </rv>
  <rv s="8">
    <fb>246.63</fb>
    <v>17</v>
  </rv>
  <rv s="8">
    <fb>255.63</fb>
    <v>17</v>
  </rv>
  <rv s="8">
    <fb>255.92</fb>
    <v>17</v>
  </rv>
  <rv s="8">
    <fb>258.86</fb>
    <v>17</v>
  </rv>
  <rv s="8">
    <fb>253.5</fb>
    <v>17</v>
  </rv>
  <rv s="8">
    <fb>260.49</fb>
    <v>17</v>
  </rv>
  <rv s="8">
    <fb>260.48</fb>
    <v>17</v>
  </rv>
  <rv s="8">
    <fb>259.2</fb>
    <v>17</v>
  </rv>
  <rv s="8">
    <fb>258.83</fb>
    <v>17</v>
  </rv>
  <rv s="8">
    <fb>263.39999999999998</fb>
    <v>17</v>
  </rv>
  <rv s="8">
    <fb>270.23</fb>
    <v>17</v>
  </rv>
  <rv s="8">
    <fb>273.05</fb>
    <v>17</v>
  </rv>
  <rv s="8">
    <fb>266.17</fb>
    <v>17</v>
  </rv>
  <rv s="8">
    <fb>273.17</fb>
    <v>17</v>
  </rv>
  <rv s="8">
    <fb>273.43</fb>
    <v>17</v>
  </rv>
  <rv s="8">
    <fb>271.06</fb>
    <v>17</v>
  </rv>
  <rv s="8">
    <fb>267.61</fb>
    <v>17</v>
  </rv>
  <rv s="8">
    <fb>270.70999999999998</fb>
    <v>17</v>
  </rv>
  <rv s="8">
    <fb>270.17</fb>
    <v>17</v>
  </rv>
  <rv s="8">
    <fb>271.35000000000002</fb>
    <v>17</v>
  </rv>
  <rv s="8">
    <fb>280.14</fb>
    <v>17</v>
  </rv>
  <rv s="8">
    <fb>276.83</fb>
    <v>17</v>
  </rv>
  <rv s="8">
    <fb>284.18</fb>
    <v>17</v>
  </rv>
  <rv s="8">
    <fb>287.51</fb>
    <v>17</v>
  </rv>
  <rv s="8">
    <fb>287.44</fb>
    <v>17</v>
  </rv>
  <rv s="8">
    <fb>293.32</fb>
    <v>17</v>
  </rv>
  <rv s="8">
    <fb>292.68</fb>
    <v>17</v>
  </rv>
  <rv s="8">
    <fb>294.8</fb>
    <v>17</v>
  </rv>
  <rv s="8">
    <fb>298.87</fb>
    <v>17</v>
  </rv>
  <rv s="8">
    <fb>298.20999999999998</fb>
    <v>17</v>
  </rv>
  <rv s="8">
    <fb>300.23</fb>
    <v>17</v>
  </rv>
  <rv s="8">
    <fb>297.83999999999997</fb>
    <v>17</v>
  </rv>
  <rv s="8">
    <fb>298.97000000000003</fb>
    <v>17</v>
  </rv>
  <rv s="8">
    <fb>302.25</fb>
    <v>17</v>
  </rv>
  <rv s="8">
    <fb>304.99</fb>
    <v>17</v>
  </rv>
  <rv s="8">
    <fb>308.82</fb>
    <v>17</v>
  </rv>
  <rv s="8">
    <fb>308.33</fb>
    <v>17</v>
  </rv>
  <rv s="8">
    <fb>310.85000000000002</fb>
    <v>17</v>
  </rv>
  <rv s="8">
    <fb>312.51</fb>
    <v>17</v>
  </rv>
  <rv s="8">
    <fb>312.06</fb>
    <v>17</v>
  </rv>
  <rv s="8">
    <fb>306.31</fb>
    <v>17</v>
  </rv>
  <rv s="8">
    <fb>315.2</fb>
    <v>17</v>
  </rv>
  <rv s="8">
    <fb>310.26</fb>
    <v>17</v>
  </rv>
  <rv s="8">
    <fb>311.23</fb>
    <v>17</v>
  </rv>
  <rv s="8">
    <fb>307.33999999999997</fb>
    <v>17</v>
  </rv>
  <rv s="8">
    <fb>301.54000000000002</fb>
    <v>17</v>
  </rv>
  <rv s="8">
    <fb>290.55</fb>
    <v>17</v>
  </rv>
  <rv s="8">
    <fb>291.58</fb>
    <v>17</v>
  </rv>
  <rv s="8">
    <fb>295.63</fb>
    <v>17</v>
  </rv>
  <rv s="8">
    <fb>291.13</fb>
    <v>17</v>
  </rv>
  <rv s="8">
    <fb>296.42</fb>
    <v>17</v>
  </rv>
  <rv s="8">
    <fb>299.24</fb>
    <v>17</v>
  </rv>
  <rv s="8">
    <fb>295.95</fb>
    <v>17</v>
  </rv>
  <rv s="8">
    <fb>298.01</fb>
    <v>17</v>
  </rv>
  <rv s="8">
    <fb>297.01</fb>
    <v>17</v>
  </rv>
  <rv s="8">
    <fb>294.3</fb>
    <v>17</v>
  </rv>
  <rv s="8">
    <fb>293.08</fb>
    <v>17</v>
  </rv>
  <rv s="8">
    <fb>275.14999999999998</fb>
    <v>17</v>
  </rv>
  <rv s="8">
    <fb>283.77999999999997</fb>
    <v>17</v>
  </rv>
  <rv s="8">
    <fb>281.74</fb>
    <v>17</v>
  </rv>
  <rv s="8">
    <fb>289.36</fb>
    <v>17</v>
  </rv>
  <rv s="8">
    <fb>294.38</fb>
    <v>17</v>
  </rv>
  <rv s="8">
    <fb>308.63</fb>
    <v>17</v>
  </rv>
  <rv s="8">
    <fb>312.66000000000003</fb>
    <v>17</v>
  </rv>
  <rv s="8">
    <fb>310.66000000000003</fb>
    <v>17</v>
  </rv>
  <rv s="8">
    <fb>313.39</fb>
    <v>17</v>
  </rv>
  <rv s="8">
    <fb>316.22000000000003</fb>
    <v>17</v>
  </rv>
  <rv s="8">
    <fb>317.31</fb>
    <v>17</v>
  </rv>
  <rv s="8">
    <fb>314.86</fb>
    <v>17</v>
  </rv>
  <rv s="8">
    <fb>327.5</fb>
    <v>17</v>
  </rv>
  <rv s="8">
    <fb>333.26</fb>
    <v>17</v>
  </rv>
  <rv s="8">
    <fb>333.74</fb>
    <v>17</v>
  </rv>
  <rv s="8">
    <fb>326.58999999999997</fb>
    <v>17</v>
  </rv>
  <rv s="8">
    <fb>327.74</fb>
    <v>17</v>
  </rv>
  <rv s="8">
    <fb>325.89</fb>
    <v>17</v>
  </rv>
  <rv s="8">
    <fb>321.66000000000003</fb>
    <v>17</v>
  </rv>
  <rv s="8">
    <fb>333.02</fb>
    <v>17</v>
  </rv>
  <rv s="8">
    <fb>336.91</fb>
    <v>17</v>
  </rv>
  <rv s="8">
    <fb>340.08</fb>
    <v>17</v>
  </rv>
  <rv s="8">
    <fb>338.19</fb>
    <v>17</v>
  </rv>
  <rv s="8">
    <fb>333.43</fb>
    <v>17</v>
  </rv>
  <rv s="8">
    <fb>308.91000000000003</fb>
    <v>17</v>
  </rv>
  <rv s="8">
    <fb>303.42</fb>
    <v>17</v>
  </rv>
  <rv s="8">
    <fb>309.38</fb>
    <v>17</v>
  </rv>
  <rv s="8">
    <fb>311</fb>
    <v>17</v>
  </rv>
  <rv s="8">
    <fb>312.41000000000003</fb>
    <v>17</v>
  </rv>
  <rv s="8">
    <fb>313.33</fb>
    <v>17</v>
  </rv>
  <rv s="8">
    <fb>308.26</fb>
    <v>17</v>
  </rv>
  <rv s="8">
    <fb>304.91000000000003</fb>
    <v>17</v>
  </rv>
  <rv s="8">
    <fb>305.26</fb>
    <v>17</v>
  </rv>
  <rv s="8">
    <fb>305.93</fb>
    <v>17</v>
  </rv>
  <rv s="8">
    <fb>305.58999999999997</fb>
    <v>17</v>
  </rv>
  <rv s="8">
    <fb>310.02999999999997</fb>
    <v>17</v>
  </rv>
  <rv s="8">
    <fb>316.83</fb>
    <v>17</v>
  </rv>
  <rv s="8">
    <fb>311.3</fb>
    <v>17</v>
  </rv>
  <rv s="8">
    <fb>309.35000000000002</fb>
    <v>17</v>
  </rv>
  <rv s="8">
    <fb>310.33999999999997</fb>
    <v>17</v>
  </rv>
  <rv s="8">
    <fb>309.89999999999998</fb>
    <v>17</v>
  </rv>
  <rv s="8">
    <fb>313.45</fb>
    <v>17</v>
  </rv>
  <rv s="8">
    <fb>314.58</fb>
    <v>17</v>
  </rv>
  <rv s="8">
    <fb>319.7</fb>
    <v>17</v>
  </rv>
  <rv s="8">
    <fb>316.85000000000002</fb>
    <v>17</v>
  </rv>
  <rv s="8">
    <fb>325.13</fb>
    <v>17</v>
  </rv>
  <rv s="8">
    <fb>324.95999999999998</fb>
    <v>17</v>
  </rv>
  <rv s="8">
    <fb>328.21</fb>
    <v>17</v>
  </rv>
  <rv s="8">
    <fb>319.97000000000003</fb>
    <v>17</v>
  </rv>
  <rv s="8">
    <fb>315.33999999999997</fb>
    <v>17</v>
  </rv>
  <rv s="8">
    <fb>332.27</fb>
    <v>17</v>
  </rv>
  <rv s="8">
    <fb>333.08</fb>
    <v>17</v>
  </rv>
  <rv s="8">
    <fb>331.34</fb>
    <v>17</v>
  </rv>
  <rv s="8">
    <fb>332.41</fb>
    <v>17</v>
  </rv>
  <rv s="8">
    <fb>337</fb>
    <v>17</v>
  </rv>
  <rv s="8">
    <fb>336.13</fb>
    <v>17</v>
  </rv>
  <rv s="8">
    <fb>338.98</fb>
    <v>17</v>
  </rv>
  <rv s="8">
    <fb>339.75</fb>
    <v>17</v>
  </rv>
  <rv s="8">
    <fb>337.02</fb>
    <v>17</v>
  </rv>
  <rv s="8">
    <fb>335.92</fb>
    <v>17</v>
  </rv>
  <rv s="8">
    <fb>341.07</fb>
    <v>17</v>
  </rv>
  <rv s="8">
    <fb>338.4</fb>
    <v>17</v>
  </rv>
  <rv s="8">
    <fb>1175.56</fb>
    <v>17</v>
  </rv>
  <rv s="8">
    <fb>1165.8699999999999</fb>
    <v>17</v>
  </rv>
  <rv s="8">
    <fb>1141.07</fb>
    <v>17</v>
  </rv>
  <rv s="8">
    <fb>1160.54</fb>
    <v>17</v>
  </rv>
  <rv s="8">
    <fb>1160.69</fb>
    <v>17</v>
  </rv>
  <rv s="8">
    <fb>1179.27</fb>
    <v>17</v>
  </rv>
  <rv s="8">
    <fb>1166.23</fb>
    <v>17</v>
  </rv>
  <rv s="8">
    <fb>1165</fb>
    <v>17</v>
  </rv>
  <rv s="8">
    <fb>1167.43</fb>
    <v>17</v>
  </rv>
  <rv s="8">
    <fb>1132.3599999999999</fb>
    <v>17</v>
  </rv>
  <rv s="8">
    <fb>1155.1199999999999</fb>
    <v>17</v>
  </rv>
  <rv s="8">
    <fb>1194.26</fb>
    <v>17</v>
  </rv>
  <rv s="8">
    <fb>1202.5899999999999</fb>
    <v>17</v>
  </rv>
  <rv s="8">
    <fb>1171.3599999999999</fb>
    <v>17</v>
  </rv>
  <rv s="8">
    <fb>1161.1600000000001</fb>
    <v>17</v>
  </rv>
  <rv s="8">
    <fb>1160</fb>
    <v>17</v>
  </rv>
  <rv s="8">
    <fb>1130</fb>
    <v>17</v>
  </rv>
  <rv s="8">
    <fb>1129.68</fb>
    <v>17</v>
  </rv>
  <rv s="8">
    <fb>1125</fb>
    <v>17</v>
  </rv>
  <rv s="8">
    <fb>1136.6300000000001</fb>
    <v>17</v>
  </rv>
  <rv s="8">
    <fb>1131.31</fb>
    <v>17</v>
  </rv>
  <rv s="8">
    <fb>1124.95</fb>
    <v>17</v>
  </rv>
  <rv s="8">
    <fb>1098</fb>
    <v>17</v>
  </rv>
  <rv s="8">
    <fb>1098.05</fb>
    <v>17</v>
  </rv>
  <rv s="8">
    <fb>1082.81</fb>
    <v>17</v>
  </rv>
  <rv s="8">
    <fb>1068.83</fb>
    <v>17</v>
  </rv>
  <rv s="8">
    <fb>1059.9100000000001</fb>
    <v>17</v>
  </rv>
  <rv s="8">
    <fb>1073.57</fb>
    <v>17</v>
  </rv>
  <rv s="8">
    <fb>1069.44</fb>
    <v>17</v>
  </rv>
  <rv s="8">
    <fb>1082.2</fb>
    <v>17</v>
  </rv>
  <rv s="8">
    <fb>1082.6300000000001</fb>
    <v>17</v>
  </rv>
  <rv s="8">
    <fb>1085.76</fb>
    <v>17</v>
  </rv>
  <rv s="8">
    <fb>1093.93</fb>
    <v>17</v>
  </rv>
  <rv s="8">
    <fb>1069.6500000000001</fb>
    <v>17</v>
  </rv>
  <rv s="8">
    <fb>1057.94</fb>
    <v>17</v>
  </rv>
  <rv s="8">
    <fb>1023.8</fb>
    <v>17</v>
  </rv>
  <rv s="8">
    <fb>1019.14</fb>
    <v>17</v>
  </rv>
  <rv s="8">
    <fb>1014.68</fb>
    <v>17</v>
  </rv>
  <rv s="8">
    <fb>992.52</fb>
    <v>17</v>
  </rv>
  <rv s="8">
    <fb>1014.72</fb>
    <v>17</v>
  </rv>
  <rv s="8">
    <fb>1019.49</fb>
    <v>17</v>
  </rv>
  <rv s="8">
    <fb>1029.77</fb>
    <v>17</v>
  </rv>
  <rv s="8">
    <fb>1040.06</fb>
    <v>17</v>
  </rv>
  <rv s="8">
    <fb>1047.3</fb>
    <v>17</v>
  </rv>
  <rv s="8">
    <fb>1039.94</fb>
    <v>17</v>
  </rv>
  <rv s="8">
    <fb>1038.6199999999999</fb>
    <v>17</v>
  </rv>
  <rv s="8">
    <fb>1079.8699999999999</fb>
    <v>17</v>
  </rv>
  <rv s="8">
    <fb>1075.58</fb>
    <v>17</v>
  </rv>
  <rv s="8">
    <fb>1072.1600000000001</fb>
    <v>17</v>
  </rv>
  <rv s="8">
    <fb>1062.02</fb>
    <v>17</v>
  </rv>
  <rv s="8">
    <fb>1071.31</fb>
    <v>17</v>
  </rv>
  <rv s="8">
    <fb>1083.3599999999999</fb>
    <v>17</v>
  </rv>
  <rv s="8">
    <fb>1101.8399999999999</fb>
    <v>17</v>
  </rv>
  <rv s="8">
    <fb>1089.0899999999999</fb>
    <v>17</v>
  </rv>
  <rv s="8">
    <fb>1082.1600000000001</fb>
    <v>17</v>
  </rv>
  <rv s="8">
    <fb>1068.1400000000001</fb>
    <v>17</v>
  </rv>
  <rv s="8">
    <fb>1065</fb>
    <v>17</v>
  </rv>
  <rv s="8">
    <fb>1064.99</fb>
    <v>17</v>
  </rv>
  <rv s="8">
    <fb>1060.17</fb>
    <v>17</v>
  </rv>
  <rv s="8">
    <fb>1088.21</fb>
    <v>17</v>
  </rv>
  <rv s="8">
    <fb>1086.55</fb>
    <v>17</v>
  </rv>
  <rv s="8">
    <fb>1088.96</fb>
    <v>17</v>
  </rv>
  <rv s="8">
    <fb>1088.1099999999999</fb>
    <v>17</v>
  </rv>
  <rv s="8">
    <fb>1088.4000000000001</fb>
    <v>17</v>
  </rv>
  <rv s="8">
    <fb>1083.31</fb>
    <v>17</v>
  </rv>
  <rv s="8">
    <fb>1070.3399999999999</fb>
    <v>17</v>
  </rv>
  <rv s="8">
    <fb>1085.06</fb>
    <v>17</v>
  </rv>
  <rv s="8">
    <fb>1119.76</fb>
    <v>17</v>
  </rv>
  <rv s="8">
    <fb>1112.28</fb>
    <v>17</v>
  </rv>
  <rv s="8">
    <fb>1075.0899999999999</fb>
    <v>17</v>
  </rv>
  <rv s="8">
    <fb>1087.92</fb>
    <v>17</v>
  </rv>
  <rv s="8">
    <fb>1085.0999999999999</fb>
    <v>17</v>
  </rv>
  <rv s="8">
    <fb>1089.26</fb>
    <v>17</v>
  </rv>
  <rv s="8">
    <fb>1089.54</fb>
    <v>17</v>
  </rv>
  <rv s="8">
    <fb>1091.8499999999999</fb>
    <v>17</v>
  </rv>
  <rv s="8">
    <fb>1156.6500000000001</fb>
    <v>17</v>
  </rv>
  <rv s="8">
    <fb>1163.17</fb>
    <v>17</v>
  </rv>
  <rv s="8">
    <fb>1110.05</fb>
    <v>17</v>
  </rv>
  <rv s="8">
    <fb>1127.8499999999999</fb>
    <v>17</v>
  </rv>
  <rv s="8">
    <fb>1139.72</fb>
    <v>17</v>
  </rv>
  <rv s="8">
    <fb>1129.9100000000001</fb>
    <v>17</v>
  </rv>
  <rv s="8">
    <fb>1121.54</fb>
    <v>17</v>
  </rv>
  <rv s="8">
    <fb>1106.69</fb>
    <v>17</v>
  </rv>
  <rv s="8">
    <fb>1121.67</fb>
    <v>17</v>
  </rv>
  <rv s="8">
    <fb>1127.78</fb>
    <v>17</v>
  </rv>
  <rv s="8">
    <fb>1118.94</fb>
    <v>17</v>
  </rv>
  <rv s="8">
    <fb>1119.6600000000001</fb>
    <v>17</v>
  </rv>
  <rv s="8">
    <fb>1070.08</fb>
    <v>17</v>
  </rv>
  <rv s="8">
    <fb>1076.1600000000001</fb>
    <v>17</v>
  </rv>
  <rv s="8">
    <fb>1054.8</fb>
    <v>17</v>
  </rv>
  <rv s="8">
    <fb>1056.3800000000001</fb>
    <v>17</v>
  </rv>
  <rv s="8">
    <fb>1079.9000000000001</fb>
    <v>17</v>
  </rv>
  <rv s="8">
    <fb>1087.78</fb>
    <v>17</v>
  </rv>
  <rv s="8">
    <fb>1082.8800000000001</fb>
    <v>17</v>
  </rv>
  <rv s="8">
    <fb>1055.6300000000001</fb>
    <v>17</v>
  </rv>
  <rv s="8">
    <fb>1071.51</fb>
    <v>17</v>
  </rv>
  <rv s="8">
    <fb>1072.67</fb>
    <v>17</v>
  </rv>
  <rv s="8">
    <fb>1092.26</fb>
    <v>17</v>
  </rv>
  <rv s="8">
    <fb>1081.28</fb>
    <v>17</v>
  </rv>
  <rv s="8">
    <fb>1093.6400000000001</fb>
    <v>17</v>
  </rv>
  <rv s="8">
    <fb>1071.01</fb>
    <v>17</v>
  </rv>
  <rv s="8">
    <fb>1081.05</fb>
    <v>17</v>
  </rv>
  <rv s="8">
    <fb>1093.78</fb>
    <v>17</v>
  </rv>
  <rv s="8">
    <fb>1090.27</fb>
    <v>17</v>
  </rv>
  <rv s="8">
    <fb>1063.23</fb>
    <v>17</v>
  </rv>
  <rv s="8">
    <fb>1068.31</fb>
    <v>17</v>
  </rv>
  <rv s="8">
    <fb>1052.5899999999999</fb>
    <v>17</v>
  </rv>
  <rv s="8">
    <fb>1049.23</fb>
    <v>17</v>
  </rv>
  <rv s="8">
    <fb>1035</fb>
    <v>17</v>
  </rv>
  <rv s="8">
    <fb>955.45</fb>
    <v>17</v>
  </rv>
  <rv s="8">
    <fb>957.67</fb>
    <v>17</v>
  </rv>
  <rv s="8">
    <fb>967.36</fb>
    <v>17</v>
  </rv>
  <rv s="8">
    <fb>951.17</fb>
    <v>17</v>
  </rv>
  <rv s="8">
    <fb>922.9</fb>
    <v>17</v>
  </rv>
  <rv s="8">
    <fb>924.11</fb>
    <v>17</v>
  </rv>
  <rv s="8">
    <fb>943.26</fb>
    <v>17</v>
  </rv>
  <rv s="8">
    <fb>971.01</fb>
    <v>17</v>
  </rv>
  <rv s="8">
    <fb>968.31</fb>
    <v>17</v>
  </rv>
  <rv s="8">
    <fb>969.6</fb>
    <v>17</v>
  </rv>
  <rv s="8">
    <fb>957.91</fb>
    <v>17</v>
  </rv>
  <rv s="8">
    <fb>974.58</fb>
    <v>17</v>
  </rv>
  <rv s="8">
    <fb>976.06</fb>
    <v>17</v>
  </rv>
  <rv s="8">
    <fb>981.35</fb>
    <v>17</v>
  </rv>
  <rv s="8">
    <fb>968.46</fb>
    <v>17</v>
  </rv>
  <rv s="8">
    <fb>933.85</fb>
    <v>17</v>
  </rv>
  <rv s="8">
    <fb>934.06</fb>
    <v>17</v>
  </rv>
  <rv s="8">
    <fb>961.71</fb>
    <v>17</v>
  </rv>
  <rv s="8">
    <fb>957.4</fb>
    <v>17</v>
  </rv>
  <rv s="8">
    <fb>966.56</fb>
    <v>17</v>
  </rv>
  <rv s="8">
    <fb>959.41</fb>
    <v>17</v>
  </rv>
  <rv s="8">
    <fb>958.46</fb>
    <v>17</v>
  </rv>
  <rv s="8">
    <fb>1001.54</fb>
    <v>17</v>
  </rv>
  <rv s="8">
    <fb>1001.62</fb>
    <v>17</v>
  </rv>
  <rv s="8">
    <fb>999.31</fb>
    <v>17</v>
  </rv>
  <rv s="8">
    <fb>1023.65</fb>
    <v>17</v>
  </rv>
  <rv s="8">
    <fb>1054.56</fb>
    <v>17</v>
  </rv>
  <rv s="8">
    <fb>1048.5999999999999</fb>
    <v>17</v>
  </rv>
  <rv s="8">
    <fb>1024.95</fb>
    <v>17</v>
  </rv>
  <rv s="8">
    <fb>1052.1400000000001</fb>
    <v>17</v>
  </rv>
  <rv s="8">
    <fb>1048.42</fb>
    <v>17</v>
  </rv>
  <rv s="8">
    <fb>1042.8499999999999</fb>
    <v>17</v>
  </rv>
  <rv s="8">
    <fb>1062.47</fb>
    <v>17</v>
  </rv>
  <rv s="8">
    <fb>1053.47</fb>
    <v>17</v>
  </rv>
  <rv s="8">
    <fb>1044.97</fb>
    <v>17</v>
  </rv>
  <rv s="8">
    <fb>1056.8599999999999</fb>
    <v>17</v>
  </rv>
  <rv s="8">
    <fb>1049.76</fb>
    <v>17</v>
  </rv>
  <rv s="8">
    <fb>1039.3800000000001</fb>
    <v>17</v>
  </rv>
  <rv s="8">
    <fb>1065.5999999999999</fb>
    <v>17</v>
  </rv>
  <rv s="8">
    <fb>1061.68</fb>
    <v>17</v>
  </rv>
  <rv s="8">
    <fb>1052.25</fb>
    <v>17</v>
  </rv>
  <rv s="8">
    <fb>1048.9100000000001</fb>
    <v>17</v>
  </rv>
  <rv s="8">
    <fb>1067.74</fb>
    <v>17</v>
  </rv>
  <rv s="8">
    <fb>1084.83</fb>
    <v>17</v>
  </rv>
  <rv s="8">
    <fb>1081.32</fb>
    <v>17</v>
  </rv>
  <rv s="8">
    <fb>1092.5</fb>
    <v>17</v>
  </rv>
  <rv s="8">
    <fb>1094.0999999999999</fb>
    <v>17</v>
  </rv>
  <rv s="8">
    <fb>1104.03</fb>
    <v>17</v>
  </rv>
  <rv s="8">
    <fb>1081.9000000000001</fb>
    <v>17</v>
  </rv>
  <rv s="8">
    <fb>1085.8800000000001</fb>
    <v>17</v>
  </rv>
  <rv s="8">
    <fb>1036.3</fb>
    <v>17</v>
  </rv>
  <rv s="8">
    <fb>1051.57</fb>
    <v>17</v>
  </rv>
  <rv s="8">
    <fb>1063.75</fb>
    <v>17</v>
  </rv>
  <rv s="8">
    <fb>1073</fb>
    <v>17</v>
  </rv>
  <rv s="8">
    <fb>1077.4000000000001</fb>
    <v>17</v>
  </rv>
  <rv s="8">
    <fb>1046.49</fb>
    <v>17</v>
  </rv>
  <rv s="8">
    <fb>1046.8800000000001</fb>
    <v>17</v>
  </rv>
  <rv s="8">
    <fb>1020.73</fb>
    <v>17</v>
  </rv>
  <rv s="8">
    <fb>1018.96</fb>
    <v>17</v>
  </rv>
  <rv s="8">
    <fb>990.87</fb>
    <v>17</v>
  </rv>
  <rv s="8">
    <fb>1022.56</fb>
    <v>17</v>
  </rv>
  <rv s="8">
    <fb>995.6</fb>
    <v>17</v>
  </rv>
  <rv s="8">
    <fb>994.77</fb>
    <v>17</v>
  </rv>
  <rv s="8">
    <fb>1011.96</fb>
    <v>17</v>
  </rv>
  <rv s="8">
    <fb>1010.68</fb>
    <v>17</v>
  </rv>
  <rv s="8">
    <fb>1016.58</fb>
    <v>17</v>
  </rv>
  <rv s="8">
    <fb>1032</fb>
    <v>17</v>
  </rv>
  <rv s="8">
    <fb>1042.8699999999999</fb>
    <v>17</v>
  </rv>
  <rv s="8">
    <fb>1052.23</fb>
    <v>17</v>
  </rv>
  <rv s="8">
    <fb>1057.3800000000001</fb>
    <v>17</v>
  </rv>
  <rv s="8">
    <fb>1050.0899999999999</fb>
    <v>17</v>
  </rv>
  <rv s="8">
    <fb>1051.74</fb>
    <v>17</v>
  </rv>
  <rv s="8">
    <fb>1015.33</fb>
    <v>17</v>
  </rv>
  <rv s="8">
    <fb>982.6</fb>
    <v>17</v>
  </rv>
  <rv s="8">
    <fb>971.92</fb>
    <v>17</v>
  </rv>
  <rv s="8">
    <fb>964.71</fb>
    <v>17</v>
  </rv>
  <rv s="8">
    <fb>950.17</fb>
    <v>17</v>
  </rv>
  <rv s="8">
    <fb>961.56</fb>
    <v>17</v>
  </rv>
  <rv s="8">
    <fb>980.38</fb>
    <v>17</v>
  </rv>
  <rv s="8">
    <fb>995.73</fb>
    <v>17</v>
  </rv>
  <rv s="8">
    <fb>1011.21</fb>
    <v>17</v>
  </rv>
  <rv s="8">
    <fb>1009.43</fb>
    <v>17</v>
  </rv>
  <rv s="8">
    <fb>990.34</fb>
    <v>17</v>
  </rv>
  <rv s="8">
    <fb>1019.68</fb>
    <v>17</v>
  </rv>
  <rv s="8">
    <fb>1036.1099999999999</fb>
    <v>17</v>
  </rv>
  <rv s="8">
    <fb>1031.56</fb>
    <v>17</v>
  </rv>
  <rv s="8">
    <fb>1025.44</fb>
    <v>17</v>
  </rv>
  <rv s="8">
    <fb>1093.4000000000001</fb>
    <v>17</v>
  </rv>
  <rv s="8">
    <fb>1087.05</fb>
    <v>17</v>
  </rv>
  <rv s="8">
    <fb>1072.2</fb>
    <v>17</v>
  </rv>
  <rv s="8">
    <fb>1054.1099999999999</fb>
    <v>17</v>
  </rv>
  <rv s="8">
    <fb>1038.24</fb>
    <v>17</v>
  </rv>
  <rv s="8">
    <fb>1056.6300000000001</fb>
    <v>17</v>
  </rv>
  <rv s="8">
    <fb>1037.1600000000001</fb>
    <v>17</v>
  </rv>
  <rv s="8">
    <fb>1055.67</fb>
    <v>17</v>
  </rv>
  <rv s="8">
    <fb>1062.1400000000001</fb>
    <v>17</v>
  </rv>
  <rv s="8">
    <fb>1097.55</fb>
    <v>17</v>
  </rv>
  <rv s="8">
    <fb>1079.19</fb>
    <v>17</v>
  </rv>
  <rv s="8">
    <fb>1098.3699999999999</fb>
    <v>17</v>
  </rv>
  <rv s="8">
    <fb>1090.3900000000001</fb>
    <v>17</v>
  </rv>
  <rv s="8">
    <fb>1126.6300000000001</fb>
    <v>17</v>
  </rv>
  <rv s="8">
    <fb>1131.1300000000001</fb>
    <v>17</v>
  </rv>
  <rv s="8">
    <fb>1133.58</fb>
    <v>17</v>
  </rv>
  <rv s="8">
    <fb>1129.3</fb>
    <v>17</v>
  </rv>
  <rv s="8">
    <fb>1136.3900000000001</fb>
    <v>17</v>
  </rv>
  <rv s="8">
    <fb>1131.4000000000001</fb>
    <v>17</v>
  </rv>
  <rv s="8">
    <fb>1148.8399999999999</fb>
    <v>17</v>
  </rv>
  <rv s="8">
    <fb>1160.9100000000001</fb>
    <v>17</v>
  </rv>
  <rv s="8">
    <fb>1182.8399999999999</fb>
    <v>17</v>
  </rv>
  <rv s="8">
    <fb>1173.73</fb>
    <v>17</v>
  </rv>
  <rv s="8">
    <fb>1147.1099999999999</fb>
    <v>17</v>
  </rv>
  <rv s="8">
    <fb>1154.3499999999999</fb>
    <v>17</v>
  </rv>
  <rv s="8">
    <fb>1158.92</fb>
    <v>17</v>
  </rv>
  <rv s="8">
    <fb>1139.82</fb>
    <v>17</v>
  </rv>
  <rv s="8">
    <fb>1156.55</fb>
    <v>17</v>
  </rv>
  <rv s="8">
    <fb>1172.6099999999999</fb>
    <v>17</v>
  </rv>
  <rv s="8">
    <fb>1176.6400000000001</fb>
    <v>17</v>
  </rv>
  <rv s="8">
    <fb>1173.21</fb>
    <v>17</v>
  </rv>
  <rv s="8">
    <fb>1167.57</fb>
    <v>17</v>
  </rv>
  <rv s="8">
    <fb>1164.48</fb>
    <v>17</v>
  </rv>
  <rv s="8">
    <fb>1155.6099999999999</fb>
    <v>17</v>
  </rv>
  <rv s="8">
    <fb>1128.0999999999999</fb>
    <v>17</v>
  </rv>
  <rv s="8">
    <fb>1107.08</fb>
    <v>17</v>
  </rv>
  <rv s="8">
    <fb>1126.1500000000001</fb>
    <v>17</v>
  </rv>
  <rv s="8">
    <fb>1122.29</fb>
    <v>17</v>
  </rv>
  <rv s="8">
    <fb>1095.3699999999999</fb>
    <v>17</v>
  </rv>
  <rv s="8">
    <fb>1072.03</fb>
    <v>17</v>
  </rv>
  <rv s="8">
    <fb>1062.4000000000001</fb>
    <v>17</v>
  </rv>
  <rv s="8">
    <fb>1079.6500000000001</fb>
    <v>17</v>
  </rv>
  <rv s="8">
    <fb>1058.6600000000001</fb>
    <v>17</v>
  </rv>
  <rv s="8">
    <fb>1037.24</fb>
    <v>17</v>
  </rv>
  <rv s="8">
    <fb>1053.96</fb>
    <v>17</v>
  </rv>
  <rv s="8">
    <fb>1069.78</fb>
    <v>17</v>
  </rv>
  <rv s="8">
    <fb>1066.6600000000001</fb>
    <v>17</v>
  </rv>
  <rv s="8">
    <fb>1060.8900000000001</fb>
    <v>17</v>
  </rv>
  <rv s="8">
    <fb>1073.45</fb>
    <v>17</v>
  </rv>
  <rv s="8">
    <fb>1086.31</fb>
    <v>17</v>
  </rv>
  <rv s="8">
    <fb>1071.25</fb>
    <v>17</v>
  </rv>
  <rv s="8">
    <fb>156.1</fb>
    <v>17</v>
  </rv>
  <rv s="8">
    <fb>155.29</fb>
    <v>17</v>
  </rv>
  <rv s="8">
    <fb>154.58000000000001</fb>
    <v>17</v>
  </rv>
  <rv s="8">
    <fb>153.37</fb>
    <v>17</v>
  </rv>
  <rv s="8">
    <fb>153.55000000000001</fb>
    <v>17</v>
  </rv>
  <rv s="8">
    <fb>154.02000000000001</fb>
    <v>17</v>
  </rv>
  <rv s="8">
    <fb>154.91</fb>
    <v>17</v>
  </rv>
  <rv s="8">
    <fb>153.74</fb>
    <v>17</v>
  </rv>
  <rv s="8">
    <fb>151.63999999999999</fb>
    <v>17</v>
  </rv>
  <rv s="8">
    <fb>148.9</fb>
    <v>17</v>
  </rv>
  <rv s="8">
    <fb>151.94</fb>
    <v>17</v>
  </rv>
  <rv s="8">
    <fb>152.38999999999999</fb>
    <v>17</v>
  </rv>
  <rv s="8">
    <fb>152.11000000000001</fb>
    <v>17</v>
  </rv>
  <rv s="8">
    <fb>151.71</fb>
    <v>17</v>
  </rv>
  <rv s="8">
    <fb>153.08000000000001</fb>
    <v>17</v>
  </rv>
  <rv s="8">
    <fb>154.47999999999999</fb>
    <v>17</v>
  </rv>
  <rv s="8">
    <fb>153.79</fb>
    <v>17</v>
  </rv>
  <rv s="8">
    <fb>155.57</fb>
    <v>17</v>
  </rv>
  <rv s="8">
    <fb>156.56</fb>
    <v>17</v>
  </rv>
  <rv s="8">
    <fb>155.56</fb>
    <v>17</v>
  </rv>
  <rv s="8">
    <fb>155.28</fb>
    <v>17</v>
  </rv>
  <rv s="8">
    <fb>154.13</fb>
    <v>17</v>
  </rv>
  <rv s="8">
    <fb>155.1</fb>
    <v>17</v>
  </rv>
  <rv s="8">
    <fb>153.52000000000001</fb>
    <v>17</v>
  </rv>
  <rv s="8">
    <fb>157.72</fb>
    <v>17</v>
  </rv>
  <rv s="8">
    <fb>154.04</fb>
    <v>17</v>
  </rv>
  <rv s="8">
    <fb>153.38999999999999</fb>
    <v>17</v>
  </rv>
  <rv s="8">
    <fb>152.66</fb>
    <v>17</v>
  </rv>
  <rv s="8">
    <fb>152.94</fb>
    <v>17</v>
  </rv>
  <rv s="8">
    <fb>155.02000000000001</fb>
    <v>17</v>
  </rv>
  <rv s="8">
    <fb>155.65</fb>
    <v>17</v>
  </rv>
  <rv s="8">
    <fb>156.24</fb>
    <v>17</v>
  </rv>
  <rv s="8">
    <fb>153.32</fb>
    <v>17</v>
  </rv>
  <rv s="8">
    <fb>155.58000000000001</fb>
    <v>17</v>
  </rv>
  <rv s="8">
    <fb>157.62</fb>
    <v>17</v>
  </rv>
  <rv s="8">
    <fb>154.82</fb>
    <v>17</v>
  </rv>
  <rv s="8">
    <fb>153.62</fb>
    <v>17</v>
  </rv>
  <rv s="8">
    <fb>151.69999999999999</fb>
    <v>17</v>
  </rv>
  <rv s="8">
    <fb>150.31</fb>
    <v>17</v>
  </rv>
  <rv s="8">
    <fb>149.97999999999999</fb>
    <v>17</v>
  </rv>
  <rv s="8">
    <fb>149.75</fb>
    <v>17</v>
  </rv>
  <rv s="8">
    <fb>148.53</fb>
    <v>17</v>
  </rv>
  <rv s="8">
    <fb>149.51</fb>
    <v>17</v>
  </rv>
  <rv s="8">
    <fb>151.13</fb>
    <v>17</v>
  </rv>
  <rv s="8">
    <fb>152.54</fb>
    <v>17</v>
  </rv>
  <rv s="8">
    <fb>150.25</fb>
    <v>17</v>
  </rv>
  <rv s="8">
    <fb>151.59</fb>
    <v>17</v>
  </rv>
  <rv s="8">
    <fb>152.26</fb>
    <v>17</v>
  </rv>
  <rv s="8">
    <fb>150</fb>
    <v>17</v>
  </rv>
  <rv s="8">
    <fb>148.71</fb>
    <v>17</v>
  </rv>
  <rv s="8">
    <fb>148.49</fb>
    <v>17</v>
  </rv>
  <rv s="8">
    <fb>151.41</fb>
    <v>17</v>
  </rv>
  <rv s="8">
    <fb>150.72</fb>
    <v>17</v>
  </rv>
  <rv s="8">
    <fb>149.99</fb>
    <v>17</v>
  </rv>
  <rv s="8">
    <fb>149.80000000000001</fb>
    <v>17</v>
  </rv>
  <rv s="8">
    <fb>146.75</fb>
    <v>17</v>
  </rv>
  <rv s="8">
    <fb>149.52000000000001</fb>
    <v>17</v>
  </rv>
  <rv s="8">
    <fb>147.69</fb>
    <v>17</v>
  </rv>
  <rv s="8">
    <fb>147.75</fb>
    <v>17</v>
  </rv>
  <rv s="8">
    <fb>150.51</fb>
    <v>17</v>
  </rv>
  <rv s="8">
    <fb>150.5</fb>
    <v>17</v>
  </rv>
  <rv s="8">
    <fb>150.02000000000001</fb>
    <v>17</v>
  </rv>
  <rv s="8">
    <fb>150.99</fb>
    <v>17</v>
  </rv>
  <rv s="8">
    <fb>152.31</fb>
    <v>17</v>
  </rv>
  <rv s="8">
    <fb>152.41</fb>
    <v>17</v>
  </rv>
  <rv s="8">
    <fb>155.9</fb>
    <v>17</v>
  </rv>
  <rv s="8">
    <fb>163.85</fb>
    <v>17</v>
  </rv>
  <rv s="8">
    <fb>156.54</fb>
    <v>17</v>
  </rv>
  <rv s="8">
    <fb>155.19999999999999</fb>
    <v>17</v>
  </rv>
  <rv s="8">
    <fb>159.25</fb>
    <v>17</v>
  </rv>
  <rv s="8">
    <fb>162.11000000000001</fb>
    <v>17</v>
  </rv>
  <rv s="8">
    <fb>162.34</fb>
    <v>17</v>
  </rv>
  <rv s="8">
    <fb>163.87</fb>
    <v>17</v>
  </rv>
  <rv s="8">
    <fb>167.24</fb>
    <v>17</v>
  </rv>
  <rv s="8">
    <fb>166.16</fb>
    <v>17</v>
  </rv>
  <rv s="8">
    <fb>166.26</fb>
    <v>17</v>
  </rv>
  <rv s="8">
    <fb>165.3</fb>
    <v>17</v>
  </rv>
  <rv s="8">
    <fb>166.73</fb>
    <v>17</v>
  </rv>
  <rv s="8">
    <fb>166.66</fb>
    <v>17</v>
  </rv>
  <rv s="8">
    <fb>166.72</fb>
    <v>17</v>
  </rv>
  <rv s="8">
    <fb>167.5</fb>
    <v>17</v>
  </rv>
  <rv s="8">
    <fb>169.05</fb>
    <v>17</v>
  </rv>
  <rv s="8">
    <fb>169.93</fb>
    <v>17</v>
  </rv>
  <rv s="8">
    <fb>171.19</fb>
    <v>17</v>
  </rv>
  <rv s="8">
    <fb>176.9</fb>
    <v>17</v>
  </rv>
  <rv s="8">
    <fb>174.03</fb>
    <v>17</v>
  </rv>
  <rv s="8">
    <fb>178.04</fb>
    <v>17</v>
  </rv>
  <rv s="8">
    <fb>181.23</fb>
    <v>17</v>
  </rv>
  <rv s="8">
    <fb>179.23</fb>
    <v>17</v>
  </rv>
  <rv s="8">
    <fb>180.86</fb>
    <v>17</v>
  </rv>
  <rv s="8">
    <fb>182.6</fb>
    <v>17</v>
  </rv>
  <rv s="8">
    <fb>182.26</fb>
    <v>17</v>
  </rv>
  <rv s="8">
    <fb>185.82</fb>
    <v>17</v>
  </rv>
  <rv s="8">
    <fb>182.4</fb>
    <v>17</v>
  </rv>
  <rv s="8">
    <fb>183.74</fb>
    <v>17</v>
  </rv>
  <rv s="8">
    <fb>180.55</fb>
    <v>17</v>
  </rv>
  <rv s="8">
    <fb>183.87</fb>
    <v>17</v>
  </rv>
  <rv s="8">
    <fb>184.78</fb>
    <v>17</v>
  </rv>
  <rv s="8">
    <fb>183.93</fb>
    <v>17</v>
  </rv>
  <rv s="8">
    <fb>184.91</fb>
    <v>17</v>
  </rv>
  <rv s="8">
    <fb>185.34</fb>
    <v>17</v>
  </rv>
  <rv s="8">
    <fb>184.22</fb>
    <v>17</v>
  </rv>
  <rv s="8">
    <fb>184.16</fb>
    <v>17</v>
  </rv>
  <rv s="8">
    <fb>186.76</fb>
    <v>17</v>
  </rv>
  <rv s="8">
    <fb>189.6</fb>
    <v>17</v>
  </rv>
  <rv s="8">
    <fb>188.77</fb>
    <v>17</v>
  </rv>
  <rv s="8">
    <fb>186.03</fb>
    <v>17</v>
  </rv>
  <rv s="8">
    <fb>189.9</fb>
    <v>17</v>
  </rv>
  <rv s="8">
    <fb>189.94</fb>
    <v>17</v>
  </rv>
  <rv s="8">
    <fb>189.44</fb>
    <v>17</v>
  </rv>
  <rv s="8">
    <fb>186.29</fb>
    <v>17</v>
  </rv>
  <rv s="8">
    <fb>191.79</fb>
    <v>17</v>
  </rv>
  <rv s="8">
    <fb>196.97</fb>
    <v>17</v>
  </rv>
  <rv s="8">
    <fb>196.82</fb>
    <v>17</v>
  </rv>
  <rv s="8">
    <fb>196.84</fb>
    <v>17</v>
  </rv>
  <rv s="8">
    <fb>197.97</fb>
    <v>17</v>
  </rv>
  <rv s="8">
    <fb>198.61</fb>
    <v>17</v>
  </rv>
  <rv s="8">
    <fb>201.44</fb>
    <v>17</v>
  </rv>
  <rv s="8">
    <fb>201.73</fb>
    <v>17</v>
  </rv>
  <rv s="8">
    <fb>205.21</fb>
    <v>17</v>
  </rv>
  <rv s="8">
    <fb>206.79</fb>
    <v>17</v>
  </rv>
  <rv s="8">
    <fb>205.15</fb>
    <v>17</v>
  </rv>
  <rv s="8">
    <fb>207.79</fb>
    <v>17</v>
  </rv>
  <rv s="8">
    <fb>211.15</fb>
    <v>17</v>
  </rv>
  <rv s="8">
    <fb>210.71</fb>
    <v>17</v>
  </rv>
  <rv s="8">
    <fb>206.9</fb>
    <v>17</v>
  </rv>
  <rv s="8">
    <fb>197.41</fb>
    <v>17</v>
  </rv>
  <rv s="8">
    <fb>198.97</fb>
    <v>17</v>
  </rv>
  <rv s="8">
    <fb>198.86</fb>
    <v>17</v>
  </rv>
  <rv s="8">
    <fb>201.54</fb>
    <v>17</v>
  </rv>
  <rv s="8">
    <fb>192.89</fb>
    <v>17</v>
  </rv>
  <rv s="8">
    <fb>190.36</fb>
    <v>17</v>
  </rv>
  <rv s="8">
    <fb>188.55</fb>
    <v>17</v>
  </rv>
  <rv s="8">
    <fb>191.78</fb>
    <v>17</v>
  </rv>
  <rv s="8">
    <fb>187.02</fb>
    <v>17</v>
  </rv>
  <rv s="8">
    <fb>188.15</fb>
    <v>17</v>
  </rv>
  <rv s="8">
    <fb>183.99</fb>
    <v>17</v>
  </rv>
  <rv s="8">
    <fb>183.25</fb>
    <v>17</v>
  </rv>
  <rv s="8">
    <fb>185.98</fb>
    <v>17</v>
  </rv>
  <rv s="8">
    <fb>186.32</fb>
    <v>17</v>
  </rv>
  <rv s="8">
    <fb>187.6</fb>
    <v>17</v>
  </rv>
  <rv s="8">
    <fb>185.21</fb>
    <v>17</v>
  </rv>
  <rv s="8">
    <fb>188.36</fb>
    <v>17</v>
  </rv>
  <rv s="8">
    <fb>192.22</fb>
    <v>17</v>
  </rv>
  <rv s="8">
    <fb>193.31</fb>
    <v>17</v>
  </rv>
  <rv s="8">
    <fb>190.63</fb>
    <v>17</v>
  </rv>
  <rv s="8">
    <fb>192.28</fb>
    <v>17</v>
  </rv>
  <rv s="8">
    <fb>192.64</fb>
    <v>17</v>
  </rv>
  <rv s="8">
    <fb>185.16</fb>
    <v>17</v>
  </rv>
  <rv s="8">
    <fb>182.5</fb>
    <v>17</v>
  </rv>
  <rv s="8">
    <fb>181.62</fb>
    <v>17</v>
  </rv>
  <rv s="8">
    <fb>184.74</fb>
    <v>17</v>
  </rv>
  <rv s="8">
    <fb>185.95</fb>
    <v>17</v>
  </rv>
  <rv s="8">
    <fb>186</fb>
    <v>17</v>
  </rv>
  <rv s="8">
    <fb>186.64</fb>
    <v>17</v>
  </rv>
  <rv s="8">
    <fb>191.1</fb>
    <v>17</v>
  </rv>
  <rv s="8">
    <fb>196.12</fb>
    <v>17</v>
  </rv>
  <rv s="8">
    <fb>197.25</fb>
    <v>17</v>
  </rv>
  <rv s="8">
    <fb>191.33</fb>
    <v>17</v>
  </rv>
  <rv s="8">
    <fb>191.01</fb>
    <v>17</v>
  </rv>
  <rv s="8">
    <fb>191.43</fb>
    <v>17</v>
  </rv>
  <rv s="8">
    <fb>184.71</fb>
    <v>17</v>
  </rv>
  <rv s="8">
    <fb>183.03</fb>
    <v>17</v>
  </rv>
  <rv s="8">
    <fb>182.46</fb>
    <v>17</v>
  </rv>
  <rv s="8">
    <fb>185.83</fb>
    <v>17</v>
  </rv>
  <rv s="8">
    <fb>187.55</fb>
    <v>17</v>
  </rv>
  <rv s="8">
    <fb>189.71</fb>
    <v>17</v>
  </rv>
  <rv s="8">
    <fb>188.35</fb>
    <v>17</v>
  </rv>
  <rv s="8">
    <fb>187.31</fb>
    <v>17</v>
  </rv>
  <rv s="8">
    <fb>189.24</fb>
    <v>17</v>
  </rv>
  <rv s="8">
    <fb>189.8</fb>
    <v>17</v>
  </rv>
  <rv s="8">
    <fb>187.22</fb>
    <v>17</v>
  </rv>
  <rv s="8">
    <fb>180.4</fb>
    <v>17</v>
  </rv>
  <rv s="8">
    <fb>180.11</fb>
    <v>17</v>
  </rv>
  <rv s="8">
    <fb>177.58</fb>
    <v>17</v>
  </rv>
  <rv s="8">
    <fb>173.63</fb>
    <v>17</v>
  </rv>
  <rv s="8">
    <fb>175.06</fb>
    <v>17</v>
  </rv>
  <rv s="8">
    <fb>175.98</fb>
    <v>17</v>
  </rv>
  <rv s="8">
    <fb>171.45</fb>
    <v>17</v>
  </rv>
  <rv s="8">
    <fb>172.24</fb>
    <v>17</v>
  </rv>
  <rv s="8">
    <fb>171.06</fb>
    <v>17</v>
  </rv>
  <rv s="8">
    <fb>168.47</fb>
    <v>17</v>
  </rv>
  <rv s="8">
    <fb>165.76</fb>
    <v>17</v>
  </rv>
  <rv s="8">
    <fb>165.69</fb>
    <v>17</v>
  </rv>
  <rv s="8">
    <fb>169.2</fb>
    <v>17</v>
  </rv>
  <rv s="8">
    <fb>168.1</fb>
    <v>17</v>
  </rv>
  <rv s="8">
    <fb>174.01</fb>
    <v>17</v>
  </rv>
  <rv s="8">
    <fb>175.97</fb>
    <v>17</v>
  </rv>
  <rv s="8">
    <fb>174.05</fb>
    <v>17</v>
  </rv>
  <rv s="8">
    <fb>176.4</fb>
    <v>17</v>
  </rv>
  <rv s="8">
    <fb>182.2</fb>
    <v>17</v>
  </rv>
  <rv s="8">
    <fb>181.76</fb>
    <v>17</v>
  </rv>
  <rv s="8">
    <fb>181.6</fb>
    <v>17</v>
  </rv>
  <rv s="8">
    <fb>183.86</fb>
    <v>17</v>
  </rv>
  <rv s="8">
    <fb>187.38</fb>
    <v>17</v>
  </rv>
  <rv s="8">
    <fb>191.07</fb>
    <v>17</v>
  </rv>
  <rv s="8">
    <fb>192.98</fb>
    <v>17</v>
  </rv>
  <rv s="8">
    <fb>194.42</fb>
    <v>17</v>
  </rv>
  <rv s="8">
    <fb>194.79</fb>
    <v>17</v>
  </rv>
  <rv s="8">
    <fb>190</fb>
    <v>17</v>
  </rv>
  <rv s="8">
    <fb>187.58</fb>
    <v>17</v>
  </rv>
  <rv s="8">
    <fb>191.86</fb>
    <v>17</v>
  </rv>
  <rv s="8">
    <fb>192.31</fb>
    <v>17</v>
  </rv>
  <rv s="8">
    <fb>196.83</fb>
    <v>17</v>
  </rv>
  <rv s="8">
    <fb>193.18</fb>
    <v>17</v>
  </rv>
  <rv s="8">
    <fb>190.4</fb>
    <v>17</v>
  </rv>
  <rv s="8">
    <fb>186.41</fb>
    <v>17</v>
  </rv>
  <rv s="8">
    <fb>189.23</fb>
    <v>17</v>
  </rv>
  <rv s="8">
    <fb>186.56</fb>
    <v>17</v>
  </rv>
  <rv s="8">
    <fb>194.91</fb>
    <v>17</v>
  </rv>
  <rv s="8">
    <fb>196.66</fb>
    <v>17</v>
  </rv>
  <rv s="8">
    <fb>197.7</fb>
    <v>17</v>
  </rv>
  <rv s="8">
    <fb>200</fb>
    <v>17</v>
  </rv>
  <rv s="8">
    <fb>202.7</fb>
    <v>17</v>
  </rv>
  <rv s="8">
    <fb>205.74</fb>
    <v>17</v>
  </rv>
  <rv s="8">
    <fb>205.76</fb>
    <v>17</v>
  </rv>
  <rv s="8">
    <fb>205.77</fb>
    <v>17</v>
  </rv>
  <rv s="8">
    <fb>203.09</fb>
    <v>17</v>
  </rv>
  <rv s="8">
    <fb>199.89</fb>
    <v>17</v>
  </rv>
  <rv s="8">
    <fb>199.77</fb>
    <v>17</v>
  </rv>
  <rv s="8">
    <fb>201.86</fb>
    <v>17</v>
  </rv>
  <rv s="8">
    <fb>206.14</fb>
    <v>17</v>
  </rv>
  <rv s="8">
    <fb>211.05</fb>
    <v>17</v>
  </rv>
  <rv s="8">
    <fb>211.78</fb>
    <v>17</v>
  </rv>
  <rv s="8">
    <fb>211.32</fb>
    <v>17</v>
  </rv>
  <rv s="8">
    <fb>208.6</fb>
    <v>17</v>
  </rv>
  <rv s="8">
    <fb>209.8</fb>
    <v>17</v>
  </rv>
  <rv s="8">
    <fb>213.81</fb>
    <v>17</v>
  </rv>
  <rv s="8">
    <fb>212.76</fb>
    <v>17</v>
  </rv>
  <rv s="8">
    <fb>214.06</fb>
    <v>17</v>
  </rv>
  <rv s="8">
    <fb>212.17</fb>
    <v>17</v>
  </rv>
  <rv s="8">
    <fb>217.77</fb>
    <v>17</v>
  </rv>
  <rv s="8">
    <fb>211.54</fb>
    <v>17</v>
  </rv>
  <rv s="8">
    <fb>211.57</fb>
    <v>17</v>
  </rv>
  <rv s="8">
    <fb>209.51</fb>
    <v>17</v>
  </rv>
  <rv s="8">
    <fb>203.67</fb>
    <v>17</v>
  </rv>
  <rv s="8">
    <fb>202.41</fb>
    <v>17</v>
  </rv>
  <rv s="8">
    <fb>205.51</fb>
    <v>17</v>
  </rv>
  <rv s="8">
    <fb>205.65</fb>
    <v>17</v>
  </rv>
  <rv s="8">
    <fb>204.45</fb>
    <v>17</v>
  </rv>
  <rv s="8">
    <fb>206.37</fb>
    <v>17</v>
  </rv>
  <rv s="8">
    <fb>103.16</fb>
    <v>17</v>
  </rv>
  <rv s="8">
    <fb>101.5</fb>
    <v>17</v>
  </rv>
  <rv s="8">
    <fb>98.71</fb>
    <v>17</v>
  </rv>
  <rv s="8">
    <fb>97.34</fb>
    <v>17</v>
  </rv>
  <rv s="8">
    <fb>97.74</fb>
    <v>17</v>
  </rv>
  <rv s="8">
    <fb>98.05</fb>
    <v>17</v>
  </rv>
  <rv s="8">
    <fb>97.8</fb>
    <v>17</v>
  </rv>
  <rv s="8">
    <fb>96.7</fb>
    <v>17</v>
  </rv>
  <rv s="8">
    <fb>95.92</fb>
    <v>17</v>
  </rv>
  <rv s="8">
    <fb>93.93</fb>
    <v>17</v>
  </rv>
  <rv s="8">
    <fb>96.1</fb>
    <v>17</v>
  </rv>
  <rv s="8">
    <fb>99.84</fb>
    <v>17</v>
  </rv>
  <rv s="8">
    <fb>99.78</fb>
    <v>17</v>
  </rv>
  <rv s="8">
    <fb>96.26</fb>
    <v>17</v>
  </rv>
  <rv s="8">
    <fb>97.07</fb>
    <v>17</v>
  </rv>
  <rv s="8">
    <fb>99.3</fb>
    <v>17</v>
  </rv>
  <rv s="8">
    <fb>98.25</fb>
    <v>17</v>
  </rv>
  <rv s="8">
    <fb>96.3</fb>
    <v>17</v>
  </rv>
  <rv s="8">
    <fb>96.69</fb>
    <v>17</v>
  </rv>
  <rv s="8">
    <fb>98.78</fb>
    <v>17</v>
  </rv>
  <rv s="8">
    <fb>100.99</fb>
    <v>17</v>
  </rv>
  <rv s="8">
    <fb>101.39</fb>
    <v>17</v>
  </rv>
  <rv s="8">
    <fb>99.12</fb>
    <v>17</v>
  </rv>
  <rv s="8">
    <fb>100.22</fb>
    <v>17</v>
  </rv>
  <rv s="8">
    <fb>101.23</fb>
    <v>17</v>
  </rv>
  <rv s="8">
    <fb>101.61</fb>
    <v>17</v>
  </rv>
  <rv s="8">
    <fb>101.01</fb>
    <v>17</v>
  </rv>
  <rv s="8">
    <fb>101.69</fb>
    <v>17</v>
  </rv>
  <rv s="8">
    <fb>100.85</fb>
    <v>17</v>
  </rv>
  <rv s="8">
    <fb>100.79</fb>
    <v>17</v>
  </rv>
  <rv s="8">
    <fb>101.49</fb>
    <v>17</v>
  </rv>
  <rv s="8">
    <fb>100.76</fb>
    <v>17</v>
  </rv>
  <rv s="8">
    <fb>102.87</fb>
    <v>17</v>
  </rv>
  <rv s="8">
    <fb>100.67</fb>
    <v>17</v>
  </rv>
  <rv s="8">
    <fb>100.3</fb>
    <v>17</v>
  </rv>
  <rv s="8">
    <fb>98.19</fb>
    <v>17</v>
  </rv>
  <rv s="8">
    <fb>98.32</fb>
    <v>17</v>
  </rv>
  <rv s="8">
    <fb>99.83</fb>
    <v>17</v>
  </rv>
  <rv s="8">
    <fb>97.63</fb>
    <v>17</v>
  </rv>
  <rv s="8">
    <fb>98.7</fb>
    <v>17</v>
  </rv>
  <rv s="8">
    <fb>99.69</fb>
    <v>17</v>
  </rv>
  <rv s="8">
    <fb>101.17</fb>
    <v>17</v>
  </rv>
  <rv s="8">
    <fb>102.5</fb>
    <v>17</v>
  </rv>
  <rv s="8">
    <fb>103.6</fb>
    <v>17</v>
  </rv>
  <rv s="8">
    <fb>102.68</fb>
    <v>17</v>
  </rv>
  <rv s="8">
    <fb>103.19</fb>
    <v>17</v>
  </rv>
  <rv s="8">
    <fb>106.72</fb>
    <v>17</v>
  </rv>
  <rv s="8">
    <fb>107.79</fb>
    <v>17</v>
  </rv>
  <rv s="8">
    <fb>108.88</fb>
    <v>17</v>
  </rv>
  <rv s="8">
    <fb>108.92</fb>
    <v>17</v>
  </rv>
  <rv s="8">
    <fb>109.43</fb>
    <v>17</v>
  </rv>
  <rv s="8">
    <fb>111.09</fb>
    <v>17</v>
  </rv>
  <rv s="8">
    <fb>111.74</fb>
    <v>17</v>
  </rv>
  <rv s="8">
    <fb>111.8</fb>
    <v>17</v>
  </rv>
  <rv s="8">
    <fb>112.8</fb>
    <v>17</v>
  </rv>
  <rv s="8">
    <fb>111.28</fb>
    <v>17</v>
  </rv>
  <rv s="8">
    <fb>111.46</fb>
    <v>17</v>
  </rv>
  <rv s="8">
    <fb>112.83</fb>
    <v>17</v>
  </rv>
  <rv s="8">
    <fb>114.86</fb>
    <v>17</v>
  </rv>
  <rv s="8">
    <fb>118.09</fb>
    <v>17</v>
  </rv>
  <rv s="8">
    <fb>119.4</fb>
    <v>17</v>
  </rv>
  <rv s="8">
    <fb>121.56</fb>
    <v>17</v>
  </rv>
  <rv s="8">
    <fb>120.42</fb>
    <v>17</v>
  </rv>
  <rv s="8">
    <fb>118.13</fb>
    <v>17</v>
  </rv>
  <rv s="8">
    <fb>117.21</fb>
    <v>17</v>
  </rv>
  <rv s="8">
    <fb>116.69</fb>
    <v>17</v>
  </rv>
  <rv s="8">
    <fb>118.7</fb>
    <v>17</v>
  </rv>
  <rv s="8">
    <fb>123.3</fb>
    <v>17</v>
  </rv>
  <rv s="8">
    <fb>122.5</fb>
    <v>17</v>
  </rv>
  <rv s="8">
    <fb>121.37</fb>
    <v>17</v>
  </rv>
  <rv s="8">
    <fb>120.6</fb>
    <v>17</v>
  </rv>
  <rv s="8">
    <fb>121.32</fb>
    <v>17</v>
  </rv>
  <rv s="8">
    <fb>117.7</fb>
    <v>17</v>
  </rv>
  <rv s="8">
    <fb>116.3</fb>
    <v>17</v>
  </rv>
  <rv s="8">
    <fb>112.41</fb>
    <v>17</v>
  </rv>
  <rv s="8">
    <fb>117.46</fb>
    <v>17</v>
  </rv>
  <rv s="8">
    <fb>118.04</fb>
    <v>17</v>
  </rv>
  <rv s="8">
    <fb>113.86</fb>
    <v>17</v>
  </rv>
  <rv s="8">
    <fb>115.66</fb>
    <v>17</v>
  </rv>
  <rv s="8">
    <fb>113.59</fb>
    <v>17</v>
  </rv>
  <rv s="8">
    <fb>114.82</fb>
    <v>17</v>
  </rv>
  <rv s="8">
    <fb>114.79</fb>
    <v>17</v>
  </rv>
  <rv s="8">
    <fb>114.2</fb>
    <v>17</v>
  </rv>
  <rv s="8">
    <fb>115.2</fb>
    <v>17</v>
  </rv>
  <rv s="8">
    <fb>115.71</fb>
    <v>17</v>
  </rv>
  <rv s="8">
    <fb>116.23</fb>
    <v>17</v>
  </rv>
  <rv s="8">
    <fb>117.71</fb>
    <v>17</v>
  </rv>
  <rv s="8">
    <fb>117.43</fb>
    <v>17</v>
  </rv>
  <rv s="8">
    <fb>115.74</fb>
    <v>17</v>
  </rv>
  <rv s="8">
    <fb>122.69</fb>
    <v>17</v>
  </rv>
  <rv s="8">
    <fb>123.77</fb>
    <v>17</v>
  </rv>
  <rv s="8">
    <fb>122.15</fb>
    <v>17</v>
  </rv>
  <rv s="8">
    <fb>117.39</fb>
    <v>17</v>
  </rv>
  <rv s="8">
    <fb>111.15</fb>
    <v>17</v>
  </rv>
  <rv s="8">
    <fb>110.86</fb>
    <v>17</v>
  </rv>
  <rv s="8">
    <fb>113.78</fb>
    <v>17</v>
  </rv>
  <rv s="8">
    <fb>116.27</fb>
    <v>17</v>
  </rv>
  <rv s="8">
    <fb>115.55</fb>
    <v>17</v>
  </rv>
  <rv s="8">
    <fb>116</fb>
    <v>17</v>
  </rv>
  <rv s="8">
    <fb>110.75</fb>
    <v>17</v>
  </rv>
  <rv s="8">
    <fb>109.56</fb>
    <v>17</v>
  </rv>
  <rv s="8">
    <fb>114.34</fb>
    <v>17</v>
  </rv>
  <rv s="8">
    <fb>116.19</fb>
    <v>17</v>
  </rv>
  <rv s="8">
    <fb>110.19</fb>
    <v>17</v>
  </rv>
  <rv s="8">
    <fb>111.45</fb>
    <v>17</v>
  </rv>
  <rv s="8">
    <fb>110.76</fb>
    <v>17</v>
  </rv>
  <rv s="8">
    <fb>111.32</fb>
    <v>17</v>
  </rv>
  <rv s="8">
    <fb>108.95</fb>
    <v>17</v>
  </rv>
  <rv s="8">
    <fb>106.53</fb>
    <v>17</v>
  </rv>
  <rv s="8">
    <fb>106.59</fb>
    <v>17</v>
  </rv>
  <rv s="8">
    <fb>108.97</fb>
    <v>17</v>
  </rv>
  <rv s="8">
    <fb>109.19</fb>
    <v>17</v>
  </rv>
  <rv s="8">
    <fb>105.5</fb>
    <v>17</v>
  </rv>
  <rv s="8">
    <fb>105.69</fb>
    <v>17</v>
  </rv>
  <rv s="8">
    <fb>107.35</fb>
    <v>17</v>
  </rv>
  <rv s="8">
    <fb>107.71</fb>
    <v>17</v>
  </rv>
  <rv s="8">
    <fb>108.67</fb>
    <v>17</v>
  </rv>
  <rv s="8">
    <fb>109.85</fb>
    <v>17</v>
  </rv>
  <rv s="8">
    <fb>109.52</fb>
    <v>17</v>
  </rv>
  <rv s="8">
    <fb>111.64</fb>
    <v>17</v>
  </rv>
  <rv s="8">
    <fb>113.74</fb>
    <v>17</v>
  </rv>
  <rv s="8">
    <fb>114.48</fb>
    <v>17</v>
  </rv>
  <rv s="8">
    <fb>107.38</fb>
    <v>17</v>
  </rv>
  <rv s="8">
    <fb>107.27</fb>
    <v>17</v>
  </rv>
  <rv s="8">
    <fb>113.41</fb>
    <v>17</v>
  </rv>
  <rv s="8">
    <fb>115.3</fb>
    <v>17</v>
  </rv>
  <rv s="8">
    <fb>115.25</fb>
    <v>17</v>
  </rv>
  <rv s="8">
    <fb>117.36</fb>
    <v>17</v>
  </rv>
  <rv s="8">
    <fb>117.13</fb>
    <v>17</v>
  </rv>
  <rv s="8">
    <fb>123.49</fb>
    <v>17</v>
  </rv>
  <rv s="8">
    <fb>124.92</fb>
    <v>17</v>
  </rv>
  <rv s="8">
    <fb>124.39</fb>
    <v>17</v>
  </rv>
  <rv s="8">
    <fb>126.28</fb>
    <v>17</v>
  </rv>
  <rv s="8">
    <fb>129.58000000000001</fb>
    <v>17</v>
  </rv>
  <rv s="8">
    <fb>131.69</fb>
    <v>17</v>
  </rv>
  <rv s="8">
    <fb>129.34</fb>
    <v>17</v>
  </rv>
  <rv s="8">
    <fb>132.18</fb>
    <v>17</v>
  </rv>
  <rv s="8">
    <fb>133.05000000000001</fb>
    <v>17</v>
  </rv>
  <rv s="8">
    <fb>131.68</fb>
    <v>17</v>
  </rv>
  <rv s="8">
    <fb>129.72999999999999</fb>
    <v>17</v>
  </rv>
  <rv s="8">
    <fb>128.51</fb>
    <v>17</v>
  </rv>
  <rv s="8">
    <fb>127.98</fb>
    <v>17</v>
  </rv>
  <rv s="8">
    <fb>129.13999999999999</fb>
    <v>17</v>
  </rv>
  <rv s="8">
    <fb>128.53</fb>
    <v>17</v>
  </rv>
  <rv s="8">
    <fb>127.61</fb>
    <v>17</v>
  </rv>
  <rv s="8">
    <fb>127.44</fb>
    <v>17</v>
  </rv>
  <rv s="8">
    <fb>125.63</fb>
    <v>17</v>
  </rv>
  <rv s="8">
    <fb>128.01</fb>
    <v>17</v>
  </rv>
  <rv s="8">
    <fb>127.6</fb>
    <v>17</v>
  </rv>
  <rv s="8">
    <fb>129.09</fb>
    <v>17</v>
  </rv>
  <rv s="8">
    <fb>125.55</fb>
    <v>17</v>
  </rv>
  <rv s="8">
    <fb>125.85</fb>
    <v>17</v>
  </rv>
  <rv s="8">
    <fb>126.44</fb>
    <v>17</v>
  </rv>
  <rv s="8">
    <fb>124.1</fb>
    <v>17</v>
  </rv>
  <rv s="8">
    <fb>124.82</fb>
    <v>17</v>
  </rv>
  <rv s="8">
    <fb>123.42</fb>
    <v>17</v>
  </rv>
  <rv s="8">
    <fb>122.41</fb>
    <v>17</v>
  </rv>
  <rv s="8">
    <fb>119.97</fb>
    <v>17</v>
  </rv>
  <rv s="8">
    <fb>125.22</fb>
    <v>17</v>
  </rv>
  <rv s="8">
    <fb>125.09</fb>
    <v>17</v>
  </rv>
  <rv s="8">
    <fb>126.86</fb>
    <v>17</v>
  </rv>
  <rv s="8">
    <fb>125.39</fb>
    <v>17</v>
  </rv>
  <rv s="8">
    <fb>124.68</fb>
    <v>17</v>
  </rv>
  <rv s="8">
    <fb>125.9</fb>
    <v>17</v>
  </rv>
  <rv s="8">
    <fb>131.26</fb>
    <v>17</v>
  </rv>
  <rv s="8">
    <fb>129.93</fb>
    <v>17</v>
  </rv>
  <rv s="8">
    <fb>135.15</fb>
    <v>17</v>
  </rv>
  <rv s="8">
    <fb>132.47</fb>
    <v>17</v>
  </rv>
  <rv s="8">
    <fb>133.28</fb>
    <v>17</v>
  </rv>
  <rv s="8">
    <fb>134.72999999999999</fb>
    <v>17</v>
  </rv>
  <rv s="8">
    <fb>133.38</fb>
    <v>17</v>
  </rv>
  <rv s="8">
    <fb>138.07</fb>
    <v>17</v>
  </rv>
  <rv s="8">
    <fb>139.83000000000001</fb>
    <v>17</v>
  </rv>
  <rv s="8">
    <fb>141.21</fb>
    <v>17</v>
  </rv>
  <rv s="8">
    <fb>142.99</fb>
    <v>17</v>
  </rv>
  <rv s="8">
    <fb>143.78</fb>
    <v>17</v>
  </rv>
  <rv s="8">
    <fb>143.06</fb>
    <v>17</v>
  </rv>
  <rv s="8">
    <fb>145.66999999999999</fb>
    <v>17</v>
  </rv>
  <rv s="8">
    <fb>144.97</fb>
    <v>17</v>
  </rv>
  <rv s="8">
    <fb>143.59</fb>
    <v>17</v>
  </rv>
  <rv s="8">
    <fb>144.97999999999999</fb>
    <v>17</v>
  </rv>
  <rv s="8">
    <fb>141.76</fb>
    <v>17</v>
  </rv>
  <rv s="8">
    <fb>142.49</fb>
    <v>17</v>
  </rv>
  <rv s="8">
    <fb>139.96</fb>
    <v>17</v>
  </rv>
  <rv s="8">
    <fb>140.13</fb>
    <v>17</v>
  </rv>
  <rv s="8">
    <fb>139.97</fb>
    <v>17</v>
  </rv>
  <rv s="8">
    <fb>143.86000000000001</fb>
    <v>17</v>
  </rv>
  <rv s="8">
    <fb>140.77000000000001</fb>
    <v>17</v>
  </rv>
  <rv s="8">
    <fb>137.38999999999999</fb>
    <v>17</v>
  </rv>
  <rv s="8">
    <fb>139.57</fb>
    <v>17</v>
  </rv>
  <rv s="8">
    <fb>140.79</fb>
    <v>17</v>
  </rv>
  <rv s="8">
    <fb>140.71</fb>
    <v>17</v>
  </rv>
  <rv s="8">
    <fb>133.27000000000001</fb>
    <v>17</v>
  </rv>
  <rv s="8">
    <fb>134.88999999999999</fb>
    <v>17</v>
  </rv>
  <rv s="8">
    <fb>131.71</fb>
    <v>17</v>
  </rv>
  <rv s="8">
    <fb>129.36000000000001</fb>
    <v>17</v>
  </rv>
  <rv s="8">
    <fb>128.72</fb>
    <v>17</v>
  </rv>
  <rv s="8">
    <fb>132.84</fb>
    <v>17</v>
  </rv>
  <rv s="8">
    <fb>132.25</fb>
    <v>17</v>
  </rv>
  <rv s="8">
    <fb>131.88</fb>
    <v>17</v>
  </rv>
  <rv s="8">
    <fb>132.19</fb>
    <v>17</v>
  </rv>
  <rv s="8">
    <fb>133.1</fb>
    <v>17</v>
  </rv>
  <rv s="8">
    <fb>127.13</fb>
    <v>17</v>
  </rv>
  <rv s="8">
    <fb>132.32</fb>
    <v>17</v>
  </rv>
  <rv s="8">
    <fb>132.44999999999999</fb>
    <v>17</v>
  </rv>
  <rv s="8">
    <fb>133.57</fb>
    <v>17</v>
  </rv>
  <rv s="8">
    <fb>136.87</fb>
    <v>17</v>
  </rv>
  <rv s="8">
    <fb>137.63999999999999</fb>
    <v>17</v>
  </rv>
  <rv s="8">
    <fb>133.82</fb>
    <v>17</v>
  </rv>
  <rv s="8">
    <fb>135</fb>
    <v>17</v>
  </rv>
  <rv s="8">
    <fb>135.22</fb>
    <v>17</v>
  </rv>
  <rv s="8">
    <fb>135.77000000000001</fb>
    <v>17</v>
  </rv>
  <rv s="8">
    <fb>137.58000000000001</fb>
    <v>17</v>
  </rv>
  <rv s="8">
    <fb>138.72999999999999</fb>
    <v>17</v>
  </rv>
  <rv s="8">
    <fb>139.33000000000001</fb>
    <v>17</v>
  </rv>
  <rv s="8">
    <fb>138.51</fb>
    <v>17</v>
  </rv>
  <rv s="8">
    <fb>137.65</fb>
    <v>17</v>
  </rv>
  <rv s="8">
    <fb>132.88999999999999</fb>
    <v>17</v>
  </rv>
  <rv s="8">
    <fb>129.66999999999999</fb>
    <v>17</v>
  </rv>
  <rv s="8">
    <fb>131.65</fb>
    <v>17</v>
  </rv>
  <rv s="8">
    <fb>131.72</fb>
    <v>17</v>
  </rv>
  <rv s="8">
    <fb>133.25</fb>
    <v>17</v>
  </rv>
  <rv s="8">
    <fb>133.56</fb>
    <v>17</v>
  </rv>
  <rv s="8">
    <fb>132.68</fb>
    <v>17</v>
  </rv>
  <rv s="8">
    <fb>132.9</fb>
    <v>17</v>
  </rv>
  <rv s="8">
    <fb>131.62</fb>
    <v>17</v>
  </rv>
  <rv s="8">
    <fb>132.54</fb>
    <v>17</v>
  </rv>
  <rv s="8">
    <fb>134.34</fb>
    <v>17</v>
  </rv>
  <rv s="8">
    <fb>138.13999999999999</fb>
    <v>17</v>
  </rv>
  <rv s="8">
    <fb>137.72</fb>
    <v>17</v>
  </rv>
  <rv s="8">
    <fb>136.74</fb>
    <v>17</v>
  </rv>
  <rv s="8">
    <fb>137.80000000000001</fb>
    <v>17</v>
  </rv>
  <rv s="8">
    <fb>138.5</fb>
    <v>17</v>
  </rv>
  <rv s="8">
    <fb>138.82</fb>
    <v>17</v>
  </rv>
  <rv s="8">
    <fb>136.18</fb>
    <v>17</v>
  </rv>
  <rv s="8">
    <fb>136.16999999999999</fb>
    <v>17</v>
  </rv>
  <rv s="8">
    <fb>132.94999999999999</fb>
    <v>17</v>
  </rv>
  <rv s="8">
    <fb>132.69999999999999</fb>
    <v>17</v>
  </rv>
  <rv s="8">
    <fb>131.77000000000001</fb>
    <v>17</v>
  </rv>
  <rv s="8">
    <fb>135.05000000000001</fb>
    <v>17</v>
  </rv>
  <rv s="8">
    <fb>131.93</fb>
    <v>17</v>
  </rv>
  <rv s="8">
    <fb>132.1</fb>
    <v>17</v>
  </rv>
  <rv s="8">
    <fb>134.28</fb>
    <v>17</v>
  </rv>
  <rv s="8">
    <fb>131.31</fb>
    <v>17</v>
  </rv>
  <rv s="8">
    <fb>12.09</fb>
    <v>17</v>
  </rv>
  <rv s="8">
    <fb>11.96</fb>
    <v>17</v>
  </rv>
  <rv s="8">
    <fb>12.27</fb>
    <v>17</v>
  </rv>
  <rv s="8">
    <fb>12.22</fb>
    <v>17</v>
  </rv>
  <rv s="8">
    <fb>12.67</fb>
    <v>17</v>
  </rv>
  <rv s="8">
    <fb>12.7</fb>
    <v>17</v>
  </rv>
  <rv s="8">
    <fb>11.92</fb>
    <v>17</v>
  </rv>
  <rv s="8">
    <fb>11.74</fb>
    <v>17</v>
  </rv>
  <rv s="8">
    <fb>11.5</fb>
    <v>17</v>
  </rv>
  <rv s="8">
    <fb>11.41</fb>
    <v>17</v>
  </rv>
  <rv s="8">
    <fb>11.54</fb>
    <v>17</v>
  </rv>
  <rv s="8">
    <fb>11.65</fb>
    <v>17</v>
  </rv>
  <rv s="8">
    <fb>11.76</fb>
    <v>17</v>
  </rv>
  <rv s="8">
    <fb>11.99</fb>
    <v>17</v>
  </rv>
  <rv s="8">
    <fb>12.56</fb>
    <v>17</v>
  </rv>
  <rv s="8">
    <fb>12.43</fb>
    <v>17</v>
  </rv>
  <rv s="8">
    <fb>12.34</fb>
    <v>17</v>
  </rv>
  <rv s="8">
    <fb>13.84</fb>
    <v>17</v>
  </rv>
  <rv s="8">
    <fb>13.26</fb>
    <v>17</v>
  </rv>
  <rv s="8">
    <fb>13.13</fb>
    <v>17</v>
  </rv>
  <rv s="8">
    <fb>13.24</fb>
    <v>17</v>
  </rv>
  <rv s="8">
    <fb>13.06</fb>
    <v>17</v>
  </rv>
  <rv s="8">
    <fb>13.01</fb>
    <v>17</v>
  </rv>
  <rv s="8">
    <fb>12.79</fb>
    <v>17</v>
  </rv>
  <rv s="8">
    <fb>13.11</fb>
    <v>17</v>
  </rv>
  <rv s="8">
    <fb>13.12</fb>
    <v>17</v>
  </rv>
  <rv s="8">
    <fb>13.21</fb>
    <v>17</v>
  </rv>
  <rv s="8">
    <fb>13.16</fb>
    <v>17</v>
  </rv>
  <rv s="8">
    <fb>13.3</fb>
    <v>17</v>
  </rv>
  <rv s="8">
    <fb>13.45</fb>
    <v>17</v>
  </rv>
  <rv s="8">
    <fb>13.28</fb>
    <v>17</v>
  </rv>
  <rv s="8">
    <fb>13.19</fb>
    <v>17</v>
  </rv>
  <rv s="8">
    <fb>12.88</fb>
    <v>17</v>
  </rv>
  <rv s="8">
    <fb>13.02</fb>
    <v>17</v>
  </rv>
  <rv s="8">
    <fb>12.9</fb>
    <v>17</v>
  </rv>
  <rv s="8">
    <fb>12.41</fb>
    <v>17</v>
  </rv>
  <rv s="8">
    <fb>12.83</fb>
    <v>17</v>
  </rv>
  <rv s="8">
    <fb>12.96</fb>
    <v>17</v>
  </rv>
  <rv s="8">
    <fb>13.17</fb>
    <v>17</v>
  </rv>
  <rv s="8">
    <fb>13.09</fb>
    <v>17</v>
  </rv>
  <rv s="8">
    <fb>13.14</fb>
    <v>17</v>
  </rv>
  <rv s="8">
    <fb>13.03</fb>
    <v>17</v>
  </rv>
  <rv s="8">
    <fb>13.08</fb>
    <v>17</v>
  </rv>
  <rv s="8">
    <fb>13.41</fb>
    <v>17</v>
  </rv>
  <rv s="8">
    <fb>13.63</fb>
    <v>17</v>
  </rv>
  <rv s="8">
    <fb>13.76</fb>
    <v>17</v>
  </rv>
  <rv s="8">
    <fb>13.65</fb>
    <v>17</v>
  </rv>
  <rv s="8">
    <fb>13.67</fb>
    <v>17</v>
  </rv>
  <rv s="8">
    <fb>13.31</fb>
    <v>17</v>
  </rv>
  <rv s="8">
    <fb>13.32</fb>
    <v>17</v>
  </rv>
  <rv s="8">
    <fb>13.47</fb>
    <v>17</v>
  </rv>
  <rv s="8">
    <fb>13.46</fb>
    <v>17</v>
  </rv>
  <rv s="8">
    <fb>13.29</fb>
    <v>17</v>
  </rv>
  <rv s="8">
    <fb>13.36</fb>
    <v>17</v>
  </rv>
  <rv s="8">
    <fb>13.23</fb>
    <v>17</v>
  </rv>
  <rv s="8">
    <fb>13.34</fb>
    <v>17</v>
  </rv>
  <rv s="8">
    <fb>13.8</fb>
    <v>17</v>
  </rv>
  <rv s="8">
    <fb>13.74</fb>
    <v>17</v>
  </rv>
  <rv s="8">
    <fb>14.4</fb>
    <v>17</v>
  </rv>
  <rv s="8">
    <fb>14.2</fb>
    <v>17</v>
  </rv>
  <rv s="8">
    <fb>14.03</fb>
    <v>17</v>
  </rv>
  <rv s="8">
    <fb>13.98</fb>
    <v>17</v>
  </rv>
  <rv s="8">
    <fb>13.81</fb>
    <v>17</v>
  </rv>
  <rv s="8">
    <fb>13.6</fb>
    <v>17</v>
  </rv>
  <rv s="8">
    <fb>13.77</fb>
    <v>17</v>
  </rv>
  <rv s="8">
    <fb>13.71</fb>
    <v>17</v>
  </rv>
  <rv s="8">
    <fb>13.56</fb>
    <v>17</v>
  </rv>
  <rv s="8">
    <fb>13.44</fb>
    <v>17</v>
  </rv>
  <rv s="8">
    <fb>13.93</fb>
    <v>17</v>
  </rv>
  <rv s="8">
    <fb>13.82</fb>
    <v>17</v>
  </rv>
  <rv s="8">
    <fb>14</fb>
    <v>17</v>
  </rv>
  <rv s="8">
    <fb>13.88</fb>
    <v>17</v>
  </rv>
  <rv s="8">
    <fb>13.73</fb>
    <v>17</v>
  </rv>
  <rv s="8">
    <fb>13.72</fb>
    <v>17</v>
  </rv>
  <rv s="8">
    <fb>13.59</fb>
    <v>17</v>
  </rv>
  <rv s="8">
    <fb>13.57</fb>
    <v>17</v>
  </rv>
  <rv s="8">
    <fb>13.85</fb>
    <v>17</v>
  </rv>
  <rv s="8">
    <fb>14.12</fb>
    <v>17</v>
  </rv>
  <rv s="8">
    <fb>14.13</fb>
    <v>17</v>
  </rv>
  <rv s="8">
    <fb>13.78</fb>
    <v>17</v>
  </rv>
  <rv s="8">
    <fb>14.01</fb>
    <v>17</v>
  </rv>
  <rv s="8">
    <fb>13.64</fb>
    <v>17</v>
  </rv>
  <rv s="8">
    <fb>14.43</fb>
    <v>17</v>
  </rv>
  <rv s="8">
    <fb>14.41</fb>
    <v>17</v>
  </rv>
  <rv s="8">
    <fb>14.09</fb>
    <v>17</v>
  </rv>
  <rv s="8">
    <fb>13.39</fb>
    <v>17</v>
  </rv>
  <rv s="8">
    <fb>12.81</fb>
    <v>17</v>
  </rv>
  <rv s="8">
    <fb>12.15</fb>
    <v>17</v>
  </rv>
  <rv s="8">
    <fb>12.19</fb>
    <v>17</v>
  </rv>
  <rv s="8">
    <fb>12.24</fb>
    <v>17</v>
  </rv>
  <rv s="8">
    <fb>12.11</fb>
    <v>17</v>
  </rv>
  <rv s="8">
    <fb>12.04</fb>
    <v>17</v>
  </rv>
  <rv s="8">
    <fb>11.67</fb>
    <v>17</v>
  </rv>
  <rv s="8">
    <fb>11.71</fb>
    <v>17</v>
  </rv>
  <rv s="8">
    <fb>11.94</fb>
    <v>17</v>
  </rv>
  <rv s="8">
    <fb>11.79</fb>
    <v>17</v>
  </rv>
  <rv s="8">
    <fb>11.64</fb>
    <v>17</v>
  </rv>
  <rv s="8">
    <fb>11.52</fb>
    <v>17</v>
  </rv>
  <rv s="8">
    <fb>11.84</fb>
    <v>17</v>
  </rv>
  <rv s="8">
    <fb>11.6</fb>
    <v>17</v>
  </rv>
  <rv s="8">
    <fb>11.37</fb>
    <v>17</v>
  </rv>
  <rv s="8">
    <fb>11.21</fb>
    <v>17</v>
  </rv>
  <rv s="8">
    <fb>11.68</fb>
    <v>17</v>
  </rv>
  <rv s="8">
    <fb>11.61</fb>
    <v>17</v>
  </rv>
  <rv s="8">
    <fb>12.18</fb>
    <v>17</v>
  </rv>
  <rv s="8">
    <fb>12.13</fb>
    <v>17</v>
  </rv>
  <rv s="8">
    <fb>12.16</fb>
    <v>17</v>
  </rv>
  <rv s="8">
    <fb>12.71</fb>
    <v>17</v>
  </rv>
  <rv s="8">
    <fb>12.44</fb>
    <v>17</v>
  </rv>
  <rv s="8">
    <fb>12.87</fb>
    <v>17</v>
  </rv>
  <rv s="8">
    <fb>12.78</fb>
    <v>17</v>
  </rv>
  <rv s="8">
    <fb>12.63</fb>
    <v>17</v>
  </rv>
  <rv s="8">
    <fb>12.48</fb>
    <v>17</v>
  </rv>
  <rv s="8">
    <fb>12.38</fb>
    <v>17</v>
  </rv>
  <rv s="8">
    <fb>12.49</fb>
    <v>17</v>
  </rv>
  <rv s="8">
    <fb>12.4</fb>
    <v>17</v>
  </rv>
  <rv s="8">
    <fb>12.08</fb>
    <v>17</v>
  </rv>
  <rv s="8">
    <fb>11.88</fb>
    <v>17</v>
  </rv>
  <rv s="8">
    <fb>11.69</fb>
    <v>17</v>
  </rv>
  <rv s="8">
    <fb>12.17</fb>
    <v>17</v>
  </rv>
  <rv s="8">
    <fb>12.32</fb>
    <v>17</v>
  </rv>
  <rv s="8">
    <fb>12.05</fb>
    <v>17</v>
  </rv>
  <rv s="8">
    <fb>14.48</fb>
    <v>17</v>
  </rv>
  <rv s="8">
    <fb>13.4</fb>
    <v>17</v>
  </rv>
  <rv s="8">
    <fb>13.22</fb>
    <v>17</v>
  </rv>
  <rv s="8">
    <fb>14.93</fb>
    <v>17</v>
  </rv>
  <rv s="8">
    <fb>15.32</fb>
    <v>17</v>
  </rv>
  <rv s="8">
    <fb>15.88</fb>
    <v>17</v>
  </rv>
  <rv s="8">
    <fb>16.649999999999999</fb>
    <v>17</v>
  </rv>
  <rv s="8">
    <fb>17.440000000000001</fb>
    <v>17</v>
  </rv>
  <rv s="8">
    <fb>16.63</fb>
    <v>17</v>
  </rv>
  <rv s="8">
    <fb>16.149999999999999</fb>
    <v>17</v>
  </rv>
  <rv s="8">
    <fb>15.71</fb>
    <v>17</v>
  </rv>
  <rv s="8">
    <fb>15.34</fb>
    <v>17</v>
  </rv>
  <rv s="8">
    <fb>14.9</fb>
    <v>17</v>
  </rv>
  <rv s="8">
    <fb>15</fb>
    <v>17</v>
  </rv>
  <rv s="8">
    <fb>14.95</fb>
    <v>17</v>
  </rv>
  <rv s="8">
    <fb>14.3</fb>
    <v>17</v>
  </rv>
  <rv s="8">
    <fb>14.71</fb>
    <v>17</v>
  </rv>
  <rv s="8">
    <fb>14.84</fb>
    <v>17</v>
  </rv>
  <rv s="8">
    <fb>14.77</fb>
    <v>17</v>
  </rv>
  <rv s="8">
    <fb>13.96</fb>
    <v>17</v>
  </rv>
  <rv s="8">
    <fb>14.06</fb>
    <v>17</v>
  </rv>
  <rv s="8">
    <fb>14.11</fb>
    <v>17</v>
  </rv>
  <rv s="8">
    <fb>14.02</fb>
    <v>17</v>
  </rv>
  <rv s="8">
    <fb>13.9</fb>
    <v>17</v>
  </rv>
  <rv s="8">
    <fb>13.83</fb>
    <v>17</v>
  </rv>
  <rv s="8">
    <fb>13.5</fb>
    <v>17</v>
  </rv>
  <rv s="8">
    <fb>13.61</fb>
    <v>17</v>
  </rv>
  <rv s="8">
    <fb>13.94</fb>
    <v>17</v>
  </rv>
  <rv s="8">
    <fb>14.18</fb>
    <v>17</v>
  </rv>
  <rv s="8">
    <fb>14.19</fb>
    <v>17</v>
  </rv>
  <rv s="8">
    <fb>14.23</fb>
    <v>17</v>
  </rv>
  <rv s="8">
    <fb>13.99</fb>
    <v>17</v>
  </rv>
  <rv s="8">
    <fb>14.27</fb>
    <v>17</v>
  </rv>
  <rv s="8">
    <fb>14.42</fb>
    <v>17</v>
  </rv>
  <rv s="8">
    <fb>14.15</fb>
    <v>17</v>
  </rv>
  <rv s="8">
    <fb>14.37</fb>
    <v>17</v>
  </rv>
  <rv s="8">
    <fb>14.68</fb>
    <v>17</v>
  </rv>
  <rv s="8">
    <fb>14.96</fb>
    <v>17</v>
  </rv>
  <rv s="8">
    <fb>15.28</fb>
    <v>17</v>
  </rv>
  <rv s="8">
    <fb>14.86</fb>
    <v>17</v>
  </rv>
  <rv s="8">
    <fb>14.24</fb>
    <v>17</v>
  </rv>
  <rv s="8">
    <fb>13.79</fb>
    <v>17</v>
  </rv>
  <rv s="8">
    <fb>13.89</fb>
    <v>17</v>
  </rv>
  <rv s="8">
    <fb>14.05</fb>
    <v>17</v>
  </rv>
  <rv s="8">
    <fb>14.5</fb>
    <v>17</v>
  </rv>
  <rv s="8">
    <fb>13.95</fb>
    <v>17</v>
  </rv>
  <rv s="8">
    <fb>14.14</fb>
    <v>17</v>
  </rv>
  <rv s="8">
    <fb>14.62</fb>
    <v>17</v>
  </rv>
  <rv s="8">
    <fb>13.97</fb>
    <v>17</v>
  </rv>
  <rv s="8">
    <fb>13.86</fb>
    <v>17</v>
  </rv>
  <rv s="8">
    <fb>13.35</fb>
    <v>17</v>
  </rv>
  <rv s="8">
    <fb>13.1</fb>
    <v>17</v>
  </rv>
  <rv s="8">
    <fb>12.94</fb>
    <v>17</v>
  </rv>
  <rv s="8">
    <fb>12.6</fb>
    <v>17</v>
  </rv>
  <rv s="8">
    <fb>31.78</fb>
    <v>17</v>
  </rv>
  <rv s="8">
    <fb>30.8</fb>
    <v>17</v>
  </rv>
  <rv s="8">
    <fb>30.83</fb>
    <v>17</v>
  </rv>
  <rv s="8">
    <fb>30.55</fb>
    <v>17</v>
  </rv>
  <rv s="8">
    <fb>31.37</fb>
    <v>17</v>
  </rv>
  <rv s="8">
    <fb>31.91</fb>
    <v>17</v>
  </rv>
  <rv s="8">
    <fb>31.74</fb>
    <v>17</v>
  </rv>
  <rv s="8">
    <fb>31.45</fb>
    <v>17</v>
  </rv>
  <rv s="8">
    <fb>30.65</fb>
    <v>17</v>
  </rv>
  <rv s="8">
    <fb>29.84</fb>
    <v>17</v>
  </rv>
  <rv s="8">
    <fb>30.14</fb>
    <v>17</v>
  </rv>
  <rv s="8">
    <fb>30.63</fb>
    <v>17</v>
  </rv>
  <rv s="8">
    <fb>30.6</fb>
    <v>17</v>
  </rv>
  <rv s="8">
    <fb>30.82</fb>
    <v>17</v>
  </rv>
  <rv s="8">
    <fb>31.28</fb>
    <v>17</v>
  </rv>
  <rv s="8">
    <fb>31.84</fb>
    <v>17</v>
  </rv>
  <rv s="8">
    <fb>31.59</fb>
    <v>17</v>
  </rv>
  <rv s="8">
    <fb>31.52</fb>
    <v>17</v>
  </rv>
  <rv s="8">
    <fb>31.75</fb>
    <v>17</v>
  </rv>
  <rv s="8">
    <fb>31.93</fb>
    <v>17</v>
  </rv>
  <rv s="8">
    <fb>31.19</fb>
    <v>17</v>
  </rv>
  <rv s="8">
    <fb>31.07</fb>
    <v>17</v>
  </rv>
  <rv s="8">
    <fb>30.5</fb>
    <v>17</v>
  </rv>
  <rv s="8">
    <fb>30.57</fb>
    <v>17</v>
  </rv>
  <rv s="8">
    <fb>30.71</fb>
    <v>17</v>
  </rv>
  <rv s="8">
    <fb>30.88</fb>
    <v>17</v>
  </rv>
  <rv s="8">
    <fb>30.41</fb>
    <v>17</v>
  </rv>
  <rv s="8">
    <fb>29.81</fb>
    <v>17</v>
  </rv>
  <rv s="8">
    <fb>29.48</fb>
    <v>17</v>
  </rv>
  <rv s="8">
    <fb>29.7</fb>
    <v>17</v>
  </rv>
  <rv s="8">
    <fb>30.04</fb>
    <v>17</v>
  </rv>
  <rv s="8">
    <fb>29.73</fb>
    <v>17</v>
  </rv>
  <rv s="8">
    <fb>30.07</fb>
    <v>17</v>
  </rv>
  <rv s="8">
    <fb>29</fb>
    <v>17</v>
  </rv>
  <rv s="8">
    <fb>28.96</fb>
    <v>17</v>
  </rv>
  <rv s="8">
    <fb>29.33</fb>
    <v>17</v>
  </rv>
  <rv s="8">
    <fb>28.48</fb>
    <v>17</v>
  </rv>
  <rv s="8">
    <fb>29.58</fb>
    <v>17</v>
  </rv>
  <rv s="8">
    <fb>29.82</fb>
    <v>17</v>
  </rv>
  <rv s="8">
    <fb>29.96</fb>
    <v>17</v>
  </rv>
  <rv s="8">
    <fb>30.3</fb>
    <v>17</v>
  </rv>
  <rv s="8">
    <fb>30.25</fb>
    <v>17</v>
  </rv>
  <rv s="8">
    <fb>29.77</fb>
    <v>17</v>
  </rv>
  <rv s="8">
    <fb>29.45</fb>
    <v>17</v>
  </rv>
  <rv s="8">
    <fb>29.36</fb>
    <v>17</v>
  </rv>
  <rv s="8">
    <fb>29.66</fb>
    <v>17</v>
  </rv>
  <rv s="8">
    <fb>29.43</fb>
    <v>17</v>
  </rv>
  <rv s="8">
    <fb>29.35</fb>
    <v>17</v>
  </rv>
  <rv s="8">
    <fb>29.79</fb>
    <v>17</v>
  </rv>
  <rv s="8">
    <fb>30.56</fb>
    <v>17</v>
  </rv>
  <rv s="8">
    <fb>30.93</fb>
    <v>17</v>
  </rv>
  <rv s="8">
    <fb>31.13</fb>
    <v>17</v>
  </rv>
  <rv s="8">
    <fb>30.72</fb>
    <v>17</v>
  </rv>
  <rv s="8">
    <fb>30.35</fb>
    <v>17</v>
  </rv>
  <rv s="8">
    <fb>30.01</fb>
    <v>17</v>
  </rv>
  <rv s="8">
    <fb>30.12</fb>
    <v>17</v>
  </rv>
  <rv s="8">
    <fb>30.24</fb>
    <v>17</v>
  </rv>
  <rv s="8">
    <fb>30.11</fb>
    <v>17</v>
  </rv>
  <rv s="8">
    <fb>29.8</fb>
    <v>17</v>
  </rv>
  <rv s="8">
    <fb>29.64</fb>
    <v>17</v>
  </rv>
  <rv s="8">
    <fb>29.62</fb>
    <v>17</v>
  </rv>
  <rv s="8">
    <fb>30.06</fb>
    <v>17</v>
  </rv>
  <rv s="8">
    <fb>29.52</fb>
    <v>17</v>
  </rv>
  <rv s="8">
    <fb>29.27</fb>
    <v>17</v>
  </rv>
  <rv s="8">
    <fb>30.89</fb>
    <v>17</v>
  </rv>
  <rv s="8">
    <fb>30.61</fb>
    <v>17</v>
  </rv>
  <rv s="8">
    <fb>30.74</fb>
    <v>17</v>
  </rv>
  <rv s="8">
    <fb>31.11</fb>
    <v>17</v>
  </rv>
  <rv s="8">
    <fb>30.85</fb>
    <v>17</v>
  </rv>
  <rv s="8">
    <fb>31.22</fb>
    <v>17</v>
  </rv>
  <rv s="8">
    <fb>30.42</fb>
    <v>17</v>
  </rv>
  <rv s="8">
    <fb>30</fb>
    <v>17</v>
  </rv>
  <rv s="8">
    <fb>29.93</fb>
    <v>17</v>
  </rv>
  <rv s="8">
    <fb>29.42</fb>
    <v>17</v>
  </rv>
  <rv s="8">
    <fb>30.29</fb>
    <v>17</v>
  </rv>
  <rv s="8">
    <fb>30.33</fb>
    <v>17</v>
  </rv>
  <rv s="8">
    <fb>30.73</fb>
    <v>17</v>
  </rv>
  <rv s="8">
    <fb>30.58</fb>
    <v>17</v>
  </rv>
  <rv s="8">
    <fb>31.62</fb>
    <v>17</v>
  </rv>
  <rv s="8">
    <fb>32.82</fb>
    <v>17</v>
  </rv>
  <rv s="8">
    <fb>31.76</fb>
    <v>17</v>
  </rv>
  <rv s="8">
    <fb>31.21</fb>
    <v>17</v>
  </rv>
  <rv s="8">
    <fb>32.4</fb>
    <v>17</v>
  </rv>
  <rv s="8">
    <fb>31.43</fb>
    <v>17</v>
  </rv>
  <rv s="8">
    <fb>30.92</fb>
    <v>17</v>
  </rv>
  <rv s="8">
    <fb>30.34</fb>
    <v>17</v>
  </rv>
  <rv s="8">
    <fb>30.27</fb>
    <v>17</v>
  </rv>
  <rv s="8">
    <fb>30.16</fb>
    <v>17</v>
  </rv>
  <rv s="8">
    <fb>29.29</fb>
    <v>17</v>
  </rv>
  <rv s="8">
    <fb>28.3</fb>
    <v>17</v>
  </rv>
  <rv s="8">
    <fb>28.51</fb>
    <v>17</v>
  </rv>
  <rv s="8">
    <fb>27.47</fb>
    <v>17</v>
  </rv>
  <rv s="8">
    <fb>27.24</fb>
    <v>17</v>
  </rv>
  <rv s="8">
    <fb>27.87</fb>
    <v>17</v>
  </rv>
  <rv s="8">
    <fb>27.89</fb>
    <v>17</v>
  </rv>
  <rv s="8">
    <fb>27.54</fb>
    <v>17</v>
  </rv>
  <rv s="8">
    <fb>26.09</fb>
    <v>17</v>
  </rv>
  <rv s="8">
    <fb>25.78</fb>
    <v>17</v>
  </rv>
  <rv s="8">
    <fb>25.7</fb>
    <v>17</v>
  </rv>
  <rv s="8">
    <fb>25.48</fb>
    <v>17</v>
  </rv>
  <rv s="8">
    <fb>24.81</fb>
    <v>17</v>
  </rv>
  <rv s="8">
    <fb>24.61</fb>
    <v>17</v>
  </rv>
  <rv s="8">
    <fb>24.12</fb>
    <v>17</v>
  </rv>
  <rv s="8">
    <fb>24.74</fb>
    <v>17</v>
  </rv>
  <rv s="8">
    <fb>24.78</fb>
    <v>17</v>
  </rv>
  <rv s="8">
    <fb>24.77</fb>
    <v>17</v>
  </rv>
  <rv s="8">
    <fb>24.58</fb>
    <v>17</v>
  </rv>
  <rv s="8">
    <fb>24.34</fb>
    <v>17</v>
  </rv>
  <rv s="8">
    <fb>23.65</fb>
    <v>17</v>
  </rv>
  <rv s="8">
    <fb>24.31</fb>
    <v>17</v>
  </rv>
  <rv s="8">
    <fb>24.15</fb>
    <v>17</v>
  </rv>
  <rv s="8">
    <fb>23.84</fb>
    <v>17</v>
  </rv>
  <rv s="8">
    <fb>23.49</fb>
    <v>17</v>
  </rv>
  <rv s="8">
    <fb>24.5</fb>
    <v>17</v>
  </rv>
  <rv s="8">
    <fb>24.37</fb>
    <v>17</v>
  </rv>
  <rv s="8">
    <fb>24.04</fb>
    <v>17</v>
  </rv>
  <rv s="8">
    <fb>24.2</fb>
    <v>17</v>
  </rv>
  <rv s="8">
    <fb>24.16</fb>
    <v>17</v>
  </rv>
  <rv s="8">
    <fb>24.26</fb>
    <v>17</v>
  </rv>
  <rv s="8">
    <fb>24.36</fb>
    <v>17</v>
  </rv>
  <rv s="8">
    <fb>25</fb>
    <v>17</v>
  </rv>
  <rv s="8">
    <fb>25.36</fb>
    <v>17</v>
  </rv>
  <rv s="8">
    <fb>24.94</fb>
    <v>17</v>
  </rv>
  <rv s="8">
    <fb>24.62</fb>
    <v>17</v>
  </rv>
  <rv s="8">
    <fb>24.48</fb>
    <v>17</v>
  </rv>
  <rv s="8">
    <fb>24</fb>
    <v>17</v>
  </rv>
  <rv s="8">
    <fb>24.09</fb>
    <v>17</v>
  </rv>
  <rv s="8">
    <fb>23.86</fb>
    <v>17</v>
  </rv>
  <rv s="8">
    <fb>24.71</fb>
    <v>17</v>
  </rv>
  <rv s="8">
    <fb>24.06</fb>
    <v>17</v>
  </rv>
  <rv s="8">
    <fb>24.51</fb>
    <v>17</v>
  </rv>
  <rv s="8">
    <fb>23.98</fb>
    <v>17</v>
  </rv>
  <rv s="8">
    <fb>24.11</fb>
    <v>17</v>
  </rv>
  <rv s="8">
    <fb>25.67</fb>
    <v>17</v>
  </rv>
  <rv s="8">
    <fb>26.18</fb>
    <v>17</v>
  </rv>
  <rv s="8">
    <fb>25.21</fb>
    <v>17</v>
  </rv>
  <rv s="8">
    <fb>25.32</fb>
    <v>17</v>
  </rv>
  <rv s="8">
    <fb>25.87</fb>
    <v>17</v>
  </rv>
  <rv s="8">
    <fb>26.26</fb>
    <v>17</v>
  </rv>
  <rv s="8">
    <fb>26.47</fb>
    <v>17</v>
  </rv>
  <rv s="8">
    <fb>26.42</fb>
    <v>17</v>
  </rv>
  <rv s="8">
    <fb>26.88</fb>
    <v>17</v>
  </rv>
  <rv s="8">
    <fb>27.29</fb>
    <v>17</v>
  </rv>
  <rv s="8">
    <fb>26.99</fb>
    <v>17</v>
  </rv>
  <rv s="8">
    <fb>26.24</fb>
    <v>17</v>
  </rv>
  <rv s="8">
    <fb>26.48</fb>
    <v>17</v>
  </rv>
  <rv s="8">
    <fb>27.71</fb>
    <v>17</v>
  </rv>
  <rv s="8">
    <fb>27.93</fb>
    <v>17</v>
  </rv>
  <rv s="8">
    <fb>26.7</fb>
    <v>17</v>
  </rv>
  <rv s="8">
    <fb>26.97</fb>
    <v>17</v>
  </rv>
  <rv s="8">
    <fb>26.71</fb>
    <v>17</v>
  </rv>
  <rv s="8">
    <fb>26.11</fb>
    <v>17</v>
  </rv>
  <rv s="8">
    <fb>27.07</fb>
    <v>17</v>
  </rv>
  <rv s="8">
    <fb>26.44</fb>
    <v>17</v>
  </rv>
  <rv s="8">
    <fb>26.85</fb>
    <v>17</v>
  </rv>
  <rv s="8">
    <fb>26.19</fb>
    <v>17</v>
  </rv>
  <rv s="8">
    <fb>25.99</fb>
    <v>17</v>
  </rv>
  <rv s="8">
    <fb>25.58</fb>
    <v>17</v>
  </rv>
  <rv s="8">
    <fb>25.76</fb>
    <v>17</v>
  </rv>
  <rv s="8">
    <fb>26.14</fb>
    <v>17</v>
  </rv>
  <rv s="8">
    <fb>26.83</fb>
    <v>17</v>
  </rv>
  <rv s="8">
    <fb>27.28</fb>
    <v>17</v>
  </rv>
  <rv s="8">
    <fb>27.11</fb>
    <v>17</v>
  </rv>
  <rv s="8">
    <fb>27.26</fb>
    <v>17</v>
  </rv>
  <rv s="8">
    <fb>28.02</fb>
    <v>17</v>
  </rv>
  <rv s="8">
    <fb>29.63</fb>
    <v>17</v>
  </rv>
  <rv s="8">
    <fb>28.5</fb>
    <v>17</v>
  </rv>
  <rv s="8">
    <fb>27.73</fb>
    <v>17</v>
  </rv>
  <rv s="8">
    <fb>27.59</fb>
    <v>17</v>
  </rv>
  <rv s="8">
    <fb>27.84</fb>
    <v>17</v>
  </rv>
  <rv s="8">
    <fb>28.09</fb>
    <v>17</v>
  </rv>
  <rv s="8">
    <fb>28.77</fb>
    <v>17</v>
  </rv>
  <rv s="8">
    <fb>28.16</fb>
    <v>17</v>
  </rv>
  <rv s="8">
    <fb>28.17</fb>
    <v>17</v>
  </rv>
  <rv s="8">
    <fb>28.56</fb>
    <v>17</v>
  </rv>
  <rv s="8">
    <fb>28.53</fb>
    <v>17</v>
  </rv>
  <rv s="8">
    <fb>27.99</fb>
    <v>17</v>
  </rv>
  <rv s="8">
    <fb>29.13</fb>
    <v>17</v>
  </rv>
  <rv s="8">
    <fb>30.28</fb>
    <v>17</v>
  </rv>
  <rv s="8">
    <fb>30.68</fb>
    <v>17</v>
  </rv>
  <rv s="8">
    <fb>29.6</fb>
    <v>17</v>
  </rv>
  <rv s="8">
    <fb>31.82</fb>
    <v>17</v>
  </rv>
  <rv s="8">
    <fb>31.72</fb>
    <v>17</v>
  </rv>
  <rv s="8">
    <fb>31.7</fb>
    <v>17</v>
  </rv>
  <rv s="8">
    <fb>31.31</fb>
    <v>17</v>
  </rv>
  <rv s="8">
    <fb>31.2</fb>
    <v>17</v>
  </rv>
  <rv s="8">
    <fb>31.58</fb>
    <v>17</v>
  </rv>
  <rv s="8">
    <fb>31.9</fb>
    <v>17</v>
  </rv>
  <rv s="8">
    <fb>31.95</fb>
    <v>17</v>
  </rv>
  <rv s="8">
    <fb>32.6</fb>
    <v>17</v>
  </rv>
  <rv s="8">
    <fb>33.369999999999997</fb>
    <v>17</v>
  </rv>
  <rv s="8">
    <fb>32.590000000000003</fb>
    <v>17</v>
  </rv>
  <rv s="8">
    <fb>31.8</fb>
    <v>17</v>
  </rv>
  <rv s="8">
    <fb>31.41</fb>
    <v>17</v>
  </rv>
  <rv s="8">
    <fb>31.33</fb>
    <v>17</v>
  </rv>
  <rv s="8">
    <fb>31.86</fb>
    <v>17</v>
  </rv>
  <rv s="8">
    <fb>31.96</fb>
    <v>17</v>
  </rv>
  <rv s="8">
    <fb>32.03</fb>
    <v>17</v>
  </rv>
  <rv s="8">
    <fb>32.44</fb>
    <v>17</v>
  </rv>
  <rv s="8">
    <fb>33.04</fb>
    <v>17</v>
  </rv>
  <rv s="8">
    <fb>32.67</fb>
    <v>17</v>
  </rv>
  <rv s="8">
    <fb>31.06</fb>
    <v>17</v>
  </rv>
  <rv s="8">
    <fb>31.3</fb>
    <v>17</v>
  </rv>
  <rv s="8">
    <fb>32.520000000000003</fb>
    <v>17</v>
  </rv>
  <rv s="8">
    <fb>32.49</fb>
    <v>17</v>
  </rv>
  <rv s="8">
    <fb>32.21</fb>
    <v>17</v>
  </rv>
  <rv s="8">
    <fb>32.11</fb>
    <v>17</v>
  </rv>
  <rv s="8">
    <fb>32.53</fb>
    <v>17</v>
  </rv>
  <rv s="8">
    <fb>32.200000000000003</fb>
    <v>17</v>
  </rv>
  <rv s="8">
    <fb>32.42</fb>
    <v>17</v>
  </rv>
  <rv s="8">
    <fb>32.15</fb>
    <v>17</v>
  </rv>
  <rv s="8">
    <fb>32.19</fb>
    <v>17</v>
  </rv>
  <rv s="8">
    <fb>32.93</fb>
    <v>17</v>
  </rv>
  <rv s="8">
    <fb>315.69</fb>
    <v>17</v>
  </rv>
  <rv s="8">
    <fb>315.43</fb>
    <v>17</v>
  </rv>
  <rv s="8">
    <fb>310.70999999999998</fb>
    <v>17</v>
  </rv>
  <rv s="8">
    <fb>307.55</fb>
    <v>17</v>
  </rv>
  <rv s="8">
    <fb>309.18</fb>
    <v>17</v>
  </rv>
  <rv s="8">
    <fb>307.69</fb>
    <v>17</v>
  </rv>
  <rv s="8">
    <fb>304.02999999999997</fb>
    <v>17</v>
  </rv>
  <rv s="8">
    <fb>305.52999999999997</fb>
    <v>17</v>
  </rv>
  <rv s="8">
    <fb>300.89</fb>
    <v>17</v>
  </rv>
  <rv s="8">
    <fb>307.97000000000003</fb>
    <v>17</v>
  </rv>
  <rv s="8">
    <fb>302.08</fb>
    <v>17</v>
  </rv>
  <rv s="8">
    <fb>305.69</fb>
    <v>17</v>
  </rv>
  <rv s="8">
    <fb>298.54000000000002</fb>
    <v>17</v>
  </rv>
  <rv s="8">
    <fb>297.56</fb>
    <v>17</v>
  </rv>
  <rv s="8">
    <fb>302.36</fb>
    <v>17</v>
  </rv>
  <rv s="8">
    <fb>297.08999999999997</fb>
    <v>17</v>
  </rv>
  <rv s="8">
    <fb>294.11</fb>
    <v>17</v>
  </rv>
  <rv s="8">
    <fb>294.54000000000002</fb>
    <v>17</v>
  </rv>
  <rv s="8">
    <fb>300.44</fb>
    <v>17</v>
  </rv>
  <rv s="8">
    <fb>304.14999999999998</fb>
    <v>17</v>
  </rv>
  <rv s="8">
    <fb>305.36</fb>
    <v>17</v>
  </rv>
  <rv s="8">
    <fb>305.51</fb>
    <v>17</v>
  </rv>
  <rv s="8">
    <fb>309.44</fb>
    <v>17</v>
  </rv>
  <rv s="8">
    <fb>311.12</fb>
    <v>17</v>
  </rv>
  <rv s="8">
    <fb>309.25</fb>
    <v>17</v>
  </rv>
  <rv s="8">
    <fb>311.68</fb>
    <v>17</v>
  </rv>
  <rv s="8">
    <fb>313.42</fb>
    <v>17</v>
  </rv>
  <rv s="8">
    <fb>314.20999999999998</fb>
    <v>17</v>
  </rv>
  <rv s="8">
    <fb>316.89</fb>
    <v>17</v>
  </rv>
  <rv s="8">
    <fb>315.62</fb>
    <v>17</v>
  </rv>
  <rv s="8">
    <fb>320.41000000000003</fb>
    <v>17</v>
  </rv>
  <rv s="8">
    <fb>309.48</fb>
    <v>17</v>
  </rv>
  <rv s="8">
    <fb>303.61</fb>
    <v>17</v>
  </rv>
  <rv s="8">
    <fb>300.37</fb>
    <v>17</v>
  </rv>
  <rv s="8">
    <fb>299.41000000000003</fb>
    <v>17</v>
  </rv>
  <rv s="8">
    <fb>303.27</fb>
    <v>17</v>
  </rv>
  <rv s="8">
    <fb>298.38</fb>
    <v>17</v>
  </rv>
  <rv s="8">
    <fb>298.02</fb>
    <v>17</v>
  </rv>
  <rv s="8">
    <fb>298</fb>
    <v>17</v>
  </rv>
  <rv s="8">
    <fb>303</fb>
    <v>17</v>
  </rv>
  <rv s="8">
    <fb>307.64</fb>
    <v>17</v>
  </rv>
  <rv s="8">
    <fb>313.08</fb>
    <v>17</v>
  </rv>
  <rv s="8">
    <fb>308.92</fb>
    <v>17</v>
  </rv>
  <rv s="8">
    <fb>307.88</fb>
    <v>17</v>
  </rv>
  <rv s="8">
    <fb>312.13</fb>
    <v>17</v>
  </rv>
  <rv s="8">
    <fb>316.10000000000002</fb>
    <v>17</v>
  </rv>
  <rv s="8">
    <fb>315.04000000000002</fb>
    <v>17</v>
  </rv>
  <rv s="8">
    <fb>315.20999999999998</fb>
    <v>17</v>
  </rv>
  <rv s="8">
    <fb>300.51</fb>
    <v>17</v>
  </rv>
  <rv s="8">
    <fb>310.11</fb>
    <v>17</v>
  </rv>
  <rv s="8">
    <fb>317.38</fb>
    <v>17</v>
  </rv>
  <rv s="8">
    <fb>318.52</fb>
    <v>17</v>
  </rv>
  <rv s="8">
    <fb>320.02</fb>
    <v>17</v>
  </rv>
  <rv s="8">
    <fb>315.55</fb>
    <v>17</v>
  </rv>
  <rv s="8">
    <fb>314.98</fb>
    <v>17</v>
  </rv>
  <rv s="8">
    <fb>313</fb>
    <v>17</v>
  </rv>
  <rv s="8">
    <fb>317.20999999999998</fb>
    <v>17</v>
  </rv>
  <rv s="8">
    <fb>323.08999999999997</fb>
    <v>17</v>
  </rv>
  <rv s="8">
    <fb>325.93</fb>
    <v>17</v>
  </rv>
  <rv s="8">
    <fb>329.17</fb>
    <v>17</v>
  </rv>
  <rv s="8">
    <fb>327.91</fb>
    <v>17</v>
  </rv>
  <rv s="8">
    <fb>323.75</fb>
    <v>17</v>
  </rv>
  <rv s="8">
    <fb>323.42</fb>
    <v>17</v>
  </rv>
  <rv s="8">
    <fb>322.22000000000003</fb>
    <v>17</v>
  </rv>
  <rv s="8">
    <fb>325.48</fb>
    <v>17</v>
  </rv>
  <rv s="8">
    <fb>334.04</fb>
    <v>17</v>
  </rv>
  <rv s="8">
    <fb>334.61</fb>
    <v>17</v>
  </rv>
  <rv s="8">
    <fb>326.99</fb>
    <v>17</v>
  </rv>
  <rv s="8">
    <fb>329.79</fb>
    <v>17</v>
  </rv>
  <rv s="8">
    <fb>329.19</fb>
    <v>17</v>
  </rv>
  <rv s="8">
    <fb>324.49</fb>
    <v>17</v>
  </rv>
  <rv s="8">
    <fb>310.89999999999998</fb>
    <v>17</v>
  </rv>
  <rv s="8">
    <fb>307.87</fb>
    <v>17</v>
  </rv>
  <rv s="8">
    <fb>309.26</fb>
    <v>17</v>
  </rv>
  <rv s="8">
    <fb>312.47000000000003</fb>
    <v>17</v>
  </rv>
  <rv s="8">
    <fb>302.74</fb>
    <v>17</v>
  </rv>
  <rv s="8">
    <fb>302.04000000000002</fb>
    <v>17</v>
  </rv>
  <rv s="8">
    <fb>303.63</fb>
    <v>17</v>
  </rv>
  <rv s="8">
    <fb>297.72000000000003</fb>
    <v>17</v>
  </rv>
  <rv s="8">
    <fb>301.04000000000002</fb>
    <v>17</v>
  </rv>
  <rv s="8">
    <fb>300.31</fb>
    <v>17</v>
  </rv>
  <rv s="8">
    <fb>300.77</fb>
    <v>17</v>
  </rv>
  <rv s="8">
    <fb>306.42</fb>
    <v>17</v>
  </rv>
  <rv s="8">
    <fb>305.89</fb>
    <v>17</v>
  </rv>
  <rv s="8">
    <fb>308.14</fb>
    <v>17</v>
  </rv>
  <rv s="8">
    <fb>314.85000000000002</fb>
    <v>17</v>
  </rv>
  <rv s="8">
    <fb>317.27</fb>
    <v>17</v>
  </rv>
  <rv s="8">
    <fb>310.16000000000003</fb>
    <v>17</v>
  </rv>
  <rv s="8">
    <fb>322.39999999999998</fb>
    <v>17</v>
  </rv>
  <rv s="8">
    <fb>322.10000000000002</fb>
    <v>17</v>
  </rv>
  <rv s="8">
    <fb>318.27999999999997</fb>
    <v>17</v>
  </rv>
  <rv s="8">
    <fb>310.82</fb>
    <v>17</v>
  </rv>
  <rv s="8">
    <fb>302.64</fb>
    <v>17</v>
  </rv>
  <rv s="8">
    <fb>302.55</fb>
    <v>17</v>
  </rv>
  <rv s="8">
    <fb>307.13</fb>
    <v>17</v>
  </rv>
  <rv s="8">
    <fb>308.77999999999997</fb>
    <v>17</v>
  </rv>
  <rv s="8">
    <fb>308.05</fb>
    <v>17</v>
  </rv>
  <rv s="8">
    <fb>310.79000000000002</fb>
    <v>17</v>
  </rv>
  <rv s="8">
    <fb>297.67</fb>
    <v>17</v>
  </rv>
  <rv s="8">
    <fb>297.3</fb>
    <v>17</v>
  </rv>
  <rv s="8">
    <fb>303.3</fb>
    <v>17</v>
  </rv>
  <rv s="8">
    <fb>306.13</fb>
    <v>17</v>
  </rv>
  <rv s="8">
    <fb>300.3</fb>
    <v>17</v>
  </rv>
  <rv s="8">
    <fb>300.26</fb>
    <v>17</v>
  </rv>
  <rv s="8">
    <fb>299.39</fb>
    <v>17</v>
  </rv>
  <rv s="8">
    <fb>293.55</fb>
    <v>17</v>
  </rv>
  <rv s="8">
    <fb>289.48</fb>
    <v>17</v>
  </rv>
  <rv s="8">
    <fb>289.92</fb>
    <v>17</v>
  </rv>
  <rv s="8">
    <fb>288.73</fb>
    <v>17</v>
  </rv>
  <rv s="8">
    <fb>287.52</fb>
    <v>17</v>
  </rv>
  <rv s="8">
    <fb>282.89</fb>
    <v>17</v>
  </rv>
  <rv s="8">
    <fb>283.44</fb>
    <v>17</v>
  </rv>
  <rv s="8">
    <fb>286.16000000000003</fb>
    <v>17</v>
  </rv>
  <rv s="8">
    <fb>286.89</fb>
    <v>17</v>
  </rv>
  <rv s="8">
    <fb>287.74</fb>
    <v>17</v>
  </rv>
  <rv s="8">
    <fb>287.97000000000003</fb>
    <v>17</v>
  </rv>
  <rv s="8">
    <fb>286.56</fb>
    <v>17</v>
  </rv>
  <rv s="8">
    <fb>289.91000000000003</fb>
    <v>17</v>
  </rv>
  <rv s="8">
    <fb>292.39999999999998</fb>
    <v>17</v>
  </rv>
  <rv s="8">
    <fb>295.42</fb>
    <v>17</v>
  </rv>
  <rv s="8">
    <fb>291.66000000000003</fb>
    <v>17</v>
  </rv>
  <rv s="8">
    <fb>282.83999999999997</fb>
    <v>17</v>
  </rv>
  <rv s="8">
    <fb>283.77</fb>
    <v>17</v>
  </rv>
  <rv s="8">
    <fb>294.16000000000003</fb>
    <v>17</v>
  </rv>
  <rv s="8">
    <fb>295.38</fb>
    <v>17</v>
  </rv>
  <rv s="8">
    <fb>294.60000000000002</fb>
    <v>17</v>
  </rv>
  <rv s="8">
    <fb>295.45</fb>
    <v>17</v>
  </rv>
  <rv s="8">
    <fb>297.39999999999998</fb>
    <v>17</v>
  </rv>
  <rv s="8">
    <fb>310.33</fb>
    <v>17</v>
  </rv>
  <rv s="8">
    <fb>309.87</fb>
    <v>17</v>
  </rv>
  <rv s="8">
    <fb>313.68</fb>
    <v>17</v>
  </rv>
  <rv s="8">
    <fb>309.95</fb>
    <v>17</v>
  </rv>
  <rv s="8">
    <fb>310.29000000000002</fb>
    <v>17</v>
  </rv>
  <rv s="8">
    <fb>316.99</fb>
    <v>17</v>
  </rv>
  <rv s="8">
    <fb>313.02</fb>
    <v>17</v>
  </rv>
  <rv s="8">
    <fb>308.27999999999997</fb>
    <v>17</v>
  </rv>
  <rv s="8">
    <fb>311.63</fb>
    <v>17</v>
  </rv>
  <rv s="8">
    <fb>311.45</fb>
    <v>17</v>
  </rv>
  <rv s="8">
    <fb>313.23</fb>
    <v>17</v>
  </rv>
  <rv s="8">
    <fb>307.64999999999998</fb>
    <v>17</v>
  </rv>
  <rv s="8">
    <fb>309.39999999999998</fb>
    <v>17</v>
  </rv>
  <rv s="8">
    <fb>306.27</fb>
    <v>17</v>
  </rv>
  <rv s="8">
    <fb>302.10000000000002</fb>
    <v>17</v>
  </rv>
  <rv s="8">
    <fb>300</fb>
    <v>17</v>
  </rv>
  <rv s="8">
    <fb>304.88</fb>
    <v>17</v>
  </rv>
  <rv s="8">
    <fb>300.25</fb>
    <v>17</v>
  </rv>
  <rv s="8">
    <fb>299.91000000000003</fb>
    <v>17</v>
  </rv>
  <rv s="8">
    <fb>297.81</fb>
    <v>17</v>
  </rv>
  <rv s="8">
    <fb>300.73</fb>
    <v>17</v>
  </rv>
  <rv s="8">
    <fb>295.7</fb>
    <v>17</v>
  </rv>
  <rv s="8">
    <fb>301.98</fb>
    <v>17</v>
  </rv>
  <rv s="8">
    <fb>306.38</fb>
    <v>17</v>
  </rv>
  <rv s="8">
    <fb>306.74</fb>
    <v>17</v>
  </rv>
  <rv s="8">
    <fb>299.27999999999997</fb>
    <v>17</v>
  </rv>
  <rv s="8">
    <fb>296.73</fb>
    <v>17</v>
  </rv>
  <rv s="8">
    <fb>299.31</fb>
    <v>17</v>
  </rv>
  <rv s="8">
    <fb>296.58</fb>
    <v>17</v>
  </rv>
  <rv s="8">
    <fb>300.95999999999998</fb>
    <v>17</v>
  </rv>
  <rv s="8">
    <fb>300.85000000000002</fb>
    <v>17</v>
  </rv>
  <rv s="8">
    <fb>310.89</fb>
    <v>17</v>
  </rv>
  <rv s="8">
    <fb>312.37</fb>
    <v>17</v>
  </rv>
  <rv s="8">
    <fb>311.11</fb>
    <v>17</v>
  </rv>
  <rv s="8">
    <fb>312.7</fb>
    <v>17</v>
  </rv>
  <rv s="8">
    <fb>309.14</fb>
    <v>17</v>
  </rv>
  <rv s="8">
    <fb>313.49</fb>
    <v>17</v>
  </rv>
  <rv s="8">
    <fb>320.72000000000003</fb>
    <v>17</v>
  </rv>
  <rv s="8">
    <fb>319.39999999999998</fb>
    <v>17</v>
  </rv>
  <rv s="8">
    <fb>331.14</fb>
    <v>17</v>
  </rv>
  <rv s="8">
    <fb>333.46</fb>
    <v>17</v>
  </rv>
  <rv s="8">
    <fb>325.22000000000003</fb>
    <v>17</v>
  </rv>
  <rv s="8">
    <fb>331.48</fb>
    <v>17</v>
  </rv>
  <rv s="8">
    <fb>334.14</fb>
    <v>17</v>
  </rv>
  <rv s="8">
    <fb>333.45</fb>
    <v>17</v>
  </rv>
  <rv s="8">
    <fb>335.12</fb>
    <v>17</v>
  </rv>
  <rv s="8">
    <fb>329.05</fb>
    <v>17</v>
  </rv>
  <rv s="8">
    <fb>329.39</fb>
    <v>17</v>
  </rv>
  <rv s="8">
    <fb>327.33</fb>
    <v>17</v>
  </rv>
  <rv s="8">
    <fb>334.07</fb>
    <v>17</v>
  </rv>
  <rv s="8">
    <fb>337.72</fb>
    <v>17</v>
  </rv>
  <rv s="8">
    <fb>339.22</fb>
    <v>17</v>
  </rv>
  <rv s="8">
    <fb>330.62</fb>
    <v>17</v>
  </rv>
  <rv s="8">
    <fb>335.47</fb>
    <v>17</v>
  </rv>
  <rv s="8">
    <fb>336.47</fb>
    <v>17</v>
  </rv>
  <rv s="8">
    <fb>334.53</fb>
    <v>17</v>
  </rv>
  <rv s="8">
    <fb>342.89</fb>
    <v>17</v>
  </rv>
  <rv s="8">
    <fb>346.91</fb>
    <v>17</v>
  </rv>
  <rv s="8">
    <fb>343.15</fb>
    <v>17</v>
  </rv>
  <rv s="8">
    <fb>341.1</fb>
    <v>17</v>
  </rv>
  <rv s="8">
    <fb>338.87</fb>
    <v>17</v>
  </rv>
  <rv s="8">
    <fb>345.23</fb>
    <v>17</v>
  </rv>
  <rv s="8">
    <fb>348.21</fb>
    <v>17</v>
  </rv>
  <rv s="8">
    <fb>349.9</fb>
    <v>17</v>
  </rv>
  <rv s="8">
    <fb>353.21</fb>
    <v>17</v>
  </rv>
  <rv s="8">
    <fb>356.2</fb>
    <v>17</v>
  </rv>
  <rv s="8">
    <fb>357.31</fb>
    <v>17</v>
  </rv>
  <rv s="8">
    <fb>344.71</fb>
    <v>17</v>
  </rv>
  <rv s="8">
    <fb>350.85</fb>
    <v>17</v>
  </rv>
  <rv s="8">
    <fb>351.79</fb>
    <v>17</v>
  </rv>
  <rv s="8">
    <fb>352.64</fb>
    <v>17</v>
  </rv>
  <rv s="8">
    <fb>357.52</fb>
    <v>17</v>
  </rv>
  <rv s="8">
    <fb>359.24</fb>
    <v>17</v>
  </rv>
  <rv s="8">
    <fb>356.3</fb>
    <v>17</v>
  </rv>
  <rv s="8">
    <fb>359.79</fb>
    <v>17</v>
  </rv>
  <rv s="8">
    <fb>362.04</fb>
    <v>17</v>
  </rv>
  <rv s="8">
    <fb>365.18</fb>
    <v>17</v>
  </rv>
  <rv s="8">
    <fb>363.11</fb>
    <v>17</v>
  </rv>
  <rv s="8">
    <fb>362.84</fb>
    <v>17</v>
  </rv>
  <rv s="8">
    <fb>360.96</fb>
    <v>17</v>
  </rv>
  <rv s="8">
    <fb>363.25</fb>
    <v>17</v>
  </rv>
  <rv s="8">
    <fb>357.26</fb>
    <v>17</v>
  </rv>
  <rv s="8">
    <fb>351.55</fb>
    <v>17</v>
  </rv>
  <rv s="8">
    <fb>351.58</fb>
    <v>17</v>
  </rv>
  <rv s="8">
    <fb>356.39</fb>
    <v>17</v>
  </rv>
  <rv s="8">
    <fb>356.69</fb>
    <v>17</v>
  </rv>
  <rv s="8">
    <fb>356.5</fb>
    <v>17</v>
  </rv>
  <rv s="8">
    <fb>354.22</fb>
    <v>17</v>
  </rv>
  <rv s="8">
    <fb>357.62</fb>
    <v>17</v>
  </rv>
  <rv s="8">
    <fb>356.02</fb>
    <v>17</v>
  </rv>
  <rv s="8">
    <fb>354.95</fb>
    <v>17</v>
  </rv>
  <rv s="8">
    <fb>356.22</fb>
    <v>17</v>
  </rv>
  <rv s="8">
    <fb>362.06</fb>
    <v>17</v>
  </rv>
  <rv s="8">
    <fb>358.64</fb>
    <v>17</v>
  </rv>
  <rv s="8">
    <fb>353.51</fb>
    <v>17</v>
  </rv>
  <rv s="8">
    <fb>354.71</fb>
    <v>17</v>
  </rv>
  <rv s="8">
    <fb>353.56</fb>
    <v>17</v>
  </rv>
  <rv s="8">
    <fb>356.23</fb>
    <v>17</v>
  </rv>
  <rv s="8">
    <fb>350.13</fb>
    <v>17</v>
  </rv>
  <rv s="8">
    <fb>352.49</fb>
    <v>17</v>
  </rv>
  <rv s="8">
    <fb>348.92</fb>
    <v>17</v>
  </rv>
  <rv s="8">
    <fb>349.31</fb>
    <v>17</v>
  </rv>
  <rv s="8">
    <fb>349.67</fb>
    <v>17</v>
  </rv>
  <rv s="8">
    <fb>352.04</fb>
    <v>17</v>
  </rv>
  <rv s="8">
    <fb>340</fb>
    <v>17</v>
  </rv>
  <rv s="8">
    <fb>337.53</fb>
    <v>17</v>
  </rv>
  <rv s="8">
    <fb>338.56</fb>
    <v>17</v>
  </rv>
  <rv s="8">
    <fb>343.06</fb>
    <v>17</v>
  </rv>
  <rv s="8">
    <fb>336.59</fb>
    <v>17</v>
  </rv>
  <rv s="8">
    <fb>743.4</fb>
    <v>17</v>
  </rv>
  <rv s="8">
    <fb>734.38</fb>
    <v>17</v>
  </rv>
  <rv s="8">
    <fb>717.34</fb>
    <v>17</v>
  </rv>
  <rv s="8">
    <fb>727.05</fb>
    <v>17</v>
  </rv>
  <rv s="8">
    <fb>710.56</fb>
    <v>17</v>
  </rv>
  <rv s="8">
    <fb>715.66</fb>
    <v>17</v>
  </rv>
  <rv s="8">
    <fb>713.08</fb>
    <v>17</v>
  </rv>
  <rv s="8">
    <fb>717.84</fb>
    <v>17</v>
  </rv>
  <rv s="8">
    <fb>733.51</fb>
    <v>17</v>
  </rv>
  <rv s="8">
    <fb>705.3</fb>
    <v>17</v>
  </rv>
  <rv s="8">
    <fb>715.7</fb>
    <v>17</v>
  </rv>
  <rv s="8">
    <fb>708.65</fb>
    <v>17</v>
  </rv>
  <rv s="8">
    <fb>717.55</fb>
    <v>17</v>
  </rv>
  <rv s="8">
    <fb>712.07</fb>
    <v>17</v>
  </rv>
  <rv s="8">
    <fb>716.91499999999996</fb>
    <v>17</v>
  </rv>
  <rv s="8">
    <fb>732.17</fb>
    <v>17</v>
  </rv>
  <rv s="8">
    <fb>733.27</fb>
    <v>17</v>
  </rv>
  <rv s="8">
    <fb>733.41</fb>
    <v>17</v>
  </rv>
  <rv s="8">
    <fb>734</fb>
    <v>17</v>
  </rv>
  <rv s="8">
    <fb>738.36</fb>
    <v>17</v>
  </rv>
  <rv s="8">
    <fb>750.82</fb>
    <v>17</v>
  </rv>
  <rv s="8">
    <fb>751.44</fb>
    <v>17</v>
  </rv>
  <rv s="8">
    <fb>751.67</fb>
    <v>17</v>
  </rv>
  <rv s="8">
    <fb>666.47</fb>
    <v>17</v>
  </rv>
  <rv s="8">
    <fb>648.35</fb>
    <v>17</v>
  </rv>
  <rv s="8">
    <fb>637.71</fb>
    <v>17</v>
  </rv>
  <rv s="8">
    <fb>627.32000000000005</fb>
    <v>17</v>
  </rv>
  <rv s="8">
    <fb>635.95000000000005</fb>
    <v>17</v>
  </rv>
  <rv s="8">
    <fb>618.94000000000005</fb>
    <v>17</v>
  </rv>
  <rv s="8">
    <fb>621.71</fb>
    <v>17</v>
  </rv>
  <rv s="8">
    <fb>631.76</fb>
    <v>17</v>
  </rv>
  <rv s="8">
    <fb>627.08000000000004</fb>
    <v>17</v>
  </rv>
  <rv s="8">
    <fb>609.01</fb>
    <v>17</v>
  </rv>
  <rv s="8">
    <fb>609.89</fb>
    <v>17</v>
  </rv>
  <rv s="8">
    <fb>609.46</fb>
    <v>17</v>
  </rv>
  <rv s="8">
    <fb>602.01</fb>
    <v>17</v>
  </rv>
  <rv s="8">
    <fb>597.69000000000005</fb>
    <v>17</v>
  </rv>
  <rv s="8">
    <fb>590.32000000000005</fb>
    <v>17</v>
  </rv>
  <rv s="8">
    <fb>589.15</fb>
    <v>17</v>
  </rv>
  <rv s="8">
    <fb>594.25</fb>
    <v>17</v>
  </rv>
  <rv s="8">
    <fb>613.04999999999995</fb>
    <v>17</v>
  </rv>
  <rv s="8">
    <fb>636.22</fb>
    <v>17</v>
  </rv>
  <rv s="8">
    <fb>633.61</fb>
    <v>17</v>
  </rv>
  <rv s="8">
    <fb>647.95000000000005</fb>
    <v>17</v>
  </rv>
  <rv s="8">
    <fb>640.87</fb>
    <v>17</v>
  </rv>
  <rv s="8">
    <fb>647.1</fb>
    <v>17</v>
  </rv>
  <rv s="8">
    <fb>639.6</fb>
    <v>17</v>
  </rv>
  <rv s="8">
    <fb>661.53</fb>
    <v>17</v>
  </rv>
  <rv s="8">
    <fb>673.42</fb>
    <v>17</v>
  </rv>
  <rv s="8">
    <fb>666.8</fb>
    <v>17</v>
  </rv>
  <rv s="8">
    <fb>656.96</fb>
    <v>17</v>
  </rv>
  <rv s="8">
    <fb>650.13</fb>
    <v>17</v>
  </rv>
  <rv s="8">
    <fb>652.71</fb>
    <v>17</v>
  </rv>
  <rv s="8">
    <fb>644.23</fb>
    <v>17</v>
  </rv>
  <rv s="8">
    <fb>647.51</fb>
    <v>17</v>
  </rv>
  <rv s="8">
    <fb>657.15</fb>
    <v>17</v>
  </rv>
  <rv s="8">
    <fb>649.5</fb>
    <v>17</v>
  </rv>
  <rv s="8">
    <fb>664.45</fb>
    <v>17</v>
  </rv>
  <rv s="8">
    <fb>658.77</fb>
    <v>17</v>
  </rv>
  <rv s="8">
    <fb>661.5</fb>
    <v>17</v>
  </rv>
  <rv s="8">
    <fb>664.94</fb>
    <v>17</v>
  </rv>
  <rv s="8">
    <fb>667.55</fb>
    <v>17</v>
  </rv>
  <rv s="8">
    <fb>663.29</fb>
    <v>17</v>
  </rv>
  <rv s="8">
    <fb>658.69</fb>
    <v>17</v>
  </rv>
  <rv s="8">
    <fb>665.95</fb>
    <v>17</v>
  </rv>
  <rv s="8">
    <fb>660.09</fb>
    <v>17</v>
  </rv>
  <rv s="8">
    <fb>650.41</fb>
    <v>17</v>
  </rv>
  <rv s="8">
    <fb>658.79</fb>
    <v>17</v>
  </rv>
  <rv s="8">
    <fb>660.62</fb>
    <v>17</v>
  </rv>
  <rv s="8">
    <fb>648.69000000000005</fb>
    <v>17</v>
  </rv>
  <rv s="8">
    <fb>646.05999999999995</fb>
    <v>17</v>
  </rv>
  <rv s="8">
    <fb>653.05999999999995</fb>
    <v>17</v>
  </rv>
  <rv s="8">
    <fb>641.97</fb>
    <v>17</v>
  </rv>
  <rv s="8">
    <fb>631.09</fb>
    <v>17</v>
  </rv>
  <rv s="8">
    <fb>620.79999999999995</fb>
    <v>17</v>
  </rv>
  <rv s="8">
    <fb>620.25</fb>
    <v>17</v>
  </rv>
  <rv s="8">
    <fb>604.12</fb>
    <v>17</v>
  </rv>
  <rv s="8">
    <fb>612.96</fb>
    <v>17</v>
  </rv>
  <rv s="8">
    <fb>647.63</fb>
    <v>17</v>
  </rv>
  <rv s="8">
    <fb>658.76</fb>
    <v>17</v>
  </rv>
  <rv s="8">
    <fb>672.36</fb>
    <v>17</v>
  </rv>
  <rv s="8">
    <fb>672.97</fb>
    <v>17</v>
  </rv>
  <rv s="8">
    <fb>668.73</fb>
    <v>17</v>
  </rv>
  <rv s="8">
    <fb>738.31</fb>
    <v>17</v>
  </rv>
  <rv s="8">
    <fb>716.5</fb>
    <v>17</v>
  </rv>
  <rv s="8">
    <fb>706.41</fb>
    <v>17</v>
  </rv>
  <rv s="8">
    <fb>691.7</fb>
    <v>17</v>
  </rv>
  <rv s="8">
    <fb>668.99</fb>
    <v>17</v>
  </rv>
  <rv s="8">
    <fb>670.21</fb>
    <v>17</v>
  </rv>
  <rv s="8">
    <fb>661.46</fb>
    <v>17</v>
  </rv>
  <rv s="8">
    <fb>677.22</fb>
    <v>17</v>
  </rv>
  <rv s="8">
    <fb>670.72</fb>
    <v>17</v>
  </rv>
  <rv s="8">
    <fb>668.69</fb>
    <v>17</v>
  </rv>
  <rv s="8">
    <fb>649.80999999999995</fb>
    <v>17</v>
  </rv>
  <rv s="8">
    <fb>639.77</fb>
    <v>17</v>
  </rv>
  <rv s="8">
    <fb>639.29</fb>
    <v>17</v>
  </rv>
  <rv s="8">
    <fb>643.22</fb>
    <v>17</v>
  </rv>
  <rv s="8">
    <fb>644.78</fb>
    <v>17</v>
  </rv>
  <rv s="8">
    <fb>655.66</fb>
    <v>17</v>
  </rv>
  <rv s="8">
    <fb>637.25</fb>
    <v>17</v>
  </rv>
  <rv s="8">
    <fb>639.29999999999995</fb>
    <v>17</v>
  </rv>
  <rv s="8">
    <fb>653.69000000000005</fb>
    <v>17</v>
  </rv>
  <rv s="8">
    <fb>657.01</fb>
    <v>17</v>
  </rv>
  <rv s="8">
    <fb>648.17999999999995</fb>
    <v>17</v>
  </rv>
  <rv s="8">
    <fb>653.55999999999995</fb>
    <v>17</v>
  </rv>
  <rv s="8">
    <fb>655.08000000000004</fb>
    <v>17</v>
  </rv>
  <rv s="8">
    <fb>667.73</fb>
    <v>17</v>
  </rv>
  <rv s="8">
    <fb>660.57</fb>
    <v>17</v>
  </rv>
  <rv s="8">
    <fb>644.86</fb>
    <v>17</v>
  </rv>
  <rv s="8">
    <fb>647.39</fb>
    <v>17</v>
  </rv>
  <rv s="8">
    <fb>654.07000000000005</fb>
    <v>17</v>
  </rv>
  <rv s="8">
    <fb>654.86</fb>
    <v>17</v>
  </rv>
  <rv s="8">
    <fb>638.17999999999995</fb>
    <v>17</v>
  </rv>
  <rv s="8">
    <fb>613.71</fb>
    <v>17</v>
  </rv>
  <rv s="8">
    <fb>627.45000000000005</fb>
    <v>17</v>
  </rv>
  <rv s="8">
    <fb>622.66</fb>
    <v>17</v>
  </rv>
  <rv s="8">
    <fb>615.67999999999995</fb>
    <v>17</v>
  </rv>
  <rv s="8">
    <fb>606.70000000000005</fb>
    <v>17</v>
  </rv>
  <rv s="8">
    <fb>593.66</fb>
    <v>17</v>
  </rv>
  <rv s="8">
    <fb>604.05999999999995</fb>
    <v>17</v>
  </rv>
  <rv s="8">
    <fb>592.91999999999996</fb>
    <v>17</v>
  </rv>
  <rv s="8">
    <fb>594.89</fb>
    <v>17</v>
  </rv>
  <rv s="8">
    <fb>547.54</fb>
    <v>17</v>
  </rv>
  <rv s="8">
    <fb>525.72</fb>
    <v>17</v>
  </rv>
  <rv s="8">
    <fb>536.38</fb>
    <v>17</v>
  </rv>
  <rv s="8">
    <fb>572.13</fb>
    <v>17</v>
  </rv>
  <rv s="8">
    <fb>579.23</fb>
    <v>17</v>
  </rv>
  <rv s="8">
    <fb>574.46</fb>
    <v>17</v>
  </rv>
  <rv s="8">
    <fb>573.02</fb>
    <v>17</v>
  </rv>
  <rv s="8">
    <fb>575.04999999999995</fb>
    <v>17</v>
  </rv>
  <rv s="8">
    <fb>612.41999999999996</fb>
    <v>17</v>
  </rv>
  <rv s="8">
    <fb>628.39</fb>
    <v>17</v>
  </rv>
  <rv s="8">
    <fb>629.86</fb>
    <v>17</v>
  </rv>
  <rv s="8">
    <fb>634.53</fb>
    <v>17</v>
  </rv>
  <rv s="8">
    <fb>662.49</fb>
    <v>17</v>
  </rv>
  <rv s="8">
    <fb>671.58</fb>
    <v>17</v>
  </rv>
  <rv s="8">
    <fb>676.87</fb>
    <v>17</v>
  </rv>
  <rv s="8">
    <fb>688.55</fb>
    <v>17</v>
  </rv>
  <rv s="8">
    <fb>670.91</fb>
    <v>17</v>
  </rv>
  <rv s="8">
    <fb>668.84</fb>
    <v>17</v>
  </rv>
  <rv s="8">
    <fb>674.72</fb>
    <v>17</v>
  </rv>
  <rv s="8">
    <fb>659.15</fb>
    <v>17</v>
  </rv>
  <rv s="8">
    <fb>675.03</fb>
    <v>17</v>
  </rv>
  <rv s="8">
    <fb>678.62</fb>
    <v>17</v>
  </rv>
  <rv s="8">
    <fb>671.34</fb>
    <v>17</v>
  </rv>
  <rv s="8">
    <fb>669.12</fb>
    <v>17</v>
  </rv>
  <rv s="8">
    <fb>611.91</fb>
    <v>17</v>
  </rv>
  <rv s="8">
    <fb>608.745</fb>
    <v>17</v>
  </rv>
  <rv s="8">
    <fb>610.41</fb>
    <v>17</v>
  </rv>
  <rv s="8">
    <fb>604.96</fb>
    <v>17</v>
  </rv>
  <rv s="8">
    <fb>612.88</fb>
    <v>17</v>
  </rv>
  <rv s="8">
    <fb>616.80999999999995</fb>
    <v>17</v>
  </rv>
  <rv s="8">
    <fb>609.63</fb>
    <v>17</v>
  </rv>
  <rv s="8">
    <fb>598.86</fb>
    <v>17</v>
  </rv>
  <rv s="8">
    <fb>603</fb>
    <v>17</v>
  </rv>
  <rv s="8">
    <fb>616.63</fb>
    <v>17</v>
  </rv>
  <rv s="8">
    <fb>618.42999999999995</fb>
    <v>17</v>
  </rv>
  <rv s="8">
    <fb>614.23</fb>
    <v>17</v>
  </rv>
  <rv s="8">
    <fb>611.21</fb>
    <v>17</v>
  </rv>
  <rv s="8">
    <fb>602.61</fb>
    <v>17</v>
  </rv>
  <rv s="8">
    <fb>605.05999999999995</fb>
    <v>17</v>
  </rv>
  <rv s="8">
    <fb>607.38</fb>
    <v>17</v>
  </rv>
  <rv s="8">
    <fb>610.26</fb>
    <v>17</v>
  </rv>
  <rv s="8">
    <fb>612.34</fb>
    <v>17</v>
  </rv>
  <rv s="8">
    <fb>635.255</fb>
    <v>17</v>
  </rv>
  <rv s="8">
    <fb>635.29</fb>
    <v>17</v>
  </rv>
  <rv s="8">
    <fb>632.51</fb>
    <v>17</v>
  </rv>
  <rv s="8">
    <fb>600.47</fb>
    <v>17</v>
  </rv>
  <rv s="8">
    <fb>597.63</fb>
    <v>17</v>
  </rv>
  <rv s="8">
    <fb>622.98</fb>
    <v>17</v>
  </rv>
  <rv s="8">
    <fb>627.57000000000005</fb>
    <v>17</v>
  </rv>
  <rv s="8">
    <fb>593</fb>
    <v>17</v>
  </rv>
  <rv s="8">
    <fb>585.39</fb>
    <v>17</v>
  </rv>
  <rv s="8">
    <fb>584.59</fb>
    <v>17</v>
  </rv>
  <rv s="8">
    <fb>570.98</fb>
    <v>17</v>
  </rv>
  <rv s="8">
    <fb>568.42999999999995</fb>
    <v>17</v>
  </rv>
  <rv s="8">
    <fb>566.98</fb>
    <v>17</v>
  </rv>
  <rv s="8">
    <fb>593.48</fb>
    <v>17</v>
  </rv>
  <rv s="8">
    <fb>600.21</fb>
    <v>17</v>
  </rv>
  <rv s="8">
    <fb>567.58000000000004</fb>
    <v>17</v>
  </rv>
  <rv s="8">
    <fb>577.22</fb>
    <v>17</v>
  </rv>
  <rv s="8">
    <fb>563.85</fb>
    <v>17</v>
  </rv>
  <rv s="8">
    <fb>562.20000000000005</fb>
    <v>17</v>
  </rv>
  <rv s="8">
    <fb>557.66999999999996</fb>
    <v>17</v>
  </rv>
  <rv s="8">
    <fb>542.87</fb>
    <v>17</v>
  </rv>
  <rv s="8">
    <fb>550.25</fb>
    <v>17</v>
  </rv>
  <rv s="8">
    <fb>562.6</fb>
    <v>17</v>
  </rv>
  <rv s="8">
    <fb>563.29</fb>
    <v>17</v>
  </rv>
  <rv s="8">
    <fb>612.91</fb>
    <v>17</v>
  </rv>
  <rv s="8">
    <fb>582.9</fb>
    <v>17</v>
  </rv>
  <rv s="8">
    <fb>600.29</fb>
    <v>17</v>
  </rv>
  <rv s="8">
    <fb>615.58000000000004</fb>
    <v>17</v>
  </rv>
  <rv s="8">
    <fb>603.12</fb>
    <v>17</v>
  </rv>
  <rv s="8">
    <fb>631.48</fb>
    <v>17</v>
  </rv>
  <rv s="8">
    <fb>669.21</fb>
    <v>17</v>
  </rv>
  <rv s="8">
    <fb>656.73</fb>
    <v>17</v>
  </rv>
  <rv s="8">
    <fb>661.04</fb>
    <v>17</v>
  </rv>
  <rv s="8">
    <fb>681.31</fb>
    <v>17</v>
  </rv>
  <rv s="8">
    <fb>664.54</fb>
    <v>17</v>
  </rv>
  <rv s="8">
    <fb>646.01</fb>
    <v>17</v>
  </rv>
  <rv s="8">
    <fb>645.85</fb>
    <v>17</v>
  </rv>
  <rv s="8">
    <fb>643.80999999999995</fb>
    <v>17</v>
  </rv>
  <rv s="8">
    <fb>627.16999999999996</fb>
    <v>17</v>
  </rv>
  <rv s="8">
    <fb>606.1</fb>
    <v>17</v>
  </rv>
  <rv s="8">
    <fb>595.19000000000005</fb>
    <v>17</v>
  </rv>
  <rv s="8">
    <fb>593.87</fb>
    <v>17</v>
  </rv>
  <rv s="8">
    <fb>593.41</fb>
    <v>17</v>
  </rv>
  <rv s="8">
    <fb>585.61</fb>
    <v>17</v>
  </rv>
  <rv s="8">
    <fb>539.03</fb>
    <v>17</v>
  </rv>
  <rv s="8">
    <fb>556.71</fb>
    <v>17</v>
  </rv>
  <rv s="8">
    <fb>590.24</fb>
    <v>17</v>
  </rv>
  <rv s="8">
    <fb>587.94000000000005</fb>
    <v>17</v>
  </rv>
  <rv s="8">
    <fb>588.77</fb>
    <v>17</v>
  </rv>
  <rv s="8">
    <fb>589.9</fb>
    <v>17</v>
  </rv>
  <rv s="8">
    <fb>592.1</fb>
    <v>17</v>
  </rv>
  <rv s="8">
    <fb>594.91999999999996</fb>
    <v>17</v>
  </rv>
  <rv s="8">
    <fb>599.12</fb>
    <v>17</v>
  </rv>
  <rv s="8">
    <fb>578.85</fb>
    <v>17</v>
  </rv>
  <rv s="8">
    <fb>594.97</fb>
    <v>17</v>
  </rv>
  <rv s="8">
    <fb>589.85</fb>
    <v>17</v>
  </rv>
  <rv s="8">
    <fb>568.97</fb>
    <v>17</v>
  </rv>
  <rv s="8">
    <fb>543.66999999999996</fb>
    <v>17</v>
  </rv>
  <rv s="8">
    <fb>546.03</fb>
    <v>17</v>
  </rv>
  <rv s="8">
    <fb>545.83000000000004</fb>
    <v>17</v>
  </rv>
  <rv s="8">
    <fb>549.9</fb>
    <v>17</v>
  </rv>
  <rv s="8">
    <fb>559.02</fb>
    <v>17</v>
  </rv>
  <rv s="8">
    <fb>570.04999999999995</fb>
    <v>17</v>
  </rv>
  <rv s="8">
    <fb>576.14</fb>
    <v>17</v>
  </rv>
  <rv s="8">
    <fb>571.1</fb>
    <v>17</v>
  </rv>
  <rv s="8">
    <fb>578.02</fb>
    <v>17</v>
  </rv>
  <rv s="8">
    <fb>572.34</fb>
    <v>17</v>
  </rv>
  <rv s="8">
    <fb>578.54</fb>
    <v>17</v>
  </rv>
  <rv s="8">
    <fb>592.85</fb>
    <v>17</v>
  </rv>
  <rv s="8">
    <fb>610.67999999999995</fb>
    <v>17</v>
  </rv>
  <rv s="8">
    <fb>616.77</fb>
    <v>17</v>
  </rv>
  <rv s="8">
    <fb>613.48</fb>
    <v>17</v>
  </rv>
  <rv s="8">
    <fb>644.38</fb>
    <v>17</v>
  </rv>
  <rv s="8">
    <fb>648.03</fb>
    <v>17</v>
  </rv>
  <rv s="8">
    <fb>665.6</fb>
    <v>17</v>
  </rv>
  <rv s="8">
    <fb>670.24</fb>
    <v>17</v>
  </rv>
  <rv s="8">
    <fb>673.31</fb>
    <v>17</v>
  </rv>
  <rv s="8">
    <fb>682.31</fb>
    <v>17</v>
  </rv>
  <rv s="8">
    <fb>665.75</fb>
    <v>17</v>
  </rv>
  <rv s="8">
    <fb>741.245</fb>
    <v>17</v>
  </rv>
  <rv s="8">
    <fb>736.59500000000003</fb>
    <v>17</v>
  </rv>
  <rv s="8">
    <fb>744.1</fb>
    <v>17</v>
  </rv>
  <rv s="8">
    <fb>777.59</fb>
    <v>17</v>
  </rv>
  <rv s="8">
    <fb>751.66</fb>
    <v>17</v>
  </rv>
  <rv s="8">
    <fb>715.62</fb>
    <v>17</v>
  </rv>
  <rv s="8">
    <fb>181.85</fb>
    <v>17</v>
  </rv>
  <rv s="8">
    <fb>186.58</fb>
    <v>17</v>
  </rv>
  <rv s="8">
    <fb>187.24</fb>
    <v>17</v>
  </rv>
  <rv s="8">
    <fb>188.89</fb>
    <v>17</v>
  </rv>
  <rv s="8">
    <fb>187.62</fb>
    <v>17</v>
  </rv>
  <rv s="8">
    <fb>185.54</fb>
    <v>17</v>
  </rv>
  <rv s="8">
    <fb>185.04</fb>
    <v>17</v>
  </rv>
  <rv s="8">
    <fb>189.11</fb>
    <v>17</v>
  </rv>
  <rv s="8">
    <fb>192.57</fb>
    <v>17</v>
  </rv>
  <rv s="8">
    <fb>183.16</fb>
    <v>17</v>
  </rv>
  <rv s="8">
    <fb>188.32</fb>
    <v>17</v>
  </rv>
  <rv s="8">
    <fb>180.03</fb>
    <v>17</v>
  </rv>
  <rv s="8">
    <fb>179.83</fb>
    <v>17</v>
  </rv>
  <rv s="8">
    <fb>181.81</fb>
    <v>17</v>
  </rv>
  <rv s="8">
    <fb>183.22</fb>
    <v>17</v>
  </rv>
  <rv s="8">
    <fb>182.64</fb>
    <v>17</v>
  </rv>
  <rv s="8">
    <fb>181.16</fb>
    <v>17</v>
  </rv>
  <rv s="8">
    <fb>180.28</fb>
    <v>17</v>
  </rv>
  <rv s="8">
    <fb>182.16</fb>
    <v>17</v>
  </rv>
  <rv s="8">
    <fb>186.26</fb>
    <v>17</v>
  </rv>
  <rv s="8">
    <fb>191.49</fb>
    <v>17</v>
  </rv>
  <rv s="8">
    <fb>201.03</fb>
    <v>17</v>
  </rv>
  <rv s="8">
    <fb>207.04</fb>
    <v>17</v>
  </rv>
  <rv s="8">
    <fb>202.89</fb>
    <v>17</v>
  </rv>
  <rv s="8">
    <fb>202.49</fb>
    <v>17</v>
  </rv>
  <rv s="8">
    <fb>206.88</fb>
    <v>17</v>
  </rv>
  <rv s="8">
    <fb>198.69</fb>
    <v>17</v>
  </rv>
  <rv s="8">
    <fb>195.21</fb>
    <v>17</v>
  </rv>
  <rv s="8">
    <fb>188.08</fb>
    <v>17</v>
  </rv>
  <rv s="8">
    <fb>199.05</fb>
    <v>17</v>
  </rv>
  <rv s="8">
    <fb>193.16</fb>
    <v>17</v>
  </rv>
  <rv s="8">
    <fb>193.8</fb>
    <v>17</v>
  </rv>
  <rv s="8">
    <fb>186.86</fb>
    <v>17</v>
  </rv>
  <rv s="8">
    <fb>190.17</fb>
    <v>17</v>
  </rv>
  <rv s="8">
    <fb>186.6</fb>
    <v>17</v>
  </rv>
  <rv s="8">
    <fb>181.36</fb>
    <v>17</v>
  </rv>
  <rv s="8">
    <fb>186.52</fb>
    <v>17</v>
  </rv>
  <rv s="8">
    <fb>180.64</fb>
    <v>17</v>
  </rv>
  <rv s="8">
    <fb>178.88</fb>
    <v>17</v>
  </rv>
  <rv s="8">
    <fb>182.55</fb>
    <v>17</v>
  </rv>
  <rv s="8">
    <fb>177.82</fb>
    <v>17</v>
  </rv>
  <rv s="8">
    <fb>180.26</fb>
    <v>17</v>
  </rv>
  <rv s="8">
    <fb>177</fb>
    <v>17</v>
  </rv>
  <rv s="8">
    <fb>179.92</fb>
    <v>17</v>
  </rv>
  <rv s="8">
    <fb>181.46</fb>
    <v>17</v>
  </rv>
  <rv s="8">
    <fb>179.59</fb>
    <v>17</v>
  </rv>
  <rv s="8">
    <fb>183.38</fb>
    <v>17</v>
  </rv>
  <rv s="8">
    <fb>182.41</fb>
    <v>17</v>
  </rv>
  <rv s="8">
    <fb>185.55</fb>
    <v>17</v>
  </rv>
  <rv s="8">
    <fb>184.97</fb>
    <v>17</v>
  </rv>
  <rv s="8">
    <fb>183.78</fb>
    <v>17</v>
  </rv>
  <rv s="8">
    <fb>180.93</fb>
    <v>17</v>
  </rv>
  <rv s="8">
    <fb>175.02</fb>
    <v>17</v>
  </rv>
  <rv s="8">
    <fb>176.29</fb>
    <v>17</v>
  </rv>
  <rv s="8">
    <fb>177.72</fb>
    <v>17</v>
  </rv>
  <rv s="8">
    <fb>170.94</fb>
    <v>17</v>
  </rv>
  <rv s="8">
    <fb>174.14</fb>
    <v>17</v>
  </rv>
  <rv s="8">
    <fb>180.99</fb>
    <v>17</v>
  </rv>
  <rv s="8">
    <fb>183.69</fb>
    <v>17</v>
  </rv>
  <rv s="8">
    <fb>189.21</fb>
    <v>17</v>
  </rv>
  <rv s="8">
    <fb>188.61</fb>
    <v>17</v>
  </rv>
  <rv s="8">
    <fb>190.53</fb>
    <v>17</v>
  </rv>
  <rv s="8">
    <fb>188.22</fb>
    <v>17</v>
  </rv>
  <rv s="8">
    <fb>187.54</fb>
    <v>17</v>
  </rv>
  <rv s="8">
    <fb>186.5</fb>
    <v>17</v>
  </rv>
  <rv s="8">
    <fb>188.85</fb>
    <v>17</v>
  </rv>
  <rv s="8">
    <fb>188.12</fb>
    <v>17</v>
  </rv>
  <rv s="8">
    <fb>184.86</fb>
    <v>17</v>
  </rv>
  <rv s="8">
    <fb>184.94</fb>
    <v>17</v>
  </rv>
  <rv s="8">
    <fb>185.81</fb>
    <v>17</v>
  </rv>
  <rv s="8">
    <fb>183.14</fb>
    <v>17</v>
  </rv>
  <rv s="8">
    <fb>187.05</fb>
    <v>17</v>
  </rv>
  <rv s="8">
    <fb>186.23</fb>
    <v>17</v>
  </rv>
  <rv s="8">
    <fb>178.07</fb>
    <v>17</v>
  </rv>
  <rv s="8">
    <fb>183.32</fb>
    <v>17</v>
  </rv>
  <rv s="8">
    <fb>184.84</fb>
    <v>17</v>
  </rv>
  <rv s="8">
    <fb>187.67</fb>
    <v>17</v>
  </rv>
  <rv s="8">
    <fb>186.47</fb>
    <v>17</v>
  </rv>
  <rv s="8">
    <fb>188.52</fb>
    <v>17</v>
  </rv>
  <rv s="8">
    <fb>191.52</fb>
    <v>17</v>
  </rv>
  <rv s="8">
    <fb>192.51</fb>
    <v>17</v>
  </rv>
  <rv s="8">
    <fb>191.13</fb>
    <v>17</v>
  </rv>
  <rv s="8">
    <fb>185.61</fb>
    <v>17</v>
  </rv>
  <rv s="8">
    <fb>180.34</fb>
    <v>17</v>
  </rv>
  <rv s="8">
    <fb>174.19</fb>
    <v>17</v>
  </rv>
  <rv s="8">
    <fb>171.88</fb>
    <v>17</v>
  </rv>
  <rv s="8">
    <fb>185.41</fb>
    <v>17</v>
  </rv>
  <rv s="8">
    <fb>190.04</fb>
    <v>17</v>
  </rv>
  <rv s="8">
    <fb>188.54</fb>
    <v>17</v>
  </rv>
  <rv s="8">
    <fb>190.05</fb>
    <v>17</v>
  </rv>
  <rv s="8">
    <fb>186.94</fb>
    <v>17</v>
  </rv>
  <rv s="8">
    <fb>182.81</fb>
    <v>17</v>
  </rv>
  <rv s="8">
    <fb>187.98</fb>
    <v>17</v>
  </rv>
  <rv s="8">
    <fb>187.9</fb>
    <v>17</v>
  </rv>
  <rv s="8">
    <fb>189.82</fb>
    <v>17</v>
  </rv>
  <rv s="8">
    <fb>191.55</fb>
    <v>17</v>
  </rv>
  <rv s="8">
    <fb>192.85</fb>
    <v>17</v>
  </rv>
  <rv s="8">
    <fb>195.56</fb>
    <v>17</v>
  </rv>
  <rv s="8">
    <fb>184.89</fb>
    <v>17</v>
  </rv>
  <rv s="8">
    <fb>177.19</fb>
    <v>17</v>
  </rv>
  <rv s="8">
    <fb>182.48</fb>
    <v>17</v>
  </rv>
  <rv s="8">
    <fb>180.05</fb>
    <v>17</v>
  </rv>
  <rv s="8">
    <fb>183.04</fb>
    <v>17</v>
  </rv>
  <rv s="8">
    <fb>183.34</fb>
    <v>17</v>
  </rv>
  <rv s="8">
    <fb>182.65</fb>
    <v>17</v>
  </rv>
  <rv s="8">
    <fb>184.77</fb>
    <v>17</v>
  </rv>
  <rv s="8">
    <fb>180.25</fb>
    <v>17</v>
  </rv>
  <rv s="8">
    <fb>181.93</fb>
    <v>17</v>
  </rv>
  <rv s="8">
    <fb>178.56</fb>
    <v>17</v>
  </rv>
  <rv s="8">
    <fb>172.7</fb>
    <v>17</v>
  </rv>
  <rv s="8">
    <fb>175.64</fb>
    <v>17</v>
  </rv>
  <rv s="8">
    <fb>175.2</fb>
    <v>17</v>
  </rv>
  <rv s="8">
    <fb>178.68</fb>
    <v>17</v>
  </rv>
  <rv s="8">
    <fb>171.24</fb>
    <v>17</v>
  </rv>
  <rv s="8">
    <fb>167.52</fb>
    <v>17</v>
  </rv>
  <rv s="8">
    <fb>165.17</fb>
    <v>17</v>
  </rv>
  <rv s="8">
    <fb>174.4</fb>
    <v>17</v>
  </rv>
  <rv s="8">
    <fb>175.75</fb>
    <v>17</v>
  </rv>
  <rv s="8">
    <fb>177.39</fb>
    <v>17</v>
  </rv>
  <rv s="8">
    <fb>177.64</fb>
    <v>17</v>
  </rv>
  <rv s="8">
    <fb>178.1</fb>
    <v>17</v>
  </rv>
  <rv s="8">
    <fb>182.08</fb>
    <v>17</v>
  </rv>
  <rv s="8">
    <fb>183.91</fb>
    <v>17</v>
  </rv>
  <rv s="8">
    <fb>188.63</fb>
    <v>17</v>
  </rv>
  <rv s="8">
    <fb>189.31</fb>
    <v>17</v>
  </rv>
  <rv s="8">
    <fb>196.51</fb>
    <v>17</v>
  </rv>
  <rv s="8">
    <fb>198.87</fb>
    <v>17</v>
  </rv>
  <rv s="8">
    <fb>198.35</fb>
    <v>17</v>
  </rv>
  <rv s="8">
    <fb>201.68</fb>
    <v>17</v>
  </rv>
  <rv s="8">
    <fb>202.06</fb>
    <v>17</v>
  </rv>
  <rv s="8">
    <fb>199.88</fb>
    <v>17</v>
  </rv>
  <rv s="8">
    <fb>202.5</fb>
    <v>17</v>
  </rv>
  <rv s="8">
    <fb>199.64</fb>
    <v>17</v>
  </rv>
  <rv s="8">
    <fb>216.61</fb>
    <v>17</v>
  </rv>
  <rv s="8">
    <fb>213.17</fb>
    <v>17</v>
  </rv>
  <rv s="8">
    <fb>209.25</fb>
    <v>17</v>
  </rv>
  <rv s="8">
    <fb>199.57</fb>
    <v>17</v>
  </rv>
  <rv s="8">
    <fb>198.45</fb>
    <v>17</v>
  </rv>
  <rv s="8">
    <fb>198.48</fb>
    <v>17</v>
  </rv>
  <rv s="8">
    <fb>196.5</fb>
    <v>17</v>
  </rv>
  <rv s="8">
    <fb>207.83</fb>
    <v>17</v>
  </rv>
  <rv s="8">
    <fb>211.5</fb>
    <v>17</v>
  </rv>
  <rv s="8">
    <fb>219.44</fb>
    <v>17</v>
  </rv>
  <rv s="8">
    <fb>220.78</fb>
    <v>17</v>
  </rv>
  <rv s="8">
    <fb>225.83</fb>
    <v>17</v>
  </rv>
  <rv s="8">
    <fb>235.74</fb>
    <v>17</v>
  </rv>
  <rv s="8">
    <fb>225.32</fb>
    <v>17</v>
  </rv>
  <rv s="8">
    <fb>222.32</fb>
    <v>17</v>
  </rv>
  <rv s="8">
    <fb>220.61</fb>
    <v>17</v>
  </rv>
  <rv s="8">
    <fb>215.33</fb>
    <v>17</v>
  </rv>
  <rv s="8">
    <fb>214.86</fb>
    <v>17</v>
  </rv>
  <rv s="8">
    <fb>212.6</fb>
    <v>17</v>
  </rv>
  <rv s="8">
    <fb>214.25</fb>
    <v>17</v>
  </rv>
  <rv s="8">
    <fb>211.14</fb>
    <v>17</v>
  </rv>
  <rv s="8">
    <fb>224.36</fb>
    <v>17</v>
  </rv>
  <rv s="8">
    <fb>222.82</fb>
    <v>17</v>
  </rv>
  <rv s="8">
    <fb>214.75</fb>
    <v>17</v>
  </rv>
  <rv s="8">
    <fb>218.66</fb>
    <v>17</v>
  </rv>
  <rv s="8">
    <fb>205.1</fb>
    <v>17</v>
  </rv>
  <rv s="8">
    <fb>208.64</fb>
    <v>17</v>
  </rv>
  <rv s="8">
    <fb>208.19</fb>
    <v>17</v>
  </rv>
  <rv s="8">
    <fb>200.42</fb>
    <v>17</v>
  </rv>
  <rv s="8">
    <fb>204.87</fb>
    <v>17</v>
  </rv>
  <rv s="8">
    <fb>205.19</fb>
    <v>17</v>
  </rv>
  <rv s="8">
    <fb>212.45</fb>
    <v>17</v>
  </rv>
  <rv s="8">
    <fb>207.41</fb>
    <v>17</v>
  </rv>
  <rv s="8">
    <fb>204.65</fb>
    <v>17</v>
  </rv>
  <rv s="8">
    <fb>210.69</fb>
    <v>17</v>
  </rv>
  <rv s="8">
    <fb>208.65</fb>
    <v>17</v>
  </rv>
  <rv s="8">
    <fb>200.04</fb>
    <v>17</v>
  </rv>
  <rv s="8">
    <fb>199</fb>
    <v>17</v>
  </rv>
  <rv s="8">
    <fb>195.74</fb>
    <v>17</v>
  </rv>
  <rv s="8">
    <fb>192.53</fb>
    <v>17</v>
  </rv>
  <rv s="8">
    <fb>194.97</fb>
    <v>17</v>
  </rv>
  <rv s="8">
    <fb>200.09</fb>
    <v>17</v>
  </rv>
  <rv s="8">
    <fb>197.58</fb>
    <v>17</v>
  </rv>
  <rv s="8">
    <fb>194.83</fb>
    <v>17</v>
  </rv>
  <rv s="8">
    <fb>195.55</fb>
    <v>17</v>
  </rv>
  <rv s="8">
    <fb>196.93</fb>
    <v>17</v>
  </rv>
  <rv s="8">
    <fb>204.12</fb>
    <v>17</v>
  </rv>
  <rv s="8">
    <fb>202.78</fb>
    <v>17</v>
  </rv>
  <rv s="8">
    <fb>210.96</fb>
    <v>17</v>
  </rv>
  <rv s="8">
    <fb>203.53</fb>
    <v>17</v>
  </rv>
  <rv s="8">
    <fb>211.8</fb>
    <v>17</v>
  </rv>
  <rv s="8">
    <fb>212.5</fb>
    <v>17</v>
  </rv>
  <rv s="8">
    <fb>207.4</fb>
    <v>17</v>
  </rv>
  <rv s="8">
    <fb>202.81</fb>
    <v>17</v>
  </rv>
  <rv s="8">
    <fb>203.28</fb>
    <v>17</v>
  </rv>
  <rv s="8">
    <fb>207.29</fb>
    <v>17</v>
  </rv>
  <rv s="8">
    <fb>212.06</fb>
    <v>17</v>
  </rv>
  <rv s="8">
    <fb>206.84</fb>
    <v>17</v>
  </rv>
  <rv s="8">
    <fb>197.01</fb>
    <v>17</v>
  </rv>
  <rv s="8">
    <fb>190.01</fb>
    <v>17</v>
  </rv>
  <rv s="8">
    <fb>195.04</fb>
    <v>17</v>
  </rv>
  <rv s="8">
    <fb>200.75</fb>
    <v>17</v>
  </rv>
  <rv s="8">
    <fb>206.64</fb>
    <v>17</v>
  </rv>
  <rv s="8">
    <fb>211.94</fb>
    <v>17</v>
  </rv>
  <rv s="8">
    <fb>219.22</fb>
    <v>17</v>
  </rv>
  <rv s="8">
    <fb>218.99</fb>
    <v>17</v>
  </rv>
  <rv s="8">
    <fb>223.96</fb>
    <v>17</v>
  </rv>
  <rv s="8">
    <fb>217.55</fb>
    <v>17</v>
  </rv>
  <rv s="8">
    <fb>224.09</fb>
    <v>17</v>
  </rv>
  <rv s="8">
    <fb>225.3</fb>
    <v>17</v>
  </rv>
  <rv s="8">
    <fb>225.16</fb>
    <v>17</v>
  </rv>
  <rv s="8">
    <fb>225.01</fb>
    <v>17</v>
  </rv>
  <rv s="8">
    <fb>219.74</fb>
    <v>17</v>
  </rv>
  <rv s="8">
    <fb>217.56</fb>
    <v>17</v>
  </rv>
  <rv s="8">
    <fb>216.85</fb>
    <v>17</v>
  </rv>
  <rv s="8">
    <fb>214.72</fb>
    <v>17</v>
  </rv>
  <rv s="8">
    <fb>208.48</fb>
    <v>17</v>
  </rv>
  <rv s="8">
    <fb>213.05</fb>
    <v>17</v>
  </rv>
  <rv s="8">
    <fb>209.66</fb>
    <v>17</v>
  </rv>
  <rv s="8">
    <fb>227.98</fb>
    <v>17</v>
  </rv>
  <rv s="8">
    <fb>217.44</fb>
    <v>17</v>
  </rv>
  <rv s="8">
    <fb>224.41</fb>
    <v>17</v>
  </rv>
  <rv s="8">
    <fb>228.45</fb>
    <v>17</v>
  </rv>
  <rv s="8">
    <fb>230.36</fb>
    <v>17</v>
  </rv>
  <rv s="8">
    <fb>225.73</fb>
    <v>17</v>
  </rv>
  <rv s="8">
    <fb>223.67</fb>
    <v>17</v>
  </rv>
  <rv s="8">
    <fb>218.36</fb>
    <v>17</v>
  </rv>
  <rv s="8">
    <fb>218.29</fb>
    <v>17</v>
  </rv>
  <rv s="8">
    <fb>213.9</fb>
    <v>17</v>
  </rv>
  <rv s="8">
    <fb>219.34</fb>
    <v>17</v>
  </rv>
  <rv s="8">
    <fb>222.27</fb>
    <v>17</v>
  </rv>
  <rv s="8">
    <fb>227.38</fb>
    <v>17</v>
  </rv>
  <rv s="8">
    <fb>228.87</fb>
    <v>17</v>
  </rv>
  <rv s="8">
    <fb>225.51</fb>
    <v>17</v>
  </rv>
  <rv s="8">
    <fb>224.58</fb>
    <v>17</v>
  </rv>
  <rv s="8">
    <fb>225.07</fb>
    <v>17</v>
  </rv>
  <rv s="8">
    <fb>228.86</fb>
    <v>17</v>
  </rv>
  <rv s="9">
    <v>255</v>
    <v>8</v>
    <v>0</v>
    <v>1</v>
  </rv>
  <rv s="8">
    <fb>217.08</fb>
    <v>17</v>
  </rv>
  <rv s="8">
    <fb>215.83</fb>
    <v>17</v>
  </rv>
  <rv s="8">
    <fb>217.43</fb>
    <v>17</v>
  </rv>
  <rv s="8">
    <fb>216.3</fb>
    <v>17</v>
  </rv>
  <rv s="8">
    <fb>219.73</fb>
    <v>17</v>
  </rv>
  <rv s="8">
    <fb>221.82</fb>
    <v>17</v>
  </rv>
  <rv s="8">
    <fb>210.73</fb>
    <v>17</v>
  </rv>
  <rv s="8">
    <fb>215.56</fb>
    <v>17</v>
  </rv>
  <rv s="8">
    <fb>214.3</fb>
    <v>17</v>
  </rv>
  <rv s="8">
    <fb>214</fb>
    <v>17</v>
  </rv>
  <rv s="8">
    <fb>211.89</fb>
    <v>17</v>
  </rv>
  <rv s="8">
    <fb>212.94</fb>
    <v>17</v>
  </rv>
  <rv s="8">
    <fb>217.26</fb>
    <v>17</v>
  </rv>
  <rv s="8">
    <fb>216.59</fb>
    <v>17</v>
  </rv>
  <rv s="8">
    <fb>221.35</fb>
    <v>17</v>
  </rv>
  <rv s="8">
    <fb>223</fb>
    <v>17</v>
  </rv>
  <rv s="8">
    <fb>223.33</fb>
    <v>17</v>
  </rv>
  <rv s="8">
    <fb>200.08</fb>
    <v>17</v>
  </rv>
  <rv s="8">
    <fb>201.02</fb>
    <v>17</v>
  </rv>
  <rv s="8">
    <fb>204.55</fb>
    <v>17</v>
  </rv>
  <rv s="8">
    <fb>198.05</fb>
    <v>17</v>
  </rv>
  <rv s="8">
    <fb>197.62</fb>
    <v>17</v>
  </rv>
  <rv s="8">
    <fb>194.61</fb>
    <v>17</v>
  </rv>
  <rv s="8">
    <fb>194.81</fb>
    <v>17</v>
  </rv>
  <rv s="8">
    <fb>195.5</fb>
    <v>17</v>
  </rv>
  <rv s="8">
    <fb>194.58</fb>
    <v>17</v>
  </rv>
  <rv s="8">
    <fb>194.52</fb>
    <v>17</v>
  </rv>
  <rv s="8">
    <fb>191.81</fb>
    <v>17</v>
  </rv>
  <rv s="8">
    <fb>189.63</fb>
    <v>17</v>
  </rv>
  <rv s="8">
    <fb>185.7</fb>
    <v>17</v>
  </rv>
  <rv s="8">
    <fb>179.38</fb>
    <v>17</v>
  </rv>
  <rv s="8">
    <fb>179.7</fb>
    <v>17</v>
  </rv>
  <rv s="8">
    <fb>179.12</fb>
    <v>17</v>
  </rv>
  <rv s="8">
    <fb>182.44</fb>
    <v>17</v>
  </rv>
  <rv s="8">
    <fb>186.92</fb>
    <v>17</v>
  </rv>
  <rv s="8">
    <fb>189</fb>
    <v>17</v>
  </rv>
  <rv s="8">
    <fb>186.46</fb>
    <v>17</v>
  </rv>
  <rv s="8">
    <fb>205.38</fb>
    <v>17</v>
  </rv>
  <rv s="8">
    <fb>202.54</fb>
    <v>17</v>
  </rv>
  <rv s="8">
    <fb>201.87</fb>
    <v>17</v>
  </rv>
  <rv s="8">
    <fb>201.89</fb>
    <v>17</v>
  </rv>
  <rv s="8">
    <fb>206.27</fb>
    <v>17</v>
  </rv>
  <rv s="8">
    <fb>200.37</fb>
    <v>17</v>
  </rv>
  <rv s="8">
    <fb>198.72</fb>
    <v>17</v>
  </rv>
  <rv s="8">
    <fb>200.71</fb>
    <v>17</v>
  </rv>
  <rv s="8">
    <fb>204.38</fb>
    <v>17</v>
  </rv>
  <rv s="8">
    <fb>205.5</fb>
    <v>17</v>
  </rv>
  <rv s="8">
    <fb>206.71</fb>
    <v>17</v>
  </rv>
  <rv s="8">
    <fb>206.33</fb>
    <v>17</v>
  </rv>
  <rv s="8">
    <fb>214.08</fb>
    <v>17</v>
  </rv>
  <rv s="8">
    <fb>216.84</fb>
    <v>17</v>
  </rv>
  <rv s="8">
    <fb>218.16</fb>
    <v>17</v>
  </rv>
  <rv s="8">
    <fb>216.44</fb>
    <v>17</v>
  </rv>
  <rv s="8">
    <fb>217.25</fb>
    <v>17</v>
  </rv>
  <rv s="8">
    <fb>218.5</fb>
    <v>17</v>
  </rv>
  <rv s="8">
    <fb>217.12</fb>
    <v>17</v>
  </rv>
  <rv s="8">
    <fb>227.77</fb>
    <v>17</v>
  </rv>
  <rv s="8">
    <fb>228.13</fb>
    <v>17</v>
  </rv>
  <rv s="8">
    <fb>229.84</fb>
    <v>17</v>
  </rv>
  <rv s="8">
    <fb>228.12</fb>
    <v>17</v>
  </rv>
  <rv s="8">
    <fb>234.53</fb>
    <v>17</v>
  </rv>
  <rv s="8">
    <fb>239.81</fb>
    <v>17</v>
  </rv>
  <rv s="8">
    <fb>244.55</fb>
    <v>17</v>
  </rv>
  <rv s="8">
    <fb>242.61</fb>
    <v>17</v>
  </rv>
  <rv s="8">
    <fb>247.74</fb>
    <v>17</v>
  </rv>
  <rv s="8">
    <fb>247.68</fb>
    <v>17</v>
  </rv>
  <rv s="8">
    <fb>249</fb>
    <v>17</v>
  </rv>
  <rv s="8">
    <fb>250.07</fb>
    <v>17</v>
  </rv>
  <rv s="8">
    <fb>251.41</fb>
    <v>17</v>
  </rv>
  <rv s="8">
    <fb>252.15</fb>
    <v>17</v>
  </rv>
  <rv s="8">
    <fb>248.43</fb>
    <v>17</v>
  </rv>
  <rv s="8">
    <fb>244.56</fb>
    <v>17</v>
  </rv>
  <rv s="8">
    <fb>241.59</fb>
    <v>17</v>
  </rv>
  <rv s="8">
    <fb>234.04</fb>
    <v>17</v>
  </rv>
  <rv s="8">
    <fb>233.72</fb>
    <v>17</v>
  </rv>
  <rv s="8">
    <fb>233.02</fb>
    <v>17</v>
  </rv>
  <rv s="8">
    <fb>233.15</fb>
    <v>17</v>
  </rv>
  <rv s="8">
    <fb>235.95</fb>
    <v>17</v>
  </rv>
  <rv s="8">
    <fb>236.95</fb>
    <v>17</v>
  </rv>
  <rv s="8">
    <fb>243.03</fb>
    <v>17</v>
  </rv>
  <rv s="8">
    <fb>244.71</fb>
    <v>17</v>
  </rv>
  <rv s="8">
    <fb>242.59</fb>
    <v>17</v>
  </rv>
  <rv s="8">
    <fb>236.26</fb>
    <v>17</v>
  </rv>
  <rv s="8">
    <fb>239.35</fb>
    <v>17</v>
  </rv>
  <rv s="8">
    <fb>244.04</fb>
    <v>17</v>
  </rv>
  <rv s="8">
    <fb>238.93</fb>
    <v>17</v>
  </rv>
  <rv s="8">
    <fb>233.71</fb>
    <v>17</v>
  </rv>
  <rv s="8">
    <fb>232.03</fb>
    <v>17</v>
  </rv>
  <rv s="8">
    <fb>230.44</fb>
    <v>17</v>
  </rv>
  <rv s="8">
    <fb>233.39</fb>
    <v>17</v>
  </rv>
  <rv s="8">
    <fb>229.41</fb>
    <v>17</v>
  </rv>
  <rv s="8">
    <fb>227.53</fb>
    <v>17</v>
  </rv>
  <rv s="8">
    <fb>229.74</fb>
    <v>17</v>
  </rv>
  <rv s="8">
    <fb>224.12</fb>
    <v>17</v>
  </rv>
  <rv s="8">
    <fb>227.31</fb>
    <v>17</v>
  </rv>
  <rv s="8">
    <fb>222.06</fb>
    <v>17</v>
  </rv>
  <rv s="8">
    <fb>231.11</fb>
    <v>17</v>
  </rv>
  <rv s="8">
    <fb>225</fb>
    <v>17</v>
  </rv>
  <rv s="8">
    <fb>217.76</fb>
    <v>17</v>
  </rv>
  <rv s="8">
    <fb>214.1</fb>
    <v>17</v>
  </rv>
  <rv s="8">
    <fb>204.76</fb>
    <v>17</v>
  </rv>
  <rv s="8">
    <fb>209.89</fb>
    <v>17</v>
  </rv>
  <rv s="8">
    <fb>213.47</fb>
    <v>17</v>
  </rv>
  <rv s="8">
    <fb>210.82</fb>
    <v>17</v>
  </rv>
  <rv s="8">
    <fb>205.99</fb>
    <v>17</v>
  </rv>
  <rv s="8">
    <fb>201.18</fb>
    <v>17</v>
  </rv>
  <rv s="8">
    <fb>195.12</fb>
    <v>17</v>
  </rv>
  <rv s="8">
    <fb>198.41</fb>
    <v>17</v>
  </rv>
  <rv s="8">
    <fb>196.42</fb>
    <v>17</v>
  </rv>
  <rv s="8">
    <fb>199.61</fb>
    <v>17</v>
  </rv>
  <rv s="8">
    <fb>194.36</fb>
    <v>17</v>
  </rv>
  <rv s="8">
    <fb>190.52</fb>
    <v>17</v>
  </rv>
  <rv s="8">
    <fb>199.03</fb>
    <v>17</v>
  </rv>
  <rv s="8">
    <fb>208.22</fb>
    <v>17</v>
  </rv>
  <rv s="8">
    <fb>212.3</fb>
    <v>17</v>
  </rv>
  <rv s="8">
    <fb>217.8</fb>
    <v>17</v>
  </rv>
  <rv s="8">
    <fb>220.06</fb>
    <v>17</v>
  </rv>
  <rv s="8">
    <fb>217.63</fb>
    <v>17</v>
  </rv>
  <rv s="8">
    <fb>222.14</fb>
    <v>17</v>
  </rv>
  <rv s="8">
    <fb>223.77</fb>
    <v>17</v>
  </rv>
  <rv s="8">
    <fb>223.93</fb>
    <v>17</v>
  </rv>
  <rv s="8">
    <fb>218.88</fb>
    <v>17</v>
  </rv>
  <rv s="8">
    <fb>223.38</fb>
    <v>17</v>
  </rv>
  <rv s="8">
    <fb>225.08</fb>
    <v>17</v>
  </rv>
  <rv s="8">
    <fb>219.16</fb>
    <v>17</v>
  </rv>
  <rv s="8">
    <fb>231.28</fb>
    <v>17</v>
  </rv>
  <rv s="8">
    <fb>234.15</fb>
    <v>17</v>
  </rv>
  <rv s="8">
    <fb>232.44</fb>
    <v>17</v>
  </rv>
  <rv s="8">
    <fb>231.33</fb>
    <v>17</v>
  </rv>
  <rv s="8">
    <fb>230.72</fb>
    <v>17</v>
  </rv>
  <rv s="8">
    <fb>224.11</fb>
    <v>17</v>
  </rv>
  <rv s="8">
    <fb>229.03</fb>
    <v>17</v>
  </rv>
  <rv s="8">
    <fb>221.3</fb>
    <v>17</v>
  </rv>
  <rv s="8">
    <fb>224.38</fb>
    <v>17</v>
  </rv>
  <rv s="8">
    <fb>229.93</fb>
    <v>17</v>
  </rv>
  <rv s="8">
    <fb>231.03</fb>
    <v>17</v>
  </rv>
  <rv s="8">
    <fb>237.36</fb>
    <v>17</v>
  </rv>
  <rv s="8">
    <fb>238.21</fb>
    <v>17</v>
  </rv>
  <rv s="8">
    <fb>236.87</fb>
    <v>17</v>
  </rv>
  <rv s="8">
    <fb>240.6</fb>
    <v>17</v>
  </rv>
  <rv s="8">
    <fb>229.21</fb>
    <v>17</v>
  </rv>
  <rv s="8">
    <fb>220.49</fb>
    <v>17</v>
  </rv>
  <rv s="8">
    <fb>215.01</fb>
    <v>17</v>
  </rv>
  <rv s="8">
    <fb>222.2</fb>
    <v>17</v>
  </rv>
  <rv s="8">
    <fb>219.61</fb>
    <v>17</v>
  </rv>
  <rv s="8">
    <fb>219.02</fb>
    <v>17</v>
  </rv>
  <rv s="8">
    <fb>218.9</fb>
    <v>17</v>
  </rv>
  <rv s="8">
    <fb>224.3</fb>
    <v>17</v>
  </rv>
  <rv s="8">
    <fb>228.78</fb>
    <v>17</v>
  </rv>
  <rv s="8">
    <fb>231.15</fb>
    <v>17</v>
  </rv>
  <rv s="8">
    <fb>217.7</fb>
    <v>17</v>
  </rv>
  <rv s="8">
    <fb>210.58</fb>
    <v>17</v>
  </rv>
  <rv s="8">
    <fb>217.42</fb>
    <v>17</v>
  </rv>
  <rv s="8">
    <fb>215.45</fb>
    <v>17</v>
  </rv>
  <rv s="8">
    <fb>215.92</fb>
    <v>17</v>
  </rv>
  <rv s="8">
    <fb>214.51</fb>
    <v>17</v>
  </rv>
  <rv s="8">
    <fb>209</fb>
    <v>17</v>
  </rv>
  <rv s="8">
    <fb>221.63</fb>
    <v>17</v>
  </rv>
  <rv s="8">
    <fb>219.05</fb>
    <v>17</v>
  </rv>
  <rv s="8">
    <fb>228.95</fb>
    <v>17</v>
  </rv>
  <rv s="8">
    <fb>227.49</fb>
    <v>17</v>
  </rv>
  <rv s="8">
    <fb>225.63</fb>
    <v>17</v>
  </rv>
  <rv s="8">
    <fb>222.72</fb>
    <v>17</v>
  </rv>
  <rv s="8">
    <fb>220.83</fb>
    <v>17</v>
  </rv>
  <rv s="8">
    <fb>216.71</fb>
    <v>17</v>
  </rv>
  <rv s="8">
    <fb>220.25</fb>
    <v>17</v>
  </rv>
  <rv s="8">
    <fb>218.12</fb>
    <v>17</v>
  </rv>
  <rv s="8">
    <fb>214.69</fb>
    <v>17</v>
  </rv>
  <rv s="8">
    <fb>216.47</fb>
    <v>17</v>
  </rv>
  <rv s="8">
    <fb>218.58</fb>
    <v>17</v>
  </rv>
  <rv s="8">
    <fb>226.49</fb>
    <v>17</v>
  </rv>
  <rv s="8">
    <fb>234.54</fb>
    <v>17</v>
  </rv>
  <rv s="8">
    <fb>231.68</fb>
    <v>17</v>
  </rv>
  <rv s="8">
    <fb>224.95</fb>
    <v>17</v>
  </rv>
  <rv s="8">
    <fb>223.11</fb>
    <v>17</v>
  </rv>
  <rv s="8">
    <fb>222.28</fb>
    <v>17</v>
  </rv>
  <rv s="8">
    <fb>215.51</fb>
    <v>17</v>
  </rv>
  <rv s="8">
    <fb>217.11</fb>
    <v>17</v>
  </rv>
  <rv s="8">
    <fb>214.34</fb>
    <v>17</v>
  </rv>
  <rv s="8">
    <fb>214.03</fb>
    <v>17</v>
  </rv>
  <rv s="8">
    <fb>209.48</fb>
    <v>17</v>
  </rv>
  <rv s="8">
    <fb>204.8</fb>
    <v>17</v>
  </rv>
  <rv s="8">
    <fb>209.23</fb>
    <v>17</v>
  </rv>
  <rv s="8">
    <fb>209.52</fb>
    <v>17</v>
  </rv>
  <rv s="8">
    <fb>221.56</fb>
    <v>17</v>
  </rv>
  <rv s="8">
    <fb>214.01</fb>
    <v>17</v>
  </rv>
  <rv s="8">
    <fb>216.14</fb>
    <v>17</v>
  </rv>
  <rv s="8">
    <fb>233.49</fb>
    <v>17</v>
  </rv>
  <rv s="8">
    <fb>237.16</fb>
    <v>17</v>
  </rv>
  <rv s="8">
    <fb>240.19</fb>
    <v>17</v>
  </rv>
  <rv s="8">
    <fb>232.19</fb>
    <v>17</v>
  </rv>
  <rv s="8">
    <fb>233.24</fb>
    <v>17</v>
  </rv>
  <rv s="8">
    <fb>231.2</fb>
    <v>17</v>
  </rv>
  <rv s="8">
    <fb>230.33</fb>
    <v>17</v>
  </rv>
  <rv s="8">
    <fb>231.67</fb>
    <v>17</v>
  </rv>
  <rv s="8">
    <fb>225.95</fb>
    <v>17</v>
  </rv>
  <rv s="8">
    <fb>223.06</fb>
    <v>17</v>
  </rv>
  <rv s="8">
    <fb>215.1</fb>
    <v>17</v>
  </rv>
  <rv s="8">
    <fb>214.2</fb>
    <v>17</v>
  </rv>
  <rv s="8">
    <fb>210.46</fb>
    <v>17</v>
  </rv>
  <rv s="8">
    <fb>211.08</fb>
    <v>17</v>
  </rv>
  <rv s="8">
    <fb>212.09</fb>
    <v>17</v>
  </rv>
  <rv s="8">
    <fb>209.82</fb>
    <v>17</v>
  </rv>
  <rv s="8">
    <fb>207.78</fb>
    <v>17</v>
  </rv>
  <rv s="8">
    <fb>205.66</fb>
    <v>17</v>
  </rv>
  <rv s="8">
    <fb>208.87</fb>
    <v>17</v>
  </rv>
  <rv s="8">
    <fb>210.51</fb>
    <v>17</v>
  </rv>
  <rv s="8">
    <fb>212.25</fb>
    <v>17</v>
  </rv>
  <rv s="8">
    <fb>206.42</fb>
    <v>17</v>
  </rv>
  <rv s="8">
    <fb>210.45</fb>
    <v>17</v>
  </rv>
  <rv s="8">
    <fb>210.27</fb>
    <v>17</v>
  </rv>
  <rv s="8">
    <fb>209.69</fb>
    <v>17</v>
  </rv>
  <rv s="8">
    <fb>201.96</fb>
    <v>17</v>
  </rv>
  <rv s="8">
    <fb>197</fb>
    <v>17</v>
  </rv>
  <rv s="8">
    <fb>198.2</fb>
    <v>17</v>
  </rv>
  <rv s="8">
    <fb>197.72</fb>
    <v>17</v>
  </rv>
  <rv s="8">
    <fb>199.93</fb>
    <v>17</v>
  </rv>
  <rv s="8">
    <fb>196.8</fb>
    <v>17</v>
  </rv>
  <rv s="8">
    <fb>198.07</fb>
    <v>17</v>
  </rv>
  <rv s="8">
    <fb>184.39</fb>
    <v>17</v>
  </rv>
  <rv s="8">
    <fb>196.44</fb>
    <v>17</v>
  </rv>
  <rv s="8">
    <fb>191.09</fb>
    <v>17</v>
  </rv>
  <rv s="8">
    <fb>191.83</fb>
    <v>17</v>
  </rv>
  <rv s="8">
    <fb>194.59</fb>
    <v>17</v>
  </rv>
  <rv s="8">
    <fb>199.18</fb>
    <v>17</v>
  </rv>
  <rv s="8">
    <fb>198.21</fb>
    <v>17</v>
  </rv>
  <rv s="8">
    <fb>192.33</fb>
    <v>17</v>
  </rv>
  <rv s="8">
    <fb>185.22</fb>
    <v>17</v>
  </rv>
  <rv s="8">
    <fb>187.88</fb>
    <v>17</v>
  </rv>
  <rv s="8">
    <fb>191.74</fb>
    <v>17</v>
  </rv>
  <rv s="8">
    <fb>194.33</fb>
    <v>17</v>
  </rv>
  <rv s="8">
    <fb>195.41</fb>
    <v>17</v>
  </rv>
  <rv s="8">
    <fb>197.83</fb>
    <v>17</v>
  </rv>
  <rv s="8">
    <fb>200.11</fb>
    <v>17</v>
  </rv>
  <rv s="8">
    <fb>201.95</fb>
    <v>17</v>
  </rv>
  <rv s="8">
    <fb>203.51</fb>
    <v>17</v>
  </rv>
  <rv s="8">
    <fb>204.06</fb>
    <v>17</v>
  </rv>
  <rv s="8">
    <fb>209.22</fb>
    <v>17</v>
  </rv>
  <rv s="8">
    <fb>211.24</fb>
    <v>17</v>
  </rv>
  <rv s="8">
    <fb>207.09</fb>
    <v>17</v>
  </rv>
  <rv s="8">
    <fb>207.21</fb>
    <v>17</v>
  </rv>
  <rv s="8">
    <fb>204.19</fb>
    <v>17</v>
  </rv>
  <rv s="8">
    <fb>205.72</fb>
    <v>17</v>
  </rv>
  <rv s="8">
    <fb>203.89</fb>
    <v>17</v>
  </rv>
  <rv s="8">
    <fb>199.15</fb>
    <v>17</v>
  </rv>
  <rv s="8">
    <fb>202.94</fb>
    <v>17</v>
  </rv>
  <rv s="8">
    <fb>201.98</fb>
    <v>17</v>
  </rv>
  <rv s="8">
    <fb>203.94</fb>
    <v>17</v>
  </rv>
  <rv s="8">
    <fb>203.26</fb>
    <v>17</v>
  </rv>
  <rv s="8">
    <fb>195.96</fb>
    <v>17</v>
  </rv>
  <rv s="8">
    <fb>196.78</fb>
    <v>17</v>
  </rv>
  <rv s="8">
    <fb>191.25</fb>
    <v>17</v>
  </rv>
  <rv s="8">
    <fb>199.06</fb>
    <v>17</v>
  </rv>
  <rv s="8">
    <fb>200.26</fb>
    <v>17</v>
  </rv>
  <rv s="8">
    <fb>202.44</fb>
    <v>17</v>
  </rv>
  <rv s="8">
    <fb>199.22</fb>
    <v>17</v>
  </rv>
  <rv s="8">
    <fb>196.99</fb>
    <v>17</v>
  </rv>
  <rv s="8">
    <fb>195.44</fb>
    <v>17</v>
  </rv>
  <rv s="8">
    <fb>198.27</fb>
    <v>17</v>
  </rv>
  <rv s="8">
    <fb>196.56</fb>
    <v>17</v>
  </rv>
  <rv s="8">
    <fb>196.34</fb>
    <v>17</v>
  </rv>
  <rv s="8">
    <fb>200.78</fb>
    <v>17</v>
  </rv>
  <rv s="8">
    <fb>203.56</fb>
    <v>17</v>
  </rv>
  <rv s="8">
    <fb>208.12</fb>
    <v>17</v>
  </rv>
  <rv s="8">
    <fb>214.81</fb>
    <v>17</v>
  </rv>
  <rv s="8">
    <fb>214.42</fb>
    <v>17</v>
  </rv>
  <rv s="8">
    <fb>216.08</fb>
    <v>17</v>
  </rv>
  <rv s="8">
    <fb>219.38</fb>
    <v>17</v>
  </rv>
  <rv s="8">
    <fb>219.24</fb>
    <v>17</v>
  </rv>
  <rv s="8">
    <fb>216.73</fb>
    <v>17</v>
  </rv>
  <rv s="8">
    <fb>216.62</fb>
    <v>17</v>
  </rv>
  <rv s="8">
    <fb>214.85</fb>
    <v>17</v>
  </rv>
  <rv s="8">
    <fb>217.87</fb>
    <v>17</v>
  </rv>
  <rv s="8">
    <fb>218.86</fb>
    <v>17</v>
  </rv>
  <rv s="8">
    <fb>215.27</fb>
    <v>17</v>
  </rv>
  <rv s="8">
    <fb>213.33</fb>
    <v>17</v>
  </rv>
  <rv s="8">
    <fb>214.73</fb>
    <v>17</v>
  </rv>
  <rv s="8">
    <fb>221.52</fb>
    <v>17</v>
  </rv>
  <rv s="8">
    <fb>222.59</fb>
    <v>17</v>
  </rv>
  <rv s="8">
    <fb>227.3</fb>
    <v>17</v>
  </rv>
  <rv s="8">
    <fb>232.33</fb>
    <v>17</v>
  </rv>
  <rv s="8">
    <fb>231.42</fb>
    <v>17</v>
  </rv>
  <rv s="8">
    <fb>220.47</fb>
    <v>17</v>
  </rv>
  <rv s="8">
    <fb>227.04</fb>
    <v>17</v>
  </rv>
  <rv s="8">
    <fb>225.62</fb>
    <v>17</v>
  </rv>
  <rv s="8">
    <fb>218.89</fb>
    <v>17</v>
  </rv>
  <rv s="8">
    <fb>227.07</fb>
    <v>17</v>
  </rv>
  <rv s="8">
    <fb>226.86</fb>
    <v>17</v>
  </rv>
  <rv s="8">
    <fb>231.58</fb>
    <v>17</v>
  </rv>
  <rv s="8">
    <fb>241.39</fb>
    <v>17</v>
  </rv>
  <rv s="8">
    <fb>237.19</fb>
    <v>17</v>
  </rv>
  <rv s="8">
    <fb>242.39</fb>
    <v>17</v>
  </rv>
  <rv s="8">
    <fb>238.24</fb>
    <v>17</v>
  </rv>
  <rv s="8">
    <fb>242.81</fb>
    <v>17</v>
  </rv>
  <rv s="8">
    <fb>241.64</fb>
    <v>17</v>
  </rv>
  <rv s="8">
    <fb>248.29</fb>
    <v>17</v>
  </rv>
  <rv s="8">
    <fb>245.51</fb>
    <v>17</v>
  </rv>
  <rv s="8">
    <fb>243.2</fb>
    <v>17</v>
  </rv>
  <rv s="8">
    <fb>241.65</fb>
    <v>17</v>
  </rv>
  <rv s="8">
    <fb>239.6</fb>
    <v>17</v>
  </rv>
  <rv s="8">
    <fb>238.64</fb>
    <v>17</v>
  </rv>
  <rv s="8">
    <fb>242.62</fb>
    <v>17</v>
  </rv>
  <rv s="8">
    <fb>242.38</fb>
    <v>17</v>
  </rv>
  <rv s="8">
    <fb>243.66</fb>
    <v>17</v>
  </rv>
  <rv s="8">
    <fb>232.17</fb>
    <v>17</v>
  </rv>
  <rv s="8">
    <fb>232.81</fb>
    <v>17</v>
  </rv>
  <rv s="8">
    <fb>221.48</fb>
    <v>17</v>
  </rv>
  <rv s="8">
    <fb>219.14</fb>
    <v>17</v>
  </rv>
  <rv s="8">
    <fb>219.53</fb>
    <v>17</v>
  </rv>
  <rv s="8">
    <fb>221.01</fb>
    <v>17</v>
  </rv>
  <rv s="8">
    <fb>220.77</fb>
    <v>17</v>
  </rv>
  <rv s="8">
    <fb>210.84</fb>
    <v>17</v>
  </rv>
  <rv s="8">
    <fb>213.23</fb>
    <v>17</v>
  </rv>
  <rv s="8">
    <fb>213.07</fb>
    <v>17</v>
  </rv>
  <rv s="8">
    <fb>209.11</fb>
    <v>17</v>
  </rv>
  <rv s="8">
    <fb>208.93</fb>
    <v>17</v>
  </rv>
  <rv s="8">
    <fb>205.02</fb>
    <v>17</v>
  </rv>
  <rv s="8">
    <fb>209.78</fb>
    <v>17</v>
  </rv>
  <rv s="8">
    <fb>210.93</fb>
    <v>17</v>
  </rv>
  <rv s="8">
    <fb>209.93</fb>
    <v>17</v>
  </rv>
  <rv s="8">
    <fb>206.73</fb>
    <v>17</v>
  </rv>
  <rv s="8">
    <fb>206.09</fb>
    <v>17</v>
  </rv>
  <rv s="8">
    <fb>209.67</fb>
    <v>17</v>
  </rv>
  <rv s="8">
    <fb>207.01</fb>
    <v>17</v>
  </rv>
  <rv s="8">
    <fb>204.42</fb>
    <v>17</v>
  </rv>
  <rv s="8">
    <fb>203.66</fb>
    <v>17</v>
  </rv>
  <rv s="8">
    <fb>215</fb>
    <v>17</v>
  </rv>
  <rv s="8">
    <fb>211.06</fb>
    <v>17</v>
  </rv>
  <rv s="8">
    <fb>211.55</fb>
    <v>17</v>
  </rv>
  <rv s="8">
    <fb>213.18</fb>
    <v>17</v>
  </rv>
  <rv s="8">
    <fb>212.86</fb>
    <v>17</v>
  </rv>
  <rv s="8">
    <fb>217.2</fb>
    <v>17</v>
  </rv>
  <rv s="8">
    <fb>215.25</fb>
    <v>17</v>
  </rv>
  <rv s="8">
    <fb>203.97</fb>
    <v>17</v>
  </rv>
  <rv s="8">
    <fb>200.43</fb>
    <v>17</v>
  </rv>
  <rv s="8">
    <fb>196.08</fb>
    <v>17</v>
  </rv>
  <rv s="8">
    <fb>192.32</fb>
    <v>17</v>
  </rv>
  <rv s="8">
    <fb>192.17</fb>
    <v>17</v>
  </rv>
  <rv s="8">
    <fb>191.26</fb>
    <v>17</v>
  </rv>
  <rv s="8">
    <fb>192.62</fb>
    <v>17</v>
  </rv>
  <rv s="8">
    <fb>188.71</fb>
    <v>17</v>
  </rv>
  <rv s="8">
    <fb>188.3</fb>
    <v>17</v>
  </rv>
  <rv s="8">
    <fb>189.99</fb>
    <v>17</v>
  </rv>
  <rv s="8">
    <fb>195.05</fb>
    <v>17</v>
  </rv>
  <rv s="8">
    <fb>187.53</fb>
    <v>17</v>
  </rv>
  <rv s="8">
    <fb>183.8</fb>
    <v>17</v>
  </rv>
  <rv s="8">
    <fb>181.67</fb>
    <v>17</v>
  </rv>
  <rv s="8">
    <fb>186.89</fb>
    <v>17</v>
  </rv>
  <rv s="8">
    <fb>190.5</fb>
    <v>17</v>
  </rv>
  <rv s="8">
    <fb>190.68</fb>
    <v>17</v>
  </rv>
  <rv s="8">
    <fb>187.37</fb>
    <v>17</v>
  </rv>
  <rv s="8">
    <fb>185.47</fb>
    <v>17</v>
  </rv>
  <rv s="8">
    <fb>189.66</fb>
    <v>17</v>
  </rv>
  <rv s="8">
    <fb>189.08</fb>
    <v>17</v>
  </rv>
  <rv s="8">
    <fb>190.09</fb>
    <v>17</v>
  </rv>
  <rv s="8">
    <fb>190.11</fb>
    <v>17</v>
  </rv>
  <rv s="8">
    <fb>191.84</fb>
    <v>17</v>
  </rv>
  <rv s="8">
    <fb>189.95</fb>
    <v>17</v>
  </rv>
  <rv s="8">
    <fb>182.92</fb>
    <v>17</v>
  </rv>
  <rv s="8">
    <fb>180.49</fb>
    <v>17</v>
  </rv>
  <rv s="8">
    <fb>180.22</fb>
    <v>17</v>
  </rv>
  <rv s="8">
    <fb>179.5</fb>
    <v>17</v>
  </rv>
  <rv s="8">
    <fb>177.16</fb>
    <v>17</v>
  </rv>
  <rv s="8">
    <fb>178.45</fb>
    <v>17</v>
  </rv>
  <rv s="8">
    <fb>175.78</fb>
    <v>17</v>
  </rv>
  <rv s="8">
    <fb>172.03</fb>
    <v>17</v>
  </rv>
  <rv s="8">
    <fb>174.95</fb>
    <v>17</v>
  </rv>
  <rv s="8">
    <fb>178.19</fb>
    <v>17</v>
  </rv>
  <rv s="8">
    <fb>172.77</fb>
    <v>17</v>
  </rv>
  <rv s="8">
    <fb>173.94</fb>
    <v>17</v>
  </rv>
  <rv s="8">
    <fb>167.23</fb>
    <v>17</v>
  </rv>
  <rv s="8">
    <fb>167.76</fb>
    <v>17</v>
  </rv>
  <rv s="8">
    <fb>166.5</fb>
    <v>17</v>
  </rv>
  <rv s="8">
    <fb>171.48</fb>
    <v>17</v>
  </rv>
  <rv s="8">
    <fb>171.36</fb>
    <v>17</v>
  </rv>
  <rv s="8">
    <fb>168.42</fb>
    <v>17</v>
  </rv>
  <rv s="8">
    <fb>169.66</fb>
    <v>17</v>
  </rv>
  <rv s="8">
    <fb>174.59</fb>
    <v>17</v>
  </rv>
  <rv s="8">
    <fb>179.8</fb>
    <v>17</v>
  </rv>
  <rv s="8">
    <fb>179.43</fb>
    <v>17</v>
  </rv>
  <rv s="8">
    <fb>177.15</fb>
    <v>17</v>
  </rv>
  <rv s="8">
    <fb>174.32</fb>
    <v>17</v>
  </rv>
  <rv s="8">
    <fb>176.45</fb>
    <v>17</v>
  </rv>
  <rv s="8">
    <fb>174.75</fb>
    <v>17</v>
  </rv>
  <rv s="8">
    <fb>176.22</fb>
    <v>17</v>
  </rv>
  <rv s="8">
    <fb>176.92</fb>
    <v>17</v>
  </rv>
  <rv s="8">
    <fb>179.76</fb>
    <v>17</v>
  </rv>
  <rv s="8">
    <fb>177.61</fb>
    <v>17</v>
  </rv>
  <rv s="8">
    <fb>178.53</fb>
    <v>17</v>
  </rv>
  <rv s="8">
    <fb>179.94</fb>
    <v>17</v>
  </rv>
  <rv s="8">
    <fb>176.8</fb>
    <v>17</v>
  </rv>
  <rv s="8">
    <fb>177.42</fb>
    <v>17</v>
  </rv>
  <rv s="8">
    <fb>182.15</fb>
    <v>17</v>
  </rv>
  <rv s="8">
    <fb>186.3</fb>
    <v>17</v>
  </rv>
  <rv s="8">
    <fb>192.84</fb>
    <v>17</v>
  </rv>
  <rv s="8">
    <fb>191.45</fb>
    <v>17</v>
  </rv>
  <rv s="8">
    <fb>188.99</fb>
    <v>17</v>
  </rv>
  <rv s="8">
    <fb>186.17</fb>
    <v>17</v>
  </rv>
  <rv s="8">
    <fb>189.17</fb>
    <v>17</v>
  </rv>
  <rv s="8">
    <fb>185.89</fb>
    <v>17</v>
  </rv>
  <rv s="8">
    <fb>187.49</fb>
    <v>17</v>
  </rv>
  <rv s="8">
    <fb>188.78</fb>
    <v>17</v>
  </rv>
  <rv s="8">
    <fb>191.11</fb>
    <v>17</v>
  </rv>
  <rv s="8">
    <fb>189.18</fb>
    <v>17</v>
  </rv>
  <rv s="8">
    <fb>188.25</fb>
    <v>17</v>
  </rv>
  <rv s="8">
    <fb>192.24</fb>
    <v>17</v>
  </rv>
  <rv s="8">
    <fb>197.35</fb>
    <v>17</v>
  </rv>
  <rv s="8">
    <fb>193.81</fb>
    <v>17</v>
  </rv>
  <rv s="8">
    <fb>192.95</fb>
    <v>17</v>
  </rv>
  <rv s="8">
    <fb>192</fb>
    <v>17</v>
  </rv>
  <rv s="8">
    <fb>194.48</fb>
    <v>17</v>
  </rv>
  <rv s="8">
    <fb>196.54</fb>
    <v>17</v>
  </rv>
  <rv s="8">
    <fb>198.3</fb>
    <v>17</v>
  </rv>
  <rv s="8">
    <fb>199.87</fb>
    <v>17</v>
  </rv>
  <rv s="8">
    <fb>197.11</fb>
    <v>17</v>
  </rv>
  <rv s="8">
    <fb>190.97</fb>
    <v>17</v>
  </rv>
  <rv s="8">
    <fb>192.48</fb>
    <v>17</v>
  </rv>
  <rv s="8">
    <fb>197.56</fb>
    <v>17</v>
  </rv>
  <rv s="8">
    <fb>195.47</fb>
    <v>17</v>
  </rv>
  <rv s="8">
    <fb>192.21</fb>
    <v>17</v>
  </rv>
  <rv s="8">
    <fb>193.91</fb>
    <v>17</v>
  </rv>
  <rv s="8">
    <fb>191.53</fb>
    <v>17</v>
  </rv>
  <rv s="8">
    <fb>192.06</fb>
    <v>17</v>
  </rv>
  <rv s="8">
    <fb>186.72</fb>
    <v>17</v>
  </rv>
  <rv s="8">
    <fb>190.34</fb>
    <v>17</v>
  </rv>
  <rv s="8">
    <fb>103.08</fb>
    <v>17</v>
  </rv>
  <rv s="8">
    <fb>103.06</fb>
    <v>17</v>
  </rv>
  <rv s="8">
    <fb>101.96</fb>
    <v>17</v>
  </rv>
  <rv s="8">
    <fb>101.7</fb>
    <v>17</v>
  </rv>
  <rv s="8">
    <fb>102.07</fb>
    <v>17</v>
  </rv>
  <rv s="8">
    <fb>102.7</fb>
    <v>17</v>
  </rv>
  <rv s="8">
    <fb>103.24</fb>
    <v>17</v>
  </rv>
  <rv s="8">
    <fb>102.9</fb>
    <v>17</v>
  </rv>
  <rv s="8">
    <fb>101.77</fb>
    <v>17</v>
  </rv>
  <rv s="8">
    <fb>101.84</fb>
    <v>17</v>
  </rv>
  <rv s="8">
    <fb>102.12</fb>
    <v>17</v>
  </rv>
  <rv s="8">
    <fb>107.21</fb>
    <v>17</v>
  </rv>
  <rv s="8">
    <fb>109.03</fb>
    <v>17</v>
  </rv>
  <rv s="8">
    <fb>106.47</fb>
    <v>17</v>
  </rv>
  <rv s="8">
    <fb>107.73</fb>
    <v>17</v>
  </rv>
  <rv s="8">
    <fb>107.05</fb>
    <v>17</v>
  </rv>
  <rv s="8">
    <fb>106.22</fb>
    <v>17</v>
  </rv>
  <rv s="8">
    <fb>107.14</fb>
    <v>17</v>
  </rv>
  <rv s="8">
    <fb>106.86</fb>
    <v>17</v>
  </rv>
  <rv s="8">
    <fb>106.17</fb>
    <v>17</v>
  </rv>
  <rv s="8">
    <fb>104.47</fb>
    <v>17</v>
  </rv>
  <rv s="8">
    <fb>103.17</fb>
    <v>17</v>
  </rv>
  <rv s="8">
    <fb>102.46</fb>
    <v>17</v>
  </rv>
  <rv s="8">
    <fb>102.23</fb>
    <v>17</v>
  </rv>
  <rv s="8">
    <fb>101.18</fb>
    <v>17</v>
  </rv>
  <rv s="8">
    <fb>101.59</fb>
    <v>17</v>
  </rv>
  <rv s="8">
    <fb>102.27</fb>
    <v>17</v>
  </rv>
  <rv s="8">
    <fb>101.47</fb>
    <v>17</v>
  </rv>
  <rv s="8">
    <fb>101.68</fb>
    <v>17</v>
  </rv>
  <rv s="8">
    <fb>102.59</fb>
    <v>17</v>
  </rv>
  <rv s="8">
    <fb>102.42</fb>
    <v>17</v>
  </rv>
  <rv s="8">
    <fb>103.44</fb>
    <v>17</v>
  </rv>
  <rv s="8">
    <fb>102.54</fb>
    <v>17</v>
  </rv>
  <rv s="8">
    <fb>102.48</fb>
    <v>17</v>
  </rv>
  <rv s="8">
    <fb>102.95</fb>
    <v>17</v>
  </rv>
  <rv s="8">
    <fb>100.61</fb>
    <v>17</v>
  </rv>
  <rv s="8">
    <fb>107.11</fb>
    <v>17</v>
  </rv>
  <rv s="8">
    <fb>105.32</fb>
    <v>17</v>
  </rv>
  <rv s="8">
    <fb>104.06</fb>
    <v>17</v>
  </rv>
  <rv s="8">
    <fb>107</fb>
    <v>17</v>
  </rv>
  <rv s="8">
    <fb>109.1</fb>
    <v>17</v>
  </rv>
  <rv s="8">
    <fb>110.51</fb>
    <v>17</v>
  </rv>
  <rv s="8">
    <fb>111.53</fb>
    <v>17</v>
  </rv>
  <rv s="8">
    <fb>114.41</fb>
    <v>17</v>
  </rv>
  <rv s="8">
    <fb>114.84</fb>
    <v>17</v>
  </rv>
  <rv s="8">
    <fb>115.11</fb>
    <v>17</v>
  </rv>
  <rv s="8">
    <fb>113.56</fb>
    <v>17</v>
  </rv>
  <rv s="8">
    <fb>115.06</fb>
    <v>17</v>
  </rv>
  <rv s="8">
    <fb>113.18</fb>
    <v>17</v>
  </rv>
  <rv s="8">
    <fb>115.52</fb>
    <v>17</v>
  </rv>
  <rv s="8">
    <fb>116.7</fb>
    <v>17</v>
  </rv>
  <rv s="8">
    <fb>116.79</fb>
    <v>17</v>
  </rv>
  <rv s="8">
    <fb>115.42</fb>
    <v>17</v>
  </rv>
  <rv s="8">
    <fb>114.83</fb>
    <v>17</v>
  </rv>
  <rv s="8">
    <fb>114.36</fb>
    <v>17</v>
  </rv>
  <rv s="8">
    <fb>112.6</fb>
    <v>17</v>
  </rv>
  <rv s="8">
    <fb>110.9</fb>
    <v>17</v>
  </rv>
  <rv s="8">
    <fb>111.61</fb>
    <v>17</v>
  </rv>
  <rv s="8">
    <fb>112.53</fb>
    <v>17</v>
  </rv>
  <rv s="8">
    <fb>111.92</fb>
    <v>17</v>
  </rv>
  <rv s="8">
    <fb>111.41</fb>
    <v>17</v>
  </rv>
  <rv s="8">
    <fb>112.76</fb>
    <v>17</v>
  </rv>
  <rv s="8">
    <fb>112.71</fb>
    <v>17</v>
  </rv>
  <rv s="8">
    <fb>112.72</fb>
    <v>17</v>
  </rv>
  <rv s="8">
    <fb>113.07</fb>
    <v>17</v>
  </rv>
  <rv s="8">
    <fb>114.53</fb>
    <v>17</v>
  </rv>
  <rv s="8">
    <fb>117.97</fb>
    <v>17</v>
  </rv>
  <rv s="8">
    <fb>120.36</fb>
    <v>17</v>
  </rv>
  <rv s="8">
    <fb>120.04</fb>
    <v>17</v>
  </rv>
  <rv s="8">
    <fb>119.2</fb>
    <v>17</v>
  </rv>
  <rv s="8">
    <fb>119.7</fb>
    <v>17</v>
  </rv>
  <rv s="8">
    <fb>118.71</fb>
    <v>17</v>
  </rv>
  <rv s="8">
    <fb>119.36</fb>
    <v>17</v>
  </rv>
  <rv s="8">
    <fb>117.83</fb>
    <v>17</v>
  </rv>
  <rv s="8">
    <fb>117.73</fb>
    <v>17</v>
  </rv>
  <rv s="8">
    <fb>117.64</fb>
    <v>17</v>
  </rv>
  <rv s="8">
    <fb>116.94</fb>
    <v>17</v>
  </rv>
  <rv s="8">
    <fb>116.57</fb>
    <v>17</v>
  </rv>
  <rv s="8">
    <fb>117.41</fb>
    <v>17</v>
  </rv>
  <rv s="8">
    <fb>119.14</fb>
    <v>17</v>
  </rv>
  <rv s="8">
    <fb>124.06</fb>
    <v>17</v>
  </rv>
  <rv s="8">
    <fb>127.71</fb>
    <v>17</v>
  </rv>
  <rv s="8">
    <fb>128</fb>
    <v>17</v>
  </rv>
  <rv s="8">
    <fb>126.94</fb>
    <v>17</v>
  </rv>
  <rv s="8">
    <fb>131.18</fb>
    <v>17</v>
  </rv>
  <rv s="8">
    <fb>129.02000000000001</fb>
    <v>17</v>
  </rv>
  <rv s="8">
    <fb>126.7</fb>
    <v>17</v>
  </rv>
  <rv s="8">
    <fb>128.77000000000001</fb>
    <v>17</v>
  </rv>
  <rv s="8">
    <fb>133.63999999999999</fb>
    <v>17</v>
  </rv>
  <rv s="8">
    <fb>133.88999999999999</fb>
    <v>17</v>
  </rv>
  <rv s="8">
    <fb>128.85</fb>
    <v>17</v>
  </rv>
  <rv s="8">
    <fb>126.62</fb>
    <v>17</v>
  </rv>
  <rv s="8">
    <fb>124.87</fb>
    <v>17</v>
  </rv>
  <rv s="8">
    <fb>122.99</fb>
    <v>17</v>
  </rv>
  <rv s="8">
    <fb>125.81</fb>
    <v>17</v>
  </rv>
  <rv s="8">
    <fb>126.75</fb>
    <v>17</v>
  </rv>
  <rv s="8">
    <fb>125.75</fb>
    <v>17</v>
  </rv>
  <rv s="8">
    <fb>124.42</fb>
    <v>17</v>
  </rv>
  <rv s="8">
    <fb>127.95</fb>
    <v>17</v>
  </rv>
  <rv s="8">
    <fb>127.1</fb>
    <v>17</v>
  </rv>
  <rv s="8">
    <fb>127.91</fb>
    <v>17</v>
  </rv>
  <rv s="8">
    <fb>127.81</fb>
    <v>17</v>
  </rv>
  <rv s="8">
    <fb>123.31</fb>
    <v>17</v>
  </rv>
  <rv s="8">
    <fb>123.8</fb>
    <v>17</v>
  </rv>
  <rv s="8">
    <fb>124.34</fb>
    <v>17</v>
  </rv>
  <rv s="8">
    <fb>125.12</fb>
    <v>17</v>
  </rv>
  <rv s="8">
    <fb>125.33</fb>
    <v>17</v>
  </rv>
  <rv s="8">
    <fb>126.52</fb>
    <v>17</v>
  </rv>
  <rv s="8">
    <fb>125.99</fb>
    <v>17</v>
  </rv>
  <rv s="8">
    <fb>125.08</fb>
    <v>17</v>
  </rv>
  <rv s="8">
    <fb>121.98</fb>
    <v>17</v>
  </rv>
  <rv s="8">
    <fb>121.09</fb>
    <v>17</v>
  </rv>
  <rv s="8">
    <fb>119.02</fb>
    <v>17</v>
  </rv>
  <rv s="8">
    <fb>120.72</fb>
    <v>17</v>
  </rv>
  <rv s="8">
    <fb>122.05</fb>
    <v>17</v>
  </rv>
  <rv s="8">
    <fb>123.06</fb>
    <v>17</v>
  </rv>
  <rv s="8">
    <fb>122.18</fb>
    <v>17</v>
  </rv>
  <rv s="8">
    <fb>122.89</fb>
    <v>17</v>
  </rv>
  <rv s="8">
    <fb>123.5</fb>
    <v>17</v>
  </rv>
  <rv s="8">
    <fb>124.28</fb>
    <v>17</v>
  </rv>
  <rv s="8">
    <fb>124.74</fb>
    <v>17</v>
  </rv>
  <rv s="8">
    <fb>125.79</fb>
    <v>17</v>
  </rv>
  <rv s="8">
    <fb>126.79</fb>
    <v>17</v>
  </rv>
  <rv s="8">
    <fb>122.49</fb>
    <v>17</v>
  </rv>
  <rv s="8">
    <fb>127.26</fb>
    <v>17</v>
  </rv>
  <rv s="8">
    <fb>129.13</fb>
    <v>17</v>
  </rv>
  <rv s="8">
    <fb>126.77</fb>
    <v>17</v>
  </rv>
  <rv s="8">
    <fb>124.57</fb>
    <v>17</v>
  </rv>
  <rv s="8">
    <fb>125.05</fb>
    <v>17</v>
  </rv>
  <rv s="8">
    <fb>124.76</fb>
    <v>17</v>
  </rv>
  <rv s="8">
    <fb>127.5</fb>
    <v>17</v>
  </rv>
  <rv s="8">
    <fb>127.92</fb>
    <v>17</v>
  </rv>
  <rv s="8">
    <fb>129.6</fb>
    <v>17</v>
  </rv>
  <rv s="8">
    <fb>129.97999999999999</fb>
    <v>17</v>
  </rv>
  <rv s="8">
    <fb>132.03</fb>
    <v>17</v>
  </rv>
  <rv s="8">
    <fb>129.91999999999999</fb>
    <v>17</v>
  </rv>
  <rv s="8">
    <fb>127.59</fb>
    <v>17</v>
  </rv>
  <rv s="8">
    <fb>131.6</fb>
    <v>17</v>
  </rv>
  <rv s="8">
    <fb>130.33000000000001</fb>
    <v>17</v>
  </rv>
  <rv s="8">
    <fb>130.79</fb>
    <v>17</v>
  </rv>
  <rv s="8">
    <fb>130.08000000000001</fb>
    <v>17</v>
  </rv>
  <rv s="8">
    <fb>130.19999999999999</fb>
    <v>17</v>
  </rv>
  <rv s="8">
    <fb>130.43</fb>
    <v>17</v>
  </rv>
  <rv s="8">
    <fb>130.35</fb>
    <v>17</v>
  </rv>
  <rv s="8">
    <fb>131.47</fb>
    <v>17</v>
  </rv>
  <rv s="8">
    <fb>132.46</fb>
    <v>17</v>
  </rv>
  <rv s="8">
    <fb>131.44999999999999</fb>
    <v>17</v>
  </rv>
  <rv s="8">
    <fb>133.34</fb>
    <v>17</v>
  </rv>
  <rv s="8">
    <fb>134.19999999999999</fb>
    <v>17</v>
  </rv>
  <rv s="8">
    <fb>130.85</fb>
    <v>17</v>
  </rv>
  <rv s="8">
    <fb>121.34</fb>
    <v>17</v>
  </rv>
  <rv s="8">
    <fb>120.27</fb>
    <v>17</v>
  </rv>
  <rv s="8">
    <fb>118.57</fb>
    <v>17</v>
  </rv>
  <rv s="8">
    <fb>118.54</fb>
    <v>17</v>
  </rv>
  <rv s="8">
    <fb>118.9</fb>
    <v>17</v>
  </rv>
  <rv s="8">
    <fb>115.75</fb>
    <v>17</v>
  </rv>
  <rv s="8">
    <fb>114.6</fb>
    <v>17</v>
  </rv>
  <rv s="8">
    <fb>113.06</fb>
    <v>17</v>
  </rv>
  <rv s="8">
    <fb>116.89</fb>
    <v>17</v>
  </rv>
  <rv s="8">
    <fb>117.74</fb>
    <v>17</v>
  </rv>
  <rv s="8">
    <fb>118.88</fb>
    <v>17</v>
  </rv>
  <rv s="8">
    <fb>119.83</fb>
    <v>17</v>
  </rv>
  <rv s="8">
    <fb>120.59</fb>
    <v>17</v>
  </rv>
  <rv s="8">
    <fb>120.5</fb>
    <v>17</v>
  </rv>
  <rv s="8">
    <fb>121.04</fb>
    <v>17</v>
  </rv>
  <rv s="8">
    <fb>120.82</fb>
    <v>17</v>
  </rv>
  <rv s="8">
    <fb>121.03</fb>
    <v>17</v>
  </rv>
  <rv s="8">
    <fb>117.18</fb>
    <v>17</v>
  </rv>
  <rv s="8">
    <fb>119.42</fb>
    <v>17</v>
  </rv>
  <rv s="8">
    <fb>119</fb>
    <v>17</v>
  </rv>
  <rv s="8">
    <fb>115.78</fb>
    <v>17</v>
  </rv>
  <rv s="8">
    <fb>115.69</fb>
    <v>17</v>
  </rv>
  <rv s="8">
    <fb>113.26</fb>
    <v>17</v>
  </rv>
  <rv s="8">
    <fb>108.82</fb>
    <v>17</v>
  </rv>
  <rv s="8">
    <fb>111.84</fb>
    <v>17</v>
  </rv>
  <rv s="8">
    <fb>110.65</fb>
    <v>17</v>
  </rv>
  <rv s="8">
    <fb>111.54</fb>
    <v>17</v>
  </rv>
  <rv s="8">
    <fb>113.1</fb>
    <v>17</v>
  </rv>
  <rv s="8">
    <fb>112.21</fb>
    <v>17</v>
  </rv>
  <rv s="8">
    <fb>113.9</fb>
    <v>17</v>
  </rv>
  <rv s="8">
    <fb>114.78</fb>
    <v>17</v>
  </rv>
  <rv s="8">
    <fb>113.7</fb>
    <v>17</v>
  </rv>
  <rv s="8">
    <fb>114.95</fb>
    <v>17</v>
  </rv>
  <rv s="8">
    <fb>114.24</fb>
    <v>17</v>
  </rv>
  <rv s="8">
    <fb>112.2</fb>
    <v>17</v>
  </rv>
  <rv s="8">
    <fb>110.39</fb>
    <v>17</v>
  </rv>
  <rv s="8">
    <fb>109.33</fb>
    <v>17</v>
  </rv>
  <rv s="8">
    <fb>108.4</fb>
    <v>17</v>
  </rv>
  <rv s="8">
    <fb>109.47</fb>
    <v>17</v>
  </rv>
  <rv s="8">
    <fb>114.22</fb>
    <v>17</v>
  </rv>
  <rv s="8">
    <fb>111.1</fb>
    <v>17</v>
  </rv>
  <rv s="8">
    <fb>111.2</fb>
    <v>17</v>
  </rv>
  <rv s="8">
    <fb>110.71</fb>
    <v>17</v>
  </rv>
  <rv s="8">
    <fb>111.55</fb>
    <v>17</v>
  </rv>
  <rv s="8">
    <fb>112.34</fb>
    <v>17</v>
  </rv>
  <rv s="8">
    <fb>112.07</fb>
    <v>17</v>
  </rv>
  <rv s="8">
    <fb>111.85</fb>
    <v>17</v>
  </rv>
  <rv s="8">
    <fb>112.66</fb>
    <v>17</v>
  </rv>
  <rv s="8">
    <fb>116.01</fb>
    <v>17</v>
  </rv>
  <rv s="8">
    <fb>115.72</fb>
    <v>17</v>
  </rv>
  <rv s="8">
    <fb>115.27</fb>
    <v>17</v>
  </rv>
  <rv s="8">
    <fb>114.33</fb>
    <v>17</v>
  </rv>
  <rv s="8">
    <fb>114.3</fb>
    <v>17</v>
  </rv>
  <rv s="8">
    <fb>103.84</fb>
    <v>17</v>
  </rv>
  <rv s="8">
    <fb>103.7</fb>
    <v>17</v>
  </rv>
  <rv s="8">
    <fb>106.49</fb>
    <v>17</v>
  </rv>
  <rv s="8">
    <fb>105.38</fb>
    <v>17</v>
  </rv>
  <rv s="8">
    <fb>104.34</fb>
    <v>17</v>
  </rv>
  <rv s="8">
    <fb>102.63</fb>
    <v>17</v>
  </rv>
  <rv s="8">
    <fb>103.09</fb>
    <v>17</v>
  </rv>
  <rv s="8">
    <fb>104.87</fb>
    <v>17</v>
  </rv>
  <rv s="8">
    <fb>105.92</fb>
    <v>17</v>
  </rv>
  <rv s="8">
    <fb>106.09</fb>
    <v>17</v>
  </rv>
  <rv s="8">
    <fb>108.42</fb>
    <v>17</v>
  </rv>
  <rv s="8">
    <fb>106.05</fb>
    <v>17</v>
  </rv>
  <rv s="8">
    <fb>105.83</fb>
    <v>17</v>
  </rv>
  <rv s="8">
    <fb>105.73</fb>
    <v>17</v>
  </rv>
  <rv s="8">
    <fb>107.15</fb>
    <v>17</v>
  </rv>
  <rv s="8">
    <fb>109.08</fb>
    <v>17</v>
  </rv>
  <rv s="8">
    <fb>108.09</fb>
    <v>17</v>
  </rv>
  <rv s="8">
    <fb>107.5</fb>
    <v>17</v>
  </rv>
  <rv s="8">
    <fb>106.79</fb>
    <v>17</v>
  </rv>
  <rv s="8">
    <fb>106.73</fb>
    <v>17</v>
  </rv>
  <rv s="8">
    <fb>107.44</fb>
    <v>17</v>
  </rv>
  <rv s="8">
    <fb>110.12</fb>
    <v>17</v>
  </rv>
  <rv s="8">
    <fb>110.53</fb>
    <v>17</v>
  </rv>
  <rv s="8">
    <fb>107.59</fb>
    <v>17</v>
  </rv>
  <rv s="8">
    <fb>107.98</fb>
    <v>17</v>
  </rv>
  <rv s="8">
    <fb>108.73</fb>
    <v>17</v>
  </rv>
  <rv s="8">
    <fb>12462999</fb>
    <v>18</v>
  </rv>
  <rv s="8">
    <fb>466.22</fb>
    <v>17</v>
  </rv>
  <rv s="8">
    <fb>475.80990000000003</fb>
    <v>17</v>
  </rv>
  <rv s="8">
    <fb>463.68</fb>
    <v>17</v>
  </rv>
  <rv s="8">
    <fb>16212787</fb>
    <v>18</v>
  </rv>
  <rv s="8">
    <fb>459.91</fb>
    <v>17</v>
  </rv>
  <rv s="8">
    <fb>461.5</fb>
    <v>17</v>
  </rv>
  <rv s="8">
    <fb>452.3</fb>
    <v>17</v>
  </rv>
  <rv s="8">
    <fb>11938812</fb>
    <v>18</v>
  </rv>
  <rv s="8">
    <fb>459.51</fb>
    <v>17</v>
  </rv>
  <rv s="8">
    <fb>462.21</fb>
    <v>17</v>
  </rv>
  <rv s="8">
    <fb>452.36</fb>
    <v>17</v>
  </rv>
  <rv s="8">
    <fb>14868085</fb>
    <v>18</v>
  </rv>
  <rv s="8">
    <fb>453.15</fb>
    <v>17</v>
  </rv>
  <rv s="8">
    <fb>459.77</fb>
    <v>17</v>
  </rv>
  <rv s="8">
    <fb>440.5</fb>
    <v>17</v>
  </rv>
  <rv s="8">
    <fb>19678742</fb>
    <v>18</v>
  </rv>
  <rv s="8">
    <fb>462</fb>
    <v>17</v>
  </rv>
  <rv s="8">
    <fb>478.83</fb>
    <v>17</v>
  </rv>
  <rv s="8">
    <fb>458</fb>
    <v>17</v>
  </rv>
  <rv s="8">
    <fb>28166529</fb>
    <v>18</v>
  </rv>
  <rv s="8">
    <fb>488.92</fb>
    <v>17</v>
  </rv>
  <rv s="8">
    <fb>512.3569</fb>
    <v>17</v>
  </rv>
  <rv s="8">
    <fb>486.57060000000001</fb>
    <v>17</v>
  </rv>
  <rv s="8">
    <fb>22152382</fb>
    <v>18</v>
  </rv>
  <rv s="8">
    <fb>507.5</fb>
    <v>17</v>
  </rv>
  <rv s="8">
    <fb>526.79</fb>
    <v>17</v>
  </rv>
  <rv s="8">
    <fb>506.36</fb>
    <v>17</v>
  </rv>
  <rv s="8">
    <fb>15887968</fb>
    <v>18</v>
  </rv>
  <rv s="8">
    <fb>509.07</fb>
    <v>17</v>
  </rv>
  <rv s="8">
    <fb>516.33219999999994</fb>
    <v>17</v>
  </rv>
  <rv s="8">
    <fb>502.81</fb>
    <v>17</v>
  </rv>
  <rv s="8">
    <fb>18760534</fb>
    <v>18</v>
  </rv>
  <rv s="8">
    <fb>510.71</fb>
    <v>17</v>
  </rv>
  <rv s="8">
    <fb>521.05999999999995</fb>
    <v>17</v>
  </rv>
  <rv s="8">
    <fb>501.35</fb>
    <v>17</v>
  </rv>
  <rv s="8">
    <fb>24810136</fb>
    <v>18</v>
  </rv>
  <rv s="8">
    <fb>486.28</fb>
    <v>17</v>
  </rv>
  <rv s="8">
    <fb>498.39</fb>
    <v>17</v>
  </rv>
  <rv s="8">
    <fb>480.33</fb>
    <v>17</v>
  </rv>
  <rv s="8">
    <fb>16833235</fb>
    <v>18</v>
  </rv>
  <rv s="8">
    <fb>501.7</fb>
    <v>17</v>
  </rv>
  <rv s="8">
    <fb>513.66499999999996</fb>
    <v>17</v>
  </rv>
  <rv s="8">
    <fb>497.51100000000002</fb>
    <v>17</v>
  </rv>
  <rv s="8">
    <fb>22317673</fb>
    <v>18</v>
  </rv>
  <rv s="8">
    <fb>517.39</fb>
    <v>17</v>
  </rv>
  <rv s="8">
    <fb>527.25</fb>
    <v>17</v>
  </rv>
  <rv s="8">
    <fb>506.05</fb>
    <v>17</v>
  </rv>
  <rv s="8">
    <fb>28464702</fb>
    <v>18</v>
  </rv>
  <rv s="8">
    <fb>533.6</fb>
    <v>17</v>
  </rv>
  <rv s="8">
    <fb>551.41999999999996</fb>
    <v>17</v>
  </rv>
  <rv s="8">
    <fb>527.6</fb>
    <v>17</v>
  </rv>
  <rv s="8">
    <fb>31867285</fb>
    <v>18</v>
  </rv>
  <rv s="8">
    <fb>547.37</fb>
    <v>17</v>
  </rv>
  <rv s="8">
    <fb>559.91</fb>
    <v>17</v>
  </rv>
  <rv s="8">
    <fb>541.53</fb>
    <v>17</v>
  </rv>
  <rv s="8">
    <fb>44494272</fb>
    <v>18</v>
  </rv>
  <rv s="8">
    <fb>583.88</fb>
    <v>17</v>
  </rv>
  <rv s="8">
    <fb>616.69000000000005</fb>
    <v>17</v>
  </rv>
  <rv s="8">
    <fb>582.27</fb>
    <v>17</v>
  </rv>
  <rv s="8">
    <fb>28282819</fb>
    <v>18</v>
  </rv>
  <rv s="8">
    <fb>606.56500000000005</fb>
    <v>17</v>
  </rv>
  <rv s="8">
    <fb>624.52</fb>
    <v>17</v>
  </rv>
  <rv s="8">
    <fb>606.3125</fb>
    <v>17</v>
  </rv>
  <rv s="8">
    <fb>16338150</fb>
    <v>18</v>
  </rv>
  <rv s="8">
    <fb>621.5</fb>
    <v>17</v>
  </rv>
  <rv s="8">
    <fb>624.68989999999997</fb>
    <v>17</v>
  </rv>
  <rv s="8">
    <fb>608.08000000000004</fb>
    <v>17</v>
  </rv>
  <rv s="8">
    <fb>25318929</fb>
    <v>18</v>
  </rv>
  <rv s="8">
    <fb>600.27</fb>
    <v>17</v>
  </rv>
  <rv s="8">
    <fb>630.79999999999995</fb>
    <v>17</v>
  </rv>
  <rv s="8">
    <fb>599.24</fb>
    <v>17</v>
  </rv>
  <rv s="8">
    <fb>17632078</fb>
    <v>18</v>
  </rv>
  <rv s="8">
    <fb>634.53499999999997</fb>
    <v>17</v>
  </rv>
  <rv s="8">
    <fb>639</fb>
    <v>17</v>
  </rv>
  <rv s="8">
    <fb>625.52</fb>
    <v>17</v>
  </rv>
  <rv s="8">
    <fb>22124072</fb>
    <v>18</v>
  </rv>
  <rv s="8">
    <fb>624.89499999999998</fb>
    <v>17</v>
  </rv>
  <rv s="8">
    <fb>629.75</fb>
    <v>17</v>
  </rv>
  <rv s="8">
    <fb>596.07000000000005</fb>
    <v>17</v>
  </rv>
  <rv s="8">
    <fb>663.68</fb>
    <v>17</v>
  </rv>
  <rv s="8">
    <fb>666.18</fb>
    <v>17</v>
  </rv>
  <rv s="8">
    <fb>668.45</fb>
    <v>17</v>
  </rv>
  <rv s="8">
    <fb>669.22</fb>
    <v>17</v>
  </rv>
  <rv s="8">
    <fb>671.61</fb>
    <v>17</v>
  </rv>
  <rv s="8">
    <fb>673.11</fb>
    <v>17</v>
  </rv>
  <rv s="8">
    <fb>671.16</fb>
    <v>17</v>
  </rv>
  <rv s="8">
    <fb>653.02</fb>
    <v>17</v>
  </rv>
  <rv s="8">
    <fb>663.04</fb>
    <v>17</v>
  </rv>
  <rv s="8">
    <fb>662.23</fb>
    <v>17</v>
  </rv>
  <rv s="8">
    <fb>665.17</fb>
    <v>17</v>
  </rv>
  <rv s="8">
    <fb>660.64</fb>
    <v>17</v>
  </rv>
  <rv s="8">
    <fb>664.39</fb>
    <v>17</v>
  </rv>
  <rv s="8">
    <fb>671.3</fb>
    <v>17</v>
  </rv>
  <rv s="8">
    <fb>671.29</fb>
    <v>17</v>
  </rv>
  <rv s="8">
    <fb>667.8</fb>
    <v>17</v>
  </rv>
  <rv s="8">
    <fb>671.76</fb>
    <v>17</v>
  </rv>
  <rv s="8">
    <fb>677.25</fb>
    <v>17</v>
  </rv>
  <rv s="8">
    <fb>685.24</fb>
    <v>17</v>
  </rv>
  <rv s="8">
    <fb>687.06</fb>
    <v>17</v>
  </rv>
  <rv s="8">
    <fb>687.39</fb>
    <v>17</v>
  </rv>
  <rv s="8">
    <fb>679.83</fb>
    <v>17</v>
  </rv>
  <rv s="8">
    <fb>682.06</fb>
    <v>17</v>
  </rv>
  <rv s="8">
    <fb>683.34</fb>
    <v>17</v>
  </rv>
  <rv s="8">
    <fb>675.24</fb>
    <v>17</v>
  </rv>
  <rv s="8">
    <fb>677.58</fb>
    <v>17</v>
  </rv>
  <rv s="8">
    <fb>670.31</fb>
    <v>17</v>
  </rv>
  <rv s="8">
    <fb>670.97</fb>
    <v>17</v>
  </rv>
  <rv s="8">
    <fb>681.44</fb>
    <v>17</v>
  </rv>
  <rv s="8">
    <fb>683</fb>
    <v>17</v>
  </rv>
  <rv s="8">
    <fb>683.38</fb>
    <v>17</v>
  </rv>
  <rv s="8">
    <fb>672.04</fb>
    <v>17</v>
  </rv>
  <rv s="8">
    <fb>671.93</fb>
    <v>17</v>
  </rv>
  <rv s="8">
    <fb>665.67</fb>
    <v>17</v>
  </rv>
  <rv s="8">
    <fb>660.08</fb>
    <v>17</v>
  </rv>
  <rv s="8">
    <fb>662.63</fb>
    <v>17</v>
  </rv>
  <rv s="8">
    <fb>652.53</fb>
    <v>17</v>
  </rv>
  <rv s="8">
    <fb>659.03</fb>
    <v>17</v>
  </rv>
  <rv s="8">
    <fb>675.02</fb>
    <v>17</v>
  </rv>
  <rv s="8">
    <fb>679.68</fb>
    <v>17</v>
  </rv>
  <rv s="8">
    <fb>683.39</fb>
    <v>17</v>
  </rv>
  <rv s="8">
    <fb>680.27</fb>
    <v>17</v>
  </rv>
  <rv s="8">
    <fb>681.53</fb>
    <v>17</v>
  </rv>
  <rv s="8">
    <fb>683.89</fb>
    <v>17</v>
  </rv>
  <rv s="8">
    <fb>684.39</fb>
    <v>17</v>
  </rv>
  <rv s="8">
    <fb>685.69</fb>
    <v>17</v>
  </rv>
  <rv s="8">
    <fb>683.63</fb>
    <v>17</v>
  </rv>
  <rv s="8">
    <fb>683.04</fb>
    <v>17</v>
  </rv>
  <rv s="8">
    <fb>687.57</fb>
    <v>17</v>
  </rv>
  <rv s="8">
    <fb>689.17</fb>
    <v>17</v>
  </rv>
  <rv s="8">
    <fb>681.76</fb>
    <v>17</v>
  </rv>
  <rv s="8">
    <fb>680.73</fb>
    <v>17</v>
  </rv>
  <rv s="8">
    <fb>678.87</fb>
    <v>17</v>
  </rv>
  <rv s="8">
    <fb>671.4</fb>
    <v>17</v>
  </rv>
  <rv s="8">
    <fb>676.47</fb>
    <v>17</v>
  </rv>
  <rv s="8">
    <fb>680.59</fb>
    <v>17</v>
  </rv>
  <rv s="8">
    <fb>684.83</fb>
    <v>17</v>
  </rv>
  <rv s="8">
    <fb>687.96</fb>
    <v>17</v>
  </rv>
  <rv s="8">
    <fb>690.38</fb>
    <v>17</v>
  </rv>
  <rv s="8">
    <fb>690.31</fb>
    <v>17</v>
  </rv>
  <rv s="8">
    <fb>687.85</fb>
    <v>17</v>
  </rv>
  <rv s="8">
    <fb>687.01</fb>
    <v>17</v>
  </rv>
  <rv s="8">
    <fb>681.92</fb>
    <v>17</v>
  </rv>
  <rv s="8">
    <fb>683.17</fb>
    <v>17</v>
  </rv>
  <rv s="8">
    <fb>687.72</fb>
    <v>17</v>
  </rv>
  <rv s="8">
    <fb>691.81</fb>
    <v>17</v>
  </rv>
  <rv s="8">
    <fb>689.58</fb>
    <v>17</v>
  </rv>
  <rv s="8">
    <fb>689.51</fb>
    <v>17</v>
  </rv>
  <rv s="8">
    <fb>694.07</fb>
    <v>17</v>
  </rv>
  <rv s="8">
    <fb>695.16</fb>
    <v>17</v>
  </rv>
  <rv s="8">
    <fb>693.77</fb>
    <v>17</v>
  </rv>
  <rv s="8">
    <fb>690.36</fb>
    <v>17</v>
  </rv>
  <rv s="8">
    <fb>692.24</fb>
    <v>17</v>
  </rv>
  <rv s="8">
    <fb>691.66</fb>
    <v>17</v>
  </rv>
  <rv s="8">
    <fb>685.4</fb>
    <v>17</v>
  </rv>
  <rv s="8">
    <fb>688.98</fb>
    <v>17</v>
  </rv>
  <rv s="8">
    <fb>689.23</fb>
    <v>17</v>
  </rv>
  <rv s="8">
    <fb>692.73</fb>
    <v>17</v>
  </rv>
  <rv s="8">
    <fb>695.49</fb>
    <v>17</v>
  </rv>
  <rv s="8">
    <fb>695.42</fb>
    <v>17</v>
  </rv>
  <rv s="8">
    <fb>694.04</fb>
    <v>17</v>
  </rv>
  <rv s="8">
    <fb>691.97</fb>
    <v>17</v>
  </rv>
  <rv s="8">
    <fb>695.41</fb>
    <v>17</v>
  </rv>
  <rv s="8">
    <fb>689.53</fb>
    <v>17</v>
  </rv>
  <rv s="8">
    <fb>686.19</fb>
    <v>17</v>
  </rv>
  <rv s="8">
    <fb>677.62</fb>
    <v>17</v>
  </rv>
  <rv s="8">
    <fb>690.62</fb>
    <v>17</v>
  </rv>
  <rv s="8">
    <fb>693.95</fb>
    <v>17</v>
  </rv>
  <rv s="8">
    <fb>692.12</fb>
    <v>17</v>
  </rv>
  <rv s="8">
    <fb>691.96</fb>
    <v>17</v>
  </rv>
  <rv s="8">
    <fb>681.27</fb>
    <v>17</v>
  </rv>
  <rv s="8">
    <fb>681.75</fb>
    <v>17</v>
  </rv>
  <rv s="8">
    <fb>682.85</fb>
    <v>17</v>
  </rv>
  <rv s="8">
    <fb>686.29</fb>
    <v>17</v>
  </rv>
  <rv s="8">
    <fb>684.48</fb>
    <v>17</v>
  </rv>
  <rv s="8">
    <fb>689.43</fb>
    <v>17</v>
  </rv>
  <rv s="8">
    <fb>682.39</fb>
    <v>17</v>
  </rv>
  <rv s="8">
    <fb>687.35</fb>
    <v>17</v>
  </rv>
  <rv s="8">
    <fb>693.15</fb>
    <v>17</v>
  </rv>
  <rv s="8">
    <fb>689.3</fb>
    <v>17</v>
  </rv>
  <rv s="8">
    <fb>685.99</fb>
    <v>17</v>
  </rv>
  <rv s="8">
    <fb>686.38</fb>
    <v>17</v>
  </rv>
  <rv s="8">
    <fb>680.33</fb>
    <v>17</v>
  </rv>
  <rv s="8">
    <fb>685.13</fb>
    <v>17</v>
  </rv>
  <rv s="8">
    <fb>672.38</fb>
    <v>17</v>
  </rv>
  <rv s="8">
    <fb>678.27</fb>
    <v>17</v>
  </rv>
  <rv s="8">
    <fb>677.18</fb>
    <v>17</v>
  </rv>
  <rv s="8">
    <fb>676.33</fb>
    <v>17</v>
  </rv>
  <rv s="8">
    <fb>666.06</fb>
    <v>17</v>
  </rv>
  <rv s="8">
    <fb>662.29</fb>
    <v>17</v>
  </rv>
  <rv s="8">
    <fb>669.03</fb>
    <v>17</v>
  </rv>
  <rv s="8">
    <fb>670.79</fb>
    <v>17</v>
  </rv>
  <rv s="8">
    <fb>661.43</fb>
    <v>17</v>
  </rv>
  <rv s="8">
    <fb>659.8</fb>
    <v>17</v>
  </rv>
  <rv s="8">
    <fb>648.57000000000005</fb>
    <v>17</v>
  </rv>
  <rv s="8">
    <fb>655.38</fb>
    <v>17</v>
  </rv>
  <rv s="8">
    <fb>653.17999999999995</fb>
    <v>17</v>
  </rv>
  <rv s="8">
    <fb>656.82</fb>
    <v>17</v>
  </rv>
  <rv s="8">
    <fb>645.09</fb>
    <v>17</v>
  </rv>
  <rv s="8">
    <fb>634.09</fb>
    <v>17</v>
  </rv>
  <rv s="8">
    <fb>631.97</fb>
    <v>17</v>
  </rv>
  <rv s="8">
    <fb>650.34</fb>
    <v>17</v>
  </rv>
  <rv s="8">
    <fb>655.24</fb>
    <v>17</v>
  </rv>
  <rv s="8">
    <fb>655.83</fb>
    <v>17</v>
  </rv>
  <rv s="8">
    <fb>658.93</fb>
    <v>17</v>
  </rv>
  <rv s="8">
    <fb>659.22</fb>
    <v>17</v>
  </rv>
  <rv s="8">
    <fb>676.01</fb>
    <v>17</v>
  </rv>
  <rv s="8">
    <fb>679.91</fb>
    <v>17</v>
  </rv>
  <rv s="8">
    <fb>679.46</fb>
    <v>17</v>
  </rv>
  <rv s="8">
    <fb>686.1</fb>
    <v>17</v>
  </rv>
  <rv s="8">
    <fb>694.46</fb>
    <v>17</v>
  </rv>
  <rv s="8">
    <fb>699.94</fb>
    <v>17</v>
  </rv>
  <rv s="8">
    <fb>701.66</fb>
    <v>17</v>
  </rv>
  <rv s="8">
    <fb>710.14</fb>
    <v>17</v>
  </rv>
  <rv s="8">
    <fb>708.72</fb>
    <v>17</v>
  </rv>
  <rv s="8">
    <fb>704.08</fb>
    <v>17</v>
  </rv>
  <rv s="8">
    <fb>711.21</fb>
    <v>17</v>
  </rv>
  <rv s="8">
    <fb>708.45</fb>
    <v>17</v>
  </rv>
  <rv s="8">
    <fb>713.94</fb>
    <v>17</v>
  </rv>
  <rv s="8">
    <fb>715.17</fb>
    <v>17</v>
  </rv>
  <rv s="8">
    <fb>711.69</fb>
    <v>17</v>
  </rv>
  <rv s="8">
    <fb>711.58</fb>
    <v>17</v>
  </rv>
  <rv s="8">
    <fb>718.66</fb>
    <v>17</v>
  </rv>
  <rv s="8">
    <fb>720.65</fb>
    <v>17</v>
  </rv>
  <rv s="8">
    <fb>718.01</fb>
    <v>17</v>
  </rv>
  <rv s="8">
    <fb>723.77</fb>
    <v>17</v>
  </rv>
  <rv s="8">
    <fb>733.83</fb>
    <v>17</v>
  </rv>
  <rv s="8">
    <fb>731.58</fb>
    <v>17</v>
  </rv>
  <rv s="8">
    <fb>737.62</fb>
    <v>17</v>
  </rv>
  <rv s="8">
    <fb>739.3</fb>
    <v>17</v>
  </rv>
  <rv s="8">
    <fb>738.18</fb>
    <v>17</v>
  </rv>
  <rv s="8">
    <fb>742.31</fb>
    <v>17</v>
  </rv>
  <rv s="8">
    <fb>748.17</fb>
    <v>17</v>
  </rv>
  <rv s="8">
    <fb>739.17</fb>
    <v>17</v>
  </rv>
  <rv s="8">
    <fb>738.65</fb>
    <v>17</v>
  </rv>
  <rv s="8">
    <fb>733.73</fb>
    <v>17</v>
  </rv>
  <rv s="8">
    <fb>741.25</fb>
    <v>17</v>
  </rv>
  <rv s="8">
    <fb>742.72</fb>
    <v>17</v>
  </rv>
  <rv s="8">
    <fb>745.64</fb>
    <v>17</v>
  </rv>
  <rv s="8">
    <fb>750.59</fb>
    <v>17</v>
  </rv>
  <rv s="8">
    <fb>750.46</fb>
    <v>17</v>
  </rv>
  <rv s="8">
    <fb>754.6</fb>
    <v>17</v>
  </rv>
  <rv s="8">
    <fb>756.48</fb>
    <v>17</v>
  </rv>
  <rv s="8">
    <fb>758.54</fb>
    <v>17</v>
  </rv>
  <rv s="8">
    <fb>759.57</fb>
    <v>17</v>
  </rv>
  <rv s="8">
    <fb>754.24</fb>
    <v>17</v>
  </rv>
  <rv s="8">
    <fb>757.09</fb>
    <v>17</v>
  </rv>
  <rv s="8">
    <fb>737.55</fb>
    <v>17</v>
  </rv>
  <rv s="8">
    <fb>739.22</fb>
    <v>17</v>
  </rv>
  <rv s="8">
    <fb>737.05</fb>
    <v>17</v>
  </rv>
  <rv s="8">
    <fb>725.43</fb>
    <v>17</v>
  </rv>
  <rv s="8">
    <fb>737.76</fb>
    <v>17</v>
  </rv>
  <rv s="8">
    <fb>741.75</fb>
    <v>17</v>
  </rv>
  <rv s="8">
    <fb>754.83</fb>
    <v>17</v>
  </rv>
  <rv s="8">
    <fb>750.33</fb>
    <v>17</v>
  </rv>
  <rv s="8">
    <fb>740.96</fb>
    <v>17</v>
  </rv>
  <rv s="8">
    <fb>746.74</fb>
    <v>17</v>
  </rv>
  <rv s="8">
    <fb>744.39</fb>
    <v>17</v>
  </rv>
  <rv s="8">
    <fb>733.58</fb>
    <v>17</v>
  </rv>
  <rv s="8">
    <fb>733.24</fb>
    <v>17</v>
  </rv>
  <rv s="8">
    <fb>734.3</fb>
    <v>17</v>
  </rv>
  <rv s="8">
    <fb>728.99</fb>
    <v>17</v>
  </rv>
  <rv s="8">
    <fb>741</fb>
    <v>17</v>
  </rv>
  <rv s="8">
    <fb>746.77</fb>
    <v>17</v>
  </rv>
  <rv s="8">
    <fb>745.76</fb>
    <v>17</v>
  </rv>
  <rv s="8">
    <fb>744.78</fb>
    <v>17</v>
  </rv>
  <rv s="8">
    <fb>751.28</fb>
    <v>17</v>
  </rv>
  <rv s="8">
    <fb>747.71</fb>
    <v>17</v>
  </rv>
  <rv s="8">
    <fb>745.4</fb>
    <v>17</v>
  </rv>
  <rv s="8">
    <fb>751.71</fb>
    <v>17</v>
  </rv>
  <rv s="8">
    <fb>754.95</fb>
    <v>17</v>
  </rv>
  <rv s="8">
    <fb>749.17</fb>
    <v>17</v>
  </rv>
  <rv s="8">
    <fb>751.83</fb>
    <v>17</v>
  </rv>
  <rv s="8">
    <fb>754.81</fb>
    <v>17</v>
  </rv>
  <rv s="8">
    <fb>750.72</fb>
    <v>17</v>
  </rv>
  <rv s="8">
    <fb>743.29</fb>
    <v>17</v>
  </rv>
  <rv s="8">
    <fb>742.09</fb>
    <v>17</v>
  </rv>
  <rv s="8">
    <fb>748.28</fb>
    <v>17</v>
  </rv>
  <rv s="8">
    <fb>747.41</fb>
    <v>17</v>
  </rv>
  <rv s="8">
    <fb>738.93</fb>
    <v>17</v>
  </rv>
  <rv s="8">
    <fb>739.09</fb>
    <v>17</v>
  </rv>
  <rv s="8">
    <fb>740.86</fb>
    <v>17</v>
  </rv>
  <rv s="8">
    <fb>729.46</fb>
    <v>17</v>
  </rv>
  <rv s="8">
    <fb>741.69</fb>
    <v>17</v>
  </rv>
  <rv s="8">
    <fb>747.03</fb>
    <v>17</v>
  </rv>
  <rv s="8">
    <fb>757.67</fb>
    <v>17</v>
  </rv>
  <rv s="8">
    <fb>771.33</fb>
    <v>17</v>
  </rv>
  <rv s="8">
    <fb>769.79</fb>
    <v>17</v>
  </rv>
  <rv s="8">
    <fb>768.56</fb>
    <v>17</v>
  </rv>
  <rv s="8">
    <fb>773.26</fb>
    <v>17</v>
  </rv>
  <rv s="8">
    <fb>773.03</fb>
    <v>17</v>
  </rv>
  <rv s="8">
    <fb>770.56</fb>
    <v>17</v>
  </rv>
  <rv s="8">
    <fb>772.49</fb>
    <v>17</v>
  </rv>
  <rv s="8">
    <fb>777.88</fb>
    <v>17</v>
  </rv>
  <rv s="8">
    <fb>776.34</fb>
    <v>17</v>
  </rv>
  <rv s="8">
    <fb>772.67</fb>
    <v>17</v>
  </rv>
  <rv s="8">
    <fb>767.45</fb>
    <v>17</v>
  </rv>
  <rv s="8">
    <fb>769.06</fb>
    <v>17</v>
  </rv>
  <rv s="8">
    <fb>762.6</fb>
    <v>17</v>
  </rv>
  <rv s="8">
    <fb>765.72</fb>
    <v>17</v>
  </rv>
  <rv s="8">
    <fb>763.47</fb>
    <v>17</v>
  </rv>
  <rv s="8">
    <fb>765.91</fb>
    <v>17</v>
  </rv>
  <rv s="8">
    <fb>766.08</fb>
    <v>17</v>
  </rv>
  <rv s="8">
    <fb>771.1</fb>
    <v>17</v>
  </rv>
  <rv s="8">
    <fb>769.35</fb>
    <v>17</v>
  </rv>
  <rv s="8">
    <fb>767.05</fb>
    <v>17</v>
  </rv>
  <rv s="8">
    <fb>761.78</fb>
    <v>17</v>
  </rv>
  <rv s="8">
    <fb>765.16</fb>
    <v>17</v>
  </rv>
  <rv s="8">
    <fb>773.17</fb>
    <v>17</v>
  </rv>
  <rv s="8">
    <fb>770.19</fb>
    <v>17</v>
  </rv>
  <rv s="8">
    <fb>765.96</fb>
    <v>17</v>
  </rv>
  <rv s="8">
    <fb>762.4</fb>
    <v>17</v>
  </rv>
  <rv s="8">
    <fb>757.83</fb>
    <v>17</v>
  </rv>
  <rv s="8">
    <fb>764.29</fb>
    <v>17</v>
  </rv>
  <rv s="8">
    <fb>760.88</fb>
    <v>17</v>
  </rv>
  <rv s="8">
    <fb>757.39</fb>
    <v>17</v>
  </rv>
  <rv s="8">
    <fb>754.05</fb>
    <v>17</v>
  </rv>
  <rv s="8">
    <fb>761.69</fb>
    <v>17</v>
  </rv>
  <rv s="8">
    <fb>773.5</fb>
    <v>17</v>
  </rv>
  <rv s="8">
    <fb>773.38</fb>
    <v>17</v>
  </rv>
  <rv s="8">
    <fb>767.81</fb>
    <v>17</v>
  </rv>
  <rv s="8">
    <fb>767.18</fb>
    <v>17</v>
  </rv>
  <rv s="8">
    <fb>771.35</fb>
    <v>17</v>
  </rv>
  <rv s="8">
    <fb>765.61</fb>
    <v>17</v>
  </rv>
  <rv s="8">
    <fb>179.9</fb>
    <v>17</v>
  </rv>
  <rv s="8">
    <fb>178.73</fb>
    <v>17</v>
  </rv>
  <rv s="8">
    <fb>182.78</fb>
    <v>17</v>
  </rv>
  <rv s="8">
    <fb>189.34</fb>
    <v>17</v>
  </rv>
  <rv s="8">
    <fb>188.03</fb>
    <v>17</v>
  </rv>
  <rv s="8">
    <fb>181.33</fb>
    <v>17</v>
  </rv>
  <rv s="8">
    <fb>181.12</fb>
    <v>17</v>
  </rv>
  <rv s="8">
    <fb>173.68</fb>
    <v>17</v>
  </rv>
  <rv s="8">
    <fb>159.01</fb>
    <v>17</v>
  </rv>
  <rv s="8">
    <fb>166.81</fb>
    <v>17</v>
  </rv>
  <rv s="8">
    <fb>162.86000000000001</fb>
    <v>17</v>
  </rv>
  <rv s="8">
    <fb>165.91</fb>
    <v>17</v>
  </rv>
  <rv s="8">
    <fb>165.09</fb>
    <v>17</v>
  </rv>
  <rv s="8">
    <fb>167.05</fb>
    <v>17</v>
  </rv>
  <rv s="8">
    <fb>173.47</fb>
    <v>17</v>
  </rv>
  <rv s="8">
    <fb>166.67</fb>
    <v>17</v>
  </rv>
  <rv s="8">
    <fb>165.86</fb>
    <v>17</v>
  </rv>
  <rv s="8">
    <fb>171.9</fb>
    <v>17</v>
  </rv>
  <rv s="8">
    <fb>174.7</fb>
    <v>17</v>
  </rv>
  <rv s="8">
    <fb>179.45</fb>
    <v>17</v>
  </rv>
  <rv s="8">
    <fb>176.72</fb>
    <v>17</v>
  </rv>
  <rv s="8">
    <fb>179.97</fb>
    <v>17</v>
  </rv>
  <rv s="8">
    <fb>173.93</fb>
    <v>17</v>
  </rv>
  <rv s="8">
    <fb>170.43</fb>
    <v>17</v>
  </rv>
  <rv s="8">
    <fb>167.69</fb>
    <v>17</v>
  </rv>
  <rv s="8">
    <fb>164.3</fb>
    <v>17</v>
  </rv>
  <rv s="8">
    <fb>164.82</fb>
    <v>17</v>
  </rv>
  <rv s="8">
    <fb>167.61</fb>
    <v>17</v>
  </rv>
  <rv s="8">
    <fb>166.34</fb>
    <v>17</v>
  </rv>
  <rv s="8">
    <fb>165.89</fb>
    <v>17</v>
  </rv>
  <rv s="8">
    <fb>160.80000000000001</fb>
    <v>17</v>
  </rv>
  <rv s="8">
    <fb>157.91</fb>
    <v>17</v>
  </rv>
  <rv s="8">
    <fb>159.84</fb>
    <v>17</v>
  </rv>
  <rv s="8">
    <fb>153.80000000000001</fb>
    <v>17</v>
  </rv>
  <rv s="8">
    <fb>157.71</fb>
    <v>17</v>
  </rv>
  <rv s="8">
    <fb>159.72</fb>
    <v>17</v>
  </rv>
  <rv s="8">
    <fb>158.88999999999999</fb>
    <v>17</v>
  </rv>
  <rv s="8">
    <fb>153.28</fb>
    <v>17</v>
  </rv>
  <rv s="8">
    <fb>152.93</fb>
    <v>17</v>
  </rv>
  <rv s="8">
    <fb>160.72999999999999</fb>
    <v>17</v>
  </rv>
  <rv s="8">
    <fb>157.01</fb>
    <v>17</v>
  </rv>
  <rv s="8">
    <fb>157.6</fb>
    <v>17</v>
  </rv>
  <rv s="8">
    <fb>157.30000000000001</fb>
    <v>17</v>
  </rv>
  <rv s="8">
    <fb>164.26</fb>
    <v>17</v>
  </rv>
  <rv s="8">
    <fb>161.13</fb>
    <v>17</v>
  </rv>
  <rv s="8">
    <fb>158.08000000000001</fb>
    <v>17</v>
  </rv>
  <rv s="8">
    <fb>157.44</fb>
    <v>17</v>
  </rv>
  <rv s="8">
    <fb>158.32</fb>
    <v>17</v>
  </rv>
  <rv s="8">
    <fb>158.13</fb>
    <v>17</v>
  </rv>
  <rv s="8">
    <fb>155.96</fb>
    <v>17</v>
  </rv>
  <rv s="8">
    <fb>158.82</fb>
    <v>17</v>
  </rv>
  <rv s="8">
    <fb>156.9</fb>
    <v>17</v>
  </rv>
  <rv s="8">
    <fb>155.68</fb>
    <v>17</v>
  </rv>
  <rv s="8">
    <fb>150.09</fb>
    <v>17</v>
  </rv>
  <rv s="8">
    <fb>149.29</fb>
    <v>17</v>
  </rv>
  <rv s="8">
    <fb>147.09</fb>
    <v>17</v>
  </rv>
  <rv s="8">
    <fb>147.32</fb>
    <v>17</v>
  </rv>
  <rv s="8">
    <fb>149.79</fb>
    <v>17</v>
  </rv>
  <rv s="8">
    <fb>150.96</fb>
    <v>17</v>
  </rv>
  <rv s="8">
    <fb>151.22999999999999</fb>
    <v>17</v>
  </rv>
  <rv s="8">
    <fb>150.06</fb>
    <v>17</v>
  </rv>
  <rv s="8">
    <fb>152.24</fb>
    <v>17</v>
  </rv>
  <rv s="8">
    <fb>147.36000000000001</fb>
    <v>17</v>
  </rv>
  <rv s="8">
    <fb>146.58000000000001</fb>
    <v>17</v>
  </rv>
  <rv s="8">
    <fb>155.74</fb>
    <v>17</v>
  </rv>
  <rv s="8">
    <fb>156.26</fb>
    <v>17</v>
  </rv>
  <rv s="8">
    <fb>150.9</fb>
    <v>17</v>
  </rv>
  <rv s="8">
    <fb>154.47</fb>
    <v>17</v>
  </rv>
  <rv s="8">
    <fb>166.31</fb>
    <v>17</v>
  </rv>
  <rv s="8">
    <fb>167.01</fb>
    <v>17</v>
  </rv>
  <rv s="8">
    <fb>169.9</fb>
    <v>17</v>
  </rv>
  <rv s="8">
    <fb>170.93</fb>
    <v>17</v>
  </rv>
  <rv s="8">
    <fb>165.4</fb>
    <v>17</v>
  </rv>
  <rv s="8">
    <fb>162.38999999999999</fb>
    <v>17</v>
  </rv>
  <rv s="8">
    <fb>168.67</fb>
    <v>17</v>
  </rv>
  <rv s="8">
    <fb>177.18</fb>
    <v>17</v>
  </rv>
  <rv s="8">
    <fb>173.23</fb>
    <v>17</v>
  </rv>
  <rv s="8">
    <fb>171.37</fb>
    <v>17</v>
  </rv>
  <rv s="8">
    <fb>172.72</fb>
    <v>17</v>
  </rv>
  <rv s="8">
    <fb>175.66</fb>
    <v>17</v>
  </rv>
  <rv s="8">
    <fb>174.25</fb>
    <v>17</v>
  </rv>
  <rv s="8">
    <fb>169.56</fb>
    <v>17</v>
  </rv>
  <rv s="8">
    <fb>168.39</fb>
    <v>17</v>
  </rv>
  <rv s="8">
    <fb>163.65</fb>
    <v>17</v>
  </rv>
  <rv s="8">
    <fb>159.13999999999999</fb>
    <v>17</v>
  </rv>
  <rv s="8">
    <fb>157.76</fb>
    <v>17</v>
  </rv>
  <rv s="8">
    <fb>162.51</fb>
    <v>17</v>
  </rv>
  <rv s="8">
    <fb>163</fb>
    <v>17</v>
  </rv>
  <rv s="8">
    <fb>166.51</fb>
    <v>17</v>
  </rv>
  <rv s="8">
    <fb>164.32</fb>
    <v>17</v>
  </rv>
  <rv s="8">
    <fb>158.72999999999999</fb>
    <v>17</v>
  </rv>
  <rv s="8">
    <fb>155.72999999999999</fb>
    <v>17</v>
  </rv>
  <rv s="8">
    <fb>155.43</fb>
    <v>17</v>
  </rv>
  <rv s="8">
    <fb>155.77000000000001</fb>
    <v>17</v>
  </rv>
  <rv s="8">
    <fb>154.27000000000001</fb>
    <v>17</v>
  </rv>
  <rv s="8">
    <fb>154.44999999999999</fb>
    <v>17</v>
  </rv>
  <rv s="8">
    <fb>152.78</fb>
    <v>17</v>
  </rv>
  <rv s="8">
    <fb>153.11000000000001</fb>
    <v>17</v>
  </rv>
  <rv s="8">
    <fb>152.28</fb>
    <v>17</v>
  </rv>
  <rv s="8">
    <fb>148.05000000000001</fb>
    <v>17</v>
  </rv>
  <rv s="8">
    <fb>144.11000000000001</fb>
    <v>17</v>
  </rv>
  <rv s="8">
    <fb>142.56</fb>
    <v>17</v>
  </rv>
  <rv s="8">
    <fb>135.59</fb>
    <v>17</v>
  </rv>
  <rv s="8">
    <fb>132.63999999999999</fb>
    <v>17</v>
  </rv>
  <rv s="8">
    <fb>136.85</fb>
    <v>17</v>
  </rv>
  <rv s="8">
    <fb>136.29</fb>
    <v>17</v>
  </rv>
  <rv s="8">
    <fb>135.21</fb>
    <v>17</v>
  </rv>
  <rv s="8">
    <fb>136.71</fb>
    <v>17</v>
  </rv>
  <rv s="8">
    <fb>136.57</fb>
    <v>17</v>
  </rv>
  <rv s="8">
    <fb>134.43</fb>
    <v>17</v>
  </rv>
  <rv s="8">
    <fb>124.9</fb>
    <v>17</v>
  </rv>
  <rv s="8">
    <fb>126.06</fb>
    <v>17</v>
  </rv>
  <rv s="8">
    <fb>125.48</fb>
    <v>17</v>
  </rv>
  <rv s="8">
    <fb>129.87</fb>
    <v>17</v>
  </rv>
  <rv s="8">
    <fb>125.41</fb>
    <v>17</v>
  </rv>
  <rv s="8">
    <fb>125.46</fb>
    <v>17</v>
  </rv>
  <rv s="8">
    <fb>123.73</fb>
    <v>17</v>
  </rv>
  <rv s="8">
    <fb>122.31</fb>
    <v>17</v>
  </rv>
  <rv s="8">
    <fb>119.72</fb>
    <v>17</v>
  </rv>
  <rv s="8">
    <fb>125.32</fb>
    <v>17</v>
  </rv>
  <rv s="8">
    <fb>127.68</fb>
    <v>17</v>
  </rv>
  <rv s="8">
    <fb>127.33</fb>
    <v>17</v>
  </rv>
  <rv s="8">
    <fb>131.35</fb>
    <v>17</v>
  </rv>
  <rv s="8">
    <fb>138.59</fb>
    <v>17</v>
  </rv>
  <rv s="8">
    <fb>141.01</fb>
    <v>17</v>
  </rv>
  <rv s="8">
    <fb>140.16999999999999</fb>
    <v>17</v>
  </rv>
  <rv s="8">
    <fb>135.38</fb>
    <v>17</v>
  </rv>
  <rv s="8">
    <fb>136.41999999999999</fb>
    <v>17</v>
  </rv>
  <rv s="8">
    <fb>131.69999999999999</fb>
    <v>17</v>
  </rv>
  <rv s="8">
    <fb>135.82</fb>
    <v>17</v>
  </rv>
  <rv s="8">
    <fb>132.52000000000001</fb>
    <v>17</v>
  </rv>
  <rv s="8">
    <fb>131.5</fb>
    <v>17</v>
  </rv>
  <rv s="8">
    <fb>132.26</fb>
    <v>17</v>
  </rv>
  <rv s="8">
    <fb>141.44</fb>
    <v>17</v>
  </rv>
  <rv s="8">
    <fb>141</fb>
    <v>17</v>
  </rv>
  <rv s="8">
    <fb>140.06</fb>
    <v>17</v>
  </rv>
  <rv s="8">
    <fb>137.30000000000001</fb>
    <v>17</v>
  </rv>
  <rv s="8">
    <fb>134.78</fb>
    <v>17</v>
  </rv>
  <rv s="8">
    <fb>145.81</fb>
    <v>17</v>
  </rv>
  <rv s="8">
    <fb>141.12</fb>
    <v>17</v>
  </rv>
  <rv s="8">
    <fb>132.59</fb>
    <v>17</v>
  </rv>
  <rv s="8">
    <fb>133.26</fb>
    <v>17</v>
  </rv>
  <rv s="8">
    <fb>135.63999999999999</fb>
    <v>17</v>
  </rv>
  <rv s="8">
    <fb>134.47</fb>
    <v>17</v>
  </rv>
  <rv s="8">
    <fb>130</fb>
    <v>17</v>
  </rv>
  <rv s="8">
    <fb>129.47</fb>
    <v>17</v>
  </rv>
  <rv s="8">
    <fb>127.76</fb>
    <v>17</v>
  </rv>
  <rv s="8">
    <fb>126.16</fb>
    <v>17</v>
  </rv>
  <rv s="8">
    <fb>124.22</fb>
    <v>17</v>
  </rv>
  <rv s="8">
    <fb>125.4</fb>
    <v>17</v>
  </rv>
  <rv s="8">
    <fb>130.82</fb>
    <v>17</v>
  </rv>
  <rv s="8">
    <fb>127.21</fb>
    <v>17</v>
  </rv>
  <rv s="8">
    <fb>125.95</fb>
    <v>17</v>
  </rv>
  <rv s="8">
    <fb>121.06</fb>
    <v>17</v>
  </rv>
  <rv s="8">
    <fb>120.07</fb>
    <v>17</v>
  </rv>
  <rv s="8">
    <fb>115.38</fb>
    <v>17</v>
  </rv>
  <rv s="8">
    <fb>112.69</fb>
    <v>17</v>
  </rv>
  <rv s="8">
    <fb>112.82</fb>
    <v>17</v>
  </rv>
  <rv s="8">
    <fb>112.55</fb>
    <v>17</v>
  </rv>
  <rv s="8">
    <fb>110.97</fb>
    <v>17</v>
  </rv>
  <rv s="8">
    <fb>107.1</fb>
    <v>17</v>
  </rv>
  <rv s="8">
    <fb>104.97</fb>
    <v>17</v>
  </rv>
  <rv s="8">
    <fb>102.6</fb>
    <v>17</v>
  </rv>
  <rv s="8">
    <fb>99.8</fb>
    <v>17</v>
  </rv>
  <rv s="8">
    <fb>95.07</fb>
    <v>17</v>
  </rv>
  <rv s="8">
    <fb>94.81</fb>
    <v>17</v>
  </rv>
  <rv s="8">
    <fb>95.51</fb>
    <v>17</v>
  </rv>
  <rv s="8">
    <fb>95.98</fb>
    <v>17</v>
  </rv>
  <rv s="8">
    <fb>97.99</fb>
    <v>17</v>
  </rv>
  <rv s="8">
    <fb>96.14</fb>
    <v>17</v>
  </rv>
  <rv s="8">
    <fb>97.91</fb>
    <v>17</v>
  </rv>
  <rv s="8">
    <fb>98.14</fb>
    <v>17</v>
  </rv>
  <rv s="8">
    <fb>108.98</fb>
    <v>17</v>
  </rv>
  <rv s="8">
    <fb>111.14</fb>
    <v>17</v>
  </rv>
  <rv s="8">
    <fb>112.33</fb>
    <v>17</v>
  </rv>
  <rv s="8">
    <fb>112.35</fb>
    <v>17</v>
  </rv>
  <rv s="8">
    <fb>112.32</fb>
    <v>17</v>
  </rv>
  <rv s="8">
    <fb>117.69</fb>
    <v>17</v>
  </rv>
  <rv s="8">
    <fb>117.49</fb>
    <v>17</v>
  </rv>
  <rv s="8">
    <fb>114.97</fb>
    <v>17</v>
  </rv>
  <rv s="8">
    <fb>120.34</fb>
    <v>17</v>
  </rv>
  <rv s="8">
    <fb>116.56</fb>
    <v>17</v>
  </rv>
  <rv s="8">
    <fb>114.06</fb>
    <v>17</v>
  </rv>
  <rv s="8">
    <fb>112.14</fb>
    <v>17</v>
  </rv>
  <rv s="8">
    <fb>115</fb>
    <v>17</v>
  </rv>
  <rv s="8">
    <fb>115.19</fb>
    <v>17</v>
  </rv>
  <rv s="8">
    <fb>115.03</fb>
    <v>17</v>
  </rv>
  <rv s="8">
    <fb>116.32</fb>
    <v>17</v>
  </rv>
  <rv s="8">
    <fb>122.25</fb>
    <v>17</v>
  </rv>
  <rv s="8">
    <fb>127.3</fb>
    <v>17</v>
  </rv>
  <rv s="8">
    <fb>128.99</fb>
    <v>17</v>
  </rv>
  <rv s="8">
    <fb>126.81</fb>
    <v>17</v>
  </rv>
  <rv s="8">
    <fb>128.41</fb>
    <v>17</v>
  </rv>
  <rv s="8">
    <fb>127.85</fb>
    <v>17</v>
  </rv>
  <rv s="8">
    <fb>122.16</fb>
    <v>17</v>
  </rv>
  <rv s="8">
    <fb>123.81</fb>
    <v>17</v>
  </rv>
  <rv s="8">
    <fb>124.71</fb>
    <v>17</v>
  </rv>
  <rv s="8">
    <fb>128.15</fb>
    <v>17</v>
  </rv>
  <rv s="8">
    <fb>128.9</fb>
    <v>17</v>
  </rv>
  <rv s="8">
    <fb>130.53</fb>
    <v>17</v>
  </rv>
  <rv s="8">
    <fb>119.34</fb>
    <v>17</v>
  </rv>
  <rv s="8">
    <fb>118.47</fb>
    <v>17</v>
  </rv>
  <rv s="8">
    <fb>119.44</fb>
    <v>17</v>
  </rv>
  <rv s="8">
    <fb>116.31</fb>
    <v>17</v>
  </rv>
  <rv s="8">
    <fb>114.02</fb>
    <v>17</v>
  </rv>
  <rv s="8">
    <fb>112.85</fb>
    <v>17</v>
  </rv>
  <rv s="8">
    <fb>111.81</fb>
    <v>17</v>
  </rv>
  <rv s="8">
    <fb>113.24</fb>
    <v>17</v>
  </rv>
  <rv s="8">
    <fb>109.4</fb>
    <v>17</v>
  </rv>
  <rv s="8">
    <fb>108.56</fb>
    <v>17</v>
  </rv>
  <rv s="8">
    <fb>109.3</fb>
    <v>17</v>
  </rv>
  <rv s="8">
    <fb>109.23</fb>
    <v>17</v>
  </rv>
  <rv s="8">
    <fb>109.34</fb>
    <v>17</v>
  </rv>
  <rv s="8">
    <fb>108.54</fb>
    <v>17</v>
  </rv>
  <rv s="8">
    <fb>110.8</fb>
    <v>17</v>
  </rv>
  <rv s="8">
    <fb>110.63</fb>
    <v>17</v>
  </rv>
  <rv s="8">
    <fb>109.74</fb>
    <v>17</v>
  </rv>
  <rv s="8">
    <fb>108.76</fb>
    <v>17</v>
  </rv>
  <rv s="8">
    <fb>9340068</fb>
    <v>18</v>
  </rv>
  <rv s="8">
    <fb>116.67</fb>
    <v>17</v>
  </rv>
  <rv s="8">
    <fb>116.82680000000001</fb>
    <v>17</v>
  </rv>
  <rv s="8">
    <fb>113.93</fb>
    <v>17</v>
  </rv>
  <rv s="8">
    <fb>9865205</fb>
    <v>18</v>
  </rv>
  <rv s="8">
    <fb>112.175</fb>
    <v>17</v>
  </rv>
  <rv s="8">
    <fb>113.855</fb>
    <v>17</v>
  </rv>
  <rv s="8">
    <fb>112.0655</fb>
    <v>17</v>
  </rv>
  <rv s="8">
    <fb>6875197</fb>
    <v>18</v>
  </rv>
  <rv s="8">
    <fb>112.52</fb>
    <v>17</v>
  </rv>
  <rv s="8">
    <fb>8604955</fb>
    <v>18</v>
  </rv>
  <rv s="8">
    <fb>112.06</fb>
    <v>17</v>
  </rv>
  <rv s="8">
    <fb>109.67</fb>
    <v>17</v>
  </rv>
  <rv s="8">
    <fb>7182522</fb>
    <v>18</v>
  </rv>
  <rv s="8">
    <fb>112.37</fb>
    <v>17</v>
  </rv>
  <rv s="8">
    <fb>111.97</fb>
    <v>17</v>
  </rv>
  <rv s="8">
    <fb>6965707</fb>
    <v>18</v>
  </rv>
  <rv s="8">
    <fb>112.56</fb>
    <v>17</v>
  </rv>
  <rv s="8">
    <fb>113.11499999999999</fb>
    <v>17</v>
  </rv>
  <rv s="8">
    <fb>111.2683</fb>
    <v>17</v>
  </rv>
  <rv s="8">
    <fb>9100923</fb>
    <v>18</v>
  </rv>
  <rv s="8">
    <fb>111.69</fb>
    <v>17</v>
  </rv>
  <rv s="8">
    <fb>109.39</fb>
    <v>17</v>
  </rv>
  <rv s="8">
    <fb>6572796</fb>
    <v>18</v>
  </rv>
  <rv s="8">
    <fb>108.63</fb>
    <v>17</v>
  </rv>
  <rv s="8">
    <fb>107.72</fb>
    <v>17</v>
  </rv>
  <rv s="8">
    <fb>4882700</fb>
    <v>18</v>
  </rv>
  <rv s="8">
    <fb>109.57</fb>
    <v>17</v>
  </rv>
  <rv s="8">
    <fb>110.69</fb>
    <v>17</v>
  </rv>
  <rv s="8">
    <fb>109</fb>
    <v>17</v>
  </rv>
  <rv s="8">
    <fb>6946666</fb>
    <v>18</v>
  </rv>
  <rv s="8">
    <fb>108.28</fb>
    <v>17</v>
  </rv>
  <rv s="8">
    <fb>110.435</fb>
    <v>17</v>
  </rv>
  <rv s="8">
    <fb>107.83</fb>
    <v>17</v>
  </rv>
  <rv s="8">
    <fb>6739481</fb>
    <v>18</v>
  </rv>
  <rv s="8">
    <fb>109.76</fb>
    <v>17</v>
  </rv>
  <rv s="8">
    <fb>111.25</fb>
    <v>17</v>
  </rv>
  <rv s="8">
    <fb>109.28</fb>
    <v>17</v>
  </rv>
  <rv s="8">
    <fb>7345873</fb>
    <v>18</v>
  </rv>
  <rv s="8">
    <fb>108.6</fb>
    <v>17</v>
  </rv>
  <rv s="8">
    <fb>106.64</fb>
    <v>17</v>
  </rv>
  <rv s="8">
    <fb>8725550</fb>
    <v>18</v>
  </rv>
  <rv s="8">
    <fb>107.965</fb>
    <v>17</v>
  </rv>
  <rv s="8">
    <fb>109.14</fb>
    <v>17</v>
  </rv>
  <rv s="8">
    <fb>107.31</fb>
    <v>17</v>
  </rv>
  <rv s="8">
    <fb>13250900</fb>
    <v>18</v>
  </rv>
  <rv s="8">
    <fb>110.99</fb>
    <v>17</v>
  </rv>
  <rv s="8">
    <fb>113.77</fb>
    <v>17</v>
  </rv>
  <rv s="8">
    <fb>110.85</fb>
    <v>17</v>
  </rv>
  <rv s="8">
    <fb>9540664</fb>
    <v>18</v>
  </rv>
  <rv s="8">
    <fb>115.12</fb>
    <v>17</v>
  </rv>
  <rv s="8">
    <fb>116.2</fb>
    <v>17</v>
  </rv>
  <rv s="8">
    <fb>113.35</fb>
    <v>17</v>
  </rv>
  <rv s="8">
    <fb>14786015</fb>
    <v>18</v>
  </rv>
  <rv s="8">
    <fb>120.15</fb>
    <v>17</v>
  </rv>
  <rv s="8">
    <fb>120.4</fb>
    <v>17</v>
  </rv>
  <rv s="8">
    <fb>116.06</fb>
    <v>17</v>
  </rv>
  <rv s="8">
    <fb>12223741</fb>
    <v>18</v>
  </rv>
  <rv s="8">
    <fb>112</fb>
    <v>17</v>
  </rv>
  <rv s="8">
    <fb>112.28</fb>
    <v>17</v>
  </rv>
  <rv s="8">
    <fb>110.59099999999999</fb>
    <v>17</v>
  </rv>
  <rv s="8">
    <fb>7453523</fb>
    <v>18</v>
  </rv>
  <rv s="8">
    <fb>111.98</fb>
    <v>17</v>
  </rv>
  <rv s="8">
    <fb>5926901</fb>
    <v>18</v>
  </rv>
  <rv s="8">
    <fb>111.22499999999999</fb>
    <v>17</v>
  </rv>
  <rv s="8">
    <fb>5876156</fb>
    <v>18</v>
  </rv>
  <rv s="8">
    <fb>109.64</fb>
    <v>17</v>
  </rv>
  <rv s="8">
    <fb>52.42</fb>
    <v>17</v>
  </rv>
  <rv s="8">
    <fb>51.59</fb>
    <v>17</v>
  </rv>
  <rv s="8">
    <fb>50.68</fb>
    <v>17</v>
  </rv>
  <rv s="8">
    <fb>50.48</fb>
    <v>17</v>
  </rv>
  <rv s="8">
    <fb>50.64</fb>
    <v>17</v>
  </rv>
  <rv s="8">
    <fb>50.39</fb>
    <v>17</v>
  </rv>
  <rv s="8">
    <fb>50.29</fb>
    <v>17</v>
  </rv>
  <rv s="8">
    <fb>49.84</fb>
    <v>17</v>
  </rv>
  <rv s="8">
    <fb>49.79</fb>
    <v>17</v>
  </rv>
  <rv s="8">
    <fb>48.65</fb>
    <v>17</v>
  </rv>
  <rv s="8">
    <fb>48.86</fb>
    <v>17</v>
  </rv>
  <rv s="8">
    <fb>50.09</fb>
    <v>17</v>
  </rv>
  <rv s="8">
    <fb>52.28</fb>
    <v>17</v>
  </rv>
  <rv s="8">
    <fb>50.44</fb>
    <v>17</v>
  </rv>
  <rv s="8">
    <fb>51.28</fb>
    <v>17</v>
  </rv>
  <rv s="8">
    <fb>52.04</fb>
    <v>17</v>
  </rv>
  <rv s="8">
    <fb>51.52</fb>
    <v>17</v>
  </rv>
  <rv s="8">
    <fb>51.1</fb>
    <v>17</v>
  </rv>
  <rv s="8">
    <fb>51.76</fb>
    <v>17</v>
  </rv>
  <rv s="8">
    <fb>52.57</fb>
    <v>17</v>
  </rv>
  <rv s="8">
    <fb>53.02</fb>
    <v>17</v>
  </rv>
  <rv s="8">
    <fb>52.87</fb>
    <v>17</v>
  </rv>
  <rv s="8">
    <fb>52.58</fb>
    <v>17</v>
  </rv>
  <rv s="8">
    <fb>53.03</fb>
    <v>17</v>
  </rv>
  <rv s="8">
    <fb>53.45</fb>
    <v>17</v>
  </rv>
  <rv s="8">
    <fb>53.56</fb>
    <v>17</v>
  </rv>
  <rv s="8">
    <fb>53.54</fb>
    <v>17</v>
  </rv>
  <rv s="8">
    <fb>52.45</fb>
    <v>17</v>
  </rv>
  <rv s="8">
    <fb>53.29</fb>
    <v>17</v>
  </rv>
  <rv s="8">
    <fb>53.2</fb>
    <v>17</v>
  </rv>
  <rv s="8">
    <fb>53.42</fb>
    <v>17</v>
  </rv>
  <rv s="8">
    <fb>53.63</fb>
    <v>17</v>
  </rv>
  <rv s="8">
    <fb>54.11</fb>
    <v>17</v>
  </rv>
  <rv s="8">
    <fb>52.61</fb>
    <v>17</v>
  </rv>
  <rv s="8">
    <fb>51.48</fb>
    <v>17</v>
  </rv>
  <rv s="8">
    <fb>51.64</fb>
    <v>17</v>
  </rv>
  <rv s="8">
    <fb>52.02</fb>
    <v>17</v>
  </rv>
  <rv s="8">
    <fb>51</fb>
    <v>17</v>
  </rv>
  <rv s="8">
    <fb>51.56</fb>
    <v>17</v>
  </rv>
  <rv s="8">
    <fb>51.93</fb>
    <v>17</v>
  </rv>
  <rv s="8">
    <fb>52.48</fb>
    <v>17</v>
  </rv>
  <rv s="8">
    <fb>52.99</fb>
    <v>17</v>
  </rv>
  <rv s="8">
    <fb>53.65</fb>
    <v>17</v>
  </rv>
  <rv s="8">
    <fb>53.24</fb>
    <v>17</v>
  </rv>
  <rv s="8">
    <fb>53.19</fb>
    <v>17</v>
  </rv>
  <rv s="8">
    <fb>54.09</fb>
    <v>17</v>
  </rv>
  <rv s="8">
    <fb>54.16</fb>
    <v>17</v>
  </rv>
  <rv s="8">
    <fb>53.95</fb>
    <v>17</v>
  </rv>
  <rv s="8">
    <fb>53.9</fb>
    <v>17</v>
  </rv>
  <rv s="8">
    <fb>54.08</fb>
    <v>17</v>
  </rv>
  <rv s="8">
    <fb>54.56</fb>
    <v>17</v>
  </rv>
  <rv s="8">
    <fb>55.14</fb>
    <v>17</v>
  </rv>
  <rv s="8">
    <fb>55.33</fb>
    <v>17</v>
  </rv>
  <rv s="8">
    <fb>54.81</fb>
    <v>17</v>
  </rv>
  <rv s="8">
    <fb>54.55</fb>
    <v>17</v>
  </rv>
  <rv s="8">
    <fb>54.26</fb>
    <v>17</v>
  </rv>
  <rv s="8">
    <fb>55.27</fb>
    <v>17</v>
  </rv>
  <rv s="8">
    <fb>55.88</fb>
    <v>17</v>
  </rv>
  <rv s="8">
    <fb>55.97</fb>
    <v>17</v>
  </rv>
  <rv s="8">
    <fb>56.25</fb>
    <v>17</v>
  </rv>
  <rv s="8">
    <fb>56.17</fb>
    <v>17</v>
  </rv>
  <rv s="8">
    <fb>55.35</fb>
    <v>17</v>
  </rv>
  <rv s="8">
    <fb>55.28</fb>
    <v>17</v>
  </rv>
  <rv s="8">
    <fb>55</fb>
    <v>17</v>
  </rv>
  <rv s="8">
    <fb>55.95</fb>
    <v>17</v>
  </rv>
  <rv s="8">
    <fb>56.89</fb>
    <v>17</v>
  </rv>
  <rv s="8">
    <fb>57.25</fb>
    <v>17</v>
  </rv>
  <rv s="8">
    <fb>55.64</fb>
    <v>17</v>
  </rv>
  <rv s="8">
    <fb>56.18</fb>
    <v>17</v>
  </rv>
  <rv s="8">
    <fb>55.85</fb>
    <v>17</v>
  </rv>
  <rv s="8">
    <fb>55.19</fb>
    <v>17</v>
  </rv>
  <rv s="8">
    <fb>54.54</fb>
    <v>17</v>
  </rv>
  <rv s="8">
    <fb>52.59</fb>
    <v>17</v>
  </rv>
  <rv s="8">
    <fb>52.97</fb>
    <v>17</v>
  </rv>
  <rv s="8">
    <fb>52.1</fb>
    <v>17</v>
  </rv>
  <rv s="8">
    <fb>52.07</fb>
    <v>17</v>
  </rv>
  <rv s="8">
    <fb>51.72</fb>
    <v>17</v>
  </rv>
  <rv s="8">
    <fb>52.17</fb>
    <v>17</v>
  </rv>
  <rv s="8">
    <fb>51.81</fb>
    <v>17</v>
  </rv>
  <rv s="8">
    <fb>53.08</fb>
    <v>17</v>
  </rv>
  <rv s="8">
    <fb>54.03</fb>
    <v>17</v>
  </rv>
  <rv s="8">
    <fb>54.45</fb>
    <v>17</v>
  </rv>
  <rv s="8">
    <fb>55.38</fb>
    <v>17</v>
  </rv>
  <rv s="8">
    <fb>54.94</fb>
    <v>17</v>
  </rv>
  <rv s="8">
    <fb>56.53</fb>
    <v>17</v>
  </rv>
  <rv s="8">
    <fb>56.41</fb>
    <v>17</v>
  </rv>
  <rv s="8">
    <fb>55.39</fb>
    <v>17</v>
  </rv>
  <rv s="8">
    <fb>53.85</fb>
    <v>17</v>
  </rv>
  <rv s="8">
    <fb>52.52</fb>
    <v>17</v>
  </rv>
  <rv s="8">
    <fb>52.55</fb>
    <v>17</v>
  </rv>
  <rv s="8">
    <fb>52.74</fb>
    <v>17</v>
  </rv>
  <rv s="8">
    <fb>53.36</fb>
    <v>17</v>
  </rv>
  <rv s="8">
    <fb>52.77</fb>
    <v>17</v>
  </rv>
  <rv s="8">
    <fb>53.06</fb>
    <v>17</v>
  </rv>
  <rv s="8">
    <fb>51.07</fb>
    <v>17</v>
  </rv>
  <rv s="8">
    <fb>50.41</fb>
    <v>17</v>
  </rv>
  <rv s="8">
    <fb>51.69</fb>
    <v>17</v>
  </rv>
  <rv s="8">
    <fb>52.3</fb>
    <v>17</v>
  </rv>
  <rv s="8">
    <fb>49.83</fb>
    <v>17</v>
  </rv>
  <rv s="8">
    <fb>49.81</fb>
    <v>17</v>
  </rv>
  <rv s="8">
    <fb>49.97</fb>
    <v>17</v>
  </rv>
  <rv s="8">
    <fb>50.3</fb>
    <v>17</v>
  </rv>
  <rv s="8">
    <fb>48.64</fb>
    <v>17</v>
  </rv>
  <rv s="8">
    <fb>47.9</fb>
    <v>17</v>
  </rv>
  <rv s="8">
    <fb>48.56</fb>
    <v>17</v>
  </rv>
  <rv s="8">
    <fb>48.52</fb>
    <v>17</v>
  </rv>
  <rv s="8">
    <fb>47.13</fb>
    <v>17</v>
  </rv>
  <rv s="8">
    <fb>46.72</fb>
    <v>17</v>
  </rv>
  <rv s="8">
    <fb>47.06</fb>
    <v>17</v>
  </rv>
  <rv s="8">
    <fb>47.28</fb>
    <v>17</v>
  </rv>
  <rv s="8">
    <fb>46.83</fb>
    <v>17</v>
  </rv>
  <rv s="8">
    <fb>47.01</fb>
    <v>17</v>
  </rv>
  <rv s="8">
    <fb>47.16</fb>
    <v>17</v>
  </rv>
  <rv s="8">
    <fb>47.52</fb>
    <v>17</v>
  </rv>
  <rv s="8">
    <fb>48.14</fb>
    <v>17</v>
  </rv>
  <rv s="8">
    <fb>48.75</fb>
    <v>17</v>
  </rv>
  <rv s="8">
    <fb>48.24</fb>
    <v>17</v>
  </rv>
  <rv s="8">
    <fb>46.97</fb>
    <v>17</v>
  </rv>
  <rv s="8">
    <fb>47.23</fb>
    <v>17</v>
  </rv>
  <rv s="8">
    <fb>49.27</fb>
    <v>17</v>
  </rv>
  <rv s="8">
    <fb>49.38</fb>
    <v>17</v>
  </rv>
  <rv s="8">
    <fb>50.06</fb>
    <v>17</v>
  </rv>
  <rv s="8">
    <fb>50.28</fb>
    <v>17</v>
  </rv>
  <rv s="8">
    <fb>51.88</fb>
    <v>17</v>
  </rv>
  <rv s="8">
    <fb>52.71</fb>
    <v>17</v>
  </rv>
  <rv s="8">
    <fb>52.54</fb>
    <v>17</v>
  </rv>
  <rv s="8">
    <fb>53.35</fb>
    <v>17</v>
  </rv>
  <rv s="8">
    <fb>54.32</fb>
    <v>17</v>
  </rv>
  <rv s="8">
    <fb>53.51</fb>
    <v>17</v>
  </rv>
  <rv s="8">
    <fb>53.91</fb>
    <v>17</v>
  </rv>
  <rv s="8">
    <fb>53.48</fb>
    <v>17</v>
  </rv>
  <rv s="8">
    <fb>53.12</fb>
    <v>17</v>
  </rv>
  <rv s="8">
    <fb>52.47</fb>
    <v>17</v>
  </rv>
  <rv s="8">
    <fb>52.05</fb>
    <v>17</v>
  </rv>
  <rv s="8">
    <fb>52.63</fb>
    <v>17</v>
  </rv>
  <rv s="8">
    <fb>52.66</fb>
    <v>17</v>
  </rv>
  <rv s="8">
    <fb>52.88</fb>
    <v>17</v>
  </rv>
  <rv s="8">
    <fb>53.46</fb>
    <v>17</v>
  </rv>
  <rv s="8">
    <fb>52.19</fb>
    <v>17</v>
  </rv>
  <rv s="8">
    <fb>53.6</fb>
    <v>17</v>
  </rv>
  <rv s="8">
    <fb>52.75</fb>
    <v>17</v>
  </rv>
  <rv s="8">
    <fb>51.31</fb>
    <v>17</v>
  </rv>
  <rv s="8">
    <fb>50.55</fb>
    <v>17</v>
  </rv>
  <rv s="8">
    <fb>50.78</fb>
    <v>17</v>
  </rv>
  <rv s="8">
    <fb>49.85</fb>
    <v>17</v>
  </rv>
  <rv s="8">
    <fb>49.77</fb>
    <v>17</v>
  </rv>
  <rv s="8">
    <fb>50.69</fb>
    <v>17</v>
  </rv>
  <rv s="8">
    <fb>50.7</fb>
    <v>17</v>
  </rv>
  <rv s="8">
    <fb>51.23</fb>
    <v>17</v>
  </rv>
  <rv s="8">
    <fb>51.49</fb>
    <v>17</v>
  </rv>
  <rv s="8">
    <fb>51.8</fb>
    <v>17</v>
  </rv>
  <rv s="8">
    <fb>52.2</fb>
    <v>17</v>
  </rv>
  <rv s="8">
    <fb>50.77</fb>
    <v>17</v>
  </rv>
  <rv s="8">
    <fb>51.6</fb>
    <v>17</v>
  </rv>
  <rv s="8">
    <fb>51.51</fb>
    <v>17</v>
  </rv>
  <rv s="8">
    <fb>52.4</fb>
    <v>17</v>
  </rv>
  <rv s="8">
    <fb>54.17</fb>
    <v>17</v>
  </rv>
  <rv s="8">
    <fb>53.83</fb>
    <v>17</v>
  </rv>
  <rv s="8">
    <fb>54.42</fb>
    <v>17</v>
  </rv>
  <rv s="8">
    <fb>55.16</fb>
    <v>17</v>
  </rv>
  <rv s="8">
    <fb>56.02</fb>
    <v>17</v>
  </rv>
  <rv s="8">
    <fb>55.87</fb>
    <v>17</v>
  </rv>
  <rv s="8">
    <fb>56.84</fb>
    <v>17</v>
  </rv>
  <rv s="8">
    <fb>56.2</fb>
    <v>17</v>
  </rv>
  <rv s="8">
    <fb>57.37</fb>
    <v>17</v>
  </rv>
  <rv s="8">
    <fb>57.91</fb>
    <v>17</v>
  </rv>
  <rv s="8">
    <fb>57.73</fb>
    <v>17</v>
  </rv>
  <rv s="8">
    <fb>58.19</fb>
    <v>17</v>
  </rv>
  <rv s="8">
    <fb>57.88</fb>
    <v>17</v>
  </rv>
  <rv s="8">
    <fb>56.98</fb>
    <v>17</v>
  </rv>
  <rv s="8">
    <fb>58.36</fb>
    <v>17</v>
  </rv>
  <rv s="8">
    <fb>58.73</fb>
    <v>17</v>
  </rv>
  <rv s="8">
    <fb>59.9</fb>
    <v>17</v>
  </rv>
  <rv s="8">
    <fb>59.86</fb>
    <v>17</v>
  </rv>
  <rv s="8">
    <fb>58.3</fb>
    <v>17</v>
  </rv>
  <rv s="8">
    <fb>59.25</fb>
    <v>17</v>
  </rv>
  <rv s="8">
    <fb>59.67</fb>
    <v>17</v>
  </rv>
  <rv s="8">
    <fb>59.5</fb>
    <v>17</v>
  </rv>
  <rv s="8">
    <fb>60.62</fb>
    <v>17</v>
  </rv>
  <rv s="8">
    <fb>61.59</fb>
    <v>17</v>
  </rv>
  <rv s="8">
    <fb>61.49</fb>
    <v>17</v>
  </rv>
  <rv s="8">
    <fb>61.27</fb>
    <v>17</v>
  </rv>
  <rv s="8">
    <fb>60.42</fb>
    <v>17</v>
  </rv>
  <rv s="8">
    <fb>61.22</fb>
    <v>17</v>
  </rv>
  <rv s="8">
    <fb>61.62</fb>
    <v>17</v>
  </rv>
  <rv s="8">
    <fb>61.28</fb>
    <v>17</v>
  </rv>
  <rv s="8">
    <fb>62.05</fb>
    <v>17</v>
  </rv>
  <rv s="8">
    <fb>62.13</fb>
    <v>17</v>
  </rv>
  <rv s="8">
    <fb>62.62</fb>
    <v>17</v>
  </rv>
  <rv s="8">
    <fb>61.07</fb>
    <v>17</v>
  </rv>
  <rv s="8">
    <fb>61.73</fb>
    <v>17</v>
  </rv>
  <rv s="8">
    <fb>61.95</fb>
    <v>17</v>
  </rv>
  <rv s="8">
    <fb>62.48</fb>
    <v>17</v>
  </rv>
  <rv s="8">
    <fb>62.9</fb>
    <v>17</v>
  </rv>
  <rv s="8">
    <fb>63.25</fb>
    <v>17</v>
  </rv>
  <rv s="8">
    <fb>63</fb>
    <v>17</v>
  </rv>
  <rv s="8">
    <fb>63.17</fb>
    <v>17</v>
  </rv>
  <rv s="8">
    <fb>63.86</fb>
    <v>17</v>
  </rv>
  <rv s="8">
    <fb>64</fb>
    <v>17</v>
  </rv>
  <rv s="8">
    <fb>64.81</fb>
    <v>17</v>
  </rv>
  <rv s="8">
    <fb>64.09</fb>
    <v>17</v>
  </rv>
  <rv s="8">
    <fb>64.489999999999995</fb>
    <v>17</v>
  </rv>
  <rv s="8">
    <fb>63.89</fb>
    <v>17</v>
  </rv>
  <rv s="8">
    <fb>64.23</fb>
    <v>17</v>
  </rv>
  <rv s="8">
    <fb>61.86</fb>
    <v>17</v>
  </rv>
  <rv s="8">
    <fb>61.69</fb>
    <v>17</v>
  </rv>
  <rv s="8">
    <fb>62.33</fb>
    <v>17</v>
  </rv>
  <rv s="8">
    <fb>62.43</fb>
    <v>17</v>
  </rv>
  <rv s="8">
    <fb>62.23</fb>
    <v>17</v>
  </rv>
  <rv s="8">
    <fb>61.17</fb>
    <v>17</v>
  </rv>
  <rv s="8">
    <fb>62.32</fb>
    <v>17</v>
  </rv>
  <rv s="8">
    <fb>61.94</fb>
    <v>17</v>
  </rv>
  <rv s="8">
    <fb>61.99</fb>
    <v>17</v>
  </rv>
  <rv s="8">
    <fb>62.6</fb>
    <v>17</v>
  </rv>
  <rv s="8">
    <fb>63.04</fb>
    <v>17</v>
  </rv>
  <rv s="8">
    <fb>62.68</fb>
    <v>17</v>
  </rv>
  <rv s="8">
    <fb>62.39</fb>
    <v>17</v>
  </rv>
  <rv s="8">
    <fb>62.67</fb>
    <v>17</v>
  </rv>
  <rv s="8">
    <fb>62.56</fb>
    <v>17</v>
  </rv>
  <rv s="8">
    <fb>62.69</fb>
    <v>17</v>
  </rv>
  <rv s="8">
    <fb>59.47</fb>
    <v>17</v>
  </rv>
  <rv s="8">
    <fb>59.52</fb>
    <v>17</v>
  </rv>
  <rv s="8">
    <fb>57.9</fb>
    <v>17</v>
  </rv>
  <rv s="8">
    <fb>58.18</fb>
    <v>17</v>
  </rv>
  <rv s="8">
    <fb>57.96</fb>
    <v>17</v>
  </rv>
  <rv s="8">
    <fb>56</fb>
    <v>17</v>
  </rv>
  <rv s="8">
    <fb>56.03</fb>
    <v>17</v>
  </rv>
  <rv s="8">
    <fb>56.7</fb>
    <v>17</v>
  </rv>
  <rv s="8">
    <fb>55.47</fb>
    <v>17</v>
  </rv>
  <rv s="8">
    <fb>43470374</fb>
    <v>18</v>
  </rv>
  <rv s="8">
    <fb>62.25</fb>
    <v>17</v>
  </rv>
  <rv s="8">
    <fb>62.49</fb>
    <v>17</v>
  </rv>
  <rv s="8">
    <fb>61.9</fb>
    <v>17</v>
  </rv>
  <rv s="8">
    <fb>25056390</fb>
    <v>18</v>
  </rv>
  <rv s="8">
    <fb>61.97</fb>
    <v>17</v>
  </rv>
  <rv s="8">
    <fb>62.825000000000003</fb>
    <v>17</v>
  </rv>
  <rv s="8">
    <fb>61.723500000000001</fb>
    <v>17</v>
  </rv>
  <rv s="8">
    <fb>28435758</fb>
    <v>18</v>
  </rv>
  <rv s="8">
    <fb>62.28</fb>
    <v>17</v>
  </rv>
  <rv s="8">
    <fb>63.55</fb>
    <v>17</v>
  </rv>
  <rv s="8">
    <fb>29951603</fb>
    <v>18</v>
  </rv>
  <rv s="8">
    <fb>62.81</fb>
    <v>17</v>
  </rv>
  <rv s="8">
    <fb>63.27</fb>
    <v>17</v>
  </rv>
  <rv s="8">
    <fb>26589402</fb>
    <v>18</v>
  </rv>
  <rv s="8">
    <fb>62.918300000000002</fb>
    <v>17</v>
  </rv>
  <rv s="8">
    <fb>61.96</fb>
    <v>17</v>
  </rv>
  <rv s="8">
    <fb>28339827</fb>
    <v>18</v>
  </rv>
  <rv s="8">
    <fb>62.82</fb>
    <v>17</v>
  </rv>
  <rv s="8">
    <fb>62.11</fb>
    <v>17</v>
  </rv>
  <rv s="8">
    <fb>36025057</fb>
    <v>18</v>
  </rv>
  <rv s="8">
    <fb>63.19</fb>
    <v>17</v>
  </rv>
  <rv s="8">
    <fb>61.424999999999997</fb>
    <v>17</v>
  </rv>
  <rv s="8">
    <fb>26478935</fb>
    <v>18</v>
  </rv>
  <rv s="8">
    <fb>62.645000000000003</fb>
    <v>17</v>
  </rv>
  <rv s="8">
    <fb>63.01</fb>
    <v>17</v>
  </rv>
  <rv s="8">
    <fb>62.22</fb>
    <v>17</v>
  </rv>
  <rv s="8">
    <fb>25844032</fb>
    <v>18</v>
  </rv>
  <rv s="8">
    <fb>63.225000000000001</fb>
    <v>17</v>
  </rv>
  <rv s="8">
    <fb>63.83</fb>
    <v>17</v>
  </rv>
  <rv s="8">
    <fb>62.375</fb>
    <v>17</v>
  </rv>
  <rv s="8">
    <fb>64773953</fb>
    <v>18</v>
  </rv>
  <rv s="8">
    <fb>62.335000000000001</fb>
    <v>17</v>
  </rv>
  <rv s="8">
    <fb>62.435000000000002</fb>
    <v>17</v>
  </rv>
  <rv s="8">
    <fb>58.92</fb>
    <v>17</v>
  </rv>
  <rv s="8">
    <fb>50667997</fb>
    <v>18</v>
  </rv>
  <rv s="8">
    <fb>59.365000000000002</fb>
    <v>17</v>
  </rv>
  <rv s="8">
    <fb>59.92</fb>
    <v>17</v>
  </rv>
  <rv s="8">
    <fb>58.77</fb>
    <v>17</v>
  </rv>
  <rv s="8">
    <fb>50145197</fb>
    <v>18</v>
  </rv>
  <rv s="8">
    <fb>59.27</fb>
    <v>17</v>
  </rv>
  <rv s="8">
    <fb>59.39</fb>
    <v>17</v>
  </rv>
  <rv s="8">
    <fb>57.18</fb>
    <v>17</v>
  </rv>
  <rv s="8">
    <fb>36733116</fb>
    <v>18</v>
  </rv>
  <rv s="8">
    <fb>58.4</fb>
    <v>17</v>
  </rv>
  <rv s="8">
    <fb>58.494999999999997</fb>
    <v>17</v>
  </rv>
  <rv s="8">
    <fb>57.42</fb>
    <v>17</v>
  </rv>
  <rv s="8">
    <fb>52483860</fb>
    <v>18</v>
  </rv>
  <rv s="8">
    <fb>57.52</fb>
    <v>17</v>
  </rv>
  <rv s="8">
    <fb>58.23</fb>
    <v>17</v>
  </rv>
  <rv s="8">
    <fb>33228141</fb>
    <v>18</v>
  </rv>
  <rv s="8">
    <fb>58.05</fb>
    <v>17</v>
  </rv>
  <rv s="8">
    <fb>58.28</fb>
    <v>17</v>
  </rv>
  <rv s="8">
    <fb>57.465000000000003</fb>
    <v>17</v>
  </rv>
  <rv s="8">
    <fb>45137809</fb>
    <v>18</v>
  </rv>
  <rv s="8">
    <fb>58.1</fb>
    <v>17</v>
  </rv>
  <rv s="8">
    <fb>58.115000000000002</fb>
    <v>17</v>
  </rv>
  <rv s="8">
    <fb>56.064999999999998</fb>
    <v>17</v>
  </rv>
  <rv s="8">
    <fb>36727762</fb>
    <v>18</v>
  </rv>
  <rv s="8">
    <fb>55.92</fb>
    <v>17</v>
  </rv>
  <rv s="8">
    <fb>56.48</fb>
    <v>17</v>
  </rv>
  <rv s="8">
    <fb>55.734999999999999</fb>
    <v>17</v>
  </rv>
  <rv s="8">
    <fb>40990256</fb>
    <v>18</v>
  </rv>
  <rv s="8">
    <fb>56.39</fb>
    <v>17</v>
  </rv>
  <rv s="8">
    <fb>55.84</fb>
    <v>17</v>
  </rv>
  <rv s="8">
    <fb>28601302</fb>
    <v>18</v>
  </rv>
  <rv s="8">
    <fb>56.31</fb>
    <v>17</v>
  </rv>
  <rv s="8">
    <fb>56.744999999999997</fb>
    <v>17</v>
  </rv>
  <rv s="8">
    <fb>55.865000000000002</fb>
    <v>17</v>
  </rv>
  <rv s="8">
    <fb>29170534</fb>
    <v>18</v>
  </rv>
  <rv s="8">
    <fb>56.414999999999999</fb>
    <v>17</v>
  </rv>
  <rv s="8">
    <fb>56.67</fb>
    <v>17</v>
  </rv>
  <rv s="8">
    <fb>55.365000000000002</fb>
    <v>17</v>
  </rv>
  <rv s="8">
    <fb>916.87</fb>
    <v>17</v>
  </rv>
  <rv s="8">
    <fb>925.63</fb>
    <v>17</v>
  </rv>
  <rv s="8">
    <fb>917.34</fb>
    <v>17</v>
  </rv>
  <rv s="8">
    <fb>916.77</fb>
    <v>17</v>
  </rv>
  <rv s="8">
    <fb>915.38</fb>
    <v>17</v>
  </rv>
  <rv s="8">
    <fb>910.94</fb>
    <v>17</v>
  </rv>
  <rv s="8">
    <fb>914.8</fb>
    <v>17</v>
  </rv>
  <rv s="8">
    <fb>942.89</fb>
    <v>17</v>
  </rv>
  <rv s="8">
    <fb>930.01</fb>
    <v>17</v>
  </rv>
  <rv s="8">
    <fb>935.56</fb>
    <v>17</v>
  </rv>
  <rv s="8">
    <fb>946.51</fb>
    <v>17</v>
  </rv>
  <rv s="8">
    <fb>954.99</fb>
    <v>17</v>
  </rv>
  <rv s="8">
    <fb>925.62</fb>
    <v>17</v>
  </rv>
  <rv s="8">
    <fb>936.33</fb>
    <v>17</v>
  </rv>
  <rv s="8">
    <fb>936.11</fb>
    <v>17</v>
  </rv>
  <rv s="8">
    <fb>937.5</fb>
    <v>17</v>
  </rv>
  <rv s="8">
    <fb>944.68</fb>
    <v>17</v>
  </rv>
  <rv s="8">
    <fb>942.05</fb>
    <v>17</v>
  </rv>
  <rv s="8">
    <fb>932.14</fb>
    <v>17</v>
  </rv>
  <rv s="8">
    <fb>929.85</fb>
    <v>17</v>
  </rv>
  <rv s="8">
    <fb>924.16</fb>
    <v>17</v>
  </rv>
  <rv s="8">
    <fb>912.42</fb>
    <v>17</v>
  </rv>
  <rv s="8">
    <fb>920.18</fb>
    <v>17</v>
  </rv>
  <rv s="8">
    <fb>911.45</fb>
    <v>17</v>
  </rv>
  <rv s="8">
    <fb>928.04</fb>
    <v>17</v>
  </rv>
  <rv s="8">
    <fb>940.74</fb>
    <v>17</v>
  </rv>
  <rv s="8">
    <fb>935.03</fb>
    <v>17</v>
  </rv>
  <rv s="8">
    <fb>923.58</fb>
    <v>17</v>
  </rv>
  <rv s="8">
    <fb>922.74</fb>
    <v>17</v>
  </rv>
  <rv s="8">
    <fb>915.56</fb>
    <v>17</v>
  </rv>
  <rv s="8">
    <fb>913.86</fb>
    <v>17</v>
  </rv>
  <rv s="8">
    <fb>914</fb>
    <v>17</v>
  </rv>
  <rv s="8">
    <fb>925.08</fb>
    <v>17</v>
  </rv>
  <rv s="8">
    <fb>922.98</fb>
    <v>17</v>
  </rv>
  <rv s="8">
    <fb>912.59</fb>
    <v>17</v>
  </rv>
  <rv s="8">
    <fb>895.08</fb>
    <v>17</v>
  </rv>
  <rv s="8">
    <fb>890.6</fb>
    <v>17</v>
  </rv>
  <rv s="8">
    <fb>893.29</fb>
    <v>17</v>
  </rv>
  <rv s="8">
    <fb>899.01</fb>
    <v>17</v>
  </rv>
  <rv s="8">
    <fb>886.12</fb>
    <v>17</v>
  </rv>
  <rv s="8">
    <fb>894.33</fb>
    <v>17</v>
  </rv>
  <rv s="8">
    <fb>908.26</fb>
    <v>17</v>
  </rv>
  <rv s="8">
    <fb>913.59</fb>
    <v>17</v>
  </rv>
  <rv s="8">
    <fb>911.96</fb>
    <v>17</v>
  </rv>
  <rv s="8">
    <fb>922.03</fb>
    <v>17</v>
  </rv>
  <rv s="8">
    <fb>922.26</fb>
    <v>17</v>
  </rv>
  <rv s="8">
    <fb>895.85500000000002</fb>
    <v>17</v>
  </rv>
  <rv s="8">
    <fb>894.68</fb>
    <v>17</v>
  </rv>
  <rv s="8">
    <fb>887.52</fb>
    <v>17</v>
  </rv>
  <rv s="8">
    <fb>888.44</fb>
    <v>17</v>
  </rv>
  <rv s="8">
    <fb>874.41</fb>
    <v>17</v>
  </rv>
  <rv s="8">
    <fb>884.48</fb>
    <v>17</v>
  </rv>
  <rv s="8">
    <fb>884.47</fb>
    <v>17</v>
  </rv>
  <rv s="8">
    <fb>860.56</fb>
    <v>17</v>
  </rv>
  <rv s="8">
    <fb>860.39</fb>
    <v>17</v>
  </rv>
  <rv s="8">
    <fb>862.65</fb>
    <v>17</v>
  </rv>
  <rv s="8">
    <fb>857.59</fb>
    <v>17</v>
  </rv>
  <rv s="8">
    <fb>855.62</fb>
    <v>17</v>
  </rv>
  <rv s="8">
    <fb>850</fb>
    <v>17</v>
  </rv>
  <rv s="8">
    <fb>854.79</fb>
    <v>17</v>
  </rv>
  <rv s="8">
    <fb>871.86</fb>
    <v>17</v>
  </rv>
  <rv s="8">
    <fb>873.35</fb>
    <v>17</v>
  </rv>
  <rv s="8">
    <fb>867.84</fb>
    <v>17</v>
  </rv>
  <rv s="8">
    <fb>865.65</fb>
    <v>17</v>
  </rv>
  <rv s="8">
    <fb>862.34</fb>
    <v>17</v>
  </rv>
  <rv s="8">
    <fb>854.5</fb>
    <v>17</v>
  </rv>
  <rv s="8">
    <fb>875.74</fb>
    <v>17</v>
  </rv>
  <rv s="8">
    <fb>889.1</fb>
    <v>17</v>
  </rv>
  <rv s="8">
    <fb>882.58</fb>
    <v>17</v>
  </rv>
  <rv s="8">
    <fb>915.31</fb>
    <v>17</v>
  </rv>
  <rv s="8">
    <fb>924.88</fb>
    <v>17</v>
  </rv>
  <rv s="8">
    <fb>943.08</fb>
    <v>17</v>
  </rv>
  <rv s="8">
    <fb>941.93</fb>
    <v>17</v>
  </rv>
  <rv s="8">
    <fb>950.98</fb>
    <v>17</v>
  </rv>
  <rv s="8">
    <fb>956.75</fb>
    <v>17</v>
  </rv>
  <rv s="8">
    <fb>963.61</fb>
    <v>17</v>
  </rv>
  <rv s="8">
    <fb>964.26</fb>
    <v>17</v>
  </rv>
  <rv s="8">
    <fb>982.86</fb>
    <v>17</v>
  </rv>
  <rv s="8">
    <fb>976.17</fb>
    <v>17</v>
  </rv>
  <rv s="8">
    <fb>983.25</fb>
    <v>17</v>
  </rv>
  <rv s="8">
    <fb>977.67</fb>
    <v>17</v>
  </rv>
  <rv s="8">
    <fb>970.28</fb>
    <v>17</v>
  </rv>
  <rv s="8">
    <fb>960.78</fb>
    <v>17</v>
  </rv>
  <rv s="8">
    <fb>952.89</fb>
    <v>17</v>
  </rv>
  <rv s="8">
    <fb>940.25</fb>
    <v>17</v>
  </rv>
  <rv s="8">
    <fb>968.36</fb>
    <v>17</v>
  </rv>
  <rv s="8">
    <fb>977.92</fb>
    <v>17</v>
  </rv>
  <rv s="8">
    <fb>978.35</fb>
    <v>17</v>
  </rv>
  <rv s="8">
    <fb>989.29</fb>
    <v>17</v>
  </rv>
  <rv s="8">
    <fb>1001.16</fb>
    <v>17</v>
  </rv>
  <rv s="8">
    <fb>997.59</fb>
    <v>17</v>
  </rv>
  <rv s="8">
    <fb>971.23</fb>
    <v>17</v>
  </rv>
  <rv s="8">
    <fb>978.14</fb>
    <v>17</v>
  </rv>
  <rv s="8">
    <fb>998.86</fb>
    <v>17</v>
  </rv>
  <rv s="8">
    <fb>1018.48</fb>
    <v>17</v>
  </rv>
  <rv s="8">
    <fb>1012.05</fb>
    <v>17</v>
  </rv>
  <rv s="8">
    <fb>996.08</fb>
    <v>17</v>
  </rv>
  <rv s="8">
    <fb>987.82</fb>
    <v>17</v>
  </rv>
  <rv s="8">
    <fb>985.27</fb>
    <v>17</v>
  </rv>
  <rv s="8">
    <fb>986.02</fb>
    <v>17</v>
  </rv>
  <rv s="8">
    <fb>998.43</fb>
    <v>17</v>
  </rv>
  <rv s="8">
    <fb>994.76</fb>
    <v>17</v>
  </rv>
  <rv s="8">
    <fb>986.74</fb>
    <v>17</v>
  </rv>
  <rv s="8">
    <fb>1010.79</fb>
    <v>17</v>
  </rv>
  <rv s="8">
    <fb>1002.77</fb>
    <v>17</v>
  </rv>
  <rv s="8">
    <fb>1007.77</fb>
    <v>17</v>
  </rv>
  <rv s="8">
    <fb>1006.74</fb>
    <v>17</v>
  </rv>
  <rv s="8">
    <fb>982.57</fb>
    <v>17</v>
  </rv>
  <rv s="8">
    <fb>998.1</fb>
    <v>17</v>
  </rv>
  <rv s="8">
    <fb>1005.3</fb>
    <v>17</v>
  </rv>
  <rv s="8">
    <fb>997.36</fb>
    <v>17</v>
  </rv>
  <rv s="8">
    <fb>992.23</fb>
    <v>17</v>
  </rv>
  <rv s="8">
    <fb>1003.32</fb>
    <v>17</v>
  </rv>
  <rv s="8">
    <fb>1008.43</fb>
    <v>17</v>
  </rv>
  <rv s="8">
    <fb>1001.74</fb>
    <v>17</v>
  </rv>
  <rv s="8">
    <fb>996.16</fb>
    <v>17</v>
  </rv>
  <rv s="8">
    <fb>979.92</fb>
    <v>17</v>
  </rv>
  <rv s="8">
    <fb>974.78</fb>
    <v>17</v>
  </rv>
  <rv s="8">
    <fb>972.33</fb>
    <v>17</v>
  </rv>
  <rv s="8">
    <fb>965.73</fb>
    <v>17</v>
  </rv>
  <rv s="8">
    <fb>973.82</fb>
    <v>17</v>
  </rv>
  <rv s="8">
    <fb>974.86</fb>
    <v>17</v>
  </rv>
  <rv s="8">
    <fb>979.65</fb>
    <v>17</v>
  </rv>
  <rv s="8">
    <fb>983.86</fb>
    <v>17</v>
  </rv>
  <rv s="8">
    <fb>996.58</fb>
    <v>17</v>
  </rv>
  <rv s="8">
    <fb>996.43</fb>
    <v>17</v>
  </rv>
  <rv s="8">
    <fb>996.56</fb>
    <v>17</v>
  </rv>
  <rv s="8">
    <fb>1014.96</fb>
    <v>17</v>
  </rv>
  <rv s="8">
    <fb>1018.55</fb>
    <v>17</v>
  </rv>
  <rv s="8">
    <fb>1013.21</fb>
    <v>17</v>
  </rv>
  <rv s="8">
    <fb>1030.27</fb>
    <v>17</v>
  </rv>
  <rv s="8">
    <fb>1032.03</fb>
    <v>17</v>
  </rv>
  <rv s="8">
    <fb>998.47</fb>
    <v>17</v>
  </rv>
  <rv s="8">
    <fb>980.85</fb>
    <v>17</v>
  </rv>
  <rv s="8">
    <fb>974.8</fb>
    <v>17</v>
  </rv>
  <rv s="8">
    <fb>984.75</fb>
    <v>17</v>
  </rv>
  <rv s="8">
    <fb>987.21</fb>
    <v>17</v>
  </rv>
  <rv s="8">
    <fb>999.89</fb>
    <v>17</v>
  </rv>
  <rv s="8">
    <fb>997.84</fb>
    <v>17</v>
  </rv>
  <rv s="8">
    <fb>1005.81</fb>
    <v>17</v>
  </rv>
  <rv s="8">
    <fb>1003.7</fb>
    <v>17</v>
  </rv>
  <rv s="8">
    <fb>1014.38</fb>
    <v>17</v>
  </rv>
  <rv s="8">
    <fb>1011.15</fb>
    <v>17</v>
  </rv>
  <rv s="8">
    <fb>998.01</fb>
    <v>17</v>
  </rv>
  <rv s="8">
    <fb>994</fb>
    <v>17</v>
  </rv>
  <rv s="8">
    <fb>998.67</fb>
    <v>17</v>
  </rv>
  <rv s="8">
    <fb>1014.53</fb>
    <v>17</v>
  </rv>
  <rv s="8">
    <fb>1011.7</fb>
    <v>17</v>
  </rv>
  <rv s="8">
    <fb>1012.79</fb>
    <v>17</v>
  </rv>
  <rv s="8">
    <fb>1016.42</fb>
    <v>17</v>
  </rv>
  <rv s="8">
    <fb>995.75</fb>
    <v>17</v>
  </rv>
  <rv s="8">
    <fb>1012.06</fb>
    <v>17</v>
  </rv>
  <rv s="8">
    <fb>1008.79</fb>
    <v>17</v>
  </rv>
  <rv s="8">
    <fb>999.47</fb>
    <v>17</v>
  </rv>
  <rv s="8">
    <fb>1021.88</fb>
    <v>17</v>
  </rv>
  <rv s="8">
    <fb>1033.08</fb>
    <v>17</v>
  </rv>
  <rv s="8">
    <fb>1041.25</fb>
    <v>17</v>
  </rv>
  <rv s="8">
    <fb>1048.95</fb>
    <v>17</v>
  </rv>
  <rv s="8">
    <fb>1076.47</fb>
    <v>17</v>
  </rv>
  <rv s="8">
    <fb>1094.32</fb>
    <v>17</v>
  </rv>
  <rv s="8">
    <fb>1074.01</fb>
    <v>17</v>
  </rv>
  <rv s="8">
    <fb>1050.45</fb>
    <v>17</v>
  </rv>
  <rv s="8">
    <fb>1028.24</fb>
    <v>17</v>
  </rv>
  <rv s="8">
    <fb>1002.93</fb>
    <v>17</v>
  </rv>
  <rv s="8">
    <fb>1003.69</fb>
    <v>17</v>
  </rv>
  <rv s="8">
    <fb>995.2</fb>
    <v>17</v>
  </rv>
  <rv s="8">
    <fb>956.32</fb>
    <v>17</v>
  </rv>
  <rv s="8">
    <fb>946.11</fb>
    <v>17</v>
  </rv>
  <rv s="8">
    <fb>954.27</fb>
    <v>17</v>
  </rv>
  <rv s="8">
    <fb>961.83</fb>
    <v>17</v>
  </rv>
  <rv s="8">
    <fb>972.35</fb>
    <v>17</v>
  </rv>
  <rv s="8">
    <fb>971.87</fb>
    <v>17</v>
  </rv>
  <rv s="8">
    <fb>974.75</fb>
    <v>17</v>
  </rv>
  <rv s="8">
    <fb>968.59</fb>
    <v>17</v>
  </rv>
  <rv s="8">
    <fb>983.37</fb>
    <v>17</v>
  </rv>
  <rv s="8">
    <fb>975.69</fb>
    <v>17</v>
  </rv>
  <rv s="8">
    <fb>982.35</fb>
    <v>17</v>
  </rv>
  <rv s="8">
    <fb>979.45</fb>
    <v>17</v>
  </rv>
  <rv s="8">
    <fb>986.68</fb>
    <v>17</v>
  </rv>
  <rv s="8">
    <fb>965.59</fb>
    <v>17</v>
  </rv>
  <rv s="8">
    <fb>951.45</fb>
    <v>17</v>
  </rv>
  <rv s="8">
    <fb>951.35</fb>
    <v>17</v>
  </rv>
  <rv s="8">
    <fb>957.68</fb>
    <v>17</v>
  </rv>
  <rv s="8">
    <fb>961.09</fb>
    <v>17</v>
  </rv>
  <rv s="8">
    <fb>942.24</fb>
    <v>17</v>
  </rv>
  <rv s="8">
    <fb>952.54</fb>
    <v>17</v>
  </rv>
  <rv s="8">
    <fb>946.68</fb>
    <v>17</v>
  </rv>
  <rv s="8">
    <fb>935.47</fb>
    <v>17</v>
  </rv>
  <rv s="8">
    <fb>924.67</fb>
    <v>17</v>
  </rv>
  <rv s="8">
    <fb>951.67</fb>
    <v>17</v>
  </rv>
  <rv s="8">
    <fb>950.25</fb>
    <v>17</v>
  </rv>
  <rv s="8">
    <fb>947.5</fb>
    <v>17</v>
  </rv>
  <rv s="8">
    <fb>953.13</fb>
    <v>17</v>
  </rv>
  <rv s="8">
    <fb>912.97</fb>
    <v>17</v>
  </rv>
  <rv s="8">
    <fb>916.25</fb>
    <v>17</v>
  </rv>
  <rv s="8">
    <fb>926.43</fb>
    <v>17</v>
  </rv>
  <rv s="8">
    <fb>921.75</fb>
    <v>17</v>
  </rv>
  <rv s="8">
    <fb>916.54</fb>
    <v>17</v>
  </rv>
  <rv s="8">
    <fb>945.57</fb>
    <v>17</v>
  </rv>
  <rv s="8">
    <fb>940.87</fb>
    <v>17</v>
  </rv>
  <rv s="8">
    <fb>935.8</fb>
    <v>17</v>
  </rv>
  <rv s="8">
    <fb>929.22</fb>
    <v>17</v>
  </rv>
  <rv s="8">
    <fb>927.31</fb>
    <v>17</v>
  </rv>
  <rv s="8">
    <fb>926.06</fb>
    <v>17</v>
  </rv>
  <rv s="8">
    <fb>951.58</fb>
    <v>17</v>
  </rv>
  <rv s="8">
    <fb>966.58</fb>
    <v>17</v>
  </rv>
  <rv s="8">
    <fb>974.03</fb>
    <v>17</v>
  </rv>
  <rv s="8">
    <fb>954.17</fb>
    <v>17</v>
  </rv>
  <rv s="8">
    <fb>951.89</fb>
    <v>17</v>
  </rv>
  <rv s="8">
    <fb>954.08</fb>
    <v>17</v>
  </rv>
  <rv s="8">
    <fb>947.85</fb>
    <v>17</v>
  </rv>
  <rv s="8">
    <fb>941.99</fb>
    <v>17</v>
  </rv>
  <rv s="8">
    <fb>949.15</fb>
    <v>17</v>
  </rv>
  <rv s="8">
    <fb>947.82</fb>
    <v>17</v>
  </rv>
  <rv s="8">
    <fb>952.75</fb>
    <v>17</v>
  </rv>
  <rv s="8">
    <fb>944.32</fb>
    <v>17</v>
  </rv>
  <rv s="8">
    <fb>949.57500000000005</fb>
    <v>17</v>
  </rv>
  <rv s="8">
    <fb>961.85</fb>
    <v>17</v>
  </rv>
  <rv s="8">
    <fb>961.1</fb>
    <v>17</v>
  </rv>
  <rv s="8">
    <fb>953.5</fb>
    <v>17</v>
  </rv>
  <rv s="8">
    <fb>961.35</fb>
    <v>17</v>
  </rv>
  <rv s="8">
    <fb>956.99</fb>
    <v>17</v>
  </rv>
  <rv s="8">
    <fb>933.51</fb>
    <v>17</v>
  </rv>
  <rv s="8">
    <fb>947.74</fb>
    <v>17</v>
  </rv>
  <rv s="8">
    <fb>971.4</fb>
    <v>17</v>
  </rv>
  <rv s="8">
    <fb>960.01</fb>
    <v>17</v>
  </rv>
  <rv s="8">
    <fb>956.12</fb>
    <v>17</v>
  </rv>
  <rv s="8">
    <fb>934.66</fb>
    <v>17</v>
  </rv>
  <rv s="8">
    <fb>945.47</fb>
    <v>17</v>
  </rv>
  <rv s="8">
    <fb>943.89</fb>
    <v>17</v>
  </rv>
  <rv s="8">
    <fb>939.96</fb>
    <v>17</v>
  </rv>
  <rv s="8">
    <fb>928.48</fb>
    <v>17</v>
  </rv>
  <rv s="8">
    <fb>925.41</fb>
    <v>17</v>
  </rv>
  <rv s="8">
    <fb>915.74</fb>
    <v>17</v>
  </rv>
  <rv s="8">
    <fb>910.18</fb>
    <v>17</v>
  </rv>
  <rv s="8">
    <fb>902.6</fb>
    <v>17</v>
  </rv>
  <rv s="8">
    <fb>902.38</fb>
    <v>17</v>
  </rv>
  <rv s="8">
    <fb>904.77</fb>
    <v>17</v>
  </rv>
  <rv s="8">
    <fb>918.91</fb>
    <v>17</v>
  </rv>
  <rv s="8">
    <fb>901.35</fb>
    <v>17</v>
  </rv>
  <rv s="8">
    <fb>893.74</fb>
    <v>17</v>
  </rv>
  <rv s="8">
    <fb>893.93</fb>
    <v>17</v>
  </rv>
  <rv s="8">
    <fb>895.31</fb>
    <v>17</v>
  </rv>
  <rv s="8">
    <fb>898.48</fb>
    <v>17</v>
  </rv>
  <rv s="8">
    <fb>899.41</fb>
    <v>17</v>
  </rv>
  <rv s="8">
    <fb>904.7</fb>
    <v>17</v>
  </rv>
  <rv s="8">
    <fb>896.48</fb>
    <v>17</v>
  </rv>
  <rv s="8">
    <fb>922.76499999999999</fb>
    <v>17</v>
  </rv>
  <rv s="8">
    <fb>922.92</fb>
    <v>17</v>
  </rv>
  <rv s="8">
    <fb>2393041</fb>
    <v>18</v>
  </rv>
  <rv s="8">
    <fb>945.19</fb>
    <v>17</v>
  </rv>
  <rv s="8">
    <fb>949.3</fb>
    <v>17</v>
  </rv>
  <rv s="8">
    <fb>940.71</fb>
    <v>17</v>
  </rv>
  <rv s="8">
    <fb>1508559</fb>
    <v>18</v>
  </rv>
  <rv s="8">
    <fb>947.35</fb>
    <v>17</v>
  </rv>
  <rv s="8">
    <fb>952.09500000000003</fb>
    <v>17</v>
  </rv>
  <rv s="8">
    <fb>935.92499999999995</fb>
    <v>17</v>
  </rv>
  <rv s="8">
    <fb>2166373</fb>
    <v>18</v>
  </rv>
  <rv s="8">
    <fb>938.49</fb>
    <v>17</v>
  </rv>
  <rv s="8">
    <fb>938.88</fb>
    <v>17</v>
  </rv>
  <rv s="8">
    <fb>920.31010000000003</fb>
    <v>17</v>
  </rv>
  <rv s="8">
    <fb>2172780</fb>
    <v>18</v>
  </rv>
  <rv s="8">
    <fb>927.79</fb>
    <v>17</v>
  </rv>
  <rv s="8">
    <fb>930.76</fb>
    <v>17</v>
  </rv>
  <rv s="8">
    <fb>2079070</fb>
    <v>18</v>
  </rv>
  <rv s="8">
    <fb>926.09</fb>
    <v>17</v>
  </rv>
  <rv s="8">
    <fb>914.54</fb>
    <v>17</v>
  </rv>
  <rv s="8">
    <fb>2240323</fb>
    <v>18</v>
  </rv>
  <rv s="8">
    <fb>912.4</fb>
    <v>17</v>
  </rv>
  <rv s="8">
    <fb>915.13</fb>
    <v>17</v>
  </rv>
  <rv s="8">
    <fb>906.1</fb>
    <v>17</v>
  </rv>
  <rv s="8">
    <fb>2067832</fb>
    <v>18</v>
  </rv>
  <rv s="8">
    <fb>907</fb>
    <v>17</v>
  </rv>
  <rv s="8">
    <fb>909.22990000000004</fb>
    <v>17</v>
  </rv>
  <rv s="8">
    <fb>898.43</fb>
    <v>17</v>
  </rv>
  <rv s="8">
    <fb>1921405</fb>
    <v>18</v>
  </rv>
  <rv s="8">
    <fb>906.62</fb>
    <v>17</v>
  </rv>
  <rv s="8">
    <fb>912.1</fb>
    <v>17</v>
  </rv>
  <rv s="8">
    <fb>899</fb>
    <v>17</v>
  </rv>
  <rv s="8">
    <fb>1763239</fb>
    <v>18</v>
  </rv>
  <rv s="8">
    <fb>905.17</fb>
    <v>17</v>
  </rv>
  <rv s="8">
    <fb>907.35879999999997</fb>
    <v>17</v>
  </rv>
  <rv s="8">
    <fb>900.75</fb>
    <v>17</v>
  </rv>
  <rv s="8">
    <fb>2014224</fb>
    <v>18</v>
  </rv>
  <rv s="8">
    <fb>913.64499999999998</fb>
    <v>17</v>
  </rv>
  <rv s="8">
    <fb>921.99</fb>
    <v>17</v>
  </rv>
  <rv s="8">
    <fb>910.79</fb>
    <v>17</v>
  </rv>
  <rv s="8">
    <fb>2184182</fb>
    <v>18</v>
  </rv>
  <rv s="8">
    <fb>916.92</fb>
    <v>17</v>
  </rv>
  <rv s="8">
    <fb>900.25</fb>
    <v>17</v>
  </rv>
  <rv s="8">
    <fb>2101651</fb>
    <v>18</v>
  </rv>
  <rv s="8">
    <fb>901.05</fb>
    <v>17</v>
  </rv>
  <rv s="8">
    <fb>902</fb>
    <v>17</v>
  </rv>
  <rv s="8">
    <fb>892.67</fb>
    <v>17</v>
  </rv>
  <rv s="8">
    <fb>2322546</fb>
    <v>18</v>
  </rv>
  <rv s="8">
    <fb>895.31500000000005</fb>
    <v>17</v>
  </rv>
  <rv s="8">
    <fb>895.99990000000003</fb>
    <v>17</v>
  </rv>
  <rv s="8">
    <fb>888.04</fb>
    <v>17</v>
  </rv>
  <rv s="8">
    <fb>4180440</fb>
    <v>18</v>
  </rv>
  <rv s="8">
    <fb>892.42499999999995</fb>
    <v>17</v>
  </rv>
  <rv s="8">
    <fb>898.4</fb>
    <v>17</v>
  </rv>
  <rv s="8">
    <fb>890.55</fb>
    <v>17</v>
  </rv>
  <rv s="8">
    <fb>2163492</fb>
    <v>18</v>
  </rv>
  <rv s="8">
    <fb>891.07</fb>
    <v>17</v>
  </rv>
  <rv s="8">
    <fb>899.44</fb>
    <v>17</v>
  </rv>
  <rv s="8">
    <fb>885.5</fb>
    <v>17</v>
  </rv>
  <rv s="8">
    <fb>1982884</fb>
    <v>18</v>
  </rv>
  <rv s="8">
    <fb>902.255</fb>
    <v>17</v>
  </rv>
  <rv s="8">
    <fb>903.4</fb>
    <v>17</v>
  </rv>
  <rv s="8">
    <fb>895.84</fb>
    <v>17</v>
  </rv>
  <rv s="8">
    <fb>2283883</fb>
    <v>18</v>
  </rv>
  <rv s="8">
    <fb>901.31</fb>
    <v>17</v>
  </rv>
  <rv s="8">
    <fb>905.59</fb>
    <v>17</v>
  </rv>
  <rv s="8">
    <fb>893.36</fb>
    <v>17</v>
  </rv>
  <rv s="8">
    <fb>2893294</fb>
    <v>18</v>
  </rv>
  <rv s="8">
    <fb>908.81</fb>
    <v>17</v>
  </rv>
  <rv s="8">
    <fb>909.42759999999998</fb>
    <v>17</v>
  </rv>
  <rv s="8">
    <fb>895.26</fb>
    <v>17</v>
  </rv>
  <rv s="8">
    <fb>4631424</fb>
    <v>18</v>
  </rv>
  <rv s="8">
    <fb>887</fb>
    <v>17</v>
  </rv>
  <rv s="8">
    <fb>925.14</fb>
    <v>17</v>
  </rv>
  <rv s="8">
    <fb>883.1</fb>
    <v>17</v>
  </rv>
  <rv s="8">
    <fb>2443760</fb>
    <v>18</v>
  </rv>
  <rv s="8">
    <fb>924.38499999999999</fb>
    <v>17</v>
  </rv>
  <rv s="8">
    <fb>931.09</fb>
    <v>17</v>
  </rv>
  <rv s="8">
    <fb>913</fb>
    <v>17</v>
  </rv>
  <rv s="8">
    <fb>133.9</fb>
    <v>17</v>
  </rv>
  <rv s="8">
    <fb>141.77000000000001</fb>
    <v>17</v>
  </rv>
  <rv s="8">
    <fb>149.68</fb>
    <v>17</v>
  </rv>
  <rv s="8">
    <fb>147.37</fb>
    <v>17</v>
  </rv>
  <rv s="8">
    <fb>140.74</fb>
    <v>17</v>
  </rv>
  <rv s="8">
    <fb>145.76</fb>
    <v>17</v>
  </rv>
  <rv s="8">
    <fb>150.87</fb>
    <v>17</v>
  </rv>
  <rv s="8">
    <fb>164.53</fb>
    <v>17</v>
  </rv>
  <rv s="8">
    <fb>155.94999999999999</fb>
    <v>17</v>
  </rv>
  <rv s="8">
    <fb>150.57</fb>
    <v>17</v>
  </rv>
  <rv s="8">
    <fb>153.4</fb>
    <v>17</v>
  </rv>
  <rv s="8">
    <fb>148.77000000000001</fb>
    <v>17</v>
  </rv>
  <rv s="8">
    <fb>153.69999999999999</fb>
    <v>17</v>
  </rv>
  <rv s="8">
    <fb>151.31</fb>
    <v>17</v>
  </rv>
  <rv s="8">
    <fb>149.59</fb>
    <v>17</v>
  </rv>
  <rv s="8">
    <fb>147.87</fb>
    <v>17</v>
  </rv>
  <rv s="8">
    <fb>149.43</fb>
    <v>17</v>
  </rv>
  <rv s="8">
    <fb>150.13</fb>
    <v>17</v>
  </rv>
  <rv s="8">
    <fb>154.22999999999999</fb>
    <v>17</v>
  </rv>
  <rv s="8">
    <fb>158.63999999999999</fb>
    <v>17</v>
  </rv>
  <rv s="8">
    <fb>162.19</fb>
    <v>17</v>
  </rv>
  <rv s="8">
    <fb>164.88</fb>
    <v>17</v>
  </rv>
  <rv s="8">
    <fb>163.6</fb>
    <v>17</v>
  </rv>
  <rv s="8">
    <fb>161.01</fb>
    <v>17</v>
  </rv>
  <rv s="8">
    <fb>162.01</fb>
    <v>17</v>
  </rv>
  <rv s="8">
    <fb>160.11000000000001</fb>
    <v>17</v>
  </rv>
  <rv s="8">
    <fb>154.63999999999999</fb>
    <v>17</v>
  </rv>
  <rv s="8">
    <fb>149.18</fb>
    <v>17</v>
  </rv>
  <rv s="8">
    <fb>146.69999999999999</fb>
    <v>17</v>
  </rv>
  <rv s="8">
    <fb>142.69</fb>
    <v>17</v>
  </rv>
  <rv s="8">
    <fb>138.76</fb>
    <v>17</v>
  </rv>
  <rv s="8">
    <fb>133.94</fb>
    <v>17</v>
  </rv>
  <rv s="8">
    <fb>133.76</fb>
    <v>17</v>
  </rv>
  <rv s="8">
    <fb>122.48</fb>
    <v>17</v>
  </rv>
  <rv s="8">
    <fb>119.38</fb>
    <v>17</v>
  </rv>
  <rv s="8">
    <fb>117.4</fb>
    <v>17</v>
  </rv>
  <rv s="8">
    <fb>122.51</fb>
    <v>17</v>
  </rv>
  <rv s="8">
    <fb>127.22</fb>
    <v>17</v>
  </rv>
  <rv s="8">
    <fb>125.92</fb>
    <v>17</v>
  </rv>
  <rv s="8">
    <fb>133.35</fb>
    <v>17</v>
  </rv>
  <rv s="8">
    <fb>132.09</fb>
    <v>17</v>
  </rv>
  <rv s="8">
    <fb>135.94999999999999</fb>
    <v>17</v>
  </rv>
  <rv s="8">
    <fb>133.63</fb>
    <v>17</v>
  </rv>
  <rv s="8">
    <fb>138.99</fb>
    <v>17</v>
  </rv>
  <rv s="8">
    <fb>138.91</fb>
    <v>17</v>
  </rv>
  <rv s="8">
    <fb>140.41</fb>
    <v>17</v>
  </rv>
  <rv s="8">
    <fb>138.22</fb>
    <v>17</v>
  </rv>
  <rv s="8">
    <fb>140.63</fb>
    <v>17</v>
  </rv>
  <rv s="8">
    <fb>138.6</fb>
    <v>17</v>
  </rv>
  <rv s="8">
    <fb>130.51</fb>
    <v>17</v>
  </rv>
  <rv s="8">
    <fb>133.75</fb>
    <v>17</v>
  </rv>
  <rv s="8">
    <fb>127.89</fb>
    <v>17</v>
  </rv>
  <rv s="8">
    <fb>122.94</fb>
    <v>17</v>
  </rv>
  <rv s="8">
    <fb>126.42</fb>
    <v>17</v>
  </rv>
  <rv s="8">
    <fb>126.61</fb>
    <v>17</v>
  </rv>
  <rv s="8">
    <fb>127.62</fb>
    <v>17</v>
  </rv>
  <rv s="8">
    <fb>128.38</fb>
    <v>17</v>
  </rv>
  <rv s="8">
    <fb>129.24</fb>
    <v>17</v>
  </rv>
  <rv s="8">
    <fb>127.46</fb>
    <v>17</v>
  </rv>
  <rv s="8">
    <fb>125.88</fb>
    <v>17</v>
  </rv>
  <rv s="8">
    <fb>127.8</fb>
    <v>17</v>
  </rv>
  <rv s="8">
    <fb>124.01</fb>
    <v>17</v>
  </rv>
  <rv s="8">
    <fb>123.93</fb>
    <v>17</v>
  </rv>
  <rv s="8">
    <fb>118.5</fb>
    <v>17</v>
  </rv>
  <rv s="8">
    <fb>120.62</fb>
    <v>17</v>
  </rv>
  <rv s="8">
    <fb>120.47</fb>
    <v>17</v>
  </rv>
  <rv s="8">
    <fb>119.66</fb>
    <v>17</v>
  </rv>
  <rv s="8">
    <fb>118.69</fb>
    <v>17</v>
  </rv>
  <rv s="8">
    <fb>120.53</fb>
    <v>17</v>
  </rv>
  <rv s="8">
    <fb>111.07</fb>
    <v>17</v>
  </rv>
  <rv s="8">
    <fb>117.17</fb>
    <v>17</v>
  </rv>
  <rv s="8">
    <fb>115.43</fb>
    <v>17</v>
  </rv>
  <rv s="8">
    <fb>115.93</fb>
    <v>17</v>
  </rv>
  <rv s="8">
    <fb>114.66</fb>
    <v>17</v>
  </rv>
  <rv s="8">
    <fb>117.32</fb>
    <v>17</v>
  </rv>
  <rv s="8">
    <fb>118.49</fb>
    <v>17</v>
  </rv>
  <rv s="8">
    <fb>114.44</fb>
    <v>17</v>
  </rv>
  <rv s="8">
    <fb>119.16</fb>
    <v>17</v>
  </rv>
  <rv s="8">
    <fb>117.15</fb>
    <v>17</v>
  </rv>
  <rv s="8">
    <fb>122.04</fb>
    <v>17</v>
  </rv>
  <rv s="8">
    <fb>115.39</fb>
    <v>17</v>
  </rv>
  <rv s="8">
    <fb>121.05</fb>
    <v>17</v>
  </rv>
  <rv s="8">
    <fb>120.91</fb>
    <v>17</v>
  </rv>
  <rv s="8">
    <fb>126.01</fb>
    <v>17</v>
  </rv>
  <rv s="8">
    <fb>124.16</fb>
    <v>17</v>
  </rv>
  <rv s="8">
    <fb>116.09</fb>
    <v>17</v>
  </rv>
  <rv s="8">
    <fb>116.78</fb>
    <v>17</v>
  </rv>
  <rv s="8">
    <fb>119.06</fb>
    <v>17</v>
  </rv>
  <rv s="8">
    <fb>122.27</fb>
    <v>17</v>
  </rv>
  <rv s="8">
    <fb>119.78</fb>
    <v>17</v>
  </rv>
  <rv s="8">
    <fb>123.48</fb>
    <v>17</v>
  </rv>
  <rv s="8">
    <fb>121.45</fb>
    <v>17</v>
  </rv>
  <rv s="8">
    <fb>148.08000000000001</fb>
    <v>17</v>
  </rv>
  <rv s="8">
    <fb>145.18</fb>
    <v>17</v>
  </rv>
  <rv s="8">
    <fb>147.1</fb>
    <v>17</v>
  </rv>
  <rv s="8">
    <fb>146.52000000000001</fb>
    <v>17</v>
  </rv>
  <rv s="8">
    <fb>146.47999999999999</fb>
    <v>17</v>
  </rv>
  <rv s="8">
    <fb>146.51</fb>
    <v>17</v>
  </rv>
  <rv s="8">
    <fb>143.80000000000001</fb>
    <v>17</v>
  </rv>
  <rv s="8">
    <fb>149.91</fb>
    <v>17</v>
  </rv>
  <rv s="8">
    <fb>151.62</fb>
    <v>17</v>
  </rv>
  <rv s="8">
    <fb>153.01</fb>
    <v>17</v>
  </rv>
  <rv s="8">
    <fb>149.21</fb>
    <v>17</v>
  </rv>
  <rv s="8">
    <fb>156.76</fb>
    <v>17</v>
  </rv>
  <rv s="8">
    <fb>157.66999999999999</fb>
    <v>17</v>
  </rv>
  <rv s="8">
    <fb>164.59</fb>
    <v>17</v>
  </rv>
  <rv s="8">
    <fb>176.91</fb>
    <v>17</v>
  </rv>
  <rv s="8">
    <fb>184.01</fb>
    <v>17</v>
  </rv>
  <rv s="8">
    <fb>175.82</fb>
    <v>17</v>
  </rv>
  <rv s="8">
    <fb>171.81</fb>
    <v>17</v>
  </rv>
  <rv s="8">
    <fb>164.66</fb>
    <v>17</v>
  </rv>
  <rv s="8">
    <fb>164.13</fb>
    <v>17</v>
  </rv>
  <rv s="8">
    <fb>169.38</fb>
    <v>17</v>
  </rv>
  <rv s="8">
    <fb>174.37</fb>
    <v>17</v>
  </rv>
  <rv s="8">
    <fb>173.18</fb>
    <v>17</v>
  </rv>
  <rv s="8">
    <fb>177.69</fb>
    <v>17</v>
  </rv>
  <rv s="8">
    <fb>177.8</fb>
    <v>17</v>
  </rv>
  <rv s="8">
    <fb>189.79</fb>
    <v>17</v>
  </rv>
  <rv s="8">
    <fb>184.51</fb>
    <v>17</v>
  </rv>
  <rv s="8">
    <fb>177.28</fb>
    <v>17</v>
  </rv>
  <rv s="8">
    <fb>193.09</fb>
    <v>17</v>
  </rv>
  <rv s="8">
    <fb>196.55</fb>
    <v>17</v>
  </rv>
  <rv s="8">
    <fb>204.24</fb>
    <v>17</v>
  </rv>
  <rv s="8">
    <fb>212.36</fb>
    <v>17</v>
  </rv>
  <rv s="8">
    <fb>214.65</fb>
    <v>17</v>
  </rv>
  <rv s="8">
    <fb>212.14</fb>
    <v>17</v>
  </rv>
  <rv s="8">
    <fb>216.09</fb>
    <v>17</v>
  </rv>
  <rv s="8">
    <fb>215.97</fb>
    <v>17</v>
  </rv>
  <rv s="8">
    <fb>205.93</fb>
    <v>17</v>
  </rv>
  <rv s="8">
    <fb>208.95</fb>
    <v>17</v>
  </rv>
  <rv s="8">
    <fb>210.17</fb>
    <v>17</v>
  </rv>
  <rv s="8">
    <fb>211.64</fb>
    <v>17</v>
  </rv>
  <rv s="8">
    <fb>216.32</fb>
    <v>17</v>
  </rv>
  <rv s="8">
    <fb>238.8</fb>
    <v>17</v>
  </rv>
  <rv s="8">
    <fb>230.27</fb>
    <v>17</v>
  </rv>
  <rv s="8">
    <fb>260.45999999999998</fb>
    <v>17</v>
  </rv>
  <rv s="8">
    <fb>238.94</fb>
    <v>17</v>
  </rv>
  <rv s="8">
    <fb>243.87</fb>
    <v>17</v>
  </rv>
  <rv s="8">
    <fb>247.89</fb>
    <v>17</v>
  </rv>
  <rv s="8">
    <fb>241.99</fb>
    <v>17</v>
  </rv>
  <rv s="8">
    <fb>235.26</fb>
    <v>17</v>
  </rv>
  <rv s="8">
    <fb>242.93</fb>
    <v>17</v>
  </rv>
  <rv s="8">
    <fb>252.8</fb>
    <v>17</v>
  </rv>
  <rv s="8">
    <fb>295.19</fb>
    <v>17</v>
  </rv>
  <rv s="8">
    <fb>305.08</fb>
    <v>17</v>
  </rv>
  <rv s="8">
    <fb>305.32</fb>
    <v>17</v>
  </rv>
  <rv s="8">
    <fb>317.05</fb>
    <v>17</v>
  </rv>
  <rv s="8">
    <fb>420.91</fb>
    <v>17</v>
  </rv>
  <rv s="8">
    <fb>465.96</fb>
    <v>17</v>
  </rv>
  <rv s="8">
    <fb>435.31</fb>
    <v>17</v>
  </rv>
  <rv s="8">
    <fb>421.08</fb>
    <v>17</v>
  </rv>
  <rv s="8">
    <fb>422.05</fb>
    <v>17</v>
  </rv>
  <rv s="8">
    <fb>394.39</fb>
    <v>17</v>
  </rv>
  <rv s="8">
    <fb>400.77</fb>
    <v>17</v>
  </rv>
  <rv s="8">
    <fb>381.78</fb>
    <v>17</v>
  </rv>
  <rv s="8">
    <fb>369.83</fb>
    <v>17</v>
  </rv>
  <rv s="8">
    <fb>391.45</fb>
    <v>17</v>
  </rv>
  <rv s="8">
    <fb>395.57</fb>
    <v>17</v>
  </rv>
  <rv s="8">
    <fb>409.07</fb>
    <v>17</v>
  </rv>
  <rv s="8">
    <fb>404.08</fb>
    <v>17</v>
  </rv>
  <rv s="8">
    <fb>419.32</fb>
    <v>17</v>
  </rv>
  <rv s="8">
    <fb>409.5</fb>
    <v>17</v>
  </rv>
  <rv s="8">
    <fb>418.71</fb>
    <v>17</v>
  </rv>
  <rv s="8">
    <fb>427.78</fb>
    <v>17</v>
  </rv>
  <rv s="8">
    <fb>434.06</fb>
    <v>17</v>
  </rv>
  <rv s="8">
    <fb>409.45</fb>
    <v>17</v>
  </rv>
  <rv s="8">
    <fb>399.49</fb>
    <v>17</v>
  </rv>
  <rv s="8">
    <fb>414.61</fb>
    <v>17</v>
  </rv>
  <rv s="8">
    <fb>431.46</fb>
    <v>17</v>
  </rv>
  <rv s="8">
    <fb>425.25</fb>
    <v>17</v>
  </rv>
  <rv s="8">
    <fb>394.32</fb>
    <v>17</v>
  </rv>
  <rv s="8">
    <fb>411.8</fb>
    <v>17</v>
  </rv>
  <rv s="8">
    <fb>417.28</fb>
    <v>17</v>
  </rv>
  <rv s="8">
    <fb>431.97</fb>
    <v>17</v>
  </rv>
  <rv s="8">
    <fb>450.22</fb>
    <v>17</v>
  </rv>
  <rv s="8">
    <fb>434.97</fb>
    <v>17</v>
  </rv>
  <rv s="8">
    <fb>427.11</fb>
    <v>17</v>
  </rv>
  <rv s="8">
    <fb>457.54</fb>
    <v>17</v>
  </rv>
  <rv s="8">
    <fb>412.68</fb>
    <v>17</v>
  </rv>
  <rv s="8">
    <fb>391.38</fb>
    <v>17</v>
  </rv>
  <rv s="8">
    <fb>396.34</fb>
    <v>17</v>
  </rv>
  <rv s="8">
    <fb>381.88</fb>
    <v>17</v>
  </rv>
  <rv s="8">
    <fb>404.15</fb>
    <v>17</v>
  </rv>
  <rv s="8">
    <fb>441.8</fb>
    <v>17</v>
  </rv>
  <rv s="8">
    <fb>439.34</fb>
    <v>17</v>
  </rv>
  <rv s="8">
    <fb>437.5</fb>
    <v>17</v>
  </rv>
  <rv s="8">
    <fb>426.91</fb>
    <v>17</v>
  </rv>
  <rv s="8">
    <fb>392.1</fb>
    <v>17</v>
  </rv>
  <rv s="8">
    <fb>369.64</fb>
    <v>17</v>
  </rv>
  <rv s="8">
    <fb>404.81</fb>
    <v>17</v>
  </rv>
  <rv s="8">
    <fb>405.37</fb>
    <v>17</v>
  </rv>
  <rv s="8">
    <fb>429.02</fb>
    <v>17</v>
  </rv>
  <rv s="8">
    <fb>467.27</fb>
    <v>17</v>
  </rv>
  <rv s="8">
    <fb>462.7</fb>
    <v>17</v>
  </rv>
  <rv s="8">
    <fb>437.65</fb>
    <v>17</v>
  </rv>
  <rv s="8">
    <fb>453.77</fb>
    <v>17</v>
  </rv>
  <rv s="8">
    <fb>457.88</fb>
    <v>17</v>
  </rv>
  <rv s="8">
    <fb>440.97</fb>
    <v>17</v>
  </rv>
  <rv s="8">
    <fb>484.5</fb>
    <v>17</v>
  </rv>
  <rv s="8">
    <fb>494.51</fb>
    <v>17</v>
  </rv>
  <rv s="8">
    <fb>490.81</fb>
    <v>17</v>
  </rv>
  <rv s="8">
    <fb>479.81</fb>
    <v>17</v>
  </rv>
  <rv s="8">
    <fb>468.65</fb>
    <v>17</v>
  </rv>
  <rv s="8">
    <fb>437.55</fb>
    <v>17</v>
  </rv>
  <rv s="8">
    <fb>434.78</fb>
    <v>17</v>
  </rv>
  <rv s="8">
    <fb>442.08</fb>
    <v>17</v>
  </rv>
  <rv s="8">
    <fb>433.19</fb>
    <v>17</v>
  </rv>
  <rv s="8">
    <fb>451.5</fb>
    <v>17</v>
  </rv>
  <rv s="8">
    <fb>463.82</fb>
    <v>17</v>
  </rv>
  <rv s="8">
    <fb>472.26</fb>
    <v>17</v>
  </rv>
  <rv s="8">
    <fb>456.24</fb>
    <v>17</v>
  </rv>
  <rv s="8">
    <fb>456.01</fb>
    <v>17</v>
  </rv>
  <rv s="8">
    <fb>425</fb>
    <v>17</v>
  </rv>
  <rv s="8">
    <fb>492.2</fb>
    <v>17</v>
  </rv>
  <rv s="8">
    <fb>516.39</fb>
    <v>17</v>
  </rv>
  <rv s="8">
    <fb>524.14</fb>
    <v>17</v>
  </rv>
  <rv s="8">
    <fb>533.88</fb>
    <v>17</v>
  </rv>
  <rv s="8">
    <fb>535.25</fb>
    <v>17</v>
  </rv>
  <rv s="8">
    <fb>506.62</fb>
    <v>17</v>
  </rv>
  <rv s="8">
    <fb>567.29</fb>
    <v>17</v>
  </rv>
  <rv s="8">
    <fb>534.28</fb>
    <v>17</v>
  </rv>
  <rv s="8">
    <fb>543.51</fb>
    <v>17</v>
  </rv>
  <rv s="8">
    <fb>588.4</fb>
    <v>17</v>
  </rv>
  <rv s="8">
    <fb>568.05999999999995</fb>
    <v>17</v>
  </rv>
  <rv s="8">
    <fb>575.30999999999995</fb>
    <v>17</v>
  </rv>
  <rv s="8">
    <fb>548.91999999999996</fb>
    <v>17</v>
  </rv>
  <rv s="8">
    <fb>549.83000000000004</fb>
    <v>17</v>
  </rv>
  <rv s="8">
    <fb>536.02</fb>
    <v>17</v>
  </rv>
  <rv s="8">
    <fb>562.89</fb>
    <v>17</v>
  </rv>
  <rv s="8">
    <fb>543.42999999999995</fb>
    <v>17</v>
  </rv>
  <rv s="8">
    <fb>7686469</fb>
    <v>18</v>
  </rv>
  <rv s="8">
    <fb>459.85</fb>
    <v>17</v>
  </rv>
  <rv s="8">
    <fb>474.49</fb>
    <v>17</v>
  </rv>
  <rv s="8">
    <fb>15947971</fb>
    <v>18</v>
  </rv>
  <rv s="8">
    <fb>455.69</fb>
    <v>17</v>
  </rv>
  <rv s="8">
    <fb>463</fb>
    <v>17</v>
  </rv>
  <rv s="8">
    <fb>421.89010000000002</fb>
    <v>17</v>
  </rv>
  <rv s="8">
    <fb>36720176</fb>
    <v>18</v>
  </rv>
  <rv s="8">
    <fb>462.05</fb>
    <v>17</v>
  </rv>
  <rv s="8">
    <fb>497.98989999999998</fb>
    <v>17</v>
  </rv>
  <rv s="8">
    <fb>432.26510000000002</fb>
    <v>17</v>
  </rv>
  <rv s="8">
    <fb>20327994</fb>
    <v>18</v>
  </rv>
  <rv s="8">
    <fb>486.31</fb>
    <v>17</v>
  </rv>
  <rv s="8">
    <fb>530.78</fb>
    <v>17</v>
  </rv>
  <rv s="8">
    <fb>478.3064</fb>
    <v>17</v>
  </rv>
  <rv s="8">
    <fb>11118744</fb>
    <v>18</v>
  </rv>
  <rv s="8">
    <fb>513.78</fb>
    <v>17</v>
  </rv>
  <rv s="8">
    <fb>534.99</fb>
    <v>17</v>
  </rv>
  <rv s="8">
    <fb>510.15</fb>
    <v>17</v>
  </rv>
  <rv s="8">
    <fb>6662471</fb>
    <v>18</v>
  </rv>
  <rv s="8">
    <fb>521.15</fb>
    <v>17</v>
  </rv>
  <rv s="8">
    <fb>538.47</fb>
    <v>17</v>
  </rv>
  <rv s="8">
    <fb>515.56010000000003</fb>
    <v>17</v>
  </rv>
  <rv s="8">
    <fb>7282344</fb>
    <v>18</v>
  </rv>
  <rv s="8">
    <fb>562.98990000000003</fb>
    <v>17</v>
  </rv>
  <rv s="8">
    <fb>532.39260000000002</fb>
    <v>17</v>
  </rv>
  <rv s="8">
    <fb>5796790</fb>
    <v>18</v>
  </rv>
  <rv s="8">
    <fb>523.82500000000005</fb>
    <v>17</v>
  </rv>
  <rv s="8">
    <fb>530.51</fb>
    <v>17</v>
  </rv>
  <rv s="8">
    <fb>506.25</fb>
    <v>17</v>
  </rv>
  <rv s="8">
    <fb>14309811</fb>
    <v>18</v>
  </rv>
  <rv s="8">
    <fb>518.07000000000005</fb>
    <v>17</v>
  </rv>
  <rv s="8">
    <fb>567.75</fb>
    <v>17</v>
  </rv>
  <rv s="8">
    <fb>517.51499999999999</fb>
    <v>17</v>
  </rv>
  <rv s="8">
    <fb>9173770</fb>
    <v>18</v>
  </rv>
  <rv s="8">
    <fb>538.57000000000005</fb>
    <v>17</v>
  </rv>
  <rv s="8">
    <fb>546.29</fb>
    <v>17</v>
  </rv>
  <rv s="8">
    <fb>525.85</fb>
    <v>17</v>
  </rv>
  <rv s="8">
    <fb>9566824</fb>
    <v>18</v>
  </rv>
  <rv s="8">
    <fb>541.54999999999995</fb>
    <v>17</v>
  </rv>
  <rv s="8">
    <fb>568.66999999999996</fb>
    <v>17</v>
  </rv>
  <rv s="8">
    <fb>539</fb>
    <v>17</v>
  </rv>
  <rv s="8">
    <fb>13108085</fb>
    <v>18</v>
  </rv>
  <rv s="8">
    <fb>553.625</fb>
    <v>17</v>
  </rv>
  <rv s="8">
    <fb>576.75</fb>
    <v>17</v>
  </rv>
  <rv s="8">
    <fb>550.09</fb>
    <v>17</v>
  </rv>
  <rv s="8">
    <fb>9350696</fb>
    <v>18</v>
  </rv>
  <rv s="8">
    <fb>570.4</fb>
    <v>17</v>
  </rv>
  <rv s="8">
    <fb>593.97990000000004</fb>
    <v>17</v>
  </rv>
  <rv s="8">
    <fb>565.5</fb>
    <v>17</v>
  </rv>
  <rv s="8">
    <fb>11739108</fb>
    <v>18</v>
  </rv>
  <rv s="8">
    <fb>593.15</fb>
    <v>17</v>
  </rv>
  <rv s="8">
    <fb>595.51</fb>
    <v>17</v>
  </rv>
  <rv s="8">
    <fb>7736621</fb>
    <v>18</v>
  </rv>
  <rv s="8">
    <fb>586.77</fb>
    <v>17</v>
  </rv>
  <rv s="8">
    <fb>592.44000000000005</fb>
    <v>17</v>
  </rv>
  <rv s="8">
    <fb>567.38</fb>
    <v>17</v>
  </rv>
  <rv s="8">
    <fb>9781562</fb>
    <v>18</v>
  </rv>
  <rv s="8">
    <fb>569.79999999999995</fb>
    <v>17</v>
  </rv>
  <rv s="8">
    <fb>574.6</fb>
    <v>17</v>
  </rv>
  <rv s="8">
    <fb>547.71</fb>
    <v>17</v>
  </rv>
  <rv s="8">
    <fb>8252347</fb>
    <v>18</v>
  </rv>
  <rv s="8">
    <fb>559</fb>
    <v>17</v>
  </rv>
  <rv s="8">
    <fb>570.72</fb>
    <v>17</v>
  </rv>
  <rv s="8">
    <fb>542.23030000000006</fb>
    <v>17</v>
  </rv>
  <rv s="8">
    <fb>7962968</fb>
    <v>18</v>
  </rv>
  <rv s="8">
    <fb>535.97</fb>
    <v>17</v>
  </rv>
  <rv s="8">
    <fb>549.85</fb>
    <v>17</v>
  </rv>
  <rv s="8">
    <fb>530.45000000000005</fb>
    <v>17</v>
  </rv>
  <rv s="8">
    <fb>8729823</fb>
    <v>18</v>
  </rv>
  <rv s="8">
    <fb>573.79999999999995</fb>
    <v>17</v>
  </rv>
  <rv s="8">
    <fb>541.23509999999999</fb>
    <v>17</v>
  </rv>
  <rv s="8">
    <fb>6863140</fb>
    <v>18</v>
  </rv>
  <rv s="8">
    <fb>551.74</fb>
    <v>17</v>
  </rv>
  <rv s="8">
    <fb>557</fb>
    <v>17</v>
  </rv>
  <rv s="8">
    <fb>535.5</fb>
    <v>17</v>
  </rv>
  <rv s="10">
    <v>2</v>
    <v>18</v>
  </rv>
  <rv s="8">
    <fb>61.12</fb>
    <v>17</v>
  </rv>
  <rv s="8">
    <fb>60.97</fb>
    <v>17</v>
  </rv>
  <rv s="8">
    <fb>61.34</fb>
    <v>17</v>
  </rv>
  <rv s="8">
    <fb>59.36</fb>
    <v>17</v>
  </rv>
  <rv s="8">
    <fb>60.13</fb>
    <v>17</v>
  </rv>
  <rv s="8">
    <fb>57.26</fb>
    <v>17</v>
  </rv>
  <rv s="8">
    <fb>56.4</fb>
    <v>17</v>
  </rv>
  <rv s="8">
    <fb>55.62</fb>
    <v>17</v>
  </rv>
  <rv s="8">
    <fb>57.15</fb>
    <v>17</v>
  </rv>
  <rv s="8">
    <fb>57.8</fb>
    <v>17</v>
  </rv>
  <rv s="8">
    <fb>57.34</fb>
    <v>17</v>
  </rv>
  <rv s="8">
    <fb>58.38</fb>
    <v>17</v>
  </rv>
  <rv s="8">
    <fb>58</fb>
    <v>17</v>
  </rv>
  <rv s="8">
    <fb>66.62</fb>
    <v>17</v>
  </rv>
  <rv s="8">
    <fb>67.31</fb>
    <v>17</v>
  </rv>
  <rv s="8">
    <fb>66.849999999999994</fb>
    <v>17</v>
  </rv>
  <rv s="8">
    <fb>69.66</fb>
    <v>17</v>
  </rv>
  <rv s="8">
    <fb>69.38</fb>
    <v>17</v>
  </rv>
  <rv s="8">
    <fb>69.87</fb>
    <v>17</v>
  </rv>
  <rv s="8">
    <fb>69.13</fb>
    <v>17</v>
  </rv>
  <rv s="8">
    <fb>68.67</fb>
    <v>17</v>
  </rv>
  <rv s="8">
    <fb>69.09</fb>
    <v>17</v>
  </rv>
  <rv s="8">
    <fb>68.22</fb>
    <v>17</v>
  </rv>
  <rv s="8">
    <fb>66.87</fb>
    <v>17</v>
  </rv>
  <rv s="8">
    <fb>68.77</fb>
    <v>17</v>
  </rv>
  <rv s="8">
    <fb>68.84</fb>
    <v>17</v>
  </rv>
  <rv s="8">
    <fb>70.75</fb>
    <v>17</v>
  </rv>
  <rv s="8">
    <fb>71.05</fb>
    <v>17</v>
  </rv>
  <rv s="8">
    <fb>71.22</fb>
    <v>17</v>
  </rv>
  <rv s="8">
    <fb>71.84</fb>
    <v>17</v>
  </rv>
  <rv s="8">
    <fb>71.89</fb>
    <v>17</v>
  </rv>
  <rv s="8">
    <fb>70.52</fb>
    <v>17</v>
  </rv>
  <rv s="8">
    <fb>67.91</fb>
    <v>17</v>
  </rv>
  <rv s="8">
    <fb>67.930000000000007</fb>
    <v>17</v>
  </rv>
  <rv s="8">
    <fb>68.5</fb>
    <v>17</v>
  </rv>
  <rv s="8">
    <fb>68.040000000000006</fb>
    <v>17</v>
  </rv>
  <rv s="8">
    <fb>70.33</fb>
    <v>17</v>
  </rv>
  <rv s="8">
    <fb>71</fb>
    <v>17</v>
  </rv>
  <rv s="8">
    <fb>72.78</fb>
    <v>17</v>
  </rv>
  <rv s="8">
    <fb>72.81</fb>
    <v>17</v>
  </rv>
  <rv s="8">
    <fb>73.52</fb>
    <v>17</v>
  </rv>
  <rv s="8">
    <fb>72.95</fb>
    <v>17</v>
  </rv>
  <rv s="8">
    <fb>73.66</fb>
    <v>17</v>
  </rv>
  <rv s="8">
    <fb>74.69</fb>
    <v>17</v>
  </rv>
  <rv s="8">
    <fb>75.290000000000006</fb>
    <v>17</v>
  </rv>
  <rv s="8">
    <fb>76.05</fb>
    <v>17</v>
  </rv>
  <rv s="8">
    <fb>75.709999999999994</fb>
    <v>17</v>
  </rv>
  <rv s="8">
    <fb>77.16</fb>
    <v>17</v>
  </rv>
  <rv s="8">
    <fb>80.8</fb>
    <v>17</v>
  </rv>
  <rv s="8">
    <fb>80.849999999999994</fb>
    <v>17</v>
  </rv>
  <rv s="8">
    <fb>80.89</fb>
    <v>17</v>
  </rv>
  <rv s="8">
    <fb>81.98</fb>
    <v>17</v>
  </rv>
  <rv s="8">
    <fb>81.760000000000005</fb>
    <v>17</v>
  </rv>
  <rv s="8">
    <fb>80.510000000000005</fb>
    <v>17</v>
  </rv>
  <rv s="8">
    <fb>81.17</fb>
    <v>17</v>
  </rv>
  <rv s="8">
    <fb>82.35</fb>
    <v>17</v>
  </rv>
  <rv s="8">
    <fb>83.03</fb>
    <v>17</v>
  </rv>
  <rv s="8">
    <fb>82.75</fb>
    <v>17</v>
  </rv>
  <rv s="8">
    <fb>82.88</fb>
    <v>17</v>
  </rv>
  <rv s="8">
    <fb>83.06</fb>
    <v>17</v>
  </rv>
  <rv s="8">
    <fb>82.93</fb>
    <v>17</v>
  </rv>
  <rv s="8">
    <fb>82.33</fb>
    <v>17</v>
  </rv>
  <rv s="8">
    <fb>81.319999999999993</fb>
    <v>17</v>
  </rv>
  <rv s="8">
    <fb>80.98</fb>
    <v>17</v>
  </rv>
  <rv s="8">
    <fb>83.15</fb>
    <v>17</v>
  </rv>
  <rv s="8">
    <fb>82.18</fb>
    <v>17</v>
  </rv>
  <rv s="8">
    <fb>81.91</fb>
    <v>17</v>
  </rv>
  <rv s="8">
    <fb>85.13</fb>
    <v>17</v>
  </rv>
  <rv s="8">
    <fb>82.87</fb>
    <v>17</v>
  </rv>
  <rv s="8">
    <fb>82.9</fb>
    <v>17</v>
  </rv>
  <rv s="8">
    <fb>83.24</fb>
    <v>17</v>
  </rv>
  <rv s="8">
    <fb>81.23</fb>
    <v>17</v>
  </rv>
  <rv s="8">
    <fb>80.91</fb>
    <v>17</v>
  </rv>
  <rv s="8">
    <fb>80.819999999999993</fb>
    <v>17</v>
  </rv>
  <rv s="8">
    <fb>77.81</fb>
    <v>17</v>
  </rv>
  <rv s="8">
    <fb>80.930000000000007</fb>
    <v>17</v>
  </rv>
  <rv s="8">
    <fb>81.14</fb>
    <v>17</v>
  </rv>
  <rv s="8">
    <fb>79.680000000000007</fb>
    <v>17</v>
  </rv>
  <rv s="8">
    <fb>79.430000000000007</fb>
    <v>17</v>
  </rv>
  <rv s="8">
    <fb>86.38</fb>
    <v>17</v>
  </rv>
  <rv s="8">
    <fb>84.9</fb>
    <v>17</v>
  </rv>
  <rv s="8">
    <fb>86.26</fb>
    <v>17</v>
  </rv>
  <rv s="8">
    <fb>84</fb>
    <v>17</v>
  </rv>
  <rv s="8">
    <fb>84.27</fb>
    <v>17</v>
  </rv>
  <rv s="8">
    <fb>85.71</fb>
    <v>17</v>
  </rv>
  <rv s="8">
    <fb>86.29</fb>
    <v>17</v>
  </rv>
  <rv s="8">
    <fb>83.3</fb>
    <v>17</v>
  </rv>
  <rv s="8">
    <fb>84.24</fb>
    <v>17</v>
  </rv>
  <rv s="8">
    <fb>80.680000000000007</fb>
    <v>17</v>
  </rv>
  <rv s="8">
    <fb>80.27</fb>
    <v>17</v>
  </rv>
  <rv s="8">
    <fb>79.819999999999993</fb>
    <v>17</v>
  </rv>
  <rv s="8">
    <fb>79.930000000000007</fb>
    <v>17</v>
  </rv>
  <rv s="8">
    <fb>81.08</fb>
    <v>17</v>
  </rv>
  <rv s="8">
    <fb>81.22</fb>
    <v>17</v>
  </rv>
  <rv s="8">
    <fb>83.67</fb>
    <v>17</v>
  </rv>
  <rv s="8">
    <fb>81.47</fb>
    <v>17</v>
  </rv>
  <rv s="8">
    <fb>81.510000000000005</fb>
    <v>17</v>
  </rv>
  <rv s="8">
    <fb>79.66</fb>
    <v>17</v>
  </rv>
  <rv s="8">
    <fb>81.290000000000006</fb>
    <v>17</v>
  </rv>
  <rv s="8">
    <fb>82.43</fb>
    <v>17</v>
  </rv>
  <rv s="8">
    <fb>80.790000000000006</fb>
    <v>17</v>
  </rv>
  <rv s="8">
    <fb>78.709999999999994</fb>
    <v>17</v>
  </rv>
  <rv s="8">
    <fb>77.760000000000005</fb>
    <v>17</v>
  </rv>
  <rv s="8">
    <fb>77.27</fb>
    <v>17</v>
  </rv>
  <rv s="8">
    <fb>78.599999999999994</fb>
    <v>17</v>
  </rv>
  <rv s="8">
    <fb>76.2</fb>
    <v>17</v>
  </rv>
  <rv s="8">
    <fb>75.209999999999994</fb>
    <v>17</v>
  </rv>
  <rv s="8">
    <fb>74.930000000000007</fb>
    <v>17</v>
  </rv>
  <rv s="8">
    <fb>74.790000000000006</fb>
    <v>17</v>
  </rv>
  <rv s="8">
    <fb>73.45</fb>
    <v>17</v>
  </rv>
  <rv s="8">
    <fb>72.39</fb>
    <v>17</v>
  </rv>
  <rv s="8">
    <fb>74.040000000000006</fb>
    <v>17</v>
  </rv>
  <rv s="8">
    <fb>73.53</fb>
    <v>17</v>
  </rv>
  <rv s="8">
    <fb>73.790000000000006</fb>
    <v>17</v>
  </rv>
  <rv s="8">
    <fb>75.72</fb>
    <v>17</v>
  </rv>
  <rv s="8">
    <fb>76.569999999999993</fb>
    <v>17</v>
  </rv>
  <rv s="8">
    <fb>76.61</fb>
    <v>17</v>
  </rv>
  <rv s="8">
    <fb>75.599999999999994</fb>
    <v>17</v>
  </rv>
  <rv s="8">
    <fb>72.98</fb>
    <v>17</v>
  </rv>
  <rv s="8">
    <fb>72.760000000000005</fb>
    <v>17</v>
  </rv>
  <rv s="8">
    <fb>74.5</fb>
    <v>17</v>
  </rv>
  <rv s="8">
    <fb>75.040000000000006</fb>
    <v>17</v>
  </rv>
  <rv s="8">
    <fb>72.540000000000006</fb>
    <v>17</v>
  </rv>
  <rv s="8">
    <fb>73.430000000000007</fb>
    <v>17</v>
  </rv>
  <rv s="8">
    <fb>76.739999999999995</fb>
    <v>17</v>
  </rv>
  <rv s="8">
    <fb>76.73</fb>
    <v>17</v>
  </rv>
  <rv s="8">
    <fb>76.42</fb>
    <v>17</v>
  </rv>
  <rv s="8">
    <fb>76.83</fb>
    <v>17</v>
  </rv>
  <rv s="8">
    <fb>79.459999999999994</fb>
    <v>17</v>
  </rv>
  <rv s="8">
    <fb>77.78</fb>
    <v>17</v>
  </rv>
  <rv s="8">
    <fb>78.05</fb>
    <v>17</v>
  </rv>
  <rv s="8">
    <fb>80.540000000000006</fb>
    <v>17</v>
  </rv>
  <rv s="8">
    <fb>79.05</fb>
    <v>17</v>
  </rv>
  <rv s="8">
    <fb>79</fb>
    <v>17</v>
  </rv>
  <rv s="8">
    <fb>78.52</fb>
    <v>17</v>
  </rv>
  <rv s="8">
    <fb>77.959999999999994</fb>
    <v>17</v>
  </rv>
  <rv s="8">
    <fb>78.95</fb>
    <v>17</v>
  </rv>
  <rv s="8">
    <fb>76.62</fb>
    <v>17</v>
  </rv>
  <rv s="8">
    <fb>76.89</fb>
    <v>17</v>
  </rv>
  <rv s="8">
    <fb>75.77</fb>
    <v>17</v>
  </rv>
  <rv s="8">
    <fb>75.7</fb>
    <v>17</v>
  </rv>
  <rv s="8">
    <fb>76.150000000000006</fb>
    <v>17</v>
  </rv>
  <rv s="8">
    <fb>78.7</fb>
    <v>17</v>
  </rv>
  <rv s="8">
    <fb>78.41</fb>
    <v>17</v>
  </rv>
  <rv s="8">
    <fb>78.8</fb>
    <v>17</v>
  </rv>
  <rv s="8">
    <fb>76.44</fb>
    <v>17</v>
  </rv>
  <rv s="8">
    <fb>75.81</fb>
    <v>17</v>
  </rv>
  <rv s="8">
    <fb>77.75</fb>
    <v>17</v>
  </rv>
  <rv s="8">
    <fb>74.86</fb>
    <v>17</v>
  </rv>
  <rv s="8">
    <fb>73.099999999999994</fb>
    <v>17</v>
  </rv>
  <rv s="8">
    <fb>72.63</fb>
    <v>17</v>
  </rv>
  <rv s="8">
    <fb>76.14</fb>
    <v>17</v>
  </rv>
  <rv s="8">
    <fb>77.209999999999994</fb>
    <v>17</v>
  </rv>
  <rv s="8">
    <fb>78.790000000000006</fb>
    <v>17</v>
  </rv>
  <rv s="8">
    <fb>79.790000000000006</fb>
    <v>17</v>
  </rv>
  <rv s="8">
    <fb>84.12</fb>
    <v>17</v>
  </rv>
  <rv s="8">
    <fb>84.35</fb>
    <v>17</v>
  </rv>
  <rv s="8">
    <fb>82.68</fb>
    <v>17</v>
  </rv>
  <rv s="8">
    <fb>81.73</fb>
    <v>17</v>
  </rv>
  <rv s="8">
    <fb>81.7</fb>
    <v>17</v>
  </rv>
  <rv s="8">
    <fb>83.22</fb>
    <v>17</v>
  </rv>
  <rv s="8">
    <fb>82.11</fb>
    <v>17</v>
  </rv>
  <rv s="8">
    <fb>83.77</fb>
    <v>17</v>
  </rv>
  <rv s="8">
    <fb>83.76</fb>
    <v>17</v>
  </rv>
  <rv s="8">
    <fb>79.400000000000006</fb>
    <v>17</v>
  </rv>
  <rv s="8">
    <fb>81.5</fb>
    <v>17</v>
  </rv>
  <rv s="8">
    <fb>84.07</fb>
    <v>17</v>
  </rv>
  <rv s="8">
    <fb>82.51</fb>
    <v>17</v>
  </rv>
  <rv s="8">
    <fb>79.58</fb>
    <v>17</v>
  </rv>
  <rv s="8">
    <fb>79.290000000000006</fb>
    <v>17</v>
  </rv>
  <rv s="8">
    <fb>80.430000000000007</fb>
    <v>17</v>
  </rv>
  <rv s="8">
    <fb>78.53</fb>
    <v>17</v>
  </rv>
  <rv s="8">
    <fb>78.099999999999994</fb>
    <v>17</v>
  </rv>
  <rv s="8">
    <fb>77.34</fb>
    <v>17</v>
  </rv>
  <rv s="8">
    <fb>77.08</fb>
    <v>17</v>
  </rv>
  <rv s="8">
    <fb>75.52</fb>
    <v>17</v>
  </rv>
  <rv s="8">
    <fb>76</fb>
    <v>17</v>
  </rv>
  <rv s="8">
    <fb>77.849999999999994</fb>
    <v>17</v>
  </rv>
  <rv s="8">
    <fb>76.03</fb>
    <v>17</v>
  </rv>
  <rv s="8">
    <fb>76.239999999999995</fb>
    <v>17</v>
  </rv>
  <rv s="8">
    <fb>76.650000000000006</fb>
    <v>17</v>
  </rv>
  <rv s="8">
    <fb>76.72</fb>
    <v>17</v>
  </rv>
  <rv s="8">
    <fb>76.87</fb>
    <v>17</v>
  </rv>
  <rv s="8">
    <fb>77.64</fb>
    <v>17</v>
  </rv>
  <rv s="8">
    <fb>77.72</fb>
    <v>17</v>
  </rv>
  <rv s="8">
    <fb>76.069999999999993</fb>
    <v>17</v>
  </rv>
  <rv s="8">
    <fb>75.8</fb>
    <v>17</v>
  </rv>
  <rv s="8">
    <fb>79.52</fb>
    <v>17</v>
  </rv>
  <rv s="8">
    <fb>82.13</fb>
    <v>17</v>
  </rv>
  <rv s="8">
    <fb>80.67</fb>
    <v>17</v>
  </rv>
  <rv s="8">
    <fb>82.64</fb>
    <v>17</v>
  </rv>
  <rv s="8">
    <fb>87.04</fb>
    <v>17</v>
  </rv>
  <rv s="8">
    <fb>90.3</fb>
    <v>17</v>
  </rv>
  <rv s="8">
    <fb>89.4</fb>
    <v>17</v>
  </rv>
  <rv s="8">
    <fb>88.4</fb>
    <v>17</v>
  </rv>
  <rv s="8">
    <fb>88.86</fb>
    <v>17</v>
  </rv>
  <rv s="8">
    <fb>87.68</fb>
    <v>17</v>
  </rv>
  <rv s="8">
    <fb>88.31</fb>
    <v>17</v>
  </rv>
  <rv s="8">
    <fb>89.16</fb>
    <v>17</v>
  </rv>
  <rv s="8">
    <fb>86.94</fb>
    <v>17</v>
  </rv>
  <rv s="8">
    <fb>87.58</fb>
    <v>17</v>
  </rv>
  <rv s="8">
    <fb>87.96</fb>
    <v>17</v>
  </rv>
  <rv s="8">
    <fb>89.35</fb>
    <v>17</v>
  </rv>
  <rv s="8">
    <fb>86.76</fb>
    <v>17</v>
  </rv>
  <rv s="8">
    <fb>86.39</fb>
    <v>17</v>
  </rv>
  <rv s="8">
    <fb>86.77</fb>
    <v>17</v>
  </rv>
  <rv s="8">
    <fb>84.37</fb>
    <v>17</v>
  </rv>
  <rv s="8">
    <fb>83.71</fb>
    <v>17</v>
  </rv>
  <rv s="8">
    <fb>84.96</fb>
    <v>17</v>
  </rv>
  <rv s="8">
    <fb>86.15</fb>
    <v>17</v>
  </rv>
  <rv s="8">
    <fb>87.93</fb>
    <v>17</v>
  </rv>
  <rv s="8">
    <fb>86.98</fb>
    <v>17</v>
  </rv>
  <rv s="8">
    <fb>85.81</fb>
    <v>17</v>
  </rv>
  <rv s="8">
    <fb>86.33</fb>
    <v>17</v>
  </rv>
  <rv s="8">
    <fb>86.18</fb>
    <v>17</v>
  </rv>
  <rv s="8">
    <fb>86.27</fb>
    <v>17</v>
  </rv>
  <rv s="8">
    <fb>86.32</fb>
    <v>17</v>
  </rv>
  <rv s="8">
    <fb>85.63</fb>
    <v>17</v>
  </rv>
  <rv s="8">
    <fb>84.87</fb>
    <v>17</v>
  </rv>
  <rv s="8">
    <fb>87.22</fb>
    <v>17</v>
  </rv>
  <rv s="8">
    <fb>87.76</fb>
    <v>17</v>
  </rv>
  <rv s="8">
    <fb>85.79</fb>
    <v>17</v>
  </rv>
  <rv s="8">
    <fb>86.12</fb>
    <v>17</v>
  </rv>
  <rv s="8">
    <fb>85.62</fb>
    <v>17</v>
  </rv>
  <rv s="8">
    <fb>87.16</fb>
    <v>17</v>
  </rv>
  <rv s="8">
    <fb>85.37</fb>
    <v>17</v>
  </rv>
  <rv s="8">
    <fb>84.29</fb>
    <v>17</v>
  </rv>
  <rv s="8">
    <fb>86.62</fb>
    <v>17</v>
  </rv>
  <rv s="8">
    <fb>82.2</fb>
    <v>17</v>
  </rv>
  <rv s="8">
    <fb>83.95</fb>
    <v>17</v>
  </rv>
  <rv s="8">
    <fb>83.45</fb>
    <v>17</v>
  </rv>
  <rv s="8">
    <fb>80.569999999999993</fb>
    <v>17</v>
  </rv>
  <rv s="8">
    <fb>82.63</fb>
    <v>17</v>
  </rv>
  <rv s="8">
    <fb>80.64</fb>
    <v>17</v>
  </rv>
  <rv s="8">
    <fb>8260227</fb>
    <v>18</v>
  </rv>
  <rv s="8">
    <fb>86.28</fb>
    <v>17</v>
  </rv>
  <rv s="8">
    <fb>87.19</fb>
    <v>17</v>
  </rv>
  <rv s="8">
    <fb>86.004999999999995</fb>
    <v>17</v>
  </rv>
  <rv s="8">
    <fb>5360435</fb>
    <v>18</v>
  </rv>
  <rv s="8">
    <fb>85.22</fb>
    <v>17</v>
  </rv>
  <rv s="8">
    <fb>5887896</fb>
    <v>18</v>
  </rv>
  <rv s="8">
    <fb>85.64</fb>
    <v>17</v>
  </rv>
  <rv s="8">
    <fb>86.64</fb>
    <v>17</v>
  </rv>
  <rv s="8">
    <fb>5216174</fb>
    <v>18</v>
  </rv>
  <rv s="8">
    <fb>85.724999999999994</fb>
    <v>17</v>
  </rv>
  <rv s="8">
    <fb>87.38</fb>
    <v>17</v>
  </rv>
  <rv s="8">
    <fb>85.120800000000003</fb>
    <v>17</v>
  </rv>
  <rv s="8">
    <fb>5440717</fb>
    <v>18</v>
  </rv>
  <rv s="8">
    <fb>86.41</fb>
    <v>17</v>
  </rv>
  <rv s="8">
    <fb>85.685000000000002</fb>
    <v>17</v>
  </rv>
  <rv s="8">
    <fb>6239759</fb>
    <v>18</v>
  </rv>
  <rv s="8">
    <fb>87.85</fb>
    <v>17</v>
  </rv>
  <rv s="8">
    <fb>85.31</fb>
    <v>17</v>
  </rv>
  <rv s="8">
    <fb>7780490</fb>
    <v>18</v>
  </rv>
  <rv s="8">
    <fb>86.3</fb>
    <v>17</v>
  </rv>
  <rv s="8">
    <fb>6081026</fb>
    <v>18</v>
  </rv>
  <rv s="8">
    <fb>83.8</fb>
    <v>17</v>
  </rv>
  <rv s="8">
    <fb>82.858199999999997</fb>
    <v>17</v>
  </rv>
  <rv s="8">
    <fb>7366075</fb>
    <v>18</v>
  </rv>
  <rv s="8">
    <fb>87.25</fb>
    <v>17</v>
  </rv>
  <rv s="8">
    <fb>87.77</fb>
    <v>17</v>
  </rv>
  <rv s="8">
    <fb>5558164</fb>
    <v>18</v>
  </rv>
  <rv s="8">
    <fb>85.84</fb>
    <v>17</v>
  </rv>
  <rv s="8">
    <fb>87.39</fb>
    <v>17</v>
  </rv>
  <rv s="8">
    <fb>85.48</fb>
    <v>17</v>
  </rv>
  <rv s="8">
    <fb>6191866</fb>
    <v>18</v>
  </rv>
  <rv s="8">
    <fb>87.05</fb>
    <v>17</v>
  </rv>
  <rv s="8">
    <fb>87.65</fb>
    <v>17</v>
  </rv>
  <rv s="8">
    <fb>6428913</fb>
    <v>18</v>
  </rv>
  <rv s="8">
    <fb>85.05</fb>
    <v>17</v>
  </rv>
  <rv s="8">
    <fb>85.35</fb>
    <v>17</v>
  </rv>
  <rv s="8">
    <fb>83.47</fb>
    <v>17</v>
  </rv>
  <rv s="8">
    <fb>8832813</fb>
    <v>18</v>
  </rv>
  <rv s="8">
    <fb>86.19</fb>
    <v>17</v>
  </rv>
  <rv s="8">
    <fb>87.86</fb>
    <v>17</v>
  </rv>
  <rv s="8">
    <fb>21148053</fb>
    <v>18</v>
  </rv>
  <rv s="8">
    <fb>86.16</fb>
    <v>17</v>
  </rv>
  <rv s="8">
    <fb>86.486800000000002</fb>
    <v>17</v>
  </rv>
  <rv s="8">
    <fb>81.394999999999996</fb>
    <v>17</v>
  </rv>
  <rv s="8">
    <fb>7936516</fb>
    <v>18</v>
  </rv>
  <rv s="8">
    <fb>82.375</fb>
    <v>17</v>
  </rv>
  <rv s="8">
    <fb>84.88</fb>
    <v>17</v>
  </rv>
  <rv s="8">
    <fb>6232948</fb>
    <v>18</v>
  </rv>
  <rv s="8">
    <fb>84.85</fb>
    <v>17</v>
  </rv>
  <rv s="8">
    <fb>85.2</fb>
    <v>17</v>
  </rv>
  <rv s="8">
    <fb>82.95</fb>
    <v>17</v>
  </rv>
  <rv s="8">
    <fb>4730304</fb>
    <v>18</v>
  </rv>
  <rv s="8">
    <fb>83.05</fb>
    <v>17</v>
  </rv>
  <rv s="8">
    <fb>84.564999999999998</fb>
    <v>17</v>
  </rv>
  <rv s="8">
    <fb>82.76</fb>
    <v>17</v>
  </rv>
  <rv s="8">
    <fb>7936246</fb>
    <v>18</v>
  </rv>
  <rv s="8">
    <fb>83.355000000000004</fb>
    <v>17</v>
  </rv>
  <rv s="8">
    <fb>83.7</fb>
    <v>17</v>
  </rv>
  <rv s="8">
    <fb>80.040000000000006</fb>
    <v>17</v>
  </rv>
  <rv s="8">
    <fb>7222753</fb>
    <v>18</v>
  </rv>
  <rv s="8">
    <fb>80.94</fb>
    <v>17</v>
  </rv>
  <rv s="8">
    <fb>83.5</fb>
    <v>17</v>
  </rv>
  <rv s="8">
    <fb>80.88</fb>
    <v>17</v>
  </rv>
  <rv s="8">
    <fb>8626724</fb>
    <v>18</v>
  </rv>
  <rv s="8">
    <fb>81.900000000000006</fb>
    <v>17</v>
  </rv>
  <rv s="8">
    <fb>82.69</fb>
    <v>17</v>
  </rv>
  <rv s="8">
    <fb>491.98</fb>
    <v>17</v>
  </rv>
  <rv s="8">
    <fb>499.21</fb>
    <v>17</v>
  </rv>
  <rv s="8">
    <fb>499</fb>
    <v>17</v>
  </rv>
  <rv s="8">
    <fb>499.36</fb>
    <v>17</v>
  </rv>
  <rv s="8">
    <fb>504.49</fb>
    <v>17</v>
  </rv>
  <rv s="8">
    <fb>514.24</fb>
    <v>17</v>
  </rv>
  <rv s="8">
    <fb>511.07</fb>
    <v>17</v>
  </rv>
  <rv s="8">
    <fb>514.02</fb>
    <v>17</v>
  </rv>
  <rv s="8">
    <fb>507.76</fb>
    <v>17</v>
  </rv>
  <rv s="8">
    <fb>505.05</fb>
    <v>17</v>
  </rv>
  <rv s="8">
    <fb>503.83</fb>
    <v>17</v>
  </rv>
  <rv s="8">
    <fb>505.18</fb>
    <v>17</v>
  </rv>
  <rv s="8">
    <fb>499.41</fb>
    <v>17</v>
  </rv>
  <rv s="8">
    <fb>493.25</fb>
    <v>17</v>
  </rv>
  <rv s="8">
    <fb>495.15</fb>
    <v>17</v>
  </rv>
  <rv s="8">
    <fb>505.9</fb>
    <v>17</v>
  </rv>
  <rv s="8">
    <fb>489.5</fb>
    <v>17</v>
  </rv>
  <rv s="8">
    <fb>487.14</fb>
    <v>17</v>
  </rv>
  <rv s="8">
    <fb>488.05</fb>
    <v>17</v>
  </rv>
  <rv s="8">
    <fb>485.41</fb>
    <v>17</v>
  </rv>
  <rv s="8">
    <fb>486.91</fb>
    <v>17</v>
  </rv>
  <rv s="8">
    <fb>485.77</fb>
    <v>17</v>
  </rv>
  <rv s="8">
    <fb>485.33</fb>
    <v>17</v>
  </rv>
  <rv s="8">
    <fb>489.72</fb>
    <v>17</v>
  </rv>
  <rv s="8">
    <fb>491.88</fb>
    <v>17</v>
  </rv>
  <rv s="8">
    <fb>487.94</fb>
    <v>17</v>
  </rv>
  <rv s="8">
    <fb>484.98</fb>
    <v>17</v>
  </rv>
  <rv s="8">
    <fb>473.14</fb>
    <v>17</v>
  </rv>
  <rv s="8">
    <fb>468.92</fb>
    <v>17</v>
  </rv>
  <rv s="8">
    <fb>458.35</fb>
    <v>17</v>
  </rv>
  <rv s="8">
    <fb>452.1</fb>
    <v>17</v>
  </rv>
  <rv s="8">
    <fb>457.07</fb>
    <v>17</v>
  </rv>
  <rv s="8">
    <fb>457.04</fb>
    <v>17</v>
  </rv>
  <rv s="8">
    <fb>455.85</fb>
    <v>17</v>
  </rv>
  <rv s="8">
    <fb>465.77</fb>
    <v>17</v>
  </rv>
  <rv s="8">
    <fb>470.78</fb>
    <v>17</v>
  </rv>
  <rv s="8">
    <fb>474.72</fb>
    <v>17</v>
  </rv>
  <rv s="8">
    <fb>469.91</fb>
    <v>17</v>
  </rv>
  <rv s="8">
    <fb>468.26</fb>
    <v>17</v>
  </rv>
  <rv s="8">
    <fb>460.78</fb>
    <v>17</v>
  </rv>
  <rv s="8">
    <fb>451.06</fb>
    <v>17</v>
  </rv>
  <rv s="8">
    <fb>452.41</fb>
    <v>17</v>
  </rv>
  <rv s="8">
    <fb>454.16</fb>
    <v>17</v>
  </rv>
  <rv s="8">
    <fb>457.86</fb>
    <v>17</v>
  </rv>
  <rv s="8">
    <fb>439.19</fb>
    <v>17</v>
  </rv>
  <rv s="8">
    <fb>441.82</fb>
    <v>17</v>
  </rv>
  <rv s="8">
    <fb>446.8</fb>
    <v>17</v>
  </rv>
  <rv s="8">
    <fb>448.35</fb>
    <v>17</v>
  </rv>
  <rv s="8">
    <fb>452.2</fb>
    <v>17</v>
  </rv>
  <rv s="8">
    <fb>465.38</fb>
    <v>17</v>
  </rv>
  <rv s="8">
    <fb>466.89</fb>
    <v>17</v>
  </rv>
  <rv s="8">
    <fb>467.94</fb>
    <v>17</v>
  </rv>
  <rv s="8">
    <fb>474.88</fb>
    <v>17</v>
  </rv>
  <rv s="8">
    <fb>480.25</fb>
    <v>17</v>
  </rv>
  <rv s="8">
    <fb>484.42</fb>
    <v>17</v>
  </rv>
  <rv s="8">
    <fb>477.06</fb>
    <v>17</v>
  </rv>
  <rv s="8">
    <fb>474.79</fb>
    <v>17</v>
  </rv>
  <rv s="8">
    <fb>470.14</fb>
    <v>17</v>
  </rv>
  <rv s="8">
    <fb>474.13</fb>
    <v>17</v>
  </rv>
  <rv s="8">
    <fb>483.57</fb>
    <v>17</v>
  </rv>
  <rv s="8">
    <fb>482.55</fb>
    <v>17</v>
  </rv>
  <rv s="8">
    <fb>485.75</fb>
    <v>17</v>
  </rv>
  <rv s="8">
    <fb>483.03</fb>
    <v>17</v>
  </rv>
  <rv s="8">
    <fb>488.87</fb>
    <v>17</v>
  </rv>
  <rv s="8">
    <fb>488</fb>
    <v>17</v>
  </rv>
  <rv s="8">
    <fb>483.67</fb>
    <v>17</v>
  </rv>
  <rv s="8">
    <fb>497.07</fb>
    <v>17</v>
  </rv>
  <rv s="8">
    <fb>522.04</fb>
    <v>17</v>
  </rv>
  <rv s="8">
    <fb>496.87</fb>
    <v>17</v>
  </rv>
  <rv s="8">
    <fb>518.44000000000005</fb>
    <v>17</v>
  </rv>
  <rv s="8">
    <fb>542.91999999999996</fb>
    <v>17</v>
  </rv>
  <rv s="8">
    <fb>551.24</fb>
    <v>17</v>
  </rv>
  <rv s="8">
    <fb>558.29999999999995</fb>
    <v>17</v>
  </rv>
  <rv s="8">
    <fb>572.70000000000005</fb>
    <v>17</v>
  </rv>
  <rv s="8">
    <fb>577.89</fb>
    <v>17</v>
  </rv>
  <rv s="8">
    <fb>582.42999999999995</fb>
    <v>17</v>
  </rv>
  <rv s="8">
    <fb>576.05999999999995</fb>
    <v>17</v>
  </rv>
  <rv s="8">
    <fb>586.23</fb>
    <v>17</v>
  </rv>
  <rv s="8">
    <fb>593.91</fb>
    <v>17</v>
  </rv>
  <rv s="8">
    <fb>590.82000000000005</fb>
    <v>17</v>
  </rv>
  <rv s="8">
    <fb>581.66</fb>
    <v>17</v>
  </rv>
  <rv s="8">
    <fb>594.95000000000005</fb>
    <v>17</v>
  </rv>
  <rv s="8">
    <fb>597.27</fb>
    <v>17</v>
  </rv>
  <rv s="8">
    <fb>622.51</fb>
    <v>17</v>
  </rv>
  <rv s="8">
    <fb>634.22</fb>
    <v>17</v>
  </rv>
  <rv s="8">
    <fb>636</fb>
    <v>17</v>
  </rv>
  <rv s="8">
    <fb>628.26</fb>
    <v>17</v>
  </rv>
  <rv s="8">
    <fb>602.76</fb>
    <v>17</v>
  </rv>
  <rv s="8">
    <fb>609.17999999999995</fb>
    <v>17</v>
  </rv>
  <rv s="8">
    <fb>623.58000000000004</fb>
    <v>17</v>
  </rv>
  <rv s="8">
    <fb>638.29</fb>
    <v>17</v>
  </rv>
  <rv s="8">
    <fb>629.55999999999995</fb>
    <v>17</v>
  </rv>
  <rv s="8">
    <fb>628.70000000000005</fb>
    <v>17</v>
  </rv>
  <rv s="8">
    <fb>637.42999999999995</fb>
    <v>17</v>
  </rv>
  <rv s="8">
    <fb>652.58000000000004</fb>
    <v>17</v>
  </rv>
  <rv s="8">
    <fb>649.58000000000004</fb>
    <v>17</v>
  </rv>
  <rv s="8">
    <fb>666.51</fb>
    <v>17</v>
  </rv>
  <rv s="8">
    <fb>658.26</fb>
    <v>17</v>
  </rv>
  <rv s="8">
    <fb>664.43</fb>
    <v>17</v>
  </rv>
  <rv s="8">
    <fb>647.5</fb>
    <v>17</v>
  </rv>
  <rv s="8">
    <fb>641.63</fb>
    <v>17</v>
  </rv>
  <rv s="8">
    <fb>658.08</fb>
    <v>17</v>
  </rv>
  <rv s="8">
    <fb>676.7</fb>
    <v>17</v>
  </rv>
  <rv s="8">
    <fb>667.82</fb>
    <v>17</v>
  </rv>
  <rv s="8">
    <fb>664.48</fb>
    <v>17</v>
  </rv>
  <rv s="8">
    <fb>655</fb>
    <v>17</v>
  </rv>
  <rv s="8">
    <fb>671.77</fb>
    <v>17</v>
  </rv>
  <rv s="8">
    <fb>664.15</fb>
    <v>17</v>
  </rv>
  <rv s="8">
    <fb>651.22</fb>
    <v>17</v>
  </rv>
  <rv s="8">
    <fb>649.47</fb>
    <v>17</v>
  </rv>
  <rv s="8">
    <fb>652.83000000000004</fb>
    <v>17</v>
  </rv>
  <rv s="8">
    <fb>646</fb>
    <v>17</v>
  </rv>
  <rv s="8">
    <fb>645.20000000000005</fb>
    <v>17</v>
  </rv>
  <rv s="8">
    <fb>636.33000000000004</fb>
    <v>17</v>
  </rv>
  <rv s="8">
    <fb>642.28</fb>
    <v>17</v>
  </rv>
  <rv s="8">
    <fb>637.51</fb>
    <v>17</v>
  </rv>
  <rv s="8">
    <fb>627.42999999999995</fb>
    <v>17</v>
  </rv>
  <rv s="8">
    <fb>616.25</fb>
    <v>17</v>
  </rv>
  <rv s="8">
    <fb>610.16999999999996</fb>
    <v>17</v>
  </rv>
  <rv s="8">
    <fb>624.20000000000005</fb>
    <v>17</v>
  </rv>
  <rv s="8">
    <fb>627.33000000000004</fb>
    <v>17</v>
  </rv>
  <rv s="8">
    <fb>615.84</fb>
    <v>17</v>
  </rv>
  <rv s="8">
    <fb>598.57000000000005</fb>
    <v>17</v>
  </rv>
  <rv s="8">
    <fb>604.39</fb>
    <v>17</v>
  </rv>
  <rv s="8">
    <fb>617.64</fb>
    <v>17</v>
  </rv>
  <rv s="8">
    <fb>622.79</fb>
    <v>17</v>
  </rv>
  <rv s="8">
    <fb>637.9</fb>
    <v>17</v>
  </rv>
  <rv s="8">
    <fb>627.70000000000005</fb>
    <v>17</v>
  </rv>
  <rv s="8">
    <fb>628.5</fb>
    <v>17</v>
  </rv>
  <rv s="8">
    <fb>623.87</fb>
    <v>17</v>
  </rv>
  <rv s="8">
    <fb>613.72</fb>
    <v>17</v>
  </rv>
  <rv s="8">
    <fb>619.69000000000005</fb>
    <v>17</v>
  </rv>
  <rv s="8">
    <fb>611.58000000000004</fb>
    <v>17</v>
  </rv>
  <rv s="8">
    <fb>611.1</fb>
    <v>17</v>
  </rv>
  <rv s="8">
    <fb>607.49</fb>
    <v>17</v>
  </rv>
  <rv s="8">
    <fb>592.19000000000005</fb>
    <v>17</v>
  </rv>
  <rv s="8">
    <fb>581.28</fb>
    <v>17</v>
  </rv>
  <rv s="8">
    <fb>571.95000000000005</fb>
    <v>17</v>
  </rv>
  <rv s="8">
    <fb>555.42999999999995</fb>
    <v>17</v>
  </rv>
  <rv s="8">
    <fb>529.79</fb>
    <v>17</v>
  </rv>
  <rv s="8">
    <fb>513.45000000000005</fb>
    <v>17</v>
  </rv>
  <rv s="8">
    <fb>513.35</fb>
    <v>17</v>
  </rv>
  <rv s="8">
    <fb>512.29</fb>
    <v>17</v>
  </rv>
  <rv s="8">
    <fb>509.81</fb>
    <v>17</v>
  </rv>
  <rv s="8">
    <fb>517.97</fb>
    <v>17</v>
  </rv>
  <rv s="8">
    <fb>512.77</fb>
    <v>17</v>
  </rv>
  <rv s="8">
    <fb>518.15</fb>
    <v>17</v>
  </rv>
  <rv s="8">
    <fb>508.93</fb>
    <v>17</v>
  </rv>
  <rv s="8">
    <fb>514.26</fb>
    <v>17</v>
  </rv>
  <rv s="8">
    <fb>512.41</fb>
    <v>17</v>
  </rv>
  <rv s="8">
    <fb>506.51</fb>
    <v>17</v>
  </rv>
  <rv s="8">
    <fb>512.25</fb>
    <v>17</v>
  </rv>
  <rv s="8">
    <fb>521</fb>
    <v>17</v>
  </rv>
  <rv s="8">
    <fb>519.94000000000005</fb>
    <v>17</v>
  </rv>
  <rv s="8">
    <fb>520.41</fb>
    <v>17</v>
  </rv>
  <rv s="8">
    <fb>516.01</fb>
    <v>17</v>
  </rv>
  <rv s="8">
    <fb>528.30999999999995</fb>
    <v>17</v>
  </rv>
  <rv s="8">
    <fb>526.63</fb>
    <v>17</v>
  </rv>
  <rv s="8">
    <fb>522.59</fb>
    <v>17</v>
  </rv>
  <rv s="8">
    <fb>522.79</fb>
    <v>17</v>
  </rv>
  <rv s="8">
    <fb>533.24</fb>
    <v>17</v>
  </rv>
  <rv s="8">
    <fb>532.9</fb>
    <v>17</v>
  </rv>
  <rv s="8">
    <fb>531.14</fb>
    <v>17</v>
  </rv>
  <rv s="8">
    <fb>537.21</fb>
    <v>17</v>
  </rv>
  <rv s="8">
    <fb>516.5</fb>
    <v>17</v>
  </rv>
  <rv s="8">
    <fb>513.42999999999995</fb>
    <v>17</v>
  </rv>
  <rv s="8">
    <fb>512.03</fb>
    <v>17</v>
  </rv>
  <rv s="8">
    <fb>519.04999999999995</fb>
    <v>17</v>
  </rv>
  <rv s="8">
    <fb>523.76</fb>
    <v>17</v>
  </rv>
  <rv s="8">
    <fb>520.07000000000005</fb>
    <v>17</v>
  </rv>
  <rv s="8">
    <fb>530.13</fb>
    <v>17</v>
  </rv>
  <rv s="8">
    <fb>525.02</fb>
    <v>17</v>
  </rv>
  <rv s="8">
    <fb>548.67999999999995</fb>
    <v>17</v>
  </rv>
  <rv s="8">
    <fb>540.33000000000004</fb>
    <v>17</v>
  </rv>
  <rv s="8">
    <fb>530.36</fb>
    <v>17</v>
  </rv>
  <rv s="8">
    <fb>535.95000000000005</fb>
    <v>17</v>
  </rv>
  <rv s="8">
    <fb>532.32000000000005</fb>
    <v>17</v>
  </rv>
  <rv s="8">
    <fb>510.95</fb>
    <v>17</v>
  </rv>
  <rv s="8">
    <fb>493.6</fb>
    <v>17</v>
  </rv>
  <rv s="8">
    <fb>503.67</fb>
    <v>17</v>
  </rv>
  <rv s="8">
    <fb>491.64</fb>
    <v>17</v>
  </rv>
  <rv s="8">
    <fb>505.02</fb>
    <v>17</v>
  </rv>
  <rv s="8">
    <fb>507.4</fb>
    <v>17</v>
  </rv>
  <rv s="8">
    <fb>502.07</fb>
    <v>17</v>
  </rv>
  <rv s="8">
    <fb>509.46</fb>
    <v>17</v>
  </rv>
  <rv s="8">
    <fb>521.82000000000005</fb>
    <v>17</v>
  </rv>
  <rv s="8">
    <fb>545.91</fb>
    <v>17</v>
  </rv>
  <rv s="8">
    <fb>538</fb>
    <v>17</v>
  </rv>
  <rv s="8">
    <fb>535.38</fb>
    <v>17</v>
  </rv>
  <rv s="8">
    <fb>527.96</fb>
    <v>17</v>
  </rv>
  <rv s="8">
    <fb>518.26</fb>
    <v>17</v>
  </rv>
  <rv s="8">
    <fb>523.22</fb>
    <v>17</v>
  </rv>
  <rv s="8">
    <fb>520.67999999999995</fb>
    <v>17</v>
  </rv>
  <rv s="8">
    <fb>514.99</fb>
    <v>17</v>
  </rv>
  <rv s="8">
    <fb>514.46</fb>
    <v>17</v>
  </rv>
  <rv s="8">
    <fb>513.52</fb>
    <v>17</v>
  </rv>
  <rv s="8">
    <fb>508.77</fb>
    <v>17</v>
  </rv>
  <rv s="8">
    <fb>509.54</fb>
    <v>17</v>
  </rv>
  <rv s="8">
    <fb>507.09</fb>
    <v>17</v>
  </rv>
  <rv s="8">
    <fb>514.36</fb>
    <v>17</v>
  </rv>
  <rv s="8">
    <fb>568.59</fb>
    <v>17</v>
  </rv>
  <rv s="8">
    <fb>582.6</fb>
    <v>17</v>
  </rv>
  <rv s="8">
    <fb>580</fb>
    <v>17</v>
  </rv>
  <rv s="8">
    <fb>581.30999999999995</fb>
    <v>17</v>
  </rv>
  <rv s="8">
    <fb>569.20000000000005</fb>
    <v>17</v>
  </rv>
  <rv s="8">
    <fb>574.11</fb>
    <v>17</v>
  </rv>
  <rv s="8">
    <fb>582.74</fb>
    <v>17</v>
  </rv>
  <rv s="8">
    <fb>586.29</fb>
    <v>17</v>
  </rv>
  <rv s="8">
    <fb>589.33000000000004</fb>
    <v>17</v>
  </rv>
  <rv s="8">
    <fb>577.6</fb>
    <v>17</v>
  </rv>
  <rv s="8">
    <fb>582.85</fb>
    <v>17</v>
  </rv>
  <rv s="8">
    <fb>587.95000000000005</fb>
    <v>17</v>
  </rv>
  <rv s="8">
    <fb>603.16</fb>
    <v>17</v>
  </rv>
  <rv s="8">
    <fb>597.77</fb>
    <v>17</v>
  </rv>
  <rv s="8">
    <fb>606.72</fb>
    <v>17</v>
  </rv>
  <rv s="8">
    <fb>598.01</fb>
    <v>17</v>
  </rv>
  <rv s="8">
    <fb>608.67999999999995</fb>
    <v>17</v>
  </rv>
  <rv s="8">
    <fb>593.74</fb>
    <v>17</v>
  </rv>
  <rv s="8">
    <fb>607.16999999999996</fb>
    <v>17</v>
  </rv>
  <rv s="8">
    <fb>571.48</fb>
    <v>17</v>
  </rv>
  <rv s="8">
    <fb>563.57000000000005</fb>
    <v>17</v>
  </rv>
  <rv s="8">
    <fb>564.14</fb>
    <v>17</v>
  </rv>
  <rv s="8">
    <fb>556.52</fb>
    <v>17</v>
  </rv>
  <rv s="8">
    <fb>565.62</fb>
    <v>17</v>
  </rv>
  <rv s="8">
    <fb>565.89</fb>
    <v>17</v>
  </rv>
  <rv s="8">
    <fb>561.23</fb>
    <v>17</v>
  </rv>
  <rv s="8">
    <fb>544.5</fb>
    <v>17</v>
  </rv>
  <rv s="8">
    <fb>531.54999999999995</fb>
    <v>17</v>
  </rv>
  <rv s="8">
    <fb>532.95000000000005</fb>
    <v>17</v>
  </rv>
  <rv s="8">
    <fb>525.28</fb>
    <v>17</v>
  </rv>
  <rv s="8">
    <fb>536.15</fb>
    <v>17</v>
  </rv>
  <rv s="8">
    <fb>524.46</fb>
    <v>17</v>
  </rv>
  <rv s="8">
    <fb>530.12</fb>
    <v>17</v>
  </rv>
  <rv s="8">
    <fb>524.19000000000005</fb>
    <v>17</v>
  </rv>
  <rv s="8">
    <fb>529.38</fb>
    <v>17</v>
  </rv>
  <rv s="8">
    <fb>533.46</fb>
    <v>17</v>
  </rv>
  <rv s="8">
    <fb>537.25</fb>
    <v>17</v>
  </rv>
  <rv s="8">
    <fb>538.09</fb>
    <v>17</v>
  </rv>
  <rv s="8">
    <fb>533.38</fb>
    <v>17</v>
  </rv>
  <rv s="8">
    <fb>535.4</fb>
    <v>17</v>
  </rv>
  <rv s="8">
    <fb>522.34</fb>
    <v>17</v>
  </rv>
  <rv s="8">
    <fb>524.67999999999995</fb>
    <v>17</v>
  </rv>
  <rv s="8">
    <fb>523.70000000000005</fb>
    <v>17</v>
  </rv>
  <rv s="8">
    <fb>519.55999999999995</fb>
    <v>17</v>
  </rv>
  <rv s="8">
    <fb>518.1</fb>
    <v>17</v>
  </rv>
  <rv s="8">
    <fb>945428</fb>
    <v>18</v>
  </rv>
  <rv s="8">
    <fb>563.73</fb>
    <v>17</v>
  </rv>
  <rv s="8">
    <fb>558.4</fb>
    <v>17</v>
  </rv>
  <rv s="8">
    <fb>1046016</fb>
    <v>18</v>
  </rv>
  <rv s="8">
    <fb>557.51</fb>
    <v>17</v>
  </rv>
  <rv s="8">
    <fb>564.98</fb>
    <v>17</v>
  </rv>
  <rv s="8">
    <fb>1238407</fb>
    <v>18</v>
  </rv>
  <rv s="8">
    <fb>545.65</fb>
    <v>17</v>
  </rv>
  <rv s="8">
    <fb>548</fb>
    <v>17</v>
  </rv>
  <rv s="8">
    <fb>530.15</fb>
    <v>17</v>
  </rv>
  <rv s="8">
    <fb>775700</fb>
    <v>18</v>
  </rv>
  <rv s="8">
    <fb>536</fb>
    <v>17</v>
  </rv>
  <rv s="8">
    <fb>537.91999999999996</fb>
    <v>17</v>
  </rv>
  <rv s="8">
    <fb>527.28</fb>
    <v>17</v>
  </rv>
  <rv s="8">
    <fb>946582</fb>
    <v>18</v>
  </rv>
  <rv s="8">
    <fb>533.72</fb>
    <v>17</v>
  </rv>
  <rv s="8">
    <fb>524.03</fb>
    <v>17</v>
  </rv>
  <rv s="8">
    <fb>1692605</fb>
    <v>18</v>
  </rv>
  <rv s="8">
    <fb>532</fb>
    <v>17</v>
  </rv>
  <rv s="8">
    <fb>541.59</fb>
    <v>17</v>
  </rv>
  <rv s="8">
    <fb>531.37</fb>
    <v>17</v>
  </rv>
  <rv s="8">
    <fb>1548934</fb>
    <v>18</v>
  </rv>
  <rv s="8">
    <fb>538.91</fb>
    <v>17</v>
  </rv>
  <rv s="8">
    <fb>543.59</fb>
    <v>17</v>
  </rv>
  <rv s="8">
    <fb>524.37</fb>
    <v>17</v>
  </rv>
  <rv s="8">
    <fb>1071274</fb>
    <v>18</v>
  </rv>
  <rv s="8">
    <fb>526.01</fb>
    <v>17</v>
  </rv>
  <rv s="8">
    <fb>531</fb>
    <v>17</v>
  </rv>
  <rv s="8">
    <fb>524.09400000000005</fb>
    <v>17</v>
  </rv>
  <rv s="8">
    <fb>922596</fb>
    <v>18</v>
  </rv>
  <rv s="8">
    <fb>532.24</fb>
    <v>17</v>
  </rv>
  <rv s="8">
    <fb>533.99</fb>
    <v>17</v>
  </rv>
  <rv s="8">
    <fb>521.87</fb>
    <v>17</v>
  </rv>
  <rv s="8">
    <fb>971364</fb>
    <v>18</v>
  </rv>
  <rv s="8">
    <fb>526.6</fb>
    <v>17</v>
  </rv>
  <rv s="8">
    <fb>532.34</fb>
    <v>17</v>
  </rv>
  <rv s="8">
    <fb>525.42499999999995</fb>
    <v>17</v>
  </rv>
  <rv s="8">
    <fb>877770</fb>
    <v>18</v>
  </rv>
  <rv s="8">
    <fb>532.13</fb>
    <v>17</v>
  </rv>
  <rv s="8">
    <fb>537.19000000000005</fb>
    <v>17</v>
  </rv>
  <rv s="8">
    <fb>525.88</fb>
    <v>17</v>
  </rv>
  <rv s="8">
    <fb>912115</fb>
    <v>18</v>
  </rv>
  <rv s="8">
    <fb>534.79999999999995</fb>
    <v>17</v>
  </rv>
  <rv s="8">
    <fb>539.98990000000003</fb>
    <v>17</v>
  </rv>
  <rv s="8">
    <fb>531.01</fb>
    <v>17</v>
  </rv>
  <rv s="8">
    <fb>1344476</fb>
    <v>18</v>
  </rv>
  <rv s="8">
    <fb>539.17999999999995</fb>
    <v>17</v>
  </rv>
  <rv s="8">
    <fb>542.61369999999999</fb>
    <v>17</v>
  </rv>
  <rv s="8">
    <fb>520.41999999999996</fb>
    <v>17</v>
  </rv>
  <rv s="8">
    <fb>2860825</fb>
    <v>18</v>
  </rv>
  <rv s="8">
    <fb>536.98</fb>
    <v>17</v>
  </rv>
  <rv s="8">
    <fb>538.1</fb>
    <v>17</v>
  </rv>
  <rv s="8">
    <fb>527.1001</fb>
    <v>17</v>
  </rv>
  <rv s="8">
    <fb>967050</fb>
    <v>18</v>
  </rv>
  <rv s="8">
    <fb>532.29499999999996</fb>
    <v>17</v>
  </rv>
  <rv s="8">
    <fb>537.82000000000005</fb>
    <v>17</v>
  </rv>
  <rv s="8">
    <fb>530.01</fb>
    <v>17</v>
  </rv>
  <rv s="8">
    <fb>1427486</fb>
    <v>18</v>
  </rv>
  <rv s="8">
    <fb>536.87</fb>
    <v>17</v>
  </rv>
  <rv s="8">
    <fb>537</fb>
    <v>17</v>
  </rv>
  <rv s="8">
    <fb>515.59799999999996</fb>
    <v>17</v>
  </rv>
  <rv s="8">
    <fb>1134593</fb>
    <v>18</v>
  </rv>
  <rv s="8">
    <fb>524.57000000000005</fb>
    <v>17</v>
  </rv>
  <rv s="8">
    <fb>534.92999999999995</fb>
    <v>17</v>
  </rv>
  <rv s="8">
    <fb>523.21</fb>
    <v>17</v>
  </rv>
  <rv s="8">
    <fb>833627</fb>
    <v>18</v>
  </rv>
  <rv s="8">
    <fb>523.32000000000005</fb>
    <v>17</v>
  </rv>
  <rv s="8">
    <fb>1127654</fb>
    <v>18</v>
  </rv>
  <rv s="8">
    <fb>524.12</fb>
    <v>17</v>
  </rv>
  <rv s="8">
    <fb>528</fb>
    <v>17</v>
  </rv>
  <rv s="8">
    <fb>516.49</fb>
    <v>17</v>
  </rv>
  <rv s="8">
    <fb>1076504</fb>
    <v>18</v>
  </rv>
  <rv s="8">
    <fb>519</fb>
    <v>17</v>
  </rv>
  <rv s="8">
    <fb>524.27</fb>
    <v>17</v>
  </rv>
  <rv s="8">
    <fb>514.6</fb>
    <v>17</v>
  </rv>
  <rv s="8">
    <fb>517.95000000000005</fb>
    <v>17</v>
  </rv>
  <rv s="8">
    <fb>519.71</fb>
    <v>17</v>
  </rv>
  <rv s="8">
    <fb>515.74</fb>
    <v>17</v>
  </rv>
  <rv s="8">
    <fb>517.35</fb>
    <v>17</v>
  </rv>
  <rv s="8">
    <fb>528.57000000000005</fb>
    <v>17</v>
  </rv>
  <rv s="8">
    <fb>523.98</fb>
    <v>17</v>
  </rv>
  <rv s="8">
    <fb>524.85</fb>
    <v>17</v>
  </rv>
  <rv s="8">
    <fb>522.4</fb>
    <v>17</v>
  </rv>
  <rv s="8">
    <fb>510.96</fb>
    <v>17</v>
  </rv>
  <rv s="8">
    <fb>514.04999999999995</fb>
    <v>17</v>
  </rv>
  <rv s="8">
    <fb>513.57000000000005</fb>
    <v>17</v>
  </rv>
  <rv s="8">
    <fb>511.61</fb>
    <v>17</v>
  </rv>
  <rv s="8">
    <fb>513.58000000000004</fb>
    <v>17</v>
  </rv>
  <rv s="8">
    <fb>516.79</fb>
    <v>17</v>
  </rv>
  <rv s="8">
    <fb>517.66</fb>
    <v>17</v>
  </rv>
  <rv s="8">
    <fb>520.54</fb>
    <v>17</v>
  </rv>
  <rv s="8">
    <fb>520.55999999999995</fb>
    <v>17</v>
  </rv>
  <rv s="8">
    <fb>523.61</fb>
    <v>17</v>
  </rv>
  <rv s="8">
    <fb>531.52</fb>
    <v>17</v>
  </rv>
  <rv s="8">
    <fb>542.07000000000005</fb>
    <v>17</v>
  </rv>
  <rv s="8">
    <fb>525.76</fb>
    <v>17</v>
  </rv>
  <rv s="8">
    <fb>517.80999999999995</fb>
    <v>17</v>
  </rv>
  <rv s="8">
    <fb>517.03</fb>
    <v>17</v>
  </rv>
  <rv s="8">
    <fb>514.33000000000004</fb>
    <v>17</v>
  </rv>
  <rv s="8">
    <fb>507.16</fb>
    <v>17</v>
  </rv>
  <rv s="8">
    <fb>497.1</fb>
    <v>17</v>
  </rv>
  <rv s="8">
    <fb>496.82</fb>
    <v>17</v>
  </rv>
  <rv s="8">
    <fb>508.68</fb>
    <v>17</v>
  </rv>
  <rv s="8">
    <fb>511.14</fb>
    <v>17</v>
  </rv>
  <rv s="8">
    <fb>503.29</fb>
    <v>17</v>
  </rv>
  <rv s="8">
    <fb>510.18</fb>
    <v>17</v>
  </rv>
  <rv s="8">
    <fb>507.49</fb>
    <v>17</v>
  </rv>
  <rv s="8">
    <fb>493.79</fb>
    <v>17</v>
  </rv>
  <rv s="8">
    <fb>487.12</fb>
    <v>17</v>
  </rv>
  <rv s="8">
    <fb>478.43</fb>
    <v>17</v>
  </rv>
  <rv s="8">
    <fb>472.12</fb>
    <v>17</v>
  </rv>
  <rv s="8">
    <fb>474</fb>
    <v>17</v>
  </rv>
  <rv s="8">
    <fb>476.99</fb>
    <v>17</v>
  </rv>
  <rv s="8">
    <fb>485.5</fb>
    <v>17</v>
  </rv>
  <rv s="8">
    <fb>492.01</fb>
    <v>17</v>
  </rv>
  <rv s="8">
    <fb>486.74</fb>
    <v>17</v>
  </rv>
  <rv s="8">
    <fb>490</fb>
    <v>17</v>
  </rv>
  <rv s="8">
    <fb>477.73</fb>
    <v>17</v>
  </rv>
  <rv s="8">
    <fb>480.84</fb>
    <v>17</v>
  </rv>
  <rv s="8">
    <fb>483.16</fb>
    <v>17</v>
  </rv>
  <rv s="8">
    <fb>491.02</fb>
    <v>17</v>
  </rv>
  <rv s="8">
    <fb>492.02</fb>
    <v>17</v>
  </rv>
  <rv s="8">
    <fb>478.56</fb>
    <v>17</v>
  </rv>
  <rv s="8">
    <fb>483.47</fb>
    <v>17</v>
  </rv>
  <rv s="8">
    <fb>478.53</fb>
    <v>17</v>
  </rv>
  <rv s="8">
    <fb>474.82</fb>
    <v>17</v>
  </rv>
  <rv s="8">
    <fb>476.39</fb>
    <v>17</v>
  </rv>
  <rv s="8">
    <fb>476.12</fb>
    <v>17</v>
  </rv>
  <rv s="8">
    <fb>483.98</fb>
    <v>17</v>
  </rv>
  <rv s="8">
    <fb>485.92</fb>
    <v>17</v>
  </rv>
  <rv s="8">
    <fb>484.92</fb>
    <v>17</v>
  </rv>
  <rv s="8">
    <fb>486.85</fb>
    <v>17</v>
  </rv>
  <rv s="8">
    <fb>488.02</fb>
    <v>17</v>
  </rv>
  <rv s="8">
    <fb>487.71</fb>
    <v>17</v>
  </rv>
  <rv s="8">
    <fb>487.1</fb>
    <v>17</v>
  </rv>
  <rv s="8">
    <fb>487.48</fb>
    <v>17</v>
  </rv>
  <rv s="8">
    <fb>483.62</fb>
    <v>17</v>
  </rv>
  <rv s="8">
    <fb>472.94</fb>
    <v>17</v>
  </rv>
  <rv s="8">
    <fb>472.85</fb>
    <v>17</v>
  </rv>
  <rv s="8">
    <fb>478.51</fb>
    <v>17</v>
  </rv>
  <rv s="8">
    <fb>478.11</fb>
    <v>17</v>
  </rv>
  <rv s="8">
    <fb>479.28</fb>
    <v>17</v>
  </rv>
  <rv s="8">
    <fb>477.18</fb>
    <v>17</v>
  </rv>
  <rv s="8">
    <fb>470.67</fb>
    <v>17</v>
  </rv>
  <rv s="8">
    <fb>459.38</fb>
    <v>17</v>
  </rv>
  <rv s="8">
    <fb>456.66</fb>
    <v>17</v>
  </rv>
  <rv s="8">
    <fb>459.86</fb>
    <v>17</v>
  </rv>
  <rv s="8">
    <fb>454.52</fb>
    <v>17</v>
  </rv>
  <rv s="8">
    <fb>444.11</fb>
    <v>17</v>
  </rv>
  <rv s="8">
    <fb>451.14</fb>
    <v>17</v>
  </rv>
  <rv s="8">
    <fb>465.95</fb>
    <v>17</v>
  </rv>
  <rv s="8">
    <fb>470.28</fb>
    <v>17</v>
  </rv>
  <rv s="8">
    <fb>480.58</fb>
    <v>17</v>
  </rv>
  <rv s="8">
    <fb>481.63</fb>
    <v>17</v>
  </rv>
  <rv s="8">
    <fb>433.5</fb>
    <v>17</v>
  </rv>
  <rv s="8">
    <fb>430.29</fb>
    <v>17</v>
  </rv>
  <rv s="8">
    <fb>423.37</fb>
    <v>17</v>
  </rv>
  <rv s="8">
    <fb>411.21</fb>
    <v>17</v>
  </rv>
  <rv s="8">
    <fb>414.19</fb>
    <v>17</v>
  </rv>
  <rv s="8">
    <fb>393.67</fb>
    <v>17</v>
  </rv>
  <rv s="8">
    <fb>401.14</fb>
    <v>17</v>
  </rv>
  <rv s="8">
    <fb>413.6</fb>
    <v>17</v>
  </rv>
  <rv s="8">
    <fb>413.27</fb>
    <v>17</v>
  </rv>
  <rv s="8">
    <fb>404.37</fb>
    <v>17</v>
  </rv>
  <rv s="8">
    <fb>401.84</fb>
    <v>17</v>
  </rv>
  <rv s="8">
    <fb>401.32</fb>
    <v>17</v>
  </rv>
  <rv s="8">
    <fb>396.86</fb>
    <v>17</v>
  </rv>
  <rv s="8">
    <fb>399.6</fb>
    <v>17</v>
  </rv>
  <rv s="8">
    <fb>398.46</fb>
    <v>17</v>
  </rv>
  <rv s="8">
    <fb>397.23</fb>
    <v>17</v>
  </rv>
  <rv s="8">
    <fb>384.47</fb>
    <v>17</v>
  </rv>
  <rv s="8">
    <fb>389</fb>
    <v>17</v>
  </rv>
  <rv s="8">
    <fb>400.6</fb>
    <v>17</v>
  </rv>
  <rv s="8">
    <fb>401.72</fb>
    <v>17</v>
  </rv>
  <rv s="8">
    <fb>392.74</fb>
    <v>17</v>
  </rv>
  <rv s="8">
    <fb>398.55</fb>
    <v>17</v>
  </rv>
  <rv s="8">
    <fb>403.93</fb>
    <v>17</v>
  </rv>
  <rv s="8">
    <fb>405.2</fb>
    <v>17</v>
  </rv>
  <rv s="8">
    <fb>410.68</fb>
    <v>17</v>
  </rv>
  <rv s="8">
    <fb>408.96</fb>
    <v>17</v>
  </rv>
  <rv s="8">
    <fb>409.41</fb>
    <v>17</v>
  </rv>
  <rv s="8">
    <fb>405.76</fb>
    <v>17</v>
  </rv>
  <rv s="8">
    <fb>404.88</fb>
    <v>17</v>
  </rv>
  <rv s="8">
    <fb>401.86</fb>
    <v>17</v>
  </rv>
  <rv s="8">
    <fb>395.55</fb>
    <v>17</v>
  </rv>
  <rv s="8">
    <fb>399.95</fb>
    <v>17</v>
  </rv>
  <rv s="8">
    <fb>399.41</fb>
    <v>17</v>
  </rv>
  <rv s="8">
    <fb>391.79</fb>
    <v>17</v>
  </rv>
  <rv s="8">
    <fb>389.02</fb>
    <v>17</v>
  </rv>
  <rv s="8">
    <fb>381.87</fb>
    <v>17</v>
  </rv>
  <rv s="8">
    <fb>383</fb>
    <v>17</v>
  </rv>
  <rv s="8">
    <fb>372.74</fb>
    <v>17</v>
  </rv>
  <rv s="8">
    <fb>371.04</fb>
    <v>17</v>
  </rv>
  <rv s="8">
    <fb>365.97</fb>
    <v>17</v>
  </rv>
  <rv s="8">
    <fb>356.77</fb>
    <v>17</v>
  </rv>
  <rv s="8">
    <fb>358.96</fb>
    <v>17</v>
  </rv>
  <rv s="8">
    <fb>370.17</fb>
    <v>17</v>
  </rv>
  <rv s="8">
    <fb>369.37</fb>
    <v>17</v>
  </rv>
  <rv s="8">
    <fb>373.46</fb>
    <v>17</v>
  </rv>
  <rv s="8">
    <fb>372.88</fb>
    <v>17</v>
  </rv>
  <rv s="8">
    <fb>372.29</fb>
    <v>17</v>
  </rv>
  <rv s="8">
    <fb>374.33</fb>
    <v>17</v>
  </rv>
  <rv s="8">
    <fb>373.07</fb>
    <v>17</v>
  </rv>
  <rv s="8">
    <fb>370.87</fb>
    <v>17</v>
  </rv>
  <rv s="8">
    <fb>384.37</fb>
    <v>17</v>
  </rv>
  <rv s="8">
    <fb>411.22</fb>
    <v>17</v>
  </rv>
  <rv s="8">
    <fb>420.26</fb>
    <v>17</v>
  </rv>
  <rv s="8">
    <fb>422.79</fb>
    <v>17</v>
  </rv>
  <rv s="8">
    <fb>418.07</fb>
    <v>17</v>
  </rv>
  <rv s="8">
    <fb>424.16</fb>
    <v>17</v>
  </rv>
  <rv s="8">
    <fb>432.92</fb>
    <v>17</v>
  </rv>
  <rv s="8">
    <fb>415.75</fb>
    <v>17</v>
  </rv>
  <rv s="8">
    <fb>424.62</fb>
    <v>17</v>
  </rv>
  <rv s="8">
    <fb>424.82</fb>
    <v>17</v>
  </rv>
  <rv s="8">
    <fb>429.25</fb>
    <v>17</v>
  </rv>
  <rv s="8">
    <fb>424.46</fb>
    <v>17</v>
  </rv>
  <rv s="8">
    <fb>407.78</fb>
    <v>17</v>
  </rv>
  <rv s="8">
    <fb>414.44</fb>
    <v>17</v>
  </rv>
  <rv s="8">
    <fb>413.62</fb>
    <v>17</v>
  </rv>
  <rv s="8">
    <fb>411.38</fb>
    <v>17</v>
  </rv>
  <rv s="8">
    <fb>413.96</fb>
    <v>17</v>
  </rv>
  <rv s="8">
    <fb>420.77</fb>
    <v>17</v>
  </rv>
  <rv s="8">
    <fb>415.12</fb>
    <v>17</v>
  </rv>
  <rv s="8">
    <fb>412.66</fb>
    <v>17</v>
  </rv>
  <rv s="8">
    <fb>407.77</fb>
    <v>17</v>
  </rv>
  <rv s="8">
    <fb>405.21</fb>
    <v>17</v>
  </rv>
  <rv s="8">
    <fb>409.43</fb>
    <v>17</v>
  </rv>
  <rv s="8">
    <fb>421.92</fb>
    <v>17</v>
  </rv>
  <rv s="8">
    <fb>423.54</fb>
    <v>17</v>
  </rv>
  <rv s="8">
    <fb>417.42</fb>
    <v>17</v>
  </rv>
  <rv s="8">
    <fb>421.06</fb>
    <v>17</v>
  </rv>
  <rv s="8">
    <fb>419.09</fb>
    <v>17</v>
  </rv>
  <rv s="8">
    <fb>418.57</fb>
    <v>17</v>
  </rv>
  <rv s="8">
    <fb>416.03</fb>
    <v>17</v>
  </rv>
  <rv s="8">
    <fb>412.67</fb>
    <v>17</v>
  </rv>
  <rv s="8">
    <fb>426.99</fb>
    <v>17</v>
  </rv>
  <rv s="8">
    <fb>450.24</fb>
    <v>17</v>
  </rv>
  <rv s="8">
    <fb>460.52</fb>
    <v>17</v>
  </rv>
  <rv s="8">
    <fb>441.31</fb>
    <v>17</v>
  </rv>
  <rv s="8">
    <fb>427.34</fb>
    <v>17</v>
  </rv>
  <rv s="8">
    <fb>428.05</fb>
    <v>17</v>
  </rv>
  <rv s="8">
    <fb>416.67</fb>
    <v>17</v>
  </rv>
  <rv s="8">
    <fb>411.74</fb>
    <v>17</v>
  </rv>
  <rv s="8">
    <fb>403.41</fb>
    <v>17</v>
  </rv>
  <rv s="8">
    <fb>397.36</fb>
    <v>17</v>
  </rv>
  <rv s="8">
    <fb>390.34</fb>
    <v>17</v>
  </rv>
  <rv s="8">
    <fb>390.74</fb>
    <v>17</v>
  </rv>
  <rv s="8">
    <fb>399.76</fb>
    <v>17</v>
  </rv>
  <rv s="8">
    <fb>393.83</fb>
    <v>17</v>
  </rv>
  <rv s="8">
    <fb>378.91</fb>
    <v>17</v>
  </rv>
  <rv s="8">
    <fb>379.4</fb>
    <v>17</v>
  </rv>
  <rv s="8">
    <fb>367.34</fb>
    <v>17</v>
  </rv>
  <rv s="8">
    <fb>373.94</fb>
    <v>17</v>
  </rv>
  <rv s="8">
    <fb>365.46</fb>
    <v>17</v>
  </rv>
  <rv s="8">
    <fb>352.83</fb>
    <v>17</v>
  </rv>
  <rv s="8">
    <fb>372.97</fb>
    <v>17</v>
  </rv>
  <rv s="8">
    <fb>368.57</fb>
    <v>17</v>
  </rv>
  <rv s="8">
    <fb>373.02</fb>
    <v>17</v>
  </rv>
  <rv s="8">
    <fb>384.28</fb>
    <v>17</v>
  </rv>
  <rv s="8">
    <fb>390.49</fb>
    <v>17</v>
  </rv>
  <rv s="8">
    <fb>386.74</fb>
    <v>17</v>
  </rv>
  <rv s="8">
    <fb>388.84</fb>
    <v>17</v>
  </rv>
  <rv s="8">
    <fb>383.34</fb>
    <v>17</v>
  </rv>
  <rv s="8">
    <fb>384.36</fb>
    <v>17</v>
  </rv>
  <rv s="8">
    <fb>385.1</fb>
    <v>17</v>
  </rv>
  <rv s="8">
    <fb>390.99</fb>
    <v>17</v>
  </rv>
  <rv s="8">
    <fb>384.93</fb>
    <v>17</v>
  </rv>
  <rv s="8">
    <fb>395.63</fb>
    <v>17</v>
  </rv>
  <rv s="8">
    <fb>401.1</fb>
    <v>17</v>
  </rv>
  <rv s="8">
    <fb>393.82</fb>
    <v>17</v>
  </rv>
  <rv s="8">
    <fb>402.29</fb>
    <v>17</v>
  </rv>
  <rv s="8">
    <fb>397.75</fb>
    <v>17</v>
  </rv>
  <rv s="8">
    <fb>381.58</fb>
    <v>17</v>
  </rv>
  <rv s="8">
    <fb>381.7</fb>
    <v>17</v>
  </rv>
  <rv s="8">
    <fb>389.1</fb>
    <v>17</v>
  </rv>
  <rv s="8">
    <fb>393.35</fb>
    <v>17</v>
  </rv>
  <rv s="8">
    <fb>390.54</fb>
    <v>17</v>
  </rv>
  <rv s="8">
    <fb>451.1</fb>
    <v>17</v>
  </rv>
  <rv s="8">
    <fb>464.72</fb>
    <v>17</v>
  </rv>
  <rv s="8">
    <fb>487.65</fb>
    <v>17</v>
  </rv>
  <rv s="8">
    <fb>492.81</fb>
    <v>17</v>
  </rv>
  <rv s="8">
    <fb>487.46</fb>
    <v>17</v>
  </rv>
  <rv s="8">
    <fb>499.86</fb>
    <v>17</v>
  </rv>
  <rv s="8">
    <fb>499.99</fb>
    <v>17</v>
  </rv>
  <rv s="8">
    <fb>506.06</fb>
    <v>17</v>
  </rv>
  <rv s="8">
    <fb>503.81</fb>
    <v>17</v>
  </rv>
  <rv s="8">
    <fb>492.43</fb>
    <v>17</v>
  </rv>
  <rv s="8">
    <fb>496.88</fb>
    <v>17</v>
  </rv>
  <rv s="8">
    <fb>495.4</fb>
    <v>17</v>
  </rv>
  <rv s="8">
    <fb>480.35</fb>
    <v>17</v>
  </rv>
  <rv s="8">
    <fb>484.31</fb>
    <v>17</v>
  </rv>
  <rv s="8">
    <fb>481.15</fb>
    <v>17</v>
  </rv>
  <rv s="8">
    <fb>483.24</fb>
    <v>17</v>
  </rv>
  <rv s="8">
    <fb>487.31</fb>
    <v>17</v>
  </rv>
  <rv s="8">
    <fb>491.71</fb>
    <v>17</v>
  </rv>
  <rv s="8">
    <fb>496.37</fb>
    <v>17</v>
  </rv>
  <rv s="8">
    <fb>505.06</fb>
    <v>17</v>
  </rv>
  <rv s="8">
    <fb>513.53</fb>
    <v>17</v>
  </rv>
  <rv s="8">
    <fb>501.02</fb>
    <v>17</v>
  </rv>
  <rv s="8">
    <fb>510.12</fb>
    <v>17</v>
  </rv>
  <rv s="8">
    <fb>499.7</fb>
    <v>17</v>
  </rv>
  <rv s="8">
    <fb>493.95</fb>
    <v>17</v>
  </rv>
  <rv s="8">
    <fb>491.65</fb>
    <v>17</v>
  </rv>
  <rv s="8">
    <fb>492.44</fb>
    <v>17</v>
  </rv>
  <rv s="8">
    <fb>495.63</fb>
    <v>17</v>
  </rv>
  <rv s="8">
    <fb>505.41</fb>
    <v>17</v>
  </rv>
  <rv s="8">
    <fb>497.12</fb>
    <v>17</v>
  </rv>
  <rv s="8">
    <fb>490.3</fb>
    <v>17</v>
  </rv>
  <rv s="8">
    <fb>497.75</fb>
    <v>17</v>
  </rv>
  <rv s="8">
    <fb>493.78</fb>
    <v>17</v>
  </rv>
  <rv s="8">
    <fb>501.61</fb>
    <v>17</v>
  </rv>
  <rv s="8">
    <fb>498</fb>
    <v>17</v>
  </rv>
  <rv s="8">
    <fb>500.59</fb>
    <v>17</v>
  </rv>
  <rv s="8">
    <fb>497.93</fb>
    <v>17</v>
  </rv>
  <rv s="8">
    <fb>516.16999999999996</fb>
    <v>17</v>
  </rv>
  <rv s="8">
    <fb>509.22</fb>
    <v>17</v>
  </rv>
  <rv s="8">
    <fb>27208911</fb>
    <v>18</v>
  </rv>
  <rv s="8">
    <fb>510.38</fb>
    <v>17</v>
  </rv>
  <rv s="8">
    <fb>512.19000000000005</fb>
    <v>17</v>
  </rv>
  <rv s="8">
    <fb>506.39</fb>
    <v>17</v>
  </rv>
  <rv s="8">
    <fb>21046892</fb>
    <v>18</v>
  </rv>
  <rv s="8">
    <fb>497.52</fb>
    <v>17</v>
  </rv>
  <rv s="8">
    <fb>505.97</fb>
    <v>17</v>
  </rv>
  <rv s="8">
    <fb>496.78</fb>
    <v>17</v>
  </rv>
  <rv s="8">
    <fb>15336074</fb>
    <v>18</v>
  </rv>
  <rv s="8">
    <fb>499.85</fb>
    <v>17</v>
  </rv>
  <rv s="8">
    <fb>500.27</fb>
    <v>17</v>
  </rv>
  <rv s="8">
    <fb>493.81</fb>
    <v>17</v>
  </rv>
  <rv s="8">
    <fb>24125893</fb>
    <v>18</v>
  </rv>
  <rv s="8">
    <fb>501.66</fb>
    <v>17</v>
  </rv>
  <rv s="8">
    <fb>515.65</fb>
    <v>17</v>
  </rv>
  <rv s="8">
    <fb>500.8</fb>
    <v>17</v>
  </rv>
  <rv s="8">
    <fb>18101758</fb>
    <v>18</v>
  </rv>
  <rv s="8">
    <fb>510</fb>
    <v>17</v>
  </rv>
  <rv s="8">
    <fb>511</fb>
    <v>17</v>
  </rv>
  <rv s="8">
    <fb>18882338</fb>
    <v>18</v>
  </rv>
  <rv s="8">
    <fb>493.01</fb>
    <v>17</v>
  </rv>
  <rv s="8">
    <fb>495.19</fb>
    <v>17</v>
  </rv>
  <rv s="8">
    <fb>490.15</fb>
    <v>17</v>
  </rv>
  <rv s="8">
    <fb>12889572</fb>
    <v>18</v>
  </rv>
  <rv s="8">
    <fb>493.07</fb>
    <v>17</v>
  </rv>
  <rv s="8">
    <fb>494.39</fb>
    <v>17</v>
  </rv>
  <rv s="8">
    <fb>489.8</fb>
    <v>17</v>
  </rv>
  <rv s="8">
    <fb>15418192</fb>
    <v>18</v>
  </rv>
  <rv s="8">
    <fb>488.32</fb>
    <v>17</v>
  </rv>
  <rv s="8">
    <fb>494.52</fb>
    <v>17</v>
  </rv>
  <rv s="8">
    <fb>486</fb>
    <v>17</v>
  </rv>
  <rv s="8">
    <fb>13783652</fb>
    <v>18</v>
  </rv>
  <rv s="8">
    <fb>495.65</fb>
    <v>17</v>
  </rv>
  <rv s="8">
    <fb>498.97</fb>
    <v>17</v>
  </rv>
  <rv s="8">
    <fb>492.58</fb>
    <v>17</v>
  </rv>
  <rv s="8">
    <fb>23091892</fb>
    <v>18</v>
  </rv>
  <rv s="8">
    <fb>497.06</fb>
    <v>17</v>
  </rv>
  <rv s="8">
    <fb>509.95</fb>
    <v>17</v>
  </rv>
  <rv s="8">
    <fb>495.34160000000003</fb>
    <v>17</v>
  </rv>
  <rv s="8">
    <fb>17385982</fb>
    <v>18</v>
  </rv>
  <rv s="8">
    <fb>500.06</fb>
    <v>17</v>
  </rv>
  <rv s="8">
    <fb>16670285</fb>
    <v>18</v>
  </rv>
  <rv s="8">
    <fb>493.03</fb>
    <v>17</v>
  </rv>
  <rv s="8">
    <fb>495.97</fb>
    <v>17</v>
  </rv>
  <rv s="8">
    <fb>487.23</fb>
    <v>17</v>
  </rv>
  <rv s="8">
    <fb>17841640</fb>
    <v>18</v>
  </rv>
  <rv s="8">
    <fb>497.79500000000002</fb>
    <v>17</v>
  </rv>
  <rv s="8">
    <fb>501.47</fb>
    <v>17</v>
  </rv>
  <rv s="8">
    <fb>493.17</fb>
    <v>17</v>
  </rv>
  <rv s="8">
    <fb>39622288</fb>
    <v>18</v>
  </rv>
  <rv s="8">
    <fb>497.96499999999997</fb>
    <v>17</v>
  </rv>
  <rv s="8">
    <fb>498.65</fb>
    <v>17</v>
  </rv>
  <rv s="8">
    <fb>491.1</fb>
    <v>17</v>
  </rv>
  <rv s="8">
    <fb>27959944</fb>
    <v>18</v>
  </rv>
  <rv s="8">
    <fb>494.94499999999999</fb>
    <v>17</v>
  </rv>
  <rv s="8">
    <fb>501.87</fb>
    <v>17</v>
  </rv>
  <rv s="8">
    <fb>491.33</fb>
    <v>17</v>
  </rv>
  <rv s="8">
    <fb>21652838</fb>
    <v>18</v>
  </rv>
  <rv s="8">
    <fb>507.32</fb>
    <v>17</v>
  </rv>
  <rv s="8">
    <fb>508.5</fb>
    <v>17</v>
  </rv>
  <rv s="8">
    <fb>493.65</fb>
    <v>17</v>
  </rv>
  <rv s="8">
    <fb>19445555</fb>
    <v>18</v>
  </rv>
  <rv s="8">
    <fb>500.755</fb>
    <v>17</v>
  </rv>
  <rv s="8">
    <fb>509.44</fb>
    <v>17</v>
  </rv>
  <rv s="8">
    <fb>495.88</fb>
    <v>17</v>
  </rv>
  <rv s="8">
    <fb>16657643</fb>
    <v>18</v>
  </rv>
  <rv s="8">
    <fb>495.07</fb>
    <v>17</v>
  </rv>
  <rv s="8">
    <fb>498.9</fb>
    <v>17</v>
  </rv>
  <rv s="8">
    <fb>491.22</fb>
    <v>17</v>
  </rv>
  <rv s="8">
    <fb>38193112</fb>
    <v>18</v>
  </rv>
  <rv s="8">
    <fb>499.03500000000003</fb>
    <v>17</v>
  </rv>
  <rv s="8">
    <fb>519.4</fb>
    <v>17</v>
  </rv>
  <rv s="8">
    <fb>497.25</fb>
    <v>17</v>
  </rv>
  <rv s="8">
    <fb>19626939</fb>
    <v>18</v>
  </rv>
  <rv s="8">
    <fb>505.47</fb>
    <v>17</v>
  </rv>
  <rv s="8">
    <fb>513.33000000000004</fb>
    <v>17</v>
  </rv>
  <rv s="8">
    <fb>502.22</fb>
    <v>17</v>
  </rv>
  <rv s="8">
    <fb>804.12</fb>
    <v>17</v>
  </rv>
  <rv s="8">
    <fb>796.35</fb>
    <v>17</v>
  </rv>
  <rv s="8">
    <fb>785.51</fb>
    <v>17</v>
  </rv>
  <rv s="8">
    <fb>779.38</fb>
    <v>17</v>
  </rv>
  <rv s="8">
    <fb>789.98</fb>
    <v>17</v>
  </rv>
  <rv s="8">
    <fb>796.78</fb>
    <v>17</v>
  </rv>
  <rv s="8">
    <fb>789.65</fb>
    <v>17</v>
  </rv>
  <rv s="8">
    <fb>776.51</fb>
    <v>17</v>
  </rv>
  <rv s="8">
    <fb>779.96</fb>
    <v>17</v>
  </rv>
  <rv s="8">
    <fb>764.36</fb>
    <v>17</v>
  </rv>
  <rv s="8">
    <fb>786.78</fb>
    <v>17</v>
  </rv>
  <rv s="8">
    <fb>770.76</fb>
    <v>17</v>
  </rv>
  <rv s="8">
    <fb>767.93</fb>
    <v>17</v>
  </rv>
  <rv s="8">
    <fb>758.09</fb>
    <v>17</v>
  </rv>
  <rv s="8">
    <fb>750.77</fb>
    <v>17</v>
  </rv>
  <rv s="8">
    <fb>763.32</fb>
    <v>17</v>
  </rv>
  <rv s="8">
    <fb>758.98</fb>
    <v>17</v>
  </rv>
  <rv s="8">
    <fb>744.6</fb>
    <v>17</v>
  </rv>
  <rv s="8">
    <fb>750.78</fb>
    <v>17</v>
  </rv>
  <rv s="8">
    <fb>783.88</fb>
    <v>17</v>
  </rv>
  <rv s="8">
    <fb>789.99</fb>
    <v>17</v>
  </rv>
  <rv s="8">
    <fb>792.09</fb>
    <v>17</v>
  </rv>
  <rv s="8">
    <fb>783.06</fb>
    <v>17</v>
  </rv>
  <rv s="8">
    <fb>790.16</fb>
    <v>17</v>
  </rv>
  <rv s="8">
    <fb>789.37</fb>
    <v>17</v>
  </rv>
  <rv s="8">
    <fb>785.52</fb>
    <v>17</v>
  </rv>
  <rv s="8">
    <fb>790.83</fb>
    <v>17</v>
  </rv>
  <rv s="8">
    <fb>793.09</fb>
    <v>17</v>
  </rv>
  <rv s="8">
    <fb>787.58</fb>
    <v>17</v>
  </rv>
  <rv s="8">
    <fb>786.34</fb>
    <v>17</v>
  </rv>
  <rv s="8">
    <fb>797.2</fb>
    <v>17</v>
  </rv>
  <rv s="8">
    <fb>810.31</fb>
    <v>17</v>
  </rv>
  <rv s="8">
    <fb>838.97</fb>
    <v>17</v>
  </rv>
  <rv s="8">
    <fb>805.5</fb>
    <v>17</v>
  </rv>
  <rv s="8">
    <fb>790.91</fb>
    <v>17</v>
  </rv>
  <rv s="8">
    <fb>775.56</fb>
    <v>17</v>
  </rv>
  <rv s="8">
    <fb>776.3</fb>
    <v>17</v>
  </rv>
  <rv s="8">
    <fb>785.99</fb>
    <v>17</v>
  </rv>
  <rv s="8">
    <fb>773.7</fb>
    <v>17</v>
  </rv>
  <rv s="8">
    <fb>774.03</fb>
    <v>17</v>
  </rv>
  <rv s="8">
    <fb>790.71</fb>
    <v>17</v>
  </rv>
  <rv s="8">
    <fb>802.32</fb>
    <v>17</v>
  </rv>
  <rv s="8">
    <fb>816.01</fb>
    <v>17</v>
  </rv>
  <rv s="8">
    <fb>826.04</fb>
    <v>17</v>
  </rv>
  <rv s="8">
    <fb>810.86</fb>
    <v>17</v>
  </rv>
  <rv s="8">
    <fb>815.21</fb>
    <v>17</v>
  </rv>
  <rv s="8">
    <fb>836.57</fb>
    <v>17</v>
  </rv>
  <rv s="8">
    <fb>837.83</fb>
    <v>17</v>
  </rv>
  <rv s="8">
    <fb>854.56</fb>
    <v>17</v>
  </rv>
  <rv s="8">
    <fb>866.69</fb>
    <v>17</v>
  </rv>
  <rv s="8">
    <fb>876.58</fb>
    <v>17</v>
  </rv>
  <rv s="8">
    <fb>889.24</fb>
    <v>17</v>
  </rv>
  <rv s="8">
    <fb>911.03</fb>
    <v>17</v>
  </rv>
  <rv s="8">
    <fb>887.96</fb>
    <v>17</v>
  </rv>
  <rv s="8">
    <fb>889.59</fb>
    <v>17</v>
  </rv>
  <rv s="8">
    <fb>879.15</fb>
    <v>17</v>
  </rv>
  <rv s="8">
    <fb>872.33</fb>
    <v>17</v>
  </rv>
  <rv s="8">
    <fb>876.3</fb>
    <v>17</v>
  </rv>
  <rv s="8">
    <fb>893.48</fb>
    <v>17</v>
  </rv>
  <rv s="8">
    <fb>901.71</fb>
    <v>17</v>
  </rv>
  <rv s="8">
    <fb>910.78</fb>
    <v>17</v>
  </rv>
  <rv s="8">
    <fb>907.04</fb>
    <v>17</v>
  </rv>
  <rv s="8">
    <fb>892.18</fb>
    <v>17</v>
  </rv>
  <rv s="8">
    <fb>884.42</fb>
    <v>17</v>
  </rv>
  <rv s="8">
    <fb>879</fb>
    <v>17</v>
  </rv>
  <rv s="8">
    <fb>914.34</fb>
    <v>17</v>
  </rv>
  <rv s="8">
    <fb>948.44</fb>
    <v>17</v>
  </rv>
  <rv s="8">
    <fb>955.47</fb>
    <v>17</v>
  </rv>
  <rv s="8">
    <fb>941.02</fb>
    <v>17</v>
  </rv>
  <rv s="8">
    <fb>934.83</fb>
    <v>17</v>
  </rv>
  <rv s="8">
    <fb>938.98</fb>
    <v>17</v>
  </rv>
  <rv s="8">
    <fb>949.55</fb>
    <v>17</v>
  </rv>
  <rv s="8">
    <fb>938.15</fb>
    <v>17</v>
  </rv>
  <rv s="8">
    <fb>932.67</fb>
    <v>17</v>
  </rv>
  <rv s="8">
    <fb>975.86</fb>
    <v>17</v>
  </rv>
  <rv s="8">
    <fb>962</fb>
    <v>17</v>
  </rv>
  <rv s="8">
    <fb>943.37</fb>
    <v>17</v>
  </rv>
  <rv s="8">
    <fb>953.01</fb>
    <v>17</v>
  </rv>
  <rv s="8">
    <fb>954.65</fb>
    <v>17</v>
  </rv>
  <rv s="8">
    <fb>918.88</fb>
    <v>17</v>
  </rv>
  <rv s="8">
    <fb>931.86</fb>
    <v>17</v>
  </rv>
  <rv s="8">
    <fb>929.72</fb>
    <v>17</v>
  </rv>
  <rv s="8">
    <fb>936.81</fb>
    <v>17</v>
  </rv>
  <rv s="8">
    <fb>940.12</fb>
    <v>17</v>
  </rv>
  <rv s="8">
    <fb>935.41</fb>
    <v>17</v>
  </rv>
  <rv s="8">
    <fb>946.33</fb>
    <v>17</v>
  </rv>
  <rv s="8">
    <fb>938.99</fb>
    <v>17</v>
  </rv>
  <rv s="8">
    <fb>913.3</fb>
    <v>17</v>
  </rv>
  <rv s="8">
    <fb>890.41</fb>
    <v>17</v>
  </rv>
  <rv s="8">
    <fb>928.75</fb>
    <v>17</v>
  </rv>
  <rv s="8">
    <fb>943.62</fb>
    <v>17</v>
  </rv>
  <rv s="8">
    <fb>948.99</fb>
    <v>17</v>
  </rv>
  <rv s="8">
    <fb>944.59</fb>
    <v>17</v>
  </rv>
  <rv s="8">
    <fb>904.55</fb>
    <v>17</v>
  </rv>
  <rv s="8">
    <fb>905.14</fb>
    <v>17</v>
  </rv>
  <rv s="8">
    <fb>916.04</fb>
    <v>17</v>
  </rv>
  <rv s="8">
    <fb>933.73</fb>
    <v>17</v>
  </rv>
  <rv s="8">
    <fb>916.65</fb>
    <v>17</v>
  </rv>
  <rv s="8">
    <fb>922.24</fb>
    <v>17</v>
  </rv>
  <rv s="8">
    <fb>892.31</fb>
    <v>17</v>
  </rv>
  <rv s="8">
    <fb>902.27</fb>
    <v>17</v>
  </rv>
  <rv s="8">
    <fb>921.38</fb>
    <v>17</v>
  </rv>
  <rv s="8">
    <fb>929</fb>
    <v>17</v>
  </rv>
  <rv s="8">
    <fb>859.57</fb>
    <v>17</v>
  </rv>
  <rv s="8">
    <fb>861.7</fb>
    <v>17</v>
  </rv>
  <rv s="8">
    <fb>862.58</fb>
    <v>17</v>
  </rv>
  <rv s="8">
    <fb>867.25</fb>
    <v>17</v>
  </rv>
  <rv s="8">
    <fb>835.46</fb>
    <v>17</v>
  </rv>
  <rv s="8">
    <fb>821.42</fb>
    <v>17</v>
  </rv>
  <rv s="8">
    <fb>832.03</fb>
    <v>17</v>
  </rv>
  <rv s="8">
    <fb>833.81</fb>
    <v>17</v>
  </rv>
  <rv s="8">
    <fb>823.76</fb>
    <v>17</v>
  </rv>
  <rv s="8">
    <fb>787.52</fb>
    <v>17</v>
  </rv>
  <rv s="8">
    <fb>782.21</fb>
    <v>17</v>
  </rv>
  <rv s="8">
    <fb>794.77</fb>
    <v>17</v>
  </rv>
  <rv s="8">
    <fb>807.04</fb>
    <v>17</v>
  </rv>
  <rv s="8">
    <fb>805.48</fb>
    <v>17</v>
  </rv>
  <rv s="8">
    <fb>809.5</fb>
    <v>17</v>
  </rv>
  <rv s="8">
    <fb>813.53</fb>
    <v>17</v>
  </rv>
  <rv s="8">
    <fb>831.27</fb>
    <v>17</v>
  </rv>
  <rv s="8">
    <fb>835.72</fb>
    <v>17</v>
  </rv>
  <rv s="8">
    <fb>841.84</fb>
    <v>17</v>
  </rv>
  <rv s="8">
    <fb>822.64</fb>
    <v>17</v>
  </rv>
  <rv s="8">
    <fb>802.89</fb>
    <v>17</v>
  </rv>
  <rv s="8">
    <fb>807.6</fb>
    <v>17</v>
  </rv>
  <rv s="8">
    <fb>845.99</fb>
    <v>17</v>
  </rv>
  <rv s="8">
    <fb>860.21</fb>
    <v>17</v>
  </rv>
  <rv s="8">
    <fb>863.04</fb>
    <v>17</v>
  </rv>
  <rv s="8">
    <fb>866.05</fb>
    <v>17</v>
  </rv>
  <rv s="8">
    <fb>864.15</fb>
    <v>17</v>
  </rv>
  <rv s="8">
    <fb>905.75</fb>
    <v>17</v>
  </rv>
  <rv s="8">
    <fb>903.72</fb>
    <v>17</v>
  </rv>
  <rv s="8">
    <fb>907.8</fb>
    <v>17</v>
  </rv>
  <rv s="8">
    <fb>890.79</fb>
    <v>17</v>
  </rv>
  <rv s="8">
    <fb>909.63</fb>
    <v>17</v>
  </rv>
  <rv s="8">
    <fb>899.49</fb>
    <v>17</v>
  </rv>
  <rv s="8">
    <fb>900</fb>
    <v>17</v>
  </rv>
  <rv s="8">
    <fb>925.95</fb>
    <v>17</v>
  </rv>
  <rv s="8">
    <fb>941.74</fb>
    <v>17</v>
  </rv>
  <rv s="8">
    <fb>926.55</fb>
    <v>17</v>
  </rv>
  <rv s="8">
    <fb>934.84</fb>
    <v>17</v>
  </rv>
  <rv s="8">
    <fb>931.3</fb>
    <v>17</v>
  </rv>
  <rv s="8">
    <fb>926.91</fb>
    <v>17</v>
  </rv>
  <rv s="8">
    <fb>937.81</fb>
    <v>17</v>
  </rv>
  <rv s="8">
    <fb>905.6</fb>
    <v>17</v>
  </rv>
  <rv s="8">
    <fb>923.77</fb>
    <v>17</v>
  </rv>
  <rv s="8">
    <fb>923.71</fb>
    <v>17</v>
  </rv>
  <rv s="8">
    <fb>903.27</fb>
    <v>17</v>
  </rv>
  <rv s="8">
    <fb>918.89</fb>
    <v>17</v>
  </rv>
  <rv s="8">
    <fb>937.35</fb>
    <v>17</v>
  </rv>
  <rv s="8">
    <fb>925.87</fb>
    <v>17</v>
  </rv>
  <rv s="8">
    <fb>936.48</fb>
    <v>17</v>
  </rv>
  <rv s="8">
    <fb>944.86</fb>
    <v>17</v>
  </rv>
  <rv s="8">
    <fb>945.9</fb>
    <v>17</v>
  </rv>
  <rv s="8">
    <fb>955.42</fb>
    <v>17</v>
  </rv>
  <rv s="8">
    <fb>968.96</fb>
    <v>17</v>
  </rv>
  <rv s="8">
    <fb>948.47</fb>
    <v>17</v>
  </rv>
  <rv s="8">
    <fb>946.36</fb>
    <v>17</v>
  </rv>
  <rv s="8">
    <fb>928.74</fb>
    <v>17</v>
  </rv>
  <rv s="8">
    <fb>982.12</fb>
    <v>17</v>
  </rv>
  <rv s="8">
    <fb>988.17</fb>
    <v>17</v>
  </rv>
  <rv s="8">
    <fb>996.73</fb>
    <v>17</v>
  </rv>
  <rv s="8">
    <fb>994.52</fb>
    <v>17</v>
  </rv>
  <rv s="8">
    <fb>996.47</fb>
    <v>17</v>
  </rv>
  <rv s="8">
    <fb>1008.37</fb>
    <v>17</v>
  </rv>
  <rv s="8">
    <fb>1025.56</fb>
    <v>17</v>
  </rv>
  <rv s="8">
    <fb>1048.58</fb>
    <v>17</v>
  </rv>
  <rv s="8">
    <fb>1064.58</fb>
    <v>17</v>
  </rv>
  <rv s="8">
    <fb>1041.02</fb>
    <v>17</v>
  </rv>
  <rv s="8">
    <fb>1092.6099999999999</fb>
    <v>17</v>
  </rv>
  <rv s="8">
    <fb>1038.68</fb>
    <v>17</v>
  </rv>
  <rv s="8">
    <fb>1045</fb>
    <v>17</v>
  </rv>
  <rv s="8">
    <fb>1032.01</fb>
    <v>17</v>
  </rv>
  <rv s="8">
    <fb>1001.29</fb>
    <v>17</v>
  </rv>
  <rv s="8">
    <fb>1035.6400000000001</fb>
    <v>17</v>
  </rv>
  <rv s="8">
    <fb>1062.75</fb>
    <v>17</v>
  </rv>
  <rv s="8">
    <fb>1076.17</fb>
    <v>17</v>
  </rv>
  <rv s="8">
    <fb>1090.67</fb>
    <v>17</v>
  </rv>
  <rv s="8">
    <fb>1099.1400000000001</fb>
    <v>17</v>
  </rv>
  <rv s="8">
    <fb>1096.56</fb>
    <v>17</v>
  </rv>
  <rv s="8">
    <fb>1106.3699999999999</fb>
    <v>17</v>
  </rv>
  <rv s="8">
    <fb>1094.44</fb>
    <v>17</v>
  </rv>
  <rv s="8">
    <fb>1076.9100000000001</fb>
    <v>17</v>
  </rv>
  <rv s="8">
    <fb>1065.0899999999999</fb>
    <v>17</v>
  </rv>
  <rv s="8">
    <fb>1019.61</fb>
    <v>17</v>
  </rv>
  <rv s="8">
    <fb>1020.21</fb>
    <v>17</v>
  </rv>
  <rv s="8">
    <fb>1011.37</fb>
    <v>17</v>
  </rv>
  <rv s="8">
    <fb>1021</fb>
    <v>17</v>
  </rv>
  <rv s="8">
    <fb>1055.29</fb>
    <v>17</v>
  </rv>
  <rv s="8">
    <fb>1042.98</fb>
    <v>17</v>
  </rv>
  <rv s="8">
    <fb>1029.6400000000001</fb>
    <v>17</v>
  </rv>
  <rv s="8">
    <fb>1055.97</fb>
    <v>17</v>
  </rv>
  <rv s="8">
    <fb>1055.18</fb>
    <v>17</v>
  </rv>
  <rv s="8">
    <fb>1045.9100000000001</fb>
    <v>17</v>
  </rv>
  <rv s="8">
    <fb>1140</fb>
    <v>17</v>
  </rv>
  <rv s="8">
    <fb>1152.07</fb>
    <v>17</v>
  </rv>
  <rv s="8">
    <fb>1095.46</fb>
    <v>17</v>
  </rv>
  <rv s="8">
    <fb>1065.22</fb>
    <v>17</v>
  </rv>
  <rv s="8">
    <fb>1055.03</fb>
    <v>17</v>
  </rv>
  <rv s="8">
    <fb>1085.56</fb>
    <v>17</v>
  </rv>
  <rv s="8">
    <fb>1098.2</fb>
    <v>17</v>
  </rv>
  <rv s="8">
    <fb>1074.72</fb>
    <v>17</v>
  </rv>
  <rv s="8">
    <fb>1061.23</fb>
    <v>17</v>
  </rv>
  <rv s="8">
    <fb>1048.23</fb>
    <v>17</v>
  </rv>
  <rv s="8">
    <fb>1033.3399999999999</fb>
    <v>17</v>
  </rv>
  <rv s="8">
    <fb>980.75</fb>
    <v>17</v>
  </rv>
  <rv s="8">
    <fb>1024.8599999999999</fb>
    <v>17</v>
  </rv>
  <rv s="8">
    <fb>1018.38</fb>
    <v>17</v>
  </rv>
  <rv s="8">
    <fb>1027.06</fb>
    <v>17</v>
  </rv>
  <rv s="8">
    <fb>1052.98</fb>
    <v>17</v>
  </rv>
  <rv s="8">
    <fb>1060.3800000000001</fb>
    <v>17</v>
  </rv>
  <rv s="8">
    <fb>1032.58</fb>
    <v>17</v>
  </rv>
  <rv s="8">
    <fb>1039.6099999999999</fb>
    <v>17</v>
  </rv>
  <rv s="8">
    <fb>1034.51</fb>
    <v>17</v>
  </rv>
  <rv s="8">
    <fb>1034.4100000000001</fb>
    <v>17</v>
  </rv>
  <rv s="8">
    <fb>1037.21</fb>
    <v>17</v>
  </rv>
  <rv s="8">
    <fb>1042.6300000000001</fb>
    <v>17</v>
  </rv>
  <rv s="8">
    <fb>1039.42</fb>
    <v>17</v>
  </rv>
  <rv s="8">
    <fb>1051.31</fb>
    <v>17</v>
  </rv>
  <rv s="8">
    <fb>1040.47</fb>
    <v>17</v>
  </rv>
  <rv s="8">
    <fb>1021.65</fb>
    <v>17</v>
  </rv>
  <rv s="8">
    <fb>1001.95</fb>
    <v>17</v>
  </rv>
  <rv s="8">
    <fb>1039.28</fb>
    <v>17</v>
  </rv>
  <rv s="8">
    <fb>1036.28</fb>
    <v>17</v>
  </rv>
  <rv s="8">
    <fb>1058.8800000000001</fb>
    <v>17</v>
  </rv>
  <rv s="8">
    <fb>1040.46</fb>
    <v>17</v>
  </rv>
  <rv s="8">
    <fb>1040.8699999999999</fb>
    <v>17</v>
  </rv>
  <rv s="8">
    <fb>1033.99</fb>
    <v>17</v>
  </rv>
  <rv s="8">
    <fb>1025.9000000000001</fb>
    <v>17</v>
  </rv>
  <rv s="8">
    <fb>1002.56</fb>
    <v>17</v>
  </rv>
  <rv s="8">
    <fb>1004.42</fb>
    <v>17</v>
  </rv>
  <rv s="8">
    <fb>1037.93</fb>
    <v>17</v>
  </rv>
  <rv s="8">
    <fb>1038.6099999999999</fb>
    <v>17</v>
  </rv>
  <rv s="8">
    <fb>1036.53</fb>
    <v>17</v>
  </rv>
  <rv s="8">
    <fb>1028.78</fb>
    <v>17</v>
  </rv>
  <rv s="8">
    <fb>1019.77</fb>
    <v>17</v>
  </rv>
  <rv s="8">
    <fb>1029.18</fb>
    <v>17</v>
  </rv>
  <rv s="8">
    <fb>988.45</fb>
    <v>17</v>
  </rv>
  <rv s="8">
    <fb>976.67</fb>
    <v>17</v>
  </rv>
  <rv s="8">
    <fb>937.98</fb>
    <v>17</v>
  </rv>
  <rv s="8">
    <fb>951.47</fb>
    <v>17</v>
  </rv>
  <rv s="8">
    <fb>942</fb>
    <v>17</v>
  </rv>
  <rv s="8">
    <fb>959.39</fb>
    <v>17</v>
  </rv>
  <rv s="8">
    <fb>949.49</fb>
    <v>17</v>
  </rv>
  <rv s="8">
    <fb>936.36</fb>
    <v>17</v>
  </rv>
  <rv s="8">
    <fb>923.29</fb>
    <v>17</v>
  </rv>
  <rv s="8">
    <fb>935.45</fb>
    <v>17</v>
  </rv>
  <rv s="8">
    <fb>916.28</fb>
    <v>17</v>
  </rv>
  <rv s="8">
    <fb>1361114</fb>
    <v>18</v>
  </rv>
  <rv s="8">
    <fb>1032.5999999999999</fb>
    <v>17</v>
  </rv>
  <rv s="8">
    <fb>1022.6201</fb>
    <v>17</v>
  </rv>
  <rv s="8">
    <fb>1846398</fb>
    <v>18</v>
  </rv>
  <rv s="8">
    <fb>1004.72</fb>
    <v>17</v>
  </rv>
  <rv s="8">
    <fb>1031.1199999999999</fb>
    <v>17</v>
  </rv>
  <rv s="8">
    <fb>996.97</fb>
    <v>17</v>
  </rv>
  <rv s="8">
    <fb>2194092</fb>
    <v>18</v>
  </rv>
  <rv s="8">
    <fb>1009.74</fb>
    <v>17</v>
  </rv>
  <rv s="8">
    <fb>1021.843</fb>
    <v>17</v>
  </rv>
  <rv s="8">
    <fb>998</fb>
    <v>17</v>
  </rv>
  <rv s="8">
    <fb>1676091</fb>
    <v>18</v>
  </rv>
  <rv s="8">
    <fb>1013.5</fb>
    <v>17</v>
  </rv>
  <rv s="8">
    <fb>1039.83</fb>
    <v>17</v>
  </rv>
  <rv s="8">
    <fb>1012.5</fb>
    <v>17</v>
  </rv>
  <rv s="8">
    <fb>1429525</fb>
    <v>18</v>
  </rv>
  <rv s="8">
    <fb>1031.0899999999999</fb>
    <v>17</v>
  </rv>
  <rv s="8">
    <fb>1041.1953000000001</fb>
    <v>17</v>
  </rv>
  <rv s="8">
    <fb>1024.6300000000001</fb>
    <v>17</v>
  </rv>
  <rv s="8">
    <fb>1263453</fb>
    <v>18</v>
  </rv>
  <rv s="8">
    <fb>1040.55</fb>
    <v>17</v>
  </rv>
  <rv s="8">
    <fb>1043.8399999999999</fb>
    <v>17</v>
  </rv>
  <rv s="8">
    <fb>1028.56</fb>
    <v>17</v>
  </rv>
  <rv s="8">
    <fb>1661698</fb>
    <v>18</v>
  </rv>
  <rv s="8">
    <fb>1028</fb>
    <v>17</v>
  </rv>
  <rv s="8">
    <fb>1038.4324999999999</fb>
    <v>17</v>
  </rv>
  <rv s="8">
    <fb>1011.4</fb>
    <v>17</v>
  </rv>
  <rv s="8">
    <fb>1886255</fb>
    <v>18</v>
  </rv>
  <rv s="8">
    <fb>1017.29</fb>
    <v>17</v>
  </rv>
  <rv s="8">
    <fb>1027.23</fb>
    <v>17</v>
  </rv>
  <rv s="8">
    <fb>1011.68</fb>
    <v>17</v>
  </rv>
  <rv s="8">
    <fb>1156879</fb>
    <v>18</v>
  </rv>
  <rv s="8">
    <fb>1035.05</fb>
    <v>17</v>
  </rv>
  <rv s="8">
    <fb>1042.99</fb>
    <v>17</v>
  </rv>
  <rv s="8">
    <fb>1018.585</fb>
    <v>17</v>
  </rv>
  <rv s="8">
    <fb>2209520</fb>
    <v>18</v>
  </rv>
  <rv s="8">
    <fb>1010</fb>
    <v>17</v>
  </rv>
  <rv s="8">
    <fb>1013.69</fb>
    <v>17</v>
  </rv>
  <rv s="8">
    <fb>978.93</fb>
    <v>17</v>
  </rv>
  <rv s="8">
    <fb>2349222</fb>
    <v>18</v>
  </rv>
  <rv s="8">
    <fb>984.65</fb>
    <v>17</v>
  </rv>
  <rv s="8">
    <fb>988.28</fb>
    <v>17</v>
  </rv>
  <rv s="8">
    <fb>954.49</fb>
    <v>17</v>
  </rv>
  <rv s="8">
    <fb>3551273</fb>
    <v>18</v>
  </rv>
  <rv s="8">
    <fb>981.46</fb>
    <v>17</v>
  </rv>
  <rv s="8">
    <fb>984.66</fb>
    <v>17</v>
  </rv>
  <rv s="8">
    <fb>932.37009999999998</fb>
    <v>17</v>
  </rv>
  <rv s="8">
    <fb>3288098</fb>
    <v>18</v>
  </rv>
  <rv s="8">
    <fb>940.1</fb>
    <v>17</v>
  </rv>
  <rv s="8">
    <fb>957.97</fb>
    <v>17</v>
  </rv>
  <rv s="8">
    <fb>922</fb>
    <v>17</v>
  </rv>
  <rv s="8">
    <fb>3983987</fb>
    <v>18</v>
  </rv>
  <rv s="8">
    <fb>948.96</fb>
    <v>17</v>
  </rv>
  <rv s="8">
    <fb>952.99</fb>
    <v>17</v>
  </rv>
  <rv s="8">
    <fb>939.55</fb>
    <v>17</v>
  </rv>
  <rv s="8">
    <fb>1864045</fb>
    <v>18</v>
  </rv>
  <rv s="8">
    <fb>956.495</fb>
    <v>17</v>
  </rv>
  <rv s="8">
    <fb>962.22</fb>
    <v>17</v>
  </rv>
  <rv s="8">
    <fb>942.62</fb>
    <v>17</v>
  </rv>
  <rv s="8">
    <fb>2053377</fb>
    <v>18</v>
  </rv>
  <rv s="8">
    <fb>967.39</fb>
    <v>17</v>
  </rv>
  <rv s="8">
    <fb>967.76</fb>
    <v>17</v>
  </rv>
  <rv s="8">
    <fb>936.77499999999998</fb>
    <v>17</v>
  </rv>
  <rv s="8">
    <fb>2136310</fb>
    <v>18</v>
  </rv>
  <rv s="8">
    <fb>940.73</fb>
    <v>17</v>
  </rv>
  <rv s="8">
    <fb>954.98</fb>
    <v>17</v>
  </rv>
  <rv s="8">
    <fb>933.67499999999995</fb>
    <v>17</v>
  </rv>
  <rv s="8">
    <fb>2354548</fb>
    <v>18</v>
  </rv>
  <rv s="8">
    <fb>931</fb>
    <v>17</v>
  </rv>
  <rv s="8">
    <fb>933.41</fb>
    <v>17</v>
  </rv>
  <rv s="8">
    <fb>914.68</fb>
    <v>17</v>
  </rv>
  <rv s="8">
    <fb>1956111</fb>
    <v>18</v>
  </rv>
  <rv s="8">
    <fb>927.5</fb>
    <v>17</v>
  </rv>
  <rv s="8">
    <fb>935.83</fb>
    <v>17</v>
  </rv>
  <rv s="8">
    <fb>915.3</fb>
    <v>17</v>
  </rv>
  <rv s="8">
    <fb>1825530</fb>
    <v>18</v>
  </rv>
  <rv s="8">
    <fb>930.94</fb>
    <v>17</v>
  </rv>
  <rv s="8">
    <fb>932</fb>
    <v>17</v>
  </rv>
  <rv s="8">
    <fb>914.5</fb>
    <v>17</v>
  </rv>
  <rv s="11">
    <v>19</v>
    <v>a1slm7</v>
    <v>Daily</v>
    <v>45929</v>
    <v>46294</v>
    <v>0</v>
    <v>1</v>
    <v>639261504000000000,639262783151849665,0</v>
    <v>0</v>
    <v>a1slm7</v>
    <v>XNAS:META</v>
    <v>1</v>
  </rv>
  <rv s="11">
    <v>19</v>
    <v>a1ndww</v>
    <v>Daily</v>
    <v>45929</v>
    <v>46294</v>
    <v>0</v>
    <v>1</v>
    <v>639261504000000000,639262783163131326,0</v>
    <v>0</v>
    <v>a1ndww</v>
    <v>XNAS:AMD</v>
    <v>2</v>
  </rv>
  <rv s="11">
    <v>19</v>
    <v>a1om4c</v>
    <v>Daily</v>
    <v>45929</v>
    <v>46294</v>
    <v>0</v>
    <v>1</v>
    <v>639261504000000000,639262783150878524,0</v>
    <v>0</v>
    <v>a1om4c</v>
    <v>XNYS:BLK</v>
    <v>3</v>
  </rv>
  <rv s="11">
    <v>19</v>
    <v>a1mou2</v>
    <v>Daily</v>
    <v>45929</v>
    <v>46294</v>
    <v>0</v>
    <v>1</v>
    <v>639261504000000000,639262783162656939,0</v>
    <v>0</v>
    <v>a1mou2</v>
    <v>XNAS:AAPL</v>
    <v>4</v>
  </rv>
  <rv s="11">
    <v>19</v>
    <v>a1uqyc</v>
    <v>Daily</v>
    <v>45929</v>
    <v>46294</v>
    <v>0</v>
    <v>1</v>
    <v>639261504000000000,639262783161182185,0</v>
    <v>0</v>
    <v>a1uqyc</v>
    <v>XNYS:HMC</v>
    <v>5</v>
  </rv>
  <rv s="11">
    <v>19</v>
    <v>a1nhlh</v>
    <v>Daily</v>
    <v>45929</v>
    <v>46294</v>
    <v>0</v>
    <v>1</v>
    <v>639261504000000000,639262783150391288,0</v>
    <v>0</v>
    <v>a1nhlh</v>
    <v>XNAS:AMZN</v>
    <v>6</v>
  </rv>
  <rv s="11">
    <v>19</v>
    <v>a1qlz2</v>
    <v>Daily</v>
    <v>45929</v>
    <v>46294</v>
    <v>0</v>
    <v>1</v>
    <v>639261504000000000,639262783152846925,0</v>
    <v>0</v>
    <v>a1qlz2</v>
    <v>XNYS:CVX</v>
    <v>7</v>
  </rv>
  <rv s="12">
    <v>20</v>
    <v>XNAS:AMD</v>
    <v>Daily</v>
    <v>46264</v>
    <v>46294</v>
    <v>0</v>
    <v>1</v>
    <v>639261504000000000,639262783166501252,0</v>
    <v>8</v>
    <v>a1ndww</v>
    <v>XNAS:AMD</v>
    <v>9</v>
    <v>10</v>
    <v>11</v>
    <v>12</v>
    <v>13</v>
  </rv>
  <rv s="11">
    <v>19</v>
    <v>XNAS:AMD</v>
    <v>Daily</v>
    <v>45929</v>
    <v>46294</v>
    <v>0</v>
    <v>1</v>
    <v>639261504000000000,639262783166041249,0</v>
    <v>0</v>
    <v>a1ndww</v>
    <v>XNAS:AMD</v>
    <v>2</v>
  </rv>
  <rv s="11">
    <v>19</v>
    <v>a1sjw7</v>
    <v>Daily</v>
    <v>45929</v>
    <v>46294</v>
    <v>0</v>
    <v>1</v>
    <v>639261504000000000,639262783162174269,0</v>
    <v>0</v>
    <v>a1sjw7</v>
    <v>XNYS:F</v>
    <v>14</v>
  </rv>
  <rv s="11">
    <v>19</v>
    <v>a1waa2</v>
    <v>Daily</v>
    <v>45929</v>
    <v>46294</v>
    <v>0</v>
    <v>1</v>
    <v>639261504000000000,639262783149882942,0</v>
    <v>0</v>
    <v>a1waa2</v>
    <v>XNYS:JPM</v>
    <v>15</v>
  </rv>
  <rv s="11">
    <v>19</v>
    <v>a1yv52</v>
    <v>Daily</v>
    <v>45929</v>
    <v>46294</v>
    <v>0</v>
    <v>1</v>
    <v>639261504000000000,639262783152322919,0</v>
    <v>0</v>
    <v>a1yv52</v>
    <v>XNAS:NVDA</v>
    <v>16</v>
  </rv>
  <rv s="11">
    <v>19</v>
    <v>by9i27</v>
    <v>Daily</v>
    <v>45929</v>
    <v>46294</v>
    <v>0</v>
    <v>1</v>
    <v>639261504000000000,639262783154319647,0</v>
    <v>17</v>
    <v>by9i27</v>
    <v>XLON:0R2N</v>
    <v>18</v>
  </rv>
  <rv s="11">
    <v>19</v>
    <v>a1o4ec</v>
    <v>Daily</v>
    <v>45929</v>
    <v>46294</v>
    <v>0</v>
    <v>1</v>
    <v>639261504000000000,639262783153318483,0</v>
    <v>0</v>
    <v>a1o4ec</v>
    <v>XNYS:BA</v>
    <v>19</v>
  </rv>
  <rv s="11">
    <v>19</v>
    <v>a24bh7</v>
    <v>Daily</v>
    <v>45929</v>
    <v>46294</v>
    <v>0</v>
    <v>1</v>
    <v>639261504000000000,639262783151368704,0</v>
    <v>0</v>
    <v>a24bh7</v>
    <v>XNYS:TM</v>
    <v>20</v>
  </rv>
  <rv s="11">
    <v>19</v>
    <v>a25ya2</v>
    <v>Daily</v>
    <v>45929</v>
    <v>46294</v>
    <v>0</v>
    <v>1</v>
    <v>639261504000000000,639262783153808475,0</v>
    <v>0</v>
    <v>a25ya2</v>
    <v>XNAS:WMT</v>
    <v>21</v>
  </rv>
  <rv s="11">
    <v>19</v>
    <v>XNYS:BABA</v>
    <v>Daily</v>
    <v>45929</v>
    <v>46294</v>
    <v>0</v>
    <v>1</v>
    <v>639261504000000000,639262783163179474,0</v>
    <v>0</v>
    <v>a1o4mw</v>
    <v>XNYS:BABA</v>
    <v>22</v>
  </rv>
  <rv s="12">
    <v>20</v>
    <v>XNYS:BABA</v>
    <v>Daily</v>
    <v>46264</v>
    <v>46294</v>
    <v>0</v>
    <v>1</v>
    <v>639261504000000000,639262783166030367,0</v>
    <v>8</v>
    <v>a1o4mw</v>
    <v>XNYS:BABA</v>
    <v>23</v>
    <v>24</v>
    <v>25</v>
    <v>26</v>
    <v>27</v>
  </rv>
  <rv s="11">
    <v>19</v>
    <v>a1p3ww</v>
    <v>Daily</v>
    <v>45929</v>
    <v>46294</v>
    <v>0</v>
    <v>1</v>
    <v>639261504000000000,639262783161669598,0</v>
    <v>0</v>
    <v>a1p3ww</v>
    <v>XNYS:C</v>
    <v>28</v>
  </rv>
  <rv s="12">
    <v>20</v>
    <v>XNYS:BAC</v>
    <v>Daily</v>
    <v>46264</v>
    <v>46294</v>
    <v>0</v>
    <v>1</v>
    <v>639261504000000000,639262783163656314,0</v>
    <v>8</v>
    <v>a1o4sm</v>
    <v>XNYS:BAC</v>
    <v>29</v>
    <v>30</v>
    <v>31</v>
    <v>32</v>
    <v>33</v>
  </rv>
  <rv s="11">
    <v>19</v>
    <v>XNYS:BAC</v>
    <v>Daily</v>
    <v>45929</v>
    <v>46294</v>
    <v>0</v>
    <v>1</v>
    <v>639261504000000000,639262783165086283,0</v>
    <v>0</v>
    <v>a1o4sm</v>
    <v>XNYS:BAC</v>
    <v>34</v>
  </rv>
  <rv s="12">
    <v>20</v>
    <v>XNAS:COST</v>
    <v>Daily</v>
    <v>46264</v>
    <v>46294</v>
    <v>0</v>
    <v>1</v>
    <v>639261504000000000,639262783162668485,0</v>
    <v>8</v>
    <v>a1q6k2</v>
    <v>XNAS:COST</v>
    <v>35</v>
    <v>36</v>
    <v>37</v>
    <v>38</v>
    <v>39</v>
  </rv>
  <rv s="11">
    <v>19</v>
    <v>XNAS:COST</v>
    <v>Daily</v>
    <v>45929</v>
    <v>46294</v>
    <v>0</v>
    <v>1</v>
    <v>639261504000000000,639262783166528482,0</v>
    <v>0</v>
    <v>a1q6k2</v>
    <v>XNAS:COST</v>
    <v>40</v>
  </rv>
  <rv s="12">
    <v>20</v>
    <v>XNYS:DELL</v>
    <v>Daily</v>
    <v>46264</v>
    <v>46294</v>
    <v>0</v>
    <v>1</v>
    <v>639261504000000000,639262783162219448,0</v>
    <v>8</v>
    <v>a1retc</v>
    <v>XNYS:DELL</v>
    <v>41</v>
    <v>42</v>
    <v>43</v>
    <v>44</v>
    <v>45</v>
  </rv>
  <rv s="11">
    <v>19</v>
    <v>XNYS:DELL</v>
    <v>Daily</v>
    <v>45929</v>
    <v>46294</v>
    <v>0</v>
    <v>1</v>
    <v>639261504000000000,639262783165080372,0</v>
    <v>0</v>
    <v>a1retc</v>
    <v>XNYS:DELL</v>
    <v>46</v>
  </rv>
  <rv s="12">
    <v>20</v>
    <v>XNYS:GM</v>
    <v>Daily</v>
    <v>46264</v>
    <v>46294</v>
    <v>0</v>
    <v>1</v>
    <v>639261504000000000,639262783164123545,0</v>
    <v>8</v>
    <v>a1tyrw</v>
    <v>XNYS:GM</v>
    <v>47</v>
    <v>48</v>
    <v>49</v>
    <v>50</v>
    <v>51</v>
  </rv>
  <rv s="11">
    <v>19</v>
    <v>XNYS:GM</v>
    <v>Daily</v>
    <v>45929</v>
    <v>46294</v>
    <v>0</v>
    <v>1</v>
    <v>639261504000000000,639262783165569224,0</v>
    <v>0</v>
    <v>a1tyrw</v>
    <v>XNYS:GM</v>
    <v>52</v>
  </rv>
  <rv s="12">
    <v>20</v>
    <v>XNYS:LMT</v>
    <v>Daily</v>
    <v>46264</v>
    <v>46294</v>
    <v>0</v>
    <v>1</v>
    <v>639261504000000000,639262783162168411,0</v>
    <v>8</v>
    <v>a1wzw7</v>
    <v>XNYS:LMT</v>
    <v>53</v>
    <v>54</v>
    <v>55</v>
    <v>56</v>
    <v>57</v>
  </rv>
  <rv s="11">
    <v>19</v>
    <v>XNYS:LMT</v>
    <v>Daily</v>
    <v>45929</v>
    <v>46294</v>
    <v>0</v>
    <v>1</v>
    <v>639261504000000000,639262783163142018,0</v>
    <v>0</v>
    <v>a1wzw7</v>
    <v>XNYS:LMT</v>
    <v>58</v>
  </rv>
  <rv s="12">
    <v>20</v>
    <v>XNAS:MSFT</v>
    <v>Daily</v>
    <v>46264</v>
    <v>46294</v>
    <v>0</v>
    <v>1</v>
    <v>639261504000000000,639262783162695766,0</v>
    <v>8</v>
    <v>a1xzim</v>
    <v>XNAS:MSFT</v>
    <v>59</v>
    <v>60</v>
    <v>61</v>
    <v>62</v>
    <v>63</v>
  </rv>
  <rv s="11">
    <v>19</v>
    <v>XNAS:MSFT</v>
    <v>Daily</v>
    <v>45929</v>
    <v>46294</v>
    <v>0</v>
    <v>1</v>
    <v>639261504000000000,639262783165548411,0</v>
    <v>0</v>
    <v>a1xzim</v>
    <v>XNAS:MSFT</v>
    <v>64</v>
  </rv>
  <rv s="12">
    <v>20</v>
    <v>XNYS:GS</v>
    <v>Daily</v>
    <v>46264</v>
    <v>46294</v>
    <v>0</v>
    <v>1</v>
    <v>639261504000000000,639262783164132711,0</v>
    <v>8</v>
    <v>a1u7xm</v>
    <v>XNYS:GS</v>
    <v>65</v>
    <v>66</v>
    <v>67</v>
    <v>68</v>
    <v>69</v>
  </rv>
  <rv s="11">
    <v>19</v>
    <v>XNYS:GS</v>
    <v>Daily</v>
    <v>45929</v>
    <v>46294</v>
    <v>0</v>
    <v>1</v>
    <v>639261504000000000,639262783163622717,0</v>
    <v>0</v>
    <v>a1u7xm</v>
    <v>XNYS:GS</v>
    <v>70</v>
  </rv>
  <rv s="11">
    <v>19</v>
    <v>SPY</v>
    <v>Daily</v>
    <v>45929</v>
    <v>46294</v>
    <v>0</v>
    <v>1</v>
    <v>639261504000000000,639262783394475373,0</v>
    <v>0</v>
    <v>a23hqh</v>
    <v>ARCX:SPY</v>
    <v>71</v>
  </rv>
  <rv s="11">
    <v>19</v>
    <v>a1u3p2</v>
    <v>Daily</v>
    <v>45929</v>
    <v>46294</v>
    <v>0</v>
    <v>1</v>
    <v>639261504000000000,639262783414404055,0</v>
    <v>0</v>
    <v>a1u3p2</v>
    <v>XNAS:GOOG</v>
    <v>72</v>
  </rv>
  <rv s="1">
    <v>en-US</v>
    <v>a1ndww</v>
    <v>268435456</v>
    <v>1</v>
    <v>Powered by Refinitiv</v>
    <v>0</v>
    <v>ADVANCED MICRO DEVICES, INC. (XNAS:AMD)</v>
    <v>2</v>
    <v>3</v>
    <v>Finance</v>
    <v>4</v>
    <v>639</v>
    <v>159.33000000000001</v>
    <v>2.4824000000000002</v>
    <v>-22.76</v>
    <v>-3.6091000000000005E-2</v>
    <v>USD</v>
    <v>Advanced Micro Devices, Inc. is a global semiconductor company. The Company is focused on high-performance computing and artificial intelligence (AI). Its segments include Data Center, Client and Gaming, and Embedded. Data Center segment includes AI accelerators, microprocessors (CPUs) for servers, graphics processing units (GPUs), accelerated processing units (APUs), data processing units (DPUs), Field Programmable Gate Arrays (FPGAs), and Adaptive system-on-Chip (SoC) products for data centers. Client and Gaming segment includes CPUs, APUs, chipsets for desktops and notebooks, discrete GPUs, and semi-custom SoC products and development services. Embedded segment includes embedded CPUs, APUs, FPGAs, system on modules (SOMs), and Adaptive SoC products. It markets and sells its products under the AMD trademark. Its products include AMD EPYC, AMD Ryzen, AMD Ryzen PRO, Virtex UltraScale+, among others.</v>
    <v>31000</v>
    <v>Nasdaq Stock Market</v>
    <v>XNAS</v>
    <v>XNAS</v>
    <v>2485 Augustine Drive, SANTA CLARA, CA, 95054 US</v>
    <v>629.75</v>
    <v>Semiconductors &amp; Semiconductor Equipment</v>
    <v>Stock</v>
    <v>46293.999979628905</v>
    <v>0</v>
    <v>596.07000000000005</v>
    <v>992332578250</v>
    <v>ADVANCED MICRO DEVICES, INC.</v>
    <v>ADVANCED MICRO DEVICES, INC.</v>
    <v>624.89499999999998</v>
    <v>155.14330000000001</v>
    <v>630.63</v>
    <v>607.87</v>
    <v>1632475000</v>
    <v>AMD</v>
    <v>ADVANCED MICRO DEVICES, INC. (XNAS:AMD)</v>
    <v>289849</v>
    <v>20531334</v>
    <v>1969</v>
  </rv>
  <rv s="2">
    <v>6651</v>
  </rv>
  <rv s="1">
    <v>en-US</v>
    <v>a1tyrw</v>
    <v>268435456</v>
    <v>1</v>
    <v>Powered by Refinitiv</v>
    <v>0</v>
    <v>GENERAL MOTORS COMPANY (XNYS:GM)</v>
    <v>2</v>
    <v>3</v>
    <v>Finance</v>
    <v>4</v>
    <v>91.85</v>
    <v>54.33</v>
    <v>1.3933</v>
    <v>-1.99</v>
    <v>-2.4083E-2</v>
    <v>USD</v>
    <v>General Motors Company designs, builds and sells trucks, crossovers, cars and automobile parts and provides software-enabled services and subscriptions worldwide. The Company's segments include GMNA, GMI and GM Financial. Its GM North America (GMNA) and GM International (GMI) segment develop, manufacture and/or markets vehicles under the Buick, Cadillac, Chevrolet and GMC brands. The Company's GM Financial segment provides automotive financing and related services. The Company is also focused on investing in electric vehicles (EVs) and autonomous vehicles (Avs), software-enabled services and subscriptions and new business opportunities. The Company's portfolio includes OnStar, GM Energy, GM Insurance, GM Genuine Parts, and the GM Company Store. Its OnStar portfolio offers safety, connectivity and hands-free driver assistance technologies. Its GM Energy provides Home EV Charging, Public EV Charging, Vehicle-To-Home and Energy Storage services.</v>
    <v>156000</v>
    <v>New York Stock Exchange</v>
    <v>XNYS</v>
    <v>XNYS</v>
    <v>P.O. Box 33170, DETROIT, MI, 48232-5170 US</v>
    <v>82.69</v>
    <v>Automobiles &amp; Auto Parts</v>
    <v>Stock</v>
    <v>46293.997983657035</v>
    <v>73</v>
    <v>80.430000000000007</v>
    <v>70757688960</v>
    <v>GENERAL MOTORS COMPANY</v>
    <v>GENERAL MOTORS COMPANY</v>
    <v>81.900000000000006</v>
    <v>40.673499999999997</v>
    <v>82.63</v>
    <v>80.64</v>
    <v>877451500</v>
    <v>GM</v>
    <v>GENERAL MOTORS COMPANY (XNYS:GM)</v>
    <v>1590</v>
    <v>7009647</v>
    <v>2009</v>
  </rv>
  <rv s="2">
    <v>6653</v>
  </rv>
  <rv s="13">
    <v>en-US</v>
    <v>a269ec</v>
    <v>268435456</v>
    <v>1</v>
    <v>Powered by Refinitiv</v>
    <v>22</v>
    <v>EXXON MOBIL CORPORATION (XNYS:XOM)</v>
    <v>2</v>
    <v>23</v>
    <v>Finance</v>
    <v>24</v>
    <v>176.41</v>
    <v>97.8</v>
    <v>0.28839999999999999</v>
    <v>-8.8800000000000008</v>
    <v>-7.9620000000000003E-3</v>
    <v>-5.2339999999999998E-2</v>
    <v>-1.2801</v>
    <v>USD</v>
    <v>Exxon Mobil Corporation is an energy provider and chemical manufacturer. The Company’s principal business involves exploration for, and production of, crude oil and natural gas; the manufacture, trade, transport and sale of crude oil, natural gas, petroleum products, petrochemicals and a wide variety of specialty products; and pursuit of lower-emission and other new business opportunities, including carbon capture and storage, hydrogen, lower-emission fuels, Proxxima systems, carbon materials, and lithium. Its Upstream segment explores for and produces crude oil and natural gas. The Energy Products, Chemical Products, and Specialty Products segments manufacture and sell petroleum products and petrochemicals. Energy Products segment includes fuels, aromatics, and catalysts and licensing. Chemical Products segment consists of olefins, polyolefins, and intermediates. Specialty Products segment includes finished lubricants, basestocks and waxes, synthetics, and elastomers and resins.</v>
    <v>58000</v>
    <v>New York Stock Exchange</v>
    <v>XNYS</v>
    <v>XNYS</v>
    <v>22777 SPRINGWOODS VILLAGE PARKWAY, SPRING, TX, 77389-1425 US</v>
    <v>168</v>
    <v>Oil &amp; Gas</v>
    <v>Stock</v>
    <v>46113.99996366875</v>
    <v>70</v>
    <v>159.53</v>
    <v>669932315920</v>
    <v>EXXON MOBIL CORPORATION</v>
    <v>EXXON MOBIL CORPORATION</v>
    <v>165.77</v>
    <v>25.3965</v>
    <v>169.66</v>
    <v>160.78</v>
    <v>159.4999</v>
    <v>4166764000</v>
    <v>XOM</v>
    <v>EXXON MOBIL CORPORATION (XNYS:XOM)</v>
    <v>37927639</v>
    <v>24445606</v>
    <v>1882</v>
  </rv>
  <rv s="2">
    <v>6655</v>
  </rv>
  <rv s="14">
    <v>73</v>
  </rv>
  <rv s="15">
    <v>{C95F8C75-B2E0-4221-B4F5-DB6040B91045}</v>
    <v>0</v>
    <v>21</v>
    <v>6657</v>
  </rv>
</rvData>
</file>

<file path=xl/richData/rdrichvaluestructure.xml><?xml version="1.0" encoding="utf-8"?>
<rvStructures xmlns="http://schemas.microsoft.com/office/spreadsheetml/2017/richdata" count="16">
  <s t="_hyperlink">
    <k n="Address" t="s"/>
    <k n="Text" t="s"/>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Shares outstanding"/>
    <k n="Ticker symbol" t="s"/>
    <k n="UniqueName" t="s"/>
    <k n="Volume"/>
    <k n="Volume average"/>
    <k n="Year incorporated"/>
  </s>
  <s t="_linkedentity">
    <k n="%cvi" t="r"/>
  </s>
  <s t="_sourceattribution">
    <k n="License" t="r"/>
    <k n="Source" t="r"/>
  </s>
  <s t="_imageurl">
    <k n="_Provider" t="spb"/>
    <k n="Address" t="s"/>
    <k n="Attribution" t="r"/>
    <k n="ComputedImage" t="b"/>
    <k n="More Images Address" t="s"/>
    <k n="Text" t="s"/>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mage" t="r"/>
    <k n="Industry" t="s"/>
    <k n="Instrument type" t="s"/>
    <k n="Last trade time"/>
    <k n="LearnMoreOnLink" t="r"/>
    <k n="Low"/>
    <k n="Market cap"/>
    <k n="Name" t="s"/>
    <k n="Official name" t="s"/>
    <k n="Open"/>
    <k n="Previous close"/>
    <k n="Price"/>
    <k n="Shares outstanding"/>
    <k n="Ticker symbol" t="s"/>
    <k n="UniqueName" t="s"/>
    <k n="Volume"/>
    <k n="Volume average"/>
    <k n="Year incorporated"/>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Industry" t="s"/>
    <k n="Instrument type" t="s"/>
    <k n="Last trade time"/>
    <k n="LearnMoreOnLink" t="r"/>
    <k n="Market cap"/>
    <k n="Name" t="s"/>
    <k n="Official name" t="s"/>
    <k n="Open"/>
    <k n="P/E"/>
    <k n="Previous close"/>
    <k n="Price"/>
    <k n="Shares outstanding"/>
    <k n="Ticker symbol" t="s"/>
    <k n="UniqueName" t="s"/>
    <k n="Volume"/>
    <k n="Volume average"/>
    <k n="Year incorporated"/>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mage" t="r"/>
    <k n="Industry" t="s"/>
    <k n="Instrument type" t="s"/>
    <k n="Last trade time"/>
    <k n="LearnMoreOnLink" t="r"/>
    <k n="Low"/>
    <k n="Market cap"/>
    <k n="Name" t="s"/>
    <k n="Official name" t="s"/>
    <k n="Open"/>
    <k n="P/E"/>
    <k n="Previous close"/>
    <k n="Price"/>
    <k n="Shares outstanding"/>
    <k n="Ticker symbol" t="s"/>
    <k n="UniqueName" t="s"/>
    <k n="Volume"/>
    <k n="Volume average"/>
    <k n="Year incorporated"/>
  </s>
  <s t="_formattednumber">
    <k n="_Format" t="spb"/>
  </s>
  <s t="_error">
    <k n="colOffset" t="i"/>
    <k n="errorType" t="i"/>
    <k n="rwOffset" t="i"/>
    <k n="subType" t="i"/>
  </s>
  <s t="_error">
    <k n="errorType" t="i"/>
    <k n="subType" t="i"/>
  </s>
  <s t="_stockhistorycache">
    <k n="_Format" t="spb"/>
    <k n="Symbol" t="s"/>
    <k n="Interval" t="s"/>
    <k n="StartDate" t="i"/>
    <k n="EndDate" t="i"/>
    <k n="f1904" t="b"/>
    <k n="fdcompat" t="b"/>
    <k n="etag" t="s"/>
    <k n="Date" t="a"/>
    <k n="EntityId" t="s"/>
    <k n="Instrument" t="s"/>
    <k n="Close" t="a"/>
  </s>
  <s t="_stockhistorycache">
    <k n="_Format" t="spb"/>
    <k n="Symbol" t="s"/>
    <k n="Interval" t="s"/>
    <k n="StartDate" t="i"/>
    <k n="EndDate" t="i"/>
    <k n="f1904" t="b"/>
    <k n="fdcompat" t="b"/>
    <k n="etag" t="s"/>
    <k n="Date" t="a"/>
    <k n="EntityId" t="s"/>
    <k n="Instrument" t="s"/>
    <k n="Close" t="a"/>
    <k n="Open" t="a"/>
    <k n="High" t="a"/>
    <k n="Low" t="a"/>
    <k n="Volume" t="a"/>
  </s>
  <s t="_linkedentitycore">
    <k n="%EntityCulture" t="s"/>
    <k n="%EntityId" t="s"/>
    <k n="%EntityServiceId"/>
    <k n="%IsRefreshable" t="b"/>
    <k n="%ProviderInfo" t="s"/>
    <k n="_Display" t="spb"/>
    <k n="_DisplayString" t="s"/>
    <k n="_Flags" t="spb"/>
    <k n="_Format" t="spb"/>
    <k n="_Icon" t="s"/>
    <k n="_SubLabel" t="spb"/>
    <k n="52 week high"/>
    <k n="52 week low"/>
    <k n="Beta"/>
    <k n="Change"/>
    <k n="Change % (Extended hours)"/>
    <k n="Change (%)"/>
    <k n="Change (Extended hours)"/>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Price (Extended hours)"/>
    <k n="Shares outstanding"/>
    <k n="Ticker symbol" t="s"/>
    <k n="UniqueName" t="s"/>
    <k n="Volume"/>
    <k n="Volume average"/>
    <k n="Year incorporated"/>
  </s>
  <s t="_array">
    <k n="array" t="a"/>
  </s>
  <s t="_datasourcecontainer">
    <k n="%XLUID" t="s"/>
    <k n="_CRID" t="i"/>
    <k n="_Display" t="spb"/>
    <k n="Stock" t="r"/>
  </s>
</rvStructures>
</file>

<file path=xl/richData/rdsupportingpropertybag.xml><?xml version="1.0" encoding="utf-8"?>
<supportingPropertyBags xmlns="http://schemas.microsoft.com/office/spreadsheetml/2017/richdata2">
  <spbArrays count="6">
    <a count="42">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ExchangeID</v>
      <v t="s">%ProviderInfo</v>
    </a>
    <a count="42">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Shares outstanding</v>
      <v t="s">Description</v>
      <v t="s">Employees</v>
      <v t="s">Headquarters</v>
      <v t="s">Industry</v>
      <v t="s">Instrument type</v>
      <v t="s">Year incorporated</v>
      <v t="s">_Flags</v>
      <v t="s">UniqueName</v>
      <v t="s">_DisplayString</v>
      <v t="s">LearnMoreOnLink</v>
      <v t="s">Image</v>
      <v t="s">ExchangeID</v>
      <v t="s">%ProviderInfo</v>
    </a>
    <a count="40">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ExchangeID</v>
      <v t="s">%ProviderInfo</v>
    </a>
    <a count="43">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Image</v>
      <v t="s">ExchangeID</v>
      <v t="s">%ProviderInfo</v>
    </a>
    <a count="4">
      <v t="s">Stock</v>
      <v t="s">_CRID</v>
      <v t="s">%XLUID</v>
      <v t="s">_Display</v>
    </a>
    <a count="45">
      <v t="s">%EntityServiceId</v>
      <v t="s">_Format</v>
      <v t="s">%IsRefreshable</v>
      <v t="s">%EntityCulture</v>
      <v t="s">%EntityId</v>
      <v t="s">_Icon</v>
      <v t="s">_Display</v>
      <v t="s">Name</v>
      <v t="s">_SubLabel</v>
      <v t="s">Price</v>
      <v t="s">Price (Extended hours)</v>
      <v t="s">Exchange</v>
      <v t="s">Official name</v>
      <v t="s">Last trade time</v>
      <v t="s">Ticker symbol</v>
      <v t="s">Exchange abbreviation</v>
      <v t="s">Change</v>
      <v t="s">Change (Extended hours)</v>
      <v t="s">Change (%)</v>
      <v t="s">Change % (Extended hours)</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ExchangeID</v>
      <v t="s">%ProviderInfo</v>
    </a>
  </spbArrays>
  <spbData count="25">
    <spb s="0">
      <v>0</v>
      <v>Name</v>
      <v>LearnMoreOnLink</v>
    </spb>
    <spb s="1">
      <v>0</v>
      <v>0</v>
      <v>0</v>
    </spb>
    <spb s="2">
      <v>1</v>
      <v>1</v>
      <v>1</v>
      <v>1</v>
    </spb>
    <spb s="3">
      <v>1</v>
      <v>2</v>
      <v>2</v>
      <v>1</v>
      <v>3</v>
      <v>1</v>
      <v>1</v>
      <v>1</v>
      <v>4</v>
      <v>4</v>
      <v>5</v>
      <v>6</v>
      <v>1</v>
      <v>1</v>
      <v>1</v>
      <v>4</v>
      <v>7</v>
      <v>8</v>
      <v>9</v>
      <v>4</v>
    </spb>
    <spb s="4">
      <v>Real-Time Nasdaq Last Sale</v>
      <v>from previous close</v>
      <v>from previous close</v>
      <v>Source: Nasdaq Last Sale</v>
      <v>GMT</v>
    </spb>
    <spb s="0">
      <v>1</v>
      <v>Name</v>
      <v>LearnMoreOnLink</v>
    </spb>
    <spb s="5">
      <v>0</v>
      <v>0</v>
    </spb>
    <spb s="6">
      <v>6</v>
      <v>1</v>
      <v>1</v>
      <v>1</v>
      <v>1</v>
    </spb>
    <spb s="7">
      <v>1</v>
      <v>2</v>
      <v>1</v>
      <v>3</v>
      <v>1</v>
      <v>10</v>
      <v>1</v>
      <v>1</v>
      <v>4</v>
      <v>4</v>
      <v>5</v>
      <v>6</v>
      <v>1</v>
      <v>1</v>
      <v>1</v>
      <v>4</v>
      <v>7</v>
      <v>8</v>
      <v>9</v>
      <v>4</v>
    </spb>
    <spb s="8">
      <v>Powered by Refinitiv</v>
    </spb>
    <spb s="4">
      <v>Delayed 15 minutes</v>
      <v>from previous close</v>
      <v>from previous close</v>
      <v>Source: Nasdaq</v>
      <v>GMT</v>
    </spb>
    <spb s="0">
      <v>2</v>
      <v>Name</v>
      <v>LearnMoreOnLink</v>
    </spb>
    <spb s="9">
      <v>2</v>
      <v>2</v>
      <v>3</v>
      <v>1</v>
      <v>1</v>
      <v>1</v>
      <v>4</v>
      <v>4</v>
      <v>5</v>
      <v>6</v>
      <v>1</v>
      <v>1</v>
      <v>1</v>
      <v>4</v>
      <v>7</v>
      <v>8</v>
      <v>9</v>
      <v>4</v>
    </spb>
    <spb s="4">
      <v>Delayed 15 minutes</v>
      <v>from previous close</v>
      <v>from previous close</v>
      <v>LSE</v>
      <v>GMT</v>
    </spb>
    <spb s="0">
      <v>3</v>
      <v>Name</v>
      <v>LearnMoreOnLink</v>
    </spb>
    <spb s="10">
      <v>1</v>
      <v>2</v>
      <v>2</v>
      <v>1</v>
      <v>3</v>
      <v>1</v>
      <v>10</v>
      <v>1</v>
      <v>1</v>
      <v>4</v>
      <v>4</v>
      <v>5</v>
      <v>6</v>
      <v>1</v>
      <v>1</v>
      <v>1</v>
      <v>4</v>
      <v>7</v>
      <v>8</v>
      <v>9</v>
      <v>4</v>
    </spb>
    <spb s="11">
      <v>11</v>
    </spb>
    <spb s="11">
      <v>1</v>
    </spb>
    <spb s="11">
      <v>4</v>
    </spb>
    <spb s="12">
      <v>11</v>
      <v>1</v>
    </spb>
    <spb s="13">
      <v>1</v>
      <v>11</v>
      <v>1</v>
      <v>1</v>
      <v>1</v>
      <v>4</v>
    </spb>
    <spb s="14">
      <v>4</v>
    </spb>
    <spb s="0">
      <v>5</v>
      <v>Name</v>
      <v>LearnMoreOnLink</v>
    </spb>
    <spb s="15">
      <v>1</v>
      <v>2</v>
      <v>2</v>
      <v>1</v>
      <v>3</v>
      <v>1</v>
      <v>1</v>
      <v>1</v>
      <v>4</v>
      <v>4</v>
      <v>5</v>
      <v>6</v>
      <v>1</v>
      <v>1</v>
      <v>1</v>
      <v>4</v>
      <v>7</v>
      <v>8</v>
      <v>9</v>
      <v>4</v>
      <v>1</v>
      <v>1</v>
      <v>5</v>
    </spb>
    <spb s="16">
      <v>at close</v>
      <v>from previous close</v>
      <v>from previous close</v>
      <v>Source: Nasdaq</v>
      <v>GMT</v>
      <v>Delayed 15 minutes</v>
      <v>from close</v>
      <v>from close</v>
    </spb>
  </spbData>
</supportingPropertyBags>
</file>

<file path=xl/richData/rdsupportingpropertybagstructure.xml><?xml version="1.0" encoding="utf-8"?>
<spbStructures xmlns="http://schemas.microsoft.com/office/spreadsheetml/2017/richdata2" count="17">
  <s>
    <k n="^Order" t="spba"/>
    <k n="TitleProperty" t="s"/>
    <k n="SubTitleProperty" t="s"/>
  </s>
  <s>
    <k n="ShowInCardView" t="b"/>
    <k n="ShowInDotNotation" t="b"/>
    <k n="ShowInAutoComplete" t="b"/>
  </s>
  <s>
    <k n="ExchangeID" t="spb"/>
    <k n="UniqueName" t="spb"/>
    <k n="`%ProviderInfo" t="spb"/>
    <k n="LearnMoreOnLink" t="spb"/>
  </s>
  <s>
    <k n="Low" t="i"/>
    <k n="P/E"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s>
  <s>
    <k n="Price" t="s"/>
    <k n="Change" t="s"/>
    <k n="Change (%)" t="s"/>
    <k n="ExchangeID" t="s"/>
    <k n="Last trade time" t="s"/>
  </s>
  <s>
    <k n="ShowInDotNotation" t="b"/>
    <k n="ShowInAutoComplete" t="b"/>
  </s>
  <s>
    <k n="Image" t="spb"/>
    <k n="ExchangeID" t="spb"/>
    <k n="UniqueName" t="spb"/>
    <k n="`%ProviderInfo" t="spb"/>
    <k n="LearnMoreOnLink" t="spb"/>
  </s>
  <s>
    <k n="Low" t="i"/>
    <k n="Beta" t="i"/>
    <k n="High" t="i"/>
    <k n="Name" t="i"/>
    <k n="Open" t="i"/>
    <k n="Image" t="i"/>
    <k n="Price" t="i"/>
    <k n="Change" t="i"/>
    <k n="Volume" t="i"/>
    <k n="Employees" t="i"/>
    <k n="Change (%)" t="i"/>
    <k n="Market cap" t="i"/>
    <k n="52 week low" t="i"/>
    <k n="52 week high" t="i"/>
    <k n="Previous close" t="i"/>
    <k n="Volume average" t="i"/>
    <k n="Last trade time" t="i"/>
    <k n="Year incorporated" t="i"/>
    <k n="`%EntityServiceId" t="i"/>
    <k n="Shares outstanding" t="i"/>
  </s>
  <s>
    <k n="name" t="s"/>
  </s>
  <s>
    <k n="P/E" t="i"/>
    <k n="Beta"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s>
  <s>
    <k n="Low" t="i"/>
    <k n="P/E" t="i"/>
    <k n="Beta" t="i"/>
    <k n="High" t="i"/>
    <k n="Name" t="i"/>
    <k n="Open" t="i"/>
    <k n="Image" t="i"/>
    <k n="Price" t="i"/>
    <k n="Change" t="i"/>
    <k n="Volume" t="i"/>
    <k n="Employees" t="i"/>
    <k n="Change (%)" t="i"/>
    <k n="Market cap" t="i"/>
    <k n="52 week low" t="i"/>
    <k n="52 week high" t="i"/>
    <k n="Previous close" t="i"/>
    <k n="Volume average" t="i"/>
    <k n="Last trade time" t="i"/>
    <k n="Year incorporated" t="i"/>
    <k n="`%EntityServiceId" t="i"/>
    <k n="Shares outstanding" t="i"/>
  </s>
  <s>
    <k n="_Self" t="i"/>
  </s>
  <s>
    <k n="Date" t="i"/>
    <k n="Close" t="i"/>
  </s>
  <s>
    <k n="Low" t="i"/>
    <k n="Date" t="i"/>
    <k n="High" t="i"/>
    <k n="Open" t="i"/>
    <k n="Close" t="i"/>
    <k n="Volume" t="i"/>
  </s>
  <s>
    <k n="^Order" t="spba"/>
  </s>
  <s>
    <k n="Low" t="i"/>
    <k n="P/E"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k n="Price (Extended hours)" t="i"/>
    <k n="Change (Extended hours)" t="i"/>
    <k n="Change % (Extended hours)" t="i"/>
  </s>
  <s>
    <k n="Price" t="s"/>
    <k n="Change" t="s"/>
    <k n="Change (%)" t="s"/>
    <k n="ExchangeID" t="s"/>
    <k n="Last trade time" t="s"/>
    <k n="Price (Extended hours)" t="s"/>
    <k n="Change (Extended hours)" t="s"/>
    <k n="Change % (Extended hours)" t="s"/>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8">
    <x:dxf>
      <x:numFmt numFmtId="2" formatCode="0.00"/>
    </x:dxf>
    <x:dxf>
      <x:numFmt numFmtId="0" formatCode="General"/>
    </x:dxf>
    <x:dxf>
      <x:numFmt numFmtId="27" formatCode="m/d/yyyy\ h:mm"/>
    </x:dxf>
    <x:dxf>
      <x:numFmt numFmtId="14" formatCode="0.00%"/>
    </x:dxf>
    <x:dxf>
      <x:numFmt numFmtId="3" formatCode="#,##0"/>
    </x:dxf>
    <x:dxf>
      <x:numFmt numFmtId="4" formatCode="#,##0.00"/>
    </x:dxf>
    <x:dxf>
      <x:numFmt numFmtId="1" formatCode="0"/>
    </x:dxf>
    <x:dxf>
      <x:numFmt numFmtId="19" formatCode="m/d/yyyy"/>
    </x:dxf>
  </dxfs>
  <richProperties>
    <rPr n="NumberFormat" t="s"/>
    <rPr n="IsTitleField" t="b"/>
    <rPr n="IsHeroField" t="b"/>
  </richProperties>
  <richStyles>
    <rSty dxfid="1">
      <rpv i="0">_([$$-en-US]* #,##0.00_);_([$$-en-US]* (#,##0.00);_([$$-en-US]* "-"??_);_(@_)</rpv>
    </rSty>
    <rSty dxfid="5">
      <rpv i="0">#,##0.00</rpv>
    </rSty>
    <rSty>
      <rpv i="1">1</rpv>
    </rSty>
    <rSty dxfid="4">
      <rpv i="0">#,##0</rpv>
    </rSty>
    <rSty dxfid="3"/>
    <rSty dxfid="1">
      <rpv i="0">_([$$-en-US]* #,##0_);_([$$-en-US]* (#,##0);_([$$-en-US]* "-"_);_(@_)</rpv>
    </rSty>
    <rSty dxfid="2"/>
    <rSty dxfid="6">
      <rpv i="0">0</rpv>
    </rSty>
    <rSty dxfid="0">
      <rpv i="0">0.00</rpv>
    </rSty>
    <rSty>
      <rpv i="2">1</rpv>
    </rSty>
    <rSty dxfid="7"/>
  </richStyles>
</richStyleShee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0CE9A1E-333C-406A-B3FD-1C761AEEC348}" name="Table2" displayName="Table2" ref="A1:L11" totalsRowShown="0" headerRowDxfId="64" dataDxfId="62" headerRowBorderDxfId="63" tableBorderDxfId="61" totalsRowBorderDxfId="60">
  <autoFilter ref="A1:L11" xr:uid="{60CE9A1E-333C-406A-B3FD-1C761AEEC348}"/>
  <tableColumns count="12">
    <tableColumn id="3" xr3:uid="{E8AEE88F-2942-48AC-8B1C-8E8810CAFAC5}" name="Stock" dataDxfId="59"/>
    <tableColumn id="4" xr3:uid="{DE336B69-F745-40B4-82C4-57DD94E0C080}" name="Ticker symbol" dataDxfId="58">
      <calculatedColumnFormula array="1">_FV(Table2[[#This Row],[Stock]],"Ticker symbol",TRUE)</calculatedColumnFormula>
    </tableColumn>
    <tableColumn id="5" xr3:uid="{F5D7E1F7-D3D6-401A-AD50-8E4899FF66DE}" name="52 week high" dataDxfId="57">
      <calculatedColumnFormula array="1">_FV(Table2[[#This Row],[Stock]],"52 week high",TRUE)</calculatedColumnFormula>
    </tableColumn>
    <tableColumn id="6" xr3:uid="{440DC7BE-F616-421B-ADA3-838C34E9D15A}" name="52 week low" dataDxfId="56">
      <calculatedColumnFormula array="1">_FV(Table2[[#This Row],[Stock]],"52 week low",TRUE)</calculatedColumnFormula>
    </tableColumn>
    <tableColumn id="7" xr3:uid="{12CE8BED-E2DE-4599-AE5A-18A21F5AABFA}" name="Beta" dataDxfId="55">
      <calculatedColumnFormula array="1">_FV(Table2[[#This Row],[Stock]],"Beta")</calculatedColumnFormula>
    </tableColumn>
    <tableColumn id="9" xr3:uid="{E3B1BD9F-B8A7-400A-ABBE-962B9D2708AA}" name="P/E" dataDxfId="54">
      <calculatedColumnFormula array="1">_FV(Table2[[#This Row],[Stock]],"P/E",TRUE)</calculatedColumnFormula>
    </tableColumn>
    <tableColumn id="10" xr3:uid="{72B81329-389E-4C05-ADF5-FB1C44A7A6A0}" name="Change" dataDxfId="53">
      <calculatedColumnFormula array="1">_FV(Table2[[#This Row],[Stock]],"Change")</calculatedColumnFormula>
    </tableColumn>
    <tableColumn id="11" xr3:uid="{35B33FE8-BC08-4240-AA0A-580BC484F81B}" name="High" dataDxfId="52">
      <calculatedColumnFormula array="1">_FV(Table2[[#This Row],[Stock]],"High")</calculatedColumnFormula>
    </tableColumn>
    <tableColumn id="12" xr3:uid="{1F9AD851-C9F0-4F37-AB5E-294CC6CCF9C3}" name="Low" dataDxfId="51">
      <calculatedColumnFormula array="1">_FV(Table2[[#This Row],[Stock]],"Low")</calculatedColumnFormula>
    </tableColumn>
    <tableColumn id="13" xr3:uid="{94E1203A-56DC-4E2B-8F60-B9FAF044E345}" name="Market cap" dataDxfId="50">
      <calculatedColumnFormula array="1">_FV(Table2[[#This Row],[Stock]],"Market cap",TRUE)</calculatedColumnFormula>
    </tableColumn>
    <tableColumn id="14" xr3:uid="{68256EF8-572B-4195-BB92-ABDF38E7A527}" name="Industry" dataDxfId="49">
      <calculatedColumnFormula array="1">_FV(Table2[[#This Row],[Stock]],"Industry")</calculatedColumnFormula>
    </tableColumn>
    <tableColumn id="16" xr3:uid="{9C453AE8-868B-4961-BBF0-8D32C0EA552B}" name="Exchange abbreviation" dataDxfId="48">
      <calculatedColumnFormula array="1">_FV(Table2[[#This Row],[Stock]],"Exchange abbreviation",TRUE)</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F121A6A-45F0-4D7F-B1EC-F9874D598968}" name="Ledger" displayName="Ledger" ref="B2:H114" totalsRowShown="0" headerRowDxfId="47" headerRowBorderDxfId="46" tableBorderDxfId="45" totalsRowBorderDxfId="44">
  <autoFilter ref="B2:H114" xr:uid="{AF121A6A-45F0-4D7F-B1EC-F9874D598968}"/>
  <tableColumns count="7">
    <tableColumn id="1" xr3:uid="{1AFFF42E-3FE1-4FEA-AC5B-DC58EC4E67FC}" name="Date" dataDxfId="43"/>
    <tableColumn id="2" xr3:uid="{F6D81D1F-7B09-4663-8C34-FE4137230D89}" name="Stock" dataDxfId="42"/>
    <tableColumn id="3" xr3:uid="{BCB2D1C8-1594-4C0D-A1D9-F67FE3ED2EEF}" name="Transaction Type" dataDxfId="41"/>
    <tableColumn id="4" xr3:uid="{0780C279-6B06-4EBD-8955-24A4CB3DF0F3}" name="Price" dataDxfId="40"/>
    <tableColumn id="5" xr3:uid="{E086C102-9EB7-4931-895A-66375AF61BF9}" name="Units" dataDxfId="39"/>
    <tableColumn id="6" xr3:uid="{70BDA7E6-E059-4AE0-8054-7E96ED0B2C08}" name="Transaction Amount" dataDxfId="38">
      <calculatedColumnFormula>E3*F3</calculatedColumnFormula>
    </tableColumn>
    <tableColumn id="7" xr3:uid="{26E239BE-2112-458D-92DF-818BC9884901}" name="Ticker" dataDxfId="37">
      <calculatedColumnFormula array="1">_FV(Ledger[[#This Row],[Stock]],"Ticker symbol",TRUE)</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E3" dT="2026-03-21T14:29:23.14" personId="{B501DFE9-12CB-4589-BE40-9625E6D75A56}" id="{66467F6D-DABC-45D1-B614-591E4386DF82}">
    <text>Source: Historical closing prices (split-adjusted) for first trading day of each year. Data from Nasdaq.com and Yahoo Finance historical data.</text>
  </threadedComment>
  <threadedComment ref="E10" dT="2026-03-21T14:29:23.20" personId="{B501DFE9-12CB-4589-BE40-9625E6D75A56}" id="{A3D7E361-DF7D-462B-9512-A07692D75D73}">
    <text>Source: Historical closing prices (split-adjusted) for first trading day of each year. Data from Nasdaq.com and Yahoo Finance historical data.</text>
  </threadedComment>
  <threadedComment ref="E17" dT="2026-03-21T14:29:23.22" personId="{B501DFE9-12CB-4589-BE40-9625E6D75A56}" id="{776F7F36-7336-4CB3-800A-957F560E1950}">
    <text>Source: Historical closing prices (split-adjusted) for first trading day of each year. Data from Nasdaq.com and Yahoo Finance historical data.</text>
  </threadedComment>
  <threadedComment ref="E24" dT="2026-03-21T14:29:23.24" personId="{B501DFE9-12CB-4589-BE40-9625E6D75A56}" id="{57596535-F847-4820-A7E2-BD1AB08797F1}">
    <text>Source: Historical closing prices (split-adjusted) for first trading day of each year. Data from Nasdaq.com and Yahoo Finance historical data.</text>
  </threadedComment>
  <threadedComment ref="E31" dT="2026-03-21T14:29:23.26" personId="{B501DFE9-12CB-4589-BE40-9625E6D75A56}" id="{2B352DEA-3806-415A-9D3A-CC4FBFF81028}">
    <text>Source: Historical closing prices (split-adjusted) for first trading day of each year. Data from Nasdaq.com and Yahoo Finance historical data.</text>
  </threadedComment>
  <threadedComment ref="E38" dT="2026-03-21T14:29:23.27" personId="{B501DFE9-12CB-4589-BE40-9625E6D75A56}" id="{A71A3EF7-FD6B-4424-91AF-F1A05924C6F1}">
    <text>Source: Historical closing prices (split-adjusted) for first trading day of each year. Data from Nasdaq.com and Yahoo Finance historical data.</text>
  </threadedComment>
  <threadedComment ref="E45" dT="2026-03-21T14:29:23.29" personId="{B501DFE9-12CB-4589-BE40-9625E6D75A56}" id="{39B24EC7-2523-4CF7-91BE-E41FDB249421}">
    <text>Source: Historical closing prices (split-adjusted) for first trading day of each year. Data from Nasdaq.com and Yahoo Finance historical data.</text>
  </threadedComment>
  <threadedComment ref="E52" dT="2026-03-21T14:29:23.30" personId="{B501DFE9-12CB-4589-BE40-9625E6D75A56}" id="{698966FD-6A35-4DEF-91B0-DD474F0E8922}">
    <text>Source: Historical closing prices (split-adjusted) for first trading day of each year. Data from Nasdaq.com and Yahoo Finance historical data.</text>
  </threadedComment>
  <threadedComment ref="E59" dT="2026-03-21T14:29:23.32" personId="{B501DFE9-12CB-4589-BE40-9625E6D75A56}" id="{79C1DF0A-1431-4A66-945A-B4391E50131B}">
    <text>Source: Historical closing prices (split-adjusted) for first trading day of each year. Data from Nasdaq.com and Yahoo Finance historical data.</text>
  </threadedComment>
  <threadedComment ref="E66" dT="2026-03-21T14:29:23.48" personId="{B501DFE9-12CB-4589-BE40-9625E6D75A56}" id="{BCA9D662-D0E1-4ADA-A7A1-1D8CEF0D6099}">
    <text>Source: Historical closing prices (split-adjusted) for first trading day of each year. Data from Nasdaq.com and Yahoo Finance historical data.</text>
  </threadedComment>
  <threadedComment ref="E73" dT="2026-03-21T14:29:23.52" personId="{B501DFE9-12CB-4589-BE40-9625E6D75A56}" id="{B1922484-F502-4206-83DC-87FDE9C2C985}">
    <text>Source: Historical closing prices (split-adjusted) for first trading day of each year. Data from Nasdaq.com and Yahoo Finance historical data.</text>
  </threadedComment>
  <threadedComment ref="E80" dT="2026-03-21T14:29:23.53" personId="{B501DFE9-12CB-4589-BE40-9625E6D75A56}" id="{2CD90182-CBE6-4725-AB97-2C08A2469AA3}">
    <text>Source: Historical closing prices (split-adjusted) for first trading day of each year. Data from Nasdaq.com and Yahoo Finance historical data.</text>
  </threadedComment>
  <threadedComment ref="E87" dT="2026-03-21T14:29:23.54" personId="{B501DFE9-12CB-4589-BE40-9625E6D75A56}" id="{A61CA121-1B3E-4104-9E4F-392D00D1AB7B}">
    <text>Source: Historical closing prices (split-adjusted) for first trading day of each year. Data from Nasdaq.com and Yahoo Finance historical data.</text>
  </threadedComment>
  <threadedComment ref="E94" dT="2026-03-21T14:29:23.55" personId="{B501DFE9-12CB-4589-BE40-9625E6D75A56}" id="{3FDAAE89-7E25-455E-AF5F-BCE2AD0EFF52}">
    <text>Source: Historical closing prices (split-adjusted) for first trading day of each year. Data from Nasdaq.com and Yahoo Finance historical data.</text>
  </threadedComment>
  <threadedComment ref="E101" dT="2026-03-21T14:29:23.56" personId="{B501DFE9-12CB-4589-BE40-9625E6D75A56}" id="{99F7585A-F853-412B-A3B2-2708EDD4CD92}">
    <text>Source: Historical closing prices (split-adjusted) for first trading day of each year. Data from Nasdaq.com and Yahoo Finance historical data.</text>
  </threadedComment>
  <threadedComment ref="E108" dT="2026-03-21T14:29:23.57" personId="{B501DFE9-12CB-4589-BE40-9625E6D75A56}" id="{D233A964-621A-4BD1-BC1D-4A8E285712AC}">
    <text>Source: Historical closing prices (split-adjusted) for first trading day of each year. Data from Nasdaq.com and Yahoo Finance historical data.</text>
  </threadedComment>
</ThreadedComment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ivotTable" Target="../pivotTables/pivotTable1.xml"/></Relationships>
</file>

<file path=xl/worksheets/_rels/sheet9.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table" Target="../tables/table2.xml"/><Relationship Id="rId1" Type="http://schemas.openxmlformats.org/officeDocument/2006/relationships/vmlDrawing" Target="../drawings/vmlDrawing5.vml"/><Relationship Id="rId4" Type="http://schemas.microsoft.com/office/2017/10/relationships/threadedComment" Target="../threadedComments/threadedComment1.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7.xml"/></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8.xml"/></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9.xml"/></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ivotTable" Target="../pivotTables/pivotTable10.xml"/></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ivotTable" Target="../pivotTables/pivotTable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A88125-B5B7-4275-887D-4D1B851C552E}">
  <sheetPr>
    <tabColor rgb="FF059669"/>
  </sheetPr>
  <dimension ref="A1:B50"/>
  <sheetViews>
    <sheetView showGridLines="0" workbookViewId="0">
      <selection activeCell="L31" sqref="L31"/>
    </sheetView>
  </sheetViews>
  <sheetFormatPr defaultRowHeight="14.5" x14ac:dyDescent="0.35"/>
  <cols>
    <col min="1" max="1" width="36.36328125" customWidth="1"/>
    <col min="2" max="2" width="109.08984375" customWidth="1"/>
  </cols>
  <sheetData>
    <row r="1" spans="1:2" ht="45" customHeight="1" x14ac:dyDescent="0.6">
      <c r="A1" s="153" t="s">
        <v>69</v>
      </c>
      <c r="B1" s="154"/>
    </row>
    <row r="2" spans="1:2" x14ac:dyDescent="0.35">
      <c r="A2" s="155" t="s">
        <v>70</v>
      </c>
      <c r="B2" s="156"/>
    </row>
    <row r="4" spans="1:2" ht="18.5" x14ac:dyDescent="0.45">
      <c r="A4" s="72" t="s">
        <v>71</v>
      </c>
      <c r="B4" s="154"/>
    </row>
    <row r="5" spans="1:2" ht="29" x14ac:dyDescent="0.35">
      <c r="A5" s="51" t="s">
        <v>72</v>
      </c>
      <c r="B5" s="160" t="s">
        <v>73</v>
      </c>
    </row>
    <row r="6" spans="1:2" ht="29" x14ac:dyDescent="0.35">
      <c r="A6" s="89" t="s">
        <v>74</v>
      </c>
      <c r="B6" s="46" t="s">
        <v>75</v>
      </c>
    </row>
    <row r="7" spans="1:2" ht="29" x14ac:dyDescent="0.35">
      <c r="A7" s="51" t="s">
        <v>76</v>
      </c>
      <c r="B7" s="160" t="s">
        <v>150</v>
      </c>
    </row>
    <row r="8" spans="1:2" ht="29" x14ac:dyDescent="0.35">
      <c r="A8" s="89" t="s">
        <v>77</v>
      </c>
      <c r="B8" s="46" t="s">
        <v>78</v>
      </c>
    </row>
    <row r="9" spans="1:2" x14ac:dyDescent="0.35">
      <c r="A9" s="51"/>
      <c r="B9" s="160"/>
    </row>
    <row r="10" spans="1:2" ht="18.5" x14ac:dyDescent="0.45">
      <c r="A10" s="161" t="s">
        <v>88</v>
      </c>
      <c r="B10" s="46"/>
    </row>
    <row r="11" spans="1:2" ht="15" thickBot="1" x14ac:dyDescent="0.4">
      <c r="A11" s="162" t="s">
        <v>79</v>
      </c>
      <c r="B11" s="163" t="s">
        <v>29</v>
      </c>
    </row>
    <row r="12" spans="1:2" ht="29" x14ac:dyDescent="0.35">
      <c r="A12" s="47" t="s">
        <v>80</v>
      </c>
      <c r="B12" s="45" t="s">
        <v>89</v>
      </c>
    </row>
    <row r="13" spans="1:2" ht="18.5" x14ac:dyDescent="0.45">
      <c r="A13" s="72" t="s">
        <v>81</v>
      </c>
      <c r="B13" s="157" t="s">
        <v>439</v>
      </c>
    </row>
    <row r="14" spans="1:2" ht="15" thickBot="1" x14ac:dyDescent="0.4">
      <c r="A14" s="158" t="s">
        <v>82</v>
      </c>
      <c r="B14" s="159" t="s">
        <v>90</v>
      </c>
    </row>
    <row r="15" spans="1:2" x14ac:dyDescent="0.35">
      <c r="A15" s="164" t="s">
        <v>83</v>
      </c>
      <c r="B15" s="160" t="s">
        <v>91</v>
      </c>
    </row>
    <row r="16" spans="1:2" ht="29" x14ac:dyDescent="0.35">
      <c r="A16" s="48" t="s">
        <v>355</v>
      </c>
      <c r="B16" s="46" t="s">
        <v>440</v>
      </c>
    </row>
    <row r="17" spans="1:2" ht="29" x14ac:dyDescent="0.35">
      <c r="A17" s="164" t="s">
        <v>356</v>
      </c>
      <c r="B17" s="160" t="s">
        <v>357</v>
      </c>
    </row>
    <row r="18" spans="1:2" ht="29" x14ac:dyDescent="0.35">
      <c r="A18" s="48" t="s">
        <v>358</v>
      </c>
      <c r="B18" s="46" t="s">
        <v>441</v>
      </c>
    </row>
    <row r="19" spans="1:2" x14ac:dyDescent="0.35">
      <c r="A19" s="164" t="s">
        <v>442</v>
      </c>
      <c r="B19" s="160" t="s">
        <v>92</v>
      </c>
    </row>
    <row r="20" spans="1:2" x14ac:dyDescent="0.35">
      <c r="A20" s="48" t="s">
        <v>93</v>
      </c>
      <c r="B20" s="46" t="s">
        <v>94</v>
      </c>
    </row>
    <row r="21" spans="1:2" x14ac:dyDescent="0.35">
      <c r="A21" s="164" t="s">
        <v>443</v>
      </c>
      <c r="B21" s="160" t="s">
        <v>444</v>
      </c>
    </row>
    <row r="22" spans="1:2" ht="18.5" x14ac:dyDescent="0.45">
      <c r="A22" s="165" t="s">
        <v>95</v>
      </c>
      <c r="B22" s="46"/>
    </row>
    <row r="23" spans="1:2" ht="15" thickBot="1" x14ac:dyDescent="0.4">
      <c r="A23" s="166" t="s">
        <v>84</v>
      </c>
      <c r="B23" s="163" t="s">
        <v>85</v>
      </c>
    </row>
    <row r="24" spans="1:2" x14ac:dyDescent="0.35">
      <c r="A24" s="42" t="s">
        <v>86</v>
      </c>
      <c r="B24" s="45" t="s">
        <v>96</v>
      </c>
    </row>
    <row r="25" spans="1:2" ht="18.5" x14ac:dyDescent="0.45">
      <c r="A25" s="72" t="s">
        <v>87</v>
      </c>
      <c r="B25" s="157" t="s">
        <v>97</v>
      </c>
    </row>
    <row r="26" spans="1:2" ht="15" thickBot="1" x14ac:dyDescent="0.4">
      <c r="A26" s="158" t="s">
        <v>98</v>
      </c>
      <c r="B26" s="159" t="s">
        <v>99</v>
      </c>
    </row>
    <row r="27" spans="1:2" x14ac:dyDescent="0.35">
      <c r="A27" s="51" t="s">
        <v>100</v>
      </c>
      <c r="B27" s="160" t="s">
        <v>101</v>
      </c>
    </row>
    <row r="28" spans="1:2" x14ac:dyDescent="0.35">
      <c r="A28" s="89" t="s">
        <v>102</v>
      </c>
      <c r="B28" s="46" t="s">
        <v>103</v>
      </c>
    </row>
    <row r="29" spans="1:2" x14ac:dyDescent="0.35">
      <c r="A29" s="51" t="s">
        <v>445</v>
      </c>
      <c r="B29" s="160" t="s">
        <v>446</v>
      </c>
    </row>
    <row r="30" spans="1:2" x14ac:dyDescent="0.35">
      <c r="A30" s="89" t="s">
        <v>104</v>
      </c>
      <c r="B30" s="46" t="s">
        <v>105</v>
      </c>
    </row>
    <row r="31" spans="1:2" x14ac:dyDescent="0.35">
      <c r="A31" s="51" t="s">
        <v>106</v>
      </c>
      <c r="B31" s="160" t="s">
        <v>107</v>
      </c>
    </row>
    <row r="32" spans="1:2" x14ac:dyDescent="0.35">
      <c r="A32" s="89" t="s">
        <v>108</v>
      </c>
      <c r="B32" s="46" t="s">
        <v>151</v>
      </c>
    </row>
    <row r="33" spans="1:2" x14ac:dyDescent="0.35">
      <c r="A33" s="51"/>
      <c r="B33" s="160"/>
    </row>
    <row r="34" spans="1:2" ht="18.5" x14ac:dyDescent="0.45">
      <c r="A34" s="161" t="s">
        <v>109</v>
      </c>
      <c r="B34" s="46"/>
    </row>
    <row r="35" spans="1:2" x14ac:dyDescent="0.35">
      <c r="A35" s="51" t="s">
        <v>110</v>
      </c>
      <c r="B35" s="167" t="s">
        <v>111</v>
      </c>
    </row>
    <row r="36" spans="1:2" x14ac:dyDescent="0.35">
      <c r="A36" s="7" t="s">
        <v>112</v>
      </c>
      <c r="B36" s="11" t="s">
        <v>113</v>
      </c>
    </row>
    <row r="37" spans="1:2" x14ac:dyDescent="0.35">
      <c r="A37" s="4" t="s">
        <v>114</v>
      </c>
      <c r="B37" s="9" t="s">
        <v>115</v>
      </c>
    </row>
    <row r="38" spans="1:2" x14ac:dyDescent="0.35">
      <c r="A38" s="7" t="s">
        <v>116</v>
      </c>
      <c r="B38" s="11" t="s">
        <v>447</v>
      </c>
    </row>
    <row r="39" spans="1:2" x14ac:dyDescent="0.35">
      <c r="A39" s="4" t="s">
        <v>117</v>
      </c>
      <c r="B39" s="9" t="s">
        <v>118</v>
      </c>
    </row>
    <row r="40" spans="1:2" x14ac:dyDescent="0.35">
      <c r="A40" s="7" t="s">
        <v>119</v>
      </c>
      <c r="B40" s="11" t="s">
        <v>120</v>
      </c>
    </row>
    <row r="41" spans="1:2" x14ac:dyDescent="0.35">
      <c r="A41" s="4" t="s">
        <v>121</v>
      </c>
      <c r="B41" s="9" t="s">
        <v>122</v>
      </c>
    </row>
    <row r="42" spans="1:2" x14ac:dyDescent="0.35">
      <c r="B42" s="9"/>
    </row>
    <row r="43" spans="1:2" ht="18.5" x14ac:dyDescent="0.45">
      <c r="A43" s="3" t="s">
        <v>123</v>
      </c>
      <c r="B43" s="10"/>
    </row>
    <row r="44" spans="1:2" ht="29" x14ac:dyDescent="0.35">
      <c r="A44" s="6" t="s">
        <v>124</v>
      </c>
      <c r="B44" s="11" t="s">
        <v>125</v>
      </c>
    </row>
    <row r="45" spans="1:2" ht="29" x14ac:dyDescent="0.35">
      <c r="A45" s="5" t="s">
        <v>126</v>
      </c>
      <c r="B45" s="9" t="s">
        <v>127</v>
      </c>
    </row>
    <row r="46" spans="1:2" x14ac:dyDescent="0.35">
      <c r="A46" s="6" t="s">
        <v>128</v>
      </c>
      <c r="B46" s="11" t="s">
        <v>129</v>
      </c>
    </row>
    <row r="47" spans="1:2" x14ac:dyDescent="0.35">
      <c r="A47" s="5" t="s">
        <v>130</v>
      </c>
      <c r="B47" s="9" t="s">
        <v>131</v>
      </c>
    </row>
    <row r="48" spans="1:2" x14ac:dyDescent="0.35">
      <c r="A48" s="6" t="s">
        <v>132</v>
      </c>
      <c r="B48" s="11" t="s">
        <v>133</v>
      </c>
    </row>
    <row r="50" spans="1:1" x14ac:dyDescent="0.35">
      <c r="A50" s="8" t="s">
        <v>134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E8741D-E943-4A06-AD74-1D448F8C269F}">
  <dimension ref="A1:E39"/>
  <sheetViews>
    <sheetView showGridLines="0" workbookViewId="0"/>
  </sheetViews>
  <sheetFormatPr defaultRowHeight="14.5" x14ac:dyDescent="0.35"/>
  <cols>
    <col min="1" max="1" width="49.08984375" customWidth="1"/>
    <col min="2" max="4" width="18.1796875" customWidth="1"/>
    <col min="5" max="5" width="67.26953125" customWidth="1"/>
  </cols>
  <sheetData>
    <row r="1" spans="1:5" ht="21" x14ac:dyDescent="0.5">
      <c r="A1" s="87" t="s">
        <v>307</v>
      </c>
      <c r="B1" s="175"/>
      <c r="C1" s="175"/>
      <c r="D1" s="175"/>
      <c r="E1" s="175"/>
    </row>
    <row r="2" spans="1:5" x14ac:dyDescent="0.35">
      <c r="A2" s="88" t="s">
        <v>427</v>
      </c>
      <c r="B2" s="175"/>
      <c r="C2" s="175"/>
      <c r="D2" s="175"/>
      <c r="E2" s="175"/>
    </row>
    <row r="3" spans="1:5" x14ac:dyDescent="0.35">
      <c r="A3" s="168"/>
      <c r="B3" s="168"/>
      <c r="C3" s="168"/>
      <c r="D3" s="168"/>
      <c r="E3" s="168"/>
    </row>
    <row r="4" spans="1:5" ht="15.5" x14ac:dyDescent="0.35">
      <c r="A4" s="176" t="s">
        <v>308</v>
      </c>
      <c r="B4" s="168"/>
      <c r="C4" s="168"/>
      <c r="D4" s="168"/>
      <c r="E4" s="168"/>
    </row>
    <row r="5" spans="1:5" ht="15" thickBot="1" x14ac:dyDescent="0.4">
      <c r="A5" s="59" t="s">
        <v>309</v>
      </c>
      <c r="B5" s="59" t="s">
        <v>310</v>
      </c>
      <c r="C5" s="59" t="s">
        <v>311</v>
      </c>
      <c r="D5" s="59" t="s">
        <v>60</v>
      </c>
      <c r="E5" s="59" t="s">
        <v>312</v>
      </c>
    </row>
    <row r="6" spans="1:5" x14ac:dyDescent="0.35">
      <c r="A6" s="51" t="s">
        <v>313</v>
      </c>
      <c r="B6" s="177">
        <v>1</v>
      </c>
      <c r="C6" s="177">
        <f ca="1">SUM(Dashboard!L7:L22)</f>
        <v>1.0000000000000002</v>
      </c>
      <c r="D6" s="178" t="str">
        <f ca="1">IF(ABS(C6-1)&lt;0.001,"✅ PASS","❌ FAIL")</f>
        <v>✅ PASS</v>
      </c>
      <c r="E6" s="179" t="s">
        <v>314</v>
      </c>
    </row>
    <row r="7" spans="1:5" x14ac:dyDescent="0.35">
      <c r="A7" s="180" t="s">
        <v>315</v>
      </c>
      <c r="B7" s="485">
        <f ca="1">Dashboard!B3</f>
        <v>211334.9191</v>
      </c>
      <c r="C7" s="485">
        <f ca="1">SUM(Dashboard!F7:F22)</f>
        <v>211334.9191</v>
      </c>
      <c r="D7" s="169" t="str">
        <f ca="1">IF(ABS(B7-C7)&lt;1,"✅ PASS","❌ FAIL")</f>
        <v>✅ PASS</v>
      </c>
      <c r="E7" s="170" t="s">
        <v>316</v>
      </c>
    </row>
    <row r="8" spans="1:5" x14ac:dyDescent="0.35">
      <c r="A8" s="183" t="s">
        <v>317</v>
      </c>
      <c r="B8" s="486">
        <f ca="1">Dashboard!D3</f>
        <v>42915.801182421303</v>
      </c>
      <c r="C8" s="486">
        <f ca="1">SUM(Dashboard!N7:N22)</f>
        <v>42915.801182421303</v>
      </c>
      <c r="D8" s="181" t="str">
        <f ca="1">IF(ABS(B8-C8)&lt;1,"✅ PASS","❌ FAIL")</f>
        <v>✅ PASS</v>
      </c>
      <c r="E8" s="182" t="s">
        <v>318</v>
      </c>
    </row>
    <row r="9" spans="1:5" x14ac:dyDescent="0.35">
      <c r="A9" s="180" t="s">
        <v>319</v>
      </c>
      <c r="B9" s="485">
        <f ca="1">Dashboard!E3</f>
        <v>168419.1179175787</v>
      </c>
      <c r="C9" s="485">
        <f ca="1">Dashboard!B3-Dashboard!D3</f>
        <v>168419.1179175787</v>
      </c>
      <c r="D9" s="169" t="str">
        <f ca="1">IF(ABS(B9-C9)&lt;1,"✅ PASS","❌ FAIL")</f>
        <v>✅ PASS</v>
      </c>
      <c r="E9" s="170" t="s">
        <v>320</v>
      </c>
    </row>
    <row r="10" spans="1:5" x14ac:dyDescent="0.35">
      <c r="A10" s="183" t="s">
        <v>321</v>
      </c>
      <c r="B10" s="184">
        <v>16</v>
      </c>
      <c r="C10" s="184">
        <f>COUNTA(Dashboard!B7:B22)</f>
        <v>16</v>
      </c>
      <c r="D10" s="181" t="str">
        <f>IF(B10=C10,"✅ PASS","❌ FAIL")</f>
        <v>✅ PASS</v>
      </c>
      <c r="E10" s="182" t="s">
        <v>322</v>
      </c>
    </row>
    <row r="11" spans="1:5" x14ac:dyDescent="0.35">
      <c r="A11" s="180" t="s">
        <v>323</v>
      </c>
      <c r="B11" s="171">
        <v>1</v>
      </c>
      <c r="C11" s="171">
        <f ca="1">SUM(Dashboard!D30:D39)</f>
        <v>0.99999999999999989</v>
      </c>
      <c r="D11" s="169" t="str">
        <f ca="1">IF(ABS(C11-1)&lt;0.001,"✅ PASS","❌ FAIL")</f>
        <v>✅ PASS</v>
      </c>
      <c r="E11" s="170" t="s">
        <v>324</v>
      </c>
    </row>
    <row r="12" spans="1:5" x14ac:dyDescent="0.35">
      <c r="A12" s="183" t="s">
        <v>325</v>
      </c>
      <c r="B12" s="185">
        <f ca="1">Dashboard!J3</f>
        <v>0.40936259484504506</v>
      </c>
      <c r="C12" s="185">
        <f ca="1">Dashboard!K25</f>
        <v>0.40936259484504506</v>
      </c>
      <c r="D12" s="181" t="str">
        <f ca="1">IF(ABS(B12-C12)&lt;0.001,"✅ PASS","❌ FAIL")</f>
        <v>✅ PASS</v>
      </c>
      <c r="E12" s="182" t="s">
        <v>326</v>
      </c>
    </row>
    <row r="13" spans="1:5" x14ac:dyDescent="0.35">
      <c r="A13" s="180" t="s">
        <v>327</v>
      </c>
      <c r="B13" s="172">
        <f ca="1">Dashboard!J3</f>
        <v>0.40936259484504506</v>
      </c>
      <c r="C13" s="172">
        <f ca="1">SUM(Dashboard!E30:E39)</f>
        <v>0.40936259484504506</v>
      </c>
      <c r="D13" s="169" t="str">
        <f ca="1">IF(ABS(B13-C13)&lt;0.001,"✅ PASS","❌ FAIL")</f>
        <v>✅ PASS</v>
      </c>
      <c r="E13" s="170" t="s">
        <v>328</v>
      </c>
    </row>
    <row r="14" spans="1:5" x14ac:dyDescent="0.35">
      <c r="A14" s="183" t="s">
        <v>329</v>
      </c>
      <c r="B14" s="186">
        <f ca="1">Dashboard!O3</f>
        <v>0.9375</v>
      </c>
      <c r="C14" s="186">
        <f ca="1">COUNTIF(Dashboard!I7:I22,"&gt;0")/COUNTA(Dashboard!I7:I22)</f>
        <v>0.9375</v>
      </c>
      <c r="D14" s="181" t="str">
        <f ca="1">IF(ABS(B14-C14)&lt;0.001,"✅ PASS","❌ FAIL")</f>
        <v>✅ PASS</v>
      </c>
      <c r="E14" s="182" t="s">
        <v>330</v>
      </c>
    </row>
    <row r="15" spans="1:5" x14ac:dyDescent="0.35">
      <c r="A15" s="180" t="s">
        <v>331</v>
      </c>
      <c r="B15" s="171">
        <f>1/16</f>
        <v>6.25E-2</v>
      </c>
      <c r="C15" s="171">
        <f ca="1">Dashboard!I30</f>
        <v>6.25E-2</v>
      </c>
      <c r="D15" s="169" t="str">
        <f ca="1">IF(ABS(B15-C15)&lt;0.001,"✅ PASS","❌ FAIL")</f>
        <v>✅ PASS</v>
      </c>
      <c r="E15" s="170" t="s">
        <v>332</v>
      </c>
    </row>
    <row r="16" spans="1:5" x14ac:dyDescent="0.35">
      <c r="A16" s="189" t="s">
        <v>333</v>
      </c>
      <c r="B16" s="487">
        <f ca="1">Dashboard!B3</f>
        <v>211334.9191</v>
      </c>
      <c r="C16" s="487">
        <f ca="1">SUM(Dashboard!C30:C39)</f>
        <v>211334.91910000003</v>
      </c>
      <c r="D16" s="187" t="str">
        <f ca="1">IF(ABS(B16-C16)&lt;1,"✅ PASS","❌ FAIL")</f>
        <v>✅ PASS</v>
      </c>
      <c r="E16" s="188" t="s">
        <v>334</v>
      </c>
    </row>
    <row r="17" spans="1:5" x14ac:dyDescent="0.35">
      <c r="A17" s="168" t="s">
        <v>429</v>
      </c>
      <c r="B17" s="168">
        <f>SUMIFS(Ledger[Units],Ledger[Transaction Type],"Buy")-SUMIFS(Ledger[Units],Ledger[Transaction Type],"Sell")</f>
        <v>1008.21</v>
      </c>
      <c r="C17" s="501">
        <f>SUM(Dashboard!D7:D22)</f>
        <v>1008.2099999999999</v>
      </c>
      <c r="D17" s="168" t="str">
        <f>IF(ABS(B17-C17)&lt;0.01,"✅ PASS","❌ FAIL")</f>
        <v>✅ PASS</v>
      </c>
      <c r="E17" s="168" t="s">
        <v>430</v>
      </c>
    </row>
    <row r="18" spans="1:5" ht="15.5" x14ac:dyDescent="0.35">
      <c r="A18" s="176" t="s">
        <v>335</v>
      </c>
      <c r="B18" s="168"/>
      <c r="C18" s="168"/>
      <c r="D18" s="168"/>
      <c r="E18" s="168"/>
    </row>
    <row r="19" spans="1:5" ht="15" thickBot="1" x14ac:dyDescent="0.4">
      <c r="A19" s="59" t="s">
        <v>309</v>
      </c>
      <c r="B19" s="59" t="s">
        <v>336</v>
      </c>
      <c r="C19" s="59" t="s">
        <v>311</v>
      </c>
      <c r="D19" s="59" t="s">
        <v>60</v>
      </c>
      <c r="E19" s="59" t="s">
        <v>428</v>
      </c>
    </row>
    <row r="20" spans="1:5" x14ac:dyDescent="0.35">
      <c r="A20" s="51" t="s">
        <v>337</v>
      </c>
      <c r="B20" s="190" t="s">
        <v>338</v>
      </c>
      <c r="C20" s="191">
        <f ca="1">Dashboard!N3</f>
        <v>1.2122662209441715</v>
      </c>
      <c r="D20" s="178" t="str">
        <f ca="1">IF(AND(C20&gt;=-3,C20&lt;=5),"✅ PASS","⚠️ CHECK")</f>
        <v>✅ PASS</v>
      </c>
      <c r="E20" s="179" t="s">
        <v>339</v>
      </c>
    </row>
    <row r="21" spans="1:5" x14ac:dyDescent="0.35">
      <c r="A21" s="180" t="s">
        <v>340</v>
      </c>
      <c r="B21" s="173" t="s">
        <v>341</v>
      </c>
      <c r="C21" s="174">
        <f ca="1">Dashboard!R3</f>
        <v>1.8150362450223683</v>
      </c>
      <c r="D21" s="169" t="str">
        <f ca="1">IF(AND(C21&gt;=0.3,C21&lt;=2.5),"✅ PASS","⚠️ CHECK")</f>
        <v>✅ PASS</v>
      </c>
      <c r="E21" s="170" t="s">
        <v>342</v>
      </c>
    </row>
    <row r="22" spans="1:5" x14ac:dyDescent="0.35">
      <c r="A22" s="183" t="s">
        <v>343</v>
      </c>
      <c r="B22" s="184" t="s">
        <v>344</v>
      </c>
      <c r="C22" s="185">
        <f ca="1">Dashboard!S3</f>
        <v>0.17343393164785381</v>
      </c>
      <c r="D22" s="181" t="str">
        <f ca="1">IF(AND(C22&gt;=-0.5,C22&lt;=1),"✅ PASS","⚠️ CHECK")</f>
        <v>✅ PASS</v>
      </c>
      <c r="E22" s="182" t="s">
        <v>345</v>
      </c>
    </row>
    <row r="23" spans="1:5" x14ac:dyDescent="0.35">
      <c r="A23" s="180" t="s">
        <v>346</v>
      </c>
      <c r="B23" s="173" t="s">
        <v>347</v>
      </c>
      <c r="C23" s="171">
        <f ca="1">Dashboard!Q3</f>
        <v>-0.14841702534464052</v>
      </c>
      <c r="D23" s="169" t="str">
        <f ca="1">IF(C23&lt;=0,"✅ PASS","❌ FAIL")</f>
        <v>✅ PASS</v>
      </c>
      <c r="E23" s="170" t="s">
        <v>431</v>
      </c>
    </row>
    <row r="24" spans="1:5" x14ac:dyDescent="0.35">
      <c r="A24" s="189" t="s">
        <v>348</v>
      </c>
      <c r="B24" s="192" t="s">
        <v>349</v>
      </c>
      <c r="C24" s="193">
        <f ca="1">Dashboard!R25</f>
        <v>2.407330771034677</v>
      </c>
      <c r="D24" s="187" t="str">
        <f ca="1">IF(C24&gt;0,"✅ PASS","⚠️ CHECK")</f>
        <v>✅ PASS</v>
      </c>
      <c r="E24" s="188" t="s">
        <v>432</v>
      </c>
    </row>
    <row r="25" spans="1:5" x14ac:dyDescent="0.35">
      <c r="A25" s="168" t="s">
        <v>433</v>
      </c>
      <c r="B25" s="168" t="s">
        <v>434</v>
      </c>
      <c r="C25" s="501">
        <f>MIN(Dashboard!D7:D22)</f>
        <v>2.5500000000000043</v>
      </c>
      <c r="D25" s="168" t="str">
        <f>IF(C25&gt;=0,"✅ PASS","❌ FAIL")</f>
        <v>✅ PASS</v>
      </c>
      <c r="E25" s="168" t="s">
        <v>435</v>
      </c>
    </row>
    <row r="26" spans="1:5" ht="15.5" x14ac:dyDescent="0.35">
      <c r="A26" s="176" t="s">
        <v>350</v>
      </c>
      <c r="B26" s="168"/>
      <c r="C26" s="168"/>
      <c r="D26" s="168"/>
      <c r="E26" s="168"/>
    </row>
    <row r="27" spans="1:5" ht="15" thickBot="1" x14ac:dyDescent="0.4">
      <c r="A27" s="59" t="s">
        <v>351</v>
      </c>
      <c r="B27" s="59" t="s">
        <v>352</v>
      </c>
      <c r="C27" s="59" t="s">
        <v>353</v>
      </c>
      <c r="D27" s="59" t="s">
        <v>354</v>
      </c>
      <c r="E27" s="168"/>
    </row>
    <row r="28" spans="1:5" ht="23.5" x14ac:dyDescent="0.55000000000000004">
      <c r="A28" s="200">
        <f ca="1">COUNTIF(D6:D17,"✅*")+COUNTIF(D20:D25,"✅*")+COUNTIF(D32:D39,"✅*")</f>
        <v>26</v>
      </c>
      <c r="B28" s="194" cm="1">
        <f t="array" aca="1" ref="B28" ca="1">COUNTIF(D6:D17,"❌*")+COUNTIF(D20:D25,"❌*")+COUNTIF(D32:D39,"❌*")+SUMPRODUCT(--ISERROR(D6:D17))+SUMPRODUCT(--ISERROR(D20:D25))+SUMPRODUCT(--ISERROR(D32:D39))</f>
        <v>0</v>
      </c>
      <c r="C28" s="201">
        <f ca="1">COUNTIF(D6:D17,"⚠️*")+COUNTIF(D20:D25,"⚠️*")+COUNTIF(D32:D39,"⚠️*")</f>
        <v>0</v>
      </c>
      <c r="D28" s="195" t="str">
        <f ca="1">IF(B28=0,IF(C28=0,"✅ ALL PASS","⚠️ WARNINGS"),"❌ FAILURES")</f>
        <v>✅ ALL PASS</v>
      </c>
      <c r="E28" s="168"/>
    </row>
    <row r="30" spans="1:5" ht="15.5" x14ac:dyDescent="0.35">
      <c r="A30" s="176" t="s">
        <v>359</v>
      </c>
    </row>
    <row r="31" spans="1:5" ht="15" thickBot="1" x14ac:dyDescent="0.4">
      <c r="A31" s="202" t="s">
        <v>309</v>
      </c>
      <c r="B31" s="202" t="s">
        <v>360</v>
      </c>
      <c r="C31" s="202" t="s">
        <v>361</v>
      </c>
      <c r="D31" s="202" t="s">
        <v>60</v>
      </c>
      <c r="E31" s="202" t="s">
        <v>279</v>
      </c>
    </row>
    <row r="32" spans="1:5" x14ac:dyDescent="0.35">
      <c r="A32" s="203" t="s">
        <v>362</v>
      </c>
      <c r="B32" s="204">
        <f ca="1">Dashboard!G3</f>
        <v>0.32227900624275219</v>
      </c>
      <c r="C32" s="204">
        <f ca="1">Analytics!E6</f>
        <v>0.32227900624275219</v>
      </c>
      <c r="D32" s="205" t="str">
        <f ca="1">IF(ABS(B32-C32)&lt;0.0001,"✅ PASS","❌ FAIL")</f>
        <v>✅ PASS</v>
      </c>
      <c r="E32" s="206" t="s">
        <v>363</v>
      </c>
    </row>
    <row r="33" spans="1:5" x14ac:dyDescent="0.35">
      <c r="A33" s="207" t="s">
        <v>364</v>
      </c>
      <c r="B33" s="208">
        <f ca="1">Dashboard!R3</f>
        <v>1.8150362450223683</v>
      </c>
      <c r="C33" s="208">
        <f ca="1">'Risk Analytics'!C9</f>
        <v>1.8150362450223683</v>
      </c>
      <c r="D33" s="209" t="str">
        <f ca="1">IF(ABS(B33-C33)&lt;0.001,"✅ PASS","❌ FAIL")</f>
        <v>✅ PASS</v>
      </c>
      <c r="E33" s="210" t="s">
        <v>365</v>
      </c>
    </row>
    <row r="34" spans="1:5" x14ac:dyDescent="0.35">
      <c r="A34" s="214" t="s">
        <v>366</v>
      </c>
      <c r="B34" s="215">
        <f ca="1">Dashboard!N3</f>
        <v>1.2122662209441715</v>
      </c>
      <c r="C34" s="215">
        <f ca="1">'Risk Analytics'!C18</f>
        <v>1.2122662209441715</v>
      </c>
      <c r="D34" s="216" t="str">
        <f ca="1">IF(ABS(B34-C34)&lt;0.001,"✅ PASS","❌ FAIL")</f>
        <v>✅ PASS</v>
      </c>
      <c r="E34" s="217" t="s">
        <v>367</v>
      </c>
    </row>
    <row r="35" spans="1:5" x14ac:dyDescent="0.35">
      <c r="A35" s="207" t="s">
        <v>368</v>
      </c>
      <c r="B35" s="218">
        <f ca="1">Dashboard!S3</f>
        <v>0.17343393164785381</v>
      </c>
      <c r="C35" s="218">
        <f ca="1">'Risk Analytics'!C15</f>
        <v>0.17343393164785381</v>
      </c>
      <c r="D35" s="209" t="str">
        <f ca="1">IF(ABS(B35-C35)&lt;0.0001,"✅ PASS","❌ FAIL")</f>
        <v>✅ PASS</v>
      </c>
      <c r="E35" s="210" t="s">
        <v>369</v>
      </c>
    </row>
    <row r="36" spans="1:5" x14ac:dyDescent="0.35">
      <c r="A36" s="214" t="s">
        <v>370</v>
      </c>
      <c r="B36" s="219">
        <f ca="1">'Risk Analytics'!C10</f>
        <v>0.14686458408878619</v>
      </c>
      <c r="C36" s="219">
        <f ca="1">'Risk Analytics'!C6+'Risk Analytics'!C9*('Risk Analytics'!C7-'Risk Analytics'!C6)</f>
        <v>0.14686458408878619</v>
      </c>
      <c r="D36" s="216" t="str">
        <f ca="1">IF(ABS(B36-C36)&lt;0.0001,"✅ PASS","❌ FAIL")</f>
        <v>✅ PASS</v>
      </c>
      <c r="E36" s="217" t="s">
        <v>371</v>
      </c>
    </row>
    <row r="37" spans="1:5" x14ac:dyDescent="0.35">
      <c r="A37" s="207" t="s">
        <v>436</v>
      </c>
      <c r="B37" s="220">
        <f ca="1">'Risk Analytics'!C11</f>
        <v>0.21042428796880044</v>
      </c>
      <c r="C37" s="220">
        <f ca="1">'Portfolio Series'!B13-'Risk Analytics'!C10</f>
        <v>0.21042428796880044</v>
      </c>
      <c r="D37" s="209" t="str">
        <f ca="1">IF(ABS(B37-C37)&lt;0.0001,"✅ PASS","❌ FAIL")</f>
        <v>✅ PASS</v>
      </c>
      <c r="E37" s="210" t="s">
        <v>372</v>
      </c>
    </row>
    <row r="38" spans="1:5" x14ac:dyDescent="0.35">
      <c r="A38" s="211" t="s">
        <v>373</v>
      </c>
      <c r="B38" s="221">
        <v>1</v>
      </c>
      <c r="C38" s="221">
        <f ca="1">'Risk Analytics'!C55</f>
        <v>1.0000000000000002</v>
      </c>
      <c r="D38" s="212" t="str">
        <f ca="1">IF(ABS(C38-1)&lt;0.001,"✅ PASS","❌ FAIL")</f>
        <v>✅ PASS</v>
      </c>
      <c r="E38" s="213" t="s">
        <v>374</v>
      </c>
    </row>
    <row r="39" spans="1:5" x14ac:dyDescent="0.35">
      <c r="A39" t="s">
        <v>437</v>
      </c>
      <c r="B39">
        <f ca="1">Dashboard!B3+SUMIFS(Ledger[Transaction Amount],Ledger[Transaction Type],"Sell")-SUMIFS(Ledger[Transaction Amount],Ledger[Transaction Type],"Buy")</f>
        <v>183362.84250000003</v>
      </c>
      <c r="C39">
        <f ca="1">Dashboard!E3+Dashboard!P25</f>
        <v>183362.8425</v>
      </c>
      <c r="D39" t="str">
        <f ca="1">IF(ABS(B39-C39)&lt;1,"✅ PASS","❌ FAIL")</f>
        <v>✅ PASS</v>
      </c>
      <c r="E39" t="s">
        <v>438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9DC8D6-B0A3-47BE-A2F1-FC93F05BAEC7}">
  <sheetPr>
    <tabColor rgb="FF0D7377"/>
  </sheetPr>
  <dimension ref="A1:AE114"/>
  <sheetViews>
    <sheetView showGridLines="0" zoomScale="90" zoomScaleNormal="90" workbookViewId="0">
      <selection activeCell="G48" sqref="G48"/>
    </sheetView>
  </sheetViews>
  <sheetFormatPr defaultRowHeight="14.5" outlineLevelCol="1" x14ac:dyDescent="0.35"/>
  <cols>
    <col min="2" max="2" width="38.54296875" bestFit="1" customWidth="1"/>
    <col min="3" max="3" width="35.81640625" bestFit="1" customWidth="1"/>
    <col min="4" max="4" width="17.26953125" customWidth="1"/>
    <col min="5" max="5" width="16.26953125" bestFit="1" customWidth="1"/>
    <col min="6" max="6" width="15.453125" customWidth="1"/>
    <col min="7" max="7" width="11.81640625" customWidth="1"/>
    <col min="8" max="8" width="14.90625" bestFit="1" customWidth="1"/>
    <col min="9" max="10" width="14.54296875" customWidth="1"/>
    <col min="11" max="11" width="11.81640625" customWidth="1"/>
    <col min="12" max="12" width="12.7265625" customWidth="1"/>
    <col min="13" max="13" width="25.453125" customWidth="1"/>
    <col min="14" max="19" width="19.08984375" customWidth="1"/>
    <col min="20" max="20" width="3.6328125" customWidth="1"/>
    <col min="21" max="31" width="0.1796875" customWidth="1" outlineLevel="1"/>
  </cols>
  <sheetData>
    <row r="1" spans="1:31" ht="15" thickBot="1" x14ac:dyDescent="0.4">
      <c r="A1" s="268"/>
      <c r="B1" s="268"/>
      <c r="C1" s="268"/>
      <c r="D1" s="268"/>
      <c r="E1" s="268"/>
      <c r="F1" s="268"/>
      <c r="G1" s="268"/>
      <c r="H1" s="268"/>
      <c r="I1" s="268"/>
      <c r="J1" s="268"/>
      <c r="K1" s="268"/>
      <c r="L1" s="268"/>
      <c r="M1" s="268"/>
      <c r="N1" s="268"/>
      <c r="O1" s="268"/>
      <c r="P1" s="268"/>
      <c r="Q1" s="268"/>
      <c r="R1" s="268"/>
      <c r="S1" s="268"/>
      <c r="T1" s="268"/>
      <c r="U1" s="344" t="s">
        <v>14</v>
      </c>
      <c r="V1" s="479" t="s">
        <v>50</v>
      </c>
      <c r="W1" s="344" t="s">
        <v>51</v>
      </c>
      <c r="X1" s="479" t="s">
        <v>177</v>
      </c>
      <c r="Y1" s="479" t="s">
        <v>53</v>
      </c>
      <c r="Z1" s="344" t="s">
        <v>14</v>
      </c>
      <c r="AA1" s="479" t="s">
        <v>177</v>
      </c>
      <c r="AB1" s="479" t="s">
        <v>14</v>
      </c>
      <c r="AC1" s="344" t="s">
        <v>53</v>
      </c>
      <c r="AD1" s="344" t="s">
        <v>14</v>
      </c>
      <c r="AE1" s="344" t="s">
        <v>178</v>
      </c>
    </row>
    <row r="2" spans="1:31" ht="20" customHeight="1" x14ac:dyDescent="0.35">
      <c r="A2" s="268"/>
      <c r="B2" s="278" t="s">
        <v>135</v>
      </c>
      <c r="C2" s="278"/>
      <c r="D2" s="278" t="s">
        <v>139</v>
      </c>
      <c r="E2" s="278" t="s">
        <v>136</v>
      </c>
      <c r="F2" s="278" t="s">
        <v>137</v>
      </c>
      <c r="G2" s="278" t="s">
        <v>395</v>
      </c>
      <c r="H2" s="278" t="s">
        <v>145</v>
      </c>
      <c r="I2" s="279" t="s">
        <v>138</v>
      </c>
      <c r="J2" s="278" t="s">
        <v>144</v>
      </c>
      <c r="K2" s="278"/>
      <c r="L2" s="278"/>
      <c r="M2" s="280" t="s">
        <v>171</v>
      </c>
      <c r="N2" s="280" t="s">
        <v>295</v>
      </c>
      <c r="O2" s="280" t="s">
        <v>172</v>
      </c>
      <c r="P2" s="280" t="s">
        <v>142</v>
      </c>
      <c r="Q2" s="280" t="s">
        <v>396</v>
      </c>
      <c r="R2" s="280" t="s">
        <v>293</v>
      </c>
      <c r="S2" s="280" t="s">
        <v>294</v>
      </c>
      <c r="T2" s="268"/>
      <c r="U2" s="346" t="str">
        <f t="shared" ref="U2:U17" ca="1" si="0">M7</f>
        <v>AMD</v>
      </c>
      <c r="V2" s="480">
        <f t="shared" ref="V2:V17" ca="1" si="1">K7</f>
        <v>10.322389701746523</v>
      </c>
      <c r="W2" s="347">
        <f t="shared" ref="W2:W17" ca="1" si="2">L7</f>
        <v>0.17183224596601931</v>
      </c>
      <c r="X2" s="480">
        <f t="shared" ref="X2:X17" ca="1" si="3">I7</f>
        <v>33106.866755781899</v>
      </c>
      <c r="Y2" s="480">
        <f t="shared" ref="Y2:Y17" ca="1" si="4">Q7</f>
        <v>0.55674188733100904</v>
      </c>
      <c r="Z2" s="346" t="str">
        <f t="shared" ref="Z2:Z17" ca="1" si="5">M7</f>
        <v>AMD</v>
      </c>
      <c r="AA2" s="480">
        <f t="shared" ref="AA2:AA17" ca="1" si="6">I7</f>
        <v>33106.866755781899</v>
      </c>
      <c r="AB2" s="480" t="str">
        <f t="shared" ref="AB2:AB17" ca="1" si="7">M7</f>
        <v>AMD</v>
      </c>
      <c r="AC2" s="347">
        <f t="shared" ref="AC2:AC17" ca="1" si="8">Q7</f>
        <v>0.55674188733100904</v>
      </c>
      <c r="AD2" s="346" t="str">
        <f t="shared" ref="AD2:AD17" ca="1" si="9">M7</f>
        <v>AMD</v>
      </c>
      <c r="AE2" s="347">
        <f t="shared" ref="AE2:AE17" ca="1" si="10">L7</f>
        <v>0.17183224596601931</v>
      </c>
    </row>
    <row r="3" spans="1:31" ht="42" customHeight="1" thickBot="1" x14ac:dyDescent="0.55000000000000004">
      <c r="A3" s="268"/>
      <c r="B3" s="399">
        <f ca="1">SUM(_xlfn.ANCHORARRAY(F7))</f>
        <v>211334.9191</v>
      </c>
      <c r="C3" s="281"/>
      <c r="D3" s="399">
        <f ca="1">SUM(F7:F22)-SUM(I7:I22)</f>
        <v>42915.801182421303</v>
      </c>
      <c r="E3" s="400">
        <f ca="1">SUM(I7:I22)</f>
        <v>168419.1179175787</v>
      </c>
      <c r="F3" s="286">
        <f ca="1">(B3+SUMIFS(Ledger[Transaction Amount],Ledger[Transaction Type],"Sell")-SUMIFS(Ledger[Transaction Amount],Ledger[Transaction Type],"Buy"))/SUMIFS(Ledger[Transaction Amount],Ledger[Transaction Type],"Buy")</f>
        <v>2.2916989694747207</v>
      </c>
      <c r="G3" s="286" cm="1">
        <f t="array" aca="1" ref="G3" ca="1">_xlfn.LET(_xlpm.v,_xlfn.VSTACK(IF(Ledger[Transaction Type]="Buy",-1,1)*Ledger[Transaction Amount],B3),_xlpm.d,_xlfn.VSTACK(Ledger[Date],TODAY()),_xlpm.r,XIRR(_xlfn.SORTBY(_xlpm.v,_xlpm.d),_xlfn._xlws.SORT(_xlpm.d),IF(SUM(_xlpm.v)&lt;0,-0.1,0.1)),IF(ABS(_xlpm.r)&lt;0.0000001,NA(),_xlpm.r))</f>
        <v>0.32227900624275219</v>
      </c>
      <c r="H3" s="287" t="str">
        <f ca="1">"▲ "&amp;INDEX(Ledger[Ticker],MATCH(INDEX(_xlfn.ANCHORARRAY(B7),MATCH(MAX(I7:I22),I7:I22,0)),Ledger[Stock],0))</f>
        <v>▲ NVDA</v>
      </c>
      <c r="I3" s="380" t="str">
        <f ca="1">"▼ "&amp;INDEX(Ledger[Ticker],MATCH(INDEX(_xlfn.ANCHORARRAY(B7),MATCH(MIN(I7:I22),I7:I22,0)),Ledger[Stock],0))</f>
        <v>▼ BA</v>
      </c>
      <c r="J3" s="282" cm="1">
        <f t="array" aca="1" ref="J3" ca="1">SUMPRODUCT((SUMIF(_xlfn.ANCHORARRAY(C7),_xlfn.UNIQUE(_xlfn.ANCHORARRAY(C7)),_xlfn.ANCHORARRAY(F7))/SUM(_xlfn.ANCHORARRAY(F7)))^2)</f>
        <v>0.40936259484504506</v>
      </c>
      <c r="K3" s="281"/>
      <c r="L3" s="281"/>
      <c r="M3" s="401">
        <f ca="1">SUMPRODUCT(_xlfn.ANCHORARRAY(D7),_xlfn.ANCHORARRAY(G7))</f>
        <v>-950.52899999998886</v>
      </c>
      <c r="N3" s="288">
        <f ca="1">'Risk Analytics'!C18</f>
        <v>1.2122662209441715</v>
      </c>
      <c r="O3" s="284">
        <f ca="1">COUNTIF(I7:I22,"&gt;0")/COUNTA(I7:I22)</f>
        <v>0.9375</v>
      </c>
      <c r="P3" s="284">
        <f ca="1">AVERAGE(K7:K22)</f>
        <v>2.7406333308014106</v>
      </c>
      <c r="Q3" s="289">
        <f ca="1">'Portfolio Series'!B16</f>
        <v>-0.14841702534464052</v>
      </c>
      <c r="R3" s="283">
        <f ca="1">'Risk Analytics'!C9</f>
        <v>1.8150362450223683</v>
      </c>
      <c r="S3" s="285">
        <f ca="1">'Risk Analytics'!C15</f>
        <v>0.17343393164785381</v>
      </c>
      <c r="T3" s="268"/>
      <c r="U3" s="350" t="str">
        <f t="shared" ca="1" si="0"/>
        <v>GOOG</v>
      </c>
      <c r="V3" s="481">
        <f t="shared" ca="1" si="1"/>
        <v>2.594222437205481</v>
      </c>
      <c r="W3" s="351">
        <f t="shared" ca="1" si="2"/>
        <v>5.3377178026421099E-2</v>
      </c>
      <c r="X3" s="481">
        <f t="shared" ca="1" si="3"/>
        <v>8141.9631355670108</v>
      </c>
      <c r="Y3" s="481">
        <f t="shared" ca="1" si="4"/>
        <v>0.30156798958778397</v>
      </c>
      <c r="Z3" s="350" t="str">
        <f t="shared" ca="1" si="5"/>
        <v>GOOG</v>
      </c>
      <c r="AA3" s="481">
        <f t="shared" ca="1" si="6"/>
        <v>8141.9631355670108</v>
      </c>
      <c r="AB3" s="481" t="str">
        <f t="shared" ca="1" si="7"/>
        <v>GOOG</v>
      </c>
      <c r="AC3" s="351">
        <f t="shared" ca="1" si="8"/>
        <v>0.30156798958778397</v>
      </c>
      <c r="AD3" s="350" t="str">
        <f t="shared" ca="1" si="9"/>
        <v>GOOG</v>
      </c>
      <c r="AE3" s="351">
        <f t="shared" ca="1" si="10"/>
        <v>5.3377178026421099E-2</v>
      </c>
    </row>
    <row r="4" spans="1:31" ht="3" customHeight="1" x14ac:dyDescent="0.35">
      <c r="A4" s="268"/>
      <c r="B4" s="268"/>
      <c r="C4" s="268"/>
      <c r="D4" s="268"/>
      <c r="E4" s="268"/>
      <c r="F4" s="268"/>
      <c r="G4" s="268"/>
      <c r="H4" s="268"/>
      <c r="I4" s="268"/>
      <c r="J4" s="268"/>
      <c r="K4" s="268"/>
      <c r="L4" s="269"/>
      <c r="M4" s="268"/>
      <c r="N4" s="268"/>
      <c r="O4" s="268"/>
      <c r="P4" s="268"/>
      <c r="Q4" s="268"/>
      <c r="R4" s="268"/>
      <c r="S4" s="268"/>
      <c r="T4" s="268"/>
      <c r="U4" s="352" t="str">
        <f t="shared" ca="1" si="0"/>
        <v>AMZN</v>
      </c>
      <c r="V4" s="482">
        <f t="shared" ca="1" si="1"/>
        <v>1.0848749119659624</v>
      </c>
      <c r="W4" s="353">
        <f t="shared" ca="1" si="2"/>
        <v>2.4424574613519229E-2</v>
      </c>
      <c r="X4" s="482">
        <f t="shared" ca="1" si="3"/>
        <v>2685.9500588075884</v>
      </c>
      <c r="Y4" s="482">
        <f t="shared" ca="1" si="4"/>
        <v>0.19556204676628111</v>
      </c>
      <c r="Z4" s="352" t="str">
        <f t="shared" ca="1" si="5"/>
        <v>AMZN</v>
      </c>
      <c r="AA4" s="482">
        <f t="shared" ca="1" si="6"/>
        <v>2685.9500588075884</v>
      </c>
      <c r="AB4" s="482" t="str">
        <f t="shared" ca="1" si="7"/>
        <v>AMZN</v>
      </c>
      <c r="AC4" s="353">
        <f t="shared" ca="1" si="8"/>
        <v>0.19556204676628111</v>
      </c>
      <c r="AD4" s="352" t="str">
        <f t="shared" ca="1" si="9"/>
        <v>AMZN</v>
      </c>
      <c r="AE4" s="353">
        <f t="shared" ca="1" si="10"/>
        <v>2.4424574613519229E-2</v>
      </c>
    </row>
    <row r="5" spans="1:31" ht="22" customHeight="1" thickBot="1" x14ac:dyDescent="0.4">
      <c r="A5" s="268"/>
      <c r="B5" s="504" t="s">
        <v>148</v>
      </c>
      <c r="C5" s="505"/>
      <c r="D5" s="505"/>
      <c r="E5" s="505"/>
      <c r="F5" s="505"/>
      <c r="G5" s="505"/>
      <c r="H5" s="505"/>
      <c r="I5" s="505"/>
      <c r="J5" s="505"/>
      <c r="K5" s="269"/>
      <c r="L5" s="269"/>
      <c r="M5" s="504" t="s">
        <v>173</v>
      </c>
      <c r="N5" s="505"/>
      <c r="O5" s="505"/>
      <c r="P5" s="505"/>
      <c r="Q5" s="505"/>
      <c r="R5" s="505"/>
      <c r="S5" s="270"/>
      <c r="T5" s="268"/>
      <c r="U5" s="344" t="str">
        <f t="shared" ca="1" si="0"/>
        <v>AAPL</v>
      </c>
      <c r="V5" s="479">
        <f t="shared" ca="1" si="1"/>
        <v>2.1898434275323488</v>
      </c>
      <c r="W5" s="345">
        <f t="shared" ca="1" si="2"/>
        <v>4.7204844530588506E-2</v>
      </c>
      <c r="X5" s="479">
        <f t="shared" ca="1" si="3"/>
        <v>6848.5957396825388</v>
      </c>
      <c r="Y5" s="479">
        <f t="shared" ca="1" si="4"/>
        <v>0.28999215960502633</v>
      </c>
      <c r="Z5" s="344" t="str">
        <f t="shared" ca="1" si="5"/>
        <v>AAPL</v>
      </c>
      <c r="AA5" s="479">
        <f t="shared" ca="1" si="6"/>
        <v>6848.5957396825388</v>
      </c>
      <c r="AB5" s="479" t="str">
        <f t="shared" ca="1" si="7"/>
        <v>AAPL</v>
      </c>
      <c r="AC5" s="345">
        <f t="shared" ca="1" si="8"/>
        <v>0.28999215960502633</v>
      </c>
      <c r="AD5" s="344" t="str">
        <f t="shared" ca="1" si="9"/>
        <v>AAPL</v>
      </c>
      <c r="AE5" s="345">
        <f t="shared" ca="1" si="10"/>
        <v>4.7204844530588506E-2</v>
      </c>
    </row>
    <row r="6" spans="1:31" ht="15" thickBot="1" x14ac:dyDescent="0.4">
      <c r="A6" s="268"/>
      <c r="B6" s="290" t="s">
        <v>0</v>
      </c>
      <c r="C6" s="291" t="s">
        <v>1</v>
      </c>
      <c r="D6" s="291" t="s">
        <v>2</v>
      </c>
      <c r="E6" s="291" t="s">
        <v>3</v>
      </c>
      <c r="F6" s="291" t="s">
        <v>4</v>
      </c>
      <c r="G6" s="291" t="s">
        <v>5</v>
      </c>
      <c r="H6" s="291"/>
      <c r="I6" s="291" t="s">
        <v>6</v>
      </c>
      <c r="J6" s="291" t="s">
        <v>7</v>
      </c>
      <c r="K6" s="291" t="s">
        <v>50</v>
      </c>
      <c r="L6" s="291" t="s">
        <v>51</v>
      </c>
      <c r="M6" s="291" t="s">
        <v>8</v>
      </c>
      <c r="N6" s="291" t="s">
        <v>49</v>
      </c>
      <c r="O6" s="291" t="s">
        <v>52</v>
      </c>
      <c r="P6" s="291" t="s">
        <v>174</v>
      </c>
      <c r="Q6" s="291" t="s">
        <v>397</v>
      </c>
      <c r="R6" s="291" t="s">
        <v>175</v>
      </c>
      <c r="S6" s="291" t="s">
        <v>176</v>
      </c>
      <c r="T6" s="268"/>
      <c r="U6" s="346" t="str">
        <f t="shared" ca="1" si="0"/>
        <v>BLK</v>
      </c>
      <c r="V6" s="480">
        <f t="shared" ca="1" si="1"/>
        <v>0.64601445317717687</v>
      </c>
      <c r="W6" s="347">
        <f t="shared" ca="1" si="2"/>
        <v>2.3367943740822145E-2</v>
      </c>
      <c r="X6" s="480">
        <f t="shared" ca="1" si="3"/>
        <v>1938.2078603960399</v>
      </c>
      <c r="Y6" s="480">
        <f t="shared" ca="1" si="4"/>
        <v>0.13977040648460387</v>
      </c>
      <c r="Z6" s="346" t="str">
        <f t="shared" ca="1" si="5"/>
        <v>BLK</v>
      </c>
      <c r="AA6" s="480">
        <f t="shared" ca="1" si="6"/>
        <v>1938.2078603960399</v>
      </c>
      <c r="AB6" s="480" t="str">
        <f t="shared" ca="1" si="7"/>
        <v>BLK</v>
      </c>
      <c r="AC6" s="347">
        <f t="shared" ca="1" si="8"/>
        <v>0.13977040648460387</v>
      </c>
      <c r="AD6" s="346" t="str">
        <f t="shared" ca="1" si="9"/>
        <v>BLK</v>
      </c>
      <c r="AE6" s="347">
        <f t="shared" ca="1" si="10"/>
        <v>2.3367943740822145E-2</v>
      </c>
    </row>
    <row r="7" spans="1:31" x14ac:dyDescent="0.35">
      <c r="A7" s="268"/>
      <c r="B7" s="292" t="e" cm="1" vm="1">
        <f t="array" ref="B7:B22">_xlfn._xlws.SORT(_xlfn.UNIQUE(Ledger[Stock],FALSE,FALSE))</f>
        <v>#VALUE!</v>
      </c>
      <c r="C7" s="293" t="str" cm="1">
        <f t="array" aca="1" ref="C7:C22" ca="1">_FV(_xlfn.ANCHORARRAY(B7),"Industry")</f>
        <v>Semiconductors &amp; Semiconductor Equipment</v>
      </c>
      <c r="D7" s="294" cm="1">
        <f t="array" ref="D7:D22">SUMIFS(Ledger[Units],Ledger[Stock],_xlfn.ANCHORARRAY(B7),Ledger[Transaction Type],"Buy")-SUMIFS(Ledger[Units],Ledger[Stock],_xlfn.ANCHORARRAY(B7),Ledger[Transaction Type],"Sell")</f>
        <v>59.739999999999988</v>
      </c>
      <c r="E7" s="402" cm="1">
        <f t="array" aca="1" ref="E7:E22" ca="1">_FV(_xlfn.ANCHORARRAY(B7),"Price")</f>
        <v>607.87</v>
      </c>
      <c r="F7" s="406" cm="1">
        <f t="array" aca="1" ref="F7:F22" ca="1">_xlfn.ANCHORARRAY(D7)*_xlfn.ANCHORARRAY(E7)</f>
        <v>36314.153799999993</v>
      </c>
      <c r="G7" s="410" cm="1">
        <f t="array" aca="1" ref="G7:G22" ca="1">_xlfn.ANCHORARRAY(E7)-_FV(_xlfn.ANCHORARRAY(B7),"Previous close",TRUE)</f>
        <v>-22.759999999999991</v>
      </c>
      <c r="H7" s="472" cm="1">
        <f t="array" aca="1" ref="H7:H22" ca="1">_xlfn.ANCHORARRAY(G7)/(_xlfn.ANCHORARRAY(E7)-_xlfn.ANCHORARRAY(G7))</f>
        <v>-3.6090893233750365E-2</v>
      </c>
      <c r="I7" s="416" cm="1">
        <f t="array" aca="1" ref="I7:I22" ca="1">_xlfn.ANCHORARRAY(F7)-_xlfn.ANCHORARRAY(D7)*SUMIFS(Ledger[Transaction Amount],Ledger[Stock],_xlfn.ANCHORARRAY(B7),Ledger[Transaction Type],"Buy")/SUMIFS(Ledger[Units],Ledger[Stock],_xlfn.ANCHORARRAY(B7),Ledger[Transaction Type],"Buy")</f>
        <v>33106.866755781899</v>
      </c>
      <c r="J7" s="295"/>
      <c r="K7" s="386">
        <f t="shared" ref="K7:K22" ca="1" si="11">IF((F7-I7)=0,0,I7/(F7-I7))</f>
        <v>10.322389701746523</v>
      </c>
      <c r="L7" s="296">
        <f ca="1">F7/SUM(F7:F22)</f>
        <v>0.17183224596601931</v>
      </c>
      <c r="M7" s="302" t="str">
        <f ca="1">INDEX(Ledger[Ticker],MATCH(B7,Ledger[Stock],0))</f>
        <v>AMD</v>
      </c>
      <c r="N7" s="406">
        <f t="shared" ref="N7:N22" ca="1" si="12">F7-I7</f>
        <v>3207.2870442180938</v>
      </c>
      <c r="O7" s="402">
        <f t="shared" ref="O7:O22" ca="1" si="13">N7/D7</f>
        <v>53.687429598562012</v>
      </c>
      <c r="P7" s="358">
        <f t="shared" ref="P7:P22" ca="1" si="14">E7/O7</f>
        <v>11.322389701746523</v>
      </c>
      <c r="Q7" s="359" cm="1">
        <f t="array" aca="1" ref="Q7" ca="1">_xlfn.LET(_xlpm.m,Ledger[Stock]=B7,_xlpm.v,_xlfn.VSTACK(_xlfn._xlws.FILTER(IF(Ledger[Transaction Type]="Buy",-1,1)*Ledger[Transaction Amount],_xlpm.m),F7),_xlpm.d,_xlfn.VSTACK(_xlfn._xlws.FILTER(Ledger[Date],_xlpm.m),TODAY()),_xlpm.r,XIRR(_xlfn.SORTBY(_xlpm.v,_xlpm.d),_xlfn._xlws.SORT(_xlpm.d),IF(SUM(_xlpm.v)&lt;0,-0.1,0.1)),IF(ABS(_xlpm.r)&lt;0.0000001,NA(),_xlpm.r))</f>
        <v>0.55674188733100904</v>
      </c>
      <c r="R7" s="304" t="str">
        <f ca="1">IF(OR(K7&lt;0,Q7&lt;0,L7&gt;0.2),"HIGH",IF(OR(K7&lt;0.5,Q7&lt;0.05,L7&gt;0.15),"MEDIUM","LOW"))</f>
        <v>MEDIUM</v>
      </c>
      <c r="S7" s="357" t="str">
        <f ca="1">IF(AND(Q7&gt;0.1,K7&gt;1,P7&gt;1.5,R7="LOW"),"▲ STRONG",IF(OR(K7&lt;0,Q7&lt;0),"▼ REVIEW","▶ HOLD"))</f>
        <v>▶ HOLD</v>
      </c>
      <c r="T7" s="268"/>
      <c r="U7" s="350" t="str">
        <f t="shared" ca="1" si="0"/>
        <v>CVX</v>
      </c>
      <c r="V7" s="481">
        <f t="shared" ca="1" si="1"/>
        <v>0.59446216215240999</v>
      </c>
      <c r="W7" s="351">
        <f t="shared" ca="1" si="2"/>
        <v>1.7723599658547865E-2</v>
      </c>
      <c r="X7" s="481">
        <f t="shared" ca="1" si="3"/>
        <v>1396.4750883243246</v>
      </c>
      <c r="Y7" s="481">
        <f t="shared" ca="1" si="4"/>
        <v>7.7858725190162681E-2</v>
      </c>
      <c r="Z7" s="350" t="str">
        <f t="shared" ca="1" si="5"/>
        <v>CVX</v>
      </c>
      <c r="AA7" s="481">
        <f t="shared" ca="1" si="6"/>
        <v>1396.4750883243246</v>
      </c>
      <c r="AB7" s="481" t="str">
        <f t="shared" ca="1" si="7"/>
        <v>CVX</v>
      </c>
      <c r="AC7" s="351">
        <f t="shared" ca="1" si="8"/>
        <v>7.7858725190162681E-2</v>
      </c>
      <c r="AD7" s="350" t="str">
        <f t="shared" ca="1" si="9"/>
        <v>CVX</v>
      </c>
      <c r="AE7" s="351">
        <f t="shared" ca="1" si="10"/>
        <v>1.7723599658547865E-2</v>
      </c>
    </row>
    <row r="8" spans="1:31" x14ac:dyDescent="0.35">
      <c r="A8" s="268"/>
      <c r="B8" s="308" t="e" vm="2">
        <v>#VALUE!</v>
      </c>
      <c r="C8" s="309" t="str">
        <f ca="1"/>
        <v>Software &amp; IT Services</v>
      </c>
      <c r="D8" s="310">
        <v>33.26</v>
      </c>
      <c r="E8" s="403">
        <f ca="1"/>
        <v>339.16</v>
      </c>
      <c r="F8" s="407">
        <f ca="1"/>
        <v>11280.461600000001</v>
      </c>
      <c r="G8" s="411">
        <f ca="1"/>
        <v>-1.9199999999999591</v>
      </c>
      <c r="H8" s="473">
        <f ca="1"/>
        <v>-5.6291779054766016E-3</v>
      </c>
      <c r="I8" s="417">
        <f ca="1"/>
        <v>8141.9631355670108</v>
      </c>
      <c r="J8" s="311"/>
      <c r="K8" s="387">
        <f t="shared" ca="1" si="11"/>
        <v>2.594222437205481</v>
      </c>
      <c r="L8" s="312">
        <f ca="1">F8/SUM(F7:F22)</f>
        <v>5.3377178026421099E-2</v>
      </c>
      <c r="M8" s="313" t="str">
        <f ca="1">INDEX(Ledger[Ticker],MATCH(B8,Ledger[Stock],0))</f>
        <v>GOOG</v>
      </c>
      <c r="N8" s="407">
        <f t="shared" ca="1" si="12"/>
        <v>3138.4984644329897</v>
      </c>
      <c r="O8" s="403">
        <f t="shared" ca="1" si="13"/>
        <v>94.362551546391757</v>
      </c>
      <c r="P8" s="362">
        <f t="shared" ca="1" si="14"/>
        <v>3.594222437205481</v>
      </c>
      <c r="Q8" s="363" cm="1">
        <f t="array" aca="1" ref="Q8" ca="1">_xlfn.LET(_xlpm.m,Ledger[Stock]=B8,_xlpm.v,_xlfn.VSTACK(_xlfn._xlws.FILTER(IF(Ledger[Transaction Type]="Buy",-1,1)*Ledger[Transaction Amount],_xlpm.m),F8),_xlpm.d,_xlfn.VSTACK(_xlfn._xlws.FILTER(Ledger[Date],_xlpm.m),TODAY()),_xlpm.r,XIRR(_xlfn.SORTBY(_xlpm.v,_xlpm.d),_xlfn._xlws.SORT(_xlpm.d),IF(SUM(_xlpm.v)&lt;0,-0.1,0.1)),IF(ABS(_xlpm.r)&lt;0.0000001,NA(),_xlpm.r))</f>
        <v>0.30156798958778397</v>
      </c>
      <c r="R8" s="315" t="str">
        <f t="shared" ref="R8:R22" ca="1" si="15">IF(OR(K8&lt;0,Q8&lt;0,L8&gt;0.2),"HIGH",IF(OR(K8&lt;0.5,Q8&lt;0.05,L8&gt;0.15),"MEDIUM","LOW"))</f>
        <v>LOW</v>
      </c>
      <c r="S8" s="361" t="str">
        <f t="shared" ref="S8:S22" ca="1" si="16">IF(AND(Q8&gt;0.1,K8&gt;1,P8&gt;1.5,R8="LOW"),"▲ STRONG",IF(OR(K8&lt;0,Q8&lt;0),"▼ REVIEW","▶ HOLD"))</f>
        <v>▲ STRONG</v>
      </c>
      <c r="T8" s="268"/>
      <c r="U8" s="354" t="str">
        <f t="shared" ca="1" si="0"/>
        <v>C</v>
      </c>
      <c r="V8" s="483">
        <f t="shared" ca="1" si="1"/>
        <v>1.4028359885070314</v>
      </c>
      <c r="W8" s="355">
        <f t="shared" ca="1" si="2"/>
        <v>2.7357425477160534E-2</v>
      </c>
      <c r="X8" s="483">
        <f t="shared" ca="1" si="3"/>
        <v>3375.4311785078198</v>
      </c>
      <c r="Y8" s="483">
        <f t="shared" ca="1" si="4"/>
        <v>0.17262423634529114</v>
      </c>
      <c r="Z8" s="354" t="str">
        <f t="shared" ca="1" si="5"/>
        <v>C</v>
      </c>
      <c r="AA8" s="483">
        <f t="shared" ca="1" si="6"/>
        <v>3375.4311785078198</v>
      </c>
      <c r="AB8" s="483" t="str">
        <f t="shared" ca="1" si="7"/>
        <v>C</v>
      </c>
      <c r="AC8" s="355">
        <f t="shared" ca="1" si="8"/>
        <v>0.17262423634529114</v>
      </c>
      <c r="AD8" s="354" t="str">
        <f t="shared" ca="1" si="9"/>
        <v>C</v>
      </c>
      <c r="AE8" s="355">
        <f t="shared" ca="1" si="10"/>
        <v>2.7357425477160534E-2</v>
      </c>
    </row>
    <row r="9" spans="1:31" x14ac:dyDescent="0.35">
      <c r="A9" s="268"/>
      <c r="B9" s="316" t="e" vm="3">
        <v>#VALUE!</v>
      </c>
      <c r="C9" s="317" t="str">
        <f ca="1"/>
        <v>Diversified Retail</v>
      </c>
      <c r="D9" s="318">
        <v>20.970000000000002</v>
      </c>
      <c r="E9" s="404">
        <f ca="1"/>
        <v>246.15</v>
      </c>
      <c r="F9" s="408">
        <f ca="1"/>
        <v>5161.7655000000004</v>
      </c>
      <c r="G9" s="412">
        <f ca="1"/>
        <v>-3.5199999999999818</v>
      </c>
      <c r="H9" s="474">
        <f ca="1"/>
        <v>-1.4098610165418281E-2</v>
      </c>
      <c r="I9" s="418">
        <f ca="1"/>
        <v>2685.9500588075884</v>
      </c>
      <c r="J9" s="319"/>
      <c r="K9" s="388">
        <f t="shared" ca="1" si="11"/>
        <v>1.0848749119659624</v>
      </c>
      <c r="L9" s="320">
        <f ca="1">F9/SUM(F7:F22)</f>
        <v>2.4424574613519229E-2</v>
      </c>
      <c r="M9" s="321" t="str">
        <f ca="1">INDEX(Ledger[Ticker],MATCH(B9,Ledger[Stock],0))</f>
        <v>AMZN</v>
      </c>
      <c r="N9" s="408">
        <f t="shared" ca="1" si="12"/>
        <v>2475.815441192412</v>
      </c>
      <c r="O9" s="404">
        <f t="shared" ca="1" si="13"/>
        <v>118.06463715748268</v>
      </c>
      <c r="P9" s="366">
        <f t="shared" ca="1" si="14"/>
        <v>2.0848749119659624</v>
      </c>
      <c r="Q9" s="367" cm="1">
        <f t="array" aca="1" ref="Q9" ca="1">_xlfn.LET(_xlpm.m,Ledger[Stock]=B9,_xlpm.v,_xlfn.VSTACK(_xlfn._xlws.FILTER(IF(Ledger[Transaction Type]="Buy",-1,1)*Ledger[Transaction Amount],_xlpm.m),F9),_xlpm.d,_xlfn.VSTACK(_xlfn._xlws.FILTER(Ledger[Date],_xlpm.m),TODAY()),_xlpm.r,XIRR(_xlfn.SORTBY(_xlpm.v,_xlpm.d),_xlfn._xlws.SORT(_xlpm.d),IF(SUM(_xlpm.v)&lt;0,-0.1,0.1)),IF(ABS(_xlpm.r)&lt;0.0000001,NA(),_xlpm.r))</f>
        <v>0.19556204676628111</v>
      </c>
      <c r="R9" s="323" t="str">
        <f t="shared" ca="1" si="15"/>
        <v>LOW</v>
      </c>
      <c r="S9" s="365" t="str">
        <f t="shared" ca="1" si="16"/>
        <v>▲ STRONG</v>
      </c>
      <c r="T9" s="268"/>
      <c r="U9" s="350" t="str">
        <f t="shared" ca="1" si="0"/>
        <v>F</v>
      </c>
      <c r="V9" s="481">
        <f t="shared" ca="1" si="1"/>
        <v>0.18513049791802064</v>
      </c>
      <c r="W9" s="351">
        <f t="shared" ca="1" si="2"/>
        <v>1.0201707361857361E-2</v>
      </c>
      <c r="X9" s="481">
        <f t="shared" ca="1" si="3"/>
        <v>336.78746451212328</v>
      </c>
      <c r="Y9" s="481">
        <f t="shared" ca="1" si="4"/>
        <v>3.2022061944007862E-2</v>
      </c>
      <c r="Z9" s="350" t="str">
        <f t="shared" ca="1" si="5"/>
        <v>F</v>
      </c>
      <c r="AA9" s="481">
        <f t="shared" ca="1" si="6"/>
        <v>336.78746451212328</v>
      </c>
      <c r="AB9" s="481" t="str">
        <f t="shared" ca="1" si="7"/>
        <v>F</v>
      </c>
      <c r="AC9" s="351">
        <f t="shared" ca="1" si="8"/>
        <v>3.2022061944007862E-2</v>
      </c>
      <c r="AD9" s="350" t="str">
        <f t="shared" ca="1" si="9"/>
        <v>F</v>
      </c>
      <c r="AE9" s="351">
        <f t="shared" ca="1" si="10"/>
        <v>1.0201707361857361E-2</v>
      </c>
    </row>
    <row r="10" spans="1:31" x14ac:dyDescent="0.35">
      <c r="A10" s="268"/>
      <c r="B10" s="308" t="e" vm="4">
        <v>#VALUE!</v>
      </c>
      <c r="C10" s="309" t="str">
        <f ca="1"/>
        <v>Computers, Phones &amp; Household Electronics</v>
      </c>
      <c r="D10" s="310">
        <v>29.48</v>
      </c>
      <c r="E10" s="403">
        <f ca="1"/>
        <v>338.4</v>
      </c>
      <c r="F10" s="407">
        <f ca="1"/>
        <v>9976.0319999999992</v>
      </c>
      <c r="G10" s="413">
        <f ca="1"/>
        <v>-2.6700000000000159</v>
      </c>
      <c r="H10" s="475">
        <f ca="1"/>
        <v>-7.8283050400211572E-3</v>
      </c>
      <c r="I10" s="417">
        <f ca="1"/>
        <v>6848.5957396825388</v>
      </c>
      <c r="J10" s="311"/>
      <c r="K10" s="387">
        <f t="shared" ca="1" si="11"/>
        <v>2.1898434275323488</v>
      </c>
      <c r="L10" s="312">
        <f ca="1">F10/SUM(F7:F22)</f>
        <v>4.7204844530588506E-2</v>
      </c>
      <c r="M10" s="313" t="str">
        <f ca="1">INDEX(Ledger[Ticker],MATCH(B10,Ledger[Stock],0))</f>
        <v>AAPL</v>
      </c>
      <c r="N10" s="407">
        <f t="shared" ca="1" si="12"/>
        <v>3127.4362603174604</v>
      </c>
      <c r="O10" s="403">
        <f t="shared" ca="1" si="13"/>
        <v>106.08671167969676</v>
      </c>
      <c r="P10" s="362">
        <f t="shared" ca="1" si="14"/>
        <v>3.1898434275323488</v>
      </c>
      <c r="Q10" s="363" cm="1">
        <f t="array" aca="1" ref="Q10" ca="1">_xlfn.LET(_xlpm.m,Ledger[Stock]=B10,_xlpm.v,_xlfn.VSTACK(_xlfn._xlws.FILTER(IF(Ledger[Transaction Type]="Buy",-1,1)*Ledger[Transaction Amount],_xlpm.m),F10),_xlpm.d,_xlfn.VSTACK(_xlfn._xlws.FILTER(Ledger[Date],_xlpm.m),TODAY()),_xlpm.r,XIRR(_xlfn.SORTBY(_xlpm.v,_xlpm.d),_xlfn._xlws.SORT(_xlpm.d),IF(SUM(_xlpm.v)&lt;0,-0.1,0.1)),IF(ABS(_xlpm.r)&lt;0.0000001,NA(),_xlpm.r))</f>
        <v>0.28999215960502633</v>
      </c>
      <c r="R10" s="315" t="str">
        <f t="shared" ca="1" si="15"/>
        <v>LOW</v>
      </c>
      <c r="S10" s="369" t="str">
        <f t="shared" ca="1" si="16"/>
        <v>▲ STRONG</v>
      </c>
      <c r="T10" s="268"/>
      <c r="U10" s="352" t="str">
        <f t="shared" ca="1" si="0"/>
        <v>HMC</v>
      </c>
      <c r="V10" s="482">
        <f t="shared" ca="1" si="1"/>
        <v>0.15869699264785217</v>
      </c>
      <c r="W10" s="353">
        <f t="shared" ca="1" si="2"/>
        <v>7.5684733351763459E-3</v>
      </c>
      <c r="X10" s="482">
        <f t="shared" ca="1" si="3"/>
        <v>219.06770785881463</v>
      </c>
      <c r="Y10" s="482">
        <f t="shared" ca="1" si="4"/>
        <v>7.2583466768264783E-3</v>
      </c>
      <c r="Z10" s="352" t="str">
        <f t="shared" ca="1" si="5"/>
        <v>HMC</v>
      </c>
      <c r="AA10" s="482">
        <f t="shared" ca="1" si="6"/>
        <v>219.06770785881463</v>
      </c>
      <c r="AB10" s="482" t="str">
        <f t="shared" ca="1" si="7"/>
        <v>HMC</v>
      </c>
      <c r="AC10" s="353">
        <f t="shared" ca="1" si="8"/>
        <v>7.2583466768264783E-3</v>
      </c>
      <c r="AD10" s="352" t="str">
        <f t="shared" ca="1" si="9"/>
        <v>HMC</v>
      </c>
      <c r="AE10" s="353">
        <f t="shared" ca="1" si="10"/>
        <v>7.5684733351763459E-3</v>
      </c>
    </row>
    <row r="11" spans="1:31" ht="15" thickBot="1" x14ac:dyDescent="0.4">
      <c r="A11" s="268"/>
      <c r="B11" s="316" t="e" vm="5">
        <v>#VALUE!</v>
      </c>
      <c r="C11" s="317" t="str">
        <f ca="1"/>
        <v>Investment Banking &amp; Investment Services</v>
      </c>
      <c r="D11" s="318">
        <v>4.6099999999999994</v>
      </c>
      <c r="E11" s="404">
        <f ca="1"/>
        <v>1071.25</v>
      </c>
      <c r="F11" s="408">
        <f ca="1"/>
        <v>4938.4624999999996</v>
      </c>
      <c r="G11" s="414">
        <f ca="1"/>
        <v>-15.059999999999945</v>
      </c>
      <c r="H11" s="476">
        <f ca="1"/>
        <v>-1.3863445977667466E-2</v>
      </c>
      <c r="I11" s="418">
        <f ca="1"/>
        <v>1938.2078603960399</v>
      </c>
      <c r="J11" s="319"/>
      <c r="K11" s="388">
        <f t="shared" ca="1" si="11"/>
        <v>0.64601445317717687</v>
      </c>
      <c r="L11" s="320">
        <f ca="1">F11/SUM(F7:F22)</f>
        <v>2.3367943740822145E-2</v>
      </c>
      <c r="M11" s="321" t="str">
        <f ca="1">INDEX(Ledger[Ticker],MATCH(B11,Ledger[Stock],0))</f>
        <v>BLK</v>
      </c>
      <c r="N11" s="408">
        <f t="shared" ca="1" si="12"/>
        <v>3000.2546396039597</v>
      </c>
      <c r="O11" s="404">
        <f t="shared" ca="1" si="13"/>
        <v>650.81445544554447</v>
      </c>
      <c r="P11" s="366">
        <f t="shared" ca="1" si="14"/>
        <v>1.6460144531771768</v>
      </c>
      <c r="Q11" s="367" cm="1">
        <f t="array" aca="1" ref="Q11" ca="1">_xlfn.LET(_xlpm.m,Ledger[Stock]=B11,_xlpm.v,_xlfn.VSTACK(_xlfn._xlws.FILTER(IF(Ledger[Transaction Type]="Buy",-1,1)*Ledger[Transaction Amount],_xlpm.m),F11),_xlpm.d,_xlfn.VSTACK(_xlfn._xlws.FILTER(Ledger[Date],_xlpm.m),TODAY()),_xlpm.r,XIRR(_xlfn.SORTBY(_xlpm.v,_xlpm.d),_xlfn._xlws.SORT(_xlpm.d),IF(SUM(_xlpm.v)&lt;0,-0.1,0.1)),IF(ABS(_xlpm.r)&lt;0.0000001,NA(),_xlpm.r))</f>
        <v>0.13977040648460387</v>
      </c>
      <c r="R11" s="323" t="str">
        <f t="shared" ca="1" si="15"/>
        <v>LOW</v>
      </c>
      <c r="S11" s="365" t="str">
        <f t="shared" ca="1" si="16"/>
        <v>▶ HOLD</v>
      </c>
      <c r="T11" s="268"/>
      <c r="U11" s="344" t="str">
        <f t="shared" ca="1" si="0"/>
        <v>JPM</v>
      </c>
      <c r="V11" s="479">
        <f t="shared" ca="1" si="1"/>
        <v>1.3670008016958448</v>
      </c>
      <c r="W11" s="345">
        <f t="shared" ca="1" si="2"/>
        <v>3.7459956138407996E-2</v>
      </c>
      <c r="X11" s="479">
        <f t="shared" ca="1" si="3"/>
        <v>4572.0280975609776</v>
      </c>
      <c r="Y11" s="479">
        <f t="shared" ca="1" si="4"/>
        <v>0.20443895459175115</v>
      </c>
      <c r="Z11" s="344" t="str">
        <f t="shared" ca="1" si="5"/>
        <v>JPM</v>
      </c>
      <c r="AA11" s="479">
        <f t="shared" ca="1" si="6"/>
        <v>4572.0280975609776</v>
      </c>
      <c r="AB11" s="479" t="str">
        <f t="shared" ca="1" si="7"/>
        <v>JPM</v>
      </c>
      <c r="AC11" s="345">
        <f t="shared" ca="1" si="8"/>
        <v>0.20443895459175115</v>
      </c>
      <c r="AD11" s="344" t="str">
        <f t="shared" ca="1" si="9"/>
        <v>JPM</v>
      </c>
      <c r="AE11" s="345">
        <f t="shared" ca="1" si="10"/>
        <v>3.7459956138407996E-2</v>
      </c>
    </row>
    <row r="12" spans="1:31" x14ac:dyDescent="0.35">
      <c r="A12" s="268"/>
      <c r="B12" s="308" t="e" vm="6">
        <v>#VALUE!</v>
      </c>
      <c r="C12" s="309" t="str">
        <f ca="1"/>
        <v>Oil &amp; Gas</v>
      </c>
      <c r="D12" s="310">
        <v>18.150000000000002</v>
      </c>
      <c r="E12" s="403">
        <f ca="1"/>
        <v>206.37</v>
      </c>
      <c r="F12" s="407">
        <f ca="1"/>
        <v>3745.6155000000003</v>
      </c>
      <c r="G12" s="413">
        <f ca="1"/>
        <v>1.9200000000000159</v>
      </c>
      <c r="H12" s="475">
        <f ca="1"/>
        <v>9.3910491562730052E-3</v>
      </c>
      <c r="I12" s="417">
        <f ca="1"/>
        <v>1396.4750883243246</v>
      </c>
      <c r="J12" s="311"/>
      <c r="K12" s="387">
        <f t="shared" ca="1" si="11"/>
        <v>0.59446216215240999</v>
      </c>
      <c r="L12" s="312">
        <f ca="1">F12/SUM(F7:F22)</f>
        <v>1.7723599658547865E-2</v>
      </c>
      <c r="M12" s="313" t="str">
        <f ca="1">INDEX(Ledger[Ticker],MATCH(B12,Ledger[Stock],0))</f>
        <v>CVX</v>
      </c>
      <c r="N12" s="407">
        <f t="shared" ca="1" si="12"/>
        <v>2349.1404116756758</v>
      </c>
      <c r="O12" s="403">
        <f t="shared" ca="1" si="13"/>
        <v>129.42922378378378</v>
      </c>
      <c r="P12" s="362">
        <f t="shared" ca="1" si="14"/>
        <v>1.59446216215241</v>
      </c>
      <c r="Q12" s="363" cm="1">
        <f t="array" aca="1" ref="Q12" ca="1">_xlfn.LET(_xlpm.m,Ledger[Stock]=B12,_xlpm.v,_xlfn.VSTACK(_xlfn._xlws.FILTER(IF(Ledger[Transaction Type]="Buy",-1,1)*Ledger[Transaction Amount],_xlpm.m),F12),_xlpm.d,_xlfn.VSTACK(_xlfn._xlws.FILTER(Ledger[Date],_xlpm.m),TODAY()),_xlpm.r,XIRR(_xlfn.SORTBY(_xlpm.v,_xlpm.d),_xlfn._xlws.SORT(_xlpm.d),IF(SUM(_xlpm.v)&lt;0,-0.1,0.1)),IF(ABS(_xlpm.r)&lt;0.0000001,NA(),_xlpm.r))</f>
        <v>7.7858725190162681E-2</v>
      </c>
      <c r="R12" s="315" t="str">
        <f t="shared" ca="1" si="15"/>
        <v>LOW</v>
      </c>
      <c r="S12" s="369" t="str">
        <f t="shared" ca="1" si="16"/>
        <v>▶ HOLD</v>
      </c>
      <c r="T12" s="268"/>
      <c r="U12" s="346" t="str">
        <f t="shared" ca="1" si="0"/>
        <v>META</v>
      </c>
      <c r="V12" s="480">
        <f t="shared" ca="1" si="1"/>
        <v>2.1443626423053246</v>
      </c>
      <c r="W12" s="347">
        <f t="shared" ca="1" si="2"/>
        <v>5.3400202143877508E-2</v>
      </c>
      <c r="X12" s="480">
        <f t="shared" ca="1" si="3"/>
        <v>7696.2606530022567</v>
      </c>
      <c r="Y12" s="480">
        <f t="shared" ca="1" si="4"/>
        <v>0.2907351553440094</v>
      </c>
      <c r="Z12" s="346" t="str">
        <f t="shared" ca="1" si="5"/>
        <v>META</v>
      </c>
      <c r="AA12" s="480">
        <f t="shared" ca="1" si="6"/>
        <v>7696.2606530022567</v>
      </c>
      <c r="AB12" s="480" t="str">
        <f t="shared" ca="1" si="7"/>
        <v>META</v>
      </c>
      <c r="AC12" s="347">
        <f t="shared" ca="1" si="8"/>
        <v>0.2907351553440094</v>
      </c>
      <c r="AD12" s="346" t="str">
        <f t="shared" ca="1" si="9"/>
        <v>META</v>
      </c>
      <c r="AE12" s="347">
        <f t="shared" ca="1" si="10"/>
        <v>5.3400202143877508E-2</v>
      </c>
    </row>
    <row r="13" spans="1:31" x14ac:dyDescent="0.35">
      <c r="A13" s="268"/>
      <c r="B13" s="316" t="e" vm="7">
        <v>#VALUE!</v>
      </c>
      <c r="C13" s="317" t="str">
        <f ca="1"/>
        <v>Investment Banking &amp; Investment Services</v>
      </c>
      <c r="D13" s="318">
        <v>44.03</v>
      </c>
      <c r="E13" s="404">
        <f ca="1"/>
        <v>131.31</v>
      </c>
      <c r="F13" s="408">
        <f ca="1"/>
        <v>5781.5793000000003</v>
      </c>
      <c r="G13" s="412">
        <f ca="1"/>
        <v>-2.9699999999999989</v>
      </c>
      <c r="H13" s="474">
        <f ca="1"/>
        <v>-2.2117962466487926E-2</v>
      </c>
      <c r="I13" s="418">
        <f ca="1"/>
        <v>3375.4311785078198</v>
      </c>
      <c r="J13" s="319"/>
      <c r="K13" s="388">
        <f t="shared" ca="1" si="11"/>
        <v>1.4028359885070314</v>
      </c>
      <c r="L13" s="320">
        <f ca="1">F13/SUM(F7:F22)</f>
        <v>2.7357425477160534E-2</v>
      </c>
      <c r="M13" s="321" t="str">
        <f ca="1">INDEX(Ledger[Ticker],MATCH(B13,Ledger[Stock],0))</f>
        <v>C</v>
      </c>
      <c r="N13" s="408">
        <f t="shared" ca="1" si="12"/>
        <v>2406.1481214921805</v>
      </c>
      <c r="O13" s="404">
        <f t="shared" ca="1" si="13"/>
        <v>54.64792463075586</v>
      </c>
      <c r="P13" s="366">
        <f t="shared" ca="1" si="14"/>
        <v>2.4028359885070314</v>
      </c>
      <c r="Q13" s="367" cm="1">
        <f t="array" aca="1" ref="Q13" ca="1">_xlfn.LET(_xlpm.m,Ledger[Stock]=B13,_xlpm.v,_xlfn.VSTACK(_xlfn._xlws.FILTER(IF(Ledger[Transaction Type]="Buy",-1,1)*Ledger[Transaction Amount],_xlpm.m),F13),_xlpm.d,_xlfn.VSTACK(_xlfn._xlws.FILTER(Ledger[Date],_xlpm.m),TODAY()),_xlpm.r,XIRR(_xlfn.SORTBY(_xlpm.v,_xlpm.d),_xlfn._xlws.SORT(_xlpm.d),IF(SUM(_xlpm.v)&lt;0,-0.1,0.1)),IF(ABS(_xlpm.r)&lt;0.0000001,NA(),_xlpm.r))</f>
        <v>0.17262423634529114</v>
      </c>
      <c r="R13" s="323" t="str">
        <f t="shared" ca="1" si="15"/>
        <v>LOW</v>
      </c>
      <c r="S13" s="365" t="str">
        <f t="shared" ca="1" si="16"/>
        <v>▲ STRONG</v>
      </c>
      <c r="T13" s="268"/>
      <c r="U13" s="350" t="str">
        <f t="shared" ca="1" si="0"/>
        <v>NVDA</v>
      </c>
      <c r="V13" s="481">
        <f t="shared" ca="1" si="1"/>
        <v>18.77793424350422</v>
      </c>
      <c r="W13" s="351">
        <f t="shared" ca="1" si="2"/>
        <v>0.45087608524794898</v>
      </c>
      <c r="X13" s="481">
        <f t="shared" ca="1" si="3"/>
        <v>90468.074681831044</v>
      </c>
      <c r="Y13" s="481">
        <f t="shared" ca="1" si="4"/>
        <v>0.74484885931015032</v>
      </c>
      <c r="Z13" s="350" t="str">
        <f t="shared" ca="1" si="5"/>
        <v>NVDA</v>
      </c>
      <c r="AA13" s="481">
        <f t="shared" ca="1" si="6"/>
        <v>90468.074681831044</v>
      </c>
      <c r="AB13" s="481" t="str">
        <f t="shared" ca="1" si="7"/>
        <v>NVDA</v>
      </c>
      <c r="AC13" s="351">
        <f t="shared" ca="1" si="8"/>
        <v>0.74484885931015032</v>
      </c>
      <c r="AD13" s="350" t="str">
        <f t="shared" ca="1" si="9"/>
        <v>NVDA</v>
      </c>
      <c r="AE13" s="351">
        <f t="shared" ca="1" si="10"/>
        <v>0.45087608524794898</v>
      </c>
    </row>
    <row r="14" spans="1:31" x14ac:dyDescent="0.35">
      <c r="A14" s="268"/>
      <c r="B14" s="308" t="e" vm="8">
        <v>#VALUE!</v>
      </c>
      <c r="C14" s="309" t="str">
        <f ca="1"/>
        <v>Automobiles &amp; Auto Parts</v>
      </c>
      <c r="D14" s="310">
        <v>174.14999999999998</v>
      </c>
      <c r="E14" s="403">
        <f ca="1"/>
        <v>12.38</v>
      </c>
      <c r="F14" s="407">
        <f ca="1"/>
        <v>2155.9769999999999</v>
      </c>
      <c r="G14" s="411">
        <f ca="1"/>
        <v>-0.33000000000000007</v>
      </c>
      <c r="H14" s="473">
        <f ca="1"/>
        <v>-2.5963808025177029E-2</v>
      </c>
      <c r="I14" s="417">
        <f ca="1"/>
        <v>336.78746451212328</v>
      </c>
      <c r="J14" s="311"/>
      <c r="K14" s="387">
        <f t="shared" ca="1" si="11"/>
        <v>0.18513049791802064</v>
      </c>
      <c r="L14" s="312">
        <f ca="1">F14/SUM(F7:F22)</f>
        <v>1.0201707361857361E-2</v>
      </c>
      <c r="M14" s="313" t="str">
        <f ca="1">INDEX(Ledger[Ticker],MATCH(B14,Ledger[Stock],0))</f>
        <v>F</v>
      </c>
      <c r="N14" s="407">
        <f t="shared" ca="1" si="12"/>
        <v>1819.1895354878766</v>
      </c>
      <c r="O14" s="403">
        <f t="shared" ca="1" si="13"/>
        <v>10.446107008256542</v>
      </c>
      <c r="P14" s="362">
        <f t="shared" ca="1" si="14"/>
        <v>1.1851304979180206</v>
      </c>
      <c r="Q14" s="363" cm="1">
        <f t="array" aca="1" ref="Q14" ca="1">_xlfn.LET(_xlpm.m,Ledger[Stock]=B14,_xlpm.v,_xlfn.VSTACK(_xlfn._xlws.FILTER(IF(Ledger[Transaction Type]="Buy",-1,1)*Ledger[Transaction Amount],_xlpm.m),F14),_xlpm.d,_xlfn.VSTACK(_xlfn._xlws.FILTER(Ledger[Date],_xlpm.m),TODAY()),_xlpm.r,XIRR(_xlfn.SORTBY(_xlpm.v,_xlpm.d),_xlfn._xlws.SORT(_xlpm.d),IF(SUM(_xlpm.v)&lt;0,-0.1,0.1)),IF(ABS(_xlpm.r)&lt;0.0000001,NA(),_xlpm.r))</f>
        <v>3.2022061944007862E-2</v>
      </c>
      <c r="R14" s="315" t="str">
        <f t="shared" ca="1" si="15"/>
        <v>MEDIUM</v>
      </c>
      <c r="S14" s="369" t="str">
        <f t="shared" ca="1" si="16"/>
        <v>▶ HOLD</v>
      </c>
      <c r="T14" s="268"/>
      <c r="U14" s="352" t="str">
        <f t="shared" ca="1" si="0"/>
        <v>0R2N</v>
      </c>
      <c r="V14" s="482">
        <f t="shared" ca="1" si="1"/>
        <v>1.0248368847996976</v>
      </c>
      <c r="W14" s="353">
        <f t="shared" ca="1" si="2"/>
        <v>2.0764038042968173E-2</v>
      </c>
      <c r="X14" s="482">
        <f t="shared" ca="1" si="3"/>
        <v>2220.9960291788575</v>
      </c>
      <c r="Y14" s="482">
        <f t="shared" ca="1" si="4"/>
        <v>0.13563055396080018</v>
      </c>
      <c r="Z14" s="352" t="str">
        <f t="shared" ca="1" si="5"/>
        <v>0R2N</v>
      </c>
      <c r="AA14" s="482">
        <f t="shared" ca="1" si="6"/>
        <v>2220.9960291788575</v>
      </c>
      <c r="AB14" s="482" t="str">
        <f t="shared" ca="1" si="7"/>
        <v>0R2N</v>
      </c>
      <c r="AC14" s="353">
        <f t="shared" ca="1" si="8"/>
        <v>0.13563055396080018</v>
      </c>
      <c r="AD14" s="352" t="str">
        <f t="shared" ca="1" si="9"/>
        <v>0R2N</v>
      </c>
      <c r="AE14" s="353">
        <f t="shared" ca="1" si="10"/>
        <v>2.0764038042968173E-2</v>
      </c>
    </row>
    <row r="15" spans="1:31" ht="15" thickBot="1" x14ac:dyDescent="0.4">
      <c r="A15" s="268"/>
      <c r="B15" s="316" t="e" vm="9">
        <v>#VALUE!</v>
      </c>
      <c r="C15" s="317" t="str">
        <f ca="1"/>
        <v>Automobiles &amp; Auto Parts</v>
      </c>
      <c r="D15" s="318">
        <v>49.230000000000004</v>
      </c>
      <c r="E15" s="404">
        <f ca="1"/>
        <v>32.49</v>
      </c>
      <c r="F15" s="408">
        <f ca="1"/>
        <v>1599.4827000000002</v>
      </c>
      <c r="G15" s="412">
        <f ca="1"/>
        <v>-0.43999999999999773</v>
      </c>
      <c r="H15" s="474">
        <f ca="1"/>
        <v>-1.3361676283024529E-2</v>
      </c>
      <c r="I15" s="419">
        <f ca="1"/>
        <v>219.06770785881463</v>
      </c>
      <c r="J15" s="319"/>
      <c r="K15" s="389">
        <f t="shared" ca="1" si="11"/>
        <v>0.15869699264785217</v>
      </c>
      <c r="L15" s="320">
        <f ca="1">F15/SUM(F7:F22)</f>
        <v>7.5684733351763459E-3</v>
      </c>
      <c r="M15" s="321" t="str">
        <f ca="1">INDEX(Ledger[Ticker],MATCH(B15,Ledger[Stock],0))</f>
        <v>HMC</v>
      </c>
      <c r="N15" s="408">
        <f t="shared" ca="1" si="12"/>
        <v>1380.4149921411856</v>
      </c>
      <c r="O15" s="404">
        <f t="shared" ca="1" si="13"/>
        <v>28.040117654706187</v>
      </c>
      <c r="P15" s="397">
        <f t="shared" ca="1" si="14"/>
        <v>1.1586969926478521</v>
      </c>
      <c r="Q15" s="372" cm="1">
        <f t="array" aca="1" ref="Q15" ca="1">_xlfn.LET(_xlpm.m,Ledger[Stock]=B15,_xlpm.v,_xlfn.VSTACK(_xlfn._xlws.FILTER(IF(Ledger[Transaction Type]="Buy",-1,1)*Ledger[Transaction Amount],_xlpm.m),F15),_xlpm.d,_xlfn.VSTACK(_xlfn._xlws.FILTER(Ledger[Date],_xlpm.m),TODAY()),_xlpm.r,XIRR(_xlfn.SORTBY(_xlpm.v,_xlpm.d),_xlfn._xlws.SORT(_xlpm.d),IF(SUM(_xlpm.v)&lt;0,-0.1,0.1)),IF(ABS(_xlpm.r)&lt;0.0000001,NA(),_xlpm.r))</f>
        <v>7.2583466768264783E-3</v>
      </c>
      <c r="R15" s="323" t="str">
        <f t="shared" ca="1" si="15"/>
        <v>MEDIUM</v>
      </c>
      <c r="S15" s="371" t="str">
        <f t="shared" ca="1" si="16"/>
        <v>▶ HOLD</v>
      </c>
      <c r="T15" s="268"/>
      <c r="U15" s="344" t="str">
        <f t="shared" ca="1" si="0"/>
        <v>BA</v>
      </c>
      <c r="V15" s="479">
        <f t="shared" ca="1" si="1"/>
        <v>-0.2614727584801092</v>
      </c>
      <c r="W15" s="345">
        <f t="shared" ca="1" si="2"/>
        <v>2.2248784157506544E-3</v>
      </c>
      <c r="X15" s="479">
        <f t="shared" ca="1" si="3"/>
        <v>-166.47057281754269</v>
      </c>
      <c r="Y15" s="479">
        <f t="shared" ca="1" si="4"/>
        <v>-0.13631248408928515</v>
      </c>
      <c r="Z15" s="344" t="str">
        <f t="shared" ca="1" si="5"/>
        <v>BA</v>
      </c>
      <c r="AA15" s="479">
        <f t="shared" ca="1" si="6"/>
        <v>-166.47057281754269</v>
      </c>
      <c r="AB15" s="479" t="str">
        <f t="shared" ca="1" si="7"/>
        <v>BA</v>
      </c>
      <c r="AC15" s="345">
        <f t="shared" ca="1" si="8"/>
        <v>-0.13631248408928515</v>
      </c>
      <c r="AD15" s="344" t="str">
        <f t="shared" ca="1" si="9"/>
        <v>BA</v>
      </c>
      <c r="AE15" s="345">
        <f t="shared" ca="1" si="10"/>
        <v>2.2248784157506544E-3</v>
      </c>
    </row>
    <row r="16" spans="1:31" x14ac:dyDescent="0.35">
      <c r="A16" s="268"/>
      <c r="B16" s="308" t="e" vm="10">
        <v>#VALUE!</v>
      </c>
      <c r="C16" s="309" t="str">
        <f ca="1"/>
        <v>Banking Services</v>
      </c>
      <c r="D16" s="310">
        <v>23.520000000000007</v>
      </c>
      <c r="E16" s="403">
        <f ca="1"/>
        <v>336.59</v>
      </c>
      <c r="F16" s="407">
        <f ca="1"/>
        <v>7916.5968000000021</v>
      </c>
      <c r="G16" s="411">
        <f ca="1"/>
        <v>-6.4700000000000273</v>
      </c>
      <c r="H16" s="473">
        <f ca="1"/>
        <v>-1.88596746924737E-2</v>
      </c>
      <c r="I16" s="417">
        <f ca="1"/>
        <v>4572.0280975609776</v>
      </c>
      <c r="J16" s="311"/>
      <c r="K16" s="387">
        <f t="shared" ca="1" si="11"/>
        <v>1.3670008016958448</v>
      </c>
      <c r="L16" s="312">
        <f ca="1">F16/SUM(F7:F22)</f>
        <v>3.7459956138407996E-2</v>
      </c>
      <c r="M16" s="313" t="str">
        <f ca="1">INDEX(Ledger[Ticker],MATCH(B16,Ledger[Stock],0))</f>
        <v>JPM</v>
      </c>
      <c r="N16" s="407">
        <f t="shared" ca="1" si="12"/>
        <v>3344.5687024390245</v>
      </c>
      <c r="O16" s="403">
        <f t="shared" ca="1" si="13"/>
        <v>142.201050273768</v>
      </c>
      <c r="P16" s="362">
        <f t="shared" ca="1" si="14"/>
        <v>2.3670008016958448</v>
      </c>
      <c r="Q16" s="363" cm="1">
        <f t="array" aca="1" ref="Q16" ca="1">_xlfn.LET(_xlpm.m,Ledger[Stock]=B16,_xlpm.v,_xlfn.VSTACK(_xlfn._xlws.FILTER(IF(Ledger[Transaction Type]="Buy",-1,1)*Ledger[Transaction Amount],_xlpm.m),F16),_xlpm.d,_xlfn.VSTACK(_xlfn._xlws.FILTER(Ledger[Date],_xlpm.m),TODAY()),_xlpm.r,XIRR(_xlfn.SORTBY(_xlpm.v,_xlpm.d),_xlfn._xlws.SORT(_xlpm.d),IF(SUM(_xlpm.v)&lt;0,-0.1,0.1)),IF(ABS(_xlpm.r)&lt;0.0000001,NA(),_xlpm.r))</f>
        <v>0.20443895459175115</v>
      </c>
      <c r="R16" s="315" t="str">
        <f t="shared" ca="1" si="15"/>
        <v>LOW</v>
      </c>
      <c r="S16" s="369" t="str">
        <f t="shared" ca="1" si="16"/>
        <v>▲ STRONG</v>
      </c>
      <c r="T16" s="268"/>
      <c r="U16" s="346" t="str">
        <f t="shared" ca="1" si="0"/>
        <v>TM</v>
      </c>
      <c r="V16" s="480">
        <f t="shared" ca="1" si="1"/>
        <v>0.22035737480809336</v>
      </c>
      <c r="W16" s="347">
        <f t="shared" ca="1" si="2"/>
        <v>1.0059421363272472E-2</v>
      </c>
      <c r="X16" s="480">
        <f t="shared" ca="1" si="3"/>
        <v>383.87057371601213</v>
      </c>
      <c r="Y16" s="480">
        <f t="shared" ca="1" si="4"/>
        <v>5.1768842339515689E-2</v>
      </c>
      <c r="Z16" s="346" t="str">
        <f t="shared" ca="1" si="5"/>
        <v>TM</v>
      </c>
      <c r="AA16" s="480">
        <f t="shared" ca="1" si="6"/>
        <v>383.87057371601213</v>
      </c>
      <c r="AB16" s="480" t="str">
        <f t="shared" ca="1" si="7"/>
        <v>TM</v>
      </c>
      <c r="AC16" s="347">
        <f t="shared" ca="1" si="8"/>
        <v>5.1768842339515689E-2</v>
      </c>
      <c r="AD16" s="346" t="str">
        <f t="shared" ca="1" si="9"/>
        <v>TM</v>
      </c>
      <c r="AE16" s="347">
        <f t="shared" ca="1" si="10"/>
        <v>1.0059421363272472E-2</v>
      </c>
    </row>
    <row r="17" spans="1:31" x14ac:dyDescent="0.35">
      <c r="A17" s="268"/>
      <c r="B17" s="316" t="e" vm="11">
        <v>#VALUE!</v>
      </c>
      <c r="C17" s="317" t="str">
        <f ca="1"/>
        <v>Software &amp; IT Services</v>
      </c>
      <c r="D17" s="318">
        <v>15.77</v>
      </c>
      <c r="E17" s="404">
        <f ca="1"/>
        <v>715.62</v>
      </c>
      <c r="F17" s="408">
        <f ca="1"/>
        <v>11285.3274</v>
      </c>
      <c r="G17" s="412">
        <f ca="1"/>
        <v>-36.039999999999964</v>
      </c>
      <c r="H17" s="474">
        <f ca="1"/>
        <v>-4.7947210174813036E-2</v>
      </c>
      <c r="I17" s="418">
        <f ca="1"/>
        <v>7696.2606530022567</v>
      </c>
      <c r="J17" s="319"/>
      <c r="K17" s="388">
        <f t="shared" ca="1" si="11"/>
        <v>2.1443626423053246</v>
      </c>
      <c r="L17" s="320">
        <f ca="1">F17/SUM(F7:F22)</f>
        <v>5.3400202143877508E-2</v>
      </c>
      <c r="M17" s="321" t="str">
        <f ca="1">INDEX(Ledger[Ticker],MATCH(B17,Ledger[Stock],0))</f>
        <v>META</v>
      </c>
      <c r="N17" s="408">
        <f t="shared" ca="1" si="12"/>
        <v>3589.0667469977434</v>
      </c>
      <c r="O17" s="404">
        <f t="shared" ca="1" si="13"/>
        <v>227.58825282167049</v>
      </c>
      <c r="P17" s="366">
        <f t="shared" ca="1" si="14"/>
        <v>3.1443626423053241</v>
      </c>
      <c r="Q17" s="367" cm="1">
        <f t="array" aca="1" ref="Q17" ca="1">_xlfn.LET(_xlpm.m,Ledger[Stock]=B17,_xlpm.v,_xlfn.VSTACK(_xlfn._xlws.FILTER(IF(Ledger[Transaction Type]="Buy",-1,1)*Ledger[Transaction Amount],_xlpm.m),F17),_xlpm.d,_xlfn.VSTACK(_xlfn._xlws.FILTER(Ledger[Date],_xlpm.m),TODAY()),_xlpm.r,XIRR(_xlfn.SORTBY(_xlpm.v,_xlpm.d),_xlfn._xlws.SORT(_xlpm.d),IF(SUM(_xlpm.v)&lt;0,-0.1,0.1)),IF(ABS(_xlpm.r)&lt;0.0000001,NA(),_xlpm.r))</f>
        <v>0.2907351553440094</v>
      </c>
      <c r="R17" s="323" t="str">
        <f t="shared" ca="1" si="15"/>
        <v>LOW</v>
      </c>
      <c r="S17" s="365" t="str">
        <f t="shared" ca="1" si="16"/>
        <v>▲ STRONG</v>
      </c>
      <c r="T17" s="268"/>
      <c r="U17" s="348" t="str">
        <f t="shared" ca="1" si="0"/>
        <v>WMT</v>
      </c>
      <c r="V17" s="484">
        <f t="shared" ca="1" si="1"/>
        <v>1.3986435313366852</v>
      </c>
      <c r="W17" s="349">
        <f t="shared" ca="1" si="2"/>
        <v>4.2157425937661815E-2</v>
      </c>
      <c r="X17" s="484">
        <f t="shared" ca="1" si="3"/>
        <v>5195.0134656689352</v>
      </c>
      <c r="Y17" s="484">
        <f t="shared" ca="1" si="4"/>
        <v>0.21649660468101503</v>
      </c>
      <c r="Z17" s="348" t="str">
        <f t="shared" ca="1" si="5"/>
        <v>WMT</v>
      </c>
      <c r="AA17" s="484">
        <f t="shared" ca="1" si="6"/>
        <v>5195.0134656689352</v>
      </c>
      <c r="AB17" s="484" t="str">
        <f t="shared" ca="1" si="7"/>
        <v>WMT</v>
      </c>
      <c r="AC17" s="349">
        <f t="shared" ca="1" si="8"/>
        <v>0.21649660468101503</v>
      </c>
      <c r="AD17" s="348" t="str">
        <f t="shared" ca="1" si="9"/>
        <v>WMT</v>
      </c>
      <c r="AE17" s="349">
        <f t="shared" ca="1" si="10"/>
        <v>4.2157425937661815E-2</v>
      </c>
    </row>
    <row r="18" spans="1:31" x14ac:dyDescent="0.35">
      <c r="A18" s="268"/>
      <c r="B18" s="308" t="e" vm="12">
        <v>#VALUE!</v>
      </c>
      <c r="C18" s="309" t="str">
        <f ca="1"/>
        <v>Semiconductors &amp; Semiconductor Equipment</v>
      </c>
      <c r="D18" s="310">
        <v>416.35</v>
      </c>
      <c r="E18" s="403">
        <f ca="1"/>
        <v>228.86</v>
      </c>
      <c r="F18" s="407">
        <f ca="1"/>
        <v>95285.861000000004</v>
      </c>
      <c r="G18" s="413">
        <f ca="1"/>
        <v>3.7900000000000205</v>
      </c>
      <c r="H18" s="475">
        <f ca="1"/>
        <v>1.6839205580486162E-2</v>
      </c>
      <c r="I18" s="417">
        <f ca="1"/>
        <v>90468.074681831044</v>
      </c>
      <c r="J18" s="311"/>
      <c r="K18" s="387">
        <f t="shared" ca="1" si="11"/>
        <v>18.77793424350422</v>
      </c>
      <c r="L18" s="312">
        <f ca="1">F18/SUM(F7:F22)</f>
        <v>0.45087608524794898</v>
      </c>
      <c r="M18" s="313" t="str">
        <f ca="1">INDEX(Ledger[Ticker],MATCH(B18,Ledger[Stock],0))</f>
        <v>NVDA</v>
      </c>
      <c r="N18" s="407">
        <f t="shared" ca="1" si="12"/>
        <v>4817.7863181689609</v>
      </c>
      <c r="O18" s="403">
        <f t="shared" ca="1" si="13"/>
        <v>11.571481489537554</v>
      </c>
      <c r="P18" s="362">
        <f t="shared" ca="1" si="14"/>
        <v>19.77793424350422</v>
      </c>
      <c r="Q18" s="363" cm="1">
        <f t="array" aca="1" ref="Q18" ca="1">_xlfn.LET(_xlpm.m,Ledger[Stock]=B18,_xlpm.v,_xlfn.VSTACK(_xlfn._xlws.FILTER(IF(Ledger[Transaction Type]="Buy",-1,1)*Ledger[Transaction Amount],_xlpm.m),F18),_xlpm.d,_xlfn.VSTACK(_xlfn._xlws.FILTER(Ledger[Date],_xlpm.m),TODAY()),_xlpm.r,XIRR(_xlfn.SORTBY(_xlpm.v,_xlpm.d),_xlfn._xlws.SORT(_xlpm.d),IF(SUM(_xlpm.v)&lt;0,-0.1,0.1)),IF(ABS(_xlpm.r)&lt;0.0000001,NA(),_xlpm.r))</f>
        <v>0.74484885931015032</v>
      </c>
      <c r="R18" s="315" t="str">
        <f t="shared" ca="1" si="15"/>
        <v>HIGH</v>
      </c>
      <c r="S18" s="369" t="str">
        <f t="shared" ca="1" si="16"/>
        <v>▶ HOLD</v>
      </c>
      <c r="T18" s="268"/>
      <c r="U18" s="268"/>
      <c r="V18" s="268"/>
      <c r="W18" s="268"/>
      <c r="X18" s="268"/>
      <c r="Y18" s="268"/>
      <c r="Z18" s="268"/>
      <c r="AA18" s="268"/>
      <c r="AB18" s="268"/>
      <c r="AC18" s="268"/>
      <c r="AD18" s="268"/>
      <c r="AE18" s="268"/>
    </row>
    <row r="19" spans="1:31" x14ac:dyDescent="0.35">
      <c r="A19" s="268"/>
      <c r="B19" s="316" t="e" vm="13">
        <v>#VALUE!</v>
      </c>
      <c r="C19" s="317" t="str">
        <f ca="1"/>
        <v>Aerospace &amp; Defense</v>
      </c>
      <c r="D19" s="318">
        <v>23.170000000000005</v>
      </c>
      <c r="E19" s="404">
        <f ca="1"/>
        <v>189.39</v>
      </c>
      <c r="F19" s="408">
        <f ca="1"/>
        <v>4388.1663000000008</v>
      </c>
      <c r="G19" s="414">
        <f ca="1"/>
        <v>0.38999999999998636</v>
      </c>
      <c r="H19" s="476">
        <f ca="1"/>
        <v>2.0634920634919913E-3</v>
      </c>
      <c r="I19" s="418">
        <f ca="1"/>
        <v>2220.9960291788575</v>
      </c>
      <c r="J19" s="319"/>
      <c r="K19" s="388">
        <f t="shared" ca="1" si="11"/>
        <v>1.0248368847996976</v>
      </c>
      <c r="L19" s="320">
        <f ca="1">F19/SUM(F7:F22)</f>
        <v>2.0764038042968173E-2</v>
      </c>
      <c r="M19" s="321" t="str">
        <f ca="1">INDEX(Ledger[Ticker],MATCH(B19,Ledger[Stock],0))</f>
        <v>0R2N</v>
      </c>
      <c r="N19" s="408">
        <f t="shared" ca="1" si="12"/>
        <v>2167.1702708211433</v>
      </c>
      <c r="O19" s="404">
        <f t="shared" ca="1" si="13"/>
        <v>93.53346011312658</v>
      </c>
      <c r="P19" s="366">
        <f t="shared" ca="1" si="14"/>
        <v>2.0248368847996976</v>
      </c>
      <c r="Q19" s="367" cm="1">
        <f t="array" aca="1" ref="Q19" ca="1">_xlfn.LET(_xlpm.m,Ledger[Stock]=B19,_xlpm.v,_xlfn.VSTACK(_xlfn._xlws.FILTER(IF(Ledger[Transaction Type]="Buy",-1,1)*Ledger[Transaction Amount],_xlpm.m),F19),_xlpm.d,_xlfn.VSTACK(_xlfn._xlws.FILTER(Ledger[Date],_xlpm.m),TODAY()),_xlpm.r,XIRR(_xlfn.SORTBY(_xlpm.v,_xlpm.d),_xlfn._xlws.SORT(_xlpm.d),IF(SUM(_xlpm.v)&lt;0,-0.1,0.1)),IF(ABS(_xlpm.r)&lt;0.0000001,NA(),_xlpm.r))</f>
        <v>0.13563055396080018</v>
      </c>
      <c r="R19" s="323" t="str">
        <f t="shared" ca="1" si="15"/>
        <v>LOW</v>
      </c>
      <c r="S19" s="365" t="str">
        <f t="shared" ca="1" si="16"/>
        <v>▲ STRONG</v>
      </c>
      <c r="T19" s="268"/>
      <c r="U19" s="268"/>
      <c r="V19" s="268"/>
      <c r="W19" s="268"/>
      <c r="X19" s="268"/>
      <c r="Y19" s="268"/>
      <c r="Z19" s="268"/>
      <c r="AA19" s="268"/>
      <c r="AB19" s="268"/>
      <c r="AC19" s="268"/>
      <c r="AD19" s="268"/>
      <c r="AE19" s="268"/>
    </row>
    <row r="20" spans="1:31" x14ac:dyDescent="0.35">
      <c r="A20" s="268"/>
      <c r="B20" s="308" t="e" vm="14">
        <v>#VALUE!</v>
      </c>
      <c r="C20" s="309" t="str">
        <f ca="1"/>
        <v>Aerospace &amp; Defense</v>
      </c>
      <c r="D20" s="310">
        <v>2.5500000000000043</v>
      </c>
      <c r="E20" s="403">
        <f ca="1"/>
        <v>184.39</v>
      </c>
      <c r="F20" s="407">
        <f ca="1"/>
        <v>470.19450000000074</v>
      </c>
      <c r="G20" s="413">
        <f ca="1"/>
        <v>-13.680000000000007</v>
      </c>
      <c r="H20" s="475">
        <f ca="1"/>
        <v>-6.9066491644368191E-2</v>
      </c>
      <c r="I20" s="420">
        <f ca="1"/>
        <v>-166.47057281754269</v>
      </c>
      <c r="J20" s="311"/>
      <c r="K20" s="390">
        <f t="shared" ca="1" si="11"/>
        <v>-0.2614727584801092</v>
      </c>
      <c r="L20" s="312">
        <f ca="1">F20/SUM(F7:F22)</f>
        <v>2.2248784157506544E-3</v>
      </c>
      <c r="M20" s="313" t="str">
        <f ca="1">INDEX(Ledger[Ticker],MATCH(B20,Ledger[Stock],0))</f>
        <v>BA</v>
      </c>
      <c r="N20" s="407">
        <f t="shared" ca="1" si="12"/>
        <v>636.66507281754343</v>
      </c>
      <c r="O20" s="403">
        <f t="shared" ca="1" si="13"/>
        <v>249.67257757550681</v>
      </c>
      <c r="P20" s="398">
        <f t="shared" ca="1" si="14"/>
        <v>0.7385272415198908</v>
      </c>
      <c r="Q20" s="375" cm="1">
        <f t="array" aca="1" ref="Q20" ca="1">_xlfn.LET(_xlpm.m,Ledger[Stock]=B20,_xlpm.v,_xlfn.VSTACK(_xlfn._xlws.FILTER(IF(Ledger[Transaction Type]="Buy",-1,1)*Ledger[Transaction Amount],_xlpm.m),F20),_xlpm.d,_xlfn.VSTACK(_xlfn._xlws.FILTER(Ledger[Date],_xlpm.m),TODAY()),_xlpm.r,XIRR(_xlfn.SORTBY(_xlpm.v,_xlpm.d),_xlfn._xlws.SORT(_xlpm.d),IF(SUM(_xlpm.v)&lt;0,-0.1,0.1)),IF(ABS(_xlpm.r)&lt;0.0000001,NA(),_xlpm.r))</f>
        <v>-0.13631248408928515</v>
      </c>
      <c r="R20" s="315" t="str">
        <f t="shared" ca="1" si="15"/>
        <v>HIGH</v>
      </c>
      <c r="S20" s="374" t="str">
        <f t="shared" ca="1" si="16"/>
        <v>▼ REVIEW</v>
      </c>
      <c r="T20" s="268"/>
      <c r="U20" s="268"/>
      <c r="V20" s="268"/>
      <c r="W20" s="268"/>
      <c r="X20" s="268"/>
      <c r="Y20" s="268"/>
      <c r="Z20" s="268"/>
      <c r="AA20" s="268"/>
      <c r="AB20" s="268"/>
      <c r="AC20" s="268"/>
      <c r="AD20" s="268"/>
      <c r="AE20" s="268"/>
    </row>
    <row r="21" spans="1:31" x14ac:dyDescent="0.35">
      <c r="A21" s="268"/>
      <c r="B21" s="316" t="e" vm="15">
        <v>#VALUE!</v>
      </c>
      <c r="C21" s="317" t="str">
        <f ca="1"/>
        <v>Automobiles &amp; Auto Parts</v>
      </c>
      <c r="D21" s="318">
        <v>11.289999999999997</v>
      </c>
      <c r="E21" s="404">
        <f ca="1"/>
        <v>188.3</v>
      </c>
      <c r="F21" s="408">
        <f ca="1"/>
        <v>2125.9069999999997</v>
      </c>
      <c r="G21" s="412">
        <f ca="1"/>
        <v>-2.039999999999992</v>
      </c>
      <c r="H21" s="474">
        <f ca="1"/>
        <v>-1.0717663129137292E-2</v>
      </c>
      <c r="I21" s="418">
        <f ca="1"/>
        <v>383.87057371601213</v>
      </c>
      <c r="J21" s="319"/>
      <c r="K21" s="388">
        <f t="shared" ca="1" si="11"/>
        <v>0.22035737480809336</v>
      </c>
      <c r="L21" s="320">
        <f ca="1">F21/SUM(F7:F22)</f>
        <v>1.0059421363272472E-2</v>
      </c>
      <c r="M21" s="321" t="str">
        <f ca="1">INDEX(Ledger[Ticker],MATCH(B21,Ledger[Stock],0))</f>
        <v>TM</v>
      </c>
      <c r="N21" s="408">
        <f t="shared" ca="1" si="12"/>
        <v>1742.0364262839876</v>
      </c>
      <c r="O21" s="404">
        <f t="shared" ca="1" si="13"/>
        <v>154.29906344410875</v>
      </c>
      <c r="P21" s="366">
        <f t="shared" ca="1" si="14"/>
        <v>1.2203573748080934</v>
      </c>
      <c r="Q21" s="367" cm="1">
        <f t="array" aca="1" ref="Q21" ca="1">_xlfn.LET(_xlpm.m,Ledger[Stock]=B21,_xlpm.v,_xlfn.VSTACK(_xlfn._xlws.FILTER(IF(Ledger[Transaction Type]="Buy",-1,1)*Ledger[Transaction Amount],_xlpm.m),F21),_xlpm.d,_xlfn.VSTACK(_xlfn._xlws.FILTER(Ledger[Date],_xlpm.m),TODAY()),_xlpm.r,XIRR(_xlfn.SORTBY(_xlpm.v,_xlpm.d),_xlfn._xlws.SORT(_xlpm.d),IF(SUM(_xlpm.v)&lt;0,-0.1,0.1)),IF(ABS(_xlpm.r)&lt;0.0000001,NA(),_xlpm.r))</f>
        <v>5.1768842339515689E-2</v>
      </c>
      <c r="R21" s="323" t="str">
        <f t="shared" ca="1" si="15"/>
        <v>MEDIUM</v>
      </c>
      <c r="S21" s="365" t="str">
        <f t="shared" ca="1" si="16"/>
        <v>▶ HOLD</v>
      </c>
      <c r="T21" s="268"/>
      <c r="U21" s="268"/>
      <c r="V21" s="268"/>
      <c r="W21" s="268"/>
      <c r="X21" s="268"/>
      <c r="Y21" s="268"/>
      <c r="Z21" s="268"/>
      <c r="AA21" s="268"/>
      <c r="AB21" s="268"/>
      <c r="AC21" s="268"/>
      <c r="AD21" s="268"/>
      <c r="AE21" s="268"/>
    </row>
    <row r="22" spans="1:31" x14ac:dyDescent="0.35">
      <c r="A22" s="268"/>
      <c r="B22" s="297" t="e" vm="16">
        <v>#VALUE!</v>
      </c>
      <c r="C22" s="298" t="str">
        <f ca="1"/>
        <v>Food &amp; Drug Retailing</v>
      </c>
      <c r="D22" s="299">
        <v>81.940000000000012</v>
      </c>
      <c r="E22" s="405">
        <f ca="1"/>
        <v>108.73</v>
      </c>
      <c r="F22" s="409">
        <f ca="1"/>
        <v>8909.3362000000016</v>
      </c>
      <c r="G22" s="415">
        <f ca="1"/>
        <v>0.75</v>
      </c>
      <c r="H22" s="477">
        <f ca="1"/>
        <v>6.9457306908686789E-3</v>
      </c>
      <c r="I22" s="421">
        <f ca="1"/>
        <v>5195.0134656689352</v>
      </c>
      <c r="J22" s="300"/>
      <c r="K22" s="391">
        <f t="shared" ca="1" si="11"/>
        <v>1.3986435313366852</v>
      </c>
      <c r="L22" s="301">
        <f ca="1">F22/SUM(F7:F22)</f>
        <v>4.2157425937661815E-2</v>
      </c>
      <c r="M22" s="305" t="str">
        <f ca="1">INDEX(Ledger[Ticker],MATCH(B22,Ledger[Stock],0))</f>
        <v>WMT</v>
      </c>
      <c r="N22" s="409">
        <f t="shared" ca="1" si="12"/>
        <v>3714.3227343310664</v>
      </c>
      <c r="O22" s="405">
        <f t="shared" ca="1" si="13"/>
        <v>45.329786848072565</v>
      </c>
      <c r="P22" s="378">
        <f t="shared" ca="1" si="14"/>
        <v>2.3986435313366852</v>
      </c>
      <c r="Q22" s="379" cm="1">
        <f t="array" aca="1" ref="Q22" ca="1">_xlfn.LET(_xlpm.m,Ledger[Stock]=B22,_xlpm.v,_xlfn.VSTACK(_xlfn._xlws.FILTER(IF(Ledger[Transaction Type]="Buy",-1,1)*Ledger[Transaction Amount],_xlpm.m),F22),_xlpm.d,_xlfn.VSTACK(_xlfn._xlws.FILTER(Ledger[Date],_xlpm.m),TODAY()),_xlpm.r,XIRR(_xlfn.SORTBY(_xlpm.v,_xlpm.d),_xlfn._xlws.SORT(_xlpm.d),IF(SUM(_xlpm.v)&lt;0,-0.1,0.1)),IF(ABS(_xlpm.r)&lt;0.0000001,NA(),_xlpm.r))</f>
        <v>0.21649660468101503</v>
      </c>
      <c r="R22" s="307" t="str">
        <f t="shared" ca="1" si="15"/>
        <v>LOW</v>
      </c>
      <c r="S22" s="377" t="str">
        <f t="shared" ca="1" si="16"/>
        <v>▲ STRONG</v>
      </c>
      <c r="T22" s="268"/>
      <c r="U22" s="268"/>
      <c r="V22" s="268"/>
      <c r="W22" s="268"/>
      <c r="X22" s="268"/>
      <c r="Y22" s="268"/>
      <c r="Z22" s="268"/>
      <c r="AA22" s="268"/>
      <c r="AB22" s="268"/>
      <c r="AC22" s="268"/>
      <c r="AD22" s="268"/>
      <c r="AE22" s="268"/>
    </row>
    <row r="23" spans="1:31" ht="4" customHeight="1" x14ac:dyDescent="0.35">
      <c r="A23" s="268"/>
      <c r="B23" s="268"/>
      <c r="C23" s="268"/>
      <c r="D23" s="268"/>
      <c r="E23" s="271"/>
      <c r="F23" s="271"/>
      <c r="G23" s="271"/>
      <c r="H23" s="272"/>
      <c r="I23" s="271"/>
      <c r="J23" s="268"/>
      <c r="K23" s="268"/>
      <c r="L23" s="268"/>
      <c r="M23" s="268"/>
      <c r="N23" s="268"/>
      <c r="O23" s="268"/>
      <c r="P23" s="268"/>
      <c r="Q23" s="268"/>
      <c r="R23" s="268"/>
      <c r="S23" s="268"/>
      <c r="T23" s="268"/>
      <c r="U23" s="268"/>
      <c r="V23" s="268"/>
      <c r="W23" s="268"/>
      <c r="X23" s="268"/>
      <c r="Y23" s="268"/>
      <c r="Z23" s="268"/>
      <c r="AA23" s="268"/>
      <c r="AB23" s="268"/>
      <c r="AC23" s="268"/>
      <c r="AD23" s="268"/>
      <c r="AE23" s="268"/>
    </row>
    <row r="24" spans="1:31" ht="16" customHeight="1" thickBot="1" x14ac:dyDescent="0.4">
      <c r="A24" s="268"/>
      <c r="B24" s="324" t="s">
        <v>139</v>
      </c>
      <c r="C24" s="324" t="s">
        <v>140</v>
      </c>
      <c r="D24" s="324"/>
      <c r="E24" s="324" t="s">
        <v>141</v>
      </c>
      <c r="F24" s="324"/>
      <c r="G24" s="324" t="s">
        <v>142</v>
      </c>
      <c r="H24" s="324"/>
      <c r="I24" s="324" t="s">
        <v>143</v>
      </c>
      <c r="J24" s="324"/>
      <c r="K24" s="324" t="s">
        <v>144</v>
      </c>
      <c r="L24" s="324"/>
      <c r="M24" s="324" t="s">
        <v>200</v>
      </c>
      <c r="N24" s="324" t="s">
        <v>201</v>
      </c>
      <c r="O24" s="324" t="s">
        <v>202</v>
      </c>
      <c r="P24" s="324" t="s">
        <v>398</v>
      </c>
      <c r="Q24" s="324" t="s">
        <v>203</v>
      </c>
      <c r="R24" s="324" t="s">
        <v>204</v>
      </c>
      <c r="S24" s="273" t="s">
        <v>205</v>
      </c>
      <c r="T24" s="268"/>
      <c r="U24" s="268"/>
      <c r="V24" s="268"/>
      <c r="W24" s="268"/>
      <c r="X24" s="268"/>
      <c r="Y24" s="268"/>
      <c r="Z24" s="268"/>
      <c r="AA24" s="268"/>
      <c r="AB24" s="268"/>
      <c r="AC24" s="268"/>
      <c r="AD24" s="268"/>
      <c r="AE24" s="268"/>
    </row>
    <row r="25" spans="1:31" ht="24" customHeight="1" thickTop="1" thickBot="1" x14ac:dyDescent="0.55000000000000004">
      <c r="A25" s="268"/>
      <c r="B25" s="422">
        <f ca="1">SUM(_xlfn.ANCHORARRAY(F7))-SUM(_xlfn.ANCHORARRAY(I7))</f>
        <v>42915.801182421303</v>
      </c>
      <c r="C25" s="325" t="str">
        <f ca="1">INDEX(Ledger[Ticker],MATCH(INDEX(_xlfn.ANCHORARRAY(B7),MATCH(MAX(L7:L22),L7:L22,0)),Ledger[Stock],0))&amp;" "&amp;TEXT(MAX(L7:L22),"0.0%")</f>
        <v>NVDA 45.1%</v>
      </c>
      <c r="D25" s="325"/>
      <c r="E25" s="330">
        <f ca="1">LARGE(L7:L22,1)+LARGE(L7:L22,2)+LARGE(L7:L22,3)</f>
        <v>0.67610853335784582</v>
      </c>
      <c r="F25" s="326"/>
      <c r="G25" s="330">
        <f ca="1">AVERAGE(K7:K22)</f>
        <v>2.7406333308014106</v>
      </c>
      <c r="H25" s="478"/>
      <c r="I25" s="327" t="str">
        <f ca="1">COUNTIF(I7:I22,"&gt;0")&amp;" / "&amp;COUNTA(I7:I22)</f>
        <v>15 / 16</v>
      </c>
      <c r="J25" s="325"/>
      <c r="K25" s="328" cm="1">
        <f t="array" aca="1" ref="K25" ca="1">SUMPRODUCT((SUMIF(_xlfn.ANCHORARRAY(C7),_xlfn.UNIQUE(_xlfn.ANCHORARRAY(C7)),_xlfn.ANCHORARRAY(F7))/SUM(_xlfn.ANCHORARRAY(F7)))^2)</f>
        <v>0.40936259484504506</v>
      </c>
      <c r="L25" s="330"/>
      <c r="M25" s="506">
        <f ca="1">COUNTIF(S7:S22,"*STRONG*")</f>
        <v>8</v>
      </c>
      <c r="N25" s="507">
        <f ca="1">COUNTIF(S7:S22,"*HOLD*")</f>
        <v>7</v>
      </c>
      <c r="O25" s="506">
        <f ca="1">COUNTIF(S7:S22,"*REVIEW*")</f>
        <v>1</v>
      </c>
      <c r="P25" s="503">
        <f>SUM(Analytics!I10:I25)</f>
        <v>14943.724582421306</v>
      </c>
      <c r="Q25" s="329">
        <f ca="1">'Risk Analytics'!C19</f>
        <v>1.8188660555674918</v>
      </c>
      <c r="R25" s="331">
        <f ca="1">'Risk Analytics'!C20</f>
        <v>2.407330771034677</v>
      </c>
      <c r="S25" s="274" t="str">
        <f ca="1">Analytics!H44</f>
        <v>B+</v>
      </c>
      <c r="T25" s="268"/>
      <c r="U25" s="268"/>
      <c r="V25" s="268"/>
      <c r="W25" s="268"/>
      <c r="X25" s="268"/>
      <c r="Y25" s="268"/>
      <c r="Z25" s="268"/>
      <c r="AA25" s="268"/>
      <c r="AB25" s="268"/>
      <c r="AC25" s="268"/>
      <c r="AD25" s="268"/>
      <c r="AE25" s="268"/>
    </row>
    <row r="26" spans="1:31" ht="4" customHeight="1" x14ac:dyDescent="0.35">
      <c r="A26" s="268"/>
      <c r="B26" s="268"/>
      <c r="C26" s="268"/>
      <c r="D26" s="268"/>
      <c r="E26" s="271"/>
      <c r="F26" s="271"/>
      <c r="G26" s="271"/>
      <c r="H26" s="272"/>
      <c r="I26" s="271"/>
      <c r="J26" s="268"/>
      <c r="K26" s="268"/>
      <c r="L26" s="268"/>
      <c r="M26" s="268"/>
      <c r="N26" s="268"/>
      <c r="O26" s="268"/>
      <c r="P26" s="268"/>
      <c r="Q26" s="268"/>
      <c r="R26" s="268"/>
      <c r="S26" s="268"/>
      <c r="T26" s="268"/>
      <c r="U26" s="268"/>
      <c r="V26" s="268"/>
      <c r="W26" s="268"/>
      <c r="X26" s="268"/>
      <c r="Y26" s="268"/>
      <c r="Z26" s="268"/>
      <c r="AA26" s="268"/>
      <c r="AB26" s="268"/>
      <c r="AC26" s="268"/>
      <c r="AD26" s="268"/>
      <c r="AE26" s="268"/>
    </row>
    <row r="27" spans="1:31" ht="8" customHeight="1" thickBot="1" x14ac:dyDescent="0.4">
      <c r="A27" s="268"/>
      <c r="B27" s="332"/>
      <c r="C27" s="275"/>
      <c r="D27" s="275"/>
      <c r="E27" s="276"/>
      <c r="F27" s="271"/>
      <c r="G27" s="338"/>
      <c r="H27" s="277"/>
      <c r="I27" s="276"/>
      <c r="J27" s="275"/>
      <c r="K27" s="275"/>
      <c r="L27" s="275"/>
      <c r="M27" s="268"/>
      <c r="N27" s="268"/>
      <c r="O27" s="268"/>
      <c r="P27" s="268"/>
      <c r="Q27" s="268"/>
      <c r="R27" s="268"/>
      <c r="S27" s="268"/>
      <c r="T27" s="268"/>
      <c r="U27" s="268"/>
      <c r="V27" s="268"/>
      <c r="W27" s="268"/>
      <c r="X27" s="268"/>
      <c r="Y27" s="268"/>
      <c r="Z27" s="268"/>
      <c r="AA27" s="268"/>
      <c r="AB27" s="268"/>
      <c r="AC27" s="268"/>
      <c r="AD27" s="268"/>
      <c r="AE27" s="268"/>
    </row>
    <row r="28" spans="1:31" ht="22" customHeight="1" thickBot="1" x14ac:dyDescent="0.4">
      <c r="A28" s="268"/>
      <c r="B28" s="268" t="s">
        <v>146</v>
      </c>
      <c r="C28" s="268"/>
      <c r="D28" s="268"/>
      <c r="E28" s="271"/>
      <c r="F28" s="271"/>
      <c r="G28" s="271" t="s">
        <v>225</v>
      </c>
      <c r="H28" s="272"/>
      <c r="I28" s="271"/>
      <c r="J28" s="268"/>
      <c r="K28" s="268"/>
      <c r="L28" s="268"/>
      <c r="M28" s="268"/>
      <c r="N28" s="268"/>
      <c r="O28" s="268"/>
      <c r="P28" s="268"/>
      <c r="Q28" s="268"/>
      <c r="R28" s="268"/>
      <c r="S28" s="268"/>
      <c r="T28" s="268"/>
      <c r="U28" s="268"/>
      <c r="V28" s="268"/>
      <c r="W28" s="268"/>
      <c r="X28" s="268"/>
      <c r="Y28" s="268"/>
      <c r="Z28" s="268"/>
      <c r="AA28" s="268"/>
      <c r="AB28" s="268"/>
      <c r="AC28" s="268"/>
      <c r="AD28" s="268"/>
      <c r="AE28" s="268"/>
    </row>
    <row r="29" spans="1:31" ht="18" customHeight="1" thickBot="1" x14ac:dyDescent="0.4">
      <c r="A29" s="268"/>
      <c r="B29" s="291" t="s">
        <v>1</v>
      </c>
      <c r="C29" s="291" t="s">
        <v>4</v>
      </c>
      <c r="D29" s="291" t="s">
        <v>51</v>
      </c>
      <c r="E29" s="333" t="s">
        <v>147</v>
      </c>
      <c r="F29" s="271"/>
      <c r="G29" s="333" t="s">
        <v>8</v>
      </c>
      <c r="H29" s="339" t="s">
        <v>226</v>
      </c>
      <c r="I29" s="333" t="s">
        <v>227</v>
      </c>
      <c r="J29" s="291" t="s">
        <v>228</v>
      </c>
      <c r="K29" s="291" t="s">
        <v>229</v>
      </c>
      <c r="L29" s="291"/>
      <c r="M29" s="268"/>
      <c r="N29" s="268"/>
      <c r="O29" s="268"/>
      <c r="P29" s="268"/>
      <c r="Q29" s="268"/>
      <c r="R29" s="268"/>
      <c r="S29" s="268"/>
      <c r="T29" s="268"/>
      <c r="U29" s="268"/>
      <c r="V29" s="268"/>
      <c r="W29" s="268"/>
      <c r="X29" s="268"/>
      <c r="Y29" s="268"/>
      <c r="Z29" s="268"/>
      <c r="AA29" s="268"/>
      <c r="AB29" s="268"/>
      <c r="AC29" s="268"/>
      <c r="AD29" s="268"/>
      <c r="AE29" s="268"/>
    </row>
    <row r="30" spans="1:31" ht="16" customHeight="1" x14ac:dyDescent="0.35">
      <c r="A30" s="268"/>
      <c r="B30" s="292" t="str" cm="1">
        <f t="array" aca="1" ref="B30:B39" ca="1">_xlfn.UNIQUE(_xlfn.ANCHORARRAY(C7))</f>
        <v>Semiconductors &amp; Semiconductor Equipment</v>
      </c>
      <c r="C30" s="406" cm="1">
        <f t="array" aca="1" ref="C30:C39" ca="1">SUMIF(_xlfn.ANCHORARRAY(C7),_xlfn.ANCHORARRAY(B30),_xlfn.ANCHORARRAY(F7))</f>
        <v>131600.0148</v>
      </c>
      <c r="D30" s="303">
        <f t="shared" ref="D30:D39" ca="1" si="17">C30/SUM(C$30:C$39)</f>
        <v>0.62270833121396829</v>
      </c>
      <c r="E30" s="334">
        <f t="shared" ref="E30:E39" ca="1" si="18">D30^2</f>
        <v>0.38776566576328525</v>
      </c>
      <c r="F30" s="271"/>
      <c r="G30" s="340" t="str">
        <f ca="1">M7</f>
        <v>AMD</v>
      </c>
      <c r="H30" s="359">
        <f ca="1">L7</f>
        <v>0.17183224596601931</v>
      </c>
      <c r="I30" s="303">
        <f ca="1">1/COUNTA(L$7:L$22)</f>
        <v>6.25E-2</v>
      </c>
      <c r="J30" s="392">
        <f ca="1">L7-(1/COUNTA(L$7:L$22))</f>
        <v>0.10933224596601931</v>
      </c>
      <c r="K30" s="356" t="str">
        <f ca="1">IF(ABS(J30)&gt;0.1,IF(J30&gt;0,"🔻 TRIM","🔺 ADD"),IF(ABS(J30)&gt;0.03,IF(J30&gt;0,"▿ trim","▵ add"),"✔ OK"))</f>
        <v>🔻 TRIM</v>
      </c>
      <c r="L30" s="304"/>
      <c r="M30" s="268"/>
      <c r="N30" s="268"/>
      <c r="O30" s="268"/>
      <c r="P30" s="268"/>
      <c r="Q30" s="268"/>
      <c r="R30" s="268"/>
      <c r="S30" s="268"/>
      <c r="T30" s="268"/>
      <c r="U30" s="268"/>
      <c r="V30" s="268"/>
      <c r="W30" s="268"/>
      <c r="X30" s="268"/>
      <c r="Y30" s="268"/>
      <c r="Z30" s="268"/>
      <c r="AA30" s="268"/>
      <c r="AB30" s="268"/>
      <c r="AC30" s="268"/>
      <c r="AD30" s="268"/>
      <c r="AE30" s="268"/>
    </row>
    <row r="31" spans="1:31" ht="16" customHeight="1" x14ac:dyDescent="0.35">
      <c r="A31" s="268"/>
      <c r="B31" s="308" t="str">
        <f ca="1"/>
        <v>Software &amp; IT Services</v>
      </c>
      <c r="C31" s="407">
        <f ca="1"/>
        <v>22565.789000000001</v>
      </c>
      <c r="D31" s="314">
        <f t="shared" ca="1" si="17"/>
        <v>0.1067773801702986</v>
      </c>
      <c r="E31" s="336">
        <f t="shared" ca="1" si="18"/>
        <v>1.1401408916032477E-2</v>
      </c>
      <c r="F31" s="271"/>
      <c r="G31" s="342" t="str">
        <f t="shared" ref="G31:G45" ca="1" si="19">M8</f>
        <v>GOOG</v>
      </c>
      <c r="H31" s="363">
        <f t="shared" ref="H31:H45" ca="1" si="20">L8</f>
        <v>5.3377178026421099E-2</v>
      </c>
      <c r="I31" s="314">
        <f t="shared" ref="I31:I45" ca="1" si="21">1/COUNTA(L$7:L$22)</f>
        <v>6.25E-2</v>
      </c>
      <c r="J31" s="393">
        <f t="shared" ref="J31:J45" ca="1" si="22">L8-(1/COUNTA(L$7:L$22))</f>
        <v>-9.1228219735789012E-3</v>
      </c>
      <c r="K31" s="360" t="str">
        <f t="shared" ref="K31:K45" ca="1" si="23">IF(ABS(J31)&gt;0.1,IF(J31&gt;0,"🔻 TRIM","🔺 ADD"),IF(ABS(J31)&gt;0.03,IF(J31&gt;0,"▿ trim","▵ add"),"✔ OK"))</f>
        <v>✔ OK</v>
      </c>
      <c r="L31" s="315"/>
      <c r="M31" s="268"/>
      <c r="N31" s="268"/>
      <c r="O31" s="268"/>
      <c r="P31" s="268"/>
      <c r="Q31" s="268"/>
      <c r="R31" s="268"/>
      <c r="S31" s="268"/>
      <c r="T31" s="268"/>
      <c r="U31" s="268"/>
      <c r="V31" s="268"/>
      <c r="W31" s="268"/>
      <c r="X31" s="268"/>
      <c r="Y31" s="268"/>
      <c r="Z31" s="268"/>
      <c r="AA31" s="268"/>
      <c r="AB31" s="268"/>
      <c r="AC31" s="268"/>
      <c r="AD31" s="268"/>
      <c r="AE31" s="268"/>
    </row>
    <row r="32" spans="1:31" ht="16" customHeight="1" x14ac:dyDescent="0.35">
      <c r="A32" s="268"/>
      <c r="B32" s="316" t="str">
        <f ca="1"/>
        <v>Diversified Retail</v>
      </c>
      <c r="C32" s="408">
        <f ca="1"/>
        <v>5161.7655000000004</v>
      </c>
      <c r="D32" s="322">
        <f t="shared" ca="1" si="17"/>
        <v>2.4424574613519226E-2</v>
      </c>
      <c r="E32" s="337">
        <f t="shared" ca="1" si="18"/>
        <v>5.9655984505136784E-4</v>
      </c>
      <c r="F32" s="271"/>
      <c r="G32" s="343" t="str">
        <f t="shared" ca="1" si="19"/>
        <v>AMZN</v>
      </c>
      <c r="H32" s="367">
        <f t="shared" ca="1" si="20"/>
        <v>2.4424574613519229E-2</v>
      </c>
      <c r="I32" s="322">
        <f t="shared" ca="1" si="21"/>
        <v>6.25E-2</v>
      </c>
      <c r="J32" s="394">
        <f t="shared" ca="1" si="22"/>
        <v>-3.8075425386480774E-2</v>
      </c>
      <c r="K32" s="364" t="str">
        <f t="shared" ca="1" si="23"/>
        <v>▵ add</v>
      </c>
      <c r="L32" s="323"/>
      <c r="M32" s="268"/>
      <c r="N32" s="268"/>
      <c r="O32" s="268"/>
      <c r="P32" s="268"/>
      <c r="Q32" s="268"/>
      <c r="R32" s="268"/>
      <c r="S32" s="268"/>
      <c r="T32" s="268"/>
      <c r="U32" s="268"/>
      <c r="V32" s="268"/>
      <c r="W32" s="268"/>
      <c r="X32" s="268"/>
      <c r="Y32" s="268"/>
      <c r="Z32" s="268"/>
      <c r="AA32" s="268"/>
      <c r="AB32" s="268"/>
      <c r="AC32" s="268"/>
      <c r="AD32" s="268"/>
      <c r="AE32" s="268"/>
    </row>
    <row r="33" spans="1:31" ht="16" customHeight="1" x14ac:dyDescent="0.35">
      <c r="A33" s="268"/>
      <c r="B33" s="308" t="str">
        <f ca="1"/>
        <v>Computers, Phones &amp; Household Electronics</v>
      </c>
      <c r="C33" s="407">
        <f ca="1"/>
        <v>9976.0319999999992</v>
      </c>
      <c r="D33" s="314">
        <f t="shared" ca="1" si="17"/>
        <v>4.7204844530588499E-2</v>
      </c>
      <c r="E33" s="336">
        <f t="shared" ca="1" si="18"/>
        <v>2.2282973471570312E-3</v>
      </c>
      <c r="F33" s="271"/>
      <c r="G33" s="342" t="str">
        <f t="shared" ca="1" si="19"/>
        <v>AAPL</v>
      </c>
      <c r="H33" s="363">
        <f t="shared" ca="1" si="20"/>
        <v>4.7204844530588506E-2</v>
      </c>
      <c r="I33" s="314">
        <f t="shared" ca="1" si="21"/>
        <v>6.25E-2</v>
      </c>
      <c r="J33" s="395">
        <f t="shared" ca="1" si="22"/>
        <v>-1.5295155469411494E-2</v>
      </c>
      <c r="K33" s="360" t="str">
        <f t="shared" ca="1" si="23"/>
        <v>✔ OK</v>
      </c>
      <c r="L33" s="315"/>
      <c r="M33" s="268"/>
      <c r="N33" s="268"/>
      <c r="O33" s="268"/>
      <c r="P33" s="268"/>
      <c r="Q33" s="268"/>
      <c r="R33" s="268"/>
      <c r="S33" s="268"/>
      <c r="T33" s="268"/>
      <c r="U33" s="268"/>
      <c r="V33" s="268"/>
      <c r="W33" s="268"/>
      <c r="X33" s="268"/>
      <c r="Y33" s="268"/>
      <c r="Z33" s="268"/>
      <c r="AA33" s="268"/>
      <c r="AB33" s="268"/>
      <c r="AC33" s="268"/>
      <c r="AD33" s="268"/>
      <c r="AE33" s="268"/>
    </row>
    <row r="34" spans="1:31" ht="16" customHeight="1" x14ac:dyDescent="0.35">
      <c r="A34" s="268"/>
      <c r="B34" s="316" t="str">
        <f ca="1"/>
        <v>Investment Banking &amp; Investment Services</v>
      </c>
      <c r="C34" s="408">
        <f ca="1"/>
        <v>10720.041799999999</v>
      </c>
      <c r="D34" s="322">
        <f t="shared" ca="1" si="17"/>
        <v>5.0725369217982666E-2</v>
      </c>
      <c r="E34" s="337">
        <f t="shared" ca="1" si="18"/>
        <v>2.5730630823006632E-3</v>
      </c>
      <c r="F34" s="271"/>
      <c r="G34" s="343" t="str">
        <f t="shared" ca="1" si="19"/>
        <v>BLK</v>
      </c>
      <c r="H34" s="367">
        <f t="shared" ca="1" si="20"/>
        <v>2.3367943740822145E-2</v>
      </c>
      <c r="I34" s="322">
        <f t="shared" ca="1" si="21"/>
        <v>6.25E-2</v>
      </c>
      <c r="J34" s="394">
        <f t="shared" ca="1" si="22"/>
        <v>-3.9132056259177858E-2</v>
      </c>
      <c r="K34" s="384" t="str">
        <f t="shared" ca="1" si="23"/>
        <v>▵ add</v>
      </c>
      <c r="L34" s="323"/>
      <c r="M34" s="268"/>
      <c r="N34" s="268"/>
      <c r="O34" s="268"/>
      <c r="P34" s="268"/>
      <c r="Q34" s="268"/>
      <c r="R34" s="268"/>
      <c r="S34" s="268"/>
      <c r="T34" s="268"/>
      <c r="U34" s="268"/>
      <c r="V34" s="268"/>
      <c r="W34" s="268"/>
      <c r="X34" s="268"/>
      <c r="Y34" s="268"/>
      <c r="Z34" s="268"/>
      <c r="AA34" s="268"/>
      <c r="AB34" s="268"/>
      <c r="AC34" s="268"/>
      <c r="AD34" s="268"/>
      <c r="AE34" s="268"/>
    </row>
    <row r="35" spans="1:31" ht="16" customHeight="1" x14ac:dyDescent="0.35">
      <c r="A35" s="268"/>
      <c r="B35" s="308" t="str">
        <f ca="1"/>
        <v>Oil &amp; Gas</v>
      </c>
      <c r="C35" s="407">
        <f ca="1"/>
        <v>3745.6155000000003</v>
      </c>
      <c r="D35" s="314">
        <f t="shared" ca="1" si="17"/>
        <v>1.7723599658547862E-2</v>
      </c>
      <c r="E35" s="336">
        <f t="shared" ca="1" si="18"/>
        <v>3.141259848564779E-4</v>
      </c>
      <c r="F35" s="271"/>
      <c r="G35" s="342" t="str">
        <f t="shared" ca="1" si="19"/>
        <v>CVX</v>
      </c>
      <c r="H35" s="363">
        <f t="shared" ca="1" si="20"/>
        <v>1.7723599658547865E-2</v>
      </c>
      <c r="I35" s="314">
        <f t="shared" ca="1" si="21"/>
        <v>6.25E-2</v>
      </c>
      <c r="J35" s="395">
        <f t="shared" ca="1" si="22"/>
        <v>-4.4776400341452138E-2</v>
      </c>
      <c r="K35" s="360" t="str">
        <f t="shared" ca="1" si="23"/>
        <v>▵ add</v>
      </c>
      <c r="L35" s="315"/>
      <c r="M35" s="268"/>
      <c r="N35" s="268"/>
      <c r="O35" s="268"/>
      <c r="P35" s="268"/>
      <c r="Q35" s="268"/>
      <c r="R35" s="268"/>
      <c r="S35" s="268"/>
      <c r="T35" s="268"/>
      <c r="U35" s="268"/>
      <c r="V35" s="268"/>
      <c r="W35" s="268"/>
      <c r="X35" s="268"/>
      <c r="Y35" s="268"/>
      <c r="Z35" s="268"/>
      <c r="AA35" s="268"/>
      <c r="AB35" s="268"/>
      <c r="AC35" s="268"/>
      <c r="AD35" s="268"/>
      <c r="AE35" s="268"/>
    </row>
    <row r="36" spans="1:31" ht="16" customHeight="1" x14ac:dyDescent="0.35">
      <c r="A36" s="268"/>
      <c r="B36" s="316" t="str">
        <f ca="1"/>
        <v>Automobiles &amp; Auto Parts</v>
      </c>
      <c r="C36" s="408">
        <f ca="1"/>
        <v>5881.3667000000005</v>
      </c>
      <c r="D36" s="322">
        <f t="shared" ca="1" si="17"/>
        <v>2.7829602060306179E-2</v>
      </c>
      <c r="E36" s="337">
        <f t="shared" ca="1" si="18"/>
        <v>7.7448675083499792E-4</v>
      </c>
      <c r="F36" s="271"/>
      <c r="G36" s="343" t="str">
        <f t="shared" ca="1" si="19"/>
        <v>C</v>
      </c>
      <c r="H36" s="367">
        <f t="shared" ca="1" si="20"/>
        <v>2.7357425477160534E-2</v>
      </c>
      <c r="I36" s="322">
        <f t="shared" ca="1" si="21"/>
        <v>6.25E-2</v>
      </c>
      <c r="J36" s="394">
        <f t="shared" ca="1" si="22"/>
        <v>-3.5142574522839462E-2</v>
      </c>
      <c r="K36" s="384" t="str">
        <f t="shared" ca="1" si="23"/>
        <v>▵ add</v>
      </c>
      <c r="L36" s="323"/>
      <c r="M36" s="268"/>
      <c r="N36" s="268"/>
      <c r="O36" s="268"/>
      <c r="P36" s="268"/>
      <c r="Q36" s="268"/>
      <c r="R36" s="268"/>
      <c r="S36" s="268"/>
      <c r="T36" s="268"/>
      <c r="U36" s="268"/>
      <c r="V36" s="268"/>
      <c r="W36" s="268"/>
      <c r="X36" s="268"/>
      <c r="Y36" s="268"/>
      <c r="Z36" s="268"/>
      <c r="AA36" s="268"/>
      <c r="AB36" s="268"/>
      <c r="AC36" s="268"/>
      <c r="AD36" s="268"/>
      <c r="AE36" s="268"/>
    </row>
    <row r="37" spans="1:31" ht="16" customHeight="1" x14ac:dyDescent="0.35">
      <c r="A37" s="268"/>
      <c r="B37" s="308" t="str">
        <f ca="1"/>
        <v>Banking Services</v>
      </c>
      <c r="C37" s="407">
        <f ca="1"/>
        <v>7916.5968000000021</v>
      </c>
      <c r="D37" s="314">
        <f t="shared" ca="1" si="17"/>
        <v>3.7459956138407989E-2</v>
      </c>
      <c r="E37" s="336">
        <f t="shared" ca="1" si="18"/>
        <v>1.4032483138914503E-3</v>
      </c>
      <c r="F37" s="271"/>
      <c r="G37" s="342" t="str">
        <f t="shared" ca="1" si="19"/>
        <v>F</v>
      </c>
      <c r="H37" s="363">
        <f t="shared" ca="1" si="20"/>
        <v>1.0201707361857361E-2</v>
      </c>
      <c r="I37" s="314">
        <f t="shared" ca="1" si="21"/>
        <v>6.25E-2</v>
      </c>
      <c r="J37" s="395">
        <f t="shared" ca="1" si="22"/>
        <v>-5.2298292638142639E-2</v>
      </c>
      <c r="K37" s="368" t="str">
        <f t="shared" ca="1" si="23"/>
        <v>▵ add</v>
      </c>
      <c r="L37" s="315"/>
      <c r="M37" s="268"/>
      <c r="N37" s="268"/>
      <c r="O37" s="268"/>
      <c r="P37" s="268"/>
      <c r="Q37" s="268"/>
      <c r="R37" s="268"/>
      <c r="S37" s="268"/>
      <c r="T37" s="268"/>
      <c r="U37" s="268"/>
      <c r="V37" s="268"/>
      <c r="W37" s="268"/>
      <c r="X37" s="268"/>
      <c r="Y37" s="268"/>
      <c r="Z37" s="268"/>
      <c r="AA37" s="268"/>
      <c r="AB37" s="268"/>
      <c r="AC37" s="268"/>
      <c r="AD37" s="268"/>
      <c r="AE37" s="268"/>
    </row>
    <row r="38" spans="1:31" ht="16" customHeight="1" x14ac:dyDescent="0.35">
      <c r="A38" s="268"/>
      <c r="B38" s="316" t="str">
        <f ca="1"/>
        <v>Aerospace &amp; Defense</v>
      </c>
      <c r="C38" s="408">
        <f ca="1"/>
        <v>4858.3608000000013</v>
      </c>
      <c r="D38" s="322">
        <f t="shared" ca="1" si="17"/>
        <v>2.2988916458718821E-2</v>
      </c>
      <c r="E38" s="337">
        <f t="shared" ca="1" si="18"/>
        <v>5.2849027994595309E-4</v>
      </c>
      <c r="F38" s="271"/>
      <c r="G38" s="343" t="str">
        <f t="shared" ca="1" si="19"/>
        <v>HMC</v>
      </c>
      <c r="H38" s="367">
        <f t="shared" ca="1" si="20"/>
        <v>7.5684733351763459E-3</v>
      </c>
      <c r="I38" s="322">
        <f t="shared" ca="1" si="21"/>
        <v>6.25E-2</v>
      </c>
      <c r="J38" s="394">
        <f t="shared" ca="1" si="22"/>
        <v>-5.4931526664823656E-2</v>
      </c>
      <c r="K38" s="364" t="str">
        <f t="shared" ca="1" si="23"/>
        <v>▵ add</v>
      </c>
      <c r="L38" s="323"/>
      <c r="M38" s="268"/>
      <c r="N38" s="268"/>
      <c r="O38" s="268"/>
      <c r="P38" s="268"/>
      <c r="Q38" s="268"/>
      <c r="R38" s="268"/>
      <c r="S38" s="268"/>
      <c r="T38" s="268"/>
      <c r="U38" s="268"/>
      <c r="V38" s="268"/>
      <c r="W38" s="268"/>
      <c r="X38" s="268"/>
      <c r="Y38" s="268"/>
      <c r="Z38" s="268"/>
      <c r="AA38" s="268"/>
      <c r="AB38" s="268"/>
      <c r="AC38" s="268"/>
      <c r="AD38" s="268"/>
      <c r="AE38" s="268"/>
    </row>
    <row r="39" spans="1:31" ht="16" customHeight="1" x14ac:dyDescent="0.35">
      <c r="A39" s="268"/>
      <c r="B39" s="297" t="str">
        <f ca="1"/>
        <v>Food &amp; Drug Retailing</v>
      </c>
      <c r="C39" s="409">
        <f ca="1"/>
        <v>8909.3362000000016</v>
      </c>
      <c r="D39" s="306">
        <f t="shared" ca="1" si="17"/>
        <v>4.2157425937661808E-2</v>
      </c>
      <c r="E39" s="335">
        <f t="shared" ca="1" si="18"/>
        <v>1.7772485616894406E-3</v>
      </c>
      <c r="F39" s="268"/>
      <c r="G39" s="342" t="str">
        <f t="shared" ca="1" si="19"/>
        <v>JPM</v>
      </c>
      <c r="H39" s="363">
        <f t="shared" ca="1" si="20"/>
        <v>3.7459956138407996E-2</v>
      </c>
      <c r="I39" s="314">
        <f t="shared" ca="1" si="21"/>
        <v>6.25E-2</v>
      </c>
      <c r="J39" s="395">
        <f t="shared" ca="1" si="22"/>
        <v>-2.5040043861592004E-2</v>
      </c>
      <c r="K39" s="360" t="str">
        <f t="shared" ca="1" si="23"/>
        <v>✔ OK</v>
      </c>
      <c r="L39" s="315"/>
      <c r="M39" s="268"/>
      <c r="N39" s="268"/>
      <c r="O39" s="268"/>
      <c r="P39" s="268"/>
      <c r="Q39" s="268"/>
      <c r="R39" s="268"/>
      <c r="S39" s="268"/>
      <c r="T39" s="268"/>
      <c r="U39" s="268"/>
      <c r="V39" s="268"/>
      <c r="W39" s="268"/>
      <c r="X39" s="268"/>
      <c r="Y39" s="268"/>
      <c r="Z39" s="268"/>
      <c r="AA39" s="268"/>
      <c r="AB39" s="268"/>
      <c r="AC39" s="268"/>
      <c r="AD39" s="268"/>
      <c r="AE39" s="268"/>
    </row>
    <row r="40" spans="1:31" x14ac:dyDescent="0.35">
      <c r="A40" s="268"/>
      <c r="B40" s="268"/>
      <c r="C40" s="268"/>
      <c r="D40" s="268"/>
      <c r="E40" s="268"/>
      <c r="F40" s="268"/>
      <c r="G40" s="343" t="str">
        <f t="shared" ca="1" si="19"/>
        <v>META</v>
      </c>
      <c r="H40" s="367">
        <f t="shared" ca="1" si="20"/>
        <v>5.3400202143877508E-2</v>
      </c>
      <c r="I40" s="322">
        <f t="shared" ca="1" si="21"/>
        <v>6.25E-2</v>
      </c>
      <c r="J40" s="394">
        <f t="shared" ca="1" si="22"/>
        <v>-9.0997978561224921E-3</v>
      </c>
      <c r="K40" s="384" t="str">
        <f t="shared" ca="1" si="23"/>
        <v>✔ OK</v>
      </c>
      <c r="L40" s="323"/>
      <c r="M40" s="268"/>
      <c r="N40" s="268"/>
      <c r="O40" s="268"/>
      <c r="P40" s="268"/>
      <c r="Q40" s="268"/>
      <c r="R40" s="268"/>
      <c r="S40" s="268"/>
      <c r="T40" s="268"/>
      <c r="U40" s="268"/>
      <c r="V40" s="268"/>
      <c r="W40" s="268"/>
      <c r="X40" s="268"/>
      <c r="Y40" s="268"/>
      <c r="Z40" s="268"/>
      <c r="AA40" s="268"/>
      <c r="AB40" s="268"/>
      <c r="AC40" s="268"/>
      <c r="AD40" s="268"/>
      <c r="AE40" s="268"/>
    </row>
    <row r="41" spans="1:31" x14ac:dyDescent="0.35">
      <c r="A41" s="268"/>
      <c r="B41" s="268"/>
      <c r="C41" s="268"/>
      <c r="D41" s="268"/>
      <c r="E41" s="268"/>
      <c r="F41" s="268"/>
      <c r="G41" s="342" t="str">
        <f t="shared" ca="1" si="19"/>
        <v>NVDA</v>
      </c>
      <c r="H41" s="363">
        <f t="shared" ca="1" si="20"/>
        <v>0.45087608524794898</v>
      </c>
      <c r="I41" s="314">
        <f t="shared" ca="1" si="21"/>
        <v>6.25E-2</v>
      </c>
      <c r="J41" s="393">
        <f t="shared" ca="1" si="22"/>
        <v>0.38837608524794898</v>
      </c>
      <c r="K41" s="374" t="str">
        <f t="shared" ca="1" si="23"/>
        <v>🔻 TRIM</v>
      </c>
      <c r="L41" s="315"/>
      <c r="M41" s="268"/>
      <c r="N41" s="268"/>
      <c r="O41" s="268"/>
      <c r="P41" s="268"/>
      <c r="Q41" s="268"/>
      <c r="R41" s="268"/>
      <c r="S41" s="268"/>
      <c r="T41" s="268"/>
      <c r="U41" s="268"/>
      <c r="V41" s="268"/>
      <c r="W41" s="268"/>
      <c r="X41" s="268"/>
      <c r="Y41" s="268"/>
      <c r="Z41" s="268"/>
      <c r="AA41" s="268"/>
      <c r="AB41" s="268"/>
      <c r="AC41" s="268"/>
      <c r="AD41" s="268"/>
      <c r="AE41" s="268"/>
    </row>
    <row r="42" spans="1:31" x14ac:dyDescent="0.35">
      <c r="A42" s="268"/>
      <c r="B42" s="268"/>
      <c r="C42" s="268"/>
      <c r="D42" s="268"/>
      <c r="E42" s="268"/>
      <c r="F42" s="268"/>
      <c r="G42" s="343" t="str">
        <f t="shared" ca="1" si="19"/>
        <v>0R2N</v>
      </c>
      <c r="H42" s="367">
        <f t="shared" ca="1" si="20"/>
        <v>2.0764038042968173E-2</v>
      </c>
      <c r="I42" s="322">
        <f t="shared" ca="1" si="21"/>
        <v>6.25E-2</v>
      </c>
      <c r="J42" s="394">
        <f t="shared" ca="1" si="22"/>
        <v>-4.1735961957031831E-2</v>
      </c>
      <c r="K42" s="384" t="str">
        <f t="shared" ca="1" si="23"/>
        <v>▵ add</v>
      </c>
      <c r="L42" s="323"/>
      <c r="M42" s="268"/>
      <c r="N42" s="268"/>
      <c r="O42" s="268"/>
      <c r="P42" s="268"/>
      <c r="Q42" s="268"/>
      <c r="R42" s="268"/>
      <c r="S42" s="268"/>
      <c r="T42" s="268"/>
      <c r="U42" s="268"/>
      <c r="V42" s="268"/>
      <c r="W42" s="268"/>
      <c r="X42" s="268"/>
      <c r="Y42" s="268"/>
      <c r="Z42" s="268"/>
      <c r="AA42" s="268"/>
      <c r="AB42" s="268"/>
      <c r="AC42" s="268"/>
      <c r="AD42" s="268"/>
      <c r="AE42" s="268"/>
    </row>
    <row r="43" spans="1:31" x14ac:dyDescent="0.35">
      <c r="A43" s="268"/>
      <c r="B43" s="268"/>
      <c r="C43" s="268"/>
      <c r="D43" s="268"/>
      <c r="E43" s="268"/>
      <c r="F43" s="268"/>
      <c r="G43" s="342" t="str">
        <f t="shared" ca="1" si="19"/>
        <v>BA</v>
      </c>
      <c r="H43" s="363">
        <f t="shared" ca="1" si="20"/>
        <v>2.2248784157506544E-3</v>
      </c>
      <c r="I43" s="314">
        <f t="shared" ca="1" si="21"/>
        <v>6.25E-2</v>
      </c>
      <c r="J43" s="395">
        <f t="shared" ca="1" si="22"/>
        <v>-6.0275121584249344E-2</v>
      </c>
      <c r="K43" s="368" t="str">
        <f t="shared" ca="1" si="23"/>
        <v>▵ add</v>
      </c>
      <c r="L43" s="315"/>
      <c r="M43" s="268"/>
      <c r="N43" s="268"/>
      <c r="O43" s="268"/>
      <c r="P43" s="268"/>
      <c r="Q43" s="268"/>
      <c r="R43" s="268"/>
      <c r="S43" s="268"/>
      <c r="T43" s="268"/>
      <c r="U43" s="268"/>
      <c r="V43" s="268"/>
      <c r="W43" s="268"/>
      <c r="X43" s="268"/>
      <c r="Y43" s="268"/>
      <c r="Z43" s="268"/>
      <c r="AA43" s="268"/>
      <c r="AB43" s="268"/>
      <c r="AC43" s="268"/>
      <c r="AD43" s="268"/>
      <c r="AE43" s="268"/>
    </row>
    <row r="44" spans="1:31" ht="14.5" customHeight="1" x14ac:dyDescent="0.35">
      <c r="A44" s="268"/>
      <c r="B44" s="268"/>
      <c r="C44" s="268"/>
      <c r="D44" s="268"/>
      <c r="E44" s="268"/>
      <c r="F44" s="268"/>
      <c r="G44" s="343" t="str">
        <f t="shared" ca="1" si="19"/>
        <v>TM</v>
      </c>
      <c r="H44" s="367">
        <f t="shared" ca="1" si="20"/>
        <v>1.0059421363272472E-2</v>
      </c>
      <c r="I44" s="322">
        <f t="shared" ca="1" si="21"/>
        <v>6.25E-2</v>
      </c>
      <c r="J44" s="394">
        <f t="shared" ca="1" si="22"/>
        <v>-5.2440578636727526E-2</v>
      </c>
      <c r="K44" s="364" t="str">
        <f t="shared" ca="1" si="23"/>
        <v>▵ add</v>
      </c>
      <c r="L44" s="323"/>
      <c r="M44" s="268"/>
      <c r="N44" s="268"/>
      <c r="O44" s="268"/>
      <c r="P44" s="268"/>
      <c r="Q44" s="268"/>
      <c r="R44" s="268"/>
      <c r="S44" s="268"/>
      <c r="T44" s="268"/>
      <c r="U44" s="268"/>
      <c r="V44" s="268"/>
      <c r="W44" s="268"/>
      <c r="X44" s="268"/>
      <c r="Y44" s="268"/>
      <c r="Z44" s="268"/>
      <c r="AA44" s="268"/>
      <c r="AB44" s="268"/>
      <c r="AC44" s="268"/>
      <c r="AD44" s="268"/>
      <c r="AE44" s="268"/>
    </row>
    <row r="45" spans="1:31" ht="15" customHeight="1" x14ac:dyDescent="0.35">
      <c r="A45" s="268"/>
      <c r="B45" s="268"/>
      <c r="C45" s="268"/>
      <c r="D45" s="268"/>
      <c r="E45" s="268"/>
      <c r="F45" s="268"/>
      <c r="G45" s="341" t="str">
        <f t="shared" ca="1" si="19"/>
        <v>WMT</v>
      </c>
      <c r="H45" s="379">
        <f t="shared" ca="1" si="20"/>
        <v>4.2157425937661815E-2</v>
      </c>
      <c r="I45" s="306">
        <f t="shared" ca="1" si="21"/>
        <v>6.25E-2</v>
      </c>
      <c r="J45" s="396">
        <f t="shared" ca="1" si="22"/>
        <v>-2.0342574062338185E-2</v>
      </c>
      <c r="K45" s="376" t="str">
        <f t="shared" ca="1" si="23"/>
        <v>✔ OK</v>
      </c>
      <c r="L45" s="307"/>
      <c r="M45" s="268"/>
      <c r="N45" s="268"/>
      <c r="O45" s="268"/>
      <c r="P45" s="268"/>
      <c r="Q45" s="268"/>
      <c r="R45" s="268"/>
      <c r="S45" s="268"/>
      <c r="T45" s="268"/>
      <c r="U45" s="268"/>
      <c r="V45" s="268"/>
      <c r="W45" s="268"/>
      <c r="X45" s="268"/>
      <c r="Y45" s="268"/>
      <c r="Z45" s="268"/>
      <c r="AA45" s="268"/>
      <c r="AB45" s="268"/>
      <c r="AC45" s="268"/>
      <c r="AD45" s="268"/>
      <c r="AE45" s="268"/>
    </row>
    <row r="46" spans="1:31" x14ac:dyDescent="0.35">
      <c r="A46" s="268"/>
      <c r="B46" s="268"/>
      <c r="C46" s="268" t="s">
        <v>149</v>
      </c>
      <c r="D46" s="268"/>
      <c r="E46" s="268"/>
      <c r="F46" s="268"/>
      <c r="G46" s="268"/>
      <c r="H46" s="268"/>
      <c r="I46" s="268"/>
      <c r="J46" s="268"/>
      <c r="K46" s="268"/>
      <c r="L46" s="268"/>
      <c r="M46" s="268"/>
      <c r="N46" s="268"/>
      <c r="O46" s="268"/>
      <c r="P46" s="268"/>
      <c r="Q46" s="268"/>
      <c r="R46" s="268"/>
      <c r="S46" s="268"/>
      <c r="T46" s="268"/>
      <c r="U46" s="268"/>
      <c r="V46" s="268"/>
      <c r="W46" s="268"/>
      <c r="X46" s="268"/>
      <c r="Y46" s="268"/>
      <c r="Z46" s="268"/>
      <c r="AA46" s="268"/>
      <c r="AB46" s="268"/>
      <c r="AC46" s="268"/>
      <c r="AD46" s="268"/>
      <c r="AE46" s="268"/>
    </row>
    <row r="47" spans="1:31" x14ac:dyDescent="0.35">
      <c r="A47" s="268"/>
      <c r="B47" s="268"/>
      <c r="C47" s="268"/>
      <c r="D47" s="268"/>
      <c r="E47" s="268"/>
      <c r="F47" s="268"/>
      <c r="G47" s="268"/>
      <c r="H47" s="268"/>
      <c r="I47" s="268"/>
      <c r="J47" s="268"/>
      <c r="K47" s="268"/>
      <c r="L47" s="268"/>
      <c r="M47" s="268"/>
      <c r="N47" s="268"/>
      <c r="O47" s="268"/>
      <c r="P47" s="268"/>
      <c r="Q47" s="268"/>
      <c r="R47" s="268"/>
      <c r="S47" s="268"/>
      <c r="T47" s="268"/>
      <c r="U47" s="268"/>
      <c r="V47" s="268"/>
      <c r="W47" s="268"/>
      <c r="X47" s="268"/>
      <c r="Y47" s="268"/>
      <c r="Z47" s="268"/>
      <c r="AA47" s="268"/>
      <c r="AB47" s="268"/>
      <c r="AC47" s="268"/>
      <c r="AD47" s="268"/>
      <c r="AE47" s="268"/>
    </row>
    <row r="48" spans="1:31" x14ac:dyDescent="0.35">
      <c r="A48" s="268"/>
      <c r="B48" s="268"/>
      <c r="C48" s="268"/>
      <c r="D48" s="268"/>
      <c r="E48" s="268"/>
      <c r="F48" s="268"/>
      <c r="G48" s="268"/>
      <c r="H48" s="268"/>
      <c r="I48" s="268"/>
      <c r="J48" s="268"/>
      <c r="K48" s="268"/>
      <c r="L48" s="268"/>
      <c r="M48" s="268"/>
      <c r="N48" s="268"/>
      <c r="O48" s="268"/>
      <c r="P48" s="268"/>
      <c r="Q48" s="268"/>
      <c r="R48" s="268"/>
      <c r="S48" s="268"/>
      <c r="T48" s="268"/>
      <c r="U48" s="268"/>
      <c r="V48" s="268"/>
      <c r="W48" s="268"/>
      <c r="X48" s="268"/>
      <c r="Y48" s="268"/>
      <c r="Z48" s="268"/>
      <c r="AA48" s="268"/>
      <c r="AB48" s="268"/>
      <c r="AC48" s="268"/>
      <c r="AD48" s="268"/>
      <c r="AE48" s="268"/>
    </row>
    <row r="49" spans="1:31" x14ac:dyDescent="0.35">
      <c r="A49" s="268"/>
      <c r="B49" s="268"/>
      <c r="C49" s="268"/>
      <c r="D49" s="268"/>
      <c r="E49" s="268"/>
      <c r="F49" s="268"/>
      <c r="G49" s="268"/>
      <c r="H49" s="268"/>
      <c r="I49" s="268"/>
      <c r="J49" s="268"/>
      <c r="K49" s="268"/>
      <c r="L49" s="268"/>
      <c r="M49" s="268"/>
      <c r="N49" s="268"/>
      <c r="O49" s="268"/>
      <c r="P49" s="268"/>
      <c r="Q49" s="268"/>
      <c r="R49" s="268"/>
      <c r="S49" s="268"/>
      <c r="T49" s="268"/>
      <c r="U49" s="268"/>
      <c r="V49" s="268"/>
      <c r="W49" s="268"/>
      <c r="X49" s="268"/>
      <c r="Y49" s="268"/>
      <c r="Z49" s="268"/>
      <c r="AA49" s="268"/>
      <c r="AB49" s="268"/>
      <c r="AC49" s="268"/>
      <c r="AD49" s="268"/>
      <c r="AE49" s="268"/>
    </row>
    <row r="50" spans="1:31" x14ac:dyDescent="0.35">
      <c r="A50" s="268"/>
      <c r="B50" s="268"/>
      <c r="C50" s="268"/>
      <c r="D50" s="268"/>
      <c r="E50" s="268"/>
      <c r="F50" s="268"/>
      <c r="G50" s="268"/>
      <c r="H50" s="268"/>
      <c r="I50" s="268"/>
      <c r="J50" s="268"/>
      <c r="K50" s="268"/>
      <c r="L50" s="268"/>
      <c r="M50" s="268"/>
      <c r="N50" s="268"/>
      <c r="O50" s="268"/>
      <c r="P50" s="268"/>
      <c r="Q50" s="268"/>
      <c r="R50" s="268"/>
      <c r="S50" s="268"/>
      <c r="T50" s="268"/>
      <c r="U50" s="268"/>
      <c r="V50" s="268"/>
      <c r="W50" s="268"/>
      <c r="X50" s="268"/>
      <c r="Y50" s="268"/>
      <c r="Z50" s="268"/>
      <c r="AA50" s="268"/>
      <c r="AB50" s="268"/>
      <c r="AC50" s="268"/>
      <c r="AD50" s="268"/>
      <c r="AE50" s="268"/>
    </row>
    <row r="51" spans="1:31" x14ac:dyDescent="0.35">
      <c r="A51" s="268"/>
      <c r="B51" s="268"/>
      <c r="C51" s="268"/>
      <c r="D51" s="268"/>
      <c r="E51" s="268"/>
      <c r="F51" s="268"/>
      <c r="G51" s="268"/>
      <c r="H51" s="268"/>
      <c r="I51" s="268"/>
      <c r="J51" s="268"/>
      <c r="K51" s="268"/>
      <c r="L51" s="268"/>
      <c r="M51" s="268"/>
      <c r="N51" s="268"/>
      <c r="O51" s="268"/>
      <c r="P51" s="268"/>
      <c r="Q51" s="268"/>
      <c r="R51" s="268"/>
      <c r="S51" s="268"/>
      <c r="T51" s="268"/>
      <c r="U51" s="268"/>
      <c r="V51" s="268"/>
      <c r="W51" s="268"/>
      <c r="X51" s="268"/>
      <c r="Y51" s="268"/>
      <c r="Z51" s="268"/>
      <c r="AA51" s="268"/>
      <c r="AB51" s="268"/>
      <c r="AC51" s="268"/>
      <c r="AD51" s="268"/>
      <c r="AE51" s="268"/>
    </row>
    <row r="52" spans="1:31" x14ac:dyDescent="0.35">
      <c r="A52" s="268"/>
      <c r="B52" s="268"/>
      <c r="C52" s="268"/>
      <c r="D52" s="268"/>
      <c r="E52" s="268"/>
      <c r="F52" s="268"/>
      <c r="G52" s="268"/>
      <c r="H52" s="268"/>
      <c r="I52" s="268"/>
      <c r="J52" s="268"/>
      <c r="K52" s="268"/>
      <c r="L52" s="268"/>
      <c r="M52" s="268"/>
      <c r="N52" s="268"/>
      <c r="O52" s="268"/>
      <c r="P52" s="268"/>
      <c r="Q52" s="268"/>
      <c r="R52" s="268"/>
      <c r="S52" s="268"/>
      <c r="T52" s="268"/>
      <c r="U52" s="268"/>
      <c r="V52" s="268"/>
      <c r="W52" s="268"/>
      <c r="X52" s="268"/>
      <c r="Y52" s="268"/>
      <c r="Z52" s="268"/>
      <c r="AA52" s="268"/>
      <c r="AB52" s="268"/>
      <c r="AC52" s="268"/>
      <c r="AD52" s="268"/>
      <c r="AE52" s="268"/>
    </row>
    <row r="53" spans="1:31" x14ac:dyDescent="0.35">
      <c r="A53" s="268"/>
      <c r="B53" s="268"/>
      <c r="C53" s="268"/>
      <c r="D53" s="268"/>
      <c r="E53" s="268"/>
      <c r="F53" s="268"/>
      <c r="G53" s="268"/>
      <c r="H53" s="268"/>
      <c r="I53" s="268"/>
      <c r="J53" s="268"/>
      <c r="K53" s="268"/>
      <c r="L53" s="268"/>
      <c r="M53" s="268"/>
      <c r="N53" s="268"/>
      <c r="O53" s="268"/>
      <c r="P53" s="268"/>
      <c r="Q53" s="268"/>
      <c r="R53" s="268"/>
      <c r="S53" s="268"/>
      <c r="T53" s="268"/>
      <c r="U53" s="268"/>
      <c r="V53" s="268"/>
      <c r="W53" s="268"/>
      <c r="X53" s="268"/>
      <c r="Y53" s="268"/>
      <c r="Z53" s="268"/>
      <c r="AA53" s="268"/>
      <c r="AB53" s="268"/>
      <c r="AC53" s="268"/>
      <c r="AD53" s="268"/>
      <c r="AE53" s="268"/>
    </row>
    <row r="54" spans="1:31" x14ac:dyDescent="0.35">
      <c r="A54" s="268"/>
      <c r="B54" s="268"/>
      <c r="C54" s="268"/>
      <c r="D54" s="268"/>
      <c r="E54" s="268"/>
      <c r="F54" s="268"/>
      <c r="G54" s="268"/>
      <c r="H54" s="268"/>
      <c r="I54" s="268"/>
      <c r="J54" s="268"/>
      <c r="K54" s="268"/>
      <c r="L54" s="268"/>
      <c r="M54" s="268"/>
      <c r="N54" s="268"/>
      <c r="O54" s="268"/>
      <c r="P54" s="268"/>
      <c r="Q54" s="268"/>
      <c r="R54" s="268"/>
      <c r="S54" s="268"/>
      <c r="T54" s="268"/>
      <c r="U54" s="268"/>
      <c r="V54" s="268"/>
      <c r="W54" s="268"/>
      <c r="X54" s="268"/>
      <c r="Y54" s="268"/>
      <c r="Z54" s="268"/>
      <c r="AA54" s="268"/>
      <c r="AB54" s="268"/>
      <c r="AC54" s="268"/>
      <c r="AD54" s="268"/>
      <c r="AE54" s="268"/>
    </row>
    <row r="55" spans="1:31" x14ac:dyDescent="0.35">
      <c r="A55" s="268"/>
      <c r="B55" s="268"/>
      <c r="C55" s="268"/>
      <c r="D55" s="268"/>
      <c r="E55" s="268"/>
      <c r="F55" s="268"/>
      <c r="G55" s="268"/>
      <c r="H55" s="268"/>
      <c r="I55" s="268"/>
      <c r="J55" s="268"/>
      <c r="K55" s="268"/>
      <c r="L55" s="268"/>
      <c r="M55" s="268"/>
      <c r="N55" s="268"/>
      <c r="O55" s="268"/>
      <c r="P55" s="268"/>
      <c r="Q55" s="268"/>
      <c r="R55" s="268"/>
      <c r="S55" s="268"/>
      <c r="T55" s="268"/>
      <c r="U55" s="268"/>
      <c r="V55" s="268"/>
      <c r="W55" s="268"/>
      <c r="X55" s="268"/>
      <c r="Y55" s="268"/>
      <c r="Z55" s="268"/>
      <c r="AA55" s="268"/>
      <c r="AB55" s="268"/>
      <c r="AC55" s="268"/>
      <c r="AD55" s="268"/>
      <c r="AE55" s="268"/>
    </row>
    <row r="56" spans="1:31" x14ac:dyDescent="0.35">
      <c r="A56" s="268"/>
      <c r="B56" s="268"/>
      <c r="C56" s="268"/>
      <c r="D56" s="268"/>
      <c r="E56" s="268"/>
      <c r="F56" s="268"/>
      <c r="G56" s="268"/>
      <c r="H56" s="268"/>
      <c r="I56" s="268"/>
      <c r="J56" s="268"/>
      <c r="K56" s="268"/>
      <c r="L56" s="268"/>
      <c r="M56" s="268"/>
      <c r="N56" s="268"/>
      <c r="O56" s="268"/>
      <c r="P56" s="268"/>
      <c r="Q56" s="268"/>
      <c r="R56" s="268"/>
      <c r="S56" s="268"/>
      <c r="T56" s="268"/>
      <c r="U56" s="268"/>
      <c r="V56" s="268"/>
      <c r="W56" s="268"/>
      <c r="X56" s="268"/>
      <c r="Y56" s="268"/>
      <c r="Z56" s="268"/>
      <c r="AA56" s="268"/>
      <c r="AB56" s="268"/>
      <c r="AC56" s="268"/>
      <c r="AD56" s="268"/>
      <c r="AE56" s="268"/>
    </row>
    <row r="57" spans="1:31" x14ac:dyDescent="0.35">
      <c r="A57" s="268"/>
      <c r="B57" s="268"/>
      <c r="C57" s="268"/>
      <c r="D57" s="268"/>
      <c r="E57" s="268"/>
      <c r="F57" s="268"/>
      <c r="G57" s="268"/>
      <c r="H57" s="268"/>
      <c r="I57" s="268"/>
      <c r="J57" s="268"/>
      <c r="K57" s="268"/>
      <c r="L57" s="268"/>
      <c r="M57" s="268"/>
      <c r="N57" s="268"/>
      <c r="O57" s="268"/>
      <c r="P57" s="268"/>
      <c r="Q57" s="268"/>
      <c r="R57" s="268"/>
      <c r="S57" s="268"/>
      <c r="T57" s="268"/>
      <c r="U57" s="268"/>
      <c r="V57" s="268"/>
      <c r="W57" s="268"/>
      <c r="X57" s="268"/>
      <c r="Y57" s="268"/>
      <c r="Z57" s="268"/>
      <c r="AA57" s="268"/>
      <c r="AB57" s="268"/>
      <c r="AC57" s="268"/>
      <c r="AD57" s="268"/>
      <c r="AE57" s="268"/>
    </row>
    <row r="58" spans="1:31" x14ac:dyDescent="0.35">
      <c r="A58" s="268"/>
      <c r="B58" s="268"/>
      <c r="C58" s="268"/>
      <c r="D58" s="268"/>
      <c r="E58" s="268"/>
      <c r="F58" s="268"/>
      <c r="G58" s="268"/>
      <c r="H58" s="268"/>
      <c r="I58" s="268"/>
      <c r="J58" s="268"/>
      <c r="K58" s="268"/>
      <c r="L58" s="268"/>
      <c r="M58" s="268"/>
      <c r="N58" s="268"/>
      <c r="O58" s="268"/>
      <c r="P58" s="268"/>
      <c r="Q58" s="268"/>
      <c r="R58" s="268"/>
      <c r="S58" s="268"/>
      <c r="T58" s="268"/>
      <c r="U58" s="268"/>
      <c r="V58" s="268"/>
      <c r="W58" s="268"/>
      <c r="X58" s="268"/>
      <c r="Y58" s="268"/>
      <c r="Z58" s="268"/>
      <c r="AA58" s="268"/>
      <c r="AB58" s="268"/>
      <c r="AC58" s="268"/>
      <c r="AD58" s="268"/>
      <c r="AE58" s="268"/>
    </row>
    <row r="59" spans="1:31" x14ac:dyDescent="0.35">
      <c r="A59" s="268"/>
      <c r="B59" s="268"/>
      <c r="C59" s="268"/>
      <c r="D59" s="268"/>
      <c r="E59" s="268"/>
      <c r="F59" s="268"/>
      <c r="G59" s="268"/>
      <c r="H59" s="268"/>
      <c r="I59" s="268"/>
      <c r="J59" s="268"/>
      <c r="K59" s="268"/>
      <c r="L59" s="268"/>
      <c r="M59" s="268"/>
      <c r="N59" s="268"/>
      <c r="O59" s="268"/>
      <c r="P59" s="268"/>
      <c r="Q59" s="268"/>
      <c r="R59" s="268"/>
      <c r="S59" s="268"/>
      <c r="T59" s="268"/>
      <c r="U59" s="268"/>
      <c r="V59" s="268"/>
      <c r="W59" s="268"/>
      <c r="X59" s="268"/>
      <c r="Y59" s="268"/>
      <c r="Z59" s="268"/>
      <c r="AA59" s="268"/>
      <c r="AB59" s="268"/>
      <c r="AC59" s="268"/>
      <c r="AD59" s="268"/>
      <c r="AE59" s="268"/>
    </row>
    <row r="60" spans="1:31" x14ac:dyDescent="0.35">
      <c r="A60" s="268"/>
      <c r="B60" s="268"/>
      <c r="C60" s="268"/>
      <c r="D60" s="268"/>
      <c r="E60" s="268"/>
      <c r="F60" s="268"/>
      <c r="G60" s="268"/>
      <c r="H60" s="268"/>
      <c r="I60" s="268"/>
      <c r="J60" s="268"/>
      <c r="K60" s="268"/>
      <c r="L60" s="268"/>
      <c r="M60" s="268"/>
      <c r="N60" s="268"/>
      <c r="O60" s="268"/>
      <c r="P60" s="268"/>
      <c r="Q60" s="268"/>
      <c r="R60" s="268"/>
      <c r="S60" s="268"/>
      <c r="T60" s="268"/>
      <c r="U60" s="268"/>
      <c r="V60" s="268"/>
      <c r="W60" s="268"/>
      <c r="X60" s="268"/>
      <c r="Y60" s="268"/>
      <c r="Z60" s="268"/>
      <c r="AA60" s="268"/>
      <c r="AB60" s="268"/>
      <c r="AC60" s="268"/>
      <c r="AD60" s="268"/>
      <c r="AE60" s="268"/>
    </row>
    <row r="61" spans="1:31" x14ac:dyDescent="0.35">
      <c r="A61" s="268"/>
      <c r="B61" s="268"/>
      <c r="C61" s="268"/>
      <c r="D61" s="268"/>
      <c r="E61" s="268"/>
      <c r="F61" s="268"/>
      <c r="G61" s="268"/>
      <c r="H61" s="268"/>
      <c r="I61" s="268"/>
      <c r="J61" s="268"/>
      <c r="K61" s="268"/>
      <c r="L61" s="268"/>
      <c r="M61" s="268"/>
      <c r="N61" s="268"/>
      <c r="O61" s="268"/>
      <c r="P61" s="268"/>
      <c r="Q61" s="268"/>
      <c r="R61" s="268"/>
      <c r="S61" s="268"/>
      <c r="T61" s="268"/>
      <c r="U61" s="268"/>
      <c r="V61" s="268"/>
      <c r="W61" s="268"/>
      <c r="X61" s="268"/>
      <c r="Y61" s="268"/>
      <c r="Z61" s="268"/>
      <c r="AA61" s="268"/>
      <c r="AB61" s="268"/>
      <c r="AC61" s="268"/>
      <c r="AD61" s="268"/>
      <c r="AE61" s="268"/>
    </row>
    <row r="62" spans="1:31" x14ac:dyDescent="0.35">
      <c r="A62" s="268"/>
      <c r="B62" s="268"/>
      <c r="C62" s="268"/>
      <c r="D62" s="268"/>
      <c r="E62" s="268"/>
      <c r="F62" s="268"/>
      <c r="G62" s="268"/>
      <c r="H62" s="268"/>
      <c r="I62" s="268"/>
      <c r="J62" s="268"/>
      <c r="K62" s="268"/>
      <c r="L62" s="268"/>
      <c r="M62" s="268"/>
      <c r="N62" s="268"/>
      <c r="O62" s="268"/>
      <c r="P62" s="268"/>
      <c r="Q62" s="268"/>
      <c r="R62" s="268"/>
      <c r="S62" s="268"/>
      <c r="T62" s="268"/>
      <c r="U62" s="268"/>
      <c r="V62" s="268"/>
      <c r="W62" s="268"/>
      <c r="X62" s="268"/>
      <c r="Y62" s="268"/>
      <c r="Z62" s="268"/>
      <c r="AA62" s="268"/>
      <c r="AB62" s="268"/>
      <c r="AC62" s="268"/>
      <c r="AD62" s="268"/>
      <c r="AE62" s="268"/>
    </row>
    <row r="63" spans="1:31" x14ac:dyDescent="0.35">
      <c r="A63" s="268"/>
      <c r="B63" s="268"/>
      <c r="C63" s="268"/>
      <c r="D63" s="268"/>
      <c r="E63" s="268"/>
      <c r="F63" s="268"/>
      <c r="G63" s="268"/>
      <c r="H63" s="268"/>
      <c r="I63" s="268"/>
      <c r="J63" s="268"/>
      <c r="K63" s="268"/>
      <c r="L63" s="268"/>
      <c r="M63" s="268"/>
      <c r="N63" s="268"/>
      <c r="O63" s="268"/>
      <c r="P63" s="268"/>
      <c r="Q63" s="268"/>
      <c r="R63" s="268"/>
      <c r="S63" s="268"/>
      <c r="T63" s="268"/>
      <c r="U63" s="268"/>
      <c r="V63" s="268"/>
      <c r="W63" s="268"/>
      <c r="X63" s="268"/>
      <c r="Y63" s="268"/>
      <c r="Z63" s="268"/>
      <c r="AA63" s="268"/>
      <c r="AB63" s="268"/>
      <c r="AC63" s="268"/>
      <c r="AD63" s="268"/>
      <c r="AE63" s="268"/>
    </row>
    <row r="64" spans="1:31" x14ac:dyDescent="0.35">
      <c r="A64" s="268"/>
      <c r="B64" s="268"/>
      <c r="C64" s="268"/>
      <c r="D64" s="268"/>
      <c r="E64" s="268"/>
      <c r="F64" s="268"/>
      <c r="G64" s="268"/>
      <c r="H64" s="268"/>
      <c r="I64" s="268"/>
      <c r="J64" s="268"/>
      <c r="K64" s="268"/>
      <c r="L64" s="268"/>
      <c r="M64" s="268"/>
      <c r="N64" s="268"/>
      <c r="O64" s="268"/>
      <c r="P64" s="268"/>
      <c r="Q64" s="268"/>
      <c r="R64" s="268"/>
      <c r="S64" s="268"/>
      <c r="T64" s="268"/>
      <c r="U64" s="268"/>
      <c r="V64" s="268"/>
      <c r="W64" s="268"/>
      <c r="X64" s="268"/>
      <c r="Y64" s="268"/>
      <c r="Z64" s="268"/>
      <c r="AA64" s="268"/>
      <c r="AB64" s="268"/>
      <c r="AC64" s="268"/>
      <c r="AD64" s="268"/>
      <c r="AE64" s="268"/>
    </row>
    <row r="65" spans="1:31" x14ac:dyDescent="0.35">
      <c r="A65" s="268"/>
      <c r="B65" s="268"/>
      <c r="C65" s="268"/>
      <c r="D65" s="268"/>
      <c r="E65" s="268"/>
      <c r="F65" s="268"/>
      <c r="G65" s="268"/>
      <c r="H65" s="268"/>
      <c r="I65" s="268"/>
      <c r="J65" s="268"/>
      <c r="K65" s="268"/>
      <c r="L65" s="268"/>
      <c r="M65" s="268"/>
      <c r="N65" s="268"/>
      <c r="O65" s="268"/>
      <c r="P65" s="268"/>
      <c r="Q65" s="268"/>
      <c r="R65" s="268"/>
      <c r="S65" s="268"/>
      <c r="T65" s="268"/>
      <c r="U65" s="268"/>
      <c r="V65" s="268"/>
      <c r="W65" s="268"/>
      <c r="X65" s="268"/>
      <c r="Y65" s="268"/>
      <c r="Z65" s="268"/>
      <c r="AA65" s="268"/>
      <c r="AB65" s="268"/>
      <c r="AC65" s="268"/>
      <c r="AD65" s="268"/>
      <c r="AE65" s="268"/>
    </row>
    <row r="66" spans="1:31" x14ac:dyDescent="0.35">
      <c r="A66" s="268"/>
      <c r="B66" s="268"/>
      <c r="C66" s="268"/>
      <c r="D66" s="268"/>
      <c r="E66" s="268"/>
      <c r="F66" s="268"/>
      <c r="G66" s="268"/>
      <c r="H66" s="268"/>
      <c r="I66" s="268"/>
      <c r="J66" s="268"/>
      <c r="K66" s="268"/>
      <c r="L66" s="268"/>
      <c r="M66" s="268"/>
      <c r="N66" s="268"/>
      <c r="O66" s="268"/>
      <c r="P66" s="268"/>
      <c r="Q66" s="268"/>
      <c r="R66" s="268"/>
      <c r="S66" s="268"/>
      <c r="T66" s="268"/>
      <c r="U66" s="268"/>
      <c r="V66" s="268"/>
      <c r="W66" s="268"/>
      <c r="X66" s="268"/>
      <c r="Y66" s="268"/>
      <c r="Z66" s="268"/>
      <c r="AA66" s="268"/>
      <c r="AB66" s="268"/>
      <c r="AC66" s="268"/>
      <c r="AD66" s="268"/>
      <c r="AE66" s="268"/>
    </row>
    <row r="67" spans="1:31" x14ac:dyDescent="0.35">
      <c r="A67" s="268"/>
      <c r="B67" s="268"/>
      <c r="C67" s="268"/>
      <c r="D67" s="268"/>
      <c r="E67" s="268"/>
      <c r="F67" s="268"/>
      <c r="G67" s="268"/>
      <c r="H67" s="268"/>
      <c r="I67" s="268"/>
      <c r="J67" s="268"/>
      <c r="K67" s="268"/>
      <c r="L67" s="268"/>
      <c r="M67" s="268"/>
      <c r="N67" s="268"/>
      <c r="O67" s="268"/>
      <c r="P67" s="268"/>
      <c r="Q67" s="268"/>
      <c r="R67" s="268"/>
      <c r="S67" s="268"/>
      <c r="T67" s="268"/>
      <c r="U67" s="268"/>
      <c r="V67" s="268"/>
      <c r="W67" s="268"/>
      <c r="X67" s="268"/>
      <c r="Y67" s="268"/>
      <c r="Z67" s="268"/>
      <c r="AA67" s="268"/>
      <c r="AB67" s="268"/>
      <c r="AC67" s="268"/>
      <c r="AD67" s="268"/>
      <c r="AE67" s="268"/>
    </row>
    <row r="68" spans="1:31" x14ac:dyDescent="0.35">
      <c r="A68" s="268"/>
      <c r="B68" s="268"/>
      <c r="C68" s="268"/>
      <c r="D68" s="268"/>
      <c r="E68" s="268"/>
      <c r="F68" s="268"/>
      <c r="G68" s="268"/>
      <c r="H68" s="268"/>
      <c r="I68" s="268"/>
      <c r="J68" s="268"/>
      <c r="K68" s="268"/>
      <c r="L68" s="268"/>
      <c r="M68" s="268"/>
      <c r="N68" s="268"/>
      <c r="O68" s="268"/>
      <c r="P68" s="268"/>
      <c r="Q68" s="268"/>
      <c r="R68" s="268"/>
      <c r="S68" s="268"/>
      <c r="T68" s="268"/>
      <c r="U68" s="268"/>
      <c r="V68" s="268"/>
      <c r="W68" s="268"/>
      <c r="X68" s="268"/>
      <c r="Y68" s="268"/>
      <c r="Z68" s="268"/>
      <c r="AA68" s="268"/>
      <c r="AB68" s="268"/>
      <c r="AC68" s="268"/>
      <c r="AD68" s="268"/>
      <c r="AE68" s="268"/>
    </row>
    <row r="69" spans="1:31" x14ac:dyDescent="0.35">
      <c r="A69" s="268"/>
      <c r="B69" s="268"/>
      <c r="C69" s="268"/>
      <c r="D69" s="268"/>
      <c r="E69" s="268"/>
      <c r="F69" s="268"/>
      <c r="G69" s="268"/>
      <c r="H69" s="268"/>
      <c r="I69" s="268"/>
      <c r="J69" s="268"/>
      <c r="K69" s="268"/>
      <c r="L69" s="268"/>
      <c r="M69" s="268"/>
      <c r="N69" s="268"/>
      <c r="O69" s="268"/>
      <c r="P69" s="268"/>
      <c r="Q69" s="268"/>
      <c r="R69" s="268"/>
      <c r="S69" s="268"/>
      <c r="T69" s="268"/>
      <c r="U69" s="268"/>
      <c r="V69" s="268"/>
      <c r="W69" s="268"/>
      <c r="X69" s="268"/>
      <c r="Y69" s="268"/>
      <c r="Z69" s="268"/>
      <c r="AA69" s="268"/>
      <c r="AB69" s="268"/>
      <c r="AC69" s="268"/>
      <c r="AD69" s="268"/>
      <c r="AE69" s="268"/>
    </row>
    <row r="70" spans="1:31" x14ac:dyDescent="0.35">
      <c r="A70" s="268"/>
      <c r="B70" s="268"/>
      <c r="C70" s="268"/>
      <c r="D70" s="268"/>
      <c r="E70" s="268"/>
      <c r="F70" s="268"/>
      <c r="G70" s="268"/>
      <c r="H70" s="268"/>
      <c r="I70" s="268"/>
      <c r="J70" s="268"/>
      <c r="K70" s="268"/>
      <c r="L70" s="268"/>
      <c r="M70" s="268"/>
      <c r="N70" s="268"/>
      <c r="O70" s="268"/>
      <c r="P70" s="268"/>
      <c r="Q70" s="268"/>
      <c r="R70" s="268"/>
      <c r="S70" s="268"/>
      <c r="T70" s="268"/>
      <c r="U70" s="268"/>
      <c r="V70" s="268"/>
      <c r="W70" s="268"/>
      <c r="X70" s="268"/>
      <c r="Y70" s="268"/>
      <c r="Z70" s="268"/>
      <c r="AA70" s="268"/>
      <c r="AB70" s="268"/>
      <c r="AC70" s="268"/>
      <c r="AD70" s="268"/>
      <c r="AE70" s="268"/>
    </row>
    <row r="71" spans="1:31" x14ac:dyDescent="0.35">
      <c r="A71" s="268"/>
      <c r="B71" s="268"/>
      <c r="C71" s="268"/>
      <c r="D71" s="268"/>
      <c r="E71" s="268"/>
      <c r="F71" s="268"/>
      <c r="G71" s="268"/>
      <c r="H71" s="268"/>
      <c r="I71" s="268"/>
      <c r="J71" s="268"/>
      <c r="K71" s="268"/>
      <c r="L71" s="268"/>
      <c r="M71" s="268"/>
      <c r="N71" s="268"/>
      <c r="O71" s="268"/>
      <c r="P71" s="268"/>
      <c r="Q71" s="268"/>
      <c r="R71" s="268"/>
      <c r="S71" s="268"/>
      <c r="T71" s="268"/>
      <c r="U71" s="268"/>
      <c r="V71" s="268"/>
      <c r="W71" s="268"/>
      <c r="X71" s="268"/>
      <c r="Y71" s="268"/>
      <c r="Z71" s="268"/>
      <c r="AA71" s="268"/>
      <c r="AB71" s="268"/>
      <c r="AC71" s="268"/>
      <c r="AD71" s="268"/>
      <c r="AE71" s="268"/>
    </row>
    <row r="90" ht="8" customHeight="1" x14ac:dyDescent="0.35"/>
    <row r="92" ht="3" customHeight="1" x14ac:dyDescent="0.35"/>
    <row r="93" ht="18" customHeight="1" x14ac:dyDescent="0.35"/>
    <row r="94" ht="35" customHeight="1" x14ac:dyDescent="0.35"/>
    <row r="95" ht="8" customHeight="1" x14ac:dyDescent="0.35"/>
    <row r="98" ht="20" customHeight="1" x14ac:dyDescent="0.35"/>
    <row r="99" ht="20" customHeight="1" x14ac:dyDescent="0.35"/>
    <row r="100" ht="20" customHeight="1" x14ac:dyDescent="0.35"/>
    <row r="101" ht="20" customHeight="1" x14ac:dyDescent="0.35"/>
    <row r="102" ht="20" customHeight="1" x14ac:dyDescent="0.35"/>
    <row r="103" ht="20" customHeight="1" x14ac:dyDescent="0.35"/>
    <row r="104" ht="20" customHeight="1" x14ac:dyDescent="0.35"/>
    <row r="105" ht="20" customHeight="1" x14ac:dyDescent="0.35"/>
    <row r="106" ht="20" customHeight="1" x14ac:dyDescent="0.35"/>
    <row r="107" ht="20" customHeight="1" x14ac:dyDescent="0.35"/>
    <row r="108" ht="20" customHeight="1" x14ac:dyDescent="0.35"/>
    <row r="109" ht="20" customHeight="1" x14ac:dyDescent="0.35"/>
    <row r="110" ht="20" customHeight="1" x14ac:dyDescent="0.35"/>
    <row r="111" ht="20" customHeight="1" x14ac:dyDescent="0.35"/>
    <row r="112" ht="20" customHeight="1" x14ac:dyDescent="0.35"/>
    <row r="113" ht="20" customHeight="1" x14ac:dyDescent="0.35"/>
    <row r="114" ht="8" customHeight="1" x14ac:dyDescent="0.35"/>
  </sheetData>
  <mergeCells count="5">
    <mergeCell ref="B5:D5"/>
    <mergeCell ref="E5:G5"/>
    <mergeCell ref="H5:J5"/>
    <mergeCell ref="M5:O5"/>
    <mergeCell ref="P5:R5"/>
  </mergeCells>
  <conditionalFormatting sqref="D30:D39">
    <cfRule type="dataBar" priority="11">
      <dataBar>
        <cfvo type="min"/>
        <cfvo type="max"/>
        <color rgb="FF0D7377"/>
      </dataBar>
      <extLst>
        <ext xmlns:x14="http://schemas.microsoft.com/office/spreadsheetml/2009/9/main" uri="{B025F937-C7B1-47D3-B67F-A62EFF666E3E}">
          <x14:id>{146712A4-B862-4776-AD19-C532BB34C0F9}</x14:id>
        </ext>
      </extLst>
    </cfRule>
  </conditionalFormatting>
  <conditionalFormatting sqref="F7:F23 F26:F34">
    <cfRule type="dataBar" priority="2">
      <dataBar>
        <cfvo type="min"/>
        <cfvo type="max"/>
        <color rgb="FF417A85"/>
      </dataBar>
      <extLst>
        <ext xmlns:x14="http://schemas.microsoft.com/office/spreadsheetml/2009/9/main" uri="{B025F937-C7B1-47D3-B67F-A62EFF666E3E}">
          <x14:id>{4099D4CC-28EC-425F-87C3-9120CEC8D5A8}</x14:id>
        </ext>
      </extLst>
    </cfRule>
  </conditionalFormatting>
  <conditionalFormatting sqref="G7:I22">
    <cfRule type="cellIs" dxfId="36" priority="22" operator="greaterThan">
      <formula>0</formula>
    </cfRule>
    <cfRule type="cellIs" dxfId="35" priority="23" operator="lessThan">
      <formula>0</formula>
    </cfRule>
  </conditionalFormatting>
  <conditionalFormatting sqref="H7:H23 H25:H45">
    <cfRule type="cellIs" dxfId="34" priority="5" operator="lessThan">
      <formula>0</formula>
    </cfRule>
  </conditionalFormatting>
  <conditionalFormatting sqref="J30:J45">
    <cfRule type="cellIs" dxfId="33" priority="39" operator="greaterThan">
      <formula>0</formula>
    </cfRule>
    <cfRule type="cellIs" dxfId="32" priority="40" operator="lessThan">
      <formula>0</formula>
    </cfRule>
  </conditionalFormatting>
  <conditionalFormatting sqref="K7:K22">
    <cfRule type="cellIs" dxfId="31" priority="24" operator="greaterThan">
      <formula>0</formula>
    </cfRule>
    <cfRule type="cellIs" dxfId="30" priority="25" operator="lessThan">
      <formula>0</formula>
    </cfRule>
  </conditionalFormatting>
  <conditionalFormatting sqref="L7:L22">
    <cfRule type="dataBar" priority="10">
      <dataBar>
        <cfvo type="min"/>
        <cfvo type="max"/>
        <color rgb="FF0D7377"/>
      </dataBar>
      <extLst>
        <ext xmlns:x14="http://schemas.microsoft.com/office/spreadsheetml/2009/9/main" uri="{B025F937-C7B1-47D3-B67F-A62EFF666E3E}">
          <x14:id>{40E0C34C-90DA-4D1F-A6D9-15D238A69B99}</x14:id>
        </ext>
      </extLst>
    </cfRule>
    <cfRule type="dataBar" priority="38">
      <dataBar>
        <cfvo type="min"/>
        <cfvo type="max"/>
        <color rgb="FF38BDF8"/>
      </dataBar>
      <extLst>
        <ext xmlns:x14="http://schemas.microsoft.com/office/spreadsheetml/2009/9/main" uri="{B025F937-C7B1-47D3-B67F-A62EFF666E3E}">
          <x14:id>{DB9068C3-BB3F-4DF2-A731-F61A8198A199}</x14:id>
        </ext>
      </extLst>
    </cfRule>
  </conditionalFormatting>
  <conditionalFormatting sqref="P7:P22">
    <cfRule type="cellIs" dxfId="29" priority="20" operator="greaterThan">
      <formula>1.5</formula>
    </cfRule>
    <cfRule type="cellIs" dxfId="28" priority="21" operator="lessThan">
      <formula>1</formula>
    </cfRule>
    <cfRule type="cellIs" dxfId="27" priority="30" operator="greaterThanOrEqual">
      <formula>1.5</formula>
    </cfRule>
    <cfRule type="cellIs" dxfId="26" priority="31" operator="lessThan">
      <formula>1</formula>
    </cfRule>
  </conditionalFormatting>
  <conditionalFormatting sqref="Q7:Q22">
    <cfRule type="cellIs" dxfId="25" priority="18" operator="greaterThan">
      <formula>0</formula>
    </cfRule>
    <cfRule type="cellIs" dxfId="24" priority="19" operator="lessThan">
      <formula>0</formula>
    </cfRule>
  </conditionalFormatting>
  <conditionalFormatting sqref="R7:R22">
    <cfRule type="containsText" dxfId="23" priority="15" operator="containsText" text="HIGH">
      <formula>NOT(ISERROR(SEARCH("HIGH",R7)))</formula>
    </cfRule>
    <cfRule type="containsText" dxfId="22" priority="16" operator="containsText" text="MEDIUM">
      <formula>NOT(ISERROR(SEARCH("MEDIUM",R7)))</formula>
    </cfRule>
    <cfRule type="containsText" dxfId="21" priority="17" operator="containsText" text="LOW">
      <formula>NOT(ISERROR(SEARCH("LOW",R7)))</formula>
    </cfRule>
    <cfRule type="containsText" dxfId="20" priority="32" operator="containsText" text="LOW">
      <formula>NOT(ISERROR(SEARCH("LOW",R7)))</formula>
    </cfRule>
    <cfRule type="containsText" dxfId="19" priority="33" operator="containsText" text="MEDIUM">
      <formula>NOT(ISERROR(SEARCH("MEDIUM",R7)))</formula>
    </cfRule>
    <cfRule type="containsText" dxfId="18" priority="34" operator="containsText" text="HIGH">
      <formula>NOT(ISERROR(SEARCH("HIGH",R7)))</formula>
    </cfRule>
  </conditionalFormatting>
  <conditionalFormatting sqref="S7:S22">
    <cfRule type="containsText" dxfId="17" priority="12" operator="containsText" text="STRONG">
      <formula>NOT(ISERROR(SEARCH("STRONG",S7)))</formula>
    </cfRule>
    <cfRule type="containsText" dxfId="16" priority="13" operator="containsText" text="HOLD">
      <formula>NOT(ISERROR(SEARCH("HOLD",S7)))</formula>
    </cfRule>
    <cfRule type="containsText" dxfId="15" priority="14" operator="containsText" text="REVIEW">
      <formula>NOT(ISERROR(SEARCH("REVIEW",S7)))</formula>
    </cfRule>
    <cfRule type="containsText" dxfId="14" priority="35" operator="containsText" text="STRONG">
      <formula>NOT(ISERROR(SEARCH("STRONG",S7)))</formula>
    </cfRule>
    <cfRule type="containsText" dxfId="13" priority="36" operator="containsText" text="HOLD">
      <formula>NOT(ISERROR(SEARCH("HOLD",S7)))</formula>
    </cfRule>
    <cfRule type="containsText" dxfId="12" priority="37" operator="containsText" text="REVIEW">
      <formula>NOT(ISERROR(SEARCH("REVIEW",S7)))</formula>
    </cfRule>
  </conditionalFormatting>
  <pageMargins left="0.7" right="0.7" top="0.75" bottom="0.75" header="0.3" footer="0.3"/>
  <drawing r:id="rId1"/>
  <legacyDrawing r:id="rId2"/>
  <extLst>
    <ext xmlns:x14="http://schemas.microsoft.com/office/spreadsheetml/2009/9/main" uri="{78C0D931-6437-407d-A8EE-F0AAD7539E65}">
      <x14:conditionalFormattings>
        <x14:conditionalFormatting xmlns:xm="http://schemas.microsoft.com/office/excel/2006/main">
          <x14:cfRule type="dataBar" id="{146712A4-B862-4776-AD19-C532BB34C0F9}">
            <x14:dataBar minLength="0" maxLength="100" direction="leftToRight" negativeBarColorSameAsPositive="1" axisPosition="none">
              <x14:cfvo type="min"/>
              <x14:cfvo type="max"/>
            </x14:dataBar>
          </x14:cfRule>
          <xm:sqref>D30:D39</xm:sqref>
        </x14:conditionalFormatting>
        <x14:conditionalFormatting xmlns:xm="http://schemas.microsoft.com/office/excel/2006/main">
          <x14:cfRule type="dataBar" id="{4099D4CC-28EC-425F-87C3-9120CEC8D5A8}">
            <x14:dataBar minLength="0" maxLength="100" gradient="0">
              <x14:cfvo type="autoMin"/>
              <x14:cfvo type="autoMax"/>
              <x14:negativeFillColor rgb="FFFF0000"/>
              <x14:axisColor rgb="FF000000"/>
            </x14:dataBar>
          </x14:cfRule>
          <xm:sqref>F7:F23 F26:F34</xm:sqref>
        </x14:conditionalFormatting>
        <x14:conditionalFormatting xmlns:xm="http://schemas.microsoft.com/office/excel/2006/main">
          <x14:cfRule type="iconSet" priority="4" id="{44104EAB-A027-4C50-8969-224B4F57005B}">
            <x14:iconSet iconSet="3Triangles">
              <x14:cfvo type="percent">
                <xm:f>0</xm:f>
              </x14:cfvo>
              <x14:cfvo type="num">
                <xm:f>0</xm:f>
              </x14:cfvo>
              <x14:cfvo type="num" gte="0">
                <xm:f>0</xm:f>
              </x14:cfvo>
            </x14:iconSet>
          </x14:cfRule>
          <xm:sqref>H3</xm:sqref>
        </x14:conditionalFormatting>
        <x14:conditionalFormatting xmlns:xm="http://schemas.microsoft.com/office/excel/2006/main">
          <x14:cfRule type="iconSet" priority="3" id="{A18E37FF-A616-4A88-B712-48A9254CB1D1}">
            <x14:iconSet iconSet="3Triangles">
              <x14:cfvo type="percent">
                <xm:f>0</xm:f>
              </x14:cfvo>
              <x14:cfvo type="num">
                <xm:f>0</xm:f>
              </x14:cfvo>
              <x14:cfvo type="num" gte="0">
                <xm:f>0</xm:f>
              </x14:cfvo>
            </x14:iconSet>
          </x14:cfRule>
          <xm:sqref>H7:H23 H25:H45</xm:sqref>
        </x14:conditionalFormatting>
        <x14:conditionalFormatting xmlns:xm="http://schemas.microsoft.com/office/excel/2006/main">
          <x14:cfRule type="dataBar" id="{40E0C34C-90DA-4D1F-A6D9-15D238A69B99}">
            <x14:dataBar minLength="0" maxLength="100" direction="leftToRight" negativeBarColorSameAsPositive="1" axisPosition="none">
              <x14:cfvo type="min"/>
              <x14:cfvo type="max"/>
            </x14:dataBar>
          </x14:cfRule>
          <x14:cfRule type="dataBar" id="{DB9068C3-BB3F-4DF2-A731-F61A8198A199}">
            <x14:dataBar minLength="0" maxLength="100" border="1" direction="leftToRight" negativeBarColorSameAsPositive="1" axisPosition="none">
              <x14:cfvo type="min"/>
              <x14:cfvo type="max"/>
              <x14:borderColor rgb="FF38BDF8"/>
            </x14:dataBar>
          </x14:cfRule>
          <xm:sqref>L7:L22</xm:sqref>
        </x14:conditionalFormatting>
      </x14:conditionalFormattings>
    </ext>
    <ext xmlns:x14="http://schemas.microsoft.com/office/spreadsheetml/2009/9/main" uri="{05C60535-1F16-4fd2-B633-F4F36F0B64E0}">
      <x14:sparklineGroups xmlns:xm="http://schemas.microsoft.com/office/excel/2006/main">
        <x14:sparklineGroup lineWeight="1.5" displayEmptyCellsAs="gap" xr2:uid="{7E8AC964-3D4E-4CA0-9F31-1266610E4703}">
          <x14:colorSeries rgb="FF417A85"/>
          <x14:colorNegative rgb="FFD00000"/>
          <x14:colorAxis rgb="FF000000"/>
          <x14:colorMarkers rgb="FFD00000"/>
          <x14:colorFirst rgb="FFD00000"/>
          <x14:colorLast rgb="FFD00000"/>
          <x14:colorHigh rgb="FFD00000"/>
          <x14:colorLow rgb="FFD00000"/>
          <x14:sparklines>
            <x14:sparkline>
              <xm:f>'Price History'!B3:IR3</xm:f>
              <xm:sqref>J7</xm:sqref>
            </x14:sparkline>
            <x14:sparkline>
              <xm:f>'Price History'!B4:IR4</xm:f>
              <xm:sqref>J8</xm:sqref>
            </x14:sparkline>
            <x14:sparkline>
              <xm:f>'Price History'!B5:IR5</xm:f>
              <xm:sqref>J9</xm:sqref>
            </x14:sparkline>
            <x14:sparkline>
              <xm:f>'Price History'!B6:IR6</xm:f>
              <xm:sqref>J10</xm:sqref>
            </x14:sparkline>
            <x14:sparkline>
              <xm:f>'Price History'!B7:IR7</xm:f>
              <xm:sqref>J11</xm:sqref>
            </x14:sparkline>
            <x14:sparkline>
              <xm:f>'Price History'!B8:IR8</xm:f>
              <xm:sqref>J12</xm:sqref>
            </x14:sparkline>
            <x14:sparkline>
              <xm:f>'Price History'!B9:IR9</xm:f>
              <xm:sqref>J13</xm:sqref>
            </x14:sparkline>
            <x14:sparkline>
              <xm:f>'Price History'!B10:IR10</xm:f>
              <xm:sqref>J14</xm:sqref>
            </x14:sparkline>
            <x14:sparkline>
              <xm:f>'Price History'!B11:IR11</xm:f>
              <xm:sqref>J15</xm:sqref>
            </x14:sparkline>
            <x14:sparkline>
              <xm:f>'Price History'!B12:IR12</xm:f>
              <xm:sqref>J16</xm:sqref>
            </x14:sparkline>
            <x14:sparkline>
              <xm:f>'Price History'!B13:IR13</xm:f>
              <xm:sqref>J17</xm:sqref>
            </x14:sparkline>
            <x14:sparkline>
              <xm:f>'Price History'!B14:IR14</xm:f>
              <xm:sqref>J18</xm:sqref>
            </x14:sparkline>
            <x14:sparkline>
              <xm:f>'Price History'!B15:IR15</xm:f>
              <xm:sqref>J19</xm:sqref>
            </x14:sparkline>
            <x14:sparkline>
              <xm:f>'Price History'!B16:IR16</xm:f>
              <xm:sqref>J20</xm:sqref>
            </x14:sparkline>
            <x14:sparkline>
              <xm:f>'Price History'!B17:IR17</xm:f>
              <xm:sqref>J21</xm:sqref>
            </x14:sparkline>
            <x14:sparkline>
              <xm:f>'Price History'!B18:IR18</xm:f>
              <xm:sqref>J22</xm:sqref>
            </x14:sparkline>
            <x14:sparkline>
              <xm:f>'Price History'!B19:IR19</xm:f>
              <xm:sqref>J23</xm:sqref>
            </x14:sparkline>
            <x14:sparkline>
              <xm:f>'Price History'!B20:IR20</xm:f>
              <xm:sqref>J24</xm:sqref>
            </x14:sparkline>
            <x14:sparkline>
              <xm:f>'Price History'!B21:IR21</xm:f>
              <xm:sqref>J25</xm:sqref>
            </x14:sparkline>
            <x14:sparkline>
              <xm:f>'Price History'!B22:IR22</xm:f>
              <xm:sqref>J26</xm:sqref>
            </x14:sparkline>
            <x14:sparkline>
              <xm:f>'Price History'!B23:IR23</xm:f>
              <xm:sqref>J27</xm:sqref>
            </x14:sparkline>
            <x14:sparkline>
              <xm:f>'Price History'!B24:IR24</xm:f>
              <xm:sqref>J28</xm:sqref>
            </x14:sparkline>
            <x14:sparkline>
              <xm:f>'Price History'!B25:IR25</xm:f>
              <xm:sqref>J29</xm:sqref>
            </x14:sparkline>
            <x14:sparkline>
              <xm:f>'Price History'!B26:IR26</xm:f>
              <xm:sqref>J30</xm:sqref>
            </x14:sparkline>
          </x14:sparklines>
        </x14:sparklineGroup>
        <x14:sparklineGroup lineWeight="1.5" displayEmptyCellsAs="gap" xr2:uid="{2FA3F864-2D56-4E99-8977-4933E35A8194}">
          <x14:colorSeries rgb="FF417A85"/>
          <x14:colorNegative rgb="FFD00000"/>
          <x14:colorAxis rgb="FF000000"/>
          <x14:colorMarkers rgb="FFD00000"/>
          <x14:colorFirst rgb="FFD00000"/>
          <x14:colorLast rgb="FFD00000"/>
          <x14:colorHigh rgb="FFD00000"/>
          <x14:colorLow rgb="FFD00000"/>
          <x14:sparklines>
            <x14:sparkline>
              <xm:f>'Price History'!B27:IR27</xm:f>
              <xm:sqref>J31</xm:sqref>
            </x14:sparkline>
            <x14:sparkline>
              <xm:f>'Price History'!B28:IR28</xm:f>
              <xm:sqref>J32</xm:sqref>
            </x14:sparkline>
            <x14:sparkline>
              <xm:f>'Price History'!B29:IR29</xm:f>
              <xm:sqref>J33</xm:sqref>
            </x14:sparkline>
            <x14:sparkline>
              <xm:f>'Price History'!B30:IR30</xm:f>
              <xm:sqref>J34</xm:sqref>
            </x14:sparkline>
            <x14:sparkline>
              <xm:f>'Price History'!B31:IR31</xm:f>
              <xm:sqref>J35</xm:sqref>
            </x14:sparkline>
            <x14:sparkline>
              <xm:f>'Price History'!B32:IR32</xm:f>
              <xm:sqref>J36</xm:sqref>
            </x14:sparkline>
            <x14:sparkline>
              <xm:f>'Price History'!B33:IR33</xm:f>
              <xm:sqref>J37</xm:sqref>
            </x14:sparkline>
            <x14:sparkline>
              <xm:f>'Price History'!B34:IR34</xm:f>
              <xm:sqref>J38</xm:sqref>
            </x14:sparkline>
            <x14:sparkline>
              <xm:f>'Price History'!B35:IR35</xm:f>
              <xm:sqref>J39</xm:sqref>
            </x14:sparkline>
            <x14:sparkline>
              <xm:f>'Price History'!B36:IR36</xm:f>
              <xm:sqref>J40</xm:sqref>
            </x14:sparkline>
            <x14:sparkline>
              <xm:f>'Price History'!B37:IR37</xm:f>
              <xm:sqref>J41</xm:sqref>
            </x14:sparkline>
            <x14:sparkline>
              <xm:f>'Price History'!B38:IR38</xm:f>
              <xm:sqref>J42</xm:sqref>
            </x14:sparkline>
            <x14:sparkline>
              <xm:f>'Price History'!B39:IR39</xm:f>
              <xm:sqref>J43</xm:sqref>
            </x14:sparkline>
            <x14:sparkline>
              <xm:f>'Price History'!B40:IR40</xm:f>
              <xm:sqref>J44</xm:sqref>
            </x14:sparkline>
            <x14:sparkline>
              <xm:f>'Price History'!B41:IR41</xm:f>
              <xm:sqref>J45</xm:sqref>
            </x14:sparkline>
          </x14:sparklines>
        </x14:sparklineGroup>
      </x14:sparklineGroup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38FF23-F610-404D-B6A2-8CF278D0DADF}">
  <sheetPr>
    <tabColor rgb="FF0D7377"/>
  </sheetPr>
  <dimension ref="A1:N79"/>
  <sheetViews>
    <sheetView showGridLines="0" workbookViewId="0">
      <pane ySplit="1" topLeftCell="A2" activePane="bottomLeft" state="frozen"/>
      <selection pane="bottomLeft" activeCell="K8" sqref="K8:K17"/>
    </sheetView>
  </sheetViews>
  <sheetFormatPr defaultRowHeight="14.5" outlineLevelRow="2" x14ac:dyDescent="0.35"/>
  <cols>
    <col min="1" max="1" width="2.7265625" customWidth="1"/>
    <col min="2" max="2" width="35" customWidth="1"/>
    <col min="3" max="3" width="25.453125" customWidth="1"/>
    <col min="4" max="4" width="17.26953125" customWidth="1"/>
    <col min="5" max="5" width="17.453125" customWidth="1"/>
    <col min="6" max="6" width="16.26953125" bestFit="1" customWidth="1"/>
    <col min="7" max="7" width="14.453125" bestFit="1" customWidth="1"/>
    <col min="8" max="8" width="18.1796875" customWidth="1"/>
    <col min="9" max="11" width="16.36328125" customWidth="1"/>
    <col min="12" max="12" width="2.7265625" customWidth="1"/>
    <col min="13" max="14" width="0.1796875" customWidth="1"/>
  </cols>
  <sheetData>
    <row r="1" spans="1:14" ht="10" customHeight="1" x14ac:dyDescent="0.35">
      <c r="A1" s="222"/>
      <c r="B1" s="222"/>
      <c r="C1" s="222"/>
      <c r="D1" s="222"/>
      <c r="E1" s="222"/>
      <c r="F1" s="222"/>
      <c r="G1" s="222"/>
      <c r="H1" s="222"/>
      <c r="I1" s="222"/>
      <c r="J1" s="222"/>
      <c r="K1" s="222"/>
      <c r="L1" s="222"/>
      <c r="M1" s="222"/>
      <c r="N1" s="222"/>
    </row>
    <row r="2" spans="1:14" ht="20" customHeight="1" x14ac:dyDescent="0.5">
      <c r="A2" s="227"/>
      <c r="B2" s="87" t="s">
        <v>153</v>
      </c>
      <c r="C2" s="227"/>
      <c r="D2" s="227"/>
      <c r="E2" s="227"/>
      <c r="F2" s="227"/>
      <c r="G2" s="227"/>
      <c r="H2" s="227"/>
      <c r="I2" s="227"/>
      <c r="J2" s="227"/>
      <c r="K2" s="227"/>
      <c r="L2" s="227"/>
      <c r="M2" s="227"/>
      <c r="N2" s="227"/>
    </row>
    <row r="3" spans="1:14" ht="22" customHeight="1" x14ac:dyDescent="0.35">
      <c r="A3" s="222"/>
      <c r="B3" s="49" t="s">
        <v>154</v>
      </c>
      <c r="C3" s="49" t="s">
        <v>155</v>
      </c>
      <c r="D3" s="49" t="s">
        <v>156</v>
      </c>
      <c r="E3" s="49" t="s">
        <v>157</v>
      </c>
      <c r="F3" s="49" t="s">
        <v>158</v>
      </c>
      <c r="G3" s="49" t="s">
        <v>159</v>
      </c>
      <c r="H3" s="49" t="s">
        <v>160</v>
      </c>
      <c r="I3" s="49" t="s">
        <v>206</v>
      </c>
      <c r="J3" s="49" t="s">
        <v>207</v>
      </c>
      <c r="K3" s="49" t="s">
        <v>161</v>
      </c>
      <c r="L3" s="222"/>
      <c r="M3" s="222"/>
      <c r="N3" s="222"/>
    </row>
    <row r="4" spans="1:14" ht="50" customHeight="1" thickBot="1" x14ac:dyDescent="0.55000000000000004">
      <c r="A4" s="222"/>
      <c r="B4" s="423">
        <f ca="1">SUM(Watchlist!J2:INDEX(Watchlist!J:J,COUNTA(Watchlist!J:J)))</f>
        <v>7311804479772</v>
      </c>
      <c r="C4" s="130">
        <f ca="1">AVERAGE(Watchlist!F2:INDEX(Watchlist!F:F,COUNTA(Watchlist!F:F)))</f>
        <v>39.146439999999998</v>
      </c>
      <c r="D4" s="131">
        <f ca="1">AVERAGE(Watchlist!E2:INDEX(Watchlist!E:E,COUNTA(Watchlist!E:E)))</f>
        <v>1.0460299999999998</v>
      </c>
      <c r="E4" s="132" t="str" cm="1">
        <f t="array" aca="1" ref="E4" ca="1">INDEX(Watchlist!B:B,MATCH(MAX(Watchlist!F$2:INDEX(Watchlist!F:F,COUNTA(Watchlist!F:F))),Watchlist!F$2:INDEX(Watchlist!F:F,COUNTA(Watchlist!F:F)),0)+1)&amp;" "&amp;TEXT(MAX(Watchlist!F$2:INDEX(Watchlist!F:F,COUNTA(Watchlist!F:F))),"0.0x")</f>
        <v>AMD 155.1x</v>
      </c>
      <c r="F4" s="132" t="str" cm="1">
        <f t="array" aca="1" ref="F4" ca="1">INDEX(Watchlist!B:B,MATCH(MIN(Watchlist!F$2:INDEX(Watchlist!F:F,COUNTA(Watchlist!F:F))),Watchlist!F$2:INDEX(Watchlist!F:F,COUNTA(Watchlist!F:F)),0)+1)&amp;" "&amp;TEXT(MIN(Watchlist!F$2:INDEX(Watchlist!F:F,COUNTA(Watchlist!F:F))),"0.0x")</f>
        <v>BAC 12.8x</v>
      </c>
      <c r="G4" s="132" t="str" cm="1">
        <f t="array" aca="1" ref="G4" ca="1">"▲ "&amp;INDEX(Watchlist!B:B,MATCH(MAX(Watchlist!G$2:INDEX(Watchlist!G:G,COUNTA(Watchlist!G:G))),Watchlist!G$2:INDEX(Watchlist!G:G,COUNTA(Watchlist!G:G)),0)+1)</f>
        <v>▲ XOM</v>
      </c>
      <c r="H4" s="132" t="str" cm="1">
        <f t="array" aca="1" ref="H4" ca="1">"▼ "&amp;INDEX(Watchlist!B:B,MATCH(MIN(Watchlist!G$2:INDEX(Watchlist!G:G,COUNTA(Watchlist!G:G))),Watchlist!G$2:INDEX(Watchlist!G:G,COUNTA(Watchlist!G:G)),0)+1)</f>
        <v>▼ AMD</v>
      </c>
      <c r="I4" s="132">
        <f ca="1">COUNTA(Watchlist!B2:INDEX(Watchlist!B:B,COUNTA(Watchlist!B:B)))</f>
        <v>10</v>
      </c>
      <c r="J4" s="132">
        <f ca="1">COUNTA(_xlfn.UNIQUE(Watchlist!K2:INDEX(Watchlist!K:K,COUNTA(Watchlist!K:K))))</f>
        <v>9</v>
      </c>
      <c r="K4" s="130">
        <f ca="1">MEDIAN(Watchlist!F2:INDEX(Watchlist!F:F,COUNTA(Watchlist!F:F)))</f>
        <v>26.310649999999999</v>
      </c>
      <c r="L4" s="222"/>
      <c r="M4" s="222"/>
      <c r="N4" s="222"/>
    </row>
    <row r="5" spans="1:14" ht="15" customHeight="1" x14ac:dyDescent="0.35">
      <c r="A5" s="222"/>
      <c r="B5" s="222"/>
      <c r="C5" s="222"/>
      <c r="D5" s="222"/>
      <c r="E5" s="222"/>
      <c r="F5" s="222"/>
      <c r="G5" s="222"/>
      <c r="H5" s="222"/>
      <c r="I5" s="222"/>
      <c r="J5" s="222"/>
      <c r="K5" s="222"/>
      <c r="L5" s="222"/>
      <c r="M5" s="222"/>
      <c r="N5" s="222"/>
    </row>
    <row r="6" spans="1:14" ht="28" customHeight="1" thickBot="1" x14ac:dyDescent="0.4">
      <c r="A6" s="222"/>
      <c r="B6" s="228" t="s">
        <v>162</v>
      </c>
      <c r="C6" s="222"/>
      <c r="D6" s="222"/>
      <c r="E6" s="222"/>
      <c r="F6" s="222"/>
      <c r="G6" s="222"/>
      <c r="H6" s="222"/>
      <c r="I6" s="222"/>
      <c r="J6" s="222"/>
      <c r="K6" s="222"/>
      <c r="L6" s="222"/>
      <c r="M6" s="222"/>
      <c r="N6" s="222"/>
    </row>
    <row r="7" spans="1:14" ht="28" customHeight="1" thickBot="1" x14ac:dyDescent="0.4">
      <c r="A7" s="222"/>
      <c r="B7" s="50" t="s">
        <v>14</v>
      </c>
      <c r="C7" s="50" t="s">
        <v>1</v>
      </c>
      <c r="D7" s="50" t="s">
        <v>3</v>
      </c>
      <c r="E7" s="50" t="s">
        <v>163</v>
      </c>
      <c r="F7" s="50" t="s">
        <v>164</v>
      </c>
      <c r="G7" s="50" t="s">
        <v>28</v>
      </c>
      <c r="H7" s="50" t="s">
        <v>165</v>
      </c>
      <c r="I7" s="50" t="s">
        <v>166</v>
      </c>
      <c r="J7" s="50" t="s">
        <v>167</v>
      </c>
      <c r="K7" s="50" t="s">
        <v>168</v>
      </c>
      <c r="L7" s="222"/>
      <c r="M7" s="14"/>
      <c r="N7" s="14"/>
    </row>
    <row r="8" spans="1:14" ht="24" customHeight="1" x14ac:dyDescent="0.35">
      <c r="A8" s="222"/>
      <c r="B8" s="229" t="str">
        <f ca="1">Watchlist!B2</f>
        <v>AMD</v>
      </c>
      <c r="C8" s="230" t="str">
        <f ca="1">Watchlist!K2</f>
        <v>Semiconductors &amp; Semiconductor Equipment</v>
      </c>
      <c r="D8" s="424">
        <f ca="1">(Watchlist!H2+Watchlist!I2)/2</f>
        <v>612.91000000000008</v>
      </c>
      <c r="E8" s="410">
        <f ca="1">Watchlist!G2</f>
        <v>-22.76</v>
      </c>
      <c r="F8" s="231">
        <f ca="1">Watchlist!F2</f>
        <v>155.14330000000001</v>
      </c>
      <c r="G8" s="232">
        <f ca="1">Watchlist!E2</f>
        <v>2.4824000000000002</v>
      </c>
      <c r="H8" s="428">
        <f ca="1">Watchlist!J2</f>
        <v>992332578250</v>
      </c>
      <c r="I8" s="424">
        <f ca="1">Watchlist!C2</f>
        <v>639</v>
      </c>
      <c r="J8" s="424">
        <f ca="1">Watchlist!D2</f>
        <v>159.33000000000001</v>
      </c>
      <c r="K8" s="488">
        <f ca="1">((Watchlist!H2+Watchlist!I2)/2-Watchlist!D2)/(Watchlist!C2-Watchlist!D2)</f>
        <v>0.94560843913523895</v>
      </c>
      <c r="L8" s="222"/>
      <c r="M8" s="264" t="s">
        <v>14</v>
      </c>
      <c r="N8" s="264" t="s">
        <v>168</v>
      </c>
    </row>
    <row r="9" spans="1:14" ht="24" customHeight="1" x14ac:dyDescent="0.35">
      <c r="A9" s="222"/>
      <c r="B9" s="238" t="str">
        <f ca="1">Watchlist!B3</f>
        <v>MSFT</v>
      </c>
      <c r="C9" s="239" t="str">
        <f ca="1">Watchlist!K3</f>
        <v>Software &amp; IT Services</v>
      </c>
      <c r="D9" s="425">
        <f ca="1">(Watchlist!H3+Watchlist!I3)/2</f>
        <v>507.77500000000003</v>
      </c>
      <c r="E9" s="413">
        <f ca="1">Watchlist!G3</f>
        <v>-6.95</v>
      </c>
      <c r="F9" s="240">
        <f ca="1">Watchlist!F3</f>
        <v>28.374099999999999</v>
      </c>
      <c r="G9" s="241">
        <f ca="1">Watchlist!E3</f>
        <v>1.1008</v>
      </c>
      <c r="H9" s="429">
        <f ca="1">Watchlist!J3</f>
        <v>3781236024900</v>
      </c>
      <c r="I9" s="425">
        <f ca="1">Watchlist!C3</f>
        <v>553.72</v>
      </c>
      <c r="J9" s="425">
        <f ca="1">Watchlist!D3</f>
        <v>349.2</v>
      </c>
      <c r="K9" s="381">
        <f ca="1">((Watchlist!H3+Watchlist!I3)/2-Watchlist!D3)/(Watchlist!C3-Watchlist!D3)</f>
        <v>0.77535204380989642</v>
      </c>
      <c r="L9" s="222"/>
      <c r="M9" s="266" t="str">
        <f t="shared" ref="M9:M18" ca="1" si="0">B8</f>
        <v>AMD</v>
      </c>
      <c r="N9" s="266">
        <f t="shared" ref="N9:N18" ca="1" si="1">K8</f>
        <v>0.94560843913523895</v>
      </c>
    </row>
    <row r="10" spans="1:14" ht="24" customHeight="1" x14ac:dyDescent="0.35">
      <c r="A10" s="222"/>
      <c r="B10" s="243" t="str">
        <f ca="1">Watchlist!B4</f>
        <v>BABA</v>
      </c>
      <c r="C10" s="244" t="str">
        <f ca="1">Watchlist!K4</f>
        <v>Software &amp; IT Services</v>
      </c>
      <c r="D10" s="426">
        <f ca="1">(Watchlist!H4+Watchlist!I4)/2</f>
        <v>109.44</v>
      </c>
      <c r="E10" s="412">
        <f ca="1">Watchlist!G4</f>
        <v>-0.98</v>
      </c>
      <c r="F10" s="245">
        <f ca="1">Watchlist!F4</f>
        <v>24.247199999999999</v>
      </c>
      <c r="G10" s="246">
        <f ca="1">Watchlist!E4</f>
        <v>0.46160000000000001</v>
      </c>
      <c r="H10" s="430">
        <f ca="1">Watchlist!J4</f>
        <v>270336466240</v>
      </c>
      <c r="I10" s="426">
        <f ca="1">Watchlist!C4</f>
        <v>192.67</v>
      </c>
      <c r="J10" s="426">
        <f ca="1">Watchlist!D4</f>
        <v>91.99</v>
      </c>
      <c r="K10" s="381">
        <f ca="1">((Watchlist!H4+Watchlist!I4)/2-Watchlist!D4)/(Watchlist!C4-Watchlist!D4)</f>
        <v>0.17332141438220108</v>
      </c>
      <c r="L10" s="222"/>
      <c r="M10" s="267" t="str">
        <f t="shared" ca="1" si="0"/>
        <v>MSFT</v>
      </c>
      <c r="N10" s="267">
        <f t="shared" ca="1" si="1"/>
        <v>0.77535204380989642</v>
      </c>
    </row>
    <row r="11" spans="1:14" ht="24" customHeight="1" x14ac:dyDescent="0.35">
      <c r="A11" s="222"/>
      <c r="B11" s="238" t="str">
        <f ca="1">Watchlist!B5</f>
        <v>DELL</v>
      </c>
      <c r="C11" s="239" t="str">
        <f ca="1">Watchlist!K5</f>
        <v>Computers, Phones &amp; Household Electronics</v>
      </c>
      <c r="D11" s="425">
        <f ca="1">(Watchlist!H5+Watchlist!I5)/2</f>
        <v>546.25</v>
      </c>
      <c r="E11" s="413">
        <f ca="1">Watchlist!G5</f>
        <v>-19.46</v>
      </c>
      <c r="F11" s="240">
        <f ca="1">Watchlist!F5</f>
        <v>31.531300000000002</v>
      </c>
      <c r="G11" s="241">
        <f ca="1">Watchlist!E5</f>
        <v>1.3674999999999999</v>
      </c>
      <c r="H11" s="429">
        <f ca="1">Watchlist!J5</f>
        <v>345519695560</v>
      </c>
      <c r="I11" s="425">
        <f ca="1">Watchlist!C5</f>
        <v>595.51</v>
      </c>
      <c r="J11" s="425">
        <f ca="1">Watchlist!D5</f>
        <v>110.22</v>
      </c>
      <c r="K11" s="381">
        <f ca="1">((Watchlist!H5+Watchlist!I5)/2-Watchlist!D5)/(Watchlist!C5-Watchlist!D5)</f>
        <v>0.89849368418883557</v>
      </c>
      <c r="L11" s="222"/>
      <c r="M11" s="266" t="str">
        <f t="shared" ca="1" si="0"/>
        <v>BABA</v>
      </c>
      <c r="N11" s="266">
        <f t="shared" ca="1" si="1"/>
        <v>0.17332141438220108</v>
      </c>
    </row>
    <row r="12" spans="1:14" ht="24" customHeight="1" x14ac:dyDescent="0.35">
      <c r="A12" s="222"/>
      <c r="B12" s="243" t="str">
        <f ca="1">Watchlist!B6</f>
        <v>GS</v>
      </c>
      <c r="C12" s="244" t="str">
        <f ca="1">Watchlist!K6</f>
        <v>Investment Banking &amp; Investment Services</v>
      </c>
      <c r="D12" s="426">
        <f ca="1">(Watchlist!H6+Watchlist!I6)/2</f>
        <v>923.25</v>
      </c>
      <c r="E12" s="414">
        <f ca="1">Watchlist!G6</f>
        <v>-19.170000000000002</v>
      </c>
      <c r="F12" s="245">
        <f ca="1">Watchlist!F6</f>
        <v>14.1387</v>
      </c>
      <c r="G12" s="246">
        <f ca="1">Watchlist!E6</f>
        <v>1.2712000000000001</v>
      </c>
      <c r="H12" s="430">
        <f ca="1">Watchlist!J6</f>
        <v>266794530392</v>
      </c>
      <c r="I12" s="426">
        <f ca="1">Watchlist!C6</f>
        <v>1153.99</v>
      </c>
      <c r="J12" s="426">
        <f ca="1">Watchlist!D6</f>
        <v>740.01</v>
      </c>
      <c r="K12" s="381">
        <f ca="1">((Watchlist!H6+Watchlist!I6)/2-Watchlist!D6)/(Watchlist!C6-Watchlist!D6)</f>
        <v>0.44263007874776561</v>
      </c>
      <c r="L12" s="222"/>
      <c r="M12" s="267" t="str">
        <f t="shared" ca="1" si="0"/>
        <v>DELL</v>
      </c>
      <c r="N12" s="267">
        <f t="shared" ca="1" si="1"/>
        <v>0.89849368418883557</v>
      </c>
    </row>
    <row r="13" spans="1:14" ht="24" customHeight="1" x14ac:dyDescent="0.35">
      <c r="A13" s="222"/>
      <c r="B13" s="238" t="str">
        <f ca="1">Watchlist!B7</f>
        <v>XOM</v>
      </c>
      <c r="C13" s="239" t="str">
        <f ca="1">Watchlist!K7</f>
        <v>Oil &amp; Gas</v>
      </c>
      <c r="D13" s="425">
        <f ca="1">(Watchlist!H7+Watchlist!I7)/2</f>
        <v>162.29500000000002</v>
      </c>
      <c r="E13" s="411">
        <f ca="1">Watchlist!G7</f>
        <v>1.93</v>
      </c>
      <c r="F13" s="240">
        <f ca="1">Watchlist!F7</f>
        <v>20.958500000000001</v>
      </c>
      <c r="G13" s="241">
        <f ca="1">Watchlist!E7</f>
        <v>0.2089</v>
      </c>
      <c r="H13" s="429">
        <f ca="1">Watchlist!J7</f>
        <v>668267938240</v>
      </c>
      <c r="I13" s="425">
        <f ca="1">Watchlist!C7</f>
        <v>176.41</v>
      </c>
      <c r="J13" s="425">
        <f ca="1">Watchlist!D7</f>
        <v>110.38500000000001</v>
      </c>
      <c r="K13" s="381">
        <f ca="1">((Watchlist!H7+Watchlist!I7)/2-Watchlist!D7)/(Watchlist!C7-Watchlist!D7)</f>
        <v>0.78621734191594117</v>
      </c>
      <c r="L13" s="222"/>
      <c r="M13" s="266" t="str">
        <f t="shared" ca="1" si="0"/>
        <v>GS</v>
      </c>
      <c r="N13" s="266">
        <f t="shared" ca="1" si="1"/>
        <v>0.44263007874776561</v>
      </c>
    </row>
    <row r="14" spans="1:14" ht="24" customHeight="1" x14ac:dyDescent="0.35">
      <c r="A14" s="222"/>
      <c r="B14" s="243" t="str">
        <f ca="1">Watchlist!B8</f>
        <v>GM</v>
      </c>
      <c r="C14" s="244" t="str">
        <f ca="1">Watchlist!K8</f>
        <v>Automobiles &amp; Auto Parts</v>
      </c>
      <c r="D14" s="426">
        <f ca="1">(Watchlist!H8+Watchlist!I8)/2</f>
        <v>81.56</v>
      </c>
      <c r="E14" s="412">
        <f ca="1">Watchlist!G8</f>
        <v>-1.99</v>
      </c>
      <c r="F14" s="245">
        <f ca="1">Watchlist!F8</f>
        <v>40.673499999999997</v>
      </c>
      <c r="G14" s="246">
        <f ca="1">Watchlist!E8</f>
        <v>1.3933</v>
      </c>
      <c r="H14" s="430">
        <f ca="1">Watchlist!J8</f>
        <v>70757688960</v>
      </c>
      <c r="I14" s="426">
        <f ca="1">Watchlist!C8</f>
        <v>91.85</v>
      </c>
      <c r="J14" s="426">
        <f ca="1">Watchlist!D8</f>
        <v>54.33</v>
      </c>
      <c r="K14" s="381">
        <f ca="1">((Watchlist!H8+Watchlist!I8)/2-Watchlist!D8)/(Watchlist!C8-Watchlist!D8)</f>
        <v>0.72574626865671665</v>
      </c>
      <c r="L14" s="222"/>
      <c r="M14" s="267" t="str">
        <f t="shared" ca="1" si="0"/>
        <v>XOM</v>
      </c>
      <c r="N14" s="267">
        <f t="shared" ca="1" si="1"/>
        <v>0.78621734191594117</v>
      </c>
    </row>
    <row r="15" spans="1:14" ht="24" customHeight="1" x14ac:dyDescent="0.35">
      <c r="A15" s="222"/>
      <c r="B15" s="238" t="str">
        <f ca="1">Watchlist!B9</f>
        <v>BAC</v>
      </c>
      <c r="C15" s="239" t="str">
        <f ca="1">Watchlist!K9</f>
        <v>Banking Services</v>
      </c>
      <c r="D15" s="425">
        <f ca="1">(Watchlist!H9+Watchlist!I9)/2</f>
        <v>56.017499999999998</v>
      </c>
      <c r="E15" s="413">
        <f ca="1">Watchlist!G9</f>
        <v>-1.23</v>
      </c>
      <c r="F15" s="240">
        <f ca="1">Watchlist!F9</f>
        <v>12.848699999999999</v>
      </c>
      <c r="G15" s="241">
        <f ca="1">Watchlist!E9</f>
        <v>1.2090000000000001</v>
      </c>
      <c r="H15" s="429">
        <f ca="1">Watchlist!J9</f>
        <v>387887787030</v>
      </c>
      <c r="I15" s="425">
        <f ca="1">Watchlist!C9</f>
        <v>65.224999999999994</v>
      </c>
      <c r="J15" s="425">
        <f ca="1">Watchlist!D9</f>
        <v>46.115000000000002</v>
      </c>
      <c r="K15" s="381">
        <f ca="1">((Watchlist!H9+Watchlist!I9)/2-Watchlist!D9)/(Watchlist!C9-Watchlist!D9)</f>
        <v>0.51818419675562533</v>
      </c>
      <c r="L15" s="222"/>
      <c r="M15" s="266" t="str">
        <f t="shared" ca="1" si="0"/>
        <v>GM</v>
      </c>
      <c r="N15" s="266">
        <f t="shared" ca="1" si="1"/>
        <v>0.72574626865671665</v>
      </c>
    </row>
    <row r="16" spans="1:14" ht="24" customHeight="1" x14ac:dyDescent="0.35">
      <c r="A16" s="222"/>
      <c r="B16" s="243" t="str">
        <f ca="1">Watchlist!B10</f>
        <v>LMT</v>
      </c>
      <c r="C16" s="244" t="str">
        <f ca="1">Watchlist!K10</f>
        <v>Aerospace &amp; Defense</v>
      </c>
      <c r="D16" s="426">
        <f ca="1">(Watchlist!H10+Watchlist!I10)/2</f>
        <v>520.18499999999995</v>
      </c>
      <c r="E16" s="414">
        <f ca="1">Watchlist!G10</f>
        <v>-1.46</v>
      </c>
      <c r="F16" s="245">
        <f ca="1">Watchlist!F10</f>
        <v>19.091000000000001</v>
      </c>
      <c r="G16" s="246">
        <f ca="1">Watchlist!E10</f>
        <v>9.0300000000000005E-2</v>
      </c>
      <c r="H16" s="430">
        <f ca="1">Watchlist!J10</f>
        <v>119572713480</v>
      </c>
      <c r="I16" s="426">
        <f ca="1">Watchlist!C10</f>
        <v>692</v>
      </c>
      <c r="J16" s="426">
        <f ca="1">Watchlist!D10</f>
        <v>437.25</v>
      </c>
      <c r="K16" s="381">
        <f ca="1">((Watchlist!H10+Watchlist!I10)/2-Watchlist!D10)/(Watchlist!C10-Watchlist!D10)</f>
        <v>0.32555446516192327</v>
      </c>
      <c r="L16" s="222"/>
      <c r="M16" s="267" t="str">
        <f t="shared" ca="1" si="0"/>
        <v>BAC</v>
      </c>
      <c r="N16" s="267">
        <f t="shared" ca="1" si="1"/>
        <v>0.51818419675562533</v>
      </c>
    </row>
    <row r="17" spans="1:14" ht="24" customHeight="1" x14ac:dyDescent="0.35">
      <c r="A17" s="222"/>
      <c r="B17" s="234" t="str">
        <f ca="1">Watchlist!B11</f>
        <v>COST</v>
      </c>
      <c r="C17" s="235" t="str">
        <f ca="1">Watchlist!K11</f>
        <v>Diversified Retail</v>
      </c>
      <c r="D17" s="427">
        <f ca="1">(Watchlist!H11+Watchlist!I11)/2</f>
        <v>922.04500000000007</v>
      </c>
      <c r="E17" s="415">
        <f ca="1">Watchlist!G11</f>
        <v>0.155</v>
      </c>
      <c r="F17" s="236">
        <f ca="1">Watchlist!F11</f>
        <v>44.458100000000002</v>
      </c>
      <c r="G17" s="237">
        <f ca="1">Watchlist!E11</f>
        <v>0.87529999999999997</v>
      </c>
      <c r="H17" s="431">
        <f ca="1">Watchlist!J11</f>
        <v>409099056720</v>
      </c>
      <c r="I17" s="427">
        <f ca="1">Watchlist!C11</f>
        <v>1096.5</v>
      </c>
      <c r="J17" s="427">
        <f ca="1">Watchlist!D11</f>
        <v>844.06</v>
      </c>
      <c r="K17" s="489">
        <f ca="1">((Watchlist!H11+Watchlist!I11)/2-Watchlist!D11)/(Watchlist!C11-Watchlist!D11)</f>
        <v>0.30892489304389203</v>
      </c>
      <c r="L17" s="222"/>
      <c r="M17" s="265" t="str">
        <f t="shared" ca="1" si="0"/>
        <v>LMT</v>
      </c>
      <c r="N17" s="265">
        <f t="shared" ca="1" si="1"/>
        <v>0.32555446516192327</v>
      </c>
    </row>
    <row r="18" spans="1:14" ht="10" customHeight="1" x14ac:dyDescent="0.35">
      <c r="A18" s="222"/>
      <c r="B18" s="222"/>
      <c r="C18" s="222"/>
      <c r="D18" s="222"/>
      <c r="E18" s="222"/>
      <c r="F18" s="222"/>
      <c r="G18" s="222"/>
      <c r="H18" s="222"/>
      <c r="I18" s="222"/>
      <c r="J18" s="222"/>
      <c r="K18" s="222"/>
      <c r="L18" s="222"/>
      <c r="M18" s="222" t="str">
        <f t="shared" ca="1" si="0"/>
        <v>COST</v>
      </c>
      <c r="N18" s="222">
        <f t="shared" ca="1" si="1"/>
        <v>0.30892489304389203</v>
      </c>
    </row>
    <row r="19" spans="1:14" ht="24" customHeight="1" x14ac:dyDescent="0.35">
      <c r="A19" s="222"/>
      <c r="B19" s="222" t="s">
        <v>169</v>
      </c>
      <c r="C19" s="222"/>
      <c r="D19" s="222"/>
      <c r="E19" s="222"/>
      <c r="F19" s="222"/>
      <c r="G19" s="222"/>
      <c r="H19" s="222"/>
      <c r="I19" s="222"/>
      <c r="J19" s="222"/>
      <c r="K19" s="222"/>
      <c r="L19" s="222"/>
      <c r="M19" s="222"/>
      <c r="N19" s="222"/>
    </row>
    <row r="20" spans="1:14" x14ac:dyDescent="0.35">
      <c r="A20" s="222"/>
      <c r="B20" s="222"/>
      <c r="C20" s="222"/>
      <c r="D20" s="222"/>
      <c r="E20" s="222"/>
      <c r="F20" s="222"/>
      <c r="G20" s="222"/>
      <c r="H20" s="222"/>
      <c r="I20" s="222"/>
      <c r="J20" s="222"/>
      <c r="K20" s="222"/>
      <c r="L20" s="222"/>
      <c r="M20" s="222"/>
      <c r="N20" s="222"/>
    </row>
    <row r="21" spans="1:14" x14ac:dyDescent="0.35">
      <c r="A21" s="222"/>
      <c r="B21" s="222"/>
      <c r="C21" s="222"/>
      <c r="D21" s="222"/>
      <c r="E21" s="222"/>
      <c r="F21" s="222"/>
      <c r="G21" s="222"/>
      <c r="H21" s="222"/>
      <c r="I21" s="222"/>
      <c r="J21" s="222"/>
      <c r="K21" s="222"/>
      <c r="L21" s="222"/>
      <c r="M21" s="222"/>
      <c r="N21" s="222"/>
    </row>
    <row r="22" spans="1:14" x14ac:dyDescent="0.35">
      <c r="A22" s="222"/>
      <c r="B22" s="222"/>
      <c r="C22" s="222"/>
      <c r="D22" s="222"/>
      <c r="E22" s="222"/>
      <c r="F22" s="222"/>
      <c r="G22" s="222"/>
      <c r="H22" s="222"/>
      <c r="I22" s="222"/>
      <c r="J22" s="222"/>
      <c r="K22" s="222"/>
      <c r="L22" s="222"/>
      <c r="M22" s="222"/>
      <c r="N22" s="222"/>
    </row>
    <row r="23" spans="1:14" x14ac:dyDescent="0.35">
      <c r="A23" s="222"/>
      <c r="B23" s="222"/>
      <c r="C23" s="222"/>
      <c r="D23" s="222"/>
      <c r="E23" s="222"/>
      <c r="F23" s="222"/>
      <c r="G23" s="222"/>
      <c r="H23" s="222"/>
      <c r="I23" s="222"/>
      <c r="J23" s="222"/>
      <c r="K23" s="222"/>
      <c r="L23" s="222"/>
      <c r="M23" s="222"/>
      <c r="N23" s="222"/>
    </row>
    <row r="24" spans="1:14" x14ac:dyDescent="0.35">
      <c r="A24" s="222"/>
      <c r="B24" s="222"/>
      <c r="C24" s="222"/>
      <c r="D24" s="222"/>
      <c r="E24" s="222"/>
      <c r="F24" s="222"/>
      <c r="G24" s="222"/>
      <c r="H24" s="222"/>
      <c r="I24" s="222"/>
      <c r="J24" s="222"/>
      <c r="K24" s="222"/>
      <c r="L24" s="222"/>
      <c r="M24" s="222"/>
      <c r="N24" s="222"/>
    </row>
    <row r="25" spans="1:14" x14ac:dyDescent="0.35">
      <c r="A25" s="222"/>
      <c r="B25" s="222"/>
      <c r="C25" s="222"/>
      <c r="D25" s="222"/>
      <c r="E25" s="222"/>
      <c r="F25" s="222"/>
      <c r="G25" s="222"/>
      <c r="H25" s="222"/>
      <c r="I25" s="222"/>
      <c r="J25" s="222"/>
      <c r="K25" s="222"/>
      <c r="L25" s="222"/>
      <c r="M25" s="222"/>
      <c r="N25" s="222"/>
    </row>
    <row r="26" spans="1:14" x14ac:dyDescent="0.35">
      <c r="A26" s="222"/>
      <c r="B26" s="222"/>
      <c r="C26" s="222"/>
      <c r="D26" s="222"/>
      <c r="E26" s="222"/>
      <c r="F26" s="222"/>
      <c r="G26" s="222"/>
      <c r="H26" s="222"/>
      <c r="I26" s="222"/>
      <c r="J26" s="222"/>
      <c r="K26" s="222"/>
      <c r="L26" s="222"/>
      <c r="M26" s="222"/>
      <c r="N26" s="222"/>
    </row>
    <row r="27" spans="1:14" x14ac:dyDescent="0.35">
      <c r="A27" s="222"/>
      <c r="B27" s="222"/>
      <c r="C27" s="222"/>
      <c r="D27" s="222"/>
      <c r="E27" s="222"/>
      <c r="F27" s="222"/>
      <c r="G27" s="222"/>
      <c r="H27" s="222"/>
      <c r="I27" s="222"/>
      <c r="J27" s="222"/>
      <c r="K27" s="222"/>
      <c r="L27" s="222"/>
      <c r="M27" s="222"/>
      <c r="N27" s="222"/>
    </row>
    <row r="28" spans="1:14" x14ac:dyDescent="0.35">
      <c r="A28" s="222"/>
      <c r="B28" s="222"/>
      <c r="C28" s="222"/>
      <c r="D28" s="222"/>
      <c r="E28" s="222"/>
      <c r="F28" s="222"/>
      <c r="G28" s="222"/>
      <c r="H28" s="222"/>
      <c r="I28" s="222"/>
      <c r="J28" s="222"/>
      <c r="K28" s="222"/>
      <c r="L28" s="222"/>
      <c r="M28" s="222"/>
      <c r="N28" s="222"/>
    </row>
    <row r="29" spans="1:14" x14ac:dyDescent="0.35">
      <c r="A29" s="222"/>
      <c r="B29" s="222"/>
      <c r="C29" s="222"/>
      <c r="D29" s="222"/>
      <c r="E29" s="222"/>
      <c r="F29" s="222"/>
      <c r="G29" s="222"/>
      <c r="H29" s="222"/>
      <c r="I29" s="222"/>
      <c r="J29" s="222"/>
      <c r="K29" s="222"/>
      <c r="L29" s="222"/>
      <c r="M29" s="222"/>
      <c r="N29" s="222"/>
    </row>
    <row r="30" spans="1:14" x14ac:dyDescent="0.35">
      <c r="A30" s="222"/>
      <c r="B30" s="222"/>
      <c r="C30" s="222"/>
      <c r="D30" s="222"/>
      <c r="E30" s="222"/>
      <c r="F30" s="222"/>
      <c r="G30" s="222"/>
      <c r="H30" s="222"/>
      <c r="I30" s="222"/>
      <c r="J30" s="222"/>
      <c r="K30" s="222"/>
      <c r="L30" s="222"/>
      <c r="M30" s="222"/>
      <c r="N30" s="222"/>
    </row>
    <row r="31" spans="1:14" x14ac:dyDescent="0.35">
      <c r="A31" s="222"/>
      <c r="B31" s="222"/>
      <c r="C31" s="222"/>
      <c r="D31" s="222"/>
      <c r="E31" s="222"/>
      <c r="F31" s="222"/>
      <c r="G31" s="222"/>
      <c r="H31" s="222"/>
      <c r="I31" s="222"/>
      <c r="J31" s="222"/>
      <c r="K31" s="222"/>
      <c r="L31" s="222"/>
      <c r="M31" s="222"/>
      <c r="N31" s="222"/>
    </row>
    <row r="32" spans="1:14" x14ac:dyDescent="0.35">
      <c r="A32" s="222"/>
      <c r="B32" s="222"/>
      <c r="C32" s="222"/>
      <c r="D32" s="222"/>
      <c r="E32" s="222"/>
      <c r="F32" s="222"/>
      <c r="G32" s="222"/>
      <c r="H32" s="222"/>
      <c r="I32" s="222"/>
      <c r="J32" s="222"/>
      <c r="K32" s="222"/>
      <c r="L32" s="222"/>
      <c r="M32" s="222"/>
      <c r="N32" s="222"/>
    </row>
    <row r="33" spans="1:14" x14ac:dyDescent="0.35">
      <c r="A33" s="222"/>
      <c r="B33" s="222"/>
      <c r="C33" s="222"/>
      <c r="D33" s="222"/>
      <c r="E33" s="222"/>
      <c r="F33" s="222"/>
      <c r="G33" s="222"/>
      <c r="H33" s="222"/>
      <c r="I33" s="222"/>
      <c r="J33" s="222"/>
      <c r="K33" s="222"/>
      <c r="L33" s="222"/>
      <c r="M33" s="222"/>
      <c r="N33" s="222"/>
    </row>
    <row r="34" spans="1:14" x14ac:dyDescent="0.35">
      <c r="A34" s="222"/>
      <c r="B34" s="222"/>
      <c r="C34" s="222"/>
      <c r="D34" s="222"/>
      <c r="E34" s="222"/>
      <c r="F34" s="222"/>
      <c r="G34" s="222"/>
      <c r="H34" s="222"/>
      <c r="I34" s="222"/>
      <c r="J34" s="222"/>
      <c r="K34" s="222"/>
      <c r="L34" s="222"/>
      <c r="M34" s="222"/>
      <c r="N34" s="222"/>
    </row>
    <row r="35" spans="1:14" x14ac:dyDescent="0.35">
      <c r="A35" s="222"/>
      <c r="B35" s="222"/>
      <c r="C35" s="222"/>
      <c r="D35" s="222"/>
      <c r="E35" s="222"/>
      <c r="F35" s="222"/>
      <c r="G35" s="222"/>
      <c r="H35" s="222"/>
      <c r="I35" s="222"/>
      <c r="J35" s="222"/>
      <c r="K35" s="222"/>
      <c r="L35" s="222"/>
      <c r="M35" s="222"/>
      <c r="N35" s="222"/>
    </row>
    <row r="36" spans="1:14" x14ac:dyDescent="0.35">
      <c r="A36" s="222"/>
      <c r="B36" s="222"/>
      <c r="C36" s="222"/>
      <c r="D36" s="222"/>
      <c r="E36" s="222"/>
      <c r="F36" s="222"/>
      <c r="G36" s="222"/>
      <c r="H36" s="222"/>
      <c r="I36" s="222"/>
      <c r="J36" s="222"/>
      <c r="K36" s="222"/>
      <c r="L36" s="222"/>
      <c r="M36" s="222"/>
      <c r="N36" s="222"/>
    </row>
    <row r="37" spans="1:14" x14ac:dyDescent="0.35">
      <c r="A37" s="222"/>
      <c r="B37" s="222"/>
      <c r="C37" s="222"/>
      <c r="D37" s="222"/>
      <c r="E37" s="222"/>
      <c r="F37" s="222"/>
      <c r="G37" s="222"/>
      <c r="H37" s="222"/>
      <c r="I37" s="222"/>
      <c r="J37" s="222"/>
      <c r="K37" s="222"/>
      <c r="L37" s="222"/>
      <c r="M37" s="222"/>
      <c r="N37" s="222"/>
    </row>
    <row r="38" spans="1:14" x14ac:dyDescent="0.35">
      <c r="A38" s="222"/>
      <c r="B38" s="222"/>
      <c r="C38" s="222"/>
      <c r="D38" s="222"/>
      <c r="E38" s="222"/>
      <c r="F38" s="222"/>
      <c r="G38" s="222"/>
      <c r="H38" s="222"/>
      <c r="I38" s="222"/>
      <c r="J38" s="222"/>
      <c r="K38" s="222"/>
      <c r="L38" s="222"/>
      <c r="M38" s="222"/>
      <c r="N38" s="222"/>
    </row>
    <row r="39" spans="1:14" x14ac:dyDescent="0.35">
      <c r="A39" s="222"/>
      <c r="B39" s="222"/>
      <c r="C39" s="222"/>
      <c r="D39" s="222"/>
      <c r="E39" s="222"/>
      <c r="F39" s="222"/>
      <c r="G39" s="222"/>
      <c r="H39" s="222"/>
      <c r="I39" s="222"/>
      <c r="J39" s="222"/>
      <c r="K39" s="222"/>
      <c r="L39" s="222"/>
      <c r="M39" s="222"/>
      <c r="N39" s="222"/>
    </row>
    <row r="40" spans="1:14" x14ac:dyDescent="0.35">
      <c r="A40" s="222"/>
      <c r="B40" s="222"/>
      <c r="C40" s="222"/>
      <c r="D40" s="222"/>
      <c r="E40" s="222"/>
      <c r="F40" s="222"/>
      <c r="G40" s="222"/>
      <c r="H40" s="222"/>
      <c r="I40" s="222"/>
      <c r="J40" s="222"/>
      <c r="K40" s="222"/>
      <c r="L40" s="222"/>
      <c r="M40" s="222"/>
      <c r="N40" s="222"/>
    </row>
    <row r="41" spans="1:14" x14ac:dyDescent="0.35">
      <c r="A41" s="222"/>
      <c r="B41" s="222"/>
      <c r="C41" s="222"/>
      <c r="D41" s="222"/>
      <c r="E41" s="222"/>
      <c r="F41" s="222"/>
      <c r="G41" s="222"/>
      <c r="H41" s="222"/>
      <c r="I41" s="222"/>
      <c r="J41" s="222"/>
      <c r="K41" s="222"/>
      <c r="L41" s="222"/>
      <c r="M41" s="222"/>
      <c r="N41" s="222"/>
    </row>
    <row r="42" spans="1:14" x14ac:dyDescent="0.35">
      <c r="A42" s="222"/>
      <c r="B42" s="222"/>
      <c r="C42" s="222"/>
      <c r="D42" s="222"/>
      <c r="E42" s="222"/>
      <c r="F42" s="222"/>
      <c r="G42" s="222"/>
      <c r="H42" s="222"/>
      <c r="I42" s="222"/>
      <c r="J42" s="222"/>
      <c r="K42" s="222"/>
      <c r="L42" s="222"/>
      <c r="M42" s="222"/>
      <c r="N42" s="222"/>
    </row>
    <row r="43" spans="1:14" x14ac:dyDescent="0.35">
      <c r="A43" s="222"/>
      <c r="B43" s="222"/>
      <c r="C43" s="222"/>
      <c r="D43" s="222"/>
      <c r="E43" s="222"/>
      <c r="F43" s="222"/>
      <c r="G43" s="222"/>
      <c r="H43" s="222"/>
      <c r="I43" s="222"/>
      <c r="J43" s="222"/>
      <c r="K43" s="222"/>
      <c r="L43" s="222"/>
      <c r="M43" s="222"/>
      <c r="N43" s="222"/>
    </row>
    <row r="44" spans="1:14" x14ac:dyDescent="0.35">
      <c r="A44" s="222"/>
      <c r="B44" s="222"/>
      <c r="C44" s="222"/>
      <c r="D44" s="222"/>
      <c r="E44" s="222"/>
      <c r="F44" s="222"/>
      <c r="G44" s="222"/>
      <c r="H44" s="222"/>
      <c r="I44" s="222"/>
      <c r="J44" s="222"/>
      <c r="K44" s="222"/>
      <c r="L44" s="222"/>
      <c r="M44" s="222"/>
      <c r="N44" s="222"/>
    </row>
    <row r="45" spans="1:14" x14ac:dyDescent="0.35">
      <c r="A45" s="222"/>
      <c r="B45" s="222"/>
      <c r="C45" s="222"/>
      <c r="D45" s="222"/>
      <c r="E45" s="222"/>
      <c r="F45" s="222"/>
      <c r="G45" s="222"/>
      <c r="H45" s="222"/>
      <c r="I45" s="222"/>
      <c r="J45" s="222"/>
      <c r="K45" s="222"/>
      <c r="L45" s="222"/>
      <c r="M45" s="222"/>
      <c r="N45" s="222"/>
    </row>
    <row r="46" spans="1:14" x14ac:dyDescent="0.35">
      <c r="A46" s="222"/>
      <c r="B46" s="222"/>
      <c r="C46" s="222"/>
      <c r="D46" s="222"/>
      <c r="E46" s="222"/>
      <c r="F46" s="222"/>
      <c r="G46" s="222"/>
      <c r="H46" s="222"/>
      <c r="I46" s="222"/>
      <c r="J46" s="222"/>
      <c r="K46" s="222"/>
      <c r="L46" s="222"/>
      <c r="M46" s="222"/>
      <c r="N46" s="222"/>
    </row>
    <row r="47" spans="1:14" x14ac:dyDescent="0.35">
      <c r="A47" s="222"/>
      <c r="B47" s="222"/>
      <c r="C47" s="222"/>
      <c r="D47" s="222"/>
      <c r="E47" s="222"/>
      <c r="F47" s="222"/>
      <c r="G47" s="222"/>
      <c r="H47" s="222"/>
      <c r="I47" s="222"/>
      <c r="J47" s="222"/>
      <c r="K47" s="222"/>
      <c r="L47" s="222"/>
      <c r="M47" s="222"/>
      <c r="N47" s="222"/>
    </row>
    <row r="48" spans="1:14" x14ac:dyDescent="0.35">
      <c r="A48" s="222"/>
      <c r="B48" s="222"/>
      <c r="C48" s="222"/>
      <c r="D48" s="222"/>
      <c r="E48" s="222"/>
      <c r="F48" s="222"/>
      <c r="G48" s="222"/>
      <c r="H48" s="222"/>
      <c r="I48" s="222"/>
      <c r="J48" s="222"/>
      <c r="K48" s="222"/>
      <c r="L48" s="222"/>
      <c r="M48" s="222"/>
      <c r="N48" s="222"/>
    </row>
    <row r="49" spans="1:14" x14ac:dyDescent="0.35">
      <c r="A49" s="222"/>
      <c r="B49" s="222"/>
      <c r="C49" s="222"/>
      <c r="D49" s="222"/>
      <c r="E49" s="222"/>
      <c r="F49" s="222"/>
      <c r="G49" s="222"/>
      <c r="H49" s="222"/>
      <c r="I49" s="222"/>
      <c r="J49" s="222"/>
      <c r="K49" s="222"/>
      <c r="L49" s="222"/>
      <c r="M49" s="222"/>
      <c r="N49" s="222"/>
    </row>
    <row r="50" spans="1:14" ht="15.5" x14ac:dyDescent="0.35">
      <c r="A50" s="222"/>
      <c r="B50" s="248"/>
      <c r="C50" s="222"/>
      <c r="D50" s="222"/>
      <c r="E50" s="222"/>
      <c r="F50" s="222"/>
      <c r="G50" s="222"/>
      <c r="H50" s="222"/>
      <c r="I50" s="222"/>
      <c r="J50" s="222"/>
      <c r="K50" s="222"/>
      <c r="L50" s="222"/>
      <c r="M50" s="222"/>
      <c r="N50" s="222"/>
    </row>
    <row r="51" spans="1:14" ht="24" customHeight="1" x14ac:dyDescent="0.35">
      <c r="A51" s="222"/>
      <c r="B51" s="41" t="s">
        <v>170</v>
      </c>
      <c r="C51" s="222"/>
      <c r="D51" s="222"/>
      <c r="E51" s="222"/>
      <c r="F51" s="222"/>
      <c r="G51" s="222"/>
      <c r="H51" s="222"/>
      <c r="I51" s="222"/>
      <c r="J51" s="222"/>
      <c r="K51" s="222"/>
      <c r="L51" s="222"/>
      <c r="M51" s="222"/>
      <c r="N51" s="222"/>
    </row>
    <row r="52" spans="1:14" ht="15" thickBot="1" x14ac:dyDescent="0.4">
      <c r="A52" s="222"/>
      <c r="B52" s="58"/>
      <c r="C52" s="58"/>
      <c r="D52" s="222"/>
      <c r="E52" s="222"/>
      <c r="F52" s="222"/>
      <c r="G52" s="222"/>
      <c r="H52" s="222"/>
      <c r="I52" s="222"/>
      <c r="J52" s="222"/>
      <c r="K52" s="222"/>
      <c r="L52" s="222"/>
      <c r="M52" s="222"/>
      <c r="N52" s="222"/>
    </row>
    <row r="53" spans="1:14" outlineLevel="2" x14ac:dyDescent="0.35">
      <c r="A53" s="222"/>
      <c r="B53" s="249" t="s">
        <v>1</v>
      </c>
      <c r="C53" s="250" t="s">
        <v>165</v>
      </c>
      <c r="D53" s="222"/>
      <c r="E53" s="222"/>
      <c r="F53" s="222"/>
      <c r="G53" s="222"/>
      <c r="H53" s="222"/>
      <c r="I53" s="222"/>
      <c r="J53" s="222"/>
      <c r="K53" s="222"/>
      <c r="L53" s="222"/>
      <c r="M53" s="222"/>
      <c r="N53" s="222"/>
    </row>
    <row r="54" spans="1:14" outlineLevel="2" x14ac:dyDescent="0.35">
      <c r="A54" s="222"/>
      <c r="B54" s="251" t="str" cm="1">
        <f t="array" aca="1" ref="B54:B62" ca="1">_xlfn.UNIQUE(C8:C17)</f>
        <v>Semiconductors &amp; Semiconductor Equipment</v>
      </c>
      <c r="C54" s="252" cm="1">
        <f t="array" aca="1" ref="C54:C62" ca="1">SUMIF(C8:C17,_xlfn.ANCHORARRAY(B54),H8:H17)</f>
        <v>992332578250</v>
      </c>
      <c r="D54" s="222"/>
      <c r="E54" s="222"/>
      <c r="F54" s="222"/>
      <c r="G54" s="222"/>
      <c r="H54" s="222"/>
      <c r="I54" s="222"/>
      <c r="J54" s="222"/>
      <c r="K54" s="222"/>
      <c r="L54" s="222"/>
      <c r="M54" s="222"/>
      <c r="N54" s="222"/>
    </row>
    <row r="55" spans="1:14" outlineLevel="2" x14ac:dyDescent="0.35">
      <c r="A55" s="222"/>
      <c r="B55" s="255" t="str">
        <f ca="1"/>
        <v>Software &amp; IT Services</v>
      </c>
      <c r="C55" s="256">
        <f ca="1"/>
        <v>4051572491140</v>
      </c>
      <c r="D55" s="222"/>
      <c r="E55" s="222"/>
      <c r="F55" s="222"/>
      <c r="G55" s="222"/>
      <c r="H55" s="222"/>
      <c r="I55" s="222"/>
      <c r="J55" s="222"/>
      <c r="K55" s="222"/>
      <c r="L55" s="222"/>
      <c r="M55" s="222"/>
      <c r="N55" s="222"/>
    </row>
    <row r="56" spans="1:14" outlineLevel="2" x14ac:dyDescent="0.35">
      <c r="A56" s="222"/>
      <c r="B56" s="251" t="str">
        <f ca="1"/>
        <v>Computers, Phones &amp; Household Electronics</v>
      </c>
      <c r="C56" s="252">
        <f ca="1"/>
        <v>345519695560</v>
      </c>
      <c r="D56" s="222"/>
      <c r="E56" s="222"/>
      <c r="F56" s="222"/>
      <c r="G56" s="222"/>
      <c r="H56" s="222"/>
      <c r="I56" s="222"/>
      <c r="J56" s="222"/>
      <c r="K56" s="222"/>
      <c r="L56" s="222"/>
      <c r="M56" s="222"/>
      <c r="N56" s="222"/>
    </row>
    <row r="57" spans="1:14" outlineLevel="2" x14ac:dyDescent="0.35">
      <c r="A57" s="222"/>
      <c r="B57" s="255" t="str">
        <f ca="1"/>
        <v>Investment Banking &amp; Investment Services</v>
      </c>
      <c r="C57" s="256">
        <f ca="1"/>
        <v>266794530392</v>
      </c>
      <c r="D57" s="222"/>
      <c r="E57" s="222"/>
      <c r="F57" s="222"/>
      <c r="G57" s="222"/>
      <c r="H57" s="222"/>
      <c r="I57" s="222"/>
      <c r="J57" s="222"/>
      <c r="K57" s="222"/>
      <c r="L57" s="222"/>
      <c r="M57" s="222"/>
      <c r="N57" s="222"/>
    </row>
    <row r="58" spans="1:14" outlineLevel="2" x14ac:dyDescent="0.35">
      <c r="A58" s="222"/>
      <c r="B58" s="251" t="str">
        <f ca="1"/>
        <v>Oil &amp; Gas</v>
      </c>
      <c r="C58" s="252">
        <f ca="1"/>
        <v>668267938240</v>
      </c>
      <c r="D58" s="222"/>
      <c r="E58" s="222"/>
      <c r="F58" s="222"/>
      <c r="G58" s="222"/>
      <c r="H58" s="222"/>
      <c r="I58" s="222"/>
      <c r="J58" s="222"/>
      <c r="K58" s="222"/>
      <c r="L58" s="222"/>
      <c r="M58" s="222"/>
      <c r="N58" s="222"/>
    </row>
    <row r="59" spans="1:14" outlineLevel="2" x14ac:dyDescent="0.35">
      <c r="A59" s="222"/>
      <c r="B59" s="255" t="str">
        <f ca="1"/>
        <v>Automobiles &amp; Auto Parts</v>
      </c>
      <c r="C59" s="256">
        <f ca="1"/>
        <v>70757688960</v>
      </c>
      <c r="D59" s="222"/>
      <c r="E59" s="222"/>
      <c r="F59" s="222"/>
      <c r="G59" s="222"/>
      <c r="H59" s="222"/>
      <c r="I59" s="222"/>
      <c r="J59" s="222"/>
      <c r="K59" s="222"/>
      <c r="L59" s="222"/>
      <c r="M59" s="222"/>
      <c r="N59" s="222"/>
    </row>
    <row r="60" spans="1:14" outlineLevel="2" x14ac:dyDescent="0.35">
      <c r="A60" s="222"/>
      <c r="B60" s="251" t="str">
        <f ca="1"/>
        <v>Banking Services</v>
      </c>
      <c r="C60" s="252">
        <f ca="1"/>
        <v>387887787030</v>
      </c>
      <c r="D60" s="222"/>
      <c r="E60" s="222"/>
      <c r="F60" s="222"/>
      <c r="G60" s="222"/>
      <c r="H60" s="222"/>
      <c r="I60" s="222"/>
      <c r="J60" s="222"/>
      <c r="K60" s="222"/>
      <c r="L60" s="222"/>
      <c r="M60" s="222"/>
      <c r="N60" s="222"/>
    </row>
    <row r="61" spans="1:14" outlineLevel="2" x14ac:dyDescent="0.35">
      <c r="A61" s="222"/>
      <c r="B61" s="253" t="str">
        <f ca="1"/>
        <v>Aerospace &amp; Defense</v>
      </c>
      <c r="C61" s="254">
        <f ca="1"/>
        <v>119572713480</v>
      </c>
      <c r="D61" s="222"/>
      <c r="E61" s="222"/>
      <c r="F61" s="222"/>
      <c r="G61" s="222"/>
      <c r="H61" s="222"/>
      <c r="I61" s="222"/>
      <c r="J61" s="222"/>
      <c r="K61" s="222"/>
      <c r="L61" s="222"/>
      <c r="M61" s="222"/>
      <c r="N61" s="222"/>
    </row>
    <row r="62" spans="1:14" outlineLevel="2" x14ac:dyDescent="0.35">
      <c r="A62" s="222"/>
      <c r="B62" s="222" t="str">
        <f ca="1"/>
        <v>Diversified Retail</v>
      </c>
      <c r="C62" s="223">
        <f ca="1"/>
        <v>409099056720</v>
      </c>
      <c r="D62" s="222"/>
      <c r="E62" s="222"/>
      <c r="F62" s="222"/>
      <c r="G62" s="222"/>
      <c r="H62" s="222"/>
      <c r="I62" s="222"/>
      <c r="J62" s="222"/>
      <c r="K62" s="222"/>
      <c r="L62" s="222"/>
      <c r="M62" s="222"/>
      <c r="N62" s="222"/>
    </row>
    <row r="63" spans="1:14" ht="15.5" x14ac:dyDescent="0.35">
      <c r="A63" s="222"/>
      <c r="B63" s="248"/>
      <c r="C63" s="222"/>
      <c r="D63" s="222"/>
      <c r="E63" s="222"/>
      <c r="F63" s="222"/>
      <c r="G63" s="222"/>
      <c r="H63" s="222"/>
      <c r="I63" s="222"/>
      <c r="J63" s="222"/>
      <c r="K63" s="222"/>
      <c r="L63" s="222"/>
      <c r="M63" s="222"/>
      <c r="N63" s="222"/>
    </row>
    <row r="64" spans="1:14" x14ac:dyDescent="0.35">
      <c r="A64" s="222"/>
      <c r="B64" s="41" t="s">
        <v>208</v>
      </c>
      <c r="C64" s="222"/>
      <c r="D64" s="222"/>
      <c r="E64" s="222"/>
      <c r="F64" s="222"/>
      <c r="G64" s="222"/>
      <c r="H64" s="222"/>
      <c r="I64" s="222"/>
      <c r="J64" s="222"/>
      <c r="K64" s="222"/>
      <c r="L64" s="222"/>
      <c r="M64" s="222"/>
      <c r="N64" s="222"/>
    </row>
    <row r="65" spans="1:14" ht="15" thickBot="1" x14ac:dyDescent="0.4">
      <c r="A65" s="222"/>
      <c r="B65" s="133" t="s">
        <v>209</v>
      </c>
      <c r="C65" s="133"/>
      <c r="D65" s="133"/>
      <c r="E65" s="133"/>
      <c r="F65" s="133"/>
      <c r="G65" s="133"/>
      <c r="H65" s="133"/>
      <c r="I65" s="133"/>
      <c r="J65" s="133"/>
      <c r="K65" s="133"/>
      <c r="L65" s="222"/>
      <c r="M65" s="222"/>
      <c r="N65" s="222"/>
    </row>
    <row r="66" spans="1:14" ht="15" thickBot="1" x14ac:dyDescent="0.4">
      <c r="A66" s="222"/>
      <c r="B66" s="257" t="s">
        <v>14</v>
      </c>
      <c r="C66" s="258" t="s">
        <v>30</v>
      </c>
      <c r="D66" s="257" t="s">
        <v>210</v>
      </c>
      <c r="E66" s="259" t="s">
        <v>28</v>
      </c>
      <c r="F66" s="257" t="s">
        <v>211</v>
      </c>
      <c r="G66" s="260" t="s">
        <v>168</v>
      </c>
      <c r="H66" s="257" t="s">
        <v>212</v>
      </c>
      <c r="I66" s="258" t="s">
        <v>213</v>
      </c>
      <c r="J66" s="257" t="s">
        <v>214</v>
      </c>
      <c r="K66" s="257" t="s">
        <v>176</v>
      </c>
      <c r="L66" s="222"/>
      <c r="M66" s="222"/>
      <c r="N66" s="222"/>
    </row>
    <row r="67" spans="1:14" x14ac:dyDescent="0.35">
      <c r="A67" s="222"/>
      <c r="B67" s="229" t="str">
        <f ca="1">B8</f>
        <v>AMD</v>
      </c>
      <c r="C67" s="231">
        <f ca="1">F8</f>
        <v>155.14330000000001</v>
      </c>
      <c r="D67" s="250">
        <f ca="1">RANK(F8,F$8:F$17,1)</f>
        <v>10</v>
      </c>
      <c r="E67" s="232">
        <f ca="1">G8</f>
        <v>2.4824000000000002</v>
      </c>
      <c r="F67" s="250">
        <f ca="1">RANK(G8,G$8:G$17,1)</f>
        <v>10</v>
      </c>
      <c r="G67" s="233">
        <f ca="1">K8</f>
        <v>0.94560843913523895</v>
      </c>
      <c r="H67" s="382" t="str">
        <f ca="1">IF(K8&gt;0.7,"▲ STRONG",IF(K8&gt;0.3,"▶ NEUTRAL","▼ WEAK"))</f>
        <v>▲ STRONG</v>
      </c>
      <c r="I67" s="231">
        <f ca="1">(RANK(F8,F$8:F$17,1)*0.4)+(RANK(G8,G$8:G$17,1)*0.3)+(RANK(K8,K$8:K$17,0)*0.3)</f>
        <v>7.3</v>
      </c>
      <c r="J67" s="250">
        <f ca="1">RANK(I67,I$67:I$76,1)</f>
        <v>8</v>
      </c>
      <c r="K67" s="383" t="str">
        <f ca="1">IF(J67&lt;=3,"⭐ BUY",IF(J67&lt;=7,"🔍 WATCH","⚠️ AVOID"))</f>
        <v>⚠️ AVOID</v>
      </c>
      <c r="L67" s="222"/>
      <c r="M67" s="222"/>
      <c r="N67" s="222"/>
    </row>
    <row r="68" spans="1:14" x14ac:dyDescent="0.35">
      <c r="A68" s="222"/>
      <c r="B68" s="238" t="str">
        <f t="shared" ref="B68:B76" ca="1" si="2">B9</f>
        <v>MSFT</v>
      </c>
      <c r="C68" s="240">
        <f t="shared" ref="C68:C76" ca="1" si="3">F9</f>
        <v>28.374099999999999</v>
      </c>
      <c r="D68" s="261">
        <f t="shared" ref="D68:D76" ca="1" si="4">RANK(F9,F$8:F$17,1)</f>
        <v>6</v>
      </c>
      <c r="E68" s="241">
        <f t="shared" ref="E68:E76" ca="1" si="5">G9</f>
        <v>1.1008</v>
      </c>
      <c r="F68" s="261">
        <f t="shared" ref="F68:F76" ca="1" si="6">RANK(G9,G$8:G$17,1)</f>
        <v>5</v>
      </c>
      <c r="G68" s="242">
        <f t="shared" ref="G68:G76" ca="1" si="7">K9</f>
        <v>0.77535204380989642</v>
      </c>
      <c r="H68" s="373" t="str">
        <f t="shared" ref="H68:H76" ca="1" si="8">IF(K9&gt;0.7,"▲ STRONG",IF(K9&gt;0.3,"▶ NEUTRAL","▼ WEAK"))</f>
        <v>▲ STRONG</v>
      </c>
      <c r="I68" s="240">
        <f t="shared" ref="I68:I76" ca="1" si="9">(RANK(F9,F$8:F$17,1)*0.4)+(RANK(G9,G$8:G$17,1)*0.3)+(RANK(K9,K$8:K$17,0)*0.3)</f>
        <v>5.1000000000000005</v>
      </c>
      <c r="J68" s="261">
        <f t="shared" ref="J68:J76" ca="1" si="10">RANK(I68,I$67:I$76,1)</f>
        <v>5</v>
      </c>
      <c r="K68" s="374" t="str">
        <f t="shared" ref="K68:K76" ca="1" si="11">IF(J68&lt;=3,"⭐ BUY",IF(J68&lt;=7,"🔍 WATCH","⚠️ AVOID"))</f>
        <v>🔍 WATCH</v>
      </c>
      <c r="L68" s="222"/>
      <c r="M68" s="222"/>
      <c r="N68" s="222"/>
    </row>
    <row r="69" spans="1:14" x14ac:dyDescent="0.35">
      <c r="A69" s="222"/>
      <c r="B69" s="243" t="str">
        <f t="shared" ca="1" si="2"/>
        <v>BABA</v>
      </c>
      <c r="C69" s="245">
        <f t="shared" ca="1" si="3"/>
        <v>24.247199999999999</v>
      </c>
      <c r="D69" s="262">
        <f t="shared" ca="1" si="4"/>
        <v>5</v>
      </c>
      <c r="E69" s="246">
        <f t="shared" ca="1" si="5"/>
        <v>0.46160000000000001</v>
      </c>
      <c r="F69" s="262">
        <f t="shared" ca="1" si="6"/>
        <v>3</v>
      </c>
      <c r="G69" s="247">
        <f t="shared" ca="1" si="7"/>
        <v>0.17332141438220108</v>
      </c>
      <c r="H69" s="370" t="str">
        <f t="shared" ca="1" si="8"/>
        <v>▼ WEAK</v>
      </c>
      <c r="I69" s="245">
        <f t="shared" ca="1" si="9"/>
        <v>5.9</v>
      </c>
      <c r="J69" s="262">
        <f t="shared" ca="1" si="10"/>
        <v>7</v>
      </c>
      <c r="K69" s="365" t="str">
        <f t="shared" ca="1" si="11"/>
        <v>🔍 WATCH</v>
      </c>
      <c r="L69" s="222"/>
      <c r="M69" s="222"/>
      <c r="N69" s="222"/>
    </row>
    <row r="70" spans="1:14" x14ac:dyDescent="0.35">
      <c r="A70" s="222"/>
      <c r="B70" s="238" t="str">
        <f t="shared" ca="1" si="2"/>
        <v>DELL</v>
      </c>
      <c r="C70" s="240">
        <f t="shared" ca="1" si="3"/>
        <v>31.531300000000002</v>
      </c>
      <c r="D70" s="261">
        <f t="shared" ca="1" si="4"/>
        <v>7</v>
      </c>
      <c r="E70" s="241">
        <f t="shared" ca="1" si="5"/>
        <v>1.3674999999999999</v>
      </c>
      <c r="F70" s="261">
        <f t="shared" ca="1" si="6"/>
        <v>8</v>
      </c>
      <c r="G70" s="242">
        <f t="shared" ca="1" si="7"/>
        <v>0.89849368418883557</v>
      </c>
      <c r="H70" s="360" t="str">
        <f t="shared" ca="1" si="8"/>
        <v>▲ STRONG</v>
      </c>
      <c r="I70" s="240">
        <f t="shared" ca="1" si="9"/>
        <v>5.8</v>
      </c>
      <c r="J70" s="261">
        <f t="shared" ca="1" si="10"/>
        <v>6</v>
      </c>
      <c r="K70" s="361" t="str">
        <f t="shared" ca="1" si="11"/>
        <v>🔍 WATCH</v>
      </c>
      <c r="L70" s="222"/>
      <c r="M70" s="222"/>
      <c r="N70" s="222"/>
    </row>
    <row r="71" spans="1:14" x14ac:dyDescent="0.35">
      <c r="A71" s="222"/>
      <c r="B71" s="243" t="str">
        <f t="shared" ca="1" si="2"/>
        <v>GS</v>
      </c>
      <c r="C71" s="245">
        <f t="shared" ca="1" si="3"/>
        <v>14.1387</v>
      </c>
      <c r="D71" s="262">
        <f t="shared" ca="1" si="4"/>
        <v>2</v>
      </c>
      <c r="E71" s="246">
        <f t="shared" ca="1" si="5"/>
        <v>1.2712000000000001</v>
      </c>
      <c r="F71" s="262">
        <f t="shared" ca="1" si="6"/>
        <v>7</v>
      </c>
      <c r="G71" s="247">
        <f t="shared" ca="1" si="7"/>
        <v>0.44263007874776561</v>
      </c>
      <c r="H71" s="384" t="str">
        <f t="shared" ca="1" si="8"/>
        <v>▶ NEUTRAL</v>
      </c>
      <c r="I71" s="245">
        <f t="shared" ca="1" si="9"/>
        <v>5</v>
      </c>
      <c r="J71" s="262">
        <f t="shared" ca="1" si="10"/>
        <v>4</v>
      </c>
      <c r="K71" s="385" t="str">
        <f t="shared" ca="1" si="11"/>
        <v>🔍 WATCH</v>
      </c>
      <c r="L71" s="222"/>
      <c r="M71" s="222"/>
      <c r="N71" s="222"/>
    </row>
    <row r="72" spans="1:14" x14ac:dyDescent="0.35">
      <c r="A72" s="222"/>
      <c r="B72" s="238" t="str">
        <f t="shared" ca="1" si="2"/>
        <v>XOM</v>
      </c>
      <c r="C72" s="240">
        <f t="shared" ca="1" si="3"/>
        <v>20.958500000000001</v>
      </c>
      <c r="D72" s="261">
        <f t="shared" ca="1" si="4"/>
        <v>4</v>
      </c>
      <c r="E72" s="241">
        <f t="shared" ca="1" si="5"/>
        <v>0.2089</v>
      </c>
      <c r="F72" s="261">
        <f t="shared" ca="1" si="6"/>
        <v>2</v>
      </c>
      <c r="G72" s="242">
        <f t="shared" ca="1" si="7"/>
        <v>0.78621734191594117</v>
      </c>
      <c r="H72" s="360" t="str">
        <f t="shared" ca="1" si="8"/>
        <v>▲ STRONG</v>
      </c>
      <c r="I72" s="240">
        <f t="shared" ca="1" si="9"/>
        <v>3.1</v>
      </c>
      <c r="J72" s="261">
        <f t="shared" ca="1" si="10"/>
        <v>1</v>
      </c>
      <c r="K72" s="361" t="str">
        <f t="shared" ca="1" si="11"/>
        <v>⭐ BUY</v>
      </c>
      <c r="L72" s="222"/>
      <c r="M72" s="222"/>
      <c r="N72" s="222"/>
    </row>
    <row r="73" spans="1:14" x14ac:dyDescent="0.35">
      <c r="A73" s="222"/>
      <c r="B73" s="243" t="str">
        <f t="shared" ca="1" si="2"/>
        <v>GM</v>
      </c>
      <c r="C73" s="245">
        <f t="shared" ca="1" si="3"/>
        <v>40.673499999999997</v>
      </c>
      <c r="D73" s="262">
        <f t="shared" ca="1" si="4"/>
        <v>8</v>
      </c>
      <c r="E73" s="246">
        <f t="shared" ca="1" si="5"/>
        <v>1.3933</v>
      </c>
      <c r="F73" s="262">
        <f t="shared" ca="1" si="6"/>
        <v>9</v>
      </c>
      <c r="G73" s="247">
        <f t="shared" ca="1" si="7"/>
        <v>0.72574626865671665</v>
      </c>
      <c r="H73" s="364" t="str">
        <f t="shared" ca="1" si="8"/>
        <v>▲ STRONG</v>
      </c>
      <c r="I73" s="245">
        <f t="shared" ca="1" si="9"/>
        <v>7.4</v>
      </c>
      <c r="J73" s="262">
        <f t="shared" ca="1" si="10"/>
        <v>9</v>
      </c>
      <c r="K73" s="371" t="str">
        <f t="shared" ca="1" si="11"/>
        <v>⚠️ AVOID</v>
      </c>
      <c r="L73" s="222"/>
      <c r="M73" s="222"/>
      <c r="N73" s="222"/>
    </row>
    <row r="74" spans="1:14" x14ac:dyDescent="0.35">
      <c r="A74" s="222"/>
      <c r="B74" s="238" t="str">
        <f t="shared" ca="1" si="2"/>
        <v>BAC</v>
      </c>
      <c r="C74" s="240">
        <f t="shared" ca="1" si="3"/>
        <v>12.848699999999999</v>
      </c>
      <c r="D74" s="261">
        <f t="shared" ca="1" si="4"/>
        <v>1</v>
      </c>
      <c r="E74" s="241">
        <f t="shared" ca="1" si="5"/>
        <v>1.2090000000000001</v>
      </c>
      <c r="F74" s="261">
        <f t="shared" ca="1" si="6"/>
        <v>6</v>
      </c>
      <c r="G74" s="242">
        <f t="shared" ca="1" si="7"/>
        <v>0.51818419675562533</v>
      </c>
      <c r="H74" s="368" t="str">
        <f t="shared" ca="1" si="8"/>
        <v>▶ NEUTRAL</v>
      </c>
      <c r="I74" s="240">
        <f t="shared" ca="1" si="9"/>
        <v>3.9999999999999996</v>
      </c>
      <c r="J74" s="261">
        <f t="shared" ca="1" si="10"/>
        <v>3</v>
      </c>
      <c r="K74" s="369" t="str">
        <f t="shared" ca="1" si="11"/>
        <v>⭐ BUY</v>
      </c>
      <c r="L74" s="222"/>
      <c r="M74" s="222"/>
      <c r="N74" s="222"/>
    </row>
    <row r="75" spans="1:14" x14ac:dyDescent="0.35">
      <c r="A75" s="222"/>
      <c r="B75" s="243" t="str">
        <f t="shared" ca="1" si="2"/>
        <v>LMT</v>
      </c>
      <c r="C75" s="245">
        <f t="shared" ca="1" si="3"/>
        <v>19.091000000000001</v>
      </c>
      <c r="D75" s="262">
        <f t="shared" ca="1" si="4"/>
        <v>3</v>
      </c>
      <c r="E75" s="246">
        <f t="shared" ca="1" si="5"/>
        <v>9.0300000000000005E-2</v>
      </c>
      <c r="F75" s="262">
        <f t="shared" ca="1" si="6"/>
        <v>1</v>
      </c>
      <c r="G75" s="247">
        <f t="shared" ca="1" si="7"/>
        <v>0.32555446516192327</v>
      </c>
      <c r="H75" s="384" t="str">
        <f t="shared" ca="1" si="8"/>
        <v>▶ NEUTRAL</v>
      </c>
      <c r="I75" s="245">
        <f t="shared" ca="1" si="9"/>
        <v>3.9000000000000004</v>
      </c>
      <c r="J75" s="262">
        <f t="shared" ca="1" si="10"/>
        <v>2</v>
      </c>
      <c r="K75" s="365" t="str">
        <f t="shared" ca="1" si="11"/>
        <v>⭐ BUY</v>
      </c>
      <c r="L75" s="222"/>
      <c r="M75" s="222"/>
      <c r="N75" s="222"/>
    </row>
    <row r="76" spans="1:14" x14ac:dyDescent="0.35">
      <c r="A76" s="222"/>
      <c r="B76" s="238" t="str">
        <f t="shared" ca="1" si="2"/>
        <v>COST</v>
      </c>
      <c r="C76" s="240">
        <f t="shared" ca="1" si="3"/>
        <v>44.458100000000002</v>
      </c>
      <c r="D76" s="261">
        <f t="shared" ca="1" si="4"/>
        <v>9</v>
      </c>
      <c r="E76" s="241">
        <f t="shared" ca="1" si="5"/>
        <v>0.87529999999999997</v>
      </c>
      <c r="F76" s="261">
        <f t="shared" ca="1" si="6"/>
        <v>4</v>
      </c>
      <c r="G76" s="242">
        <f t="shared" ca="1" si="7"/>
        <v>0.30892489304389203</v>
      </c>
      <c r="H76" s="360" t="str">
        <f t="shared" ca="1" si="8"/>
        <v>▶ NEUTRAL</v>
      </c>
      <c r="I76" s="240">
        <f t="shared" ca="1" si="9"/>
        <v>7.5</v>
      </c>
      <c r="J76" s="261">
        <f t="shared" ca="1" si="10"/>
        <v>10</v>
      </c>
      <c r="K76" s="369" t="str">
        <f t="shared" ca="1" si="11"/>
        <v>⚠️ AVOID</v>
      </c>
      <c r="L76" s="222"/>
      <c r="M76" s="222"/>
      <c r="N76" s="222"/>
    </row>
    <row r="77" spans="1:14" x14ac:dyDescent="0.35">
      <c r="A77" s="222"/>
      <c r="B77" s="263"/>
      <c r="C77" s="263"/>
      <c r="D77" s="263"/>
      <c r="E77" s="263"/>
      <c r="F77" s="263"/>
      <c r="G77" s="263"/>
      <c r="H77" s="263"/>
      <c r="I77" s="263"/>
      <c r="J77" s="263"/>
      <c r="K77" s="263"/>
      <c r="L77" s="222"/>
      <c r="M77" s="222"/>
      <c r="N77" s="222"/>
    </row>
    <row r="78" spans="1:14" ht="19" thickBot="1" x14ac:dyDescent="0.5">
      <c r="A78" s="222"/>
      <c r="B78" s="134" t="s">
        <v>215</v>
      </c>
      <c r="C78" s="134" t="s">
        <v>216</v>
      </c>
      <c r="D78" s="134" t="s">
        <v>217</v>
      </c>
      <c r="E78" s="134" t="s">
        <v>218</v>
      </c>
      <c r="F78" s="134" t="s">
        <v>219</v>
      </c>
      <c r="G78" s="134" t="s">
        <v>220</v>
      </c>
      <c r="H78" s="134" t="s">
        <v>221</v>
      </c>
      <c r="I78" s="134" t="s">
        <v>222</v>
      </c>
      <c r="J78" s="134" t="s">
        <v>223</v>
      </c>
      <c r="K78" s="134" t="s">
        <v>224</v>
      </c>
      <c r="L78" s="222"/>
      <c r="M78" s="222"/>
      <c r="N78" s="222"/>
    </row>
    <row r="79" spans="1:14" x14ac:dyDescent="0.35">
      <c r="A79" s="222"/>
      <c r="B79" s="224">
        <f ca="1">COUNTIF(K67:K76,"*BUY*")</f>
        <v>3</v>
      </c>
      <c r="C79" s="224">
        <f ca="1">COUNTIF(K67:K76,"*WATCH*")</f>
        <v>4</v>
      </c>
      <c r="D79" s="224">
        <f ca="1">COUNTIF(K67:K76,"*AVOID*")</f>
        <v>3</v>
      </c>
      <c r="E79" s="225">
        <f ca="1">AVERAGEIF(K67:K76,"*BUY*",C67:C76)</f>
        <v>17.632733333333334</v>
      </c>
      <c r="F79" s="226">
        <f ca="1">AVERAGEIF(K67:K76,"*BUY*",E67:E76)</f>
        <v>0.50273333333333337</v>
      </c>
      <c r="G79" s="224" t="str">
        <f ca="1">INDEX(B67:B76,MATCH(MIN(C67:C76),C67:C76,0))</f>
        <v>BAC</v>
      </c>
      <c r="H79" s="224" t="str">
        <f ca="1">INDEX(B67:B76,MATCH(MAX(E67:E76),E67:E76,0))</f>
        <v>AMD</v>
      </c>
      <c r="I79" s="224" t="str">
        <f ca="1">INDEX(B67:B76,MATCH(1,J67:J76,0))</f>
        <v>XOM</v>
      </c>
      <c r="J79" s="224">
        <f ca="1">COUNTIF(H67:H76,"*STRONG*")</f>
        <v>5</v>
      </c>
      <c r="K79" s="224">
        <f ca="1">COUNTIF(H67:H76,"*WEAK*")</f>
        <v>1</v>
      </c>
      <c r="L79" s="222"/>
      <c r="M79" s="222"/>
      <c r="N79" s="222"/>
    </row>
  </sheetData>
  <conditionalFormatting sqref="E8:E17">
    <cfRule type="cellIs" dxfId="11" priority="1" operator="greaterThan">
      <formula>0</formula>
    </cfRule>
    <cfRule type="cellIs" dxfId="10" priority="2" operator="lessThan">
      <formula>0</formula>
    </cfRule>
  </conditionalFormatting>
  <conditionalFormatting sqref="H66:H75">
    <cfRule type="containsText" dxfId="9" priority="9" operator="containsText" text="STRONG">
      <formula>NOT(ISERROR(SEARCH("STRONG",H66)))</formula>
    </cfRule>
    <cfRule type="containsText" dxfId="8" priority="10" operator="containsText" text="WEAK">
      <formula>NOT(ISERROR(SEARCH("WEAK",H66)))</formula>
    </cfRule>
  </conditionalFormatting>
  <conditionalFormatting sqref="K8:K17">
    <cfRule type="cellIs" dxfId="7" priority="3" operator="greaterThan">
      <formula>0.7</formula>
    </cfRule>
    <cfRule type="cellIs" dxfId="6" priority="4" operator="lessThan">
      <formula>0.3</formula>
    </cfRule>
    <cfRule type="cellIs" dxfId="5" priority="5" operator="between">
      <formula>0.3</formula>
      <formula>0.7</formula>
    </cfRule>
    <cfRule type="colorScale" priority="11">
      <colorScale>
        <cfvo type="min"/>
        <cfvo type="percentile" val="50"/>
        <cfvo type="max"/>
        <color rgb="FFEF4444"/>
        <color rgb="FFF59E0B"/>
        <color rgb="FF10B981"/>
      </colorScale>
    </cfRule>
  </conditionalFormatting>
  <conditionalFormatting sqref="K66:K75">
    <cfRule type="containsText" dxfId="4" priority="6" operator="containsText" text="BUY">
      <formula>NOT(ISERROR(SEARCH("BUY",K66)))</formula>
    </cfRule>
    <cfRule type="containsText" dxfId="3" priority="7" operator="containsText" text="WATCH">
      <formula>NOT(ISERROR(SEARCH("WATCH",K66)))</formula>
    </cfRule>
    <cfRule type="containsText" dxfId="2" priority="8" operator="containsText" text="AVOID">
      <formula>NOT(ISERROR(SEARCH("AVOID",K66)))</formula>
    </cfRule>
  </conditionalFormatting>
  <pageMargins left="0.7" right="0.7" top="0.75" bottom="0.75" header="0.3" footer="0.3"/>
  <drawing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D55B92-573B-4306-9F7E-DAF3CC4BEB6C}">
  <sheetPr>
    <tabColor rgb="FF0D7377"/>
  </sheetPr>
  <dimension ref="A1:I64"/>
  <sheetViews>
    <sheetView showGridLines="0" topLeftCell="A8" workbookViewId="0"/>
  </sheetViews>
  <sheetFormatPr defaultRowHeight="14.5" x14ac:dyDescent="0.35"/>
  <cols>
    <col min="1" max="1" width="50.90625" customWidth="1"/>
    <col min="2" max="3" width="21.81640625" customWidth="1"/>
    <col min="4" max="4" width="23.6328125" customWidth="1"/>
    <col min="5" max="6" width="16.36328125" customWidth="1"/>
    <col min="7" max="7" width="29.08984375" customWidth="1"/>
    <col min="8" max="8" width="30.90625" customWidth="1"/>
  </cols>
  <sheetData>
    <row r="1" spans="1:9" ht="21" x14ac:dyDescent="0.5">
      <c r="A1" s="87" t="s">
        <v>39</v>
      </c>
      <c r="B1" s="87"/>
      <c r="C1" s="87"/>
      <c r="D1" s="87"/>
      <c r="E1" s="87"/>
      <c r="F1" s="87"/>
      <c r="G1" s="87"/>
      <c r="H1" s="87"/>
    </row>
    <row r="2" spans="1:9" x14ac:dyDescent="0.35">
      <c r="A2" s="88" t="s">
        <v>40</v>
      </c>
      <c r="B2" s="88"/>
      <c r="C2" s="88"/>
      <c r="D2" s="88"/>
      <c r="E2" s="88"/>
      <c r="F2" s="88"/>
      <c r="G2" s="88"/>
      <c r="H2" s="88"/>
    </row>
    <row r="3" spans="1:9" x14ac:dyDescent="0.35">
      <c r="A3" s="26"/>
      <c r="B3" s="26"/>
      <c r="C3" s="26"/>
      <c r="D3" s="26"/>
      <c r="E3" s="26"/>
      <c r="F3" s="26"/>
      <c r="G3" s="26"/>
      <c r="H3" s="26"/>
    </row>
    <row r="4" spans="1:9" ht="15.5" x14ac:dyDescent="0.35">
      <c r="A4" s="57" t="s">
        <v>41</v>
      </c>
      <c r="B4" s="26"/>
      <c r="C4" s="26"/>
      <c r="D4" s="26"/>
      <c r="E4" s="26"/>
      <c r="F4" s="26"/>
      <c r="G4" s="26"/>
      <c r="H4" s="26"/>
    </row>
    <row r="5" spans="1:9" ht="15" thickBot="1" x14ac:dyDescent="0.4">
      <c r="A5" s="58" t="s">
        <v>42</v>
      </c>
      <c r="B5" s="58" t="s">
        <v>43</v>
      </c>
      <c r="C5" s="58" t="s">
        <v>44</v>
      </c>
      <c r="D5" s="58" t="s">
        <v>400</v>
      </c>
      <c r="E5" s="58" t="s">
        <v>397</v>
      </c>
      <c r="F5" s="58" t="s">
        <v>45</v>
      </c>
      <c r="G5" s="58" t="s">
        <v>46</v>
      </c>
      <c r="H5" s="58" t="s">
        <v>47</v>
      </c>
    </row>
    <row r="6" spans="1:9" ht="17" x14ac:dyDescent="0.4">
      <c r="A6" s="436">
        <f ca="1">SUM(Dashboard!F7:F22)-SUM(Dashboard!I7:I22)</f>
        <v>42915.801182421303</v>
      </c>
      <c r="B6" s="437">
        <f ca="1">SUM(Dashboard!F7:F22)</f>
        <v>211334.9191</v>
      </c>
      <c r="C6" s="437">
        <f ca="1">SUM(Dashboard!I7:I22)</f>
        <v>168419.1179175787</v>
      </c>
      <c r="D6" s="90">
        <f ca="1">Dashboard!F3</f>
        <v>2.2916989694747207</v>
      </c>
      <c r="E6" s="90">
        <f ca="1">Dashboard!G3</f>
        <v>0.32227900624275219</v>
      </c>
      <c r="F6" s="91">
        <f ca="1">COUNTA(Dashboard!M7:M22)</f>
        <v>16</v>
      </c>
      <c r="G6" s="92" t="str">
        <f ca="1">INDEX(Dashboard!M7:M22,MATCH(MAX(Dashboard!I7:I22),Dashboard!I7:I22,0))</f>
        <v>NVDA</v>
      </c>
      <c r="H6" s="92" t="str">
        <f ca="1">INDEX(Dashboard!M7:M22,MATCH(MIN(Dashboard!I7:I22),Dashboard!I7:I22,0))</f>
        <v>BA</v>
      </c>
    </row>
    <row r="7" spans="1:9" x14ac:dyDescent="0.35">
      <c r="A7" s="26"/>
      <c r="B7" s="26"/>
      <c r="C7" s="26"/>
      <c r="D7" s="26"/>
      <c r="E7" s="26"/>
      <c r="F7" s="26"/>
      <c r="G7" s="26"/>
      <c r="H7" s="26"/>
    </row>
    <row r="8" spans="1:9" ht="15.5" x14ac:dyDescent="0.35">
      <c r="A8" s="57" t="s">
        <v>48</v>
      </c>
      <c r="B8" s="26"/>
      <c r="C8" s="26"/>
      <c r="D8" s="26"/>
      <c r="E8" s="26"/>
      <c r="F8" s="26"/>
      <c r="G8" s="26"/>
      <c r="H8" s="26"/>
    </row>
    <row r="9" spans="1:9" ht="15" thickBot="1" x14ac:dyDescent="0.4">
      <c r="A9" s="58" t="s">
        <v>8</v>
      </c>
      <c r="B9" s="58" t="s">
        <v>49</v>
      </c>
      <c r="C9" s="58" t="s">
        <v>4</v>
      </c>
      <c r="D9" s="58" t="s">
        <v>6</v>
      </c>
      <c r="E9" s="58" t="s">
        <v>50</v>
      </c>
      <c r="F9" s="58" t="s">
        <v>51</v>
      </c>
      <c r="G9" s="58" t="s">
        <v>52</v>
      </c>
      <c r="H9" s="58" t="s">
        <v>397</v>
      </c>
      <c r="I9" t="s">
        <v>401</v>
      </c>
    </row>
    <row r="10" spans="1:9" x14ac:dyDescent="0.35">
      <c r="A10" s="52" t="str">
        <f ca="1">Dashboard!M7</f>
        <v>AMD</v>
      </c>
      <c r="B10" s="438">
        <f ca="1">Dashboard!F7-Dashboard!I7</f>
        <v>3207.2870442180938</v>
      </c>
      <c r="C10" s="438">
        <f ca="1">Dashboard!F7</f>
        <v>36314.153799999993</v>
      </c>
      <c r="D10" s="448">
        <f ca="1">Dashboard!I7</f>
        <v>33106.866755781899</v>
      </c>
      <c r="E10" s="449">
        <f ca="1">Dashboard!K7</f>
        <v>10.322389701746523</v>
      </c>
      <c r="F10" s="60">
        <f ca="1">Dashboard!L7</f>
        <v>0.17183224596601931</v>
      </c>
      <c r="G10" s="442">
        <f ca="1">Dashboard!O7</f>
        <v>53.687429598562012</v>
      </c>
      <c r="H10" s="60">
        <f ca="1">Dashboard!Q7</f>
        <v>0.55674188733100904</v>
      </c>
      <c r="I10" s="502">
        <f>SUMIFS(Ledger[Transaction Amount],Ledger[Stock],Dashboard!B7,Ledger[Transaction Type],"Sell")-SUMIFS(Ledger[Units],Ledger[Stock],Dashboard!B7,Ledger[Transaction Type],"Sell")*SUMIFS(Ledger[Transaction Amount],Ledger[Stock],Dashboard!B7,Ledger[Transaction Type],"Buy")/SUMIFS(Ledger[Units],Ledger[Stock],Dashboard!B7,Ledger[Transaction Type],"Buy")</f>
        <v>1641.4131442180942</v>
      </c>
    </row>
    <row r="11" spans="1:9" x14ac:dyDescent="0.35">
      <c r="A11" s="54" t="str">
        <f ca="1">Dashboard!M8</f>
        <v>GOOG</v>
      </c>
      <c r="B11" s="439">
        <f ca="1">Dashboard!F8-Dashboard!I8</f>
        <v>3138.4984644329897</v>
      </c>
      <c r="C11" s="439">
        <f ca="1">Dashboard!F8</f>
        <v>11280.461600000001</v>
      </c>
      <c r="D11" s="450">
        <f ca="1">Dashboard!I8</f>
        <v>8141.9631355670108</v>
      </c>
      <c r="E11" s="451">
        <f ca="1">Dashboard!K8</f>
        <v>2.594222437205481</v>
      </c>
      <c r="F11" s="30">
        <f ca="1">Dashboard!L8</f>
        <v>5.3377178026421099E-2</v>
      </c>
      <c r="G11" s="443">
        <f ca="1">Dashboard!O8</f>
        <v>94.362551546391757</v>
      </c>
      <c r="H11" s="30">
        <f ca="1">Dashboard!Q8</f>
        <v>0.30156798958778397</v>
      </c>
      <c r="I11" s="502">
        <f>SUMIFS(Ledger[Transaction Amount],Ledger[Stock],Dashboard!B8,Ledger[Transaction Type],"Sell")-SUMIFS(Ledger[Units],Ledger[Stock],Dashboard!B8,Ledger[Transaction Type],"Sell")*SUMIFS(Ledger[Transaction Amount],Ledger[Stock],Dashboard!B8,Ledger[Transaction Type],"Buy")/SUMIFS(Ledger[Units],Ledger[Stock],Dashboard!B8,Ledger[Transaction Type],"Buy")</f>
        <v>1473.6351644329898</v>
      </c>
    </row>
    <row r="12" spans="1:9" x14ac:dyDescent="0.35">
      <c r="A12" s="56" t="str">
        <f ca="1">Dashboard!M9</f>
        <v>AMZN</v>
      </c>
      <c r="B12" s="440">
        <f ca="1">Dashboard!F9-Dashboard!I9</f>
        <v>2475.815441192412</v>
      </c>
      <c r="C12" s="440">
        <f ca="1">Dashboard!F9</f>
        <v>5161.7655000000004</v>
      </c>
      <c r="D12" s="452">
        <f ca="1">Dashboard!I9</f>
        <v>2685.9500588075884</v>
      </c>
      <c r="E12" s="453">
        <f ca="1">Dashboard!K9</f>
        <v>1.0848749119659624</v>
      </c>
      <c r="F12" s="68">
        <f ca="1">Dashboard!L9</f>
        <v>2.4424574613519229E-2</v>
      </c>
      <c r="G12" s="444">
        <f ca="1">Dashboard!O9</f>
        <v>118.06463715748268</v>
      </c>
      <c r="H12" s="68">
        <f ca="1">Dashboard!Q9</f>
        <v>0.19556204676628111</v>
      </c>
      <c r="I12" s="502">
        <f>SUMIFS(Ledger[Transaction Amount],Ledger[Stock],Dashboard!B9,Ledger[Transaction Type],"Sell")-SUMIFS(Ledger[Units],Ledger[Stock],Dashboard!B9,Ledger[Transaction Type],"Sell")*SUMIFS(Ledger[Transaction Amount],Ledger[Stock],Dashboard!B9,Ledger[Transaction Type],"Buy")/SUMIFS(Ledger[Units],Ledger[Stock],Dashboard!B9,Ledger[Transaction Type],"Buy")</f>
        <v>1104.840841192412</v>
      </c>
    </row>
    <row r="13" spans="1:9" x14ac:dyDescent="0.35">
      <c r="A13" s="54" t="str">
        <f ca="1">Dashboard!M10</f>
        <v>AAPL</v>
      </c>
      <c r="B13" s="439">
        <f ca="1">Dashboard!F10-Dashboard!I10</f>
        <v>3127.4362603174604</v>
      </c>
      <c r="C13" s="439">
        <f ca="1">Dashboard!F10</f>
        <v>9976.0319999999992</v>
      </c>
      <c r="D13" s="450">
        <f ca="1">Dashboard!I10</f>
        <v>6848.5957396825388</v>
      </c>
      <c r="E13" s="451">
        <f ca="1">Dashboard!K10</f>
        <v>2.1898434275323488</v>
      </c>
      <c r="F13" s="30">
        <f ca="1">Dashboard!L10</f>
        <v>4.7204844530588506E-2</v>
      </c>
      <c r="G13" s="443">
        <f ca="1">Dashboard!O10</f>
        <v>106.08671167969676</v>
      </c>
      <c r="H13" s="30">
        <f ca="1">Dashboard!Q10</f>
        <v>0.28999215960502633</v>
      </c>
      <c r="I13" s="502">
        <f>SUMIFS(Ledger[Transaction Amount],Ledger[Stock],Dashboard!B10,Ledger[Transaction Type],"Sell")-SUMIFS(Ledger[Units],Ledger[Stock],Dashboard!B10,Ledger[Transaction Type],"Sell")*SUMIFS(Ledger[Transaction Amount],Ledger[Stock],Dashboard!B10,Ledger[Transaction Type],"Buy")/SUMIFS(Ledger[Units],Ledger[Stock],Dashboard!B10,Ledger[Transaction Type],"Buy")</f>
        <v>1563.2594603174603</v>
      </c>
    </row>
    <row r="14" spans="1:9" x14ac:dyDescent="0.35">
      <c r="A14" s="56" t="str">
        <f ca="1">Dashboard!M11</f>
        <v>BLK</v>
      </c>
      <c r="B14" s="440">
        <f ca="1">Dashboard!F11-Dashboard!I11</f>
        <v>3000.2546396039597</v>
      </c>
      <c r="C14" s="440">
        <f ca="1">Dashboard!F11</f>
        <v>4938.4624999999996</v>
      </c>
      <c r="D14" s="452">
        <f ca="1">Dashboard!I11</f>
        <v>1938.2078603960399</v>
      </c>
      <c r="E14" s="453">
        <f ca="1">Dashboard!K11</f>
        <v>0.64601445317717687</v>
      </c>
      <c r="F14" s="68">
        <f ca="1">Dashboard!L11</f>
        <v>2.3367943740822145E-2</v>
      </c>
      <c r="G14" s="444">
        <f ca="1">Dashboard!O11</f>
        <v>650.81445544554447</v>
      </c>
      <c r="H14" s="68">
        <f ca="1">Dashboard!Q11</f>
        <v>0.13977040648460387</v>
      </c>
      <c r="I14" s="502">
        <f>SUMIFS(Ledger[Transaction Amount],Ledger[Stock],Dashboard!B11,Ledger[Transaction Type],"Sell")-SUMIFS(Ledger[Units],Ledger[Stock],Dashboard!B11,Ledger[Transaction Type],"Sell")*SUMIFS(Ledger[Transaction Amount],Ledger[Stock],Dashboard!B11,Ledger[Transaction Type],"Buy")/SUMIFS(Ledger[Units],Ledger[Stock],Dashboard!B11,Ledger[Transaction Type],"Buy")</f>
        <v>1163.6182396039608</v>
      </c>
    </row>
    <row r="15" spans="1:9" x14ac:dyDescent="0.35">
      <c r="A15" s="54" t="str">
        <f ca="1">Dashboard!M12</f>
        <v>CVX</v>
      </c>
      <c r="B15" s="439">
        <f ca="1">Dashboard!F12-Dashboard!I12</f>
        <v>2349.1404116756758</v>
      </c>
      <c r="C15" s="439">
        <f ca="1">Dashboard!F12</f>
        <v>3745.6155000000003</v>
      </c>
      <c r="D15" s="450">
        <f ca="1">Dashboard!I12</f>
        <v>1396.4750883243246</v>
      </c>
      <c r="E15" s="451">
        <f ca="1">Dashboard!K12</f>
        <v>0.59446216215240999</v>
      </c>
      <c r="F15" s="30">
        <f ca="1">Dashboard!L12</f>
        <v>1.7723599658547865E-2</v>
      </c>
      <c r="G15" s="443">
        <f ca="1">Dashboard!O12</f>
        <v>129.42922378378378</v>
      </c>
      <c r="H15" s="30">
        <f ca="1">Dashboard!Q12</f>
        <v>7.7858725190162681E-2</v>
      </c>
      <c r="I15" s="502">
        <f>SUMIFS(Ledger[Transaction Amount],Ledger[Stock],Dashboard!B12,Ledger[Transaction Type],"Sell")-SUMIFS(Ledger[Units],Ledger[Stock],Dashboard!B12,Ledger[Transaction Type],"Sell")*SUMIFS(Ledger[Transaction Amount],Ledger[Stock],Dashboard!B12,Ledger[Transaction Type],"Buy")/SUMIFS(Ledger[Units],Ledger[Stock],Dashboard!B12,Ledger[Transaction Type],"Buy")</f>
        <v>256.1362116756759</v>
      </c>
    </row>
    <row r="16" spans="1:9" x14ac:dyDescent="0.35">
      <c r="A16" s="56" t="str">
        <f ca="1">Dashboard!M13</f>
        <v>C</v>
      </c>
      <c r="B16" s="440">
        <f ca="1">Dashboard!F13-Dashboard!I13</f>
        <v>2406.1481214921805</v>
      </c>
      <c r="C16" s="440">
        <f ca="1">Dashboard!F13</f>
        <v>5781.5793000000003</v>
      </c>
      <c r="D16" s="452">
        <f ca="1">Dashboard!I13</f>
        <v>3375.4311785078198</v>
      </c>
      <c r="E16" s="453">
        <f ca="1">Dashboard!K13</f>
        <v>1.4028359885070314</v>
      </c>
      <c r="F16" s="68">
        <f ca="1">Dashboard!L13</f>
        <v>2.7357425477160534E-2</v>
      </c>
      <c r="G16" s="444">
        <f ca="1">Dashboard!O13</f>
        <v>54.64792463075586</v>
      </c>
      <c r="H16" s="68">
        <f ca="1">Dashboard!Q13</f>
        <v>0.17262423634529114</v>
      </c>
      <c r="I16" s="502">
        <f>SUMIFS(Ledger[Transaction Amount],Ledger[Stock],Dashboard!B13,Ledger[Transaction Type],"Sell")-SUMIFS(Ledger[Units],Ledger[Stock],Dashboard!B13,Ledger[Transaction Type],"Sell")*SUMIFS(Ledger[Transaction Amount],Ledger[Stock],Dashboard!B13,Ledger[Transaction Type],"Buy")/SUMIFS(Ledger[Units],Ledger[Stock],Dashboard!B13,Ledger[Transaction Type],"Buy")</f>
        <v>646.95522149218095</v>
      </c>
    </row>
    <row r="17" spans="1:9" x14ac:dyDescent="0.35">
      <c r="A17" s="54" t="str">
        <f ca="1">Dashboard!M14</f>
        <v>F</v>
      </c>
      <c r="B17" s="439">
        <f ca="1">Dashboard!F14-Dashboard!I14</f>
        <v>1819.1895354878766</v>
      </c>
      <c r="C17" s="439">
        <f ca="1">Dashboard!F14</f>
        <v>2155.9769999999999</v>
      </c>
      <c r="D17" s="450">
        <f ca="1">Dashboard!I14</f>
        <v>336.78746451212328</v>
      </c>
      <c r="E17" s="451">
        <f ca="1">Dashboard!K14</f>
        <v>0.18513049791802064</v>
      </c>
      <c r="F17" s="30">
        <f ca="1">Dashboard!L14</f>
        <v>1.0201707361857361E-2</v>
      </c>
      <c r="G17" s="443">
        <f ca="1">Dashboard!O14</f>
        <v>10.446107008256542</v>
      </c>
      <c r="H17" s="30">
        <f ca="1">Dashboard!Q14</f>
        <v>3.2022061944007862E-2</v>
      </c>
      <c r="I17" s="502">
        <f>SUMIFS(Ledger[Transaction Amount],Ledger[Stock],Dashboard!B14,Ledger[Transaction Type],"Sell")-SUMIFS(Ledger[Units],Ledger[Stock],Dashboard!B14,Ledger[Transaction Type],"Sell")*SUMIFS(Ledger[Transaction Amount],Ledger[Stock],Dashboard!B14,Ledger[Transaction Type],"Buy")/SUMIFS(Ledger[Units],Ledger[Stock],Dashboard!B14,Ledger[Transaction Type],"Buy")</f>
        <v>142.88133548787619</v>
      </c>
    </row>
    <row r="18" spans="1:9" x14ac:dyDescent="0.35">
      <c r="A18" s="56" t="str">
        <f ca="1">Dashboard!M15</f>
        <v>HMC</v>
      </c>
      <c r="B18" s="440">
        <f ca="1">Dashboard!F15-Dashboard!I15</f>
        <v>1380.4149921411856</v>
      </c>
      <c r="C18" s="440">
        <f ca="1">Dashboard!F15</f>
        <v>1599.4827000000002</v>
      </c>
      <c r="D18" s="454">
        <f ca="1">Dashboard!I15</f>
        <v>219.06770785881463</v>
      </c>
      <c r="E18" s="455">
        <f ca="1">Dashboard!K15</f>
        <v>0.15869699264785217</v>
      </c>
      <c r="F18" s="68">
        <f ca="1">Dashboard!L15</f>
        <v>7.5684733351763459E-3</v>
      </c>
      <c r="G18" s="444">
        <f ca="1">Dashboard!O15</f>
        <v>28.040117654706187</v>
      </c>
      <c r="H18" s="68">
        <f ca="1">Dashboard!Q15</f>
        <v>7.2583466768264783E-3</v>
      </c>
      <c r="I18" s="502">
        <f>SUMIFS(Ledger[Transaction Amount],Ledger[Stock],Dashboard!B15,Ledger[Transaction Type],"Sell")-SUMIFS(Ledger[Units],Ledger[Stock],Dashboard!B15,Ledger[Transaction Type],"Sell")*SUMIFS(Ledger[Transaction Amount],Ledger[Stock],Dashboard!B15,Ledger[Transaction Type],"Buy")/SUMIFS(Ledger[Units],Ledger[Stock],Dashboard!B15,Ledger[Transaction Type],"Buy")</f>
        <v>-127.66570785881368</v>
      </c>
    </row>
    <row r="19" spans="1:9" x14ac:dyDescent="0.35">
      <c r="A19" s="54" t="str">
        <f ca="1">Dashboard!M16</f>
        <v>JPM</v>
      </c>
      <c r="B19" s="439">
        <f ca="1">Dashboard!F16-Dashboard!I16</f>
        <v>3344.5687024390245</v>
      </c>
      <c r="C19" s="439">
        <f ca="1">Dashboard!F16</f>
        <v>7916.5968000000021</v>
      </c>
      <c r="D19" s="450">
        <f ca="1">Dashboard!I16</f>
        <v>4572.0280975609776</v>
      </c>
      <c r="E19" s="451">
        <f ca="1">Dashboard!K16</f>
        <v>1.3670008016958448</v>
      </c>
      <c r="F19" s="30">
        <f ca="1">Dashboard!L16</f>
        <v>3.7459956138407996E-2</v>
      </c>
      <c r="G19" s="443">
        <f ca="1">Dashboard!O16</f>
        <v>142.201050273768</v>
      </c>
      <c r="H19" s="30">
        <f ca="1">Dashboard!Q16</f>
        <v>0.20443895459175115</v>
      </c>
      <c r="I19" s="502">
        <f>SUMIFS(Ledger[Transaction Amount],Ledger[Stock],Dashboard!B16,Ledger[Transaction Type],"Sell")-SUMIFS(Ledger[Units],Ledger[Stock],Dashboard!B16,Ledger[Transaction Type],"Sell")*SUMIFS(Ledger[Transaction Amount],Ledger[Stock],Dashboard!B16,Ledger[Transaction Type],"Buy")/SUMIFS(Ledger[Units],Ledger[Stock],Dashboard!B16,Ledger[Transaction Type],"Buy")</f>
        <v>1348.4299024390248</v>
      </c>
    </row>
    <row r="20" spans="1:9" x14ac:dyDescent="0.35">
      <c r="A20" s="56" t="str">
        <f ca="1">Dashboard!M17</f>
        <v>META</v>
      </c>
      <c r="B20" s="440">
        <f ca="1">Dashboard!F17-Dashboard!I17</f>
        <v>3589.0667469977434</v>
      </c>
      <c r="C20" s="440">
        <f ca="1">Dashboard!F17</f>
        <v>11285.3274</v>
      </c>
      <c r="D20" s="452">
        <f ca="1">Dashboard!I17</f>
        <v>7696.2606530022567</v>
      </c>
      <c r="E20" s="453">
        <f ca="1">Dashboard!K17</f>
        <v>2.1443626423053246</v>
      </c>
      <c r="F20" s="68">
        <f ca="1">Dashboard!L17</f>
        <v>5.3400202143877508E-2</v>
      </c>
      <c r="G20" s="444">
        <f ca="1">Dashboard!O17</f>
        <v>227.58825282167049</v>
      </c>
      <c r="H20" s="68">
        <f ca="1">Dashboard!Q17</f>
        <v>0.2907351553440094</v>
      </c>
      <c r="I20" s="502">
        <f>SUMIFS(Ledger[Transaction Amount],Ledger[Stock],Dashboard!B17,Ledger[Transaction Type],"Sell")-SUMIFS(Ledger[Units],Ledger[Stock],Dashboard!B17,Ledger[Transaction Type],"Sell")*SUMIFS(Ledger[Transaction Amount],Ledger[Stock],Dashboard!B17,Ledger[Transaction Type],"Buy")/SUMIFS(Ledger[Units],Ledger[Stock],Dashboard!B17,Ledger[Transaction Type],"Buy")</f>
        <v>1824.1765469977422</v>
      </c>
    </row>
    <row r="21" spans="1:9" x14ac:dyDescent="0.35">
      <c r="A21" s="54" t="str">
        <f ca="1">Dashboard!M18</f>
        <v>NVDA</v>
      </c>
      <c r="B21" s="439">
        <f ca="1">Dashboard!F18-Dashboard!I18</f>
        <v>4817.7863181689609</v>
      </c>
      <c r="C21" s="439">
        <f ca="1">Dashboard!F18</f>
        <v>95285.861000000004</v>
      </c>
      <c r="D21" s="450">
        <f ca="1">Dashboard!I18</f>
        <v>90468.074681831044</v>
      </c>
      <c r="E21" s="451">
        <f ca="1">Dashboard!K18</f>
        <v>18.77793424350422</v>
      </c>
      <c r="F21" s="30">
        <f ca="1">Dashboard!L18</f>
        <v>0.45087608524794898</v>
      </c>
      <c r="G21" s="443">
        <f ca="1">Dashboard!O18</f>
        <v>11.571481489537554</v>
      </c>
      <c r="H21" s="30">
        <f ca="1">Dashboard!Q18</f>
        <v>0.74484885931015032</v>
      </c>
      <c r="I21" s="502">
        <f>SUMIFS(Ledger[Transaction Amount],Ledger[Stock],Dashboard!B18,Ledger[Transaction Type],"Sell")-SUMIFS(Ledger[Units],Ledger[Stock],Dashboard!B18,Ledger[Transaction Type],"Sell")*SUMIFS(Ledger[Transaction Amount],Ledger[Stock],Dashboard!B18,Ledger[Transaction Type],"Buy")/SUMIFS(Ledger[Units],Ledger[Stock],Dashboard!B18,Ledger[Transaction Type],"Buy")</f>
        <v>2957.9209181689648</v>
      </c>
    </row>
    <row r="22" spans="1:9" x14ac:dyDescent="0.35">
      <c r="A22" s="56" t="str">
        <f ca="1">Dashboard!M19</f>
        <v>0R2N</v>
      </c>
      <c r="B22" s="440">
        <f ca="1">Dashboard!F19-Dashboard!I19</f>
        <v>2167.1702708211433</v>
      </c>
      <c r="C22" s="440">
        <f ca="1">Dashboard!F19</f>
        <v>4388.1663000000008</v>
      </c>
      <c r="D22" s="452">
        <f ca="1">Dashboard!I19</f>
        <v>2220.9960291788575</v>
      </c>
      <c r="E22" s="453">
        <f ca="1">Dashboard!K19</f>
        <v>1.0248368847996976</v>
      </c>
      <c r="F22" s="68">
        <f ca="1">Dashboard!L19</f>
        <v>2.0764038042968173E-2</v>
      </c>
      <c r="G22" s="444">
        <f ca="1">Dashboard!O19</f>
        <v>93.53346011312658</v>
      </c>
      <c r="H22" s="68">
        <f ca="1">Dashboard!Q19</f>
        <v>0.13563055396080018</v>
      </c>
      <c r="I22" s="502">
        <f>SUMIFS(Ledger[Transaction Amount],Ledger[Stock],Dashboard!B19,Ledger[Transaction Type],"Sell")-SUMIFS(Ledger[Units],Ledger[Stock],Dashboard!B19,Ledger[Transaction Type],"Sell")*SUMIFS(Ledger[Transaction Amount],Ledger[Stock],Dashboard!B19,Ledger[Transaction Type],"Buy")/SUMIFS(Ledger[Units],Ledger[Stock],Dashboard!B19,Ledger[Transaction Type],"Buy")</f>
        <v>491.29827082114298</v>
      </c>
    </row>
    <row r="23" spans="1:9" x14ac:dyDescent="0.35">
      <c r="A23" s="54" t="str">
        <f ca="1">Dashboard!M20</f>
        <v>BA</v>
      </c>
      <c r="B23" s="439">
        <f ca="1">Dashboard!F20-Dashboard!I20</f>
        <v>636.66507281754343</v>
      </c>
      <c r="C23" s="439">
        <f ca="1">Dashboard!F20</f>
        <v>470.19450000000074</v>
      </c>
      <c r="D23" s="456">
        <f ca="1">Dashboard!I20</f>
        <v>-166.47057281754269</v>
      </c>
      <c r="E23" s="457">
        <f ca="1">Dashboard!K20</f>
        <v>-0.2614727584801092</v>
      </c>
      <c r="F23" s="30">
        <f ca="1">Dashboard!L20</f>
        <v>2.2248784157506544E-3</v>
      </c>
      <c r="G23" s="443">
        <f ca="1">Dashboard!O20</f>
        <v>249.67257757550681</v>
      </c>
      <c r="H23" s="30">
        <f ca="1">Dashboard!Q20</f>
        <v>-0.13631248408928515</v>
      </c>
      <c r="I23" s="502">
        <f>SUMIFS(Ledger[Transaction Amount],Ledger[Stock],Dashboard!B20,Ledger[Transaction Type],"Sell")-SUMIFS(Ledger[Units],Ledger[Stock],Dashboard!B20,Ledger[Transaction Type],"Sell")*SUMIFS(Ledger[Transaction Amount],Ledger[Stock],Dashboard!B20,Ledger[Transaction Type],"Buy")/SUMIFS(Ledger[Units],Ledger[Stock],Dashboard!B20,Ledger[Transaction Type],"Buy")</f>
        <v>-1474.6449271824558</v>
      </c>
    </row>
    <row r="24" spans="1:9" x14ac:dyDescent="0.35">
      <c r="A24" s="56" t="str">
        <f ca="1">Dashboard!M21</f>
        <v>TM</v>
      </c>
      <c r="B24" s="440">
        <f ca="1">Dashboard!F21-Dashboard!I21</f>
        <v>1742.0364262839876</v>
      </c>
      <c r="C24" s="440">
        <f ca="1">Dashboard!F21</f>
        <v>2125.9069999999997</v>
      </c>
      <c r="D24" s="452">
        <f ca="1">Dashboard!I21</f>
        <v>383.87057371601213</v>
      </c>
      <c r="E24" s="453">
        <f ca="1">Dashboard!K21</f>
        <v>0.22035737480809336</v>
      </c>
      <c r="F24" s="68">
        <f ca="1">Dashboard!L21</f>
        <v>1.0059421363272472E-2</v>
      </c>
      <c r="G24" s="444">
        <f ca="1">Dashboard!O21</f>
        <v>154.29906344410875</v>
      </c>
      <c r="H24" s="68">
        <f ca="1">Dashboard!Q21</f>
        <v>5.1768842339515689E-2</v>
      </c>
      <c r="I24" s="502">
        <f>SUMIFS(Ledger[Transaction Amount],Ledger[Stock],Dashboard!B21,Ledger[Transaction Type],"Sell")-SUMIFS(Ledger[Units],Ledger[Stock],Dashboard!B21,Ledger[Transaction Type],"Sell")*SUMIFS(Ledger[Transaction Amount],Ledger[Stock],Dashboard!B21,Ledger[Transaction Type],"Buy")/SUMIFS(Ledger[Units],Ledger[Stock],Dashboard!B21,Ledger[Transaction Type],"Buy")</f>
        <v>313.98782628398794</v>
      </c>
    </row>
    <row r="25" spans="1:9" x14ac:dyDescent="0.35">
      <c r="A25" s="53" t="str">
        <f ca="1">Dashboard!M22</f>
        <v>WMT</v>
      </c>
      <c r="B25" s="441">
        <f ca="1">Dashboard!F22-Dashboard!I22</f>
        <v>3714.3227343310664</v>
      </c>
      <c r="C25" s="441">
        <f ca="1">Dashboard!F22</f>
        <v>8909.3362000000016</v>
      </c>
      <c r="D25" s="458">
        <f ca="1">Dashboard!I22</f>
        <v>5195.0134656689352</v>
      </c>
      <c r="E25" s="459">
        <f ca="1">Dashboard!K22</f>
        <v>1.3986435313366852</v>
      </c>
      <c r="F25" s="33">
        <f ca="1">Dashboard!L22</f>
        <v>4.2157425937661815E-2</v>
      </c>
      <c r="G25" s="445">
        <f ca="1">Dashboard!O22</f>
        <v>45.329786848072565</v>
      </c>
      <c r="H25" s="33">
        <f ca="1">Dashboard!Q22</f>
        <v>0.21649660468101503</v>
      </c>
      <c r="I25" s="502">
        <f>SUMIFS(Ledger[Transaction Amount],Ledger[Stock],Dashboard!B22,Ledger[Transaction Type],"Sell")-SUMIFS(Ledger[Units],Ledger[Stock],Dashboard!B22,Ledger[Transaction Type],"Sell")*SUMIFS(Ledger[Transaction Amount],Ledger[Stock],Dashboard!B22,Ledger[Transaction Type],"Buy")/SUMIFS(Ledger[Units],Ledger[Stock],Dashboard!B22,Ledger[Transaction Type],"Buy")</f>
        <v>1617.4821343310659</v>
      </c>
    </row>
    <row r="26" spans="1:9" x14ac:dyDescent="0.35">
      <c r="A26" s="26"/>
      <c r="B26" s="26"/>
      <c r="C26" s="26"/>
      <c r="D26" s="26"/>
      <c r="E26" s="26"/>
      <c r="F26" s="26"/>
      <c r="G26" s="26"/>
      <c r="H26" s="26"/>
    </row>
    <row r="27" spans="1:9" ht="15.5" x14ac:dyDescent="0.35">
      <c r="A27" s="57" t="s">
        <v>54</v>
      </c>
      <c r="B27" s="26"/>
      <c r="C27" s="26"/>
      <c r="D27" s="26"/>
      <c r="E27" s="26"/>
      <c r="F27" s="57" t="s">
        <v>57</v>
      </c>
      <c r="G27" s="26"/>
      <c r="H27" s="26"/>
    </row>
    <row r="28" spans="1:9" ht="15" thickBot="1" x14ac:dyDescent="0.4">
      <c r="A28" s="59" t="s">
        <v>1</v>
      </c>
      <c r="B28" s="59" t="s">
        <v>4</v>
      </c>
      <c r="C28" s="59" t="s">
        <v>51</v>
      </c>
      <c r="D28" s="59" t="s">
        <v>147</v>
      </c>
      <c r="E28" s="26"/>
      <c r="F28" s="59" t="s">
        <v>58</v>
      </c>
      <c r="G28" s="59" t="s">
        <v>59</v>
      </c>
      <c r="H28" s="59" t="s">
        <v>60</v>
      </c>
    </row>
    <row r="29" spans="1:9" x14ac:dyDescent="0.35">
      <c r="A29" s="51" t="str" cm="1">
        <f t="array" aca="1" ref="A29" ca="1">IFERROR(INDEX(_xlfn.UNIQUE(Dashboard!C7:C22),1),"")</f>
        <v>Semiconductors &amp; Semiconductor Equipment</v>
      </c>
      <c r="B29" s="446">
        <f ca="1">IF(A29="","",SUMIF(Dashboard!C7:C22,A29,Dashboard!F7:F22))</f>
        <v>131600.0148</v>
      </c>
      <c r="C29" s="93">
        <f t="shared" ref="C29:C38" ca="1" si="0">IF(A29="","",B29/SUM($B$29:$B$38))</f>
        <v>0.62270833121396829</v>
      </c>
      <c r="D29" s="94">
        <f t="shared" ref="D29:D38" ca="1" si="1">IF(A29="","",C29^2)</f>
        <v>0.38776566576328525</v>
      </c>
      <c r="E29" s="26"/>
      <c r="F29" s="51" t="s">
        <v>61</v>
      </c>
      <c r="G29" s="96">
        <f ca="1">A6</f>
        <v>42915.801182421303</v>
      </c>
      <c r="H29" s="97" t="str">
        <f ca="1">IF(B6&gt;A6,"✅ Positive","⚠️ Loss")</f>
        <v>✅ Positive</v>
      </c>
    </row>
    <row r="30" spans="1:9" x14ac:dyDescent="0.35">
      <c r="A30" s="89" t="str" cm="1">
        <f t="array" aca="1" ref="A30" ca="1">IFERROR(INDEX(_xlfn.UNIQUE(Dashboard!C7:C22),2),"")</f>
        <v>Software &amp; IT Services</v>
      </c>
      <c r="B30" s="447">
        <f ca="1">IF(A30="","",SUMIF(Dashboard!C7:C22,A30,Dashboard!F7:F22))</f>
        <v>22565.789000000001</v>
      </c>
      <c r="C30" s="27">
        <f t="shared" ca="1" si="0"/>
        <v>0.1067773801702986</v>
      </c>
      <c r="D30" s="28">
        <f t="shared" ca="1" si="1"/>
        <v>1.1401408916032477E-2</v>
      </c>
      <c r="E30" s="26"/>
      <c r="F30" s="89" t="s">
        <v>62</v>
      </c>
      <c r="G30" s="29">
        <f ca="1">B6</f>
        <v>211334.9191</v>
      </c>
      <c r="H30" s="26" t="str">
        <f ca="1">IF(G30&gt;G29*1.5,"✅ Strong Growth",IF(G30&gt;G29,"🟢 Positive","🔴 Drawdown"))</f>
        <v>✅ Strong Growth</v>
      </c>
    </row>
    <row r="31" spans="1:9" x14ac:dyDescent="0.35">
      <c r="A31" s="51" t="str" cm="1">
        <f t="array" aca="1" ref="A31" ca="1">IFERROR(INDEX(_xlfn.UNIQUE(Dashboard!C7:C22),3),"")</f>
        <v>Diversified Retail</v>
      </c>
      <c r="B31" s="446">
        <f ca="1">IF(A31="","",SUMIF(Dashboard!C7:C22,A31,Dashboard!F7:F22))</f>
        <v>5161.7655000000004</v>
      </c>
      <c r="C31" s="93">
        <f t="shared" ca="1" si="0"/>
        <v>2.4424574613519226E-2</v>
      </c>
      <c r="D31" s="94">
        <f t="shared" ca="1" si="1"/>
        <v>5.9655984505136784E-4</v>
      </c>
      <c r="E31" s="26"/>
      <c r="F31" s="51" t="s">
        <v>63</v>
      </c>
      <c r="G31" s="93">
        <f ca="1">MIN(E10:E25)</f>
        <v>-0.2614727584801092</v>
      </c>
      <c r="H31" s="97" t="str">
        <f ca="1">IF(G31&lt;-0.2,"🔴 High Risk",IF(G31&lt;-0.1,"🟡 Moderate","🟢 Low Risk"))</f>
        <v>🔴 High Risk</v>
      </c>
    </row>
    <row r="32" spans="1:9" x14ac:dyDescent="0.35">
      <c r="A32" s="54" t="str" cm="1">
        <f t="array" aca="1" ref="A32" ca="1">IFERROR(INDEX(_xlfn.UNIQUE(Dashboard!C7:C22),4),"")</f>
        <v>Computers, Phones &amp; Household Electronics</v>
      </c>
      <c r="B32" s="439">
        <f ca="1">IF(A32="","",SUMIF(Dashboard!C7:C22,A32,Dashboard!F7:F22))</f>
        <v>9976.0319999999992</v>
      </c>
      <c r="C32" s="30">
        <f t="shared" ca="1" si="0"/>
        <v>4.7204844530588499E-2</v>
      </c>
      <c r="D32" s="31">
        <f t="shared" ca="1" si="1"/>
        <v>2.2282973471570312E-3</v>
      </c>
      <c r="E32" s="26"/>
      <c r="F32" s="89" t="s">
        <v>64</v>
      </c>
      <c r="G32" s="27">
        <f ca="1">MAX(F10:F25)</f>
        <v>0.45087608524794898</v>
      </c>
      <c r="H32" s="26" t="str">
        <f ca="1">IF(G32&gt;0.5,"🔴 Over-concentrated",IF(G32&gt;0.3,"🟡 Monitor","🟢 Balanced"))</f>
        <v>🟡 Monitor</v>
      </c>
    </row>
    <row r="33" spans="1:8" x14ac:dyDescent="0.35">
      <c r="A33" s="56" t="str" cm="1">
        <f t="array" aca="1" ref="A33" ca="1">IFERROR(INDEX(_xlfn.UNIQUE(Dashboard!C7:C22),5),"")</f>
        <v>Investment Banking &amp; Investment Services</v>
      </c>
      <c r="B33" s="440">
        <f ca="1">IF(A33="","",SUMIF(Dashboard!C7:C22,A33,Dashboard!F7:F22))</f>
        <v>10720.041799999999</v>
      </c>
      <c r="C33" s="68">
        <f t="shared" ca="1" si="0"/>
        <v>5.0725369217982666E-2</v>
      </c>
      <c r="D33" s="95">
        <f t="shared" ca="1" si="1"/>
        <v>2.5730630823006632E-3</v>
      </c>
      <c r="E33" s="26"/>
      <c r="F33" s="51" t="s">
        <v>65</v>
      </c>
      <c r="G33" s="93">
        <f ca="1">LARGE(F10:F25,1)+LARGE(F10:F25,2)+LARGE(F10:F25,3)</f>
        <v>0.67610853335784582</v>
      </c>
      <c r="H33" s="97" t="str">
        <f ca="1">IF(G33&gt;0.7,"🔴 Top-heavy",IF(G33&gt;0.5,"🟡 Monitor","🟢 Balanced"))</f>
        <v>🟡 Monitor</v>
      </c>
    </row>
    <row r="34" spans="1:8" x14ac:dyDescent="0.35">
      <c r="A34" s="54" t="str" cm="1">
        <f t="array" aca="1" ref="A34" ca="1">IFERROR(INDEX(_xlfn.UNIQUE(Dashboard!C7:C22),6),"")</f>
        <v>Oil &amp; Gas</v>
      </c>
      <c r="B34" s="439">
        <f ca="1">IF(A34="","",SUMIF(Dashboard!C7:C22,A34,Dashboard!F7:F22))</f>
        <v>3745.6155000000003</v>
      </c>
      <c r="C34" s="30">
        <f t="shared" ca="1" si="0"/>
        <v>1.7723599658547862E-2</v>
      </c>
      <c r="D34" s="31">
        <f t="shared" ca="1" si="1"/>
        <v>3.141259848564779E-4</v>
      </c>
      <c r="E34" s="26"/>
      <c r="F34" s="89" t="s">
        <v>66</v>
      </c>
      <c r="G34" s="27">
        <f ca="1">AVERAGE(E10:E25)</f>
        <v>2.7406333308014106</v>
      </c>
      <c r="H34" s="26" t="str">
        <f ca="1">IF(G34&gt;1,"✅ Strong",IF(G34&gt;0.5,"🟢 Positive","🟡 Weak"))</f>
        <v>✅ Strong</v>
      </c>
    </row>
    <row r="35" spans="1:8" x14ac:dyDescent="0.35">
      <c r="A35" s="56" t="str" cm="1">
        <f t="array" aca="1" ref="A35" ca="1">IFERROR(INDEX(_xlfn.UNIQUE(Dashboard!C7:C22),7),"")</f>
        <v>Automobiles &amp; Auto Parts</v>
      </c>
      <c r="B35" s="440">
        <f ca="1">IF(A35="","",SUMIF(Dashboard!C7:C22,A35,Dashboard!F7:F22))</f>
        <v>5881.3667000000005</v>
      </c>
      <c r="C35" s="68">
        <f t="shared" ca="1" si="0"/>
        <v>2.7829602060306179E-2</v>
      </c>
      <c r="D35" s="95">
        <f t="shared" ca="1" si="1"/>
        <v>7.7448675083499792E-4</v>
      </c>
      <c r="E35" s="26"/>
      <c r="F35" s="51" t="s">
        <v>67</v>
      </c>
      <c r="G35" s="98" t="str">
        <f ca="1">COUNTIF(D10:D25,"&gt;0")&amp;"/"&amp;COUNTA(D10:D25)</f>
        <v>15/16</v>
      </c>
      <c r="H35" s="97" t="str">
        <f ca="1">IF(COUNTIF(D10:D25,"&gt;0")/COUNTA(D10:D25)&gt;0.8,"✅ High Win Rate",IF(COUNTIF(D10:D25,"&gt;0")/COUNTA(D10:D25)&gt;0.5,"🟢 Above 50%","🔴 Below 50%"))</f>
        <v>✅ High Win Rate</v>
      </c>
    </row>
    <row r="36" spans="1:8" x14ac:dyDescent="0.35">
      <c r="A36" s="54" t="str" cm="1">
        <f t="array" aca="1" ref="A36" ca="1">IFERROR(INDEX(_xlfn.UNIQUE(Dashboard!C7:C22),8),"")</f>
        <v>Banking Services</v>
      </c>
      <c r="B36" s="439">
        <f ca="1">IF(A36="","",SUMIF(Dashboard!C7:C22,A36,Dashboard!F7:F22))</f>
        <v>7916.5968000000021</v>
      </c>
      <c r="C36" s="30">
        <f t="shared" ca="1" si="0"/>
        <v>3.7459956138407989E-2</v>
      </c>
      <c r="D36" s="31">
        <f t="shared" ca="1" si="1"/>
        <v>1.4032483138914503E-3</v>
      </c>
      <c r="E36" s="26"/>
      <c r="F36" s="26"/>
      <c r="G36" s="26"/>
      <c r="H36" s="26"/>
    </row>
    <row r="37" spans="1:8" ht="15.5" x14ac:dyDescent="0.35">
      <c r="A37" s="56" t="str" cm="1">
        <f t="array" aca="1" ref="A37" ca="1">IFERROR(INDEX(_xlfn.UNIQUE(Dashboard!C7:C22),9),"")</f>
        <v>Aerospace &amp; Defense</v>
      </c>
      <c r="B37" s="440">
        <f ca="1">IF(A37="","",SUMIF(Dashboard!C7:C22,A37,Dashboard!F7:F22))</f>
        <v>4858.3608000000013</v>
      </c>
      <c r="C37" s="68">
        <f t="shared" ca="1" si="0"/>
        <v>2.2988916458718821E-2</v>
      </c>
      <c r="D37" s="95">
        <f t="shared" ca="1" si="1"/>
        <v>5.2849027994595309E-4</v>
      </c>
      <c r="E37" s="26"/>
      <c r="F37" s="57" t="s">
        <v>191</v>
      </c>
      <c r="G37" s="26"/>
      <c r="H37" s="26"/>
    </row>
    <row r="38" spans="1:8" x14ac:dyDescent="0.35">
      <c r="A38" s="53" t="str" cm="1">
        <f t="array" aca="1" ref="A38" ca="1">IFERROR(INDEX(_xlfn.UNIQUE(Dashboard!C7:C22),10),"")</f>
        <v>Food &amp; Drug Retailing</v>
      </c>
      <c r="B38" s="441">
        <f ca="1">IF(A38="","",SUMIF(Dashboard!C7:C22,A38,Dashboard!F7:F22))</f>
        <v>8909.3362000000016</v>
      </c>
      <c r="C38" s="33">
        <f t="shared" ca="1" si="0"/>
        <v>4.2157425937661808E-2</v>
      </c>
      <c r="D38" s="34">
        <f t="shared" ca="1" si="1"/>
        <v>1.7772485616894406E-3</v>
      </c>
      <c r="E38" s="26"/>
      <c r="F38" s="58" t="s">
        <v>110</v>
      </c>
      <c r="G38" s="58" t="s">
        <v>192</v>
      </c>
      <c r="H38" s="58" t="s">
        <v>193</v>
      </c>
    </row>
    <row r="39" spans="1:8" x14ac:dyDescent="0.35">
      <c r="A39" s="15" t="s">
        <v>55</v>
      </c>
      <c r="B39" s="15"/>
      <c r="C39" s="15"/>
      <c r="D39" s="16">
        <f ca="1">SUM(D29:D38)</f>
        <v>0.40936259484504506</v>
      </c>
      <c r="E39" s="26"/>
      <c r="F39" s="51" t="s">
        <v>194</v>
      </c>
      <c r="G39" s="198">
        <f ca="1">IF(E6&gt;0.15,10,IF(E6&gt;0.1,8,IF(E6&gt;0.05,6,IF(E6&gt;0,4,2))))</f>
        <v>10</v>
      </c>
      <c r="H39" s="98" t="str">
        <f ca="1">IF(G39&gt;=8,"A",IF(G39&gt;=6,"B",IF(G39&gt;=4,"C","D")))</f>
        <v>A</v>
      </c>
    </row>
    <row r="40" spans="1:8" x14ac:dyDescent="0.35">
      <c r="A40" s="43" t="s">
        <v>56</v>
      </c>
      <c r="B40" s="43" t="str">
        <f ca="1">IF(D39&lt;0.15,"Well Diversified",IF(D39&lt;0.25,"Moderately Concentrated","Highly Concentrated"))</f>
        <v>Highly Concentrated</v>
      </c>
      <c r="C40" s="43"/>
      <c r="D40" s="43"/>
      <c r="E40" s="26"/>
      <c r="F40" s="89" t="s">
        <v>195</v>
      </c>
      <c r="G40" s="39">
        <f ca="1">IF(G31&gt;-0.05,10,IF(G31&gt;-0.1,8,IF(G31&gt;-0.2,6,IF(G31&gt;-0.5,4,2))))</f>
        <v>4</v>
      </c>
      <c r="H40" s="32" t="str">
        <f ca="1">IF(G40&gt;=8,"A",IF(G40&gt;=6,"B",IF(G40&gt;=4,"C","D")))</f>
        <v>C</v>
      </c>
    </row>
    <row r="41" spans="1:8" x14ac:dyDescent="0.35">
      <c r="A41" s="26"/>
      <c r="B41" s="26"/>
      <c r="C41" s="26"/>
      <c r="D41" s="26"/>
      <c r="E41" s="26"/>
      <c r="F41" s="51" t="s">
        <v>196</v>
      </c>
      <c r="G41" s="198">
        <f ca="1">IF(D39&lt;0.1,10,IF(D39&lt;0.15,8,IF(D39&lt;0.25,6,IF(D39&lt;0.5,4,2))))</f>
        <v>4</v>
      </c>
      <c r="H41" s="98" t="str">
        <f ca="1">IF(G41&gt;=8,"A",IF(G41&gt;=6,"B",IF(G41&gt;=4,"C","D")))</f>
        <v>C</v>
      </c>
    </row>
    <row r="42" spans="1:8" ht="15.5" x14ac:dyDescent="0.35">
      <c r="A42" s="57" t="s">
        <v>179</v>
      </c>
      <c r="B42" s="26"/>
      <c r="C42" s="26"/>
      <c r="D42" s="26"/>
      <c r="E42" s="26"/>
      <c r="F42" s="89" t="s">
        <v>197</v>
      </c>
      <c r="G42" s="39">
        <f ca="1">IF(COUNTIF(D10:D25,"&gt;0")/COUNTA(D10:D25)&gt;0.9,10,IF(COUNTIF(D10:D25,"&gt;0")/COUNTA(D10:D25)&gt;0.75,8,IF(COUNTIF(D10:D25,"&gt;0")/COUNTA(D10:D25)&gt;0.5,6,4)))</f>
        <v>10</v>
      </c>
      <c r="H42" s="32" t="str">
        <f ca="1">IF(G42&gt;=8,"A",IF(G42&gt;=6,"B",IF(G42&gt;=4,"C","D")))</f>
        <v>A</v>
      </c>
    </row>
    <row r="43" spans="1:8" x14ac:dyDescent="0.35">
      <c r="A43" s="44" t="s">
        <v>399</v>
      </c>
      <c r="B43" s="35"/>
      <c r="C43" s="35"/>
      <c r="D43" s="35"/>
      <c r="E43" s="35"/>
      <c r="F43" s="51" t="s">
        <v>198</v>
      </c>
      <c r="G43" s="198">
        <f ca="1">IF(COUNTA(A29:A38)&gt;=8,10,IF(COUNTA(A29:A38)&gt;=6,8,IF(COUNTA(A29:A38)&gt;=4,6,4)))</f>
        <v>10</v>
      </c>
      <c r="H43" s="98" t="str">
        <f ca="1">IF(G43&gt;=8,"A",IF(G43&gt;=6,"B",IF(G43&gt;=4,"C","D")))</f>
        <v>A</v>
      </c>
    </row>
    <row r="44" spans="1:8" ht="15.5" x14ac:dyDescent="0.35">
      <c r="A44" s="26"/>
      <c r="B44" s="26"/>
      <c r="C44" s="26"/>
      <c r="D44" s="26"/>
      <c r="E44" s="26"/>
      <c r="F44" s="99" t="s">
        <v>199</v>
      </c>
      <c r="G44" s="199">
        <f ca="1">AVERAGE(G39:G43)</f>
        <v>7.6</v>
      </c>
      <c r="H44" s="100" t="str">
        <f ca="1">IF(G44&gt;=8,"A",IF(G44&gt;=6,"B+",IF(G44&gt;=5,"B",IF(G44&gt;=4,"C","D"))))</f>
        <v>B+</v>
      </c>
    </row>
    <row r="45" spans="1:8" ht="15.5" x14ac:dyDescent="0.35">
      <c r="A45" s="57" t="s">
        <v>180</v>
      </c>
      <c r="B45" s="26"/>
      <c r="C45" s="26"/>
      <c r="D45" s="26"/>
      <c r="E45" s="26"/>
      <c r="F45" s="26"/>
      <c r="G45" s="26"/>
      <c r="H45" s="26"/>
    </row>
    <row r="46" spans="1:8" ht="15" thickBot="1" x14ac:dyDescent="0.4">
      <c r="A46" s="58" t="s">
        <v>58</v>
      </c>
      <c r="B46" s="58" t="s">
        <v>59</v>
      </c>
      <c r="C46" s="58" t="s">
        <v>181</v>
      </c>
      <c r="D46" s="58" t="s">
        <v>182</v>
      </c>
      <c r="E46" s="26"/>
      <c r="F46" s="26"/>
      <c r="G46" s="26"/>
      <c r="H46" s="26"/>
    </row>
    <row r="47" spans="1:8" x14ac:dyDescent="0.35">
      <c r="A47" s="101" t="s">
        <v>402</v>
      </c>
      <c r="B47" s="119">
        <f ca="1">E6</f>
        <v>0.32227900624275219</v>
      </c>
      <c r="C47" s="119">
        <f>'Risk Analytics'!C7</f>
        <v>0.1</v>
      </c>
      <c r="D47" s="102" t="str">
        <f ca="1">IF(B47&gt;C47,"✅ Outperforming","⚠️ Underperforming")</f>
        <v>✅ Outperforming</v>
      </c>
      <c r="E47" s="26"/>
      <c r="F47" s="26"/>
      <c r="G47" s="26"/>
      <c r="H47" s="26"/>
    </row>
    <row r="48" spans="1:8" x14ac:dyDescent="0.35">
      <c r="A48" s="56" t="s">
        <v>240</v>
      </c>
      <c r="B48" s="104">
        <f ca="1">'Risk Analytics'!C9</f>
        <v>1.8150362450223683</v>
      </c>
      <c r="C48" s="70" t="s">
        <v>241</v>
      </c>
      <c r="D48" s="70" t="str">
        <f ca="1">IF(B48&gt;1.3,"🔴 Aggressive",IF(B48&gt;1,"🟡 Above Market",IF(B48&gt;0.7,"🟢 Moderate","🔵 Defensive")))</f>
        <v>🔴 Aggressive</v>
      </c>
      <c r="E48" s="26"/>
      <c r="F48" s="26"/>
      <c r="G48" s="26"/>
      <c r="H48" s="26"/>
    </row>
    <row r="49" spans="1:8" x14ac:dyDescent="0.35">
      <c r="A49" s="54" t="s">
        <v>296</v>
      </c>
      <c r="B49" s="106">
        <f ca="1">'Risk Analytics'!C11</f>
        <v>0.21042428796880044</v>
      </c>
      <c r="C49" s="38" t="s">
        <v>245</v>
      </c>
      <c r="D49" s="38" t="str">
        <f ca="1">IF(B49&gt;0.03,"✅ Significant Alpha",IF(B49&gt;0,"🟢 Positive Alpha","🔴 Negative Alpha"))</f>
        <v>✅ Significant Alpha</v>
      </c>
      <c r="E49" s="26"/>
      <c r="F49" s="26"/>
      <c r="G49" s="26"/>
      <c r="H49" s="26"/>
    </row>
    <row r="50" spans="1:8" x14ac:dyDescent="0.35">
      <c r="A50" s="56" t="s">
        <v>297</v>
      </c>
      <c r="B50" s="104">
        <f ca="1">'Risk Analytics'!C18</f>
        <v>1.2122662209441715</v>
      </c>
      <c r="C50" s="70" t="s">
        <v>298</v>
      </c>
      <c r="D50" s="70" t="str">
        <f ca="1">IF(B50&gt;2,"✅ Exceptional",IF(B50&gt;1,"🟢 Good",IF(B50&gt;0.5,"🟡 Adequate","🔴 Poor")))</f>
        <v>🟢 Good</v>
      </c>
      <c r="E50" s="26"/>
      <c r="F50" s="26"/>
      <c r="G50" s="26"/>
      <c r="H50" s="26"/>
    </row>
    <row r="51" spans="1:8" x14ac:dyDescent="0.35">
      <c r="A51" s="54" t="s">
        <v>299</v>
      </c>
      <c r="B51" s="31">
        <f ca="1">'Risk Analytics'!C15</f>
        <v>0.17343393164785381</v>
      </c>
      <c r="C51" s="38" t="s">
        <v>249</v>
      </c>
      <c r="D51" s="38" t="str">
        <f ca="1">IF(B51&gt;0.1,"✅ Excellent",IF(B51&gt;0.05,"🟢 Good","🟡 Weak"))</f>
        <v>✅ Excellent</v>
      </c>
      <c r="E51" s="26"/>
      <c r="F51" s="26"/>
      <c r="G51" s="26"/>
      <c r="H51" s="26"/>
    </row>
    <row r="52" spans="1:8" x14ac:dyDescent="0.35">
      <c r="A52" s="56" t="s">
        <v>300</v>
      </c>
      <c r="B52" s="104">
        <f ca="1">'Risk Analytics'!C19</f>
        <v>1.8188660555674918</v>
      </c>
      <c r="C52" s="70" t="s">
        <v>301</v>
      </c>
      <c r="D52" s="70" t="str">
        <f ca="1">IF(B52&gt;3,"✅ Excellent",IF(B52&gt;2,"🟢 Good",IF(B52&gt;1,"🟡 Adequate","🔴 Poor")))</f>
        <v>🟡 Adequate</v>
      </c>
      <c r="E52" s="26"/>
      <c r="F52" s="26"/>
      <c r="G52" s="26"/>
      <c r="H52" s="26"/>
    </row>
    <row r="53" spans="1:8" x14ac:dyDescent="0.35">
      <c r="A53" s="54" t="s">
        <v>302</v>
      </c>
      <c r="B53" s="106">
        <f ca="1">'Risk Analytics'!C68</f>
        <v>0.13040126424634657</v>
      </c>
      <c r="C53" s="38" t="s">
        <v>292</v>
      </c>
      <c r="D53" s="38" t="str">
        <f ca="1">IF(B53&gt;0,"✅ Risk-Adj. Outperformance","🔴 Underperformance")</f>
        <v>✅ Risk-Adj. Outperformance</v>
      </c>
      <c r="E53" s="26"/>
      <c r="F53" s="26"/>
      <c r="G53" s="26"/>
      <c r="H53" s="26"/>
    </row>
    <row r="54" spans="1:8" x14ac:dyDescent="0.35">
      <c r="A54" s="56" t="s">
        <v>303</v>
      </c>
      <c r="B54" s="104">
        <f ca="1">'Risk Analytics'!C20</f>
        <v>2.407330771034677</v>
      </c>
      <c r="C54" s="70" t="s">
        <v>183</v>
      </c>
      <c r="D54" s="70" t="str">
        <f ca="1">IF(B54&gt;3,"✅ Excellent",IF(B54&gt;1,"🟢 Good","🟡 Monitor"))</f>
        <v>🟢 Good</v>
      </c>
      <c r="E54" s="26"/>
      <c r="F54" s="26"/>
      <c r="G54" s="26"/>
      <c r="H54" s="26"/>
    </row>
    <row r="55" spans="1:8" x14ac:dyDescent="0.35">
      <c r="A55" s="54" t="s">
        <v>403</v>
      </c>
      <c r="B55" s="196" cm="1">
        <f t="array" aca="1" ref="B55" ca="1">AVERAGE(IF(E10:E25&gt;0,E10:E25))/ABS(AVERAGE(IF(E10:E25&lt;0,E10:E25)))</f>
        <v>11.246960309929277</v>
      </c>
      <c r="C55" s="38" t="s">
        <v>184</v>
      </c>
      <c r="D55" s="38" t="str">
        <f ca="1">IF(B55&gt;5,"✅ Excellent Asymmetry",IF(B55&gt;3,"✅ Strong",IF(B55&gt;1.5,"🟢 Good","🟡 Thin")))</f>
        <v>✅ Excellent Asymmetry</v>
      </c>
      <c r="E55" s="26"/>
      <c r="F55" s="26"/>
      <c r="G55" s="26"/>
      <c r="H55" s="26"/>
    </row>
    <row r="56" spans="1:8" x14ac:dyDescent="0.35">
      <c r="A56" s="55" t="s">
        <v>404</v>
      </c>
      <c r="B56" s="197">
        <f ca="1">SUMIF(D10:D25,"&gt;0")/ABS(SUMIF(D10:D25,"&lt;0"))</f>
        <v>1012.7050423210334</v>
      </c>
      <c r="C56" s="66" t="s">
        <v>185</v>
      </c>
      <c r="D56" s="67" t="str">
        <f ca="1">IF(B56&gt;10,"✅ Overwhelming Gains",IF(B56&gt;3,"✅ Excellent",IF(B56&gt;1.5,"🟢 Profitable",IF(B56&gt;1,"🟡 Marginal","🔴 Losing"))))</f>
        <v>✅ Overwhelming Gains</v>
      </c>
      <c r="E56" s="26"/>
      <c r="F56" s="26"/>
      <c r="G56" s="26"/>
      <c r="H56" s="26"/>
    </row>
    <row r="57" spans="1:8" x14ac:dyDescent="0.35">
      <c r="A57" s="26" t="s">
        <v>405</v>
      </c>
      <c r="B57" s="37">
        <f ca="1">1/D39</f>
        <v>2.4428221156320533</v>
      </c>
      <c r="C57" s="26" t="s">
        <v>188</v>
      </c>
      <c r="D57" s="26" t="str">
        <f ca="1">IF(B57&gt;=10,"✅ Well Diversified",IF(B57&gt;=5,"🟡 Moderate","🔴 Concentrated"))</f>
        <v>🔴 Concentrated</v>
      </c>
      <c r="E57" s="26"/>
      <c r="F57" s="26"/>
      <c r="G57" s="26"/>
      <c r="H57" s="26"/>
    </row>
    <row r="58" spans="1:8" ht="15.5" x14ac:dyDescent="0.35">
      <c r="A58" s="57" t="s">
        <v>186</v>
      </c>
      <c r="B58" s="36"/>
      <c r="C58" s="26"/>
      <c r="D58" s="26"/>
      <c r="E58" s="26"/>
      <c r="F58" s="26"/>
      <c r="G58" s="26"/>
      <c r="H58" s="26"/>
    </row>
    <row r="59" spans="1:8" ht="15" thickBot="1" x14ac:dyDescent="0.4">
      <c r="A59" s="58" t="s">
        <v>58</v>
      </c>
      <c r="B59" s="107" t="s">
        <v>59</v>
      </c>
      <c r="C59" s="58" t="s">
        <v>187</v>
      </c>
      <c r="D59" s="58" t="s">
        <v>182</v>
      </c>
      <c r="E59" s="26"/>
      <c r="F59" s="26"/>
      <c r="G59" s="26"/>
      <c r="H59" s="26"/>
    </row>
    <row r="60" spans="1:8" x14ac:dyDescent="0.35">
      <c r="A60" s="52" t="s">
        <v>405</v>
      </c>
      <c r="B60" s="108">
        <f ca="1">1/D39</f>
        <v>2.4428221156320533</v>
      </c>
      <c r="C60" s="62" t="s">
        <v>267</v>
      </c>
      <c r="D60" s="62" t="str">
        <f ca="1">IF(B60&gt;=10,"✅ Well Diversified",IF(B60&gt;=5,"🟡 Moderate","🔴 Concentrated"))</f>
        <v>🔴 Concentrated</v>
      </c>
      <c r="E60" s="26"/>
      <c r="F60" s="26"/>
      <c r="G60" s="26"/>
      <c r="H60" s="26"/>
    </row>
    <row r="61" spans="1:8" x14ac:dyDescent="0.35">
      <c r="A61" s="54" t="s">
        <v>189</v>
      </c>
      <c r="B61" s="196">
        <f ca="1">MAX(F10:F25)/MIN(F10:F25)</f>
        <v>202.65201102947793</v>
      </c>
      <c r="C61" s="38" t="s">
        <v>269</v>
      </c>
      <c r="D61" s="38" t="str">
        <f ca="1">IF(B61&gt;10,"🔴 Extreme Dispersion",IF(B61&gt;5,"🟡 Skewed","🟢 Balanced"))</f>
        <v>🔴 Extreme Dispersion</v>
      </c>
      <c r="E61" s="26"/>
      <c r="F61" s="26"/>
      <c r="G61" s="26"/>
      <c r="H61" s="26"/>
    </row>
    <row r="62" spans="1:8" x14ac:dyDescent="0.35">
      <c r="A62" s="56" t="s">
        <v>190</v>
      </c>
      <c r="B62" s="68">
        <f ca="1">MAX(C29:C38)</f>
        <v>0.62270833121396829</v>
      </c>
      <c r="C62" s="70" t="s">
        <v>304</v>
      </c>
      <c r="D62" s="70" t="str">
        <f ca="1">IF(B62&gt;0.4,"🔴 Sector Risk",IF(B62&gt;0.3,"🟡 Monitor","🟢 Balanced"))</f>
        <v>🔴 Sector Risk</v>
      </c>
      <c r="E62" s="26"/>
      <c r="F62" s="26"/>
      <c r="G62" s="26"/>
      <c r="H62" s="26"/>
    </row>
    <row r="63" spans="1:8" x14ac:dyDescent="0.35">
      <c r="A63" s="54" t="s">
        <v>305</v>
      </c>
      <c r="B63" s="30">
        <f ca="1">'Risk Analytics'!C62</f>
        <v>0.49770833121396829</v>
      </c>
      <c r="C63" s="38" t="s">
        <v>284</v>
      </c>
      <c r="D63" s="38" t="str">
        <f ca="1">IF(B63&gt;0.6,"✅ Stock Picker",IF(B63&gt;0.3,"🟢 Active","🟡 Closet Indexer"))</f>
        <v>🟢 Active</v>
      </c>
      <c r="E63" s="26"/>
      <c r="F63" s="26"/>
      <c r="G63" s="26"/>
      <c r="H63" s="26"/>
    </row>
    <row r="64" spans="1:8" x14ac:dyDescent="0.35">
      <c r="A64" s="55" t="s">
        <v>406</v>
      </c>
      <c r="B64" s="65">
        <f ca="1">SUMPRODUCT(F10:F25,E10:E25)</f>
        <v>10.823276821872408</v>
      </c>
      <c r="C64" s="67" t="s">
        <v>306</v>
      </c>
      <c r="D64" s="67" t="str">
        <f ca="1">IF(B64&gt;1,"✅ Large caps pulling weight",IF(B64&gt;0.5,"🟢 Positive","🟡 Weak"))</f>
        <v>✅ Large caps pulling weight</v>
      </c>
      <c r="E64" s="26"/>
      <c r="F64" s="26"/>
      <c r="G64" s="26"/>
      <c r="H64" s="26"/>
    </row>
  </sheetData>
  <conditionalFormatting sqref="D10:E25">
    <cfRule type="cellIs" dxfId="1" priority="1" operator="greaterThan">
      <formula>0</formula>
    </cfRule>
    <cfRule type="cellIs" dxfId="0" priority="2" operator="lessThan">
      <formula>0</formula>
    </cfRule>
  </conditionalFormatting>
  <conditionalFormatting sqref="F10:F25">
    <cfRule type="dataBar" priority="5">
      <dataBar>
        <cfvo type="min"/>
        <cfvo type="max"/>
        <color rgb="FF38BDF8"/>
      </dataBar>
      <extLst>
        <ext xmlns:x14="http://schemas.microsoft.com/office/spreadsheetml/2009/9/main" uri="{B025F937-C7B1-47D3-B67F-A62EFF666E3E}">
          <x14:id>{61A356C8-E328-4969-9FAC-2DADC6D3324B}</x14:id>
        </ext>
      </extLst>
    </cfRule>
  </conditionalFormatting>
  <pageMargins left="0.7" right="0.7" top="0.75" bottom="0.75" header="0.3" footer="0.3"/>
  <legacyDrawing r:id="rId1"/>
  <extLst>
    <ext xmlns:x14="http://schemas.microsoft.com/office/spreadsheetml/2009/9/main" uri="{78C0D931-6437-407d-A8EE-F0AAD7539E65}">
      <x14:conditionalFormattings>
        <x14:conditionalFormatting xmlns:xm="http://schemas.microsoft.com/office/excel/2006/main">
          <x14:cfRule type="dataBar" id="{61A356C8-E328-4969-9FAC-2DADC6D3324B}">
            <x14:dataBar minLength="0" maxLength="100" border="1" direction="leftToRight" negativeBarColorSameAsPositive="1" axisPosition="none">
              <x14:cfvo type="min"/>
              <x14:cfvo type="max"/>
              <x14:borderColor rgb="FF38BDF8"/>
            </x14:dataBar>
          </x14:cfRule>
          <xm:sqref>F10:F25</xm:sqref>
        </x14:conditionalFormatting>
      </x14:conditionalFormatting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2DD37A-EBD7-492F-8870-82C2B61A6E58}">
  <dimension ref="A1:N80"/>
  <sheetViews>
    <sheetView showGridLines="0" topLeftCell="A38" workbookViewId="0"/>
  </sheetViews>
  <sheetFormatPr defaultRowHeight="14.5" x14ac:dyDescent="0.35"/>
  <cols>
    <col min="1" max="1" width="1.453125" customWidth="1"/>
    <col min="2" max="2" width="45.453125" customWidth="1"/>
    <col min="3" max="3" width="15.453125" customWidth="1"/>
    <col min="4" max="5" width="23.6328125" customWidth="1"/>
    <col min="6" max="6" width="14.54296875" customWidth="1"/>
    <col min="7" max="8" width="16.36328125" customWidth="1"/>
    <col min="9" max="9" width="14.54296875" customWidth="1"/>
    <col min="10" max="14" width="13.6328125" customWidth="1"/>
  </cols>
  <sheetData>
    <row r="1" spans="1:14" ht="21" x14ac:dyDescent="0.5">
      <c r="A1" s="111"/>
      <c r="B1" s="87" t="s">
        <v>230</v>
      </c>
      <c r="C1" s="110"/>
      <c r="D1" s="110"/>
      <c r="E1" s="110"/>
      <c r="F1" s="110"/>
      <c r="G1" s="110"/>
      <c r="H1" s="110"/>
      <c r="I1" s="110"/>
      <c r="J1" s="110"/>
      <c r="K1" s="40"/>
      <c r="L1" s="40"/>
      <c r="M1" s="40"/>
      <c r="N1" s="40"/>
    </row>
    <row r="2" spans="1:14" x14ac:dyDescent="0.35">
      <c r="A2" s="112"/>
      <c r="B2" s="88" t="s">
        <v>407</v>
      </c>
      <c r="C2" s="110"/>
      <c r="D2" s="110"/>
      <c r="E2" s="110"/>
      <c r="F2" s="110"/>
      <c r="G2" s="110"/>
      <c r="H2" s="110"/>
      <c r="I2" s="110"/>
      <c r="J2" s="110"/>
      <c r="K2" s="40"/>
      <c r="L2" s="40"/>
      <c r="M2" s="40"/>
      <c r="N2" s="40"/>
    </row>
    <row r="3" spans="1:14" x14ac:dyDescent="0.35">
      <c r="A3" s="26"/>
      <c r="B3" s="26"/>
      <c r="C3" s="26"/>
      <c r="D3" s="26"/>
      <c r="E3" s="26"/>
      <c r="F3" s="26"/>
      <c r="G3" s="26"/>
      <c r="H3" s="26"/>
      <c r="I3" s="26"/>
      <c r="J3" s="26"/>
      <c r="K3" s="26"/>
      <c r="L3" s="26"/>
      <c r="M3" s="26"/>
      <c r="N3" s="26"/>
    </row>
    <row r="4" spans="1:14" ht="15.5" x14ac:dyDescent="0.35">
      <c r="A4" s="26"/>
      <c r="B4" s="57" t="s">
        <v>231</v>
      </c>
      <c r="C4" s="26"/>
      <c r="D4" s="26"/>
      <c r="E4" s="26"/>
      <c r="F4" s="26"/>
      <c r="G4" s="26"/>
      <c r="H4" s="26"/>
      <c r="I4" s="26"/>
      <c r="J4" s="26"/>
      <c r="K4" s="26"/>
      <c r="L4" s="26"/>
      <c r="M4" s="26"/>
      <c r="N4" s="26"/>
    </row>
    <row r="5" spans="1:14" ht="15" thickBot="1" x14ac:dyDescent="0.4">
      <c r="A5" s="26"/>
      <c r="B5" s="58" t="s">
        <v>58</v>
      </c>
      <c r="C5" s="58" t="s">
        <v>59</v>
      </c>
      <c r="D5" s="58" t="s">
        <v>232</v>
      </c>
      <c r="E5" s="58" t="s">
        <v>182</v>
      </c>
      <c r="F5" s="26"/>
      <c r="G5" s="26"/>
      <c r="H5" s="26"/>
      <c r="I5" s="26"/>
      <c r="J5" s="26"/>
      <c r="K5" s="26"/>
      <c r="L5" s="26"/>
      <c r="M5" s="26"/>
      <c r="N5" s="26"/>
    </row>
    <row r="6" spans="1:14" x14ac:dyDescent="0.35">
      <c r="A6" s="26"/>
      <c r="B6" s="52" t="s">
        <v>233</v>
      </c>
      <c r="C6" s="113">
        <v>4.2500000000000003E-2</v>
      </c>
      <c r="D6" s="61" t="s">
        <v>234</v>
      </c>
      <c r="E6" s="61" t="s">
        <v>235</v>
      </c>
      <c r="F6" s="26"/>
      <c r="G6" s="26"/>
      <c r="H6" s="26"/>
      <c r="I6" s="26"/>
      <c r="J6" s="26"/>
      <c r="K6" s="26"/>
      <c r="L6" s="26"/>
      <c r="M6" s="26"/>
      <c r="N6" s="26"/>
    </row>
    <row r="7" spans="1:14" x14ac:dyDescent="0.35">
      <c r="A7" s="26"/>
      <c r="B7" s="54" t="s">
        <v>236</v>
      </c>
      <c r="C7" s="30">
        <v>0.1</v>
      </c>
      <c r="D7" s="64" t="s">
        <v>237</v>
      </c>
      <c r="E7" s="64" t="s">
        <v>235</v>
      </c>
      <c r="F7" s="26"/>
      <c r="G7" s="26"/>
      <c r="H7" s="26"/>
      <c r="I7" s="26"/>
      <c r="J7" s="26"/>
      <c r="K7" s="26"/>
      <c r="L7" s="26"/>
      <c r="M7" s="26"/>
      <c r="N7" s="26"/>
    </row>
    <row r="8" spans="1:14" x14ac:dyDescent="0.35">
      <c r="A8" s="26"/>
      <c r="B8" s="56" t="s">
        <v>238</v>
      </c>
      <c r="C8" s="114">
        <f>C7-C6</f>
        <v>5.7500000000000002E-2</v>
      </c>
      <c r="D8" s="69" t="s">
        <v>239</v>
      </c>
      <c r="E8" s="69" t="str">
        <f>IF(C8&gt;0.06,"✅ Above Average",IF(C8&gt;0.04,"🟢 Normal Range","🟡 Below Average"))</f>
        <v>🟢 Normal Range</v>
      </c>
      <c r="F8" s="26"/>
      <c r="G8" s="26"/>
      <c r="H8" s="26"/>
      <c r="I8" s="26"/>
      <c r="J8" s="26"/>
      <c r="K8" s="26"/>
      <c r="L8" s="26"/>
      <c r="M8" s="26"/>
      <c r="N8" s="26"/>
    </row>
    <row r="9" spans="1:14" x14ac:dyDescent="0.35">
      <c r="A9" s="26"/>
      <c r="B9" s="54" t="s">
        <v>240</v>
      </c>
      <c r="C9" s="115">
        <f ca="1">SUMPRODUCT(C39:C54,D39:D54)</f>
        <v>1.8150362450223683</v>
      </c>
      <c r="D9" s="64" t="s">
        <v>241</v>
      </c>
      <c r="E9" s="64" t="str">
        <f ca="1">IF(C9&gt;1.3,"🔴 Aggressive",IF(C9&gt;1,"🟡 Above Market",IF(C9&gt;0.7,"🟢 Moderate","🔵 Defensive")))</f>
        <v>🔴 Aggressive</v>
      </c>
      <c r="F9" s="26"/>
      <c r="G9" s="26"/>
      <c r="H9" s="26"/>
      <c r="I9" s="26"/>
      <c r="J9" s="26"/>
      <c r="K9" s="26"/>
      <c r="L9" s="26"/>
      <c r="M9" s="26"/>
      <c r="N9" s="26"/>
    </row>
    <row r="10" spans="1:14" x14ac:dyDescent="0.35">
      <c r="A10" s="26"/>
      <c r="B10" s="56" t="s">
        <v>242</v>
      </c>
      <c r="C10" s="68">
        <f ca="1">C6+C9*(C7-C6)</f>
        <v>0.14686458408878619</v>
      </c>
      <c r="D10" s="69" t="s">
        <v>243</v>
      </c>
      <c r="E10" s="69" t="str">
        <f ca="1">IF(C10&gt;0.12,"✅ High Expected",IF(C10&gt;0.08,"🟢 Moderate","🟡 Conservative"))</f>
        <v>✅ High Expected</v>
      </c>
      <c r="F10" s="26"/>
      <c r="G10" s="26"/>
      <c r="H10" s="26"/>
      <c r="I10" s="26"/>
      <c r="J10" s="26"/>
      <c r="K10" s="26"/>
      <c r="L10" s="26"/>
      <c r="M10" s="26"/>
      <c r="N10" s="26"/>
    </row>
    <row r="11" spans="1:14" x14ac:dyDescent="0.35">
      <c r="A11" s="26"/>
      <c r="B11" s="53" t="s">
        <v>244</v>
      </c>
      <c r="C11" s="105">
        <f ca="1">'Portfolio Series'!B13-C10</f>
        <v>0.21042428796880044</v>
      </c>
      <c r="D11" s="63" t="s">
        <v>245</v>
      </c>
      <c r="E11" s="63" t="str">
        <f ca="1">IF(C11&gt;0.03,"✅ Significant Alpha",IF(C11&gt;0,"🟢 Positive Alpha","🔴 Negative Alpha"))</f>
        <v>✅ Significant Alpha</v>
      </c>
      <c r="F11" s="26"/>
      <c r="G11" s="26"/>
      <c r="H11" s="26"/>
      <c r="I11" s="26"/>
      <c r="J11" s="26"/>
      <c r="K11" s="26"/>
      <c r="L11" s="26"/>
      <c r="M11" s="26"/>
      <c r="N11" s="26"/>
    </row>
    <row r="12" spans="1:14" x14ac:dyDescent="0.35">
      <c r="A12" s="26"/>
      <c r="B12" s="26" t="s">
        <v>408</v>
      </c>
      <c r="C12" s="26"/>
      <c r="D12" s="26"/>
      <c r="E12" s="26"/>
      <c r="F12" s="26"/>
      <c r="G12" s="26"/>
      <c r="H12" s="26"/>
      <c r="I12" s="26"/>
      <c r="J12" s="26"/>
      <c r="K12" s="26"/>
      <c r="L12" s="26"/>
      <c r="M12" s="26"/>
      <c r="N12" s="26"/>
    </row>
    <row r="13" spans="1:14" ht="15.5" x14ac:dyDescent="0.35">
      <c r="A13" s="26"/>
      <c r="B13" s="57" t="s">
        <v>246</v>
      </c>
      <c r="C13" s="26"/>
      <c r="D13" s="26"/>
      <c r="E13" s="26"/>
      <c r="F13" s="26"/>
      <c r="G13" s="26"/>
      <c r="H13" s="26"/>
      <c r="I13" s="26"/>
      <c r="J13" s="26"/>
      <c r="K13" s="26"/>
      <c r="L13" s="26"/>
      <c r="M13" s="26"/>
      <c r="N13" s="26"/>
    </row>
    <row r="14" spans="1:14" ht="15" thickBot="1" x14ac:dyDescent="0.4">
      <c r="A14" s="26"/>
      <c r="B14" s="58" t="s">
        <v>58</v>
      </c>
      <c r="C14" s="58" t="s">
        <v>59</v>
      </c>
      <c r="D14" s="58" t="s">
        <v>247</v>
      </c>
      <c r="E14" s="58" t="s">
        <v>182</v>
      </c>
      <c r="F14" s="26"/>
      <c r="G14" s="26"/>
      <c r="H14" s="26"/>
      <c r="I14" s="26"/>
      <c r="J14" s="26"/>
      <c r="K14" s="26"/>
      <c r="L14" s="26"/>
      <c r="M14" s="26"/>
      <c r="N14" s="26"/>
    </row>
    <row r="15" spans="1:14" x14ac:dyDescent="0.35">
      <c r="A15" s="26"/>
      <c r="B15" s="101" t="s">
        <v>248</v>
      </c>
      <c r="C15" s="121">
        <f ca="1">IF(C9=0,"N/A",('Portfolio Series'!B13-C6)/C9)</f>
        <v>0.17343393164785381</v>
      </c>
      <c r="D15" s="116" t="s">
        <v>249</v>
      </c>
      <c r="E15" s="116" t="str">
        <f ca="1">IF(C9=0,"⚠️ Awaiting Beta",IF(C15&gt;0.1,"✅ Excellent",IF(C15&gt;0.05,"🟢 Good","🟡 Weak")))</f>
        <v>✅ Excellent</v>
      </c>
      <c r="F15" s="26"/>
      <c r="G15" s="26"/>
      <c r="H15" s="26"/>
      <c r="I15" s="26"/>
      <c r="J15" s="26"/>
      <c r="K15" s="26"/>
      <c r="L15" s="26"/>
      <c r="M15" s="26"/>
      <c r="N15" s="26"/>
    </row>
    <row r="16" spans="1:14" x14ac:dyDescent="0.35">
      <c r="A16" s="26"/>
      <c r="B16" s="56" t="s">
        <v>409</v>
      </c>
      <c r="C16" s="95">
        <f ca="1">'Portfolio Series'!B22</f>
        <v>1.2045122591029191</v>
      </c>
      <c r="D16" s="69" t="s">
        <v>250</v>
      </c>
      <c r="E16" s="69" t="str">
        <f ca="1">IF(C17=0,"⚠️ N/A",IF(C16&gt;1,"✅ Exceptional",IF(C16&gt;0.5,"🟢 Good",IF(C16&gt;0,"🟡 Marginal","🔴 Negative"))))</f>
        <v>✅ Exceptional</v>
      </c>
      <c r="F16" s="26"/>
      <c r="G16" s="26"/>
      <c r="H16" s="26"/>
      <c r="I16" s="26"/>
      <c r="J16" s="26"/>
      <c r="K16" s="26"/>
      <c r="L16" s="26"/>
      <c r="M16" s="26"/>
      <c r="N16" s="26"/>
    </row>
    <row r="17" spans="1:14" x14ac:dyDescent="0.35">
      <c r="A17" s="26"/>
      <c r="B17" s="54" t="s">
        <v>410</v>
      </c>
      <c r="C17" s="30">
        <f ca="1">'Portfolio Series'!B20</f>
        <v>0.16911892630799094</v>
      </c>
      <c r="D17" s="64" t="s">
        <v>251</v>
      </c>
      <c r="E17" s="64" t="str">
        <f ca="1">IF(ABS(C17)&gt;0.05,"🔴 High Active Risk",IF(ABS(C17)&gt;0.02,"🟡 Moderate","🟢 Index-Like"))</f>
        <v>🔴 High Active Risk</v>
      </c>
      <c r="F17" s="26"/>
      <c r="G17" s="26"/>
      <c r="H17" s="26"/>
      <c r="I17" s="26"/>
      <c r="J17" s="26"/>
      <c r="K17" s="26"/>
      <c r="L17" s="26"/>
      <c r="M17" s="26"/>
      <c r="N17" s="26"/>
    </row>
    <row r="18" spans="1:14" x14ac:dyDescent="0.35">
      <c r="A18" s="26"/>
      <c r="B18" s="56" t="s">
        <v>252</v>
      </c>
      <c r="C18" s="104">
        <f ca="1">('Portfolio Series'!B13-C6)/C25</f>
        <v>1.2122662209441715</v>
      </c>
      <c r="D18" s="69" t="s">
        <v>253</v>
      </c>
      <c r="E18" s="69" t="str">
        <f ca="1">IF(C18&gt;2,"✅ Exceptional",IF(C18&gt;1,"🟢 Good",IF(C18&gt;0.5,"🟡 Adequate","🔴 Poor")))</f>
        <v>🟢 Good</v>
      </c>
      <c r="F18" s="26"/>
      <c r="G18" s="26"/>
      <c r="H18" s="26"/>
      <c r="I18" s="26"/>
      <c r="J18" s="26"/>
      <c r="K18" s="26"/>
      <c r="L18" s="26"/>
      <c r="M18" s="26"/>
      <c r="N18" s="26"/>
    </row>
    <row r="19" spans="1:14" x14ac:dyDescent="0.35">
      <c r="A19" s="26"/>
      <c r="B19" s="54" t="s">
        <v>254</v>
      </c>
      <c r="C19" s="115">
        <f ca="1">('Portfolio Series'!B13-C6)/C30</f>
        <v>1.8188660555674918</v>
      </c>
      <c r="D19" s="64" t="s">
        <v>255</v>
      </c>
      <c r="E19" s="64" t="str">
        <f ca="1">IF(C19&gt;3,"✅ Excellent",IF(C19&gt;2,"🟢 Good",IF(C19&gt;1,"🟡 Adequate","🔴 Poor")))</f>
        <v>🟡 Adequate</v>
      </c>
      <c r="F19" s="26"/>
      <c r="G19" s="26"/>
      <c r="H19" s="26"/>
      <c r="I19" s="26"/>
      <c r="J19" s="26"/>
      <c r="K19" s="26"/>
      <c r="L19" s="26"/>
      <c r="M19" s="26"/>
      <c r="N19" s="26"/>
    </row>
    <row r="20" spans="1:14" x14ac:dyDescent="0.35">
      <c r="A20" s="26"/>
      <c r="B20" s="55" t="s">
        <v>411</v>
      </c>
      <c r="C20" s="103">
        <f ca="1">'Portfolio Series'!B13/ABS('Portfolio Series'!B16)</f>
        <v>2.407330771034677</v>
      </c>
      <c r="D20" s="66" t="s">
        <v>256</v>
      </c>
      <c r="E20" s="66" t="str">
        <f ca="1">IF(C20&gt;3,"✅ Excellent",IF(C20&gt;1,"🟢 Good","🟡 Monitor"))</f>
        <v>🟢 Good</v>
      </c>
      <c r="F20" s="26"/>
      <c r="G20" s="26"/>
      <c r="H20" s="26"/>
      <c r="I20" s="26"/>
      <c r="J20" s="26"/>
      <c r="K20" s="26"/>
      <c r="L20" s="26"/>
      <c r="M20" s="26"/>
      <c r="N20" s="26"/>
    </row>
    <row r="21" spans="1:14" x14ac:dyDescent="0.35">
      <c r="A21" s="26"/>
      <c r="B21" s="26"/>
      <c r="C21" s="26"/>
      <c r="D21" s="26"/>
      <c r="E21" s="26"/>
      <c r="F21" s="26"/>
      <c r="G21" s="26"/>
      <c r="H21" s="26"/>
      <c r="I21" s="26"/>
      <c r="J21" s="26"/>
      <c r="K21" s="26"/>
      <c r="L21" s="26"/>
      <c r="M21" s="26"/>
      <c r="N21" s="26"/>
    </row>
    <row r="22" spans="1:14" ht="15.5" x14ac:dyDescent="0.35">
      <c r="A22" s="26"/>
      <c r="B22" s="57" t="s">
        <v>257</v>
      </c>
      <c r="C22" s="26"/>
      <c r="D22" s="26"/>
      <c r="E22" s="26"/>
      <c r="F22" s="26"/>
      <c r="G22" s="26"/>
      <c r="H22" s="26"/>
      <c r="I22" s="26"/>
      <c r="J22" s="26"/>
      <c r="K22" s="26"/>
      <c r="L22" s="26"/>
      <c r="M22" s="26"/>
      <c r="N22" s="26"/>
    </row>
    <row r="23" spans="1:14" ht="15" thickBot="1" x14ac:dyDescent="0.4">
      <c r="A23" s="26"/>
      <c r="B23" s="58" t="s">
        <v>58</v>
      </c>
      <c r="C23" s="58" t="s">
        <v>59</v>
      </c>
      <c r="D23" s="58" t="s">
        <v>232</v>
      </c>
      <c r="E23" s="58" t="s">
        <v>258</v>
      </c>
      <c r="F23" s="26"/>
      <c r="G23" s="26"/>
      <c r="H23" s="26"/>
      <c r="I23" s="26"/>
      <c r="J23" s="26"/>
      <c r="K23" s="26"/>
      <c r="L23" s="26"/>
      <c r="M23" s="26"/>
      <c r="N23" s="26"/>
    </row>
    <row r="24" spans="1:14" x14ac:dyDescent="0.35">
      <c r="A24" s="26"/>
      <c r="B24" s="52" t="s">
        <v>412</v>
      </c>
      <c r="C24" s="60">
        <f ca="1">C10</f>
        <v>0.14686458408878619</v>
      </c>
      <c r="D24" s="61" t="s">
        <v>413</v>
      </c>
      <c r="E24" s="61" t="s">
        <v>414</v>
      </c>
      <c r="F24" s="26"/>
      <c r="G24" s="26"/>
      <c r="H24" s="26"/>
      <c r="I24" s="26"/>
      <c r="J24" s="26"/>
      <c r="K24" s="26"/>
      <c r="L24" s="26"/>
      <c r="M24" s="26"/>
      <c r="N24" s="26"/>
    </row>
    <row r="25" spans="1:14" x14ac:dyDescent="0.35">
      <c r="A25" s="26"/>
      <c r="B25" s="54" t="s">
        <v>415</v>
      </c>
      <c r="C25" s="30">
        <f ca="1">'Portfolio Series'!B14</f>
        <v>0.25966975456299846</v>
      </c>
      <c r="D25" s="64" t="s">
        <v>416</v>
      </c>
      <c r="E25" s="64" t="str">
        <f ca="1">IF(C25&gt;0.3,"🔴 High Dispersion",IF(C25&gt;0.15,"🟡 Moderate","🟢 Low"))</f>
        <v>🟡 Moderate</v>
      </c>
      <c r="F25" s="26"/>
      <c r="G25" s="26"/>
      <c r="H25" s="26"/>
      <c r="I25" s="26"/>
      <c r="J25" s="26"/>
      <c r="K25" s="26"/>
      <c r="L25" s="26"/>
      <c r="M25" s="26"/>
      <c r="N25" s="26"/>
    </row>
    <row r="26" spans="1:14" x14ac:dyDescent="0.35">
      <c r="A26" s="26"/>
      <c r="B26" s="56" t="s">
        <v>259</v>
      </c>
      <c r="C26" s="68">
        <f ca="1">C24-1.645*C25</f>
        <v>-0.28029216216734631</v>
      </c>
      <c r="D26" s="69" t="s">
        <v>260</v>
      </c>
      <c r="E26" s="69" t="str">
        <f ca="1">"95% VaR loss: "&amp;TEXT(ABS(C26)*SUM(Dashboard!F7:F22),"$#,##0")</f>
        <v>95% VaR loss: $59,236</v>
      </c>
      <c r="F26" s="26"/>
      <c r="G26" s="26"/>
      <c r="H26" s="26"/>
      <c r="I26" s="26"/>
      <c r="J26" s="26"/>
      <c r="K26" s="26"/>
      <c r="L26" s="26"/>
      <c r="M26" s="26"/>
      <c r="N26" s="26"/>
    </row>
    <row r="27" spans="1:14" x14ac:dyDescent="0.35">
      <c r="A27" s="26"/>
      <c r="B27" s="54" t="s">
        <v>261</v>
      </c>
      <c r="C27" s="30">
        <f ca="1">C24-2.326*C25</f>
        <v>-0.45712726502474821</v>
      </c>
      <c r="D27" s="64" t="s">
        <v>262</v>
      </c>
      <c r="E27" s="64" t="str">
        <f ca="1">"99% VaR loss: "&amp;TEXT(ABS(C27)*SUM(Dashboard!F7:F22),"$#,##0")</f>
        <v>99% VaR loss: $96,607</v>
      </c>
      <c r="F27" s="26"/>
      <c r="G27" s="26"/>
      <c r="H27" s="26"/>
      <c r="I27" s="26"/>
      <c r="J27" s="26"/>
      <c r="K27" s="26"/>
      <c r="L27" s="26"/>
      <c r="M27" s="26"/>
      <c r="N27" s="26"/>
    </row>
    <row r="28" spans="1:14" x14ac:dyDescent="0.35">
      <c r="A28" s="26"/>
      <c r="B28" s="56" t="s">
        <v>263</v>
      </c>
      <c r="C28" s="68">
        <f ca="1">C24-2.063*C25</f>
        <v>-0.38883411957467962</v>
      </c>
      <c r="D28" s="69" t="s">
        <v>264</v>
      </c>
      <c r="E28" s="69" t="str">
        <f ca="1">"Expected shortfall: "&amp;TEXT(ABS(C28)*SUM(Dashboard!F7:F22),"$#,##0")</f>
        <v>Expected shortfall: $82,174</v>
      </c>
      <c r="F28" s="26"/>
      <c r="G28" s="26"/>
      <c r="H28" s="26"/>
      <c r="I28" s="26"/>
      <c r="J28" s="26"/>
      <c r="K28" s="26"/>
      <c r="L28" s="26"/>
      <c r="M28" s="26"/>
      <c r="N28" s="26"/>
    </row>
    <row r="29" spans="1:14" x14ac:dyDescent="0.35">
      <c r="A29" s="26"/>
      <c r="B29" s="54" t="s">
        <v>265</v>
      </c>
      <c r="C29" s="30">
        <f ca="1">MIN(Analytics!E10:E25)</f>
        <v>-0.2614727584801092</v>
      </c>
      <c r="D29" s="64" t="str">
        <f ca="1">INDEX(Analytics!A10:A25,MATCH(MIN(Analytics!E10:E25),Analytics!E10:E25,0))</f>
        <v>BA</v>
      </c>
      <c r="E29" s="64" t="str">
        <f ca="1">"$ Loss: "&amp;TEXT(ABS(MIN(Analytics!D10:D25)),"$#,##0")</f>
        <v>$ Loss: $166</v>
      </c>
      <c r="F29" s="26"/>
      <c r="G29" s="26"/>
      <c r="H29" s="26"/>
      <c r="I29" s="26"/>
      <c r="J29" s="26"/>
      <c r="K29" s="26"/>
      <c r="L29" s="26"/>
      <c r="M29" s="26"/>
      <c r="N29" s="26"/>
    </row>
    <row r="30" spans="1:14" x14ac:dyDescent="0.35">
      <c r="A30" s="26"/>
      <c r="B30" s="55" t="s">
        <v>417</v>
      </c>
      <c r="C30" s="65">
        <f ca="1">'Portfolio Series'!B15</f>
        <v>0.17306874857223697</v>
      </c>
      <c r="D30" s="66" t="s">
        <v>418</v>
      </c>
      <c r="E30" s="66" t="str">
        <f ca="1">IF(C30&lt;C25/2,"✅ Low Downside",IF(C30&lt;C25,"🟢 Acceptable","🔴 High Downside"))</f>
        <v>🟢 Acceptable</v>
      </c>
      <c r="F30" s="26"/>
      <c r="G30" s="26"/>
      <c r="H30" s="26"/>
      <c r="I30" s="26"/>
      <c r="J30" s="26"/>
      <c r="K30" s="26"/>
      <c r="L30" s="26"/>
      <c r="M30" s="26"/>
      <c r="N30" s="26"/>
    </row>
    <row r="31" spans="1:14" x14ac:dyDescent="0.35">
      <c r="A31" s="26"/>
      <c r="B31" s="26" t="s">
        <v>419</v>
      </c>
      <c r="C31" s="500">
        <f ca="1">'Portfolio Series'!B17</f>
        <v>2.6712200231629745E-2</v>
      </c>
      <c r="D31" s="26" t="s">
        <v>420</v>
      </c>
      <c r="E31" s="26" t="str">
        <f ca="1">"1-day loss: "&amp;TEXT(C31*SUM(Dashboard!F7:F22),"$#,##0")</f>
        <v>1-day loss: $5,645</v>
      </c>
      <c r="F31" s="26"/>
      <c r="G31" s="26"/>
      <c r="H31" s="26"/>
      <c r="I31" s="26"/>
      <c r="J31" s="26"/>
      <c r="K31" s="26"/>
      <c r="L31" s="26"/>
      <c r="M31" s="26"/>
      <c r="N31" s="26"/>
    </row>
    <row r="32" spans="1:14" ht="15.5" x14ac:dyDescent="0.35">
      <c r="A32" s="26"/>
      <c r="B32" s="57" t="s">
        <v>266</v>
      </c>
      <c r="C32" s="26"/>
      <c r="D32" s="26"/>
      <c r="E32" s="26"/>
      <c r="F32" s="26"/>
      <c r="G32" s="26"/>
      <c r="H32" s="26"/>
      <c r="I32" s="26"/>
      <c r="J32" s="26"/>
      <c r="K32" s="26"/>
      <c r="L32" s="26"/>
      <c r="M32" s="26"/>
      <c r="N32" s="26"/>
    </row>
    <row r="33" spans="1:14" ht="15" thickBot="1" x14ac:dyDescent="0.4">
      <c r="A33" s="26"/>
      <c r="B33" s="58" t="s">
        <v>58</v>
      </c>
      <c r="C33" s="58" t="s">
        <v>59</v>
      </c>
      <c r="D33" s="58" t="s">
        <v>187</v>
      </c>
      <c r="E33" s="58" t="s">
        <v>182</v>
      </c>
      <c r="F33" s="26"/>
      <c r="G33" s="26"/>
      <c r="H33" s="26"/>
      <c r="I33" s="26"/>
      <c r="J33" s="26"/>
      <c r="K33" s="26"/>
      <c r="L33" s="26"/>
      <c r="M33" s="26"/>
      <c r="N33" s="26"/>
    </row>
    <row r="34" spans="1:14" x14ac:dyDescent="0.35">
      <c r="A34" s="26"/>
      <c r="B34" s="52" t="s">
        <v>421</v>
      </c>
      <c r="C34" s="108" cm="1">
        <f t="array" aca="1" ref="C34" ca="1">1/SUMPRODUCT((Dashboard!L7:'Dashboard'!L22)^2)</f>
        <v>4.0513897193438275</v>
      </c>
      <c r="D34" s="61" t="s">
        <v>267</v>
      </c>
      <c r="E34" s="61" t="str">
        <f ca="1">IF(C34&gt;=10,"✅ Well Diversified",IF(C34&gt;=5,"🟡 Moderate","🔴 Concentrated"))</f>
        <v>🔴 Concentrated</v>
      </c>
      <c r="F34" s="26"/>
      <c r="G34" s="26"/>
      <c r="H34" s="26"/>
      <c r="I34" s="26"/>
      <c r="J34" s="26"/>
      <c r="K34" s="26"/>
      <c r="L34" s="26"/>
      <c r="M34" s="26"/>
      <c r="N34" s="26"/>
    </row>
    <row r="35" spans="1:14" x14ac:dyDescent="0.35">
      <c r="A35" s="26"/>
      <c r="B35" s="53" t="s">
        <v>268</v>
      </c>
      <c r="C35" s="117">
        <f ca="1">MAX(Dashboard!L7:'Dashboard'!L22)/MIN(Dashboard!L7:'Dashboard'!L22)</f>
        <v>202.65201102947793</v>
      </c>
      <c r="D35" s="63" t="s">
        <v>269</v>
      </c>
      <c r="E35" s="63" t="str">
        <f ca="1">IF(C35&gt;10,"🔴 Extreme Dispersion",IF(C35&gt;5,"🟡 Skewed","🟢 Balanced"))</f>
        <v>🔴 Extreme Dispersion</v>
      </c>
      <c r="F35" s="26"/>
      <c r="G35" s="26"/>
      <c r="H35" s="26"/>
      <c r="I35" s="26"/>
      <c r="J35" s="26"/>
      <c r="K35" s="26"/>
      <c r="L35" s="26"/>
      <c r="M35" s="26"/>
      <c r="N35" s="26"/>
    </row>
    <row r="36" spans="1:14" x14ac:dyDescent="0.35">
      <c r="A36" s="26"/>
      <c r="B36" s="26"/>
      <c r="C36" s="26"/>
      <c r="D36" s="26"/>
      <c r="E36" s="26"/>
      <c r="F36" s="26"/>
      <c r="G36" s="26"/>
      <c r="H36" s="26"/>
      <c r="I36" s="26"/>
      <c r="J36" s="26"/>
      <c r="K36" s="26"/>
      <c r="L36" s="26"/>
      <c r="M36" s="26"/>
      <c r="N36" s="26"/>
    </row>
    <row r="37" spans="1:14" ht="15.5" x14ac:dyDescent="0.35">
      <c r="A37" s="26"/>
      <c r="B37" s="57" t="s">
        <v>270</v>
      </c>
      <c r="C37" s="26"/>
      <c r="D37" s="26"/>
      <c r="E37" s="26"/>
      <c r="F37" s="26"/>
      <c r="G37" s="26"/>
      <c r="H37" s="26"/>
      <c r="I37" s="26"/>
      <c r="J37" s="26"/>
      <c r="K37" s="26"/>
      <c r="L37" s="26"/>
      <c r="M37" s="26"/>
      <c r="N37" s="26"/>
    </row>
    <row r="38" spans="1:14" ht="15" thickBot="1" x14ac:dyDescent="0.4">
      <c r="A38" s="26"/>
      <c r="B38" s="58" t="s">
        <v>14</v>
      </c>
      <c r="C38" s="58" t="s">
        <v>178</v>
      </c>
      <c r="D38" s="58" t="s">
        <v>271</v>
      </c>
      <c r="E38" s="58" t="s">
        <v>272</v>
      </c>
      <c r="F38" s="58" t="s">
        <v>50</v>
      </c>
      <c r="G38" s="58" t="s">
        <v>273</v>
      </c>
      <c r="H38" s="58" t="s">
        <v>274</v>
      </c>
      <c r="I38" s="58" t="s">
        <v>275</v>
      </c>
      <c r="J38" s="58" t="s">
        <v>422</v>
      </c>
      <c r="K38" s="26"/>
      <c r="L38" s="26"/>
      <c r="M38" s="26"/>
      <c r="N38" s="26"/>
    </row>
    <row r="39" spans="1:14" x14ac:dyDescent="0.35">
      <c r="A39" s="26"/>
      <c r="B39" s="118" t="str">
        <f ca="1">Dashboard!M7</f>
        <v>AMD</v>
      </c>
      <c r="C39" s="119">
        <f ca="1">Dashboard!L7</f>
        <v>0.17183224596601931</v>
      </c>
      <c r="D39" s="120" cm="1">
        <f t="array" aca="1" ref="D39" ca="1">IFERROR(_FV(Dashboard!B7,"Beta"),1)</f>
        <v>2.4824000000000002</v>
      </c>
      <c r="E39" s="119">
        <f ca="1">Dashboard!Q7</f>
        <v>0.55674188733100904</v>
      </c>
      <c r="F39" s="468">
        <f ca="1">Dashboard!K7</f>
        <v>10.322389701746523</v>
      </c>
      <c r="G39" s="121">
        <f ca="1">C39*D39</f>
        <v>0.42655636738604635</v>
      </c>
      <c r="H39" s="119">
        <f ca="1">$C$6+D39*($C$7-$C$6)</f>
        <v>0.18523800000000001</v>
      </c>
      <c r="I39" s="468">
        <f ca="1">E39-H39</f>
        <v>0.37150388733100903</v>
      </c>
      <c r="J39" s="116" t="str">
        <f t="shared" ref="J39:J54" ca="1" si="0">IF(F39&lt;0,"Loss",IF(F39&gt;1.5,"High",IF(F39&gt;0.5,"Mid","Low")))</f>
        <v>High</v>
      </c>
      <c r="K39" s="26"/>
      <c r="L39" s="26"/>
      <c r="M39" s="26"/>
      <c r="N39" s="26"/>
    </row>
    <row r="40" spans="1:14" x14ac:dyDescent="0.35">
      <c r="A40" s="26"/>
      <c r="B40" s="124" t="str">
        <f ca="1">Dashboard!M8</f>
        <v>GOOG</v>
      </c>
      <c r="C40" s="68">
        <f ca="1">Dashboard!L8</f>
        <v>5.3377178026421099E-2</v>
      </c>
      <c r="D40" s="104" cm="1">
        <f t="array" aca="1" ref="D40" ca="1">IFERROR(_FV(Dashboard!B8,"Beta"),1)</f>
        <v>1.2125999999999999</v>
      </c>
      <c r="E40" s="68">
        <f ca="1">Dashboard!Q8</f>
        <v>0.30156798958778397</v>
      </c>
      <c r="F40" s="453">
        <f ca="1">Dashboard!K8</f>
        <v>2.594222437205481</v>
      </c>
      <c r="G40" s="95">
        <f ca="1">C40*D40</f>
        <v>6.472516607483822E-2</v>
      </c>
      <c r="H40" s="68">
        <f ca="1">$C$6+D40*($C$7-$C$6)</f>
        <v>0.1122245</v>
      </c>
      <c r="I40" s="453">
        <f ca="1">E40-H40</f>
        <v>0.18934348958778396</v>
      </c>
      <c r="J40" s="69" t="str">
        <f t="shared" ca="1" si="0"/>
        <v>High</v>
      </c>
      <c r="K40" s="26"/>
      <c r="L40" s="26"/>
      <c r="M40" s="26"/>
      <c r="N40" s="26"/>
    </row>
    <row r="41" spans="1:14" x14ac:dyDescent="0.35">
      <c r="A41" s="26"/>
      <c r="B41" s="125" t="str">
        <f ca="1">Dashboard!M9</f>
        <v>AMZN</v>
      </c>
      <c r="C41" s="30">
        <f ca="1">Dashboard!L9</f>
        <v>2.4424574613519229E-2</v>
      </c>
      <c r="D41" s="115" cm="1">
        <f t="array" aca="1" ref="D41" ca="1">IFERROR(_FV(Dashboard!B9,"Beta"),1)</f>
        <v>1.4564999999999999</v>
      </c>
      <c r="E41" s="30">
        <f ca="1">Dashboard!Q9</f>
        <v>0.19556204676628111</v>
      </c>
      <c r="F41" s="451">
        <f ca="1">Dashboard!K9</f>
        <v>1.0848749119659624</v>
      </c>
      <c r="G41" s="31">
        <f t="shared" ref="G41:G54" ca="1" si="1">C41*D41</f>
        <v>3.5574392924590754E-2</v>
      </c>
      <c r="H41" s="30">
        <f t="shared" ref="H41:H54" ca="1" si="2">$C$6+D41*($C$7-$C$6)</f>
        <v>0.12624874999999999</v>
      </c>
      <c r="I41" s="457">
        <f t="shared" ref="I41:I54" ca="1" si="3">E41-H41</f>
        <v>6.9313296766281118E-2</v>
      </c>
      <c r="J41" s="64" t="str">
        <f t="shared" ca="1" si="0"/>
        <v>Mid</v>
      </c>
      <c r="K41" s="26"/>
      <c r="L41" s="26"/>
      <c r="M41" s="26"/>
      <c r="N41" s="26"/>
    </row>
    <row r="42" spans="1:14" x14ac:dyDescent="0.35">
      <c r="A42" s="26"/>
      <c r="B42" s="124" t="str">
        <f ca="1">Dashboard!M10</f>
        <v>AAPL</v>
      </c>
      <c r="C42" s="68">
        <f ca="1">Dashboard!L10</f>
        <v>4.7204844530588506E-2</v>
      </c>
      <c r="D42" s="104" cm="1">
        <f t="array" aca="1" ref="D42" ca="1">IFERROR(_FV(Dashboard!B10,"Beta"),1)</f>
        <v>1.0696000000000001</v>
      </c>
      <c r="E42" s="68">
        <f ca="1">Dashboard!Q10</f>
        <v>0.28999215960502633</v>
      </c>
      <c r="F42" s="453">
        <f ca="1">Dashboard!K10</f>
        <v>2.1898434275323488</v>
      </c>
      <c r="G42" s="95">
        <f t="shared" ca="1" si="1"/>
        <v>5.0490301709917473E-2</v>
      </c>
      <c r="H42" s="68">
        <f t="shared" ca="1" si="2"/>
        <v>0.10400200000000001</v>
      </c>
      <c r="I42" s="455">
        <f t="shared" ca="1" si="3"/>
        <v>0.18599015960502632</v>
      </c>
      <c r="J42" s="69" t="str">
        <f t="shared" ca="1" si="0"/>
        <v>High</v>
      </c>
      <c r="K42" s="26"/>
      <c r="L42" s="26"/>
      <c r="M42" s="26"/>
      <c r="N42" s="26"/>
    </row>
    <row r="43" spans="1:14" x14ac:dyDescent="0.35">
      <c r="A43" s="26"/>
      <c r="B43" s="125" t="str">
        <f ca="1">Dashboard!M11</f>
        <v>BLK</v>
      </c>
      <c r="C43" s="30">
        <f ca="1">Dashboard!L11</f>
        <v>2.3367943740822145E-2</v>
      </c>
      <c r="D43" s="115" cm="1">
        <f t="array" aca="1" ref="D43" ca="1">IFERROR(_FV(Dashboard!B11,"Beta"),1)</f>
        <v>1.4134</v>
      </c>
      <c r="E43" s="30">
        <f ca="1">Dashboard!Q11</f>
        <v>0.13977040648460387</v>
      </c>
      <c r="F43" s="451">
        <f ca="1">Dashboard!K11</f>
        <v>0.64601445317717687</v>
      </c>
      <c r="G43" s="31">
        <f t="shared" ca="1" si="1"/>
        <v>3.3028251683278019E-2</v>
      </c>
      <c r="H43" s="30">
        <f t="shared" ca="1" si="2"/>
        <v>0.12377050000000001</v>
      </c>
      <c r="I43" s="457">
        <f t="shared" ca="1" si="3"/>
        <v>1.5999906484603865E-2</v>
      </c>
      <c r="J43" s="64" t="str">
        <f t="shared" ca="1" si="0"/>
        <v>Mid</v>
      </c>
      <c r="K43" s="26"/>
      <c r="L43" s="26"/>
      <c r="M43" s="26"/>
      <c r="N43" s="26"/>
    </row>
    <row r="44" spans="1:14" x14ac:dyDescent="0.35">
      <c r="A44" s="26"/>
      <c r="B44" s="124" t="str">
        <f ca="1">Dashboard!M12</f>
        <v>CVX</v>
      </c>
      <c r="C44" s="68">
        <f ca="1">Dashboard!L12</f>
        <v>1.7723599658547865E-2</v>
      </c>
      <c r="D44" s="104" cm="1">
        <f t="array" aca="1" ref="D44" ca="1">IFERROR(_FV(Dashboard!B12,"Beta"),1)</f>
        <v>0.5212</v>
      </c>
      <c r="E44" s="68">
        <f ca="1">Dashboard!Q12</f>
        <v>7.7858725190162681E-2</v>
      </c>
      <c r="F44" s="453">
        <f ca="1">Dashboard!K12</f>
        <v>0.59446216215240999</v>
      </c>
      <c r="G44" s="95">
        <f t="shared" ca="1" si="1"/>
        <v>9.2375401420351465E-3</v>
      </c>
      <c r="H44" s="68">
        <f t="shared" ca="1" si="2"/>
        <v>7.2469000000000006E-2</v>
      </c>
      <c r="I44" s="455">
        <f t="shared" ca="1" si="3"/>
        <v>5.3897251901626753E-3</v>
      </c>
      <c r="J44" s="69" t="str">
        <f t="shared" ca="1" si="0"/>
        <v>Mid</v>
      </c>
      <c r="K44" s="26"/>
      <c r="L44" s="26"/>
      <c r="M44" s="26"/>
      <c r="N44" s="26"/>
    </row>
    <row r="45" spans="1:14" x14ac:dyDescent="0.35">
      <c r="A45" s="26"/>
      <c r="B45" s="125" t="str">
        <f ca="1">Dashboard!M13</f>
        <v>C</v>
      </c>
      <c r="C45" s="30">
        <f ca="1">Dashboard!L13</f>
        <v>2.7357425477160534E-2</v>
      </c>
      <c r="D45" s="115" cm="1">
        <f t="array" aca="1" ref="D45" ca="1">IFERROR(_FV(Dashboard!B13,"Beta"),1)</f>
        <v>1.1091</v>
      </c>
      <c r="E45" s="30">
        <f ca="1">Dashboard!Q13</f>
        <v>0.17262423634529114</v>
      </c>
      <c r="F45" s="451">
        <f ca="1">Dashboard!K13</f>
        <v>1.4028359885070314</v>
      </c>
      <c r="G45" s="31">
        <f t="shared" ca="1" si="1"/>
        <v>3.0342120596718748E-2</v>
      </c>
      <c r="H45" s="30">
        <f t="shared" ca="1" si="2"/>
        <v>0.10627325000000001</v>
      </c>
      <c r="I45" s="457">
        <f t="shared" ca="1" si="3"/>
        <v>6.635098634529113E-2</v>
      </c>
      <c r="J45" s="64" t="str">
        <f t="shared" ca="1" si="0"/>
        <v>Mid</v>
      </c>
      <c r="K45" s="26"/>
      <c r="L45" s="26"/>
      <c r="M45" s="26"/>
      <c r="N45" s="26"/>
    </row>
    <row r="46" spans="1:14" x14ac:dyDescent="0.35">
      <c r="A46" s="26"/>
      <c r="B46" s="124" t="str">
        <f ca="1">Dashboard!M14</f>
        <v>F</v>
      </c>
      <c r="C46" s="68">
        <f ca="1">Dashboard!L14</f>
        <v>1.0201707361857361E-2</v>
      </c>
      <c r="D46" s="104" cm="1">
        <f t="array" aca="1" ref="D46" ca="1">IFERROR(_FV(Dashboard!B14,"Beta"),1)</f>
        <v>1.9253</v>
      </c>
      <c r="E46" s="68">
        <f ca="1">Dashboard!Q14</f>
        <v>3.2022061944007862E-2</v>
      </c>
      <c r="F46" s="453">
        <f ca="1">Dashboard!K14</f>
        <v>0.18513049791802064</v>
      </c>
      <c r="G46" s="95">
        <f t="shared" ca="1" si="1"/>
        <v>1.9641347183783978E-2</v>
      </c>
      <c r="H46" s="68">
        <f t="shared" ca="1" si="2"/>
        <v>0.15320475</v>
      </c>
      <c r="I46" s="455">
        <f t="shared" ca="1" si="3"/>
        <v>-0.12118268805599214</v>
      </c>
      <c r="J46" s="69" t="str">
        <f t="shared" ca="1" si="0"/>
        <v>Low</v>
      </c>
      <c r="K46" s="26"/>
      <c r="L46" s="26"/>
      <c r="M46" s="26"/>
      <c r="N46" s="26"/>
    </row>
    <row r="47" spans="1:14" x14ac:dyDescent="0.35">
      <c r="A47" s="26"/>
      <c r="B47" s="125" t="str">
        <f ca="1">Dashboard!M15</f>
        <v>HMC</v>
      </c>
      <c r="C47" s="30">
        <f ca="1">Dashboard!L15</f>
        <v>7.5684733351763459E-3</v>
      </c>
      <c r="D47" s="115" cm="1">
        <f t="array" aca="1" ref="D47" ca="1">IFERROR(_FV(Dashboard!B15,"Beta"),1)</f>
        <v>0.48799999999999999</v>
      </c>
      <c r="E47" s="30">
        <f ca="1">Dashboard!Q15</f>
        <v>7.2583466768264783E-3</v>
      </c>
      <c r="F47" s="457">
        <f ca="1">Dashboard!K15</f>
        <v>0.15869699264785217</v>
      </c>
      <c r="G47" s="31">
        <f t="shared" ca="1" si="1"/>
        <v>3.6934149875660566E-3</v>
      </c>
      <c r="H47" s="30">
        <f t="shared" ca="1" si="2"/>
        <v>7.0560000000000012E-2</v>
      </c>
      <c r="I47" s="457">
        <f t="shared" ca="1" si="3"/>
        <v>-6.3301653323173529E-2</v>
      </c>
      <c r="J47" s="64" t="str">
        <f t="shared" ca="1" si="0"/>
        <v>Low</v>
      </c>
      <c r="K47" s="26"/>
      <c r="L47" s="26"/>
      <c r="M47" s="26"/>
      <c r="N47" s="26"/>
    </row>
    <row r="48" spans="1:14" x14ac:dyDescent="0.35">
      <c r="A48" s="26"/>
      <c r="B48" s="124" t="str">
        <f ca="1">Dashboard!M16</f>
        <v>JPM</v>
      </c>
      <c r="C48" s="68">
        <f ca="1">Dashboard!L16</f>
        <v>3.7459956138407996E-2</v>
      </c>
      <c r="D48" s="104" cm="1">
        <f t="array" aca="1" ref="D48" ca="1">IFERROR(_FV(Dashboard!B16,"Beta"),1)</f>
        <v>1.0116000000000001</v>
      </c>
      <c r="E48" s="68">
        <f ca="1">Dashboard!Q16</f>
        <v>0.20443895459175115</v>
      </c>
      <c r="F48" s="453">
        <f ca="1">Dashboard!K16</f>
        <v>1.3670008016958448</v>
      </c>
      <c r="G48" s="95">
        <f t="shared" ca="1" si="1"/>
        <v>3.789449162961353E-2</v>
      </c>
      <c r="H48" s="68">
        <f t="shared" ca="1" si="2"/>
        <v>0.10066700000000001</v>
      </c>
      <c r="I48" s="455">
        <f t="shared" ca="1" si="3"/>
        <v>0.10377195459175115</v>
      </c>
      <c r="J48" s="69" t="str">
        <f t="shared" ca="1" si="0"/>
        <v>Mid</v>
      </c>
      <c r="K48" s="26"/>
      <c r="L48" s="26"/>
      <c r="M48" s="26"/>
      <c r="N48" s="26"/>
    </row>
    <row r="49" spans="1:14" x14ac:dyDescent="0.35">
      <c r="A49" s="26"/>
      <c r="B49" s="125" t="str">
        <f ca="1">Dashboard!M17</f>
        <v>META</v>
      </c>
      <c r="C49" s="30">
        <f ca="1">Dashboard!L17</f>
        <v>5.3400202143877508E-2</v>
      </c>
      <c r="D49" s="115" cm="1">
        <f t="array" aca="1" ref="D49" ca="1">IFERROR(_FV(Dashboard!B17,"Beta"),1)</f>
        <v>1.1961999999999999</v>
      </c>
      <c r="E49" s="30">
        <f ca="1">Dashboard!Q17</f>
        <v>0.2907351553440094</v>
      </c>
      <c r="F49" s="451">
        <f ca="1">Dashboard!K17</f>
        <v>2.1443626423053246</v>
      </c>
      <c r="G49" s="31">
        <f t="shared" ca="1" si="1"/>
        <v>6.3877321804506268E-2</v>
      </c>
      <c r="H49" s="30">
        <f t="shared" ca="1" si="2"/>
        <v>0.11128150000000001</v>
      </c>
      <c r="I49" s="457">
        <f t="shared" ca="1" si="3"/>
        <v>0.17945365534400939</v>
      </c>
      <c r="J49" s="64" t="str">
        <f t="shared" ca="1" si="0"/>
        <v>High</v>
      </c>
      <c r="K49" s="26"/>
      <c r="L49" s="26"/>
      <c r="M49" s="26"/>
      <c r="N49" s="26"/>
    </row>
    <row r="50" spans="1:14" x14ac:dyDescent="0.35">
      <c r="A50" s="26"/>
      <c r="B50" s="124" t="str">
        <f ca="1">Dashboard!M18</f>
        <v>NVDA</v>
      </c>
      <c r="C50" s="68">
        <f ca="1">Dashboard!L18</f>
        <v>0.45087608524794898</v>
      </c>
      <c r="D50" s="104" cm="1">
        <f t="array" aca="1" ref="D50" ca="1">IFERROR(_FV(Dashboard!B18,"Beta"),1)</f>
        <v>2.2191000000000001</v>
      </c>
      <c r="E50" s="68">
        <f ca="1">Dashboard!Q18</f>
        <v>0.74484885931015032</v>
      </c>
      <c r="F50" s="453">
        <f ca="1">Dashboard!K18</f>
        <v>18.77793424350422</v>
      </c>
      <c r="G50" s="95">
        <f t="shared" ca="1" si="1"/>
        <v>1.0005391207737235</v>
      </c>
      <c r="H50" s="68">
        <f t="shared" ca="1" si="2"/>
        <v>0.17009825000000001</v>
      </c>
      <c r="I50" s="453">
        <f t="shared" ca="1" si="3"/>
        <v>0.57475060931015032</v>
      </c>
      <c r="J50" s="69" t="str">
        <f t="shared" ca="1" si="0"/>
        <v>High</v>
      </c>
      <c r="K50" s="26"/>
      <c r="L50" s="26"/>
      <c r="M50" s="26"/>
      <c r="N50" s="26"/>
    </row>
    <row r="51" spans="1:14" x14ac:dyDescent="0.35">
      <c r="A51" s="26"/>
      <c r="B51" s="125" t="str">
        <f ca="1">Dashboard!M19</f>
        <v>0R2N</v>
      </c>
      <c r="C51" s="30">
        <f ca="1">Dashboard!L19</f>
        <v>2.0764038042968173E-2</v>
      </c>
      <c r="D51" s="115" cm="1">
        <f t="array" aca="1" ref="D51" ca="1">IFERROR(_FV(Dashboard!B19,"Beta"),1)</f>
        <v>0.2964</v>
      </c>
      <c r="E51" s="30">
        <f ca="1">Dashboard!Q19</f>
        <v>0.13563055396080018</v>
      </c>
      <c r="F51" s="451">
        <f ca="1">Dashboard!K19</f>
        <v>1.0248368847996976</v>
      </c>
      <c r="G51" s="31">
        <f t="shared" ca="1" si="1"/>
        <v>6.1544608759357662E-3</v>
      </c>
      <c r="H51" s="30">
        <f t="shared" ca="1" si="2"/>
        <v>5.9542999999999999E-2</v>
      </c>
      <c r="I51" s="451">
        <f t="shared" ca="1" si="3"/>
        <v>7.6087553960800178E-2</v>
      </c>
      <c r="J51" s="64" t="str">
        <f t="shared" ca="1" si="0"/>
        <v>Mid</v>
      </c>
      <c r="K51" s="26"/>
      <c r="L51" s="26"/>
      <c r="M51" s="26"/>
      <c r="N51" s="26"/>
    </row>
    <row r="52" spans="1:14" x14ac:dyDescent="0.35">
      <c r="A52" s="26"/>
      <c r="B52" s="124" t="str">
        <f ca="1">Dashboard!M20</f>
        <v>BA</v>
      </c>
      <c r="C52" s="68">
        <f ca="1">Dashboard!L20</f>
        <v>2.2248784157506544E-3</v>
      </c>
      <c r="D52" s="104" cm="1">
        <f t="array" aca="1" ref="D52" ca="1">IFERROR(_FV(Dashboard!B20,"Beta"),1)</f>
        <v>1.2471000000000001</v>
      </c>
      <c r="E52" s="68">
        <f ca="1">Dashboard!Q20</f>
        <v>-0.13631248408928515</v>
      </c>
      <c r="F52" s="455">
        <f ca="1">Dashboard!K20</f>
        <v>-0.2614727584801092</v>
      </c>
      <c r="G52" s="95">
        <f t="shared" ca="1" si="1"/>
        <v>2.7746458722826411E-3</v>
      </c>
      <c r="H52" s="68">
        <f t="shared" ca="1" si="2"/>
        <v>0.11420825000000001</v>
      </c>
      <c r="I52" s="455">
        <f t="shared" ca="1" si="3"/>
        <v>-0.25052073408928516</v>
      </c>
      <c r="J52" s="69" t="str">
        <f t="shared" ca="1" si="0"/>
        <v>Loss</v>
      </c>
      <c r="K52" s="26"/>
      <c r="L52" s="26"/>
      <c r="M52" s="26"/>
      <c r="N52" s="26"/>
    </row>
    <row r="53" spans="1:14" x14ac:dyDescent="0.35">
      <c r="A53" s="26"/>
      <c r="B53" s="125" t="str">
        <f ca="1">Dashboard!M21</f>
        <v>TM</v>
      </c>
      <c r="C53" s="30">
        <f ca="1">Dashboard!L21</f>
        <v>1.0059421363272472E-2</v>
      </c>
      <c r="D53" s="115" cm="1">
        <f t="array" aca="1" ref="D53" ca="1">IFERROR(_FV(Dashboard!B21,"Beta"),1)</f>
        <v>0.62129999999999996</v>
      </c>
      <c r="E53" s="30">
        <f ca="1">Dashboard!Q21</f>
        <v>5.1768842339515689E-2</v>
      </c>
      <c r="F53" s="451">
        <f ca="1">Dashboard!K21</f>
        <v>0.22035737480809336</v>
      </c>
      <c r="G53" s="31">
        <f t="shared" ca="1" si="1"/>
        <v>6.249918493001186E-3</v>
      </c>
      <c r="H53" s="30">
        <f t="shared" ca="1" si="2"/>
        <v>7.822475000000001E-2</v>
      </c>
      <c r="I53" s="457">
        <f t="shared" ca="1" si="3"/>
        <v>-2.6455907660484321E-2</v>
      </c>
      <c r="J53" s="64" t="str">
        <f t="shared" ca="1" si="0"/>
        <v>Low</v>
      </c>
      <c r="K53" s="26"/>
      <c r="L53" s="26"/>
      <c r="M53" s="26"/>
      <c r="N53" s="26"/>
    </row>
    <row r="54" spans="1:14" x14ac:dyDescent="0.35">
      <c r="A54" s="26"/>
      <c r="B54" s="122" t="str">
        <f ca="1">Dashboard!M22</f>
        <v>WMT</v>
      </c>
      <c r="C54" s="65">
        <f ca="1">Dashboard!L22</f>
        <v>4.2157425937661815E-2</v>
      </c>
      <c r="D54" s="103" cm="1">
        <f t="array" aca="1" ref="D54" ca="1">IFERROR(_FV(Dashboard!B22,"Beta"),1)</f>
        <v>0.57540000000000002</v>
      </c>
      <c r="E54" s="65">
        <f ca="1">Dashboard!Q22</f>
        <v>0.21649660468101503</v>
      </c>
      <c r="F54" s="469">
        <f ca="1">Dashboard!K22</f>
        <v>1.3986435313366852</v>
      </c>
      <c r="G54" s="123">
        <f t="shared" ca="1" si="1"/>
        <v>2.4257382884530609E-2</v>
      </c>
      <c r="H54" s="65">
        <f t="shared" ca="1" si="2"/>
        <v>7.55855E-2</v>
      </c>
      <c r="I54" s="469">
        <f t="shared" ca="1" si="3"/>
        <v>0.14091110468101503</v>
      </c>
      <c r="J54" s="66" t="str">
        <f t="shared" ca="1" si="0"/>
        <v>Mid</v>
      </c>
      <c r="K54" s="26"/>
      <c r="L54" s="26"/>
      <c r="M54" s="26"/>
      <c r="N54" s="26"/>
    </row>
    <row r="55" spans="1:14" x14ac:dyDescent="0.35">
      <c r="A55" s="26"/>
      <c r="B55" s="126" t="s">
        <v>276</v>
      </c>
      <c r="C55" s="127">
        <f ca="1">SUM(C39:C54)</f>
        <v>1.0000000000000002</v>
      </c>
      <c r="D55" s="128">
        <f ca="1">C9</f>
        <v>1.8150362450223683</v>
      </c>
      <c r="E55" s="127">
        <f ca="1">Analytics!E6</f>
        <v>0.32227900624275219</v>
      </c>
      <c r="F55" s="470">
        <f ca="1">Analytics!D6</f>
        <v>2.2916989694747207</v>
      </c>
      <c r="G55" s="129">
        <f ca="1">SUM(G39:G54)</f>
        <v>1.8150362450223683</v>
      </c>
      <c r="H55" s="127">
        <f ca="1">C10</f>
        <v>0.14686458408878619</v>
      </c>
      <c r="I55" s="471">
        <f ca="1">C11</f>
        <v>0.21042428796880044</v>
      </c>
      <c r="J55" s="126" t="str">
        <f ca="1">COUNTIF(J39:J54,"High")&amp;" High / "&amp;COUNTIF(J39:J54,"Mid")&amp;" Mid / "&amp;COUNTIF(J39:J54,"Low")&amp;" Low / "&amp;COUNTIF(J39:J54,"Loss")&amp;" Loss"</f>
        <v>5 High / 7 Mid / 3 Low / 1 Loss</v>
      </c>
      <c r="K55" s="26"/>
      <c r="L55" s="26"/>
      <c r="M55" s="26"/>
      <c r="N55" s="26"/>
    </row>
    <row r="56" spans="1:14" x14ac:dyDescent="0.35">
      <c r="A56" s="26"/>
      <c r="B56" s="26"/>
      <c r="C56" s="26"/>
      <c r="D56" s="26"/>
      <c r="E56" s="26"/>
      <c r="F56" s="26"/>
      <c r="G56" s="26"/>
      <c r="H56" s="26"/>
      <c r="I56" s="26"/>
      <c r="J56" s="26"/>
      <c r="K56" s="26"/>
      <c r="L56" s="26"/>
      <c r="M56" s="26"/>
      <c r="N56" s="26"/>
    </row>
    <row r="57" spans="1:14" ht="15.5" x14ac:dyDescent="0.35">
      <c r="A57" s="26"/>
      <c r="B57" s="57" t="s">
        <v>423</v>
      </c>
      <c r="C57" s="26"/>
      <c r="D57" s="26"/>
      <c r="E57" s="26"/>
      <c r="F57" s="26"/>
      <c r="G57" s="26"/>
      <c r="H57" s="26"/>
      <c r="I57" s="26"/>
      <c r="J57" s="26"/>
      <c r="K57" s="26"/>
      <c r="L57" s="26"/>
      <c r="M57" s="26"/>
      <c r="N57" s="26"/>
    </row>
    <row r="58" spans="1:14" ht="15" thickBot="1" x14ac:dyDescent="0.4">
      <c r="A58" s="26"/>
      <c r="B58" s="58" t="s">
        <v>277</v>
      </c>
      <c r="C58" s="58" t="s">
        <v>278</v>
      </c>
      <c r="D58" s="58" t="s">
        <v>279</v>
      </c>
      <c r="E58" s="58" t="s">
        <v>182</v>
      </c>
      <c r="F58" s="26"/>
      <c r="G58" s="26"/>
      <c r="H58" s="26"/>
      <c r="I58" s="26"/>
      <c r="J58" s="26"/>
      <c r="K58" s="26"/>
      <c r="L58" s="26"/>
      <c r="M58" s="26"/>
      <c r="N58" s="26"/>
    </row>
    <row r="59" spans="1:14" x14ac:dyDescent="0.35">
      <c r="A59" s="26"/>
      <c r="B59" s="101" t="s">
        <v>424</v>
      </c>
      <c r="C59" s="116" t="str">
        <f ca="1">J55</f>
        <v>5 High / 7 Mid / 3 Low / 1 Loss</v>
      </c>
      <c r="D59" s="116" t="s">
        <v>425</v>
      </c>
      <c r="E59" s="116" t="str">
        <f ca="1">IF(COUNTIF(J39:J54,"Loss")&gt;3,"🟡 Several losing holdings","🟢 Mostly positive")</f>
        <v>🟢 Mostly positive</v>
      </c>
      <c r="F59" s="26"/>
      <c r="G59" s="26"/>
      <c r="H59" s="26"/>
      <c r="I59" s="26"/>
      <c r="J59" s="26"/>
      <c r="K59" s="26"/>
      <c r="L59" s="26"/>
      <c r="M59" s="26"/>
      <c r="N59" s="26"/>
    </row>
    <row r="60" spans="1:14" x14ac:dyDescent="0.35">
      <c r="A60" s="26"/>
      <c r="B60" s="56" t="s">
        <v>426</v>
      </c>
      <c r="C60" s="104">
        <f ca="1">C9</f>
        <v>1.8150362450223683</v>
      </c>
      <c r="D60" s="69" t="s">
        <v>280</v>
      </c>
      <c r="E60" s="69" t="str">
        <f ca="1">IF(C9&gt;1.3,"🟡 High market sensitivity",IF(C9&gt;0.7,"🟢 Market-like","🔵 Defensive"))</f>
        <v>🟡 High market sensitivity</v>
      </c>
      <c r="F60" s="26"/>
      <c r="G60" s="26"/>
      <c r="H60" s="26"/>
      <c r="I60" s="26"/>
      <c r="J60" s="26"/>
      <c r="K60" s="26"/>
      <c r="L60" s="26"/>
      <c r="M60" s="26"/>
      <c r="N60" s="26"/>
    </row>
    <row r="61" spans="1:14" x14ac:dyDescent="0.35">
      <c r="A61" s="26"/>
      <c r="B61" s="54" t="s">
        <v>281</v>
      </c>
      <c r="C61" s="31" cm="1">
        <f t="array" aca="1" ref="C61" ca="1">SUMPRODUCT((Dashboard!D30:'Dashboard'!D39)^2)</f>
        <v>0.40936259484504506</v>
      </c>
      <c r="D61" s="64" t="s">
        <v>282</v>
      </c>
      <c r="E61" s="64" t="str">
        <f ca="1">IF(C61&gt;0.25,"🔴 Concentrated",IF(C61&gt;0.15,"🟡 Moderate","🟢 Diversified"))</f>
        <v>🔴 Concentrated</v>
      </c>
      <c r="F61" s="26"/>
      <c r="G61" s="26"/>
      <c r="H61" s="26"/>
      <c r="I61" s="26"/>
      <c r="J61" s="26"/>
      <c r="K61" s="26"/>
      <c r="L61" s="26"/>
      <c r="M61" s="26"/>
      <c r="N61" s="26"/>
    </row>
    <row r="62" spans="1:14" x14ac:dyDescent="0.35">
      <c r="A62" s="26"/>
      <c r="B62" s="55" t="s">
        <v>283</v>
      </c>
      <c r="C62" s="65" cm="1">
        <f t="array" aca="1" ref="C62" ca="1">0.5*SUMPRODUCT(ABS(Dashboard!L7:'Dashboard'!L22-1/16))</f>
        <v>0.49770833121396829</v>
      </c>
      <c r="D62" s="66" t="s">
        <v>284</v>
      </c>
      <c r="E62" s="66" t="str">
        <f ca="1">IF(C62&gt;0.6,"✅ Stock Picker",IF(C62&gt;0.3,"🟢 Active","🟡 Closet Indexer"))</f>
        <v>🟢 Active</v>
      </c>
      <c r="F62" s="26"/>
      <c r="G62" s="26"/>
      <c r="H62" s="26"/>
      <c r="I62" s="26"/>
      <c r="J62" s="26"/>
      <c r="K62" s="26"/>
      <c r="L62" s="26"/>
      <c r="M62" s="26"/>
      <c r="N62" s="26"/>
    </row>
    <row r="63" spans="1:14" x14ac:dyDescent="0.35">
      <c r="A63" s="26"/>
      <c r="B63" s="26"/>
      <c r="C63" s="26"/>
      <c r="D63" s="26"/>
      <c r="E63" s="26"/>
      <c r="F63" s="26"/>
      <c r="G63" s="26"/>
      <c r="H63" s="26"/>
      <c r="I63" s="26"/>
      <c r="J63" s="26"/>
      <c r="K63" s="26"/>
      <c r="L63" s="26"/>
      <c r="M63" s="26"/>
      <c r="N63" s="26"/>
    </row>
    <row r="64" spans="1:14" ht="15.5" x14ac:dyDescent="0.35">
      <c r="A64" s="26"/>
      <c r="B64" s="57" t="s">
        <v>285</v>
      </c>
      <c r="C64" s="26"/>
      <c r="D64" s="26"/>
      <c r="E64" s="26"/>
      <c r="F64" s="26"/>
      <c r="G64" s="26"/>
      <c r="H64" s="26"/>
      <c r="I64" s="26"/>
      <c r="J64" s="26"/>
      <c r="K64" s="26"/>
      <c r="L64" s="26"/>
      <c r="M64" s="26"/>
      <c r="N64" s="26"/>
    </row>
    <row r="65" spans="1:14" ht="15" thickBot="1" x14ac:dyDescent="0.4">
      <c r="A65" s="26"/>
      <c r="B65" s="58" t="s">
        <v>58</v>
      </c>
      <c r="C65" s="58" t="s">
        <v>59</v>
      </c>
      <c r="D65" s="58" t="s">
        <v>286</v>
      </c>
      <c r="E65" s="58" t="s">
        <v>182</v>
      </c>
      <c r="F65" s="26"/>
      <c r="G65" s="26"/>
      <c r="H65" s="26"/>
      <c r="I65" s="26"/>
      <c r="J65" s="26"/>
      <c r="K65" s="26"/>
      <c r="L65" s="26"/>
      <c r="M65" s="26"/>
      <c r="N65" s="26"/>
    </row>
    <row r="66" spans="1:14" x14ac:dyDescent="0.35">
      <c r="A66" s="26"/>
      <c r="B66" s="52" t="s">
        <v>287</v>
      </c>
      <c r="C66" s="60">
        <f ca="1">C6+(C7-C6)/0.155*C25</f>
        <v>0.13882910249917685</v>
      </c>
      <c r="D66" s="61" t="s">
        <v>288</v>
      </c>
      <c r="E66" s="61" t="str">
        <f ca="1">IF('Portfolio Series'!B13&gt;C66,"✅ Above CML","🔴 Below CML")</f>
        <v>✅ Above CML</v>
      </c>
      <c r="F66" s="26"/>
      <c r="G66" s="26"/>
      <c r="H66" s="26"/>
      <c r="I66" s="26"/>
      <c r="J66" s="26"/>
      <c r="K66" s="26"/>
      <c r="L66" s="26"/>
      <c r="M66" s="26"/>
      <c r="N66" s="26"/>
    </row>
    <row r="67" spans="1:14" x14ac:dyDescent="0.35">
      <c r="A67" s="26"/>
      <c r="B67" s="54" t="s">
        <v>289</v>
      </c>
      <c r="C67" s="106">
        <f ca="1">'Portfolio Series'!B13-C66</f>
        <v>0.21845976955840979</v>
      </c>
      <c r="D67" s="64" t="s">
        <v>290</v>
      </c>
      <c r="E67" s="64" t="str">
        <f ca="1">IF(C67&gt;0,"✅ Efficient Allocation","🔴 Suboptimal")</f>
        <v>✅ Efficient Allocation</v>
      </c>
      <c r="F67" s="26"/>
      <c r="G67" s="26"/>
      <c r="H67" s="26"/>
      <c r="I67" s="26"/>
      <c r="J67" s="26"/>
      <c r="K67" s="26"/>
      <c r="L67" s="26"/>
      <c r="M67" s="26"/>
      <c r="N67" s="26"/>
    </row>
    <row r="68" spans="1:14" x14ac:dyDescent="0.35">
      <c r="A68" s="26"/>
      <c r="B68" s="55" t="s">
        <v>291</v>
      </c>
      <c r="C68" s="109">
        <f ca="1">C18*0.155+C6-C7</f>
        <v>0.13040126424634657</v>
      </c>
      <c r="D68" s="66" t="s">
        <v>292</v>
      </c>
      <c r="E68" s="66" t="str">
        <f ca="1">IF(C68&gt;0,"✅ Risk-Adj. Outperformance","🔴 Underperformance")</f>
        <v>✅ Risk-Adj. Outperformance</v>
      </c>
      <c r="F68" s="26"/>
      <c r="G68" s="26"/>
      <c r="H68" s="26"/>
      <c r="I68" s="26"/>
      <c r="J68" s="26"/>
      <c r="K68" s="26"/>
      <c r="L68" s="26"/>
      <c r="M68" s="26"/>
      <c r="N68" s="26"/>
    </row>
    <row r="69" spans="1:14" x14ac:dyDescent="0.35">
      <c r="A69" s="26"/>
      <c r="B69" s="26"/>
      <c r="C69" s="26"/>
      <c r="D69" s="26"/>
      <c r="E69" s="26"/>
      <c r="F69" s="26"/>
      <c r="G69" s="26"/>
      <c r="H69" s="26"/>
      <c r="I69" s="26"/>
      <c r="J69" s="26"/>
      <c r="K69" s="26"/>
      <c r="L69" s="26"/>
      <c r="M69" s="26"/>
      <c r="N69" s="26"/>
    </row>
    <row r="70" spans="1:14" x14ac:dyDescent="0.35">
      <c r="A70" s="26"/>
      <c r="B70" s="26"/>
      <c r="C70" s="26"/>
      <c r="D70" s="26"/>
      <c r="E70" s="26"/>
      <c r="F70" s="26"/>
      <c r="G70" s="26"/>
      <c r="H70" s="26"/>
      <c r="I70" s="26"/>
      <c r="J70" s="26"/>
      <c r="K70" s="26"/>
      <c r="L70" s="26"/>
      <c r="M70" s="26"/>
      <c r="N70" s="26"/>
    </row>
    <row r="71" spans="1:14" x14ac:dyDescent="0.35">
      <c r="A71" s="26"/>
      <c r="B71" s="26"/>
      <c r="C71" s="26"/>
      <c r="D71" s="26"/>
      <c r="E71" s="26"/>
      <c r="F71" s="26"/>
      <c r="G71" s="26"/>
      <c r="H71" s="26"/>
      <c r="I71" s="26"/>
      <c r="J71" s="26"/>
      <c r="K71" s="26"/>
      <c r="L71" s="26"/>
      <c r="M71" s="26"/>
      <c r="N71" s="26"/>
    </row>
    <row r="72" spans="1:14" x14ac:dyDescent="0.35">
      <c r="A72" s="26"/>
      <c r="B72" s="26"/>
      <c r="C72" s="26"/>
      <c r="D72" s="26"/>
      <c r="E72" s="26"/>
      <c r="F72" s="26"/>
      <c r="G72" s="26"/>
      <c r="H72" s="26"/>
      <c r="I72" s="26"/>
      <c r="J72" s="26"/>
      <c r="K72" s="26"/>
      <c r="L72" s="26"/>
      <c r="M72" s="26"/>
      <c r="N72" s="26"/>
    </row>
    <row r="73" spans="1:14" x14ac:dyDescent="0.35">
      <c r="A73" s="26"/>
      <c r="B73" s="26"/>
      <c r="C73" s="26"/>
      <c r="D73" s="26"/>
      <c r="E73" s="26"/>
      <c r="F73" s="26"/>
      <c r="G73" s="26"/>
      <c r="H73" s="26"/>
      <c r="I73" s="26"/>
      <c r="J73" s="26"/>
      <c r="K73" s="26"/>
      <c r="L73" s="26"/>
      <c r="M73" s="26"/>
      <c r="N73" s="26"/>
    </row>
    <row r="74" spans="1:14" x14ac:dyDescent="0.35">
      <c r="A74" s="26"/>
      <c r="B74" s="26"/>
      <c r="C74" s="26"/>
      <c r="D74" s="26"/>
      <c r="E74" s="26"/>
      <c r="F74" s="26"/>
      <c r="G74" s="26"/>
      <c r="H74" s="26"/>
      <c r="I74" s="26"/>
      <c r="J74" s="26"/>
      <c r="K74" s="26"/>
      <c r="L74" s="26"/>
      <c r="M74" s="26"/>
      <c r="N74" s="26"/>
    </row>
    <row r="75" spans="1:14" x14ac:dyDescent="0.35">
      <c r="A75" s="26"/>
      <c r="B75" s="26"/>
      <c r="C75" s="26"/>
      <c r="D75" s="26"/>
      <c r="E75" s="26"/>
      <c r="F75" s="26"/>
      <c r="G75" s="26"/>
      <c r="H75" s="26"/>
      <c r="I75" s="26"/>
      <c r="J75" s="26"/>
      <c r="K75" s="26"/>
      <c r="L75" s="26"/>
      <c r="M75" s="26"/>
      <c r="N75" s="26"/>
    </row>
    <row r="76" spans="1:14" x14ac:dyDescent="0.35">
      <c r="A76" s="26"/>
      <c r="B76" s="26"/>
      <c r="C76" s="26"/>
      <c r="D76" s="26"/>
      <c r="E76" s="26"/>
      <c r="F76" s="26"/>
      <c r="G76" s="26"/>
      <c r="H76" s="26"/>
      <c r="I76" s="26"/>
      <c r="J76" s="26"/>
      <c r="K76" s="26"/>
      <c r="L76" s="26"/>
      <c r="M76" s="26"/>
      <c r="N76" s="26"/>
    </row>
    <row r="77" spans="1:14" x14ac:dyDescent="0.35">
      <c r="A77" s="26"/>
      <c r="B77" s="26"/>
      <c r="C77" s="26"/>
      <c r="D77" s="26"/>
      <c r="E77" s="26"/>
      <c r="F77" s="26"/>
      <c r="G77" s="26"/>
      <c r="H77" s="26"/>
      <c r="I77" s="26"/>
      <c r="J77" s="26"/>
      <c r="K77" s="26"/>
      <c r="L77" s="26"/>
      <c r="M77" s="26"/>
      <c r="N77" s="26"/>
    </row>
    <row r="78" spans="1:14" x14ac:dyDescent="0.35">
      <c r="A78" s="26"/>
      <c r="B78" s="26"/>
      <c r="C78" s="26"/>
      <c r="D78" s="26"/>
      <c r="E78" s="26"/>
      <c r="F78" s="26"/>
      <c r="G78" s="26"/>
      <c r="H78" s="26"/>
      <c r="I78" s="26"/>
      <c r="J78" s="26"/>
      <c r="K78" s="26"/>
      <c r="L78" s="26"/>
      <c r="M78" s="26"/>
      <c r="N78" s="26"/>
    </row>
    <row r="79" spans="1:14" x14ac:dyDescent="0.35">
      <c r="A79" s="26"/>
      <c r="B79" s="26"/>
      <c r="C79" s="26"/>
      <c r="D79" s="26"/>
      <c r="E79" s="26"/>
      <c r="F79" s="26"/>
      <c r="G79" s="26"/>
      <c r="H79" s="26"/>
      <c r="I79" s="26"/>
      <c r="J79" s="26"/>
      <c r="K79" s="26"/>
      <c r="L79" s="26"/>
      <c r="M79" s="26"/>
      <c r="N79" s="26"/>
    </row>
    <row r="80" spans="1:14" x14ac:dyDescent="0.35">
      <c r="A80" s="26"/>
      <c r="B80" s="26"/>
      <c r="C80" s="26"/>
      <c r="D80" s="26"/>
      <c r="E80" s="26"/>
      <c r="F80" s="26"/>
      <c r="G80" s="26"/>
      <c r="H80" s="26"/>
      <c r="I80" s="26"/>
      <c r="J80" s="26"/>
      <c r="K80" s="26"/>
      <c r="L80" s="26"/>
      <c r="M80" s="26"/>
      <c r="N80" s="26"/>
    </row>
  </sheetData>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52D240-CCE5-4D70-A4F9-80D2AE88485F}">
  <sheetPr>
    <tabColor rgb="FFD4AF37"/>
  </sheetPr>
  <dimension ref="A1:O13"/>
  <sheetViews>
    <sheetView showGridLines="0" workbookViewId="0">
      <selection activeCell="F27" sqref="F27"/>
    </sheetView>
  </sheetViews>
  <sheetFormatPr defaultRowHeight="14.5" x14ac:dyDescent="0.35"/>
  <cols>
    <col min="1" max="1" width="45.1796875" bestFit="1" customWidth="1"/>
    <col min="2" max="2" width="15.7265625" bestFit="1" customWidth="1"/>
    <col min="3" max="3" width="14.6328125" bestFit="1" customWidth="1"/>
    <col min="4" max="4" width="13.90625" bestFit="1" customWidth="1"/>
    <col min="5" max="5" width="7.1796875" bestFit="1" customWidth="1"/>
    <col min="6" max="6" width="6.08984375" bestFit="1" customWidth="1"/>
    <col min="7" max="7" width="10" bestFit="1" customWidth="1"/>
    <col min="8" max="8" width="10.1796875" bestFit="1" customWidth="1"/>
    <col min="9" max="9" width="9.26953125" bestFit="1" customWidth="1"/>
    <col min="10" max="10" width="21.08984375" bestFit="1" customWidth="1"/>
    <col min="11" max="11" width="39.08984375" bestFit="1" customWidth="1"/>
    <col min="13" max="14" width="47.26953125" bestFit="1" customWidth="1"/>
    <col min="15" max="15" width="13.54296875" bestFit="1" customWidth="1"/>
    <col min="16" max="16" width="14.6328125" bestFit="1" customWidth="1"/>
  </cols>
  <sheetData>
    <row r="1" spans="1:15" ht="15" thickBot="1" x14ac:dyDescent="0.4">
      <c r="A1" s="135" t="s">
        <v>8</v>
      </c>
      <c r="B1" s="136" t="s">
        <v>25</v>
      </c>
      <c r="C1" s="136" t="s">
        <v>26</v>
      </c>
      <c r="D1" s="136" t="s">
        <v>27</v>
      </c>
      <c r="E1" s="136" t="s">
        <v>28</v>
      </c>
      <c r="F1" s="136" t="s">
        <v>30</v>
      </c>
      <c r="G1" s="136" t="s">
        <v>31</v>
      </c>
      <c r="H1" s="136" t="s">
        <v>32</v>
      </c>
      <c r="I1" s="136" t="s">
        <v>33</v>
      </c>
      <c r="J1" s="136" t="s">
        <v>34</v>
      </c>
      <c r="K1" s="136" t="s">
        <v>1</v>
      </c>
      <c r="L1" s="136" t="s">
        <v>35</v>
      </c>
      <c r="M1" s="26"/>
      <c r="N1" s="26" t="s">
        <v>8</v>
      </c>
      <c r="O1" s="26" t="s">
        <v>38</v>
      </c>
    </row>
    <row r="2" spans="1:15" x14ac:dyDescent="0.35">
      <c r="A2" s="137" t="e" vm="1">
        <v>#VALUE!</v>
      </c>
      <c r="B2" s="52" t="str" cm="1">
        <f t="array" aca="1" ref="B2" ca="1">_FV(Table2[[#This Row],[Stock]],"Ticker symbol",TRUE)</f>
        <v>AMD</v>
      </c>
      <c r="C2" s="460" cm="1">
        <f t="array" aca="1" ref="C2" ca="1">_FV(Table2[[#This Row],[Stock]],"52 week high",TRUE)</f>
        <v>639</v>
      </c>
      <c r="D2" s="460" cm="1">
        <f t="array" aca="1" ref="D2" ca="1">_FV(Table2[[#This Row],[Stock]],"52 week low",TRUE)</f>
        <v>159.33000000000001</v>
      </c>
      <c r="E2" s="138" cm="1">
        <f t="array" aca="1" ref="E2" ca="1">_FV(Table2[[#This Row],[Stock]],"Beta")</f>
        <v>2.4824000000000002</v>
      </c>
      <c r="F2" s="139" cm="1">
        <f t="array" aca="1" ref="F2" ca="1">_FV(Table2[[#This Row],[Stock]],"P/E",TRUE)</f>
        <v>155.14330000000001</v>
      </c>
      <c r="G2" s="460" cm="1">
        <f t="array" aca="1" ref="G2" ca="1">_FV(Table2[[#This Row],[Stock]],"Change")</f>
        <v>-22.76</v>
      </c>
      <c r="H2" s="460" cm="1">
        <f t="array" aca="1" ref="H2" ca="1">_FV(Table2[[#This Row],[Stock]],"High")</f>
        <v>629.75</v>
      </c>
      <c r="I2" s="460" cm="1">
        <f t="array" aca="1" ref="I2" ca="1">_FV(Table2[[#This Row],[Stock]],"Low")</f>
        <v>596.07000000000005</v>
      </c>
      <c r="J2" s="464" cm="1">
        <f t="array" aca="1" ref="J2" ca="1">_FV(Table2[[#This Row],[Stock]],"Market cap",TRUE)</f>
        <v>992332578250</v>
      </c>
      <c r="K2" s="140" t="str" cm="1">
        <f t="array" aca="1" ref="K2" ca="1">_FV(Table2[[#This Row],[Stock]],"Industry")</f>
        <v>Semiconductors &amp; Semiconductor Equipment</v>
      </c>
      <c r="L2" s="140" t="str" cm="1">
        <f t="array" aca="1" ref="L2" ca="1">_FV(Table2[[#This Row],[Stock]],"Exchange abbreviation",TRUE)</f>
        <v>XNAS</v>
      </c>
      <c r="M2" s="26"/>
      <c r="N2" s="71"/>
      <c r="O2" s="71"/>
    </row>
    <row r="3" spans="1:15" x14ac:dyDescent="0.35">
      <c r="A3" s="145" t="e" vm="17">
        <v>#VALUE!</v>
      </c>
      <c r="B3" s="54" t="str" cm="1">
        <f t="array" aca="1" ref="B3" ca="1">_FV(Table2[[#This Row],[Stock]],"Ticker symbol",TRUE)</f>
        <v>MSFT</v>
      </c>
      <c r="C3" s="461" cm="1">
        <f t="array" aca="1" ref="C3" ca="1">_FV(Table2[[#This Row],[Stock]],"52 week high",TRUE)</f>
        <v>553.72</v>
      </c>
      <c r="D3" s="461" cm="1">
        <f t="array" aca="1" ref="D3" ca="1">_FV(Table2[[#This Row],[Stock]],"52 week low",TRUE)</f>
        <v>349.2</v>
      </c>
      <c r="E3" s="146" cm="1">
        <f t="array" aca="1" ref="E3" ca="1">_FV(Table2[[#This Row],[Stock]],"Beta")</f>
        <v>1.1008</v>
      </c>
      <c r="F3" s="147" cm="1">
        <f t="array" aca="1" ref="F3" ca="1">_FV(Table2[[#This Row],[Stock]],"P/E",TRUE)</f>
        <v>28.374099999999999</v>
      </c>
      <c r="G3" s="461" cm="1">
        <f t="array" aca="1" ref="G3" ca="1">_FV(Table2[[#This Row],[Stock]],"Change")</f>
        <v>-6.95</v>
      </c>
      <c r="H3" s="461" cm="1">
        <f t="array" aca="1" ref="H3" ca="1">_FV(Table2[[#This Row],[Stock]],"High")</f>
        <v>513.33000000000004</v>
      </c>
      <c r="I3" s="461" cm="1">
        <f t="array" aca="1" ref="I3" ca="1">_FV(Table2[[#This Row],[Stock]],"Low")</f>
        <v>502.22</v>
      </c>
      <c r="J3" s="465" cm="1">
        <f t="array" aca="1" ref="J3" ca="1">_FV(Table2[[#This Row],[Stock]],"Market cap",TRUE)</f>
        <v>3781236024900</v>
      </c>
      <c r="K3" s="148" t="str" cm="1">
        <f t="array" aca="1" ref="K3" ca="1">_FV(Table2[[#This Row],[Stock]],"Industry")</f>
        <v>Software &amp; IT Services</v>
      </c>
      <c r="L3" s="148" t="str" cm="1">
        <f t="array" aca="1" ref="L3" ca="1">_FV(Table2[[#This Row],[Stock]],"Exchange abbreviation",TRUE)</f>
        <v>XNAS</v>
      </c>
      <c r="M3" s="26"/>
      <c r="N3" s="17" t="s">
        <v>35</v>
      </c>
      <c r="O3" s="17" t="s">
        <v>25</v>
      </c>
    </row>
    <row r="4" spans="1:15" x14ac:dyDescent="0.35">
      <c r="A4" s="149" t="e" vm="18">
        <v>#VALUE!</v>
      </c>
      <c r="B4" s="56" t="str" cm="1">
        <f t="array" aca="1" ref="B4" ca="1">_FV(Table2[[#This Row],[Stock]],"Ticker symbol",TRUE)</f>
        <v>BABA</v>
      </c>
      <c r="C4" s="462" cm="1">
        <f t="array" aca="1" ref="C4" ca="1">_FV(Table2[[#This Row],[Stock]],"52 week high",TRUE)</f>
        <v>192.67</v>
      </c>
      <c r="D4" s="462" cm="1">
        <f t="array" aca="1" ref="D4" ca="1">_FV(Table2[[#This Row],[Stock]],"52 week low",TRUE)</f>
        <v>91.99</v>
      </c>
      <c r="E4" s="150" cm="1">
        <f t="array" aca="1" ref="E4" ca="1">_FV(Table2[[#This Row],[Stock]],"Beta")</f>
        <v>0.46160000000000001</v>
      </c>
      <c r="F4" s="151" cm="1">
        <f t="array" aca="1" ref="F4" ca="1">_FV(Table2[[#This Row],[Stock]],"P/E",TRUE)</f>
        <v>24.247199999999999</v>
      </c>
      <c r="G4" s="462" cm="1">
        <f t="array" aca="1" ref="G4" ca="1">_FV(Table2[[#This Row],[Stock]],"Change")</f>
        <v>-0.98</v>
      </c>
      <c r="H4" s="462" cm="1">
        <f t="array" aca="1" ref="H4" ca="1">_FV(Table2[[#This Row],[Stock]],"High")</f>
        <v>110.12</v>
      </c>
      <c r="I4" s="462" cm="1">
        <f t="array" aca="1" ref="I4" ca="1">_FV(Table2[[#This Row],[Stock]],"Low")</f>
        <v>108.76</v>
      </c>
      <c r="J4" s="466" cm="1">
        <f t="array" aca="1" ref="J4" ca="1">_FV(Table2[[#This Row],[Stock]],"Market cap",TRUE)</f>
        <v>270336466240</v>
      </c>
      <c r="K4" s="152" t="str" cm="1">
        <f t="array" aca="1" ref="K4" ca="1">_FV(Table2[[#This Row],[Stock]],"Industry")</f>
        <v>Software &amp; IT Services</v>
      </c>
      <c r="L4" s="152" t="str" cm="1">
        <f t="array" aca="1" ref="L4" ca="1">_FV(Table2[[#This Row],[Stock]],"Exchange abbreviation",TRUE)</f>
        <v>XNYS</v>
      </c>
      <c r="M4" s="26"/>
      <c r="N4" s="71" t="s">
        <v>36</v>
      </c>
      <c r="O4" s="71" t="s">
        <v>15</v>
      </c>
    </row>
    <row r="5" spans="1:15" x14ac:dyDescent="0.35">
      <c r="A5" s="145" t="e" vm="19">
        <v>#VALUE!</v>
      </c>
      <c r="B5" s="54" t="str" cm="1">
        <f t="array" aca="1" ref="B5" ca="1">_FV(Table2[[#This Row],[Stock]],"Ticker symbol",TRUE)</f>
        <v>DELL</v>
      </c>
      <c r="C5" s="461" cm="1">
        <f t="array" aca="1" ref="C5" ca="1">_FV(Table2[[#This Row],[Stock]],"52 week high",TRUE)</f>
        <v>595.51</v>
      </c>
      <c r="D5" s="461" cm="1">
        <f t="array" aca="1" ref="D5" ca="1">_FV(Table2[[#This Row],[Stock]],"52 week low",TRUE)</f>
        <v>110.22</v>
      </c>
      <c r="E5" s="146" cm="1">
        <f t="array" aca="1" ref="E5" ca="1">_FV(Table2[[#This Row],[Stock]],"Beta")</f>
        <v>1.3674999999999999</v>
      </c>
      <c r="F5" s="147" cm="1">
        <f t="array" aca="1" ref="F5" ca="1">_FV(Table2[[#This Row],[Stock]],"P/E",TRUE)</f>
        <v>31.531300000000002</v>
      </c>
      <c r="G5" s="461" cm="1">
        <f t="array" aca="1" ref="G5" ca="1">_FV(Table2[[#This Row],[Stock]],"Change")</f>
        <v>-19.46</v>
      </c>
      <c r="H5" s="461" cm="1">
        <f t="array" aca="1" ref="H5" ca="1">_FV(Table2[[#This Row],[Stock]],"High")</f>
        <v>557</v>
      </c>
      <c r="I5" s="461" cm="1">
        <f t="array" aca="1" ref="I5" ca="1">_FV(Table2[[#This Row],[Stock]],"Low")</f>
        <v>535.5</v>
      </c>
      <c r="J5" s="465" cm="1">
        <f t="array" aca="1" ref="J5" ca="1">_FV(Table2[[#This Row],[Stock]],"Market cap",TRUE)</f>
        <v>345519695560</v>
      </c>
      <c r="K5" s="148" t="str" cm="1">
        <f t="array" aca="1" ref="K5" ca="1">_FV(Table2[[#This Row],[Stock]],"Industry")</f>
        <v>Computers, Phones &amp; Household Electronics</v>
      </c>
      <c r="L5" s="148" t="str" cm="1">
        <f t="array" aca="1" ref="L5" ca="1">_FV(Table2[[#This Row],[Stock]],"Exchange abbreviation",TRUE)</f>
        <v>XNYS</v>
      </c>
      <c r="M5" s="26"/>
      <c r="N5" s="17" t="s">
        <v>36</v>
      </c>
      <c r="O5" s="26" t="s">
        <v>24</v>
      </c>
    </row>
    <row r="6" spans="1:15" x14ac:dyDescent="0.35">
      <c r="A6" s="149" t="e" vm="20">
        <v>#VALUE!</v>
      </c>
      <c r="B6" s="56" t="str" cm="1">
        <f t="array" aca="1" ref="B6" ca="1">_FV(Table2[[#This Row],[Stock]],"Ticker symbol",TRUE)</f>
        <v>GS</v>
      </c>
      <c r="C6" s="462" cm="1">
        <f t="array" aca="1" ref="C6" ca="1">_FV(Table2[[#This Row],[Stock]],"52 week high",TRUE)</f>
        <v>1153.99</v>
      </c>
      <c r="D6" s="462" cm="1">
        <f t="array" aca="1" ref="D6" ca="1">_FV(Table2[[#This Row],[Stock]],"52 week low",TRUE)</f>
        <v>740.01</v>
      </c>
      <c r="E6" s="150" cm="1">
        <f t="array" aca="1" ref="E6" ca="1">_FV(Table2[[#This Row],[Stock]],"Beta")</f>
        <v>1.2712000000000001</v>
      </c>
      <c r="F6" s="151" cm="1">
        <f t="array" aca="1" ref="F6" ca="1">_FV(Table2[[#This Row],[Stock]],"P/E",TRUE)</f>
        <v>14.1387</v>
      </c>
      <c r="G6" s="462" cm="1">
        <f t="array" aca="1" ref="G6" ca="1">_FV(Table2[[#This Row],[Stock]],"Change")</f>
        <v>-19.170000000000002</v>
      </c>
      <c r="H6" s="462" cm="1">
        <f t="array" aca="1" ref="H6" ca="1">_FV(Table2[[#This Row],[Stock]],"High")</f>
        <v>932</v>
      </c>
      <c r="I6" s="462" cm="1">
        <f t="array" aca="1" ref="I6" ca="1">_FV(Table2[[#This Row],[Stock]],"Low")</f>
        <v>914.5</v>
      </c>
      <c r="J6" s="466" cm="1">
        <f t="array" aca="1" ref="J6" ca="1">_FV(Table2[[#This Row],[Stock]],"Market cap",TRUE)</f>
        <v>266794530392</v>
      </c>
      <c r="K6" s="152" t="str" cm="1">
        <f t="array" aca="1" ref="K6" ca="1">_FV(Table2[[#This Row],[Stock]],"Industry")</f>
        <v>Investment Banking &amp; Investment Services</v>
      </c>
      <c r="L6" s="152" t="str" cm="1">
        <f t="array" aca="1" ref="L6" ca="1">_FV(Table2[[#This Row],[Stock]],"Exchange abbreviation",TRUE)</f>
        <v>XNYS</v>
      </c>
      <c r="M6" s="26"/>
      <c r="N6" s="71" t="s">
        <v>36</v>
      </c>
      <c r="O6" s="71" t="s">
        <v>16</v>
      </c>
    </row>
    <row r="7" spans="1:15" x14ac:dyDescent="0.35">
      <c r="A7" s="145" t="e" vm="21">
        <v>#VALUE!</v>
      </c>
      <c r="B7" s="54" t="str" cm="1">
        <f t="array" aca="1" ref="B7" ca="1">_FV(Table2[[#This Row],[Stock]],"Ticker symbol",TRUE)</f>
        <v>XOM</v>
      </c>
      <c r="C7" s="461" cm="1">
        <f t="array" aca="1" ref="C7" ca="1">_FV(Table2[[#This Row],[Stock]],"52 week high",TRUE)</f>
        <v>176.41</v>
      </c>
      <c r="D7" s="461" cm="1">
        <f t="array" aca="1" ref="D7" ca="1">_FV(Table2[[#This Row],[Stock]],"52 week low",TRUE)</f>
        <v>110.38500000000001</v>
      </c>
      <c r="E7" s="146" cm="1">
        <f t="array" aca="1" ref="E7" ca="1">_FV(Table2[[#This Row],[Stock]],"Beta")</f>
        <v>0.2089</v>
      </c>
      <c r="F7" s="147" cm="1">
        <f t="array" aca="1" ref="F7" ca="1">_FV(Table2[[#This Row],[Stock]],"P/E",TRUE)</f>
        <v>20.958500000000001</v>
      </c>
      <c r="G7" s="461" cm="1">
        <f t="array" aca="1" ref="G7" ca="1">_FV(Table2[[#This Row],[Stock]],"Change")</f>
        <v>1.93</v>
      </c>
      <c r="H7" s="461" cm="1">
        <f t="array" aca="1" ref="H7" ca="1">_FV(Table2[[#This Row],[Stock]],"High")</f>
        <v>163.54</v>
      </c>
      <c r="I7" s="461" cm="1">
        <f t="array" aca="1" ref="I7" ca="1">_FV(Table2[[#This Row],[Stock]],"Low")</f>
        <v>161.05000000000001</v>
      </c>
      <c r="J7" s="465" cm="1">
        <f t="array" aca="1" ref="J7" ca="1">_FV(Table2[[#This Row],[Stock]],"Market cap",TRUE)</f>
        <v>668267938240</v>
      </c>
      <c r="K7" s="148" t="str" cm="1">
        <f t="array" aca="1" ref="K7" ca="1">_FV(Table2[[#This Row],[Stock]],"Industry")</f>
        <v>Oil &amp; Gas</v>
      </c>
      <c r="L7" s="148" t="str" cm="1">
        <f t="array" aca="1" ref="L7" ca="1">_FV(Table2[[#This Row],[Stock]],"Exchange abbreviation",TRUE)</f>
        <v>XNYS</v>
      </c>
      <c r="M7" s="26"/>
      <c r="N7" s="17" t="s">
        <v>37</v>
      </c>
      <c r="O7" s="17" t="s">
        <v>17</v>
      </c>
    </row>
    <row r="8" spans="1:15" x14ac:dyDescent="0.35">
      <c r="A8" s="149" t="e" vm="22">
        <v>#VALUE!</v>
      </c>
      <c r="B8" s="56" t="str" cm="1">
        <f t="array" aca="1" ref="B8" ca="1">_FV(Table2[[#This Row],[Stock]],"Ticker symbol",TRUE)</f>
        <v>GM</v>
      </c>
      <c r="C8" s="462" cm="1">
        <f t="array" aca="1" ref="C8" ca="1">_FV(Table2[[#This Row],[Stock]],"52 week high",TRUE)</f>
        <v>91.85</v>
      </c>
      <c r="D8" s="462" cm="1">
        <f t="array" aca="1" ref="D8" ca="1">_FV(Table2[[#This Row],[Stock]],"52 week low",TRUE)</f>
        <v>54.33</v>
      </c>
      <c r="E8" s="150" cm="1">
        <f t="array" aca="1" ref="E8" ca="1">_FV(Table2[[#This Row],[Stock]],"Beta")</f>
        <v>1.3933</v>
      </c>
      <c r="F8" s="151" cm="1">
        <f t="array" aca="1" ref="F8" ca="1">_FV(Table2[[#This Row],[Stock]],"P/E",TRUE)</f>
        <v>40.673499999999997</v>
      </c>
      <c r="G8" s="462" cm="1">
        <f t="array" aca="1" ref="G8" ca="1">_FV(Table2[[#This Row],[Stock]],"Change")</f>
        <v>-1.99</v>
      </c>
      <c r="H8" s="462" cm="1">
        <f t="array" aca="1" ref="H8" ca="1">_FV(Table2[[#This Row],[Stock]],"High")</f>
        <v>82.69</v>
      </c>
      <c r="I8" s="462" cm="1">
        <f t="array" aca="1" ref="I8" ca="1">_FV(Table2[[#This Row],[Stock]],"Low")</f>
        <v>80.430000000000007</v>
      </c>
      <c r="J8" s="466" cm="1">
        <f t="array" aca="1" ref="J8" ca="1">_FV(Table2[[#This Row],[Stock]],"Market cap",TRUE)</f>
        <v>70757688960</v>
      </c>
      <c r="K8" s="152" t="str" cm="1">
        <f t="array" aca="1" ref="K8" ca="1">_FV(Table2[[#This Row],[Stock]],"Industry")</f>
        <v>Automobiles &amp; Auto Parts</v>
      </c>
      <c r="L8" s="152" t="str" cm="1">
        <f t="array" aca="1" ref="L8" ca="1">_FV(Table2[[#This Row],[Stock]],"Exchange abbreviation",TRUE)</f>
        <v>XNYS</v>
      </c>
      <c r="M8" s="26"/>
      <c r="N8" s="71" t="s">
        <v>37</v>
      </c>
      <c r="O8" s="97" t="s">
        <v>22</v>
      </c>
    </row>
    <row r="9" spans="1:15" x14ac:dyDescent="0.35">
      <c r="A9" s="145" t="e" vm="23">
        <v>#VALUE!</v>
      </c>
      <c r="B9" s="54" t="str" cm="1">
        <f t="array" aca="1" ref="B9" ca="1">_FV(Table2[[#This Row],[Stock]],"Ticker symbol",TRUE)</f>
        <v>BAC</v>
      </c>
      <c r="C9" s="461" cm="1">
        <f t="array" aca="1" ref="C9" ca="1">_FV(Table2[[#This Row],[Stock]],"52 week high",TRUE)</f>
        <v>65.224999999999994</v>
      </c>
      <c r="D9" s="461" cm="1">
        <f t="array" aca="1" ref="D9" ca="1">_FV(Table2[[#This Row],[Stock]],"52 week low",TRUE)</f>
        <v>46.115000000000002</v>
      </c>
      <c r="E9" s="146" cm="1">
        <f t="array" aca="1" ref="E9" ca="1">_FV(Table2[[#This Row],[Stock]],"Beta")</f>
        <v>1.2090000000000001</v>
      </c>
      <c r="F9" s="147" cm="1">
        <f t="array" aca="1" ref="F9" ca="1">_FV(Table2[[#This Row],[Stock]],"P/E",TRUE)</f>
        <v>12.848699999999999</v>
      </c>
      <c r="G9" s="461" cm="1">
        <f t="array" aca="1" ref="G9" ca="1">_FV(Table2[[#This Row],[Stock]],"Change")</f>
        <v>-1.23</v>
      </c>
      <c r="H9" s="461" cm="1">
        <f t="array" aca="1" ref="H9" ca="1">_FV(Table2[[#This Row],[Stock]],"High")</f>
        <v>56.67</v>
      </c>
      <c r="I9" s="461" cm="1">
        <f t="array" aca="1" ref="I9" ca="1">_FV(Table2[[#This Row],[Stock]],"Low")</f>
        <v>55.365000000000002</v>
      </c>
      <c r="J9" s="465" cm="1">
        <f t="array" aca="1" ref="J9" ca="1">_FV(Table2[[#This Row],[Stock]],"Market cap",TRUE)</f>
        <v>387887787030</v>
      </c>
      <c r="K9" s="148" t="str" cm="1">
        <f t="array" aca="1" ref="K9" ca="1">_FV(Table2[[#This Row],[Stock]],"Industry")</f>
        <v>Banking Services</v>
      </c>
      <c r="L9" s="148" t="str" cm="1">
        <f t="array" aca="1" ref="L9" ca="1">_FV(Table2[[#This Row],[Stock]],"Exchange abbreviation",TRUE)</f>
        <v>XNYS</v>
      </c>
      <c r="M9" s="26"/>
      <c r="N9" s="17" t="s">
        <v>37</v>
      </c>
      <c r="O9" s="26" t="s">
        <v>18</v>
      </c>
    </row>
    <row r="10" spans="1:15" x14ac:dyDescent="0.35">
      <c r="A10" s="149" t="e" vm="24">
        <v>#VALUE!</v>
      </c>
      <c r="B10" s="56" t="str" cm="1">
        <f t="array" aca="1" ref="B10" ca="1">_FV(Table2[[#This Row],[Stock]],"Ticker symbol",TRUE)</f>
        <v>LMT</v>
      </c>
      <c r="C10" s="462" cm="1">
        <f t="array" aca="1" ref="C10" ca="1">_FV(Table2[[#This Row],[Stock]],"52 week high",TRUE)</f>
        <v>692</v>
      </c>
      <c r="D10" s="462" cm="1">
        <f t="array" aca="1" ref="D10" ca="1">_FV(Table2[[#This Row],[Stock]],"52 week low",TRUE)</f>
        <v>437.25</v>
      </c>
      <c r="E10" s="150" cm="1">
        <f t="array" aca="1" ref="E10" ca="1">_FV(Table2[[#This Row],[Stock]],"Beta")</f>
        <v>9.0300000000000005E-2</v>
      </c>
      <c r="F10" s="151" cm="1">
        <f t="array" aca="1" ref="F10" ca="1">_FV(Table2[[#This Row],[Stock]],"P/E",TRUE)</f>
        <v>19.091000000000001</v>
      </c>
      <c r="G10" s="462" cm="1">
        <f t="array" aca="1" ref="G10" ca="1">_FV(Table2[[#This Row],[Stock]],"Change")</f>
        <v>-1.46</v>
      </c>
      <c r="H10" s="462" cm="1">
        <f t="array" aca="1" ref="H10" ca="1">_FV(Table2[[#This Row],[Stock]],"High")</f>
        <v>524.27</v>
      </c>
      <c r="I10" s="462" cm="1">
        <f t="array" aca="1" ref="I10" ca="1">_FV(Table2[[#This Row],[Stock]],"Low")</f>
        <v>516.1</v>
      </c>
      <c r="J10" s="466" cm="1">
        <f t="array" aca="1" ref="J10" ca="1">_FV(Table2[[#This Row],[Stock]],"Market cap",TRUE)</f>
        <v>119572713480</v>
      </c>
      <c r="K10" s="152" t="str" cm="1">
        <f t="array" aca="1" ref="K10" ca="1">_FV(Table2[[#This Row],[Stock]],"Industry")</f>
        <v>Aerospace &amp; Defense</v>
      </c>
      <c r="L10" s="152" t="str" cm="1">
        <f t="array" aca="1" ref="L10" ca="1">_FV(Table2[[#This Row],[Stock]],"Exchange abbreviation",TRUE)</f>
        <v>XNYS</v>
      </c>
      <c r="M10" s="26"/>
      <c r="N10" s="71" t="s">
        <v>37</v>
      </c>
      <c r="O10" s="97" t="s">
        <v>21</v>
      </c>
    </row>
    <row r="11" spans="1:15" x14ac:dyDescent="0.35">
      <c r="A11" s="141" t="e" vm="25">
        <v>#VALUE!</v>
      </c>
      <c r="B11" s="53" t="str" cm="1">
        <f t="array" aca="1" ref="B11" ca="1">_FV(Table2[[#This Row],[Stock]],"Ticker symbol",TRUE)</f>
        <v>COST</v>
      </c>
      <c r="C11" s="463" cm="1">
        <f t="array" aca="1" ref="C11" ca="1">_FV(Table2[[#This Row],[Stock]],"52 week high",TRUE)</f>
        <v>1096.5</v>
      </c>
      <c r="D11" s="463" cm="1">
        <f t="array" aca="1" ref="D11" ca="1">_FV(Table2[[#This Row],[Stock]],"52 week low",TRUE)</f>
        <v>844.06</v>
      </c>
      <c r="E11" s="142" cm="1">
        <f t="array" aca="1" ref="E11" ca="1">_FV(Table2[[#This Row],[Stock]],"Beta")</f>
        <v>0.87529999999999997</v>
      </c>
      <c r="F11" s="143" cm="1">
        <f t="array" aca="1" ref="F11" ca="1">_FV(Table2[[#This Row],[Stock]],"P/E",TRUE)</f>
        <v>44.458100000000002</v>
      </c>
      <c r="G11" s="463" cm="1">
        <f t="array" aca="1" ref="G11" ca="1">_FV(Table2[[#This Row],[Stock]],"Change")</f>
        <v>0.155</v>
      </c>
      <c r="H11" s="463" cm="1">
        <f t="array" aca="1" ref="H11" ca="1">_FV(Table2[[#This Row],[Stock]],"High")</f>
        <v>931.09</v>
      </c>
      <c r="I11" s="463" cm="1">
        <f t="array" aca="1" ref="I11" ca="1">_FV(Table2[[#This Row],[Stock]],"Low")</f>
        <v>913</v>
      </c>
      <c r="J11" s="467" cm="1">
        <f t="array" aca="1" ref="J11" ca="1">_FV(Table2[[#This Row],[Stock]],"Market cap",TRUE)</f>
        <v>409099056720</v>
      </c>
      <c r="K11" s="144" t="str" cm="1">
        <f t="array" aca="1" ref="K11" ca="1">_FV(Table2[[#This Row],[Stock]],"Industry")</f>
        <v>Diversified Retail</v>
      </c>
      <c r="L11" s="144" t="str" cm="1">
        <f t="array" aca="1" ref="L11" ca="1">_FV(Table2[[#This Row],[Stock]],"Exchange abbreviation",TRUE)</f>
        <v>XNAS</v>
      </c>
      <c r="M11" s="26"/>
      <c r="N11" s="17" t="s">
        <v>37</v>
      </c>
      <c r="O11" s="26" t="s">
        <v>19</v>
      </c>
    </row>
    <row r="12" spans="1:15" x14ac:dyDescent="0.35">
      <c r="A12" s="26"/>
      <c r="B12" s="26"/>
      <c r="C12" s="26"/>
      <c r="D12" s="26"/>
      <c r="E12" s="26"/>
      <c r="F12" s="26"/>
      <c r="G12" s="26"/>
      <c r="H12" s="26"/>
      <c r="I12" s="26"/>
      <c r="J12" s="26"/>
      <c r="K12" s="26"/>
      <c r="L12" s="26"/>
      <c r="M12" s="26"/>
      <c r="N12" s="71" t="s">
        <v>37</v>
      </c>
      <c r="O12" s="97" t="s">
        <v>23</v>
      </c>
    </row>
    <row r="13" spans="1:15" x14ac:dyDescent="0.35">
      <c r="A13" s="26"/>
      <c r="B13" s="26"/>
      <c r="C13" s="26"/>
      <c r="D13" s="26"/>
      <c r="E13" s="26"/>
      <c r="F13" s="26"/>
      <c r="G13" s="26"/>
      <c r="H13" s="26"/>
      <c r="I13" s="26"/>
      <c r="J13" s="26"/>
      <c r="K13" s="26"/>
      <c r="L13" s="26"/>
      <c r="M13" s="26"/>
      <c r="N13" s="17" t="s">
        <v>37</v>
      </c>
      <c r="O13" s="17" t="s">
        <v>20</v>
      </c>
    </row>
  </sheetData>
  <pageMargins left="0.7" right="0.7" top="0.75" bottom="0.75" header="0.3" footer="0.3"/>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34CBBC-4506-4AAC-9EEA-E5952AD8653A}">
  <dimension ref="A2:IR18"/>
  <sheetViews>
    <sheetView topLeftCell="IJ1" workbookViewId="0">
      <selection activeCell="A3" sqref="A3"/>
    </sheetView>
  </sheetViews>
  <sheetFormatPr defaultRowHeight="14.5" x14ac:dyDescent="0.35"/>
  <cols>
    <col min="1" max="1" width="41.1796875" bestFit="1" customWidth="1"/>
    <col min="2" max="252" width="10.08984375" bestFit="1" customWidth="1"/>
  </cols>
  <sheetData>
    <row r="2" spans="1:252" x14ac:dyDescent="0.35">
      <c r="B2" cm="1" vm="26">
        <f t="array" aca="1" ref="B2:IR3" ca="1">TRANSPOSE(_xlfn.STOCKHISTORY(A3,TODAY()-365,TODAY(),0,0,0,1))</f>
        <v>45929</v>
      </c>
      <c r="C2" vm="27">
        <f ca="1"/>
        <v>45930</v>
      </c>
      <c r="D2" vm="28">
        <f ca="1"/>
        <v>45931</v>
      </c>
      <c r="E2" vm="29">
        <f ca="1"/>
        <v>45932</v>
      </c>
      <c r="F2" vm="30">
        <f ca="1"/>
        <v>45933</v>
      </c>
      <c r="G2" vm="31">
        <f ca="1"/>
        <v>45936</v>
      </c>
      <c r="H2" vm="32">
        <f ca="1"/>
        <v>45937</v>
      </c>
      <c r="I2" vm="33">
        <f ca="1"/>
        <v>45938</v>
      </c>
      <c r="J2" vm="34">
        <f ca="1"/>
        <v>45939</v>
      </c>
      <c r="K2" vm="35">
        <f ca="1"/>
        <v>45940</v>
      </c>
      <c r="L2" vm="36">
        <f ca="1"/>
        <v>45943</v>
      </c>
      <c r="M2" vm="37">
        <f ca="1"/>
        <v>45944</v>
      </c>
      <c r="N2" vm="38">
        <f ca="1"/>
        <v>45945</v>
      </c>
      <c r="O2" vm="39">
        <f ca="1"/>
        <v>45946</v>
      </c>
      <c r="P2" vm="40">
        <f ca="1"/>
        <v>45947</v>
      </c>
      <c r="Q2" vm="41">
        <f ca="1"/>
        <v>45950</v>
      </c>
      <c r="R2" vm="42">
        <f ca="1"/>
        <v>45951</v>
      </c>
      <c r="S2" vm="43">
        <f ca="1"/>
        <v>45952</v>
      </c>
      <c r="T2" vm="44">
        <f ca="1"/>
        <v>45953</v>
      </c>
      <c r="U2" vm="45">
        <f ca="1"/>
        <v>45954</v>
      </c>
      <c r="V2" vm="46">
        <f ca="1"/>
        <v>45957</v>
      </c>
      <c r="W2" vm="47">
        <f ca="1"/>
        <v>45958</v>
      </c>
      <c r="X2" vm="48">
        <f ca="1"/>
        <v>45959</v>
      </c>
      <c r="Y2" vm="49">
        <f ca="1"/>
        <v>45960</v>
      </c>
      <c r="Z2" vm="50">
        <f ca="1"/>
        <v>45961</v>
      </c>
      <c r="AA2" vm="51">
        <f ca="1"/>
        <v>45964</v>
      </c>
      <c r="AB2" vm="52">
        <f ca="1"/>
        <v>45965</v>
      </c>
      <c r="AC2" vm="53">
        <f ca="1"/>
        <v>45966</v>
      </c>
      <c r="AD2" vm="54">
        <f ca="1"/>
        <v>45967</v>
      </c>
      <c r="AE2" vm="55">
        <f ca="1"/>
        <v>45968</v>
      </c>
      <c r="AF2" vm="56">
        <f ca="1"/>
        <v>45971</v>
      </c>
      <c r="AG2" vm="57">
        <f ca="1"/>
        <v>45972</v>
      </c>
      <c r="AH2" vm="58">
        <f ca="1"/>
        <v>45973</v>
      </c>
      <c r="AI2" vm="59">
        <f ca="1"/>
        <v>45974</v>
      </c>
      <c r="AJ2" vm="60">
        <f ca="1"/>
        <v>45975</v>
      </c>
      <c r="AK2" vm="61">
        <f ca="1"/>
        <v>45978</v>
      </c>
      <c r="AL2" vm="62">
        <f ca="1"/>
        <v>45979</v>
      </c>
      <c r="AM2" vm="63">
        <f ca="1"/>
        <v>45980</v>
      </c>
      <c r="AN2" vm="64">
        <f ca="1"/>
        <v>45981</v>
      </c>
      <c r="AO2" vm="65">
        <f ca="1"/>
        <v>45982</v>
      </c>
      <c r="AP2" vm="66">
        <f ca="1"/>
        <v>45985</v>
      </c>
      <c r="AQ2" vm="67">
        <f ca="1"/>
        <v>45986</v>
      </c>
      <c r="AR2" vm="68">
        <f ca="1"/>
        <v>45987</v>
      </c>
      <c r="AS2" vm="69">
        <f ca="1"/>
        <v>45989</v>
      </c>
      <c r="AT2" vm="70">
        <f ca="1"/>
        <v>45992</v>
      </c>
      <c r="AU2" vm="71">
        <f ca="1"/>
        <v>45993</v>
      </c>
      <c r="AV2" vm="72">
        <f ca="1"/>
        <v>45994</v>
      </c>
      <c r="AW2" vm="73">
        <f ca="1"/>
        <v>45995</v>
      </c>
      <c r="AX2" vm="74">
        <f ca="1"/>
        <v>45996</v>
      </c>
      <c r="AY2" vm="75">
        <f ca="1"/>
        <v>45999</v>
      </c>
      <c r="AZ2" vm="76">
        <f ca="1"/>
        <v>46000</v>
      </c>
      <c r="BA2" vm="77">
        <f ca="1"/>
        <v>46001</v>
      </c>
      <c r="BB2" vm="78">
        <f ca="1"/>
        <v>46002</v>
      </c>
      <c r="BC2" vm="79">
        <f ca="1"/>
        <v>46003</v>
      </c>
      <c r="BD2" vm="80">
        <f ca="1"/>
        <v>46006</v>
      </c>
      <c r="BE2" vm="81">
        <f ca="1"/>
        <v>46007</v>
      </c>
      <c r="BF2" vm="82">
        <f ca="1"/>
        <v>46008</v>
      </c>
      <c r="BG2" vm="83">
        <f ca="1"/>
        <v>46009</v>
      </c>
      <c r="BH2" vm="84">
        <f ca="1"/>
        <v>46010</v>
      </c>
      <c r="BI2" vm="85">
        <f ca="1"/>
        <v>46013</v>
      </c>
      <c r="BJ2" vm="86">
        <f ca="1"/>
        <v>46014</v>
      </c>
      <c r="BK2" vm="87">
        <f ca="1"/>
        <v>46015</v>
      </c>
      <c r="BL2" vm="88">
        <f ca="1"/>
        <v>46017</v>
      </c>
      <c r="BM2" vm="89">
        <f ca="1"/>
        <v>46020</v>
      </c>
      <c r="BN2" vm="90">
        <f ca="1"/>
        <v>46021</v>
      </c>
      <c r="BO2" vm="91">
        <f ca="1"/>
        <v>46022</v>
      </c>
      <c r="BP2" vm="92">
        <f ca="1"/>
        <v>46024</v>
      </c>
      <c r="BQ2" vm="93">
        <f ca="1"/>
        <v>46027</v>
      </c>
      <c r="BR2" vm="94">
        <f ca="1"/>
        <v>46028</v>
      </c>
      <c r="BS2" vm="95">
        <f ca="1"/>
        <v>46029</v>
      </c>
      <c r="BT2" vm="96">
        <f ca="1"/>
        <v>46030</v>
      </c>
      <c r="BU2" vm="97">
        <f ca="1"/>
        <v>46031</v>
      </c>
      <c r="BV2" vm="98">
        <f ca="1"/>
        <v>46034</v>
      </c>
      <c r="BW2" vm="99">
        <f ca="1"/>
        <v>46035</v>
      </c>
      <c r="BX2" vm="100">
        <f ca="1"/>
        <v>46036</v>
      </c>
      <c r="BY2" vm="101">
        <f ca="1"/>
        <v>46037</v>
      </c>
      <c r="BZ2" vm="102">
        <f ca="1"/>
        <v>46038</v>
      </c>
      <c r="CA2" vm="103">
        <f ca="1"/>
        <v>46042</v>
      </c>
      <c r="CB2" vm="104">
        <f ca="1"/>
        <v>46043</v>
      </c>
      <c r="CC2" vm="105">
        <f ca="1"/>
        <v>46044</v>
      </c>
      <c r="CD2" vm="106">
        <f ca="1"/>
        <v>46045</v>
      </c>
      <c r="CE2" vm="107">
        <f ca="1"/>
        <v>46048</v>
      </c>
      <c r="CF2" vm="108">
        <f ca="1"/>
        <v>46049</v>
      </c>
      <c r="CG2" vm="109">
        <f ca="1"/>
        <v>46050</v>
      </c>
      <c r="CH2" vm="110">
        <f ca="1"/>
        <v>46051</v>
      </c>
      <c r="CI2" vm="111">
        <f ca="1"/>
        <v>46052</v>
      </c>
      <c r="CJ2" vm="112">
        <f ca="1"/>
        <v>46055</v>
      </c>
      <c r="CK2" vm="113">
        <f ca="1"/>
        <v>46056</v>
      </c>
      <c r="CL2" vm="114">
        <f ca="1"/>
        <v>46057</v>
      </c>
      <c r="CM2" vm="115">
        <f ca="1"/>
        <v>46058</v>
      </c>
      <c r="CN2" vm="116">
        <f ca="1"/>
        <v>46059</v>
      </c>
      <c r="CO2" vm="117">
        <f ca="1"/>
        <v>46062</v>
      </c>
      <c r="CP2" vm="118">
        <f ca="1"/>
        <v>46063</v>
      </c>
      <c r="CQ2" vm="119">
        <f ca="1"/>
        <v>46064</v>
      </c>
      <c r="CR2" vm="120">
        <f ca="1"/>
        <v>46065</v>
      </c>
      <c r="CS2" vm="121">
        <f ca="1"/>
        <v>46066</v>
      </c>
      <c r="CT2" vm="122">
        <f ca="1"/>
        <v>46070</v>
      </c>
      <c r="CU2" vm="123">
        <f ca="1"/>
        <v>46071</v>
      </c>
      <c r="CV2" vm="124">
        <f ca="1"/>
        <v>46072</v>
      </c>
      <c r="CW2" vm="125">
        <f ca="1"/>
        <v>46073</v>
      </c>
      <c r="CX2" vm="126">
        <f ca="1"/>
        <v>46076</v>
      </c>
      <c r="CY2" vm="127">
        <f ca="1"/>
        <v>46077</v>
      </c>
      <c r="CZ2" vm="128">
        <f ca="1"/>
        <v>46078</v>
      </c>
      <c r="DA2" vm="129">
        <f ca="1"/>
        <v>46079</v>
      </c>
      <c r="DB2" vm="130">
        <f ca="1"/>
        <v>46080</v>
      </c>
      <c r="DC2" vm="131">
        <f ca="1"/>
        <v>46083</v>
      </c>
      <c r="DD2" vm="132">
        <f ca="1"/>
        <v>46084</v>
      </c>
      <c r="DE2" vm="133">
        <f ca="1"/>
        <v>46085</v>
      </c>
      <c r="DF2" vm="134">
        <f ca="1"/>
        <v>46086</v>
      </c>
      <c r="DG2" vm="135">
        <f ca="1"/>
        <v>46087</v>
      </c>
      <c r="DH2" vm="136">
        <f ca="1"/>
        <v>46090</v>
      </c>
      <c r="DI2" vm="137">
        <f ca="1"/>
        <v>46091</v>
      </c>
      <c r="DJ2" vm="138">
        <f ca="1"/>
        <v>46092</v>
      </c>
      <c r="DK2" vm="139">
        <f ca="1"/>
        <v>46093</v>
      </c>
      <c r="DL2" vm="140">
        <f ca="1"/>
        <v>46094</v>
      </c>
      <c r="DM2" vm="141">
        <f ca="1"/>
        <v>46097</v>
      </c>
      <c r="DN2" vm="142">
        <f ca="1"/>
        <v>46098</v>
      </c>
      <c r="DO2" vm="143">
        <f ca="1"/>
        <v>46099</v>
      </c>
      <c r="DP2" vm="144">
        <f ca="1"/>
        <v>46100</v>
      </c>
      <c r="DQ2" vm="145">
        <f ca="1"/>
        <v>46101</v>
      </c>
      <c r="DR2" vm="146">
        <f ca="1"/>
        <v>46104</v>
      </c>
      <c r="DS2" vm="147">
        <f ca="1"/>
        <v>46105</v>
      </c>
      <c r="DT2" vm="148">
        <f ca="1"/>
        <v>46106</v>
      </c>
      <c r="DU2" vm="149">
        <f ca="1"/>
        <v>46107</v>
      </c>
      <c r="DV2" vm="150">
        <f ca="1"/>
        <v>46108</v>
      </c>
      <c r="DW2" vm="151">
        <f ca="1"/>
        <v>46111</v>
      </c>
      <c r="DX2" vm="152">
        <f ca="1"/>
        <v>46112</v>
      </c>
      <c r="DY2" vm="153">
        <f ca="1"/>
        <v>46113</v>
      </c>
      <c r="DZ2" vm="154">
        <f ca="1"/>
        <v>46114</v>
      </c>
      <c r="EA2" vm="155">
        <f ca="1"/>
        <v>46118</v>
      </c>
      <c r="EB2" vm="156">
        <f ca="1"/>
        <v>46119</v>
      </c>
      <c r="EC2" vm="157">
        <f ca="1"/>
        <v>46120</v>
      </c>
      <c r="ED2" vm="158">
        <f ca="1"/>
        <v>46121</v>
      </c>
      <c r="EE2" vm="159">
        <f ca="1"/>
        <v>46122</v>
      </c>
      <c r="EF2" vm="160">
        <f ca="1"/>
        <v>46125</v>
      </c>
      <c r="EG2" vm="161">
        <f ca="1"/>
        <v>46126</v>
      </c>
      <c r="EH2" vm="162">
        <f ca="1"/>
        <v>46127</v>
      </c>
      <c r="EI2" vm="163">
        <f ca="1"/>
        <v>46128</v>
      </c>
      <c r="EJ2" vm="164">
        <f ca="1"/>
        <v>46129</v>
      </c>
      <c r="EK2" vm="165">
        <f ca="1"/>
        <v>46132</v>
      </c>
      <c r="EL2" vm="166">
        <f ca="1"/>
        <v>46133</v>
      </c>
      <c r="EM2" vm="167">
        <f ca="1"/>
        <v>46134</v>
      </c>
      <c r="EN2" vm="168">
        <f ca="1"/>
        <v>46135</v>
      </c>
      <c r="EO2" vm="169">
        <f ca="1"/>
        <v>46136</v>
      </c>
      <c r="EP2" vm="170">
        <f ca="1"/>
        <v>46139</v>
      </c>
      <c r="EQ2" vm="171">
        <f ca="1"/>
        <v>46140</v>
      </c>
      <c r="ER2" vm="172">
        <f ca="1"/>
        <v>46141</v>
      </c>
      <c r="ES2" vm="173">
        <f ca="1"/>
        <v>46142</v>
      </c>
      <c r="ET2" vm="174">
        <f ca="1"/>
        <v>46143</v>
      </c>
      <c r="EU2" vm="175">
        <f ca="1"/>
        <v>46146</v>
      </c>
      <c r="EV2" vm="176">
        <f ca="1"/>
        <v>46147</v>
      </c>
      <c r="EW2" vm="177">
        <f ca="1"/>
        <v>46148</v>
      </c>
      <c r="EX2" vm="178">
        <f ca="1"/>
        <v>46149</v>
      </c>
      <c r="EY2" vm="179">
        <f ca="1"/>
        <v>46150</v>
      </c>
      <c r="EZ2" vm="180">
        <f ca="1"/>
        <v>46153</v>
      </c>
      <c r="FA2" vm="181">
        <f ca="1"/>
        <v>46154</v>
      </c>
      <c r="FB2" vm="182">
        <f ca="1"/>
        <v>46155</v>
      </c>
      <c r="FC2" vm="183">
        <f ca="1"/>
        <v>46156</v>
      </c>
      <c r="FD2" vm="184">
        <f ca="1"/>
        <v>46157</v>
      </c>
      <c r="FE2" vm="185">
        <f ca="1"/>
        <v>46160</v>
      </c>
      <c r="FF2" vm="186">
        <f ca="1"/>
        <v>46161</v>
      </c>
      <c r="FG2" vm="187">
        <f ca="1"/>
        <v>46162</v>
      </c>
      <c r="FH2" vm="188">
        <f ca="1"/>
        <v>46163</v>
      </c>
      <c r="FI2" vm="189">
        <f ca="1"/>
        <v>46164</v>
      </c>
      <c r="FJ2" vm="190">
        <f ca="1"/>
        <v>46168</v>
      </c>
      <c r="FK2" vm="191">
        <f ca="1"/>
        <v>46169</v>
      </c>
      <c r="FL2" vm="192">
        <f ca="1"/>
        <v>46170</v>
      </c>
      <c r="FM2" vm="193">
        <f ca="1"/>
        <v>46171</v>
      </c>
      <c r="FN2" vm="194">
        <f ca="1"/>
        <v>46174</v>
      </c>
      <c r="FO2" vm="195">
        <f ca="1"/>
        <v>46175</v>
      </c>
      <c r="FP2" vm="196">
        <f ca="1"/>
        <v>46176</v>
      </c>
      <c r="FQ2" vm="197">
        <f ca="1"/>
        <v>46177</v>
      </c>
      <c r="FR2" vm="198">
        <f ca="1"/>
        <v>46178</v>
      </c>
      <c r="FS2" vm="199">
        <f ca="1"/>
        <v>46181</v>
      </c>
      <c r="FT2" vm="200">
        <f ca="1"/>
        <v>46182</v>
      </c>
      <c r="FU2" vm="201">
        <f ca="1"/>
        <v>46183</v>
      </c>
      <c r="FV2" vm="202">
        <f ca="1"/>
        <v>46184</v>
      </c>
      <c r="FW2" vm="203">
        <f ca="1"/>
        <v>46185</v>
      </c>
      <c r="FX2" vm="204">
        <f ca="1"/>
        <v>46188</v>
      </c>
      <c r="FY2" vm="205">
        <f ca="1"/>
        <v>46189</v>
      </c>
      <c r="FZ2" vm="206">
        <f ca="1"/>
        <v>46190</v>
      </c>
      <c r="GA2" vm="207">
        <f ca="1"/>
        <v>46191</v>
      </c>
      <c r="GB2" vm="208">
        <f ca="1"/>
        <v>46195</v>
      </c>
      <c r="GC2" vm="209">
        <f ca="1"/>
        <v>46196</v>
      </c>
      <c r="GD2" vm="210">
        <f ca="1"/>
        <v>46197</v>
      </c>
      <c r="GE2" vm="211">
        <f ca="1"/>
        <v>46198</v>
      </c>
      <c r="GF2" vm="212">
        <f ca="1"/>
        <v>46199</v>
      </c>
      <c r="GG2" vm="213">
        <f ca="1"/>
        <v>46202</v>
      </c>
      <c r="GH2" vm="214">
        <f ca="1"/>
        <v>46203</v>
      </c>
      <c r="GI2" vm="215">
        <f ca="1"/>
        <v>46204</v>
      </c>
      <c r="GJ2" vm="216">
        <f ca="1"/>
        <v>46205</v>
      </c>
      <c r="GK2" vm="217">
        <f ca="1"/>
        <v>46209</v>
      </c>
      <c r="GL2" vm="218">
        <f ca="1"/>
        <v>46210</v>
      </c>
      <c r="GM2" vm="219">
        <f ca="1"/>
        <v>46211</v>
      </c>
      <c r="GN2" vm="220">
        <f ca="1"/>
        <v>46212</v>
      </c>
      <c r="GO2" vm="221">
        <f ca="1"/>
        <v>46213</v>
      </c>
      <c r="GP2" vm="222">
        <f ca="1"/>
        <v>46216</v>
      </c>
      <c r="GQ2" vm="223">
        <f ca="1"/>
        <v>46217</v>
      </c>
      <c r="GR2" vm="224">
        <f ca="1"/>
        <v>46218</v>
      </c>
      <c r="GS2" vm="225">
        <f ca="1"/>
        <v>46219</v>
      </c>
      <c r="GT2" vm="226">
        <f ca="1"/>
        <v>46220</v>
      </c>
      <c r="GU2" vm="227">
        <f ca="1"/>
        <v>46223</v>
      </c>
      <c r="GV2" vm="228">
        <f ca="1"/>
        <v>46224</v>
      </c>
      <c r="GW2" vm="229">
        <f ca="1"/>
        <v>46225</v>
      </c>
      <c r="GX2" vm="230">
        <f ca="1"/>
        <v>46226</v>
      </c>
      <c r="GY2" vm="231">
        <f ca="1"/>
        <v>46227</v>
      </c>
      <c r="GZ2" vm="232">
        <f ca="1"/>
        <v>46230</v>
      </c>
      <c r="HA2" vm="233">
        <f ca="1"/>
        <v>46231</v>
      </c>
      <c r="HB2" vm="234">
        <f ca="1"/>
        <v>46232</v>
      </c>
      <c r="HC2" vm="235">
        <f ca="1"/>
        <v>46233</v>
      </c>
      <c r="HD2" vm="236">
        <f ca="1"/>
        <v>46234</v>
      </c>
      <c r="HE2" vm="237">
        <f ca="1"/>
        <v>46237</v>
      </c>
      <c r="HF2" vm="238">
        <f ca="1"/>
        <v>46238</v>
      </c>
      <c r="HG2" vm="239">
        <f ca="1"/>
        <v>46239</v>
      </c>
      <c r="HH2" vm="240">
        <f ca="1"/>
        <v>46240</v>
      </c>
      <c r="HI2" vm="241">
        <f ca="1"/>
        <v>46241</v>
      </c>
      <c r="HJ2" vm="242">
        <f ca="1"/>
        <v>46244</v>
      </c>
      <c r="HK2" vm="243">
        <f ca="1"/>
        <v>46245</v>
      </c>
      <c r="HL2" vm="244">
        <f ca="1"/>
        <v>46246</v>
      </c>
      <c r="HM2" vm="245">
        <f ca="1"/>
        <v>46247</v>
      </c>
      <c r="HN2" vm="246">
        <f ca="1"/>
        <v>46248</v>
      </c>
      <c r="HO2" vm="247">
        <f ca="1"/>
        <v>46251</v>
      </c>
      <c r="HP2" vm="248">
        <f ca="1"/>
        <v>46252</v>
      </c>
      <c r="HQ2" vm="249">
        <f ca="1"/>
        <v>46253</v>
      </c>
      <c r="HR2" vm="250">
        <f ca="1"/>
        <v>46254</v>
      </c>
      <c r="HS2" vm="251">
        <f ca="1"/>
        <v>46255</v>
      </c>
      <c r="HT2" vm="252">
        <f ca="1"/>
        <v>46258</v>
      </c>
      <c r="HU2" vm="253">
        <f ca="1"/>
        <v>46259</v>
      </c>
      <c r="HV2" vm="254">
        <f ca="1"/>
        <v>46260</v>
      </c>
      <c r="HW2" vm="255">
        <f ca="1"/>
        <v>46261</v>
      </c>
      <c r="HX2" vm="256">
        <f ca="1"/>
        <v>46262</v>
      </c>
      <c r="HY2" vm="257">
        <f ca="1"/>
        <v>46265</v>
      </c>
      <c r="HZ2" vm="258">
        <f ca="1"/>
        <v>46266</v>
      </c>
      <c r="IA2" vm="259">
        <f ca="1"/>
        <v>46267</v>
      </c>
      <c r="IB2" vm="260">
        <f ca="1"/>
        <v>46268</v>
      </c>
      <c r="IC2" vm="261">
        <f ca="1"/>
        <v>46269</v>
      </c>
      <c r="ID2" vm="262">
        <f ca="1"/>
        <v>46273</v>
      </c>
      <c r="IE2" vm="263">
        <f ca="1"/>
        <v>46274</v>
      </c>
      <c r="IF2" vm="264">
        <f ca="1"/>
        <v>46275</v>
      </c>
      <c r="IG2" vm="265">
        <f ca="1"/>
        <v>46276</v>
      </c>
      <c r="IH2" vm="266">
        <f ca="1"/>
        <v>46279</v>
      </c>
      <c r="II2" vm="267">
        <f ca="1"/>
        <v>46280</v>
      </c>
      <c r="IJ2" vm="268">
        <f ca="1"/>
        <v>46281</v>
      </c>
      <c r="IK2" vm="269">
        <f ca="1"/>
        <v>46282</v>
      </c>
      <c r="IL2" vm="270">
        <f ca="1"/>
        <v>46283</v>
      </c>
      <c r="IM2" vm="271">
        <f ca="1"/>
        <v>46286</v>
      </c>
      <c r="IN2" vm="272">
        <f ca="1"/>
        <v>46287</v>
      </c>
      <c r="IO2" vm="273">
        <f ca="1"/>
        <v>46288</v>
      </c>
      <c r="IP2" vm="274">
        <f ca="1"/>
        <v>46289</v>
      </c>
      <c r="IQ2" vm="275">
        <f ca="1"/>
        <v>46290</v>
      </c>
      <c r="IR2" vm="276">
        <f ca="1"/>
        <v>46293</v>
      </c>
    </row>
    <row r="3" spans="1:252" x14ac:dyDescent="0.35">
      <c r="A3" t="e" vm="1">
        <f>Dashboard!B7</f>
        <v>#VALUE!</v>
      </c>
      <c r="B3" vm="277">
        <f ca="1"/>
        <v>161.36000000000001</v>
      </c>
      <c r="C3" vm="278">
        <f ca="1"/>
        <v>161.79</v>
      </c>
      <c r="D3" vm="279">
        <f ca="1"/>
        <v>164.01</v>
      </c>
      <c r="E3" vm="280">
        <f ca="1"/>
        <v>169.73</v>
      </c>
      <c r="F3" vm="281">
        <f ca="1"/>
        <v>164.67</v>
      </c>
      <c r="G3" vm="282">
        <f ca="1"/>
        <v>203.71</v>
      </c>
      <c r="H3" vm="283">
        <f ca="1"/>
        <v>211.51</v>
      </c>
      <c r="I3" vm="284">
        <f ca="1"/>
        <v>235.56</v>
      </c>
      <c r="J3" vm="285">
        <f ca="1"/>
        <v>232.89</v>
      </c>
      <c r="K3" vm="286">
        <f ca="1"/>
        <v>214.9</v>
      </c>
      <c r="L3" vm="287">
        <f ca="1"/>
        <v>216.42</v>
      </c>
      <c r="M3" vm="288">
        <f ca="1"/>
        <v>218.09</v>
      </c>
      <c r="N3" vm="289">
        <f ca="1"/>
        <v>238.6</v>
      </c>
      <c r="O3" vm="290">
        <f ca="1"/>
        <v>234.56</v>
      </c>
      <c r="P3" vm="291">
        <f ca="1"/>
        <v>233.08</v>
      </c>
      <c r="Q3" vm="292">
        <f ca="1"/>
        <v>240.56</v>
      </c>
      <c r="R3" vm="293">
        <f ca="1"/>
        <v>238.03</v>
      </c>
      <c r="S3" vm="294">
        <f ca="1"/>
        <v>230.23</v>
      </c>
      <c r="T3" vm="295">
        <f ca="1"/>
        <v>234.99</v>
      </c>
      <c r="U3" vm="296">
        <f ca="1"/>
        <v>252.92</v>
      </c>
      <c r="V3" vm="297">
        <f ca="1"/>
        <v>259.67</v>
      </c>
      <c r="W3" vm="298">
        <f ca="1"/>
        <v>258.01</v>
      </c>
      <c r="X3" vm="299">
        <f ca="1"/>
        <v>264.33</v>
      </c>
      <c r="Y3" vm="300">
        <f ca="1"/>
        <v>254.84</v>
      </c>
      <c r="Z3" vm="301">
        <f ca="1"/>
        <v>256.12</v>
      </c>
      <c r="AA3" vm="302">
        <f ca="1"/>
        <v>259.64999999999998</v>
      </c>
      <c r="AB3" vm="303">
        <f ca="1"/>
        <v>250.05</v>
      </c>
      <c r="AC3" vm="304">
        <f ca="1"/>
        <v>256.33</v>
      </c>
      <c r="AD3" vm="305">
        <f ca="1"/>
        <v>237.7</v>
      </c>
      <c r="AE3" vm="306">
        <f ca="1"/>
        <v>233.54</v>
      </c>
      <c r="AF3" vm="307">
        <f ca="1"/>
        <v>243.98</v>
      </c>
      <c r="AG3" vm="308">
        <f ca="1"/>
        <v>237.52</v>
      </c>
      <c r="AH3" vm="309">
        <f ca="1"/>
        <v>258.89</v>
      </c>
      <c r="AI3" vm="310">
        <f ca="1"/>
        <v>247.96</v>
      </c>
      <c r="AJ3" vm="311">
        <f ca="1"/>
        <v>246.81</v>
      </c>
      <c r="AK3" vm="312">
        <f ca="1"/>
        <v>240.52</v>
      </c>
      <c r="AL3" vm="313">
        <f ca="1"/>
        <v>230.29</v>
      </c>
      <c r="AM3" vm="314">
        <f ca="1"/>
        <v>223.55</v>
      </c>
      <c r="AN3" vm="315">
        <f ca="1"/>
        <v>206.02</v>
      </c>
      <c r="AO3" vm="316">
        <f ca="1"/>
        <v>203.78</v>
      </c>
      <c r="AP3" vm="317">
        <f ca="1"/>
        <v>215.05</v>
      </c>
      <c r="AQ3" vm="318">
        <f ca="1"/>
        <v>206.13</v>
      </c>
      <c r="AR3" vm="319">
        <f ca="1"/>
        <v>214.24</v>
      </c>
      <c r="AS3" vm="320">
        <f ca="1"/>
        <v>217.53</v>
      </c>
      <c r="AT3" vm="321">
        <f ca="1"/>
        <v>219.76</v>
      </c>
      <c r="AU3" vm="322">
        <f ca="1"/>
        <v>215.24</v>
      </c>
      <c r="AV3" vm="323">
        <f ca="1"/>
        <v>217.6</v>
      </c>
      <c r="AW3" vm="324">
        <f ca="1"/>
        <v>215.98</v>
      </c>
      <c r="AX3" vm="325">
        <f ca="1"/>
        <v>217.97</v>
      </c>
      <c r="AY3" vm="326">
        <f ca="1"/>
        <v>221.11</v>
      </c>
      <c r="AZ3" vm="327">
        <f ca="1"/>
        <v>221.62</v>
      </c>
      <c r="BA3" vm="328">
        <f ca="1"/>
        <v>221.42</v>
      </c>
      <c r="BB3" vm="329">
        <f ca="1"/>
        <v>221.43</v>
      </c>
      <c r="BC3" vm="330">
        <f ca="1"/>
        <v>210.78</v>
      </c>
      <c r="BD3" vm="331">
        <f ca="1"/>
        <v>207.58</v>
      </c>
      <c r="BE3" vm="332">
        <f ca="1"/>
        <v>209.17</v>
      </c>
      <c r="BF3" vm="333">
        <f ca="1"/>
        <v>198.11</v>
      </c>
      <c r="BG3" vm="334">
        <f ca="1"/>
        <v>201.06</v>
      </c>
      <c r="BH3" vm="335">
        <f ca="1"/>
        <v>213.43</v>
      </c>
      <c r="BI3" vm="336">
        <f ca="1"/>
        <v>214.95</v>
      </c>
      <c r="BJ3" vm="286">
        <f ca="1"/>
        <v>214.9</v>
      </c>
      <c r="BK3" vm="337">
        <f ca="1"/>
        <v>215.04</v>
      </c>
      <c r="BL3" vm="338">
        <f ca="1"/>
        <v>214.99</v>
      </c>
      <c r="BM3" vm="339">
        <f ca="1"/>
        <v>215.61</v>
      </c>
      <c r="BN3" vm="340">
        <f ca="1"/>
        <v>215.34</v>
      </c>
      <c r="BO3" vm="341">
        <f ca="1"/>
        <v>214.16</v>
      </c>
      <c r="BP3" vm="342">
        <f ca="1"/>
        <v>223.47</v>
      </c>
      <c r="BQ3" vm="343">
        <f ca="1"/>
        <v>221.08</v>
      </c>
      <c r="BR3" vm="344">
        <f ca="1"/>
        <v>214.35</v>
      </c>
      <c r="BS3" vm="345">
        <f ca="1"/>
        <v>210.02</v>
      </c>
      <c r="BT3" vm="346">
        <f ca="1"/>
        <v>204.68</v>
      </c>
      <c r="BU3" vm="347">
        <f ca="1"/>
        <v>203.17</v>
      </c>
      <c r="BV3" vm="348">
        <f ca="1"/>
        <v>207.69</v>
      </c>
      <c r="BW3" vm="349">
        <f ca="1"/>
        <v>220.97</v>
      </c>
      <c r="BX3" vm="350">
        <f ca="1"/>
        <v>223.6</v>
      </c>
      <c r="BY3" vm="351">
        <f ca="1"/>
        <v>227.92</v>
      </c>
      <c r="BZ3" vm="352">
        <f ca="1"/>
        <v>231.83</v>
      </c>
      <c r="CA3" vm="353">
        <f ca="1"/>
        <v>231.92</v>
      </c>
      <c r="CB3" vm="354">
        <f ca="1"/>
        <v>249.8</v>
      </c>
      <c r="CC3" vm="355">
        <f ca="1"/>
        <v>253.73</v>
      </c>
      <c r="CD3" vm="356">
        <f ca="1"/>
        <v>259.68</v>
      </c>
      <c r="CE3" vm="357">
        <f ca="1"/>
        <v>251.31</v>
      </c>
      <c r="CF3" vm="358">
        <f ca="1"/>
        <v>252.03</v>
      </c>
      <c r="CG3" vm="359">
        <f ca="1"/>
        <v>252.74</v>
      </c>
      <c r="CH3" vm="360">
        <f ca="1"/>
        <v>252.18</v>
      </c>
      <c r="CI3" vm="361">
        <f ca="1"/>
        <v>236.73</v>
      </c>
      <c r="CJ3" vm="362">
        <f ca="1"/>
        <v>246.27</v>
      </c>
      <c r="CK3" vm="363">
        <f ca="1"/>
        <v>242.11</v>
      </c>
      <c r="CL3" vm="364">
        <f ca="1"/>
        <v>200.19</v>
      </c>
      <c r="CM3" vm="365">
        <f ca="1"/>
        <v>192.5</v>
      </c>
      <c r="CN3" vm="366">
        <f ca="1"/>
        <v>208.44</v>
      </c>
      <c r="CO3" vm="367">
        <f ca="1"/>
        <v>216</v>
      </c>
      <c r="CP3" vm="368">
        <f ca="1"/>
        <v>213.57</v>
      </c>
      <c r="CQ3" vm="369">
        <f ca="1"/>
        <v>213.58</v>
      </c>
      <c r="CR3" vm="370">
        <f ca="1"/>
        <v>205.94</v>
      </c>
      <c r="CS3" vm="371">
        <f ca="1"/>
        <v>207.32</v>
      </c>
      <c r="CT3" vm="372">
        <f ca="1"/>
        <v>203.08</v>
      </c>
      <c r="CU3" vm="373">
        <f ca="1"/>
        <v>200.12</v>
      </c>
      <c r="CV3" vm="374">
        <f ca="1"/>
        <v>203.37</v>
      </c>
      <c r="CW3" vm="375">
        <f ca="1"/>
        <v>200.15</v>
      </c>
      <c r="CX3" vm="376">
        <f ca="1"/>
        <v>196.6</v>
      </c>
      <c r="CY3" vm="377">
        <f ca="1"/>
        <v>213.84</v>
      </c>
      <c r="CZ3" vm="378">
        <f ca="1"/>
        <v>210.86</v>
      </c>
      <c r="DA3" vm="379">
        <f ca="1"/>
        <v>203.68</v>
      </c>
      <c r="DB3" vm="380">
        <f ca="1"/>
        <v>200.21</v>
      </c>
      <c r="DC3" vm="381">
        <f ca="1"/>
        <v>198.62</v>
      </c>
      <c r="DD3" vm="382">
        <f ca="1"/>
        <v>190.95</v>
      </c>
      <c r="DE3" vm="383">
        <f ca="1"/>
        <v>202.07</v>
      </c>
      <c r="DF3" vm="384">
        <f ca="1"/>
        <v>199.45</v>
      </c>
      <c r="DG3" vm="385">
        <f ca="1"/>
        <v>192.43</v>
      </c>
      <c r="DH3" vm="386">
        <f ca="1"/>
        <v>202.68</v>
      </c>
      <c r="DI3" vm="387">
        <f ca="1"/>
        <v>203.23</v>
      </c>
      <c r="DJ3" vm="388">
        <f ca="1"/>
        <v>204.83</v>
      </c>
      <c r="DK3" vm="389">
        <f ca="1"/>
        <v>197.74</v>
      </c>
      <c r="DL3" vm="390">
        <f ca="1"/>
        <v>193.39</v>
      </c>
      <c r="DM3" vm="391">
        <f ca="1"/>
        <v>196.58</v>
      </c>
      <c r="DN3" vm="392">
        <f ca="1"/>
        <v>196.31</v>
      </c>
      <c r="DO3" vm="393">
        <f ca="1"/>
        <v>199.46</v>
      </c>
      <c r="DP3" vm="394">
        <f ca="1"/>
        <v>205.27</v>
      </c>
      <c r="DQ3" vm="395">
        <f ca="1"/>
        <v>201.33</v>
      </c>
      <c r="DR3" vm="386">
        <f ca="1"/>
        <v>202.68</v>
      </c>
      <c r="DS3" vm="396">
        <f ca="1"/>
        <v>205.37</v>
      </c>
      <c r="DT3" vm="397">
        <f ca="1"/>
        <v>220.27</v>
      </c>
      <c r="DU3" vm="398">
        <f ca="1"/>
        <v>203.77</v>
      </c>
      <c r="DV3" vm="399">
        <f ca="1"/>
        <v>201.99</v>
      </c>
      <c r="DW3" vm="400">
        <f ca="1"/>
        <v>196.04</v>
      </c>
      <c r="DX3" vm="401">
        <f ca="1"/>
        <v>203.43</v>
      </c>
      <c r="DY3" vm="402">
        <f ca="1"/>
        <v>210.21</v>
      </c>
      <c r="DZ3" vm="403">
        <f ca="1"/>
        <v>217.5</v>
      </c>
      <c r="EA3" vm="404">
        <f ca="1"/>
        <v>220.18</v>
      </c>
      <c r="EB3" vm="405">
        <f ca="1"/>
        <v>221.53</v>
      </c>
      <c r="EC3" vm="406">
        <f ca="1"/>
        <v>231.82</v>
      </c>
      <c r="ED3" vm="407">
        <f ca="1"/>
        <v>236.64</v>
      </c>
      <c r="EE3" vm="408">
        <f ca="1"/>
        <v>245.04</v>
      </c>
      <c r="EF3" vm="409">
        <f ca="1"/>
        <v>246.83</v>
      </c>
      <c r="EG3" vm="410">
        <f ca="1"/>
        <v>255.07</v>
      </c>
      <c r="EH3" vm="411">
        <f ca="1"/>
        <v>258.12</v>
      </c>
      <c r="EI3" vm="412">
        <f ca="1"/>
        <v>278.26</v>
      </c>
      <c r="EJ3" vm="413">
        <f ca="1"/>
        <v>278.39</v>
      </c>
      <c r="EK3" vm="414">
        <f ca="1"/>
        <v>274.95</v>
      </c>
      <c r="EL3" vm="415">
        <f ca="1"/>
        <v>284.49</v>
      </c>
      <c r="EM3" vm="416">
        <f ca="1"/>
        <v>303.45999999999998</v>
      </c>
      <c r="EN3" vm="417">
        <f ca="1"/>
        <v>305.33</v>
      </c>
      <c r="EO3" vm="418">
        <f ca="1"/>
        <v>347.81</v>
      </c>
      <c r="EP3" vm="419">
        <f ca="1"/>
        <v>334.63</v>
      </c>
      <c r="EQ3" vm="420">
        <f ca="1"/>
        <v>323.20999999999998</v>
      </c>
      <c r="ER3" vm="421">
        <f ca="1"/>
        <v>337.11</v>
      </c>
      <c r="ES3" vm="422">
        <f ca="1"/>
        <v>354.49</v>
      </c>
      <c r="ET3" vm="423">
        <f ca="1"/>
        <v>360.54</v>
      </c>
      <c r="EU3" vm="424">
        <f ca="1"/>
        <v>341.54</v>
      </c>
      <c r="EV3" vm="425">
        <f ca="1"/>
        <v>355.26</v>
      </c>
      <c r="EW3" vm="426">
        <f ca="1"/>
        <v>421.39</v>
      </c>
      <c r="EX3" vm="427">
        <f ca="1"/>
        <v>408.46</v>
      </c>
      <c r="EY3" vm="428">
        <f ca="1"/>
        <v>455.19</v>
      </c>
      <c r="EZ3" vm="429">
        <f ca="1"/>
        <v>458.79</v>
      </c>
      <c r="FA3" vm="430">
        <f ca="1"/>
        <v>448.29</v>
      </c>
      <c r="FB3" vm="431">
        <f ca="1"/>
        <v>445.5</v>
      </c>
      <c r="FC3" vm="432">
        <f ca="1"/>
        <v>449.7</v>
      </c>
      <c r="FD3" vm="433">
        <f ca="1"/>
        <v>424.1</v>
      </c>
      <c r="FE3" vm="434">
        <f ca="1"/>
        <v>420.99</v>
      </c>
      <c r="FF3" vm="435">
        <f ca="1"/>
        <v>414.05</v>
      </c>
      <c r="FG3" vm="436">
        <f ca="1"/>
        <v>447.58</v>
      </c>
      <c r="FH3" vm="437">
        <f ca="1"/>
        <v>449.59</v>
      </c>
      <c r="FI3" vm="438">
        <f ca="1"/>
        <v>467.51</v>
      </c>
      <c r="FJ3" vm="439">
        <f ca="1"/>
        <v>503.89</v>
      </c>
      <c r="FK3" vm="440">
        <f ca="1"/>
        <v>495.54</v>
      </c>
      <c r="FL3" vm="441">
        <f ca="1"/>
        <v>518.09</v>
      </c>
      <c r="FM3" vm="442">
        <f ca="1"/>
        <v>516.1</v>
      </c>
      <c r="FN3" vm="443">
        <f ca="1"/>
        <v>510.13</v>
      </c>
      <c r="FO3" vm="444">
        <f ca="1"/>
        <v>521.54</v>
      </c>
      <c r="FP3" vm="445">
        <f ca="1"/>
        <v>542.52</v>
      </c>
      <c r="FQ3" vm="446">
        <f ca="1"/>
        <v>523.20000000000005</v>
      </c>
      <c r="FR3" vm="447">
        <f ca="1"/>
        <v>466.38</v>
      </c>
      <c r="FS3" vm="448">
        <f ca="1"/>
        <v>490.33</v>
      </c>
      <c r="FT3" vm="449">
        <f ca="1"/>
        <v>475.505</v>
      </c>
      <c r="FU3" vm="450">
        <f ca="1"/>
        <v>452.4</v>
      </c>
      <c r="FV3" vm="451">
        <f ca="1"/>
        <v>488.45</v>
      </c>
      <c r="FW3" vm="452">
        <f ca="1"/>
        <v>511.57</v>
      </c>
      <c r="FX3" vm="453">
        <f ca="1"/>
        <v>547.26</v>
      </c>
      <c r="FY3" vm="454">
        <f ca="1"/>
        <v>507.29</v>
      </c>
      <c r="FZ3" vm="455">
        <f ca="1"/>
        <v>512.48</v>
      </c>
      <c r="GA3" vm="456">
        <f ca="1"/>
        <v>537.37</v>
      </c>
      <c r="GB3" vm="457">
        <f ca="1"/>
        <v>551.63</v>
      </c>
      <c r="GC3" vm="458">
        <f ca="1"/>
        <v>519.85</v>
      </c>
      <c r="GD3" vm="459">
        <f ca="1"/>
        <v>519.74</v>
      </c>
      <c r="GE3" vm="460">
        <f ca="1"/>
        <v>532.57000000000005</v>
      </c>
      <c r="GF3" vm="461">
        <f ca="1"/>
        <v>521.58000000000004</v>
      </c>
      <c r="GG3" vm="462">
        <f ca="1"/>
        <v>539.49</v>
      </c>
      <c r="GH3" vm="463">
        <f ca="1"/>
        <v>580.91</v>
      </c>
      <c r="GI3" vm="464">
        <f ca="1"/>
        <v>540.88</v>
      </c>
      <c r="GJ3" vm="465">
        <f ca="1"/>
        <v>517.82000000000005</v>
      </c>
      <c r="GK3" vm="466">
        <f ca="1"/>
        <v>552.04999999999995</v>
      </c>
      <c r="GL3" vm="467">
        <f ca="1"/>
        <v>516.11</v>
      </c>
      <c r="GM3" vm="468">
        <f ca="1"/>
        <v>517.40499999999997</v>
      </c>
      <c r="GN3" vm="469">
        <f ca="1"/>
        <v>546.72</v>
      </c>
      <c r="GO3" vm="470">
        <f ca="1"/>
        <v>557.89</v>
      </c>
      <c r="GP3" vm="471">
        <f ca="1"/>
        <v>534.39</v>
      </c>
      <c r="GQ3" vm="472">
        <f ca="1"/>
        <v>548.13</v>
      </c>
      <c r="GR3" vm="473">
        <f ca="1"/>
        <v>529.14</v>
      </c>
      <c r="GS3" vm="474">
        <f ca="1"/>
        <v>500.94</v>
      </c>
      <c r="GT3" vm="475">
        <f ca="1"/>
        <v>495.76</v>
      </c>
      <c r="GU3" vm="476">
        <f ca="1"/>
        <v>503.57</v>
      </c>
      <c r="GV3" vm="477">
        <f ca="1"/>
        <v>544.42999999999995</v>
      </c>
      <c r="GW3" vm="478">
        <f ca="1"/>
        <v>552.33000000000004</v>
      </c>
      <c r="GX3" vm="479">
        <f ca="1"/>
        <v>539.69000000000005</v>
      </c>
      <c r="GY3" vm="480">
        <f ca="1"/>
        <v>521.95000000000005</v>
      </c>
      <c r="GZ3" vm="481">
        <f ca="1"/>
        <v>494.95</v>
      </c>
      <c r="HA3" vm="482">
        <f ca="1"/>
        <v>454.62</v>
      </c>
      <c r="HB3" vm="483">
        <f ca="1"/>
        <v>429.56</v>
      </c>
      <c r="HC3" vm="484">
        <f ca="1"/>
        <v>485.39</v>
      </c>
      <c r="HD3" vm="485">
        <f ca="1"/>
        <v>476.15</v>
      </c>
      <c r="HE3" vm="486">
        <f ca="1"/>
        <v>484.64</v>
      </c>
      <c r="HF3" vm="487">
        <f ca="1"/>
        <v>518.58000000000004</v>
      </c>
      <c r="HG3" vm="488">
        <f ca="1"/>
        <v>482.05</v>
      </c>
      <c r="HH3" vm="489">
        <f ca="1"/>
        <v>489.28</v>
      </c>
      <c r="HI3" vm="490">
        <f ca="1"/>
        <v>483.36</v>
      </c>
      <c r="HJ3" vm="491">
        <f ca="1"/>
        <v>469.56</v>
      </c>
      <c r="HK3" vm="492">
        <f ca="1"/>
        <v>474.32</v>
      </c>
      <c r="HL3" vm="493">
        <f ca="1"/>
        <v>482.93</v>
      </c>
      <c r="HM3" vm="494">
        <f ca="1"/>
        <v>483.01</v>
      </c>
      <c r="HN3" vm="495">
        <f ca="1"/>
        <v>514.39</v>
      </c>
      <c r="HO3" vm="496">
        <f ca="1"/>
        <v>506</v>
      </c>
      <c r="HP3" vm="497">
        <f ca="1"/>
        <v>484.39</v>
      </c>
      <c r="HQ3" vm="498">
        <f ca="1"/>
        <v>466.42</v>
      </c>
      <c r="HR3" vm="499">
        <f ca="1"/>
        <v>469.45499999999998</v>
      </c>
      <c r="HS3" vm="500">
        <f ca="1"/>
        <v>473.25</v>
      </c>
      <c r="HT3" vm="501">
        <f ca="1"/>
        <v>456.745</v>
      </c>
      <c r="HU3" vm="502">
        <f ca="1"/>
        <v>479.18</v>
      </c>
      <c r="HV3" vm="503">
        <f ca="1"/>
        <v>480.93</v>
      </c>
      <c r="HW3" vm="504">
        <f ca="1"/>
        <v>476.67</v>
      </c>
      <c r="HX3" vm="505">
        <f ca="1"/>
        <v>465.58</v>
      </c>
      <c r="HY3" vm="506">
        <f ca="1"/>
        <v>470.72</v>
      </c>
      <c r="HZ3" vm="507">
        <f ca="1"/>
        <v>459.61</v>
      </c>
      <c r="IA3" vm="508">
        <f ca="1"/>
        <v>457.06</v>
      </c>
      <c r="IB3" vm="509">
        <f ca="1"/>
        <v>456.16</v>
      </c>
      <c r="IC3" vm="510">
        <f ca="1"/>
        <v>477.57</v>
      </c>
      <c r="ID3" vm="511">
        <f ca="1"/>
        <v>505.74</v>
      </c>
      <c r="IE3" vm="512">
        <f ca="1"/>
        <v>521.09500000000003</v>
      </c>
      <c r="IF3" vm="513">
        <f ca="1"/>
        <v>503.6</v>
      </c>
      <c r="IG3" vm="514">
        <f ca="1"/>
        <v>516.13</v>
      </c>
      <c r="IH3" vm="515">
        <f ca="1"/>
        <v>493.41</v>
      </c>
      <c r="II3" vm="516">
        <f ca="1"/>
        <v>504.2</v>
      </c>
      <c r="IJ3" vm="517">
        <f ca="1"/>
        <v>512.5</v>
      </c>
      <c r="IK3" vm="518">
        <f ca="1"/>
        <v>545.09</v>
      </c>
      <c r="IL3" vm="519">
        <f ca="1"/>
        <v>559.82000000000005</v>
      </c>
      <c r="IM3" vm="520">
        <f ca="1"/>
        <v>615.52</v>
      </c>
      <c r="IN3" vm="521">
        <f ca="1"/>
        <v>623.77</v>
      </c>
      <c r="IO3" vm="522">
        <f ca="1"/>
        <v>614.61</v>
      </c>
      <c r="IP3" vm="523">
        <f ca="1"/>
        <v>629.26</v>
      </c>
      <c r="IQ3" vm="524">
        <f ca="1"/>
        <v>630.63</v>
      </c>
      <c r="IR3" vm="525">
        <f ca="1"/>
        <v>607.87</v>
      </c>
    </row>
    <row r="4" spans="1:252" x14ac:dyDescent="0.35">
      <c r="A4" t="e" vm="2">
        <f>Dashboard!B8</f>
        <v>#VALUE!</v>
      </c>
      <c r="B4" cm="1" vm="526">
        <f t="array" aca="1" ref="B4:IR4" ca="1">TRANSPOSE(_xlfn.STOCKHISTORY(A4,TODAY()-365,TODAY(),0,0,1))</f>
        <v>244.36</v>
      </c>
      <c r="C4" vm="527">
        <f ca="1"/>
        <v>243.55</v>
      </c>
      <c r="D4" vm="528">
        <f ca="1"/>
        <v>245.54</v>
      </c>
      <c r="E4" vm="529">
        <f ca="1"/>
        <v>246.43</v>
      </c>
      <c r="F4" vm="530">
        <f ca="1"/>
        <v>246.45</v>
      </c>
      <c r="G4" vm="531">
        <f ca="1"/>
        <v>251.51</v>
      </c>
      <c r="H4" vm="532">
        <f ca="1"/>
        <v>247.13</v>
      </c>
      <c r="I4" vm="533">
        <f ca="1"/>
        <v>245.46</v>
      </c>
      <c r="J4" vm="534">
        <f ca="1"/>
        <v>242.21</v>
      </c>
      <c r="K4" vm="535">
        <f ca="1"/>
        <v>237.49</v>
      </c>
      <c r="L4" vm="536">
        <f ca="1"/>
        <v>244.64</v>
      </c>
      <c r="M4" vm="537">
        <f ca="1"/>
        <v>246.19</v>
      </c>
      <c r="N4" vm="538">
        <f ca="1"/>
        <v>251.71</v>
      </c>
      <c r="O4" vm="539">
        <f ca="1"/>
        <v>251.88</v>
      </c>
      <c r="P4" vm="540">
        <f ca="1"/>
        <v>253.79</v>
      </c>
      <c r="Q4" vm="541">
        <f ca="1"/>
        <v>257.02</v>
      </c>
      <c r="R4" vm="542">
        <f ca="1"/>
        <v>251.34</v>
      </c>
      <c r="S4" vm="543">
        <f ca="1"/>
        <v>252.53</v>
      </c>
      <c r="T4" vm="355">
        <f ca="1"/>
        <v>253.73</v>
      </c>
      <c r="U4" vm="544">
        <f ca="1"/>
        <v>260.51</v>
      </c>
      <c r="V4" vm="545">
        <f ca="1"/>
        <v>269.93</v>
      </c>
      <c r="W4" vm="546">
        <f ca="1"/>
        <v>268.43</v>
      </c>
      <c r="X4" vm="547">
        <f ca="1"/>
        <v>275.17</v>
      </c>
      <c r="Y4" vm="548">
        <f ca="1"/>
        <v>281.89999999999998</v>
      </c>
      <c r="Z4" vm="549">
        <f ca="1"/>
        <v>281.82</v>
      </c>
      <c r="AA4" vm="550">
        <f ca="1"/>
        <v>284.12</v>
      </c>
      <c r="AB4" vm="551">
        <f ca="1"/>
        <v>278.06</v>
      </c>
      <c r="AC4" vm="552">
        <f ca="1"/>
        <v>284.75</v>
      </c>
      <c r="AD4" vm="553">
        <f ca="1"/>
        <v>285.33999999999997</v>
      </c>
      <c r="AE4" vm="554">
        <f ca="1"/>
        <v>279.7</v>
      </c>
      <c r="AF4" vm="555">
        <f ca="1"/>
        <v>290.58999999999997</v>
      </c>
      <c r="AG4" vm="556">
        <f ca="1"/>
        <v>291.74</v>
      </c>
      <c r="AH4" vm="557">
        <f ca="1"/>
        <v>287.43</v>
      </c>
      <c r="AI4" vm="558">
        <f ca="1"/>
        <v>279.12</v>
      </c>
      <c r="AJ4" vm="559">
        <f ca="1"/>
        <v>276.98</v>
      </c>
      <c r="AK4" vm="560">
        <f ca="1"/>
        <v>285.60000000000002</v>
      </c>
      <c r="AL4" vm="561">
        <f ca="1"/>
        <v>284.95999999999998</v>
      </c>
      <c r="AM4" vm="562">
        <f ca="1"/>
        <v>292.99</v>
      </c>
      <c r="AN4" vm="563">
        <f ca="1"/>
        <v>289.98</v>
      </c>
      <c r="AO4" vm="564">
        <f ca="1"/>
        <v>299.64999999999998</v>
      </c>
      <c r="AP4" vm="565">
        <f ca="1"/>
        <v>318.47000000000003</v>
      </c>
      <c r="AQ4" vm="566">
        <f ca="1"/>
        <v>323.64</v>
      </c>
      <c r="AR4" vm="567">
        <f ca="1"/>
        <v>320.27999999999997</v>
      </c>
      <c r="AS4" vm="568">
        <f ca="1"/>
        <v>320.12</v>
      </c>
      <c r="AT4" vm="569">
        <f ca="1"/>
        <v>315.12</v>
      </c>
      <c r="AU4" vm="570">
        <f ca="1"/>
        <v>316.02</v>
      </c>
      <c r="AV4" vm="571">
        <f ca="1"/>
        <v>320.62</v>
      </c>
      <c r="AW4" vm="572">
        <f ca="1"/>
        <v>318.39</v>
      </c>
      <c r="AX4" vm="573">
        <f ca="1"/>
        <v>322.08999999999997</v>
      </c>
      <c r="AY4" vm="574">
        <f ca="1"/>
        <v>314.45</v>
      </c>
      <c r="AZ4" vm="575">
        <f ca="1"/>
        <v>317.75</v>
      </c>
      <c r="BA4" vm="576">
        <f ca="1"/>
        <v>321</v>
      </c>
      <c r="BB4" vm="577">
        <f ca="1"/>
        <v>313.7</v>
      </c>
      <c r="BC4" vm="578">
        <f ca="1"/>
        <v>310.52</v>
      </c>
      <c r="BD4" vm="579">
        <f ca="1"/>
        <v>309.32</v>
      </c>
      <c r="BE4" vm="580">
        <f ca="1"/>
        <v>307.73</v>
      </c>
      <c r="BF4" vm="581">
        <f ca="1"/>
        <v>298.06</v>
      </c>
      <c r="BG4" vm="582">
        <f ca="1"/>
        <v>303.75</v>
      </c>
      <c r="BH4" vm="583">
        <f ca="1"/>
        <v>308.61</v>
      </c>
      <c r="BI4" vm="584">
        <f ca="1"/>
        <v>311.33</v>
      </c>
      <c r="BJ4" vm="585">
        <f ca="1"/>
        <v>315.68</v>
      </c>
      <c r="BK4" vm="586">
        <f ca="1"/>
        <v>315.67</v>
      </c>
      <c r="BL4" vm="587">
        <f ca="1"/>
        <v>314.95999999999998</v>
      </c>
      <c r="BM4" vm="588">
        <f ca="1"/>
        <v>314.39</v>
      </c>
      <c r="BN4" vm="589">
        <f ca="1"/>
        <v>314.55</v>
      </c>
      <c r="BO4" vm="590">
        <f ca="1"/>
        <v>313.8</v>
      </c>
      <c r="BP4" vm="591">
        <f ca="1"/>
        <v>315.32</v>
      </c>
      <c r="BQ4" vm="592">
        <f ca="1"/>
        <v>317.32</v>
      </c>
      <c r="BR4" vm="589">
        <f ca="1"/>
        <v>314.55</v>
      </c>
      <c r="BS4" vm="593">
        <f ca="1"/>
        <v>322.43</v>
      </c>
      <c r="BT4" vm="594">
        <f ca="1"/>
        <v>326.01</v>
      </c>
      <c r="BU4" vm="595">
        <f ca="1"/>
        <v>329.14</v>
      </c>
      <c r="BV4" vm="596">
        <f ca="1"/>
        <v>332.73</v>
      </c>
      <c r="BW4" vm="597">
        <f ca="1"/>
        <v>336.43</v>
      </c>
      <c r="BX4" vm="598">
        <f ca="1"/>
        <v>336.31</v>
      </c>
      <c r="BY4" vm="599">
        <f ca="1"/>
        <v>333.16</v>
      </c>
      <c r="BZ4" vm="600">
        <f ca="1"/>
        <v>330.34</v>
      </c>
      <c r="CA4" vm="601">
        <f ca="1"/>
        <v>322.16000000000003</v>
      </c>
      <c r="CB4" vm="602">
        <f ca="1"/>
        <v>328.38</v>
      </c>
      <c r="CC4" vm="603">
        <f ca="1"/>
        <v>330.84</v>
      </c>
      <c r="CD4" vm="604">
        <f ca="1"/>
        <v>328.43</v>
      </c>
      <c r="CE4" vm="605">
        <f ca="1"/>
        <v>333.59</v>
      </c>
      <c r="CF4" vm="606">
        <f ca="1"/>
        <v>335</v>
      </c>
      <c r="CG4" vm="607">
        <f ca="1"/>
        <v>336.28</v>
      </c>
      <c r="CH4" vm="608">
        <f ca="1"/>
        <v>338.66</v>
      </c>
      <c r="CI4" vm="609">
        <f ca="1"/>
        <v>338.53</v>
      </c>
      <c r="CJ4" vm="610">
        <f ca="1"/>
        <v>344.9</v>
      </c>
      <c r="CK4" vm="611">
        <f ca="1"/>
        <v>340.7</v>
      </c>
      <c r="CL4" vm="612">
        <f ca="1"/>
        <v>333.34</v>
      </c>
      <c r="CM4" vm="613">
        <f ca="1"/>
        <v>331.33</v>
      </c>
      <c r="CN4" vm="614">
        <f ca="1"/>
        <v>323.10000000000002</v>
      </c>
      <c r="CO4" vm="615">
        <f ca="1"/>
        <v>324.39999999999998</v>
      </c>
      <c r="CP4" vm="616">
        <f ca="1"/>
        <v>318.63</v>
      </c>
      <c r="CQ4" vm="584">
        <f ca="1"/>
        <v>311.33</v>
      </c>
      <c r="CR4" vm="617">
        <f ca="1"/>
        <v>309.37</v>
      </c>
      <c r="CS4" vm="618">
        <f ca="1"/>
        <v>306.02</v>
      </c>
      <c r="CT4" vm="619">
        <f ca="1"/>
        <v>302.82</v>
      </c>
      <c r="CU4" vm="620">
        <f ca="1"/>
        <v>303.94</v>
      </c>
      <c r="CV4" vm="621">
        <f ca="1"/>
        <v>303.56</v>
      </c>
      <c r="CW4" vm="622">
        <f ca="1"/>
        <v>314.89999999999998</v>
      </c>
      <c r="CX4" vm="623">
        <f ca="1"/>
        <v>311.69</v>
      </c>
      <c r="CY4" vm="624">
        <f ca="1"/>
        <v>310.92</v>
      </c>
      <c r="CZ4" vm="625">
        <f ca="1"/>
        <v>313.02999999999997</v>
      </c>
      <c r="DA4" vm="626">
        <f ca="1"/>
        <v>307.14999999999998</v>
      </c>
      <c r="DB4" vm="627">
        <f ca="1"/>
        <v>311.43</v>
      </c>
      <c r="DC4" vm="628">
        <f ca="1"/>
        <v>306.36</v>
      </c>
      <c r="DD4" vm="621">
        <f ca="1"/>
        <v>303.56</v>
      </c>
      <c r="DE4" vm="629">
        <f ca="1"/>
        <v>303.45</v>
      </c>
      <c r="DF4" vm="630">
        <f ca="1"/>
        <v>300.91000000000003</v>
      </c>
      <c r="DG4" vm="631">
        <f ca="1"/>
        <v>298.3</v>
      </c>
      <c r="DH4" vm="632">
        <f ca="1"/>
        <v>306.01</v>
      </c>
      <c r="DI4" vm="633">
        <f ca="1"/>
        <v>306.93</v>
      </c>
      <c r="DJ4" vm="634">
        <f ca="1"/>
        <v>308.42</v>
      </c>
      <c r="DK4" vm="635">
        <f ca="1"/>
        <v>303.20999999999998</v>
      </c>
      <c r="DL4" vm="636">
        <f ca="1"/>
        <v>301.45999999999998</v>
      </c>
      <c r="DM4" vm="637">
        <f ca="1"/>
        <v>304.42</v>
      </c>
      <c r="DN4" vm="638">
        <f ca="1"/>
        <v>309.41000000000003</v>
      </c>
      <c r="DO4" vm="639">
        <f ca="1"/>
        <v>306.3</v>
      </c>
      <c r="DP4" vm="640">
        <f ca="1"/>
        <v>305.73</v>
      </c>
      <c r="DQ4" vm="641">
        <f ca="1"/>
        <v>298.79000000000002</v>
      </c>
      <c r="DR4" vm="642">
        <f ca="1"/>
        <v>299.02</v>
      </c>
      <c r="DS4" vm="643">
        <f ca="1"/>
        <v>289.2</v>
      </c>
      <c r="DT4" vm="644">
        <f ca="1"/>
        <v>289.58999999999997</v>
      </c>
      <c r="DU4" vm="645">
        <f ca="1"/>
        <v>280.74</v>
      </c>
      <c r="DV4" vm="646">
        <f ca="1"/>
        <v>273.76</v>
      </c>
      <c r="DW4" vm="647">
        <f ca="1"/>
        <v>273.14</v>
      </c>
      <c r="DX4" vm="648">
        <f ca="1"/>
        <v>286.86</v>
      </c>
      <c r="DY4" vm="649">
        <f ca="1"/>
        <v>294.89999999999998</v>
      </c>
      <c r="DZ4" vm="650">
        <f ca="1"/>
        <v>294.45999999999998</v>
      </c>
      <c r="EA4" vm="651">
        <f ca="1"/>
        <v>297.66000000000003</v>
      </c>
      <c r="EB4" vm="652">
        <f ca="1"/>
        <v>303.93</v>
      </c>
      <c r="EC4" vm="653">
        <f ca="1"/>
        <v>314.74</v>
      </c>
      <c r="ED4" vm="654">
        <f ca="1"/>
        <v>316.37</v>
      </c>
      <c r="EE4" vm="655">
        <f ca="1"/>
        <v>315.72000000000003</v>
      </c>
      <c r="EF4" vm="656">
        <f ca="1"/>
        <v>319.20999999999998</v>
      </c>
      <c r="EG4" vm="657">
        <f ca="1"/>
        <v>330.58</v>
      </c>
      <c r="EH4" vm="658">
        <f ca="1"/>
        <v>334.47</v>
      </c>
      <c r="EI4" vm="659">
        <f ca="1"/>
        <v>332.77</v>
      </c>
      <c r="EJ4" vm="660">
        <f ca="1"/>
        <v>339.4</v>
      </c>
      <c r="EK4" vm="661">
        <f ca="1"/>
        <v>335.4</v>
      </c>
      <c r="EL4" vm="662">
        <f ca="1"/>
        <v>330.47</v>
      </c>
      <c r="EM4" vm="663">
        <f ca="1"/>
        <v>337.73</v>
      </c>
      <c r="EN4" vm="664">
        <f ca="1"/>
        <v>337.75</v>
      </c>
      <c r="EO4" vm="665">
        <f ca="1"/>
        <v>342.32</v>
      </c>
      <c r="EP4" vm="666">
        <f ca="1"/>
        <v>348.52</v>
      </c>
      <c r="EQ4" vm="667">
        <f ca="1"/>
        <v>347.5</v>
      </c>
      <c r="ER4" vm="668">
        <f ca="1"/>
        <v>347.31</v>
      </c>
      <c r="ES4" vm="669">
        <f ca="1"/>
        <v>381.94</v>
      </c>
      <c r="ET4" vm="670">
        <f ca="1"/>
        <v>383.22</v>
      </c>
      <c r="EU4" vm="671">
        <f ca="1"/>
        <v>379.64</v>
      </c>
      <c r="EV4" vm="672">
        <f ca="1"/>
        <v>384.27</v>
      </c>
      <c r="EW4" vm="673">
        <f ca="1"/>
        <v>395.14</v>
      </c>
      <c r="EX4" vm="674">
        <f ca="1"/>
        <v>395.3</v>
      </c>
      <c r="EY4" vm="675">
        <f ca="1"/>
        <v>397.05</v>
      </c>
      <c r="EZ4" vm="676">
        <f ca="1"/>
        <v>386.77</v>
      </c>
      <c r="FA4" vm="677">
        <f ca="1"/>
        <v>383.82</v>
      </c>
      <c r="FB4" vm="678">
        <f ca="1"/>
        <v>399.04</v>
      </c>
      <c r="FC4" vm="679">
        <f ca="1"/>
        <v>397.17</v>
      </c>
      <c r="FD4" vm="680">
        <f ca="1"/>
        <v>393.32</v>
      </c>
      <c r="FE4" vm="681">
        <f ca="1"/>
        <v>393.11</v>
      </c>
      <c r="FF4" vm="682">
        <f ca="1"/>
        <v>384.9</v>
      </c>
      <c r="FG4" vm="682">
        <f ca="1"/>
        <v>384.9</v>
      </c>
      <c r="FH4" vm="683">
        <f ca="1"/>
        <v>383.47</v>
      </c>
      <c r="FI4" vm="684">
        <f ca="1"/>
        <v>379.38</v>
      </c>
      <c r="FJ4" vm="685">
        <f ca="1"/>
        <v>384.84</v>
      </c>
      <c r="FK4" vm="686">
        <f ca="1"/>
        <v>384.83</v>
      </c>
      <c r="FL4" vm="687">
        <f ca="1"/>
        <v>386.12</v>
      </c>
      <c r="FM4" vm="688">
        <f ca="1"/>
        <v>376.43</v>
      </c>
      <c r="FN4" vm="689">
        <f ca="1"/>
        <v>372.58</v>
      </c>
      <c r="FO4" vm="690">
        <f ca="1"/>
        <v>358.39</v>
      </c>
      <c r="FP4" vm="691">
        <f ca="1"/>
        <v>355.68</v>
      </c>
      <c r="FQ4" vm="692">
        <f ca="1"/>
        <v>369.27</v>
      </c>
      <c r="FR4" vm="693">
        <f ca="1"/>
        <v>365.76</v>
      </c>
      <c r="FS4" vm="694">
        <f ca="1"/>
        <v>361.17</v>
      </c>
      <c r="FT4" vm="695">
        <f ca="1"/>
        <v>362.29</v>
      </c>
      <c r="FU4" vm="696">
        <f ca="1"/>
        <v>353.32</v>
      </c>
      <c r="FV4" vm="697">
        <f ca="1"/>
        <v>356.56</v>
      </c>
      <c r="FW4" vm="698">
        <f ca="1"/>
        <v>358.16</v>
      </c>
      <c r="FX4" vm="699">
        <f ca="1"/>
        <v>367.11</v>
      </c>
      <c r="FY4" vm="700">
        <f ca="1"/>
        <v>371.1</v>
      </c>
      <c r="FZ4" vm="701">
        <f ca="1"/>
        <v>362.1</v>
      </c>
      <c r="GA4" vm="702">
        <f ca="1"/>
        <v>367.46</v>
      </c>
      <c r="GB4" vm="703">
        <f ca="1"/>
        <v>348.78</v>
      </c>
      <c r="GC4" vm="704">
        <f ca="1"/>
        <v>346.08</v>
      </c>
      <c r="GD4" vm="705">
        <f ca="1"/>
        <v>345.04</v>
      </c>
      <c r="GE4" vm="706">
        <f ca="1"/>
        <v>342.19</v>
      </c>
      <c r="GF4" vm="707">
        <f ca="1"/>
        <v>334.69</v>
      </c>
      <c r="GG4" vm="708">
        <f ca="1"/>
        <v>351.28</v>
      </c>
      <c r="GH4" vm="709">
        <f ca="1"/>
        <v>353.33</v>
      </c>
      <c r="GI4" vm="710">
        <f ca="1"/>
        <v>357.89</v>
      </c>
      <c r="GJ4" vm="711">
        <f ca="1"/>
        <v>356.18</v>
      </c>
      <c r="GK4" vm="712">
        <f ca="1"/>
        <v>364.9</v>
      </c>
      <c r="GL4" vm="713">
        <f ca="1"/>
        <v>363.62</v>
      </c>
      <c r="GM4" vm="714">
        <f ca="1"/>
        <v>358.71</v>
      </c>
      <c r="GN4" vm="715">
        <f ca="1"/>
        <v>356.24</v>
      </c>
      <c r="GO4" vm="716">
        <f ca="1"/>
        <v>355.03</v>
      </c>
      <c r="GP4" vm="717">
        <f ca="1"/>
        <v>350.67</v>
      </c>
      <c r="GQ4" vm="718">
        <f ca="1"/>
        <v>357.33</v>
      </c>
      <c r="GR4" vm="719">
        <f ca="1"/>
        <v>370.21</v>
      </c>
      <c r="GS4" vm="720">
        <f ca="1"/>
        <v>353.81</v>
      </c>
      <c r="GT4" vm="721">
        <f ca="1"/>
        <v>346.12</v>
      </c>
      <c r="GU4" vm="722">
        <f ca="1"/>
        <v>351.37</v>
      </c>
      <c r="GV4" vm="723">
        <f ca="1"/>
        <v>346.19</v>
      </c>
      <c r="GW4" vm="724">
        <f ca="1"/>
        <v>341.91</v>
      </c>
      <c r="GX4" vm="725">
        <f ca="1"/>
        <v>318.33999999999997</v>
      </c>
      <c r="GY4" vm="726">
        <f ca="1"/>
        <v>319.08999999999997</v>
      </c>
      <c r="GZ4" vm="727">
        <f ca="1"/>
        <v>326.57</v>
      </c>
      <c r="HA4" vm="728">
        <f ca="1"/>
        <v>332.6</v>
      </c>
      <c r="HB4" vm="729">
        <f ca="1"/>
        <v>335.76</v>
      </c>
      <c r="HC4" vm="730">
        <f ca="1"/>
        <v>333.68</v>
      </c>
      <c r="HD4" vm="731">
        <f ca="1"/>
        <v>356.65</v>
      </c>
      <c r="HE4" vm="732">
        <f ca="1"/>
        <v>372.47</v>
      </c>
      <c r="HF4" vm="733">
        <f ca="1"/>
        <v>375.35</v>
      </c>
      <c r="HG4" vm="734">
        <f ca="1"/>
        <v>360.13</v>
      </c>
      <c r="HH4" vm="735">
        <f ca="1"/>
        <v>356.62</v>
      </c>
      <c r="HI4" vm="736">
        <f ca="1"/>
        <v>353.47</v>
      </c>
      <c r="HJ4" vm="737">
        <f ca="1"/>
        <v>355.84</v>
      </c>
      <c r="HK4" vm="738">
        <f ca="1"/>
        <v>343</v>
      </c>
      <c r="HL4" vm="739">
        <f ca="1"/>
        <v>342.37</v>
      </c>
      <c r="HM4" vm="740">
        <f ca="1"/>
        <v>343.94</v>
      </c>
      <c r="HN4" vm="741">
        <f ca="1"/>
        <v>343.54</v>
      </c>
      <c r="HO4" vm="742">
        <f ca="1"/>
        <v>341.45</v>
      </c>
      <c r="HP4" vm="743">
        <f ca="1"/>
        <v>341.28</v>
      </c>
      <c r="HQ4" vm="744">
        <f ca="1"/>
        <v>341.7</v>
      </c>
      <c r="HR4" vm="745">
        <f ca="1"/>
        <v>338.2</v>
      </c>
      <c r="HS4" vm="746">
        <f ca="1"/>
        <v>341.75</v>
      </c>
      <c r="HT4" vm="747">
        <f ca="1"/>
        <v>344.59</v>
      </c>
      <c r="HU4" vm="748">
        <f ca="1"/>
        <v>343.34</v>
      </c>
      <c r="HV4" vm="749">
        <f ca="1"/>
        <v>339.1</v>
      </c>
      <c r="HW4" vm="750">
        <f ca="1"/>
        <v>337.71</v>
      </c>
      <c r="HX4" vm="751">
        <f ca="1"/>
        <v>342.88</v>
      </c>
      <c r="HY4" vm="752">
        <f ca="1"/>
        <v>335.41</v>
      </c>
      <c r="HZ4" vm="753">
        <f ca="1"/>
        <v>332.03</v>
      </c>
      <c r="IA4" vm="754">
        <f ca="1"/>
        <v>333.78</v>
      </c>
      <c r="IB4" vm="755">
        <f ca="1"/>
        <v>339.08</v>
      </c>
      <c r="IC4" vm="756">
        <f ca="1"/>
        <v>335.31</v>
      </c>
      <c r="ID4" vm="757">
        <f ca="1"/>
        <v>335.38</v>
      </c>
      <c r="IE4" vm="602">
        <f ca="1"/>
        <v>328.38</v>
      </c>
      <c r="IF4" vm="758">
        <f ca="1"/>
        <v>330.39</v>
      </c>
      <c r="IG4" vm="759">
        <f ca="1"/>
        <v>335.45</v>
      </c>
      <c r="IH4" vm="760">
        <f ca="1"/>
        <v>345.71</v>
      </c>
      <c r="II4" vm="761">
        <f ca="1"/>
        <v>341.43</v>
      </c>
      <c r="IJ4" vm="762">
        <f ca="1"/>
        <v>339.36</v>
      </c>
      <c r="IK4" vm="763">
        <f ca="1"/>
        <v>343.68</v>
      </c>
      <c r="IL4" vm="764">
        <f ca="1"/>
        <v>344.41</v>
      </c>
      <c r="IM4" vm="765">
        <f ca="1"/>
        <v>350.87</v>
      </c>
      <c r="IN4" vm="766">
        <f ca="1"/>
        <v>347.41</v>
      </c>
      <c r="IO4" vm="767">
        <f ca="1"/>
        <v>334.98</v>
      </c>
      <c r="IP4" vm="768">
        <f ca="1"/>
        <v>339.01</v>
      </c>
      <c r="IQ4" vm="769">
        <f ca="1"/>
        <v>341.08</v>
      </c>
      <c r="IR4" vm="770">
        <f ca="1"/>
        <v>339.16</v>
      </c>
    </row>
    <row r="5" spans="1:252" x14ac:dyDescent="0.35">
      <c r="A5" t="e" vm="3">
        <f>Dashboard!B9</f>
        <v>#VALUE!</v>
      </c>
      <c r="B5" cm="1" vm="771">
        <f t="array" aca="1" ref="B5:IR5" ca="1">TRANSPOSE(_xlfn.STOCKHISTORY(A5,TODAY()-365,TODAY(),0,0,1))</f>
        <v>222.17</v>
      </c>
      <c r="C5" vm="772">
        <f ca="1"/>
        <v>219.57</v>
      </c>
      <c r="D5" vm="773">
        <f ca="1"/>
        <v>220.63</v>
      </c>
      <c r="E5" vm="774">
        <f ca="1"/>
        <v>222.41</v>
      </c>
      <c r="F5" vm="775">
        <f ca="1"/>
        <v>219.51</v>
      </c>
      <c r="G5" vm="776">
        <f ca="1"/>
        <v>220.9</v>
      </c>
      <c r="H5" vm="777">
        <f ca="1"/>
        <v>221.78</v>
      </c>
      <c r="I5" vm="778">
        <f ca="1"/>
        <v>225.22</v>
      </c>
      <c r="J5" vm="779">
        <f ca="1"/>
        <v>227.74</v>
      </c>
      <c r="K5" vm="780">
        <f ca="1"/>
        <v>216.37</v>
      </c>
      <c r="L5" vm="781">
        <f ca="1"/>
        <v>220.07</v>
      </c>
      <c r="M5" vm="782">
        <f ca="1"/>
        <v>216.39</v>
      </c>
      <c r="N5" vm="783">
        <f ca="1"/>
        <v>215.57</v>
      </c>
      <c r="O5" vm="784">
        <f ca="1"/>
        <v>214.47</v>
      </c>
      <c r="P5" vm="785">
        <f ca="1"/>
        <v>213.04</v>
      </c>
      <c r="Q5" vm="786">
        <f ca="1"/>
        <v>216.48</v>
      </c>
      <c r="R5" vm="787">
        <f ca="1"/>
        <v>222.03</v>
      </c>
      <c r="S5" vm="788">
        <f ca="1"/>
        <v>217.95</v>
      </c>
      <c r="T5" vm="789">
        <f ca="1"/>
        <v>221.09</v>
      </c>
      <c r="U5" vm="790">
        <f ca="1"/>
        <v>224.21</v>
      </c>
      <c r="V5" vm="791">
        <f ca="1"/>
        <v>226.97</v>
      </c>
      <c r="W5" vm="792">
        <f ca="1"/>
        <v>229.25</v>
      </c>
      <c r="X5" vm="793">
        <f ca="1"/>
        <v>230.3</v>
      </c>
      <c r="Y5" vm="794">
        <f ca="1"/>
        <v>222.86</v>
      </c>
      <c r="Z5" vm="795">
        <f ca="1"/>
        <v>244.22</v>
      </c>
      <c r="AA5" vm="796">
        <f ca="1"/>
        <v>254</v>
      </c>
      <c r="AB5" vm="797">
        <f ca="1"/>
        <v>249.32</v>
      </c>
      <c r="AC5" vm="798">
        <f ca="1"/>
        <v>250.2</v>
      </c>
      <c r="AD5" vm="799">
        <f ca="1"/>
        <v>243.04</v>
      </c>
      <c r="AE5" vm="800">
        <f ca="1"/>
        <v>244.41</v>
      </c>
      <c r="AF5" vm="801">
        <f ca="1"/>
        <v>248.4</v>
      </c>
      <c r="AG5" vm="802">
        <f ca="1"/>
        <v>249.1</v>
      </c>
      <c r="AH5" vm="803">
        <f ca="1"/>
        <v>244.2</v>
      </c>
      <c r="AI5" vm="804">
        <f ca="1"/>
        <v>237.58</v>
      </c>
      <c r="AJ5" vm="805">
        <f ca="1"/>
        <v>234.69</v>
      </c>
      <c r="AK5" vm="806">
        <f ca="1"/>
        <v>232.87</v>
      </c>
      <c r="AL5" vm="807">
        <f ca="1"/>
        <v>222.55</v>
      </c>
      <c r="AM5" vm="808">
        <f ca="1"/>
        <v>222.69</v>
      </c>
      <c r="AN5" vm="809">
        <f ca="1"/>
        <v>217.14</v>
      </c>
      <c r="AO5" vm="810">
        <f ca="1"/>
        <v>220.69</v>
      </c>
      <c r="AP5" vm="811">
        <f ca="1"/>
        <v>226.28</v>
      </c>
      <c r="AQ5" vm="812">
        <f ca="1"/>
        <v>229.67</v>
      </c>
      <c r="AR5" vm="813">
        <f ca="1"/>
        <v>229.16</v>
      </c>
      <c r="AS5" vm="814">
        <f ca="1"/>
        <v>233.22</v>
      </c>
      <c r="AT5" vm="815">
        <f ca="1"/>
        <v>233.88</v>
      </c>
      <c r="AU5" vm="816">
        <f ca="1"/>
        <v>234.42</v>
      </c>
      <c r="AV5" vm="817">
        <f ca="1"/>
        <v>232.38</v>
      </c>
      <c r="AW5" vm="818">
        <f ca="1"/>
        <v>229.11</v>
      </c>
      <c r="AX5" vm="819">
        <f ca="1"/>
        <v>229.53</v>
      </c>
      <c r="AY5" vm="820">
        <f ca="1"/>
        <v>226.89</v>
      </c>
      <c r="AZ5" vm="351">
        <f ca="1"/>
        <v>227.92</v>
      </c>
      <c r="BA5" vm="821">
        <f ca="1"/>
        <v>231.78</v>
      </c>
      <c r="BB5" vm="822">
        <f ca="1"/>
        <v>230.28</v>
      </c>
      <c r="BC5" vm="823">
        <f ca="1"/>
        <v>226.19</v>
      </c>
      <c r="BD5" vm="824">
        <f ca="1"/>
        <v>222.54</v>
      </c>
      <c r="BE5" vm="825">
        <f ca="1"/>
        <v>222.56</v>
      </c>
      <c r="BF5" vm="826">
        <f ca="1"/>
        <v>221.27</v>
      </c>
      <c r="BG5" vm="827">
        <f ca="1"/>
        <v>226.76</v>
      </c>
      <c r="BH5" vm="828">
        <f ca="1"/>
        <v>227.35</v>
      </c>
      <c r="BI5" vm="829">
        <f ca="1"/>
        <v>228.43</v>
      </c>
      <c r="BJ5" vm="830">
        <f ca="1"/>
        <v>232.14</v>
      </c>
      <c r="BK5" vm="817">
        <f ca="1"/>
        <v>232.38</v>
      </c>
      <c r="BL5" vm="831">
        <f ca="1"/>
        <v>232.52</v>
      </c>
      <c r="BM5" vm="832">
        <f ca="1"/>
        <v>232.07</v>
      </c>
      <c r="BN5" vm="833">
        <f ca="1"/>
        <v>232.53</v>
      </c>
      <c r="BO5" vm="834">
        <f ca="1"/>
        <v>230.82</v>
      </c>
      <c r="BP5" vm="835">
        <f ca="1"/>
        <v>226.5</v>
      </c>
      <c r="BQ5" vm="836">
        <f ca="1"/>
        <v>233.06</v>
      </c>
      <c r="BR5" vm="837">
        <f ca="1"/>
        <v>240.93</v>
      </c>
      <c r="BS5" vm="838">
        <f ca="1"/>
        <v>241.56</v>
      </c>
      <c r="BT5" vm="839">
        <f ca="1"/>
        <v>246.29</v>
      </c>
      <c r="BU5" vm="840">
        <f ca="1"/>
        <v>247.38</v>
      </c>
      <c r="BV5" vm="841">
        <f ca="1"/>
        <v>246.47</v>
      </c>
      <c r="BW5" vm="842">
        <f ca="1"/>
        <v>242.6</v>
      </c>
      <c r="BX5" vm="843">
        <f ca="1"/>
        <v>236.65</v>
      </c>
      <c r="BY5" vm="844">
        <f ca="1"/>
        <v>238.18</v>
      </c>
      <c r="BZ5" vm="845">
        <f ca="1"/>
        <v>239.12</v>
      </c>
      <c r="CA5" vm="846">
        <f ca="1"/>
        <v>231</v>
      </c>
      <c r="CB5" vm="847">
        <f ca="1"/>
        <v>231.31</v>
      </c>
      <c r="CC5" vm="848">
        <f ca="1"/>
        <v>234.34</v>
      </c>
      <c r="CD5" vm="849">
        <f ca="1"/>
        <v>239.16</v>
      </c>
      <c r="CE5" vm="850">
        <f ca="1"/>
        <v>238.42</v>
      </c>
      <c r="CF5" vm="851">
        <f ca="1"/>
        <v>244.68</v>
      </c>
      <c r="CG5" vm="852">
        <f ca="1"/>
        <v>243.01</v>
      </c>
      <c r="CH5" vm="853">
        <f ca="1"/>
        <v>241.73</v>
      </c>
      <c r="CI5" vm="854">
        <f ca="1"/>
        <v>239.3</v>
      </c>
      <c r="CJ5" vm="855">
        <f ca="1"/>
        <v>242.96</v>
      </c>
      <c r="CK5" vm="856">
        <f ca="1"/>
        <v>238.62</v>
      </c>
      <c r="CL5" vm="857">
        <f ca="1"/>
        <v>232.99</v>
      </c>
      <c r="CM5" vm="808">
        <f ca="1"/>
        <v>222.69</v>
      </c>
      <c r="CN5" vm="858">
        <f ca="1"/>
        <v>210.32</v>
      </c>
      <c r="CO5" vm="859">
        <f ca="1"/>
        <v>208.72</v>
      </c>
      <c r="CP5" vm="860">
        <f ca="1"/>
        <v>206.96</v>
      </c>
      <c r="CQ5" vm="861">
        <f ca="1"/>
        <v>204.08</v>
      </c>
      <c r="CR5" vm="862">
        <f ca="1"/>
        <v>199.6</v>
      </c>
      <c r="CS5" vm="863">
        <f ca="1"/>
        <v>198.79</v>
      </c>
      <c r="CT5" vm="864">
        <f ca="1"/>
        <v>201.15</v>
      </c>
      <c r="CU5" vm="865">
        <f ca="1"/>
        <v>204.79</v>
      </c>
      <c r="CV5" vm="866">
        <f ca="1"/>
        <v>204.86</v>
      </c>
      <c r="CW5" vm="867">
        <f ca="1"/>
        <v>210.11</v>
      </c>
      <c r="CX5" vm="394">
        <f ca="1"/>
        <v>205.27</v>
      </c>
      <c r="CY5" vm="868">
        <f ca="1"/>
        <v>208.56</v>
      </c>
      <c r="CZ5" vm="869">
        <f ca="1"/>
        <v>210.64</v>
      </c>
      <c r="DA5" vm="870">
        <f ca="1"/>
        <v>207.92</v>
      </c>
      <c r="DB5" vm="871">
        <f ca="1"/>
        <v>210</v>
      </c>
      <c r="DC5" vm="872">
        <f ca="1"/>
        <v>208.39</v>
      </c>
      <c r="DD5" vm="873">
        <f ca="1"/>
        <v>208.73</v>
      </c>
      <c r="DE5" vm="874">
        <f ca="1"/>
        <v>216.82</v>
      </c>
      <c r="DF5" vm="875">
        <f ca="1"/>
        <v>218.94</v>
      </c>
      <c r="DG5" vm="876">
        <f ca="1"/>
        <v>213.21</v>
      </c>
      <c r="DH5" vm="877">
        <f ca="1"/>
        <v>213.49</v>
      </c>
      <c r="DI5" vm="878">
        <f ca="1"/>
        <v>214.33</v>
      </c>
      <c r="DJ5" vm="879">
        <f ca="1"/>
        <v>212.65</v>
      </c>
      <c r="DK5" vm="880">
        <f ca="1"/>
        <v>209.53</v>
      </c>
      <c r="DL5" vm="881">
        <f ca="1"/>
        <v>207.67</v>
      </c>
      <c r="DM5" vm="882">
        <f ca="1"/>
        <v>211.74</v>
      </c>
      <c r="DN5" vm="883">
        <f ca="1"/>
        <v>215.2</v>
      </c>
      <c r="DO5" vm="884">
        <f ca="1"/>
        <v>209.87</v>
      </c>
      <c r="DP5" vm="885">
        <f ca="1"/>
        <v>208.76</v>
      </c>
      <c r="DQ5" vm="396">
        <f ca="1"/>
        <v>205.37</v>
      </c>
      <c r="DR5" vm="886">
        <f ca="1"/>
        <v>210.14</v>
      </c>
      <c r="DS5" vm="887">
        <f ca="1"/>
        <v>207.24</v>
      </c>
      <c r="DT5" vm="888">
        <f ca="1"/>
        <v>211.71</v>
      </c>
      <c r="DU5" vm="889">
        <f ca="1"/>
        <v>207.54</v>
      </c>
      <c r="DV5" vm="890">
        <f ca="1"/>
        <v>199.34</v>
      </c>
      <c r="DW5" vm="891">
        <f ca="1"/>
        <v>200.95</v>
      </c>
      <c r="DX5" vm="892">
        <f ca="1"/>
        <v>208.27</v>
      </c>
      <c r="DY5" vm="893">
        <f ca="1"/>
        <v>210.57</v>
      </c>
      <c r="DZ5" vm="894">
        <f ca="1"/>
        <v>209.77</v>
      </c>
      <c r="EA5" vm="895">
        <f ca="1"/>
        <v>212.79</v>
      </c>
      <c r="EB5" vm="896">
        <f ca="1"/>
        <v>213.77</v>
      </c>
      <c r="EC5" vm="897">
        <f ca="1"/>
        <v>221.25</v>
      </c>
      <c r="ED5" vm="898">
        <f ca="1"/>
        <v>233.65</v>
      </c>
      <c r="EE5" vm="899">
        <f ca="1"/>
        <v>238.38</v>
      </c>
      <c r="EF5" vm="900">
        <f ca="1"/>
        <v>239.89</v>
      </c>
      <c r="EG5" vm="901">
        <f ca="1"/>
        <v>249.02</v>
      </c>
      <c r="EH5" vm="902">
        <f ca="1"/>
        <v>248.5</v>
      </c>
      <c r="EI5" vm="903">
        <f ca="1"/>
        <v>249.7</v>
      </c>
      <c r="EJ5" vm="904">
        <f ca="1"/>
        <v>250.56</v>
      </c>
      <c r="EK5" vm="905">
        <f ca="1"/>
        <v>248.28</v>
      </c>
      <c r="EL5" vm="906">
        <f ca="1"/>
        <v>249.91</v>
      </c>
      <c r="EM5" vm="907">
        <f ca="1"/>
        <v>255.36</v>
      </c>
      <c r="EN5" vm="908">
        <f ca="1"/>
        <v>255.08</v>
      </c>
      <c r="EO5" vm="909">
        <f ca="1"/>
        <v>263.99</v>
      </c>
      <c r="EP5" vm="910">
        <f ca="1"/>
        <v>261.12</v>
      </c>
      <c r="EQ5" vm="911">
        <f ca="1"/>
        <v>259.7</v>
      </c>
      <c r="ER5" vm="912">
        <f ca="1"/>
        <v>263.04000000000002</v>
      </c>
      <c r="ES5" vm="913">
        <f ca="1"/>
        <v>265.06</v>
      </c>
      <c r="ET5" vm="914">
        <f ca="1"/>
        <v>268.26</v>
      </c>
      <c r="EU5" vm="915">
        <f ca="1"/>
        <v>272.05</v>
      </c>
      <c r="EV5" vm="916">
        <f ca="1"/>
        <v>273.55</v>
      </c>
      <c r="EW5" vm="917">
        <f ca="1"/>
        <v>274.99</v>
      </c>
      <c r="EX5" vm="918">
        <f ca="1"/>
        <v>271.17</v>
      </c>
      <c r="EY5" vm="919">
        <f ca="1"/>
        <v>272.68</v>
      </c>
      <c r="EZ5" vm="920">
        <f ca="1"/>
        <v>268.99</v>
      </c>
      <c r="FA5" vm="921">
        <f ca="1"/>
        <v>265.82</v>
      </c>
      <c r="FB5" vm="922">
        <f ca="1"/>
        <v>270.13</v>
      </c>
      <c r="FC5" vm="923">
        <f ca="1"/>
        <v>267.22000000000003</v>
      </c>
      <c r="FD5" vm="924">
        <f ca="1"/>
        <v>264.14</v>
      </c>
      <c r="FE5" vm="925">
        <f ca="1"/>
        <v>264.86</v>
      </c>
      <c r="FF5" vm="926">
        <f ca="1"/>
        <v>259.33999999999997</v>
      </c>
      <c r="FG5" vm="927">
        <f ca="1"/>
        <v>265.01</v>
      </c>
      <c r="FH5" vm="928">
        <f ca="1"/>
        <v>268.45999999999998</v>
      </c>
      <c r="FI5" vm="929">
        <f ca="1"/>
        <v>266.32</v>
      </c>
      <c r="FJ5" vm="930">
        <f ca="1"/>
        <v>265.29000000000002</v>
      </c>
      <c r="FK5" vm="931">
        <f ca="1"/>
        <v>271.85000000000002</v>
      </c>
      <c r="FL5" vm="932">
        <f ca="1"/>
        <v>274</v>
      </c>
      <c r="FM5" vm="933">
        <f ca="1"/>
        <v>270.64</v>
      </c>
      <c r="FN5" vm="934">
        <f ca="1"/>
        <v>261.26</v>
      </c>
      <c r="FO5" vm="935">
        <f ca="1"/>
        <v>256.52</v>
      </c>
      <c r="FP5" vm="936">
        <f ca="1"/>
        <v>250.02</v>
      </c>
      <c r="FQ5" vm="540">
        <f ca="1"/>
        <v>253.79</v>
      </c>
      <c r="FR5" vm="937">
        <f ca="1"/>
        <v>246.03</v>
      </c>
      <c r="FS5" vm="938">
        <f ca="1"/>
        <v>245.22</v>
      </c>
      <c r="FT5" vm="939">
        <f ca="1"/>
        <v>244.19</v>
      </c>
      <c r="FU5" vm="940">
        <f ca="1"/>
        <v>238</v>
      </c>
      <c r="FV5" vm="941">
        <f ca="1"/>
        <v>241.51</v>
      </c>
      <c r="FW5" vm="942">
        <f ca="1"/>
        <v>238.55</v>
      </c>
      <c r="FX5" vm="943">
        <f ca="1"/>
        <v>246.02</v>
      </c>
      <c r="FY5" vm="944">
        <f ca="1"/>
        <v>246</v>
      </c>
      <c r="FZ5" vm="945">
        <f ca="1"/>
        <v>237.5</v>
      </c>
      <c r="GA5" vm="946">
        <f ca="1"/>
        <v>244.39</v>
      </c>
      <c r="GB5" vm="947">
        <f ca="1"/>
        <v>232.79</v>
      </c>
      <c r="GC5" vm="948">
        <f ca="1"/>
        <v>234.11</v>
      </c>
      <c r="GD5" vm="949">
        <f ca="1"/>
        <v>234.27</v>
      </c>
      <c r="GE5" vm="950">
        <f ca="1"/>
        <v>227.01</v>
      </c>
      <c r="GF5" vm="951">
        <f ca="1"/>
        <v>232.69</v>
      </c>
      <c r="GG5" vm="952">
        <f ca="1"/>
        <v>240.14</v>
      </c>
      <c r="GH5" vm="953">
        <f ca="1"/>
        <v>238.34</v>
      </c>
      <c r="GI5" vm="954">
        <f ca="1"/>
        <v>241.7</v>
      </c>
      <c r="GJ5" vm="955">
        <f ca="1"/>
        <v>242.67</v>
      </c>
      <c r="GK5" vm="956">
        <f ca="1"/>
        <v>244.16</v>
      </c>
      <c r="GL5" vm="957">
        <f ca="1"/>
        <v>245.98</v>
      </c>
      <c r="GM5" vm="958">
        <f ca="1"/>
        <v>243.62</v>
      </c>
      <c r="GN5" vm="959">
        <f ca="1"/>
        <v>247.04</v>
      </c>
      <c r="GO5" vm="960">
        <f ca="1"/>
        <v>245.34</v>
      </c>
      <c r="GP5" vm="961">
        <f ca="1"/>
        <v>247.31</v>
      </c>
      <c r="GQ5" vm="962">
        <f ca="1"/>
        <v>247.49</v>
      </c>
      <c r="GR5" vm="963">
        <f ca="1"/>
        <v>254.96</v>
      </c>
      <c r="GS5" vm="964">
        <f ca="1"/>
        <v>249.89</v>
      </c>
      <c r="GT5" vm="965">
        <f ca="1"/>
        <v>247.23</v>
      </c>
      <c r="GU5" vm="966">
        <f ca="1"/>
        <v>249.99</v>
      </c>
      <c r="GV5" vm="967">
        <f ca="1"/>
        <v>247.55</v>
      </c>
      <c r="GW5" vm="968">
        <f ca="1"/>
        <v>244.85</v>
      </c>
      <c r="GX5" vm="969">
        <f ca="1"/>
        <v>233.66</v>
      </c>
      <c r="GY5" vm="970">
        <f ca="1"/>
        <v>232.11</v>
      </c>
      <c r="GZ5" vm="971">
        <f ca="1"/>
        <v>231.39</v>
      </c>
      <c r="HA5" vm="972">
        <f ca="1"/>
        <v>230.86</v>
      </c>
      <c r="HB5" vm="973">
        <f ca="1"/>
        <v>226.65</v>
      </c>
      <c r="HC5" vm="974">
        <f ca="1"/>
        <v>235.5</v>
      </c>
      <c r="HD5" vm="975">
        <f ca="1"/>
        <v>271.58</v>
      </c>
      <c r="HE5" vm="976">
        <f ca="1"/>
        <v>284.02</v>
      </c>
      <c r="HF5" vm="977">
        <f ca="1"/>
        <v>277.42</v>
      </c>
      <c r="HG5" vm="978">
        <f ca="1"/>
        <v>272.64999999999998</v>
      </c>
      <c r="HH5" vm="979">
        <f ca="1"/>
        <v>272.26</v>
      </c>
      <c r="HI5" vm="980">
        <f ca="1"/>
        <v>274.48</v>
      </c>
      <c r="HJ5" vm="981">
        <f ca="1"/>
        <v>278.08999999999997</v>
      </c>
      <c r="HK5" vm="982">
        <f ca="1"/>
        <v>272.27</v>
      </c>
      <c r="HL5" vm="983">
        <f ca="1"/>
        <v>267.27999999999997</v>
      </c>
      <c r="HM5" vm="984">
        <f ca="1"/>
        <v>265.13</v>
      </c>
      <c r="HN5" vm="985">
        <f ca="1"/>
        <v>262.64999999999998</v>
      </c>
      <c r="HO5" vm="986">
        <f ca="1"/>
        <v>261.31</v>
      </c>
      <c r="HP5" vm="987">
        <f ca="1"/>
        <v>259.45</v>
      </c>
      <c r="HQ5" vm="988">
        <f ca="1"/>
        <v>265.83999999999997</v>
      </c>
      <c r="HR5" vm="989">
        <f ca="1"/>
        <v>260.11</v>
      </c>
      <c r="HS5" vm="990">
        <f ca="1"/>
        <v>258.63</v>
      </c>
      <c r="HT5" vm="991">
        <f ca="1"/>
        <v>262.07</v>
      </c>
      <c r="HU5" vm="992">
        <f ca="1"/>
        <v>261.06</v>
      </c>
      <c r="HV5" vm="993">
        <f ca="1"/>
        <v>260.27999999999997</v>
      </c>
      <c r="HW5" vm="994">
        <f ca="1"/>
        <v>256.26</v>
      </c>
      <c r="HX5" vm="995">
        <f ca="1"/>
        <v>266.43</v>
      </c>
      <c r="HY5" vm="996">
        <f ca="1"/>
        <v>259.77</v>
      </c>
      <c r="HZ5" vm="997">
        <f ca="1"/>
        <v>254.92</v>
      </c>
      <c r="IA5" vm="998">
        <f ca="1"/>
        <v>254.98</v>
      </c>
      <c r="IB5" vm="999">
        <f ca="1"/>
        <v>258.89999999999998</v>
      </c>
      <c r="IC5" vm="1000">
        <f ca="1"/>
        <v>258.51</v>
      </c>
      <c r="ID5" vm="1001">
        <f ca="1"/>
        <v>256.97000000000003</v>
      </c>
      <c r="IE5" vm="1002">
        <f ca="1"/>
        <v>252.4</v>
      </c>
      <c r="IF5" vm="1003">
        <f ca="1"/>
        <v>251.89</v>
      </c>
      <c r="IG5" vm="1004">
        <f ca="1"/>
        <v>256.77999999999997</v>
      </c>
      <c r="IH5" vm="1005">
        <f ca="1"/>
        <v>253.54</v>
      </c>
      <c r="II5" vm="1006">
        <f ca="1"/>
        <v>248.42</v>
      </c>
      <c r="IJ5" vm="1007">
        <f ca="1"/>
        <v>245.96</v>
      </c>
      <c r="IK5" vm="1008">
        <f ca="1"/>
        <v>251.19</v>
      </c>
      <c r="IL5" vm="1009">
        <f ca="1"/>
        <v>253.71</v>
      </c>
      <c r="IM5" vm="1010">
        <f ca="1"/>
        <v>258.45</v>
      </c>
      <c r="IN5" vm="998">
        <f ca="1"/>
        <v>254.98</v>
      </c>
      <c r="IO5" vm="1011">
        <f ca="1"/>
        <v>249.27</v>
      </c>
      <c r="IP5" vm="1012">
        <f ca="1"/>
        <v>249.38</v>
      </c>
      <c r="IQ5" vm="1013">
        <f ca="1"/>
        <v>249.67</v>
      </c>
      <c r="IR5" vm="1014">
        <f ca="1"/>
        <v>246.15</v>
      </c>
    </row>
    <row r="6" spans="1:252" x14ac:dyDescent="0.35">
      <c r="A6" t="e" vm="4">
        <f>Dashboard!B10</f>
        <v>#VALUE!</v>
      </c>
      <c r="B6" cm="1" vm="1015">
        <f t="array" aca="1" ref="B6:IR6" ca="1">TRANSPOSE(_xlfn.STOCKHISTORY(A6,TODAY()-365,TODAY(),0,0,1))</f>
        <v>254.43</v>
      </c>
      <c r="C6" vm="1016">
        <f ca="1"/>
        <v>254.63</v>
      </c>
      <c r="D6" vm="1017">
        <f ca="1"/>
        <v>255.45</v>
      </c>
      <c r="E6" vm="1018">
        <f ca="1"/>
        <v>257.13</v>
      </c>
      <c r="F6" vm="1019">
        <f ca="1"/>
        <v>258.02</v>
      </c>
      <c r="G6" vm="1020">
        <f ca="1"/>
        <v>256.69</v>
      </c>
      <c r="H6" vm="1021">
        <f ca="1"/>
        <v>256.48</v>
      </c>
      <c r="I6" vm="1022">
        <f ca="1"/>
        <v>258.06</v>
      </c>
      <c r="J6" vm="1023">
        <f ca="1"/>
        <v>254.04</v>
      </c>
      <c r="K6" vm="1024">
        <f ca="1"/>
        <v>245.27</v>
      </c>
      <c r="L6" vm="1025">
        <f ca="1"/>
        <v>247.66</v>
      </c>
      <c r="M6" vm="1026">
        <f ca="1"/>
        <v>247.77</v>
      </c>
      <c r="N6" vm="1027">
        <f ca="1"/>
        <v>249.34</v>
      </c>
      <c r="O6" vm="1028">
        <f ca="1"/>
        <v>247.45</v>
      </c>
      <c r="P6" vm="1029">
        <f ca="1"/>
        <v>252.29</v>
      </c>
      <c r="Q6" vm="1030">
        <f ca="1"/>
        <v>262.24</v>
      </c>
      <c r="R6" vm="1031">
        <f ca="1"/>
        <v>262.77</v>
      </c>
      <c r="S6" vm="1010">
        <f ca="1"/>
        <v>258.45</v>
      </c>
      <c r="T6" vm="1032">
        <f ca="1"/>
        <v>259.58</v>
      </c>
      <c r="U6" vm="1033">
        <f ca="1"/>
        <v>262.82</v>
      </c>
      <c r="V6" vm="1034">
        <f ca="1"/>
        <v>268.81</v>
      </c>
      <c r="W6" vm="1035">
        <f ca="1"/>
        <v>269</v>
      </c>
      <c r="X6" vm="1036">
        <f ca="1"/>
        <v>269.7</v>
      </c>
      <c r="Y6" vm="1037">
        <f ca="1"/>
        <v>271.39999999999998</v>
      </c>
      <c r="Z6" vm="1038">
        <f ca="1"/>
        <v>270.37</v>
      </c>
      <c r="AA6" vm="1039">
        <f ca="1"/>
        <v>269.05</v>
      </c>
      <c r="AB6" vm="1040">
        <f ca="1"/>
        <v>270.04000000000002</v>
      </c>
      <c r="AC6" vm="1041">
        <f ca="1"/>
        <v>270.14</v>
      </c>
      <c r="AD6" vm="1042">
        <f ca="1"/>
        <v>269.77</v>
      </c>
      <c r="AE6" vm="1043">
        <f ca="1"/>
        <v>268.47000000000003</v>
      </c>
      <c r="AF6" vm="1044">
        <f ca="1"/>
        <v>269.43</v>
      </c>
      <c r="AG6" vm="1045">
        <f ca="1"/>
        <v>275.25</v>
      </c>
      <c r="AH6" vm="1046">
        <f ca="1"/>
        <v>273.47000000000003</v>
      </c>
      <c r="AI6" vm="1047">
        <f ca="1"/>
        <v>272.95</v>
      </c>
      <c r="AJ6" vm="1048">
        <f ca="1"/>
        <v>272.41000000000003</v>
      </c>
      <c r="AK6" vm="1049">
        <f ca="1"/>
        <v>267.45999999999998</v>
      </c>
      <c r="AL6" vm="1050">
        <f ca="1"/>
        <v>267.44</v>
      </c>
      <c r="AM6" vm="1051">
        <f ca="1"/>
        <v>268.56</v>
      </c>
      <c r="AN6" vm="1052">
        <f ca="1"/>
        <v>266.25</v>
      </c>
      <c r="AO6" vm="1053">
        <f ca="1"/>
        <v>271.49</v>
      </c>
      <c r="AP6" vm="1054">
        <f ca="1"/>
        <v>275.92</v>
      </c>
      <c r="AQ6" vm="1055">
        <f ca="1"/>
        <v>276.97000000000003</v>
      </c>
      <c r="AR6" vm="1056">
        <f ca="1"/>
        <v>277.55</v>
      </c>
      <c r="AS6" vm="1057">
        <f ca="1"/>
        <v>278.85000000000002</v>
      </c>
      <c r="AT6" vm="1058">
        <f ca="1"/>
        <v>283.10000000000002</v>
      </c>
      <c r="AU6" vm="1059">
        <f ca="1"/>
        <v>286.19</v>
      </c>
      <c r="AV6" vm="1060">
        <f ca="1"/>
        <v>284.14999999999998</v>
      </c>
      <c r="AW6" vm="1061">
        <f ca="1"/>
        <v>280.7</v>
      </c>
      <c r="AX6" vm="1062">
        <f ca="1"/>
        <v>278.77999999999997</v>
      </c>
      <c r="AY6" vm="1063">
        <f ca="1"/>
        <v>277.89</v>
      </c>
      <c r="AZ6" vm="1064">
        <f ca="1"/>
        <v>277.18</v>
      </c>
      <c r="BA6" vm="1062">
        <f ca="1"/>
        <v>278.77999999999997</v>
      </c>
      <c r="BB6" vm="1065">
        <f ca="1"/>
        <v>278.02999999999997</v>
      </c>
      <c r="BC6" vm="1066">
        <f ca="1"/>
        <v>278.27999999999997</v>
      </c>
      <c r="BD6" vm="1067">
        <f ca="1"/>
        <v>274.11</v>
      </c>
      <c r="BE6" vm="1068">
        <f ca="1"/>
        <v>274.61</v>
      </c>
      <c r="BF6" vm="1069">
        <f ca="1"/>
        <v>271.83999999999997</v>
      </c>
      <c r="BG6" vm="1070">
        <f ca="1"/>
        <v>272.19</v>
      </c>
      <c r="BH6" vm="1071">
        <f ca="1"/>
        <v>273.67</v>
      </c>
      <c r="BI6" vm="1072">
        <f ca="1"/>
        <v>270.97000000000003</v>
      </c>
      <c r="BJ6" vm="1073">
        <f ca="1"/>
        <v>272.36</v>
      </c>
      <c r="BK6" vm="1074">
        <f ca="1"/>
        <v>273.81</v>
      </c>
      <c r="BL6" vm="1075">
        <f ca="1"/>
        <v>273.39999999999998</v>
      </c>
      <c r="BM6" vm="646">
        <f ca="1"/>
        <v>273.76</v>
      </c>
      <c r="BN6" vm="1076">
        <f ca="1"/>
        <v>273.08</v>
      </c>
      <c r="BO6" vm="1077">
        <f ca="1"/>
        <v>271.86</v>
      </c>
      <c r="BP6" vm="1078">
        <f ca="1"/>
        <v>271.01</v>
      </c>
      <c r="BQ6" vm="1079">
        <f ca="1"/>
        <v>267.26</v>
      </c>
      <c r="BR6" vm="1080">
        <f ca="1"/>
        <v>262.36</v>
      </c>
      <c r="BS6" vm="1081">
        <f ca="1"/>
        <v>260.33</v>
      </c>
      <c r="BT6" vm="1082">
        <f ca="1"/>
        <v>259.04000000000002</v>
      </c>
      <c r="BU6" vm="1083">
        <f ca="1"/>
        <v>259.37</v>
      </c>
      <c r="BV6" vm="1084">
        <f ca="1"/>
        <v>260.25</v>
      </c>
      <c r="BW6" vm="1085">
        <f ca="1"/>
        <v>261.05</v>
      </c>
      <c r="BX6" vm="1086">
        <f ca="1"/>
        <v>259.95999999999998</v>
      </c>
      <c r="BY6" vm="1087">
        <f ca="1"/>
        <v>258.20999999999998</v>
      </c>
      <c r="BZ6" vm="1088">
        <f ca="1"/>
        <v>255.53</v>
      </c>
      <c r="CA6" vm="1089">
        <f ca="1"/>
        <v>246.7</v>
      </c>
      <c r="CB6" vm="1090">
        <f ca="1"/>
        <v>247.65</v>
      </c>
      <c r="CC6" vm="1091">
        <f ca="1"/>
        <v>248.35</v>
      </c>
      <c r="CD6" vm="1092">
        <f ca="1"/>
        <v>248.04</v>
      </c>
      <c r="CE6" vm="1093">
        <f ca="1"/>
        <v>255.41</v>
      </c>
      <c r="CF6" vm="1094">
        <f ca="1"/>
        <v>258.27</v>
      </c>
      <c r="CG6" vm="1095">
        <f ca="1"/>
        <v>256.44</v>
      </c>
      <c r="CH6" vm="1096">
        <f ca="1"/>
        <v>258.27999999999997</v>
      </c>
      <c r="CI6" vm="1097">
        <f ca="1"/>
        <v>259.48</v>
      </c>
      <c r="CJ6" vm="1098">
        <f ca="1"/>
        <v>270.01</v>
      </c>
      <c r="CK6" vm="1099">
        <f ca="1"/>
        <v>269.48</v>
      </c>
      <c r="CL6" vm="1100">
        <f ca="1"/>
        <v>276.49</v>
      </c>
      <c r="CM6" vm="1101">
        <f ca="1"/>
        <v>275.91000000000003</v>
      </c>
      <c r="CN6" vm="1102">
        <f ca="1"/>
        <v>278.12</v>
      </c>
      <c r="CO6" vm="1103">
        <f ca="1"/>
        <v>274.62</v>
      </c>
      <c r="CP6" vm="1104">
        <f ca="1"/>
        <v>273.68</v>
      </c>
      <c r="CQ6" vm="1105">
        <f ca="1"/>
        <v>275.5</v>
      </c>
      <c r="CR6" vm="1106">
        <f ca="1"/>
        <v>261.73</v>
      </c>
      <c r="CS6" vm="1107">
        <f ca="1"/>
        <v>255.78</v>
      </c>
      <c r="CT6" vm="1108">
        <f ca="1"/>
        <v>263.88</v>
      </c>
      <c r="CU6" vm="1109">
        <f ca="1"/>
        <v>264.35000000000002</v>
      </c>
      <c r="CV6" vm="1110">
        <f ca="1"/>
        <v>260.58</v>
      </c>
      <c r="CW6" vm="1111">
        <f ca="1"/>
        <v>264.58</v>
      </c>
      <c r="CX6" vm="1112">
        <f ca="1"/>
        <v>266.18</v>
      </c>
      <c r="CY6" vm="1113">
        <f ca="1"/>
        <v>272.14</v>
      </c>
      <c r="CZ6" vm="1114">
        <f ca="1"/>
        <v>274.23</v>
      </c>
      <c r="DA6" vm="1047">
        <f ca="1"/>
        <v>272.95</v>
      </c>
      <c r="DB6" vm="1115">
        <f ca="1"/>
        <v>264.18</v>
      </c>
      <c r="DC6" vm="1116">
        <f ca="1"/>
        <v>264.72000000000003</v>
      </c>
      <c r="DD6" vm="1117">
        <f ca="1"/>
        <v>263.75</v>
      </c>
      <c r="DE6" vm="1118">
        <f ca="1"/>
        <v>262.52</v>
      </c>
      <c r="DF6" vm="1119">
        <f ca="1"/>
        <v>260.29000000000002</v>
      </c>
      <c r="DG6" vm="1120">
        <f ca="1"/>
        <v>257.45999999999998</v>
      </c>
      <c r="DH6" vm="1121">
        <f ca="1"/>
        <v>259.88</v>
      </c>
      <c r="DI6" vm="1122">
        <f ca="1"/>
        <v>260.83</v>
      </c>
      <c r="DJ6" vm="1123">
        <f ca="1"/>
        <v>260.81</v>
      </c>
      <c r="DK6" vm="1124">
        <f ca="1"/>
        <v>255.76</v>
      </c>
      <c r="DL6" vm="1125">
        <f ca="1"/>
        <v>250.12</v>
      </c>
      <c r="DM6" vm="1126">
        <f ca="1"/>
        <v>252.82</v>
      </c>
      <c r="DN6" vm="1127">
        <f ca="1"/>
        <v>254.23</v>
      </c>
      <c r="DO6" vm="1128">
        <f ca="1"/>
        <v>249.94</v>
      </c>
      <c r="DP6" vm="1129">
        <f ca="1"/>
        <v>248.96</v>
      </c>
      <c r="DQ6" vm="1130">
        <f ca="1"/>
        <v>247.99</v>
      </c>
      <c r="DR6" vm="1131">
        <f ca="1"/>
        <v>251.49</v>
      </c>
      <c r="DS6" vm="1132">
        <f ca="1"/>
        <v>251.64</v>
      </c>
      <c r="DT6" vm="1133">
        <f ca="1"/>
        <v>252.62</v>
      </c>
      <c r="DU6" vm="1134">
        <f ca="1"/>
        <v>252.89</v>
      </c>
      <c r="DV6" vm="1135">
        <f ca="1"/>
        <v>248.8</v>
      </c>
      <c r="DW6" vm="1136">
        <f ca="1"/>
        <v>246.63</v>
      </c>
      <c r="DX6" vm="540">
        <f ca="1"/>
        <v>253.79</v>
      </c>
      <c r="DY6" vm="1137">
        <f ca="1"/>
        <v>255.63</v>
      </c>
      <c r="DZ6" vm="1138">
        <f ca="1"/>
        <v>255.92</v>
      </c>
      <c r="EA6" vm="1139">
        <f ca="1"/>
        <v>258.86</v>
      </c>
      <c r="EB6" vm="1140">
        <f ca="1"/>
        <v>253.5</v>
      </c>
      <c r="EC6" vm="999">
        <f ca="1"/>
        <v>258.89999999999998</v>
      </c>
      <c r="ED6" vm="1141">
        <f ca="1"/>
        <v>260.49</v>
      </c>
      <c r="EE6" vm="1142">
        <f ca="1"/>
        <v>260.48</v>
      </c>
      <c r="EF6" vm="1143">
        <f ca="1"/>
        <v>259.2</v>
      </c>
      <c r="EG6" vm="1144">
        <f ca="1"/>
        <v>258.83</v>
      </c>
      <c r="EH6" vm="995">
        <f ca="1"/>
        <v>266.43</v>
      </c>
      <c r="EI6" vm="1145">
        <f ca="1"/>
        <v>263.39999999999998</v>
      </c>
      <c r="EJ6" vm="1146">
        <f ca="1"/>
        <v>270.23</v>
      </c>
      <c r="EK6" vm="1147">
        <f ca="1"/>
        <v>273.05</v>
      </c>
      <c r="EL6" vm="1148">
        <f ca="1"/>
        <v>266.17</v>
      </c>
      <c r="EM6" vm="1149">
        <f ca="1"/>
        <v>273.17</v>
      </c>
      <c r="EN6" vm="1150">
        <f ca="1"/>
        <v>273.43</v>
      </c>
      <c r="EO6" vm="1151">
        <f ca="1"/>
        <v>271.06</v>
      </c>
      <c r="EP6" vm="1152">
        <f ca="1"/>
        <v>267.61</v>
      </c>
      <c r="EQ6" vm="1153">
        <f ca="1"/>
        <v>270.70999999999998</v>
      </c>
      <c r="ER6" vm="1154">
        <f ca="1"/>
        <v>270.17</v>
      </c>
      <c r="ES6" vm="1155">
        <f ca="1"/>
        <v>271.35000000000002</v>
      </c>
      <c r="ET6" vm="1156">
        <f ca="1"/>
        <v>280.14</v>
      </c>
      <c r="EU6" vm="1157">
        <f ca="1"/>
        <v>276.83</v>
      </c>
      <c r="EV6" vm="1158">
        <f ca="1"/>
        <v>284.18</v>
      </c>
      <c r="EW6" vm="1159">
        <f ca="1"/>
        <v>287.51</v>
      </c>
      <c r="EX6" vm="1160">
        <f ca="1"/>
        <v>287.44</v>
      </c>
      <c r="EY6" vm="1161">
        <f ca="1"/>
        <v>293.32</v>
      </c>
      <c r="EZ6" vm="1162">
        <f ca="1"/>
        <v>292.68</v>
      </c>
      <c r="FA6" vm="1163">
        <f ca="1"/>
        <v>294.8</v>
      </c>
      <c r="FB6" vm="1164">
        <f ca="1"/>
        <v>298.87</v>
      </c>
      <c r="FC6" vm="1165">
        <f ca="1"/>
        <v>298.20999999999998</v>
      </c>
      <c r="FD6" vm="1166">
        <f ca="1"/>
        <v>300.23</v>
      </c>
      <c r="FE6" vm="1167">
        <f ca="1"/>
        <v>297.83999999999997</v>
      </c>
      <c r="FF6" vm="1168">
        <f ca="1"/>
        <v>298.97000000000003</v>
      </c>
      <c r="FG6" vm="1169">
        <f ca="1"/>
        <v>302.25</v>
      </c>
      <c r="FH6" vm="1170">
        <f ca="1"/>
        <v>304.99</v>
      </c>
      <c r="FI6" vm="1171">
        <f ca="1"/>
        <v>308.82</v>
      </c>
      <c r="FJ6" vm="1172">
        <f ca="1"/>
        <v>308.33</v>
      </c>
      <c r="FK6" vm="1173">
        <f ca="1"/>
        <v>310.85000000000002</v>
      </c>
      <c r="FL6" vm="1174">
        <f ca="1"/>
        <v>312.51</v>
      </c>
      <c r="FM6" vm="1175">
        <f ca="1"/>
        <v>312.06</v>
      </c>
      <c r="FN6" vm="1176">
        <f ca="1"/>
        <v>306.31</v>
      </c>
      <c r="FO6" vm="1177">
        <f ca="1"/>
        <v>315.2</v>
      </c>
      <c r="FP6" vm="1178">
        <f ca="1"/>
        <v>310.26</v>
      </c>
      <c r="FQ6" vm="1179">
        <f ca="1"/>
        <v>311.23</v>
      </c>
      <c r="FR6" vm="1180">
        <f ca="1"/>
        <v>307.33999999999997</v>
      </c>
      <c r="FS6" vm="1181">
        <f ca="1"/>
        <v>301.54000000000002</v>
      </c>
      <c r="FT6" vm="1182">
        <f ca="1"/>
        <v>290.55</v>
      </c>
      <c r="FU6" vm="1183">
        <f ca="1"/>
        <v>291.58</v>
      </c>
      <c r="FV6" vm="1184">
        <f ca="1"/>
        <v>295.63</v>
      </c>
      <c r="FW6" vm="1185">
        <f ca="1"/>
        <v>291.13</v>
      </c>
      <c r="FX6" vm="1186">
        <f ca="1"/>
        <v>296.42</v>
      </c>
      <c r="FY6" vm="1187">
        <f ca="1"/>
        <v>299.24</v>
      </c>
      <c r="FZ6" vm="1188">
        <f ca="1"/>
        <v>295.95</v>
      </c>
      <c r="GA6" vm="1189">
        <f ca="1"/>
        <v>298.01</v>
      </c>
      <c r="GB6" vm="1190">
        <f ca="1"/>
        <v>297.01</v>
      </c>
      <c r="GC6" vm="1191">
        <f ca="1"/>
        <v>294.3</v>
      </c>
      <c r="GD6" vm="1192">
        <f ca="1"/>
        <v>293.08</v>
      </c>
      <c r="GE6" vm="1193">
        <f ca="1"/>
        <v>275.14999999999998</v>
      </c>
      <c r="GF6" vm="1194">
        <f ca="1"/>
        <v>283.77999999999997</v>
      </c>
      <c r="GG6" vm="1195">
        <f ca="1"/>
        <v>281.74</v>
      </c>
      <c r="GH6" vm="1196">
        <f ca="1"/>
        <v>289.36</v>
      </c>
      <c r="GI6" vm="1197">
        <f ca="1"/>
        <v>294.38</v>
      </c>
      <c r="GJ6" vm="1198">
        <f ca="1"/>
        <v>308.63</v>
      </c>
      <c r="GK6" vm="1199">
        <f ca="1"/>
        <v>312.66000000000003</v>
      </c>
      <c r="GL6" vm="1200">
        <f ca="1"/>
        <v>310.66000000000003</v>
      </c>
      <c r="GM6" vm="1201">
        <f ca="1"/>
        <v>313.39</v>
      </c>
      <c r="GN6" vm="1202">
        <f ca="1"/>
        <v>316.22000000000003</v>
      </c>
      <c r="GO6" vm="591">
        <f ca="1"/>
        <v>315.32</v>
      </c>
      <c r="GP6" vm="1203">
        <f ca="1"/>
        <v>317.31</v>
      </c>
      <c r="GQ6" vm="1204">
        <f ca="1"/>
        <v>314.86</v>
      </c>
      <c r="GR6" vm="1205">
        <f ca="1"/>
        <v>327.5</v>
      </c>
      <c r="GS6" vm="1206">
        <f ca="1"/>
        <v>333.26</v>
      </c>
      <c r="GT6" vm="1207">
        <f ca="1"/>
        <v>333.74</v>
      </c>
      <c r="GU6" vm="1208">
        <f ca="1"/>
        <v>326.58999999999997</v>
      </c>
      <c r="GV6" vm="1209">
        <f ca="1"/>
        <v>327.74</v>
      </c>
      <c r="GW6" vm="1210">
        <f ca="1"/>
        <v>325.89</v>
      </c>
      <c r="GX6" vm="1211">
        <f ca="1"/>
        <v>321.66000000000003</v>
      </c>
      <c r="GY6" vm="1212">
        <f ca="1"/>
        <v>333.02</v>
      </c>
      <c r="GZ6" vm="1213">
        <f ca="1"/>
        <v>336.91</v>
      </c>
      <c r="HA6" vm="1214">
        <f ca="1"/>
        <v>340.08</v>
      </c>
      <c r="HB6" vm="1215">
        <f ca="1"/>
        <v>338.19</v>
      </c>
      <c r="HC6" vm="1216">
        <f ca="1"/>
        <v>333.43</v>
      </c>
      <c r="HD6" vm="1217">
        <f ca="1"/>
        <v>308.91000000000003</v>
      </c>
      <c r="HE6" vm="1218">
        <f ca="1"/>
        <v>303.42</v>
      </c>
      <c r="HF6" vm="1219">
        <f ca="1"/>
        <v>309.38</v>
      </c>
      <c r="HG6" vm="1220">
        <f ca="1"/>
        <v>311</v>
      </c>
      <c r="HH6" vm="1221">
        <f ca="1"/>
        <v>312.41000000000003</v>
      </c>
      <c r="HI6" vm="1222">
        <f ca="1"/>
        <v>313.33</v>
      </c>
      <c r="HJ6" vm="1223">
        <f ca="1"/>
        <v>308.26</v>
      </c>
      <c r="HK6" vm="1224">
        <f ca="1"/>
        <v>304.91000000000003</v>
      </c>
      <c r="HL6" vm="1169">
        <f ca="1"/>
        <v>302.25</v>
      </c>
      <c r="HM6" vm="1225">
        <f ca="1"/>
        <v>305.26</v>
      </c>
      <c r="HN6" vm="1226">
        <f ca="1"/>
        <v>305.93</v>
      </c>
      <c r="HO6" vm="1227">
        <f ca="1"/>
        <v>305.58999999999997</v>
      </c>
      <c r="HP6" vm="1228">
        <f ca="1"/>
        <v>310.02999999999997</v>
      </c>
      <c r="HQ6" vm="1229">
        <f ca="1"/>
        <v>316.83</v>
      </c>
      <c r="HR6" vm="1230">
        <f ca="1"/>
        <v>311.3</v>
      </c>
      <c r="HS6" vm="1231">
        <f ca="1"/>
        <v>309.35000000000002</v>
      </c>
      <c r="HT6" vm="1232">
        <f ca="1"/>
        <v>310.33999999999997</v>
      </c>
      <c r="HU6" vm="1233">
        <f ca="1"/>
        <v>309.89999999999998</v>
      </c>
      <c r="HV6" vm="1234">
        <f ca="1"/>
        <v>313.45</v>
      </c>
      <c r="HW6" vm="1235">
        <f ca="1"/>
        <v>314.58</v>
      </c>
      <c r="HX6" vm="1236">
        <f ca="1"/>
        <v>319.7</v>
      </c>
      <c r="HY6" vm="1237">
        <f ca="1"/>
        <v>316.85000000000002</v>
      </c>
      <c r="HZ6" vm="1238">
        <f ca="1"/>
        <v>325.13</v>
      </c>
      <c r="IA6" vm="1239">
        <f ca="1"/>
        <v>324.95999999999998</v>
      </c>
      <c r="IB6" vm="1240">
        <f ca="1"/>
        <v>328.21</v>
      </c>
      <c r="IC6" vm="1241">
        <f ca="1"/>
        <v>319.97000000000003</v>
      </c>
      <c r="ID6" vm="1202">
        <f ca="1"/>
        <v>316.22000000000003</v>
      </c>
      <c r="IE6" vm="1242">
        <f ca="1"/>
        <v>315.33999999999997</v>
      </c>
      <c r="IF6" vm="727">
        <f ca="1"/>
        <v>326.57</v>
      </c>
      <c r="IG6" vm="1243">
        <f ca="1"/>
        <v>332.27</v>
      </c>
      <c r="IH6" vm="1244">
        <f ca="1"/>
        <v>333.08</v>
      </c>
      <c r="II6" vm="1245">
        <f ca="1"/>
        <v>331.34</v>
      </c>
      <c r="IJ6" vm="1246">
        <f ca="1"/>
        <v>332.41</v>
      </c>
      <c r="IK6" vm="1247">
        <f ca="1"/>
        <v>337</v>
      </c>
      <c r="IL6" vm="1248">
        <f ca="1"/>
        <v>336.13</v>
      </c>
      <c r="IM6" vm="1249">
        <f ca="1"/>
        <v>338.98</v>
      </c>
      <c r="IN6" vm="1250">
        <f ca="1"/>
        <v>339.75</v>
      </c>
      <c r="IO6" vm="1251">
        <f ca="1"/>
        <v>337.02</v>
      </c>
      <c r="IP6" vm="1252">
        <f ca="1"/>
        <v>335.92</v>
      </c>
      <c r="IQ6" vm="1253">
        <f ca="1"/>
        <v>341.07</v>
      </c>
      <c r="IR6" vm="1254">
        <f ca="1"/>
        <v>338.4</v>
      </c>
    </row>
    <row r="7" spans="1:252" x14ac:dyDescent="0.35">
      <c r="A7" t="e" vm="5">
        <f>Dashboard!B11</f>
        <v>#VALUE!</v>
      </c>
      <c r="B7" cm="1" vm="1255">
        <f t="array" aca="1" ref="B7:IR7" ca="1">TRANSPOSE(_xlfn.STOCKHISTORY(A7,TODAY()-365,TODAY(),0,0,1))</f>
        <v>1175.56</v>
      </c>
      <c r="C7" vm="1256">
        <f ca="1"/>
        <v>1165.8699999999999</v>
      </c>
      <c r="D7" vm="1257">
        <f ca="1"/>
        <v>1141.07</v>
      </c>
      <c r="E7" vm="1258">
        <f ca="1"/>
        <v>1160.54</v>
      </c>
      <c r="F7" vm="1259">
        <f ca="1"/>
        <v>1160.69</v>
      </c>
      <c r="G7" vm="1260">
        <f ca="1"/>
        <v>1179.27</v>
      </c>
      <c r="H7" vm="1261">
        <f ca="1"/>
        <v>1166.23</v>
      </c>
      <c r="I7" vm="1262">
        <f ca="1"/>
        <v>1165</v>
      </c>
      <c r="J7" vm="1263">
        <f ca="1"/>
        <v>1167.43</v>
      </c>
      <c r="K7" vm="1264">
        <f ca="1"/>
        <v>1132.3599999999999</v>
      </c>
      <c r="L7" vm="1265">
        <f ca="1"/>
        <v>1155.1199999999999</v>
      </c>
      <c r="M7" vm="1266">
        <f ca="1"/>
        <v>1194.26</v>
      </c>
      <c r="N7" vm="1267">
        <f ca="1"/>
        <v>1202.5899999999999</v>
      </c>
      <c r="O7" vm="1268">
        <f ca="1"/>
        <v>1171.3599999999999</v>
      </c>
      <c r="P7" vm="1269">
        <f ca="1"/>
        <v>1161.1600000000001</v>
      </c>
      <c r="Q7" vm="1270">
        <f ca="1"/>
        <v>1160</v>
      </c>
      <c r="R7" vm="1271">
        <f ca="1"/>
        <v>1130</v>
      </c>
      <c r="S7" vm="1272">
        <f ca="1"/>
        <v>1129.68</v>
      </c>
      <c r="T7" vm="1273">
        <f ca="1"/>
        <v>1125</v>
      </c>
      <c r="U7" vm="1274">
        <f ca="1"/>
        <v>1136.6300000000001</v>
      </c>
      <c r="V7" vm="1275">
        <f ca="1"/>
        <v>1131.31</v>
      </c>
      <c r="W7" vm="1276">
        <f ca="1"/>
        <v>1124.95</v>
      </c>
      <c r="X7" vm="1277">
        <f ca="1"/>
        <v>1098</v>
      </c>
      <c r="Y7" vm="1278">
        <f ca="1"/>
        <v>1098.05</v>
      </c>
      <c r="Z7" vm="1279">
        <f ca="1"/>
        <v>1082.81</v>
      </c>
      <c r="AA7" vm="1280">
        <f ca="1"/>
        <v>1068.83</v>
      </c>
      <c r="AB7" vm="1281">
        <f ca="1"/>
        <v>1059.9100000000001</v>
      </c>
      <c r="AC7" vm="1282">
        <f ca="1"/>
        <v>1073.57</v>
      </c>
      <c r="AD7" vm="1283">
        <f ca="1"/>
        <v>1069.44</v>
      </c>
      <c r="AE7" vm="1284">
        <f ca="1"/>
        <v>1082.2</v>
      </c>
      <c r="AF7" vm="1285">
        <f ca="1"/>
        <v>1082.6300000000001</v>
      </c>
      <c r="AG7" vm="1286">
        <f ca="1"/>
        <v>1085.76</v>
      </c>
      <c r="AH7" vm="1287">
        <f ca="1"/>
        <v>1093.93</v>
      </c>
      <c r="AI7" vm="1288">
        <f ca="1"/>
        <v>1069.6500000000001</v>
      </c>
      <c r="AJ7" vm="1289">
        <f ca="1"/>
        <v>1057.94</v>
      </c>
      <c r="AK7" vm="1290">
        <f ca="1"/>
        <v>1023.8</v>
      </c>
      <c r="AL7" vm="1291">
        <f ca="1"/>
        <v>1019.14</v>
      </c>
      <c r="AM7" vm="1292">
        <f ca="1"/>
        <v>1014.68</v>
      </c>
      <c r="AN7" vm="1293">
        <f ca="1"/>
        <v>992.52</v>
      </c>
      <c r="AO7" vm="1294">
        <f ca="1"/>
        <v>1014.72</v>
      </c>
      <c r="AP7" vm="1295">
        <f ca="1"/>
        <v>1019.49</v>
      </c>
      <c r="AQ7" vm="1296">
        <f ca="1"/>
        <v>1029.77</v>
      </c>
      <c r="AR7" vm="1297">
        <f ca="1"/>
        <v>1040.06</v>
      </c>
      <c r="AS7" vm="1298">
        <f ca="1"/>
        <v>1047.3</v>
      </c>
      <c r="AT7" vm="1299">
        <f ca="1"/>
        <v>1039.94</v>
      </c>
      <c r="AU7" vm="1300">
        <f ca="1"/>
        <v>1038.6199999999999</v>
      </c>
      <c r="AV7" vm="1301">
        <f ca="1"/>
        <v>1079.8699999999999</v>
      </c>
      <c r="AW7" vm="1302">
        <f ca="1"/>
        <v>1075.58</v>
      </c>
      <c r="AX7" vm="1303">
        <f ca="1"/>
        <v>1072.1600000000001</v>
      </c>
      <c r="AY7" vm="1304">
        <f ca="1"/>
        <v>1062.02</v>
      </c>
      <c r="AZ7" vm="1305">
        <f ca="1"/>
        <v>1071.31</v>
      </c>
      <c r="BA7" vm="1306">
        <f ca="1"/>
        <v>1083.3599999999999</v>
      </c>
      <c r="BB7" vm="1307">
        <f ca="1"/>
        <v>1101.8399999999999</v>
      </c>
      <c r="BC7" vm="1308">
        <f ca="1"/>
        <v>1089.0899999999999</v>
      </c>
      <c r="BD7" vm="1309">
        <f ca="1"/>
        <v>1082.1600000000001</v>
      </c>
      <c r="BE7" vm="1310">
        <f ca="1"/>
        <v>1068.1400000000001</v>
      </c>
      <c r="BF7" vm="1311">
        <f ca="1"/>
        <v>1065</v>
      </c>
      <c r="BG7" vm="1312">
        <f ca="1"/>
        <v>1064.99</v>
      </c>
      <c r="BH7" vm="1313">
        <f ca="1"/>
        <v>1060.17</v>
      </c>
      <c r="BI7" vm="1314">
        <f ca="1"/>
        <v>1088.21</v>
      </c>
      <c r="BJ7" vm="1315">
        <f ca="1"/>
        <v>1086.55</v>
      </c>
      <c r="BK7" vm="1316">
        <f ca="1"/>
        <v>1088.96</v>
      </c>
      <c r="BL7" vm="1317">
        <f ca="1"/>
        <v>1088.1099999999999</v>
      </c>
      <c r="BM7" vm="1318">
        <f ca="1"/>
        <v>1088.4000000000001</v>
      </c>
      <c r="BN7" vm="1319">
        <f ca="1"/>
        <v>1083.31</v>
      </c>
      <c r="BO7" vm="1320">
        <f ca="1"/>
        <v>1070.3399999999999</v>
      </c>
      <c r="BP7" vm="1321">
        <f ca="1"/>
        <v>1085.06</v>
      </c>
      <c r="BQ7" vm="1322">
        <f ca="1"/>
        <v>1119.76</v>
      </c>
      <c r="BR7" vm="1323">
        <f ca="1"/>
        <v>1112.28</v>
      </c>
      <c r="BS7" vm="1324">
        <f ca="1"/>
        <v>1075.0899999999999</v>
      </c>
      <c r="BT7" vm="1325">
        <f ca="1"/>
        <v>1087.92</v>
      </c>
      <c r="BU7" vm="1326">
        <f ca="1"/>
        <v>1085.0999999999999</v>
      </c>
      <c r="BV7" vm="1327">
        <f ca="1"/>
        <v>1089.26</v>
      </c>
      <c r="BW7" vm="1328">
        <f ca="1"/>
        <v>1089.54</v>
      </c>
      <c r="BX7" vm="1329">
        <f ca="1"/>
        <v>1091.8499999999999</v>
      </c>
      <c r="BY7" vm="1330">
        <f ca="1"/>
        <v>1156.6500000000001</v>
      </c>
      <c r="BZ7" vm="1331">
        <f ca="1"/>
        <v>1163.17</v>
      </c>
      <c r="CA7" vm="1332">
        <f ca="1"/>
        <v>1110.05</v>
      </c>
      <c r="CB7" vm="1333">
        <f ca="1"/>
        <v>1127.8499999999999</v>
      </c>
      <c r="CC7" vm="1334">
        <f ca="1"/>
        <v>1139.72</v>
      </c>
      <c r="CD7" vm="1335">
        <f ca="1"/>
        <v>1129.9100000000001</v>
      </c>
      <c r="CE7" vm="1336">
        <f ca="1"/>
        <v>1121.54</v>
      </c>
      <c r="CF7" vm="1337">
        <f ca="1"/>
        <v>1106.69</v>
      </c>
      <c r="CG7" vm="1338">
        <f ca="1"/>
        <v>1121.67</v>
      </c>
      <c r="CH7" vm="1339">
        <f ca="1"/>
        <v>1127.78</v>
      </c>
      <c r="CI7" vm="1340">
        <f ca="1"/>
        <v>1118.94</v>
      </c>
      <c r="CJ7" vm="1341">
        <f ca="1"/>
        <v>1119.6600000000001</v>
      </c>
      <c r="CK7" vm="1342">
        <f ca="1"/>
        <v>1070.08</v>
      </c>
      <c r="CL7" vm="1343">
        <f ca="1"/>
        <v>1076.1600000000001</v>
      </c>
      <c r="CM7" vm="1344">
        <f ca="1"/>
        <v>1054.8</v>
      </c>
      <c r="CN7" vm="1345">
        <f ca="1"/>
        <v>1056.3800000000001</v>
      </c>
      <c r="CO7" vm="1346">
        <f ca="1"/>
        <v>1079.9000000000001</v>
      </c>
      <c r="CP7" vm="1347">
        <f ca="1"/>
        <v>1087.78</v>
      </c>
      <c r="CQ7" vm="1348">
        <f ca="1"/>
        <v>1082.8800000000001</v>
      </c>
      <c r="CR7" vm="1349">
        <f ca="1"/>
        <v>1055.6300000000001</v>
      </c>
      <c r="CS7" vm="1350">
        <f ca="1"/>
        <v>1071.51</v>
      </c>
      <c r="CT7" vm="1351">
        <f ca="1"/>
        <v>1072.67</v>
      </c>
      <c r="CU7" vm="1352">
        <f ca="1"/>
        <v>1092.26</v>
      </c>
      <c r="CV7" vm="1353">
        <f ca="1"/>
        <v>1081.28</v>
      </c>
      <c r="CW7" vm="1354">
        <f ca="1"/>
        <v>1093.6400000000001</v>
      </c>
      <c r="CX7" vm="1355">
        <f ca="1"/>
        <v>1071.01</v>
      </c>
      <c r="CY7" vm="1356">
        <f ca="1"/>
        <v>1081.05</v>
      </c>
      <c r="CZ7" vm="1357">
        <f ca="1"/>
        <v>1093.78</v>
      </c>
      <c r="DA7" vm="1358">
        <f ca="1"/>
        <v>1090.27</v>
      </c>
      <c r="DB7" vm="1359">
        <f ca="1"/>
        <v>1063.23</v>
      </c>
      <c r="DC7" vm="1360">
        <f ca="1"/>
        <v>1068.31</v>
      </c>
      <c r="DD7" vm="1361">
        <f ca="1"/>
        <v>1052.5899999999999</v>
      </c>
      <c r="DE7" vm="1362">
        <f ca="1"/>
        <v>1049.23</v>
      </c>
      <c r="DF7" vm="1363">
        <f ca="1"/>
        <v>1035</v>
      </c>
      <c r="DG7" vm="1364">
        <f ca="1"/>
        <v>955.45</v>
      </c>
      <c r="DH7" vm="1365">
        <f ca="1"/>
        <v>957.67</v>
      </c>
      <c r="DI7" vm="1366">
        <f ca="1"/>
        <v>967.36</v>
      </c>
      <c r="DJ7" vm="1367">
        <f ca="1"/>
        <v>951.17</v>
      </c>
      <c r="DK7" vm="1368">
        <f ca="1"/>
        <v>922.9</v>
      </c>
      <c r="DL7" vm="1369">
        <f ca="1"/>
        <v>924.11</v>
      </c>
      <c r="DM7" vm="1370">
        <f ca="1"/>
        <v>943.26</v>
      </c>
      <c r="DN7" vm="1371">
        <f ca="1"/>
        <v>971.01</v>
      </c>
      <c r="DO7" vm="1372">
        <f ca="1"/>
        <v>968.31</v>
      </c>
      <c r="DP7" vm="1373">
        <f ca="1"/>
        <v>969.6</v>
      </c>
      <c r="DQ7" vm="1374">
        <f ca="1"/>
        <v>957.91</v>
      </c>
      <c r="DR7" vm="1375">
        <f ca="1"/>
        <v>974.58</v>
      </c>
      <c r="DS7" vm="1376">
        <f ca="1"/>
        <v>976.06</v>
      </c>
      <c r="DT7" vm="1377">
        <f ca="1"/>
        <v>981.35</v>
      </c>
      <c r="DU7" vm="1378">
        <f ca="1"/>
        <v>968.46</v>
      </c>
      <c r="DV7" vm="1379">
        <f ca="1"/>
        <v>933.85</v>
      </c>
      <c r="DW7" vm="1380">
        <f ca="1"/>
        <v>934.06</v>
      </c>
      <c r="DX7" vm="1381">
        <f ca="1"/>
        <v>961.71</v>
      </c>
      <c r="DY7" vm="1382">
        <f ca="1"/>
        <v>957.4</v>
      </c>
      <c r="DZ7" vm="1383">
        <f ca="1"/>
        <v>966.56</v>
      </c>
      <c r="EA7" vm="1384">
        <f ca="1"/>
        <v>959.41</v>
      </c>
      <c r="EB7" vm="1385">
        <f ca="1"/>
        <v>958.46</v>
      </c>
      <c r="EC7" vm="1386">
        <f ca="1"/>
        <v>1001.54</v>
      </c>
      <c r="ED7" vm="1387">
        <f ca="1"/>
        <v>1001.62</v>
      </c>
      <c r="EE7" vm="1388">
        <f ca="1"/>
        <v>999.31</v>
      </c>
      <c r="EF7" vm="1389">
        <f ca="1"/>
        <v>1023.65</v>
      </c>
      <c r="EG7" vm="1390">
        <f ca="1"/>
        <v>1054.56</v>
      </c>
      <c r="EH7" vm="1391">
        <f ca="1"/>
        <v>1048.5999999999999</v>
      </c>
      <c r="EI7" vm="1392">
        <f ca="1"/>
        <v>1024.95</v>
      </c>
      <c r="EJ7" vm="1393">
        <f ca="1"/>
        <v>1052.1400000000001</v>
      </c>
      <c r="EK7" vm="1394">
        <f ca="1"/>
        <v>1048.42</v>
      </c>
      <c r="EL7" vm="1395">
        <f ca="1"/>
        <v>1042.8499999999999</v>
      </c>
      <c r="EM7" vm="1396">
        <f ca="1"/>
        <v>1062.47</v>
      </c>
      <c r="EN7" vm="1397">
        <f ca="1"/>
        <v>1053.47</v>
      </c>
      <c r="EO7" vm="1398">
        <f ca="1"/>
        <v>1044.97</v>
      </c>
      <c r="EP7" vm="1399">
        <f ca="1"/>
        <v>1056.8599999999999</v>
      </c>
      <c r="EQ7" vm="1400">
        <f ca="1"/>
        <v>1049.76</v>
      </c>
      <c r="ER7" vm="1401">
        <f ca="1"/>
        <v>1039.3800000000001</v>
      </c>
      <c r="ES7" vm="1402">
        <f ca="1"/>
        <v>1065.5999999999999</v>
      </c>
      <c r="ET7" vm="1403">
        <f ca="1"/>
        <v>1061.68</v>
      </c>
      <c r="EU7" vm="1404">
        <f ca="1"/>
        <v>1052.25</v>
      </c>
      <c r="EV7" vm="1405">
        <f ca="1"/>
        <v>1048.9100000000001</v>
      </c>
      <c r="EW7" vm="1282">
        <f ca="1"/>
        <v>1073.57</v>
      </c>
      <c r="EX7" vm="1406">
        <f ca="1"/>
        <v>1067.74</v>
      </c>
      <c r="EY7" vm="1407">
        <f ca="1"/>
        <v>1084.83</v>
      </c>
      <c r="EZ7" vm="1408">
        <f ca="1"/>
        <v>1081.32</v>
      </c>
      <c r="FA7" vm="1409">
        <f ca="1"/>
        <v>1092.5</v>
      </c>
      <c r="FB7" vm="1410">
        <f ca="1"/>
        <v>1094.0999999999999</v>
      </c>
      <c r="FC7" vm="1411">
        <f ca="1"/>
        <v>1104.03</v>
      </c>
      <c r="FD7" vm="1412">
        <f ca="1"/>
        <v>1081.9000000000001</v>
      </c>
      <c r="FE7" vm="1413">
        <f ca="1"/>
        <v>1085.8800000000001</v>
      </c>
      <c r="FF7" vm="1414">
        <f ca="1"/>
        <v>1036.3</v>
      </c>
      <c r="FG7" vm="1415">
        <f ca="1"/>
        <v>1051.57</v>
      </c>
      <c r="FH7" vm="1416">
        <f ca="1"/>
        <v>1063.75</v>
      </c>
      <c r="FI7" vm="1417">
        <f ca="1"/>
        <v>1073</v>
      </c>
      <c r="FJ7" vm="1418">
        <f ca="1"/>
        <v>1077.4000000000001</v>
      </c>
      <c r="FK7" vm="1320">
        <f ca="1"/>
        <v>1070.3399999999999</v>
      </c>
      <c r="FL7" vm="1419">
        <f ca="1"/>
        <v>1046.49</v>
      </c>
      <c r="FM7" vm="1420">
        <f ca="1"/>
        <v>1046.8800000000001</v>
      </c>
      <c r="FN7" vm="1421">
        <f ca="1"/>
        <v>1020.73</v>
      </c>
      <c r="FO7" vm="1422">
        <f ca="1"/>
        <v>1018.96</v>
      </c>
      <c r="FP7" vm="1423">
        <f ca="1"/>
        <v>990.87</v>
      </c>
      <c r="FQ7" vm="1424">
        <f ca="1"/>
        <v>1022.56</v>
      </c>
      <c r="FR7" vm="1425">
        <f ca="1"/>
        <v>995.6</v>
      </c>
      <c r="FS7" vm="1426">
        <f ca="1"/>
        <v>994.77</v>
      </c>
      <c r="FT7" vm="1427">
        <f ca="1"/>
        <v>1011.96</v>
      </c>
      <c r="FU7" vm="1428">
        <f ca="1"/>
        <v>1010.68</v>
      </c>
      <c r="FV7" vm="1429">
        <f ca="1"/>
        <v>1016.58</v>
      </c>
      <c r="FW7" vm="1430">
        <f ca="1"/>
        <v>1032</v>
      </c>
      <c r="FX7" vm="1431">
        <f ca="1"/>
        <v>1042.8699999999999</v>
      </c>
      <c r="FY7" vm="1432">
        <f ca="1"/>
        <v>1052.23</v>
      </c>
      <c r="FZ7" vm="1433">
        <f ca="1"/>
        <v>1057.3800000000001</v>
      </c>
      <c r="GA7" vm="1434">
        <f ca="1"/>
        <v>1050.0899999999999</v>
      </c>
      <c r="GB7" vm="1435">
        <f ca="1"/>
        <v>1051.74</v>
      </c>
      <c r="GC7" vm="1436">
        <f ca="1"/>
        <v>1015.33</v>
      </c>
      <c r="GD7" vm="1437">
        <f ca="1"/>
        <v>982.6</v>
      </c>
      <c r="GE7" vm="1438">
        <f ca="1"/>
        <v>971.92</v>
      </c>
      <c r="GF7" vm="1439">
        <f ca="1"/>
        <v>964.71</v>
      </c>
      <c r="GG7" vm="1440">
        <f ca="1"/>
        <v>950.17</v>
      </c>
      <c r="GH7" vm="1441">
        <f ca="1"/>
        <v>961.56</v>
      </c>
      <c r="GI7" vm="1442">
        <f ca="1"/>
        <v>980.38</v>
      </c>
      <c r="GJ7" vm="1443">
        <f ca="1"/>
        <v>995.73</v>
      </c>
      <c r="GK7" vm="1444">
        <f ca="1"/>
        <v>1011.21</v>
      </c>
      <c r="GL7" vm="1445">
        <f ca="1"/>
        <v>1009.43</v>
      </c>
      <c r="GM7" vm="1446">
        <f ca="1"/>
        <v>990.34</v>
      </c>
      <c r="GN7" vm="1447">
        <f ca="1"/>
        <v>1019.68</v>
      </c>
      <c r="GO7" vm="1448">
        <f ca="1"/>
        <v>1036.1099999999999</v>
      </c>
      <c r="GP7" vm="1449">
        <f ca="1"/>
        <v>1031.56</v>
      </c>
      <c r="GQ7" vm="1450">
        <f ca="1"/>
        <v>1025.44</v>
      </c>
      <c r="GR7" vm="1451">
        <f ca="1"/>
        <v>1093.4000000000001</v>
      </c>
      <c r="GS7" vm="1452">
        <f ca="1"/>
        <v>1087.05</v>
      </c>
      <c r="GT7" vm="1453">
        <f ca="1"/>
        <v>1072.2</v>
      </c>
      <c r="GU7" vm="1454">
        <f ca="1"/>
        <v>1054.1099999999999</v>
      </c>
      <c r="GV7" vm="1455">
        <f ca="1"/>
        <v>1038.24</v>
      </c>
      <c r="GW7" vm="1456">
        <f ca="1"/>
        <v>1056.6300000000001</v>
      </c>
      <c r="GX7" vm="1457">
        <f ca="1"/>
        <v>1037.1600000000001</v>
      </c>
      <c r="GY7" vm="1458">
        <f ca="1"/>
        <v>1055.67</v>
      </c>
      <c r="GZ7" vm="1459">
        <f ca="1"/>
        <v>1062.1400000000001</v>
      </c>
      <c r="HA7" vm="1460">
        <f ca="1"/>
        <v>1097.55</v>
      </c>
      <c r="HB7" vm="1461">
        <f ca="1"/>
        <v>1079.19</v>
      </c>
      <c r="HC7" vm="1462">
        <f ca="1"/>
        <v>1098.3699999999999</v>
      </c>
      <c r="HD7" vm="1463">
        <f ca="1"/>
        <v>1090.3900000000001</v>
      </c>
      <c r="HE7" vm="1464">
        <f ca="1"/>
        <v>1126.6300000000001</v>
      </c>
      <c r="HF7" vm="1465">
        <f ca="1"/>
        <v>1131.1300000000001</v>
      </c>
      <c r="HG7" vm="1466">
        <f ca="1"/>
        <v>1133.58</v>
      </c>
      <c r="HH7" vm="1467">
        <f ca="1"/>
        <v>1129.3</v>
      </c>
      <c r="HI7" vm="1468">
        <f ca="1"/>
        <v>1136.3900000000001</v>
      </c>
      <c r="HJ7" vm="1469">
        <f ca="1"/>
        <v>1131.4000000000001</v>
      </c>
      <c r="HK7" vm="1470">
        <f ca="1"/>
        <v>1148.8399999999999</v>
      </c>
      <c r="HL7" vm="1471">
        <f ca="1"/>
        <v>1160.9100000000001</v>
      </c>
      <c r="HM7" vm="1472">
        <f ca="1"/>
        <v>1182.8399999999999</v>
      </c>
      <c r="HN7" vm="1473">
        <f ca="1"/>
        <v>1173.73</v>
      </c>
      <c r="HO7" vm="1474">
        <f ca="1"/>
        <v>1147.1099999999999</v>
      </c>
      <c r="HP7" vm="1475">
        <f ca="1"/>
        <v>1154.3499999999999</v>
      </c>
      <c r="HQ7" vm="1476">
        <f ca="1"/>
        <v>1158.92</v>
      </c>
      <c r="HR7" vm="1477">
        <f ca="1"/>
        <v>1139.82</v>
      </c>
      <c r="HS7" vm="1478">
        <f ca="1"/>
        <v>1156.55</v>
      </c>
      <c r="HT7" vm="1479">
        <f ca="1"/>
        <v>1172.6099999999999</v>
      </c>
      <c r="HU7" vm="1480">
        <f ca="1"/>
        <v>1176.6400000000001</v>
      </c>
      <c r="HV7" vm="1481">
        <f ca="1"/>
        <v>1173.21</v>
      </c>
      <c r="HW7" vm="1482">
        <f ca="1"/>
        <v>1167.57</v>
      </c>
      <c r="HX7" vm="1483">
        <f ca="1"/>
        <v>1164.48</v>
      </c>
      <c r="HY7" vm="1484">
        <f ca="1"/>
        <v>1155.6099999999999</v>
      </c>
      <c r="HZ7" vm="1485">
        <f ca="1"/>
        <v>1128.0999999999999</v>
      </c>
      <c r="IA7" vm="1486">
        <f ca="1"/>
        <v>1107.08</v>
      </c>
      <c r="IB7" vm="1487">
        <f ca="1"/>
        <v>1126.1500000000001</v>
      </c>
      <c r="IC7" vm="1488">
        <f ca="1"/>
        <v>1122.29</v>
      </c>
      <c r="ID7" vm="1489">
        <f ca="1"/>
        <v>1095.3699999999999</v>
      </c>
      <c r="IE7" vm="1490">
        <f ca="1"/>
        <v>1072.03</v>
      </c>
      <c r="IF7" vm="1491">
        <f ca="1"/>
        <v>1062.4000000000001</v>
      </c>
      <c r="IG7" vm="1492">
        <f ca="1"/>
        <v>1079.6500000000001</v>
      </c>
      <c r="IH7" vm="1402">
        <f ca="1"/>
        <v>1065.5999999999999</v>
      </c>
      <c r="II7" vm="1493">
        <f ca="1"/>
        <v>1058.6600000000001</v>
      </c>
      <c r="IJ7" vm="1494">
        <f ca="1"/>
        <v>1037.24</v>
      </c>
      <c r="IK7" vm="1495">
        <f ca="1"/>
        <v>1053.96</v>
      </c>
      <c r="IL7" vm="1496">
        <f ca="1"/>
        <v>1069.78</v>
      </c>
      <c r="IM7" vm="1358">
        <f ca="1"/>
        <v>1090.27</v>
      </c>
      <c r="IN7" vm="1497">
        <f ca="1"/>
        <v>1066.6600000000001</v>
      </c>
      <c r="IO7" vm="1498">
        <f ca="1"/>
        <v>1060.8900000000001</v>
      </c>
      <c r="IP7" vm="1499">
        <f ca="1"/>
        <v>1073.45</v>
      </c>
      <c r="IQ7" vm="1500">
        <f ca="1"/>
        <v>1086.31</v>
      </c>
      <c r="IR7" vm="1501">
        <f ca="1"/>
        <v>1071.25</v>
      </c>
    </row>
    <row r="8" spans="1:252" x14ac:dyDescent="0.35">
      <c r="A8" t="e" vm="6">
        <f>Dashboard!B12</f>
        <v>#VALUE!</v>
      </c>
      <c r="B8" cm="1" vm="1502">
        <f t="array" aca="1" ref="B8:IR8" ca="1">TRANSPOSE(_xlfn.STOCKHISTORY(A8,TODAY()-365,TODAY(),0,0,1))</f>
        <v>156.1</v>
      </c>
      <c r="C8" vm="1503">
        <f ca="1"/>
        <v>155.29</v>
      </c>
      <c r="D8" vm="1504">
        <f ca="1"/>
        <v>154.58000000000001</v>
      </c>
      <c r="E8" vm="1505">
        <f ca="1"/>
        <v>153.37</v>
      </c>
      <c r="F8" vm="1506">
        <f ca="1"/>
        <v>153.55000000000001</v>
      </c>
      <c r="G8" vm="1507">
        <f ca="1"/>
        <v>154.02000000000001</v>
      </c>
      <c r="H8" vm="1508">
        <f ca="1"/>
        <v>154.91</v>
      </c>
      <c r="I8" vm="1509">
        <f ca="1"/>
        <v>153.74</v>
      </c>
      <c r="J8" vm="1510">
        <f ca="1"/>
        <v>151.63999999999999</v>
      </c>
      <c r="K8" vm="1511">
        <f ca="1"/>
        <v>148.9</v>
      </c>
      <c r="L8" vm="1512">
        <f ca="1"/>
        <v>151.94</v>
      </c>
      <c r="M8" vm="1513">
        <f ca="1"/>
        <v>152.38999999999999</v>
      </c>
      <c r="N8" vm="1514">
        <f ca="1"/>
        <v>152.11000000000001</v>
      </c>
      <c r="O8" vm="1515">
        <f ca="1"/>
        <v>151.71</v>
      </c>
      <c r="P8" vm="1516">
        <f ca="1"/>
        <v>153.08000000000001</v>
      </c>
      <c r="Q8" vm="1517">
        <f ca="1"/>
        <v>154.47999999999999</v>
      </c>
      <c r="R8" vm="1518">
        <f ca="1"/>
        <v>153.79</v>
      </c>
      <c r="S8" vm="1519">
        <f ca="1"/>
        <v>155.57</v>
      </c>
      <c r="T8" vm="1520">
        <f ca="1"/>
        <v>156.56</v>
      </c>
      <c r="U8" vm="1521">
        <f ca="1"/>
        <v>155.56</v>
      </c>
      <c r="V8" vm="1522">
        <f ca="1"/>
        <v>155.28</v>
      </c>
      <c r="W8" vm="1523">
        <f ca="1"/>
        <v>154.13</v>
      </c>
      <c r="X8" vm="1524">
        <f ca="1"/>
        <v>155.1</v>
      </c>
      <c r="Y8" vm="1525">
        <f ca="1"/>
        <v>153.52000000000001</v>
      </c>
      <c r="Z8" vm="1526">
        <f ca="1"/>
        <v>157.72</v>
      </c>
      <c r="AA8" vm="1527">
        <f ca="1"/>
        <v>154.04</v>
      </c>
      <c r="AB8" vm="1528">
        <f ca="1"/>
        <v>153.38999999999999</v>
      </c>
      <c r="AC8" vm="1529">
        <f ca="1"/>
        <v>152.66</v>
      </c>
      <c r="AD8" vm="1530">
        <f ca="1"/>
        <v>152.94</v>
      </c>
      <c r="AE8" vm="1531">
        <f ca="1"/>
        <v>155.02000000000001</v>
      </c>
      <c r="AF8" vm="1532">
        <f ca="1"/>
        <v>155.65</v>
      </c>
      <c r="AG8" vm="1533">
        <f ca="1"/>
        <v>156.24</v>
      </c>
      <c r="AH8" vm="1534">
        <f ca="1"/>
        <v>153.32</v>
      </c>
      <c r="AI8" vm="1535">
        <f ca="1"/>
        <v>155.58000000000001</v>
      </c>
      <c r="AJ8" vm="1536">
        <f ca="1"/>
        <v>157.62</v>
      </c>
      <c r="AK8" vm="1537">
        <f ca="1"/>
        <v>154.82</v>
      </c>
      <c r="AL8" vm="1538">
        <f ca="1"/>
        <v>153.62</v>
      </c>
      <c r="AM8" vm="1539">
        <f ca="1"/>
        <v>151.69999999999999</v>
      </c>
      <c r="AN8" vm="1540">
        <f ca="1"/>
        <v>150.31</v>
      </c>
      <c r="AO8" vm="1541">
        <f ca="1"/>
        <v>149.97999999999999</v>
      </c>
      <c r="AP8" vm="1542">
        <f ca="1"/>
        <v>149.75</v>
      </c>
      <c r="AQ8" vm="1543">
        <f ca="1"/>
        <v>148.53</v>
      </c>
      <c r="AR8" vm="1544">
        <f ca="1"/>
        <v>149.51</v>
      </c>
      <c r="AS8" vm="1545">
        <f ca="1"/>
        <v>151.13</v>
      </c>
      <c r="AT8" vm="1546">
        <f ca="1"/>
        <v>152.54</v>
      </c>
      <c r="AU8" vm="1547">
        <f ca="1"/>
        <v>150.25</v>
      </c>
      <c r="AV8" vm="1548">
        <f ca="1"/>
        <v>151.59</v>
      </c>
      <c r="AW8" vm="1549">
        <f ca="1"/>
        <v>152.26</v>
      </c>
      <c r="AX8" vm="1550">
        <f ca="1"/>
        <v>150</v>
      </c>
      <c r="AY8" vm="1551">
        <f ca="1"/>
        <v>148.71</v>
      </c>
      <c r="AZ8" vm="1552">
        <f ca="1"/>
        <v>148.49</v>
      </c>
      <c r="BA8" vm="1553">
        <f ca="1"/>
        <v>151.41</v>
      </c>
      <c r="BB8" vm="1554">
        <f ca="1"/>
        <v>150.72</v>
      </c>
      <c r="BC8" vm="1555">
        <f ca="1"/>
        <v>149.99</v>
      </c>
      <c r="BD8" vm="1556">
        <f ca="1"/>
        <v>149.80000000000001</v>
      </c>
      <c r="BE8" vm="1557">
        <f ca="1"/>
        <v>146.75</v>
      </c>
      <c r="BF8" vm="1558">
        <f ca="1"/>
        <v>149.52000000000001</v>
      </c>
      <c r="BG8" vm="1559">
        <f ca="1"/>
        <v>147.69</v>
      </c>
      <c r="BH8" vm="1560">
        <f ca="1"/>
        <v>147.75</v>
      </c>
      <c r="BI8" vm="1556">
        <f ca="1"/>
        <v>149.80000000000001</v>
      </c>
      <c r="BJ8" vm="1561">
        <f ca="1"/>
        <v>150.51</v>
      </c>
      <c r="BK8" vm="1562">
        <f ca="1"/>
        <v>150.5</v>
      </c>
      <c r="BL8" vm="1563">
        <f ca="1"/>
        <v>150.02000000000001</v>
      </c>
      <c r="BM8" vm="1564">
        <f ca="1"/>
        <v>150.99</v>
      </c>
      <c r="BN8" vm="1565">
        <f ca="1"/>
        <v>152.31</v>
      </c>
      <c r="BO8" vm="1566">
        <f ca="1"/>
        <v>152.41</v>
      </c>
      <c r="BP8" vm="1567">
        <f ca="1"/>
        <v>155.9</v>
      </c>
      <c r="BQ8" vm="1568">
        <f ca="1"/>
        <v>163.85</v>
      </c>
      <c r="BR8" vm="1569">
        <f ca="1"/>
        <v>156.54</v>
      </c>
      <c r="BS8" vm="1570">
        <f ca="1"/>
        <v>155.19999999999999</v>
      </c>
      <c r="BT8" vm="1571">
        <f ca="1"/>
        <v>159.25</v>
      </c>
      <c r="BU8" vm="1572">
        <f ca="1"/>
        <v>162.11000000000001</v>
      </c>
      <c r="BV8" vm="1573">
        <f ca="1"/>
        <v>162.34</v>
      </c>
      <c r="BW8" vm="1574">
        <f ca="1"/>
        <v>163.87</v>
      </c>
      <c r="BX8" vm="1575">
        <f ca="1"/>
        <v>167.24</v>
      </c>
      <c r="BY8" vm="1576">
        <f ca="1"/>
        <v>166.16</v>
      </c>
      <c r="BZ8" vm="1577">
        <f ca="1"/>
        <v>166.26</v>
      </c>
      <c r="CA8" vm="1578">
        <f ca="1"/>
        <v>165.3</v>
      </c>
      <c r="CB8" vm="1579">
        <f ca="1"/>
        <v>166.73</v>
      </c>
      <c r="CC8" vm="1580">
        <f ca="1"/>
        <v>166.66</v>
      </c>
      <c r="CD8" vm="1581">
        <f ca="1"/>
        <v>166.72</v>
      </c>
      <c r="CE8" vm="1582">
        <f ca="1"/>
        <v>167.5</v>
      </c>
      <c r="CF8" vm="1583">
        <f ca="1"/>
        <v>169.05</v>
      </c>
      <c r="CG8" vm="1584">
        <f ca="1"/>
        <v>169.93</v>
      </c>
      <c r="CH8" vm="1585">
        <f ca="1"/>
        <v>171.19</v>
      </c>
      <c r="CI8" vm="1586">
        <f ca="1"/>
        <v>176.9</v>
      </c>
      <c r="CJ8" vm="1587">
        <f ca="1"/>
        <v>174.03</v>
      </c>
      <c r="CK8" vm="1588">
        <f ca="1"/>
        <v>178.04</v>
      </c>
      <c r="CL8" vm="1589">
        <f ca="1"/>
        <v>181.23</v>
      </c>
      <c r="CM8" vm="1590">
        <f ca="1"/>
        <v>179.23</v>
      </c>
      <c r="CN8" vm="1591">
        <f ca="1"/>
        <v>180.86</v>
      </c>
      <c r="CO8" vm="1592">
        <f ca="1"/>
        <v>182.6</v>
      </c>
      <c r="CP8" vm="1593">
        <f ca="1"/>
        <v>182.26</v>
      </c>
      <c r="CQ8" vm="1594">
        <f ca="1"/>
        <v>185.82</v>
      </c>
      <c r="CR8" vm="1595">
        <f ca="1"/>
        <v>182.4</v>
      </c>
      <c r="CS8" vm="1596">
        <f ca="1"/>
        <v>183.74</v>
      </c>
      <c r="CT8" vm="1597">
        <f ca="1"/>
        <v>180.55</v>
      </c>
      <c r="CU8" vm="1598">
        <f ca="1"/>
        <v>183.87</v>
      </c>
      <c r="CV8" vm="1599">
        <f ca="1"/>
        <v>184.78</v>
      </c>
      <c r="CW8" vm="1600">
        <f ca="1"/>
        <v>183.93</v>
      </c>
      <c r="CX8" vm="1601">
        <f ca="1"/>
        <v>184.91</v>
      </c>
      <c r="CY8" vm="1602">
        <f ca="1"/>
        <v>185.34</v>
      </c>
      <c r="CZ8" vm="1603">
        <f ca="1"/>
        <v>184.22</v>
      </c>
      <c r="DA8" vm="1604">
        <f ca="1"/>
        <v>184.16</v>
      </c>
      <c r="DB8" vm="1605">
        <f ca="1"/>
        <v>186.76</v>
      </c>
      <c r="DC8" vm="1606">
        <f ca="1"/>
        <v>189.6</v>
      </c>
      <c r="DD8" vm="1607">
        <f ca="1"/>
        <v>188.77</v>
      </c>
      <c r="DE8" vm="1608">
        <f ca="1"/>
        <v>186.03</v>
      </c>
      <c r="DF8" vm="1609">
        <f ca="1"/>
        <v>189.9</v>
      </c>
      <c r="DG8" vm="1610">
        <f ca="1"/>
        <v>189.94</v>
      </c>
      <c r="DH8" vm="1611">
        <f ca="1"/>
        <v>189.44</v>
      </c>
      <c r="DI8" vm="1612">
        <f ca="1"/>
        <v>186.29</v>
      </c>
      <c r="DJ8" vm="1613">
        <f ca="1"/>
        <v>191.79</v>
      </c>
      <c r="DK8" vm="1614">
        <f ca="1"/>
        <v>196.97</v>
      </c>
      <c r="DL8" vm="1615">
        <f ca="1"/>
        <v>196.82</v>
      </c>
      <c r="DM8" vm="1616">
        <f ca="1"/>
        <v>196.84</v>
      </c>
      <c r="DN8" vm="1617">
        <f ca="1"/>
        <v>197.97</v>
      </c>
      <c r="DO8" vm="1618">
        <f ca="1"/>
        <v>198.61</v>
      </c>
      <c r="DP8" vm="1619">
        <f ca="1"/>
        <v>201.44</v>
      </c>
      <c r="DQ8" vm="1620">
        <f ca="1"/>
        <v>201.73</v>
      </c>
      <c r="DR8" vm="1621">
        <f ca="1"/>
        <v>205.21</v>
      </c>
      <c r="DS8" vm="1622">
        <f ca="1"/>
        <v>206.79</v>
      </c>
      <c r="DT8" vm="1623">
        <f ca="1"/>
        <v>205.15</v>
      </c>
      <c r="DU8" vm="1624">
        <f ca="1"/>
        <v>207.79</v>
      </c>
      <c r="DV8" vm="1625">
        <f ca="1"/>
        <v>211.15</v>
      </c>
      <c r="DW8" vm="1626">
        <f ca="1"/>
        <v>210.71</v>
      </c>
      <c r="DX8" vm="1627">
        <f ca="1"/>
        <v>206.9</v>
      </c>
      <c r="DY8" vm="1628">
        <f ca="1"/>
        <v>197.41</v>
      </c>
      <c r="DZ8" vm="1629">
        <f ca="1"/>
        <v>198.97</v>
      </c>
      <c r="EA8" vm="1630">
        <f ca="1"/>
        <v>198.86</v>
      </c>
      <c r="EB8" vm="1631">
        <f ca="1"/>
        <v>201.54</v>
      </c>
      <c r="EC8" vm="1632">
        <f ca="1"/>
        <v>192.89</v>
      </c>
      <c r="ED8" vm="1633">
        <f ca="1"/>
        <v>190.36</v>
      </c>
      <c r="EE8" vm="1634">
        <f ca="1"/>
        <v>188.55</v>
      </c>
      <c r="EF8" vm="1635">
        <f ca="1"/>
        <v>191.78</v>
      </c>
      <c r="EG8" vm="1636">
        <f ca="1"/>
        <v>187.02</v>
      </c>
      <c r="EH8" vm="1601">
        <f ca="1"/>
        <v>184.91</v>
      </c>
      <c r="EI8" vm="1637">
        <f ca="1"/>
        <v>188.15</v>
      </c>
      <c r="EJ8" vm="1638">
        <f ca="1"/>
        <v>183.99</v>
      </c>
      <c r="EK8" vm="1639">
        <f ca="1"/>
        <v>183.25</v>
      </c>
      <c r="EL8" vm="1640">
        <f ca="1"/>
        <v>185.98</v>
      </c>
      <c r="EM8" vm="1641">
        <f ca="1"/>
        <v>186.32</v>
      </c>
      <c r="EN8" vm="1642">
        <f ca="1"/>
        <v>187.6</v>
      </c>
      <c r="EO8" vm="1643">
        <f ca="1"/>
        <v>185.21</v>
      </c>
      <c r="EP8" vm="1599">
        <f ca="1"/>
        <v>184.78</v>
      </c>
      <c r="EQ8" vm="1644">
        <f ca="1"/>
        <v>188.36</v>
      </c>
      <c r="ER8" vm="1645">
        <f ca="1"/>
        <v>192.22</v>
      </c>
      <c r="ES8" vm="1646">
        <f ca="1"/>
        <v>193.31</v>
      </c>
      <c r="ET8" vm="1647">
        <f ca="1"/>
        <v>190.63</v>
      </c>
      <c r="EU8" vm="1648">
        <f ca="1"/>
        <v>192.28</v>
      </c>
      <c r="EV8" vm="1649">
        <f ca="1"/>
        <v>192.64</v>
      </c>
      <c r="EW8" vm="1650">
        <f ca="1"/>
        <v>185.16</v>
      </c>
      <c r="EX8" vm="1651">
        <f ca="1"/>
        <v>182.5</v>
      </c>
      <c r="EY8" vm="1652">
        <f ca="1"/>
        <v>181.62</v>
      </c>
      <c r="EZ8" vm="1653">
        <f ca="1"/>
        <v>184.74</v>
      </c>
      <c r="FA8" vm="1654">
        <f ca="1"/>
        <v>185.95</v>
      </c>
      <c r="FB8" vm="1655">
        <f ca="1"/>
        <v>186</v>
      </c>
      <c r="FC8" vm="1656">
        <f ca="1"/>
        <v>186.64</v>
      </c>
      <c r="FD8" vm="1657">
        <f ca="1"/>
        <v>191.1</v>
      </c>
      <c r="FE8" vm="1658">
        <f ca="1"/>
        <v>196.12</v>
      </c>
      <c r="FF8" vm="1659">
        <f ca="1"/>
        <v>197.25</v>
      </c>
      <c r="FG8" vm="1660">
        <f ca="1"/>
        <v>191.33</v>
      </c>
      <c r="FH8" vm="1661">
        <f ca="1"/>
        <v>191.01</v>
      </c>
      <c r="FI8" vm="1662">
        <f ca="1"/>
        <v>191.43</v>
      </c>
      <c r="FJ8" vm="1663">
        <f ca="1"/>
        <v>184.71</v>
      </c>
      <c r="FK8" vm="1595">
        <f ca="1"/>
        <v>182.4</v>
      </c>
      <c r="FL8" vm="1664">
        <f ca="1"/>
        <v>183.03</v>
      </c>
      <c r="FM8" vm="1665">
        <f ca="1"/>
        <v>182.46</v>
      </c>
      <c r="FN8" vm="1666">
        <f ca="1"/>
        <v>185.83</v>
      </c>
      <c r="FO8" vm="1667">
        <f ca="1"/>
        <v>187.55</v>
      </c>
      <c r="FP8" vm="1668">
        <f ca="1"/>
        <v>189.71</v>
      </c>
      <c r="FQ8" vm="1669">
        <f ca="1"/>
        <v>188.35</v>
      </c>
      <c r="FR8" vm="1670">
        <f ca="1"/>
        <v>187.31</v>
      </c>
      <c r="FS8" vm="1671">
        <f ca="1"/>
        <v>189.24</v>
      </c>
      <c r="FT8" vm="1605">
        <f ca="1"/>
        <v>186.76</v>
      </c>
      <c r="FU8" vm="1672">
        <f ca="1"/>
        <v>189.8</v>
      </c>
      <c r="FV8" vm="1594">
        <f ca="1"/>
        <v>185.82</v>
      </c>
      <c r="FW8" vm="1673">
        <f ca="1"/>
        <v>187.22</v>
      </c>
      <c r="FX8" vm="1674">
        <f ca="1"/>
        <v>180.4</v>
      </c>
      <c r="FY8" vm="1675">
        <f ca="1"/>
        <v>180.11</v>
      </c>
      <c r="FZ8" vm="1676">
        <f ca="1"/>
        <v>177.58</v>
      </c>
      <c r="GA8" vm="1677">
        <f ca="1"/>
        <v>173.63</v>
      </c>
      <c r="GB8" vm="1678">
        <f ca="1"/>
        <v>175.06</v>
      </c>
      <c r="GC8" vm="1679">
        <f ca="1"/>
        <v>175.98</v>
      </c>
      <c r="GD8" vm="1680">
        <f ca="1"/>
        <v>171.45</v>
      </c>
      <c r="GE8" vm="1681">
        <f ca="1"/>
        <v>172.24</v>
      </c>
      <c r="GF8" vm="1682">
        <f ca="1"/>
        <v>171.06</v>
      </c>
      <c r="GG8" vm="1683">
        <f ca="1"/>
        <v>168.47</v>
      </c>
      <c r="GH8" vm="1684">
        <f ca="1"/>
        <v>165.76</v>
      </c>
      <c r="GI8" vm="1685">
        <f ca="1"/>
        <v>165.69</v>
      </c>
      <c r="GJ8" vm="1686">
        <f ca="1"/>
        <v>169.2</v>
      </c>
      <c r="GK8" vm="1687">
        <f ca="1"/>
        <v>168.1</v>
      </c>
      <c r="GL8" vm="1688">
        <f ca="1"/>
        <v>174.01</v>
      </c>
      <c r="GM8" vm="1689">
        <f ca="1"/>
        <v>175.97</v>
      </c>
      <c r="GN8" vm="1690">
        <f ca="1"/>
        <v>174.05</v>
      </c>
      <c r="GO8" vm="1691">
        <f ca="1"/>
        <v>176.4</v>
      </c>
      <c r="GP8" vm="1692">
        <f ca="1"/>
        <v>182.2</v>
      </c>
      <c r="GQ8" vm="1693">
        <f ca="1"/>
        <v>181.76</v>
      </c>
      <c r="GR8" vm="1694">
        <f ca="1"/>
        <v>181.6</v>
      </c>
      <c r="GS8" vm="1695">
        <f ca="1"/>
        <v>183.86</v>
      </c>
      <c r="GT8" vm="1696">
        <f ca="1"/>
        <v>187.38</v>
      </c>
      <c r="GU8" vm="1668">
        <f ca="1"/>
        <v>189.71</v>
      </c>
      <c r="GV8" vm="1697">
        <f ca="1"/>
        <v>191.07</v>
      </c>
      <c r="GW8" vm="1698">
        <f ca="1"/>
        <v>192.98</v>
      </c>
      <c r="GX8" vm="1699">
        <f ca="1"/>
        <v>194.42</v>
      </c>
      <c r="GY8" vm="1700">
        <f ca="1"/>
        <v>194.79</v>
      </c>
      <c r="GZ8" vm="1701">
        <f ca="1"/>
        <v>190</v>
      </c>
      <c r="HA8" vm="1702">
        <f ca="1"/>
        <v>187.58</v>
      </c>
      <c r="HB8" vm="1703">
        <f ca="1"/>
        <v>191.86</v>
      </c>
      <c r="HC8" vm="1704">
        <f ca="1"/>
        <v>192.31</v>
      </c>
      <c r="HD8" vm="1705">
        <f ca="1"/>
        <v>196.83</v>
      </c>
      <c r="HE8" vm="1706">
        <f ca="1"/>
        <v>193.18</v>
      </c>
      <c r="HF8" vm="1707">
        <f ca="1"/>
        <v>190.4</v>
      </c>
      <c r="HG8" vm="1708">
        <f ca="1"/>
        <v>186.41</v>
      </c>
      <c r="HH8" vm="1709">
        <f ca="1"/>
        <v>189.23</v>
      </c>
      <c r="HI8" vm="1710">
        <f ca="1"/>
        <v>186.56</v>
      </c>
      <c r="HJ8" vm="1711">
        <f ca="1"/>
        <v>194.91</v>
      </c>
      <c r="HK8" vm="1712">
        <f ca="1"/>
        <v>196.66</v>
      </c>
      <c r="HL8" vm="376">
        <f ca="1"/>
        <v>196.6</v>
      </c>
      <c r="HM8" vm="1713">
        <f ca="1"/>
        <v>197.7</v>
      </c>
      <c r="HN8" vm="1714">
        <f ca="1"/>
        <v>200</v>
      </c>
      <c r="HO8" vm="1715">
        <f ca="1"/>
        <v>202.7</v>
      </c>
      <c r="HP8" vm="1716">
        <f ca="1"/>
        <v>205.74</v>
      </c>
      <c r="HQ8" vm="1717">
        <f ca="1"/>
        <v>205.76</v>
      </c>
      <c r="HR8" vm="1718">
        <f ca="1"/>
        <v>205.77</v>
      </c>
      <c r="HS8" vm="394">
        <f ca="1"/>
        <v>205.27</v>
      </c>
      <c r="HT8" vm="1719">
        <f ca="1"/>
        <v>203.09</v>
      </c>
      <c r="HU8" vm="1720">
        <f ca="1"/>
        <v>199.89</v>
      </c>
      <c r="HV8" vm="380">
        <f ca="1"/>
        <v>200.21</v>
      </c>
      <c r="HW8" vm="1721">
        <f ca="1"/>
        <v>199.77</v>
      </c>
      <c r="HX8" vm="1722">
        <f ca="1"/>
        <v>201.86</v>
      </c>
      <c r="HY8" vm="1723">
        <f ca="1"/>
        <v>206.14</v>
      </c>
      <c r="HZ8" vm="1724">
        <f ca="1"/>
        <v>211.05</v>
      </c>
      <c r="IA8" vm="1725">
        <f ca="1"/>
        <v>211.78</v>
      </c>
      <c r="IB8" vm="1726">
        <f ca="1"/>
        <v>211.32</v>
      </c>
      <c r="IC8" vm="1727">
        <f ca="1"/>
        <v>208.6</v>
      </c>
      <c r="ID8" vm="1728">
        <f ca="1"/>
        <v>209.8</v>
      </c>
      <c r="IE8" vm="1729">
        <f ca="1"/>
        <v>213.81</v>
      </c>
      <c r="IF8" vm="1730">
        <f ca="1"/>
        <v>212.76</v>
      </c>
      <c r="IG8" vm="1731">
        <f ca="1"/>
        <v>214.06</v>
      </c>
      <c r="IH8" vm="1732">
        <f ca="1"/>
        <v>212.17</v>
      </c>
      <c r="II8" vm="1733">
        <f ca="1"/>
        <v>217.77</v>
      </c>
      <c r="IJ8" vm="1734">
        <f ca="1"/>
        <v>211.54</v>
      </c>
      <c r="IK8" vm="1735">
        <f ca="1"/>
        <v>211.57</v>
      </c>
      <c r="IL8" vm="1736">
        <f ca="1"/>
        <v>209.51</v>
      </c>
      <c r="IM8" vm="1737">
        <f ca="1"/>
        <v>203.67</v>
      </c>
      <c r="IN8" vm="1738">
        <f ca="1"/>
        <v>202.41</v>
      </c>
      <c r="IO8" vm="1739">
        <f ca="1"/>
        <v>205.51</v>
      </c>
      <c r="IP8" vm="1740">
        <f ca="1"/>
        <v>205.65</v>
      </c>
      <c r="IQ8" vm="1741">
        <f ca="1"/>
        <v>204.45</v>
      </c>
      <c r="IR8" vm="1742">
        <f ca="1"/>
        <v>206.37</v>
      </c>
    </row>
    <row r="9" spans="1:252" x14ac:dyDescent="0.35">
      <c r="A9" t="e" vm="7">
        <f>Dashboard!B13</f>
        <v>#VALUE!</v>
      </c>
      <c r="B9" cm="1" vm="1743">
        <f t="array" aca="1" ref="B9:IR9" ca="1">TRANSPOSE(_xlfn.STOCKHISTORY(A9,TODAY()-365,TODAY(),0,0,1))</f>
        <v>103.16</v>
      </c>
      <c r="C9" vm="1744">
        <f ca="1"/>
        <v>101.5</v>
      </c>
      <c r="D9" vm="1745">
        <f ca="1"/>
        <v>98.71</v>
      </c>
      <c r="E9" vm="1746">
        <f ca="1"/>
        <v>97.34</v>
      </c>
      <c r="F9" vm="1747">
        <f ca="1"/>
        <v>97.74</v>
      </c>
      <c r="G9" vm="1748">
        <f ca="1"/>
        <v>98.05</v>
      </c>
      <c r="H9" vm="1749">
        <f ca="1"/>
        <v>97.8</v>
      </c>
      <c r="I9" vm="1750">
        <f ca="1"/>
        <v>96.7</v>
      </c>
      <c r="J9" vm="1751">
        <f ca="1"/>
        <v>95.92</v>
      </c>
      <c r="K9" vm="1752">
        <f ca="1"/>
        <v>93.93</v>
      </c>
      <c r="L9" vm="1753">
        <f ca="1"/>
        <v>96.1</v>
      </c>
      <c r="M9" vm="1754">
        <f ca="1"/>
        <v>99.84</v>
      </c>
      <c r="N9" vm="1755">
        <f ca="1"/>
        <v>99.78</v>
      </c>
      <c r="O9" vm="1756">
        <f ca="1"/>
        <v>96.26</v>
      </c>
      <c r="P9" vm="1757">
        <f ca="1"/>
        <v>97.07</v>
      </c>
      <c r="Q9" vm="1758">
        <f ca="1"/>
        <v>99.3</v>
      </c>
      <c r="R9" vm="1759">
        <f ca="1"/>
        <v>98.25</v>
      </c>
      <c r="S9" vm="1760">
        <f ca="1"/>
        <v>96.3</v>
      </c>
      <c r="T9" vm="1761">
        <f ca="1"/>
        <v>96.69</v>
      </c>
      <c r="U9" vm="1762">
        <f ca="1"/>
        <v>98.78</v>
      </c>
      <c r="V9" vm="1763">
        <f ca="1"/>
        <v>100.99</v>
      </c>
      <c r="W9" vm="1764">
        <f ca="1"/>
        <v>101.39</v>
      </c>
      <c r="X9" vm="1765">
        <f ca="1"/>
        <v>99.12</v>
      </c>
      <c r="Y9" vm="1766">
        <f ca="1"/>
        <v>100.22</v>
      </c>
      <c r="Z9" vm="1767">
        <f ca="1"/>
        <v>101.23</v>
      </c>
      <c r="AA9" vm="1768">
        <f ca="1"/>
        <v>101.61</v>
      </c>
      <c r="AB9" vm="1769">
        <f ca="1"/>
        <v>101.01</v>
      </c>
      <c r="AC9" vm="1770">
        <f ca="1"/>
        <v>101.69</v>
      </c>
      <c r="AD9" vm="1771">
        <f ca="1"/>
        <v>100.85</v>
      </c>
      <c r="AE9" vm="1772">
        <f ca="1"/>
        <v>100.79</v>
      </c>
      <c r="AF9" vm="1773">
        <f ca="1"/>
        <v>101.49</v>
      </c>
      <c r="AG9" vm="1774">
        <f ca="1"/>
        <v>100.76</v>
      </c>
      <c r="AH9" vm="1775">
        <f ca="1"/>
        <v>102.87</v>
      </c>
      <c r="AI9" vm="1776">
        <f ca="1"/>
        <v>100.67</v>
      </c>
      <c r="AJ9" vm="1777">
        <f ca="1"/>
        <v>100.3</v>
      </c>
      <c r="AK9" vm="1778">
        <f ca="1"/>
        <v>98.19</v>
      </c>
      <c r="AL9" vm="1779">
        <f ca="1"/>
        <v>98.32</v>
      </c>
      <c r="AM9" vm="1780">
        <f ca="1"/>
        <v>99.83</v>
      </c>
      <c r="AN9" vm="1781">
        <f ca="1"/>
        <v>97.63</v>
      </c>
      <c r="AO9" vm="1782">
        <f ca="1"/>
        <v>98.7</v>
      </c>
      <c r="AP9" vm="1783">
        <f ca="1"/>
        <v>99.69</v>
      </c>
      <c r="AQ9" vm="1784">
        <f ca="1"/>
        <v>101.17</v>
      </c>
      <c r="AR9" vm="1785">
        <f ca="1"/>
        <v>102.5</v>
      </c>
      <c r="AS9" vm="1786">
        <f ca="1"/>
        <v>103.6</v>
      </c>
      <c r="AT9" vm="1787">
        <f ca="1"/>
        <v>102.68</v>
      </c>
      <c r="AU9" vm="1788">
        <f ca="1"/>
        <v>103.19</v>
      </c>
      <c r="AV9" vm="1789">
        <f ca="1"/>
        <v>106.72</v>
      </c>
      <c r="AW9" vm="1790">
        <f ca="1"/>
        <v>107.79</v>
      </c>
      <c r="AX9" vm="1791">
        <f ca="1"/>
        <v>108.88</v>
      </c>
      <c r="AY9" vm="1792">
        <f ca="1"/>
        <v>108.92</v>
      </c>
      <c r="AZ9" vm="1793">
        <f ca="1"/>
        <v>109.43</v>
      </c>
      <c r="BA9" vm="1794">
        <f ca="1"/>
        <v>111.09</v>
      </c>
      <c r="BB9" vm="1795">
        <f ca="1"/>
        <v>111.74</v>
      </c>
      <c r="BC9" vm="1796">
        <f ca="1"/>
        <v>111.8</v>
      </c>
      <c r="BD9" vm="1797">
        <f ca="1"/>
        <v>112.8</v>
      </c>
      <c r="BE9" vm="1798">
        <f ca="1"/>
        <v>111.28</v>
      </c>
      <c r="BF9" vm="1799">
        <f ca="1"/>
        <v>111.46</v>
      </c>
      <c r="BG9" vm="1800">
        <f ca="1"/>
        <v>112.83</v>
      </c>
      <c r="BH9" vm="1801">
        <f ca="1"/>
        <v>114.86</v>
      </c>
      <c r="BI9" vm="1802">
        <f ca="1"/>
        <v>118.09</v>
      </c>
      <c r="BJ9" vm="1803">
        <f ca="1"/>
        <v>119.4</v>
      </c>
      <c r="BK9" vm="1804">
        <f ca="1"/>
        <v>121.56</v>
      </c>
      <c r="BL9" vm="1805">
        <f ca="1"/>
        <v>120.42</v>
      </c>
      <c r="BM9" vm="1806">
        <f ca="1"/>
        <v>118.13</v>
      </c>
      <c r="BN9" vm="1807">
        <f ca="1"/>
        <v>117.21</v>
      </c>
      <c r="BO9" vm="1808">
        <f ca="1"/>
        <v>116.69</v>
      </c>
      <c r="BP9" vm="1809">
        <f ca="1"/>
        <v>118.7</v>
      </c>
      <c r="BQ9" vm="1810">
        <f ca="1"/>
        <v>123.3</v>
      </c>
      <c r="BR9" vm="1811">
        <f ca="1"/>
        <v>122.5</v>
      </c>
      <c r="BS9" vm="1812">
        <f ca="1"/>
        <v>121.37</v>
      </c>
      <c r="BT9" vm="1813">
        <f ca="1"/>
        <v>120.6</v>
      </c>
      <c r="BU9" vm="1814">
        <f ca="1"/>
        <v>121.32</v>
      </c>
      <c r="BV9" vm="1815">
        <f ca="1"/>
        <v>117.7</v>
      </c>
      <c r="BW9" vm="1816">
        <f ca="1"/>
        <v>116.3</v>
      </c>
      <c r="BX9" vm="1817">
        <f ca="1"/>
        <v>112.41</v>
      </c>
      <c r="BY9" vm="1818">
        <f ca="1"/>
        <v>117.46</v>
      </c>
      <c r="BZ9" vm="1819">
        <f ca="1"/>
        <v>118.04</v>
      </c>
      <c r="CA9" vm="1797">
        <f ca="1"/>
        <v>112.8</v>
      </c>
      <c r="CB9" vm="1820">
        <f ca="1"/>
        <v>113.86</v>
      </c>
      <c r="CC9" vm="1821">
        <f ca="1"/>
        <v>115.66</v>
      </c>
      <c r="CD9" vm="1822">
        <f ca="1"/>
        <v>113.59</v>
      </c>
      <c r="CE9" vm="1823">
        <f ca="1"/>
        <v>114.82</v>
      </c>
      <c r="CF9" vm="1824">
        <f ca="1"/>
        <v>114.79</v>
      </c>
      <c r="CG9" vm="1825">
        <f ca="1"/>
        <v>114.2</v>
      </c>
      <c r="CH9" vm="1826">
        <f ca="1"/>
        <v>115.2</v>
      </c>
      <c r="CI9" vm="1827">
        <f ca="1"/>
        <v>115.71</v>
      </c>
      <c r="CJ9" vm="1828">
        <f ca="1"/>
        <v>116.23</v>
      </c>
      <c r="CK9" vm="1829">
        <f ca="1"/>
        <v>117.71</v>
      </c>
      <c r="CL9" vm="1830">
        <f ca="1"/>
        <v>117.43</v>
      </c>
      <c r="CM9" vm="1831">
        <f ca="1"/>
        <v>115.74</v>
      </c>
      <c r="CN9" vm="1832">
        <f ca="1"/>
        <v>122.69</v>
      </c>
      <c r="CO9" vm="1833">
        <f ca="1"/>
        <v>123.77</v>
      </c>
      <c r="CP9" vm="1834">
        <f ca="1"/>
        <v>122.15</v>
      </c>
      <c r="CQ9" vm="1835">
        <f ca="1"/>
        <v>117.39</v>
      </c>
      <c r="CR9" vm="1836">
        <f ca="1"/>
        <v>111.15</v>
      </c>
      <c r="CS9" vm="1837">
        <f ca="1"/>
        <v>110.86</v>
      </c>
      <c r="CT9" vm="1838">
        <f ca="1"/>
        <v>113.78</v>
      </c>
      <c r="CU9" vm="1839">
        <f ca="1"/>
        <v>116.27</v>
      </c>
      <c r="CV9" vm="1840">
        <f ca="1"/>
        <v>115.55</v>
      </c>
      <c r="CW9" vm="1841">
        <f ca="1"/>
        <v>116</v>
      </c>
      <c r="CX9" vm="1842">
        <f ca="1"/>
        <v>110.75</v>
      </c>
      <c r="CY9" vm="1843">
        <f ca="1"/>
        <v>109.56</v>
      </c>
      <c r="CZ9" vm="1844">
        <f ca="1"/>
        <v>114.34</v>
      </c>
      <c r="DA9" vm="1845">
        <f ca="1"/>
        <v>116.19</v>
      </c>
      <c r="DB9" vm="1846">
        <f ca="1"/>
        <v>110.19</v>
      </c>
      <c r="DC9" vm="1847">
        <f ca="1"/>
        <v>111.45</v>
      </c>
      <c r="DD9" vm="1848">
        <f ca="1"/>
        <v>110.76</v>
      </c>
      <c r="DE9" vm="1849">
        <f ca="1"/>
        <v>111.32</v>
      </c>
      <c r="DF9" vm="1850">
        <f ca="1"/>
        <v>108.95</v>
      </c>
      <c r="DG9" vm="1851">
        <f ca="1"/>
        <v>106.53</v>
      </c>
      <c r="DH9" vm="1852">
        <f ca="1"/>
        <v>106.59</v>
      </c>
      <c r="DI9" vm="1853">
        <f ca="1"/>
        <v>108.97</v>
      </c>
      <c r="DJ9" vm="1854">
        <f ca="1"/>
        <v>109.19</v>
      </c>
      <c r="DK9" vm="1855">
        <f ca="1"/>
        <v>105.5</v>
      </c>
      <c r="DL9" vm="1856">
        <f ca="1"/>
        <v>105.69</v>
      </c>
      <c r="DM9" vm="1857">
        <f ca="1"/>
        <v>107.35</v>
      </c>
      <c r="DN9" vm="1858">
        <f ca="1"/>
        <v>107.71</v>
      </c>
      <c r="DO9" vm="1859">
        <f ca="1"/>
        <v>108.67</v>
      </c>
      <c r="DP9" vm="1860">
        <f ca="1"/>
        <v>109.85</v>
      </c>
      <c r="DQ9" vm="1861">
        <f ca="1"/>
        <v>109.52</v>
      </c>
      <c r="DR9" vm="1862">
        <f ca="1"/>
        <v>111.64</v>
      </c>
      <c r="DS9" vm="1863">
        <f ca="1"/>
        <v>113.74</v>
      </c>
      <c r="DT9" vm="1864">
        <f ca="1"/>
        <v>114.48</v>
      </c>
      <c r="DU9" vm="1817">
        <f ca="1"/>
        <v>112.41</v>
      </c>
      <c r="DV9" vm="1865">
        <f ca="1"/>
        <v>107.38</v>
      </c>
      <c r="DW9" vm="1866">
        <f ca="1"/>
        <v>107.27</v>
      </c>
      <c r="DX9" vm="1867">
        <f ca="1"/>
        <v>113.41</v>
      </c>
      <c r="DY9" vm="1868">
        <f ca="1"/>
        <v>115.3</v>
      </c>
      <c r="DZ9" vm="1869">
        <f ca="1"/>
        <v>115.25</v>
      </c>
      <c r="EA9" vm="1870">
        <f ca="1"/>
        <v>117.36</v>
      </c>
      <c r="EB9" vm="1871">
        <f ca="1"/>
        <v>117.13</v>
      </c>
      <c r="EC9" vm="1872">
        <f ca="1"/>
        <v>123.49</v>
      </c>
      <c r="ED9" vm="1873">
        <f ca="1"/>
        <v>124.92</v>
      </c>
      <c r="EE9" vm="1874">
        <f ca="1"/>
        <v>124.39</v>
      </c>
      <c r="EF9" vm="1875">
        <f ca="1"/>
        <v>126.28</v>
      </c>
      <c r="EG9" vm="1876">
        <f ca="1"/>
        <v>129.58000000000001</v>
      </c>
      <c r="EH9" vm="1877">
        <f ca="1"/>
        <v>131.69</v>
      </c>
      <c r="EI9" vm="1878">
        <f ca="1"/>
        <v>129.34</v>
      </c>
      <c r="EJ9" vm="1879">
        <f ca="1"/>
        <v>132.18</v>
      </c>
      <c r="EK9" vm="1880">
        <f ca="1"/>
        <v>133.05000000000001</v>
      </c>
      <c r="EL9" vm="1881">
        <f ca="1"/>
        <v>131.68</v>
      </c>
      <c r="EM9" vm="1882">
        <f ca="1"/>
        <v>129.72999999999999</v>
      </c>
      <c r="EN9" vm="1883">
        <f ca="1"/>
        <v>128.51</v>
      </c>
      <c r="EO9" vm="1884">
        <f ca="1"/>
        <v>127.98</v>
      </c>
      <c r="EP9" vm="1885">
        <f ca="1"/>
        <v>129.13999999999999</v>
      </c>
      <c r="EQ9" vm="1886">
        <f ca="1"/>
        <v>128.53</v>
      </c>
      <c r="ER9" vm="1887">
        <f ca="1"/>
        <v>127.61</v>
      </c>
      <c r="ES9" vm="1884">
        <f ca="1"/>
        <v>127.98</v>
      </c>
      <c r="ET9" vm="1888">
        <f ca="1"/>
        <v>127.44</v>
      </c>
      <c r="EU9" vm="1889">
        <f ca="1"/>
        <v>125.63</v>
      </c>
      <c r="EV9" vm="1890">
        <f ca="1"/>
        <v>128.01</v>
      </c>
      <c r="EW9" vm="1891">
        <f ca="1"/>
        <v>127.6</v>
      </c>
      <c r="EX9" vm="1892">
        <f ca="1"/>
        <v>129.09</v>
      </c>
      <c r="EY9" vm="1893">
        <f ca="1"/>
        <v>125.55</v>
      </c>
      <c r="EZ9" vm="1894">
        <f ca="1"/>
        <v>125.85</v>
      </c>
      <c r="FA9" vm="1895">
        <f ca="1"/>
        <v>126.44</v>
      </c>
      <c r="FB9" vm="1896">
        <f ca="1"/>
        <v>124.1</v>
      </c>
      <c r="FC9" vm="1897">
        <f ca="1"/>
        <v>124.82</v>
      </c>
      <c r="FD9" vm="1898">
        <f ca="1"/>
        <v>123.42</v>
      </c>
      <c r="FE9" vm="1899">
        <f ca="1"/>
        <v>122.41</v>
      </c>
      <c r="FF9" vm="1900">
        <f ca="1"/>
        <v>119.97</v>
      </c>
      <c r="FG9" vm="1897">
        <f ca="1"/>
        <v>124.82</v>
      </c>
      <c r="FH9" vm="1901">
        <f ca="1"/>
        <v>125.22</v>
      </c>
      <c r="FI9" vm="1902">
        <f ca="1"/>
        <v>125.09</v>
      </c>
      <c r="FJ9" vm="1903">
        <f ca="1"/>
        <v>126.86</v>
      </c>
      <c r="FK9" vm="1904">
        <f ca="1"/>
        <v>125.39</v>
      </c>
      <c r="FL9" vm="1905">
        <f ca="1"/>
        <v>124.68</v>
      </c>
      <c r="FM9" vm="1906">
        <f ca="1"/>
        <v>125.9</v>
      </c>
      <c r="FN9" vm="1892">
        <f ca="1"/>
        <v>129.09</v>
      </c>
      <c r="FO9" vm="1907">
        <f ca="1"/>
        <v>131.26</v>
      </c>
      <c r="FP9" vm="1908">
        <f ca="1"/>
        <v>129.93</v>
      </c>
      <c r="FQ9" vm="1909">
        <f ca="1"/>
        <v>135.15</v>
      </c>
      <c r="FR9" vm="1910">
        <f ca="1"/>
        <v>132.47</v>
      </c>
      <c r="FS9" vm="1911">
        <f ca="1"/>
        <v>133.28</v>
      </c>
      <c r="FT9" vm="1912">
        <f ca="1"/>
        <v>134.72999999999999</v>
      </c>
      <c r="FU9" vm="1913">
        <f ca="1"/>
        <v>133.38</v>
      </c>
      <c r="FV9" vm="1914">
        <f ca="1"/>
        <v>138.07</v>
      </c>
      <c r="FW9" vm="1915">
        <f ca="1"/>
        <v>139.83000000000001</v>
      </c>
      <c r="FX9" vm="1916">
        <f ca="1"/>
        <v>141.21</v>
      </c>
      <c r="FY9" vm="1917">
        <f ca="1"/>
        <v>142.99</v>
      </c>
      <c r="FZ9" vm="1918">
        <f ca="1"/>
        <v>143.78</v>
      </c>
      <c r="GA9" vm="1919">
        <f ca="1"/>
        <v>143.06</v>
      </c>
      <c r="GB9" vm="1920">
        <f ca="1"/>
        <v>145.66999999999999</v>
      </c>
      <c r="GC9" vm="1921">
        <f ca="1"/>
        <v>144.97</v>
      </c>
      <c r="GD9" vm="1922">
        <f ca="1"/>
        <v>143.59</v>
      </c>
      <c r="GE9" vm="1923">
        <f ca="1"/>
        <v>144.97999999999999</v>
      </c>
      <c r="GF9" vm="1924">
        <f ca="1"/>
        <v>141.76</v>
      </c>
      <c r="GG9" vm="1925">
        <f ca="1"/>
        <v>142.49</v>
      </c>
      <c r="GH9" vm="1926">
        <f ca="1"/>
        <v>139.96</v>
      </c>
      <c r="GI9" vm="1927">
        <f ca="1"/>
        <v>140.13</v>
      </c>
      <c r="GJ9" vm="1928">
        <f ca="1"/>
        <v>139.97</v>
      </c>
      <c r="GK9" vm="1929">
        <f ca="1"/>
        <v>143.86000000000001</v>
      </c>
      <c r="GL9" vm="1930">
        <f ca="1"/>
        <v>140.77000000000001</v>
      </c>
      <c r="GM9" vm="1931">
        <f ca="1"/>
        <v>137.38999999999999</v>
      </c>
      <c r="GN9" vm="1932">
        <f ca="1"/>
        <v>139.57</v>
      </c>
      <c r="GO9" vm="1933">
        <f ca="1"/>
        <v>140.79</v>
      </c>
      <c r="GP9" vm="1934">
        <f ca="1"/>
        <v>140.71</v>
      </c>
      <c r="GQ9" vm="1935">
        <f ca="1"/>
        <v>133.27000000000001</v>
      </c>
      <c r="GR9" vm="1936">
        <f ca="1"/>
        <v>134.88999999999999</v>
      </c>
      <c r="GS9" vm="1937">
        <f ca="1"/>
        <v>131.71</v>
      </c>
      <c r="GT9" vm="1938">
        <f ca="1"/>
        <v>129.36000000000001</v>
      </c>
      <c r="GU9" vm="1939">
        <f ca="1"/>
        <v>128.72</v>
      </c>
      <c r="GV9" vm="1940">
        <f ca="1"/>
        <v>132.84</v>
      </c>
      <c r="GW9" vm="1941">
        <f ca="1"/>
        <v>132.25</v>
      </c>
      <c r="GX9" vm="1942">
        <f ca="1"/>
        <v>131.88</v>
      </c>
      <c r="GY9" vm="1943">
        <f ca="1"/>
        <v>132.19</v>
      </c>
      <c r="GZ9" vm="1944">
        <f ca="1"/>
        <v>133.1</v>
      </c>
      <c r="HA9" vm="1910">
        <f ca="1"/>
        <v>132.47</v>
      </c>
      <c r="HB9" vm="1945">
        <f ca="1"/>
        <v>127.13</v>
      </c>
      <c r="HC9" vm="1946">
        <f ca="1"/>
        <v>132.32</v>
      </c>
      <c r="HD9" vm="1947">
        <f ca="1"/>
        <v>132.44999999999999</v>
      </c>
      <c r="HE9" vm="1948">
        <f ca="1"/>
        <v>133.57</v>
      </c>
      <c r="HF9" vm="1949">
        <f ca="1"/>
        <v>136.87</v>
      </c>
      <c r="HG9" vm="1950">
        <f ca="1"/>
        <v>137.63999999999999</v>
      </c>
      <c r="HH9" vm="1951">
        <f ca="1"/>
        <v>133.82</v>
      </c>
      <c r="HI9" vm="1952">
        <f ca="1"/>
        <v>135</v>
      </c>
      <c r="HJ9" vm="1953">
        <f ca="1"/>
        <v>135.22</v>
      </c>
      <c r="HK9" vm="1954">
        <f ca="1"/>
        <v>135.77000000000001</v>
      </c>
      <c r="HL9" vm="1955">
        <f ca="1"/>
        <v>137.58000000000001</v>
      </c>
      <c r="HM9" vm="1956">
        <f ca="1"/>
        <v>138.72999999999999</v>
      </c>
      <c r="HN9" vm="1957">
        <f ca="1"/>
        <v>139.33000000000001</v>
      </c>
      <c r="HO9" vm="1958">
        <f ca="1"/>
        <v>138.51</v>
      </c>
      <c r="HP9" vm="1959">
        <f ca="1"/>
        <v>137.65</v>
      </c>
      <c r="HQ9" vm="1960">
        <f ca="1"/>
        <v>132.88999999999999</v>
      </c>
      <c r="HR9" vm="1961">
        <f ca="1"/>
        <v>129.66999999999999</v>
      </c>
      <c r="HS9" vm="1962">
        <f ca="1"/>
        <v>131.65</v>
      </c>
      <c r="HT9" vm="1963">
        <f ca="1"/>
        <v>131.72</v>
      </c>
      <c r="HU9" vm="1964">
        <f ca="1"/>
        <v>133.25</v>
      </c>
      <c r="HV9" vm="1965">
        <f ca="1"/>
        <v>133.56</v>
      </c>
      <c r="HW9" vm="1966">
        <f ca="1"/>
        <v>132.68</v>
      </c>
      <c r="HX9" vm="1967">
        <f ca="1"/>
        <v>132.9</v>
      </c>
      <c r="HY9" vm="1968">
        <f ca="1"/>
        <v>131.62</v>
      </c>
      <c r="HZ9" vm="1969">
        <f ca="1"/>
        <v>132.54</v>
      </c>
      <c r="IA9" vm="1970">
        <f ca="1"/>
        <v>134.34</v>
      </c>
      <c r="IB9" vm="1971">
        <f ca="1"/>
        <v>138.13999999999999</v>
      </c>
      <c r="IC9" vm="1972">
        <f ca="1"/>
        <v>137.72</v>
      </c>
      <c r="ID9" vm="1973">
        <f ca="1"/>
        <v>136.74</v>
      </c>
      <c r="IE9" vm="1974">
        <f ca="1"/>
        <v>137.80000000000001</v>
      </c>
      <c r="IF9" vm="1975">
        <f ca="1"/>
        <v>138.5</v>
      </c>
      <c r="IG9" vm="1976">
        <f ca="1"/>
        <v>138.82</v>
      </c>
      <c r="IH9" vm="1977">
        <f ca="1"/>
        <v>136.18</v>
      </c>
      <c r="II9" vm="1978">
        <f ca="1"/>
        <v>136.16999999999999</v>
      </c>
      <c r="IJ9" vm="1979">
        <f ca="1"/>
        <v>132.94999999999999</v>
      </c>
      <c r="IK9" vm="1980">
        <f ca="1"/>
        <v>132.69999999999999</v>
      </c>
      <c r="IL9" vm="1981">
        <f ca="1"/>
        <v>131.77000000000001</v>
      </c>
      <c r="IM9" vm="1982">
        <f ca="1"/>
        <v>135.05000000000001</v>
      </c>
      <c r="IN9" vm="1910">
        <f ca="1"/>
        <v>132.47</v>
      </c>
      <c r="IO9" vm="1983">
        <f ca="1"/>
        <v>131.93</v>
      </c>
      <c r="IP9" vm="1984">
        <f ca="1"/>
        <v>132.1</v>
      </c>
      <c r="IQ9" vm="1985">
        <f ca="1"/>
        <v>134.28</v>
      </c>
      <c r="IR9" vm="1986">
        <f ca="1"/>
        <v>131.31</v>
      </c>
    </row>
    <row r="10" spans="1:252" x14ac:dyDescent="0.35">
      <c r="A10" t="e" vm="8">
        <f>Dashboard!B14</f>
        <v>#VALUE!</v>
      </c>
      <c r="B10" cm="1" vm="1987">
        <f t="array" aca="1" ref="B10:IR10" ca="1">TRANSPOSE(_xlfn.STOCKHISTORY(A10,TODAY()-365,TODAY(),0,0,1))</f>
        <v>12.09</v>
      </c>
      <c r="C10" vm="1988">
        <f ca="1"/>
        <v>11.96</v>
      </c>
      <c r="D10" vm="1989">
        <f ca="1"/>
        <v>12.27</v>
      </c>
      <c r="E10" vm="1990">
        <f ca="1"/>
        <v>12.22</v>
      </c>
      <c r="F10" vm="1991">
        <f ca="1"/>
        <v>12.67</v>
      </c>
      <c r="G10" vm="1992">
        <f ca="1"/>
        <v>12.7</v>
      </c>
      <c r="H10" vm="1993">
        <f ca="1"/>
        <v>11.92</v>
      </c>
      <c r="I10" vm="1994">
        <f ca="1"/>
        <v>11.74</v>
      </c>
      <c r="J10" vm="1995">
        <f ca="1"/>
        <v>11.5</v>
      </c>
      <c r="K10" vm="1996">
        <f ca="1"/>
        <v>11.41</v>
      </c>
      <c r="L10" vm="1997">
        <f ca="1"/>
        <v>11.54</v>
      </c>
      <c r="M10" vm="1998">
        <f ca="1"/>
        <v>11.65</v>
      </c>
      <c r="N10" vm="1999">
        <f ca="1"/>
        <v>11.76</v>
      </c>
      <c r="O10" vm="1994">
        <f ca="1"/>
        <v>11.74</v>
      </c>
      <c r="P10" vm="1993">
        <f ca="1"/>
        <v>11.92</v>
      </c>
      <c r="Q10" vm="2000">
        <f ca="1"/>
        <v>11.99</v>
      </c>
      <c r="R10" vm="2001">
        <f ca="1"/>
        <v>12.56</v>
      </c>
      <c r="S10" vm="2002">
        <f ca="1"/>
        <v>12.43</v>
      </c>
      <c r="T10" vm="2003">
        <f ca="1"/>
        <v>12.34</v>
      </c>
      <c r="U10" vm="2004">
        <f ca="1"/>
        <v>13.84</v>
      </c>
      <c r="V10" vm="2005">
        <f ca="1"/>
        <v>13.26</v>
      </c>
      <c r="W10" vm="2006">
        <f ca="1"/>
        <v>13.13</v>
      </c>
      <c r="X10" vm="2007">
        <f ca="1"/>
        <v>13.24</v>
      </c>
      <c r="Y10" vm="2008">
        <f ca="1"/>
        <v>13.06</v>
      </c>
      <c r="Z10" vm="2006">
        <f ca="1"/>
        <v>13.13</v>
      </c>
      <c r="AA10" vm="2009">
        <f ca="1"/>
        <v>13.01</v>
      </c>
      <c r="AB10" vm="2010">
        <f ca="1"/>
        <v>12.79</v>
      </c>
      <c r="AC10" vm="2011">
        <f ca="1"/>
        <v>13.11</v>
      </c>
      <c r="AD10" vm="2012">
        <f ca="1"/>
        <v>13.12</v>
      </c>
      <c r="AE10" vm="2013">
        <f ca="1"/>
        <v>13.21</v>
      </c>
      <c r="AF10" vm="2014">
        <f ca="1"/>
        <v>13.16</v>
      </c>
      <c r="AG10" vm="2015">
        <f ca="1"/>
        <v>13.3</v>
      </c>
      <c r="AH10" vm="2016">
        <f ca="1"/>
        <v>13.45</v>
      </c>
      <c r="AI10" vm="2017">
        <f ca="1"/>
        <v>13.28</v>
      </c>
      <c r="AJ10" vm="2018">
        <f ca="1"/>
        <v>13.19</v>
      </c>
      <c r="AK10" vm="2019">
        <f ca="1"/>
        <v>12.88</v>
      </c>
      <c r="AL10" vm="2020">
        <f ca="1"/>
        <v>13.02</v>
      </c>
      <c r="AM10" vm="2021">
        <f ca="1"/>
        <v>12.9</v>
      </c>
      <c r="AN10" vm="2022">
        <f ca="1"/>
        <v>12.41</v>
      </c>
      <c r="AO10" vm="2023">
        <f ca="1"/>
        <v>12.83</v>
      </c>
      <c r="AP10" vm="2024">
        <f ca="1"/>
        <v>12.96</v>
      </c>
      <c r="AQ10" vm="2025">
        <f ca="1"/>
        <v>13.17</v>
      </c>
      <c r="AR10" vm="2018">
        <f ca="1"/>
        <v>13.19</v>
      </c>
      <c r="AS10" vm="2017">
        <f ca="1"/>
        <v>13.28</v>
      </c>
      <c r="AT10" vm="2014">
        <f ca="1"/>
        <v>13.16</v>
      </c>
      <c r="AU10" vm="2024">
        <f ca="1"/>
        <v>12.96</v>
      </c>
      <c r="AV10" vm="2026">
        <f ca="1"/>
        <v>13.09</v>
      </c>
      <c r="AW10" vm="2027">
        <f ca="1"/>
        <v>13.14</v>
      </c>
      <c r="AX10" vm="2028">
        <f ca="1"/>
        <v>13.03</v>
      </c>
      <c r="AY10" vm="2027">
        <f ca="1"/>
        <v>13.14</v>
      </c>
      <c r="AZ10" vm="2029">
        <f ca="1"/>
        <v>13.08</v>
      </c>
      <c r="BA10" vm="2030">
        <f ca="1"/>
        <v>13.41</v>
      </c>
      <c r="BB10" vm="2031">
        <f ca="1"/>
        <v>13.63</v>
      </c>
      <c r="BC10" vm="2032">
        <f ca="1"/>
        <v>13.76</v>
      </c>
      <c r="BD10" vm="2033">
        <f ca="1"/>
        <v>13.65</v>
      </c>
      <c r="BE10" vm="2034">
        <f ca="1"/>
        <v>13.67</v>
      </c>
      <c r="BF10" vm="2035">
        <f ca="1"/>
        <v>13.31</v>
      </c>
      <c r="BG10" vm="2036">
        <f ca="1"/>
        <v>13.32</v>
      </c>
      <c r="BH10" vm="2037">
        <f ca="1"/>
        <v>13.47</v>
      </c>
      <c r="BI10" vm="2038">
        <f ca="1"/>
        <v>13.46</v>
      </c>
      <c r="BJ10" vm="2039">
        <f ca="1"/>
        <v>13.29</v>
      </c>
      <c r="BK10" vm="2040">
        <f ca="1"/>
        <v>13.36</v>
      </c>
      <c r="BL10" vm="2035">
        <f ca="1"/>
        <v>13.31</v>
      </c>
      <c r="BM10" vm="2017">
        <f ca="1"/>
        <v>13.28</v>
      </c>
      <c r="BN10" vm="2041">
        <f ca="1"/>
        <v>13.23</v>
      </c>
      <c r="BO10" vm="2012">
        <f ca="1"/>
        <v>13.12</v>
      </c>
      <c r="BP10" vm="2042">
        <f ca="1"/>
        <v>13.34</v>
      </c>
      <c r="BQ10" vm="2037">
        <f ca="1"/>
        <v>13.47</v>
      </c>
      <c r="BR10" vm="2043">
        <f ca="1"/>
        <v>13.8</v>
      </c>
      <c r="BS10" vm="2044">
        <f ca="1"/>
        <v>13.74</v>
      </c>
      <c r="BT10" vm="2045">
        <f ca="1"/>
        <v>14.4</v>
      </c>
      <c r="BU10" vm="2046">
        <f ca="1"/>
        <v>14.2</v>
      </c>
      <c r="BV10" vm="2047">
        <f ca="1"/>
        <v>14.03</v>
      </c>
      <c r="BW10" vm="2048">
        <f ca="1"/>
        <v>13.98</v>
      </c>
      <c r="BX10" vm="2004">
        <f ca="1"/>
        <v>13.84</v>
      </c>
      <c r="BY10" vm="2049">
        <f ca="1"/>
        <v>13.81</v>
      </c>
      <c r="BZ10" vm="2050">
        <f ca="1"/>
        <v>13.6</v>
      </c>
      <c r="CA10" vm="2017">
        <f ca="1"/>
        <v>13.28</v>
      </c>
      <c r="CB10" vm="2051">
        <f ca="1"/>
        <v>13.77</v>
      </c>
      <c r="CC10" vm="2052">
        <f ca="1"/>
        <v>13.71</v>
      </c>
      <c r="CD10" vm="2053">
        <f ca="1"/>
        <v>13.56</v>
      </c>
      <c r="CE10" vm="2054">
        <f ca="1"/>
        <v>13.44</v>
      </c>
      <c r="CF10" vm="2055">
        <f ca="1"/>
        <v>13.93</v>
      </c>
      <c r="CG10" vm="2056">
        <f ca="1"/>
        <v>13.82</v>
      </c>
      <c r="CH10" vm="2057">
        <f ca="1"/>
        <v>14</v>
      </c>
      <c r="CI10" vm="2058">
        <f ca="1"/>
        <v>13.88</v>
      </c>
      <c r="CJ10" vm="2049">
        <f ca="1"/>
        <v>13.81</v>
      </c>
      <c r="CK10" vm="2059">
        <f ca="1"/>
        <v>13.73</v>
      </c>
      <c r="CL10" vm="2056">
        <f ca="1"/>
        <v>13.82</v>
      </c>
      <c r="CM10" vm="2060">
        <f ca="1"/>
        <v>13.72</v>
      </c>
      <c r="CN10" vm="2043">
        <f ca="1"/>
        <v>13.8</v>
      </c>
      <c r="CO10" vm="2061">
        <f ca="1"/>
        <v>13.59</v>
      </c>
      <c r="CP10" vm="2062">
        <f ca="1"/>
        <v>13.57</v>
      </c>
      <c r="CQ10" vm="2063">
        <f ca="1"/>
        <v>13.85</v>
      </c>
      <c r="CR10" vm="2057">
        <f ca="1"/>
        <v>14</v>
      </c>
      <c r="CS10" vm="2064">
        <f ca="1"/>
        <v>14.12</v>
      </c>
      <c r="CT10" vm="2065">
        <f ca="1"/>
        <v>14.13</v>
      </c>
      <c r="CU10" vm="2063">
        <f ca="1"/>
        <v>13.85</v>
      </c>
      <c r="CV10" vm="2066">
        <f ca="1"/>
        <v>13.78</v>
      </c>
      <c r="CW10" vm="2067">
        <f ca="1"/>
        <v>14.01</v>
      </c>
      <c r="CX10" vm="2068">
        <f ca="1"/>
        <v>13.64</v>
      </c>
      <c r="CY10" vm="2046">
        <f ca="1"/>
        <v>14.2</v>
      </c>
      <c r="CZ10" vm="2069">
        <f ca="1"/>
        <v>14.43</v>
      </c>
      <c r="DA10" vm="2070">
        <f ca="1"/>
        <v>14.41</v>
      </c>
      <c r="DB10" vm="2071">
        <f ca="1"/>
        <v>14.09</v>
      </c>
      <c r="DC10" vm="2072">
        <f ca="1"/>
        <v>13.39</v>
      </c>
      <c r="DD10" vm="1992">
        <f ca="1"/>
        <v>12.7</v>
      </c>
      <c r="DE10" vm="2073">
        <f ca="1"/>
        <v>12.81</v>
      </c>
      <c r="DF10" vm="2003">
        <f ca="1"/>
        <v>12.34</v>
      </c>
      <c r="DG10" vm="2074">
        <f ca="1"/>
        <v>12.15</v>
      </c>
      <c r="DH10" vm="2075">
        <f ca="1"/>
        <v>12.19</v>
      </c>
      <c r="DI10" vm="2076">
        <f ca="1"/>
        <v>12.24</v>
      </c>
      <c r="DJ10" vm="2077">
        <f ca="1"/>
        <v>12.11</v>
      </c>
      <c r="DK10" vm="2078">
        <f ca="1"/>
        <v>12.04</v>
      </c>
      <c r="DL10" vm="2079">
        <f ca="1"/>
        <v>11.67</v>
      </c>
      <c r="DM10" vm="2080">
        <f ca="1"/>
        <v>11.71</v>
      </c>
      <c r="DN10" vm="2081">
        <f ca="1"/>
        <v>11.94</v>
      </c>
      <c r="DO10" vm="2082">
        <f ca="1"/>
        <v>11.79</v>
      </c>
      <c r="DP10" vm="2083">
        <f ca="1"/>
        <v>11.64</v>
      </c>
      <c r="DQ10" vm="2084">
        <f ca="1"/>
        <v>11.52</v>
      </c>
      <c r="DR10" vm="1999">
        <f ca="1"/>
        <v>11.76</v>
      </c>
      <c r="DS10" vm="2085">
        <f ca="1"/>
        <v>11.84</v>
      </c>
      <c r="DT10" vm="2079">
        <f ca="1"/>
        <v>11.67</v>
      </c>
      <c r="DU10" vm="2086">
        <f ca="1"/>
        <v>11.6</v>
      </c>
      <c r="DV10" vm="2087">
        <f ca="1"/>
        <v>11.37</v>
      </c>
      <c r="DW10" vm="2088">
        <f ca="1"/>
        <v>11.21</v>
      </c>
      <c r="DX10" vm="1997">
        <f ca="1"/>
        <v>11.54</v>
      </c>
      <c r="DY10" vm="2089">
        <f ca="1"/>
        <v>11.68</v>
      </c>
      <c r="DZ10" vm="2086">
        <f ca="1"/>
        <v>11.6</v>
      </c>
      <c r="EA10" vm="2090">
        <f ca="1"/>
        <v>11.61</v>
      </c>
      <c r="EB10" vm="2084">
        <f ca="1"/>
        <v>11.52</v>
      </c>
      <c r="EC10" vm="2091">
        <f ca="1"/>
        <v>12.18</v>
      </c>
      <c r="ED10" vm="2076">
        <f ca="1"/>
        <v>12.24</v>
      </c>
      <c r="EE10" vm="2092">
        <f ca="1"/>
        <v>12.13</v>
      </c>
      <c r="EF10" vm="2093">
        <f ca="1"/>
        <v>12.16</v>
      </c>
      <c r="EG10" vm="2094">
        <f ca="1"/>
        <v>12.71</v>
      </c>
      <c r="EH10" vm="2094">
        <f ca="1"/>
        <v>12.71</v>
      </c>
      <c r="EI10" vm="2095">
        <f ca="1"/>
        <v>12.44</v>
      </c>
      <c r="EJ10" vm="2096">
        <f ca="1"/>
        <v>12.87</v>
      </c>
      <c r="EK10" vm="2096">
        <f ca="1"/>
        <v>12.87</v>
      </c>
      <c r="EL10" vm="2097">
        <f ca="1"/>
        <v>12.78</v>
      </c>
      <c r="EM10" vm="2098">
        <f ca="1"/>
        <v>12.63</v>
      </c>
      <c r="EN10" vm="2099">
        <f ca="1"/>
        <v>12.48</v>
      </c>
      <c r="EO10" vm="2100">
        <f ca="1"/>
        <v>12.38</v>
      </c>
      <c r="EP10" vm="2101">
        <f ca="1"/>
        <v>12.49</v>
      </c>
      <c r="EQ10" vm="2102">
        <f ca="1"/>
        <v>12.4</v>
      </c>
      <c r="ER10" vm="2076">
        <f ca="1"/>
        <v>12.24</v>
      </c>
      <c r="ES10" vm="2103">
        <f ca="1"/>
        <v>12.08</v>
      </c>
      <c r="ET10" vm="2104">
        <f ca="1"/>
        <v>11.88</v>
      </c>
      <c r="EU10" vm="1995">
        <f ca="1"/>
        <v>11.5</v>
      </c>
      <c r="EV10" vm="2105">
        <f ca="1"/>
        <v>11.69</v>
      </c>
      <c r="EW10" vm="2106">
        <f ca="1"/>
        <v>12.17</v>
      </c>
      <c r="EX10" vm="2091">
        <f ca="1"/>
        <v>12.18</v>
      </c>
      <c r="EY10" vm="2107">
        <f ca="1"/>
        <v>12.32</v>
      </c>
      <c r="EZ10" vm="2108">
        <f ca="1"/>
        <v>12.05</v>
      </c>
      <c r="FA10" vm="2000">
        <f ca="1"/>
        <v>11.99</v>
      </c>
      <c r="FB10" vm="2062">
        <f ca="1"/>
        <v>13.57</v>
      </c>
      <c r="FC10" vm="2109">
        <f ca="1"/>
        <v>14.48</v>
      </c>
      <c r="FD10" vm="2110">
        <f ca="1"/>
        <v>13.4</v>
      </c>
      <c r="FE10" vm="2028">
        <f ca="1"/>
        <v>13.03</v>
      </c>
      <c r="FF10" vm="2008">
        <f ca="1"/>
        <v>13.06</v>
      </c>
      <c r="FG10" vm="2111">
        <f ca="1"/>
        <v>13.22</v>
      </c>
      <c r="FH10" vm="2034">
        <f ca="1"/>
        <v>13.67</v>
      </c>
      <c r="FI10" vm="2112">
        <f ca="1"/>
        <v>14.93</v>
      </c>
      <c r="FJ10" vm="2113">
        <f ca="1"/>
        <v>15.32</v>
      </c>
      <c r="FK10" vm="2114">
        <f ca="1"/>
        <v>15.88</v>
      </c>
      <c r="FL10" vm="2115">
        <f ca="1"/>
        <v>16.649999999999999</v>
      </c>
      <c r="FM10" vm="2116">
        <f ca="1"/>
        <v>17.440000000000001</v>
      </c>
      <c r="FN10" vm="2117">
        <f ca="1"/>
        <v>16.63</v>
      </c>
      <c r="FO10" vm="2118">
        <f ca="1"/>
        <v>16.149999999999999</v>
      </c>
      <c r="FP10" vm="2119">
        <f ca="1"/>
        <v>15.71</v>
      </c>
      <c r="FQ10" vm="2120">
        <f ca="1"/>
        <v>15.34</v>
      </c>
      <c r="FR10" vm="2121">
        <f ca="1"/>
        <v>14.9</v>
      </c>
      <c r="FS10" vm="2122">
        <f ca="1"/>
        <v>15</v>
      </c>
      <c r="FT10" vm="2123">
        <f ca="1"/>
        <v>14.95</v>
      </c>
      <c r="FU10" vm="2124">
        <f ca="1"/>
        <v>14.3</v>
      </c>
      <c r="FV10" vm="2125">
        <f ca="1"/>
        <v>14.71</v>
      </c>
      <c r="FW10" vm="2126">
        <f ca="1"/>
        <v>14.84</v>
      </c>
      <c r="FX10" vm="2127">
        <f ca="1"/>
        <v>14.77</v>
      </c>
      <c r="FY10" vm="2070">
        <f ca="1"/>
        <v>14.41</v>
      </c>
      <c r="FZ10" vm="2128">
        <f ca="1"/>
        <v>13.96</v>
      </c>
      <c r="GA10" vm="2129">
        <f ca="1"/>
        <v>14.06</v>
      </c>
      <c r="GB10" vm="2130">
        <f ca="1"/>
        <v>14.11</v>
      </c>
      <c r="GC10" vm="2057">
        <f ca="1"/>
        <v>14</v>
      </c>
      <c r="GD10" vm="2004">
        <f ca="1"/>
        <v>13.84</v>
      </c>
      <c r="GE10" vm="2130">
        <f ca="1"/>
        <v>14.11</v>
      </c>
      <c r="GF10" vm="2065">
        <f ca="1"/>
        <v>14.13</v>
      </c>
      <c r="GG10" vm="2131">
        <f ca="1"/>
        <v>14.02</v>
      </c>
      <c r="GH10" vm="2132">
        <f ca="1"/>
        <v>13.9</v>
      </c>
      <c r="GI10" vm="2068">
        <f ca="1"/>
        <v>13.64</v>
      </c>
      <c r="GJ10" vm="2040">
        <f ca="1"/>
        <v>13.36</v>
      </c>
      <c r="GK10" vm="2133">
        <f ca="1"/>
        <v>13.83</v>
      </c>
      <c r="GL10" vm="2053">
        <f ca="1"/>
        <v>13.56</v>
      </c>
      <c r="GM10" vm="2134">
        <f ca="1"/>
        <v>13.5</v>
      </c>
      <c r="GN10" vm="2135">
        <f ca="1"/>
        <v>13.61</v>
      </c>
      <c r="GO10" vm="2057">
        <f ca="1"/>
        <v>14</v>
      </c>
      <c r="GP10" vm="2063">
        <f ca="1"/>
        <v>13.85</v>
      </c>
      <c r="GQ10" vm="2136">
        <f ca="1"/>
        <v>13.94</v>
      </c>
      <c r="GR10" vm="2137">
        <f ca="1"/>
        <v>14.18</v>
      </c>
      <c r="GS10" vm="2138">
        <f ca="1"/>
        <v>14.19</v>
      </c>
      <c r="GT10" vm="2139">
        <f ca="1"/>
        <v>14.23</v>
      </c>
      <c r="GU10" vm="2140">
        <f ca="1"/>
        <v>13.99</v>
      </c>
      <c r="GV10" vm="2141">
        <f ca="1"/>
        <v>14.27</v>
      </c>
      <c r="GW10" vm="2142">
        <f ca="1"/>
        <v>14.42</v>
      </c>
      <c r="GX10" vm="2143">
        <f ca="1"/>
        <v>14.15</v>
      </c>
      <c r="GY10" vm="2144">
        <f ca="1"/>
        <v>14.37</v>
      </c>
      <c r="GZ10" vm="2145">
        <f ca="1"/>
        <v>14.68</v>
      </c>
      <c r="HA10" vm="2146">
        <f ca="1"/>
        <v>14.96</v>
      </c>
      <c r="HB10" vm="2147">
        <f ca="1"/>
        <v>15.28</v>
      </c>
      <c r="HC10" vm="2148">
        <f ca="1"/>
        <v>14.86</v>
      </c>
      <c r="HD10" vm="2145">
        <f ca="1"/>
        <v>14.68</v>
      </c>
      <c r="HE10" vm="2069">
        <f ca="1"/>
        <v>14.43</v>
      </c>
      <c r="HF10" vm="2149">
        <f ca="1"/>
        <v>14.24</v>
      </c>
      <c r="HG10" vm="2065">
        <f ca="1"/>
        <v>14.13</v>
      </c>
      <c r="HH10" vm="2150">
        <f ca="1"/>
        <v>13.79</v>
      </c>
      <c r="HI10" vm="2048">
        <f ca="1"/>
        <v>13.98</v>
      </c>
      <c r="HJ10" vm="2057">
        <f ca="1"/>
        <v>14</v>
      </c>
      <c r="HK10" vm="2048">
        <f ca="1"/>
        <v>13.98</v>
      </c>
      <c r="HL10" vm="2133">
        <f ca="1"/>
        <v>13.83</v>
      </c>
      <c r="HM10" vm="2151">
        <f ca="1"/>
        <v>13.89</v>
      </c>
      <c r="HN10" vm="2144">
        <f ca="1"/>
        <v>14.37</v>
      </c>
      <c r="HO10" vm="2152">
        <f ca="1"/>
        <v>14.05</v>
      </c>
      <c r="HP10" vm="2055">
        <f ca="1"/>
        <v>13.93</v>
      </c>
      <c r="HQ10" vm="2153">
        <f ca="1"/>
        <v>14.5</v>
      </c>
      <c r="HR10" vm="2140">
        <f ca="1"/>
        <v>13.99</v>
      </c>
      <c r="HS10" vm="2070">
        <f ca="1"/>
        <v>14.41</v>
      </c>
      <c r="HT10" vm="2055">
        <f ca="1"/>
        <v>13.93</v>
      </c>
      <c r="HU10" vm="2154">
        <f ca="1"/>
        <v>13.95</v>
      </c>
      <c r="HV10" vm="2132">
        <f ca="1"/>
        <v>13.9</v>
      </c>
      <c r="HW10" vm="2154">
        <f ca="1"/>
        <v>13.95</v>
      </c>
      <c r="HX10" vm="2058">
        <f ca="1"/>
        <v>13.88</v>
      </c>
      <c r="HY10" vm="2136">
        <f ca="1"/>
        <v>13.94</v>
      </c>
      <c r="HZ10" vm="2004">
        <f ca="1"/>
        <v>13.84</v>
      </c>
      <c r="IA10" vm="2155">
        <f ca="1"/>
        <v>14.14</v>
      </c>
      <c r="IB10" vm="2070">
        <f ca="1"/>
        <v>14.41</v>
      </c>
      <c r="IC10" vm="2156">
        <f ca="1"/>
        <v>14.62</v>
      </c>
      <c r="ID10" vm="2057">
        <f ca="1"/>
        <v>14</v>
      </c>
      <c r="IE10" vm="2016">
        <f ca="1"/>
        <v>13.45</v>
      </c>
      <c r="IF10" vm="2058">
        <f ca="1"/>
        <v>13.88</v>
      </c>
      <c r="IG10" vm="2157">
        <f ca="1"/>
        <v>13.97</v>
      </c>
      <c r="IH10" vm="2158">
        <f ca="1"/>
        <v>13.86</v>
      </c>
      <c r="II10" vm="2134">
        <f ca="1"/>
        <v>13.5</v>
      </c>
      <c r="IJ10" vm="2159">
        <f ca="1"/>
        <v>13.35</v>
      </c>
      <c r="IK10" vm="2135">
        <f ca="1"/>
        <v>13.61</v>
      </c>
      <c r="IL10" vm="2013">
        <f ca="1"/>
        <v>13.21</v>
      </c>
      <c r="IM10" vm="2025">
        <f ca="1"/>
        <v>13.17</v>
      </c>
      <c r="IN10" vm="2160">
        <f ca="1"/>
        <v>13.1</v>
      </c>
      <c r="IO10" vm="2161">
        <f ca="1"/>
        <v>12.94</v>
      </c>
      <c r="IP10" vm="2162">
        <f ca="1"/>
        <v>12.6</v>
      </c>
      <c r="IQ10" vm="2094">
        <f ca="1"/>
        <v>12.71</v>
      </c>
      <c r="IR10" vm="2100">
        <f ca="1"/>
        <v>12.38</v>
      </c>
    </row>
    <row r="11" spans="1:252" x14ac:dyDescent="0.35">
      <c r="A11" t="e" vm="9">
        <f>Dashboard!B15</f>
        <v>#VALUE!</v>
      </c>
      <c r="B11" cm="1" vm="2163">
        <f t="array" aca="1" ref="B11:IR11" ca="1">TRANSPOSE(_xlfn.STOCKHISTORY(A11,TODAY()-365,TODAY(),0,0,1))</f>
        <v>31.78</v>
      </c>
      <c r="C11" vm="2164">
        <f ca="1"/>
        <v>30.8</v>
      </c>
      <c r="D11" vm="2165">
        <f ca="1"/>
        <v>30.83</v>
      </c>
      <c r="E11" vm="2166">
        <f ca="1"/>
        <v>30.55</v>
      </c>
      <c r="F11" vm="2167">
        <f ca="1"/>
        <v>31.37</v>
      </c>
      <c r="G11" vm="2168">
        <f ca="1"/>
        <v>31.91</v>
      </c>
      <c r="H11" vm="2169">
        <f ca="1"/>
        <v>31.74</v>
      </c>
      <c r="I11" vm="2170">
        <f ca="1"/>
        <v>31.45</v>
      </c>
      <c r="J11" vm="2171">
        <f ca="1"/>
        <v>30.65</v>
      </c>
      <c r="K11" vm="2172">
        <f ca="1"/>
        <v>29.84</v>
      </c>
      <c r="L11" vm="2173">
        <f ca="1"/>
        <v>30.14</v>
      </c>
      <c r="M11" vm="2174">
        <f ca="1"/>
        <v>30.63</v>
      </c>
      <c r="N11" vm="2164">
        <f ca="1"/>
        <v>30.8</v>
      </c>
      <c r="O11" vm="2175">
        <f ca="1"/>
        <v>30.6</v>
      </c>
      <c r="P11" vm="2176">
        <f ca="1"/>
        <v>30.82</v>
      </c>
      <c r="Q11" vm="2177">
        <f ca="1"/>
        <v>31.28</v>
      </c>
      <c r="R11" vm="2177">
        <f ca="1"/>
        <v>31.28</v>
      </c>
      <c r="S11" vm="2178">
        <f ca="1"/>
        <v>31.84</v>
      </c>
      <c r="T11" vm="2179">
        <f ca="1"/>
        <v>31.59</v>
      </c>
      <c r="U11" vm="2180">
        <f ca="1"/>
        <v>31.52</v>
      </c>
      <c r="V11" vm="2181">
        <f ca="1"/>
        <v>31.75</v>
      </c>
      <c r="W11" vm="2182">
        <f ca="1"/>
        <v>31.93</v>
      </c>
      <c r="X11" vm="2183">
        <f ca="1"/>
        <v>31.19</v>
      </c>
      <c r="Y11" vm="2184">
        <f ca="1"/>
        <v>31.07</v>
      </c>
      <c r="Z11" vm="2185">
        <f ca="1"/>
        <v>30.5</v>
      </c>
      <c r="AA11" vm="2186">
        <f ca="1"/>
        <v>30.57</v>
      </c>
      <c r="AB11" vm="2187">
        <f ca="1"/>
        <v>30.71</v>
      </c>
      <c r="AC11" vm="2188">
        <f ca="1"/>
        <v>30.88</v>
      </c>
      <c r="AD11" vm="2189">
        <f ca="1"/>
        <v>30.41</v>
      </c>
      <c r="AE11" vm="2190">
        <f ca="1"/>
        <v>29.81</v>
      </c>
      <c r="AF11" vm="2191">
        <f ca="1"/>
        <v>29.48</v>
      </c>
      <c r="AG11" vm="2192">
        <f ca="1"/>
        <v>29.7</v>
      </c>
      <c r="AH11" vm="2193">
        <f ca="1"/>
        <v>30.04</v>
      </c>
      <c r="AI11" vm="2194">
        <f ca="1"/>
        <v>29.73</v>
      </c>
      <c r="AJ11" vm="2195">
        <f ca="1"/>
        <v>30.07</v>
      </c>
      <c r="AK11" vm="2196">
        <f ca="1"/>
        <v>29</v>
      </c>
      <c r="AL11" vm="2197">
        <f ca="1"/>
        <v>28.96</v>
      </c>
      <c r="AM11" vm="2198">
        <f ca="1"/>
        <v>29.33</v>
      </c>
      <c r="AN11" vm="2199">
        <f ca="1"/>
        <v>28.48</v>
      </c>
      <c r="AO11" vm="2200">
        <f ca="1"/>
        <v>29.58</v>
      </c>
      <c r="AP11" vm="2201">
        <f ca="1"/>
        <v>29.82</v>
      </c>
      <c r="AQ11" vm="2202">
        <f ca="1"/>
        <v>29.96</v>
      </c>
      <c r="AR11" vm="2203">
        <f ca="1"/>
        <v>30.3</v>
      </c>
      <c r="AS11" vm="2204">
        <f ca="1"/>
        <v>30.25</v>
      </c>
      <c r="AT11" vm="2205">
        <f ca="1"/>
        <v>29.77</v>
      </c>
      <c r="AU11" vm="2206">
        <f ca="1"/>
        <v>29.45</v>
      </c>
      <c r="AV11" vm="2207">
        <f ca="1"/>
        <v>29.36</v>
      </c>
      <c r="AW11" vm="2208">
        <f ca="1"/>
        <v>29.66</v>
      </c>
      <c r="AX11" vm="2209">
        <f ca="1"/>
        <v>29.43</v>
      </c>
      <c r="AY11" vm="2210">
        <f ca="1"/>
        <v>29.35</v>
      </c>
      <c r="AZ11" vm="2211">
        <f ca="1"/>
        <v>29.79</v>
      </c>
      <c r="BA11" vm="2212">
        <f ca="1"/>
        <v>30.56</v>
      </c>
      <c r="BB11" vm="2176">
        <f ca="1"/>
        <v>30.82</v>
      </c>
      <c r="BC11" vm="2213">
        <f ca="1"/>
        <v>30.93</v>
      </c>
      <c r="BD11" vm="2214">
        <f ca="1"/>
        <v>31.13</v>
      </c>
      <c r="BE11" vm="2215">
        <f ca="1"/>
        <v>30.72</v>
      </c>
      <c r="BF11" vm="2216">
        <f ca="1"/>
        <v>30.35</v>
      </c>
      <c r="BG11" vm="2217">
        <f ca="1"/>
        <v>30.01</v>
      </c>
      <c r="BH11" vm="2218">
        <f ca="1"/>
        <v>30.12</v>
      </c>
      <c r="BI11" vm="2219">
        <f ca="1"/>
        <v>30.24</v>
      </c>
      <c r="BJ11" vm="2218">
        <f ca="1"/>
        <v>30.12</v>
      </c>
      <c r="BK11" vm="2220">
        <f ca="1"/>
        <v>30.11</v>
      </c>
      <c r="BL11" vm="2221">
        <f ca="1"/>
        <v>29.8</v>
      </c>
      <c r="BM11" vm="2222">
        <f ca="1"/>
        <v>29.64</v>
      </c>
      <c r="BN11" vm="2223">
        <f ca="1"/>
        <v>29.62</v>
      </c>
      <c r="BO11" vm="2191">
        <f ca="1"/>
        <v>29.48</v>
      </c>
      <c r="BP11" vm="2202">
        <f ca="1"/>
        <v>29.96</v>
      </c>
      <c r="BQ11" vm="2224">
        <f ca="1"/>
        <v>30.06</v>
      </c>
      <c r="BR11" vm="2225">
        <f ca="1"/>
        <v>29.52</v>
      </c>
      <c r="BS11" vm="2226">
        <f ca="1"/>
        <v>29.27</v>
      </c>
      <c r="BT11" vm="2221">
        <f ca="1"/>
        <v>29.8</v>
      </c>
      <c r="BU11" vm="2171">
        <f ca="1"/>
        <v>30.65</v>
      </c>
      <c r="BV11" vm="2227">
        <f ca="1"/>
        <v>30.89</v>
      </c>
      <c r="BW11" vm="2228">
        <f ca="1"/>
        <v>30.61</v>
      </c>
      <c r="BX11" vm="2229">
        <f ca="1"/>
        <v>30.74</v>
      </c>
      <c r="BY11" vm="2230">
        <f ca="1"/>
        <v>31.11</v>
      </c>
      <c r="BZ11" vm="2231">
        <f ca="1"/>
        <v>30.85</v>
      </c>
      <c r="CA11" vm="2203">
        <f ca="1"/>
        <v>30.3</v>
      </c>
      <c r="CB11" vm="2183">
        <f ca="1"/>
        <v>31.19</v>
      </c>
      <c r="CC11" vm="2232">
        <f ca="1"/>
        <v>31.22</v>
      </c>
      <c r="CD11" vm="2233">
        <f ca="1"/>
        <v>30.42</v>
      </c>
      <c r="CE11" vm="2234">
        <f ca="1"/>
        <v>30</v>
      </c>
      <c r="CF11" vm="2235">
        <f ca="1"/>
        <v>29.93</v>
      </c>
      <c r="CG11" vm="2236">
        <f ca="1"/>
        <v>29.42</v>
      </c>
      <c r="CH11" vm="2237">
        <f ca="1"/>
        <v>30.29</v>
      </c>
      <c r="CI11" vm="2238">
        <f ca="1"/>
        <v>30.33</v>
      </c>
      <c r="CJ11" vm="2239">
        <f ca="1"/>
        <v>30.73</v>
      </c>
      <c r="CK11" vm="2240">
        <f ca="1"/>
        <v>30.58</v>
      </c>
      <c r="CL11" vm="2241">
        <f ca="1"/>
        <v>31.62</v>
      </c>
      <c r="CM11" vm="2167">
        <f ca="1"/>
        <v>31.37</v>
      </c>
      <c r="CN11" vm="2242">
        <f ca="1"/>
        <v>32.82</v>
      </c>
      <c r="CO11" vm="2243">
        <f ca="1"/>
        <v>31.76</v>
      </c>
      <c r="CP11" vm="2244">
        <f ca="1"/>
        <v>31.21</v>
      </c>
      <c r="CQ11" vm="2245">
        <f ca="1"/>
        <v>32.4</v>
      </c>
      <c r="CR11" vm="2246">
        <f ca="1"/>
        <v>31.43</v>
      </c>
      <c r="CS11" vm="2163">
        <f ca="1"/>
        <v>31.78</v>
      </c>
      <c r="CT11" vm="2214">
        <f ca="1"/>
        <v>31.13</v>
      </c>
      <c r="CU11" vm="2247">
        <f ca="1"/>
        <v>30.92</v>
      </c>
      <c r="CV11" vm="2248">
        <f ca="1"/>
        <v>30.34</v>
      </c>
      <c r="CW11" vm="2249">
        <f ca="1"/>
        <v>30.27</v>
      </c>
      <c r="CX11" vm="2195">
        <f ca="1"/>
        <v>30.07</v>
      </c>
      <c r="CY11" vm="2193">
        <f ca="1"/>
        <v>30.04</v>
      </c>
      <c r="CZ11" vm="2218">
        <f ca="1"/>
        <v>30.12</v>
      </c>
      <c r="DA11" vm="2218">
        <f ca="1"/>
        <v>30.12</v>
      </c>
      <c r="DB11" vm="2250">
        <f ca="1"/>
        <v>30.16</v>
      </c>
      <c r="DC11" vm="2251">
        <f ca="1"/>
        <v>29.29</v>
      </c>
      <c r="DD11" vm="2252">
        <f ca="1"/>
        <v>28.3</v>
      </c>
      <c r="DE11" vm="2253">
        <f ca="1"/>
        <v>28.51</v>
      </c>
      <c r="DF11" vm="2254">
        <f ca="1"/>
        <v>27.47</v>
      </c>
      <c r="DG11" vm="2255">
        <f ca="1"/>
        <v>27.24</v>
      </c>
      <c r="DH11" vm="2256">
        <f ca="1"/>
        <v>27.87</v>
      </c>
      <c r="DI11" vm="2257">
        <f ca="1"/>
        <v>27.89</v>
      </c>
      <c r="DJ11" vm="2258">
        <f ca="1"/>
        <v>27.54</v>
      </c>
      <c r="DK11" vm="2259">
        <f ca="1"/>
        <v>26.09</v>
      </c>
      <c r="DL11" vm="2260">
        <f ca="1"/>
        <v>25.78</v>
      </c>
      <c r="DM11" vm="2261">
        <f ca="1"/>
        <v>25.7</v>
      </c>
      <c r="DN11" vm="2262">
        <f ca="1"/>
        <v>25.48</v>
      </c>
      <c r="DO11" vm="2263">
        <f ca="1"/>
        <v>24.81</v>
      </c>
      <c r="DP11" vm="2264">
        <f ca="1"/>
        <v>24.61</v>
      </c>
      <c r="DQ11" vm="2265">
        <f ca="1"/>
        <v>24.12</v>
      </c>
      <c r="DR11" vm="2266">
        <f ca="1"/>
        <v>24.74</v>
      </c>
      <c r="DS11" vm="2267">
        <f ca="1"/>
        <v>24.78</v>
      </c>
      <c r="DT11" vm="2268">
        <f ca="1"/>
        <v>24.77</v>
      </c>
      <c r="DU11" vm="2269">
        <f ca="1"/>
        <v>24.58</v>
      </c>
      <c r="DV11" vm="2270">
        <f ca="1"/>
        <v>24.34</v>
      </c>
      <c r="DW11" vm="2271">
        <f ca="1"/>
        <v>23.65</v>
      </c>
      <c r="DX11" vm="2272">
        <f ca="1"/>
        <v>24.31</v>
      </c>
      <c r="DY11" vm="2272">
        <f ca="1"/>
        <v>24.31</v>
      </c>
      <c r="DZ11" vm="2273">
        <f ca="1"/>
        <v>24.15</v>
      </c>
      <c r="EA11" vm="2274">
        <f ca="1"/>
        <v>23.84</v>
      </c>
      <c r="EB11" vm="2275">
        <f ca="1"/>
        <v>23.49</v>
      </c>
      <c r="EC11" vm="2276">
        <f ca="1"/>
        <v>24.5</v>
      </c>
      <c r="ED11" vm="2277">
        <f ca="1"/>
        <v>24.37</v>
      </c>
      <c r="EE11" vm="2278">
        <f ca="1"/>
        <v>24.04</v>
      </c>
      <c r="EF11" vm="2279">
        <f ca="1"/>
        <v>24.2</v>
      </c>
      <c r="EG11" vm="2280">
        <f ca="1"/>
        <v>24.16</v>
      </c>
      <c r="EH11" vm="2281">
        <f ca="1"/>
        <v>24.26</v>
      </c>
      <c r="EI11" vm="2282">
        <f ca="1"/>
        <v>24.36</v>
      </c>
      <c r="EJ11" vm="2283">
        <f ca="1"/>
        <v>25</v>
      </c>
      <c r="EK11" vm="2284">
        <f ca="1"/>
        <v>25.36</v>
      </c>
      <c r="EL11" vm="2285">
        <f ca="1"/>
        <v>24.94</v>
      </c>
      <c r="EM11" vm="2286">
        <f ca="1"/>
        <v>24.62</v>
      </c>
      <c r="EN11" vm="2287">
        <f ca="1"/>
        <v>24.48</v>
      </c>
      <c r="EO11" vm="2270">
        <f ca="1"/>
        <v>24.34</v>
      </c>
      <c r="EP11" vm="2277">
        <f ca="1"/>
        <v>24.37</v>
      </c>
      <c r="EQ11" vm="2279">
        <f ca="1"/>
        <v>24.2</v>
      </c>
      <c r="ER11" vm="2288">
        <f ca="1"/>
        <v>24</v>
      </c>
      <c r="ES11" vm="2270">
        <f ca="1"/>
        <v>24.34</v>
      </c>
      <c r="ET11" vm="2289">
        <f ca="1"/>
        <v>24.09</v>
      </c>
      <c r="EU11" vm="2290">
        <f ca="1"/>
        <v>23.86</v>
      </c>
      <c r="EV11" vm="2280">
        <f ca="1"/>
        <v>24.16</v>
      </c>
      <c r="EW11" vm="2291">
        <f ca="1"/>
        <v>24.71</v>
      </c>
      <c r="EX11" vm="2292">
        <f ca="1"/>
        <v>24.06</v>
      </c>
      <c r="EY11" vm="2293">
        <f ca="1"/>
        <v>24.51</v>
      </c>
      <c r="EZ11" vm="2294">
        <f ca="1"/>
        <v>23.98</v>
      </c>
      <c r="FA11" vm="2295">
        <f ca="1"/>
        <v>24.11</v>
      </c>
      <c r="FB11" vm="2277">
        <f ca="1"/>
        <v>24.37</v>
      </c>
      <c r="FC11" vm="2296">
        <f ca="1"/>
        <v>25.67</v>
      </c>
      <c r="FD11" vm="2297">
        <f ca="1"/>
        <v>26.18</v>
      </c>
      <c r="FE11" vm="2298">
        <f ca="1"/>
        <v>25.21</v>
      </c>
      <c r="FF11" vm="2299">
        <f ca="1"/>
        <v>25.32</v>
      </c>
      <c r="FG11" vm="2300">
        <f ca="1"/>
        <v>25.87</v>
      </c>
      <c r="FH11" vm="2301">
        <f ca="1"/>
        <v>26.26</v>
      </c>
      <c r="FI11" vm="2302">
        <f ca="1"/>
        <v>26.47</v>
      </c>
      <c r="FJ11" vm="2303">
        <f ca="1"/>
        <v>26.42</v>
      </c>
      <c r="FK11" vm="2304">
        <f ca="1"/>
        <v>26.88</v>
      </c>
      <c r="FL11" vm="2305">
        <f ca="1"/>
        <v>27.29</v>
      </c>
      <c r="FM11" vm="2306">
        <f ca="1"/>
        <v>26.99</v>
      </c>
      <c r="FN11" vm="2307">
        <f ca="1"/>
        <v>26.24</v>
      </c>
      <c r="FO11" vm="2308">
        <f ca="1"/>
        <v>26.48</v>
      </c>
      <c r="FP11" vm="2309">
        <f ca="1"/>
        <v>27.71</v>
      </c>
      <c r="FQ11" vm="2310">
        <f ca="1"/>
        <v>27.93</v>
      </c>
      <c r="FR11" vm="2311">
        <f ca="1"/>
        <v>26.7</v>
      </c>
      <c r="FS11" vm="2312">
        <f ca="1"/>
        <v>26.97</v>
      </c>
      <c r="FT11" vm="2313">
        <f ca="1"/>
        <v>26.71</v>
      </c>
      <c r="FU11" vm="2314">
        <f ca="1"/>
        <v>26.11</v>
      </c>
      <c r="FV11" vm="2315">
        <f ca="1"/>
        <v>27.07</v>
      </c>
      <c r="FW11" vm="2316">
        <f ca="1"/>
        <v>26.44</v>
      </c>
      <c r="FX11" vm="2312">
        <f ca="1"/>
        <v>26.97</v>
      </c>
      <c r="FY11" vm="2317">
        <f ca="1"/>
        <v>26.85</v>
      </c>
      <c r="FZ11" vm="2318">
        <f ca="1"/>
        <v>26.19</v>
      </c>
      <c r="GA11" vm="2301">
        <f ca="1"/>
        <v>26.26</v>
      </c>
      <c r="GB11" vm="2319">
        <f ca="1"/>
        <v>25.99</v>
      </c>
      <c r="GC11" vm="2320">
        <f ca="1"/>
        <v>25.58</v>
      </c>
      <c r="GD11" vm="2321">
        <f ca="1"/>
        <v>25.76</v>
      </c>
      <c r="GE11" vm="2322">
        <f ca="1"/>
        <v>26.14</v>
      </c>
      <c r="GF11" vm="2323">
        <f ca="1"/>
        <v>26.83</v>
      </c>
      <c r="GG11" vm="2324">
        <f ca="1"/>
        <v>27.28</v>
      </c>
      <c r="GH11" vm="2325">
        <f ca="1"/>
        <v>27.11</v>
      </c>
      <c r="GI11" vm="2326">
        <f ca="1"/>
        <v>27.26</v>
      </c>
      <c r="GJ11" vm="2327">
        <f ca="1"/>
        <v>28.02</v>
      </c>
      <c r="GK11" vm="2328">
        <f ca="1"/>
        <v>29.63</v>
      </c>
      <c r="GL11" vm="2329">
        <f ca="1"/>
        <v>28.5</v>
      </c>
      <c r="GM11" vm="2330">
        <f ca="1"/>
        <v>27.73</v>
      </c>
      <c r="GN11" vm="2331">
        <f ca="1"/>
        <v>27.59</v>
      </c>
      <c r="GO11" vm="2310">
        <f ca="1"/>
        <v>27.93</v>
      </c>
      <c r="GP11" vm="2332">
        <f ca="1"/>
        <v>27.84</v>
      </c>
      <c r="GQ11" vm="2333">
        <f ca="1"/>
        <v>28.09</v>
      </c>
      <c r="GR11" vm="2257">
        <f ca="1"/>
        <v>27.89</v>
      </c>
      <c r="GS11" vm="2334">
        <f ca="1"/>
        <v>28.77</v>
      </c>
      <c r="GT11" vm="2335">
        <f ca="1"/>
        <v>28.16</v>
      </c>
      <c r="GU11" vm="2336">
        <f ca="1"/>
        <v>28.17</v>
      </c>
      <c r="GV11" vm="2337">
        <f ca="1"/>
        <v>28.56</v>
      </c>
      <c r="GW11" vm="2338">
        <f ca="1"/>
        <v>28.53</v>
      </c>
      <c r="GX11" vm="2339">
        <f ca="1"/>
        <v>27.99</v>
      </c>
      <c r="GY11" vm="2335">
        <f ca="1"/>
        <v>28.16</v>
      </c>
      <c r="GZ11" vm="2340">
        <f ca="1"/>
        <v>29.13</v>
      </c>
      <c r="HA11" vm="2341">
        <f ca="1"/>
        <v>30.28</v>
      </c>
      <c r="HB11" vm="2342">
        <f ca="1"/>
        <v>30.68</v>
      </c>
      <c r="HC11" vm="2215">
        <f ca="1"/>
        <v>30.72</v>
      </c>
      <c r="HD11" vm="2220">
        <f ca="1"/>
        <v>30.11</v>
      </c>
      <c r="HE11" vm="2343">
        <f ca="1"/>
        <v>29.6</v>
      </c>
      <c r="HF11" vm="2218">
        <f ca="1"/>
        <v>30.12</v>
      </c>
      <c r="HG11" vm="2175">
        <f ca="1"/>
        <v>30.6</v>
      </c>
      <c r="HH11" vm="2239">
        <f ca="1"/>
        <v>30.73</v>
      </c>
      <c r="HI11" vm="2344">
        <f ca="1"/>
        <v>31.82</v>
      </c>
      <c r="HJ11" vm="2345">
        <f ca="1"/>
        <v>31.72</v>
      </c>
      <c r="HK11" vm="2346">
        <f ca="1"/>
        <v>31.7</v>
      </c>
      <c r="HL11" vm="2347">
        <f ca="1"/>
        <v>31.31</v>
      </c>
      <c r="HM11" vm="2348">
        <f ca="1"/>
        <v>31.2</v>
      </c>
      <c r="HN11" vm="2349">
        <f ca="1"/>
        <v>31.58</v>
      </c>
      <c r="HO11" vm="2350">
        <f ca="1"/>
        <v>31.9</v>
      </c>
      <c r="HP11" vm="2351">
        <f ca="1"/>
        <v>31.95</v>
      </c>
      <c r="HQ11" vm="2168">
        <f ca="1"/>
        <v>31.91</v>
      </c>
      <c r="HR11" vm="2352">
        <f ca="1"/>
        <v>32.6</v>
      </c>
      <c r="HS11" vm="2353">
        <f ca="1"/>
        <v>33.369999999999997</v>
      </c>
      <c r="HT11" vm="2354">
        <f ca="1"/>
        <v>32.590000000000003</v>
      </c>
      <c r="HU11" vm="2355">
        <f ca="1"/>
        <v>31.8</v>
      </c>
      <c r="HV11" vm="2356">
        <f ca="1"/>
        <v>31.41</v>
      </c>
      <c r="HW11" vm="2357">
        <f ca="1"/>
        <v>31.33</v>
      </c>
      <c r="HX11" vm="2358">
        <f ca="1"/>
        <v>31.86</v>
      </c>
      <c r="HY11" vm="2359">
        <f ca="1"/>
        <v>31.96</v>
      </c>
      <c r="HZ11" vm="2360">
        <f ca="1"/>
        <v>32.03</v>
      </c>
      <c r="IA11" vm="2361">
        <f ca="1"/>
        <v>32.44</v>
      </c>
      <c r="IB11" vm="2362">
        <f ca="1"/>
        <v>33.04</v>
      </c>
      <c r="IC11" vm="2363">
        <f ca="1"/>
        <v>32.67</v>
      </c>
      <c r="ID11" vm="2364">
        <f ca="1"/>
        <v>31.06</v>
      </c>
      <c r="IE11" vm="2365">
        <f ca="1"/>
        <v>31.3</v>
      </c>
      <c r="IF11" vm="2241">
        <f ca="1"/>
        <v>31.62</v>
      </c>
      <c r="IG11" vm="2366">
        <f ca="1"/>
        <v>32.520000000000003</v>
      </c>
      <c r="IH11" vm="2367">
        <f ca="1"/>
        <v>32.49</v>
      </c>
      <c r="II11" vm="2368">
        <f ca="1"/>
        <v>32.21</v>
      </c>
      <c r="IJ11" vm="2369">
        <f ca="1"/>
        <v>32.11</v>
      </c>
      <c r="IK11" vm="2370">
        <f ca="1"/>
        <v>32.53</v>
      </c>
      <c r="IL11" vm="2371">
        <f ca="1"/>
        <v>32.200000000000003</v>
      </c>
      <c r="IM11" vm="2370">
        <f ca="1"/>
        <v>32.53</v>
      </c>
      <c r="IN11" vm="2372">
        <f ca="1"/>
        <v>32.42</v>
      </c>
      <c r="IO11" vm="2373">
        <f ca="1"/>
        <v>32.15</v>
      </c>
      <c r="IP11" vm="2374">
        <f ca="1"/>
        <v>32.19</v>
      </c>
      <c r="IQ11" vm="2375">
        <f ca="1"/>
        <v>32.93</v>
      </c>
      <c r="IR11" vm="2367">
        <f ca="1"/>
        <v>32.49</v>
      </c>
    </row>
    <row r="12" spans="1:252" x14ac:dyDescent="0.35">
      <c r="A12" t="e" vm="10">
        <f>Dashboard!B16</f>
        <v>#VALUE!</v>
      </c>
      <c r="B12" cm="1" vm="2376">
        <f t="array" aca="1" ref="B12:IR12" ca="1">TRANSPOSE(_xlfn.STOCKHISTORY(A12,TODAY()-365,TODAY(),0,0,1))</f>
        <v>315.69</v>
      </c>
      <c r="C12" vm="2377">
        <f ca="1"/>
        <v>315.43</v>
      </c>
      <c r="D12" vm="2378">
        <f ca="1"/>
        <v>310.70999999999998</v>
      </c>
      <c r="E12" vm="2379">
        <f ca="1"/>
        <v>307.55</v>
      </c>
      <c r="F12" vm="1228">
        <f ca="1"/>
        <v>310.02999999999997</v>
      </c>
      <c r="G12" vm="2380">
        <f ca="1"/>
        <v>309.18</v>
      </c>
      <c r="H12" vm="2381">
        <f ca="1"/>
        <v>307.69</v>
      </c>
      <c r="I12" vm="2382">
        <f ca="1"/>
        <v>304.02999999999997</v>
      </c>
      <c r="J12" vm="2383">
        <f ca="1"/>
        <v>305.52999999999997</v>
      </c>
      <c r="K12" vm="2384">
        <f ca="1"/>
        <v>300.89</v>
      </c>
      <c r="L12" vm="2385">
        <f ca="1"/>
        <v>307.97000000000003</v>
      </c>
      <c r="M12" vm="2386">
        <f ca="1"/>
        <v>302.08</v>
      </c>
      <c r="N12" vm="2387">
        <f ca="1"/>
        <v>305.69</v>
      </c>
      <c r="O12" vm="2388">
        <f ca="1"/>
        <v>298.54000000000002</v>
      </c>
      <c r="P12" vm="2389">
        <f ca="1"/>
        <v>297.56</v>
      </c>
      <c r="Q12" vm="2390">
        <f ca="1"/>
        <v>302.36</v>
      </c>
      <c r="R12" vm="2391">
        <f ca="1"/>
        <v>297.08999999999997</v>
      </c>
      <c r="S12" vm="2392">
        <f ca="1"/>
        <v>294.11</v>
      </c>
      <c r="T12" vm="2393">
        <f ca="1"/>
        <v>294.54000000000002</v>
      </c>
      <c r="U12" vm="2394">
        <f ca="1"/>
        <v>300.44</v>
      </c>
      <c r="V12" vm="2395">
        <f ca="1"/>
        <v>304.14999999999998</v>
      </c>
      <c r="W12" vm="2396">
        <f ca="1"/>
        <v>305.36</v>
      </c>
      <c r="X12" vm="2397">
        <f ca="1"/>
        <v>305.51</v>
      </c>
      <c r="Y12" vm="2398">
        <f ca="1"/>
        <v>309.44</v>
      </c>
      <c r="Z12" vm="2399">
        <f ca="1"/>
        <v>311.12</v>
      </c>
      <c r="AA12" vm="1231">
        <f ca="1"/>
        <v>309.35000000000002</v>
      </c>
      <c r="AB12" vm="2400">
        <f ca="1"/>
        <v>309.25</v>
      </c>
      <c r="AC12" vm="2401">
        <f ca="1"/>
        <v>311.68</v>
      </c>
      <c r="AD12" vm="2402">
        <f ca="1"/>
        <v>313.42</v>
      </c>
      <c r="AE12" vm="2403">
        <f ca="1"/>
        <v>314.20999999999998</v>
      </c>
      <c r="AF12" vm="2404">
        <f ca="1"/>
        <v>316.89</v>
      </c>
      <c r="AG12" vm="2405">
        <f ca="1"/>
        <v>315.62</v>
      </c>
      <c r="AH12" vm="2406">
        <f ca="1"/>
        <v>320.41000000000003</v>
      </c>
      <c r="AI12" vm="2407">
        <f ca="1"/>
        <v>309.48</v>
      </c>
      <c r="AJ12" vm="2408">
        <f ca="1"/>
        <v>303.61</v>
      </c>
      <c r="AK12" vm="2409">
        <f ca="1"/>
        <v>300.37</v>
      </c>
      <c r="AL12" vm="2410">
        <f ca="1"/>
        <v>299.41000000000003</v>
      </c>
      <c r="AM12" vm="2411">
        <f ca="1"/>
        <v>303.27</v>
      </c>
      <c r="AN12" vm="2412">
        <f ca="1"/>
        <v>298.38</v>
      </c>
      <c r="AO12" vm="2413">
        <f ca="1"/>
        <v>298.02</v>
      </c>
      <c r="AP12" vm="2414">
        <f ca="1"/>
        <v>298</v>
      </c>
      <c r="AQ12" vm="2415">
        <f ca="1"/>
        <v>303</v>
      </c>
      <c r="AR12" vm="2416">
        <f ca="1"/>
        <v>307.64</v>
      </c>
      <c r="AS12" vm="2417">
        <f ca="1"/>
        <v>313.08</v>
      </c>
      <c r="AT12" vm="2418">
        <f ca="1"/>
        <v>308.92</v>
      </c>
      <c r="AU12" vm="2419">
        <f ca="1"/>
        <v>307.88</v>
      </c>
      <c r="AV12" vm="2420">
        <f ca="1"/>
        <v>312.13</v>
      </c>
      <c r="AW12" vm="2421">
        <f ca="1"/>
        <v>316.10000000000002</v>
      </c>
      <c r="AX12" vm="2422">
        <f ca="1"/>
        <v>315.04000000000002</v>
      </c>
      <c r="AY12" vm="2423">
        <f ca="1"/>
        <v>315.20999999999998</v>
      </c>
      <c r="AZ12" vm="2424">
        <f ca="1"/>
        <v>300.51</v>
      </c>
      <c r="BA12" vm="2425">
        <f ca="1"/>
        <v>310.11</v>
      </c>
      <c r="BB12" vm="2426">
        <f ca="1"/>
        <v>317.38</v>
      </c>
      <c r="BC12" vm="2427">
        <f ca="1"/>
        <v>318.52</v>
      </c>
      <c r="BD12" vm="2428">
        <f ca="1"/>
        <v>320.02</v>
      </c>
      <c r="BE12" vm="2429">
        <f ca="1"/>
        <v>315.55</v>
      </c>
      <c r="BF12" vm="2430">
        <f ca="1"/>
        <v>314.98</v>
      </c>
      <c r="BG12" vm="2431">
        <f ca="1"/>
        <v>313</v>
      </c>
      <c r="BH12" vm="2432">
        <f ca="1"/>
        <v>317.20999999999998</v>
      </c>
      <c r="BI12" vm="2433">
        <f ca="1"/>
        <v>323.08999999999997</v>
      </c>
      <c r="BJ12" vm="2434">
        <f ca="1"/>
        <v>325.93</v>
      </c>
      <c r="BK12" vm="2435">
        <f ca="1"/>
        <v>329.17</v>
      </c>
      <c r="BL12" vm="2436">
        <f ca="1"/>
        <v>327.91</v>
      </c>
      <c r="BM12" vm="2437">
        <f ca="1"/>
        <v>323.75</v>
      </c>
      <c r="BN12" vm="2438">
        <f ca="1"/>
        <v>323.42</v>
      </c>
      <c r="BO12" vm="2439">
        <f ca="1"/>
        <v>322.22000000000003</v>
      </c>
      <c r="BP12" vm="2440">
        <f ca="1"/>
        <v>325.48</v>
      </c>
      <c r="BQ12" vm="2441">
        <f ca="1"/>
        <v>334.04</v>
      </c>
      <c r="BR12" vm="2442">
        <f ca="1"/>
        <v>334.61</v>
      </c>
      <c r="BS12" vm="2443">
        <f ca="1"/>
        <v>326.99</v>
      </c>
      <c r="BT12" vm="2444">
        <f ca="1"/>
        <v>329.79</v>
      </c>
      <c r="BU12" vm="2445">
        <f ca="1"/>
        <v>329.19</v>
      </c>
      <c r="BV12" vm="2446">
        <f ca="1"/>
        <v>324.49</v>
      </c>
      <c r="BW12" vm="2447">
        <f ca="1"/>
        <v>310.89999999999998</v>
      </c>
      <c r="BX12" vm="2448">
        <f ca="1"/>
        <v>307.87</v>
      </c>
      <c r="BY12" vm="2449">
        <f ca="1"/>
        <v>309.26</v>
      </c>
      <c r="BZ12" vm="2450">
        <f ca="1"/>
        <v>312.47000000000003</v>
      </c>
      <c r="CA12" vm="2451">
        <f ca="1"/>
        <v>302.74</v>
      </c>
      <c r="CB12" vm="2452">
        <f ca="1"/>
        <v>302.04000000000002</v>
      </c>
      <c r="CC12" vm="2453">
        <f ca="1"/>
        <v>303.63</v>
      </c>
      <c r="CD12" vm="2454">
        <f ca="1"/>
        <v>297.72000000000003</v>
      </c>
      <c r="CE12" vm="2455">
        <f ca="1"/>
        <v>301.04000000000002</v>
      </c>
      <c r="CF12" vm="2456">
        <f ca="1"/>
        <v>300.31</v>
      </c>
      <c r="CG12" vm="2457">
        <f ca="1"/>
        <v>300.77</v>
      </c>
      <c r="CH12" vm="2458">
        <f ca="1"/>
        <v>306.42</v>
      </c>
      <c r="CI12" vm="2459">
        <f ca="1"/>
        <v>305.89</v>
      </c>
      <c r="CJ12" vm="2460">
        <f ca="1"/>
        <v>308.14</v>
      </c>
      <c r="CK12" vm="2461">
        <f ca="1"/>
        <v>314.85000000000002</v>
      </c>
      <c r="CL12" vm="2462">
        <f ca="1"/>
        <v>317.27</v>
      </c>
      <c r="CM12" vm="2463">
        <f ca="1"/>
        <v>310.16000000000003</v>
      </c>
      <c r="CN12" vm="2464">
        <f ca="1"/>
        <v>322.39999999999998</v>
      </c>
      <c r="CO12" vm="2465">
        <f ca="1"/>
        <v>322.10000000000002</v>
      </c>
      <c r="CP12" vm="2466">
        <f ca="1"/>
        <v>318.27999999999997</v>
      </c>
      <c r="CQ12" vm="2467">
        <f ca="1"/>
        <v>310.82</v>
      </c>
      <c r="CR12" vm="2468">
        <f ca="1"/>
        <v>302.64</v>
      </c>
      <c r="CS12" vm="2469">
        <f ca="1"/>
        <v>302.55</v>
      </c>
      <c r="CT12" vm="2470">
        <f ca="1"/>
        <v>307.13</v>
      </c>
      <c r="CU12" vm="2471">
        <f ca="1"/>
        <v>308.77999999999997</v>
      </c>
      <c r="CV12" vm="2472">
        <f ca="1"/>
        <v>308.05</v>
      </c>
      <c r="CW12" vm="2473">
        <f ca="1"/>
        <v>310.79000000000002</v>
      </c>
      <c r="CX12" vm="2474">
        <f ca="1"/>
        <v>297.67</v>
      </c>
      <c r="CY12" vm="2475">
        <f ca="1"/>
        <v>297.3</v>
      </c>
      <c r="CZ12" vm="2476">
        <f ca="1"/>
        <v>303.3</v>
      </c>
      <c r="DA12" vm="2477">
        <f ca="1"/>
        <v>306.13</v>
      </c>
      <c r="DB12" vm="2478">
        <f ca="1"/>
        <v>300.3</v>
      </c>
      <c r="DC12" vm="2389">
        <f ca="1"/>
        <v>297.56</v>
      </c>
      <c r="DD12" vm="2479">
        <f ca="1"/>
        <v>300.26</v>
      </c>
      <c r="DE12" vm="2480">
        <f ca="1"/>
        <v>299.39</v>
      </c>
      <c r="DF12" vm="2481">
        <f ca="1"/>
        <v>293.55</v>
      </c>
      <c r="DG12" vm="2482">
        <f ca="1"/>
        <v>289.48</v>
      </c>
      <c r="DH12" vm="2483">
        <f ca="1"/>
        <v>289.92</v>
      </c>
      <c r="DI12" vm="2484">
        <f ca="1"/>
        <v>288.73</v>
      </c>
      <c r="DJ12" vm="2485">
        <f ca="1"/>
        <v>287.52</v>
      </c>
      <c r="DK12" vm="2486">
        <f ca="1"/>
        <v>282.89</v>
      </c>
      <c r="DL12" vm="2487">
        <f ca="1"/>
        <v>283.44</v>
      </c>
      <c r="DM12" vm="2488">
        <f ca="1"/>
        <v>286.16000000000003</v>
      </c>
      <c r="DN12" vm="2489">
        <f ca="1"/>
        <v>286.89</v>
      </c>
      <c r="DO12" vm="2490">
        <f ca="1"/>
        <v>287.74</v>
      </c>
      <c r="DP12" vm="2491">
        <f ca="1"/>
        <v>287.97000000000003</v>
      </c>
      <c r="DQ12" vm="2492">
        <f ca="1"/>
        <v>286.56</v>
      </c>
      <c r="DR12" vm="2493">
        <f ca="1"/>
        <v>289.91000000000003</v>
      </c>
      <c r="DS12" vm="2494">
        <f ca="1"/>
        <v>292.39999999999998</v>
      </c>
      <c r="DT12" vm="2495">
        <f ca="1"/>
        <v>295.42</v>
      </c>
      <c r="DU12" vm="2496">
        <f ca="1"/>
        <v>291.66000000000003</v>
      </c>
      <c r="DV12" vm="2497">
        <f ca="1"/>
        <v>282.83999999999997</v>
      </c>
      <c r="DW12" vm="2498">
        <f ca="1"/>
        <v>283.77</v>
      </c>
      <c r="DX12" vm="2499">
        <f ca="1"/>
        <v>294.16000000000003</v>
      </c>
      <c r="DY12" vm="2500">
        <f ca="1"/>
        <v>295.38</v>
      </c>
      <c r="DZ12" vm="2501">
        <f ca="1"/>
        <v>294.60000000000002</v>
      </c>
      <c r="EA12" vm="2502">
        <f ca="1"/>
        <v>295.45</v>
      </c>
      <c r="EB12" vm="2503">
        <f ca="1"/>
        <v>297.39999999999998</v>
      </c>
      <c r="EC12" vm="2385">
        <f ca="1"/>
        <v>307.97000000000003</v>
      </c>
      <c r="ED12" vm="2504">
        <f ca="1"/>
        <v>310.33</v>
      </c>
      <c r="EE12" vm="2505">
        <f ca="1"/>
        <v>309.87</v>
      </c>
      <c r="EF12" vm="2506">
        <f ca="1"/>
        <v>313.68</v>
      </c>
      <c r="EG12" vm="2399">
        <f ca="1"/>
        <v>311.12</v>
      </c>
      <c r="EH12" vm="1226">
        <f ca="1"/>
        <v>305.93</v>
      </c>
      <c r="EI12" vm="2507">
        <f ca="1"/>
        <v>309.95</v>
      </c>
      <c r="EJ12" vm="2508">
        <f ca="1"/>
        <v>310.29000000000002</v>
      </c>
      <c r="EK12" vm="2509">
        <f ca="1"/>
        <v>316.99</v>
      </c>
      <c r="EL12" vm="2431">
        <f ca="1"/>
        <v>313</v>
      </c>
      <c r="EM12" vm="2510">
        <f ca="1"/>
        <v>313.02</v>
      </c>
      <c r="EN12" vm="623">
        <f ca="1"/>
        <v>311.69</v>
      </c>
      <c r="EO12" vm="2511">
        <f ca="1"/>
        <v>308.27999999999997</v>
      </c>
      <c r="EP12" vm="2512">
        <f ca="1"/>
        <v>311.63</v>
      </c>
      <c r="EQ12" vm="2513">
        <f ca="1"/>
        <v>311.45</v>
      </c>
      <c r="ER12" vm="2400">
        <f ca="1"/>
        <v>309.25</v>
      </c>
      <c r="ES12" vm="2514">
        <f ca="1"/>
        <v>313.23</v>
      </c>
      <c r="ET12" vm="2450">
        <f ca="1"/>
        <v>312.47000000000003</v>
      </c>
      <c r="EU12" vm="2515">
        <f ca="1"/>
        <v>307.64999999999998</v>
      </c>
      <c r="EV12" vm="2516">
        <f ca="1"/>
        <v>309.39999999999998</v>
      </c>
      <c r="EW12" vm="622">
        <f ca="1"/>
        <v>314.89999999999998</v>
      </c>
      <c r="EX12" vm="2517">
        <f ca="1"/>
        <v>306.27</v>
      </c>
      <c r="EY12" vm="2518">
        <f ca="1"/>
        <v>302.10000000000002</v>
      </c>
      <c r="EZ12" vm="2519">
        <f ca="1"/>
        <v>300</v>
      </c>
      <c r="FA12" vm="2520">
        <f ca="1"/>
        <v>304.88</v>
      </c>
      <c r="FB12" vm="2521">
        <f ca="1"/>
        <v>300.25</v>
      </c>
      <c r="FC12" vm="2522">
        <f ca="1"/>
        <v>299.91000000000003</v>
      </c>
      <c r="FD12" vm="2523">
        <f ca="1"/>
        <v>297.81</v>
      </c>
      <c r="FE12" vm="2524">
        <f ca="1"/>
        <v>300.73</v>
      </c>
      <c r="FF12" vm="2525">
        <f ca="1"/>
        <v>295.7</v>
      </c>
      <c r="FG12" vm="2526">
        <f ca="1"/>
        <v>301.98</v>
      </c>
      <c r="FH12" vm="2415">
        <f ca="1"/>
        <v>303</v>
      </c>
      <c r="FI12" vm="2527">
        <f ca="1"/>
        <v>306.38</v>
      </c>
      <c r="FJ12" vm="2528">
        <f ca="1"/>
        <v>306.74</v>
      </c>
      <c r="FK12" vm="2529">
        <f ca="1"/>
        <v>299.27999999999997</v>
      </c>
      <c r="FL12" vm="2530">
        <f ca="1"/>
        <v>296.73</v>
      </c>
      <c r="FM12" vm="2531">
        <f ca="1"/>
        <v>299.31</v>
      </c>
      <c r="FN12" vm="2532">
        <f ca="1"/>
        <v>296.58</v>
      </c>
      <c r="FO12" vm="2533">
        <f ca="1"/>
        <v>300.95999999999998</v>
      </c>
      <c r="FP12" vm="2534">
        <f ca="1"/>
        <v>300.85000000000002</v>
      </c>
      <c r="FQ12" vm="2535">
        <f ca="1"/>
        <v>310.89</v>
      </c>
      <c r="FR12" vm="2536">
        <f ca="1"/>
        <v>312.37</v>
      </c>
      <c r="FS12" vm="2537">
        <f ca="1"/>
        <v>311.11</v>
      </c>
      <c r="FT12" vm="2538">
        <f ca="1"/>
        <v>312.7</v>
      </c>
      <c r="FU12" vm="2539">
        <f ca="1"/>
        <v>309.14</v>
      </c>
      <c r="FV12" vm="2540">
        <f ca="1"/>
        <v>313.49</v>
      </c>
      <c r="FW12" vm="2541">
        <f ca="1"/>
        <v>320.72000000000003</v>
      </c>
      <c r="FX12" vm="2542">
        <f ca="1"/>
        <v>319.39999999999998</v>
      </c>
      <c r="FY12" vm="2543">
        <f ca="1"/>
        <v>331.14</v>
      </c>
      <c r="FZ12" vm="2544">
        <f ca="1"/>
        <v>333.46</v>
      </c>
      <c r="GA12" vm="2545">
        <f ca="1"/>
        <v>325.22000000000003</v>
      </c>
      <c r="GB12" vm="2546">
        <f ca="1"/>
        <v>331.48</v>
      </c>
      <c r="GC12" vm="2547">
        <f ca="1"/>
        <v>334.14</v>
      </c>
      <c r="GD12" vm="2548">
        <f ca="1"/>
        <v>333.45</v>
      </c>
      <c r="GE12" vm="2549">
        <f ca="1"/>
        <v>335.12</v>
      </c>
      <c r="GF12" vm="2550">
        <f ca="1"/>
        <v>329.05</v>
      </c>
      <c r="GG12" vm="2551">
        <f ca="1"/>
        <v>329.39</v>
      </c>
      <c r="GH12" vm="2552">
        <f ca="1"/>
        <v>327.33</v>
      </c>
      <c r="GI12" vm="2553">
        <f ca="1"/>
        <v>334.07</v>
      </c>
      <c r="GJ12" vm="658">
        <f ca="1"/>
        <v>334.47</v>
      </c>
      <c r="GK12" vm="2554">
        <f ca="1"/>
        <v>337.72</v>
      </c>
      <c r="GL12" vm="2555">
        <f ca="1"/>
        <v>339.22</v>
      </c>
      <c r="GM12" vm="2556">
        <f ca="1"/>
        <v>330.62</v>
      </c>
      <c r="GN12" vm="2557">
        <f ca="1"/>
        <v>335.47</v>
      </c>
      <c r="GO12" vm="2558">
        <f ca="1"/>
        <v>336.47</v>
      </c>
      <c r="GP12" vm="2559">
        <f ca="1"/>
        <v>334.53</v>
      </c>
      <c r="GQ12" vm="2560">
        <f ca="1"/>
        <v>342.89</v>
      </c>
      <c r="GR12" vm="2561">
        <f ca="1"/>
        <v>346.91</v>
      </c>
      <c r="GS12" vm="2562">
        <f ca="1"/>
        <v>343.15</v>
      </c>
      <c r="GT12" vm="2563">
        <f ca="1"/>
        <v>341.1</v>
      </c>
      <c r="GU12" vm="2564">
        <f ca="1"/>
        <v>338.87</v>
      </c>
      <c r="GV12" vm="2565">
        <f ca="1"/>
        <v>345.23</v>
      </c>
      <c r="GW12" vm="2566">
        <f ca="1"/>
        <v>348.21</v>
      </c>
      <c r="GX12" vm="2567">
        <f ca="1"/>
        <v>349.9</v>
      </c>
      <c r="GY12" vm="2568">
        <f ca="1"/>
        <v>353.21</v>
      </c>
      <c r="GZ12" vm="2569">
        <f ca="1"/>
        <v>356.2</v>
      </c>
      <c r="HA12" vm="2570">
        <f ca="1"/>
        <v>357.31</v>
      </c>
      <c r="HB12" vm="2571">
        <f ca="1"/>
        <v>344.71</v>
      </c>
      <c r="HC12" vm="2572">
        <f ca="1"/>
        <v>350.85</v>
      </c>
      <c r="HD12" vm="2573">
        <f ca="1"/>
        <v>351.79</v>
      </c>
      <c r="HE12" vm="2574">
        <f ca="1"/>
        <v>352.64</v>
      </c>
      <c r="HF12" vm="2575">
        <f ca="1"/>
        <v>357.52</v>
      </c>
      <c r="HG12" vm="2576">
        <f ca="1"/>
        <v>359.24</v>
      </c>
      <c r="HH12" vm="2577">
        <f ca="1"/>
        <v>356.3</v>
      </c>
      <c r="HI12" vm="2575">
        <f ca="1"/>
        <v>357.52</v>
      </c>
      <c r="HJ12" vm="2578">
        <f ca="1"/>
        <v>359.79</v>
      </c>
      <c r="HK12" vm="2579">
        <f ca="1"/>
        <v>362.04</v>
      </c>
      <c r="HL12" vm="2580">
        <f ca="1"/>
        <v>365.18</v>
      </c>
      <c r="HM12" vm="2581">
        <f ca="1"/>
        <v>363.11</v>
      </c>
      <c r="HN12" vm="2582">
        <f ca="1"/>
        <v>362.84</v>
      </c>
      <c r="HO12" vm="2583">
        <f ca="1"/>
        <v>360.96</v>
      </c>
      <c r="HP12" vm="2584">
        <f ca="1"/>
        <v>363.25</v>
      </c>
      <c r="HQ12" vm="2585">
        <f ca="1"/>
        <v>357.26</v>
      </c>
      <c r="HR12" vm="2586">
        <f ca="1"/>
        <v>351.55</v>
      </c>
      <c r="HS12" vm="2587">
        <f ca="1"/>
        <v>351.58</v>
      </c>
      <c r="HT12" vm="2588">
        <f ca="1"/>
        <v>356.39</v>
      </c>
      <c r="HU12" vm="2589">
        <f ca="1"/>
        <v>356.69</v>
      </c>
      <c r="HV12" vm="2590">
        <f ca="1"/>
        <v>356.5</v>
      </c>
      <c r="HW12" vm="2591">
        <f ca="1"/>
        <v>354.22</v>
      </c>
      <c r="HX12" vm="2592">
        <f ca="1"/>
        <v>357.62</v>
      </c>
      <c r="HY12" vm="2593">
        <f ca="1"/>
        <v>356.02</v>
      </c>
      <c r="HZ12" vm="2594">
        <f ca="1"/>
        <v>354.95</v>
      </c>
      <c r="IA12" vm="2595">
        <f ca="1"/>
        <v>356.22</v>
      </c>
      <c r="IB12" vm="2596">
        <f ca="1"/>
        <v>362.06</v>
      </c>
      <c r="IC12" vm="2597">
        <f ca="1"/>
        <v>358.64</v>
      </c>
      <c r="ID12" vm="2598">
        <f ca="1"/>
        <v>353.51</v>
      </c>
      <c r="IE12" vm="2599">
        <f ca="1"/>
        <v>354.71</v>
      </c>
      <c r="IF12" vm="2600">
        <f ca="1"/>
        <v>353.56</v>
      </c>
      <c r="IG12" vm="2601">
        <f ca="1"/>
        <v>356.23</v>
      </c>
      <c r="IH12" vm="2602">
        <f ca="1"/>
        <v>350.13</v>
      </c>
      <c r="II12" vm="2603">
        <f ca="1"/>
        <v>352.49</v>
      </c>
      <c r="IJ12" vm="2604">
        <f ca="1"/>
        <v>348.92</v>
      </c>
      <c r="IK12" vm="2605">
        <f ca="1"/>
        <v>349.31</v>
      </c>
      <c r="IL12" vm="2606">
        <f ca="1"/>
        <v>349.67</v>
      </c>
      <c r="IM12" vm="2607">
        <f ca="1"/>
        <v>352.04</v>
      </c>
      <c r="IN12" vm="2608">
        <f ca="1"/>
        <v>340</v>
      </c>
      <c r="IO12" vm="2609">
        <f ca="1"/>
        <v>337.53</v>
      </c>
      <c r="IP12" vm="2610">
        <f ca="1"/>
        <v>338.56</v>
      </c>
      <c r="IQ12" vm="2611">
        <f ca="1"/>
        <v>343.06</v>
      </c>
      <c r="IR12" vm="2612">
        <f ca="1"/>
        <v>336.59</v>
      </c>
    </row>
    <row r="13" spans="1:252" x14ac:dyDescent="0.35">
      <c r="A13" t="e" vm="11">
        <f>Dashboard!B17</f>
        <v>#VALUE!</v>
      </c>
      <c r="B13" cm="1" vm="2613">
        <f t="array" aca="1" ref="B13:IR13" ca="1">TRANSPOSE(_xlfn.STOCKHISTORY(A13,TODAY()-365,TODAY(),0,0,1))</f>
        <v>743.4</v>
      </c>
      <c r="C13" vm="2614">
        <f ca="1"/>
        <v>734.38</v>
      </c>
      <c r="D13" vm="2615">
        <f ca="1"/>
        <v>717.34</v>
      </c>
      <c r="E13" vm="2616">
        <f ca="1"/>
        <v>727.05</v>
      </c>
      <c r="F13" vm="2617">
        <f ca="1"/>
        <v>710.56</v>
      </c>
      <c r="G13" vm="2618">
        <f ca="1"/>
        <v>715.66</v>
      </c>
      <c r="H13" vm="2619">
        <f ca="1"/>
        <v>713.08</v>
      </c>
      <c r="I13" vm="2620">
        <f ca="1"/>
        <v>717.84</v>
      </c>
      <c r="J13" vm="2621">
        <f ca="1"/>
        <v>733.51</v>
      </c>
      <c r="K13" vm="2622">
        <f ca="1"/>
        <v>705.3</v>
      </c>
      <c r="L13" vm="2623">
        <f ca="1"/>
        <v>715.7</v>
      </c>
      <c r="M13" vm="2624">
        <f ca="1"/>
        <v>708.65</v>
      </c>
      <c r="N13" vm="2625">
        <f ca="1"/>
        <v>717.55</v>
      </c>
      <c r="O13" vm="2626">
        <f ca="1"/>
        <v>712.07</v>
      </c>
      <c r="P13" vm="2627">
        <f ca="1"/>
        <v>716.91499999999996</v>
      </c>
      <c r="Q13" vm="2628">
        <f ca="1"/>
        <v>732.17</v>
      </c>
      <c r="R13" vm="2629">
        <f ca="1"/>
        <v>733.27</v>
      </c>
      <c r="S13" vm="2630">
        <f ca="1"/>
        <v>733.41</v>
      </c>
      <c r="T13" vm="2631">
        <f ca="1"/>
        <v>734</v>
      </c>
      <c r="U13" vm="2632">
        <f ca="1"/>
        <v>738.36</v>
      </c>
      <c r="V13" vm="2633">
        <f ca="1"/>
        <v>750.82</v>
      </c>
      <c r="W13" vm="2634">
        <f ca="1"/>
        <v>751.44</v>
      </c>
      <c r="X13" vm="2635">
        <f ca="1"/>
        <v>751.67</v>
      </c>
      <c r="Y13" vm="2636">
        <f ca="1"/>
        <v>666.47</v>
      </c>
      <c r="Z13" vm="2637">
        <f ca="1"/>
        <v>648.35</v>
      </c>
      <c r="AA13" vm="2638">
        <f ca="1"/>
        <v>637.71</v>
      </c>
      <c r="AB13" vm="2639">
        <f ca="1"/>
        <v>627.32000000000005</v>
      </c>
      <c r="AC13" vm="2640">
        <f ca="1"/>
        <v>635.95000000000005</v>
      </c>
      <c r="AD13" vm="2641">
        <f ca="1"/>
        <v>618.94000000000005</v>
      </c>
      <c r="AE13" vm="2642">
        <f ca="1"/>
        <v>621.71</v>
      </c>
      <c r="AF13" vm="2643">
        <f ca="1"/>
        <v>631.76</v>
      </c>
      <c r="AG13" vm="2644">
        <f ca="1"/>
        <v>627.08000000000004</v>
      </c>
      <c r="AH13" vm="2645">
        <f ca="1"/>
        <v>609.01</v>
      </c>
      <c r="AI13" vm="2646">
        <f ca="1"/>
        <v>609.89</v>
      </c>
      <c r="AJ13" vm="2647">
        <f ca="1"/>
        <v>609.46</v>
      </c>
      <c r="AK13" vm="2648">
        <f ca="1"/>
        <v>602.01</v>
      </c>
      <c r="AL13" vm="2649">
        <f ca="1"/>
        <v>597.69000000000005</v>
      </c>
      <c r="AM13" vm="2650">
        <f ca="1"/>
        <v>590.32000000000005</v>
      </c>
      <c r="AN13" vm="2651">
        <f ca="1"/>
        <v>589.15</v>
      </c>
      <c r="AO13" vm="2652">
        <f ca="1"/>
        <v>594.25</v>
      </c>
      <c r="AP13" vm="2653">
        <f ca="1"/>
        <v>613.04999999999995</v>
      </c>
      <c r="AQ13" vm="2654">
        <f ca="1"/>
        <v>636.22</v>
      </c>
      <c r="AR13" vm="2655">
        <f ca="1"/>
        <v>633.61</v>
      </c>
      <c r="AS13" vm="2656">
        <f ca="1"/>
        <v>647.95000000000005</v>
      </c>
      <c r="AT13" vm="2657">
        <f ca="1"/>
        <v>640.87</v>
      </c>
      <c r="AU13" vm="2658">
        <f ca="1"/>
        <v>647.1</v>
      </c>
      <c r="AV13" vm="2659">
        <f ca="1"/>
        <v>639.6</v>
      </c>
      <c r="AW13" vm="2660">
        <f ca="1"/>
        <v>661.53</v>
      </c>
      <c r="AX13" vm="2661">
        <f ca="1"/>
        <v>673.42</v>
      </c>
      <c r="AY13" vm="2662">
        <f ca="1"/>
        <v>666.8</v>
      </c>
      <c r="AZ13" vm="2663">
        <f ca="1"/>
        <v>656.96</v>
      </c>
      <c r="BA13" vm="2664">
        <f ca="1"/>
        <v>650.13</v>
      </c>
      <c r="BB13" vm="2665">
        <f ca="1"/>
        <v>652.71</v>
      </c>
      <c r="BC13" vm="2666">
        <f ca="1"/>
        <v>644.23</v>
      </c>
      <c r="BD13" vm="2667">
        <f ca="1"/>
        <v>647.51</v>
      </c>
      <c r="BE13" vm="2668">
        <f ca="1"/>
        <v>657.15</v>
      </c>
      <c r="BF13" vm="2669">
        <f ca="1"/>
        <v>649.5</v>
      </c>
      <c r="BG13" vm="2670">
        <f ca="1"/>
        <v>664.45</v>
      </c>
      <c r="BH13" vm="2671">
        <f ca="1"/>
        <v>658.77</v>
      </c>
      <c r="BI13" vm="2672">
        <f ca="1"/>
        <v>661.5</v>
      </c>
      <c r="BJ13" vm="2673">
        <f ca="1"/>
        <v>664.94</v>
      </c>
      <c r="BK13" vm="2674">
        <f ca="1"/>
        <v>667.55</v>
      </c>
      <c r="BL13" vm="2675">
        <f ca="1"/>
        <v>663.29</v>
      </c>
      <c r="BM13" vm="2676">
        <f ca="1"/>
        <v>658.69</v>
      </c>
      <c r="BN13" vm="2677">
        <f ca="1"/>
        <v>665.95</v>
      </c>
      <c r="BO13" vm="2678">
        <f ca="1"/>
        <v>660.09</v>
      </c>
      <c r="BP13" vm="2679">
        <f ca="1"/>
        <v>650.41</v>
      </c>
      <c r="BQ13" vm="2680">
        <f ca="1"/>
        <v>658.79</v>
      </c>
      <c r="BR13" vm="2681">
        <f ca="1"/>
        <v>660.62</v>
      </c>
      <c r="BS13" vm="2682">
        <f ca="1"/>
        <v>648.69000000000005</v>
      </c>
      <c r="BT13" vm="2683">
        <f ca="1"/>
        <v>646.05999999999995</v>
      </c>
      <c r="BU13" vm="2684">
        <f ca="1"/>
        <v>653.05999999999995</v>
      </c>
      <c r="BV13" vm="2685">
        <f ca="1"/>
        <v>641.97</v>
      </c>
      <c r="BW13" vm="2686">
        <f ca="1"/>
        <v>631.09</v>
      </c>
      <c r="BX13" vm="520">
        <f ca="1"/>
        <v>615.52</v>
      </c>
      <c r="BY13" vm="2687">
        <f ca="1"/>
        <v>620.79999999999995</v>
      </c>
      <c r="BZ13" vm="2688">
        <f ca="1"/>
        <v>620.25</v>
      </c>
      <c r="CA13" vm="2689">
        <f ca="1"/>
        <v>604.12</v>
      </c>
      <c r="CB13" vm="2690">
        <f ca="1"/>
        <v>612.96</v>
      </c>
      <c r="CC13" vm="2691">
        <f ca="1"/>
        <v>647.63</v>
      </c>
      <c r="CD13" vm="2692">
        <f ca="1"/>
        <v>658.76</v>
      </c>
      <c r="CE13" vm="2693">
        <f ca="1"/>
        <v>672.36</v>
      </c>
      <c r="CF13" vm="2694">
        <f ca="1"/>
        <v>672.97</v>
      </c>
      <c r="CG13" vm="2695">
        <f ca="1"/>
        <v>668.73</v>
      </c>
      <c r="CH13" vm="2696">
        <f ca="1"/>
        <v>738.31</v>
      </c>
      <c r="CI13" vm="2697">
        <f ca="1"/>
        <v>716.5</v>
      </c>
      <c r="CJ13" vm="2698">
        <f ca="1"/>
        <v>706.41</v>
      </c>
      <c r="CK13" vm="2699">
        <f ca="1"/>
        <v>691.7</v>
      </c>
      <c r="CL13" vm="2700">
        <f ca="1"/>
        <v>668.99</v>
      </c>
      <c r="CM13" vm="2701">
        <f ca="1"/>
        <v>670.21</v>
      </c>
      <c r="CN13" vm="2702">
        <f ca="1"/>
        <v>661.46</v>
      </c>
      <c r="CO13" vm="2703">
        <f ca="1"/>
        <v>677.22</v>
      </c>
      <c r="CP13" vm="2704">
        <f ca="1"/>
        <v>670.72</v>
      </c>
      <c r="CQ13" vm="2705">
        <f ca="1"/>
        <v>668.69</v>
      </c>
      <c r="CR13" vm="2706">
        <f ca="1"/>
        <v>649.80999999999995</v>
      </c>
      <c r="CS13" vm="2707">
        <f ca="1"/>
        <v>639.77</v>
      </c>
      <c r="CT13" vm="2708">
        <f ca="1"/>
        <v>639.29</v>
      </c>
      <c r="CU13" vm="2709">
        <f ca="1"/>
        <v>643.22</v>
      </c>
      <c r="CV13" vm="2710">
        <f ca="1"/>
        <v>644.78</v>
      </c>
      <c r="CW13" vm="2711">
        <f ca="1"/>
        <v>655.66</v>
      </c>
      <c r="CX13" vm="2712">
        <f ca="1"/>
        <v>637.25</v>
      </c>
      <c r="CY13" vm="2713">
        <f ca="1"/>
        <v>639.29999999999995</v>
      </c>
      <c r="CZ13" vm="2714">
        <f ca="1"/>
        <v>653.69000000000005</v>
      </c>
      <c r="DA13" vm="2715">
        <f ca="1"/>
        <v>657.01</v>
      </c>
      <c r="DB13" vm="2716">
        <f ca="1"/>
        <v>648.17999999999995</v>
      </c>
      <c r="DC13" vm="2717">
        <f ca="1"/>
        <v>653.55999999999995</v>
      </c>
      <c r="DD13" vm="2718">
        <f ca="1"/>
        <v>655.08000000000004</v>
      </c>
      <c r="DE13" vm="2719">
        <f ca="1"/>
        <v>667.73</v>
      </c>
      <c r="DF13" vm="2720">
        <f ca="1"/>
        <v>660.57</v>
      </c>
      <c r="DG13" vm="2721">
        <f ca="1"/>
        <v>644.86</v>
      </c>
      <c r="DH13" vm="2722">
        <f ca="1"/>
        <v>647.39</v>
      </c>
      <c r="DI13" vm="2723">
        <f ca="1"/>
        <v>654.07000000000005</v>
      </c>
      <c r="DJ13" vm="2724">
        <f ca="1"/>
        <v>654.86</v>
      </c>
      <c r="DK13" vm="2725">
        <f ca="1"/>
        <v>638.17999999999995</v>
      </c>
      <c r="DL13" vm="2726">
        <f ca="1"/>
        <v>613.71</v>
      </c>
      <c r="DM13" vm="2727">
        <f ca="1"/>
        <v>627.45000000000005</v>
      </c>
      <c r="DN13" vm="2728">
        <f ca="1"/>
        <v>622.66</v>
      </c>
      <c r="DO13" vm="2729">
        <f ca="1"/>
        <v>615.67999999999995</v>
      </c>
      <c r="DP13" vm="2730">
        <f ca="1"/>
        <v>606.70000000000005</v>
      </c>
      <c r="DQ13" vm="2731">
        <f ca="1"/>
        <v>593.66</v>
      </c>
      <c r="DR13" vm="2732">
        <f ca="1"/>
        <v>604.05999999999995</v>
      </c>
      <c r="DS13" vm="2733">
        <f ca="1"/>
        <v>592.91999999999996</v>
      </c>
      <c r="DT13" vm="2734">
        <f ca="1"/>
        <v>594.89</v>
      </c>
      <c r="DU13" vm="2735">
        <f ca="1"/>
        <v>547.54</v>
      </c>
      <c r="DV13" vm="2736">
        <f ca="1"/>
        <v>525.72</v>
      </c>
      <c r="DW13" vm="2737">
        <f ca="1"/>
        <v>536.38</v>
      </c>
      <c r="DX13" vm="2738">
        <f ca="1"/>
        <v>572.13</v>
      </c>
      <c r="DY13" vm="2739">
        <f ca="1"/>
        <v>579.23</v>
      </c>
      <c r="DZ13" vm="2740">
        <f ca="1"/>
        <v>574.46</v>
      </c>
      <c r="EA13" vm="2741">
        <f ca="1"/>
        <v>573.02</v>
      </c>
      <c r="EB13" vm="2742">
        <f ca="1"/>
        <v>575.04999999999995</v>
      </c>
      <c r="EC13" vm="2743">
        <f ca="1"/>
        <v>612.41999999999996</v>
      </c>
      <c r="ED13" vm="2744">
        <f ca="1"/>
        <v>628.39</v>
      </c>
      <c r="EE13" vm="2745">
        <f ca="1"/>
        <v>629.86</v>
      </c>
      <c r="EF13" vm="2746">
        <f ca="1"/>
        <v>634.53</v>
      </c>
      <c r="EG13" vm="2747">
        <f ca="1"/>
        <v>662.49</v>
      </c>
      <c r="EH13" vm="2748">
        <f ca="1"/>
        <v>671.58</v>
      </c>
      <c r="EI13" vm="2749">
        <f ca="1"/>
        <v>676.87</v>
      </c>
      <c r="EJ13" vm="2750">
        <f ca="1"/>
        <v>688.55</v>
      </c>
      <c r="EK13" vm="2751">
        <f ca="1"/>
        <v>670.91</v>
      </c>
      <c r="EL13" vm="2752">
        <f ca="1"/>
        <v>668.84</v>
      </c>
      <c r="EM13" vm="2753">
        <f ca="1"/>
        <v>674.72</v>
      </c>
      <c r="EN13" vm="2754">
        <f ca="1"/>
        <v>659.15</v>
      </c>
      <c r="EO13" vm="2755">
        <f ca="1"/>
        <v>675.03</v>
      </c>
      <c r="EP13" vm="2756">
        <f ca="1"/>
        <v>678.62</v>
      </c>
      <c r="EQ13" vm="2757">
        <f ca="1"/>
        <v>671.34</v>
      </c>
      <c r="ER13" vm="2758">
        <f ca="1"/>
        <v>669.12</v>
      </c>
      <c r="ES13" vm="2759">
        <f ca="1"/>
        <v>611.91</v>
      </c>
      <c r="ET13" vm="2760">
        <f ca="1"/>
        <v>608.745</v>
      </c>
      <c r="EU13" vm="2761">
        <f ca="1"/>
        <v>610.41</v>
      </c>
      <c r="EV13" vm="2762">
        <f ca="1"/>
        <v>604.96</v>
      </c>
      <c r="EW13" vm="2763">
        <f ca="1"/>
        <v>612.88</v>
      </c>
      <c r="EX13" vm="2764">
        <f ca="1"/>
        <v>616.80999999999995</v>
      </c>
      <c r="EY13" vm="2765">
        <f ca="1"/>
        <v>609.63</v>
      </c>
      <c r="EZ13" vm="2766">
        <f ca="1"/>
        <v>598.86</v>
      </c>
      <c r="FA13" vm="2767">
        <f ca="1"/>
        <v>603</v>
      </c>
      <c r="FB13" vm="2768">
        <f ca="1"/>
        <v>616.63</v>
      </c>
      <c r="FC13" vm="2769">
        <f ca="1"/>
        <v>618.42999999999995</v>
      </c>
      <c r="FD13" vm="2770">
        <f ca="1"/>
        <v>614.23</v>
      </c>
      <c r="FE13" vm="2771">
        <f ca="1"/>
        <v>611.21</v>
      </c>
      <c r="FF13" vm="2772">
        <f ca="1"/>
        <v>602.61</v>
      </c>
      <c r="FG13" vm="2773">
        <f ca="1"/>
        <v>605.05999999999995</v>
      </c>
      <c r="FH13" vm="2774">
        <f ca="1"/>
        <v>607.38</v>
      </c>
      <c r="FI13" vm="2775">
        <f ca="1"/>
        <v>610.26</v>
      </c>
      <c r="FJ13" vm="2776">
        <f ca="1"/>
        <v>612.34</v>
      </c>
      <c r="FK13" vm="2777">
        <f ca="1"/>
        <v>635.255</v>
      </c>
      <c r="FL13" vm="2778">
        <f ca="1"/>
        <v>635.29</v>
      </c>
      <c r="FM13" vm="2779">
        <f ca="1"/>
        <v>632.51</v>
      </c>
      <c r="FN13" vm="2780">
        <f ca="1"/>
        <v>600.47</v>
      </c>
      <c r="FO13" vm="2781">
        <f ca="1"/>
        <v>597.63</v>
      </c>
      <c r="FP13" vm="2782">
        <f ca="1"/>
        <v>622.98</v>
      </c>
      <c r="FQ13" vm="2783">
        <f ca="1"/>
        <v>627.57000000000005</v>
      </c>
      <c r="FR13" vm="2784">
        <f ca="1"/>
        <v>593</v>
      </c>
      <c r="FS13" vm="2785">
        <f ca="1"/>
        <v>585.39</v>
      </c>
      <c r="FT13" vm="2786">
        <f ca="1"/>
        <v>584.59</v>
      </c>
      <c r="FU13" vm="2787">
        <f ca="1"/>
        <v>570.98</v>
      </c>
      <c r="FV13" vm="2788">
        <f ca="1"/>
        <v>568.42999999999995</v>
      </c>
      <c r="FW13" vm="2789">
        <f ca="1"/>
        <v>566.98</v>
      </c>
      <c r="FX13" vm="2790">
        <f ca="1"/>
        <v>593.48</v>
      </c>
      <c r="FY13" vm="2791">
        <f ca="1"/>
        <v>600.21</v>
      </c>
      <c r="FZ13" vm="2792">
        <f ca="1"/>
        <v>567.58000000000004</v>
      </c>
      <c r="GA13" vm="2793">
        <f ca="1"/>
        <v>577.22</v>
      </c>
      <c r="GB13" vm="2794">
        <f ca="1"/>
        <v>563.85</v>
      </c>
      <c r="GC13" vm="2795">
        <f ca="1"/>
        <v>562.20000000000005</v>
      </c>
      <c r="GD13" vm="2796">
        <f ca="1"/>
        <v>557.66999999999996</v>
      </c>
      <c r="GE13" vm="2797">
        <f ca="1"/>
        <v>542.87</v>
      </c>
      <c r="GF13" vm="2798">
        <f ca="1"/>
        <v>550.25</v>
      </c>
      <c r="GG13" vm="2799">
        <f ca="1"/>
        <v>562.6</v>
      </c>
      <c r="GH13" vm="2800">
        <f ca="1"/>
        <v>563.29</v>
      </c>
      <c r="GI13" vm="2801">
        <f ca="1"/>
        <v>612.91</v>
      </c>
      <c r="GJ13" vm="2802">
        <f ca="1"/>
        <v>582.9</v>
      </c>
      <c r="GK13" vm="2803">
        <f ca="1"/>
        <v>600.29</v>
      </c>
      <c r="GL13" vm="2804">
        <f ca="1"/>
        <v>615.58000000000004</v>
      </c>
      <c r="GM13" vm="2805">
        <f ca="1"/>
        <v>603.12</v>
      </c>
      <c r="GN13" vm="2806">
        <f ca="1"/>
        <v>631.48</v>
      </c>
      <c r="GO13" vm="2807">
        <f ca="1"/>
        <v>669.21</v>
      </c>
      <c r="GP13" vm="2808">
        <f ca="1"/>
        <v>656.73</v>
      </c>
      <c r="GQ13" vm="2809">
        <f ca="1"/>
        <v>661.04</v>
      </c>
      <c r="GR13" vm="2810">
        <f ca="1"/>
        <v>681.31</v>
      </c>
      <c r="GS13" vm="2811">
        <f ca="1"/>
        <v>664.54</v>
      </c>
      <c r="GT13" vm="2812">
        <f ca="1"/>
        <v>646.01</v>
      </c>
      <c r="GU13" vm="2813">
        <f ca="1"/>
        <v>645.85</v>
      </c>
      <c r="GV13" vm="2814">
        <f ca="1"/>
        <v>643.80999999999995</v>
      </c>
      <c r="GW13" vm="2815">
        <f ca="1"/>
        <v>627.16999999999996</v>
      </c>
      <c r="GX13" vm="2816">
        <f ca="1"/>
        <v>606.1</v>
      </c>
      <c r="GY13" vm="2817">
        <f ca="1"/>
        <v>595.19000000000005</v>
      </c>
      <c r="GZ13" vm="2818">
        <f ca="1"/>
        <v>593.87</v>
      </c>
      <c r="HA13" vm="2819">
        <f ca="1"/>
        <v>593.41</v>
      </c>
      <c r="HB13" vm="2820">
        <f ca="1"/>
        <v>585.61</v>
      </c>
      <c r="HC13" vm="2821">
        <f ca="1"/>
        <v>539.03</v>
      </c>
      <c r="HD13" vm="2822">
        <f ca="1"/>
        <v>556.71</v>
      </c>
      <c r="HE13" vm="2823">
        <f ca="1"/>
        <v>590.24</v>
      </c>
      <c r="HF13" vm="2824">
        <f ca="1"/>
        <v>587.94000000000005</v>
      </c>
      <c r="HG13" vm="2825">
        <f ca="1"/>
        <v>588.77</v>
      </c>
      <c r="HH13" vm="2826">
        <f ca="1"/>
        <v>589.9</v>
      </c>
      <c r="HI13" vm="2827">
        <f ca="1"/>
        <v>592.1</v>
      </c>
      <c r="HJ13" vm="2828">
        <f ca="1"/>
        <v>594.91999999999996</v>
      </c>
      <c r="HK13" vm="2829">
        <f ca="1"/>
        <v>599.12</v>
      </c>
      <c r="HL13" vm="2830">
        <f ca="1"/>
        <v>578.85</v>
      </c>
      <c r="HM13" vm="2831">
        <f ca="1"/>
        <v>594.97</v>
      </c>
      <c r="HN13" vm="2832">
        <f ca="1"/>
        <v>589.85</v>
      </c>
      <c r="HO13" vm="2833">
        <f ca="1"/>
        <v>568.97</v>
      </c>
      <c r="HP13" vm="2834">
        <f ca="1"/>
        <v>543.66999999999996</v>
      </c>
      <c r="HQ13" vm="2835">
        <f ca="1"/>
        <v>546.03</v>
      </c>
      <c r="HR13" vm="2836">
        <f ca="1"/>
        <v>545.83000000000004</v>
      </c>
      <c r="HS13" vm="2837">
        <f ca="1"/>
        <v>549.9</v>
      </c>
      <c r="HT13" vm="2838">
        <f ca="1"/>
        <v>559.02</v>
      </c>
      <c r="HU13" vm="2839">
        <f ca="1"/>
        <v>570.04999999999995</v>
      </c>
      <c r="HV13" vm="2840">
        <f ca="1"/>
        <v>576.14</v>
      </c>
      <c r="HW13" vm="2841">
        <f ca="1"/>
        <v>571.1</v>
      </c>
      <c r="HX13" vm="2842">
        <f ca="1"/>
        <v>578.02</v>
      </c>
      <c r="HY13" vm="2843">
        <f ca="1"/>
        <v>572.34</v>
      </c>
      <c r="HZ13" vm="2844">
        <f ca="1"/>
        <v>578.54</v>
      </c>
      <c r="IA13" vm="2845">
        <f ca="1"/>
        <v>592.85</v>
      </c>
      <c r="IB13" vm="2846">
        <f ca="1"/>
        <v>610.67999999999995</v>
      </c>
      <c r="IC13" vm="2847">
        <f ca="1"/>
        <v>616.77</v>
      </c>
      <c r="ID13" vm="2848">
        <f ca="1"/>
        <v>613.48</v>
      </c>
      <c r="IE13" vm="2714">
        <f ca="1"/>
        <v>653.69000000000005</v>
      </c>
      <c r="IF13" vm="2849">
        <f ca="1"/>
        <v>644.38</v>
      </c>
      <c r="IG13" vm="2850">
        <f ca="1"/>
        <v>648.03</v>
      </c>
      <c r="IH13" vm="2851">
        <f ca="1"/>
        <v>665.6</v>
      </c>
      <c r="II13" vm="2852">
        <f ca="1"/>
        <v>670.24</v>
      </c>
      <c r="IJ13" vm="2853">
        <f ca="1"/>
        <v>673.31</v>
      </c>
      <c r="IK13" vm="2854">
        <f ca="1"/>
        <v>682.31</v>
      </c>
      <c r="IL13" vm="2855">
        <f ca="1"/>
        <v>665.75</v>
      </c>
      <c r="IM13" vm="2856">
        <f ca="1"/>
        <v>741.245</v>
      </c>
      <c r="IN13" vm="2857">
        <f ca="1"/>
        <v>736.59500000000003</v>
      </c>
      <c r="IO13" vm="2858">
        <f ca="1"/>
        <v>744.1</v>
      </c>
      <c r="IP13" vm="2859">
        <f ca="1"/>
        <v>777.59</v>
      </c>
      <c r="IQ13" vm="2860">
        <f ca="1"/>
        <v>751.66</v>
      </c>
      <c r="IR13" vm="2861">
        <f ca="1"/>
        <v>715.62</v>
      </c>
    </row>
    <row r="14" spans="1:252" x14ac:dyDescent="0.35">
      <c r="A14" t="e" vm="12">
        <f>Dashboard!B18</f>
        <v>#VALUE!</v>
      </c>
      <c r="B14" cm="1" vm="2862">
        <f t="array" aca="1" ref="B14:IR14" ca="1">TRANSPOSE(_xlfn.STOCKHISTORY(A14,TODAY()-365,TODAY(),0,0,1))</f>
        <v>181.85</v>
      </c>
      <c r="C14" vm="2863">
        <f ca="1"/>
        <v>186.58</v>
      </c>
      <c r="D14" vm="2864">
        <f ca="1"/>
        <v>187.24</v>
      </c>
      <c r="E14" vm="2865">
        <f ca="1"/>
        <v>188.89</v>
      </c>
      <c r="F14" vm="2866">
        <f ca="1"/>
        <v>187.62</v>
      </c>
      <c r="G14" vm="2867">
        <f ca="1"/>
        <v>185.54</v>
      </c>
      <c r="H14" vm="2868">
        <f ca="1"/>
        <v>185.04</v>
      </c>
      <c r="I14" vm="2869">
        <f ca="1"/>
        <v>189.11</v>
      </c>
      <c r="J14" vm="2870">
        <f ca="1"/>
        <v>192.57</v>
      </c>
      <c r="K14" vm="2871">
        <f ca="1"/>
        <v>183.16</v>
      </c>
      <c r="L14" vm="2872">
        <f ca="1"/>
        <v>188.32</v>
      </c>
      <c r="M14" vm="2873">
        <f ca="1"/>
        <v>180.03</v>
      </c>
      <c r="N14" vm="2874">
        <f ca="1"/>
        <v>179.83</v>
      </c>
      <c r="O14" vm="2875">
        <f ca="1"/>
        <v>181.81</v>
      </c>
      <c r="P14" vm="2876">
        <f ca="1"/>
        <v>183.22</v>
      </c>
      <c r="Q14" vm="2877">
        <f ca="1"/>
        <v>182.64</v>
      </c>
      <c r="R14" vm="2878">
        <f ca="1"/>
        <v>181.16</v>
      </c>
      <c r="S14" vm="2879">
        <f ca="1"/>
        <v>180.28</v>
      </c>
      <c r="T14" vm="2880">
        <f ca="1"/>
        <v>182.16</v>
      </c>
      <c r="U14" vm="2881">
        <f ca="1"/>
        <v>186.26</v>
      </c>
      <c r="V14" vm="2882">
        <f ca="1"/>
        <v>191.49</v>
      </c>
      <c r="W14" vm="2883">
        <f ca="1"/>
        <v>201.03</v>
      </c>
      <c r="X14" vm="2884">
        <f ca="1"/>
        <v>207.04</v>
      </c>
      <c r="Y14" vm="2885">
        <f ca="1"/>
        <v>202.89</v>
      </c>
      <c r="Z14" vm="2886">
        <f ca="1"/>
        <v>202.49</v>
      </c>
      <c r="AA14" vm="2887">
        <f ca="1"/>
        <v>206.88</v>
      </c>
      <c r="AB14" vm="2888">
        <f ca="1"/>
        <v>198.69</v>
      </c>
      <c r="AC14" vm="2889">
        <f ca="1"/>
        <v>195.21</v>
      </c>
      <c r="AD14" vm="2890">
        <f ca="1"/>
        <v>188.08</v>
      </c>
      <c r="AE14" vm="1637">
        <f ca="1"/>
        <v>188.15</v>
      </c>
      <c r="AF14" vm="2891">
        <f ca="1"/>
        <v>199.05</v>
      </c>
      <c r="AG14" vm="2892">
        <f ca="1"/>
        <v>193.16</v>
      </c>
      <c r="AH14" vm="2893">
        <f ca="1"/>
        <v>193.8</v>
      </c>
      <c r="AI14" vm="2894">
        <f ca="1"/>
        <v>186.86</v>
      </c>
      <c r="AJ14" vm="2895">
        <f ca="1"/>
        <v>190.17</v>
      </c>
      <c r="AK14" vm="2896">
        <f ca="1"/>
        <v>186.6</v>
      </c>
      <c r="AL14" vm="2897">
        <f ca="1"/>
        <v>181.36</v>
      </c>
      <c r="AM14" vm="2898">
        <f ca="1"/>
        <v>186.52</v>
      </c>
      <c r="AN14" vm="2899">
        <f ca="1"/>
        <v>180.64</v>
      </c>
      <c r="AO14" vm="2900">
        <f ca="1"/>
        <v>178.88</v>
      </c>
      <c r="AP14" vm="2901">
        <f ca="1"/>
        <v>182.55</v>
      </c>
      <c r="AQ14" vm="2902">
        <f ca="1"/>
        <v>177.82</v>
      </c>
      <c r="AR14" vm="2903">
        <f ca="1"/>
        <v>180.26</v>
      </c>
      <c r="AS14" vm="2904">
        <f ca="1"/>
        <v>177</v>
      </c>
      <c r="AT14" vm="2905">
        <f ca="1"/>
        <v>179.92</v>
      </c>
      <c r="AU14" vm="2906">
        <f ca="1"/>
        <v>181.46</v>
      </c>
      <c r="AV14" vm="2907">
        <f ca="1"/>
        <v>179.59</v>
      </c>
      <c r="AW14" vm="2908">
        <f ca="1"/>
        <v>183.38</v>
      </c>
      <c r="AX14" vm="2909">
        <f ca="1"/>
        <v>182.41</v>
      </c>
      <c r="AY14" vm="2910">
        <f ca="1"/>
        <v>185.55</v>
      </c>
      <c r="AZ14" vm="2911">
        <f ca="1"/>
        <v>184.97</v>
      </c>
      <c r="BA14" vm="2912">
        <f ca="1"/>
        <v>183.78</v>
      </c>
      <c r="BB14" vm="2913">
        <f ca="1"/>
        <v>180.93</v>
      </c>
      <c r="BC14" vm="2914">
        <f ca="1"/>
        <v>175.02</v>
      </c>
      <c r="BD14" vm="2915">
        <f ca="1"/>
        <v>176.29</v>
      </c>
      <c r="BE14" vm="2916">
        <f ca="1"/>
        <v>177.72</v>
      </c>
      <c r="BF14" vm="2917">
        <f ca="1"/>
        <v>170.94</v>
      </c>
      <c r="BG14" vm="2918">
        <f ca="1"/>
        <v>174.14</v>
      </c>
      <c r="BH14" vm="2919">
        <f ca="1"/>
        <v>180.99</v>
      </c>
      <c r="BI14" vm="2920">
        <f ca="1"/>
        <v>183.69</v>
      </c>
      <c r="BJ14" vm="2921">
        <f ca="1"/>
        <v>189.21</v>
      </c>
      <c r="BK14" vm="2922">
        <f ca="1"/>
        <v>188.61</v>
      </c>
      <c r="BL14" vm="2923">
        <f ca="1"/>
        <v>190.53</v>
      </c>
      <c r="BM14" vm="2924">
        <f ca="1"/>
        <v>188.22</v>
      </c>
      <c r="BN14" vm="2925">
        <f ca="1"/>
        <v>187.54</v>
      </c>
      <c r="BO14" vm="2926">
        <f ca="1"/>
        <v>186.5</v>
      </c>
      <c r="BP14" vm="2927">
        <f ca="1"/>
        <v>188.85</v>
      </c>
      <c r="BQ14" vm="2928">
        <f ca="1"/>
        <v>188.12</v>
      </c>
      <c r="BR14" vm="2864">
        <f ca="1"/>
        <v>187.24</v>
      </c>
      <c r="BS14" vm="2869">
        <f ca="1"/>
        <v>189.11</v>
      </c>
      <c r="BT14" vm="2868">
        <f ca="1"/>
        <v>185.04</v>
      </c>
      <c r="BU14" vm="2929">
        <f ca="1"/>
        <v>184.86</v>
      </c>
      <c r="BV14" vm="2930">
        <f ca="1"/>
        <v>184.94</v>
      </c>
      <c r="BW14" vm="2931">
        <f ca="1"/>
        <v>185.81</v>
      </c>
      <c r="BX14" vm="2932">
        <f ca="1"/>
        <v>183.14</v>
      </c>
      <c r="BY14" vm="2933">
        <f ca="1"/>
        <v>187.05</v>
      </c>
      <c r="BZ14" vm="2934">
        <f ca="1"/>
        <v>186.23</v>
      </c>
      <c r="CA14" vm="2935">
        <f ca="1"/>
        <v>178.07</v>
      </c>
      <c r="CB14" vm="2936">
        <f ca="1"/>
        <v>183.32</v>
      </c>
      <c r="CC14" vm="2937">
        <f ca="1"/>
        <v>184.84</v>
      </c>
      <c r="CD14" vm="2938">
        <f ca="1"/>
        <v>187.67</v>
      </c>
      <c r="CE14" vm="2939">
        <f ca="1"/>
        <v>186.47</v>
      </c>
      <c r="CF14" vm="2940">
        <f ca="1"/>
        <v>188.52</v>
      </c>
      <c r="CG14" vm="2941">
        <f ca="1"/>
        <v>191.52</v>
      </c>
      <c r="CH14" vm="2942">
        <f ca="1"/>
        <v>192.51</v>
      </c>
      <c r="CI14" vm="2943">
        <f ca="1"/>
        <v>191.13</v>
      </c>
      <c r="CJ14" vm="2944">
        <f ca="1"/>
        <v>185.61</v>
      </c>
      <c r="CK14" vm="2945">
        <f ca="1"/>
        <v>180.34</v>
      </c>
      <c r="CL14" vm="2946">
        <f ca="1"/>
        <v>174.19</v>
      </c>
      <c r="CM14" vm="2947">
        <f ca="1"/>
        <v>171.88</v>
      </c>
      <c r="CN14" vm="2948">
        <f ca="1"/>
        <v>185.41</v>
      </c>
      <c r="CO14" vm="2949">
        <f ca="1"/>
        <v>190.04</v>
      </c>
      <c r="CP14" vm="2950">
        <f ca="1"/>
        <v>188.54</v>
      </c>
      <c r="CQ14" vm="2951">
        <f ca="1"/>
        <v>190.05</v>
      </c>
      <c r="CR14" vm="2952">
        <f ca="1"/>
        <v>186.94</v>
      </c>
      <c r="CS14" vm="2953">
        <f ca="1"/>
        <v>182.81</v>
      </c>
      <c r="CT14" vm="2911">
        <f ca="1"/>
        <v>184.97</v>
      </c>
      <c r="CU14" vm="2954">
        <f ca="1"/>
        <v>187.98</v>
      </c>
      <c r="CV14" vm="2955">
        <f ca="1"/>
        <v>187.9</v>
      </c>
      <c r="CW14" vm="2956">
        <f ca="1"/>
        <v>189.82</v>
      </c>
      <c r="CX14" vm="2957">
        <f ca="1"/>
        <v>191.55</v>
      </c>
      <c r="CY14" vm="2958">
        <f ca="1"/>
        <v>192.85</v>
      </c>
      <c r="CZ14" vm="2959">
        <f ca="1"/>
        <v>195.56</v>
      </c>
      <c r="DA14" vm="2960">
        <f ca="1"/>
        <v>184.89</v>
      </c>
      <c r="DB14" vm="2961">
        <f ca="1"/>
        <v>177.19</v>
      </c>
      <c r="DC14" vm="2962">
        <f ca="1"/>
        <v>182.48</v>
      </c>
      <c r="DD14" vm="2963">
        <f ca="1"/>
        <v>180.05</v>
      </c>
      <c r="DE14" vm="2964">
        <f ca="1"/>
        <v>183.04</v>
      </c>
      <c r="DF14" vm="2965">
        <f ca="1"/>
        <v>183.34</v>
      </c>
      <c r="DG14" vm="2902">
        <f ca="1"/>
        <v>177.82</v>
      </c>
      <c r="DH14" vm="2966">
        <f ca="1"/>
        <v>182.65</v>
      </c>
      <c r="DI14" vm="2967">
        <f ca="1"/>
        <v>184.77</v>
      </c>
      <c r="DJ14" vm="1608">
        <f ca="1"/>
        <v>186.03</v>
      </c>
      <c r="DK14" vm="2932">
        <f ca="1"/>
        <v>183.14</v>
      </c>
      <c r="DL14" vm="2968">
        <f ca="1"/>
        <v>180.25</v>
      </c>
      <c r="DM14" vm="2876">
        <f ca="1"/>
        <v>183.22</v>
      </c>
      <c r="DN14" vm="2969">
        <f ca="1"/>
        <v>181.93</v>
      </c>
      <c r="DO14" vm="1674">
        <f ca="1"/>
        <v>180.4</v>
      </c>
      <c r="DP14" vm="2970">
        <f ca="1"/>
        <v>178.56</v>
      </c>
      <c r="DQ14" vm="2971">
        <f ca="1"/>
        <v>172.7</v>
      </c>
      <c r="DR14" vm="2972">
        <f ca="1"/>
        <v>175.64</v>
      </c>
      <c r="DS14" vm="2973">
        <f ca="1"/>
        <v>175.2</v>
      </c>
      <c r="DT14" vm="2974">
        <f ca="1"/>
        <v>178.68</v>
      </c>
      <c r="DU14" vm="2975">
        <f ca="1"/>
        <v>171.24</v>
      </c>
      <c r="DV14" vm="2976">
        <f ca="1"/>
        <v>167.52</v>
      </c>
      <c r="DW14" vm="2977">
        <f ca="1"/>
        <v>165.17</v>
      </c>
      <c r="DX14" vm="2978">
        <f ca="1"/>
        <v>174.4</v>
      </c>
      <c r="DY14" vm="2979">
        <f ca="1"/>
        <v>175.75</v>
      </c>
      <c r="DZ14" vm="2980">
        <f ca="1"/>
        <v>177.39</v>
      </c>
      <c r="EA14" vm="2981">
        <f ca="1"/>
        <v>177.64</v>
      </c>
      <c r="EB14" vm="2982">
        <f ca="1"/>
        <v>178.1</v>
      </c>
      <c r="EC14" vm="2983">
        <f ca="1"/>
        <v>182.08</v>
      </c>
      <c r="ED14" vm="2984">
        <f ca="1"/>
        <v>183.91</v>
      </c>
      <c r="EE14" vm="2985">
        <f ca="1"/>
        <v>188.63</v>
      </c>
      <c r="EF14" vm="2986">
        <f ca="1"/>
        <v>189.31</v>
      </c>
      <c r="EG14" vm="2987">
        <f ca="1"/>
        <v>196.51</v>
      </c>
      <c r="EH14" vm="2988">
        <f ca="1"/>
        <v>198.87</v>
      </c>
      <c r="EI14" vm="2989">
        <f ca="1"/>
        <v>198.35</v>
      </c>
      <c r="EJ14" vm="2990">
        <f ca="1"/>
        <v>201.68</v>
      </c>
      <c r="EK14" vm="2991">
        <f ca="1"/>
        <v>202.06</v>
      </c>
      <c r="EL14" vm="2992">
        <f ca="1"/>
        <v>199.88</v>
      </c>
      <c r="EM14" vm="2993">
        <f ca="1"/>
        <v>202.5</v>
      </c>
      <c r="EN14" vm="2994">
        <f ca="1"/>
        <v>199.64</v>
      </c>
      <c r="EO14" vm="892">
        <f ca="1"/>
        <v>208.27</v>
      </c>
      <c r="EP14" vm="2995">
        <f ca="1"/>
        <v>216.61</v>
      </c>
      <c r="EQ14" vm="2996">
        <f ca="1"/>
        <v>213.17</v>
      </c>
      <c r="ER14" vm="2997">
        <f ca="1"/>
        <v>209.25</v>
      </c>
      <c r="ES14" vm="2998">
        <f ca="1"/>
        <v>199.57</v>
      </c>
      <c r="ET14" vm="2999">
        <f ca="1"/>
        <v>198.45</v>
      </c>
      <c r="EU14" vm="3000">
        <f ca="1"/>
        <v>198.48</v>
      </c>
      <c r="EV14" vm="3001">
        <f ca="1"/>
        <v>196.5</v>
      </c>
      <c r="EW14" vm="3002">
        <f ca="1"/>
        <v>207.83</v>
      </c>
      <c r="EX14" vm="3003">
        <f ca="1"/>
        <v>211.5</v>
      </c>
      <c r="EY14" vm="883">
        <f ca="1"/>
        <v>215.2</v>
      </c>
      <c r="EZ14" vm="3004">
        <f ca="1"/>
        <v>219.44</v>
      </c>
      <c r="FA14" vm="3005">
        <f ca="1"/>
        <v>220.78</v>
      </c>
      <c r="FB14" vm="3006">
        <f ca="1"/>
        <v>225.83</v>
      </c>
      <c r="FC14" vm="3007">
        <f ca="1"/>
        <v>235.74</v>
      </c>
      <c r="FD14" vm="3008">
        <f ca="1"/>
        <v>225.32</v>
      </c>
      <c r="FE14" vm="3009">
        <f ca="1"/>
        <v>222.32</v>
      </c>
      <c r="FF14" vm="3010">
        <f ca="1"/>
        <v>220.61</v>
      </c>
      <c r="FG14" vm="342">
        <f ca="1"/>
        <v>223.47</v>
      </c>
      <c r="FH14" vm="775">
        <f ca="1"/>
        <v>219.51</v>
      </c>
      <c r="FI14" vm="3011">
        <f ca="1"/>
        <v>215.33</v>
      </c>
      <c r="FJ14" vm="3012">
        <f ca="1"/>
        <v>214.86</v>
      </c>
      <c r="FK14" vm="3013">
        <f ca="1"/>
        <v>212.6</v>
      </c>
      <c r="FL14" vm="3014">
        <f ca="1"/>
        <v>214.25</v>
      </c>
      <c r="FM14" vm="3015">
        <f ca="1"/>
        <v>211.14</v>
      </c>
      <c r="FN14" vm="3016">
        <f ca="1"/>
        <v>224.36</v>
      </c>
      <c r="FO14" vm="3017">
        <f ca="1"/>
        <v>222.82</v>
      </c>
      <c r="FP14" vm="3018">
        <f ca="1"/>
        <v>214.75</v>
      </c>
      <c r="FQ14" vm="3019">
        <f ca="1"/>
        <v>218.66</v>
      </c>
      <c r="FR14" vm="3020">
        <f ca="1"/>
        <v>205.1</v>
      </c>
      <c r="FS14" vm="3021">
        <f ca="1"/>
        <v>208.64</v>
      </c>
      <c r="FT14" vm="3022">
        <f ca="1"/>
        <v>208.19</v>
      </c>
      <c r="FU14" vm="3023">
        <f ca="1"/>
        <v>200.42</v>
      </c>
      <c r="FV14" vm="3024">
        <f ca="1"/>
        <v>204.87</v>
      </c>
      <c r="FW14" vm="3025">
        <f ca="1"/>
        <v>205.19</v>
      </c>
      <c r="FX14" vm="3026">
        <f ca="1"/>
        <v>212.45</v>
      </c>
      <c r="FY14" vm="3027">
        <f ca="1"/>
        <v>207.41</v>
      </c>
      <c r="FZ14" vm="3028">
        <f ca="1"/>
        <v>204.65</v>
      </c>
      <c r="GA14" vm="3029">
        <f ca="1"/>
        <v>210.69</v>
      </c>
      <c r="GB14" vm="3030">
        <f ca="1"/>
        <v>208.65</v>
      </c>
      <c r="GC14" vm="3031">
        <f ca="1"/>
        <v>200.04</v>
      </c>
      <c r="GD14" vm="3032">
        <f ca="1"/>
        <v>199</v>
      </c>
      <c r="GE14" vm="3033">
        <f ca="1"/>
        <v>195.74</v>
      </c>
      <c r="GF14" vm="3034">
        <f ca="1"/>
        <v>192.53</v>
      </c>
      <c r="GG14" vm="3035">
        <f ca="1"/>
        <v>194.97</v>
      </c>
      <c r="GH14" vm="3036">
        <f ca="1"/>
        <v>200.09</v>
      </c>
      <c r="GI14" vm="3037">
        <f ca="1"/>
        <v>197.58</v>
      </c>
      <c r="GJ14" vm="3038">
        <f ca="1"/>
        <v>194.83</v>
      </c>
      <c r="GK14" vm="3039">
        <f ca="1"/>
        <v>195.55</v>
      </c>
      <c r="GL14" vm="3040">
        <f ca="1"/>
        <v>196.93</v>
      </c>
      <c r="GM14" vm="3041">
        <f ca="1"/>
        <v>204.12</v>
      </c>
      <c r="GN14" vm="3042">
        <f ca="1"/>
        <v>202.78</v>
      </c>
      <c r="GO14" vm="3043">
        <f ca="1"/>
        <v>210.96</v>
      </c>
      <c r="GP14" vm="3044">
        <f ca="1"/>
        <v>203.53</v>
      </c>
      <c r="GQ14" vm="3045">
        <f ca="1"/>
        <v>211.8</v>
      </c>
      <c r="GR14" vm="3046">
        <f ca="1"/>
        <v>212.5</v>
      </c>
      <c r="GS14" vm="3047">
        <f ca="1"/>
        <v>207.4</v>
      </c>
      <c r="GT14" vm="3048">
        <f ca="1"/>
        <v>202.81</v>
      </c>
      <c r="GU14" vm="3049">
        <f ca="1"/>
        <v>203.28</v>
      </c>
      <c r="GV14" vm="3050">
        <f ca="1"/>
        <v>207.29</v>
      </c>
      <c r="GW14" vm="3051">
        <f ca="1"/>
        <v>212.06</v>
      </c>
      <c r="GX14" vm="885">
        <f ca="1"/>
        <v>208.76</v>
      </c>
      <c r="GY14" vm="3052">
        <f ca="1"/>
        <v>206.84</v>
      </c>
      <c r="GZ14" vm="2987">
        <f ca="1"/>
        <v>196.51</v>
      </c>
      <c r="HA14" vm="3053">
        <f ca="1"/>
        <v>197.01</v>
      </c>
      <c r="HB14" vm="3054">
        <f ca="1"/>
        <v>190.01</v>
      </c>
      <c r="HC14" vm="3055">
        <f ca="1"/>
        <v>195.04</v>
      </c>
      <c r="HD14" vm="3056">
        <f ca="1"/>
        <v>200.75</v>
      </c>
      <c r="HE14" vm="3057">
        <f ca="1"/>
        <v>206.64</v>
      </c>
      <c r="HF14" vm="3058">
        <f ca="1"/>
        <v>211.94</v>
      </c>
      <c r="HG14" vm="3059">
        <f ca="1"/>
        <v>219.22</v>
      </c>
      <c r="HH14" vm="3060">
        <f ca="1"/>
        <v>218.99</v>
      </c>
      <c r="HI14" vm="3061">
        <f ca="1"/>
        <v>223.96</v>
      </c>
      <c r="HJ14" vm="3062">
        <f ca="1"/>
        <v>217.55</v>
      </c>
      <c r="HK14" vm="403">
        <f ca="1"/>
        <v>217.5</v>
      </c>
      <c r="HL14" vm="3063">
        <f ca="1"/>
        <v>224.09</v>
      </c>
      <c r="HM14" vm="3064">
        <f ca="1"/>
        <v>225.3</v>
      </c>
      <c r="HN14" vm="3065">
        <f ca="1"/>
        <v>225.16</v>
      </c>
      <c r="HO14" vm="3066">
        <f ca="1"/>
        <v>225.01</v>
      </c>
      <c r="HP14" vm="3067">
        <f ca="1"/>
        <v>219.74</v>
      </c>
      <c r="HQ14" vm="3068">
        <f ca="1"/>
        <v>217.56</v>
      </c>
      <c r="HR14" vm="3069">
        <f ca="1"/>
        <v>216.85</v>
      </c>
      <c r="HS14" vm="3070">
        <f ca="1"/>
        <v>214.72</v>
      </c>
      <c r="HT14" vm="3071">
        <f ca="1"/>
        <v>208.48</v>
      </c>
      <c r="HU14" vm="3072">
        <f ca="1"/>
        <v>213.05</v>
      </c>
      <c r="HV14" vm="3073">
        <f ca="1"/>
        <v>209.66</v>
      </c>
      <c r="HW14" vm="3074">
        <f ca="1"/>
        <v>227.98</v>
      </c>
      <c r="HX14" vm="3062">
        <f ca="1"/>
        <v>217.55</v>
      </c>
      <c r="HY14" vm="3005">
        <f ca="1"/>
        <v>220.78</v>
      </c>
      <c r="HZ14" vm="3075">
        <f ca="1"/>
        <v>217.44</v>
      </c>
      <c r="IA14" vm="3076">
        <f ca="1"/>
        <v>224.41</v>
      </c>
      <c r="IB14" vm="3077">
        <f ca="1"/>
        <v>228.45</v>
      </c>
      <c r="IC14" vm="3078">
        <f ca="1"/>
        <v>230.36</v>
      </c>
      <c r="ID14" vm="3079">
        <f ca="1"/>
        <v>225.73</v>
      </c>
      <c r="IE14" vm="3080">
        <f ca="1"/>
        <v>223.67</v>
      </c>
      <c r="IF14" vm="3081">
        <f ca="1"/>
        <v>218.36</v>
      </c>
      <c r="IG14" vm="3082">
        <f ca="1"/>
        <v>218.29</v>
      </c>
      <c r="IH14" vm="3043">
        <f ca="1"/>
        <v>210.96</v>
      </c>
      <c r="II14" vm="1732">
        <f ca="1"/>
        <v>212.17</v>
      </c>
      <c r="IJ14" vm="3083">
        <f ca="1"/>
        <v>213.9</v>
      </c>
      <c r="IK14" vm="3084">
        <f ca="1"/>
        <v>219.34</v>
      </c>
      <c r="IL14" vm="3085">
        <f ca="1"/>
        <v>222.27</v>
      </c>
      <c r="IM14" vm="3086">
        <f ca="1"/>
        <v>227.38</v>
      </c>
      <c r="IN14" vm="3087">
        <f ca="1"/>
        <v>228.87</v>
      </c>
      <c r="IO14" vm="3088">
        <f ca="1"/>
        <v>225.51</v>
      </c>
      <c r="IP14" vm="3089">
        <f ca="1"/>
        <v>224.58</v>
      </c>
      <c r="IQ14" vm="3090">
        <f ca="1"/>
        <v>225.07</v>
      </c>
      <c r="IR14" vm="3091">
        <f ca="1"/>
        <v>228.86</v>
      </c>
    </row>
    <row r="15" spans="1:252" x14ac:dyDescent="0.35">
      <c r="A15" t="e" vm="13">
        <f>Dashboard!B19</f>
        <v>#VALUE!</v>
      </c>
      <c r="B15" t="e" cm="1" vm="3092">
        <f t="array" aca="1" ref="B15" ca="1">TRANSPOSE(_xlfn.STOCKHISTORY(A15,TODAY()-365,TODAY(),0,0,1))</f>
        <v>#VALUE!</v>
      </c>
      <c r="AT15" s="1">
        <v>132.19999999999999</v>
      </c>
    </row>
    <row r="16" spans="1:252" x14ac:dyDescent="0.35">
      <c r="A16" t="e" vm="14">
        <f>Dashboard!B20</f>
        <v>#VALUE!</v>
      </c>
      <c r="B16" cm="1" vm="3093">
        <f t="array" aca="1" ref="B16:IR16" ca="1">TRANSPOSE(_xlfn.STOCKHISTORY(A16,TODAY()-365,TODAY(),0,0,1))</f>
        <v>217.08</v>
      </c>
      <c r="C16" vm="3094">
        <f ca="1"/>
        <v>215.83</v>
      </c>
      <c r="D16" vm="883">
        <f ca="1"/>
        <v>215.2</v>
      </c>
      <c r="E16" vm="3095">
        <f ca="1"/>
        <v>217.43</v>
      </c>
      <c r="F16" vm="3096">
        <f ca="1"/>
        <v>216.3</v>
      </c>
      <c r="G16" vm="3097">
        <f ca="1"/>
        <v>219.73</v>
      </c>
      <c r="H16" vm="3098">
        <f ca="1"/>
        <v>221.82</v>
      </c>
      <c r="I16" vm="3008">
        <f ca="1"/>
        <v>225.32</v>
      </c>
      <c r="J16" vm="367">
        <f ca="1"/>
        <v>216</v>
      </c>
      <c r="K16" vm="3099">
        <f ca="1"/>
        <v>210.73</v>
      </c>
      <c r="L16" vm="3100">
        <f ca="1"/>
        <v>215.56</v>
      </c>
      <c r="M16" vm="3101">
        <f ca="1"/>
        <v>214.3</v>
      </c>
      <c r="N16" vm="3102">
        <f ca="1"/>
        <v>214</v>
      </c>
      <c r="O16" vm="3103">
        <f ca="1"/>
        <v>211.89</v>
      </c>
      <c r="P16" vm="3104">
        <f ca="1"/>
        <v>212.94</v>
      </c>
      <c r="Q16" vm="874">
        <f ca="1"/>
        <v>216.82</v>
      </c>
      <c r="R16" vm="3105">
        <f ca="1"/>
        <v>217.26</v>
      </c>
      <c r="S16" vm="3106">
        <f ca="1"/>
        <v>216.59</v>
      </c>
      <c r="T16" vm="1733">
        <f ca="1"/>
        <v>217.77</v>
      </c>
      <c r="U16" vm="3107">
        <f ca="1"/>
        <v>221.35</v>
      </c>
      <c r="V16" vm="3108">
        <f ca="1"/>
        <v>223</v>
      </c>
      <c r="W16" vm="3109">
        <f ca="1"/>
        <v>223.33</v>
      </c>
      <c r="X16" vm="369">
        <f ca="1"/>
        <v>213.58</v>
      </c>
      <c r="Y16" vm="3110">
        <f ca="1"/>
        <v>200.08</v>
      </c>
      <c r="Z16" vm="3111">
        <f ca="1"/>
        <v>201.02</v>
      </c>
      <c r="AA16" vm="3112">
        <f ca="1"/>
        <v>204.55</v>
      </c>
      <c r="AB16" vm="3113">
        <f ca="1"/>
        <v>198.05</v>
      </c>
      <c r="AC16" vm="3114">
        <f ca="1"/>
        <v>197.62</v>
      </c>
      <c r="AD16" vm="3001">
        <f ca="1"/>
        <v>196.5</v>
      </c>
      <c r="AE16" vm="3115">
        <f ca="1"/>
        <v>194.61</v>
      </c>
      <c r="AF16" vm="3116">
        <f ca="1"/>
        <v>194.81</v>
      </c>
      <c r="AG16" vm="2889">
        <f ca="1"/>
        <v>195.21</v>
      </c>
      <c r="AH16" vm="3117">
        <f ca="1"/>
        <v>195.5</v>
      </c>
      <c r="AI16" vm="3118">
        <f ca="1"/>
        <v>194.58</v>
      </c>
      <c r="AJ16" vm="3119">
        <f ca="1"/>
        <v>194.52</v>
      </c>
      <c r="AK16" vm="3120">
        <f ca="1"/>
        <v>191.81</v>
      </c>
      <c r="AL16" vm="3121">
        <f ca="1"/>
        <v>189.63</v>
      </c>
      <c r="AM16" vm="3122">
        <f ca="1"/>
        <v>185.7</v>
      </c>
      <c r="AN16" vm="3123">
        <f ca="1"/>
        <v>179.38</v>
      </c>
      <c r="AO16" vm="3124">
        <f ca="1"/>
        <v>179.7</v>
      </c>
      <c r="AP16" vm="3125">
        <f ca="1"/>
        <v>179.12</v>
      </c>
      <c r="AQ16" vm="3126">
        <f ca="1"/>
        <v>182.44</v>
      </c>
      <c r="AR16" vm="3127">
        <f ca="1"/>
        <v>186.92</v>
      </c>
      <c r="AS16" vm="3128">
        <f ca="1"/>
        <v>189</v>
      </c>
      <c r="AT16" vm="3129">
        <f ca="1"/>
        <v>186.46</v>
      </c>
      <c r="AU16" vm="3130">
        <f ca="1"/>
        <v>205.38</v>
      </c>
      <c r="AV16" vm="3131">
        <f ca="1"/>
        <v>202.54</v>
      </c>
      <c r="AW16" vm="3132">
        <f ca="1"/>
        <v>201.87</v>
      </c>
      <c r="AX16" vm="3133">
        <f ca="1"/>
        <v>201.89</v>
      </c>
      <c r="AY16" vm="3134">
        <f ca="1"/>
        <v>206.27</v>
      </c>
      <c r="AZ16" vm="3135">
        <f ca="1"/>
        <v>200.37</v>
      </c>
      <c r="BA16" vm="3136">
        <f ca="1"/>
        <v>198.72</v>
      </c>
      <c r="BB16" vm="3137">
        <f ca="1"/>
        <v>200.71</v>
      </c>
      <c r="BC16" vm="3138">
        <f ca="1"/>
        <v>204.38</v>
      </c>
      <c r="BD16" vm="3139">
        <f ca="1"/>
        <v>205.5</v>
      </c>
      <c r="BE16" vm="3140">
        <f ca="1"/>
        <v>206.71</v>
      </c>
      <c r="BF16" vm="3141">
        <f ca="1"/>
        <v>206.33</v>
      </c>
      <c r="BG16" vm="892">
        <f ca="1"/>
        <v>208.27</v>
      </c>
      <c r="BH16" vm="3142">
        <f ca="1"/>
        <v>214.08</v>
      </c>
      <c r="BI16" vm="3143">
        <f ca="1"/>
        <v>216.84</v>
      </c>
      <c r="BJ16" vm="3069">
        <f ca="1"/>
        <v>216.85</v>
      </c>
      <c r="BK16" vm="3144">
        <f ca="1"/>
        <v>218.16</v>
      </c>
      <c r="BL16" vm="3145">
        <f ca="1"/>
        <v>216.44</v>
      </c>
      <c r="BM16" vm="3146">
        <f ca="1"/>
        <v>217.25</v>
      </c>
      <c r="BN16" vm="3147">
        <f ca="1"/>
        <v>218.5</v>
      </c>
      <c r="BO16" vm="3148">
        <f ca="1"/>
        <v>217.12</v>
      </c>
      <c r="BP16" vm="3149">
        <f ca="1"/>
        <v>227.77</v>
      </c>
      <c r="BQ16" vm="3150">
        <f ca="1"/>
        <v>228.13</v>
      </c>
      <c r="BR16" vm="3151">
        <f ca="1"/>
        <v>229.84</v>
      </c>
      <c r="BS16" vm="3152">
        <f ca="1"/>
        <v>228.12</v>
      </c>
      <c r="BT16" vm="3086">
        <f ca="1"/>
        <v>227.38</v>
      </c>
      <c r="BU16" vm="3153">
        <f ca="1"/>
        <v>234.53</v>
      </c>
      <c r="BV16" vm="3154">
        <f ca="1"/>
        <v>239.81</v>
      </c>
      <c r="BW16" vm="3155">
        <f ca="1"/>
        <v>244.55</v>
      </c>
      <c r="BX16" vm="3156">
        <f ca="1"/>
        <v>242.61</v>
      </c>
      <c r="BY16" vm="3157">
        <f ca="1"/>
        <v>247.74</v>
      </c>
      <c r="BZ16" vm="3158">
        <f ca="1"/>
        <v>247.68</v>
      </c>
      <c r="CA16" vm="3159">
        <f ca="1"/>
        <v>249</v>
      </c>
      <c r="CB16" vm="3160">
        <f ca="1"/>
        <v>250.07</v>
      </c>
      <c r="CC16" vm="3161">
        <f ca="1"/>
        <v>251.41</v>
      </c>
      <c r="CD16" vm="3162">
        <f ca="1"/>
        <v>252.15</v>
      </c>
      <c r="CE16" vm="3163">
        <f ca="1"/>
        <v>248.43</v>
      </c>
      <c r="CF16" vm="3164">
        <f ca="1"/>
        <v>244.56</v>
      </c>
      <c r="CG16" vm="3165">
        <f ca="1"/>
        <v>241.59</v>
      </c>
      <c r="CH16" vm="3166">
        <f ca="1"/>
        <v>234.04</v>
      </c>
      <c r="CI16" vm="3167">
        <f ca="1"/>
        <v>233.72</v>
      </c>
      <c r="CJ16" vm="3168">
        <f ca="1"/>
        <v>233.02</v>
      </c>
      <c r="CK16" vm="3169">
        <f ca="1"/>
        <v>233.15</v>
      </c>
      <c r="CL16" vm="3170">
        <f ca="1"/>
        <v>235.95</v>
      </c>
      <c r="CM16" vm="3171">
        <f ca="1"/>
        <v>236.95</v>
      </c>
      <c r="CN16" vm="3172">
        <f ca="1"/>
        <v>243.03</v>
      </c>
      <c r="CO16" vm="3173">
        <f ca="1"/>
        <v>244.71</v>
      </c>
      <c r="CP16" vm="3174">
        <f ca="1"/>
        <v>242.59</v>
      </c>
      <c r="CQ16" vm="3175">
        <f ca="1"/>
        <v>236.26</v>
      </c>
      <c r="CR16" vm="3176">
        <f ca="1"/>
        <v>239.35</v>
      </c>
      <c r="CS16" vm="855">
        <f ca="1"/>
        <v>242.96</v>
      </c>
      <c r="CT16" vm="3177">
        <f ca="1"/>
        <v>244.04</v>
      </c>
      <c r="CU16" vm="3178">
        <f ca="1"/>
        <v>238.93</v>
      </c>
      <c r="CV16" vm="3179">
        <f ca="1"/>
        <v>233.71</v>
      </c>
      <c r="CW16" vm="3180">
        <f ca="1"/>
        <v>232.03</v>
      </c>
      <c r="CX16" vm="3181">
        <f ca="1"/>
        <v>230.44</v>
      </c>
      <c r="CY16" vm="3182">
        <f ca="1"/>
        <v>233.39</v>
      </c>
      <c r="CZ16" vm="3078">
        <f ca="1"/>
        <v>230.36</v>
      </c>
      <c r="DA16" vm="3183">
        <f ca="1"/>
        <v>229.41</v>
      </c>
      <c r="DB16" vm="3184">
        <f ca="1"/>
        <v>227.53</v>
      </c>
      <c r="DC16" vm="3185">
        <f ca="1"/>
        <v>229.74</v>
      </c>
      <c r="DD16" vm="3186">
        <f ca="1"/>
        <v>224.12</v>
      </c>
      <c r="DE16" vm="3187">
        <f ca="1"/>
        <v>227.31</v>
      </c>
      <c r="DF16" vm="3188">
        <f ca="1"/>
        <v>222.06</v>
      </c>
      <c r="DG16" vm="3189">
        <f ca="1"/>
        <v>231.11</v>
      </c>
      <c r="DH16" vm="3190">
        <f ca="1"/>
        <v>225</v>
      </c>
      <c r="DI16" vm="3191">
        <f ca="1"/>
        <v>217.76</v>
      </c>
      <c r="DJ16" vm="3192">
        <f ca="1"/>
        <v>214.1</v>
      </c>
      <c r="DK16" vm="3193">
        <f ca="1"/>
        <v>204.76</v>
      </c>
      <c r="DL16" vm="3194">
        <f ca="1"/>
        <v>209.89</v>
      </c>
      <c r="DM16" vm="3195">
        <f ca="1"/>
        <v>213.47</v>
      </c>
      <c r="DN16" vm="3196">
        <f ca="1"/>
        <v>210.82</v>
      </c>
      <c r="DO16" vm="3197">
        <f ca="1"/>
        <v>205.99</v>
      </c>
      <c r="DP16" vm="3198">
        <f ca="1"/>
        <v>201.18</v>
      </c>
      <c r="DQ16" vm="3199">
        <f ca="1"/>
        <v>195.12</v>
      </c>
      <c r="DR16" vm="3200">
        <f ca="1"/>
        <v>198.41</v>
      </c>
      <c r="DS16" vm="3201">
        <f ca="1"/>
        <v>196.42</v>
      </c>
      <c r="DT16" vm="3202">
        <f ca="1"/>
        <v>199.61</v>
      </c>
      <c r="DU16" vm="3203">
        <f ca="1"/>
        <v>194.36</v>
      </c>
      <c r="DV16" vm="3204">
        <f ca="1"/>
        <v>190.52</v>
      </c>
      <c r="DW16" vm="2921">
        <f ca="1"/>
        <v>189.21</v>
      </c>
      <c r="DX16" vm="3205">
        <f ca="1"/>
        <v>199.03</v>
      </c>
      <c r="DY16" vm="371">
        <f ca="1"/>
        <v>207.32</v>
      </c>
      <c r="DZ16" vm="3206">
        <f ca="1"/>
        <v>208.22</v>
      </c>
      <c r="EA16" vm="3207">
        <f ca="1"/>
        <v>212.3</v>
      </c>
      <c r="EB16" vm="871">
        <f ca="1"/>
        <v>210</v>
      </c>
      <c r="EC16" vm="3208">
        <f ca="1"/>
        <v>217.8</v>
      </c>
      <c r="ED16" vm="3209">
        <f ca="1"/>
        <v>220.06</v>
      </c>
      <c r="EE16" vm="3210">
        <f ca="1"/>
        <v>217.63</v>
      </c>
      <c r="EF16" vm="3211">
        <f ca="1"/>
        <v>222.14</v>
      </c>
      <c r="EG16" vm="3212">
        <f ca="1"/>
        <v>223.77</v>
      </c>
      <c r="EH16" vm="3213">
        <f ca="1"/>
        <v>223.93</v>
      </c>
      <c r="EI16" vm="3214">
        <f ca="1"/>
        <v>218.88</v>
      </c>
      <c r="EJ16" vm="3215">
        <f ca="1"/>
        <v>223.38</v>
      </c>
      <c r="EK16" vm="3216">
        <f ca="1"/>
        <v>225.08</v>
      </c>
      <c r="EL16" vm="3217">
        <f ca="1"/>
        <v>219.16</v>
      </c>
      <c r="EM16" vm="3218">
        <f ca="1"/>
        <v>231.28</v>
      </c>
      <c r="EN16" vm="3219">
        <f ca="1"/>
        <v>234.15</v>
      </c>
      <c r="EO16" vm="3220">
        <f ca="1"/>
        <v>232.44</v>
      </c>
      <c r="EP16" vm="3221">
        <f ca="1"/>
        <v>231.33</v>
      </c>
      <c r="EQ16" vm="3222">
        <f ca="1"/>
        <v>230.72</v>
      </c>
      <c r="ER16" vm="3223">
        <f ca="1"/>
        <v>224.11</v>
      </c>
      <c r="ES16" vm="3224">
        <f ca="1"/>
        <v>229.03</v>
      </c>
      <c r="ET16" vm="3086">
        <f ca="1"/>
        <v>227.38</v>
      </c>
      <c r="EU16" vm="3225">
        <f ca="1"/>
        <v>221.3</v>
      </c>
      <c r="EV16" vm="3226">
        <f ca="1"/>
        <v>224.38</v>
      </c>
      <c r="EW16" vm="3227">
        <f ca="1"/>
        <v>229.93</v>
      </c>
      <c r="EX16" vm="3228">
        <f ca="1"/>
        <v>231.03</v>
      </c>
      <c r="EY16" vm="3229">
        <f ca="1"/>
        <v>237.36</v>
      </c>
      <c r="EZ16" vm="3230">
        <f ca="1"/>
        <v>238.21</v>
      </c>
      <c r="FA16" vm="3231">
        <f ca="1"/>
        <v>236.87</v>
      </c>
      <c r="FB16" vm="3232">
        <f ca="1"/>
        <v>240.6</v>
      </c>
      <c r="FC16" vm="3233">
        <f ca="1"/>
        <v>229.21</v>
      </c>
      <c r="FD16" vm="3234">
        <f ca="1"/>
        <v>220.49</v>
      </c>
      <c r="FE16" vm="3010">
        <f ca="1"/>
        <v>220.61</v>
      </c>
      <c r="FF16" vm="3235">
        <f ca="1"/>
        <v>215.01</v>
      </c>
      <c r="FG16" vm="3236">
        <f ca="1"/>
        <v>222.2</v>
      </c>
      <c r="FH16" vm="3237">
        <f ca="1"/>
        <v>219.61</v>
      </c>
      <c r="FI16" vm="3238">
        <f ca="1"/>
        <v>219.02</v>
      </c>
      <c r="FJ16" vm="3239">
        <f ca="1"/>
        <v>218.9</v>
      </c>
      <c r="FK16" vm="3240">
        <f ca="1"/>
        <v>224.3</v>
      </c>
      <c r="FL16" vm="3241">
        <f ca="1"/>
        <v>228.78</v>
      </c>
      <c r="FM16" vm="3242">
        <f ca="1"/>
        <v>231.15</v>
      </c>
      <c r="FN16" vm="3240">
        <f ca="1"/>
        <v>224.3</v>
      </c>
      <c r="FO16" vm="3243">
        <f ca="1"/>
        <v>217.7</v>
      </c>
      <c r="FP16" vm="3244">
        <f ca="1"/>
        <v>210.58</v>
      </c>
      <c r="FQ16" vm="3245">
        <f ca="1"/>
        <v>217.42</v>
      </c>
      <c r="FR16" vm="3246">
        <f ca="1"/>
        <v>215.45</v>
      </c>
      <c r="FS16" vm="3247">
        <f ca="1"/>
        <v>215.92</v>
      </c>
      <c r="FT16" vm="3248">
        <f ca="1"/>
        <v>214.51</v>
      </c>
      <c r="FU16" vm="3249">
        <f ca="1"/>
        <v>209</v>
      </c>
      <c r="FV16" vm="3250">
        <f ca="1"/>
        <v>221.63</v>
      </c>
      <c r="FW16" vm="3251">
        <f ca="1"/>
        <v>219.05</v>
      </c>
      <c r="FX16" vm="3252">
        <f ca="1"/>
        <v>228.95</v>
      </c>
      <c r="FY16" vm="3253">
        <f ca="1"/>
        <v>227.49</v>
      </c>
      <c r="FZ16" vm="3254">
        <f ca="1"/>
        <v>225.63</v>
      </c>
      <c r="GA16" vm="3255">
        <f ca="1"/>
        <v>222.72</v>
      </c>
      <c r="GB16" vm="3256">
        <f ca="1"/>
        <v>220.83</v>
      </c>
      <c r="GC16" vm="3257">
        <f ca="1"/>
        <v>216.71</v>
      </c>
      <c r="GD16" vm="3258">
        <f ca="1"/>
        <v>220.25</v>
      </c>
      <c r="GE16" vm="3259">
        <f ca="1"/>
        <v>218.12</v>
      </c>
      <c r="GF16" vm="3146">
        <f ca="1"/>
        <v>217.25</v>
      </c>
      <c r="GG16" vm="3260">
        <f ca="1"/>
        <v>214.69</v>
      </c>
      <c r="GH16" vm="3261">
        <f ca="1"/>
        <v>216.47</v>
      </c>
      <c r="GI16" vm="3262">
        <f ca="1"/>
        <v>218.58</v>
      </c>
      <c r="GJ16" vm="3263">
        <f ca="1"/>
        <v>226.49</v>
      </c>
      <c r="GK16" vm="3264">
        <f ca="1"/>
        <v>234.54</v>
      </c>
      <c r="GL16" vm="3265">
        <f ca="1"/>
        <v>231.68</v>
      </c>
      <c r="GM16" vm="3266">
        <f ca="1"/>
        <v>224.95</v>
      </c>
      <c r="GN16" vm="3267">
        <f ca="1"/>
        <v>223.11</v>
      </c>
      <c r="GO16" vm="3268">
        <f ca="1"/>
        <v>222.28</v>
      </c>
      <c r="GP16" vm="3269">
        <f ca="1"/>
        <v>215.51</v>
      </c>
      <c r="GQ16" vm="3270">
        <f ca="1"/>
        <v>217.11</v>
      </c>
      <c r="GR16" vm="3259">
        <f ca="1"/>
        <v>218.12</v>
      </c>
      <c r="GS16" vm="3271">
        <f ca="1"/>
        <v>214.34</v>
      </c>
      <c r="GT16" vm="3272">
        <f ca="1"/>
        <v>214.03</v>
      </c>
      <c r="GU16" vm="3273">
        <f ca="1"/>
        <v>209.48</v>
      </c>
      <c r="GV16" vm="3274">
        <f ca="1"/>
        <v>204.8</v>
      </c>
      <c r="GW16" vm="3030">
        <f ca="1"/>
        <v>208.65</v>
      </c>
      <c r="GX16" vm="3275">
        <f ca="1"/>
        <v>209.23</v>
      </c>
      <c r="GY16" vm="3276">
        <f ca="1"/>
        <v>209.52</v>
      </c>
      <c r="GZ16" vm="3003">
        <f ca="1"/>
        <v>211.5</v>
      </c>
      <c r="HA16" vm="3277">
        <f ca="1"/>
        <v>221.56</v>
      </c>
      <c r="HB16" vm="3278">
        <f ca="1"/>
        <v>214.01</v>
      </c>
      <c r="HC16" vm="776">
        <f ca="1"/>
        <v>220.9</v>
      </c>
      <c r="HD16" vm="3279">
        <f ca="1"/>
        <v>216.14</v>
      </c>
      <c r="HE16" vm="3280">
        <f ca="1"/>
        <v>233.49</v>
      </c>
      <c r="HF16" vm="3281">
        <f ca="1"/>
        <v>237.16</v>
      </c>
      <c r="HG16" vm="3282">
        <f ca="1"/>
        <v>240.19</v>
      </c>
      <c r="HH16" vm="3283">
        <f ca="1"/>
        <v>232.19</v>
      </c>
      <c r="HI16" vm="816">
        <f ca="1"/>
        <v>234.42</v>
      </c>
      <c r="HJ16" vm="947">
        <f ca="1"/>
        <v>232.79</v>
      </c>
      <c r="HK16" vm="3284">
        <f ca="1"/>
        <v>233.24</v>
      </c>
      <c r="HL16" vm="3285">
        <f ca="1"/>
        <v>231.2</v>
      </c>
      <c r="HM16" vm="3286">
        <f ca="1"/>
        <v>230.33</v>
      </c>
      <c r="HN16" vm="3287">
        <f ca="1"/>
        <v>231.67</v>
      </c>
      <c r="HO16" vm="3288">
        <f ca="1"/>
        <v>225.95</v>
      </c>
      <c r="HP16" vm="3289">
        <f ca="1"/>
        <v>223.06</v>
      </c>
      <c r="HQ16" vm="3236">
        <f ca="1"/>
        <v>222.2</v>
      </c>
      <c r="HR16" vm="3290">
        <f ca="1"/>
        <v>215.1</v>
      </c>
      <c r="HS16" vm="3291">
        <f ca="1"/>
        <v>214.2</v>
      </c>
      <c r="HT16" vm="3292">
        <f ca="1"/>
        <v>210.46</v>
      </c>
      <c r="HU16" vm="3293">
        <f ca="1"/>
        <v>211.08</v>
      </c>
      <c r="HV16" vm="3294">
        <f ca="1"/>
        <v>212.09</v>
      </c>
      <c r="HW16" vm="3194">
        <f ca="1"/>
        <v>209.89</v>
      </c>
      <c r="HX16" vm="3295">
        <f ca="1"/>
        <v>209.82</v>
      </c>
      <c r="HY16" vm="3296">
        <f ca="1"/>
        <v>207.78</v>
      </c>
      <c r="HZ16" vm="3297">
        <f ca="1"/>
        <v>205.66</v>
      </c>
      <c r="IA16" vm="3298">
        <f ca="1"/>
        <v>208.87</v>
      </c>
      <c r="IB16" vm="3299">
        <f ca="1"/>
        <v>210.51</v>
      </c>
      <c r="IC16" vm="3300">
        <f ca="1"/>
        <v>212.25</v>
      </c>
      <c r="ID16" vm="3099">
        <f ca="1"/>
        <v>210.73</v>
      </c>
      <c r="IE16" vm="3301">
        <f ca="1"/>
        <v>206.42</v>
      </c>
      <c r="IF16" vm="3274">
        <f ca="1"/>
        <v>204.8</v>
      </c>
      <c r="IG16" vm="3302">
        <f ca="1"/>
        <v>210.45</v>
      </c>
      <c r="IH16" vm="3303">
        <f ca="1"/>
        <v>210.27</v>
      </c>
      <c r="II16" vm="3304">
        <f ca="1"/>
        <v>209.69</v>
      </c>
      <c r="IJ16" vm="3305">
        <f ca="1"/>
        <v>201.96</v>
      </c>
      <c r="IK16" vm="3306">
        <f ca="1"/>
        <v>197</v>
      </c>
      <c r="IL16" vm="3307">
        <f ca="1"/>
        <v>198.2</v>
      </c>
      <c r="IM16" vm="864">
        <f ca="1"/>
        <v>201.15</v>
      </c>
      <c r="IN16" vm="3308">
        <f ca="1"/>
        <v>197.72</v>
      </c>
      <c r="IO16" vm="3309">
        <f ca="1"/>
        <v>199.93</v>
      </c>
      <c r="IP16" vm="3310">
        <f ca="1"/>
        <v>196.8</v>
      </c>
      <c r="IQ16" vm="3311">
        <f ca="1"/>
        <v>198.07</v>
      </c>
      <c r="IR16" vm="3312">
        <f ca="1"/>
        <v>184.39</v>
      </c>
    </row>
    <row r="17" spans="1:252" x14ac:dyDescent="0.35">
      <c r="A17" t="e" vm="15">
        <f>Dashboard!B21</f>
        <v>#VALUE!</v>
      </c>
      <c r="B17" cm="1" vm="3313">
        <f t="array" aca="1" ref="B17:IR17" ca="1">TRANSPOSE(_xlfn.STOCKHISTORY(A17,TODAY()-365,TODAY(),0,0,1))</f>
        <v>196.44</v>
      </c>
      <c r="C17" vm="3314">
        <f ca="1"/>
        <v>191.09</v>
      </c>
      <c r="D17" vm="3315">
        <f ca="1"/>
        <v>191.83</v>
      </c>
      <c r="E17" vm="3204">
        <f ca="1"/>
        <v>190.52</v>
      </c>
      <c r="F17" vm="3316">
        <f ca="1"/>
        <v>194.59</v>
      </c>
      <c r="G17" vm="3317">
        <f ca="1"/>
        <v>199.18</v>
      </c>
      <c r="H17" vm="1720">
        <f ca="1"/>
        <v>199.89</v>
      </c>
      <c r="I17" vm="3318">
        <f ca="1"/>
        <v>198.21</v>
      </c>
      <c r="J17" vm="3319">
        <f ca="1"/>
        <v>192.33</v>
      </c>
      <c r="K17" vm="3320">
        <f ca="1"/>
        <v>185.22</v>
      </c>
      <c r="L17" vm="3321">
        <f ca="1"/>
        <v>187.88</v>
      </c>
      <c r="M17" vm="3322">
        <f ca="1"/>
        <v>191.74</v>
      </c>
      <c r="N17" vm="3323">
        <f ca="1"/>
        <v>194.33</v>
      </c>
      <c r="O17" vm="3324">
        <f ca="1"/>
        <v>195.41</v>
      </c>
      <c r="P17" vm="3325">
        <f ca="1"/>
        <v>197.83</v>
      </c>
      <c r="Q17" vm="3326">
        <f ca="1"/>
        <v>200.11</v>
      </c>
      <c r="R17" vm="3327">
        <f ca="1"/>
        <v>201.95</v>
      </c>
      <c r="S17" vm="3328">
        <f ca="1"/>
        <v>203.51</v>
      </c>
      <c r="T17" vm="3329">
        <f ca="1"/>
        <v>204.06</v>
      </c>
      <c r="U17" vm="396">
        <f ca="1"/>
        <v>205.37</v>
      </c>
      <c r="V17" vm="3330">
        <f ca="1"/>
        <v>209.22</v>
      </c>
      <c r="W17" vm="3331">
        <f ca="1"/>
        <v>211.24</v>
      </c>
      <c r="X17" vm="3332">
        <f ca="1"/>
        <v>207.09</v>
      </c>
      <c r="Y17" vm="3333">
        <f ca="1"/>
        <v>207.21</v>
      </c>
      <c r="Z17" vm="3334">
        <f ca="1"/>
        <v>204.19</v>
      </c>
      <c r="AA17" vm="3335">
        <f ca="1"/>
        <v>205.72</v>
      </c>
      <c r="AB17" vm="3336">
        <f ca="1"/>
        <v>203.89</v>
      </c>
      <c r="AC17" vm="3337">
        <f ca="1"/>
        <v>199.15</v>
      </c>
      <c r="AD17" vm="3338">
        <f ca="1"/>
        <v>202.94</v>
      </c>
      <c r="AE17" vm="3339">
        <f ca="1"/>
        <v>201.98</v>
      </c>
      <c r="AF17" vm="3340">
        <f ca="1"/>
        <v>203.94</v>
      </c>
      <c r="AG17" vm="3197">
        <f ca="1"/>
        <v>205.99</v>
      </c>
      <c r="AH17" vm="3050">
        <f ca="1"/>
        <v>207.29</v>
      </c>
      <c r="AI17" vm="3341">
        <f ca="1"/>
        <v>203.26</v>
      </c>
      <c r="AJ17" vm="861">
        <f ca="1"/>
        <v>204.08</v>
      </c>
      <c r="AK17" vm="3032">
        <f ca="1"/>
        <v>199</v>
      </c>
      <c r="AL17" vm="3342">
        <f ca="1"/>
        <v>195.96</v>
      </c>
      <c r="AM17" vm="3343">
        <f ca="1"/>
        <v>196.78</v>
      </c>
      <c r="AN17" vm="3344">
        <f ca="1"/>
        <v>191.25</v>
      </c>
      <c r="AO17" vm="3114">
        <f ca="1"/>
        <v>197.62</v>
      </c>
      <c r="AP17" vm="3345">
        <f ca="1"/>
        <v>199.06</v>
      </c>
      <c r="AQ17" vm="3346">
        <f ca="1"/>
        <v>200.26</v>
      </c>
      <c r="AR17" vm="3347">
        <f ca="1"/>
        <v>202.44</v>
      </c>
      <c r="AS17" vm="3132">
        <f ca="1"/>
        <v>201.87</v>
      </c>
      <c r="AT17" vm="3348">
        <f ca="1"/>
        <v>199.22</v>
      </c>
      <c r="AU17" vm="3349">
        <f ca="1"/>
        <v>196.99</v>
      </c>
      <c r="AV17" vm="3350">
        <f ca="1"/>
        <v>195.44</v>
      </c>
      <c r="AW17" vm="3351">
        <f ca="1"/>
        <v>198.27</v>
      </c>
      <c r="AX17" vm="3352">
        <f ca="1"/>
        <v>196.56</v>
      </c>
      <c r="AY17" vm="2889">
        <f ca="1"/>
        <v>195.21</v>
      </c>
      <c r="AZ17" vm="3353">
        <f ca="1"/>
        <v>196.34</v>
      </c>
      <c r="BA17" vm="3354">
        <f ca="1"/>
        <v>200.78</v>
      </c>
      <c r="BB17" vm="3355">
        <f ca="1"/>
        <v>203.56</v>
      </c>
      <c r="BC17" vm="3356">
        <f ca="1"/>
        <v>208.12</v>
      </c>
      <c r="BD17" vm="3357">
        <f ca="1"/>
        <v>214.81</v>
      </c>
      <c r="BE17" vm="3358">
        <f ca="1"/>
        <v>214.42</v>
      </c>
      <c r="BF17" vm="319">
        <f ca="1"/>
        <v>214.24</v>
      </c>
      <c r="BG17" vm="3359">
        <f ca="1"/>
        <v>216.08</v>
      </c>
      <c r="BH17" vm="3360">
        <f ca="1"/>
        <v>219.38</v>
      </c>
      <c r="BI17" vm="775">
        <f ca="1"/>
        <v>219.51</v>
      </c>
      <c r="BJ17" vm="3361">
        <f ca="1"/>
        <v>219.24</v>
      </c>
      <c r="BK17" vm="3362">
        <f ca="1"/>
        <v>216.73</v>
      </c>
      <c r="BL17" vm="3363">
        <f ca="1"/>
        <v>216.62</v>
      </c>
      <c r="BM17" vm="3145">
        <f ca="1"/>
        <v>216.44</v>
      </c>
      <c r="BN17" vm="3364">
        <f ca="1"/>
        <v>214.85</v>
      </c>
      <c r="BO17" vm="1731">
        <f ca="1"/>
        <v>214.06</v>
      </c>
      <c r="BP17" vm="3365">
        <f ca="1"/>
        <v>217.87</v>
      </c>
      <c r="BQ17" vm="3366">
        <f ca="1"/>
        <v>218.86</v>
      </c>
      <c r="BR17" vm="3367">
        <f ca="1"/>
        <v>215.27</v>
      </c>
      <c r="BS17" vm="3368">
        <f ca="1"/>
        <v>213.33</v>
      </c>
      <c r="BT17" vm="3369">
        <f ca="1"/>
        <v>214.73</v>
      </c>
      <c r="BU17" vm="3370">
        <f ca="1"/>
        <v>221.52</v>
      </c>
      <c r="BV17" vm="3371">
        <f ca="1"/>
        <v>222.59</v>
      </c>
      <c r="BW17" vm="3224">
        <f ca="1"/>
        <v>229.03</v>
      </c>
      <c r="BX17" vm="3372">
        <f ca="1"/>
        <v>227.3</v>
      </c>
      <c r="BY17" vm="3373">
        <f ca="1"/>
        <v>232.33</v>
      </c>
      <c r="BZ17" vm="3374">
        <f ca="1"/>
        <v>231.42</v>
      </c>
      <c r="CA17" vm="3375">
        <f ca="1"/>
        <v>220.47</v>
      </c>
      <c r="CB17" vm="779">
        <f ca="1"/>
        <v>227.74</v>
      </c>
      <c r="CC17" vm="3376">
        <f ca="1"/>
        <v>227.04</v>
      </c>
      <c r="CD17" vm="811">
        <f ca="1"/>
        <v>226.28</v>
      </c>
      <c r="CE17" vm="3377">
        <f ca="1"/>
        <v>225.62</v>
      </c>
      <c r="CF17" vm="3186">
        <f ca="1"/>
        <v>224.12</v>
      </c>
      <c r="CG17" vm="3378">
        <f ca="1"/>
        <v>218.89</v>
      </c>
      <c r="CH17" vm="3379">
        <f ca="1"/>
        <v>227.07</v>
      </c>
      <c r="CI17" vm="3380">
        <f ca="1"/>
        <v>226.86</v>
      </c>
      <c r="CJ17" vm="3381">
        <f ca="1"/>
        <v>231.58</v>
      </c>
      <c r="CK17" vm="3374">
        <f ca="1"/>
        <v>231.42</v>
      </c>
      <c r="CL17" vm="3382">
        <f ca="1"/>
        <v>241.39</v>
      </c>
      <c r="CM17" vm="3383">
        <f ca="1"/>
        <v>237.19</v>
      </c>
      <c r="CN17" vm="795">
        <f ca="1"/>
        <v>244.22</v>
      </c>
      <c r="CO17" vm="3384">
        <f ca="1"/>
        <v>242.39</v>
      </c>
      <c r="CP17" vm="3385">
        <f ca="1"/>
        <v>238.24</v>
      </c>
      <c r="CQ17" vm="3386">
        <f ca="1"/>
        <v>242.81</v>
      </c>
      <c r="CR17" vm="3387">
        <f ca="1"/>
        <v>241.64</v>
      </c>
      <c r="CS17" vm="3388">
        <f ca="1"/>
        <v>248.29</v>
      </c>
      <c r="CT17" vm="3389">
        <f ca="1"/>
        <v>245.51</v>
      </c>
      <c r="CU17" vm="3390">
        <f ca="1"/>
        <v>243.2</v>
      </c>
      <c r="CV17" vm="3391">
        <f ca="1"/>
        <v>241.65</v>
      </c>
      <c r="CW17" vm="3392">
        <f ca="1"/>
        <v>239.6</v>
      </c>
      <c r="CX17" vm="293">
        <f ca="1"/>
        <v>238.03</v>
      </c>
      <c r="CY17" vm="3393">
        <f ca="1"/>
        <v>238.64</v>
      </c>
      <c r="CZ17" vm="853">
        <f ca="1"/>
        <v>241.73</v>
      </c>
      <c r="DA17" vm="3394">
        <f ca="1"/>
        <v>242.62</v>
      </c>
      <c r="DB17" vm="3395">
        <f ca="1"/>
        <v>242.38</v>
      </c>
      <c r="DC17" vm="3396">
        <f ca="1"/>
        <v>243.66</v>
      </c>
      <c r="DD17" vm="3397">
        <f ca="1"/>
        <v>232.17</v>
      </c>
      <c r="DE17" vm="3398">
        <f ca="1"/>
        <v>232.81</v>
      </c>
      <c r="DF17" vm="3399">
        <f ca="1"/>
        <v>221.48</v>
      </c>
      <c r="DG17" vm="3400">
        <f ca="1"/>
        <v>219.14</v>
      </c>
      <c r="DH17" vm="3401">
        <f ca="1"/>
        <v>219.53</v>
      </c>
      <c r="DI17" vm="3402">
        <f ca="1"/>
        <v>221.01</v>
      </c>
      <c r="DJ17" vm="3403">
        <f ca="1"/>
        <v>220.77</v>
      </c>
      <c r="DK17" vm="3106">
        <f ca="1"/>
        <v>216.59</v>
      </c>
      <c r="DL17" vm="3404">
        <f ca="1"/>
        <v>210.84</v>
      </c>
      <c r="DM17" vm="3405">
        <f ca="1"/>
        <v>213.23</v>
      </c>
      <c r="DN17" vm="3406">
        <f ca="1"/>
        <v>213.07</v>
      </c>
      <c r="DO17" vm="3407">
        <f ca="1"/>
        <v>209.11</v>
      </c>
      <c r="DP17" vm="3408">
        <f ca="1"/>
        <v>208.93</v>
      </c>
      <c r="DQ17" vm="3409">
        <f ca="1"/>
        <v>205.02</v>
      </c>
      <c r="DR17" vm="869">
        <f ca="1"/>
        <v>210.64</v>
      </c>
      <c r="DS17" vm="3410">
        <f ca="1"/>
        <v>209.78</v>
      </c>
      <c r="DT17" vm="3411">
        <f ca="1"/>
        <v>210.93</v>
      </c>
      <c r="DU17" vm="3412">
        <f ca="1"/>
        <v>209.93</v>
      </c>
      <c r="DV17" vm="3413">
        <f ca="1"/>
        <v>206.73</v>
      </c>
      <c r="DW17" vm="3338">
        <f ca="1"/>
        <v>202.94</v>
      </c>
      <c r="DX17" vm="3414">
        <f ca="1"/>
        <v>206.09</v>
      </c>
      <c r="DY17" vm="3415">
        <f ca="1"/>
        <v>209.67</v>
      </c>
      <c r="DZ17" vm="3416">
        <f ca="1"/>
        <v>207.01</v>
      </c>
      <c r="EA17" vm="3417">
        <f ca="1"/>
        <v>204.42</v>
      </c>
      <c r="EB17" vm="3418">
        <f ca="1"/>
        <v>203.66</v>
      </c>
      <c r="EC17" vm="3419">
        <f ca="1"/>
        <v>215</v>
      </c>
      <c r="ED17" vm="3015">
        <f ca="1"/>
        <v>211.14</v>
      </c>
      <c r="EE17" vm="869">
        <f ca="1"/>
        <v>210.64</v>
      </c>
      <c r="EF17" vm="3420">
        <f ca="1"/>
        <v>211.06</v>
      </c>
      <c r="EG17" vm="3421">
        <f ca="1"/>
        <v>211.55</v>
      </c>
      <c r="EH17" vm="3422">
        <f ca="1"/>
        <v>213.18</v>
      </c>
      <c r="EI17" vm="3423">
        <f ca="1"/>
        <v>212.86</v>
      </c>
      <c r="EJ17" vm="3424">
        <f ca="1"/>
        <v>217.2</v>
      </c>
      <c r="EK17" vm="3425">
        <f ca="1"/>
        <v>215.25</v>
      </c>
      <c r="EL17" vm="3426">
        <f ca="1"/>
        <v>203.97</v>
      </c>
      <c r="EM17" vm="3427">
        <f ca="1"/>
        <v>200.43</v>
      </c>
      <c r="EN17" vm="3428">
        <f ca="1"/>
        <v>196.08</v>
      </c>
      <c r="EO17" vm="3429">
        <f ca="1"/>
        <v>192.32</v>
      </c>
      <c r="EP17" vm="3430">
        <f ca="1"/>
        <v>192.17</v>
      </c>
      <c r="EQ17" vm="1698">
        <f ca="1"/>
        <v>192.98</v>
      </c>
      <c r="ER17" vm="3431">
        <f ca="1"/>
        <v>191.26</v>
      </c>
      <c r="ES17" vm="3432">
        <f ca="1"/>
        <v>192.62</v>
      </c>
      <c r="ET17" vm="3433">
        <f ca="1"/>
        <v>188.71</v>
      </c>
      <c r="EU17" vm="3434">
        <f ca="1"/>
        <v>188.3</v>
      </c>
      <c r="EV17" vm="3435">
        <f ca="1"/>
        <v>189.99</v>
      </c>
      <c r="EW17" vm="3436">
        <f ca="1"/>
        <v>195.05</v>
      </c>
      <c r="EX17" vm="3128">
        <f ca="1"/>
        <v>189</v>
      </c>
      <c r="EY17" vm="3437">
        <f ca="1"/>
        <v>187.53</v>
      </c>
      <c r="EZ17" vm="3438">
        <f ca="1"/>
        <v>183.8</v>
      </c>
      <c r="FA17" vm="3439">
        <f ca="1"/>
        <v>181.67</v>
      </c>
      <c r="FB17" vm="3440">
        <f ca="1"/>
        <v>186.89</v>
      </c>
      <c r="FC17" vm="3441">
        <f ca="1"/>
        <v>190.5</v>
      </c>
      <c r="FD17" vm="3442">
        <f ca="1"/>
        <v>190.68</v>
      </c>
      <c r="FE17" vm="3443">
        <f ca="1"/>
        <v>187.37</v>
      </c>
      <c r="FF17" vm="3444">
        <f ca="1"/>
        <v>185.47</v>
      </c>
      <c r="FG17" vm="1610">
        <f ca="1"/>
        <v>189.94</v>
      </c>
      <c r="FH17" vm="3445">
        <f ca="1"/>
        <v>189.66</v>
      </c>
      <c r="FI17" vm="3446">
        <f ca="1"/>
        <v>189.08</v>
      </c>
      <c r="FJ17" vm="3447">
        <f ca="1"/>
        <v>190.09</v>
      </c>
      <c r="FK17" vm="3448">
        <f ca="1"/>
        <v>190.11</v>
      </c>
      <c r="FL17" vm="3449">
        <f ca="1"/>
        <v>191.84</v>
      </c>
      <c r="FM17" vm="3450">
        <f ca="1"/>
        <v>189.95</v>
      </c>
      <c r="FN17" vm="3451">
        <f ca="1"/>
        <v>182.92</v>
      </c>
      <c r="FO17" vm="3452">
        <f ca="1"/>
        <v>180.49</v>
      </c>
      <c r="FP17" vm="3453">
        <f ca="1"/>
        <v>180.22</v>
      </c>
      <c r="FQ17" vm="3454">
        <f ca="1"/>
        <v>179.5</v>
      </c>
      <c r="FR17" vm="3455">
        <f ca="1"/>
        <v>177.16</v>
      </c>
      <c r="FS17" vm="3456">
        <f ca="1"/>
        <v>178.45</v>
      </c>
      <c r="FT17" vm="3457">
        <f ca="1"/>
        <v>175.78</v>
      </c>
      <c r="FU17" vm="3458">
        <f ca="1"/>
        <v>172.03</v>
      </c>
      <c r="FV17" vm="3459">
        <f ca="1"/>
        <v>174.95</v>
      </c>
      <c r="FW17" vm="3459">
        <f ca="1"/>
        <v>174.95</v>
      </c>
      <c r="FX17" vm="3453">
        <f ca="1"/>
        <v>180.22</v>
      </c>
      <c r="FY17" vm="3460">
        <f ca="1"/>
        <v>178.19</v>
      </c>
      <c r="FZ17" vm="3461">
        <f ca="1"/>
        <v>172.77</v>
      </c>
      <c r="GA17" vm="3462">
        <f ca="1"/>
        <v>173.94</v>
      </c>
      <c r="GB17" vm="280">
        <f ca="1"/>
        <v>169.73</v>
      </c>
      <c r="GC17" vm="3463">
        <f ca="1"/>
        <v>167.23</v>
      </c>
      <c r="GD17" vm="3464">
        <f ca="1"/>
        <v>167.76</v>
      </c>
      <c r="GE17" vm="3465">
        <f ca="1"/>
        <v>166.5</v>
      </c>
      <c r="GF17" vm="3466">
        <f ca="1"/>
        <v>171.48</v>
      </c>
      <c r="GG17" vm="3467">
        <f ca="1"/>
        <v>171.36</v>
      </c>
      <c r="GH17" vm="3468">
        <f ca="1"/>
        <v>168.42</v>
      </c>
      <c r="GI17" vm="3469">
        <f ca="1"/>
        <v>169.66</v>
      </c>
      <c r="GJ17" vm="3470">
        <f ca="1"/>
        <v>174.59</v>
      </c>
      <c r="GK17" vm="3471">
        <f ca="1"/>
        <v>179.8</v>
      </c>
      <c r="GL17" vm="3472">
        <f ca="1"/>
        <v>179.43</v>
      </c>
      <c r="GM17" vm="3473">
        <f ca="1"/>
        <v>177.15</v>
      </c>
      <c r="GN17" vm="3474">
        <f ca="1"/>
        <v>174.32</v>
      </c>
      <c r="GO17" vm="3475">
        <f ca="1"/>
        <v>176.45</v>
      </c>
      <c r="GP17" vm="3476">
        <f ca="1"/>
        <v>174.75</v>
      </c>
      <c r="GQ17" vm="3477">
        <f ca="1"/>
        <v>176.22</v>
      </c>
      <c r="GR17" vm="3478">
        <f ca="1"/>
        <v>176.92</v>
      </c>
      <c r="GS17" vm="3479">
        <f ca="1"/>
        <v>179.76</v>
      </c>
      <c r="GT17" vm="3480">
        <f ca="1"/>
        <v>177.61</v>
      </c>
      <c r="GU17" vm="3481">
        <f ca="1"/>
        <v>178.53</v>
      </c>
      <c r="GV17" vm="2945">
        <f ca="1"/>
        <v>180.34</v>
      </c>
      <c r="GW17" vm="3482">
        <f ca="1"/>
        <v>179.94</v>
      </c>
      <c r="GX17" vm="3483">
        <f ca="1"/>
        <v>176.8</v>
      </c>
      <c r="GY17" vm="3484">
        <f ca="1"/>
        <v>177.42</v>
      </c>
      <c r="GZ17" vm="3485">
        <f ca="1"/>
        <v>182.15</v>
      </c>
      <c r="HA17" vm="3486">
        <f ca="1"/>
        <v>186.3</v>
      </c>
      <c r="HB17" vm="3487">
        <f ca="1"/>
        <v>192.84</v>
      </c>
      <c r="HC17" vm="3488">
        <f ca="1"/>
        <v>191.45</v>
      </c>
      <c r="HD17" vm="3489">
        <f ca="1"/>
        <v>188.99</v>
      </c>
      <c r="HE17" vm="3490">
        <f ca="1"/>
        <v>186.17</v>
      </c>
      <c r="HF17" vm="3491">
        <f ca="1"/>
        <v>189.17</v>
      </c>
      <c r="HG17" vm="3492">
        <f ca="1"/>
        <v>185.89</v>
      </c>
      <c r="HH17" vm="3493">
        <f ca="1"/>
        <v>187.49</v>
      </c>
      <c r="HI17" vm="3447">
        <f ca="1"/>
        <v>190.09</v>
      </c>
      <c r="HJ17" vm="3494">
        <f ca="1"/>
        <v>188.78</v>
      </c>
      <c r="HK17" vm="2956">
        <f ca="1"/>
        <v>189.82</v>
      </c>
      <c r="HL17" vm="2924">
        <f ca="1"/>
        <v>188.22</v>
      </c>
      <c r="HM17" vm="3433">
        <f ca="1"/>
        <v>188.71</v>
      </c>
      <c r="HN17" vm="3495">
        <f ca="1"/>
        <v>191.11</v>
      </c>
      <c r="HO17" vm="3496">
        <f ca="1"/>
        <v>189.18</v>
      </c>
      <c r="HP17" vm="3497">
        <f ca="1"/>
        <v>188.25</v>
      </c>
      <c r="HQ17" vm="3494">
        <f ca="1"/>
        <v>188.78</v>
      </c>
      <c r="HR17" vm="3498">
        <f ca="1"/>
        <v>192.24</v>
      </c>
      <c r="HS17" vm="3499">
        <f ca="1"/>
        <v>197.35</v>
      </c>
      <c r="HT17" vm="3500">
        <f ca="1"/>
        <v>193.81</v>
      </c>
      <c r="HU17" vm="3501">
        <f ca="1"/>
        <v>192.95</v>
      </c>
      <c r="HV17" vm="3449">
        <f ca="1"/>
        <v>191.84</v>
      </c>
      <c r="HW17" vm="3502">
        <f ca="1"/>
        <v>192</v>
      </c>
      <c r="HX17" vm="3503">
        <f ca="1"/>
        <v>194.48</v>
      </c>
      <c r="HY17" vm="3504">
        <f ca="1"/>
        <v>196.54</v>
      </c>
      <c r="HZ17" vm="3113">
        <f ca="1"/>
        <v>198.05</v>
      </c>
      <c r="IA17" vm="3505">
        <f ca="1"/>
        <v>198.3</v>
      </c>
      <c r="IB17" vm="3506">
        <f ca="1"/>
        <v>199.87</v>
      </c>
      <c r="IC17" vm="3507">
        <f ca="1"/>
        <v>197.11</v>
      </c>
      <c r="ID17" vm="3488">
        <f ca="1"/>
        <v>191.45</v>
      </c>
      <c r="IE17" vm="3508">
        <f ca="1"/>
        <v>190.97</v>
      </c>
      <c r="IF17" vm="3509">
        <f ca="1"/>
        <v>192.48</v>
      </c>
      <c r="IG17" vm="3307">
        <f ca="1"/>
        <v>198.2</v>
      </c>
      <c r="IH17" vm="3510">
        <f ca="1"/>
        <v>197.56</v>
      </c>
      <c r="II17" vm="3511">
        <f ca="1"/>
        <v>195.47</v>
      </c>
      <c r="IJ17" vm="3512">
        <f ca="1"/>
        <v>192.21</v>
      </c>
      <c r="IK17" vm="3513">
        <f ca="1"/>
        <v>193.91</v>
      </c>
      <c r="IL17" vm="3514">
        <f ca="1"/>
        <v>191.53</v>
      </c>
      <c r="IM17" vm="365">
        <f ca="1"/>
        <v>192.5</v>
      </c>
      <c r="IN17" vm="3515">
        <f ca="1"/>
        <v>192.06</v>
      </c>
      <c r="IO17" vm="1633">
        <f ca="1"/>
        <v>190.36</v>
      </c>
      <c r="IP17" vm="3516">
        <f ca="1"/>
        <v>186.72</v>
      </c>
      <c r="IQ17" vm="3517">
        <f ca="1"/>
        <v>190.34</v>
      </c>
      <c r="IR17" vm="3434">
        <f ca="1"/>
        <v>188.3</v>
      </c>
    </row>
    <row r="18" spans="1:252" x14ac:dyDescent="0.35">
      <c r="A18" t="e" vm="16">
        <f>Dashboard!B22</f>
        <v>#VALUE!</v>
      </c>
      <c r="B18" cm="1" vm="3518">
        <f t="array" aca="1" ref="B18:IR18" ca="1">TRANSPOSE(_xlfn.STOCKHISTORY(A18,TODAY()-365,TODAY(),0,0,1))</f>
        <v>103.08</v>
      </c>
      <c r="C18" vm="3519">
        <f ca="1"/>
        <v>103.06</v>
      </c>
      <c r="D18" vm="3520">
        <f ca="1"/>
        <v>101.96</v>
      </c>
      <c r="E18" vm="3521">
        <f ca="1"/>
        <v>101.7</v>
      </c>
      <c r="F18" vm="3522">
        <f ca="1"/>
        <v>102.07</v>
      </c>
      <c r="G18" vm="3523">
        <f ca="1"/>
        <v>102.7</v>
      </c>
      <c r="H18" vm="3524">
        <f ca="1"/>
        <v>103.24</v>
      </c>
      <c r="I18" vm="3525">
        <f ca="1"/>
        <v>102.9</v>
      </c>
      <c r="J18" vm="3526">
        <f ca="1"/>
        <v>101.77</v>
      </c>
      <c r="K18" vm="3527">
        <f ca="1"/>
        <v>101.84</v>
      </c>
      <c r="L18" vm="3528">
        <f ca="1"/>
        <v>102.12</v>
      </c>
      <c r="M18" vm="3529">
        <f ca="1"/>
        <v>107.21</v>
      </c>
      <c r="N18" vm="3530">
        <f ca="1"/>
        <v>109.03</v>
      </c>
      <c r="O18" vm="3531">
        <f ca="1"/>
        <v>106.47</v>
      </c>
      <c r="P18" vm="3532">
        <f ca="1"/>
        <v>107.73</v>
      </c>
      <c r="Q18" vm="3533">
        <f ca="1"/>
        <v>107.05</v>
      </c>
      <c r="R18" vm="3534">
        <f ca="1"/>
        <v>106.22</v>
      </c>
      <c r="S18" vm="3535">
        <f ca="1"/>
        <v>107.14</v>
      </c>
      <c r="T18" vm="3536">
        <f ca="1"/>
        <v>106.86</v>
      </c>
      <c r="U18" vm="3537">
        <f ca="1"/>
        <v>106.17</v>
      </c>
      <c r="V18" vm="3538">
        <f ca="1"/>
        <v>104.47</v>
      </c>
      <c r="W18" vm="3539">
        <f ca="1"/>
        <v>103.17</v>
      </c>
      <c r="X18" vm="3540">
        <f ca="1"/>
        <v>102.46</v>
      </c>
      <c r="Y18" vm="3541">
        <f ca="1"/>
        <v>102.23</v>
      </c>
      <c r="Z18" vm="3542">
        <f ca="1"/>
        <v>101.18</v>
      </c>
      <c r="AA18" vm="3543">
        <f ca="1"/>
        <v>101.59</v>
      </c>
      <c r="AB18" vm="3544">
        <f ca="1"/>
        <v>102.27</v>
      </c>
      <c r="AC18" vm="3545">
        <f ca="1"/>
        <v>101.47</v>
      </c>
      <c r="AD18" vm="3546">
        <f ca="1"/>
        <v>101.68</v>
      </c>
      <c r="AE18" vm="3547">
        <f ca="1"/>
        <v>102.59</v>
      </c>
      <c r="AF18" vm="3548">
        <f ca="1"/>
        <v>102.42</v>
      </c>
      <c r="AG18" vm="3549">
        <f ca="1"/>
        <v>103.44</v>
      </c>
      <c r="AH18" vm="3549">
        <f ca="1"/>
        <v>103.44</v>
      </c>
      <c r="AI18" vm="3550">
        <f ca="1"/>
        <v>102.54</v>
      </c>
      <c r="AJ18" vm="3551">
        <f ca="1"/>
        <v>102.48</v>
      </c>
      <c r="AK18" vm="3552">
        <f ca="1"/>
        <v>102.95</v>
      </c>
      <c r="AL18" vm="1764">
        <f ca="1"/>
        <v>101.39</v>
      </c>
      <c r="AM18" vm="3553">
        <f ca="1"/>
        <v>100.61</v>
      </c>
      <c r="AN18" vm="3554">
        <f ca="1"/>
        <v>107.11</v>
      </c>
      <c r="AO18" vm="3555">
        <f ca="1"/>
        <v>105.32</v>
      </c>
      <c r="AP18" vm="3556">
        <f ca="1"/>
        <v>104.06</v>
      </c>
      <c r="AQ18" vm="3557">
        <f ca="1"/>
        <v>107</v>
      </c>
      <c r="AR18" vm="3558">
        <f ca="1"/>
        <v>109.1</v>
      </c>
      <c r="AS18" vm="3559">
        <f ca="1"/>
        <v>110.51</v>
      </c>
      <c r="AT18" vm="3560">
        <f ca="1"/>
        <v>111.53</v>
      </c>
      <c r="AU18" vm="1817">
        <f ca="1"/>
        <v>112.41</v>
      </c>
      <c r="AV18" vm="3561">
        <f ca="1"/>
        <v>114.41</v>
      </c>
      <c r="AW18" vm="3562">
        <f ca="1"/>
        <v>114.84</v>
      </c>
      <c r="AX18" vm="3563">
        <f ca="1"/>
        <v>115.11</v>
      </c>
      <c r="AY18" vm="3564">
        <f ca="1"/>
        <v>113.56</v>
      </c>
      <c r="AZ18" vm="3565">
        <f ca="1"/>
        <v>115.06</v>
      </c>
      <c r="BA18" vm="3566">
        <f ca="1"/>
        <v>113.18</v>
      </c>
      <c r="BB18" vm="3567">
        <f ca="1"/>
        <v>115.52</v>
      </c>
      <c r="BC18" vm="3568">
        <f ca="1"/>
        <v>116.7</v>
      </c>
      <c r="BD18" vm="3569">
        <f ca="1"/>
        <v>116.79</v>
      </c>
      <c r="BE18" vm="3570">
        <f ca="1"/>
        <v>115.42</v>
      </c>
      <c r="BF18" vm="1821">
        <f ca="1"/>
        <v>115.66</v>
      </c>
      <c r="BG18" vm="3571">
        <f ca="1"/>
        <v>114.83</v>
      </c>
      <c r="BH18" vm="3572">
        <f ca="1"/>
        <v>114.36</v>
      </c>
      <c r="BI18" vm="3573">
        <f ca="1"/>
        <v>112.6</v>
      </c>
      <c r="BJ18" vm="3574">
        <f ca="1"/>
        <v>110.9</v>
      </c>
      <c r="BK18" vm="3575">
        <f ca="1"/>
        <v>111.61</v>
      </c>
      <c r="BL18" vm="1795">
        <f ca="1"/>
        <v>111.74</v>
      </c>
      <c r="BM18" vm="3576">
        <f ca="1"/>
        <v>112.53</v>
      </c>
      <c r="BN18" vm="3577">
        <f ca="1"/>
        <v>111.92</v>
      </c>
      <c r="BO18" vm="3578">
        <f ca="1"/>
        <v>111.41</v>
      </c>
      <c r="BP18" vm="3579">
        <f ca="1"/>
        <v>112.76</v>
      </c>
      <c r="BQ18" vm="3580">
        <f ca="1"/>
        <v>112.71</v>
      </c>
      <c r="BR18" vm="1844">
        <f ca="1"/>
        <v>114.34</v>
      </c>
      <c r="BS18" vm="3581">
        <f ca="1"/>
        <v>112.72</v>
      </c>
      <c r="BT18" vm="3582">
        <f ca="1"/>
        <v>113.07</v>
      </c>
      <c r="BU18" vm="3583">
        <f ca="1"/>
        <v>114.53</v>
      </c>
      <c r="BV18" vm="3584">
        <f ca="1"/>
        <v>117.97</v>
      </c>
      <c r="BW18" vm="3585">
        <f ca="1"/>
        <v>120.36</v>
      </c>
      <c r="BX18" vm="3586">
        <f ca="1"/>
        <v>120.04</v>
      </c>
      <c r="BY18" vm="3587">
        <f ca="1"/>
        <v>119.2</v>
      </c>
      <c r="BZ18" vm="3588">
        <f ca="1"/>
        <v>119.7</v>
      </c>
      <c r="CA18" vm="3589">
        <f ca="1"/>
        <v>118.71</v>
      </c>
      <c r="CB18" vm="3590">
        <f ca="1"/>
        <v>119.36</v>
      </c>
      <c r="CC18" vm="3591">
        <f ca="1"/>
        <v>117.83</v>
      </c>
      <c r="CD18" vm="3592">
        <f ca="1"/>
        <v>117.73</v>
      </c>
      <c r="CE18" vm="3593">
        <f ca="1"/>
        <v>117.64</v>
      </c>
      <c r="CF18" vm="3594">
        <f ca="1"/>
        <v>116.94</v>
      </c>
      <c r="CG18" vm="3595">
        <f ca="1"/>
        <v>116.57</v>
      </c>
      <c r="CH18" vm="3596">
        <f ca="1"/>
        <v>117.41</v>
      </c>
      <c r="CI18" vm="3597">
        <f ca="1"/>
        <v>119.14</v>
      </c>
      <c r="CJ18" vm="3598">
        <f ca="1"/>
        <v>124.06</v>
      </c>
      <c r="CK18" vm="3599">
        <f ca="1"/>
        <v>127.71</v>
      </c>
      <c r="CL18" vm="3600">
        <f ca="1"/>
        <v>128</v>
      </c>
      <c r="CM18" vm="3601">
        <f ca="1"/>
        <v>126.94</v>
      </c>
      <c r="CN18" vm="3602">
        <f ca="1"/>
        <v>131.18</v>
      </c>
      <c r="CO18" vm="3603">
        <f ca="1"/>
        <v>129.02000000000001</v>
      </c>
      <c r="CP18" vm="3604">
        <f ca="1"/>
        <v>126.7</v>
      </c>
      <c r="CQ18" vm="3605">
        <f ca="1"/>
        <v>128.77000000000001</v>
      </c>
      <c r="CR18" vm="3606">
        <f ca="1"/>
        <v>133.63999999999999</v>
      </c>
      <c r="CS18" vm="3607">
        <f ca="1"/>
        <v>133.88999999999999</v>
      </c>
      <c r="CT18" vm="3608">
        <f ca="1"/>
        <v>128.85</v>
      </c>
      <c r="CU18" vm="3609">
        <f ca="1"/>
        <v>126.62</v>
      </c>
      <c r="CV18" vm="3610">
        <f ca="1"/>
        <v>124.87</v>
      </c>
      <c r="CW18" vm="3611">
        <f ca="1"/>
        <v>122.99</v>
      </c>
      <c r="CX18" vm="3612">
        <f ca="1"/>
        <v>125.81</v>
      </c>
      <c r="CY18" vm="3613">
        <f ca="1"/>
        <v>126.75</v>
      </c>
      <c r="CZ18" vm="3614">
        <f ca="1"/>
        <v>125.75</v>
      </c>
      <c r="DA18" vm="3615">
        <f ca="1"/>
        <v>124.42</v>
      </c>
      <c r="DB18" vm="3616">
        <f ca="1"/>
        <v>127.95</v>
      </c>
      <c r="DC18" vm="3617">
        <f ca="1"/>
        <v>127.1</v>
      </c>
      <c r="DD18" vm="3618">
        <f ca="1"/>
        <v>127.91</v>
      </c>
      <c r="DE18" vm="3619">
        <f ca="1"/>
        <v>127.81</v>
      </c>
      <c r="DF18" vm="3620">
        <f ca="1"/>
        <v>123.31</v>
      </c>
      <c r="DG18" vm="3621">
        <f ca="1"/>
        <v>123.8</v>
      </c>
      <c r="DH18" vm="3622">
        <f ca="1"/>
        <v>124.34</v>
      </c>
      <c r="DI18" vm="3623">
        <f ca="1"/>
        <v>125.12</v>
      </c>
      <c r="DJ18" vm="1872">
        <f ca="1"/>
        <v>123.49</v>
      </c>
      <c r="DK18" vm="3624">
        <f ca="1"/>
        <v>125.33</v>
      </c>
      <c r="DL18" vm="3625">
        <f ca="1"/>
        <v>126.52</v>
      </c>
      <c r="DM18" vm="3626">
        <f ca="1"/>
        <v>125.99</v>
      </c>
      <c r="DN18" vm="3627">
        <f ca="1"/>
        <v>125.08</v>
      </c>
      <c r="DO18" vm="3628">
        <f ca="1"/>
        <v>121.98</v>
      </c>
      <c r="DP18" vm="3629">
        <f ca="1"/>
        <v>121.09</v>
      </c>
      <c r="DQ18" vm="3630">
        <f ca="1"/>
        <v>119.02</v>
      </c>
      <c r="DR18" vm="3631">
        <f ca="1"/>
        <v>120.72</v>
      </c>
      <c r="DS18" vm="3632">
        <f ca="1"/>
        <v>122.05</v>
      </c>
      <c r="DT18" vm="3633">
        <f ca="1"/>
        <v>123.06</v>
      </c>
      <c r="DU18" vm="3634">
        <f ca="1"/>
        <v>122.18</v>
      </c>
      <c r="DV18" vm="3635">
        <f ca="1"/>
        <v>122.89</v>
      </c>
      <c r="DW18" vm="3636">
        <f ca="1"/>
        <v>123.5</v>
      </c>
      <c r="DX18" vm="3637">
        <f ca="1"/>
        <v>124.28</v>
      </c>
      <c r="DY18" vm="3638">
        <f ca="1"/>
        <v>124.74</v>
      </c>
      <c r="DZ18" vm="3639">
        <f ca="1"/>
        <v>125.79</v>
      </c>
      <c r="EA18" vm="3640">
        <f ca="1"/>
        <v>126.79</v>
      </c>
      <c r="EB18" vm="3641">
        <f ca="1"/>
        <v>122.49</v>
      </c>
      <c r="EC18" vm="3642">
        <f ca="1"/>
        <v>127.26</v>
      </c>
      <c r="ED18" vm="3643">
        <f ca="1"/>
        <v>129.13</v>
      </c>
      <c r="EE18" vm="3644">
        <f ca="1"/>
        <v>126.77</v>
      </c>
      <c r="EF18" vm="3645">
        <f ca="1"/>
        <v>124.57</v>
      </c>
      <c r="EG18" vm="3646">
        <f ca="1"/>
        <v>125.05</v>
      </c>
      <c r="EH18" vm="3647">
        <f ca="1"/>
        <v>124.76</v>
      </c>
      <c r="EI18" vm="1897">
        <f ca="1"/>
        <v>124.82</v>
      </c>
      <c r="EJ18" vm="3648">
        <f ca="1"/>
        <v>127.5</v>
      </c>
      <c r="EK18" vm="3649">
        <f ca="1"/>
        <v>127.92</v>
      </c>
      <c r="EL18" vm="3650">
        <f ca="1"/>
        <v>129.6</v>
      </c>
      <c r="EM18" vm="3651">
        <f ca="1"/>
        <v>129.97999999999999</v>
      </c>
      <c r="EN18" vm="3652">
        <f ca="1"/>
        <v>132.03</v>
      </c>
      <c r="EO18" vm="3653">
        <f ca="1"/>
        <v>129.91999999999999</v>
      </c>
      <c r="EP18" vm="3654">
        <f ca="1"/>
        <v>127.59</v>
      </c>
      <c r="EQ18" vm="3654">
        <f ca="1"/>
        <v>127.59</v>
      </c>
      <c r="ER18" vm="1890">
        <f ca="1"/>
        <v>128.01</v>
      </c>
      <c r="ES18" vm="1983">
        <f ca="1"/>
        <v>131.93</v>
      </c>
      <c r="ET18" vm="3655">
        <f ca="1"/>
        <v>131.6</v>
      </c>
      <c r="EU18" vm="3656">
        <f ca="1"/>
        <v>130.33000000000001</v>
      </c>
      <c r="EV18" vm="3657">
        <f ca="1"/>
        <v>130.79</v>
      </c>
      <c r="EW18" vm="3658">
        <f ca="1"/>
        <v>130.08000000000001</v>
      </c>
      <c r="EX18" vm="3659">
        <f ca="1"/>
        <v>130.19999999999999</v>
      </c>
      <c r="EY18" vm="3660">
        <f ca="1"/>
        <v>130.43</v>
      </c>
      <c r="EZ18" vm="3654">
        <f ca="1"/>
        <v>127.59</v>
      </c>
      <c r="FA18" vm="3661">
        <f ca="1"/>
        <v>130.35</v>
      </c>
      <c r="FB18" vm="3662">
        <f ca="1"/>
        <v>131.47</v>
      </c>
      <c r="FC18" vm="3663">
        <f ca="1"/>
        <v>132.46</v>
      </c>
      <c r="FD18" vm="3664">
        <f ca="1"/>
        <v>131.44999999999999</v>
      </c>
      <c r="FE18" vm="3665">
        <f ca="1"/>
        <v>133.34</v>
      </c>
      <c r="FF18" vm="3666">
        <f ca="1"/>
        <v>134.19999999999999</v>
      </c>
      <c r="FG18" vm="3667">
        <f ca="1"/>
        <v>130.85</v>
      </c>
      <c r="FH18" vm="3668">
        <f ca="1"/>
        <v>121.34</v>
      </c>
      <c r="FI18" vm="3669">
        <f ca="1"/>
        <v>120.27</v>
      </c>
      <c r="FJ18" vm="3670">
        <f ca="1"/>
        <v>118.57</v>
      </c>
      <c r="FK18" vm="3671">
        <f ca="1"/>
        <v>118.54</v>
      </c>
      <c r="FL18" vm="3672">
        <f ca="1"/>
        <v>118.9</v>
      </c>
      <c r="FM18" vm="3673">
        <f ca="1"/>
        <v>115.75</v>
      </c>
      <c r="FN18" vm="3674">
        <f ca="1"/>
        <v>114.6</v>
      </c>
      <c r="FO18" vm="3675">
        <f ca="1"/>
        <v>113.06</v>
      </c>
      <c r="FP18" vm="3676">
        <f ca="1"/>
        <v>116.89</v>
      </c>
      <c r="FQ18" vm="3677">
        <f ca="1"/>
        <v>117.74</v>
      </c>
      <c r="FR18" vm="3678">
        <f ca="1"/>
        <v>118.88</v>
      </c>
      <c r="FS18" vm="3679">
        <f ca="1"/>
        <v>119.83</v>
      </c>
      <c r="FT18" vm="3678">
        <f ca="1"/>
        <v>118.88</v>
      </c>
      <c r="FU18" vm="3680">
        <f ca="1"/>
        <v>120.59</v>
      </c>
      <c r="FV18" vm="3681">
        <f ca="1"/>
        <v>120.5</v>
      </c>
      <c r="FW18" vm="3682">
        <f ca="1"/>
        <v>121.04</v>
      </c>
      <c r="FX18" vm="3683">
        <f ca="1"/>
        <v>120.82</v>
      </c>
      <c r="FY18" vm="3684">
        <f ca="1"/>
        <v>121.03</v>
      </c>
      <c r="FZ18" vm="1806">
        <f ca="1"/>
        <v>118.13</v>
      </c>
      <c r="GA18" vm="3685">
        <f ca="1"/>
        <v>117.18</v>
      </c>
      <c r="GB18" vm="3685">
        <f ca="1"/>
        <v>117.18</v>
      </c>
      <c r="GC18" vm="3686">
        <f ca="1"/>
        <v>119.42</v>
      </c>
      <c r="GD18" vm="3687">
        <f ca="1"/>
        <v>119</v>
      </c>
      <c r="GE18" vm="3688">
        <f ca="1"/>
        <v>115.78</v>
      </c>
      <c r="GF18" vm="3689">
        <f ca="1"/>
        <v>115.69</v>
      </c>
      <c r="GG18" vm="3674">
        <f ca="1"/>
        <v>114.6</v>
      </c>
      <c r="GH18" vm="3690">
        <f ca="1"/>
        <v>113.26</v>
      </c>
      <c r="GI18" vm="3691">
        <f ca="1"/>
        <v>108.82</v>
      </c>
      <c r="GJ18" vm="3692">
        <f ca="1"/>
        <v>111.84</v>
      </c>
      <c r="GK18" vm="3693">
        <f ca="1"/>
        <v>110.65</v>
      </c>
      <c r="GL18" vm="3694">
        <f ca="1"/>
        <v>111.54</v>
      </c>
      <c r="GM18" vm="3695">
        <f ca="1"/>
        <v>113.1</v>
      </c>
      <c r="GN18" vm="3696">
        <f ca="1"/>
        <v>112.21</v>
      </c>
      <c r="GO18" vm="3697">
        <f ca="1"/>
        <v>113.9</v>
      </c>
      <c r="GP18" vm="3698">
        <f ca="1"/>
        <v>114.78</v>
      </c>
      <c r="GQ18" vm="3699">
        <f ca="1"/>
        <v>113.7</v>
      </c>
      <c r="GR18" vm="3576">
        <f ca="1"/>
        <v>112.53</v>
      </c>
      <c r="GS18" vm="3700">
        <f ca="1"/>
        <v>114.95</v>
      </c>
      <c r="GT18" vm="3701">
        <f ca="1"/>
        <v>114.24</v>
      </c>
      <c r="GU18" vm="3702">
        <f ca="1"/>
        <v>112.2</v>
      </c>
      <c r="GV18" vm="3703">
        <f ca="1"/>
        <v>110.39</v>
      </c>
      <c r="GW18" vm="3704">
        <f ca="1"/>
        <v>109.33</v>
      </c>
      <c r="GX18" vm="3705">
        <f ca="1"/>
        <v>108.4</v>
      </c>
      <c r="GY18" vm="3706">
        <f ca="1"/>
        <v>109.47</v>
      </c>
      <c r="GZ18" vm="1795">
        <f ca="1"/>
        <v>111.74</v>
      </c>
      <c r="HA18" vm="3695">
        <f ca="1"/>
        <v>113.1</v>
      </c>
      <c r="HB18" vm="3707">
        <f ca="1"/>
        <v>114.22</v>
      </c>
      <c r="HC18" vm="3708">
        <f ca="1"/>
        <v>111.1</v>
      </c>
      <c r="HD18" vm="3709">
        <f ca="1"/>
        <v>111.2</v>
      </c>
      <c r="HE18" vm="3710">
        <f ca="1"/>
        <v>110.71</v>
      </c>
      <c r="HF18" vm="3711">
        <f ca="1"/>
        <v>111.55</v>
      </c>
      <c r="HG18" vm="3712">
        <f ca="1"/>
        <v>112.34</v>
      </c>
      <c r="HH18" vm="3713">
        <f ca="1"/>
        <v>112.07</v>
      </c>
      <c r="HI18" vm="3714">
        <f ca="1"/>
        <v>111.85</v>
      </c>
      <c r="HJ18" vm="3715">
        <f ca="1"/>
        <v>112.66</v>
      </c>
      <c r="HK18" vm="3690">
        <f ca="1"/>
        <v>113.26</v>
      </c>
      <c r="HL18" vm="3716">
        <f ca="1"/>
        <v>116.01</v>
      </c>
      <c r="HM18" vm="3717">
        <f ca="1"/>
        <v>115.72</v>
      </c>
      <c r="HN18" vm="3718">
        <f ca="1"/>
        <v>115.27</v>
      </c>
      <c r="HO18" vm="3719">
        <f ca="1"/>
        <v>114.33</v>
      </c>
      <c r="HP18" vm="1826">
        <f ca="1"/>
        <v>115.2</v>
      </c>
      <c r="HQ18" vm="3720">
        <f ca="1"/>
        <v>114.3</v>
      </c>
      <c r="HR18" vm="3721">
        <f ca="1"/>
        <v>103.84</v>
      </c>
      <c r="HS18" vm="3722">
        <f ca="1"/>
        <v>103.7</v>
      </c>
      <c r="HT18" vm="3723">
        <f ca="1"/>
        <v>106.49</v>
      </c>
      <c r="HU18" vm="3724">
        <f ca="1"/>
        <v>105.38</v>
      </c>
      <c r="HV18" vm="3725">
        <f ca="1"/>
        <v>104.34</v>
      </c>
      <c r="HW18" vm="3726">
        <f ca="1"/>
        <v>102.63</v>
      </c>
      <c r="HX18" vm="3727">
        <f ca="1"/>
        <v>103.09</v>
      </c>
      <c r="HY18" vm="3728">
        <f ca="1"/>
        <v>104.87</v>
      </c>
      <c r="HZ18" vm="3729">
        <f ca="1"/>
        <v>105.92</v>
      </c>
      <c r="IA18" vm="3730">
        <f ca="1"/>
        <v>106.09</v>
      </c>
      <c r="IB18" vm="3731">
        <f ca="1"/>
        <v>108.42</v>
      </c>
      <c r="IC18" vm="3535">
        <f ca="1"/>
        <v>107.14</v>
      </c>
      <c r="ID18" vm="3732">
        <f ca="1"/>
        <v>106.05</v>
      </c>
      <c r="IE18" vm="3733">
        <f ca="1"/>
        <v>105.83</v>
      </c>
      <c r="IF18" vm="3734">
        <f ca="1"/>
        <v>105.73</v>
      </c>
      <c r="IG18" vm="3735">
        <f ca="1"/>
        <v>107.15</v>
      </c>
      <c r="IH18" vm="3736">
        <f ca="1"/>
        <v>109.08</v>
      </c>
      <c r="II18" vm="3737">
        <f ca="1"/>
        <v>108.09</v>
      </c>
      <c r="IJ18" vm="3738">
        <f ca="1"/>
        <v>107.5</v>
      </c>
      <c r="IK18" vm="3739">
        <f ca="1"/>
        <v>106.79</v>
      </c>
      <c r="IL18" vm="3740">
        <f ca="1"/>
        <v>106.73</v>
      </c>
      <c r="IM18" vm="3741">
        <f ca="1"/>
        <v>107.44</v>
      </c>
      <c r="IN18" vm="3742">
        <f ca="1"/>
        <v>110.12</v>
      </c>
      <c r="IO18" vm="3743">
        <f ca="1"/>
        <v>110.53</v>
      </c>
      <c r="IP18" vm="3744">
        <f ca="1"/>
        <v>107.59</v>
      </c>
      <c r="IQ18" vm="3745">
        <f ca="1"/>
        <v>107.98</v>
      </c>
      <c r="IR18" vm="3746">
        <f ca="1"/>
        <v>108.73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A049F6-1274-47EB-B8B1-84821E871FA2}">
  <sheetPr>
    <tabColor rgb="FF334155"/>
  </sheetPr>
  <dimension ref="A1:H115"/>
  <sheetViews>
    <sheetView showGridLines="0" workbookViewId="0">
      <selection activeCell="E24" sqref="E24"/>
    </sheetView>
  </sheetViews>
  <sheetFormatPr defaultRowHeight="14.5" x14ac:dyDescent="0.35"/>
  <cols>
    <col min="2" max="2" width="16.36328125" customWidth="1"/>
    <col min="3" max="3" width="32.7265625" customWidth="1"/>
    <col min="4" max="4" width="20.90625" customWidth="1"/>
    <col min="5" max="5" width="15.453125" style="1" customWidth="1"/>
    <col min="6" max="6" width="12.7265625" customWidth="1"/>
    <col min="7" max="7" width="21.81640625" style="1" customWidth="1"/>
    <col min="8" max="8" width="10.90625" customWidth="1"/>
  </cols>
  <sheetData>
    <row r="1" spans="1:8" ht="18.5" x14ac:dyDescent="0.45">
      <c r="A1" s="72" t="s">
        <v>68</v>
      </c>
      <c r="B1" s="72"/>
      <c r="C1" s="72"/>
      <c r="D1" s="72"/>
      <c r="E1" s="73"/>
      <c r="F1" s="72"/>
      <c r="G1" s="73"/>
      <c r="H1" s="74"/>
    </row>
    <row r="2" spans="1:8" ht="15" thickBot="1" x14ac:dyDescent="0.4">
      <c r="A2" s="13"/>
      <c r="B2" s="75" t="s">
        <v>9</v>
      </c>
      <c r="C2" s="76" t="s">
        <v>8</v>
      </c>
      <c r="D2" s="76" t="s">
        <v>12</v>
      </c>
      <c r="E2" s="77" t="s">
        <v>10</v>
      </c>
      <c r="F2" s="76" t="s">
        <v>2</v>
      </c>
      <c r="G2" s="77" t="s">
        <v>11</v>
      </c>
      <c r="H2" s="78" t="s">
        <v>14</v>
      </c>
    </row>
    <row r="3" spans="1:8" x14ac:dyDescent="0.35">
      <c r="A3" s="13"/>
      <c r="B3" s="79">
        <v>43466</v>
      </c>
      <c r="C3" s="80" t="e" vm="1">
        <v>#VALUE!</v>
      </c>
      <c r="D3" s="80" t="s">
        <v>13</v>
      </c>
      <c r="E3" s="432">
        <v>19.149999999999999</v>
      </c>
      <c r="F3" s="81">
        <v>29.24</v>
      </c>
      <c r="G3" s="432">
        <f t="shared" ref="G3:G34" si="0">E3*F3</f>
        <v>559.94599999999991</v>
      </c>
      <c r="H3" s="82" t="str" cm="1">
        <f t="array" aca="1" ref="H3" ca="1">_FV(Ledger[[#This Row],[Stock]],"Ticker symbol",TRUE)</f>
        <v>AMD</v>
      </c>
    </row>
    <row r="4" spans="1:8" x14ac:dyDescent="0.35">
      <c r="A4" s="13"/>
      <c r="B4" s="18">
        <v>43831</v>
      </c>
      <c r="C4" s="19" t="e" vm="1">
        <v>#VALUE!</v>
      </c>
      <c r="D4" s="19" t="s">
        <v>13</v>
      </c>
      <c r="E4" s="433">
        <v>30.98</v>
      </c>
      <c r="F4" s="20">
        <v>18.07</v>
      </c>
      <c r="G4" s="433">
        <f t="shared" si="0"/>
        <v>559.80860000000007</v>
      </c>
      <c r="H4" s="21" t="str" cm="1">
        <f t="array" aca="1" ref="H4" ca="1">_FV(Ledger[[#This Row],[Stock]],"Ticker symbol",TRUE)</f>
        <v>AMD</v>
      </c>
    </row>
    <row r="5" spans="1:8" x14ac:dyDescent="0.35">
      <c r="A5" s="13"/>
      <c r="B5" s="83">
        <v>44197</v>
      </c>
      <c r="C5" s="84" t="e" vm="1">
        <v>#VALUE!</v>
      </c>
      <c r="D5" s="84" t="s">
        <v>13</v>
      </c>
      <c r="E5" s="434">
        <v>89.33</v>
      </c>
      <c r="F5" s="85">
        <v>6.27</v>
      </c>
      <c r="G5" s="434">
        <f t="shared" si="0"/>
        <v>560.09909999999991</v>
      </c>
      <c r="H5" s="86" t="str" cm="1">
        <f t="array" aca="1" ref="H5" ca="1">_FV(Ledger[[#This Row],[Stock]],"Ticker symbol",TRUE)</f>
        <v>AMD</v>
      </c>
    </row>
    <row r="6" spans="1:8" x14ac:dyDescent="0.35">
      <c r="A6" s="13"/>
      <c r="B6" s="18">
        <v>44562</v>
      </c>
      <c r="C6" s="19" t="e" vm="1">
        <v>#VALUE!</v>
      </c>
      <c r="D6" s="19" t="s">
        <v>152</v>
      </c>
      <c r="E6" s="433">
        <v>110.93</v>
      </c>
      <c r="F6" s="20">
        <v>5.05</v>
      </c>
      <c r="G6" s="433">
        <f t="shared" si="0"/>
        <v>560.19650000000001</v>
      </c>
      <c r="H6" s="21" t="str" cm="1">
        <f t="array" aca="1" ref="H6" ca="1">_FV(Ledger[[#This Row],[Stock]],"Ticker symbol",TRUE)</f>
        <v>AMD</v>
      </c>
    </row>
    <row r="7" spans="1:8" x14ac:dyDescent="0.35">
      <c r="A7" s="13"/>
      <c r="B7" s="83">
        <v>44927</v>
      </c>
      <c r="C7" s="84" t="e" vm="1">
        <v>#VALUE!</v>
      </c>
      <c r="D7" s="84" t="s">
        <v>13</v>
      </c>
      <c r="E7" s="434">
        <v>66.09</v>
      </c>
      <c r="F7" s="85">
        <v>8.4700000000000006</v>
      </c>
      <c r="G7" s="434">
        <f t="shared" si="0"/>
        <v>559.78230000000008</v>
      </c>
      <c r="H7" s="86" t="str" cm="1">
        <f t="array" aca="1" ref="H7" ca="1">_FV(Ledger[[#This Row],[Stock]],"Ticker symbol",TRUE)</f>
        <v>AMD</v>
      </c>
    </row>
    <row r="8" spans="1:8" x14ac:dyDescent="0.35">
      <c r="A8" s="13"/>
      <c r="B8" s="18">
        <v>45292</v>
      </c>
      <c r="C8" s="19" t="e" vm="1">
        <v>#VALUE!</v>
      </c>
      <c r="D8" s="19" t="s">
        <v>13</v>
      </c>
      <c r="E8" s="433">
        <v>104.7</v>
      </c>
      <c r="F8" s="20">
        <v>21.4</v>
      </c>
      <c r="G8" s="433">
        <f t="shared" si="0"/>
        <v>2240.58</v>
      </c>
      <c r="H8" s="21" t="str" cm="1">
        <f t="array" aca="1" ref="H8" ca="1">_FV(Ledger[[#This Row],[Stock]],"Ticker symbol",TRUE)</f>
        <v>AMD</v>
      </c>
    </row>
    <row r="9" spans="1:8" x14ac:dyDescent="0.35">
      <c r="A9" s="13"/>
      <c r="B9" s="83">
        <v>45658</v>
      </c>
      <c r="C9" s="84" t="e" vm="1">
        <v>#VALUE!</v>
      </c>
      <c r="D9" s="84" t="s">
        <v>152</v>
      </c>
      <c r="E9" s="434">
        <v>126.16</v>
      </c>
      <c r="F9" s="85">
        <v>18.66</v>
      </c>
      <c r="G9" s="434">
        <f t="shared" si="0"/>
        <v>2354.1455999999998</v>
      </c>
      <c r="H9" s="86" t="str" cm="1">
        <f t="array" aca="1" ref="H9" ca="1">_FV(Ledger[[#This Row],[Stock]],"Ticker symbol",TRUE)</f>
        <v>AMD</v>
      </c>
    </row>
    <row r="10" spans="1:8" x14ac:dyDescent="0.35">
      <c r="A10" s="13"/>
      <c r="B10" s="18">
        <v>43466</v>
      </c>
      <c r="C10" s="19" t="e" vm="10">
        <v>#VALUE!</v>
      </c>
      <c r="D10" s="19" t="s">
        <v>13</v>
      </c>
      <c r="E10" s="433">
        <v>97.62</v>
      </c>
      <c r="F10" s="20">
        <v>7.32</v>
      </c>
      <c r="G10" s="433">
        <f t="shared" si="0"/>
        <v>714.5784000000001</v>
      </c>
      <c r="H10" s="21" t="str" cm="1">
        <f t="array" aca="1" ref="H10" ca="1">_FV(Ledger[[#This Row],[Stock]],"Ticker symbol",TRUE)</f>
        <v>JPM</v>
      </c>
    </row>
    <row r="11" spans="1:8" x14ac:dyDescent="0.35">
      <c r="A11" s="13"/>
      <c r="B11" s="83">
        <v>43831</v>
      </c>
      <c r="C11" s="84" t="e" vm="10">
        <v>#VALUE!</v>
      </c>
      <c r="D11" s="84" t="s">
        <v>13</v>
      </c>
      <c r="E11" s="434">
        <v>139.4</v>
      </c>
      <c r="F11" s="85">
        <v>5.12</v>
      </c>
      <c r="G11" s="434">
        <f t="shared" si="0"/>
        <v>713.72800000000007</v>
      </c>
      <c r="H11" s="86" t="str" cm="1">
        <f t="array" aca="1" ref="H11" ca="1">_FV(Ledger[[#This Row],[Stock]],"Ticker symbol",TRUE)</f>
        <v>JPM</v>
      </c>
    </row>
    <row r="12" spans="1:8" x14ac:dyDescent="0.35">
      <c r="A12" s="13"/>
      <c r="B12" s="18">
        <v>44197</v>
      </c>
      <c r="C12" s="19" t="e" vm="10">
        <v>#VALUE!</v>
      </c>
      <c r="D12" s="19" t="s">
        <v>13</v>
      </c>
      <c r="E12" s="433">
        <v>127.07</v>
      </c>
      <c r="F12" s="20">
        <v>5.62</v>
      </c>
      <c r="G12" s="433">
        <f t="shared" si="0"/>
        <v>714.13339999999994</v>
      </c>
      <c r="H12" s="21" t="str" cm="1">
        <f t="array" aca="1" ref="H12" ca="1">_FV(Ledger[[#This Row],[Stock]],"Ticker symbol",TRUE)</f>
        <v>JPM</v>
      </c>
    </row>
    <row r="13" spans="1:8" x14ac:dyDescent="0.35">
      <c r="A13" s="13"/>
      <c r="B13" s="83">
        <v>44562</v>
      </c>
      <c r="C13" s="84" t="e" vm="10">
        <v>#VALUE!</v>
      </c>
      <c r="D13" s="84" t="s">
        <v>152</v>
      </c>
      <c r="E13" s="434">
        <v>167.89</v>
      </c>
      <c r="F13" s="85">
        <v>4.26</v>
      </c>
      <c r="G13" s="434">
        <f t="shared" si="0"/>
        <v>715.21139999999991</v>
      </c>
      <c r="H13" s="86" t="str" cm="1">
        <f t="array" aca="1" ref="H13" ca="1">_FV(Ledger[[#This Row],[Stock]],"Ticker symbol",TRUE)</f>
        <v>JPM</v>
      </c>
    </row>
    <row r="14" spans="1:8" x14ac:dyDescent="0.35">
      <c r="A14" s="13"/>
      <c r="B14" s="18">
        <v>44927</v>
      </c>
      <c r="C14" s="19" t="e" vm="10">
        <v>#VALUE!</v>
      </c>
      <c r="D14" s="19" t="s">
        <v>13</v>
      </c>
      <c r="E14" s="433">
        <v>134.12</v>
      </c>
      <c r="F14" s="20">
        <v>5.32</v>
      </c>
      <c r="G14" s="433">
        <f t="shared" si="0"/>
        <v>713.51840000000004</v>
      </c>
      <c r="H14" s="21" t="str" cm="1">
        <f t="array" aca="1" ref="H14" ca="1">_FV(Ledger[[#This Row],[Stock]],"Ticker symbol",TRUE)</f>
        <v>JPM</v>
      </c>
    </row>
    <row r="15" spans="1:8" x14ac:dyDescent="0.35">
      <c r="A15" s="13"/>
      <c r="B15" s="83">
        <v>45292</v>
      </c>
      <c r="C15" s="84" t="e" vm="10">
        <v>#VALUE!</v>
      </c>
      <c r="D15" s="84" t="s">
        <v>13</v>
      </c>
      <c r="E15" s="434">
        <v>170.1</v>
      </c>
      <c r="F15" s="85">
        <v>16.8</v>
      </c>
      <c r="G15" s="434">
        <f t="shared" si="0"/>
        <v>2857.68</v>
      </c>
      <c r="H15" s="86" t="str" cm="1">
        <f t="array" aca="1" ref="H15" ca="1">_FV(Ledger[[#This Row],[Stock]],"Ticker symbol",TRUE)</f>
        <v>JPM</v>
      </c>
    </row>
    <row r="16" spans="1:8" x14ac:dyDescent="0.35">
      <c r="A16" s="13"/>
      <c r="B16" s="18">
        <v>45658</v>
      </c>
      <c r="C16" s="19" t="e" vm="10">
        <v>#VALUE!</v>
      </c>
      <c r="D16" s="19" t="s">
        <v>152</v>
      </c>
      <c r="E16" s="433">
        <v>242.12</v>
      </c>
      <c r="F16" s="20">
        <v>12.4</v>
      </c>
      <c r="G16" s="433">
        <f t="shared" si="0"/>
        <v>3002.288</v>
      </c>
      <c r="H16" s="21" t="str" cm="1">
        <f t="array" aca="1" ref="H16" ca="1">_FV(Ledger[[#This Row],[Stock]],"Ticker symbol",TRUE)</f>
        <v>JPM</v>
      </c>
    </row>
    <row r="17" spans="1:8" x14ac:dyDescent="0.35">
      <c r="A17" s="13"/>
      <c r="B17" s="83">
        <v>43466</v>
      </c>
      <c r="C17" s="84" t="e" vm="5">
        <v>#VALUE!</v>
      </c>
      <c r="D17" s="84" t="s">
        <v>13</v>
      </c>
      <c r="E17" s="434">
        <v>389.5</v>
      </c>
      <c r="F17" s="85">
        <v>1.69</v>
      </c>
      <c r="G17" s="434">
        <f t="shared" si="0"/>
        <v>658.255</v>
      </c>
      <c r="H17" s="86" t="str" cm="1">
        <f t="array" aca="1" ref="H17" ca="1">_FV(Ledger[[#This Row],[Stock]],"Ticker symbol",TRUE)</f>
        <v>BLK</v>
      </c>
    </row>
    <row r="18" spans="1:8" x14ac:dyDescent="0.35">
      <c r="A18" s="13"/>
      <c r="B18" s="18">
        <v>43831</v>
      </c>
      <c r="C18" s="19" t="e" vm="5">
        <v>#VALUE!</v>
      </c>
      <c r="D18" s="19" t="s">
        <v>13</v>
      </c>
      <c r="E18" s="433">
        <v>502.7</v>
      </c>
      <c r="F18" s="20">
        <v>1.31</v>
      </c>
      <c r="G18" s="433">
        <f t="shared" si="0"/>
        <v>658.53700000000003</v>
      </c>
      <c r="H18" s="21" t="str" cm="1">
        <f t="array" aca="1" ref="H18" ca="1">_FV(Ledger[[#This Row],[Stock]],"Ticker symbol",TRUE)</f>
        <v>BLK</v>
      </c>
    </row>
    <row r="19" spans="1:8" x14ac:dyDescent="0.35">
      <c r="A19" s="13"/>
      <c r="B19" s="83">
        <v>44197</v>
      </c>
      <c r="C19" s="84" t="e" vm="5">
        <v>#VALUE!</v>
      </c>
      <c r="D19" s="84" t="s">
        <v>13</v>
      </c>
      <c r="E19" s="434">
        <v>720.44</v>
      </c>
      <c r="F19" s="85">
        <v>0.91</v>
      </c>
      <c r="G19" s="434">
        <f t="shared" si="0"/>
        <v>655.60040000000004</v>
      </c>
      <c r="H19" s="86" t="str" cm="1">
        <f t="array" aca="1" ref="H19" ca="1">_FV(Ledger[[#This Row],[Stock]],"Ticker symbol",TRUE)</f>
        <v>BLK</v>
      </c>
    </row>
    <row r="20" spans="1:8" x14ac:dyDescent="0.35">
      <c r="A20" s="13"/>
      <c r="B20" s="18">
        <v>44562</v>
      </c>
      <c r="C20" s="19" t="e" vm="5">
        <v>#VALUE!</v>
      </c>
      <c r="D20" s="19" t="s">
        <v>152</v>
      </c>
      <c r="E20" s="433">
        <v>900.84</v>
      </c>
      <c r="F20" s="20">
        <v>0.73</v>
      </c>
      <c r="G20" s="433">
        <f t="shared" si="0"/>
        <v>657.61320000000001</v>
      </c>
      <c r="H20" s="21" t="str" cm="1">
        <f t="array" aca="1" ref="H20" ca="1">_FV(Ledger[[#This Row],[Stock]],"Ticker symbol",TRUE)</f>
        <v>BLK</v>
      </c>
    </row>
    <row r="21" spans="1:8" x14ac:dyDescent="0.35">
      <c r="A21" s="13"/>
      <c r="B21" s="83">
        <v>44927</v>
      </c>
      <c r="C21" s="84" t="e" vm="5">
        <v>#VALUE!</v>
      </c>
      <c r="D21" s="84" t="s">
        <v>13</v>
      </c>
      <c r="E21" s="434">
        <v>714.77</v>
      </c>
      <c r="F21" s="85">
        <v>0.92</v>
      </c>
      <c r="G21" s="434">
        <f t="shared" si="0"/>
        <v>657.58839999999998</v>
      </c>
      <c r="H21" s="86" t="str" cm="1">
        <f t="array" aca="1" ref="H21" ca="1">_FV(Ledger[[#This Row],[Stock]],"Ticker symbol",TRUE)</f>
        <v>BLK</v>
      </c>
    </row>
    <row r="22" spans="1:8" x14ac:dyDescent="0.35">
      <c r="A22" s="13"/>
      <c r="B22" s="18">
        <v>45292</v>
      </c>
      <c r="C22" s="19" t="e" vm="5">
        <v>#VALUE!</v>
      </c>
      <c r="D22" s="19" t="s">
        <v>13</v>
      </c>
      <c r="E22" s="433">
        <v>808.8</v>
      </c>
      <c r="F22" s="20">
        <v>3.25</v>
      </c>
      <c r="G22" s="433">
        <f t="shared" si="0"/>
        <v>2628.6</v>
      </c>
      <c r="H22" s="21" t="str" cm="1">
        <f t="array" aca="1" ref="H22" ca="1">_FV(Ledger[[#This Row],[Stock]],"Ticker symbol",TRUE)</f>
        <v>BLK</v>
      </c>
    </row>
    <row r="23" spans="1:8" x14ac:dyDescent="0.35">
      <c r="A23" s="13"/>
      <c r="B23" s="83">
        <v>45658</v>
      </c>
      <c r="C23" s="84" t="e" vm="5">
        <v>#VALUE!</v>
      </c>
      <c r="D23" s="84" t="s">
        <v>152</v>
      </c>
      <c r="E23" s="434">
        <v>1008.88</v>
      </c>
      <c r="F23" s="85">
        <v>2.74</v>
      </c>
      <c r="G23" s="434">
        <f t="shared" si="0"/>
        <v>2764.3312000000001</v>
      </c>
      <c r="H23" s="86" t="str" cm="1">
        <f t="array" aca="1" ref="H23" ca="1">_FV(Ledger[[#This Row],[Stock]],"Ticker symbol",TRUE)</f>
        <v>BLK</v>
      </c>
    </row>
    <row r="24" spans="1:8" x14ac:dyDescent="0.35">
      <c r="A24" s="13"/>
      <c r="B24" s="18">
        <v>43466</v>
      </c>
      <c r="C24" s="19" t="e" vm="14">
        <v>#VALUE!</v>
      </c>
      <c r="D24" s="19" t="s">
        <v>13</v>
      </c>
      <c r="E24" s="433">
        <v>322.5</v>
      </c>
      <c r="F24" s="20">
        <v>2.34</v>
      </c>
      <c r="G24" s="433">
        <f t="shared" si="0"/>
        <v>754.65</v>
      </c>
      <c r="H24" s="21" t="str" cm="1">
        <f t="array" aca="1" ref="H24" ca="1">_FV(Ledger[[#This Row],[Stock]],"Ticker symbol",TRUE)</f>
        <v>BA</v>
      </c>
    </row>
    <row r="25" spans="1:8" x14ac:dyDescent="0.35">
      <c r="A25" s="13"/>
      <c r="B25" s="83">
        <v>43831</v>
      </c>
      <c r="C25" s="84" t="e" vm="14">
        <v>#VALUE!</v>
      </c>
      <c r="D25" s="84" t="s">
        <v>13</v>
      </c>
      <c r="E25" s="434">
        <v>327</v>
      </c>
      <c r="F25" s="85">
        <v>2.31</v>
      </c>
      <c r="G25" s="434">
        <f t="shared" si="0"/>
        <v>755.37</v>
      </c>
      <c r="H25" s="86" t="str" cm="1">
        <f t="array" aca="1" ref="H25" ca="1">_FV(Ledger[[#This Row],[Stock]],"Ticker symbol",TRUE)</f>
        <v>BA</v>
      </c>
    </row>
    <row r="26" spans="1:8" x14ac:dyDescent="0.35">
      <c r="A26" s="13"/>
      <c r="B26" s="18">
        <v>44197</v>
      </c>
      <c r="C26" s="19" t="e" vm="14">
        <v>#VALUE!</v>
      </c>
      <c r="D26" s="19" t="s">
        <v>13</v>
      </c>
      <c r="E26" s="433">
        <v>214.06</v>
      </c>
      <c r="F26" s="20">
        <v>3.52</v>
      </c>
      <c r="G26" s="433">
        <f t="shared" si="0"/>
        <v>753.49120000000005</v>
      </c>
      <c r="H26" s="21" t="str" cm="1">
        <f t="array" aca="1" ref="H26" ca="1">_FV(Ledger[[#This Row],[Stock]],"Ticker symbol",TRUE)</f>
        <v>BA</v>
      </c>
    </row>
    <row r="27" spans="1:8" x14ac:dyDescent="0.35">
      <c r="A27" s="13"/>
      <c r="B27" s="83">
        <v>44562</v>
      </c>
      <c r="C27" s="84" t="e" vm="14">
        <v>#VALUE!</v>
      </c>
      <c r="D27" s="84" t="s">
        <v>152</v>
      </c>
      <c r="E27" s="434">
        <v>202.71</v>
      </c>
      <c r="F27" s="85">
        <v>3.72</v>
      </c>
      <c r="G27" s="434">
        <f t="shared" si="0"/>
        <v>754.08120000000008</v>
      </c>
      <c r="H27" s="86" t="str" cm="1">
        <f t="array" aca="1" ref="H27" ca="1">_FV(Ledger[[#This Row],[Stock]],"Ticker symbol",TRUE)</f>
        <v>BA</v>
      </c>
    </row>
    <row r="28" spans="1:8" x14ac:dyDescent="0.35">
      <c r="A28" s="13"/>
      <c r="B28" s="18">
        <v>44927</v>
      </c>
      <c r="C28" s="19" t="e" vm="14">
        <v>#VALUE!</v>
      </c>
      <c r="D28" s="19" t="s">
        <v>13</v>
      </c>
      <c r="E28" s="433">
        <v>193.38</v>
      </c>
      <c r="F28" s="20">
        <v>3.9</v>
      </c>
      <c r="G28" s="433">
        <f t="shared" si="0"/>
        <v>754.18200000000002</v>
      </c>
      <c r="H28" s="21" t="str" cm="1">
        <f t="array" aca="1" ref="H28" ca="1">_FV(Ledger[[#This Row],[Stock]],"Ticker symbol",TRUE)</f>
        <v>BA</v>
      </c>
    </row>
    <row r="29" spans="1:8" x14ac:dyDescent="0.35">
      <c r="A29" s="13"/>
      <c r="B29" s="83">
        <v>45292</v>
      </c>
      <c r="C29" s="84" t="e" vm="14">
        <v>#VALUE!</v>
      </c>
      <c r="D29" s="84" t="s">
        <v>13</v>
      </c>
      <c r="E29" s="434">
        <v>249.33</v>
      </c>
      <c r="F29" s="85">
        <v>12.1</v>
      </c>
      <c r="G29" s="434">
        <f t="shared" si="0"/>
        <v>3016.893</v>
      </c>
      <c r="H29" s="86" t="str" cm="1">
        <f t="array" aca="1" ref="H29" ca="1">_FV(Ledger[[#This Row],[Stock]],"Ticker symbol",TRUE)</f>
        <v>BA</v>
      </c>
    </row>
    <row r="30" spans="1:8" x14ac:dyDescent="0.35">
      <c r="A30" s="13"/>
      <c r="B30" s="18">
        <v>45658</v>
      </c>
      <c r="C30" s="19" t="e" vm="14">
        <v>#VALUE!</v>
      </c>
      <c r="D30" s="19" t="s">
        <v>152</v>
      </c>
      <c r="E30" s="433">
        <v>177.05</v>
      </c>
      <c r="F30" s="20">
        <v>17.899999999999999</v>
      </c>
      <c r="G30" s="433">
        <f t="shared" si="0"/>
        <v>3169.1950000000002</v>
      </c>
      <c r="H30" s="21" t="str" cm="1">
        <f t="array" aca="1" ref="H30" ca="1">_FV(Ledger[[#This Row],[Stock]],"Ticker symbol",TRUE)</f>
        <v>BA</v>
      </c>
    </row>
    <row r="31" spans="1:8" x14ac:dyDescent="0.35">
      <c r="A31" s="13"/>
      <c r="B31" s="83">
        <v>43466</v>
      </c>
      <c r="C31" s="84" t="e" vm="11">
        <v>#VALUE!</v>
      </c>
      <c r="D31" s="84" t="s">
        <v>13</v>
      </c>
      <c r="E31" s="434">
        <v>131.09</v>
      </c>
      <c r="F31" s="85">
        <v>4.8099999999999996</v>
      </c>
      <c r="G31" s="434">
        <f t="shared" si="0"/>
        <v>630.54289999999992</v>
      </c>
      <c r="H31" s="86" t="str" cm="1">
        <f t="array" aca="1" ref="H31" ca="1">_FV(Ledger[[#This Row],[Stock]],"Ticker symbol",TRUE)</f>
        <v>META</v>
      </c>
    </row>
    <row r="32" spans="1:8" x14ac:dyDescent="0.35">
      <c r="A32" s="13"/>
      <c r="B32" s="18">
        <v>43831</v>
      </c>
      <c r="C32" s="19" t="e" vm="11">
        <v>#VALUE!</v>
      </c>
      <c r="D32" s="19" t="s">
        <v>13</v>
      </c>
      <c r="E32" s="433">
        <v>209.78</v>
      </c>
      <c r="F32" s="20">
        <v>3</v>
      </c>
      <c r="G32" s="433">
        <f t="shared" si="0"/>
        <v>629.34</v>
      </c>
      <c r="H32" s="21" t="str" cm="1">
        <f t="array" aca="1" ref="H32" ca="1">_FV(Ledger[[#This Row],[Stock]],"Ticker symbol",TRUE)</f>
        <v>META</v>
      </c>
    </row>
    <row r="33" spans="1:8" x14ac:dyDescent="0.35">
      <c r="A33" s="13"/>
      <c r="B33" s="83">
        <v>44197</v>
      </c>
      <c r="C33" s="84" t="e" vm="11">
        <v>#VALUE!</v>
      </c>
      <c r="D33" s="84" t="s">
        <v>13</v>
      </c>
      <c r="E33" s="434">
        <v>273.16000000000003</v>
      </c>
      <c r="F33" s="85">
        <v>2.31</v>
      </c>
      <c r="G33" s="434">
        <f t="shared" si="0"/>
        <v>630.9996000000001</v>
      </c>
      <c r="H33" s="86" t="str" cm="1">
        <f t="array" aca="1" ref="H33" ca="1">_FV(Ledger[[#This Row],[Stock]],"Ticker symbol",TRUE)</f>
        <v>META</v>
      </c>
    </row>
    <row r="34" spans="1:8" x14ac:dyDescent="0.35">
      <c r="A34" s="13"/>
      <c r="B34" s="18">
        <v>44562</v>
      </c>
      <c r="C34" s="19" t="e" vm="11">
        <v>#VALUE!</v>
      </c>
      <c r="D34" s="19" t="s">
        <v>152</v>
      </c>
      <c r="E34" s="433">
        <v>338.54</v>
      </c>
      <c r="F34" s="20">
        <v>1.86</v>
      </c>
      <c r="G34" s="433">
        <f t="shared" si="0"/>
        <v>629.6844000000001</v>
      </c>
      <c r="H34" s="21" t="str" cm="1">
        <f t="array" aca="1" ref="H34" ca="1">_FV(Ledger[[#This Row],[Stock]],"Ticker symbol",TRUE)</f>
        <v>META</v>
      </c>
    </row>
    <row r="35" spans="1:8" x14ac:dyDescent="0.35">
      <c r="A35" s="13"/>
      <c r="B35" s="83">
        <v>44927</v>
      </c>
      <c r="C35" s="84" t="e" vm="11">
        <v>#VALUE!</v>
      </c>
      <c r="D35" s="84" t="s">
        <v>13</v>
      </c>
      <c r="E35" s="434">
        <v>128.31</v>
      </c>
      <c r="F35" s="85">
        <v>4.91</v>
      </c>
      <c r="G35" s="434">
        <f t="shared" ref="G35:G66" si="1">E35*F35</f>
        <v>630.00210000000004</v>
      </c>
      <c r="H35" s="86" t="str" cm="1">
        <f t="array" aca="1" ref="H35" ca="1">_FV(Ledger[[#This Row],[Stock]],"Ticker symbol",TRUE)</f>
        <v>META</v>
      </c>
    </row>
    <row r="36" spans="1:8" x14ac:dyDescent="0.35">
      <c r="A36" s="13"/>
      <c r="B36" s="18">
        <v>45292</v>
      </c>
      <c r="C36" s="19" t="e" vm="11">
        <v>#VALUE!</v>
      </c>
      <c r="D36" s="19" t="s">
        <v>13</v>
      </c>
      <c r="E36" s="433">
        <v>353.96</v>
      </c>
      <c r="F36" s="20">
        <v>7.12</v>
      </c>
      <c r="G36" s="433">
        <f t="shared" si="1"/>
        <v>2520.1952000000001</v>
      </c>
      <c r="H36" s="21" t="str" cm="1">
        <f t="array" aca="1" ref="H36" ca="1">_FV(Ledger[[#This Row],[Stock]],"Ticker symbol",TRUE)</f>
        <v>META</v>
      </c>
    </row>
    <row r="37" spans="1:8" x14ac:dyDescent="0.35">
      <c r="A37" s="13"/>
      <c r="B37" s="83">
        <v>45658</v>
      </c>
      <c r="C37" s="84" t="e" vm="11">
        <v>#VALUE!</v>
      </c>
      <c r="D37" s="84" t="s">
        <v>152</v>
      </c>
      <c r="E37" s="434">
        <v>585.51</v>
      </c>
      <c r="F37" s="85">
        <v>4.5199999999999996</v>
      </c>
      <c r="G37" s="434">
        <f t="shared" si="1"/>
        <v>2646.5051999999996</v>
      </c>
      <c r="H37" s="86" t="str" cm="1">
        <f t="array" aca="1" ref="H37" ca="1">_FV(Ledger[[#This Row],[Stock]],"Ticker symbol",TRUE)</f>
        <v>META</v>
      </c>
    </row>
    <row r="38" spans="1:8" x14ac:dyDescent="0.35">
      <c r="A38" s="13"/>
      <c r="B38" s="18">
        <v>43466</v>
      </c>
      <c r="C38" s="19" t="e" vm="2">
        <v>#VALUE!</v>
      </c>
      <c r="D38" s="19" t="s">
        <v>13</v>
      </c>
      <c r="E38" s="433">
        <v>52.28</v>
      </c>
      <c r="F38" s="20">
        <v>11.38</v>
      </c>
      <c r="G38" s="433">
        <f t="shared" si="1"/>
        <v>594.94640000000004</v>
      </c>
      <c r="H38" s="21" t="str" cm="1">
        <f t="array" aca="1" ref="H38" ca="1">_FV(Ledger[[#This Row],[Stock]],"Ticker symbol",TRUE)</f>
        <v>GOOG</v>
      </c>
    </row>
    <row r="39" spans="1:8" x14ac:dyDescent="0.35">
      <c r="A39" s="13"/>
      <c r="B39" s="83">
        <v>43831</v>
      </c>
      <c r="C39" s="84" t="e" vm="2">
        <v>#VALUE!</v>
      </c>
      <c r="D39" s="84" t="s">
        <v>13</v>
      </c>
      <c r="E39" s="434">
        <v>68.37</v>
      </c>
      <c r="F39" s="85">
        <v>8.6999999999999993</v>
      </c>
      <c r="G39" s="434">
        <f t="shared" si="1"/>
        <v>594.81899999999996</v>
      </c>
      <c r="H39" s="86" t="str" cm="1">
        <f t="array" aca="1" ref="H39" ca="1">_FV(Ledger[[#This Row],[Stock]],"Ticker symbol",TRUE)</f>
        <v>GOOG</v>
      </c>
    </row>
    <row r="40" spans="1:8" x14ac:dyDescent="0.35">
      <c r="A40" s="13"/>
      <c r="B40" s="18">
        <v>44197</v>
      </c>
      <c r="C40" s="19" t="e" vm="2">
        <v>#VALUE!</v>
      </c>
      <c r="D40" s="19" t="s">
        <v>13</v>
      </c>
      <c r="E40" s="433">
        <v>87.9</v>
      </c>
      <c r="F40" s="20">
        <v>6.77</v>
      </c>
      <c r="G40" s="433">
        <f t="shared" si="1"/>
        <v>595.08299999999997</v>
      </c>
      <c r="H40" s="21" t="str" cm="1">
        <f t="array" aca="1" ref="H40" ca="1">_FV(Ledger[[#This Row],[Stock]],"Ticker symbol",TRUE)</f>
        <v>GOOG</v>
      </c>
    </row>
    <row r="41" spans="1:8" x14ac:dyDescent="0.35">
      <c r="A41" s="13"/>
      <c r="B41" s="83">
        <v>44562</v>
      </c>
      <c r="C41" s="84" t="e" vm="2">
        <v>#VALUE!</v>
      </c>
      <c r="D41" s="84" t="s">
        <v>152</v>
      </c>
      <c r="E41" s="434">
        <v>144.41</v>
      </c>
      <c r="F41" s="85">
        <v>4.12</v>
      </c>
      <c r="G41" s="434">
        <f t="shared" si="1"/>
        <v>594.9692</v>
      </c>
      <c r="H41" s="86" t="str" cm="1">
        <f t="array" aca="1" ref="H41" ca="1">_FV(Ledger[[#This Row],[Stock]],"Ticker symbol",TRUE)</f>
        <v>GOOG</v>
      </c>
    </row>
    <row r="42" spans="1:8" x14ac:dyDescent="0.35">
      <c r="A42" s="13"/>
      <c r="B42" s="18">
        <v>44927</v>
      </c>
      <c r="C42" s="19" t="e" vm="2">
        <v>#VALUE!</v>
      </c>
      <c r="D42" s="19" t="s">
        <v>13</v>
      </c>
      <c r="E42" s="433">
        <v>88.73</v>
      </c>
      <c r="F42" s="20">
        <v>6.7</v>
      </c>
      <c r="G42" s="433">
        <f t="shared" si="1"/>
        <v>594.4910000000001</v>
      </c>
      <c r="H42" s="21" t="str" cm="1">
        <f t="array" aca="1" ref="H42" ca="1">_FV(Ledger[[#This Row],[Stock]],"Ticker symbol",TRUE)</f>
        <v>GOOG</v>
      </c>
    </row>
    <row r="43" spans="1:8" x14ac:dyDescent="0.35">
      <c r="A43" s="13"/>
      <c r="B43" s="83">
        <v>45292</v>
      </c>
      <c r="C43" s="84" t="e" vm="2">
        <v>#VALUE!</v>
      </c>
      <c r="D43" s="84" t="s">
        <v>13</v>
      </c>
      <c r="E43" s="434">
        <v>140.93</v>
      </c>
      <c r="F43" s="85">
        <v>16.89</v>
      </c>
      <c r="G43" s="434">
        <f t="shared" si="1"/>
        <v>2380.3077000000003</v>
      </c>
      <c r="H43" s="86" t="str" cm="1">
        <f t="array" aca="1" ref="H43" ca="1">_FV(Ledger[[#This Row],[Stock]],"Ticker symbol",TRUE)</f>
        <v>GOOG</v>
      </c>
    </row>
    <row r="44" spans="1:8" x14ac:dyDescent="0.35">
      <c r="A44" s="13"/>
      <c r="B44" s="18">
        <v>45658</v>
      </c>
      <c r="C44" s="19" t="e" vm="2">
        <v>#VALUE!</v>
      </c>
      <c r="D44" s="19" t="s">
        <v>152</v>
      </c>
      <c r="E44" s="433">
        <v>191.41</v>
      </c>
      <c r="F44" s="20">
        <v>13.06</v>
      </c>
      <c r="G44" s="433">
        <f t="shared" si="1"/>
        <v>2499.8146000000002</v>
      </c>
      <c r="H44" s="21" t="str" cm="1">
        <f t="array" aca="1" ref="H44" ca="1">_FV(Ledger[[#This Row],[Stock]],"Ticker symbol",TRUE)</f>
        <v>GOOG</v>
      </c>
    </row>
    <row r="45" spans="1:8" x14ac:dyDescent="0.35">
      <c r="A45" s="13"/>
      <c r="B45" s="83">
        <v>43466</v>
      </c>
      <c r="C45" s="84" t="e" vm="12">
        <v>#VALUE!</v>
      </c>
      <c r="D45" s="84" t="s">
        <v>13</v>
      </c>
      <c r="E45" s="434">
        <v>3.37</v>
      </c>
      <c r="F45" s="85">
        <v>197.32</v>
      </c>
      <c r="G45" s="434">
        <f t="shared" si="1"/>
        <v>664.96839999999997</v>
      </c>
      <c r="H45" s="86" t="str" cm="1">
        <f t="array" aca="1" ref="H45" ca="1">_FV(Ledger[[#This Row],[Stock]],"Ticker symbol",TRUE)</f>
        <v>NVDA</v>
      </c>
    </row>
    <row r="46" spans="1:8" x14ac:dyDescent="0.35">
      <c r="A46" s="13"/>
      <c r="B46" s="18">
        <v>43831</v>
      </c>
      <c r="C46" s="19" t="e" vm="12">
        <v>#VALUE!</v>
      </c>
      <c r="D46" s="19" t="s">
        <v>13</v>
      </c>
      <c r="E46" s="433">
        <v>5.91</v>
      </c>
      <c r="F46" s="20">
        <v>112.49</v>
      </c>
      <c r="G46" s="433">
        <f t="shared" si="1"/>
        <v>664.81589999999994</v>
      </c>
      <c r="H46" s="21" t="str" cm="1">
        <f t="array" aca="1" ref="H46" ca="1">_FV(Ledger[[#This Row],[Stock]],"Ticker symbol",TRUE)</f>
        <v>NVDA</v>
      </c>
    </row>
    <row r="47" spans="1:8" x14ac:dyDescent="0.35">
      <c r="A47" s="13"/>
      <c r="B47" s="83">
        <v>44197</v>
      </c>
      <c r="C47" s="84" t="e" vm="12">
        <v>#VALUE!</v>
      </c>
      <c r="D47" s="84" t="s">
        <v>13</v>
      </c>
      <c r="E47" s="434">
        <v>13.1</v>
      </c>
      <c r="F47" s="85">
        <v>50.77</v>
      </c>
      <c r="G47" s="434">
        <f t="shared" si="1"/>
        <v>665.08699999999999</v>
      </c>
      <c r="H47" s="86" t="str" cm="1">
        <f t="array" aca="1" ref="H47" ca="1">_FV(Ledger[[#This Row],[Stock]],"Ticker symbol",TRUE)</f>
        <v>NVDA</v>
      </c>
    </row>
    <row r="48" spans="1:8" x14ac:dyDescent="0.35">
      <c r="A48" s="13"/>
      <c r="B48" s="18">
        <v>44562</v>
      </c>
      <c r="C48" s="19" t="e" vm="12">
        <v>#VALUE!</v>
      </c>
      <c r="D48" s="19" t="s">
        <v>152</v>
      </c>
      <c r="E48" s="433">
        <v>29.47</v>
      </c>
      <c r="F48" s="20">
        <v>22.58</v>
      </c>
      <c r="G48" s="433">
        <f t="shared" si="1"/>
        <v>665.43259999999998</v>
      </c>
      <c r="H48" s="21" t="str" cm="1">
        <f t="array" aca="1" ref="H48" ca="1">_FV(Ledger[[#This Row],[Stock]],"Ticker symbol",TRUE)</f>
        <v>NVDA</v>
      </c>
    </row>
    <row r="49" spans="1:8" x14ac:dyDescent="0.35">
      <c r="A49" s="13"/>
      <c r="B49" s="83">
        <v>44927</v>
      </c>
      <c r="C49" s="84" t="e" vm="12">
        <v>#VALUE!</v>
      </c>
      <c r="D49" s="84" t="s">
        <v>13</v>
      </c>
      <c r="E49" s="434">
        <v>14.63</v>
      </c>
      <c r="F49" s="85">
        <v>45.44</v>
      </c>
      <c r="G49" s="434">
        <f t="shared" si="1"/>
        <v>664.78719999999998</v>
      </c>
      <c r="H49" s="86" t="str" cm="1">
        <f t="array" aca="1" ref="H49" ca="1">_FV(Ledger[[#This Row],[Stock]],"Ticker symbol",TRUE)</f>
        <v>NVDA</v>
      </c>
    </row>
    <row r="50" spans="1:8" x14ac:dyDescent="0.35">
      <c r="A50" s="13"/>
      <c r="B50" s="18">
        <v>45292</v>
      </c>
      <c r="C50" s="19" t="e" vm="12">
        <v>#VALUE!</v>
      </c>
      <c r="D50" s="19" t="s">
        <v>13</v>
      </c>
      <c r="E50" s="433">
        <v>49.52</v>
      </c>
      <c r="F50" s="20">
        <v>53.72</v>
      </c>
      <c r="G50" s="433">
        <f t="shared" si="1"/>
        <v>2660.2144000000003</v>
      </c>
      <c r="H50" s="21" t="str" cm="1">
        <f t="array" aca="1" ref="H50" ca="1">_FV(Ledger[[#This Row],[Stock]],"Ticker symbol",TRUE)</f>
        <v>NVDA</v>
      </c>
    </row>
    <row r="51" spans="1:8" x14ac:dyDescent="0.35">
      <c r="A51" s="13"/>
      <c r="B51" s="83">
        <v>45658</v>
      </c>
      <c r="C51" s="84" t="e" vm="12">
        <v>#VALUE!</v>
      </c>
      <c r="D51" s="84" t="s">
        <v>152</v>
      </c>
      <c r="E51" s="434">
        <v>134.29</v>
      </c>
      <c r="F51" s="85">
        <v>20.81</v>
      </c>
      <c r="G51" s="434">
        <f t="shared" si="1"/>
        <v>2794.5748999999996</v>
      </c>
      <c r="H51" s="86" t="str" cm="1">
        <f t="array" aca="1" ref="H51" ca="1">_FV(Ledger[[#This Row],[Stock]],"Ticker symbol",TRUE)</f>
        <v>NVDA</v>
      </c>
    </row>
    <row r="52" spans="1:8" x14ac:dyDescent="0.35">
      <c r="A52" s="13"/>
      <c r="B52" s="18">
        <v>43466</v>
      </c>
      <c r="C52" s="19" t="e" vm="4">
        <v>#VALUE!</v>
      </c>
      <c r="D52" s="19" t="s">
        <v>13</v>
      </c>
      <c r="E52" s="433">
        <v>39.479999999999997</v>
      </c>
      <c r="F52" s="20">
        <v>14.18</v>
      </c>
      <c r="G52" s="433">
        <f t="shared" si="1"/>
        <v>559.82639999999992</v>
      </c>
      <c r="H52" s="21" t="str" cm="1">
        <f t="array" aca="1" ref="H52" ca="1">_FV(Ledger[[#This Row],[Stock]],"Ticker symbol",TRUE)</f>
        <v>AAPL</v>
      </c>
    </row>
    <row r="53" spans="1:8" x14ac:dyDescent="0.35">
      <c r="A53" s="13"/>
      <c r="B53" s="83">
        <v>43831</v>
      </c>
      <c r="C53" s="84" t="e" vm="4">
        <v>#VALUE!</v>
      </c>
      <c r="D53" s="84" t="s">
        <v>13</v>
      </c>
      <c r="E53" s="434">
        <v>75.09</v>
      </c>
      <c r="F53" s="85">
        <v>7.45</v>
      </c>
      <c r="G53" s="434">
        <f t="shared" si="1"/>
        <v>559.42050000000006</v>
      </c>
      <c r="H53" s="86" t="str" cm="1">
        <f t="array" aca="1" ref="H53" ca="1">_FV(Ledger[[#This Row],[Stock]],"Ticker symbol",TRUE)</f>
        <v>AAPL</v>
      </c>
    </row>
    <row r="54" spans="1:8" x14ac:dyDescent="0.35">
      <c r="A54" s="13"/>
      <c r="B54" s="18">
        <v>44197</v>
      </c>
      <c r="C54" s="19" t="e" vm="4">
        <v>#VALUE!</v>
      </c>
      <c r="D54" s="19" t="s">
        <v>13</v>
      </c>
      <c r="E54" s="433">
        <v>132.69</v>
      </c>
      <c r="F54" s="20">
        <v>4.22</v>
      </c>
      <c r="G54" s="433">
        <f t="shared" si="1"/>
        <v>559.95179999999993</v>
      </c>
      <c r="H54" s="21" t="str" cm="1">
        <f t="array" aca="1" ref="H54" ca="1">_FV(Ledger[[#This Row],[Stock]],"Ticker symbol",TRUE)</f>
        <v>AAPL</v>
      </c>
    </row>
    <row r="55" spans="1:8" x14ac:dyDescent="0.35">
      <c r="A55" s="13"/>
      <c r="B55" s="83">
        <v>44562</v>
      </c>
      <c r="C55" s="84" t="e" vm="4">
        <v>#VALUE!</v>
      </c>
      <c r="D55" s="84" t="s">
        <v>152</v>
      </c>
      <c r="E55" s="434">
        <v>182.01</v>
      </c>
      <c r="F55" s="85">
        <v>3.08</v>
      </c>
      <c r="G55" s="434">
        <f t="shared" si="1"/>
        <v>560.59079999999994</v>
      </c>
      <c r="H55" s="86" t="str" cm="1">
        <f t="array" aca="1" ref="H55" ca="1">_FV(Ledger[[#This Row],[Stock]],"Ticker symbol",TRUE)</f>
        <v>AAPL</v>
      </c>
    </row>
    <row r="56" spans="1:8" x14ac:dyDescent="0.35">
      <c r="A56" s="13"/>
      <c r="B56" s="18">
        <v>44927</v>
      </c>
      <c r="C56" s="19" t="e" vm="4">
        <v>#VALUE!</v>
      </c>
      <c r="D56" s="19" t="s">
        <v>13</v>
      </c>
      <c r="E56" s="433">
        <v>130.21</v>
      </c>
      <c r="F56" s="20">
        <v>4.3</v>
      </c>
      <c r="G56" s="433">
        <f t="shared" si="1"/>
        <v>559.90300000000002</v>
      </c>
      <c r="H56" s="21" t="str" cm="1">
        <f t="array" aca="1" ref="H56" ca="1">_FV(Ledger[[#This Row],[Stock]],"Ticker symbol",TRUE)</f>
        <v>AAPL</v>
      </c>
    </row>
    <row r="57" spans="1:8" x14ac:dyDescent="0.35">
      <c r="A57" s="13"/>
      <c r="B57" s="83">
        <v>45292</v>
      </c>
      <c r="C57" s="84" t="e" vm="4">
        <v>#VALUE!</v>
      </c>
      <c r="D57" s="84" t="s">
        <v>13</v>
      </c>
      <c r="E57" s="434">
        <v>185.64</v>
      </c>
      <c r="F57" s="85">
        <v>12.06</v>
      </c>
      <c r="G57" s="434">
        <f t="shared" si="1"/>
        <v>2238.8184000000001</v>
      </c>
      <c r="H57" s="86" t="str" cm="1">
        <f t="array" aca="1" ref="H57" ca="1">_FV(Ledger[[#This Row],[Stock]],"Ticker symbol",TRUE)</f>
        <v>AAPL</v>
      </c>
    </row>
    <row r="58" spans="1:8" x14ac:dyDescent="0.35">
      <c r="A58" s="13"/>
      <c r="B58" s="18">
        <v>45658</v>
      </c>
      <c r="C58" s="19" t="e" vm="4">
        <v>#VALUE!</v>
      </c>
      <c r="D58" s="19" t="s">
        <v>152</v>
      </c>
      <c r="E58" s="433">
        <v>243.85</v>
      </c>
      <c r="F58" s="20">
        <v>9.65</v>
      </c>
      <c r="G58" s="433">
        <f t="shared" si="1"/>
        <v>2353.1525000000001</v>
      </c>
      <c r="H58" s="21" t="str" cm="1">
        <f t="array" aca="1" ref="H58" ca="1">_FV(Ledger[[#This Row],[Stock]],"Ticker symbol",TRUE)</f>
        <v>AAPL</v>
      </c>
    </row>
    <row r="59" spans="1:8" x14ac:dyDescent="0.35">
      <c r="A59" s="13"/>
      <c r="B59" s="83">
        <v>43466</v>
      </c>
      <c r="C59" s="84" t="e" vm="6">
        <v>#VALUE!</v>
      </c>
      <c r="D59" s="84" t="s">
        <v>13</v>
      </c>
      <c r="E59" s="434">
        <v>107.58</v>
      </c>
      <c r="F59" s="85">
        <v>6.95</v>
      </c>
      <c r="G59" s="434">
        <f t="shared" si="1"/>
        <v>747.68100000000004</v>
      </c>
      <c r="H59" s="86" t="str" cm="1">
        <f t="array" aca="1" ref="H59" ca="1">_FV(Ledger[[#This Row],[Stock]],"Ticker symbol",TRUE)</f>
        <v>CVX</v>
      </c>
    </row>
    <row r="60" spans="1:8" x14ac:dyDescent="0.35">
      <c r="A60" s="13"/>
      <c r="B60" s="18">
        <v>43831</v>
      </c>
      <c r="C60" s="19" t="e" vm="6">
        <v>#VALUE!</v>
      </c>
      <c r="D60" s="19" t="s">
        <v>13</v>
      </c>
      <c r="E60" s="433">
        <v>120.51</v>
      </c>
      <c r="F60" s="20">
        <v>6.21</v>
      </c>
      <c r="G60" s="433">
        <f t="shared" si="1"/>
        <v>748.36710000000005</v>
      </c>
      <c r="H60" s="21" t="str" cm="1">
        <f t="array" aca="1" ref="H60" ca="1">_FV(Ledger[[#This Row],[Stock]],"Ticker symbol",TRUE)</f>
        <v>CVX</v>
      </c>
    </row>
    <row r="61" spans="1:8" x14ac:dyDescent="0.35">
      <c r="A61" s="13"/>
      <c r="B61" s="83">
        <v>44197</v>
      </c>
      <c r="C61" s="84" t="e" vm="6">
        <v>#VALUE!</v>
      </c>
      <c r="D61" s="84" t="s">
        <v>13</v>
      </c>
      <c r="E61" s="434">
        <v>84.45</v>
      </c>
      <c r="F61" s="85">
        <v>8.86</v>
      </c>
      <c r="G61" s="434">
        <f t="shared" si="1"/>
        <v>748.22699999999998</v>
      </c>
      <c r="H61" s="86" t="str" cm="1">
        <f t="array" aca="1" ref="H61" ca="1">_FV(Ledger[[#This Row],[Stock]],"Ticker symbol",TRUE)</f>
        <v>CVX</v>
      </c>
    </row>
    <row r="62" spans="1:8" x14ac:dyDescent="0.35">
      <c r="A62" s="13"/>
      <c r="B62" s="18">
        <v>44562</v>
      </c>
      <c r="C62" s="19" t="e" vm="6">
        <v>#VALUE!</v>
      </c>
      <c r="D62" s="19" t="s">
        <v>152</v>
      </c>
      <c r="E62" s="433">
        <v>117.35</v>
      </c>
      <c r="F62" s="20">
        <v>6.38</v>
      </c>
      <c r="G62" s="433">
        <f t="shared" si="1"/>
        <v>748.69299999999998</v>
      </c>
      <c r="H62" s="21" t="str" cm="1">
        <f t="array" aca="1" ref="H62" ca="1">_FV(Ledger[[#This Row],[Stock]],"Ticker symbol",TRUE)</f>
        <v>CVX</v>
      </c>
    </row>
    <row r="63" spans="1:8" x14ac:dyDescent="0.35">
      <c r="A63" s="13"/>
      <c r="B63" s="83">
        <v>44927</v>
      </c>
      <c r="C63" s="84" t="e" vm="6">
        <v>#VALUE!</v>
      </c>
      <c r="D63" s="84" t="s">
        <v>13</v>
      </c>
      <c r="E63" s="434">
        <v>179.49</v>
      </c>
      <c r="F63" s="85">
        <v>4.17</v>
      </c>
      <c r="G63" s="434">
        <f t="shared" si="1"/>
        <v>748.47329999999999</v>
      </c>
      <c r="H63" s="86" t="str" cm="1">
        <f t="array" aca="1" ref="H63" ca="1">_FV(Ledger[[#This Row],[Stock]],"Ticker symbol",TRUE)</f>
        <v>CVX</v>
      </c>
    </row>
    <row r="64" spans="1:8" x14ac:dyDescent="0.35">
      <c r="A64" s="13"/>
      <c r="B64" s="18">
        <v>45292</v>
      </c>
      <c r="C64" s="19" t="e" vm="6">
        <v>#VALUE!</v>
      </c>
      <c r="D64" s="19" t="s">
        <v>13</v>
      </c>
      <c r="E64" s="433">
        <v>149.22</v>
      </c>
      <c r="F64" s="20">
        <v>20.059999999999999</v>
      </c>
      <c r="G64" s="433">
        <f t="shared" si="1"/>
        <v>2993.3531999999996</v>
      </c>
      <c r="H64" s="21" t="str" cm="1">
        <f t="array" aca="1" ref="H64" ca="1">_FV(Ledger[[#This Row],[Stock]],"Ticker symbol",TRUE)</f>
        <v>CVX</v>
      </c>
    </row>
    <row r="65" spans="1:8" x14ac:dyDescent="0.35">
      <c r="A65" s="13"/>
      <c r="B65" s="83">
        <v>45658</v>
      </c>
      <c r="C65" s="84" t="e" vm="6">
        <v>#VALUE!</v>
      </c>
      <c r="D65" s="84" t="s">
        <v>152</v>
      </c>
      <c r="E65" s="434">
        <v>144.77000000000001</v>
      </c>
      <c r="F65" s="85">
        <v>21.72</v>
      </c>
      <c r="G65" s="434">
        <f t="shared" si="1"/>
        <v>3144.4043999999999</v>
      </c>
      <c r="H65" s="86" t="str" cm="1">
        <f t="array" aca="1" ref="H65" ca="1">_FV(Ledger[[#This Row],[Stock]],"Ticker symbol",TRUE)</f>
        <v>CVX</v>
      </c>
    </row>
    <row r="66" spans="1:8" x14ac:dyDescent="0.35">
      <c r="A66" s="13"/>
      <c r="B66" s="18">
        <v>43466</v>
      </c>
      <c r="C66" s="19" t="e" vm="7">
        <v>#VALUE!</v>
      </c>
      <c r="D66" s="19" t="s">
        <v>13</v>
      </c>
      <c r="E66" s="433">
        <v>52.39</v>
      </c>
      <c r="F66" s="20">
        <v>12.01</v>
      </c>
      <c r="G66" s="433">
        <f t="shared" si="1"/>
        <v>629.20389999999998</v>
      </c>
      <c r="H66" s="21" t="str" cm="1">
        <f t="array" aca="1" ref="H66" ca="1">_FV(Ledger[[#This Row],[Stock]],"Ticker symbol",TRUE)</f>
        <v>C</v>
      </c>
    </row>
    <row r="67" spans="1:8" x14ac:dyDescent="0.35">
      <c r="A67" s="13"/>
      <c r="B67" s="83">
        <v>43831</v>
      </c>
      <c r="C67" s="84" t="e" vm="7">
        <v>#VALUE!</v>
      </c>
      <c r="D67" s="84" t="s">
        <v>13</v>
      </c>
      <c r="E67" s="434">
        <v>79.89</v>
      </c>
      <c r="F67" s="85">
        <v>7.87</v>
      </c>
      <c r="G67" s="434">
        <f t="shared" ref="G67:G98" si="2">E67*F67</f>
        <v>628.73429999999996</v>
      </c>
      <c r="H67" s="86" t="str" cm="1">
        <f t="array" aca="1" ref="H67" ca="1">_FV(Ledger[[#This Row],[Stock]],"Ticker symbol",TRUE)</f>
        <v>C</v>
      </c>
    </row>
    <row r="68" spans="1:8" x14ac:dyDescent="0.35">
      <c r="A68" s="13"/>
      <c r="B68" s="18">
        <v>44197</v>
      </c>
      <c r="C68" s="19" t="e" vm="7">
        <v>#VALUE!</v>
      </c>
      <c r="D68" s="19" t="s">
        <v>13</v>
      </c>
      <c r="E68" s="433">
        <v>61.63</v>
      </c>
      <c r="F68" s="20">
        <v>10.210000000000001</v>
      </c>
      <c r="G68" s="433">
        <f t="shared" si="2"/>
        <v>629.24230000000011</v>
      </c>
      <c r="H68" s="21" t="str" cm="1">
        <f t="array" aca="1" ref="H68" ca="1">_FV(Ledger[[#This Row],[Stock]],"Ticker symbol",TRUE)</f>
        <v>C</v>
      </c>
    </row>
    <row r="69" spans="1:8" x14ac:dyDescent="0.35">
      <c r="A69" s="13"/>
      <c r="B69" s="83">
        <v>44562</v>
      </c>
      <c r="C69" s="84" t="e" vm="7">
        <v>#VALUE!</v>
      </c>
      <c r="D69" s="84" t="s">
        <v>152</v>
      </c>
      <c r="E69" s="434">
        <v>60.24</v>
      </c>
      <c r="F69" s="85">
        <v>10.45</v>
      </c>
      <c r="G69" s="434">
        <f t="shared" si="2"/>
        <v>629.50799999999992</v>
      </c>
      <c r="H69" s="86" t="str" cm="1">
        <f t="array" aca="1" ref="H69" ca="1">_FV(Ledger[[#This Row],[Stock]],"Ticker symbol",TRUE)</f>
        <v>C</v>
      </c>
    </row>
    <row r="70" spans="1:8" x14ac:dyDescent="0.35">
      <c r="A70" s="13"/>
      <c r="B70" s="18">
        <v>44927</v>
      </c>
      <c r="C70" s="19" t="e" vm="7">
        <v>#VALUE!</v>
      </c>
      <c r="D70" s="19" t="s">
        <v>13</v>
      </c>
      <c r="E70" s="433">
        <v>47.94</v>
      </c>
      <c r="F70" s="20">
        <v>13.12</v>
      </c>
      <c r="G70" s="433">
        <f t="shared" si="2"/>
        <v>628.97279999999989</v>
      </c>
      <c r="H70" s="21" t="str" cm="1">
        <f t="array" aca="1" ref="H70" ca="1">_FV(Ledger[[#This Row],[Stock]],"Ticker symbol",TRUE)</f>
        <v>C</v>
      </c>
    </row>
    <row r="71" spans="1:8" x14ac:dyDescent="0.35">
      <c r="A71" s="13"/>
      <c r="B71" s="83">
        <v>45292</v>
      </c>
      <c r="C71" s="84" t="e" vm="7">
        <v>#VALUE!</v>
      </c>
      <c r="D71" s="84" t="s">
        <v>13</v>
      </c>
      <c r="E71" s="434">
        <v>51.48</v>
      </c>
      <c r="F71" s="85">
        <v>48.87</v>
      </c>
      <c r="G71" s="434">
        <f t="shared" si="2"/>
        <v>2515.8275999999996</v>
      </c>
      <c r="H71" s="86" t="str" cm="1">
        <f t="array" aca="1" ref="H71" ca="1">_FV(Ledger[[#This Row],[Stock]],"Ticker symbol",TRUE)</f>
        <v>C</v>
      </c>
    </row>
    <row r="72" spans="1:8" x14ac:dyDescent="0.35">
      <c r="A72" s="13"/>
      <c r="B72" s="18">
        <v>45658</v>
      </c>
      <c r="C72" s="19" t="e" vm="7">
        <v>#VALUE!</v>
      </c>
      <c r="D72" s="19" t="s">
        <v>152</v>
      </c>
      <c r="E72" s="433">
        <v>70.3</v>
      </c>
      <c r="F72" s="20">
        <v>37.6</v>
      </c>
      <c r="G72" s="433">
        <f t="shared" si="2"/>
        <v>2643.28</v>
      </c>
      <c r="H72" s="21" t="str" cm="1">
        <f t="array" aca="1" ref="H72" ca="1">_FV(Ledger[[#This Row],[Stock]],"Ticker symbol",TRUE)</f>
        <v>C</v>
      </c>
    </row>
    <row r="73" spans="1:8" x14ac:dyDescent="0.35">
      <c r="A73" s="13"/>
      <c r="B73" s="83">
        <v>43466</v>
      </c>
      <c r="C73" s="84" t="e" vm="13">
        <v>#VALUE!</v>
      </c>
      <c r="D73" s="84" t="s">
        <v>13</v>
      </c>
      <c r="E73" s="434">
        <v>133.31</v>
      </c>
      <c r="F73" s="85">
        <v>4.5</v>
      </c>
      <c r="G73" s="434">
        <f t="shared" si="2"/>
        <v>599.89499999999998</v>
      </c>
      <c r="H73" s="86" t="str" cm="1">
        <f t="array" aca="1" ref="H73" ca="1">_FV(Ledger[[#This Row],[Stock]],"Ticker symbol",TRUE)</f>
        <v>0R2N</v>
      </c>
    </row>
    <row r="74" spans="1:8" x14ac:dyDescent="0.35">
      <c r="A74" s="13"/>
      <c r="B74" s="18">
        <v>43831</v>
      </c>
      <c r="C74" s="19" t="e" vm="13">
        <v>#VALUE!</v>
      </c>
      <c r="D74" s="19" t="s">
        <v>13</v>
      </c>
      <c r="E74" s="433">
        <v>149.88</v>
      </c>
      <c r="F74" s="20">
        <v>4</v>
      </c>
      <c r="G74" s="433">
        <f t="shared" si="2"/>
        <v>599.52</v>
      </c>
      <c r="H74" s="21" t="str" cm="1">
        <f t="array" aca="1" ref="H74" ca="1">_FV(Ledger[[#This Row],[Stock]],"Ticker symbol",TRUE)</f>
        <v>0R2N</v>
      </c>
    </row>
    <row r="75" spans="1:8" x14ac:dyDescent="0.35">
      <c r="A75" s="13"/>
      <c r="B75" s="83">
        <v>44197</v>
      </c>
      <c r="C75" s="84" t="e" vm="13">
        <v>#VALUE!</v>
      </c>
      <c r="D75" s="84" t="s">
        <v>13</v>
      </c>
      <c r="E75" s="434">
        <v>71.510000000000005</v>
      </c>
      <c r="F75" s="85">
        <v>8.3800000000000008</v>
      </c>
      <c r="G75" s="434">
        <f t="shared" si="2"/>
        <v>599.25380000000007</v>
      </c>
      <c r="H75" s="86" t="str" cm="1">
        <f t="array" aca="1" ref="H75" ca="1">_FV(Ledger[[#This Row],[Stock]],"Ticker symbol",TRUE)</f>
        <v>0R2N</v>
      </c>
    </row>
    <row r="76" spans="1:8" x14ac:dyDescent="0.35">
      <c r="A76" s="13"/>
      <c r="B76" s="18">
        <v>44562</v>
      </c>
      <c r="C76" s="19" t="e" vm="13">
        <v>#VALUE!</v>
      </c>
      <c r="D76" s="19" t="s">
        <v>152</v>
      </c>
      <c r="E76" s="433">
        <v>86.09</v>
      </c>
      <c r="F76" s="20">
        <v>6.97</v>
      </c>
      <c r="G76" s="433">
        <f t="shared" si="2"/>
        <v>600.04729999999995</v>
      </c>
      <c r="H76" s="21" t="str" cm="1">
        <f t="array" aca="1" ref="H76" ca="1">_FV(Ledger[[#This Row],[Stock]],"Ticker symbol",TRUE)</f>
        <v>0R2N</v>
      </c>
    </row>
    <row r="77" spans="1:8" x14ac:dyDescent="0.35">
      <c r="A77" s="13"/>
      <c r="B77" s="83">
        <v>44927</v>
      </c>
      <c r="C77" s="84" t="e" vm="13">
        <v>#VALUE!</v>
      </c>
      <c r="D77" s="84" t="s">
        <v>13</v>
      </c>
      <c r="E77" s="434">
        <v>100.97</v>
      </c>
      <c r="F77" s="85">
        <v>5.93</v>
      </c>
      <c r="G77" s="434">
        <f t="shared" si="2"/>
        <v>598.75209999999993</v>
      </c>
      <c r="H77" s="86" t="str" cm="1">
        <f t="array" aca="1" ref="H77" ca="1">_FV(Ledger[[#This Row],[Stock]],"Ticker symbol",TRUE)</f>
        <v>0R2N</v>
      </c>
    </row>
    <row r="78" spans="1:8" x14ac:dyDescent="0.35">
      <c r="A78" s="13"/>
      <c r="B78" s="18">
        <v>45292</v>
      </c>
      <c r="C78" s="19" t="e" vm="13">
        <v>#VALUE!</v>
      </c>
      <c r="D78" s="19" t="s">
        <v>13</v>
      </c>
      <c r="E78" s="433">
        <v>84.26</v>
      </c>
      <c r="F78" s="20">
        <v>28.46</v>
      </c>
      <c r="G78" s="433">
        <f t="shared" si="2"/>
        <v>2398.0396000000001</v>
      </c>
      <c r="H78" s="21" t="str" cm="1">
        <f t="array" aca="1" ref="H78" ca="1">_FV(Ledger[[#This Row],[Stock]],"Ticker symbol",TRUE)</f>
        <v>0R2N</v>
      </c>
    </row>
    <row r="79" spans="1:8" x14ac:dyDescent="0.35">
      <c r="A79" s="13"/>
      <c r="B79" s="83">
        <v>45658</v>
      </c>
      <c r="C79" s="84" t="e" vm="13">
        <v>#VALUE!</v>
      </c>
      <c r="D79" s="84" t="s">
        <v>152</v>
      </c>
      <c r="E79" s="434">
        <v>119.24</v>
      </c>
      <c r="F79" s="85">
        <v>21.13</v>
      </c>
      <c r="G79" s="434">
        <f t="shared" si="2"/>
        <v>2519.5411999999997</v>
      </c>
      <c r="H79" s="86" t="str" cm="1">
        <f t="array" aca="1" ref="H79" ca="1">_FV(Ledger[[#This Row],[Stock]],"Ticker symbol",TRUE)</f>
        <v>0R2N</v>
      </c>
    </row>
    <row r="80" spans="1:8" x14ac:dyDescent="0.35">
      <c r="A80" s="13"/>
      <c r="B80" s="18">
        <v>43466</v>
      </c>
      <c r="C80" s="19" t="e" vm="3">
        <v>#VALUE!</v>
      </c>
      <c r="D80" s="19" t="s">
        <v>13</v>
      </c>
      <c r="E80" s="433">
        <v>75.77</v>
      </c>
      <c r="F80" s="20">
        <v>6.47</v>
      </c>
      <c r="G80" s="433">
        <f t="shared" si="2"/>
        <v>490.23189999999994</v>
      </c>
      <c r="H80" s="21" t="str" cm="1">
        <f t="array" aca="1" ref="H80" ca="1">_FV(Ledger[[#This Row],[Stock]],"Ticker symbol",TRUE)</f>
        <v>AMZN</v>
      </c>
    </row>
    <row r="81" spans="1:8" x14ac:dyDescent="0.35">
      <c r="A81" s="13"/>
      <c r="B81" s="83">
        <v>43831</v>
      </c>
      <c r="C81" s="84" t="e" vm="3">
        <v>#VALUE!</v>
      </c>
      <c r="D81" s="84" t="s">
        <v>13</v>
      </c>
      <c r="E81" s="434">
        <v>93.75</v>
      </c>
      <c r="F81" s="85">
        <v>5.23</v>
      </c>
      <c r="G81" s="434">
        <f t="shared" si="2"/>
        <v>490.31250000000006</v>
      </c>
      <c r="H81" s="86" t="str" cm="1">
        <f t="array" aca="1" ref="H81" ca="1">_FV(Ledger[[#This Row],[Stock]],"Ticker symbol",TRUE)</f>
        <v>AMZN</v>
      </c>
    </row>
    <row r="82" spans="1:8" x14ac:dyDescent="0.35">
      <c r="A82" s="13"/>
      <c r="B82" s="18">
        <v>44197</v>
      </c>
      <c r="C82" s="19" t="e" vm="3">
        <v>#VALUE!</v>
      </c>
      <c r="D82" s="19" t="s">
        <v>13</v>
      </c>
      <c r="E82" s="433">
        <v>163.5</v>
      </c>
      <c r="F82" s="20">
        <v>3</v>
      </c>
      <c r="G82" s="433">
        <f t="shared" si="2"/>
        <v>490.5</v>
      </c>
      <c r="H82" s="21" t="str" cm="1">
        <f t="array" aca="1" ref="H82" ca="1">_FV(Ledger[[#This Row],[Stock]],"Ticker symbol",TRUE)</f>
        <v>AMZN</v>
      </c>
    </row>
    <row r="83" spans="1:8" x14ac:dyDescent="0.35">
      <c r="A83" s="13"/>
      <c r="B83" s="83">
        <v>44562</v>
      </c>
      <c r="C83" s="84" t="e" vm="3">
        <v>#VALUE!</v>
      </c>
      <c r="D83" s="84" t="s">
        <v>152</v>
      </c>
      <c r="E83" s="434">
        <v>170.4</v>
      </c>
      <c r="F83" s="85">
        <v>2.88</v>
      </c>
      <c r="G83" s="434">
        <f t="shared" si="2"/>
        <v>490.75200000000001</v>
      </c>
      <c r="H83" s="86" t="str" cm="1">
        <f t="array" aca="1" ref="H83" ca="1">_FV(Ledger[[#This Row],[Stock]],"Ticker symbol",TRUE)</f>
        <v>AMZN</v>
      </c>
    </row>
    <row r="84" spans="1:8" x14ac:dyDescent="0.35">
      <c r="A84" s="13"/>
      <c r="B84" s="18">
        <v>44927</v>
      </c>
      <c r="C84" s="19" t="e" vm="3">
        <v>#VALUE!</v>
      </c>
      <c r="D84" s="19" t="s">
        <v>13</v>
      </c>
      <c r="E84" s="433">
        <v>85.46</v>
      </c>
      <c r="F84" s="20">
        <v>5.73</v>
      </c>
      <c r="G84" s="433">
        <f t="shared" si="2"/>
        <v>489.68580000000003</v>
      </c>
      <c r="H84" s="21" t="str" cm="1">
        <f t="array" aca="1" ref="H84" ca="1">_FV(Ledger[[#This Row],[Stock]],"Ticker symbol",TRUE)</f>
        <v>AMZN</v>
      </c>
    </row>
    <row r="85" spans="1:8" x14ac:dyDescent="0.35">
      <c r="A85" s="13"/>
      <c r="B85" s="83">
        <v>45292</v>
      </c>
      <c r="C85" s="84" t="e" vm="3">
        <v>#VALUE!</v>
      </c>
      <c r="D85" s="84" t="s">
        <v>13</v>
      </c>
      <c r="E85" s="434">
        <v>153.38</v>
      </c>
      <c r="F85" s="85">
        <v>12.78</v>
      </c>
      <c r="G85" s="434">
        <f t="shared" si="2"/>
        <v>1960.1963999999998</v>
      </c>
      <c r="H85" s="86" t="str" cm="1">
        <f t="array" aca="1" ref="H85" ca="1">_FV(Ledger[[#This Row],[Stock]],"Ticker symbol",TRUE)</f>
        <v>AMZN</v>
      </c>
    </row>
    <row r="86" spans="1:8" x14ac:dyDescent="0.35">
      <c r="A86" s="13"/>
      <c r="B86" s="18">
        <v>45658</v>
      </c>
      <c r="C86" s="19" t="e" vm="3">
        <v>#VALUE!</v>
      </c>
      <c r="D86" s="19" t="s">
        <v>152</v>
      </c>
      <c r="E86" s="433">
        <v>220</v>
      </c>
      <c r="F86" s="20">
        <v>9.36</v>
      </c>
      <c r="G86" s="433">
        <f t="shared" si="2"/>
        <v>2059.1999999999998</v>
      </c>
      <c r="H86" s="21" t="str" cm="1">
        <f t="array" aca="1" ref="H86" ca="1">_FV(Ledger[[#This Row],[Stock]],"Ticker symbol",TRUE)</f>
        <v>AMZN</v>
      </c>
    </row>
    <row r="87" spans="1:8" x14ac:dyDescent="0.35">
      <c r="A87" s="13"/>
      <c r="B87" s="83">
        <v>43466</v>
      </c>
      <c r="C87" s="84" t="e" vm="16">
        <v>#VALUE!</v>
      </c>
      <c r="D87" s="84" t="s">
        <v>13</v>
      </c>
      <c r="E87" s="434">
        <v>30.24</v>
      </c>
      <c r="F87" s="85">
        <v>24.79</v>
      </c>
      <c r="G87" s="434">
        <f t="shared" si="2"/>
        <v>749.64959999999996</v>
      </c>
      <c r="H87" s="86" t="str" cm="1">
        <f t="array" aca="1" ref="H87" ca="1">_FV(Ledger[[#This Row],[Stock]],"Ticker symbol",TRUE)</f>
        <v>WMT</v>
      </c>
    </row>
    <row r="88" spans="1:8" x14ac:dyDescent="0.35">
      <c r="A88" s="13"/>
      <c r="B88" s="18">
        <v>43831</v>
      </c>
      <c r="C88" s="19" t="e" vm="16">
        <v>#VALUE!</v>
      </c>
      <c r="D88" s="19" t="s">
        <v>13</v>
      </c>
      <c r="E88" s="433">
        <v>39.54</v>
      </c>
      <c r="F88" s="20">
        <v>18.95</v>
      </c>
      <c r="G88" s="433">
        <f t="shared" si="2"/>
        <v>749.2829999999999</v>
      </c>
      <c r="H88" s="21" t="str" cm="1">
        <f t="array" aca="1" ref="H88" ca="1">_FV(Ledger[[#This Row],[Stock]],"Ticker symbol",TRUE)</f>
        <v>WMT</v>
      </c>
    </row>
    <row r="89" spans="1:8" x14ac:dyDescent="0.35">
      <c r="A89" s="13"/>
      <c r="B89" s="83">
        <v>44197</v>
      </c>
      <c r="C89" s="84" t="e" vm="16">
        <v>#VALUE!</v>
      </c>
      <c r="D89" s="84" t="s">
        <v>13</v>
      </c>
      <c r="E89" s="434">
        <v>46.12</v>
      </c>
      <c r="F89" s="85">
        <v>16.260000000000002</v>
      </c>
      <c r="G89" s="434">
        <f t="shared" si="2"/>
        <v>749.91120000000001</v>
      </c>
      <c r="H89" s="86" t="str" cm="1">
        <f t="array" aca="1" ref="H89" ca="1">_FV(Ledger[[#This Row],[Stock]],"Ticker symbol",TRUE)</f>
        <v>WMT</v>
      </c>
    </row>
    <row r="90" spans="1:8" x14ac:dyDescent="0.35">
      <c r="A90" s="13"/>
      <c r="B90" s="18">
        <v>44562</v>
      </c>
      <c r="C90" s="19" t="e" vm="16">
        <v>#VALUE!</v>
      </c>
      <c r="D90" s="19" t="s">
        <v>152</v>
      </c>
      <c r="E90" s="433">
        <v>47.57</v>
      </c>
      <c r="F90" s="20">
        <v>15.77</v>
      </c>
      <c r="G90" s="433">
        <f t="shared" si="2"/>
        <v>750.1789</v>
      </c>
      <c r="H90" s="21" t="str" cm="1">
        <f t="array" aca="1" ref="H90" ca="1">_FV(Ledger[[#This Row],[Stock]],"Ticker symbol",TRUE)</f>
        <v>WMT</v>
      </c>
    </row>
    <row r="91" spans="1:8" x14ac:dyDescent="0.35">
      <c r="A91" s="13"/>
      <c r="B91" s="83">
        <v>44927</v>
      </c>
      <c r="C91" s="84" t="e" vm="16">
        <v>#VALUE!</v>
      </c>
      <c r="D91" s="84" t="s">
        <v>13</v>
      </c>
      <c r="E91" s="434">
        <v>48.04</v>
      </c>
      <c r="F91" s="85">
        <v>15.6</v>
      </c>
      <c r="G91" s="434">
        <f t="shared" si="2"/>
        <v>749.42399999999998</v>
      </c>
      <c r="H91" s="86" t="str" cm="1">
        <f t="array" aca="1" ref="H91" ca="1">_FV(Ledger[[#This Row],[Stock]],"Ticker symbol",TRUE)</f>
        <v>WMT</v>
      </c>
    </row>
    <row r="92" spans="1:8" x14ac:dyDescent="0.35">
      <c r="A92" s="13"/>
      <c r="B92" s="18">
        <v>45292</v>
      </c>
      <c r="C92" s="19" t="e" vm="16">
        <v>#VALUE!</v>
      </c>
      <c r="D92" s="19" t="s">
        <v>13</v>
      </c>
      <c r="E92" s="433">
        <v>52.89</v>
      </c>
      <c r="F92" s="20">
        <v>56.7</v>
      </c>
      <c r="G92" s="433">
        <f t="shared" si="2"/>
        <v>2998.8630000000003</v>
      </c>
      <c r="H92" s="21" t="str" cm="1">
        <f t="array" aca="1" ref="H92" ca="1">_FV(Ledger[[#This Row],[Stock]],"Ticker symbol",TRUE)</f>
        <v>WMT</v>
      </c>
    </row>
    <row r="93" spans="1:8" x14ac:dyDescent="0.35">
      <c r="A93" s="13"/>
      <c r="B93" s="83">
        <v>45658</v>
      </c>
      <c r="C93" s="84" t="e" vm="16">
        <v>#VALUE!</v>
      </c>
      <c r="D93" s="84" t="s">
        <v>152</v>
      </c>
      <c r="E93" s="434">
        <v>91.07</v>
      </c>
      <c r="F93" s="85">
        <v>34.590000000000003</v>
      </c>
      <c r="G93" s="434">
        <f t="shared" si="2"/>
        <v>3150.1113</v>
      </c>
      <c r="H93" s="86" t="str" cm="1">
        <f t="array" aca="1" ref="H93" ca="1">_FV(Ledger[[#This Row],[Stock]],"Ticker symbol",TRUE)</f>
        <v>WMT</v>
      </c>
    </row>
    <row r="94" spans="1:8" x14ac:dyDescent="0.35">
      <c r="A94" s="13"/>
      <c r="B94" s="18">
        <v>43466</v>
      </c>
      <c r="C94" s="19" t="e" vm="8">
        <v>#VALUE!</v>
      </c>
      <c r="D94" s="19" t="s">
        <v>13</v>
      </c>
      <c r="E94" s="433">
        <v>7.65</v>
      </c>
      <c r="F94" s="20">
        <v>78.349999999999994</v>
      </c>
      <c r="G94" s="433">
        <f t="shared" si="2"/>
        <v>599.37749999999994</v>
      </c>
      <c r="H94" s="21" t="str" cm="1">
        <f t="array" aca="1" ref="H94" ca="1">_FV(Ledger[[#This Row],[Stock]],"Ticker symbol",TRUE)</f>
        <v>F</v>
      </c>
    </row>
    <row r="95" spans="1:8" x14ac:dyDescent="0.35">
      <c r="A95" s="13"/>
      <c r="B95" s="83">
        <v>43831</v>
      </c>
      <c r="C95" s="84" t="e" vm="8">
        <v>#VALUE!</v>
      </c>
      <c r="D95" s="84" t="s">
        <v>13</v>
      </c>
      <c r="E95" s="434">
        <v>9.3000000000000007</v>
      </c>
      <c r="F95" s="85">
        <v>64.44</v>
      </c>
      <c r="G95" s="434">
        <f t="shared" si="2"/>
        <v>599.29200000000003</v>
      </c>
      <c r="H95" s="86" t="str" cm="1">
        <f t="array" aca="1" ref="H95" ca="1">_FV(Ledger[[#This Row],[Stock]],"Ticker symbol",TRUE)</f>
        <v>F</v>
      </c>
    </row>
    <row r="96" spans="1:8" x14ac:dyDescent="0.35">
      <c r="A96" s="13"/>
      <c r="B96" s="18">
        <v>44197</v>
      </c>
      <c r="C96" s="19" t="e" vm="8">
        <v>#VALUE!</v>
      </c>
      <c r="D96" s="19" t="s">
        <v>13</v>
      </c>
      <c r="E96" s="433">
        <v>8.91</v>
      </c>
      <c r="F96" s="20">
        <v>67.28</v>
      </c>
      <c r="G96" s="433">
        <f t="shared" si="2"/>
        <v>599.46479999999997</v>
      </c>
      <c r="H96" s="21" t="str" cm="1">
        <f t="array" aca="1" ref="H96" ca="1">_FV(Ledger[[#This Row],[Stock]],"Ticker symbol",TRUE)</f>
        <v>F</v>
      </c>
    </row>
    <row r="97" spans="1:8" x14ac:dyDescent="0.35">
      <c r="A97" s="13"/>
      <c r="B97" s="83">
        <v>44562</v>
      </c>
      <c r="C97" s="84" t="e" vm="8">
        <v>#VALUE!</v>
      </c>
      <c r="D97" s="84" t="s">
        <v>152</v>
      </c>
      <c r="E97" s="434">
        <v>20.77</v>
      </c>
      <c r="F97" s="85">
        <v>28.87</v>
      </c>
      <c r="G97" s="434">
        <f t="shared" si="2"/>
        <v>599.62990000000002</v>
      </c>
      <c r="H97" s="86" t="str" cm="1">
        <f t="array" aca="1" ref="H97" ca="1">_FV(Ledger[[#This Row],[Stock]],"Ticker symbol",TRUE)</f>
        <v>F</v>
      </c>
    </row>
    <row r="98" spans="1:8" x14ac:dyDescent="0.35">
      <c r="A98" s="13"/>
      <c r="B98" s="18">
        <v>44927</v>
      </c>
      <c r="C98" s="19" t="e" vm="8">
        <v>#VALUE!</v>
      </c>
      <c r="D98" s="19" t="s">
        <v>13</v>
      </c>
      <c r="E98" s="433">
        <v>11.95</v>
      </c>
      <c r="F98" s="20">
        <v>50.14</v>
      </c>
      <c r="G98" s="433">
        <f t="shared" si="2"/>
        <v>599.173</v>
      </c>
      <c r="H98" s="21" t="str" cm="1">
        <f t="array" aca="1" ref="H98" ca="1">_FV(Ledger[[#This Row],[Stock]],"Ticker symbol",TRUE)</f>
        <v>F</v>
      </c>
    </row>
    <row r="99" spans="1:8" x14ac:dyDescent="0.35">
      <c r="A99" s="13"/>
      <c r="B99" s="83">
        <v>45292</v>
      </c>
      <c r="C99" s="84" t="e" vm="8">
        <v>#VALUE!</v>
      </c>
      <c r="D99" s="84" t="s">
        <v>13</v>
      </c>
      <c r="E99" s="434">
        <v>12.06</v>
      </c>
      <c r="F99" s="85">
        <v>198.82</v>
      </c>
      <c r="G99" s="434">
        <f t="shared" ref="G99:G114" si="3">E99*F99</f>
        <v>2397.7692000000002</v>
      </c>
      <c r="H99" s="86" t="str" cm="1">
        <f t="array" aca="1" ref="H99" ca="1">_FV(Ledger[[#This Row],[Stock]],"Ticker symbol",TRUE)</f>
        <v>F</v>
      </c>
    </row>
    <row r="100" spans="1:8" x14ac:dyDescent="0.35">
      <c r="A100" s="13"/>
      <c r="B100" s="18">
        <v>45658</v>
      </c>
      <c r="C100" s="19" t="e" vm="8">
        <v>#VALUE!</v>
      </c>
      <c r="D100" s="19" t="s">
        <v>152</v>
      </c>
      <c r="E100" s="433">
        <v>9.84</v>
      </c>
      <c r="F100" s="20">
        <v>256.01</v>
      </c>
      <c r="G100" s="433">
        <f t="shared" si="3"/>
        <v>2519.1383999999998</v>
      </c>
      <c r="H100" s="21" t="str" cm="1">
        <f t="array" aca="1" ref="H100" ca="1">_FV(Ledger[[#This Row],[Stock]],"Ticker symbol",TRUE)</f>
        <v>F</v>
      </c>
    </row>
    <row r="101" spans="1:8" x14ac:dyDescent="0.35">
      <c r="A101" s="13"/>
      <c r="B101" s="83">
        <v>43466</v>
      </c>
      <c r="C101" s="84" t="e" vm="9">
        <v>#VALUE!</v>
      </c>
      <c r="D101" s="84" t="s">
        <v>13</v>
      </c>
      <c r="E101" s="434">
        <v>24.31</v>
      </c>
      <c r="F101" s="85">
        <v>22.18</v>
      </c>
      <c r="G101" s="434">
        <f t="shared" si="3"/>
        <v>539.19579999999996</v>
      </c>
      <c r="H101" s="86" t="str" cm="1">
        <f t="array" aca="1" ref="H101" ca="1">_FV(Ledger[[#This Row],[Stock]],"Ticker symbol",TRUE)</f>
        <v>HMC</v>
      </c>
    </row>
    <row r="102" spans="1:8" x14ac:dyDescent="0.35">
      <c r="A102" s="13"/>
      <c r="B102" s="18">
        <v>43831</v>
      </c>
      <c r="C102" s="19" t="e" vm="9">
        <v>#VALUE!</v>
      </c>
      <c r="D102" s="19" t="s">
        <v>13</v>
      </c>
      <c r="E102" s="433">
        <v>27.78</v>
      </c>
      <c r="F102" s="20">
        <v>19.41</v>
      </c>
      <c r="G102" s="433">
        <f t="shared" si="3"/>
        <v>539.20979999999997</v>
      </c>
      <c r="H102" s="21" t="str" cm="1">
        <f t="array" aca="1" ref="H102" ca="1">_FV(Ledger[[#This Row],[Stock]],"Ticker symbol",TRUE)</f>
        <v>HMC</v>
      </c>
    </row>
    <row r="103" spans="1:8" x14ac:dyDescent="0.35">
      <c r="A103" s="13"/>
      <c r="B103" s="83">
        <v>44197</v>
      </c>
      <c r="C103" s="84" t="e" vm="9">
        <v>#VALUE!</v>
      </c>
      <c r="D103" s="84" t="s">
        <v>13</v>
      </c>
      <c r="E103" s="434">
        <v>27.39</v>
      </c>
      <c r="F103" s="85">
        <v>19.690000000000001</v>
      </c>
      <c r="G103" s="434">
        <f t="shared" si="3"/>
        <v>539.30910000000006</v>
      </c>
      <c r="H103" s="86" t="str" cm="1">
        <f t="array" aca="1" ref="H103" ca="1">_FV(Ledger[[#This Row],[Stock]],"Ticker symbol",TRUE)</f>
        <v>HMC</v>
      </c>
    </row>
    <row r="104" spans="1:8" x14ac:dyDescent="0.35">
      <c r="A104" s="13"/>
      <c r="B104" s="18">
        <v>44562</v>
      </c>
      <c r="C104" s="19" t="e" vm="9">
        <v>#VALUE!</v>
      </c>
      <c r="D104" s="19" t="s">
        <v>152</v>
      </c>
      <c r="E104" s="433">
        <v>29.3</v>
      </c>
      <c r="F104" s="20">
        <v>18.41</v>
      </c>
      <c r="G104" s="433">
        <f t="shared" si="3"/>
        <v>539.41300000000001</v>
      </c>
      <c r="H104" s="21" t="str" cm="1">
        <f t="array" aca="1" ref="H104" ca="1">_FV(Ledger[[#This Row],[Stock]],"Ticker symbol",TRUE)</f>
        <v>HMC</v>
      </c>
    </row>
    <row r="105" spans="1:8" x14ac:dyDescent="0.35">
      <c r="A105" s="13"/>
      <c r="B105" s="83">
        <v>44927</v>
      </c>
      <c r="C105" s="84" t="e" vm="9">
        <v>#VALUE!</v>
      </c>
      <c r="D105" s="84" t="s">
        <v>13</v>
      </c>
      <c r="E105" s="434">
        <v>23.71</v>
      </c>
      <c r="F105" s="85">
        <v>22.73</v>
      </c>
      <c r="G105" s="434">
        <f t="shared" si="3"/>
        <v>538.92830000000004</v>
      </c>
      <c r="H105" s="86" t="str" cm="1">
        <f t="array" aca="1" ref="H105" ca="1">_FV(Ledger[[#This Row],[Stock]],"Ticker symbol",TRUE)</f>
        <v>HMC</v>
      </c>
    </row>
    <row r="106" spans="1:8" x14ac:dyDescent="0.35">
      <c r="A106" s="13"/>
      <c r="B106" s="18">
        <v>45292</v>
      </c>
      <c r="C106" s="19" t="e" vm="9">
        <v>#VALUE!</v>
      </c>
      <c r="D106" s="19" t="s">
        <v>13</v>
      </c>
      <c r="E106" s="433">
        <v>30.89</v>
      </c>
      <c r="F106" s="20">
        <v>69.83</v>
      </c>
      <c r="G106" s="433">
        <f t="shared" si="3"/>
        <v>2157.0486999999998</v>
      </c>
      <c r="H106" s="21" t="str" cm="1">
        <f t="array" aca="1" ref="H106" ca="1">_FV(Ledger[[#This Row],[Stock]],"Ticker symbol",TRUE)</f>
        <v>HMC</v>
      </c>
    </row>
    <row r="107" spans="1:8" x14ac:dyDescent="0.35">
      <c r="A107" s="13"/>
      <c r="B107" s="83">
        <v>45658</v>
      </c>
      <c r="C107" s="84" t="e" vm="9">
        <v>#VALUE!</v>
      </c>
      <c r="D107" s="84" t="s">
        <v>152</v>
      </c>
      <c r="E107" s="434">
        <v>26.29</v>
      </c>
      <c r="F107" s="85">
        <v>86.2</v>
      </c>
      <c r="G107" s="434">
        <f t="shared" si="3"/>
        <v>2266.1979999999999</v>
      </c>
      <c r="H107" s="86" t="str" cm="1">
        <f t="array" aca="1" ref="H107" ca="1">_FV(Ledger[[#This Row],[Stock]],"Ticker symbol",TRUE)</f>
        <v>HMC</v>
      </c>
    </row>
    <row r="108" spans="1:8" x14ac:dyDescent="0.35">
      <c r="A108" s="13"/>
      <c r="B108" s="18">
        <v>43466</v>
      </c>
      <c r="C108" s="19" t="e" vm="15">
        <v>#VALUE!</v>
      </c>
      <c r="D108" s="19" t="s">
        <v>13</v>
      </c>
      <c r="E108" s="433">
        <v>117.51</v>
      </c>
      <c r="F108" s="20">
        <v>4.3499999999999996</v>
      </c>
      <c r="G108" s="433">
        <f t="shared" si="3"/>
        <v>511.16849999999999</v>
      </c>
      <c r="H108" s="21" t="str" cm="1">
        <f t="array" aca="1" ref="H108" ca="1">_FV(Ledger[[#This Row],[Stock]],"Ticker symbol",TRUE)</f>
        <v>TM</v>
      </c>
    </row>
    <row r="109" spans="1:8" x14ac:dyDescent="0.35">
      <c r="A109" s="13"/>
      <c r="B109" s="83">
        <v>43831</v>
      </c>
      <c r="C109" s="84" t="e" vm="15">
        <v>#VALUE!</v>
      </c>
      <c r="D109" s="84" t="s">
        <v>13</v>
      </c>
      <c r="E109" s="434">
        <v>136.27000000000001</v>
      </c>
      <c r="F109" s="85">
        <v>3.75</v>
      </c>
      <c r="G109" s="434">
        <f t="shared" si="3"/>
        <v>511.01250000000005</v>
      </c>
      <c r="H109" s="86" t="str" cm="1">
        <f t="array" aca="1" ref="H109" ca="1">_FV(Ledger[[#This Row],[Stock]],"Ticker symbol",TRUE)</f>
        <v>TM</v>
      </c>
    </row>
    <row r="110" spans="1:8" x14ac:dyDescent="0.35">
      <c r="A110" s="13"/>
      <c r="B110" s="18">
        <v>44197</v>
      </c>
      <c r="C110" s="19" t="e" vm="15">
        <v>#VALUE!</v>
      </c>
      <c r="D110" s="19" t="s">
        <v>13</v>
      </c>
      <c r="E110" s="433">
        <v>147.44999999999999</v>
      </c>
      <c r="F110" s="20">
        <v>3.46</v>
      </c>
      <c r="G110" s="433">
        <f t="shared" si="3"/>
        <v>510.17699999999996</v>
      </c>
      <c r="H110" s="21" t="str" cm="1">
        <f t="array" aca="1" ref="H110" ca="1">_FV(Ledger[[#This Row],[Stock]],"Ticker symbol",TRUE)</f>
        <v>TM</v>
      </c>
    </row>
    <row r="111" spans="1:8" x14ac:dyDescent="0.35">
      <c r="A111" s="13"/>
      <c r="B111" s="83">
        <v>44562</v>
      </c>
      <c r="C111" s="84" t="e" vm="15">
        <v>#VALUE!</v>
      </c>
      <c r="D111" s="84" t="s">
        <v>152</v>
      </c>
      <c r="E111" s="434">
        <v>196.42</v>
      </c>
      <c r="F111" s="85">
        <v>2.6</v>
      </c>
      <c r="G111" s="434">
        <f t="shared" si="3"/>
        <v>510.69200000000001</v>
      </c>
      <c r="H111" s="86" t="str" cm="1">
        <f t="array" aca="1" ref="H111" ca="1">_FV(Ledger[[#This Row],[Stock]],"Ticker symbol",TRUE)</f>
        <v>TM</v>
      </c>
    </row>
    <row r="112" spans="1:8" x14ac:dyDescent="0.35">
      <c r="A112" s="13"/>
      <c r="B112" s="18">
        <v>44927</v>
      </c>
      <c r="C112" s="19" t="e" vm="15">
        <v>#VALUE!</v>
      </c>
      <c r="D112" s="19" t="s">
        <v>13</v>
      </c>
      <c r="E112" s="433">
        <v>135.75</v>
      </c>
      <c r="F112" s="20">
        <v>3.76</v>
      </c>
      <c r="G112" s="433">
        <f t="shared" si="3"/>
        <v>510.41999999999996</v>
      </c>
      <c r="H112" s="21" t="str" cm="1">
        <f t="array" aca="1" ref="H112" ca="1">_FV(Ledger[[#This Row],[Stock]],"Ticker symbol",TRUE)</f>
        <v>TM</v>
      </c>
    </row>
    <row r="113" spans="1:8" x14ac:dyDescent="0.35">
      <c r="A113" s="13"/>
      <c r="B113" s="83">
        <v>45292</v>
      </c>
      <c r="C113" s="84" t="e" vm="15">
        <v>#VALUE!</v>
      </c>
      <c r="D113" s="84" t="s">
        <v>13</v>
      </c>
      <c r="E113" s="434">
        <v>183.07</v>
      </c>
      <c r="F113" s="85">
        <v>11.16</v>
      </c>
      <c r="G113" s="434">
        <f t="shared" si="3"/>
        <v>2043.0611999999999</v>
      </c>
      <c r="H113" s="86" t="str" cm="1">
        <f t="array" aca="1" ref="H113" ca="1">_FV(Ledger[[#This Row],[Stock]],"Ticker symbol",TRUE)</f>
        <v>TM</v>
      </c>
    </row>
    <row r="114" spans="1:8" x14ac:dyDescent="0.35">
      <c r="A114" s="13"/>
      <c r="B114" s="22">
        <v>45658</v>
      </c>
      <c r="C114" s="23" t="e" vm="15">
        <v>#VALUE!</v>
      </c>
      <c r="D114" s="23" t="s">
        <v>152</v>
      </c>
      <c r="E114" s="435">
        <v>170.54</v>
      </c>
      <c r="F114" s="24">
        <v>12.59</v>
      </c>
      <c r="G114" s="435">
        <f t="shared" si="3"/>
        <v>2147.0985999999998</v>
      </c>
      <c r="H114" s="25" t="str" cm="1">
        <f t="array" aca="1" ref="H114" ca="1">_FV(Ledger[[#This Row],[Stock]],"Ticker symbol",TRUE)</f>
        <v>TM</v>
      </c>
    </row>
    <row r="115" spans="1:8" x14ac:dyDescent="0.35">
      <c r="H115" s="12"/>
    </row>
  </sheetData>
  <phoneticPr fontId="2" type="noConversion"/>
  <pageMargins left="0.7" right="0.7" top="0.75" bottom="0.75" header="0.3" footer="0.3"/>
  <legacyDrawing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2E6CED-9030-4E1B-A0A1-7EEB8AF39DC9}">
  <dimension ref="A1:IS26"/>
  <sheetViews>
    <sheetView topLeftCell="C1" workbookViewId="0">
      <selection activeCell="F32" sqref="F32"/>
    </sheetView>
  </sheetViews>
  <sheetFormatPr defaultRowHeight="14.5" x14ac:dyDescent="0.35"/>
  <cols>
    <col min="1" max="1" width="22.1796875" bestFit="1" customWidth="1"/>
    <col min="2" max="2" width="45.54296875" bestFit="1" customWidth="1"/>
    <col min="3" max="3" width="8.90625" bestFit="1" customWidth="1"/>
  </cols>
  <sheetData>
    <row r="1" spans="1:253" x14ac:dyDescent="0.35">
      <c r="A1" s="2" t="s">
        <v>8</v>
      </c>
      <c r="B1" t="e" vm="1">
        <v>#VALUE!</v>
      </c>
    </row>
    <row r="3" spans="1:253" x14ac:dyDescent="0.35">
      <c r="A3" s="2" t="s">
        <v>35</v>
      </c>
      <c r="B3" s="2" t="s">
        <v>25</v>
      </c>
    </row>
    <row r="4" spans="1:253" x14ac:dyDescent="0.35">
      <c r="A4" t="s">
        <v>36</v>
      </c>
      <c r="B4" t="s">
        <v>15</v>
      </c>
      <c r="C4" cm="1" vm="277">
        <f t="array" aca="1" ref="C4:IS4" ca="1">TRANSPOSE(_xlfn.STOCKHISTORY(A4&amp;":"&amp;B4,TODAY()-365,TODAY(),0,0,1))</f>
        <v>161.36000000000001</v>
      </c>
      <c r="D4" vm="278">
        <f ca="1"/>
        <v>161.79</v>
      </c>
      <c r="E4" vm="279">
        <f ca="1"/>
        <v>164.01</v>
      </c>
      <c r="F4" vm="280">
        <f ca="1"/>
        <v>169.73</v>
      </c>
      <c r="G4" vm="281">
        <f ca="1"/>
        <v>164.67</v>
      </c>
      <c r="H4" vm="282">
        <f ca="1"/>
        <v>203.71</v>
      </c>
      <c r="I4" vm="283">
        <f ca="1"/>
        <v>211.51</v>
      </c>
      <c r="J4" vm="284">
        <f ca="1"/>
        <v>235.56</v>
      </c>
      <c r="K4" vm="285">
        <f ca="1"/>
        <v>232.89</v>
      </c>
      <c r="L4" vm="286">
        <f ca="1"/>
        <v>214.9</v>
      </c>
      <c r="M4" vm="287">
        <f ca="1"/>
        <v>216.42</v>
      </c>
      <c r="N4" vm="288">
        <f ca="1"/>
        <v>218.09</v>
      </c>
      <c r="O4" vm="289">
        <f ca="1"/>
        <v>238.6</v>
      </c>
      <c r="P4" vm="290">
        <f ca="1"/>
        <v>234.56</v>
      </c>
      <c r="Q4" vm="291">
        <f ca="1"/>
        <v>233.08</v>
      </c>
      <c r="R4" vm="292">
        <f ca="1"/>
        <v>240.56</v>
      </c>
      <c r="S4" vm="293">
        <f ca="1"/>
        <v>238.03</v>
      </c>
      <c r="T4" vm="294">
        <f ca="1"/>
        <v>230.23</v>
      </c>
      <c r="U4" vm="295">
        <f ca="1"/>
        <v>234.99</v>
      </c>
      <c r="V4" vm="296">
        <f ca="1"/>
        <v>252.92</v>
      </c>
      <c r="W4" vm="297">
        <f ca="1"/>
        <v>259.67</v>
      </c>
      <c r="X4" vm="298">
        <f ca="1"/>
        <v>258.01</v>
      </c>
      <c r="Y4" vm="299">
        <f ca="1"/>
        <v>264.33</v>
      </c>
      <c r="Z4" vm="300">
        <f ca="1"/>
        <v>254.84</v>
      </c>
      <c r="AA4" vm="301">
        <f ca="1"/>
        <v>256.12</v>
      </c>
      <c r="AB4" vm="302">
        <f ca="1"/>
        <v>259.64999999999998</v>
      </c>
      <c r="AC4" vm="303">
        <f ca="1"/>
        <v>250.05</v>
      </c>
      <c r="AD4" vm="304">
        <f ca="1"/>
        <v>256.33</v>
      </c>
      <c r="AE4" vm="305">
        <f ca="1"/>
        <v>237.7</v>
      </c>
      <c r="AF4" vm="306">
        <f ca="1"/>
        <v>233.54</v>
      </c>
      <c r="AG4" vm="307">
        <f ca="1"/>
        <v>243.98</v>
      </c>
      <c r="AH4" vm="308">
        <f ca="1"/>
        <v>237.52</v>
      </c>
      <c r="AI4" vm="309">
        <f ca="1"/>
        <v>258.89</v>
      </c>
      <c r="AJ4" vm="310">
        <f ca="1"/>
        <v>247.96</v>
      </c>
      <c r="AK4" vm="311">
        <f ca="1"/>
        <v>246.81</v>
      </c>
      <c r="AL4" vm="312">
        <f ca="1"/>
        <v>240.52</v>
      </c>
      <c r="AM4" vm="313">
        <f ca="1"/>
        <v>230.29</v>
      </c>
      <c r="AN4" vm="314">
        <f ca="1"/>
        <v>223.55</v>
      </c>
      <c r="AO4" vm="315">
        <f ca="1"/>
        <v>206.02</v>
      </c>
      <c r="AP4" vm="316">
        <f ca="1"/>
        <v>203.78</v>
      </c>
      <c r="AQ4" vm="317">
        <f ca="1"/>
        <v>215.05</v>
      </c>
      <c r="AR4" vm="318">
        <f ca="1"/>
        <v>206.13</v>
      </c>
      <c r="AS4" vm="319">
        <f ca="1"/>
        <v>214.24</v>
      </c>
      <c r="AT4" vm="320">
        <f ca="1"/>
        <v>217.53</v>
      </c>
      <c r="AU4" vm="321">
        <f ca="1"/>
        <v>219.76</v>
      </c>
      <c r="AV4" vm="322">
        <f ca="1"/>
        <v>215.24</v>
      </c>
      <c r="AW4" vm="323">
        <f ca="1"/>
        <v>217.6</v>
      </c>
      <c r="AX4" vm="324">
        <f ca="1"/>
        <v>215.98</v>
      </c>
      <c r="AY4" vm="325">
        <f ca="1"/>
        <v>217.97</v>
      </c>
      <c r="AZ4" vm="326">
        <f ca="1"/>
        <v>221.11</v>
      </c>
      <c r="BA4" vm="327">
        <f ca="1"/>
        <v>221.62</v>
      </c>
      <c r="BB4" vm="328">
        <f ca="1"/>
        <v>221.42</v>
      </c>
      <c r="BC4" vm="329">
        <f ca="1"/>
        <v>221.43</v>
      </c>
      <c r="BD4" vm="330">
        <f ca="1"/>
        <v>210.78</v>
      </c>
      <c r="BE4" vm="331">
        <f ca="1"/>
        <v>207.58</v>
      </c>
      <c r="BF4" vm="332">
        <f ca="1"/>
        <v>209.17</v>
      </c>
      <c r="BG4" vm="333">
        <f ca="1"/>
        <v>198.11</v>
      </c>
      <c r="BH4" vm="334">
        <f ca="1"/>
        <v>201.06</v>
      </c>
      <c r="BI4" vm="335">
        <f ca="1"/>
        <v>213.43</v>
      </c>
      <c r="BJ4" vm="336">
        <f ca="1"/>
        <v>214.95</v>
      </c>
      <c r="BK4" vm="286">
        <f ca="1"/>
        <v>214.9</v>
      </c>
      <c r="BL4" vm="337">
        <f ca="1"/>
        <v>215.04</v>
      </c>
      <c r="BM4" vm="338">
        <f ca="1"/>
        <v>214.99</v>
      </c>
      <c r="BN4" vm="339">
        <f ca="1"/>
        <v>215.61</v>
      </c>
      <c r="BO4" vm="340">
        <f ca="1"/>
        <v>215.34</v>
      </c>
      <c r="BP4" vm="341">
        <f ca="1"/>
        <v>214.16</v>
      </c>
      <c r="BQ4" vm="342">
        <f ca="1"/>
        <v>223.47</v>
      </c>
      <c r="BR4" vm="343">
        <f ca="1"/>
        <v>221.08</v>
      </c>
      <c r="BS4" vm="344">
        <f ca="1"/>
        <v>214.35</v>
      </c>
      <c r="BT4" vm="345">
        <f ca="1"/>
        <v>210.02</v>
      </c>
      <c r="BU4" vm="346">
        <f ca="1"/>
        <v>204.68</v>
      </c>
      <c r="BV4" vm="347">
        <f ca="1"/>
        <v>203.17</v>
      </c>
      <c r="BW4" vm="348">
        <f ca="1"/>
        <v>207.69</v>
      </c>
      <c r="BX4" vm="349">
        <f ca="1"/>
        <v>220.97</v>
      </c>
      <c r="BY4" vm="350">
        <f ca="1"/>
        <v>223.6</v>
      </c>
      <c r="BZ4" vm="351">
        <f ca="1"/>
        <v>227.92</v>
      </c>
      <c r="CA4" vm="352">
        <f ca="1"/>
        <v>231.83</v>
      </c>
      <c r="CB4" vm="353">
        <f ca="1"/>
        <v>231.92</v>
      </c>
      <c r="CC4" vm="354">
        <f ca="1"/>
        <v>249.8</v>
      </c>
      <c r="CD4" vm="355">
        <f ca="1"/>
        <v>253.73</v>
      </c>
      <c r="CE4" vm="356">
        <f ca="1"/>
        <v>259.68</v>
      </c>
      <c r="CF4" vm="357">
        <f ca="1"/>
        <v>251.31</v>
      </c>
      <c r="CG4" vm="358">
        <f ca="1"/>
        <v>252.03</v>
      </c>
      <c r="CH4" vm="359">
        <f ca="1"/>
        <v>252.74</v>
      </c>
      <c r="CI4" vm="360">
        <f ca="1"/>
        <v>252.18</v>
      </c>
      <c r="CJ4" vm="361">
        <f ca="1"/>
        <v>236.73</v>
      </c>
      <c r="CK4" vm="362">
        <f ca="1"/>
        <v>246.27</v>
      </c>
      <c r="CL4" vm="363">
        <f ca="1"/>
        <v>242.11</v>
      </c>
      <c r="CM4" vm="364">
        <f ca="1"/>
        <v>200.19</v>
      </c>
      <c r="CN4" vm="365">
        <f ca="1"/>
        <v>192.5</v>
      </c>
      <c r="CO4" vm="366">
        <f ca="1"/>
        <v>208.44</v>
      </c>
      <c r="CP4" vm="367">
        <f ca="1"/>
        <v>216</v>
      </c>
      <c r="CQ4" vm="368">
        <f ca="1"/>
        <v>213.57</v>
      </c>
      <c r="CR4" vm="369">
        <f ca="1"/>
        <v>213.58</v>
      </c>
      <c r="CS4" vm="370">
        <f ca="1"/>
        <v>205.94</v>
      </c>
      <c r="CT4" vm="371">
        <f ca="1"/>
        <v>207.32</v>
      </c>
      <c r="CU4" vm="372">
        <f ca="1"/>
        <v>203.08</v>
      </c>
      <c r="CV4" vm="373">
        <f ca="1"/>
        <v>200.12</v>
      </c>
      <c r="CW4" vm="374">
        <f ca="1"/>
        <v>203.37</v>
      </c>
      <c r="CX4" vm="375">
        <f ca="1"/>
        <v>200.15</v>
      </c>
      <c r="CY4" vm="376">
        <f ca="1"/>
        <v>196.6</v>
      </c>
      <c r="CZ4" vm="377">
        <f ca="1"/>
        <v>213.84</v>
      </c>
      <c r="DA4" vm="378">
        <f ca="1"/>
        <v>210.86</v>
      </c>
      <c r="DB4" vm="379">
        <f ca="1"/>
        <v>203.68</v>
      </c>
      <c r="DC4" vm="380">
        <f ca="1"/>
        <v>200.21</v>
      </c>
      <c r="DD4" vm="381">
        <f ca="1"/>
        <v>198.62</v>
      </c>
      <c r="DE4" vm="382">
        <f ca="1"/>
        <v>190.95</v>
      </c>
      <c r="DF4" vm="383">
        <f ca="1"/>
        <v>202.07</v>
      </c>
      <c r="DG4" vm="384">
        <f ca="1"/>
        <v>199.45</v>
      </c>
      <c r="DH4" vm="385">
        <f ca="1"/>
        <v>192.43</v>
      </c>
      <c r="DI4" vm="386">
        <f ca="1"/>
        <v>202.68</v>
      </c>
      <c r="DJ4" vm="387">
        <f ca="1"/>
        <v>203.23</v>
      </c>
      <c r="DK4" vm="388">
        <f ca="1"/>
        <v>204.83</v>
      </c>
      <c r="DL4" vm="389">
        <f ca="1"/>
        <v>197.74</v>
      </c>
      <c r="DM4" vm="390">
        <f ca="1"/>
        <v>193.39</v>
      </c>
      <c r="DN4" vm="391">
        <f ca="1"/>
        <v>196.58</v>
      </c>
      <c r="DO4" vm="392">
        <f ca="1"/>
        <v>196.31</v>
      </c>
      <c r="DP4" vm="393">
        <f ca="1"/>
        <v>199.46</v>
      </c>
      <c r="DQ4" vm="394">
        <f ca="1"/>
        <v>205.27</v>
      </c>
      <c r="DR4" vm="395">
        <f ca="1"/>
        <v>201.33</v>
      </c>
      <c r="DS4" vm="386">
        <f ca="1"/>
        <v>202.68</v>
      </c>
      <c r="DT4" vm="396">
        <f ca="1"/>
        <v>205.37</v>
      </c>
      <c r="DU4" vm="397">
        <f ca="1"/>
        <v>220.27</v>
      </c>
      <c r="DV4" vm="398">
        <f ca="1"/>
        <v>203.77</v>
      </c>
      <c r="DW4" vm="399">
        <f ca="1"/>
        <v>201.99</v>
      </c>
      <c r="DX4" vm="400">
        <f ca="1"/>
        <v>196.04</v>
      </c>
      <c r="DY4" vm="401">
        <f ca="1"/>
        <v>203.43</v>
      </c>
      <c r="DZ4" vm="402">
        <f ca="1"/>
        <v>210.21</v>
      </c>
      <c r="EA4" vm="403">
        <f ca="1"/>
        <v>217.5</v>
      </c>
      <c r="EB4" vm="404">
        <f ca="1"/>
        <v>220.18</v>
      </c>
      <c r="EC4" vm="405">
        <f ca="1"/>
        <v>221.53</v>
      </c>
      <c r="ED4" vm="406">
        <f ca="1"/>
        <v>231.82</v>
      </c>
      <c r="EE4" vm="407">
        <f ca="1"/>
        <v>236.64</v>
      </c>
      <c r="EF4" vm="408">
        <f ca="1"/>
        <v>245.04</v>
      </c>
      <c r="EG4" vm="409">
        <f ca="1"/>
        <v>246.83</v>
      </c>
      <c r="EH4" vm="410">
        <f ca="1"/>
        <v>255.07</v>
      </c>
      <c r="EI4" vm="411">
        <f ca="1"/>
        <v>258.12</v>
      </c>
      <c r="EJ4" vm="412">
        <f ca="1"/>
        <v>278.26</v>
      </c>
      <c r="EK4" vm="413">
        <f ca="1"/>
        <v>278.39</v>
      </c>
      <c r="EL4" vm="414">
        <f ca="1"/>
        <v>274.95</v>
      </c>
      <c r="EM4" vm="415">
        <f ca="1"/>
        <v>284.49</v>
      </c>
      <c r="EN4" vm="416">
        <f ca="1"/>
        <v>303.45999999999998</v>
      </c>
      <c r="EO4" vm="417">
        <f ca="1"/>
        <v>305.33</v>
      </c>
      <c r="EP4" vm="418">
        <f ca="1"/>
        <v>347.81</v>
      </c>
      <c r="EQ4" vm="419">
        <f ca="1"/>
        <v>334.63</v>
      </c>
      <c r="ER4" vm="420">
        <f ca="1"/>
        <v>323.20999999999998</v>
      </c>
      <c r="ES4" vm="421">
        <f ca="1"/>
        <v>337.11</v>
      </c>
      <c r="ET4" vm="422">
        <f ca="1"/>
        <v>354.49</v>
      </c>
      <c r="EU4" vm="423">
        <f ca="1"/>
        <v>360.54</v>
      </c>
      <c r="EV4" vm="424">
        <f ca="1"/>
        <v>341.54</v>
      </c>
      <c r="EW4" vm="425">
        <f ca="1"/>
        <v>355.26</v>
      </c>
      <c r="EX4" vm="426">
        <f ca="1"/>
        <v>421.39</v>
      </c>
      <c r="EY4" vm="427">
        <f ca="1"/>
        <v>408.46</v>
      </c>
      <c r="EZ4" vm="428">
        <f ca="1"/>
        <v>455.19</v>
      </c>
      <c r="FA4" vm="429">
        <f ca="1"/>
        <v>458.79</v>
      </c>
      <c r="FB4" vm="430">
        <f ca="1"/>
        <v>448.29</v>
      </c>
      <c r="FC4" vm="431">
        <f ca="1"/>
        <v>445.5</v>
      </c>
      <c r="FD4" vm="432">
        <f ca="1"/>
        <v>449.7</v>
      </c>
      <c r="FE4" vm="433">
        <f ca="1"/>
        <v>424.1</v>
      </c>
      <c r="FF4" vm="434">
        <f ca="1"/>
        <v>420.99</v>
      </c>
      <c r="FG4" vm="435">
        <f ca="1"/>
        <v>414.05</v>
      </c>
      <c r="FH4" vm="436">
        <f ca="1"/>
        <v>447.58</v>
      </c>
      <c r="FI4" vm="437">
        <f ca="1"/>
        <v>449.59</v>
      </c>
      <c r="FJ4" vm="438">
        <f ca="1"/>
        <v>467.51</v>
      </c>
      <c r="FK4" vm="439">
        <f ca="1"/>
        <v>503.89</v>
      </c>
      <c r="FL4" vm="440">
        <f ca="1"/>
        <v>495.54</v>
      </c>
      <c r="FM4" vm="441">
        <f ca="1"/>
        <v>518.09</v>
      </c>
      <c r="FN4" vm="442">
        <f ca="1"/>
        <v>516.1</v>
      </c>
      <c r="FO4" vm="443">
        <f ca="1"/>
        <v>510.13</v>
      </c>
      <c r="FP4" vm="444">
        <f ca="1"/>
        <v>521.54</v>
      </c>
      <c r="FQ4" vm="445">
        <f ca="1"/>
        <v>542.52</v>
      </c>
      <c r="FR4" vm="446">
        <f ca="1"/>
        <v>523.20000000000005</v>
      </c>
      <c r="FS4" vm="447">
        <f ca="1"/>
        <v>466.38</v>
      </c>
      <c r="FT4" vm="448">
        <f ca="1"/>
        <v>490.33</v>
      </c>
      <c r="FU4" vm="449">
        <f ca="1"/>
        <v>475.505</v>
      </c>
      <c r="FV4" vm="450">
        <f ca="1"/>
        <v>452.4</v>
      </c>
      <c r="FW4" vm="451">
        <f ca="1"/>
        <v>488.45</v>
      </c>
      <c r="FX4" vm="452">
        <f ca="1"/>
        <v>511.57</v>
      </c>
      <c r="FY4" vm="453">
        <f ca="1"/>
        <v>547.26</v>
      </c>
      <c r="FZ4" vm="454">
        <f ca="1"/>
        <v>507.29</v>
      </c>
      <c r="GA4" vm="455">
        <f ca="1"/>
        <v>512.48</v>
      </c>
      <c r="GB4" vm="456">
        <f ca="1"/>
        <v>537.37</v>
      </c>
      <c r="GC4" vm="457">
        <f ca="1"/>
        <v>551.63</v>
      </c>
      <c r="GD4" vm="458">
        <f ca="1"/>
        <v>519.85</v>
      </c>
      <c r="GE4" vm="459">
        <f ca="1"/>
        <v>519.74</v>
      </c>
      <c r="GF4" vm="460">
        <f ca="1"/>
        <v>532.57000000000005</v>
      </c>
      <c r="GG4" vm="461">
        <f ca="1"/>
        <v>521.58000000000004</v>
      </c>
      <c r="GH4" vm="462">
        <f ca="1"/>
        <v>539.49</v>
      </c>
      <c r="GI4" vm="463">
        <f ca="1"/>
        <v>580.91</v>
      </c>
      <c r="GJ4" vm="464">
        <f ca="1"/>
        <v>540.88</v>
      </c>
      <c r="GK4" vm="465">
        <f ca="1"/>
        <v>517.82000000000005</v>
      </c>
      <c r="GL4" vm="466">
        <f ca="1"/>
        <v>552.04999999999995</v>
      </c>
      <c r="GM4" vm="467">
        <f ca="1"/>
        <v>516.11</v>
      </c>
      <c r="GN4" vm="468">
        <f ca="1"/>
        <v>517.40499999999997</v>
      </c>
      <c r="GO4" vm="469">
        <f ca="1"/>
        <v>546.72</v>
      </c>
      <c r="GP4" vm="470">
        <f ca="1"/>
        <v>557.89</v>
      </c>
      <c r="GQ4" vm="471">
        <f ca="1"/>
        <v>534.39</v>
      </c>
      <c r="GR4" vm="472">
        <f ca="1"/>
        <v>548.13</v>
      </c>
      <c r="GS4" vm="473">
        <f ca="1"/>
        <v>529.14</v>
      </c>
      <c r="GT4" vm="474">
        <f ca="1"/>
        <v>500.94</v>
      </c>
      <c r="GU4" vm="475">
        <f ca="1"/>
        <v>495.76</v>
      </c>
      <c r="GV4" vm="476">
        <f ca="1"/>
        <v>503.57</v>
      </c>
      <c r="GW4" vm="477">
        <f ca="1"/>
        <v>544.42999999999995</v>
      </c>
      <c r="GX4" vm="478">
        <f ca="1"/>
        <v>552.33000000000004</v>
      </c>
      <c r="GY4" vm="479">
        <f ca="1"/>
        <v>539.69000000000005</v>
      </c>
      <c r="GZ4" vm="480">
        <f ca="1"/>
        <v>521.95000000000005</v>
      </c>
      <c r="HA4" vm="481">
        <f ca="1"/>
        <v>494.95</v>
      </c>
      <c r="HB4" vm="482">
        <f ca="1"/>
        <v>454.62</v>
      </c>
      <c r="HC4" vm="483">
        <f ca="1"/>
        <v>429.56</v>
      </c>
      <c r="HD4" vm="484">
        <f ca="1"/>
        <v>485.39</v>
      </c>
      <c r="HE4" vm="485">
        <f ca="1"/>
        <v>476.15</v>
      </c>
      <c r="HF4" vm="486">
        <f ca="1"/>
        <v>484.64</v>
      </c>
      <c r="HG4" vm="487">
        <f ca="1"/>
        <v>518.58000000000004</v>
      </c>
      <c r="HH4" vm="488">
        <f ca="1"/>
        <v>482.05</v>
      </c>
      <c r="HI4" vm="489">
        <f ca="1"/>
        <v>489.28</v>
      </c>
      <c r="HJ4" vm="490">
        <f ca="1"/>
        <v>483.36</v>
      </c>
      <c r="HK4" vm="491">
        <f ca="1"/>
        <v>469.56</v>
      </c>
      <c r="HL4" vm="492">
        <f ca="1"/>
        <v>474.32</v>
      </c>
      <c r="HM4" vm="493">
        <f ca="1"/>
        <v>482.93</v>
      </c>
      <c r="HN4" vm="494">
        <f ca="1"/>
        <v>483.01</v>
      </c>
      <c r="HO4" vm="495">
        <f ca="1"/>
        <v>514.39</v>
      </c>
      <c r="HP4" vm="496">
        <f ca="1"/>
        <v>506</v>
      </c>
      <c r="HQ4" vm="497">
        <f ca="1"/>
        <v>484.39</v>
      </c>
      <c r="HR4" vm="498">
        <f ca="1"/>
        <v>466.42</v>
      </c>
      <c r="HS4" vm="499">
        <f ca="1"/>
        <v>469.45499999999998</v>
      </c>
      <c r="HT4" vm="500">
        <f ca="1"/>
        <v>473.25</v>
      </c>
      <c r="HU4" vm="501">
        <f ca="1"/>
        <v>456.745</v>
      </c>
      <c r="HV4" vm="502">
        <f ca="1"/>
        <v>479.18</v>
      </c>
      <c r="HW4" vm="503">
        <f ca="1"/>
        <v>480.93</v>
      </c>
      <c r="HX4" vm="504">
        <f ca="1"/>
        <v>476.67</v>
      </c>
      <c r="HY4" vm="505">
        <f ca="1"/>
        <v>465.58</v>
      </c>
      <c r="HZ4" vm="506">
        <f ca="1"/>
        <v>470.72</v>
      </c>
      <c r="IA4" vm="507">
        <f ca="1"/>
        <v>459.61</v>
      </c>
      <c r="IB4" vm="508">
        <f ca="1"/>
        <v>457.06</v>
      </c>
      <c r="IC4" vm="509">
        <f ca="1"/>
        <v>456.16</v>
      </c>
      <c r="ID4" vm="510">
        <f ca="1"/>
        <v>477.57</v>
      </c>
      <c r="IE4" vm="511">
        <f ca="1"/>
        <v>505.74</v>
      </c>
      <c r="IF4" vm="512">
        <f ca="1"/>
        <v>521.09500000000003</v>
      </c>
      <c r="IG4" vm="513">
        <f ca="1"/>
        <v>503.6</v>
      </c>
      <c r="IH4" vm="514">
        <f ca="1"/>
        <v>516.13</v>
      </c>
      <c r="II4" vm="515">
        <f ca="1"/>
        <v>493.41</v>
      </c>
      <c r="IJ4" vm="516">
        <f ca="1"/>
        <v>504.2</v>
      </c>
      <c r="IK4" vm="517">
        <f ca="1"/>
        <v>512.5</v>
      </c>
      <c r="IL4" vm="518">
        <f ca="1"/>
        <v>545.09</v>
      </c>
      <c r="IM4" vm="519">
        <f ca="1"/>
        <v>559.82000000000005</v>
      </c>
      <c r="IN4" vm="520">
        <f ca="1"/>
        <v>615.52</v>
      </c>
      <c r="IO4" vm="521">
        <f ca="1"/>
        <v>623.77</v>
      </c>
      <c r="IP4" vm="522">
        <f ca="1"/>
        <v>614.61</v>
      </c>
      <c r="IQ4" vm="523">
        <f ca="1"/>
        <v>629.26</v>
      </c>
      <c r="IR4" vm="524">
        <f ca="1"/>
        <v>630.63</v>
      </c>
      <c r="IS4" vm="525">
        <f ca="1"/>
        <v>607.87</v>
      </c>
    </row>
    <row r="6" spans="1:253" x14ac:dyDescent="0.35">
      <c r="A6" t="str" cm="1">
        <f t="array" aca="1" ref="A6:F26" ca="1">_xlfn.STOCKHISTORY(A4&amp;":"&amp;B4,TODAY()-30,TODAY(),0,1,0,5,2,3,4,1)</f>
        <v>Date</v>
      </c>
      <c r="B6" t="str">
        <f ca="1"/>
        <v>Volume</v>
      </c>
      <c r="C6" t="str">
        <f ca="1"/>
        <v>Open</v>
      </c>
      <c r="D6" t="str">
        <f ca="1"/>
        <v>High</v>
      </c>
      <c r="E6" t="str">
        <f ca="1"/>
        <v>Low</v>
      </c>
      <c r="F6" t="str">
        <f ca="1"/>
        <v>Close</v>
      </c>
    </row>
    <row r="7" spans="1:253" x14ac:dyDescent="0.35">
      <c r="A7" vm="257">
        <f ca="1"/>
        <v>46265</v>
      </c>
      <c r="B7" vm="3747">
        <f ca="1"/>
        <v>12462999</v>
      </c>
      <c r="C7" vm="3748">
        <f ca="1"/>
        <v>466.22</v>
      </c>
      <c r="D7" vm="3749">
        <f ca="1"/>
        <v>475.80990000000003</v>
      </c>
      <c r="E7" vm="3750">
        <f ca="1"/>
        <v>463.68</v>
      </c>
      <c r="F7" vm="506">
        <f ca="1"/>
        <v>470.72</v>
      </c>
    </row>
    <row r="8" spans="1:253" x14ac:dyDescent="0.35">
      <c r="A8" vm="258">
        <f ca="1"/>
        <v>46266</v>
      </c>
      <c r="B8" vm="3751">
        <f ca="1"/>
        <v>16212787</v>
      </c>
      <c r="C8" vm="3752">
        <f ca="1"/>
        <v>459.91</v>
      </c>
      <c r="D8" vm="3753">
        <f ca="1"/>
        <v>461.5</v>
      </c>
      <c r="E8" vm="3754">
        <f ca="1"/>
        <v>452.3</v>
      </c>
      <c r="F8" vm="507">
        <f ca="1"/>
        <v>459.61</v>
      </c>
    </row>
    <row r="9" spans="1:253" x14ac:dyDescent="0.35">
      <c r="A9" vm="259">
        <f ca="1"/>
        <v>46267</v>
      </c>
      <c r="B9" vm="3755">
        <f ca="1"/>
        <v>11938812</v>
      </c>
      <c r="C9" vm="3756">
        <f ca="1"/>
        <v>459.51</v>
      </c>
      <c r="D9" vm="3757">
        <f ca="1"/>
        <v>462.21</v>
      </c>
      <c r="E9" vm="3758">
        <f ca="1"/>
        <v>452.36</v>
      </c>
      <c r="F9" vm="508">
        <f ca="1"/>
        <v>457.06</v>
      </c>
    </row>
    <row r="10" spans="1:253" x14ac:dyDescent="0.35">
      <c r="A10" vm="260">
        <f ca="1"/>
        <v>46268</v>
      </c>
      <c r="B10" vm="3759">
        <f ca="1"/>
        <v>14868085</v>
      </c>
      <c r="C10" vm="3760">
        <f ca="1"/>
        <v>453.15</v>
      </c>
      <c r="D10" vm="3761">
        <f ca="1"/>
        <v>459.77</v>
      </c>
      <c r="E10" vm="3762">
        <f ca="1"/>
        <v>440.5</v>
      </c>
      <c r="F10" vm="509">
        <f ca="1"/>
        <v>456.16</v>
      </c>
    </row>
    <row r="11" spans="1:253" x14ac:dyDescent="0.35">
      <c r="A11" vm="261">
        <f ca="1"/>
        <v>46269</v>
      </c>
      <c r="B11" vm="3763">
        <f ca="1"/>
        <v>19678742</v>
      </c>
      <c r="C11" vm="3764">
        <f ca="1"/>
        <v>462</v>
      </c>
      <c r="D11" vm="3765">
        <f ca="1"/>
        <v>478.83</v>
      </c>
      <c r="E11" vm="3766">
        <f ca="1"/>
        <v>458</v>
      </c>
      <c r="F11" vm="510">
        <f ca="1"/>
        <v>477.57</v>
      </c>
    </row>
    <row r="12" spans="1:253" x14ac:dyDescent="0.35">
      <c r="A12" vm="262">
        <f ca="1"/>
        <v>46273</v>
      </c>
      <c r="B12" vm="3767">
        <f ca="1"/>
        <v>28166529</v>
      </c>
      <c r="C12" vm="3768">
        <f ca="1"/>
        <v>488.92</v>
      </c>
      <c r="D12" vm="3769">
        <f ca="1"/>
        <v>512.3569</v>
      </c>
      <c r="E12" vm="3770">
        <f ca="1"/>
        <v>486.57060000000001</v>
      </c>
      <c r="F12" vm="511">
        <f ca="1"/>
        <v>505.74</v>
      </c>
    </row>
    <row r="13" spans="1:253" x14ac:dyDescent="0.35">
      <c r="A13" vm="263">
        <f ca="1"/>
        <v>46274</v>
      </c>
      <c r="B13" vm="3771">
        <f ca="1"/>
        <v>22152382</v>
      </c>
      <c r="C13" vm="3772">
        <f ca="1"/>
        <v>507.5</v>
      </c>
      <c r="D13" vm="3773">
        <f ca="1"/>
        <v>526.79</v>
      </c>
      <c r="E13" vm="3774">
        <f ca="1"/>
        <v>506.36</v>
      </c>
      <c r="F13" vm="512">
        <f ca="1"/>
        <v>521.09500000000003</v>
      </c>
    </row>
    <row r="14" spans="1:253" x14ac:dyDescent="0.35">
      <c r="A14" vm="264">
        <f ca="1"/>
        <v>46275</v>
      </c>
      <c r="B14" vm="3775">
        <f ca="1"/>
        <v>15887968</v>
      </c>
      <c r="C14" vm="3776">
        <f ca="1"/>
        <v>509.07</v>
      </c>
      <c r="D14" vm="3777">
        <f ca="1"/>
        <v>516.33219999999994</v>
      </c>
      <c r="E14" vm="3778">
        <f ca="1"/>
        <v>502.81</v>
      </c>
      <c r="F14" vm="513">
        <f ca="1"/>
        <v>503.6</v>
      </c>
    </row>
    <row r="15" spans="1:253" x14ac:dyDescent="0.35">
      <c r="A15" vm="265">
        <f ca="1"/>
        <v>46276</v>
      </c>
      <c r="B15" vm="3779">
        <f ca="1"/>
        <v>18760534</v>
      </c>
      <c r="C15" vm="3780">
        <f ca="1"/>
        <v>510.71</v>
      </c>
      <c r="D15" vm="3781">
        <f ca="1"/>
        <v>521.05999999999995</v>
      </c>
      <c r="E15" vm="3782">
        <f ca="1"/>
        <v>501.35</v>
      </c>
      <c r="F15" vm="514">
        <f ca="1"/>
        <v>516.13</v>
      </c>
    </row>
    <row r="16" spans="1:253" x14ac:dyDescent="0.35">
      <c r="A16" vm="266">
        <f ca="1"/>
        <v>46279</v>
      </c>
      <c r="B16" vm="3783">
        <f ca="1"/>
        <v>24810136</v>
      </c>
      <c r="C16" vm="3784">
        <f ca="1"/>
        <v>486.28</v>
      </c>
      <c r="D16" vm="3785">
        <f ca="1"/>
        <v>498.39</v>
      </c>
      <c r="E16" vm="3786">
        <f ca="1"/>
        <v>480.33</v>
      </c>
      <c r="F16" vm="515">
        <f ca="1"/>
        <v>493.41</v>
      </c>
    </row>
    <row r="17" spans="1:6" x14ac:dyDescent="0.35">
      <c r="A17" vm="267">
        <f ca="1"/>
        <v>46280</v>
      </c>
      <c r="B17" vm="3787">
        <f ca="1"/>
        <v>16833235</v>
      </c>
      <c r="C17" vm="3788">
        <f ca="1"/>
        <v>501.7</v>
      </c>
      <c r="D17" vm="3789">
        <f ca="1"/>
        <v>513.66499999999996</v>
      </c>
      <c r="E17" vm="3790">
        <f ca="1"/>
        <v>497.51100000000002</v>
      </c>
      <c r="F17" vm="516">
        <f ca="1"/>
        <v>504.2</v>
      </c>
    </row>
    <row r="18" spans="1:6" x14ac:dyDescent="0.35">
      <c r="A18" vm="268">
        <f ca="1"/>
        <v>46281</v>
      </c>
      <c r="B18" vm="3791">
        <f ca="1"/>
        <v>22317673</v>
      </c>
      <c r="C18" vm="3792">
        <f ca="1"/>
        <v>517.39</v>
      </c>
      <c r="D18" vm="3793">
        <f ca="1"/>
        <v>527.25</v>
      </c>
      <c r="E18" vm="3794">
        <f ca="1"/>
        <v>506.05</v>
      </c>
      <c r="F18" vm="517">
        <f ca="1"/>
        <v>512.5</v>
      </c>
    </row>
    <row r="19" spans="1:6" x14ac:dyDescent="0.35">
      <c r="A19" vm="269">
        <f ca="1"/>
        <v>46282</v>
      </c>
      <c r="B19" vm="3795">
        <f ca="1"/>
        <v>28464702</v>
      </c>
      <c r="C19" vm="3796">
        <f ca="1"/>
        <v>533.6</v>
      </c>
      <c r="D19" vm="3797">
        <f ca="1"/>
        <v>551.41999999999996</v>
      </c>
      <c r="E19" vm="3798">
        <f ca="1"/>
        <v>527.6</v>
      </c>
      <c r="F19" vm="518">
        <f ca="1"/>
        <v>545.09</v>
      </c>
    </row>
    <row r="20" spans="1:6" x14ac:dyDescent="0.35">
      <c r="A20" vm="270">
        <f ca="1"/>
        <v>46283</v>
      </c>
      <c r="B20" vm="3799">
        <f ca="1"/>
        <v>31867285</v>
      </c>
      <c r="C20" vm="3800">
        <f ca="1"/>
        <v>547.37</v>
      </c>
      <c r="D20" vm="3801">
        <f ca="1"/>
        <v>559.91</v>
      </c>
      <c r="E20" vm="3802">
        <f ca="1"/>
        <v>541.53</v>
      </c>
      <c r="F20" vm="519">
        <f ca="1"/>
        <v>559.82000000000005</v>
      </c>
    </row>
    <row r="21" spans="1:6" x14ac:dyDescent="0.35">
      <c r="A21" vm="271">
        <f ca="1"/>
        <v>46286</v>
      </c>
      <c r="B21" vm="3803">
        <f ca="1"/>
        <v>44494272</v>
      </c>
      <c r="C21" vm="3804">
        <f ca="1"/>
        <v>583.88</v>
      </c>
      <c r="D21" vm="3805">
        <f ca="1"/>
        <v>616.69000000000005</v>
      </c>
      <c r="E21" vm="3806">
        <f ca="1"/>
        <v>582.27</v>
      </c>
      <c r="F21" vm="520">
        <f ca="1"/>
        <v>615.52</v>
      </c>
    </row>
    <row r="22" spans="1:6" x14ac:dyDescent="0.35">
      <c r="A22" vm="272">
        <f ca="1"/>
        <v>46287</v>
      </c>
      <c r="B22" vm="3807">
        <f ca="1"/>
        <v>28282819</v>
      </c>
      <c r="C22" vm="3808">
        <f ca="1"/>
        <v>606.56500000000005</v>
      </c>
      <c r="D22" vm="3809">
        <f ca="1"/>
        <v>624.52</v>
      </c>
      <c r="E22" vm="3810">
        <f ca="1"/>
        <v>606.3125</v>
      </c>
      <c r="F22" vm="521">
        <f ca="1"/>
        <v>623.77</v>
      </c>
    </row>
    <row r="23" spans="1:6" x14ac:dyDescent="0.35">
      <c r="A23" vm="273">
        <f ca="1"/>
        <v>46288</v>
      </c>
      <c r="B23" vm="3811">
        <f ca="1"/>
        <v>16338150</v>
      </c>
      <c r="C23" vm="3812">
        <f ca="1"/>
        <v>621.5</v>
      </c>
      <c r="D23" vm="3813">
        <f ca="1"/>
        <v>624.68989999999997</v>
      </c>
      <c r="E23" vm="3814">
        <f ca="1"/>
        <v>608.08000000000004</v>
      </c>
      <c r="F23" vm="522">
        <f ca="1"/>
        <v>614.61</v>
      </c>
    </row>
    <row r="24" spans="1:6" x14ac:dyDescent="0.35">
      <c r="A24" vm="274">
        <f ca="1"/>
        <v>46289</v>
      </c>
      <c r="B24" vm="3815">
        <f ca="1"/>
        <v>25318929</v>
      </c>
      <c r="C24" vm="3816">
        <f ca="1"/>
        <v>600.27</v>
      </c>
      <c r="D24" vm="3817">
        <f ca="1"/>
        <v>630.79999999999995</v>
      </c>
      <c r="E24" vm="3818">
        <f ca="1"/>
        <v>599.24</v>
      </c>
      <c r="F24" vm="523">
        <f ca="1"/>
        <v>629.26</v>
      </c>
    </row>
    <row r="25" spans="1:6" x14ac:dyDescent="0.35">
      <c r="A25" vm="275">
        <f ca="1"/>
        <v>46290</v>
      </c>
      <c r="B25" vm="3819">
        <f ca="1"/>
        <v>17632078</v>
      </c>
      <c r="C25" vm="3820">
        <f ca="1"/>
        <v>634.53499999999997</v>
      </c>
      <c r="D25" vm="3821">
        <f ca="1"/>
        <v>639</v>
      </c>
      <c r="E25" vm="3822">
        <f ca="1"/>
        <v>625.52</v>
      </c>
      <c r="F25" vm="524">
        <f ca="1"/>
        <v>630.63</v>
      </c>
    </row>
    <row r="26" spans="1:6" x14ac:dyDescent="0.35">
      <c r="A26" vm="276">
        <f ca="1"/>
        <v>46293</v>
      </c>
      <c r="B26" vm="3823">
        <f ca="1"/>
        <v>22124072</v>
      </c>
      <c r="C26" vm="3824">
        <f ca="1"/>
        <v>624.89499999999998</v>
      </c>
      <c r="D26" vm="3825">
        <f ca="1"/>
        <v>629.75</v>
      </c>
      <c r="E26" vm="3826">
        <f ca="1"/>
        <v>596.07000000000005</v>
      </c>
      <c r="F26" vm="525">
        <f ca="1"/>
        <v>607.87</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755F8E-89BC-47D1-93EE-3F7763E23042}">
  <dimension ref="A1:IR24"/>
  <sheetViews>
    <sheetView tabSelected="1" workbookViewId="0"/>
  </sheetViews>
  <sheetFormatPr defaultRowHeight="14.5" x14ac:dyDescent="0.35"/>
  <cols>
    <col min="1" max="1" width="38.6328125" customWidth="1"/>
    <col min="2" max="252" width="10.08984375" bestFit="1" customWidth="1"/>
  </cols>
  <sheetData>
    <row r="1" spans="1:252" x14ac:dyDescent="0.35">
      <c r="A1" s="495" t="s">
        <v>375</v>
      </c>
    </row>
    <row r="2" spans="1:252" x14ac:dyDescent="0.35">
      <c r="A2" t="s">
        <v>376</v>
      </c>
    </row>
    <row r="4" spans="1:252" s="491" customFormat="1" x14ac:dyDescent="0.35">
      <c r="A4" s="496" t="s">
        <v>9</v>
      </c>
      <c r="B4" s="491" cm="1" vm="26">
        <f t="array" aca="1" ref="B4:IR4" ca="1">_xlfn.TAKE('Price History'!B2:IZ2,,COUNT('Price History'!B2:IZ2))</f>
        <v>45929</v>
      </c>
      <c r="C4" s="491" vm="27">
        <f ca="1"/>
        <v>45930</v>
      </c>
      <c r="D4" s="491" vm="28">
        <f ca="1"/>
        <v>45931</v>
      </c>
      <c r="E4" s="491" vm="29">
        <f ca="1"/>
        <v>45932</v>
      </c>
      <c r="F4" s="491" vm="30">
        <f ca="1"/>
        <v>45933</v>
      </c>
      <c r="G4" s="491" vm="31">
        <f ca="1"/>
        <v>45936</v>
      </c>
      <c r="H4" s="491" vm="32">
        <f ca="1"/>
        <v>45937</v>
      </c>
      <c r="I4" s="491" vm="33">
        <f ca="1"/>
        <v>45938</v>
      </c>
      <c r="J4" s="491" vm="34">
        <f ca="1"/>
        <v>45939</v>
      </c>
      <c r="K4" s="491" vm="35">
        <f ca="1"/>
        <v>45940</v>
      </c>
      <c r="L4" s="491" vm="36">
        <f ca="1"/>
        <v>45943</v>
      </c>
      <c r="M4" s="491" vm="37">
        <f ca="1"/>
        <v>45944</v>
      </c>
      <c r="N4" s="491" vm="38">
        <f ca="1"/>
        <v>45945</v>
      </c>
      <c r="O4" s="491" vm="39">
        <f ca="1"/>
        <v>45946</v>
      </c>
      <c r="P4" s="491" vm="40">
        <f ca="1"/>
        <v>45947</v>
      </c>
      <c r="Q4" s="491" vm="41">
        <f ca="1"/>
        <v>45950</v>
      </c>
      <c r="R4" s="491" vm="42">
        <f ca="1"/>
        <v>45951</v>
      </c>
      <c r="S4" s="491" vm="43">
        <f ca="1"/>
        <v>45952</v>
      </c>
      <c r="T4" s="491" vm="44">
        <f ca="1"/>
        <v>45953</v>
      </c>
      <c r="U4" s="491" vm="45">
        <f ca="1"/>
        <v>45954</v>
      </c>
      <c r="V4" s="491" vm="46">
        <f ca="1"/>
        <v>45957</v>
      </c>
      <c r="W4" s="491" vm="47">
        <f ca="1"/>
        <v>45958</v>
      </c>
      <c r="X4" s="491" vm="48">
        <f ca="1"/>
        <v>45959</v>
      </c>
      <c r="Y4" s="491" vm="49">
        <f ca="1"/>
        <v>45960</v>
      </c>
      <c r="Z4" s="491" vm="50">
        <f ca="1"/>
        <v>45961</v>
      </c>
      <c r="AA4" s="491" vm="51">
        <f ca="1"/>
        <v>45964</v>
      </c>
      <c r="AB4" s="491" vm="52">
        <f ca="1"/>
        <v>45965</v>
      </c>
      <c r="AC4" s="491" vm="53">
        <f ca="1"/>
        <v>45966</v>
      </c>
      <c r="AD4" s="491" vm="54">
        <f ca="1"/>
        <v>45967</v>
      </c>
      <c r="AE4" s="491" vm="55">
        <f ca="1"/>
        <v>45968</v>
      </c>
      <c r="AF4" s="491" vm="56">
        <f ca="1"/>
        <v>45971</v>
      </c>
      <c r="AG4" s="491" vm="57">
        <f ca="1"/>
        <v>45972</v>
      </c>
      <c r="AH4" s="491" vm="58">
        <f ca="1"/>
        <v>45973</v>
      </c>
      <c r="AI4" s="491" vm="59">
        <f ca="1"/>
        <v>45974</v>
      </c>
      <c r="AJ4" s="491" vm="60">
        <f ca="1"/>
        <v>45975</v>
      </c>
      <c r="AK4" s="491" vm="61">
        <f ca="1"/>
        <v>45978</v>
      </c>
      <c r="AL4" s="491" vm="62">
        <f ca="1"/>
        <v>45979</v>
      </c>
      <c r="AM4" s="491" vm="63">
        <f ca="1"/>
        <v>45980</v>
      </c>
      <c r="AN4" s="491" vm="64">
        <f ca="1"/>
        <v>45981</v>
      </c>
      <c r="AO4" s="491" vm="65">
        <f ca="1"/>
        <v>45982</v>
      </c>
      <c r="AP4" s="491" vm="66">
        <f ca="1"/>
        <v>45985</v>
      </c>
      <c r="AQ4" s="491" vm="67">
        <f ca="1"/>
        <v>45986</v>
      </c>
      <c r="AR4" s="491" vm="68">
        <f ca="1"/>
        <v>45987</v>
      </c>
      <c r="AS4" s="491" vm="69">
        <f ca="1"/>
        <v>45989</v>
      </c>
      <c r="AT4" s="491" vm="70">
        <f ca="1"/>
        <v>45992</v>
      </c>
      <c r="AU4" s="491" vm="71">
        <f ca="1"/>
        <v>45993</v>
      </c>
      <c r="AV4" s="491" vm="72">
        <f ca="1"/>
        <v>45994</v>
      </c>
      <c r="AW4" s="491" vm="73">
        <f ca="1"/>
        <v>45995</v>
      </c>
      <c r="AX4" s="491" vm="74">
        <f ca="1"/>
        <v>45996</v>
      </c>
      <c r="AY4" s="491" vm="75">
        <f ca="1"/>
        <v>45999</v>
      </c>
      <c r="AZ4" s="491" vm="76">
        <f ca="1"/>
        <v>46000</v>
      </c>
      <c r="BA4" s="491" vm="77">
        <f ca="1"/>
        <v>46001</v>
      </c>
      <c r="BB4" s="491" vm="78">
        <f ca="1"/>
        <v>46002</v>
      </c>
      <c r="BC4" s="491" vm="79">
        <f ca="1"/>
        <v>46003</v>
      </c>
      <c r="BD4" s="491" vm="80">
        <f ca="1"/>
        <v>46006</v>
      </c>
      <c r="BE4" s="491" vm="81">
        <f ca="1"/>
        <v>46007</v>
      </c>
      <c r="BF4" s="491" vm="82">
        <f ca="1"/>
        <v>46008</v>
      </c>
      <c r="BG4" s="491" vm="83">
        <f ca="1"/>
        <v>46009</v>
      </c>
      <c r="BH4" s="491" vm="84">
        <f ca="1"/>
        <v>46010</v>
      </c>
      <c r="BI4" s="491" vm="85">
        <f ca="1"/>
        <v>46013</v>
      </c>
      <c r="BJ4" s="491" vm="86">
        <f ca="1"/>
        <v>46014</v>
      </c>
      <c r="BK4" s="491" vm="87">
        <f ca="1"/>
        <v>46015</v>
      </c>
      <c r="BL4" s="491" vm="88">
        <f ca="1"/>
        <v>46017</v>
      </c>
      <c r="BM4" s="491" vm="89">
        <f ca="1"/>
        <v>46020</v>
      </c>
      <c r="BN4" s="491" vm="90">
        <f ca="1"/>
        <v>46021</v>
      </c>
      <c r="BO4" s="491" vm="91">
        <f ca="1"/>
        <v>46022</v>
      </c>
      <c r="BP4" s="491" vm="92">
        <f ca="1"/>
        <v>46024</v>
      </c>
      <c r="BQ4" s="491" vm="93">
        <f ca="1"/>
        <v>46027</v>
      </c>
      <c r="BR4" s="491" vm="94">
        <f ca="1"/>
        <v>46028</v>
      </c>
      <c r="BS4" s="491" vm="95">
        <f ca="1"/>
        <v>46029</v>
      </c>
      <c r="BT4" s="491" vm="96">
        <f ca="1"/>
        <v>46030</v>
      </c>
      <c r="BU4" s="491" vm="97">
        <f ca="1"/>
        <v>46031</v>
      </c>
      <c r="BV4" s="491" vm="98">
        <f ca="1"/>
        <v>46034</v>
      </c>
      <c r="BW4" s="491" vm="99">
        <f ca="1"/>
        <v>46035</v>
      </c>
      <c r="BX4" s="491" vm="100">
        <f ca="1"/>
        <v>46036</v>
      </c>
      <c r="BY4" s="491" vm="101">
        <f ca="1"/>
        <v>46037</v>
      </c>
      <c r="BZ4" s="491" vm="102">
        <f ca="1"/>
        <v>46038</v>
      </c>
      <c r="CA4" s="491" vm="103">
        <f ca="1"/>
        <v>46042</v>
      </c>
      <c r="CB4" s="491" vm="104">
        <f ca="1"/>
        <v>46043</v>
      </c>
      <c r="CC4" s="491" vm="105">
        <f ca="1"/>
        <v>46044</v>
      </c>
      <c r="CD4" s="491" vm="106">
        <f ca="1"/>
        <v>46045</v>
      </c>
      <c r="CE4" s="491" vm="107">
        <f ca="1"/>
        <v>46048</v>
      </c>
      <c r="CF4" s="491" vm="108">
        <f ca="1"/>
        <v>46049</v>
      </c>
      <c r="CG4" s="491" vm="109">
        <f ca="1"/>
        <v>46050</v>
      </c>
      <c r="CH4" s="491" vm="110">
        <f ca="1"/>
        <v>46051</v>
      </c>
      <c r="CI4" s="491" vm="111">
        <f ca="1"/>
        <v>46052</v>
      </c>
      <c r="CJ4" s="491" vm="112">
        <f ca="1"/>
        <v>46055</v>
      </c>
      <c r="CK4" s="491" vm="113">
        <f ca="1"/>
        <v>46056</v>
      </c>
      <c r="CL4" s="491" vm="114">
        <f ca="1"/>
        <v>46057</v>
      </c>
      <c r="CM4" s="491" vm="115">
        <f ca="1"/>
        <v>46058</v>
      </c>
      <c r="CN4" s="491" vm="116">
        <f ca="1"/>
        <v>46059</v>
      </c>
      <c r="CO4" s="491" vm="117">
        <f ca="1"/>
        <v>46062</v>
      </c>
      <c r="CP4" s="491" vm="118">
        <f ca="1"/>
        <v>46063</v>
      </c>
      <c r="CQ4" s="491" vm="119">
        <f ca="1"/>
        <v>46064</v>
      </c>
      <c r="CR4" s="491" vm="120">
        <f ca="1"/>
        <v>46065</v>
      </c>
      <c r="CS4" s="491" vm="121">
        <f ca="1"/>
        <v>46066</v>
      </c>
      <c r="CT4" s="491" vm="122">
        <f ca="1"/>
        <v>46070</v>
      </c>
      <c r="CU4" s="491" vm="123">
        <f ca="1"/>
        <v>46071</v>
      </c>
      <c r="CV4" s="491" vm="124">
        <f ca="1"/>
        <v>46072</v>
      </c>
      <c r="CW4" s="491" vm="125">
        <f ca="1"/>
        <v>46073</v>
      </c>
      <c r="CX4" s="491" vm="126">
        <f ca="1"/>
        <v>46076</v>
      </c>
      <c r="CY4" s="491" vm="127">
        <f ca="1"/>
        <v>46077</v>
      </c>
      <c r="CZ4" s="491" vm="128">
        <f ca="1"/>
        <v>46078</v>
      </c>
      <c r="DA4" s="491" vm="129">
        <f ca="1"/>
        <v>46079</v>
      </c>
      <c r="DB4" s="491" vm="130">
        <f ca="1"/>
        <v>46080</v>
      </c>
      <c r="DC4" s="491" vm="131">
        <f ca="1"/>
        <v>46083</v>
      </c>
      <c r="DD4" s="491" vm="132">
        <f ca="1"/>
        <v>46084</v>
      </c>
      <c r="DE4" s="491" vm="133">
        <f ca="1"/>
        <v>46085</v>
      </c>
      <c r="DF4" s="491" vm="134">
        <f ca="1"/>
        <v>46086</v>
      </c>
      <c r="DG4" s="491" vm="135">
        <f ca="1"/>
        <v>46087</v>
      </c>
      <c r="DH4" s="491" vm="136">
        <f ca="1"/>
        <v>46090</v>
      </c>
      <c r="DI4" s="491" vm="137">
        <f ca="1"/>
        <v>46091</v>
      </c>
      <c r="DJ4" s="491" vm="138">
        <f ca="1"/>
        <v>46092</v>
      </c>
      <c r="DK4" s="491" vm="139">
        <f ca="1"/>
        <v>46093</v>
      </c>
      <c r="DL4" s="491" vm="140">
        <f ca="1"/>
        <v>46094</v>
      </c>
      <c r="DM4" s="491" vm="141">
        <f ca="1"/>
        <v>46097</v>
      </c>
      <c r="DN4" s="491" vm="142">
        <f ca="1"/>
        <v>46098</v>
      </c>
      <c r="DO4" s="491" vm="143">
        <f ca="1"/>
        <v>46099</v>
      </c>
      <c r="DP4" s="491" vm="144">
        <f ca="1"/>
        <v>46100</v>
      </c>
      <c r="DQ4" s="491" vm="145">
        <f ca="1"/>
        <v>46101</v>
      </c>
      <c r="DR4" s="491" vm="146">
        <f ca="1"/>
        <v>46104</v>
      </c>
      <c r="DS4" s="491" vm="147">
        <f ca="1"/>
        <v>46105</v>
      </c>
      <c r="DT4" s="491" vm="148">
        <f ca="1"/>
        <v>46106</v>
      </c>
      <c r="DU4" s="491" vm="149">
        <f ca="1"/>
        <v>46107</v>
      </c>
      <c r="DV4" s="491" vm="150">
        <f ca="1"/>
        <v>46108</v>
      </c>
      <c r="DW4" s="491" vm="151">
        <f ca="1"/>
        <v>46111</v>
      </c>
      <c r="DX4" s="491" vm="152">
        <f ca="1"/>
        <v>46112</v>
      </c>
      <c r="DY4" s="491" vm="153">
        <f ca="1"/>
        <v>46113</v>
      </c>
      <c r="DZ4" s="491" vm="154">
        <f ca="1"/>
        <v>46114</v>
      </c>
      <c r="EA4" s="491" vm="155">
        <f ca="1"/>
        <v>46118</v>
      </c>
      <c r="EB4" s="491" vm="156">
        <f ca="1"/>
        <v>46119</v>
      </c>
      <c r="EC4" s="491" vm="157">
        <f ca="1"/>
        <v>46120</v>
      </c>
      <c r="ED4" s="491" vm="158">
        <f ca="1"/>
        <v>46121</v>
      </c>
      <c r="EE4" s="491" vm="159">
        <f ca="1"/>
        <v>46122</v>
      </c>
      <c r="EF4" s="491" vm="160">
        <f ca="1"/>
        <v>46125</v>
      </c>
      <c r="EG4" s="491" vm="161">
        <f ca="1"/>
        <v>46126</v>
      </c>
      <c r="EH4" s="491" vm="162">
        <f ca="1"/>
        <v>46127</v>
      </c>
      <c r="EI4" s="491" vm="163">
        <f ca="1"/>
        <v>46128</v>
      </c>
      <c r="EJ4" s="491" vm="164">
        <f ca="1"/>
        <v>46129</v>
      </c>
      <c r="EK4" s="491" vm="165">
        <f ca="1"/>
        <v>46132</v>
      </c>
      <c r="EL4" s="491" vm="166">
        <f ca="1"/>
        <v>46133</v>
      </c>
      <c r="EM4" s="491" vm="167">
        <f ca="1"/>
        <v>46134</v>
      </c>
      <c r="EN4" s="491" vm="168">
        <f ca="1"/>
        <v>46135</v>
      </c>
      <c r="EO4" s="491" vm="169">
        <f ca="1"/>
        <v>46136</v>
      </c>
      <c r="EP4" s="491" vm="170">
        <f ca="1"/>
        <v>46139</v>
      </c>
      <c r="EQ4" s="491" vm="171">
        <f ca="1"/>
        <v>46140</v>
      </c>
      <c r="ER4" s="491" vm="172">
        <f ca="1"/>
        <v>46141</v>
      </c>
      <c r="ES4" s="491" vm="173">
        <f ca="1"/>
        <v>46142</v>
      </c>
      <c r="ET4" s="491" vm="174">
        <f ca="1"/>
        <v>46143</v>
      </c>
      <c r="EU4" s="491" vm="175">
        <f ca="1"/>
        <v>46146</v>
      </c>
      <c r="EV4" s="491" vm="176">
        <f ca="1"/>
        <v>46147</v>
      </c>
      <c r="EW4" s="491" vm="177">
        <f ca="1"/>
        <v>46148</v>
      </c>
      <c r="EX4" s="491" vm="178">
        <f ca="1"/>
        <v>46149</v>
      </c>
      <c r="EY4" s="491" vm="179">
        <f ca="1"/>
        <v>46150</v>
      </c>
      <c r="EZ4" s="491" vm="180">
        <f ca="1"/>
        <v>46153</v>
      </c>
      <c r="FA4" s="491" vm="181">
        <f ca="1"/>
        <v>46154</v>
      </c>
      <c r="FB4" s="491" vm="182">
        <f ca="1"/>
        <v>46155</v>
      </c>
      <c r="FC4" s="491" vm="183">
        <f ca="1"/>
        <v>46156</v>
      </c>
      <c r="FD4" s="491" vm="184">
        <f ca="1"/>
        <v>46157</v>
      </c>
      <c r="FE4" s="491" vm="185">
        <f ca="1"/>
        <v>46160</v>
      </c>
      <c r="FF4" s="491" vm="186">
        <f ca="1"/>
        <v>46161</v>
      </c>
      <c r="FG4" s="491" vm="187">
        <f ca="1"/>
        <v>46162</v>
      </c>
      <c r="FH4" s="491" vm="188">
        <f ca="1"/>
        <v>46163</v>
      </c>
      <c r="FI4" s="491" vm="189">
        <f ca="1"/>
        <v>46164</v>
      </c>
      <c r="FJ4" s="491" vm="190">
        <f ca="1"/>
        <v>46168</v>
      </c>
      <c r="FK4" s="491" vm="191">
        <f ca="1"/>
        <v>46169</v>
      </c>
      <c r="FL4" s="491" vm="192">
        <f ca="1"/>
        <v>46170</v>
      </c>
      <c r="FM4" s="491" vm="193">
        <f ca="1"/>
        <v>46171</v>
      </c>
      <c r="FN4" s="491" vm="194">
        <f ca="1"/>
        <v>46174</v>
      </c>
      <c r="FO4" s="491" vm="195">
        <f ca="1"/>
        <v>46175</v>
      </c>
      <c r="FP4" s="491" vm="196">
        <f ca="1"/>
        <v>46176</v>
      </c>
      <c r="FQ4" s="491" vm="197">
        <f ca="1"/>
        <v>46177</v>
      </c>
      <c r="FR4" s="491" vm="198">
        <f ca="1"/>
        <v>46178</v>
      </c>
      <c r="FS4" s="491" vm="199">
        <f ca="1"/>
        <v>46181</v>
      </c>
      <c r="FT4" s="491" vm="200">
        <f ca="1"/>
        <v>46182</v>
      </c>
      <c r="FU4" s="491" vm="201">
        <f ca="1"/>
        <v>46183</v>
      </c>
      <c r="FV4" s="491" vm="202">
        <f ca="1"/>
        <v>46184</v>
      </c>
      <c r="FW4" s="491" vm="203">
        <f ca="1"/>
        <v>46185</v>
      </c>
      <c r="FX4" s="491" vm="204">
        <f ca="1"/>
        <v>46188</v>
      </c>
      <c r="FY4" s="491" vm="205">
        <f ca="1"/>
        <v>46189</v>
      </c>
      <c r="FZ4" s="491" vm="206">
        <f ca="1"/>
        <v>46190</v>
      </c>
      <c r="GA4" s="491" vm="207">
        <f ca="1"/>
        <v>46191</v>
      </c>
      <c r="GB4" s="491" vm="208">
        <f ca="1"/>
        <v>46195</v>
      </c>
      <c r="GC4" s="491" vm="209">
        <f ca="1"/>
        <v>46196</v>
      </c>
      <c r="GD4" s="491" vm="210">
        <f ca="1"/>
        <v>46197</v>
      </c>
      <c r="GE4" s="491" vm="211">
        <f ca="1"/>
        <v>46198</v>
      </c>
      <c r="GF4" s="491" vm="212">
        <f ca="1"/>
        <v>46199</v>
      </c>
      <c r="GG4" s="491" vm="213">
        <f ca="1"/>
        <v>46202</v>
      </c>
      <c r="GH4" s="491" vm="214">
        <f ca="1"/>
        <v>46203</v>
      </c>
      <c r="GI4" s="491" vm="215">
        <f ca="1"/>
        <v>46204</v>
      </c>
      <c r="GJ4" s="491" vm="216">
        <f ca="1"/>
        <v>46205</v>
      </c>
      <c r="GK4" s="491" vm="217">
        <f ca="1"/>
        <v>46209</v>
      </c>
      <c r="GL4" s="491" vm="218">
        <f ca="1"/>
        <v>46210</v>
      </c>
      <c r="GM4" s="491" vm="219">
        <f ca="1"/>
        <v>46211</v>
      </c>
      <c r="GN4" s="491" vm="220">
        <f ca="1"/>
        <v>46212</v>
      </c>
      <c r="GO4" s="491" vm="221">
        <f ca="1"/>
        <v>46213</v>
      </c>
      <c r="GP4" s="491" vm="222">
        <f ca="1"/>
        <v>46216</v>
      </c>
      <c r="GQ4" s="491" vm="223">
        <f ca="1"/>
        <v>46217</v>
      </c>
      <c r="GR4" s="491" vm="224">
        <f ca="1"/>
        <v>46218</v>
      </c>
      <c r="GS4" s="491" vm="225">
        <f ca="1"/>
        <v>46219</v>
      </c>
      <c r="GT4" s="491" vm="226">
        <f ca="1"/>
        <v>46220</v>
      </c>
      <c r="GU4" s="491" vm="227">
        <f ca="1"/>
        <v>46223</v>
      </c>
      <c r="GV4" s="491" vm="228">
        <f ca="1"/>
        <v>46224</v>
      </c>
      <c r="GW4" s="491" vm="229">
        <f ca="1"/>
        <v>46225</v>
      </c>
      <c r="GX4" s="491" vm="230">
        <f ca="1"/>
        <v>46226</v>
      </c>
      <c r="GY4" s="491" vm="231">
        <f ca="1"/>
        <v>46227</v>
      </c>
      <c r="GZ4" s="491" vm="232">
        <f ca="1"/>
        <v>46230</v>
      </c>
      <c r="HA4" s="491" vm="233">
        <f ca="1"/>
        <v>46231</v>
      </c>
      <c r="HB4" s="491" vm="234">
        <f ca="1"/>
        <v>46232</v>
      </c>
      <c r="HC4" s="491" vm="235">
        <f ca="1"/>
        <v>46233</v>
      </c>
      <c r="HD4" s="491" vm="236">
        <f ca="1"/>
        <v>46234</v>
      </c>
      <c r="HE4" s="491" vm="237">
        <f ca="1"/>
        <v>46237</v>
      </c>
      <c r="HF4" s="491" vm="238">
        <f ca="1"/>
        <v>46238</v>
      </c>
      <c r="HG4" s="491" vm="239">
        <f ca="1"/>
        <v>46239</v>
      </c>
      <c r="HH4" s="491" vm="240">
        <f ca="1"/>
        <v>46240</v>
      </c>
      <c r="HI4" s="491" vm="241">
        <f ca="1"/>
        <v>46241</v>
      </c>
      <c r="HJ4" s="491" vm="242">
        <f ca="1"/>
        <v>46244</v>
      </c>
      <c r="HK4" s="491" vm="243">
        <f ca="1"/>
        <v>46245</v>
      </c>
      <c r="HL4" s="491" vm="244">
        <f ca="1"/>
        <v>46246</v>
      </c>
      <c r="HM4" s="491" vm="245">
        <f ca="1"/>
        <v>46247</v>
      </c>
      <c r="HN4" s="491" vm="246">
        <f ca="1"/>
        <v>46248</v>
      </c>
      <c r="HO4" s="491" vm="247">
        <f ca="1"/>
        <v>46251</v>
      </c>
      <c r="HP4" s="491" vm="248">
        <f ca="1"/>
        <v>46252</v>
      </c>
      <c r="HQ4" s="491" vm="249">
        <f ca="1"/>
        <v>46253</v>
      </c>
      <c r="HR4" s="491" vm="250">
        <f ca="1"/>
        <v>46254</v>
      </c>
      <c r="HS4" s="491" vm="251">
        <f ca="1"/>
        <v>46255</v>
      </c>
      <c r="HT4" s="491" vm="252">
        <f ca="1"/>
        <v>46258</v>
      </c>
      <c r="HU4" s="491" vm="253">
        <f ca="1"/>
        <v>46259</v>
      </c>
      <c r="HV4" s="491" vm="254">
        <f ca="1"/>
        <v>46260</v>
      </c>
      <c r="HW4" s="491" vm="255">
        <f ca="1"/>
        <v>46261</v>
      </c>
      <c r="HX4" s="491" vm="256">
        <f ca="1"/>
        <v>46262</v>
      </c>
      <c r="HY4" s="491" vm="257">
        <f ca="1"/>
        <v>46265</v>
      </c>
      <c r="HZ4" s="491" vm="258">
        <f ca="1"/>
        <v>46266</v>
      </c>
      <c r="IA4" s="491" vm="259">
        <f ca="1"/>
        <v>46267</v>
      </c>
      <c r="IB4" s="491" vm="260">
        <f ca="1"/>
        <v>46268</v>
      </c>
      <c r="IC4" s="491" vm="261">
        <f ca="1"/>
        <v>46269</v>
      </c>
      <c r="ID4" s="491" vm="262">
        <f ca="1"/>
        <v>46273</v>
      </c>
      <c r="IE4" s="491" vm="263">
        <f ca="1"/>
        <v>46274</v>
      </c>
      <c r="IF4" s="491" vm="264">
        <f ca="1"/>
        <v>46275</v>
      </c>
      <c r="IG4" s="491" vm="265">
        <f ca="1"/>
        <v>46276</v>
      </c>
      <c r="IH4" s="491" vm="266">
        <f ca="1"/>
        <v>46279</v>
      </c>
      <c r="II4" s="491" vm="267">
        <f ca="1"/>
        <v>46280</v>
      </c>
      <c r="IJ4" s="491" vm="268">
        <f ca="1"/>
        <v>46281</v>
      </c>
      <c r="IK4" s="491" vm="269">
        <f ca="1"/>
        <v>46282</v>
      </c>
      <c r="IL4" s="491" vm="270">
        <f ca="1"/>
        <v>46283</v>
      </c>
      <c r="IM4" s="491" vm="271">
        <f ca="1"/>
        <v>46286</v>
      </c>
      <c r="IN4" s="491" vm="272">
        <f ca="1"/>
        <v>46287</v>
      </c>
      <c r="IO4" s="491" vm="273">
        <f ca="1"/>
        <v>46288</v>
      </c>
      <c r="IP4" s="491" vm="274">
        <f ca="1"/>
        <v>46289</v>
      </c>
      <c r="IQ4" s="491" vm="275">
        <f ca="1"/>
        <v>46290</v>
      </c>
      <c r="IR4" s="491" vm="276">
        <f ca="1"/>
        <v>46293</v>
      </c>
    </row>
    <row r="5" spans="1:252" s="490" customFormat="1" x14ac:dyDescent="0.35">
      <c r="A5" s="497" t="s">
        <v>377</v>
      </c>
      <c r="B5" s="490" cm="1">
        <f t="array" aca="1" ref="B5:IR5" ca="1">_xlfn.LET(_xlpm.n,COUNT('Price History'!B2:IZ2),_xlpm.p,IFERROR(--_xlfn.TAKE('Price History'!B3:IZ18,,_xlpm.n),0),_xlpm.u,IF(ISNUMBER('Price History'!B3:B18),Dashboard!D7:D22,0),MMULT(TRANSPOSE(_xlpm.u),_xlpm.p))</f>
        <v>152470.67670000001</v>
      </c>
      <c r="C5" s="490">
        <f ca="1"/>
        <v>153973.19830000002</v>
      </c>
      <c r="D5" s="490">
        <f ca="1"/>
        <v>153835.48540000003</v>
      </c>
      <c r="E5" s="490">
        <f ca="1"/>
        <v>155014.008</v>
      </c>
      <c r="F5" s="490">
        <f ca="1"/>
        <v>154161.024</v>
      </c>
      <c r="G5" s="490">
        <f ca="1"/>
        <v>156097.76820000002</v>
      </c>
      <c r="H5" s="490">
        <f ca="1"/>
        <v>156004.83630000002</v>
      </c>
      <c r="I5" s="490">
        <f ca="1"/>
        <v>159029.41649999999</v>
      </c>
      <c r="J5" s="490">
        <f ca="1"/>
        <v>160093.93789999999</v>
      </c>
      <c r="K5" s="490">
        <f ca="1"/>
        <v>153450.85380000001</v>
      </c>
      <c r="L5" s="490">
        <f ca="1"/>
        <v>156764.75370000003</v>
      </c>
      <c r="M5" s="490">
        <f ca="1"/>
        <v>153994.88820000002</v>
      </c>
      <c r="N5" s="490">
        <f ca="1"/>
        <v>155810.63920000001</v>
      </c>
      <c r="O5" s="490">
        <f ca="1"/>
        <v>155543.44639999999</v>
      </c>
      <c r="P5" s="490">
        <f ca="1"/>
        <v>156460.59255</v>
      </c>
      <c r="Q5" s="490">
        <f ca="1"/>
        <v>157625.32630000002</v>
      </c>
      <c r="R5" s="490">
        <f ca="1"/>
        <v>156550.56970000002</v>
      </c>
      <c r="S5" s="490">
        <f ca="1"/>
        <v>155518.1874</v>
      </c>
      <c r="T5" s="490">
        <f ca="1"/>
        <v>156715.63559999998</v>
      </c>
      <c r="U5" s="490">
        <f ca="1"/>
        <v>160440.42459999997</v>
      </c>
      <c r="V5" s="490">
        <f ca="1"/>
        <v>163739.09609999997</v>
      </c>
      <c r="W5" s="490">
        <f ca="1"/>
        <v>167524.43320000003</v>
      </c>
      <c r="X5" s="490">
        <f ca="1"/>
        <v>170324.48630000002</v>
      </c>
      <c r="Y5" s="490">
        <f ca="1"/>
        <v>166827.28529999999</v>
      </c>
      <c r="Z5" s="490">
        <f ca="1"/>
        <v>166822.7052</v>
      </c>
      <c r="AA5" s="490">
        <f ca="1"/>
        <v>168822.522</v>
      </c>
      <c r="AB5" s="490">
        <f ca="1"/>
        <v>164310.12520000004</v>
      </c>
      <c r="AC5" s="490">
        <f ca="1"/>
        <v>163697.15160000001</v>
      </c>
      <c r="AD5" s="490">
        <f ca="1"/>
        <v>159231.66900000002</v>
      </c>
      <c r="AE5" s="490">
        <f ca="1"/>
        <v>159016.3541</v>
      </c>
      <c r="AF5" s="490">
        <f ca="1"/>
        <v>164901.9423</v>
      </c>
      <c r="AG5" s="490">
        <f ca="1"/>
        <v>162320.49880000003</v>
      </c>
      <c r="AH5" s="490">
        <f ca="1"/>
        <v>163528.5717</v>
      </c>
      <c r="AI5" s="490">
        <f ca="1"/>
        <v>158978.17160000003</v>
      </c>
      <c r="AJ5" s="490">
        <f ca="1"/>
        <v>159967.05160000001</v>
      </c>
      <c r="AK5" s="490">
        <f ca="1"/>
        <v>157580.31279999999</v>
      </c>
      <c r="AL5" s="490">
        <f ca="1"/>
        <v>154275.67270000002</v>
      </c>
      <c r="AM5" s="490">
        <f ca="1"/>
        <v>156242.7015</v>
      </c>
      <c r="AN5" s="490">
        <f ca="1"/>
        <v>152431.89190000002</v>
      </c>
      <c r="AO5" s="490">
        <f ca="1"/>
        <v>152384.62230000002</v>
      </c>
      <c r="AP5" s="490">
        <f ca="1"/>
        <v>155763.06789999999</v>
      </c>
      <c r="AQ5" s="490">
        <f ca="1"/>
        <v>154414.63250000001</v>
      </c>
      <c r="AR5" s="490">
        <f ca="1"/>
        <v>156229.75630000004</v>
      </c>
      <c r="AS5" s="490">
        <f ca="1"/>
        <v>155780.05960000004</v>
      </c>
      <c r="AT5" s="490">
        <f ca="1"/>
        <v>156846.16639999999</v>
      </c>
      <c r="AU5" s="490">
        <f ca="1"/>
        <v>157442.85740000001</v>
      </c>
      <c r="AV5" s="490">
        <f ca="1"/>
        <v>157364.28900000002</v>
      </c>
      <c r="AW5" s="490">
        <f ca="1"/>
        <v>159168.6881</v>
      </c>
      <c r="AX5" s="490">
        <f ca="1"/>
        <v>159085.1501</v>
      </c>
      <c r="AY5" s="490">
        <f ca="1"/>
        <v>159959.7102</v>
      </c>
      <c r="AZ5" s="490">
        <f ca="1"/>
        <v>159551.32419999997</v>
      </c>
      <c r="BA5" s="490">
        <f ca="1"/>
        <v>159567.09760000001</v>
      </c>
      <c r="BB5" s="490">
        <f ca="1"/>
        <v>158677.0134</v>
      </c>
      <c r="BC5" s="490">
        <f ca="1"/>
        <v>155405.27270000003</v>
      </c>
      <c r="BD5" s="490">
        <f ca="1"/>
        <v>155675.57510000002</v>
      </c>
      <c r="BE5" s="490">
        <f ca="1"/>
        <v>156057.91459999999</v>
      </c>
      <c r="BF5" s="490">
        <f ca="1"/>
        <v>151989.43600000002</v>
      </c>
      <c r="BG5" s="490">
        <f ca="1"/>
        <v>153971.64780000001</v>
      </c>
      <c r="BH5" s="490">
        <f ca="1"/>
        <v>157903.06920000003</v>
      </c>
      <c r="BI5" s="490">
        <f ca="1"/>
        <v>159510.0337</v>
      </c>
      <c r="BJ5" s="490">
        <f ca="1"/>
        <v>162074.88050000003</v>
      </c>
      <c r="BK5" s="490">
        <f ca="1"/>
        <v>162149.15639999998</v>
      </c>
      <c r="BL5" s="490">
        <f ca="1"/>
        <v>162734.21119999999</v>
      </c>
      <c r="BM5" s="490">
        <f ca="1"/>
        <v>161591.09269999998</v>
      </c>
      <c r="BN5" s="490">
        <f ca="1"/>
        <v>161279.04129999998</v>
      </c>
      <c r="BO5" s="490">
        <f ca="1"/>
        <v>160396.9901</v>
      </c>
      <c r="BP5" s="490">
        <f ca="1"/>
        <v>162252.95819999996</v>
      </c>
      <c r="BQ5" s="490">
        <f ca="1"/>
        <v>162775.61919999999</v>
      </c>
      <c r="BR5" s="490">
        <f ca="1"/>
        <v>161903.79180000001</v>
      </c>
      <c r="BS5" s="490">
        <f ca="1"/>
        <v>161844.48040000003</v>
      </c>
      <c r="BT5" s="490">
        <f ca="1"/>
        <v>160317.91449999998</v>
      </c>
      <c r="BU5" s="490">
        <f ca="1"/>
        <v>160677.88150000002</v>
      </c>
      <c r="BV5" s="490">
        <f ca="1"/>
        <v>160975.63519999999</v>
      </c>
      <c r="BW5" s="490">
        <f ca="1"/>
        <v>161931.04220000003</v>
      </c>
      <c r="BX5" s="490">
        <f ca="1"/>
        <v>160330.66079999998</v>
      </c>
      <c r="BY5" s="490">
        <f ca="1"/>
        <v>162723.85829999999</v>
      </c>
      <c r="BZ5" s="490">
        <f ca="1"/>
        <v>162568.35400000002</v>
      </c>
      <c r="CA5" s="490">
        <f ca="1"/>
        <v>157213.23429999998</v>
      </c>
      <c r="CB5" s="490">
        <f ca="1"/>
        <v>161253.45000000001</v>
      </c>
      <c r="CC5" s="490">
        <f ca="1"/>
        <v>162865.0955</v>
      </c>
      <c r="CD5" s="490">
        <f ca="1"/>
        <v>164231.44480000006</v>
      </c>
      <c r="CE5" s="490">
        <f ca="1"/>
        <v>163861.5724</v>
      </c>
      <c r="CF5" s="490">
        <f ca="1"/>
        <v>164969.1134</v>
      </c>
      <c r="CG5" s="490">
        <f ca="1"/>
        <v>166075.98799999998</v>
      </c>
      <c r="CH5" s="490">
        <f ca="1"/>
        <v>168102.6176</v>
      </c>
      <c r="CI5" s="490">
        <f ca="1"/>
        <v>166433.73730000001</v>
      </c>
      <c r="CJ5" s="490">
        <f ca="1"/>
        <v>165634.52080000003</v>
      </c>
      <c r="CK5" s="490">
        <f ca="1"/>
        <v>163057.02590000001</v>
      </c>
      <c r="CL5" s="490">
        <f ca="1"/>
        <v>157818.68990000003</v>
      </c>
      <c r="CM5" s="490">
        <f ca="1"/>
        <v>155578.9638</v>
      </c>
      <c r="CN5" s="490">
        <f ca="1"/>
        <v>162716.8449</v>
      </c>
      <c r="CO5" s="490">
        <f ca="1"/>
        <v>165149.60319999998</v>
      </c>
      <c r="CP5" s="490">
        <f ca="1"/>
        <v>163616.9374</v>
      </c>
      <c r="CQ5" s="490">
        <f ca="1"/>
        <v>163934.0705</v>
      </c>
      <c r="CR5" s="490">
        <f ca="1"/>
        <v>161037.24710000001</v>
      </c>
      <c r="CS5" s="490">
        <f ca="1"/>
        <v>159163.55910000001</v>
      </c>
      <c r="CT5" s="490">
        <f ca="1"/>
        <v>159695.7236</v>
      </c>
      <c r="CU5" s="490">
        <f ca="1"/>
        <v>160979.59410000002</v>
      </c>
      <c r="CV5" s="490">
        <f ca="1"/>
        <v>160744.80989999996</v>
      </c>
      <c r="CW5" s="490">
        <f ca="1"/>
        <v>162109.54070000001</v>
      </c>
      <c r="CX5" s="490">
        <f ca="1"/>
        <v>161675.06440000003</v>
      </c>
      <c r="CY5" s="490">
        <f ca="1"/>
        <v>163678.11829999997</v>
      </c>
      <c r="CZ5" s="490">
        <f ca="1"/>
        <v>165409.89449999999</v>
      </c>
      <c r="DA5" s="490">
        <f ca="1"/>
        <v>160326.43099999998</v>
      </c>
      <c r="DB5" s="490">
        <f ca="1"/>
        <v>156450.6397</v>
      </c>
      <c r="DC5" s="490">
        <f ca="1"/>
        <v>158308.21689999997</v>
      </c>
      <c r="DD5" s="490">
        <f ca="1"/>
        <v>156446.66389999999</v>
      </c>
      <c r="DE5" s="490">
        <f ca="1"/>
        <v>158660.71270000003</v>
      </c>
      <c r="DF5" s="490">
        <f ca="1"/>
        <v>157530.27070000002</v>
      </c>
      <c r="DG5" s="490">
        <f ca="1"/>
        <v>153698.62170000002</v>
      </c>
      <c r="DH5" s="490">
        <f ca="1"/>
        <v>156780.67399999997</v>
      </c>
      <c r="DI5" s="490">
        <f ca="1"/>
        <v>158013.91010000004</v>
      </c>
      <c r="DJ5" s="490">
        <f ca="1"/>
        <v>158481.23329999996</v>
      </c>
      <c r="DK5" s="490">
        <f ca="1"/>
        <v>155892.30699999997</v>
      </c>
      <c r="DL5" s="490">
        <f ca="1"/>
        <v>153769.95130000002</v>
      </c>
      <c r="DM5" s="490">
        <f ca="1"/>
        <v>155898.57490000001</v>
      </c>
      <c r="DN5" s="490">
        <f ca="1"/>
        <v>155677.45770000003</v>
      </c>
      <c r="DO5" s="490">
        <f ca="1"/>
        <v>154468.15500000003</v>
      </c>
      <c r="DP5" s="490">
        <f ca="1"/>
        <v>153827.90409999999</v>
      </c>
      <c r="DQ5" s="490">
        <f ca="1"/>
        <v>150246.01449999999</v>
      </c>
      <c r="DR5" s="490">
        <f ca="1"/>
        <v>152521.19939999998</v>
      </c>
      <c r="DS5" s="490">
        <f ca="1"/>
        <v>152236.64910000001</v>
      </c>
      <c r="DT5" s="490">
        <f ca="1"/>
        <v>154914.35080000001</v>
      </c>
      <c r="DU5" s="490">
        <f ca="1"/>
        <v>149401.0379</v>
      </c>
      <c r="DV5" s="490">
        <f ca="1"/>
        <v>146309.9976</v>
      </c>
      <c r="DW5" s="490">
        <f ca="1"/>
        <v>145045.43270000003</v>
      </c>
      <c r="DX5" s="490">
        <f ca="1"/>
        <v>151502.0147</v>
      </c>
      <c r="DY5" s="490">
        <f ca="1"/>
        <v>152994.4056</v>
      </c>
      <c r="DZ5" s="490">
        <f ca="1"/>
        <v>154101.12640000001</v>
      </c>
      <c r="EA5" s="490">
        <f ca="1"/>
        <v>154726.5613</v>
      </c>
      <c r="EB5" s="490">
        <f ca="1"/>
        <v>154782.13059999997</v>
      </c>
      <c r="EC5" s="490">
        <f ca="1"/>
        <v>159592.51350000003</v>
      </c>
      <c r="ED5" s="490">
        <f ca="1"/>
        <v>161447.72259999995</v>
      </c>
      <c r="EE5" s="490">
        <f ca="1"/>
        <v>163696.88879999999</v>
      </c>
      <c r="EF5" s="490">
        <f ca="1"/>
        <v>164463.33039999998</v>
      </c>
      <c r="EG5" s="490">
        <f ca="1"/>
        <v>169236.97390000001</v>
      </c>
      <c r="EH5" s="490">
        <f ca="1"/>
        <v>170792.67470000003</v>
      </c>
      <c r="EI5" s="490">
        <f ca="1"/>
        <v>171629.24520000003</v>
      </c>
      <c r="EJ5" s="490">
        <f ca="1"/>
        <v>174216.89530000003</v>
      </c>
      <c r="EK5" s="490">
        <f ca="1"/>
        <v>173993.46890000001</v>
      </c>
      <c r="EL5" s="490">
        <f ca="1"/>
        <v>173119.0563</v>
      </c>
      <c r="EM5" s="490">
        <f ca="1"/>
        <v>175989.43439999997</v>
      </c>
      <c r="EN5" s="490">
        <f ca="1"/>
        <v>174657.21979999999</v>
      </c>
      <c r="EO5" s="490">
        <f ca="1"/>
        <v>180877.36230000001</v>
      </c>
      <c r="EP5" s="490">
        <f ca="1"/>
        <v>183665.34889999998</v>
      </c>
      <c r="EQ5" s="490">
        <f ca="1"/>
        <v>181448.45480000001</v>
      </c>
      <c r="ER5" s="490">
        <f ca="1"/>
        <v>180549.92670000001</v>
      </c>
      <c r="ES5" s="490">
        <f ca="1"/>
        <v>178473.2156</v>
      </c>
      <c r="ET5" s="490">
        <f ca="1"/>
        <v>178456.33084999997</v>
      </c>
      <c r="EU5" s="490">
        <f ca="1"/>
        <v>176814.56300000002</v>
      </c>
      <c r="EV5" s="490">
        <f ca="1"/>
        <v>177375.57509999999</v>
      </c>
      <c r="EW5" s="490">
        <f ca="1"/>
        <v>186871.22589999999</v>
      </c>
      <c r="EX5" s="490">
        <f ca="1"/>
        <v>187313.46800000002</v>
      </c>
      <c r="EY5" s="490">
        <f ca="1"/>
        <v>191669.3909</v>
      </c>
      <c r="EZ5" s="490">
        <f ca="1"/>
        <v>192700.27439999999</v>
      </c>
      <c r="FA5" s="490">
        <f ca="1"/>
        <v>193003.00409999996</v>
      </c>
      <c r="FB5" s="490">
        <f ca="1"/>
        <v>196114.95420000001</v>
      </c>
      <c r="FC5" s="490">
        <f ca="1"/>
        <v>200774.00760000001</v>
      </c>
      <c r="FD5" s="490">
        <f ca="1"/>
        <v>194308.93140000003</v>
      </c>
      <c r="FE5" s="490">
        <f ca="1"/>
        <v>192903.40419999999</v>
      </c>
      <c r="FF5" s="490">
        <f ca="1"/>
        <v>190897.30559999999</v>
      </c>
      <c r="FG5" s="490">
        <f ca="1"/>
        <v>194518.81969999999</v>
      </c>
      <c r="FH5" s="490">
        <f ca="1"/>
        <v>192532.79369999998</v>
      </c>
      <c r="FI5" s="490">
        <f ca="1"/>
        <v>192098.48629999999</v>
      </c>
      <c r="FJ5" s="490">
        <f ca="1"/>
        <v>194176.47210000004</v>
      </c>
      <c r="FK5" s="490">
        <f ca="1"/>
        <v>193126.63284999999</v>
      </c>
      <c r="FL5" s="490">
        <f ca="1"/>
        <v>195323.20959999997</v>
      </c>
      <c r="FM5" s="490">
        <f ca="1"/>
        <v>193414.87779999999</v>
      </c>
      <c r="FN5" s="490">
        <f ca="1"/>
        <v>197210.65549999999</v>
      </c>
      <c r="FO5" s="490">
        <f ca="1"/>
        <v>196876.435</v>
      </c>
      <c r="FP5" s="490">
        <f ca="1"/>
        <v>194922.64920000001</v>
      </c>
      <c r="FQ5" s="490">
        <f ca="1"/>
        <v>196641.1827</v>
      </c>
      <c r="FR5" s="490">
        <f ca="1"/>
        <v>186360.1722</v>
      </c>
      <c r="FS5" s="490">
        <f ca="1"/>
        <v>188965.72639999999</v>
      </c>
      <c r="FT5" s="490">
        <f ca="1"/>
        <v>187574.15839999999</v>
      </c>
      <c r="FU5" s="490">
        <f ca="1"/>
        <v>182193.51180000001</v>
      </c>
      <c r="FV5" s="490">
        <f ca="1"/>
        <v>186900.67959999997</v>
      </c>
      <c r="FW5" s="490">
        <f ca="1"/>
        <v>188624.05050000001</v>
      </c>
      <c r="FX5" s="490">
        <f ca="1"/>
        <v>194843.70979999998</v>
      </c>
      <c r="FY5" s="490">
        <f ca="1"/>
        <v>190993.40010000003</v>
      </c>
      <c r="FZ5" s="490">
        <f ca="1"/>
        <v>188717.92739999999</v>
      </c>
      <c r="GA5" s="490">
        <f ca="1"/>
        <v>192873.11960000001</v>
      </c>
      <c r="GB5" s="490">
        <f ca="1"/>
        <v>192009.56379999997</v>
      </c>
      <c r="GC5" s="490">
        <f ca="1"/>
        <v>186344.28410000002</v>
      </c>
      <c r="GD5" s="490">
        <f ca="1"/>
        <v>185417.56810000003</v>
      </c>
      <c r="GE5" s="490">
        <f ca="1"/>
        <v>183665.53370000003</v>
      </c>
      <c r="GF5" s="490">
        <f ca="1"/>
        <v>181657.84689999997</v>
      </c>
      <c r="GG5" s="490">
        <f ca="1"/>
        <v>184418.21489999999</v>
      </c>
      <c r="GH5" s="490">
        <f ca="1"/>
        <v>188966.06759999995</v>
      </c>
      <c r="GI5" s="490">
        <f ca="1"/>
        <v>186551.43030000004</v>
      </c>
      <c r="GJ5" s="490">
        <f ca="1"/>
        <v>184387.93699999998</v>
      </c>
      <c r="GK5" s="490">
        <f ca="1"/>
        <v>187888.9915</v>
      </c>
      <c r="GL5" s="490">
        <f ca="1"/>
        <v>186451.3487</v>
      </c>
      <c r="GM5" s="490">
        <f ca="1"/>
        <v>188826.50219999999</v>
      </c>
      <c r="GN5" s="490">
        <f ca="1"/>
        <v>190753.26389999999</v>
      </c>
      <c r="GO5" s="490">
        <f ca="1"/>
        <v>195759.57710000002</v>
      </c>
      <c r="GP5" s="490">
        <f ca="1"/>
        <v>191060.60030000002</v>
      </c>
      <c r="GQ5" s="490">
        <f ca="1"/>
        <v>195338.67819999999</v>
      </c>
      <c r="GR5" s="490">
        <f ca="1"/>
        <v>196195.80969999995</v>
      </c>
      <c r="GS5" s="490">
        <f ca="1"/>
        <v>191690.39490000001</v>
      </c>
      <c r="GT5" s="490">
        <f ca="1"/>
        <v>188617.71520000004</v>
      </c>
      <c r="GU5" s="490">
        <f ca="1"/>
        <v>188967.74490000002</v>
      </c>
      <c r="GV5" s="490">
        <f ca="1"/>
        <v>193067.22769999996</v>
      </c>
      <c r="GW5" s="490">
        <f ca="1"/>
        <v>195115.88760000002</v>
      </c>
      <c r="GX5" s="490">
        <f ca="1"/>
        <v>191287.30869999997</v>
      </c>
      <c r="GY5" s="490">
        <f ca="1"/>
        <v>189909.05700000003</v>
      </c>
      <c r="GZ5" s="490">
        <f ca="1"/>
        <v>184722.20310000001</v>
      </c>
      <c r="HA5" s="490">
        <f ca="1"/>
        <v>183203.71179999999</v>
      </c>
      <c r="HB5" s="490">
        <f ca="1"/>
        <v>178313.61919999999</v>
      </c>
      <c r="HC5" s="490">
        <f ca="1"/>
        <v>183129.2218</v>
      </c>
      <c r="HD5" s="490">
        <f ca="1"/>
        <v>186011.11469999998</v>
      </c>
      <c r="HE5" s="490">
        <f ca="1"/>
        <v>190198.30550000002</v>
      </c>
      <c r="HF5" s="490">
        <f ca="1"/>
        <v>194864.28650000002</v>
      </c>
      <c r="HG5" s="490">
        <f ca="1"/>
        <v>195220.75020000001</v>
      </c>
      <c r="HH5" s="490">
        <f ca="1"/>
        <v>195208.21379999997</v>
      </c>
      <c r="HI5" s="490">
        <f ca="1"/>
        <v>197096.04960000003</v>
      </c>
      <c r="HJ5" s="490">
        <f ca="1"/>
        <v>193889.98040000003</v>
      </c>
      <c r="HK5" s="490">
        <f ca="1"/>
        <v>193818.78039999996</v>
      </c>
      <c r="HL5" s="490">
        <f ca="1"/>
        <v>196918.06710000004</v>
      </c>
      <c r="HM5" s="490">
        <f ca="1"/>
        <v>197884.30479999998</v>
      </c>
      <c r="HN5" s="490">
        <f ca="1"/>
        <v>199690.11150000003</v>
      </c>
      <c r="HO5" s="490">
        <f ca="1"/>
        <v>198382.11730000001</v>
      </c>
      <c r="HP5" s="490">
        <f ca="1"/>
        <v>194723.75270000004</v>
      </c>
      <c r="HQ5" s="490">
        <f ca="1"/>
        <v>192826.53470000002</v>
      </c>
      <c r="HR5" s="490">
        <f ca="1"/>
        <v>191054.56349999999</v>
      </c>
      <c r="HS5" s="490">
        <f ca="1"/>
        <v>190799.09730000002</v>
      </c>
      <c r="HT5" s="490">
        <f ca="1"/>
        <v>187762.46789999999</v>
      </c>
      <c r="HU5" s="490">
        <f ca="1"/>
        <v>191004.10120000003</v>
      </c>
      <c r="HV5" s="490">
        <f ca="1"/>
        <v>189616.62899999999</v>
      </c>
      <c r="HW5" s="490">
        <f ca="1"/>
        <v>196547.45909999998</v>
      </c>
      <c r="HX5" s="490">
        <f ca="1"/>
        <v>192380.45480000001</v>
      </c>
      <c r="HY5" s="490">
        <f ca="1"/>
        <v>193592.7064</v>
      </c>
      <c r="HZ5" s="490">
        <f ca="1"/>
        <v>191727.47769999999</v>
      </c>
      <c r="IA5" s="490">
        <f ca="1"/>
        <v>194880.05929999999</v>
      </c>
      <c r="IB5" s="490">
        <f ca="1"/>
        <v>197817.43729999999</v>
      </c>
      <c r="IC5" s="490">
        <f ca="1"/>
        <v>199331.91100000002</v>
      </c>
      <c r="ID5" s="490">
        <f ca="1"/>
        <v>198284.23389999999</v>
      </c>
      <c r="IE5" s="490">
        <f ca="1"/>
        <v>198545.05310000002</v>
      </c>
      <c r="IF5" s="490">
        <f ca="1"/>
        <v>195565.16510000001</v>
      </c>
      <c r="IG5" s="490">
        <f ca="1"/>
        <v>197216.3253</v>
      </c>
      <c r="IH5" s="490">
        <f ca="1"/>
        <v>193152.49049999999</v>
      </c>
      <c r="II5" s="490">
        <f ca="1"/>
        <v>194015.06640000001</v>
      </c>
      <c r="IJ5" s="490">
        <f ca="1"/>
        <v>194617.2463</v>
      </c>
      <c r="IK5" s="490">
        <f ca="1"/>
        <v>199449.82860000001</v>
      </c>
      <c r="IL5" s="490">
        <f ca="1"/>
        <v>201228.45770000003</v>
      </c>
      <c r="IM5" s="490">
        <f ca="1"/>
        <v>208546.91055</v>
      </c>
      <c r="IN5" s="490">
        <f ca="1"/>
        <v>209081.44065000003</v>
      </c>
      <c r="IO5" s="490">
        <f ca="1"/>
        <v>206566.67569999999</v>
      </c>
      <c r="IP5" s="490">
        <f ca="1"/>
        <v>207431.6458</v>
      </c>
      <c r="IQ5" s="490">
        <f ca="1"/>
        <v>207906.3181</v>
      </c>
      <c r="IR5" s="490">
        <f ca="1"/>
        <v>206946.75279999999</v>
      </c>
    </row>
    <row r="6" spans="1:252" s="493" customFormat="1" x14ac:dyDescent="0.35">
      <c r="A6" s="498" t="s">
        <v>378</v>
      </c>
      <c r="C6" s="493" cm="1">
        <f t="array" aca="1" ref="C6:IR6" ca="1">_xlfn.DROP(_xlfn.ANCHORARRAY(B5),,1)/_xlfn.DROP(_xlfn.ANCHORARRAY(B5),,-1)-1</f>
        <v>9.8544955169075354E-3</v>
      </c>
      <c r="D6" s="493">
        <f ca="1"/>
        <v>-8.9439526827039817E-4</v>
      </c>
      <c r="E6" s="493">
        <f ca="1"/>
        <v>7.6609281462960421E-3</v>
      </c>
      <c r="F6" s="493">
        <f ca="1"/>
        <v>-5.5026252853225266E-3</v>
      </c>
      <c r="G6" s="493">
        <f ca="1"/>
        <v>1.2563124905034417E-2</v>
      </c>
      <c r="H6" s="493">
        <f ca="1"/>
        <v>-5.9534419403695082E-4</v>
      </c>
      <c r="I6" s="493">
        <f ca="1"/>
        <v>1.9387733558360098E-2</v>
      </c>
      <c r="J6" s="493">
        <f ca="1"/>
        <v>6.6938647165317722E-3</v>
      </c>
      <c r="K6" s="493">
        <f ca="1"/>
        <v>-4.1494913468550387E-2</v>
      </c>
      <c r="L6" s="493">
        <f ca="1"/>
        <v>2.1595838784443488E-2</v>
      </c>
      <c r="M6" s="493">
        <f ca="1"/>
        <v>-1.7668930257758619E-2</v>
      </c>
      <c r="N6" s="493">
        <f ca="1"/>
        <v>1.179098229313813E-2</v>
      </c>
      <c r="O6" s="493">
        <f ca="1"/>
        <v>-1.714855939054627E-3</v>
      </c>
      <c r="P6" s="493">
        <f ca="1"/>
        <v>5.8963985383315709E-3</v>
      </c>
      <c r="Q6" s="493">
        <f ca="1"/>
        <v>7.4442626799320344E-3</v>
      </c>
      <c r="R6" s="493">
        <f ca="1"/>
        <v>-6.8184258534346176E-3</v>
      </c>
      <c r="S6" s="493">
        <f ca="1"/>
        <v>-6.5945611183555464E-3</v>
      </c>
      <c r="T6" s="493">
        <f ca="1"/>
        <v>7.6997309447806028E-3</v>
      </c>
      <c r="U6" s="493">
        <f ca="1"/>
        <v>2.3767819884335628E-2</v>
      </c>
      <c r="V6" s="493">
        <f ca="1"/>
        <v>2.0560102033038374E-2</v>
      </c>
      <c r="W6" s="493">
        <f ca="1"/>
        <v>2.3118101847149797E-2</v>
      </c>
      <c r="X6" s="493">
        <f ca="1"/>
        <v>1.6714296813391538E-2</v>
      </c>
      <c r="Y6" s="493">
        <f ca="1"/>
        <v>-2.053257917267548E-2</v>
      </c>
      <c r="Z6" s="493">
        <f ca="1"/>
        <v>-2.745414211924313E-5</v>
      </c>
      <c r="AA6" s="493">
        <f ca="1"/>
        <v>1.198767756225072E-2</v>
      </c>
      <c r="AB6" s="493">
        <f ca="1"/>
        <v>-2.6728642283877058E-2</v>
      </c>
      <c r="AC6" s="493">
        <f ca="1"/>
        <v>-3.7305893307177929E-3</v>
      </c>
      <c r="AD6" s="493">
        <f ca="1"/>
        <v>-2.7278926703083739E-2</v>
      </c>
      <c r="AE6" s="493">
        <f ca="1"/>
        <v>-1.3522115377690991E-3</v>
      </c>
      <c r="AF6" s="493">
        <f ca="1"/>
        <v>3.7012471033631922E-2</v>
      </c>
      <c r="AG6" s="493">
        <f ca="1"/>
        <v>-1.5654415369490526E-2</v>
      </c>
      <c r="AH6" s="493">
        <f ca="1"/>
        <v>7.4425159418003428E-3</v>
      </c>
      <c r="AI6" s="493">
        <f ca="1"/>
        <v>-2.7826330608132888E-2</v>
      </c>
      <c r="AJ6" s="493">
        <f ca="1"/>
        <v>6.2202250160987571E-3</v>
      </c>
      <c r="AK6" s="493">
        <f ca="1"/>
        <v>-1.4920189977421727E-2</v>
      </c>
      <c r="AL6" s="493">
        <f ca="1"/>
        <v>-2.0971148243589255E-2</v>
      </c>
      <c r="AM6" s="493">
        <f ca="1"/>
        <v>1.2750090572121398E-2</v>
      </c>
      <c r="AN6" s="493">
        <f ca="1"/>
        <v>-2.4390320721636938E-2</v>
      </c>
      <c r="AO6" s="493">
        <f ca="1"/>
        <v>-3.1010308545542653E-4</v>
      </c>
      <c r="AP6" s="493">
        <f ca="1"/>
        <v>2.2170515298773452E-2</v>
      </c>
      <c r="AQ6" s="493">
        <f ca="1"/>
        <v>-8.6569648259989807E-3</v>
      </c>
      <c r="AR6" s="493">
        <f ca="1"/>
        <v>1.1754869150758962E-2</v>
      </c>
      <c r="AS6" s="493">
        <f ca="1"/>
        <v>-2.8784318087040628E-3</v>
      </c>
      <c r="AT6" s="493">
        <f ca="1"/>
        <v>6.8436666588613804E-3</v>
      </c>
      <c r="AU6" s="493">
        <f ca="1"/>
        <v>3.8043071991846755E-3</v>
      </c>
      <c r="AV6" s="493">
        <f ca="1"/>
        <v>-4.9902803656809436E-4</v>
      </c>
      <c r="AW6" s="493">
        <f ca="1"/>
        <v>1.1466382312444345E-2</v>
      </c>
      <c r="AX6" s="493">
        <f ca="1"/>
        <v>-5.2483940778302873E-4</v>
      </c>
      <c r="AY6" s="493">
        <f ca="1"/>
        <v>5.4974339179381104E-3</v>
      </c>
      <c r="AZ6" s="493">
        <f ca="1"/>
        <v>-2.5530553880687146E-3</v>
      </c>
      <c r="BA6" s="493">
        <f ca="1"/>
        <v>9.886097830347218E-5</v>
      </c>
      <c r="BB6" s="493">
        <f ca="1"/>
        <v>-5.5781186308925257E-3</v>
      </c>
      <c r="BC6" s="493">
        <f ca="1"/>
        <v>-2.0618869928893946E-2</v>
      </c>
      <c r="BD6" s="493">
        <f ca="1"/>
        <v>1.7393386678827838E-3</v>
      </c>
      <c r="BE6" s="493">
        <f ca="1"/>
        <v>2.456001847138678E-3</v>
      </c>
      <c r="BF6" s="493">
        <f ca="1"/>
        <v>-2.6070312488976288E-2</v>
      </c>
      <c r="BG6" s="493">
        <f ca="1"/>
        <v>1.3041773508521981E-2</v>
      </c>
      <c r="BH6" s="493">
        <f ca="1"/>
        <v>2.5533411223257918E-2</v>
      </c>
      <c r="BI6" s="493">
        <f ca="1"/>
        <v>1.017690478178479E-2</v>
      </c>
      <c r="BJ6" s="493">
        <f ca="1"/>
        <v>1.6079532682087505E-2</v>
      </c>
      <c r="BK6" s="493">
        <f ca="1"/>
        <v>4.5828138062353752E-4</v>
      </c>
      <c r="BL6" s="493">
        <f ca="1"/>
        <v>3.6081273130819103E-3</v>
      </c>
      <c r="BM6" s="493">
        <f ca="1"/>
        <v>-7.0244510454849918E-3</v>
      </c>
      <c r="BN6" s="493">
        <f ca="1"/>
        <v>-1.9311175807155134E-3</v>
      </c>
      <c r="BO6" s="493">
        <f ca="1"/>
        <v>-5.4690999704001264E-3</v>
      </c>
      <c r="BP6" s="493">
        <f ca="1"/>
        <v>1.1571090572478182E-2</v>
      </c>
      <c r="BQ6" s="493">
        <f ca="1"/>
        <v>3.2212725474980441E-3</v>
      </c>
      <c r="BR6" s="493">
        <f ca="1"/>
        <v>-5.3560072711428264E-3</v>
      </c>
      <c r="BS6" s="493">
        <f ca="1"/>
        <v>-3.6633731267543546E-4</v>
      </c>
      <c r="BT6" s="493">
        <f ca="1"/>
        <v>-9.4323012822379315E-3</v>
      </c>
      <c r="BU6" s="493">
        <f ca="1"/>
        <v>2.2453323518005774E-3</v>
      </c>
      <c r="BV6" s="493">
        <f ca="1"/>
        <v>1.8531094461808895E-3</v>
      </c>
      <c r="BW6" s="493">
        <f ca="1"/>
        <v>5.9351031528032117E-3</v>
      </c>
      <c r="BX6" s="493">
        <f ca="1"/>
        <v>-9.8831044267807533E-3</v>
      </c>
      <c r="BY6" s="493">
        <f ca="1"/>
        <v>1.4926636540127047E-2</v>
      </c>
      <c r="BZ6" s="493">
        <f ca="1"/>
        <v>-9.5563306834378636E-4</v>
      </c>
      <c r="CA6" s="493">
        <f ca="1"/>
        <v>-3.2940726582001534E-2</v>
      </c>
      <c r="CB6" s="493">
        <f ca="1"/>
        <v>2.5698954149689035E-2</v>
      </c>
      <c r="CC6" s="493">
        <f ca="1"/>
        <v>9.9944869396590974E-3</v>
      </c>
      <c r="CD6" s="493">
        <f ca="1"/>
        <v>8.3894544488205547E-3</v>
      </c>
      <c r="CE6" s="493">
        <f ca="1"/>
        <v>-2.2521411807007174E-3</v>
      </c>
      <c r="CF6" s="493">
        <f ca="1"/>
        <v>6.7590038578195788E-3</v>
      </c>
      <c r="CG6" s="493">
        <f ca="1"/>
        <v>6.7095868868261022E-3</v>
      </c>
      <c r="CH6" s="493">
        <f ca="1"/>
        <v>1.2203026002771677E-2</v>
      </c>
      <c r="CI6" s="493">
        <f ca="1"/>
        <v>-9.927747252402086E-3</v>
      </c>
      <c r="CJ6" s="493">
        <f ca="1"/>
        <v>-4.8020101751328204E-3</v>
      </c>
      <c r="CK6" s="493">
        <f ca="1"/>
        <v>-1.5561338829314986E-2</v>
      </c>
      <c r="CL6" s="493">
        <f ca="1"/>
        <v>-3.2125791397744297E-2</v>
      </c>
      <c r="CM6" s="493">
        <f ca="1"/>
        <v>-1.4191767156470525E-2</v>
      </c>
      <c r="CN6" s="493">
        <f ca="1"/>
        <v>4.5879474484583183E-2</v>
      </c>
      <c r="CO6" s="493">
        <f ca="1"/>
        <v>1.4950869416716417E-2</v>
      </c>
      <c r="CP6" s="493">
        <f ca="1"/>
        <v>-9.2804691643363357E-3</v>
      </c>
      <c r="CQ6" s="493">
        <f ca="1"/>
        <v>1.938265714048315E-3</v>
      </c>
      <c r="CR6" s="493">
        <f ca="1"/>
        <v>-1.7670661084451034E-2</v>
      </c>
      <c r="CS6" s="493">
        <f ca="1"/>
        <v>-1.1635121897212275E-2</v>
      </c>
      <c r="CT6" s="493">
        <f ca="1"/>
        <v>3.3435071633804991E-3</v>
      </c>
      <c r="CU6" s="493">
        <f ca="1"/>
        <v>8.0394795242970662E-3</v>
      </c>
      <c r="CV6" s="493">
        <f ca="1"/>
        <v>-1.4584718101240401E-3</v>
      </c>
      <c r="CW6" s="493">
        <f ca="1"/>
        <v>8.4900458114265387E-3</v>
      </c>
      <c r="CX6" s="493">
        <f ca="1"/>
        <v>-2.6801402195323343E-3</v>
      </c>
      <c r="CY6" s="493">
        <f ca="1"/>
        <v>1.2389380560530849E-2</v>
      </c>
      <c r="CZ6" s="493">
        <f ca="1"/>
        <v>1.0580377010602549E-2</v>
      </c>
      <c r="DA6" s="493">
        <f ca="1"/>
        <v>-3.0732523682251767E-2</v>
      </c>
      <c r="DB6" s="493">
        <f ca="1"/>
        <v>-2.417437521577448E-2</v>
      </c>
      <c r="DC6" s="493">
        <f ca="1"/>
        <v>1.1873247712901325E-2</v>
      </c>
      <c r="DD6" s="493">
        <f ca="1"/>
        <v>-1.175904218020396E-2</v>
      </c>
      <c r="DE6" s="493">
        <f ca="1"/>
        <v>1.4152099794312312E-2</v>
      </c>
      <c r="DF6" s="493">
        <f ca="1"/>
        <v>-7.1249018157222288E-3</v>
      </c>
      <c r="DG6" s="493">
        <f ca="1"/>
        <v>-2.4323255352598161E-2</v>
      </c>
      <c r="DH6" s="493">
        <f ca="1"/>
        <v>2.0052569541031628E-2</v>
      </c>
      <c r="DI6" s="493">
        <f ca="1"/>
        <v>7.8659956519899765E-3</v>
      </c>
      <c r="DJ6" s="493">
        <f ca="1"/>
        <v>2.9574813996069427E-3</v>
      </c>
      <c r="DK6" s="493">
        <f ca="1"/>
        <v>-1.6335854069858491E-2</v>
      </c>
      <c r="DL6" s="493">
        <f ca="1"/>
        <v>-1.3614242683572253E-2</v>
      </c>
      <c r="DM6" s="493">
        <f ca="1"/>
        <v>1.3842910022434207E-2</v>
      </c>
      <c r="DN6" s="493">
        <f ca="1"/>
        <v>-1.4183400979888017E-3</v>
      </c>
      <c r="DO6" s="493">
        <f ca="1"/>
        <v>-7.7680013398625514E-3</v>
      </c>
      <c r="DP6" s="493">
        <f ca="1"/>
        <v>-4.1448730969826375E-3</v>
      </c>
      <c r="DQ6" s="493">
        <f ca="1"/>
        <v>-2.3285044549989364E-2</v>
      </c>
      <c r="DR6" s="493">
        <f ca="1"/>
        <v>1.5143063245780741E-2</v>
      </c>
      <c r="DS6" s="493">
        <f ca="1"/>
        <v>-1.8656442587611233E-3</v>
      </c>
      <c r="DT6" s="493">
        <f ca="1"/>
        <v>1.7589074088468104E-2</v>
      </c>
      <c r="DU6" s="493">
        <f ca="1"/>
        <v>-3.5589426489724629E-2</v>
      </c>
      <c r="DV6" s="493">
        <f ca="1"/>
        <v>-2.0689550376945531E-2</v>
      </c>
      <c r="DW6" s="493">
        <f ca="1"/>
        <v>-8.6430518812335988E-3</v>
      </c>
      <c r="DX6" s="493">
        <f ca="1"/>
        <v>4.4514204134605384E-2</v>
      </c>
      <c r="DY6" s="493">
        <f ca="1"/>
        <v>9.8506340193242892E-3</v>
      </c>
      <c r="DZ6" s="493">
        <f ca="1"/>
        <v>7.2337337803938251E-3</v>
      </c>
      <c r="EA6" s="493">
        <f ca="1"/>
        <v>4.0586004438185608E-3</v>
      </c>
      <c r="EB6" s="493">
        <f ca="1"/>
        <v>3.591451883444563E-4</v>
      </c>
      <c r="EC6" s="493">
        <f ca="1"/>
        <v>3.1078412484393469E-2</v>
      </c>
      <c r="ED6" s="493">
        <f ca="1"/>
        <v>1.1624662456362067E-2</v>
      </c>
      <c r="EE6" s="493">
        <f ca="1"/>
        <v>1.3931235224497573E-2</v>
      </c>
      <c r="EF6" s="493">
        <f ca="1"/>
        <v>4.682077989499378E-3</v>
      </c>
      <c r="EG6" s="493">
        <f ca="1"/>
        <v>2.9025579674142543E-2</v>
      </c>
      <c r="EH6" s="493">
        <f ca="1"/>
        <v>9.1924404233276746E-3</v>
      </c>
      <c r="EI6" s="493">
        <f ca="1"/>
        <v>4.8981638203713374E-3</v>
      </c>
      <c r="EJ6" s="493">
        <f ca="1"/>
        <v>1.5076976519850183E-2</v>
      </c>
      <c r="EK6" s="493">
        <f ca="1"/>
        <v>-1.2824611505978245E-3</v>
      </c>
      <c r="EL6" s="493">
        <f ca="1"/>
        <v>-5.0255484043632004E-3</v>
      </c>
      <c r="EM6" s="493">
        <f ca="1"/>
        <v>1.6580370534286404E-2</v>
      </c>
      <c r="EN6" s="493">
        <f ca="1"/>
        <v>-7.5698555685567159E-3</v>
      </c>
      <c r="EO6" s="493">
        <f ca="1"/>
        <v>3.561342901898179E-2</v>
      </c>
      <c r="EP6" s="493">
        <f ca="1"/>
        <v>1.541368452385905E-2</v>
      </c>
      <c r="EQ6" s="493">
        <f ca="1"/>
        <v>-1.2070290412847573E-2</v>
      </c>
      <c r="ER6" s="493">
        <f ca="1"/>
        <v>-4.9519743829750107E-3</v>
      </c>
      <c r="ES6" s="493">
        <f ca="1"/>
        <v>-1.1502143135458942E-2</v>
      </c>
      <c r="ET6" s="493">
        <f ca="1"/>
        <v>-9.4606632952021208E-5</v>
      </c>
      <c r="EU6" s="493">
        <f ca="1"/>
        <v>-9.199829684831573E-3</v>
      </c>
      <c r="EV6" s="493">
        <f ca="1"/>
        <v>3.1728840118219193E-3</v>
      </c>
      <c r="EW6" s="493">
        <f ca="1"/>
        <v>5.3534150880957476E-2</v>
      </c>
      <c r="EX6" s="493">
        <f ca="1"/>
        <v>2.3665607044109915E-3</v>
      </c>
      <c r="EY6" s="493">
        <f ca="1"/>
        <v>2.325472346708124E-2</v>
      </c>
      <c r="EZ6" s="493">
        <f ca="1"/>
        <v>5.3784461627357505E-3</v>
      </c>
      <c r="FA6" s="493">
        <f ca="1"/>
        <v>1.5709873841256439E-3</v>
      </c>
      <c r="FB6" s="493">
        <f ca="1"/>
        <v>1.6123842810175537E-2</v>
      </c>
      <c r="FC6" s="493">
        <f ca="1"/>
        <v>2.3756747255737842E-2</v>
      </c>
      <c r="FD6" s="493">
        <f ca="1"/>
        <v>-3.2200762824241114E-2</v>
      </c>
      <c r="FE6" s="493">
        <f ca="1"/>
        <v>-7.2334667782545381E-3</v>
      </c>
      <c r="FF6" s="493">
        <f ca="1"/>
        <v>-1.0399498175367117E-2</v>
      </c>
      <c r="FG6" s="493">
        <f ca="1"/>
        <v>1.8971006890942776E-2</v>
      </c>
      <c r="FH6" s="493">
        <f ca="1"/>
        <v>-1.0209942683504836E-2</v>
      </c>
      <c r="FI6" s="493">
        <f ca="1"/>
        <v>-2.2557580537512223E-3</v>
      </c>
      <c r="FJ6" s="493">
        <f ca="1"/>
        <v>1.0817293983019116E-2</v>
      </c>
      <c r="FK6" s="493">
        <f ca="1"/>
        <v>-5.4066243898971411E-3</v>
      </c>
      <c r="FL6" s="493">
        <f ca="1"/>
        <v>1.1373764030288003E-2</v>
      </c>
      <c r="FM6" s="493">
        <f ca="1"/>
        <v>-9.7701230893555424E-3</v>
      </c>
      <c r="FN6" s="493">
        <f ca="1"/>
        <v>1.962505544131421E-2</v>
      </c>
      <c r="FO6" s="493">
        <f ca="1"/>
        <v>-1.6947385482423138E-3</v>
      </c>
      <c r="FP6" s="493">
        <f ca="1"/>
        <v>-9.9239190307360836E-3</v>
      </c>
      <c r="FQ6" s="493">
        <f ca="1"/>
        <v>8.8164895513844765E-3</v>
      </c>
      <c r="FR6" s="493">
        <f ca="1"/>
        <v>-5.2283099393706012E-2</v>
      </c>
      <c r="FS6" s="493">
        <f ca="1"/>
        <v>1.3981282423390917E-2</v>
      </c>
      <c r="FT6" s="493">
        <f ca="1"/>
        <v>-7.3641290752077815E-3</v>
      </c>
      <c r="FU6" s="493">
        <f ca="1"/>
        <v>-2.8685436447625223E-2</v>
      </c>
      <c r="FV6" s="493">
        <f ca="1"/>
        <v>2.5836089076361812E-2</v>
      </c>
      <c r="FW6" s="493">
        <f ca="1"/>
        <v>9.2207845562057855E-3</v>
      </c>
      <c r="FX6" s="493">
        <f ca="1"/>
        <v>3.2973840204963523E-2</v>
      </c>
      <c r="FY6" s="493">
        <f ca="1"/>
        <v>-1.9761016170099399E-2</v>
      </c>
      <c r="FZ6" s="493">
        <f ca="1"/>
        <v>-1.191388131112725E-2</v>
      </c>
      <c r="GA6" s="493">
        <f ca="1"/>
        <v>2.2018004633936217E-2</v>
      </c>
      <c r="GB6" s="493">
        <f ca="1"/>
        <v>-4.477325828456391E-3</v>
      </c>
      <c r="GC6" s="493">
        <f ca="1"/>
        <v>-2.9505195407354745E-2</v>
      </c>
      <c r="GD6" s="493">
        <f ca="1"/>
        <v>-4.9731388567983981E-3</v>
      </c>
      <c r="GE6" s="493">
        <f ca="1"/>
        <v>-9.4491283536578541E-3</v>
      </c>
      <c r="GF6" s="493">
        <f ca="1"/>
        <v>-1.0931211531932883E-2</v>
      </c>
      <c r="GG6" s="493">
        <f ca="1"/>
        <v>1.519542396381901E-2</v>
      </c>
      <c r="GH6" s="493">
        <f ca="1"/>
        <v>2.466053964607573E-2</v>
      </c>
      <c r="GI6" s="493">
        <f ca="1"/>
        <v>-1.277815287510331E-2</v>
      </c>
      <c r="GJ6" s="493">
        <f ca="1"/>
        <v>-1.1597302130146425E-2</v>
      </c>
      <c r="GK6" s="493">
        <f ca="1"/>
        <v>1.8987437882121538E-2</v>
      </c>
      <c r="GL6" s="493">
        <f ca="1"/>
        <v>-7.6515541891127858E-3</v>
      </c>
      <c r="GM6" s="493">
        <f ca="1"/>
        <v>1.2738730594122005E-2</v>
      </c>
      <c r="GN6" s="493">
        <f ca="1"/>
        <v>1.0203873278122888E-2</v>
      </c>
      <c r="GO6" s="493">
        <f ca="1"/>
        <v>2.6244967439322808E-2</v>
      </c>
      <c r="GP6" s="493">
        <f ca="1"/>
        <v>-2.400381564780163E-2</v>
      </c>
      <c r="GQ6" s="493">
        <f ca="1"/>
        <v>2.2391209350764107E-2</v>
      </c>
      <c r="GR6" s="493">
        <f ca="1"/>
        <v>4.3879251559302279E-3</v>
      </c>
      <c r="GS6" s="493">
        <f ca="1"/>
        <v>-2.2963868631491691E-2</v>
      </c>
      <c r="GT6" s="493">
        <f ca="1"/>
        <v>-1.6029387917964932E-2</v>
      </c>
      <c r="GU6" s="493">
        <f ca="1"/>
        <v>1.8557625916995057E-3</v>
      </c>
      <c r="GV6" s="493">
        <f ca="1"/>
        <v>2.1694087539486429E-2</v>
      </c>
      <c r="GW6" s="493">
        <f ca="1"/>
        <v>1.0611121962052383E-2</v>
      </c>
      <c r="GX6" s="493">
        <f ca="1"/>
        <v>-1.9622076639134955E-2</v>
      </c>
      <c r="GY6" s="493">
        <f ca="1"/>
        <v>-7.2051392712177975E-3</v>
      </c>
      <c r="GZ6" s="493">
        <f ca="1"/>
        <v>-2.7312304015074007E-2</v>
      </c>
      <c r="HA6" s="493">
        <f ca="1"/>
        <v>-8.2204048810416985E-3</v>
      </c>
      <c r="HB6" s="493">
        <f ca="1"/>
        <v>-2.6692104389994142E-2</v>
      </c>
      <c r="HC6" s="493">
        <f ca="1"/>
        <v>2.7006364525632431E-2</v>
      </c>
      <c r="HD6" s="493">
        <f ca="1"/>
        <v>1.5736936310182914E-2</v>
      </c>
      <c r="HE6" s="493">
        <f ca="1"/>
        <v>2.2510433351002446E-2</v>
      </c>
      <c r="HF6" s="493">
        <f ca="1"/>
        <v>2.4532190167172674E-2</v>
      </c>
      <c r="HG6" s="493">
        <f ca="1"/>
        <v>1.8292921006846097E-3</v>
      </c>
      <c r="HH6" s="493">
        <f ca="1"/>
        <v>-6.4216534293559668E-5</v>
      </c>
      <c r="HI6" s="493">
        <f ca="1"/>
        <v>9.6708830189606854E-3</v>
      </c>
      <c r="HJ6" s="493">
        <f ca="1"/>
        <v>-1.6266532010695389E-2</v>
      </c>
      <c r="HK6" s="493">
        <f ca="1"/>
        <v>-3.6721856309018808E-4</v>
      </c>
      <c r="HL6" s="493">
        <f ca="1"/>
        <v>1.5990641843911302E-2</v>
      </c>
      <c r="HM6" s="493">
        <f ca="1"/>
        <v>4.9068006518124818E-3</v>
      </c>
      <c r="HN6" s="493">
        <f ca="1"/>
        <v>9.1255681031658931E-3</v>
      </c>
      <c r="HO6" s="493">
        <f ca="1"/>
        <v>-6.5501200343613952E-3</v>
      </c>
      <c r="HP6" s="493">
        <f ca="1"/>
        <v>-1.8440999873328701E-2</v>
      </c>
      <c r="HQ6" s="493">
        <f ca="1"/>
        <v>-9.7431257034316099E-3</v>
      </c>
      <c r="HR6" s="493">
        <f ca="1"/>
        <v>-9.1894572640475181E-3</v>
      </c>
      <c r="HS6" s="493">
        <f ca="1"/>
        <v>-1.3371373879795811E-3</v>
      </c>
      <c r="HT6" s="493">
        <f ca="1"/>
        <v>-1.5915323725171682E-2</v>
      </c>
      <c r="HU6" s="493">
        <f ca="1"/>
        <v>1.7264543528084042E-2</v>
      </c>
      <c r="HV6" s="493">
        <f ca="1"/>
        <v>-7.2640963795181923E-3</v>
      </c>
      <c r="HW6" s="493">
        <f ca="1"/>
        <v>3.6551805274420257E-2</v>
      </c>
      <c r="HX6" s="493">
        <f ca="1"/>
        <v>-2.1201008240355201E-2</v>
      </c>
      <c r="HY6" s="493">
        <f ca="1"/>
        <v>6.3013241197513725E-3</v>
      </c>
      <c r="HZ6" s="493">
        <f ca="1"/>
        <v>-9.6348087419475537E-3</v>
      </c>
      <c r="IA6" s="493">
        <f ca="1"/>
        <v>1.6443034862915873E-2</v>
      </c>
      <c r="IB6" s="493">
        <f ca="1"/>
        <v>1.5072747876570425E-2</v>
      </c>
      <c r="IC6" s="493">
        <f ca="1"/>
        <v>7.655916084400971E-3</v>
      </c>
      <c r="ID6" s="493">
        <f ca="1"/>
        <v>-5.2559426874707604E-3</v>
      </c>
      <c r="IE6" s="493">
        <f ca="1"/>
        <v>1.315380425715329E-3</v>
      </c>
      <c r="IF6" s="493">
        <f ca="1"/>
        <v>-1.5008623753013595E-2</v>
      </c>
      <c r="IG6" s="493">
        <f ca="1"/>
        <v>8.4430179534054073E-3</v>
      </c>
      <c r="IH6" s="493">
        <f ca="1"/>
        <v>-2.0605975665646481E-2</v>
      </c>
      <c r="II6" s="493">
        <f ca="1"/>
        <v>4.4657767433757822E-3</v>
      </c>
      <c r="IJ6" s="493">
        <f ca="1"/>
        <v>3.1037790578514191E-3</v>
      </c>
      <c r="IK6" s="493">
        <f ca="1"/>
        <v>2.4831213018761122E-2</v>
      </c>
      <c r="IL6" s="493">
        <f ca="1"/>
        <v>8.9176767535212864E-3</v>
      </c>
      <c r="IM6" s="493">
        <f ca="1"/>
        <v>3.6368876120447258E-2</v>
      </c>
      <c r="IN6" s="493">
        <f ca="1"/>
        <v>2.5631168478608135E-3</v>
      </c>
      <c r="IO6" s="493">
        <f ca="1"/>
        <v>-1.2027681377084654E-2</v>
      </c>
      <c r="IP6" s="493">
        <f ca="1"/>
        <v>4.1873651549497737E-3</v>
      </c>
      <c r="IQ6" s="493">
        <f ca="1"/>
        <v>2.2883311664878558E-3</v>
      </c>
      <c r="IR6" s="493">
        <f ca="1"/>
        <v>-4.6153734468928898E-3</v>
      </c>
    </row>
    <row r="7" spans="1:252" s="492" customFormat="1" x14ac:dyDescent="0.35">
      <c r="A7" s="499" t="s">
        <v>379</v>
      </c>
      <c r="B7" s="492" cm="1" vm="3827">
        <f t="array" aca="1" ref="B7:IR7" ca="1">_xlfn.LET(_xlpm.h,_xlfn.STOCKHISTORY("SPY",TODAY()-365,TODAY(),0,0,0,1),_xlfn.XLOOKUP(_xlfn.ANCHORARRAY(B4),INDEX(_xlpm.h,,1),INDEX(_xlpm.h,,2)))</f>
        <v>663.68</v>
      </c>
      <c r="C7" s="492" vm="3828">
        <f ca="1"/>
        <v>666.18</v>
      </c>
      <c r="D7" s="492" vm="3829">
        <f ca="1"/>
        <v>668.45</v>
      </c>
      <c r="E7" s="492" vm="3830">
        <f ca="1"/>
        <v>669.22</v>
      </c>
      <c r="F7" s="492" vm="2807">
        <f ca="1"/>
        <v>669.21</v>
      </c>
      <c r="G7" s="492" vm="3831">
        <f ca="1"/>
        <v>671.61</v>
      </c>
      <c r="H7" s="492" vm="2758">
        <f ca="1"/>
        <v>669.12</v>
      </c>
      <c r="I7" s="492" vm="3832">
        <f ca="1"/>
        <v>673.11</v>
      </c>
      <c r="J7" s="492" vm="3833">
        <f ca="1"/>
        <v>671.16</v>
      </c>
      <c r="K7" s="492" vm="3834">
        <f ca="1"/>
        <v>653.02</v>
      </c>
      <c r="L7" s="492" vm="3835">
        <f ca="1"/>
        <v>663.04</v>
      </c>
      <c r="M7" s="492" vm="3836">
        <f ca="1"/>
        <v>662.23</v>
      </c>
      <c r="N7" s="492" vm="3837">
        <f ca="1"/>
        <v>665.17</v>
      </c>
      <c r="O7" s="492" vm="3838">
        <f ca="1"/>
        <v>660.64</v>
      </c>
      <c r="P7" s="492" vm="3839">
        <f ca="1"/>
        <v>664.39</v>
      </c>
      <c r="Q7" s="492" vm="3840">
        <f ca="1"/>
        <v>671.3</v>
      </c>
      <c r="R7" s="492" vm="3841">
        <f ca="1"/>
        <v>671.29</v>
      </c>
      <c r="S7" s="492" vm="3842">
        <f ca="1"/>
        <v>667.8</v>
      </c>
      <c r="T7" s="492" vm="3843">
        <f ca="1"/>
        <v>671.76</v>
      </c>
      <c r="U7" s="492" vm="3844">
        <f ca="1"/>
        <v>677.25</v>
      </c>
      <c r="V7" s="492" vm="3845">
        <f ca="1"/>
        <v>685.24</v>
      </c>
      <c r="W7" s="492" vm="3846">
        <f ca="1"/>
        <v>687.06</v>
      </c>
      <c r="X7" s="492" vm="3847">
        <f ca="1"/>
        <v>687.39</v>
      </c>
      <c r="Y7" s="492" vm="3848">
        <f ca="1"/>
        <v>679.83</v>
      </c>
      <c r="Z7" s="492" vm="3849">
        <f ca="1"/>
        <v>682.06</v>
      </c>
      <c r="AA7" s="492" vm="3850">
        <f ca="1"/>
        <v>683.34</v>
      </c>
      <c r="AB7" s="492" vm="3851">
        <f ca="1"/>
        <v>675.24</v>
      </c>
      <c r="AC7" s="492" vm="3852">
        <f ca="1"/>
        <v>677.58</v>
      </c>
      <c r="AD7" s="492" vm="3853">
        <f ca="1"/>
        <v>670.31</v>
      </c>
      <c r="AE7" s="492" vm="3854">
        <f ca="1"/>
        <v>670.97</v>
      </c>
      <c r="AF7" s="492" vm="3855">
        <f ca="1"/>
        <v>681.44</v>
      </c>
      <c r="AG7" s="492" vm="3856">
        <f ca="1"/>
        <v>683</v>
      </c>
      <c r="AH7" s="492" vm="3857">
        <f ca="1"/>
        <v>683.38</v>
      </c>
      <c r="AI7" s="492" vm="3858">
        <f ca="1"/>
        <v>672.04</v>
      </c>
      <c r="AJ7" s="492" vm="3859">
        <f ca="1"/>
        <v>671.93</v>
      </c>
      <c r="AK7" s="492" vm="3860">
        <f ca="1"/>
        <v>665.67</v>
      </c>
      <c r="AL7" s="492" vm="3861">
        <f ca="1"/>
        <v>660.08</v>
      </c>
      <c r="AM7" s="492" vm="3862">
        <f ca="1"/>
        <v>662.63</v>
      </c>
      <c r="AN7" s="492" vm="3863">
        <f ca="1"/>
        <v>652.53</v>
      </c>
      <c r="AO7" s="492" vm="3864">
        <f ca="1"/>
        <v>659.03</v>
      </c>
      <c r="AP7" s="492" vm="2695">
        <f ca="1"/>
        <v>668.73</v>
      </c>
      <c r="AQ7" s="492" vm="3865">
        <f ca="1"/>
        <v>675.02</v>
      </c>
      <c r="AR7" s="492" vm="3866">
        <f ca="1"/>
        <v>679.68</v>
      </c>
      <c r="AS7" s="492" vm="3867">
        <f ca="1"/>
        <v>683.39</v>
      </c>
      <c r="AT7" s="492" vm="3868">
        <f ca="1"/>
        <v>680.27</v>
      </c>
      <c r="AU7" s="492" vm="3869">
        <f ca="1"/>
        <v>681.53</v>
      </c>
      <c r="AV7" s="492" vm="3870">
        <f ca="1"/>
        <v>683.89</v>
      </c>
      <c r="AW7" s="492" vm="3871">
        <f ca="1"/>
        <v>684.39</v>
      </c>
      <c r="AX7" s="492" vm="3872">
        <f ca="1"/>
        <v>685.69</v>
      </c>
      <c r="AY7" s="492" vm="3873">
        <f ca="1"/>
        <v>683.63</v>
      </c>
      <c r="AZ7" s="492" vm="3874">
        <f ca="1"/>
        <v>683.04</v>
      </c>
      <c r="BA7" s="492" vm="3875">
        <f ca="1"/>
        <v>687.57</v>
      </c>
      <c r="BB7" s="492" vm="3876">
        <f ca="1"/>
        <v>689.17</v>
      </c>
      <c r="BC7" s="492" vm="3877">
        <f ca="1"/>
        <v>681.76</v>
      </c>
      <c r="BD7" s="492" vm="3878">
        <f ca="1"/>
        <v>680.73</v>
      </c>
      <c r="BE7" s="492" vm="3879">
        <f ca="1"/>
        <v>678.87</v>
      </c>
      <c r="BF7" s="492" vm="3880">
        <f ca="1"/>
        <v>671.4</v>
      </c>
      <c r="BG7" s="492" vm="3881">
        <f ca="1"/>
        <v>676.47</v>
      </c>
      <c r="BH7" s="492" vm="3882">
        <f ca="1"/>
        <v>680.59</v>
      </c>
      <c r="BI7" s="492" vm="3883">
        <f ca="1"/>
        <v>684.83</v>
      </c>
      <c r="BJ7" s="492" vm="3884">
        <f ca="1"/>
        <v>687.96</v>
      </c>
      <c r="BK7" s="492" vm="3885">
        <f ca="1"/>
        <v>690.38</v>
      </c>
      <c r="BL7" s="492" vm="3886">
        <f ca="1"/>
        <v>690.31</v>
      </c>
      <c r="BM7" s="492" vm="3887">
        <f ca="1"/>
        <v>687.85</v>
      </c>
      <c r="BN7" s="492" vm="3888">
        <f ca="1"/>
        <v>687.01</v>
      </c>
      <c r="BO7" s="492" vm="3889">
        <f ca="1"/>
        <v>681.92</v>
      </c>
      <c r="BP7" s="492" vm="3890">
        <f ca="1"/>
        <v>683.17</v>
      </c>
      <c r="BQ7" s="492" vm="3891">
        <f ca="1"/>
        <v>687.72</v>
      </c>
      <c r="BR7" s="492" vm="3892">
        <f ca="1"/>
        <v>691.81</v>
      </c>
      <c r="BS7" s="492" vm="3893">
        <f ca="1"/>
        <v>689.58</v>
      </c>
      <c r="BT7" s="492" vm="3894">
        <f ca="1"/>
        <v>689.51</v>
      </c>
      <c r="BU7" s="492" vm="3895">
        <f ca="1"/>
        <v>694.07</v>
      </c>
      <c r="BV7" s="492" vm="3896">
        <f ca="1"/>
        <v>695.16</v>
      </c>
      <c r="BW7" s="492" vm="3897">
        <f ca="1"/>
        <v>693.77</v>
      </c>
      <c r="BX7" s="492" vm="3898">
        <f ca="1"/>
        <v>690.36</v>
      </c>
      <c r="BY7" s="492" vm="3899">
        <f ca="1"/>
        <v>692.24</v>
      </c>
      <c r="BZ7" s="492" vm="3900">
        <f ca="1"/>
        <v>691.66</v>
      </c>
      <c r="CA7" s="492" vm="3852">
        <f ca="1"/>
        <v>677.58</v>
      </c>
      <c r="CB7" s="492" vm="3901">
        <f ca="1"/>
        <v>685.4</v>
      </c>
      <c r="CC7" s="492" vm="3902">
        <f ca="1"/>
        <v>688.98</v>
      </c>
      <c r="CD7" s="492" vm="3903">
        <f ca="1"/>
        <v>689.23</v>
      </c>
      <c r="CE7" s="492" vm="3904">
        <f ca="1"/>
        <v>692.73</v>
      </c>
      <c r="CF7" s="492" vm="3905">
        <f ca="1"/>
        <v>695.49</v>
      </c>
      <c r="CG7" s="492" vm="3906">
        <f ca="1"/>
        <v>695.42</v>
      </c>
      <c r="CH7" s="492" vm="3907">
        <f ca="1"/>
        <v>694.04</v>
      </c>
      <c r="CI7" s="492" vm="3908">
        <f ca="1"/>
        <v>691.97</v>
      </c>
      <c r="CJ7" s="492" vm="3909">
        <f ca="1"/>
        <v>695.41</v>
      </c>
      <c r="CK7" s="492" vm="3910">
        <f ca="1"/>
        <v>689.53</v>
      </c>
      <c r="CL7" s="492" vm="3911">
        <f ca="1"/>
        <v>686.19</v>
      </c>
      <c r="CM7" s="492" vm="3912">
        <f ca="1"/>
        <v>677.62</v>
      </c>
      <c r="CN7" s="492" vm="3913">
        <f ca="1"/>
        <v>690.62</v>
      </c>
      <c r="CO7" s="492" vm="3914">
        <f ca="1"/>
        <v>693.95</v>
      </c>
      <c r="CP7" s="492" vm="3915">
        <f ca="1"/>
        <v>692.12</v>
      </c>
      <c r="CQ7" s="492" vm="3916">
        <f ca="1"/>
        <v>691.96</v>
      </c>
      <c r="CR7" s="492" vm="3917">
        <f ca="1"/>
        <v>681.27</v>
      </c>
      <c r="CS7" s="492" vm="3918">
        <f ca="1"/>
        <v>681.75</v>
      </c>
      <c r="CT7" s="492" vm="3919">
        <f ca="1"/>
        <v>682.85</v>
      </c>
      <c r="CU7" s="492" vm="3920">
        <f ca="1"/>
        <v>686.29</v>
      </c>
      <c r="CV7" s="492" vm="3921">
        <f ca="1"/>
        <v>684.48</v>
      </c>
      <c r="CW7" s="492" vm="3922">
        <f ca="1"/>
        <v>689.43</v>
      </c>
      <c r="CX7" s="492" vm="3923">
        <f ca="1"/>
        <v>682.39</v>
      </c>
      <c r="CY7" s="492" vm="3924">
        <f ca="1"/>
        <v>687.35</v>
      </c>
      <c r="CZ7" s="492" vm="3925">
        <f ca="1"/>
        <v>693.15</v>
      </c>
      <c r="DA7" s="492" vm="3926">
        <f ca="1"/>
        <v>689.3</v>
      </c>
      <c r="DB7" s="492" vm="3927">
        <f ca="1"/>
        <v>685.99</v>
      </c>
      <c r="DC7" s="492" vm="3928">
        <f ca="1"/>
        <v>686.38</v>
      </c>
      <c r="DD7" s="492" vm="3929">
        <f ca="1"/>
        <v>680.33</v>
      </c>
      <c r="DE7" s="492" vm="3930">
        <f ca="1"/>
        <v>685.13</v>
      </c>
      <c r="DF7" s="492" vm="2810">
        <f ca="1"/>
        <v>681.31</v>
      </c>
      <c r="DG7" s="492" vm="3931">
        <f ca="1"/>
        <v>672.38</v>
      </c>
      <c r="DH7" s="492" vm="3932">
        <f ca="1"/>
        <v>678.27</v>
      </c>
      <c r="DI7" s="492" vm="3933">
        <f ca="1"/>
        <v>677.18</v>
      </c>
      <c r="DJ7" s="492" vm="3934">
        <f ca="1"/>
        <v>676.33</v>
      </c>
      <c r="DK7" s="492" vm="3935">
        <f ca="1"/>
        <v>666.06</v>
      </c>
      <c r="DL7" s="492" vm="3936">
        <f ca="1"/>
        <v>662.29</v>
      </c>
      <c r="DM7" s="492" vm="3937">
        <f ca="1"/>
        <v>669.03</v>
      </c>
      <c r="DN7" s="492" vm="3938">
        <f ca="1"/>
        <v>670.79</v>
      </c>
      <c r="DO7" s="492" vm="3939">
        <f ca="1"/>
        <v>661.43</v>
      </c>
      <c r="DP7" s="492" vm="3940">
        <f ca="1"/>
        <v>659.8</v>
      </c>
      <c r="DQ7" s="492" vm="3941">
        <f ca="1"/>
        <v>648.57000000000005</v>
      </c>
      <c r="DR7" s="492" vm="3942">
        <f ca="1"/>
        <v>655.38</v>
      </c>
      <c r="DS7" s="492" vm="3943">
        <f ca="1"/>
        <v>653.17999999999995</v>
      </c>
      <c r="DT7" s="492" vm="3944">
        <f ca="1"/>
        <v>656.82</v>
      </c>
      <c r="DU7" s="492" vm="3945">
        <f ca="1"/>
        <v>645.09</v>
      </c>
      <c r="DV7" s="492" vm="3946">
        <f ca="1"/>
        <v>634.09</v>
      </c>
      <c r="DW7" s="492" vm="3947">
        <f ca="1"/>
        <v>631.97</v>
      </c>
      <c r="DX7" s="492" vm="3948">
        <f ca="1"/>
        <v>650.34</v>
      </c>
      <c r="DY7" s="492" vm="3949">
        <f ca="1"/>
        <v>655.24</v>
      </c>
      <c r="DZ7" s="492" vm="3950">
        <f ca="1"/>
        <v>655.83</v>
      </c>
      <c r="EA7" s="492" vm="3951">
        <f ca="1"/>
        <v>658.93</v>
      </c>
      <c r="EB7" s="492" vm="3952">
        <f ca="1"/>
        <v>659.22</v>
      </c>
      <c r="EC7" s="492" vm="3953">
        <f ca="1"/>
        <v>676.01</v>
      </c>
      <c r="ED7" s="492" vm="3954">
        <f ca="1"/>
        <v>679.91</v>
      </c>
      <c r="EE7" s="492" vm="3955">
        <f ca="1"/>
        <v>679.46</v>
      </c>
      <c r="EF7" s="492" vm="3956">
        <f ca="1"/>
        <v>686.1</v>
      </c>
      <c r="EG7" s="492" vm="3957">
        <f ca="1"/>
        <v>694.46</v>
      </c>
      <c r="EH7" s="492" vm="3958">
        <f ca="1"/>
        <v>699.94</v>
      </c>
      <c r="EI7" s="492" vm="3959">
        <f ca="1"/>
        <v>701.66</v>
      </c>
      <c r="EJ7" s="492" vm="3960">
        <f ca="1"/>
        <v>710.14</v>
      </c>
      <c r="EK7" s="492" vm="3961">
        <f ca="1"/>
        <v>708.72</v>
      </c>
      <c r="EL7" s="492" vm="3962">
        <f ca="1"/>
        <v>704.08</v>
      </c>
      <c r="EM7" s="492" vm="3963">
        <f ca="1"/>
        <v>711.21</v>
      </c>
      <c r="EN7" s="492" vm="3964">
        <f ca="1"/>
        <v>708.45</v>
      </c>
      <c r="EO7" s="492" vm="3965">
        <f ca="1"/>
        <v>713.94</v>
      </c>
      <c r="EP7" s="492" vm="3966">
        <f ca="1"/>
        <v>715.17</v>
      </c>
      <c r="EQ7" s="492" vm="3967">
        <f ca="1"/>
        <v>711.69</v>
      </c>
      <c r="ER7" s="492" vm="3968">
        <f ca="1"/>
        <v>711.58</v>
      </c>
      <c r="ES7" s="492" vm="3969">
        <f ca="1"/>
        <v>718.66</v>
      </c>
      <c r="ET7" s="492" vm="3970">
        <f ca="1"/>
        <v>720.65</v>
      </c>
      <c r="EU7" s="492" vm="3971">
        <f ca="1"/>
        <v>718.01</v>
      </c>
      <c r="EV7" s="492" vm="3972">
        <f ca="1"/>
        <v>723.77</v>
      </c>
      <c r="EW7" s="492" vm="3973">
        <f ca="1"/>
        <v>733.83</v>
      </c>
      <c r="EX7" s="492" vm="3974">
        <f ca="1"/>
        <v>731.58</v>
      </c>
      <c r="EY7" s="492" vm="3975">
        <f ca="1"/>
        <v>737.62</v>
      </c>
      <c r="EZ7" s="492" vm="3976">
        <f ca="1"/>
        <v>739.3</v>
      </c>
      <c r="FA7" s="492" vm="3977">
        <f ca="1"/>
        <v>738.18</v>
      </c>
      <c r="FB7" s="492" vm="3978">
        <f ca="1"/>
        <v>742.31</v>
      </c>
      <c r="FC7" s="492" vm="3979">
        <f ca="1"/>
        <v>748.17</v>
      </c>
      <c r="FD7" s="492" vm="3980">
        <f ca="1"/>
        <v>739.17</v>
      </c>
      <c r="FE7" s="492" vm="3981">
        <f ca="1"/>
        <v>738.65</v>
      </c>
      <c r="FF7" s="492" vm="3982">
        <f ca="1"/>
        <v>733.73</v>
      </c>
      <c r="FG7" s="492" vm="3983">
        <f ca="1"/>
        <v>741.25</v>
      </c>
      <c r="FH7" s="492" vm="3984">
        <f ca="1"/>
        <v>742.72</v>
      </c>
      <c r="FI7" s="492" vm="3985">
        <f ca="1"/>
        <v>745.64</v>
      </c>
      <c r="FJ7" s="492" vm="3986">
        <f ca="1"/>
        <v>750.59</v>
      </c>
      <c r="FK7" s="492" vm="3987">
        <f ca="1"/>
        <v>750.46</v>
      </c>
      <c r="FL7" s="492" vm="3988">
        <f ca="1"/>
        <v>754.6</v>
      </c>
      <c r="FM7" s="492" vm="3989">
        <f ca="1"/>
        <v>756.48</v>
      </c>
      <c r="FN7" s="492" vm="3990">
        <f ca="1"/>
        <v>758.54</v>
      </c>
      <c r="FO7" s="492" vm="3991">
        <f ca="1"/>
        <v>759.57</v>
      </c>
      <c r="FP7" s="492" vm="3992">
        <f ca="1"/>
        <v>754.24</v>
      </c>
      <c r="FQ7" s="492" vm="3993">
        <f ca="1"/>
        <v>757.09</v>
      </c>
      <c r="FR7" s="492" vm="3994">
        <f ca="1"/>
        <v>737.55</v>
      </c>
      <c r="FS7" s="492" vm="3995">
        <f ca="1"/>
        <v>739.22</v>
      </c>
      <c r="FT7" s="492" vm="3996">
        <f ca="1"/>
        <v>737.05</v>
      </c>
      <c r="FU7" s="492" vm="3997">
        <f ca="1"/>
        <v>725.43</v>
      </c>
      <c r="FV7" s="492" vm="3998">
        <f ca="1"/>
        <v>737.76</v>
      </c>
      <c r="FW7" s="492" vm="3999">
        <f ca="1"/>
        <v>741.75</v>
      </c>
      <c r="FX7" s="492" vm="4000">
        <f ca="1"/>
        <v>754.83</v>
      </c>
      <c r="FY7" s="492" vm="4001">
        <f ca="1"/>
        <v>750.33</v>
      </c>
      <c r="FZ7" s="492" vm="4002">
        <f ca="1"/>
        <v>740.96</v>
      </c>
      <c r="GA7" s="492" vm="4003">
        <f ca="1"/>
        <v>746.74</v>
      </c>
      <c r="GB7" s="492" vm="4004">
        <f ca="1"/>
        <v>744.39</v>
      </c>
      <c r="GC7" s="492" vm="4005">
        <f ca="1"/>
        <v>733.58</v>
      </c>
      <c r="GD7" s="492" vm="4006">
        <f ca="1"/>
        <v>733.24</v>
      </c>
      <c r="GE7" s="492" vm="4007">
        <f ca="1"/>
        <v>734.3</v>
      </c>
      <c r="GF7" s="492" vm="4008">
        <f ca="1"/>
        <v>728.99</v>
      </c>
      <c r="GG7" s="492" vm="4009">
        <f ca="1"/>
        <v>741</v>
      </c>
      <c r="GH7" s="492" vm="4010">
        <f ca="1"/>
        <v>746.77</v>
      </c>
      <c r="GI7" s="492" vm="4011">
        <f ca="1"/>
        <v>745.76</v>
      </c>
      <c r="GJ7" s="492" vm="4012">
        <f ca="1"/>
        <v>744.78</v>
      </c>
      <c r="GK7" s="492" vm="4013">
        <f ca="1"/>
        <v>751.28</v>
      </c>
      <c r="GL7" s="492" vm="4014">
        <f ca="1"/>
        <v>747.71</v>
      </c>
      <c r="GM7" s="492" vm="4015">
        <f ca="1"/>
        <v>745.4</v>
      </c>
      <c r="GN7" s="492" vm="4016">
        <f ca="1"/>
        <v>751.71</v>
      </c>
      <c r="GO7" s="492" vm="4017">
        <f ca="1"/>
        <v>754.95</v>
      </c>
      <c r="GP7" s="492" vm="4018">
        <f ca="1"/>
        <v>749.17</v>
      </c>
      <c r="GQ7" s="492" vm="4019">
        <f ca="1"/>
        <v>751.83</v>
      </c>
      <c r="GR7" s="492" vm="4020">
        <f ca="1"/>
        <v>754.81</v>
      </c>
      <c r="GS7" s="492" vm="4021">
        <f ca="1"/>
        <v>750.72</v>
      </c>
      <c r="GT7" s="492" vm="4022">
        <f ca="1"/>
        <v>743.29</v>
      </c>
      <c r="GU7" s="492" vm="4023">
        <f ca="1"/>
        <v>742.09</v>
      </c>
      <c r="GV7" s="492" vm="4024">
        <f ca="1"/>
        <v>748.28</v>
      </c>
      <c r="GW7" s="492" vm="4025">
        <f ca="1"/>
        <v>747.41</v>
      </c>
      <c r="GX7" s="492" vm="3977">
        <f ca="1"/>
        <v>738.18</v>
      </c>
      <c r="GY7" s="492" vm="4026">
        <f ca="1"/>
        <v>738.93</v>
      </c>
      <c r="GZ7" s="492" vm="4027">
        <f ca="1"/>
        <v>739.09</v>
      </c>
      <c r="HA7" s="492" vm="4028">
        <f ca="1"/>
        <v>740.86</v>
      </c>
      <c r="HB7" s="492" vm="4029">
        <f ca="1"/>
        <v>729.46</v>
      </c>
      <c r="HC7" s="492" vm="4030">
        <f ca="1"/>
        <v>741.69</v>
      </c>
      <c r="HD7" s="492" vm="4031">
        <f ca="1"/>
        <v>747.03</v>
      </c>
      <c r="HE7" s="492" vm="4032">
        <f ca="1"/>
        <v>757.67</v>
      </c>
      <c r="HF7" s="492" vm="4033">
        <f ca="1"/>
        <v>771.33</v>
      </c>
      <c r="HG7" s="492" vm="4034">
        <f ca="1"/>
        <v>769.79</v>
      </c>
      <c r="HH7" s="492" vm="4035">
        <f ca="1"/>
        <v>768.56</v>
      </c>
      <c r="HI7" s="492" vm="4036">
        <f ca="1"/>
        <v>773.26</v>
      </c>
      <c r="HJ7" s="492" vm="4037">
        <f ca="1"/>
        <v>773.03</v>
      </c>
      <c r="HK7" s="492" vm="4038">
        <f ca="1"/>
        <v>770.56</v>
      </c>
      <c r="HL7" s="492" vm="4039">
        <f ca="1"/>
        <v>772.49</v>
      </c>
      <c r="HM7" s="492" vm="4040">
        <f ca="1"/>
        <v>777.88</v>
      </c>
      <c r="HN7" s="492" vm="4041">
        <f ca="1"/>
        <v>776.34</v>
      </c>
      <c r="HO7" s="492" vm="4042">
        <f ca="1"/>
        <v>772.67</v>
      </c>
      <c r="HP7" s="492" vm="4043">
        <f ca="1"/>
        <v>767.45</v>
      </c>
      <c r="HQ7" s="492" vm="4044">
        <f ca="1"/>
        <v>769.06</v>
      </c>
      <c r="HR7" s="492" vm="4045">
        <f ca="1"/>
        <v>762.6</v>
      </c>
      <c r="HS7" s="492" vm="4046">
        <f ca="1"/>
        <v>765.72</v>
      </c>
      <c r="HT7" s="492" vm="4047">
        <f ca="1"/>
        <v>763.47</v>
      </c>
      <c r="HU7" s="492" vm="4048">
        <f ca="1"/>
        <v>765.91</v>
      </c>
      <c r="HV7" s="492" vm="4049">
        <f ca="1"/>
        <v>766.08</v>
      </c>
      <c r="HW7" s="492" vm="4050">
        <f ca="1"/>
        <v>771.1</v>
      </c>
      <c r="HX7" s="492" vm="4051">
        <f ca="1"/>
        <v>769.35</v>
      </c>
      <c r="HY7" s="492" vm="4052">
        <f ca="1"/>
        <v>767.05</v>
      </c>
      <c r="HZ7" s="492" vm="4053">
        <f ca="1"/>
        <v>761.78</v>
      </c>
      <c r="IA7" s="492" vm="4054">
        <f ca="1"/>
        <v>765.16</v>
      </c>
      <c r="IB7" s="492" vm="4055">
        <f ca="1"/>
        <v>773.17</v>
      </c>
      <c r="IC7" s="492" vm="4056">
        <f ca="1"/>
        <v>770.19</v>
      </c>
      <c r="ID7" s="492" vm="4057">
        <f ca="1"/>
        <v>765.96</v>
      </c>
      <c r="IE7" s="492" vm="4058">
        <f ca="1"/>
        <v>762.4</v>
      </c>
      <c r="IF7" s="492" vm="4059">
        <f ca="1"/>
        <v>757.83</v>
      </c>
      <c r="IG7" s="492" vm="4060">
        <f ca="1"/>
        <v>764.29</v>
      </c>
      <c r="IH7" s="492" vm="4061">
        <f ca="1"/>
        <v>760.88</v>
      </c>
      <c r="II7" s="492" vm="4062">
        <f ca="1"/>
        <v>757.39</v>
      </c>
      <c r="IJ7" s="492" vm="4063">
        <f ca="1"/>
        <v>754.05</v>
      </c>
      <c r="IK7" s="492" vm="4045">
        <f ca="1"/>
        <v>762.6</v>
      </c>
      <c r="IL7" s="492" vm="4064">
        <f ca="1"/>
        <v>761.69</v>
      </c>
      <c r="IM7" s="492" vm="4065">
        <f ca="1"/>
        <v>773.5</v>
      </c>
      <c r="IN7" s="492" vm="4066">
        <f ca="1"/>
        <v>773.38</v>
      </c>
      <c r="IO7" s="492" vm="4067">
        <f ca="1"/>
        <v>767.81</v>
      </c>
      <c r="IP7" s="492" vm="4068">
        <f ca="1"/>
        <v>767.18</v>
      </c>
      <c r="IQ7" s="492" vm="4069">
        <f ca="1"/>
        <v>771.35</v>
      </c>
      <c r="IR7" s="492" vm="4070">
        <f ca="1"/>
        <v>765.61</v>
      </c>
    </row>
    <row r="8" spans="1:252" s="493" customFormat="1" x14ac:dyDescent="0.35">
      <c r="A8" s="498" t="s">
        <v>380</v>
      </c>
      <c r="C8" s="493" cm="1">
        <f t="array" aca="1" ref="C8:IR8" ca="1">_xlfn.DROP(_xlfn.ANCHORARRAY(B7),,1)/_xlfn.DROP(_xlfn.ANCHORARRAY(B7),,-1)-1</f>
        <v>3.7668756027000594E-3</v>
      </c>
      <c r="D8" s="493">
        <f ca="1"/>
        <v>3.4074874658502896E-3</v>
      </c>
      <c r="E8" s="493">
        <f ca="1"/>
        <v>1.1519186176975893E-3</v>
      </c>
      <c r="F8" s="493">
        <f ca="1"/>
        <v>-1.4942769194004057E-5</v>
      </c>
      <c r="G8" s="493">
        <f ca="1"/>
        <v>3.5863181960820167E-3</v>
      </c>
      <c r="H8" s="493">
        <f ca="1"/>
        <v>-3.70750882208426E-3</v>
      </c>
      <c r="I8" s="493">
        <f ca="1"/>
        <v>5.9630559540888584E-3</v>
      </c>
      <c r="J8" s="493">
        <f ca="1"/>
        <v>-2.8970004902616475E-3</v>
      </c>
      <c r="K8" s="493">
        <f ca="1"/>
        <v>-2.7027832409559527E-2</v>
      </c>
      <c r="L8" s="493">
        <f ca="1"/>
        <v>1.5344093595908159E-2</v>
      </c>
      <c r="M8" s="493">
        <f ca="1"/>
        <v>-1.2216457528956282E-3</v>
      </c>
      <c r="N8" s="493">
        <f ca="1"/>
        <v>4.4395451731271685E-3</v>
      </c>
      <c r="O8" s="493">
        <f ca="1"/>
        <v>-6.8102890990272558E-3</v>
      </c>
      <c r="P8" s="493">
        <f ca="1"/>
        <v>5.6763138774522659E-3</v>
      </c>
      <c r="Q8" s="493">
        <f ca="1"/>
        <v>1.0400517768178297E-2</v>
      </c>
      <c r="R8" s="493">
        <f ca="1"/>
        <v>-1.4896469536673784E-5</v>
      </c>
      <c r="S8" s="493">
        <f ca="1"/>
        <v>-5.1989453142456954E-3</v>
      </c>
      <c r="T8" s="493">
        <f ca="1"/>
        <v>5.9299191374664328E-3</v>
      </c>
      <c r="U8" s="493">
        <f ca="1"/>
        <v>8.1725616291532521E-3</v>
      </c>
      <c r="V8" s="493">
        <f ca="1"/>
        <v>1.1797711332595107E-2</v>
      </c>
      <c r="W8" s="493">
        <f ca="1"/>
        <v>2.656003735917345E-3</v>
      </c>
      <c r="X8" s="493">
        <f ca="1"/>
        <v>4.8030739673388112E-4</v>
      </c>
      <c r="Y8" s="493">
        <f ca="1"/>
        <v>-1.0998123336097287E-2</v>
      </c>
      <c r="Z8" s="493">
        <f ca="1"/>
        <v>3.2802318226614613E-3</v>
      </c>
      <c r="AA8" s="493">
        <f ca="1"/>
        <v>1.8766677418409206E-3</v>
      </c>
      <c r="AB8" s="493">
        <f ca="1"/>
        <v>-1.1853542892264479E-2</v>
      </c>
      <c r="AC8" s="493">
        <f ca="1"/>
        <v>3.4654345121734043E-3</v>
      </c>
      <c r="AD8" s="493">
        <f ca="1"/>
        <v>-1.0729360370731245E-2</v>
      </c>
      <c r="AE8" s="493">
        <f ca="1"/>
        <v>9.8461905685431894E-4</v>
      </c>
      <c r="AF8" s="493">
        <f ca="1"/>
        <v>1.5604274408691943E-2</v>
      </c>
      <c r="AG8" s="493">
        <f ca="1"/>
        <v>2.2892697816387919E-3</v>
      </c>
      <c r="AH8" s="493">
        <f ca="1"/>
        <v>5.5636896046862283E-4</v>
      </c>
      <c r="AI8" s="493">
        <f ca="1"/>
        <v>-1.6593988703210605E-2</v>
      </c>
      <c r="AJ8" s="493">
        <f ca="1"/>
        <v>-1.636807332896506E-4</v>
      </c>
      <c r="AK8" s="493">
        <f ca="1"/>
        <v>-9.3164466536692636E-3</v>
      </c>
      <c r="AL8" s="493">
        <f ca="1"/>
        <v>-8.397554343743785E-3</v>
      </c>
      <c r="AM8" s="493">
        <f ca="1"/>
        <v>3.8631681008360896E-3</v>
      </c>
      <c r="AN8" s="493">
        <f ca="1"/>
        <v>-1.5242292078535558E-2</v>
      </c>
      <c r="AO8" s="493">
        <f ca="1"/>
        <v>9.9612278362679607E-3</v>
      </c>
      <c r="AP8" s="493">
        <f ca="1"/>
        <v>1.4718601581111601E-2</v>
      </c>
      <c r="AQ8" s="493">
        <f ca="1"/>
        <v>9.4058887742436426E-3</v>
      </c>
      <c r="AR8" s="493">
        <f ca="1"/>
        <v>6.9034991555805281E-3</v>
      </c>
      <c r="AS8" s="493">
        <f ca="1"/>
        <v>5.4584510357815752E-3</v>
      </c>
      <c r="AT8" s="493">
        <f ca="1"/>
        <v>-4.5654750581659576E-3</v>
      </c>
      <c r="AU8" s="493">
        <f ca="1"/>
        <v>1.8522057418377535E-3</v>
      </c>
      <c r="AV8" s="493">
        <f ca="1"/>
        <v>3.4627969421743288E-3</v>
      </c>
      <c r="AW8" s="493">
        <f ca="1"/>
        <v>7.3111172849427142E-4</v>
      </c>
      <c r="AX8" s="493">
        <f ca="1"/>
        <v>1.8995017460805563E-3</v>
      </c>
      <c r="AY8" s="493">
        <f ca="1"/>
        <v>-3.0042730680045482E-3</v>
      </c>
      <c r="AZ8" s="493">
        <f ca="1"/>
        <v>-8.630399485102247E-4</v>
      </c>
      <c r="BA8" s="493">
        <f ca="1"/>
        <v>6.6321152494730473E-3</v>
      </c>
      <c r="BB8" s="493">
        <f ca="1"/>
        <v>2.3270357927192009E-3</v>
      </c>
      <c r="BC8" s="493">
        <f ca="1"/>
        <v>-1.0752064077078183E-2</v>
      </c>
      <c r="BD8" s="493">
        <f ca="1"/>
        <v>-1.5107955878901347E-3</v>
      </c>
      <c r="BE8" s="493">
        <f ca="1"/>
        <v>-2.7323608479132844E-3</v>
      </c>
      <c r="BF8" s="493">
        <f ca="1"/>
        <v>-1.1003579477661396E-2</v>
      </c>
      <c r="BG8" s="493">
        <f ca="1"/>
        <v>7.5513851653261632E-3</v>
      </c>
      <c r="BH8" s="493">
        <f ca="1"/>
        <v>6.0904400786434554E-3</v>
      </c>
      <c r="BI8" s="493">
        <f ca="1"/>
        <v>6.2298887729763663E-3</v>
      </c>
      <c r="BJ8" s="493">
        <f ca="1"/>
        <v>4.570477344742585E-3</v>
      </c>
      <c r="BK8" s="493">
        <f ca="1"/>
        <v>3.5176463747892406E-3</v>
      </c>
      <c r="BL8" s="493">
        <f ca="1"/>
        <v>-1.0139343549930846E-4</v>
      </c>
      <c r="BM8" s="493">
        <f ca="1"/>
        <v>-3.5636163462791082E-3</v>
      </c>
      <c r="BN8" s="493">
        <f ca="1"/>
        <v>-1.221196481791087E-3</v>
      </c>
      <c r="BO8" s="493">
        <f ca="1"/>
        <v>-7.4089169007729438E-3</v>
      </c>
      <c r="BP8" s="493">
        <f ca="1"/>
        <v>1.8330595964335394E-3</v>
      </c>
      <c r="BQ8" s="493">
        <f ca="1"/>
        <v>6.6601285185239334E-3</v>
      </c>
      <c r="BR8" s="493">
        <f ca="1"/>
        <v>5.9471878089918384E-3</v>
      </c>
      <c r="BS8" s="493">
        <f ca="1"/>
        <v>-3.223428397970407E-3</v>
      </c>
      <c r="BT8" s="493">
        <f ca="1"/>
        <v>-1.0151106470612792E-4</v>
      </c>
      <c r="BU8" s="493">
        <f ca="1"/>
        <v>6.613392119041217E-3</v>
      </c>
      <c r="BV8" s="493">
        <f ca="1"/>
        <v>1.5704467849062542E-3</v>
      </c>
      <c r="BW8" s="493">
        <f ca="1"/>
        <v>-1.9995396743195393E-3</v>
      </c>
      <c r="BX8" s="493">
        <f ca="1"/>
        <v>-4.9151736166164195E-3</v>
      </c>
      <c r="BY8" s="493">
        <f ca="1"/>
        <v>2.7232168723565486E-3</v>
      </c>
      <c r="BZ8" s="493">
        <f ca="1"/>
        <v>-8.378597018375844E-4</v>
      </c>
      <c r="CA8" s="493">
        <f ca="1"/>
        <v>-2.035682271636341E-2</v>
      </c>
      <c r="CB8" s="493">
        <f ca="1"/>
        <v>1.1541072640868899E-2</v>
      </c>
      <c r="CC8" s="493">
        <f ca="1"/>
        <v>5.2232273125183415E-3</v>
      </c>
      <c r="CD8" s="493">
        <f ca="1"/>
        <v>3.62855235275239E-4</v>
      </c>
      <c r="CE8" s="493">
        <f ca="1"/>
        <v>5.0781306675564686E-3</v>
      </c>
      <c r="CF8" s="493">
        <f ca="1"/>
        <v>3.9842362825344146E-3</v>
      </c>
      <c r="CG8" s="493">
        <f ca="1"/>
        <v>-1.0064846367319191E-4</v>
      </c>
      <c r="CH8" s="493">
        <f ca="1"/>
        <v>-1.9844122976042655E-3</v>
      </c>
      <c r="CI8" s="493">
        <f ca="1"/>
        <v>-2.9825370295659681E-3</v>
      </c>
      <c r="CJ8" s="493">
        <f ca="1"/>
        <v>4.9713137852795963E-3</v>
      </c>
      <c r="CK8" s="493">
        <f ca="1"/>
        <v>-8.4554435512862458E-3</v>
      </c>
      <c r="CL8" s="493">
        <f ca="1"/>
        <v>-4.8438791640681433E-3</v>
      </c>
      <c r="CM8" s="493">
        <f ca="1"/>
        <v>-1.2489252247919747E-2</v>
      </c>
      <c r="CN8" s="493">
        <f ca="1"/>
        <v>1.9184793837254022E-2</v>
      </c>
      <c r="CO8" s="493">
        <f ca="1"/>
        <v>4.8217543656425832E-3</v>
      </c>
      <c r="CP8" s="493">
        <f ca="1"/>
        <v>-2.6370775992506923E-3</v>
      </c>
      <c r="CQ8" s="493">
        <f ca="1"/>
        <v>-2.3117378489279083E-4</v>
      </c>
      <c r="CR8" s="493">
        <f ca="1"/>
        <v>-1.5448869876871552E-2</v>
      </c>
      <c r="CS8" s="493">
        <f ca="1"/>
        <v>7.0456647144312434E-4</v>
      </c>
      <c r="CT8" s="493">
        <f ca="1"/>
        <v>1.6134946828016972E-3</v>
      </c>
      <c r="CU8" s="493">
        <f ca="1"/>
        <v>5.037709599472695E-3</v>
      </c>
      <c r="CV8" s="493">
        <f ca="1"/>
        <v>-2.6373690422415441E-3</v>
      </c>
      <c r="CW8" s="493">
        <f ca="1"/>
        <v>7.2317671809256634E-3</v>
      </c>
      <c r="CX8" s="493">
        <f ca="1"/>
        <v>-1.0211334000551076E-2</v>
      </c>
      <c r="CY8" s="493">
        <f ca="1"/>
        <v>7.2685707586570558E-3</v>
      </c>
      <c r="CZ8" s="493">
        <f ca="1"/>
        <v>8.4382046992070858E-3</v>
      </c>
      <c r="DA8" s="493">
        <f ca="1"/>
        <v>-5.5543533145784307E-3</v>
      </c>
      <c r="DB8" s="493">
        <f ca="1"/>
        <v>-4.8019730161031893E-3</v>
      </c>
      <c r="DC8" s="493">
        <f ca="1"/>
        <v>5.6852140701768583E-4</v>
      </c>
      <c r="DD8" s="493">
        <f ca="1"/>
        <v>-8.8143593927560993E-3</v>
      </c>
      <c r="DE8" s="493">
        <f ca="1"/>
        <v>7.0553995854951701E-3</v>
      </c>
      <c r="DF8" s="493">
        <f ca="1"/>
        <v>-5.5755841957001451E-3</v>
      </c>
      <c r="DG8" s="493">
        <f ca="1"/>
        <v>-1.3107102493725264E-2</v>
      </c>
      <c r="DH8" s="493">
        <f ca="1"/>
        <v>8.7599274219933854E-3</v>
      </c>
      <c r="DI8" s="493">
        <f ca="1"/>
        <v>-1.6070296489598679E-3</v>
      </c>
      <c r="DJ8" s="493">
        <f ca="1"/>
        <v>-1.2552054106735877E-3</v>
      </c>
      <c r="DK8" s="493">
        <f ca="1"/>
        <v>-1.5184894947732785E-2</v>
      </c>
      <c r="DL8" s="493">
        <f ca="1"/>
        <v>-5.6601507371707438E-3</v>
      </c>
      <c r="DM8" s="493">
        <f ca="1"/>
        <v>1.0176810762656752E-2</v>
      </c>
      <c r="DN8" s="493">
        <f ca="1"/>
        <v>2.6306742597492772E-3</v>
      </c>
      <c r="DO8" s="493">
        <f ca="1"/>
        <v>-1.3953696387841275E-2</v>
      </c>
      <c r="DP8" s="493">
        <f ca="1"/>
        <v>-2.4643575283854746E-3</v>
      </c>
      <c r="DQ8" s="493">
        <f ca="1"/>
        <v>-1.702030918460129E-2</v>
      </c>
      <c r="DR8" s="493">
        <f ca="1"/>
        <v>1.050002312780407E-2</v>
      </c>
      <c r="DS8" s="493">
        <f ca="1"/>
        <v>-3.3568311513931803E-3</v>
      </c>
      <c r="DT8" s="493">
        <f ca="1"/>
        <v>5.5727364585567152E-3</v>
      </c>
      <c r="DU8" s="493">
        <f ca="1"/>
        <v>-1.7858774093358898E-2</v>
      </c>
      <c r="DV8" s="493">
        <f ca="1"/>
        <v>-1.7051884233207804E-2</v>
      </c>
      <c r="DW8" s="493">
        <f ca="1"/>
        <v>-3.3433739689949782E-3</v>
      </c>
      <c r="DX8" s="493">
        <f ca="1"/>
        <v>2.9067835498520544E-2</v>
      </c>
      <c r="DY8" s="493">
        <f ca="1"/>
        <v>7.5345204047112535E-3</v>
      </c>
      <c r="DZ8" s="493">
        <f ca="1"/>
        <v>9.0043342897261347E-4</v>
      </c>
      <c r="EA8" s="493">
        <f ca="1"/>
        <v>4.7268346980160469E-3</v>
      </c>
      <c r="EB8" s="493">
        <f ca="1"/>
        <v>4.4010744692157822E-4</v>
      </c>
      <c r="EC8" s="493">
        <f ca="1"/>
        <v>2.5469494250781155E-2</v>
      </c>
      <c r="ED8" s="493">
        <f ca="1"/>
        <v>5.7691454268427034E-3</v>
      </c>
      <c r="EE8" s="493">
        <f ca="1"/>
        <v>-6.618523039813029E-4</v>
      </c>
      <c r="EF8" s="493">
        <f ca="1"/>
        <v>9.7724663703528947E-3</v>
      </c>
      <c r="EG8" s="493">
        <f ca="1"/>
        <v>1.2184812709517656E-2</v>
      </c>
      <c r="EH8" s="493">
        <f ca="1"/>
        <v>7.8910232410793757E-3</v>
      </c>
      <c r="EI8" s="493">
        <f ca="1"/>
        <v>2.4573534874416936E-3</v>
      </c>
      <c r="EJ8" s="493">
        <f ca="1"/>
        <v>1.2085625516631948E-2</v>
      </c>
      <c r="EK8" s="493">
        <f ca="1"/>
        <v>-1.999605711549779E-3</v>
      </c>
      <c r="EL8" s="493">
        <f ca="1"/>
        <v>-6.5470143357038157E-3</v>
      </c>
      <c r="EM8" s="493">
        <f ca="1"/>
        <v>1.0126690148846818E-2</v>
      </c>
      <c r="EN8" s="493">
        <f ca="1"/>
        <v>-3.8807103387185071E-3</v>
      </c>
      <c r="EO8" s="493">
        <f ca="1"/>
        <v>7.7493118780436188E-3</v>
      </c>
      <c r="EP8" s="493">
        <f ca="1"/>
        <v>1.7228338515840047E-3</v>
      </c>
      <c r="EQ8" s="493">
        <f ca="1"/>
        <v>-4.8659759218087073E-3</v>
      </c>
      <c r="ER8" s="493">
        <f ca="1"/>
        <v>-1.5456167713467917E-4</v>
      </c>
      <c r="ES8" s="493">
        <f ca="1"/>
        <v>9.9496894235362454E-3</v>
      </c>
      <c r="ET8" s="493">
        <f ca="1"/>
        <v>2.7690423844377587E-3</v>
      </c>
      <c r="EU8" s="493">
        <f ca="1"/>
        <v>-3.6633594671476866E-3</v>
      </c>
      <c r="EV8" s="493">
        <f ca="1"/>
        <v>8.0221723931421796E-3</v>
      </c>
      <c r="EW8" s="493">
        <f ca="1"/>
        <v>1.3899443193279737E-2</v>
      </c>
      <c r="EX8" s="493">
        <f ca="1"/>
        <v>-3.0661052287314083E-3</v>
      </c>
      <c r="EY8" s="493">
        <f ca="1"/>
        <v>8.2561032286283531E-3</v>
      </c>
      <c r="EZ8" s="493">
        <f ca="1"/>
        <v>2.2775955098830458E-3</v>
      </c>
      <c r="FA8" s="493">
        <f ca="1"/>
        <v>-1.5149465710807553E-3</v>
      </c>
      <c r="FB8" s="493">
        <f ca="1"/>
        <v>5.594841366604264E-3</v>
      </c>
      <c r="FC8" s="493">
        <f ca="1"/>
        <v>7.8942759763440673E-3</v>
      </c>
      <c r="FD8" s="493">
        <f ca="1"/>
        <v>-1.2029351617947825E-2</v>
      </c>
      <c r="FE8" s="493">
        <f ca="1"/>
        <v>-7.0349175426487331E-4</v>
      </c>
      <c r="FF8" s="493">
        <f ca="1"/>
        <v>-6.660800108305609E-3</v>
      </c>
      <c r="FG8" s="493">
        <f ca="1"/>
        <v>1.0249001676365888E-2</v>
      </c>
      <c r="FH8" s="493">
        <f ca="1"/>
        <v>1.9831365935918388E-3</v>
      </c>
      <c r="FI8" s="493">
        <f ca="1"/>
        <v>3.9314950452391528E-3</v>
      </c>
      <c r="FJ8" s="493">
        <f ca="1"/>
        <v>6.6385923501959265E-3</v>
      </c>
      <c r="FK8" s="493">
        <f ca="1"/>
        <v>-1.7319708495977526E-4</v>
      </c>
      <c r="FL8" s="493">
        <f ca="1"/>
        <v>5.5166164752284974E-3</v>
      </c>
      <c r="FM8" s="493">
        <f ca="1"/>
        <v>2.4913861648554469E-3</v>
      </c>
      <c r="FN8" s="493">
        <f ca="1"/>
        <v>2.723138747884768E-3</v>
      </c>
      <c r="FO8" s="493">
        <f ca="1"/>
        <v>1.3578717008992935E-3</v>
      </c>
      <c r="FP8" s="493">
        <f ca="1"/>
        <v>-7.0171281119580931E-3</v>
      </c>
      <c r="FQ8" s="493">
        <f ca="1"/>
        <v>3.7786380992788082E-3</v>
      </c>
      <c r="FR8" s="493">
        <f ca="1"/>
        <v>-2.5809348954549782E-2</v>
      </c>
      <c r="FS8" s="493">
        <f ca="1"/>
        <v>2.264253270964689E-3</v>
      </c>
      <c r="FT8" s="493">
        <f ca="1"/>
        <v>-2.935526636184238E-3</v>
      </c>
      <c r="FU8" s="493">
        <f ca="1"/>
        <v>-1.5765551862153226E-2</v>
      </c>
      <c r="FV8" s="493">
        <f ca="1"/>
        <v>1.6996815681733723E-2</v>
      </c>
      <c r="FW8" s="493">
        <f ca="1"/>
        <v>5.4082628497071905E-3</v>
      </c>
      <c r="FX8" s="493">
        <f ca="1"/>
        <v>1.7633973710819095E-2</v>
      </c>
      <c r="FY8" s="493">
        <f ca="1"/>
        <v>-5.9616072493143824E-3</v>
      </c>
      <c r="FZ8" s="493">
        <f ca="1"/>
        <v>-1.2487838684312247E-2</v>
      </c>
      <c r="GA8" s="493">
        <f ca="1"/>
        <v>7.8006909954653203E-3</v>
      </c>
      <c r="GB8" s="493">
        <f ca="1"/>
        <v>-3.1470123470016542E-3</v>
      </c>
      <c r="GC8" s="493">
        <f ca="1"/>
        <v>-1.4521957576001721E-2</v>
      </c>
      <c r="GD8" s="493">
        <f ca="1"/>
        <v>-4.6348046566158096E-4</v>
      </c>
      <c r="GE8" s="493">
        <f ca="1"/>
        <v>1.445638535813476E-3</v>
      </c>
      <c r="GF8" s="493">
        <f ca="1"/>
        <v>-7.2313768214625762E-3</v>
      </c>
      <c r="GG8" s="493">
        <f ca="1"/>
        <v>1.6474848763357475E-2</v>
      </c>
      <c r="GH8" s="493">
        <f ca="1"/>
        <v>7.7867746288797779E-3</v>
      </c>
      <c r="GI8" s="493">
        <f ca="1"/>
        <v>-1.35249139628002E-3</v>
      </c>
      <c r="GJ8" s="493">
        <f ca="1"/>
        <v>-1.3140956876207532E-3</v>
      </c>
      <c r="GK8" s="493">
        <f ca="1"/>
        <v>8.7274094363436472E-3</v>
      </c>
      <c r="GL8" s="493">
        <f ca="1"/>
        <v>-4.7518901075497277E-3</v>
      </c>
      <c r="GM8" s="493">
        <f ca="1"/>
        <v>-3.0894330689706928E-3</v>
      </c>
      <c r="GN8" s="493">
        <f ca="1"/>
        <v>8.4652535551381636E-3</v>
      </c>
      <c r="GO8" s="493">
        <f ca="1"/>
        <v>4.3101728060024325E-3</v>
      </c>
      <c r="GP8" s="493">
        <f ca="1"/>
        <v>-7.6561361679582385E-3</v>
      </c>
      <c r="GQ8" s="493">
        <f ca="1"/>
        <v>3.550595992898975E-3</v>
      </c>
      <c r="GR8" s="493">
        <f ca="1"/>
        <v>3.9636619980578658E-3</v>
      </c>
      <c r="GS8" s="493">
        <f ca="1"/>
        <v>-5.4185821597486639E-3</v>
      </c>
      <c r="GT8" s="493">
        <f ca="1"/>
        <v>-9.8971653878944243E-3</v>
      </c>
      <c r="GU8" s="493">
        <f ca="1"/>
        <v>-1.6144438913477943E-3</v>
      </c>
      <c r="GV8" s="493">
        <f ca="1"/>
        <v>8.3413063105552965E-3</v>
      </c>
      <c r="GW8" s="493">
        <f ca="1"/>
        <v>-1.1626663815683669E-3</v>
      </c>
      <c r="GX8" s="493">
        <f ca="1"/>
        <v>-1.2349312960757808E-2</v>
      </c>
      <c r="GY8" s="493">
        <f ca="1"/>
        <v>1.0160123547102717E-3</v>
      </c>
      <c r="GZ8" s="493">
        <f ca="1"/>
        <v>2.1652930588844654E-4</v>
      </c>
      <c r="HA8" s="493">
        <f ca="1"/>
        <v>2.3948368940183151E-3</v>
      </c>
      <c r="HB8" s="493">
        <f ca="1"/>
        <v>-1.5387522608859894E-2</v>
      </c>
      <c r="HC8" s="493">
        <f ca="1"/>
        <v>1.6765826775971382E-2</v>
      </c>
      <c r="HD8" s="493">
        <f ca="1"/>
        <v>7.1997734902720101E-3</v>
      </c>
      <c r="HE8" s="493">
        <f ca="1"/>
        <v>1.4243069220780891E-2</v>
      </c>
      <c r="HF8" s="493">
        <f ca="1"/>
        <v>1.8028957197724793E-2</v>
      </c>
      <c r="HG8" s="493">
        <f ca="1"/>
        <v>-1.9965514111989213E-3</v>
      </c>
      <c r="HH8" s="493">
        <f ca="1"/>
        <v>-1.5978383715039568E-3</v>
      </c>
      <c r="HI8" s="493">
        <f ca="1"/>
        <v>6.1153325700011862E-3</v>
      </c>
      <c r="HJ8" s="493">
        <f ca="1"/>
        <v>-2.9744199881021061E-4</v>
      </c>
      <c r="HK8" s="493">
        <f ca="1"/>
        <v>-3.1952188142763127E-3</v>
      </c>
      <c r="HL8" s="493">
        <f ca="1"/>
        <v>2.5046719269103956E-3</v>
      </c>
      <c r="HM8" s="493">
        <f ca="1"/>
        <v>6.9774366011210454E-3</v>
      </c>
      <c r="HN8" s="493">
        <f ca="1"/>
        <v>-1.9797398056254911E-3</v>
      </c>
      <c r="HO8" s="493">
        <f ca="1"/>
        <v>-4.7273101991396338E-3</v>
      </c>
      <c r="HP8" s="493">
        <f ca="1"/>
        <v>-6.7557948412645397E-3</v>
      </c>
      <c r="HQ8" s="493">
        <f ca="1"/>
        <v>2.0978565378850789E-3</v>
      </c>
      <c r="HR8" s="493">
        <f ca="1"/>
        <v>-8.3998647699787821E-3</v>
      </c>
      <c r="HS8" s="493">
        <f ca="1"/>
        <v>4.0912667191188579E-3</v>
      </c>
      <c r="HT8" s="493">
        <f ca="1"/>
        <v>-2.9384109073813391E-3</v>
      </c>
      <c r="HU8" s="493">
        <f ca="1"/>
        <v>3.1959343523648709E-3</v>
      </c>
      <c r="HV8" s="493">
        <f ca="1"/>
        <v>2.2195819352144319E-4</v>
      </c>
      <c r="HW8" s="493">
        <f ca="1"/>
        <v>6.5528404344192825E-3</v>
      </c>
      <c r="HX8" s="493">
        <f ca="1"/>
        <v>-2.2694851510828284E-3</v>
      </c>
      <c r="HY8" s="493">
        <f ca="1"/>
        <v>-2.989536621823663E-3</v>
      </c>
      <c r="HZ8" s="493">
        <f ca="1"/>
        <v>-6.8704778045759474E-3</v>
      </c>
      <c r="IA8" s="493">
        <f ca="1"/>
        <v>4.4369765549108209E-3</v>
      </c>
      <c r="IB8" s="493">
        <f ca="1"/>
        <v>1.0468398766271036E-2</v>
      </c>
      <c r="IC8" s="493">
        <f ca="1"/>
        <v>-3.8542623226456296E-3</v>
      </c>
      <c r="ID8" s="493">
        <f ca="1"/>
        <v>-5.4921512873447043E-3</v>
      </c>
      <c r="IE8" s="493">
        <f ca="1"/>
        <v>-4.6477622852368894E-3</v>
      </c>
      <c r="IF8" s="493">
        <f ca="1"/>
        <v>-5.9942287513116144E-3</v>
      </c>
      <c r="IG8" s="493">
        <f ca="1"/>
        <v>8.5243392317537747E-3</v>
      </c>
      <c r="IH8" s="493">
        <f ca="1"/>
        <v>-4.4616572243519892E-3</v>
      </c>
      <c r="II8" s="493">
        <f ca="1"/>
        <v>-4.58679423825048E-3</v>
      </c>
      <c r="IJ8" s="493">
        <f ca="1"/>
        <v>-4.4098813028955464E-3</v>
      </c>
      <c r="IK8" s="493">
        <f ca="1"/>
        <v>1.1338770638551932E-2</v>
      </c>
      <c r="IL8" s="493">
        <f ca="1"/>
        <v>-1.1932861264095651E-3</v>
      </c>
      <c r="IM8" s="493">
        <f ca="1"/>
        <v>1.5504995470598137E-2</v>
      </c>
      <c r="IN8" s="493">
        <f ca="1"/>
        <v>-1.5513897866836768E-4</v>
      </c>
      <c r="IO8" s="493">
        <f ca="1"/>
        <v>-7.2021515943003767E-3</v>
      </c>
      <c r="IP8" s="493">
        <f ca="1"/>
        <v>-8.2051549211392683E-4</v>
      </c>
      <c r="IQ8" s="493">
        <f ca="1"/>
        <v>5.4354910190568262E-3</v>
      </c>
      <c r="IR8" s="493">
        <f ca="1"/>
        <v>-7.441498671160951E-3</v>
      </c>
    </row>
    <row r="9" spans="1:252" x14ac:dyDescent="0.35">
      <c r="A9" s="495"/>
    </row>
    <row r="10" spans="1:252" x14ac:dyDescent="0.35">
      <c r="A10" s="495" t="s">
        <v>381</v>
      </c>
      <c r="B10" cm="1">
        <f t="array" aca="1" ref="B10" ca="1">SUM(--ISNUMBER('Price History'!B3:B18))</f>
        <v>15</v>
      </c>
    </row>
    <row r="11" spans="1:252" x14ac:dyDescent="0.35">
      <c r="A11" s="495" t="s">
        <v>382</v>
      </c>
      <c r="B11" s="493" cm="1">
        <f t="array" aca="1" ref="B11" ca="1">SUMPRODUCT(--ISNUMBER('Price History'!B3:B18),Dashboard!F7:F22)/SUM(Dashboard!F7:F22)</f>
        <v>0.97923596195703178</v>
      </c>
    </row>
    <row r="12" spans="1:252" x14ac:dyDescent="0.35">
      <c r="A12" s="495" t="s">
        <v>383</v>
      </c>
      <c r="B12">
        <f ca="1">COLUMNS(_xlfn.ANCHORARRAY(C6))</f>
        <v>250</v>
      </c>
    </row>
    <row r="13" spans="1:252" x14ac:dyDescent="0.35">
      <c r="A13" s="495" t="s">
        <v>384</v>
      </c>
      <c r="B13" s="493" cm="1">
        <f t="array" aca="1" ref="B13" ca="1">INDEX(_xlfn.ANCHORARRAY(B5),COLUMNS(_xlfn.ANCHORARRAY(B5)))/INDEX(_xlfn.ANCHORARRAY(B5),1)-1</f>
        <v>0.35728887205758664</v>
      </c>
    </row>
    <row r="14" spans="1:252" x14ac:dyDescent="0.35">
      <c r="A14" s="495" t="s">
        <v>385</v>
      </c>
      <c r="B14" s="493">
        <f ca="1">_xlfn.STDEV.S(_xlfn.ANCHORARRAY(C6))*SQRT(252)</f>
        <v>0.25966975456299846</v>
      </c>
    </row>
    <row r="15" spans="1:252" x14ac:dyDescent="0.35">
      <c r="A15" s="495" t="s">
        <v>386</v>
      </c>
      <c r="B15" s="493" cm="1">
        <f t="array" aca="1" ref="B15" ca="1">SQRT(SUMPRODUCT((_xlfn.ANCHORARRAY(C6)&lt;0)*_xlfn.ANCHORARRAY(C6)^2)/COLUMNS(_xlfn.ANCHORARRAY(C6)))*SQRT(252)</f>
        <v>0.17306874857223697</v>
      </c>
    </row>
    <row r="16" spans="1:252" x14ac:dyDescent="0.35">
      <c r="A16" s="495" t="s">
        <v>387</v>
      </c>
      <c r="B16" s="493" cm="1">
        <f t="array" aca="1" ref="B16" ca="1">MIN(_xlfn.ANCHORARRAY(B5)/_xlfn.SCAN(0,_xlfn.ANCHORARRAY(B5),_xlfn.LAMBDA(_xlpm.a,_xlpm.x,MAX(_xlpm.a,_xlpm.x)))-1)</f>
        <v>-0.14841702534464052</v>
      </c>
    </row>
    <row r="17" spans="1:2" x14ac:dyDescent="0.35">
      <c r="A17" s="495" t="s">
        <v>388</v>
      </c>
      <c r="B17" s="493">
        <f ca="1">-_xlfn.PERCENTILE.INC(_xlfn.ANCHORARRAY(C6),0.05)</f>
        <v>2.6712200231629745E-2</v>
      </c>
    </row>
    <row r="18" spans="1:2" x14ac:dyDescent="0.35">
      <c r="A18" s="495" t="s">
        <v>389</v>
      </c>
      <c r="B18" s="493" cm="1">
        <f t="array" aca="1" ref="B18" ca="1">INDEX(_xlfn.ANCHORARRAY(B7),COLUMNS(_xlfn.ANCHORARRAY(B7)))/INDEX(_xlfn.ANCHORARRAY(B7),1)-1</f>
        <v>0.15358305207328837</v>
      </c>
    </row>
    <row r="19" spans="1:2" x14ac:dyDescent="0.35">
      <c r="A19" s="495" t="s">
        <v>390</v>
      </c>
      <c r="B19" s="494">
        <f ca="1">SLOPE(_xlfn.ANCHORARRAY(C6),_xlfn.ANCHORARRAY(C8))</f>
        <v>1.6444221488829949</v>
      </c>
    </row>
    <row r="20" spans="1:2" x14ac:dyDescent="0.35">
      <c r="A20" s="495" t="s">
        <v>391</v>
      </c>
      <c r="B20" s="493" cm="1">
        <f t="array" aca="1" ref="B20" ca="1">_xlfn.STDEV.S(_xlfn.ANCHORARRAY(C6)-_xlfn.ANCHORARRAY(C8))*SQRT(252)</f>
        <v>0.16911892630799094</v>
      </c>
    </row>
    <row r="21" spans="1:2" x14ac:dyDescent="0.35">
      <c r="A21" s="495" t="s">
        <v>392</v>
      </c>
      <c r="B21" s="493">
        <f ca="1">B13-B18</f>
        <v>0.20370581998429826</v>
      </c>
    </row>
    <row r="22" spans="1:2" x14ac:dyDescent="0.35">
      <c r="A22" s="495" t="s">
        <v>393</v>
      </c>
      <c r="B22" s="494">
        <f ca="1">B21/B20</f>
        <v>1.2045122591029191</v>
      </c>
    </row>
    <row r="24" spans="1:2" x14ac:dyDescent="0.35">
      <c r="A24" s="495" t="s">
        <v>394</v>
      </c>
      <c r="B24" s="491">
        <f ca="1">TODAY()</f>
        <v>46294</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FECA4E-DCBB-4280-AAF8-932B1D246000}">
  <dimension ref="A1:IS26"/>
  <sheetViews>
    <sheetView topLeftCell="C1" workbookViewId="0">
      <selection activeCell="R32" sqref="R32"/>
    </sheetView>
  </sheetViews>
  <sheetFormatPr defaultRowHeight="14.5" x14ac:dyDescent="0.35"/>
  <cols>
    <col min="1" max="1" width="22.1796875" bestFit="1" customWidth="1"/>
    <col min="2" max="2" width="42.7265625" bestFit="1" customWidth="1"/>
  </cols>
  <sheetData>
    <row r="1" spans="1:253" x14ac:dyDescent="0.35">
      <c r="A1" s="2" t="s">
        <v>8</v>
      </c>
      <c r="B1" t="e" vm="18">
        <v>#VALUE!</v>
      </c>
    </row>
    <row r="3" spans="1:253" x14ac:dyDescent="0.35">
      <c r="A3" s="2" t="s">
        <v>35</v>
      </c>
      <c r="B3" s="2" t="s">
        <v>25</v>
      </c>
    </row>
    <row r="4" spans="1:253" x14ac:dyDescent="0.35">
      <c r="A4" t="s">
        <v>37</v>
      </c>
      <c r="B4" t="s">
        <v>17</v>
      </c>
      <c r="C4" cm="1" vm="4071">
        <f t="array" aca="1" ref="C4:IS4" ca="1">TRANSPOSE(_xlfn.STOCKHISTORY(A4&amp;":"&amp;B4,TODAY()-365,TODAY(),0,0,1))</f>
        <v>179.9</v>
      </c>
      <c r="D4" vm="4072">
        <f ca="1"/>
        <v>178.73</v>
      </c>
      <c r="E4" vm="4073">
        <f ca="1"/>
        <v>182.78</v>
      </c>
      <c r="F4" vm="4074">
        <f ca="1"/>
        <v>189.34</v>
      </c>
      <c r="G4" vm="4075">
        <f ca="1"/>
        <v>188.03</v>
      </c>
      <c r="H4" vm="1673">
        <f ca="1"/>
        <v>187.22</v>
      </c>
      <c r="I4" vm="4076">
        <f ca="1"/>
        <v>181.33</v>
      </c>
      <c r="J4" vm="4077">
        <f ca="1"/>
        <v>181.12</v>
      </c>
      <c r="K4" vm="4078">
        <f ca="1"/>
        <v>173.68</v>
      </c>
      <c r="L4" vm="4079">
        <f ca="1"/>
        <v>159.01</v>
      </c>
      <c r="M4" vm="4080">
        <f ca="1"/>
        <v>166.81</v>
      </c>
      <c r="N4" vm="4081">
        <f ca="1"/>
        <v>162.86000000000001</v>
      </c>
      <c r="O4" vm="4082">
        <f ca="1"/>
        <v>165.91</v>
      </c>
      <c r="P4" vm="4083">
        <f ca="1"/>
        <v>165.09</v>
      </c>
      <c r="Q4" vm="4084">
        <f ca="1"/>
        <v>167.05</v>
      </c>
      <c r="R4" vm="4085">
        <f ca="1"/>
        <v>173.47</v>
      </c>
      <c r="S4" vm="4086">
        <f ca="1"/>
        <v>166.67</v>
      </c>
      <c r="T4" vm="4087">
        <f ca="1"/>
        <v>165.86</v>
      </c>
      <c r="U4" vm="4088">
        <f ca="1"/>
        <v>171.9</v>
      </c>
      <c r="V4" vm="4089">
        <f ca="1"/>
        <v>174.7</v>
      </c>
      <c r="W4" vm="4090">
        <f ca="1"/>
        <v>179.45</v>
      </c>
      <c r="X4" vm="4091">
        <f ca="1"/>
        <v>176.72</v>
      </c>
      <c r="Y4" vm="4092">
        <f ca="1"/>
        <v>179.97</v>
      </c>
      <c r="Z4" vm="4093">
        <f ca="1"/>
        <v>173.93</v>
      </c>
      <c r="AA4" vm="4094">
        <f ca="1"/>
        <v>170.43</v>
      </c>
      <c r="AB4" vm="4095">
        <f ca="1"/>
        <v>167.69</v>
      </c>
      <c r="AC4" vm="4096">
        <f ca="1"/>
        <v>164.3</v>
      </c>
      <c r="AD4" vm="4097">
        <f ca="1"/>
        <v>164.82</v>
      </c>
      <c r="AE4" vm="4098">
        <f ca="1"/>
        <v>167.61</v>
      </c>
      <c r="AF4" vm="4099">
        <f ca="1"/>
        <v>166.34</v>
      </c>
      <c r="AG4" vm="4100">
        <f ca="1"/>
        <v>165.89</v>
      </c>
      <c r="AH4" vm="4101">
        <f ca="1"/>
        <v>160.80000000000001</v>
      </c>
      <c r="AI4" vm="4102">
        <f ca="1"/>
        <v>157.91</v>
      </c>
      <c r="AJ4" vm="4103">
        <f ca="1"/>
        <v>159.84</v>
      </c>
      <c r="AK4" vm="4104">
        <f ca="1"/>
        <v>153.80000000000001</v>
      </c>
      <c r="AL4" vm="4105">
        <f ca="1"/>
        <v>157.71</v>
      </c>
      <c r="AM4" vm="4106">
        <f ca="1"/>
        <v>159.72</v>
      </c>
      <c r="AN4" vm="4107">
        <f ca="1"/>
        <v>158.88999999999999</v>
      </c>
      <c r="AO4" vm="4108">
        <f ca="1"/>
        <v>153.28</v>
      </c>
      <c r="AP4" vm="4109">
        <f ca="1"/>
        <v>152.93</v>
      </c>
      <c r="AQ4" vm="4110">
        <f ca="1"/>
        <v>160.72999999999999</v>
      </c>
      <c r="AR4" vm="4111">
        <f ca="1"/>
        <v>157.01</v>
      </c>
      <c r="AS4" vm="4112">
        <f ca="1"/>
        <v>157.6</v>
      </c>
      <c r="AT4" vm="4113">
        <f ca="1"/>
        <v>157.30000000000001</v>
      </c>
      <c r="AU4" vm="4114">
        <f ca="1"/>
        <v>164.26</v>
      </c>
      <c r="AV4" vm="4115">
        <f ca="1"/>
        <v>161.13</v>
      </c>
      <c r="AW4" vm="4116">
        <f ca="1"/>
        <v>158.08000000000001</v>
      </c>
      <c r="AX4" vm="4117">
        <f ca="1"/>
        <v>157.44</v>
      </c>
      <c r="AY4" vm="4118">
        <f ca="1"/>
        <v>158.32</v>
      </c>
      <c r="AZ4" vm="4119">
        <f ca="1"/>
        <v>158.13</v>
      </c>
      <c r="BA4" vm="4120">
        <f ca="1"/>
        <v>155.96</v>
      </c>
      <c r="BB4" vm="4121">
        <f ca="1"/>
        <v>158.82</v>
      </c>
      <c r="BC4" vm="4122">
        <f ca="1"/>
        <v>156.9</v>
      </c>
      <c r="BD4" vm="4123">
        <f ca="1"/>
        <v>155.68</v>
      </c>
      <c r="BE4" vm="4124">
        <f ca="1"/>
        <v>150.09</v>
      </c>
      <c r="BF4" vm="4125">
        <f ca="1"/>
        <v>149.29</v>
      </c>
      <c r="BG4" vm="4126">
        <f ca="1"/>
        <v>147.09</v>
      </c>
      <c r="BH4" vm="4127">
        <f ca="1"/>
        <v>147.32</v>
      </c>
      <c r="BI4" vm="4128">
        <f ca="1"/>
        <v>149.79</v>
      </c>
      <c r="BJ4" vm="4129">
        <f ca="1"/>
        <v>150.96</v>
      </c>
      <c r="BK4" vm="4130">
        <f ca="1"/>
        <v>151.22999999999999</v>
      </c>
      <c r="BL4" vm="4131">
        <f ca="1"/>
        <v>150.06</v>
      </c>
      <c r="BM4" vm="4132">
        <f ca="1"/>
        <v>152.24</v>
      </c>
      <c r="BN4" vm="1552">
        <f ca="1"/>
        <v>148.49</v>
      </c>
      <c r="BO4" vm="4133">
        <f ca="1"/>
        <v>147.36000000000001</v>
      </c>
      <c r="BP4" vm="4134">
        <f ca="1"/>
        <v>146.58000000000001</v>
      </c>
      <c r="BQ4" vm="4135">
        <f ca="1"/>
        <v>155.74</v>
      </c>
      <c r="BR4" vm="4136">
        <f ca="1"/>
        <v>156.26</v>
      </c>
      <c r="BS4" vm="4137">
        <f ca="1"/>
        <v>150.9</v>
      </c>
      <c r="BT4" vm="1557">
        <f ca="1"/>
        <v>146.75</v>
      </c>
      <c r="BU4" vm="4138">
        <f ca="1"/>
        <v>154.47</v>
      </c>
      <c r="BV4" vm="4129">
        <f ca="1"/>
        <v>150.96</v>
      </c>
      <c r="BW4" vm="4139">
        <f ca="1"/>
        <v>166.31</v>
      </c>
      <c r="BX4" vm="4140">
        <f ca="1"/>
        <v>167.01</v>
      </c>
      <c r="BY4" vm="4141">
        <f ca="1"/>
        <v>169.9</v>
      </c>
      <c r="BZ4" vm="4142">
        <f ca="1"/>
        <v>170.93</v>
      </c>
      <c r="CA4" vm="4143">
        <f ca="1"/>
        <v>165.4</v>
      </c>
      <c r="CB4" vm="4144">
        <f ca="1"/>
        <v>162.38999999999999</v>
      </c>
      <c r="CC4" vm="4145">
        <f ca="1"/>
        <v>168.67</v>
      </c>
      <c r="CD4" vm="4146">
        <f ca="1"/>
        <v>177.18</v>
      </c>
      <c r="CE4" vm="4147">
        <f ca="1"/>
        <v>173.23</v>
      </c>
      <c r="CF4" vm="4148">
        <f ca="1"/>
        <v>171.37</v>
      </c>
      <c r="CG4" vm="4149">
        <f ca="1"/>
        <v>172.72</v>
      </c>
      <c r="CH4" vm="4150">
        <f ca="1"/>
        <v>175.66</v>
      </c>
      <c r="CI4" vm="4151">
        <f ca="1"/>
        <v>174.25</v>
      </c>
      <c r="CJ4" vm="4152">
        <f ca="1"/>
        <v>169.56</v>
      </c>
      <c r="CK4" vm="4153">
        <f ca="1"/>
        <v>168.39</v>
      </c>
      <c r="CL4" vm="4154">
        <f ca="1"/>
        <v>163.65</v>
      </c>
      <c r="CM4" vm="4155">
        <f ca="1"/>
        <v>159.13999999999999</v>
      </c>
      <c r="CN4" vm="4156">
        <f ca="1"/>
        <v>157.76</v>
      </c>
      <c r="CO4" vm="4157">
        <f ca="1"/>
        <v>162.51</v>
      </c>
      <c r="CP4" vm="4158">
        <f ca="1"/>
        <v>163</v>
      </c>
      <c r="CQ4" vm="4159">
        <f ca="1"/>
        <v>166.51</v>
      </c>
      <c r="CR4" vm="4160">
        <f ca="1"/>
        <v>164.32</v>
      </c>
      <c r="CS4" vm="4161">
        <f ca="1"/>
        <v>158.72999999999999</v>
      </c>
      <c r="CT4" vm="4162">
        <f ca="1"/>
        <v>155.72999999999999</v>
      </c>
      <c r="CU4" vm="4163">
        <f ca="1"/>
        <v>155.43</v>
      </c>
      <c r="CV4" vm="4164">
        <f ca="1"/>
        <v>155.77000000000001</v>
      </c>
      <c r="CW4" vm="4165">
        <f ca="1"/>
        <v>154.27000000000001</v>
      </c>
      <c r="CX4" vm="4166">
        <f ca="1"/>
        <v>154.44999999999999</v>
      </c>
      <c r="CY4" vm="4167">
        <f ca="1"/>
        <v>152.78</v>
      </c>
      <c r="CZ4" vm="4168">
        <f ca="1"/>
        <v>153.11000000000001</v>
      </c>
      <c r="DA4" vm="4169">
        <f ca="1"/>
        <v>152.28</v>
      </c>
      <c r="DB4" vm="4170">
        <f ca="1"/>
        <v>148.05000000000001</v>
      </c>
      <c r="DC4" vm="4171">
        <f ca="1"/>
        <v>144.11000000000001</v>
      </c>
      <c r="DD4" vm="4172">
        <f ca="1"/>
        <v>142.56</v>
      </c>
      <c r="DE4" vm="4173">
        <f ca="1"/>
        <v>135.59</v>
      </c>
      <c r="DF4" vm="1935">
        <f ca="1"/>
        <v>133.27000000000001</v>
      </c>
      <c r="DG4" vm="3661">
        <f ca="1"/>
        <v>130.35</v>
      </c>
      <c r="DH4" vm="3657">
        <f ca="1"/>
        <v>130.79</v>
      </c>
      <c r="DI4" vm="4174">
        <f ca="1"/>
        <v>132.63999999999999</v>
      </c>
      <c r="DJ4" vm="4175">
        <f ca="1"/>
        <v>136.85</v>
      </c>
      <c r="DK4" vm="4176">
        <f ca="1"/>
        <v>136.29</v>
      </c>
      <c r="DL4" vm="3666">
        <f ca="1"/>
        <v>134.19999999999999</v>
      </c>
      <c r="DM4" vm="4177">
        <f ca="1"/>
        <v>135.21</v>
      </c>
      <c r="DN4" vm="4178">
        <f ca="1"/>
        <v>136.71</v>
      </c>
      <c r="DO4" vm="4179">
        <f ca="1"/>
        <v>136.57</v>
      </c>
      <c r="DP4" vm="4180">
        <f ca="1"/>
        <v>134.43</v>
      </c>
      <c r="DQ4" vm="4181">
        <f ca="1"/>
        <v>124.9</v>
      </c>
      <c r="DR4" vm="1899">
        <f ca="1"/>
        <v>122.41</v>
      </c>
      <c r="DS4" vm="4182">
        <f ca="1"/>
        <v>126.06</v>
      </c>
      <c r="DT4" vm="4183">
        <f ca="1"/>
        <v>125.48</v>
      </c>
      <c r="DU4" vm="4184">
        <f ca="1"/>
        <v>129.87</v>
      </c>
      <c r="DV4" vm="4185">
        <f ca="1"/>
        <v>125.41</v>
      </c>
      <c r="DW4" vm="1832">
        <f ca="1"/>
        <v>122.69</v>
      </c>
      <c r="DX4" vm="3628">
        <f ca="1"/>
        <v>121.98</v>
      </c>
      <c r="DY4" vm="4186">
        <f ca="1"/>
        <v>125.46</v>
      </c>
      <c r="DZ4" vm="4187">
        <f ca="1"/>
        <v>123.73</v>
      </c>
      <c r="EA4" vm="3632">
        <f ca="1"/>
        <v>122.05</v>
      </c>
      <c r="EB4" vm="4188">
        <f ca="1"/>
        <v>122.31</v>
      </c>
      <c r="EC4" vm="4189">
        <f ca="1"/>
        <v>119.72</v>
      </c>
      <c r="ED4" vm="4190">
        <f ca="1"/>
        <v>125.32</v>
      </c>
      <c r="EE4" vm="4191">
        <f ca="1"/>
        <v>127.68</v>
      </c>
      <c r="EF4" vm="4192">
        <f ca="1"/>
        <v>127.33</v>
      </c>
      <c r="EG4" vm="1890">
        <f ca="1"/>
        <v>128.01</v>
      </c>
      <c r="EH4" vm="4193">
        <f ca="1"/>
        <v>131.35</v>
      </c>
      <c r="EI4" vm="1911">
        <f ca="1"/>
        <v>133.28</v>
      </c>
      <c r="EJ4" vm="4194">
        <f ca="1"/>
        <v>138.59</v>
      </c>
      <c r="EK4" vm="4195">
        <f ca="1"/>
        <v>141.01</v>
      </c>
      <c r="EL4" vm="4196">
        <f ca="1"/>
        <v>140.16999999999999</v>
      </c>
      <c r="EM4" vm="4197">
        <f ca="1"/>
        <v>135.38</v>
      </c>
      <c r="EN4" vm="4198">
        <f ca="1"/>
        <v>136.41999999999999</v>
      </c>
      <c r="EO4" vm="4199">
        <f ca="1"/>
        <v>131.69999999999999</v>
      </c>
      <c r="EP4" vm="4200">
        <f ca="1"/>
        <v>135.82</v>
      </c>
      <c r="EQ4" vm="4201">
        <f ca="1"/>
        <v>132.52000000000001</v>
      </c>
      <c r="ER4" vm="3667">
        <f ca="1"/>
        <v>130.85</v>
      </c>
      <c r="ES4" vm="3660">
        <f ca="1"/>
        <v>130.43</v>
      </c>
      <c r="ET4" vm="1942">
        <f ca="1"/>
        <v>131.88</v>
      </c>
      <c r="EU4" vm="4202">
        <f ca="1"/>
        <v>131.5</v>
      </c>
      <c r="EV4" vm="1935">
        <f ca="1"/>
        <v>133.27000000000001</v>
      </c>
      <c r="EW4" vm="4203">
        <f ca="1"/>
        <v>132.26</v>
      </c>
      <c r="EX4" vm="4204">
        <f ca="1"/>
        <v>141.44</v>
      </c>
      <c r="EY4" vm="4205">
        <f ca="1"/>
        <v>141</v>
      </c>
      <c r="EZ4" vm="4206">
        <f ca="1"/>
        <v>140.06</v>
      </c>
      <c r="FA4" vm="4207">
        <f ca="1"/>
        <v>137.30000000000001</v>
      </c>
      <c r="FB4" vm="4208">
        <f ca="1"/>
        <v>134.78</v>
      </c>
      <c r="FC4" vm="4209">
        <f ca="1"/>
        <v>145.81</v>
      </c>
      <c r="FD4" vm="4210">
        <f ca="1"/>
        <v>141.12</v>
      </c>
      <c r="FE4" vm="4211">
        <f ca="1"/>
        <v>132.59</v>
      </c>
      <c r="FF4" vm="4212">
        <f ca="1"/>
        <v>133.26</v>
      </c>
      <c r="FG4" vm="4213">
        <f ca="1"/>
        <v>135.63999999999999</v>
      </c>
      <c r="FH4" vm="4214">
        <f ca="1"/>
        <v>134.47</v>
      </c>
      <c r="FI4" vm="3662">
        <f ca="1"/>
        <v>131.47</v>
      </c>
      <c r="FJ4" vm="4215">
        <f ca="1"/>
        <v>130</v>
      </c>
      <c r="FK4" vm="4216">
        <f ca="1"/>
        <v>129.47</v>
      </c>
      <c r="FL4" vm="4217">
        <f ca="1"/>
        <v>127.76</v>
      </c>
      <c r="FM4" vm="4218">
        <f ca="1"/>
        <v>126.16</v>
      </c>
      <c r="FN4" vm="4219">
        <f ca="1"/>
        <v>124.22</v>
      </c>
      <c r="FO4" vm="4220">
        <f ca="1"/>
        <v>125.4</v>
      </c>
      <c r="FP4" vm="4221">
        <f ca="1"/>
        <v>130.82</v>
      </c>
      <c r="FQ4" vm="4222">
        <f ca="1"/>
        <v>127.21</v>
      </c>
      <c r="FR4" vm="4223">
        <f ca="1"/>
        <v>125.95</v>
      </c>
      <c r="FS4" vm="4224">
        <f ca="1"/>
        <v>121.06</v>
      </c>
      <c r="FT4" vm="4225">
        <f ca="1"/>
        <v>120.07</v>
      </c>
      <c r="FU4" vm="3588">
        <f ca="1"/>
        <v>119.7</v>
      </c>
      <c r="FV4" vm="4226">
        <f ca="1"/>
        <v>115.38</v>
      </c>
      <c r="FW4" vm="4227">
        <f ca="1"/>
        <v>112.69</v>
      </c>
      <c r="FX4" vm="4228">
        <f ca="1"/>
        <v>112.82</v>
      </c>
      <c r="FY4" vm="4229">
        <f ca="1"/>
        <v>112.55</v>
      </c>
      <c r="FZ4" vm="4230">
        <f ca="1"/>
        <v>110.97</v>
      </c>
      <c r="GA4" vm="3741">
        <f ca="1"/>
        <v>107.44</v>
      </c>
      <c r="GB4" vm="4231">
        <f ca="1"/>
        <v>107.1</v>
      </c>
      <c r="GC4" vm="4232">
        <f ca="1"/>
        <v>104.97</v>
      </c>
      <c r="GD4" vm="4233">
        <f ca="1"/>
        <v>102.6</v>
      </c>
      <c r="GE4" vm="4234">
        <f ca="1"/>
        <v>99.8</v>
      </c>
      <c r="GF4" vm="4235">
        <f ca="1"/>
        <v>95.07</v>
      </c>
      <c r="GG4" vm="4236">
        <f ca="1"/>
        <v>94.81</v>
      </c>
      <c r="GH4" vm="4237">
        <f ca="1"/>
        <v>95.51</v>
      </c>
      <c r="GI4" vm="4238">
        <f ca="1"/>
        <v>95.98</v>
      </c>
      <c r="GJ4" vm="4239">
        <f ca="1"/>
        <v>97.99</v>
      </c>
      <c r="GK4" vm="4240">
        <f ca="1"/>
        <v>96.14</v>
      </c>
      <c r="GL4" vm="4241">
        <f ca="1"/>
        <v>97.91</v>
      </c>
      <c r="GM4" vm="4242">
        <f ca="1"/>
        <v>98.14</v>
      </c>
      <c r="GN4" vm="4243">
        <f ca="1"/>
        <v>108.98</v>
      </c>
      <c r="GO4" vm="4244">
        <f ca="1"/>
        <v>111.14</v>
      </c>
      <c r="GP4" vm="4245">
        <f ca="1"/>
        <v>112.33</v>
      </c>
      <c r="GQ4" vm="4246">
        <f ca="1"/>
        <v>112.35</v>
      </c>
      <c r="GR4" vm="4247">
        <f ca="1"/>
        <v>112.32</v>
      </c>
      <c r="GS4" vm="4248">
        <f ca="1"/>
        <v>117.69</v>
      </c>
      <c r="GT4" vm="4249">
        <f ca="1"/>
        <v>117.49</v>
      </c>
      <c r="GU4" vm="4250">
        <f ca="1"/>
        <v>114.97</v>
      </c>
      <c r="GV4" vm="4251">
        <f ca="1"/>
        <v>120.34</v>
      </c>
      <c r="GW4" vm="3584">
        <f ca="1"/>
        <v>117.97</v>
      </c>
      <c r="GX4" vm="4252">
        <f ca="1"/>
        <v>116.56</v>
      </c>
      <c r="GY4" vm="4253">
        <f ca="1"/>
        <v>114.06</v>
      </c>
      <c r="GZ4" vm="4254">
        <f ca="1"/>
        <v>112.14</v>
      </c>
      <c r="HA4" vm="4255">
        <f ca="1"/>
        <v>115</v>
      </c>
      <c r="HB4" vm="4256">
        <f ca="1"/>
        <v>115.19</v>
      </c>
      <c r="HC4" vm="4257">
        <f ca="1"/>
        <v>115.03</v>
      </c>
      <c r="HD4" vm="4258">
        <f ca="1"/>
        <v>116.32</v>
      </c>
      <c r="HE4" vm="4259">
        <f ca="1"/>
        <v>122.25</v>
      </c>
      <c r="HF4" vm="4260">
        <f ca="1"/>
        <v>127.3</v>
      </c>
      <c r="HG4" vm="4261">
        <f ca="1"/>
        <v>128.99</v>
      </c>
      <c r="HH4" vm="1886">
        <f ca="1"/>
        <v>128.53</v>
      </c>
      <c r="HI4" vm="4262">
        <f ca="1"/>
        <v>126.81</v>
      </c>
      <c r="HJ4" vm="4263">
        <f ca="1"/>
        <v>128.41</v>
      </c>
      <c r="HK4" vm="1946">
        <f ca="1"/>
        <v>132.32</v>
      </c>
      <c r="HL4" vm="4264">
        <f ca="1"/>
        <v>127.85</v>
      </c>
      <c r="HM4" vm="1901">
        <f ca="1"/>
        <v>125.22</v>
      </c>
      <c r="HN4" vm="4265">
        <f ca="1"/>
        <v>122.16</v>
      </c>
      <c r="HO4" vm="4266">
        <f ca="1"/>
        <v>123.81</v>
      </c>
      <c r="HP4" vm="4267">
        <f ca="1"/>
        <v>124.71</v>
      </c>
      <c r="HQ4" vm="4268">
        <f ca="1"/>
        <v>128.15</v>
      </c>
      <c r="HR4" vm="4269">
        <f ca="1"/>
        <v>128.9</v>
      </c>
      <c r="HS4" vm="4270">
        <f ca="1"/>
        <v>130.53</v>
      </c>
      <c r="HT4" vm="4271">
        <f ca="1"/>
        <v>119.34</v>
      </c>
      <c r="HU4" vm="4272">
        <f ca="1"/>
        <v>118.47</v>
      </c>
      <c r="HV4" vm="4273">
        <f ca="1"/>
        <v>119.44</v>
      </c>
      <c r="HW4" vm="3679">
        <f ca="1"/>
        <v>119.83</v>
      </c>
      <c r="HX4" vm="4274">
        <f ca="1"/>
        <v>116.31</v>
      </c>
      <c r="HY4" vm="3672">
        <f ca="1"/>
        <v>118.9</v>
      </c>
      <c r="HZ4" vm="4275">
        <f ca="1"/>
        <v>114.02</v>
      </c>
      <c r="IA4" vm="4276">
        <f ca="1"/>
        <v>112.85</v>
      </c>
      <c r="IB4" vm="4277">
        <f ca="1"/>
        <v>111.81</v>
      </c>
      <c r="IC4" vm="4277">
        <f ca="1"/>
        <v>111.81</v>
      </c>
      <c r="ID4" vm="4278">
        <f ca="1"/>
        <v>113.24</v>
      </c>
      <c r="IE4" vm="3715">
        <f ca="1"/>
        <v>112.66</v>
      </c>
      <c r="IF4" vm="4279">
        <f ca="1"/>
        <v>109.4</v>
      </c>
      <c r="IG4" vm="4280">
        <f ca="1"/>
        <v>108.56</v>
      </c>
      <c r="IH4" vm="4281">
        <f ca="1"/>
        <v>109.3</v>
      </c>
      <c r="II4" vm="4282">
        <f ca="1"/>
        <v>109.23</v>
      </c>
      <c r="IJ4" vm="4283">
        <f ca="1"/>
        <v>109.34</v>
      </c>
      <c r="IK4" vm="1866">
        <f ca="1"/>
        <v>107.27</v>
      </c>
      <c r="IL4" vm="4284">
        <f ca="1"/>
        <v>108.54</v>
      </c>
      <c r="IM4" vm="4278">
        <f ca="1"/>
        <v>113.24</v>
      </c>
      <c r="IN4" vm="3673">
        <f ca="1"/>
        <v>115.75</v>
      </c>
      <c r="IO4" vm="4274">
        <f ca="1"/>
        <v>116.31</v>
      </c>
      <c r="IP4" vm="4285">
        <f ca="1"/>
        <v>110.8</v>
      </c>
      <c r="IQ4" vm="4286">
        <f ca="1"/>
        <v>110.63</v>
      </c>
      <c r="IR4" vm="4287">
        <f ca="1"/>
        <v>109.74</v>
      </c>
      <c r="IS4" vm="4288">
        <f ca="1"/>
        <v>108.76</v>
      </c>
    </row>
    <row r="6" spans="1:253" x14ac:dyDescent="0.35">
      <c r="A6" t="str" cm="1">
        <f t="array" aca="1" ref="A6:F26" ca="1">_xlfn.STOCKHISTORY(A4&amp;":"&amp;B4,TODAY()-30,TODAY(),0,1,0,5,2,3,4,1)</f>
        <v>Date</v>
      </c>
      <c r="B6" t="str">
        <f ca="1"/>
        <v>Volume</v>
      </c>
      <c r="C6" t="str">
        <f ca="1"/>
        <v>Open</v>
      </c>
      <c r="D6" t="str">
        <f ca="1"/>
        <v>High</v>
      </c>
      <c r="E6" t="str">
        <f ca="1"/>
        <v>Low</v>
      </c>
      <c r="F6" t="str">
        <f ca="1"/>
        <v>Close</v>
      </c>
    </row>
    <row r="7" spans="1:253" x14ac:dyDescent="0.35">
      <c r="A7" vm="257">
        <f ca="1"/>
        <v>46265</v>
      </c>
      <c r="B7" vm="4289">
        <f ca="1"/>
        <v>9340068</v>
      </c>
      <c r="C7" vm="4290">
        <f ca="1"/>
        <v>116.67</v>
      </c>
      <c r="D7" vm="4291">
        <f ca="1"/>
        <v>116.82680000000001</v>
      </c>
      <c r="E7" vm="4292">
        <f ca="1"/>
        <v>113.93</v>
      </c>
      <c r="F7" vm="4275">
        <f ca="1"/>
        <v>114.02</v>
      </c>
    </row>
    <row r="8" spans="1:253" x14ac:dyDescent="0.35">
      <c r="A8" vm="258">
        <f ca="1"/>
        <v>46266</v>
      </c>
      <c r="B8" vm="4293">
        <f ca="1"/>
        <v>9865205</v>
      </c>
      <c r="C8" vm="4294">
        <f ca="1"/>
        <v>112.175</v>
      </c>
      <c r="D8" vm="4295">
        <f ca="1"/>
        <v>113.855</v>
      </c>
      <c r="E8" vm="4296">
        <f ca="1"/>
        <v>112.0655</v>
      </c>
      <c r="F8" vm="4276">
        <f ca="1"/>
        <v>112.85</v>
      </c>
    </row>
    <row r="9" spans="1:253" x14ac:dyDescent="0.35">
      <c r="A9" vm="259">
        <f ca="1"/>
        <v>46267</v>
      </c>
      <c r="B9" vm="4297">
        <f ca="1"/>
        <v>6875197</v>
      </c>
      <c r="C9" vm="4298">
        <f ca="1"/>
        <v>112.52</v>
      </c>
      <c r="D9" vm="3582">
        <f ca="1"/>
        <v>113.07</v>
      </c>
      <c r="E9" vm="3560">
        <f ca="1"/>
        <v>111.53</v>
      </c>
      <c r="F9" vm="4277">
        <f ca="1"/>
        <v>111.81</v>
      </c>
    </row>
    <row r="10" spans="1:253" x14ac:dyDescent="0.35">
      <c r="A10" vm="260">
        <f ca="1"/>
        <v>46268</v>
      </c>
      <c r="B10" vm="4299">
        <f ca="1"/>
        <v>8604955</v>
      </c>
      <c r="C10" vm="3703">
        <f ca="1"/>
        <v>110.39</v>
      </c>
      <c r="D10" vm="4300">
        <f ca="1"/>
        <v>112.06</v>
      </c>
      <c r="E10" vm="4301">
        <f ca="1"/>
        <v>109.67</v>
      </c>
      <c r="F10" vm="4277">
        <f ca="1"/>
        <v>111.81</v>
      </c>
    </row>
    <row r="11" spans="1:253" x14ac:dyDescent="0.35">
      <c r="A11" vm="261">
        <f ca="1"/>
        <v>46269</v>
      </c>
      <c r="B11" vm="4302">
        <f ca="1"/>
        <v>7182522</v>
      </c>
      <c r="C11" vm="4303">
        <f ca="1"/>
        <v>112.37</v>
      </c>
      <c r="D11" vm="1867">
        <f ca="1"/>
        <v>113.41</v>
      </c>
      <c r="E11" vm="4304">
        <f ca="1"/>
        <v>111.97</v>
      </c>
      <c r="F11" vm="4278">
        <f ca="1"/>
        <v>113.24</v>
      </c>
    </row>
    <row r="12" spans="1:253" x14ac:dyDescent="0.35">
      <c r="A12" vm="262">
        <f ca="1"/>
        <v>46273</v>
      </c>
      <c r="B12" vm="4305">
        <f ca="1"/>
        <v>6965707</v>
      </c>
      <c r="C12" vm="4306">
        <f ca="1"/>
        <v>112.56</v>
      </c>
      <c r="D12" vm="4307">
        <f ca="1"/>
        <v>113.11499999999999</v>
      </c>
      <c r="E12" vm="4308">
        <f ca="1"/>
        <v>111.2683</v>
      </c>
      <c r="F12" vm="3715">
        <f ca="1"/>
        <v>112.66</v>
      </c>
    </row>
    <row r="13" spans="1:253" x14ac:dyDescent="0.35">
      <c r="A13" vm="263">
        <f ca="1"/>
        <v>46274</v>
      </c>
      <c r="B13" vm="4309">
        <f ca="1"/>
        <v>9100923</v>
      </c>
      <c r="C13" vm="4310">
        <f ca="1"/>
        <v>111.69</v>
      </c>
      <c r="D13" vm="1796">
        <f ca="1"/>
        <v>111.8</v>
      </c>
      <c r="E13" vm="4311">
        <f ca="1"/>
        <v>109.39</v>
      </c>
      <c r="F13" vm="4279">
        <f ca="1"/>
        <v>109.4</v>
      </c>
    </row>
    <row r="14" spans="1:253" x14ac:dyDescent="0.35">
      <c r="A14" vm="264">
        <f ca="1"/>
        <v>46275</v>
      </c>
      <c r="B14" vm="4312">
        <f ca="1"/>
        <v>6572796</v>
      </c>
      <c r="C14" vm="4313">
        <f ca="1"/>
        <v>108.63</v>
      </c>
      <c r="D14" vm="1854">
        <f ca="1"/>
        <v>109.19</v>
      </c>
      <c r="E14" vm="4314">
        <f ca="1"/>
        <v>107.72</v>
      </c>
      <c r="F14" vm="4280">
        <f ca="1"/>
        <v>108.56</v>
      </c>
    </row>
    <row r="15" spans="1:253" x14ac:dyDescent="0.35">
      <c r="A15" vm="265">
        <f ca="1"/>
        <v>46276</v>
      </c>
      <c r="B15" vm="4315">
        <f ca="1"/>
        <v>4882700</v>
      </c>
      <c r="C15" vm="4316">
        <f ca="1"/>
        <v>109.57</v>
      </c>
      <c r="D15" vm="4317">
        <f ca="1"/>
        <v>110.69</v>
      </c>
      <c r="E15" vm="4318">
        <f ca="1"/>
        <v>109</v>
      </c>
      <c r="F15" vm="4281">
        <f ca="1"/>
        <v>109.3</v>
      </c>
    </row>
    <row r="16" spans="1:253" x14ac:dyDescent="0.35">
      <c r="A16" vm="266">
        <f ca="1"/>
        <v>46279</v>
      </c>
      <c r="B16" vm="4319">
        <f ca="1"/>
        <v>6946666</v>
      </c>
      <c r="C16" vm="4320">
        <f ca="1"/>
        <v>108.28</v>
      </c>
      <c r="D16" vm="4321">
        <f ca="1"/>
        <v>110.435</v>
      </c>
      <c r="E16" vm="4322">
        <f ca="1"/>
        <v>107.83</v>
      </c>
      <c r="F16" vm="4282">
        <f ca="1"/>
        <v>109.23</v>
      </c>
    </row>
    <row r="17" spans="1:6" x14ac:dyDescent="0.35">
      <c r="A17" vm="267">
        <f ca="1"/>
        <v>46280</v>
      </c>
      <c r="B17" vm="4323">
        <f ca="1"/>
        <v>6739481</v>
      </c>
      <c r="C17" vm="4324">
        <f ca="1"/>
        <v>109.76</v>
      </c>
      <c r="D17" vm="4325">
        <f ca="1"/>
        <v>111.25</v>
      </c>
      <c r="E17" vm="4326">
        <f ca="1"/>
        <v>109.28</v>
      </c>
      <c r="F17" vm="4283">
        <f ca="1"/>
        <v>109.34</v>
      </c>
    </row>
    <row r="18" spans="1:6" x14ac:dyDescent="0.35">
      <c r="A18" vm="268">
        <f ca="1"/>
        <v>46281</v>
      </c>
      <c r="B18" vm="4327">
        <f ca="1"/>
        <v>7345873</v>
      </c>
      <c r="C18" vm="4328">
        <f ca="1"/>
        <v>108.6</v>
      </c>
      <c r="D18" vm="4313">
        <f ca="1"/>
        <v>108.63</v>
      </c>
      <c r="E18" vm="4329">
        <f ca="1"/>
        <v>106.64</v>
      </c>
      <c r="F18" vm="1866">
        <f ca="1"/>
        <v>107.27</v>
      </c>
    </row>
    <row r="19" spans="1:6" x14ac:dyDescent="0.35">
      <c r="A19" vm="269">
        <f ca="1"/>
        <v>46282</v>
      </c>
      <c r="B19" vm="4330">
        <f ca="1"/>
        <v>8725550</v>
      </c>
      <c r="C19" vm="4331">
        <f ca="1"/>
        <v>107.965</v>
      </c>
      <c r="D19" vm="4332">
        <f ca="1"/>
        <v>109.14</v>
      </c>
      <c r="E19" vm="4333">
        <f ca="1"/>
        <v>107.31</v>
      </c>
      <c r="F19" vm="4284">
        <f ca="1"/>
        <v>108.54</v>
      </c>
    </row>
    <row r="20" spans="1:6" x14ac:dyDescent="0.35">
      <c r="A20" vm="270">
        <f ca="1"/>
        <v>46283</v>
      </c>
      <c r="B20" vm="4334">
        <f ca="1"/>
        <v>13250900</v>
      </c>
      <c r="C20" vm="4335">
        <f ca="1"/>
        <v>110.99</v>
      </c>
      <c r="D20" vm="4336">
        <f ca="1"/>
        <v>113.77</v>
      </c>
      <c r="E20" vm="4337">
        <f ca="1"/>
        <v>110.85</v>
      </c>
      <c r="F20" vm="4278">
        <f ca="1"/>
        <v>113.24</v>
      </c>
    </row>
    <row r="21" spans="1:6" x14ac:dyDescent="0.35">
      <c r="A21" vm="271">
        <f ca="1"/>
        <v>46286</v>
      </c>
      <c r="B21" vm="4338">
        <f ca="1"/>
        <v>9540664</v>
      </c>
      <c r="C21" vm="4339">
        <f ca="1"/>
        <v>115.12</v>
      </c>
      <c r="D21" vm="4340">
        <f ca="1"/>
        <v>116.2</v>
      </c>
      <c r="E21" vm="4341">
        <f ca="1"/>
        <v>113.35</v>
      </c>
      <c r="F21" vm="3673">
        <f ca="1"/>
        <v>115.75</v>
      </c>
    </row>
    <row r="22" spans="1:6" x14ac:dyDescent="0.35">
      <c r="A22" vm="272">
        <f ca="1"/>
        <v>46287</v>
      </c>
      <c r="B22" vm="4342">
        <f ca="1"/>
        <v>14786015</v>
      </c>
      <c r="C22" vm="4343">
        <f ca="1"/>
        <v>120.15</v>
      </c>
      <c r="D22" vm="4344">
        <f ca="1"/>
        <v>120.4</v>
      </c>
      <c r="E22" vm="4345">
        <f ca="1"/>
        <v>116.06</v>
      </c>
      <c r="F22" vm="4274">
        <f ca="1"/>
        <v>116.31</v>
      </c>
    </row>
    <row r="23" spans="1:6" x14ac:dyDescent="0.35">
      <c r="A23" vm="273">
        <f ca="1"/>
        <v>46288</v>
      </c>
      <c r="B23" vm="4346">
        <f ca="1"/>
        <v>12223741</v>
      </c>
      <c r="C23" vm="4347">
        <f ca="1"/>
        <v>112</v>
      </c>
      <c r="D23" vm="4348">
        <f ca="1"/>
        <v>112.28</v>
      </c>
      <c r="E23" vm="4349">
        <f ca="1"/>
        <v>110.59099999999999</v>
      </c>
      <c r="F23" vm="4285">
        <f ca="1"/>
        <v>110.8</v>
      </c>
    </row>
    <row r="24" spans="1:6" x14ac:dyDescent="0.35">
      <c r="A24" vm="274">
        <f ca="1"/>
        <v>46289</v>
      </c>
      <c r="B24" vm="4350">
        <f ca="1"/>
        <v>7453523</v>
      </c>
      <c r="C24" vm="3575">
        <f ca="1"/>
        <v>111.61</v>
      </c>
      <c r="D24" vm="4351">
        <f ca="1"/>
        <v>111.98</v>
      </c>
      <c r="E24" vm="3742">
        <f ca="1"/>
        <v>110.12</v>
      </c>
      <c r="F24" vm="4286">
        <f ca="1"/>
        <v>110.63</v>
      </c>
    </row>
    <row r="25" spans="1:6" x14ac:dyDescent="0.35">
      <c r="A25" vm="275">
        <f ca="1"/>
        <v>46290</v>
      </c>
      <c r="B25" vm="4352">
        <f ca="1"/>
        <v>5926901</v>
      </c>
      <c r="C25" vm="4244">
        <f ca="1"/>
        <v>111.14</v>
      </c>
      <c r="D25" vm="4353">
        <f ca="1"/>
        <v>111.22499999999999</v>
      </c>
      <c r="E25" vm="1843">
        <f ca="1"/>
        <v>109.56</v>
      </c>
      <c r="F25" vm="4287">
        <f ca="1"/>
        <v>109.74</v>
      </c>
    </row>
    <row r="26" spans="1:6" x14ac:dyDescent="0.35">
      <c r="A26" vm="276">
        <f ca="1"/>
        <v>46293</v>
      </c>
      <c r="B26" vm="4354">
        <f ca="1"/>
        <v>5876156</v>
      </c>
      <c r="C26" vm="4355">
        <f ca="1"/>
        <v>109.64</v>
      </c>
      <c r="D26" vm="3742">
        <f ca="1"/>
        <v>110.12</v>
      </c>
      <c r="E26" vm="4288">
        <f ca="1"/>
        <v>108.76</v>
      </c>
      <c r="F26" vm="4288">
        <f ca="1"/>
        <v>108.76</v>
      </c>
    </row>
  </sheetData>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DB2EB3-64B3-4EE6-A5A7-A826216243BE}">
  <dimension ref="A1:IS26"/>
  <sheetViews>
    <sheetView topLeftCell="D1" workbookViewId="0">
      <selection activeCell="AD22" sqref="AD22"/>
    </sheetView>
  </sheetViews>
  <sheetFormatPr defaultRowHeight="14.5" x14ac:dyDescent="0.35"/>
  <cols>
    <col min="1" max="1" width="22.1796875" bestFit="1" customWidth="1"/>
    <col min="2" max="2" width="45.54296875" bestFit="1" customWidth="1"/>
  </cols>
  <sheetData>
    <row r="1" spans="1:253" x14ac:dyDescent="0.35">
      <c r="A1" s="2" t="s">
        <v>8</v>
      </c>
      <c r="B1" t="e" vm="23">
        <v>#VALUE!</v>
      </c>
    </row>
    <row r="3" spans="1:253" x14ac:dyDescent="0.35">
      <c r="A3" s="2" t="s">
        <v>35</v>
      </c>
      <c r="B3" s="2" t="s">
        <v>25</v>
      </c>
    </row>
    <row r="4" spans="1:253" x14ac:dyDescent="0.35">
      <c r="A4" t="s">
        <v>37</v>
      </c>
      <c r="B4" t="s">
        <v>22</v>
      </c>
      <c r="C4" cm="1" vm="4356">
        <f t="array" aca="1" ref="C4:IS4" ca="1">TRANSPOSE(_xlfn.STOCKHISTORY(A4&amp;":"&amp;B4,TODAY()-365,TODAY(),0,0,1))</f>
        <v>52.42</v>
      </c>
      <c r="D4" vm="4357">
        <f ca="1"/>
        <v>51.59</v>
      </c>
      <c r="E4" vm="4358">
        <f ca="1"/>
        <v>50.68</v>
      </c>
      <c r="F4" vm="4359">
        <f ca="1"/>
        <v>50.48</v>
      </c>
      <c r="G4" vm="4360">
        <f ca="1"/>
        <v>50.64</v>
      </c>
      <c r="H4" vm="4361">
        <f ca="1"/>
        <v>50.39</v>
      </c>
      <c r="I4" vm="4362">
        <f ca="1"/>
        <v>50.29</v>
      </c>
      <c r="J4" vm="4363">
        <f ca="1"/>
        <v>49.84</v>
      </c>
      <c r="K4" vm="4364">
        <f ca="1"/>
        <v>49.79</v>
      </c>
      <c r="L4" vm="4365">
        <f ca="1"/>
        <v>48.65</v>
      </c>
      <c r="M4" vm="4366">
        <f ca="1"/>
        <v>48.86</v>
      </c>
      <c r="N4" vm="4367">
        <f ca="1"/>
        <v>50.09</v>
      </c>
      <c r="O4" vm="4368">
        <f ca="1"/>
        <v>52.28</v>
      </c>
      <c r="P4" vm="4369">
        <f ca="1"/>
        <v>50.44</v>
      </c>
      <c r="Q4" vm="4370">
        <f ca="1"/>
        <v>51.28</v>
      </c>
      <c r="R4" vm="4371">
        <f ca="1"/>
        <v>52.04</v>
      </c>
      <c r="S4" vm="4372">
        <f ca="1"/>
        <v>51.52</v>
      </c>
      <c r="T4" vm="4373">
        <f ca="1"/>
        <v>51.1</v>
      </c>
      <c r="U4" vm="4374">
        <f ca="1"/>
        <v>51.76</v>
      </c>
      <c r="V4" vm="4375">
        <f ca="1"/>
        <v>52.57</v>
      </c>
      <c r="W4" vm="4376">
        <f ca="1"/>
        <v>53.02</v>
      </c>
      <c r="X4" vm="4377">
        <f ca="1"/>
        <v>52.87</v>
      </c>
      <c r="Y4" vm="4378">
        <f ca="1"/>
        <v>52.58</v>
      </c>
      <c r="Z4" vm="4379">
        <f ca="1"/>
        <v>53.03</v>
      </c>
      <c r="AA4" vm="4380">
        <f ca="1"/>
        <v>53.45</v>
      </c>
      <c r="AB4" vm="4381">
        <f ca="1"/>
        <v>53.56</v>
      </c>
      <c r="AC4" vm="4382">
        <f ca="1"/>
        <v>53.54</v>
      </c>
      <c r="AD4" vm="4383">
        <f ca="1"/>
        <v>52.45</v>
      </c>
      <c r="AE4" vm="4384">
        <f ca="1"/>
        <v>53.29</v>
      </c>
      <c r="AF4" vm="4385">
        <f ca="1"/>
        <v>53.2</v>
      </c>
      <c r="AG4" vm="4386">
        <f ca="1"/>
        <v>53.42</v>
      </c>
      <c r="AH4" vm="4387">
        <f ca="1"/>
        <v>53.63</v>
      </c>
      <c r="AI4" vm="4388">
        <f ca="1"/>
        <v>54.11</v>
      </c>
      <c r="AJ4" vm="4377">
        <f ca="1"/>
        <v>52.87</v>
      </c>
      <c r="AK4" vm="4389">
        <f ca="1"/>
        <v>52.61</v>
      </c>
      <c r="AL4" vm="4390">
        <f ca="1"/>
        <v>51.48</v>
      </c>
      <c r="AM4" vm="4391">
        <f ca="1"/>
        <v>51.64</v>
      </c>
      <c r="AN4" vm="4392">
        <f ca="1"/>
        <v>52.02</v>
      </c>
      <c r="AO4" vm="4393">
        <f ca="1"/>
        <v>51</v>
      </c>
      <c r="AP4" vm="4394">
        <f ca="1"/>
        <v>51.56</v>
      </c>
      <c r="AQ4" vm="4395">
        <f ca="1"/>
        <v>51.93</v>
      </c>
      <c r="AR4" vm="4396">
        <f ca="1"/>
        <v>52.48</v>
      </c>
      <c r="AS4" vm="4397">
        <f ca="1"/>
        <v>52.99</v>
      </c>
      <c r="AT4" vm="4398">
        <f ca="1"/>
        <v>53.65</v>
      </c>
      <c r="AU4" vm="4399">
        <f ca="1"/>
        <v>53.24</v>
      </c>
      <c r="AV4" vm="4400">
        <f ca="1"/>
        <v>53.19</v>
      </c>
      <c r="AW4" vm="4401">
        <f ca="1"/>
        <v>54.09</v>
      </c>
      <c r="AX4" vm="4402">
        <f ca="1"/>
        <v>54.16</v>
      </c>
      <c r="AY4" vm="4403">
        <f ca="1"/>
        <v>53.95</v>
      </c>
      <c r="AZ4" vm="4404">
        <f ca="1"/>
        <v>53.9</v>
      </c>
      <c r="BA4" vm="4382">
        <f ca="1"/>
        <v>53.54</v>
      </c>
      <c r="BB4" vm="4405">
        <f ca="1"/>
        <v>54.08</v>
      </c>
      <c r="BC4" vm="4406">
        <f ca="1"/>
        <v>54.56</v>
      </c>
      <c r="BD4" vm="4407">
        <f ca="1"/>
        <v>55.14</v>
      </c>
      <c r="BE4" vm="4408">
        <f ca="1"/>
        <v>55.33</v>
      </c>
      <c r="BF4" vm="4409">
        <f ca="1"/>
        <v>54.81</v>
      </c>
      <c r="BG4" vm="4410">
        <f ca="1"/>
        <v>54.55</v>
      </c>
      <c r="BH4" vm="4411">
        <f ca="1"/>
        <v>54.26</v>
      </c>
      <c r="BI4" vm="4412">
        <f ca="1"/>
        <v>55.27</v>
      </c>
      <c r="BJ4" vm="4413">
        <f ca="1"/>
        <v>55.88</v>
      </c>
      <c r="BK4" vm="4414">
        <f ca="1"/>
        <v>55.97</v>
      </c>
      <c r="BL4" vm="4415">
        <f ca="1"/>
        <v>56.25</v>
      </c>
      <c r="BM4" vm="4416">
        <f ca="1"/>
        <v>56.17</v>
      </c>
      <c r="BN4" vm="4417">
        <f ca="1"/>
        <v>55.35</v>
      </c>
      <c r="BO4" vm="4418">
        <f ca="1"/>
        <v>55.28</v>
      </c>
      <c r="BP4" vm="4419">
        <f ca="1"/>
        <v>55</v>
      </c>
      <c r="BQ4" vm="4420">
        <f ca="1"/>
        <v>55.95</v>
      </c>
      <c r="BR4" vm="4421">
        <f ca="1"/>
        <v>56.89</v>
      </c>
      <c r="BS4" vm="4422">
        <f ca="1"/>
        <v>57.25</v>
      </c>
      <c r="BT4" vm="4423">
        <f ca="1"/>
        <v>55.64</v>
      </c>
      <c r="BU4" vm="4424">
        <f ca="1"/>
        <v>56.18</v>
      </c>
      <c r="BV4" vm="4425">
        <f ca="1"/>
        <v>55.85</v>
      </c>
      <c r="BW4" vm="4426">
        <f ca="1"/>
        <v>55.19</v>
      </c>
      <c r="BX4" vm="4427">
        <f ca="1"/>
        <v>54.54</v>
      </c>
      <c r="BY4" vm="4396">
        <f ca="1"/>
        <v>52.48</v>
      </c>
      <c r="BZ4" vm="4428">
        <f ca="1"/>
        <v>52.59</v>
      </c>
      <c r="CA4" vm="4429">
        <f ca="1"/>
        <v>52.97</v>
      </c>
      <c r="CB4" vm="4430">
        <f ca="1"/>
        <v>52.1</v>
      </c>
      <c r="CC4" vm="4431">
        <f ca="1"/>
        <v>52.07</v>
      </c>
      <c r="CD4" vm="4383">
        <f ca="1"/>
        <v>52.45</v>
      </c>
      <c r="CE4" vm="4432">
        <f ca="1"/>
        <v>51.72</v>
      </c>
      <c r="CF4" vm="4392">
        <f ca="1"/>
        <v>52.02</v>
      </c>
      <c r="CG4" vm="4433">
        <f ca="1"/>
        <v>52.17</v>
      </c>
      <c r="CH4" vm="4434">
        <f ca="1"/>
        <v>51.81</v>
      </c>
      <c r="CI4" vm="4435">
        <f ca="1"/>
        <v>53.08</v>
      </c>
      <c r="CJ4" vm="4385">
        <f ca="1"/>
        <v>53.2</v>
      </c>
      <c r="CK4" vm="4436">
        <f ca="1"/>
        <v>54.03</v>
      </c>
      <c r="CL4" vm="4437">
        <f ca="1"/>
        <v>54.45</v>
      </c>
      <c r="CM4" vm="4438">
        <f ca="1"/>
        <v>55.38</v>
      </c>
      <c r="CN4" vm="4439">
        <f ca="1"/>
        <v>54.94</v>
      </c>
      <c r="CO4" vm="4440">
        <f ca="1"/>
        <v>56.53</v>
      </c>
      <c r="CP4" vm="4441">
        <f ca="1"/>
        <v>56.41</v>
      </c>
      <c r="CQ4" vm="4442">
        <f ca="1"/>
        <v>55.39</v>
      </c>
      <c r="CR4" vm="4443">
        <f ca="1"/>
        <v>53.85</v>
      </c>
      <c r="CS4" vm="4444">
        <f ca="1"/>
        <v>52.52</v>
      </c>
      <c r="CT4" vm="4445">
        <f ca="1"/>
        <v>52.55</v>
      </c>
      <c r="CU4" vm="4446">
        <f ca="1"/>
        <v>52.74</v>
      </c>
      <c r="CV4" vm="4447">
        <f ca="1"/>
        <v>53.36</v>
      </c>
      <c r="CW4" vm="4448">
        <f ca="1"/>
        <v>52.77</v>
      </c>
      <c r="CX4" vm="4449">
        <f ca="1"/>
        <v>53.06</v>
      </c>
      <c r="CY4" vm="4450">
        <f ca="1"/>
        <v>51.07</v>
      </c>
      <c r="CZ4" vm="4451">
        <f ca="1"/>
        <v>50.41</v>
      </c>
      <c r="DA4" vm="4452">
        <f ca="1"/>
        <v>51.69</v>
      </c>
      <c r="DB4" vm="4453">
        <f ca="1"/>
        <v>52.3</v>
      </c>
      <c r="DC4" vm="4454">
        <f ca="1"/>
        <v>49.83</v>
      </c>
      <c r="DD4" vm="4455">
        <f ca="1"/>
        <v>49.81</v>
      </c>
      <c r="DE4" vm="4456">
        <f ca="1"/>
        <v>49.97</v>
      </c>
      <c r="DF4" vm="4457">
        <f ca="1"/>
        <v>50.3</v>
      </c>
      <c r="DG4" vm="4455">
        <f ca="1"/>
        <v>49.81</v>
      </c>
      <c r="DH4" vm="4458">
        <f ca="1"/>
        <v>48.64</v>
      </c>
      <c r="DI4" vm="4459">
        <f ca="1"/>
        <v>47.9</v>
      </c>
      <c r="DJ4" vm="4460">
        <f ca="1"/>
        <v>48.56</v>
      </c>
      <c r="DK4" vm="4461">
        <f ca="1"/>
        <v>48.52</v>
      </c>
      <c r="DL4" vm="4462">
        <f ca="1"/>
        <v>47.13</v>
      </c>
      <c r="DM4" vm="4463">
        <f ca="1"/>
        <v>46.72</v>
      </c>
      <c r="DN4" vm="4464">
        <f ca="1"/>
        <v>47.06</v>
      </c>
      <c r="DO4" vm="4465">
        <f ca="1"/>
        <v>47.28</v>
      </c>
      <c r="DP4" vm="4466">
        <f ca="1"/>
        <v>46.83</v>
      </c>
      <c r="DQ4" vm="4467">
        <f ca="1"/>
        <v>47.01</v>
      </c>
      <c r="DR4" vm="4468">
        <f ca="1"/>
        <v>47.16</v>
      </c>
      <c r="DS4" vm="4469">
        <f ca="1"/>
        <v>47.52</v>
      </c>
      <c r="DT4" vm="4470">
        <f ca="1"/>
        <v>48.14</v>
      </c>
      <c r="DU4" vm="4471">
        <f ca="1"/>
        <v>48.75</v>
      </c>
      <c r="DV4" vm="4472">
        <f ca="1"/>
        <v>48.24</v>
      </c>
      <c r="DW4" vm="4473">
        <f ca="1"/>
        <v>46.97</v>
      </c>
      <c r="DX4" vm="4474">
        <f ca="1"/>
        <v>47.23</v>
      </c>
      <c r="DY4" vm="4471">
        <f ca="1"/>
        <v>48.75</v>
      </c>
      <c r="DZ4" vm="4475">
        <f ca="1"/>
        <v>49.27</v>
      </c>
      <c r="EA4" vm="4476">
        <f ca="1"/>
        <v>49.38</v>
      </c>
      <c r="EB4" vm="4477">
        <f ca="1"/>
        <v>50.06</v>
      </c>
      <c r="EC4" vm="4478">
        <f ca="1"/>
        <v>50.28</v>
      </c>
      <c r="ED4" vm="4479">
        <f ca="1"/>
        <v>51.88</v>
      </c>
      <c r="EE4" vm="4480">
        <f ca="1"/>
        <v>52.71</v>
      </c>
      <c r="EF4" vm="4481">
        <f ca="1"/>
        <v>52.54</v>
      </c>
      <c r="EG4" vm="4482">
        <f ca="1"/>
        <v>53.35</v>
      </c>
      <c r="EH4" vm="4482">
        <f ca="1"/>
        <v>53.35</v>
      </c>
      <c r="EI4" vm="4483">
        <f ca="1"/>
        <v>54.32</v>
      </c>
      <c r="EJ4" vm="4484">
        <f ca="1"/>
        <v>53.51</v>
      </c>
      <c r="EK4" vm="4485">
        <f ca="1"/>
        <v>53.91</v>
      </c>
      <c r="EL4" vm="4403">
        <f ca="1"/>
        <v>53.95</v>
      </c>
      <c r="EM4" vm="4486">
        <f ca="1"/>
        <v>53.48</v>
      </c>
      <c r="EN4" vm="4487">
        <f ca="1"/>
        <v>53.12</v>
      </c>
      <c r="EO4" vm="4488">
        <f ca="1"/>
        <v>52.47</v>
      </c>
      <c r="EP4" vm="4489">
        <f ca="1"/>
        <v>52.05</v>
      </c>
      <c r="EQ4" vm="4490">
        <f ca="1"/>
        <v>52.63</v>
      </c>
      <c r="ER4" vm="4491">
        <f ca="1"/>
        <v>52.66</v>
      </c>
      <c r="ES4" vm="4492">
        <f ca="1"/>
        <v>52.88</v>
      </c>
      <c r="ET4" vm="4493">
        <f ca="1"/>
        <v>53.46</v>
      </c>
      <c r="EU4" vm="4399">
        <f ca="1"/>
        <v>53.24</v>
      </c>
      <c r="EV4" vm="4494">
        <f ca="1"/>
        <v>52.19</v>
      </c>
      <c r="EW4" vm="4487">
        <f ca="1"/>
        <v>53.12</v>
      </c>
      <c r="EX4" vm="4495">
        <f ca="1"/>
        <v>53.6</v>
      </c>
      <c r="EY4" vm="4496">
        <f ca="1"/>
        <v>52.75</v>
      </c>
      <c r="EZ4" vm="4497">
        <f ca="1"/>
        <v>51.31</v>
      </c>
      <c r="FA4" vm="4498">
        <f ca="1"/>
        <v>50.55</v>
      </c>
      <c r="FB4" vm="4499">
        <f ca="1"/>
        <v>50.78</v>
      </c>
      <c r="FC4" vm="4363">
        <f ca="1"/>
        <v>49.84</v>
      </c>
      <c r="FD4" vm="4500">
        <f ca="1"/>
        <v>49.85</v>
      </c>
      <c r="FE4" vm="4501">
        <f ca="1"/>
        <v>49.77</v>
      </c>
      <c r="FF4" vm="4502">
        <f ca="1"/>
        <v>50.69</v>
      </c>
      <c r="FG4" vm="4503">
        <f ca="1"/>
        <v>50.7</v>
      </c>
      <c r="FH4" vm="4504">
        <f ca="1"/>
        <v>51.23</v>
      </c>
      <c r="FI4" vm="4505">
        <f ca="1"/>
        <v>51.49</v>
      </c>
      <c r="FJ4" vm="4506">
        <f ca="1"/>
        <v>51.8</v>
      </c>
      <c r="FK4" vm="4507">
        <f ca="1"/>
        <v>52.2</v>
      </c>
      <c r="FL4" vm="4373">
        <f ca="1"/>
        <v>51.1</v>
      </c>
      <c r="FM4" vm="4508">
        <f ca="1"/>
        <v>50.77</v>
      </c>
      <c r="FN4" vm="4509">
        <f ca="1"/>
        <v>51.6</v>
      </c>
      <c r="FO4" vm="4510">
        <f ca="1"/>
        <v>51.51</v>
      </c>
      <c r="FP4" vm="4396">
        <f ca="1"/>
        <v>52.48</v>
      </c>
      <c r="FQ4" vm="4511">
        <f ca="1"/>
        <v>52.4</v>
      </c>
      <c r="FR4" vm="4512">
        <f ca="1"/>
        <v>54.17</v>
      </c>
      <c r="FS4" vm="4513">
        <f ca="1"/>
        <v>53.83</v>
      </c>
      <c r="FT4" vm="4387">
        <f ca="1"/>
        <v>53.63</v>
      </c>
      <c r="FU4" vm="4514">
        <f ca="1"/>
        <v>54.42</v>
      </c>
      <c r="FV4" vm="4427">
        <f ca="1"/>
        <v>54.54</v>
      </c>
      <c r="FW4" vm="4515">
        <f ca="1"/>
        <v>55.16</v>
      </c>
      <c r="FX4" vm="4516">
        <f ca="1"/>
        <v>56.02</v>
      </c>
      <c r="FY4" vm="4517">
        <f ca="1"/>
        <v>55.87</v>
      </c>
      <c r="FZ4" vm="4518">
        <f ca="1"/>
        <v>56.84</v>
      </c>
      <c r="GA4" vm="4440">
        <f ca="1"/>
        <v>56.53</v>
      </c>
      <c r="GB4" vm="4519">
        <f ca="1"/>
        <v>56.2</v>
      </c>
      <c r="GC4" vm="4520">
        <f ca="1"/>
        <v>57.37</v>
      </c>
      <c r="GD4" vm="4521">
        <f ca="1"/>
        <v>57.91</v>
      </c>
      <c r="GE4" vm="4522">
        <f ca="1"/>
        <v>57.73</v>
      </c>
      <c r="GF4" vm="4523">
        <f ca="1"/>
        <v>58.19</v>
      </c>
      <c r="GG4" vm="4524">
        <f ca="1"/>
        <v>57.88</v>
      </c>
      <c r="GH4" vm="4524">
        <f ca="1"/>
        <v>57.88</v>
      </c>
      <c r="GI4" vm="4525">
        <f ca="1"/>
        <v>56.98</v>
      </c>
      <c r="GJ4" vm="4526">
        <f ca="1"/>
        <v>58.36</v>
      </c>
      <c r="GK4" vm="4527">
        <f ca="1"/>
        <v>58.73</v>
      </c>
      <c r="GL4" vm="4528">
        <f ca="1"/>
        <v>59.9</v>
      </c>
      <c r="GM4" vm="4529">
        <f ca="1"/>
        <v>59.86</v>
      </c>
      <c r="GN4" vm="4530">
        <f ca="1"/>
        <v>58.3</v>
      </c>
      <c r="GO4" vm="4531">
        <f ca="1"/>
        <v>59.25</v>
      </c>
      <c r="GP4" vm="4532">
        <f ca="1"/>
        <v>59.67</v>
      </c>
      <c r="GQ4" vm="4533">
        <f ca="1"/>
        <v>59.5</v>
      </c>
      <c r="GR4" vm="4534">
        <f ca="1"/>
        <v>60.62</v>
      </c>
      <c r="GS4" vm="4535">
        <f ca="1"/>
        <v>61.59</v>
      </c>
      <c r="GT4" vm="4536">
        <f ca="1"/>
        <v>61.49</v>
      </c>
      <c r="GU4" vm="4537">
        <f ca="1"/>
        <v>61.27</v>
      </c>
      <c r="GV4" vm="4538">
        <f ca="1"/>
        <v>60.42</v>
      </c>
      <c r="GW4" vm="4539">
        <f ca="1"/>
        <v>61.22</v>
      </c>
      <c r="GX4" vm="4540">
        <f ca="1"/>
        <v>61.62</v>
      </c>
      <c r="GY4" vm="4541">
        <f ca="1"/>
        <v>61.28</v>
      </c>
      <c r="GZ4" vm="4542">
        <f ca="1"/>
        <v>62.05</v>
      </c>
      <c r="HA4" vm="4543">
        <f ca="1"/>
        <v>62.13</v>
      </c>
      <c r="HB4" vm="4544">
        <f ca="1"/>
        <v>62.62</v>
      </c>
      <c r="HC4" vm="4545">
        <f ca="1"/>
        <v>61.07</v>
      </c>
      <c r="HD4" vm="4546">
        <f ca="1"/>
        <v>61.73</v>
      </c>
      <c r="HE4" vm="4547">
        <f ca="1"/>
        <v>61.95</v>
      </c>
      <c r="HF4" vm="4548">
        <f ca="1"/>
        <v>62.48</v>
      </c>
      <c r="HG4" vm="4549">
        <f ca="1"/>
        <v>62.9</v>
      </c>
      <c r="HH4" vm="4550">
        <f ca="1"/>
        <v>63.25</v>
      </c>
      <c r="HI4" vm="4551">
        <f ca="1"/>
        <v>63</v>
      </c>
      <c r="HJ4" vm="4552">
        <f ca="1"/>
        <v>63.17</v>
      </c>
      <c r="HK4" vm="4553">
        <f ca="1"/>
        <v>63.86</v>
      </c>
      <c r="HL4" vm="4554">
        <f ca="1"/>
        <v>64</v>
      </c>
      <c r="HM4" vm="4555">
        <f ca="1"/>
        <v>64.81</v>
      </c>
      <c r="HN4" vm="4556">
        <f ca="1"/>
        <v>64.09</v>
      </c>
      <c r="HO4" vm="4557">
        <f ca="1"/>
        <v>64.489999999999995</v>
      </c>
      <c r="HP4" vm="4558">
        <f ca="1"/>
        <v>63.89</v>
      </c>
      <c r="HQ4" vm="4559">
        <f ca="1"/>
        <v>64.23</v>
      </c>
      <c r="HR4" vm="4552">
        <f ca="1"/>
        <v>63.17</v>
      </c>
      <c r="HS4" vm="4560">
        <f ca="1"/>
        <v>61.86</v>
      </c>
      <c r="HT4" vm="4561">
        <f ca="1"/>
        <v>61.69</v>
      </c>
      <c r="HU4" vm="4562">
        <f ca="1"/>
        <v>62.33</v>
      </c>
      <c r="HV4" vm="4563">
        <f ca="1"/>
        <v>62.43</v>
      </c>
      <c r="HW4" vm="4564">
        <f ca="1"/>
        <v>62.23</v>
      </c>
      <c r="HX4" vm="4565">
        <f ca="1"/>
        <v>61.17</v>
      </c>
      <c r="HY4" vm="4566">
        <f ca="1"/>
        <v>62.32</v>
      </c>
      <c r="HZ4" vm="4567">
        <f ca="1"/>
        <v>61.94</v>
      </c>
      <c r="IA4" vm="4568">
        <f ca="1"/>
        <v>61.99</v>
      </c>
      <c r="IB4" vm="4569">
        <f ca="1"/>
        <v>62.6</v>
      </c>
      <c r="IC4" vm="4570">
        <f ca="1"/>
        <v>63.04</v>
      </c>
      <c r="ID4" vm="4571">
        <f ca="1"/>
        <v>62.68</v>
      </c>
      <c r="IE4" vm="4572">
        <f ca="1"/>
        <v>62.39</v>
      </c>
      <c r="IF4" vm="4573">
        <f ca="1"/>
        <v>62.67</v>
      </c>
      <c r="IG4" vm="4574">
        <f ca="1"/>
        <v>62.56</v>
      </c>
      <c r="IH4" vm="4575">
        <f ca="1"/>
        <v>62.69</v>
      </c>
      <c r="II4" vm="4576">
        <f ca="1"/>
        <v>59.47</v>
      </c>
      <c r="IJ4" vm="4577">
        <f ca="1"/>
        <v>59.52</v>
      </c>
      <c r="IK4" vm="4578">
        <f ca="1"/>
        <v>57.9</v>
      </c>
      <c r="IL4" vm="4579">
        <f ca="1"/>
        <v>58.18</v>
      </c>
      <c r="IM4" vm="4522">
        <f ca="1"/>
        <v>57.73</v>
      </c>
      <c r="IN4" vm="4580">
        <f ca="1"/>
        <v>57.96</v>
      </c>
      <c r="IO4" vm="4519">
        <f ca="1"/>
        <v>56.2</v>
      </c>
      <c r="IP4" vm="4581">
        <f ca="1"/>
        <v>56</v>
      </c>
      <c r="IQ4" vm="4582">
        <f ca="1"/>
        <v>56.03</v>
      </c>
      <c r="IR4" vm="4583">
        <f ca="1"/>
        <v>56.7</v>
      </c>
      <c r="IS4" vm="4584">
        <f ca="1"/>
        <v>55.47</v>
      </c>
    </row>
    <row r="6" spans="1:253" x14ac:dyDescent="0.35">
      <c r="A6" t="str" cm="1">
        <f t="array" aca="1" ref="A6:F26" ca="1">_xlfn.STOCKHISTORY(A4&amp;":"&amp;B4,TODAY()-30,TODAY(),0,1,0,5,2,3,4,1)</f>
        <v>Date</v>
      </c>
      <c r="B6" t="str">
        <f ca="1"/>
        <v>Volume</v>
      </c>
      <c r="C6" t="str">
        <f ca="1"/>
        <v>Open</v>
      </c>
      <c r="D6" t="str">
        <f ca="1"/>
        <v>High</v>
      </c>
      <c r="E6" t="str">
        <f ca="1"/>
        <v>Low</v>
      </c>
      <c r="F6" t="str">
        <f ca="1"/>
        <v>Close</v>
      </c>
    </row>
    <row r="7" spans="1:253" x14ac:dyDescent="0.35">
      <c r="A7" vm="257">
        <f ca="1"/>
        <v>46265</v>
      </c>
      <c r="B7" vm="4585">
        <f ca="1"/>
        <v>43470374</v>
      </c>
      <c r="C7" vm="4586">
        <f ca="1"/>
        <v>62.25</v>
      </c>
      <c r="D7" vm="4587">
        <f ca="1"/>
        <v>62.49</v>
      </c>
      <c r="E7" vm="4588">
        <f ca="1"/>
        <v>61.9</v>
      </c>
      <c r="F7" vm="4567">
        <f ca="1"/>
        <v>61.94</v>
      </c>
    </row>
    <row r="8" spans="1:253" x14ac:dyDescent="0.35">
      <c r="A8" vm="258">
        <f ca="1"/>
        <v>46266</v>
      </c>
      <c r="B8" vm="4589">
        <f ca="1"/>
        <v>25056390</v>
      </c>
      <c r="C8" vm="4590">
        <f ca="1"/>
        <v>61.97</v>
      </c>
      <c r="D8" vm="4591">
        <f ca="1"/>
        <v>62.825000000000003</v>
      </c>
      <c r="E8" vm="4592">
        <f ca="1"/>
        <v>61.723500000000001</v>
      </c>
      <c r="F8" vm="4568">
        <f ca="1"/>
        <v>61.99</v>
      </c>
    </row>
    <row r="9" spans="1:253" x14ac:dyDescent="0.35">
      <c r="A9" vm="259">
        <f ca="1"/>
        <v>46267</v>
      </c>
      <c r="B9" vm="4593">
        <f ca="1"/>
        <v>28435758</v>
      </c>
      <c r="C9" vm="4594">
        <f ca="1"/>
        <v>62.28</v>
      </c>
      <c r="D9" vm="4595">
        <f ca="1"/>
        <v>63.55</v>
      </c>
      <c r="E9" vm="4567">
        <f ca="1"/>
        <v>61.94</v>
      </c>
      <c r="F9" vm="4569">
        <f ca="1"/>
        <v>62.6</v>
      </c>
    </row>
    <row r="10" spans="1:253" x14ac:dyDescent="0.35">
      <c r="A10" vm="260">
        <f ca="1"/>
        <v>46268</v>
      </c>
      <c r="B10" vm="4596">
        <f ca="1"/>
        <v>29951603</v>
      </c>
      <c r="C10" vm="4597">
        <f ca="1"/>
        <v>62.81</v>
      </c>
      <c r="D10" vm="4598">
        <f ca="1"/>
        <v>63.27</v>
      </c>
      <c r="E10" vm="4566">
        <f ca="1"/>
        <v>62.32</v>
      </c>
      <c r="F10" vm="4570">
        <f ca="1"/>
        <v>63.04</v>
      </c>
    </row>
    <row r="11" spans="1:253" x14ac:dyDescent="0.35">
      <c r="A11" vm="261">
        <f ca="1"/>
        <v>46269</v>
      </c>
      <c r="B11" vm="4599">
        <f ca="1"/>
        <v>26589402</v>
      </c>
      <c r="C11" vm="4574">
        <f ca="1"/>
        <v>62.56</v>
      </c>
      <c r="D11" vm="4600">
        <f ca="1"/>
        <v>62.918300000000002</v>
      </c>
      <c r="E11" vm="4601">
        <f ca="1"/>
        <v>61.96</v>
      </c>
      <c r="F11" vm="4571">
        <f ca="1"/>
        <v>62.68</v>
      </c>
    </row>
    <row r="12" spans="1:253" x14ac:dyDescent="0.35">
      <c r="A12" vm="262">
        <f ca="1"/>
        <v>46273</v>
      </c>
      <c r="B12" vm="4602">
        <f ca="1"/>
        <v>28339827</v>
      </c>
      <c r="C12" vm="4587">
        <f ca="1"/>
        <v>62.49</v>
      </c>
      <c r="D12" vm="4603">
        <f ca="1"/>
        <v>62.82</v>
      </c>
      <c r="E12" vm="4604">
        <f ca="1"/>
        <v>62.11</v>
      </c>
      <c r="F12" vm="4572">
        <f ca="1"/>
        <v>62.39</v>
      </c>
    </row>
    <row r="13" spans="1:253" x14ac:dyDescent="0.35">
      <c r="A13" vm="263">
        <f ca="1"/>
        <v>46274</v>
      </c>
      <c r="B13" vm="4605">
        <f ca="1"/>
        <v>36025057</v>
      </c>
      <c r="C13" vm="4590">
        <f ca="1"/>
        <v>61.97</v>
      </c>
      <c r="D13" vm="4606">
        <f ca="1"/>
        <v>63.19</v>
      </c>
      <c r="E13" vm="4607">
        <f ca="1"/>
        <v>61.424999999999997</v>
      </c>
      <c r="F13" vm="4573">
        <f ca="1"/>
        <v>62.67</v>
      </c>
    </row>
    <row r="14" spans="1:253" x14ac:dyDescent="0.35">
      <c r="A14" vm="264">
        <f ca="1"/>
        <v>46275</v>
      </c>
      <c r="B14" vm="4608">
        <f ca="1"/>
        <v>26478935</v>
      </c>
      <c r="C14" vm="4609">
        <f ca="1"/>
        <v>62.645000000000003</v>
      </c>
      <c r="D14" vm="4610">
        <f ca="1"/>
        <v>63.01</v>
      </c>
      <c r="E14" vm="4611">
        <f ca="1"/>
        <v>62.22</v>
      </c>
      <c r="F14" vm="4574">
        <f ca="1"/>
        <v>62.56</v>
      </c>
    </row>
    <row r="15" spans="1:253" x14ac:dyDescent="0.35">
      <c r="A15" vm="265">
        <f ca="1"/>
        <v>46276</v>
      </c>
      <c r="B15" vm="4612">
        <f ca="1"/>
        <v>25844032</v>
      </c>
      <c r="C15" vm="4613">
        <f ca="1"/>
        <v>63.225000000000001</v>
      </c>
      <c r="D15" vm="4614">
        <f ca="1"/>
        <v>63.83</v>
      </c>
      <c r="E15" vm="4615">
        <f ca="1"/>
        <v>62.375</v>
      </c>
      <c r="F15" vm="4575">
        <f ca="1"/>
        <v>62.69</v>
      </c>
    </row>
    <row r="16" spans="1:253" x14ac:dyDescent="0.35">
      <c r="A16" vm="266">
        <f ca="1"/>
        <v>46279</v>
      </c>
      <c r="B16" vm="4616">
        <f ca="1"/>
        <v>64773953</v>
      </c>
      <c r="C16" vm="4617">
        <f ca="1"/>
        <v>62.335000000000001</v>
      </c>
      <c r="D16" vm="4618">
        <f ca="1"/>
        <v>62.435000000000002</v>
      </c>
      <c r="E16" vm="4619">
        <f ca="1"/>
        <v>58.92</v>
      </c>
      <c r="F16" vm="4576">
        <f ca="1"/>
        <v>59.47</v>
      </c>
    </row>
    <row r="17" spans="1:6" x14ac:dyDescent="0.35">
      <c r="A17" vm="267">
        <f ca="1"/>
        <v>46280</v>
      </c>
      <c r="B17" vm="4620">
        <f ca="1"/>
        <v>50667997</v>
      </c>
      <c r="C17" vm="4621">
        <f ca="1"/>
        <v>59.365000000000002</v>
      </c>
      <c r="D17" vm="4622">
        <f ca="1"/>
        <v>59.92</v>
      </c>
      <c r="E17" vm="4623">
        <f ca="1"/>
        <v>58.77</v>
      </c>
      <c r="F17" vm="4577">
        <f ca="1"/>
        <v>59.52</v>
      </c>
    </row>
    <row r="18" spans="1:6" x14ac:dyDescent="0.35">
      <c r="A18" vm="268">
        <f ca="1"/>
        <v>46281</v>
      </c>
      <c r="B18" vm="4624">
        <f ca="1"/>
        <v>50145197</v>
      </c>
      <c r="C18" vm="4625">
        <f ca="1"/>
        <v>59.27</v>
      </c>
      <c r="D18" vm="4626">
        <f ca="1"/>
        <v>59.39</v>
      </c>
      <c r="E18" vm="4627">
        <f ca="1"/>
        <v>57.18</v>
      </c>
      <c r="F18" vm="4578">
        <f ca="1"/>
        <v>57.9</v>
      </c>
    </row>
    <row r="19" spans="1:6" x14ac:dyDescent="0.35">
      <c r="A19" vm="269">
        <f ca="1"/>
        <v>46282</v>
      </c>
      <c r="B19" vm="4628">
        <f ca="1"/>
        <v>36733116</v>
      </c>
      <c r="C19" vm="4629">
        <f ca="1"/>
        <v>58.4</v>
      </c>
      <c r="D19" vm="4630">
        <f ca="1"/>
        <v>58.494999999999997</v>
      </c>
      <c r="E19" vm="4631">
        <f ca="1"/>
        <v>57.42</v>
      </c>
      <c r="F19" vm="4579">
        <f ca="1"/>
        <v>58.18</v>
      </c>
    </row>
    <row r="20" spans="1:6" x14ac:dyDescent="0.35">
      <c r="A20" vm="270">
        <f ca="1"/>
        <v>46283</v>
      </c>
      <c r="B20" vm="4632">
        <f ca="1"/>
        <v>52483860</v>
      </c>
      <c r="C20" vm="4633">
        <f ca="1"/>
        <v>57.52</v>
      </c>
      <c r="D20" vm="4634">
        <f ca="1"/>
        <v>58.23</v>
      </c>
      <c r="E20" vm="4633">
        <f ca="1"/>
        <v>57.52</v>
      </c>
      <c r="F20" vm="4522">
        <f ca="1"/>
        <v>57.73</v>
      </c>
    </row>
    <row r="21" spans="1:6" x14ac:dyDescent="0.35">
      <c r="A21" vm="271">
        <f ca="1"/>
        <v>46286</v>
      </c>
      <c r="B21" vm="4635">
        <f ca="1"/>
        <v>33228141</v>
      </c>
      <c r="C21" vm="4636">
        <f ca="1"/>
        <v>58.05</v>
      </c>
      <c r="D21" vm="4637">
        <f ca="1"/>
        <v>58.28</v>
      </c>
      <c r="E21" vm="4638">
        <f ca="1"/>
        <v>57.465000000000003</v>
      </c>
      <c r="F21" vm="4580">
        <f ca="1"/>
        <v>57.96</v>
      </c>
    </row>
    <row r="22" spans="1:6" x14ac:dyDescent="0.35">
      <c r="A22" vm="272">
        <f ca="1"/>
        <v>46287</v>
      </c>
      <c r="B22" vm="4639">
        <f ca="1"/>
        <v>45137809</v>
      </c>
      <c r="C22" vm="4640">
        <f ca="1"/>
        <v>58.1</v>
      </c>
      <c r="D22" vm="4641">
        <f ca="1"/>
        <v>58.115000000000002</v>
      </c>
      <c r="E22" vm="4642">
        <f ca="1"/>
        <v>56.064999999999998</v>
      </c>
      <c r="F22" vm="4519">
        <f ca="1"/>
        <v>56.2</v>
      </c>
    </row>
    <row r="23" spans="1:6" x14ac:dyDescent="0.35">
      <c r="A23" vm="273">
        <f ca="1"/>
        <v>46288</v>
      </c>
      <c r="B23" vm="4643">
        <f ca="1"/>
        <v>36727762</v>
      </c>
      <c r="C23" vm="4644">
        <f ca="1"/>
        <v>55.92</v>
      </c>
      <c r="D23" vm="4645">
        <f ca="1"/>
        <v>56.48</v>
      </c>
      <c r="E23" vm="4646">
        <f ca="1"/>
        <v>55.734999999999999</v>
      </c>
      <c r="F23" vm="4581">
        <f ca="1"/>
        <v>56</v>
      </c>
    </row>
    <row r="24" spans="1:6" x14ac:dyDescent="0.35">
      <c r="A24" vm="274">
        <f ca="1"/>
        <v>46289</v>
      </c>
      <c r="B24" vm="4647">
        <f ca="1"/>
        <v>40990256</v>
      </c>
      <c r="C24" vm="4648">
        <f ca="1"/>
        <v>56.39</v>
      </c>
      <c r="D24" vm="4440">
        <f ca="1"/>
        <v>56.53</v>
      </c>
      <c r="E24" vm="4649">
        <f ca="1"/>
        <v>55.84</v>
      </c>
      <c r="F24" vm="4582">
        <f ca="1"/>
        <v>56.03</v>
      </c>
    </row>
    <row r="25" spans="1:6" x14ac:dyDescent="0.35">
      <c r="A25" vm="275">
        <f ca="1"/>
        <v>46290</v>
      </c>
      <c r="B25" vm="4650">
        <f ca="1"/>
        <v>28601302</v>
      </c>
      <c r="C25" vm="4651">
        <f ca="1"/>
        <v>56.31</v>
      </c>
      <c r="D25" vm="4652">
        <f ca="1"/>
        <v>56.744999999999997</v>
      </c>
      <c r="E25" vm="4653">
        <f ca="1"/>
        <v>55.865000000000002</v>
      </c>
      <c r="F25" vm="4583">
        <f ca="1"/>
        <v>56.7</v>
      </c>
    </row>
    <row r="26" spans="1:6" x14ac:dyDescent="0.35">
      <c r="A26" vm="276">
        <f ca="1"/>
        <v>46293</v>
      </c>
      <c r="B26" vm="4654">
        <f ca="1"/>
        <v>29170534</v>
      </c>
      <c r="C26" vm="4655">
        <f ca="1"/>
        <v>56.414999999999999</v>
      </c>
      <c r="D26" vm="4656">
        <f ca="1"/>
        <v>56.67</v>
      </c>
      <c r="E26" vm="4657">
        <f ca="1"/>
        <v>55.365000000000002</v>
      </c>
      <c r="F26" vm="4584">
        <f ca="1"/>
        <v>55.47</v>
      </c>
    </row>
  </sheetData>
  <pageMargins left="0.7" right="0.7" top="0.75" bottom="0.75" header="0.3" footer="0.3"/>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9B7BCD-514D-4E61-850C-2C8C93AD811E}">
  <dimension ref="A1:IS26"/>
  <sheetViews>
    <sheetView workbookViewId="0">
      <selection activeCell="H34" sqref="H34"/>
    </sheetView>
  </sheetViews>
  <sheetFormatPr defaultRowHeight="14.5" x14ac:dyDescent="0.35"/>
  <cols>
    <col min="1" max="1" width="22.1796875" bestFit="1" customWidth="1"/>
    <col min="2" max="2" width="49.54296875" bestFit="1" customWidth="1"/>
  </cols>
  <sheetData>
    <row r="1" spans="1:253" x14ac:dyDescent="0.35">
      <c r="A1" s="2" t="s">
        <v>8</v>
      </c>
      <c r="B1" t="e" vm="25">
        <v>#VALUE!</v>
      </c>
    </row>
    <row r="3" spans="1:253" x14ac:dyDescent="0.35">
      <c r="A3" s="2" t="s">
        <v>35</v>
      </c>
      <c r="B3" s="2" t="s">
        <v>25</v>
      </c>
    </row>
    <row r="4" spans="1:253" x14ac:dyDescent="0.35">
      <c r="A4" t="s">
        <v>36</v>
      </c>
      <c r="B4" t="s">
        <v>24</v>
      </c>
      <c r="C4" cm="1" vm="4658">
        <f t="array" aca="1" ref="C4:IS4" ca="1">TRANSPOSE(_xlfn.STOCKHISTORY(A4&amp;":"&amp;B4,TODAY()-365,TODAY(),0,0,1))</f>
        <v>916.87</v>
      </c>
      <c r="D4" vm="4659">
        <f ca="1"/>
        <v>925.63</v>
      </c>
      <c r="E4" vm="4660">
        <f ca="1"/>
        <v>917.34</v>
      </c>
      <c r="F4" vm="4661">
        <f ca="1"/>
        <v>916.77</v>
      </c>
      <c r="G4" vm="4662">
        <f ca="1"/>
        <v>915.38</v>
      </c>
      <c r="H4" vm="4663">
        <f ca="1"/>
        <v>910.94</v>
      </c>
      <c r="I4" vm="4664">
        <f ca="1"/>
        <v>914.8</v>
      </c>
      <c r="J4" vm="4664">
        <f ca="1"/>
        <v>914.8</v>
      </c>
      <c r="K4" vm="4665">
        <f ca="1"/>
        <v>942.89</v>
      </c>
      <c r="L4" vm="4666">
        <f ca="1"/>
        <v>930.01</v>
      </c>
      <c r="M4" vm="4667">
        <f ca="1"/>
        <v>935.56</v>
      </c>
      <c r="N4" vm="4668">
        <f ca="1"/>
        <v>946.51</v>
      </c>
      <c r="O4" vm="4669">
        <f ca="1"/>
        <v>954.99</v>
      </c>
      <c r="P4" vm="4670">
        <f ca="1"/>
        <v>925.62</v>
      </c>
      <c r="Q4" vm="4671">
        <f ca="1"/>
        <v>936.33</v>
      </c>
      <c r="R4" vm="4672">
        <f ca="1"/>
        <v>936.11</v>
      </c>
      <c r="S4" vm="4673">
        <f ca="1"/>
        <v>937.5</v>
      </c>
      <c r="T4" vm="4674">
        <f ca="1"/>
        <v>944.68</v>
      </c>
      <c r="U4" vm="4675">
        <f ca="1"/>
        <v>942.05</v>
      </c>
      <c r="V4" vm="4676">
        <f ca="1"/>
        <v>932.14</v>
      </c>
      <c r="W4" vm="4677">
        <f ca="1"/>
        <v>929.85</v>
      </c>
      <c r="X4" vm="4678">
        <f ca="1"/>
        <v>924.16</v>
      </c>
      <c r="Y4" vm="4679">
        <f ca="1"/>
        <v>912.42</v>
      </c>
      <c r="Z4" vm="4680">
        <f ca="1"/>
        <v>920.18</v>
      </c>
      <c r="AA4" vm="4681">
        <f ca="1"/>
        <v>911.45</v>
      </c>
      <c r="AB4" vm="4682">
        <f ca="1"/>
        <v>928.04</v>
      </c>
      <c r="AC4" vm="4683">
        <f ca="1"/>
        <v>940.74</v>
      </c>
      <c r="AD4" vm="4684">
        <f ca="1"/>
        <v>935.03</v>
      </c>
      <c r="AE4" vm="4685">
        <f ca="1"/>
        <v>923.58</v>
      </c>
      <c r="AF4" vm="4686">
        <f ca="1"/>
        <v>922.74</v>
      </c>
      <c r="AG4" vm="4687">
        <f ca="1"/>
        <v>915.56</v>
      </c>
      <c r="AH4" vm="4688">
        <f ca="1"/>
        <v>913.86</v>
      </c>
      <c r="AI4" vm="4689">
        <f ca="1"/>
        <v>914</v>
      </c>
      <c r="AJ4" vm="4690">
        <f ca="1"/>
        <v>925.08</v>
      </c>
      <c r="AK4" vm="4691">
        <f ca="1"/>
        <v>922.98</v>
      </c>
      <c r="AL4" vm="4692">
        <f ca="1"/>
        <v>912.59</v>
      </c>
      <c r="AM4" vm="4693">
        <f ca="1"/>
        <v>895.08</v>
      </c>
      <c r="AN4" vm="4694">
        <f ca="1"/>
        <v>890.6</v>
      </c>
      <c r="AO4" vm="4695">
        <f ca="1"/>
        <v>893.29</v>
      </c>
      <c r="AP4" vm="4696">
        <f ca="1"/>
        <v>899.01</v>
      </c>
      <c r="AQ4" vm="4697">
        <f ca="1"/>
        <v>886.12</v>
      </c>
      <c r="AR4" vm="4698">
        <f ca="1"/>
        <v>894.33</v>
      </c>
      <c r="AS4" vm="4699">
        <f ca="1"/>
        <v>908.26</v>
      </c>
      <c r="AT4" vm="4700">
        <f ca="1"/>
        <v>913.59</v>
      </c>
      <c r="AU4" vm="4701">
        <f ca="1"/>
        <v>911.96</v>
      </c>
      <c r="AV4" vm="4702">
        <f ca="1"/>
        <v>922.03</v>
      </c>
      <c r="AW4" vm="4703">
        <f ca="1"/>
        <v>922.26</v>
      </c>
      <c r="AX4" vm="4704">
        <f ca="1"/>
        <v>895.85500000000002</v>
      </c>
      <c r="AY4" vm="4705">
        <f ca="1"/>
        <v>894.68</v>
      </c>
      <c r="AZ4" vm="4706">
        <f ca="1"/>
        <v>887.52</v>
      </c>
      <c r="BA4" vm="4707">
        <f ca="1"/>
        <v>888.44</v>
      </c>
      <c r="BB4" vm="4708">
        <f ca="1"/>
        <v>874.41</v>
      </c>
      <c r="BC4" vm="4709">
        <f ca="1"/>
        <v>884.48</v>
      </c>
      <c r="BD4" vm="4710">
        <f ca="1"/>
        <v>884.47</v>
      </c>
      <c r="BE4" vm="4711">
        <f ca="1"/>
        <v>860.56</v>
      </c>
      <c r="BF4" vm="4712">
        <f ca="1"/>
        <v>860.39</v>
      </c>
      <c r="BG4" vm="4713">
        <f ca="1"/>
        <v>862.65</v>
      </c>
      <c r="BH4" vm="4714">
        <f ca="1"/>
        <v>857.59</v>
      </c>
      <c r="BI4" vm="4715">
        <f ca="1"/>
        <v>855.62</v>
      </c>
      <c r="BJ4" vm="4716">
        <f ca="1"/>
        <v>850</v>
      </c>
      <c r="BK4" vm="4717">
        <f ca="1"/>
        <v>854.79</v>
      </c>
      <c r="BL4" vm="4718">
        <f ca="1"/>
        <v>871.86</v>
      </c>
      <c r="BM4" vm="4719">
        <f ca="1"/>
        <v>873.35</v>
      </c>
      <c r="BN4" vm="4720">
        <f ca="1"/>
        <v>867.84</v>
      </c>
      <c r="BO4" vm="4721">
        <f ca="1"/>
        <v>865.65</v>
      </c>
      <c r="BP4" vm="4722">
        <f ca="1"/>
        <v>862.34</v>
      </c>
      <c r="BQ4" vm="4723">
        <f ca="1"/>
        <v>854.5</v>
      </c>
      <c r="BR4" vm="4724">
        <f ca="1"/>
        <v>875.74</v>
      </c>
      <c r="BS4" vm="4725">
        <f ca="1"/>
        <v>889.1</v>
      </c>
      <c r="BT4" vm="4726">
        <f ca="1"/>
        <v>882.58</v>
      </c>
      <c r="BU4" vm="4727">
        <f ca="1"/>
        <v>915.31</v>
      </c>
      <c r="BV4" vm="4728">
        <f ca="1"/>
        <v>924.88</v>
      </c>
      <c r="BW4" vm="4729">
        <f ca="1"/>
        <v>943.08</v>
      </c>
      <c r="BX4" vm="4730">
        <f ca="1"/>
        <v>941.93</v>
      </c>
      <c r="BY4" vm="4731">
        <f ca="1"/>
        <v>950.98</v>
      </c>
      <c r="BZ4" vm="4732">
        <f ca="1"/>
        <v>956.75</v>
      </c>
      <c r="CA4" vm="4733">
        <f ca="1"/>
        <v>963.61</v>
      </c>
      <c r="CB4" vm="4734">
        <f ca="1"/>
        <v>964.26</v>
      </c>
      <c r="CC4" vm="4735">
        <f ca="1"/>
        <v>982.86</v>
      </c>
      <c r="CD4" vm="4736">
        <f ca="1"/>
        <v>976.17</v>
      </c>
      <c r="CE4" vm="4737">
        <f ca="1"/>
        <v>983.25</v>
      </c>
      <c r="CF4" vm="4738">
        <f ca="1"/>
        <v>977.67</v>
      </c>
      <c r="CG4" vm="4739">
        <f ca="1"/>
        <v>970.28</v>
      </c>
      <c r="CH4" vm="4740">
        <f ca="1"/>
        <v>960.78</v>
      </c>
      <c r="CI4" vm="4741">
        <f ca="1"/>
        <v>952.89</v>
      </c>
      <c r="CJ4" vm="4742">
        <f ca="1"/>
        <v>940.25</v>
      </c>
      <c r="CK4" vm="4743">
        <f ca="1"/>
        <v>968.36</v>
      </c>
      <c r="CL4" vm="4744">
        <f ca="1"/>
        <v>977.92</v>
      </c>
      <c r="CM4" vm="4745">
        <f ca="1"/>
        <v>978.35</v>
      </c>
      <c r="CN4" vm="4746">
        <f ca="1"/>
        <v>989.29</v>
      </c>
      <c r="CO4" vm="4747">
        <f ca="1"/>
        <v>1001.16</v>
      </c>
      <c r="CP4" vm="4748">
        <f ca="1"/>
        <v>997.59</v>
      </c>
      <c r="CQ4" vm="4749">
        <f ca="1"/>
        <v>971.23</v>
      </c>
      <c r="CR4" vm="4750">
        <f ca="1"/>
        <v>978.14</v>
      </c>
      <c r="CS4" vm="4751">
        <f ca="1"/>
        <v>998.86</v>
      </c>
      <c r="CT4" vm="4752">
        <f ca="1"/>
        <v>1018.48</v>
      </c>
      <c r="CU4" vm="4753">
        <f ca="1"/>
        <v>1012.05</v>
      </c>
      <c r="CV4" vm="4754">
        <f ca="1"/>
        <v>996.08</v>
      </c>
      <c r="CW4" vm="4755">
        <f ca="1"/>
        <v>987.82</v>
      </c>
      <c r="CX4" vm="4756">
        <f ca="1"/>
        <v>985.27</v>
      </c>
      <c r="CY4" vm="4757">
        <f ca="1"/>
        <v>986.02</v>
      </c>
      <c r="CZ4" vm="4758">
        <f ca="1"/>
        <v>998.43</v>
      </c>
      <c r="DA4" vm="4759">
        <f ca="1"/>
        <v>994.76</v>
      </c>
      <c r="DB4" vm="4760">
        <f ca="1"/>
        <v>986.74</v>
      </c>
      <c r="DC4" vm="4761">
        <f ca="1"/>
        <v>1010.79</v>
      </c>
      <c r="DD4" vm="4762">
        <f ca="1"/>
        <v>1002.77</v>
      </c>
      <c r="DE4" vm="4763">
        <f ca="1"/>
        <v>1007.77</v>
      </c>
      <c r="DF4" vm="4764">
        <f ca="1"/>
        <v>1006.74</v>
      </c>
      <c r="DG4" vm="4765">
        <f ca="1"/>
        <v>982.57</v>
      </c>
      <c r="DH4" vm="4766">
        <f ca="1"/>
        <v>998.1</v>
      </c>
      <c r="DI4" vm="4767">
        <f ca="1"/>
        <v>1005.3</v>
      </c>
      <c r="DJ4" vm="4768">
        <f ca="1"/>
        <v>997.36</v>
      </c>
      <c r="DK4" vm="4769">
        <f ca="1"/>
        <v>992.23</v>
      </c>
      <c r="DL4" vm="4770">
        <f ca="1"/>
        <v>1003.32</v>
      </c>
      <c r="DM4" vm="4771">
        <f ca="1"/>
        <v>1008.43</v>
      </c>
      <c r="DN4" vm="4772">
        <f ca="1"/>
        <v>1001.74</v>
      </c>
      <c r="DO4" vm="4773">
        <f ca="1"/>
        <v>996.16</v>
      </c>
      <c r="DP4" vm="4774">
        <f ca="1"/>
        <v>979.92</v>
      </c>
      <c r="DQ4" vm="4775">
        <f ca="1"/>
        <v>974.78</v>
      </c>
      <c r="DR4" vm="4776">
        <f ca="1"/>
        <v>972.33</v>
      </c>
      <c r="DS4" vm="4777">
        <f ca="1"/>
        <v>965.73</v>
      </c>
      <c r="DT4" vm="4778">
        <f ca="1"/>
        <v>973.82</v>
      </c>
      <c r="DU4" vm="4779">
        <f ca="1"/>
        <v>974.86</v>
      </c>
      <c r="DV4" vm="4780">
        <f ca="1"/>
        <v>979.65</v>
      </c>
      <c r="DW4" vm="4781">
        <f ca="1"/>
        <v>983.86</v>
      </c>
      <c r="DX4" vm="4782">
        <f ca="1"/>
        <v>996.58</v>
      </c>
      <c r="DY4" vm="4783">
        <f ca="1"/>
        <v>996.43</v>
      </c>
      <c r="DZ4" vm="4784">
        <f ca="1"/>
        <v>996.56</v>
      </c>
      <c r="EA4" vm="4785">
        <f ca="1"/>
        <v>1014.96</v>
      </c>
      <c r="EB4" vm="4786">
        <f ca="1"/>
        <v>1018.55</v>
      </c>
      <c r="EC4" vm="4787">
        <f ca="1"/>
        <v>1013.21</v>
      </c>
      <c r="ED4" vm="4788">
        <f ca="1"/>
        <v>1030.27</v>
      </c>
      <c r="EE4" vm="4789">
        <f ca="1"/>
        <v>1032.03</v>
      </c>
      <c r="EF4" vm="4790">
        <f ca="1"/>
        <v>998.47</v>
      </c>
      <c r="EG4" vm="4791">
        <f ca="1"/>
        <v>980.85</v>
      </c>
      <c r="EH4" vm="4792">
        <f ca="1"/>
        <v>974.8</v>
      </c>
      <c r="EI4" vm="4793">
        <f ca="1"/>
        <v>984.75</v>
      </c>
      <c r="EJ4" vm="4794">
        <f ca="1"/>
        <v>987.21</v>
      </c>
      <c r="EK4" vm="4795">
        <f ca="1"/>
        <v>999.89</v>
      </c>
      <c r="EL4" vm="4796">
        <f ca="1"/>
        <v>997.84</v>
      </c>
      <c r="EM4" vm="4797">
        <f ca="1"/>
        <v>1005.81</v>
      </c>
      <c r="EN4" vm="4798">
        <f ca="1"/>
        <v>1003.7</v>
      </c>
      <c r="EO4" vm="4799">
        <f ca="1"/>
        <v>1014.38</v>
      </c>
      <c r="EP4" vm="4800">
        <f ca="1"/>
        <v>1011.15</v>
      </c>
      <c r="EQ4" vm="4801">
        <f ca="1"/>
        <v>998.01</v>
      </c>
      <c r="ER4" vm="4802">
        <f ca="1"/>
        <v>994</v>
      </c>
      <c r="ES4" vm="4803">
        <f ca="1"/>
        <v>998.67</v>
      </c>
      <c r="ET4" vm="4804">
        <f ca="1"/>
        <v>1014.53</v>
      </c>
      <c r="EU4" vm="4805">
        <f ca="1"/>
        <v>1011.7</v>
      </c>
      <c r="EV4" vm="4806">
        <f ca="1"/>
        <v>1012.79</v>
      </c>
      <c r="EW4" vm="4807">
        <f ca="1"/>
        <v>1016.42</v>
      </c>
      <c r="EX4" vm="4808">
        <f ca="1"/>
        <v>995.75</v>
      </c>
      <c r="EY4" vm="4809">
        <f ca="1"/>
        <v>1012.06</v>
      </c>
      <c r="EZ4" vm="4810">
        <f ca="1"/>
        <v>1008.79</v>
      </c>
      <c r="FA4" vm="4811">
        <f ca="1"/>
        <v>999.47</v>
      </c>
      <c r="FB4" vm="4812">
        <f ca="1"/>
        <v>1021.88</v>
      </c>
      <c r="FC4" vm="4813">
        <f ca="1"/>
        <v>1033.08</v>
      </c>
      <c r="FD4" vm="4814">
        <f ca="1"/>
        <v>1041.25</v>
      </c>
      <c r="FE4" vm="4815">
        <f ca="1"/>
        <v>1048.95</v>
      </c>
      <c r="FF4" vm="4816">
        <f ca="1"/>
        <v>1076.47</v>
      </c>
      <c r="FG4" vm="4817">
        <f ca="1"/>
        <v>1094.32</v>
      </c>
      <c r="FH4" vm="4818">
        <f ca="1"/>
        <v>1074.01</v>
      </c>
      <c r="FI4" vm="4819">
        <f ca="1"/>
        <v>1050.45</v>
      </c>
      <c r="FJ4" vm="4820">
        <f ca="1"/>
        <v>1028.24</v>
      </c>
      <c r="FK4" vm="4821">
        <f ca="1"/>
        <v>1002.93</v>
      </c>
      <c r="FL4" vm="4822">
        <f ca="1"/>
        <v>1003.69</v>
      </c>
      <c r="FM4" vm="4823">
        <f ca="1"/>
        <v>995.2</v>
      </c>
      <c r="FN4" vm="4824">
        <f ca="1"/>
        <v>956.32</v>
      </c>
      <c r="FO4" vm="4825">
        <f ca="1"/>
        <v>946.11</v>
      </c>
      <c r="FP4" vm="4826">
        <f ca="1"/>
        <v>954.27</v>
      </c>
      <c r="FQ4" vm="4827">
        <f ca="1"/>
        <v>961.83</v>
      </c>
      <c r="FR4" vm="4828">
        <f ca="1"/>
        <v>972.35</v>
      </c>
      <c r="FS4" vm="4829">
        <f ca="1"/>
        <v>971.87</v>
      </c>
      <c r="FT4" vm="4830">
        <f ca="1"/>
        <v>974.75</v>
      </c>
      <c r="FU4" vm="4831">
        <f ca="1"/>
        <v>968.59</v>
      </c>
      <c r="FV4" vm="4832">
        <f ca="1"/>
        <v>983.37</v>
      </c>
      <c r="FW4" vm="4833">
        <f ca="1"/>
        <v>975.69</v>
      </c>
      <c r="FX4" vm="4834">
        <f ca="1"/>
        <v>982.35</v>
      </c>
      <c r="FY4" vm="4835">
        <f ca="1"/>
        <v>979.45</v>
      </c>
      <c r="FZ4" vm="4836">
        <f ca="1"/>
        <v>986.68</v>
      </c>
      <c r="GA4" vm="4837">
        <f ca="1"/>
        <v>965.59</v>
      </c>
      <c r="GB4" vm="4838">
        <f ca="1"/>
        <v>951.45</v>
      </c>
      <c r="GC4" vm="4839">
        <f ca="1"/>
        <v>951.35</v>
      </c>
      <c r="GD4" vm="4840">
        <f ca="1"/>
        <v>957.68</v>
      </c>
      <c r="GE4" vm="4841">
        <f ca="1"/>
        <v>961.09</v>
      </c>
      <c r="GF4" vm="4842">
        <f ca="1"/>
        <v>942.24</v>
      </c>
      <c r="GG4" vm="4843">
        <f ca="1"/>
        <v>952.54</v>
      </c>
      <c r="GH4" vm="4844">
        <f ca="1"/>
        <v>946.68</v>
      </c>
      <c r="GI4" vm="4845">
        <f ca="1"/>
        <v>935.47</v>
      </c>
      <c r="GJ4" vm="4846">
        <f ca="1"/>
        <v>924.67</v>
      </c>
      <c r="GK4" vm="4847">
        <f ca="1"/>
        <v>951.67</v>
      </c>
      <c r="GL4" vm="4848">
        <f ca="1"/>
        <v>950.25</v>
      </c>
      <c r="GM4" vm="4849">
        <f ca="1"/>
        <v>947.5</v>
      </c>
      <c r="GN4" vm="4850">
        <f ca="1"/>
        <v>953.13</v>
      </c>
      <c r="GO4" vm="4851">
        <f ca="1"/>
        <v>912.97</v>
      </c>
      <c r="GP4" vm="4852">
        <f ca="1"/>
        <v>916.25</v>
      </c>
      <c r="GQ4" vm="4853">
        <f ca="1"/>
        <v>926.43</v>
      </c>
      <c r="GR4" vm="4854">
        <f ca="1"/>
        <v>921.75</v>
      </c>
      <c r="GS4" vm="4855">
        <f ca="1"/>
        <v>916.54</v>
      </c>
      <c r="GT4" vm="4856">
        <f ca="1"/>
        <v>945.57</v>
      </c>
      <c r="GU4" vm="4857">
        <f ca="1"/>
        <v>940.87</v>
      </c>
      <c r="GV4" vm="4858">
        <f ca="1"/>
        <v>935.8</v>
      </c>
      <c r="GW4" vm="4859">
        <f ca="1"/>
        <v>929.22</v>
      </c>
      <c r="GX4" vm="4860">
        <f ca="1"/>
        <v>927.31</v>
      </c>
      <c r="GY4" vm="4861">
        <f ca="1"/>
        <v>926.06</v>
      </c>
      <c r="GZ4" vm="4684">
        <f ca="1"/>
        <v>935.03</v>
      </c>
      <c r="HA4" vm="4862">
        <f ca="1"/>
        <v>951.58</v>
      </c>
      <c r="HB4" vm="4863">
        <f ca="1"/>
        <v>966.58</v>
      </c>
      <c r="HC4" vm="4864">
        <f ca="1"/>
        <v>974.03</v>
      </c>
      <c r="HD4" vm="4865">
        <f ca="1"/>
        <v>954.17</v>
      </c>
      <c r="HE4" vm="4866">
        <f ca="1"/>
        <v>951.89</v>
      </c>
      <c r="HF4" vm="4867">
        <f ca="1"/>
        <v>954.08</v>
      </c>
      <c r="HG4" vm="4868">
        <f ca="1"/>
        <v>947.85</v>
      </c>
      <c r="HH4" vm="4869">
        <f ca="1"/>
        <v>941.99</v>
      </c>
      <c r="HI4" vm="4870">
        <f ca="1"/>
        <v>949.15</v>
      </c>
      <c r="HJ4" vm="4871">
        <f ca="1"/>
        <v>947.82</v>
      </c>
      <c r="HK4" vm="4872">
        <f ca="1"/>
        <v>952.75</v>
      </c>
      <c r="HL4" vm="4873">
        <f ca="1"/>
        <v>944.32</v>
      </c>
      <c r="HM4" vm="4874">
        <f ca="1"/>
        <v>949.57500000000005</v>
      </c>
      <c r="HN4" vm="4875">
        <f ca="1"/>
        <v>961.85</v>
      </c>
      <c r="HO4" vm="4876">
        <f ca="1"/>
        <v>961.1</v>
      </c>
      <c r="HP4" vm="4877">
        <f ca="1"/>
        <v>953.5</v>
      </c>
      <c r="HQ4" vm="4878">
        <f ca="1"/>
        <v>961.35</v>
      </c>
      <c r="HR4" vm="4879">
        <f ca="1"/>
        <v>956.99</v>
      </c>
      <c r="HS4" vm="4880">
        <f ca="1"/>
        <v>933.51</v>
      </c>
      <c r="HT4" vm="4881">
        <f ca="1"/>
        <v>947.74</v>
      </c>
      <c r="HU4" vm="4882">
        <f ca="1"/>
        <v>971.4</v>
      </c>
      <c r="HV4" vm="4883">
        <f ca="1"/>
        <v>960.01</v>
      </c>
      <c r="HW4" vm="4884">
        <f ca="1"/>
        <v>956.12</v>
      </c>
      <c r="HX4" vm="4885">
        <f ca="1"/>
        <v>934.66</v>
      </c>
      <c r="HY4" vm="4886">
        <f ca="1"/>
        <v>945.47</v>
      </c>
      <c r="HZ4" vm="4887">
        <f ca="1"/>
        <v>943.89</v>
      </c>
      <c r="IA4" vm="4888">
        <f ca="1"/>
        <v>939.96</v>
      </c>
      <c r="IB4" vm="4889">
        <f ca="1"/>
        <v>928.48</v>
      </c>
      <c r="IC4" vm="4890">
        <f ca="1"/>
        <v>925.41</v>
      </c>
      <c r="ID4" vm="4891">
        <f ca="1"/>
        <v>915.74</v>
      </c>
      <c r="IE4" vm="4892">
        <f ca="1"/>
        <v>910.18</v>
      </c>
      <c r="IF4" vm="4893">
        <f ca="1"/>
        <v>902.6</v>
      </c>
      <c r="IG4" vm="4894">
        <f ca="1"/>
        <v>902.38</v>
      </c>
      <c r="IH4" vm="4895">
        <f ca="1"/>
        <v>904.77</v>
      </c>
      <c r="II4" vm="4896">
        <f ca="1"/>
        <v>918.91</v>
      </c>
      <c r="IJ4" vm="4897">
        <f ca="1"/>
        <v>901.35</v>
      </c>
      <c r="IK4" vm="4898">
        <f ca="1"/>
        <v>893.74</v>
      </c>
      <c r="IL4" vm="4899">
        <f ca="1"/>
        <v>893.93</v>
      </c>
      <c r="IM4" vm="4900">
        <f ca="1"/>
        <v>895.31</v>
      </c>
      <c r="IN4" vm="4901">
        <f ca="1"/>
        <v>898.48</v>
      </c>
      <c r="IO4" vm="4902">
        <f ca="1"/>
        <v>899.41</v>
      </c>
      <c r="IP4" vm="4903">
        <f ca="1"/>
        <v>904.7</v>
      </c>
      <c r="IQ4" vm="4904">
        <f ca="1"/>
        <v>896.48</v>
      </c>
      <c r="IR4" vm="4905">
        <f ca="1"/>
        <v>922.76499999999999</v>
      </c>
      <c r="IS4" vm="4906">
        <f ca="1"/>
        <v>922.92</v>
      </c>
    </row>
    <row r="6" spans="1:253" x14ac:dyDescent="0.35">
      <c r="A6" t="str" cm="1">
        <f t="array" aca="1" ref="A6:F26" ca="1">_xlfn.STOCKHISTORY(A4&amp;":"&amp;B4,TODAY()-30,TODAY(),0,1,0,5,2,3,4,1)</f>
        <v>Date</v>
      </c>
      <c r="B6" t="str">
        <f ca="1"/>
        <v>Volume</v>
      </c>
      <c r="C6" t="str">
        <f ca="1"/>
        <v>Open</v>
      </c>
      <c r="D6" t="str">
        <f ca="1"/>
        <v>High</v>
      </c>
      <c r="E6" t="str">
        <f ca="1"/>
        <v>Low</v>
      </c>
      <c r="F6" t="str">
        <f ca="1"/>
        <v>Close</v>
      </c>
    </row>
    <row r="7" spans="1:253" x14ac:dyDescent="0.35">
      <c r="A7" vm="257">
        <f ca="1"/>
        <v>46265</v>
      </c>
      <c r="B7" vm="4907">
        <f ca="1"/>
        <v>2393041</v>
      </c>
      <c r="C7" vm="4908">
        <f ca="1"/>
        <v>945.19</v>
      </c>
      <c r="D7" vm="4909">
        <f ca="1"/>
        <v>949.3</v>
      </c>
      <c r="E7" vm="4910">
        <f ca="1"/>
        <v>940.71</v>
      </c>
      <c r="F7" vm="4887">
        <f ca="1"/>
        <v>943.89</v>
      </c>
    </row>
    <row r="8" spans="1:253" x14ac:dyDescent="0.35">
      <c r="A8" vm="258">
        <f ca="1"/>
        <v>46266</v>
      </c>
      <c r="B8" vm="4911">
        <f ca="1"/>
        <v>1508559</v>
      </c>
      <c r="C8" vm="4912">
        <f ca="1"/>
        <v>947.35</v>
      </c>
      <c r="D8" vm="4913">
        <f ca="1"/>
        <v>952.09500000000003</v>
      </c>
      <c r="E8" vm="4914">
        <f ca="1"/>
        <v>935.92499999999995</v>
      </c>
      <c r="F8" vm="4888">
        <f ca="1"/>
        <v>939.96</v>
      </c>
    </row>
    <row r="9" spans="1:253" x14ac:dyDescent="0.35">
      <c r="A9" vm="259">
        <f ca="1"/>
        <v>46267</v>
      </c>
      <c r="B9" vm="4915">
        <f ca="1"/>
        <v>2166373</v>
      </c>
      <c r="C9" vm="4916">
        <f ca="1"/>
        <v>938.49</v>
      </c>
      <c r="D9" vm="4917">
        <f ca="1"/>
        <v>938.88</v>
      </c>
      <c r="E9" vm="4918">
        <f ca="1"/>
        <v>920.31010000000003</v>
      </c>
      <c r="F9" vm="4889">
        <f ca="1"/>
        <v>928.48</v>
      </c>
    </row>
    <row r="10" spans="1:253" x14ac:dyDescent="0.35">
      <c r="A10" vm="260">
        <f ca="1"/>
        <v>46268</v>
      </c>
      <c r="B10" vm="4919">
        <f ca="1"/>
        <v>2172780</v>
      </c>
      <c r="C10" vm="4920">
        <f ca="1"/>
        <v>927.79</v>
      </c>
      <c r="D10" vm="4921">
        <f ca="1"/>
        <v>930.76</v>
      </c>
      <c r="E10" vm="4727">
        <f ca="1"/>
        <v>915.31</v>
      </c>
      <c r="F10" vm="4890">
        <f ca="1"/>
        <v>925.41</v>
      </c>
    </row>
    <row r="11" spans="1:253" x14ac:dyDescent="0.35">
      <c r="A11" vm="261">
        <f ca="1"/>
        <v>46269</v>
      </c>
      <c r="B11" vm="4922">
        <f ca="1"/>
        <v>2079070</v>
      </c>
      <c r="C11" vm="4923">
        <f ca="1"/>
        <v>926.09</v>
      </c>
      <c r="D11" vm="4682">
        <f ca="1"/>
        <v>928.04</v>
      </c>
      <c r="E11" vm="4924">
        <f ca="1"/>
        <v>914.54</v>
      </c>
      <c r="F11" vm="4891">
        <f ca="1"/>
        <v>915.74</v>
      </c>
    </row>
    <row r="12" spans="1:253" x14ac:dyDescent="0.35">
      <c r="A12" vm="262">
        <f ca="1"/>
        <v>46273</v>
      </c>
      <c r="B12" vm="4925">
        <f ca="1"/>
        <v>2240323</v>
      </c>
      <c r="C12" vm="4926">
        <f ca="1"/>
        <v>912.4</v>
      </c>
      <c r="D12" vm="4927">
        <f ca="1"/>
        <v>915.13</v>
      </c>
      <c r="E12" vm="4928">
        <f ca="1"/>
        <v>906.1</v>
      </c>
      <c r="F12" vm="4892">
        <f ca="1"/>
        <v>910.18</v>
      </c>
    </row>
    <row r="13" spans="1:253" x14ac:dyDescent="0.35">
      <c r="A13" vm="263">
        <f ca="1"/>
        <v>46274</v>
      </c>
      <c r="B13" vm="4929">
        <f ca="1"/>
        <v>2067832</v>
      </c>
      <c r="C13" vm="4930">
        <f ca="1"/>
        <v>907</v>
      </c>
      <c r="D13" vm="4931">
        <f ca="1"/>
        <v>909.22990000000004</v>
      </c>
      <c r="E13" vm="4932">
        <f ca="1"/>
        <v>898.43</v>
      </c>
      <c r="F13" vm="4893">
        <f ca="1"/>
        <v>902.6</v>
      </c>
    </row>
    <row r="14" spans="1:253" x14ac:dyDescent="0.35">
      <c r="A14" vm="264">
        <f ca="1"/>
        <v>46275</v>
      </c>
      <c r="B14" vm="4933">
        <f ca="1"/>
        <v>1921405</v>
      </c>
      <c r="C14" vm="4934">
        <f ca="1"/>
        <v>906.62</v>
      </c>
      <c r="D14" vm="4935">
        <f ca="1"/>
        <v>912.1</v>
      </c>
      <c r="E14" vm="4936">
        <f ca="1"/>
        <v>899</v>
      </c>
      <c r="F14" vm="4894">
        <f ca="1"/>
        <v>902.38</v>
      </c>
    </row>
    <row r="15" spans="1:253" x14ac:dyDescent="0.35">
      <c r="A15" vm="265">
        <f ca="1"/>
        <v>46276</v>
      </c>
      <c r="B15" vm="4937">
        <f ca="1"/>
        <v>1763239</v>
      </c>
      <c r="C15" vm="4938">
        <f ca="1"/>
        <v>905.17</v>
      </c>
      <c r="D15" vm="4939">
        <f ca="1"/>
        <v>907.35879999999997</v>
      </c>
      <c r="E15" vm="4940">
        <f ca="1"/>
        <v>900.75</v>
      </c>
      <c r="F15" vm="4895">
        <f ca="1"/>
        <v>904.77</v>
      </c>
    </row>
    <row r="16" spans="1:253" x14ac:dyDescent="0.35">
      <c r="A16" vm="266">
        <f ca="1"/>
        <v>46279</v>
      </c>
      <c r="B16" vm="4941">
        <f ca="1"/>
        <v>2014224</v>
      </c>
      <c r="C16" vm="4942">
        <f ca="1"/>
        <v>913.64499999999998</v>
      </c>
      <c r="D16" vm="4943">
        <f ca="1"/>
        <v>921.99</v>
      </c>
      <c r="E16" vm="4944">
        <f ca="1"/>
        <v>910.79</v>
      </c>
      <c r="F16" vm="4896">
        <f ca="1"/>
        <v>918.91</v>
      </c>
    </row>
    <row r="17" spans="1:6" x14ac:dyDescent="0.35">
      <c r="A17" vm="267">
        <f ca="1"/>
        <v>46280</v>
      </c>
      <c r="B17" vm="4945">
        <f ca="1"/>
        <v>2184182</v>
      </c>
      <c r="C17" vm="4946">
        <f ca="1"/>
        <v>916.92</v>
      </c>
      <c r="D17" vm="4946">
        <f ca="1"/>
        <v>916.92</v>
      </c>
      <c r="E17" vm="4947">
        <f ca="1"/>
        <v>900.25</v>
      </c>
      <c r="F17" vm="4897">
        <f ca="1"/>
        <v>901.35</v>
      </c>
    </row>
    <row r="18" spans="1:6" x14ac:dyDescent="0.35">
      <c r="A18" vm="268">
        <f ca="1"/>
        <v>46281</v>
      </c>
      <c r="B18" vm="4948">
        <f ca="1"/>
        <v>2101651</v>
      </c>
      <c r="C18" vm="4949">
        <f ca="1"/>
        <v>901.05</v>
      </c>
      <c r="D18" vm="4950">
        <f ca="1"/>
        <v>902</v>
      </c>
      <c r="E18" vm="4951">
        <f ca="1"/>
        <v>892.67</v>
      </c>
      <c r="F18" vm="4898">
        <f ca="1"/>
        <v>893.74</v>
      </c>
    </row>
    <row r="19" spans="1:6" x14ac:dyDescent="0.35">
      <c r="A19" vm="269">
        <f ca="1"/>
        <v>46282</v>
      </c>
      <c r="B19" vm="4952">
        <f ca="1"/>
        <v>2322546</v>
      </c>
      <c r="C19" vm="4953">
        <f ca="1"/>
        <v>895.31500000000005</v>
      </c>
      <c r="D19" vm="4954">
        <f ca="1"/>
        <v>895.99990000000003</v>
      </c>
      <c r="E19" vm="4955">
        <f ca="1"/>
        <v>888.04</v>
      </c>
      <c r="F19" vm="4899">
        <f ca="1"/>
        <v>893.93</v>
      </c>
    </row>
    <row r="20" spans="1:6" x14ac:dyDescent="0.35">
      <c r="A20" vm="270">
        <f ca="1"/>
        <v>46283</v>
      </c>
      <c r="B20" vm="4956">
        <f ca="1"/>
        <v>4180440</v>
      </c>
      <c r="C20" vm="4957">
        <f ca="1"/>
        <v>892.42499999999995</v>
      </c>
      <c r="D20" vm="4958">
        <f ca="1"/>
        <v>898.4</v>
      </c>
      <c r="E20" vm="4959">
        <f ca="1"/>
        <v>890.55</v>
      </c>
      <c r="F20" vm="4900">
        <f ca="1"/>
        <v>895.31</v>
      </c>
    </row>
    <row r="21" spans="1:6" x14ac:dyDescent="0.35">
      <c r="A21" vm="271">
        <f ca="1"/>
        <v>46286</v>
      </c>
      <c r="B21" vm="4960">
        <f ca="1"/>
        <v>2163492</v>
      </c>
      <c r="C21" vm="4961">
        <f ca="1"/>
        <v>891.07</v>
      </c>
      <c r="D21" vm="4962">
        <f ca="1"/>
        <v>899.44</v>
      </c>
      <c r="E21" vm="4963">
        <f ca="1"/>
        <v>885.5</v>
      </c>
      <c r="F21" vm="4901">
        <f ca="1"/>
        <v>898.48</v>
      </c>
    </row>
    <row r="22" spans="1:6" x14ac:dyDescent="0.35">
      <c r="A22" vm="272">
        <f ca="1"/>
        <v>46287</v>
      </c>
      <c r="B22" vm="4964">
        <f ca="1"/>
        <v>1982884</v>
      </c>
      <c r="C22" vm="4965">
        <f ca="1"/>
        <v>902.255</v>
      </c>
      <c r="D22" vm="4966">
        <f ca="1"/>
        <v>903.4</v>
      </c>
      <c r="E22" vm="4967">
        <f ca="1"/>
        <v>895.84</v>
      </c>
      <c r="F22" vm="4902">
        <f ca="1"/>
        <v>899.41</v>
      </c>
    </row>
    <row r="23" spans="1:6" x14ac:dyDescent="0.35">
      <c r="A23" vm="273">
        <f ca="1"/>
        <v>46288</v>
      </c>
      <c r="B23" vm="4968">
        <f ca="1"/>
        <v>2283883</v>
      </c>
      <c r="C23" vm="4969">
        <f ca="1"/>
        <v>901.31</v>
      </c>
      <c r="D23" vm="4970">
        <f ca="1"/>
        <v>905.59</v>
      </c>
      <c r="E23" vm="4971">
        <f ca="1"/>
        <v>893.36</v>
      </c>
      <c r="F23" vm="4903">
        <f ca="1"/>
        <v>904.7</v>
      </c>
    </row>
    <row r="24" spans="1:6" x14ac:dyDescent="0.35">
      <c r="A24" vm="274">
        <f ca="1"/>
        <v>46289</v>
      </c>
      <c r="B24" vm="4972">
        <f ca="1"/>
        <v>2893294</v>
      </c>
      <c r="C24" vm="4973">
        <f ca="1"/>
        <v>908.81</v>
      </c>
      <c r="D24" vm="4974">
        <f ca="1"/>
        <v>909.42759999999998</v>
      </c>
      <c r="E24" vm="4975">
        <f ca="1"/>
        <v>895.26</v>
      </c>
      <c r="F24" vm="4904">
        <f ca="1"/>
        <v>896.48</v>
      </c>
    </row>
    <row r="25" spans="1:6" x14ac:dyDescent="0.35">
      <c r="A25" vm="275">
        <f ca="1"/>
        <v>46290</v>
      </c>
      <c r="B25" vm="4976">
        <f ca="1"/>
        <v>4631424</v>
      </c>
      <c r="C25" vm="4977">
        <f ca="1"/>
        <v>887</v>
      </c>
      <c r="D25" vm="4978">
        <f ca="1"/>
        <v>925.14</v>
      </c>
      <c r="E25" vm="4979">
        <f ca="1"/>
        <v>883.1</v>
      </c>
      <c r="F25" vm="4905">
        <f ca="1"/>
        <v>922.76499999999999</v>
      </c>
    </row>
    <row r="26" spans="1:6" x14ac:dyDescent="0.35">
      <c r="A26" vm="276">
        <f ca="1"/>
        <v>46293</v>
      </c>
      <c r="B26" vm="4980">
        <f ca="1"/>
        <v>2443760</v>
      </c>
      <c r="C26" vm="4981">
        <f ca="1"/>
        <v>924.38499999999999</v>
      </c>
      <c r="D26" vm="4982">
        <f ca="1"/>
        <v>931.09</v>
      </c>
      <c r="E26" vm="4983">
        <f ca="1"/>
        <v>913</v>
      </c>
      <c r="F26" vm="4906">
        <f ca="1"/>
        <v>922.92</v>
      </c>
    </row>
  </sheetData>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F31A16-245F-41CD-BD17-30CAA45B1D8B}">
  <dimension ref="A1:IS26"/>
  <sheetViews>
    <sheetView workbookViewId="0">
      <selection activeCell="H34" sqref="H34"/>
    </sheetView>
  </sheetViews>
  <sheetFormatPr defaultRowHeight="14.5" x14ac:dyDescent="0.35"/>
  <cols>
    <col min="1" max="1" width="22.1796875" bestFit="1" customWidth="1"/>
    <col min="2" max="2" width="39.81640625" bestFit="1" customWidth="1"/>
  </cols>
  <sheetData>
    <row r="1" spans="1:253" x14ac:dyDescent="0.35">
      <c r="A1" s="2" t="s">
        <v>8</v>
      </c>
      <c r="B1" t="e" vm="19">
        <v>#VALUE!</v>
      </c>
    </row>
    <row r="3" spans="1:253" x14ac:dyDescent="0.35">
      <c r="A3" s="2" t="s">
        <v>35</v>
      </c>
      <c r="B3" s="2" t="s">
        <v>25</v>
      </c>
    </row>
    <row r="4" spans="1:253" x14ac:dyDescent="0.35">
      <c r="A4" t="s">
        <v>37</v>
      </c>
      <c r="B4" t="s">
        <v>18</v>
      </c>
      <c r="C4" cm="1" vm="4984">
        <f t="array" aca="1" ref="C4:IS4" ca="1">TRANSPOSE(_xlfn.STOCKHISTORY(A4&amp;":"&amp;B4,TODAY()-365,TODAY(),0,0,1))</f>
        <v>133.9</v>
      </c>
      <c r="D4" vm="4985">
        <f ca="1"/>
        <v>141.77000000000001</v>
      </c>
      <c r="E4" vm="4986">
        <f ca="1"/>
        <v>149.68</v>
      </c>
      <c r="F4" vm="4987">
        <f ca="1"/>
        <v>147.37</v>
      </c>
      <c r="G4" vm="4988">
        <f ca="1"/>
        <v>140.74</v>
      </c>
      <c r="H4" vm="4989">
        <f ca="1"/>
        <v>145.76</v>
      </c>
      <c r="I4" vm="4990">
        <f ca="1"/>
        <v>150.87</v>
      </c>
      <c r="J4" vm="4991">
        <f ca="1"/>
        <v>164.53</v>
      </c>
      <c r="K4" vm="4992">
        <f ca="1"/>
        <v>155.94999999999999</v>
      </c>
      <c r="L4" vm="4993">
        <f ca="1"/>
        <v>150.57</v>
      </c>
      <c r="M4" vm="4994">
        <f ca="1"/>
        <v>153.4</v>
      </c>
      <c r="N4" vm="4995">
        <f ca="1"/>
        <v>148.77000000000001</v>
      </c>
      <c r="O4" vm="4996">
        <f ca="1"/>
        <v>153.69999999999999</v>
      </c>
      <c r="P4" vm="4997">
        <f ca="1"/>
        <v>151.31</v>
      </c>
      <c r="Q4" vm="4998">
        <f ca="1"/>
        <v>149.59</v>
      </c>
      <c r="R4" vm="4999">
        <f ca="1"/>
        <v>147.87</v>
      </c>
      <c r="S4" vm="5000">
        <f ca="1"/>
        <v>149.43</v>
      </c>
      <c r="T4" vm="5001">
        <f ca="1"/>
        <v>150.13</v>
      </c>
      <c r="U4" vm="5002">
        <f ca="1"/>
        <v>154.22999999999999</v>
      </c>
      <c r="V4" vm="5003">
        <f ca="1"/>
        <v>158.63999999999999</v>
      </c>
      <c r="W4" vm="5004">
        <f ca="1"/>
        <v>162.19</v>
      </c>
      <c r="X4" vm="5005">
        <f ca="1"/>
        <v>164.88</v>
      </c>
      <c r="Y4" vm="5006">
        <f ca="1"/>
        <v>163.6</v>
      </c>
      <c r="Z4" vm="5007">
        <f ca="1"/>
        <v>161.01</v>
      </c>
      <c r="AA4" vm="5008">
        <f ca="1"/>
        <v>162.01</v>
      </c>
      <c r="AB4" vm="5009">
        <f ca="1"/>
        <v>160.11000000000001</v>
      </c>
      <c r="AC4" vm="5010">
        <f ca="1"/>
        <v>154.63999999999999</v>
      </c>
      <c r="AD4" vm="1566">
        <f ca="1"/>
        <v>152.41</v>
      </c>
      <c r="AE4" vm="5011">
        <f ca="1"/>
        <v>149.18</v>
      </c>
      <c r="AF4" vm="5012">
        <f ca="1"/>
        <v>146.69999999999999</v>
      </c>
      <c r="AG4" vm="5013">
        <f ca="1"/>
        <v>142.69</v>
      </c>
      <c r="AH4" vm="5014">
        <f ca="1"/>
        <v>138.76</v>
      </c>
      <c r="AI4" vm="1934">
        <f ca="1"/>
        <v>140.71</v>
      </c>
      <c r="AJ4" vm="5015">
        <f ca="1"/>
        <v>133.94</v>
      </c>
      <c r="AK4" vm="5016">
        <f ca="1"/>
        <v>133.76</v>
      </c>
      <c r="AL4" vm="5017">
        <f ca="1"/>
        <v>122.48</v>
      </c>
      <c r="AM4" vm="1832">
        <f ca="1"/>
        <v>122.69</v>
      </c>
      <c r="AN4" vm="5018">
        <f ca="1"/>
        <v>119.38</v>
      </c>
      <c r="AO4" vm="5019">
        <f ca="1"/>
        <v>117.4</v>
      </c>
      <c r="AP4" vm="5020">
        <f ca="1"/>
        <v>122.51</v>
      </c>
      <c r="AQ4" vm="5021">
        <f ca="1"/>
        <v>127.22</v>
      </c>
      <c r="AR4" vm="5022">
        <f ca="1"/>
        <v>125.92</v>
      </c>
      <c r="AS4" vm="4212">
        <f ca="1"/>
        <v>133.26</v>
      </c>
      <c r="AT4" vm="5023">
        <f ca="1"/>
        <v>133.35</v>
      </c>
      <c r="AU4" vm="5024">
        <f ca="1"/>
        <v>132.09</v>
      </c>
      <c r="AV4" vm="5025">
        <f ca="1"/>
        <v>135.94999999999999</v>
      </c>
      <c r="AW4" vm="5026">
        <f ca="1"/>
        <v>133.63</v>
      </c>
      <c r="AX4" vm="5027">
        <f ca="1"/>
        <v>138.99</v>
      </c>
      <c r="AY4" vm="5028">
        <f ca="1"/>
        <v>138.91</v>
      </c>
      <c r="AZ4" vm="5029">
        <f ca="1"/>
        <v>140.41</v>
      </c>
      <c r="BA4" vm="5030">
        <f ca="1"/>
        <v>138.22</v>
      </c>
      <c r="BB4" vm="5031">
        <f ca="1"/>
        <v>140.63</v>
      </c>
      <c r="BC4" vm="5032">
        <f ca="1"/>
        <v>138.6</v>
      </c>
      <c r="BD4" vm="3651">
        <f ca="1"/>
        <v>129.97999999999999</v>
      </c>
      <c r="BE4" vm="5033">
        <f ca="1"/>
        <v>130.51</v>
      </c>
      <c r="BF4" vm="5034">
        <f ca="1"/>
        <v>133.75</v>
      </c>
      <c r="BG4" vm="5035">
        <f ca="1"/>
        <v>127.89</v>
      </c>
      <c r="BH4" vm="5036">
        <f ca="1"/>
        <v>122.94</v>
      </c>
      <c r="BI4" vm="5037">
        <f ca="1"/>
        <v>126.42</v>
      </c>
      <c r="BJ4" vm="5038">
        <f ca="1"/>
        <v>126.61</v>
      </c>
      <c r="BK4" vm="5039">
        <f ca="1"/>
        <v>127.62</v>
      </c>
      <c r="BL4" vm="5040">
        <f ca="1"/>
        <v>128.38</v>
      </c>
      <c r="BM4" vm="5041">
        <f ca="1"/>
        <v>129.24</v>
      </c>
      <c r="BN4" vm="5042">
        <f ca="1"/>
        <v>127.46</v>
      </c>
      <c r="BO4" vm="3649">
        <f ca="1"/>
        <v>127.92</v>
      </c>
      <c r="BP4" vm="5043">
        <f ca="1"/>
        <v>125.88</v>
      </c>
      <c r="BQ4" vm="5044">
        <f ca="1"/>
        <v>127.8</v>
      </c>
      <c r="BR4" vm="5045">
        <f ca="1"/>
        <v>124.01</v>
      </c>
      <c r="BS4" vm="5046">
        <f ca="1"/>
        <v>123.93</v>
      </c>
      <c r="BT4" vm="4225">
        <f ca="1"/>
        <v>120.07</v>
      </c>
      <c r="BU4" vm="5047">
        <f ca="1"/>
        <v>118.5</v>
      </c>
      <c r="BV4" vm="5048">
        <f ca="1"/>
        <v>120.62</v>
      </c>
      <c r="BW4" vm="5049">
        <f ca="1"/>
        <v>120.47</v>
      </c>
      <c r="BX4" vm="5050">
        <f ca="1"/>
        <v>119.66</v>
      </c>
      <c r="BY4" vm="5051">
        <f ca="1"/>
        <v>118.69</v>
      </c>
      <c r="BZ4" vm="5050">
        <f ca="1"/>
        <v>119.66</v>
      </c>
      <c r="CA4" vm="5052">
        <f ca="1"/>
        <v>120.53</v>
      </c>
      <c r="CB4" vm="5053">
        <f ca="1"/>
        <v>111.07</v>
      </c>
      <c r="CC4" vm="3690">
        <f ca="1"/>
        <v>113.26</v>
      </c>
      <c r="CD4" vm="5054">
        <f ca="1"/>
        <v>117.17</v>
      </c>
      <c r="CE4" vm="5055">
        <f ca="1"/>
        <v>115.43</v>
      </c>
      <c r="CF4" vm="5056">
        <f ca="1"/>
        <v>115.93</v>
      </c>
      <c r="CG4" vm="5057">
        <f ca="1"/>
        <v>114.66</v>
      </c>
      <c r="CH4" vm="5058">
        <f ca="1"/>
        <v>117.32</v>
      </c>
      <c r="CI4" vm="5059">
        <f ca="1"/>
        <v>118.49</v>
      </c>
      <c r="CJ4" vm="5060">
        <f ca="1"/>
        <v>114.44</v>
      </c>
      <c r="CK4" vm="5061">
        <f ca="1"/>
        <v>119.16</v>
      </c>
      <c r="CL4" vm="5062">
        <f ca="1"/>
        <v>117.15</v>
      </c>
      <c r="CM4" vm="5063">
        <f ca="1"/>
        <v>122.04</v>
      </c>
      <c r="CN4" vm="5064">
        <f ca="1"/>
        <v>115.39</v>
      </c>
      <c r="CO4" vm="5065">
        <f ca="1"/>
        <v>121.05</v>
      </c>
      <c r="CP4" vm="5066">
        <f ca="1"/>
        <v>120.91</v>
      </c>
      <c r="CQ4" vm="5067">
        <f ca="1"/>
        <v>126.01</v>
      </c>
      <c r="CR4" vm="5068">
        <f ca="1"/>
        <v>124.16</v>
      </c>
      <c r="CS4" vm="4228">
        <f ca="1"/>
        <v>112.82</v>
      </c>
      <c r="CT4" vm="4249">
        <f ca="1"/>
        <v>117.49</v>
      </c>
      <c r="CU4" vm="5069">
        <f ca="1"/>
        <v>116.09</v>
      </c>
      <c r="CV4" vm="5070">
        <f ca="1"/>
        <v>116.78</v>
      </c>
      <c r="CW4" vm="5071">
        <f ca="1"/>
        <v>119.06</v>
      </c>
      <c r="CX4" vm="5072">
        <f ca="1"/>
        <v>122.27</v>
      </c>
      <c r="CY4" vm="3597">
        <f ca="1"/>
        <v>119.14</v>
      </c>
      <c r="CZ4" vm="5073">
        <f ca="1"/>
        <v>119.78</v>
      </c>
      <c r="DA4" vm="5074">
        <f ca="1"/>
        <v>123.48</v>
      </c>
      <c r="DB4" vm="5075">
        <f ca="1"/>
        <v>121.45</v>
      </c>
      <c r="DC4" vm="5076">
        <f ca="1"/>
        <v>148.08000000000001</v>
      </c>
      <c r="DD4" vm="1506">
        <f ca="1"/>
        <v>153.55000000000001</v>
      </c>
      <c r="DE4" vm="5077">
        <f ca="1"/>
        <v>145.18</v>
      </c>
      <c r="DF4" vm="5078">
        <f ca="1"/>
        <v>147.1</v>
      </c>
      <c r="DG4" vm="5079">
        <f ca="1"/>
        <v>146.52000000000001</v>
      </c>
      <c r="DH4" vm="5080">
        <f ca="1"/>
        <v>146.47999999999999</v>
      </c>
      <c r="DI4" vm="5081">
        <f ca="1"/>
        <v>146.51</v>
      </c>
      <c r="DJ4" vm="5082">
        <f ca="1"/>
        <v>143.80000000000001</v>
      </c>
      <c r="DK4" vm="4987">
        <f ca="1"/>
        <v>147.37</v>
      </c>
      <c r="DL4" vm="5083">
        <f ca="1"/>
        <v>149.91</v>
      </c>
      <c r="DM4" vm="5084">
        <f ca="1"/>
        <v>151.62</v>
      </c>
      <c r="DN4" vm="1569">
        <f ca="1"/>
        <v>156.54</v>
      </c>
      <c r="DO4" vm="5085">
        <f ca="1"/>
        <v>153.01</v>
      </c>
      <c r="DP4" vm="5086">
        <f ca="1"/>
        <v>149.21</v>
      </c>
      <c r="DQ4" vm="5087">
        <f ca="1"/>
        <v>156.76</v>
      </c>
      <c r="DR4" vm="5088">
        <f ca="1"/>
        <v>157.66999999999999</v>
      </c>
      <c r="DS4" vm="5089">
        <f ca="1"/>
        <v>164.59</v>
      </c>
      <c r="DT4" vm="5090">
        <f ca="1"/>
        <v>176.91</v>
      </c>
      <c r="DU4" vm="5091">
        <f ca="1"/>
        <v>184.01</v>
      </c>
      <c r="DV4" vm="5092">
        <f ca="1"/>
        <v>175.82</v>
      </c>
      <c r="DW4" vm="5093">
        <f ca="1"/>
        <v>171.81</v>
      </c>
      <c r="DX4" vm="5094">
        <f ca="1"/>
        <v>164.66</v>
      </c>
      <c r="DY4" vm="5095">
        <f ca="1"/>
        <v>164.13</v>
      </c>
      <c r="DZ4" vm="5096">
        <f ca="1"/>
        <v>169.38</v>
      </c>
      <c r="EA4" vm="5097">
        <f ca="1"/>
        <v>174.37</v>
      </c>
      <c r="EB4" vm="5098">
        <f ca="1"/>
        <v>173.18</v>
      </c>
      <c r="EC4" vm="5099">
        <f ca="1"/>
        <v>177.69</v>
      </c>
      <c r="ED4" vm="3444">
        <f ca="1"/>
        <v>185.47</v>
      </c>
      <c r="EE4" vm="2906">
        <f ca="1"/>
        <v>181.46</v>
      </c>
      <c r="EF4" vm="5100">
        <f ca="1"/>
        <v>177.8</v>
      </c>
      <c r="EG4" vm="5101">
        <f ca="1"/>
        <v>189.79</v>
      </c>
      <c r="EH4" vm="5102">
        <f ca="1"/>
        <v>184.51</v>
      </c>
      <c r="EI4" vm="5103">
        <f ca="1"/>
        <v>177.28</v>
      </c>
      <c r="EJ4" vm="5104">
        <f ca="1"/>
        <v>193.09</v>
      </c>
      <c r="EK4" vm="5105">
        <f ca="1"/>
        <v>196.55</v>
      </c>
      <c r="EL4" vm="5106">
        <f ca="1"/>
        <v>204.24</v>
      </c>
      <c r="EM4" vm="5107">
        <f ca="1"/>
        <v>212.36</v>
      </c>
      <c r="EN4" vm="5108">
        <f ca="1"/>
        <v>214.65</v>
      </c>
      <c r="EO4" vm="5109">
        <f ca="1"/>
        <v>212.14</v>
      </c>
      <c r="EP4" vm="5110">
        <f ca="1"/>
        <v>216.09</v>
      </c>
      <c r="EQ4" vm="5111">
        <f ca="1"/>
        <v>215.97</v>
      </c>
      <c r="ER4" vm="5112">
        <f ca="1"/>
        <v>205.93</v>
      </c>
      <c r="ES4" vm="3297">
        <f ca="1"/>
        <v>205.66</v>
      </c>
      <c r="ET4" vm="5113">
        <f ca="1"/>
        <v>208.95</v>
      </c>
      <c r="EU4" vm="5114">
        <f ca="1"/>
        <v>210.17</v>
      </c>
      <c r="EV4" vm="5115">
        <f ca="1"/>
        <v>211.64</v>
      </c>
      <c r="EW4" vm="5116">
        <f ca="1"/>
        <v>216.32</v>
      </c>
      <c r="EX4" vm="5117">
        <f ca="1"/>
        <v>238.8</v>
      </c>
      <c r="EY4" vm="5118">
        <f ca="1"/>
        <v>230.27</v>
      </c>
      <c r="EZ4" vm="5119">
        <f ca="1"/>
        <v>260.45999999999998</v>
      </c>
      <c r="FA4" vm="959">
        <f ca="1"/>
        <v>247.04</v>
      </c>
      <c r="FB4" vm="5120">
        <f ca="1"/>
        <v>238.94</v>
      </c>
      <c r="FC4" vm="5121">
        <f ca="1"/>
        <v>243.87</v>
      </c>
      <c r="FD4" vm="5122">
        <f ca="1"/>
        <v>247.89</v>
      </c>
      <c r="FE4" vm="5123">
        <f ca="1"/>
        <v>241.99</v>
      </c>
      <c r="FF4" vm="293">
        <f ca="1"/>
        <v>238.03</v>
      </c>
      <c r="FG4" vm="5124">
        <f ca="1"/>
        <v>235.26</v>
      </c>
      <c r="FH4" vm="5125">
        <f ca="1"/>
        <v>242.93</v>
      </c>
      <c r="FI4" vm="5126">
        <f ca="1"/>
        <v>252.8</v>
      </c>
      <c r="FJ4" vm="5127">
        <f ca="1"/>
        <v>295.19</v>
      </c>
      <c r="FK4" vm="5128">
        <f ca="1"/>
        <v>305.08</v>
      </c>
      <c r="FL4" vm="5129">
        <f ca="1"/>
        <v>305.32</v>
      </c>
      <c r="FM4" vm="5130">
        <f ca="1"/>
        <v>317.05</v>
      </c>
      <c r="FN4" vm="5131">
        <f ca="1"/>
        <v>420.91</v>
      </c>
      <c r="FO4" vm="5132">
        <f ca="1"/>
        <v>465.96</v>
      </c>
      <c r="FP4" vm="5133">
        <f ca="1"/>
        <v>435.31</v>
      </c>
      <c r="FQ4" vm="5134">
        <f ca="1"/>
        <v>421.08</v>
      </c>
      <c r="FR4" vm="5135">
        <f ca="1"/>
        <v>422.05</v>
      </c>
      <c r="FS4" vm="5136">
        <f ca="1"/>
        <v>394.39</v>
      </c>
      <c r="FT4" vm="5137">
        <f ca="1"/>
        <v>400.77</v>
      </c>
      <c r="FU4" vm="5138">
        <f ca="1"/>
        <v>381.78</v>
      </c>
      <c r="FV4" vm="5139">
        <f ca="1"/>
        <v>369.83</v>
      </c>
      <c r="FW4" vm="5140">
        <f ca="1"/>
        <v>391.45</v>
      </c>
      <c r="FX4" vm="5141">
        <f ca="1"/>
        <v>395.57</v>
      </c>
      <c r="FY4" vm="5142">
        <f ca="1"/>
        <v>409.07</v>
      </c>
      <c r="FZ4" vm="5143">
        <f ca="1"/>
        <v>404.08</v>
      </c>
      <c r="GA4" vm="5144">
        <f ca="1"/>
        <v>419.32</v>
      </c>
      <c r="GB4" vm="5145">
        <f ca="1"/>
        <v>409.5</v>
      </c>
      <c r="GC4" vm="5146">
        <f ca="1"/>
        <v>418.71</v>
      </c>
      <c r="GD4" vm="5147">
        <f ca="1"/>
        <v>427.78</v>
      </c>
      <c r="GE4" vm="5148">
        <f ca="1"/>
        <v>434.06</v>
      </c>
      <c r="GF4" vm="5149">
        <f ca="1"/>
        <v>409.45</v>
      </c>
      <c r="GG4" vm="5150">
        <f ca="1"/>
        <v>399.49</v>
      </c>
      <c r="GH4" vm="5151">
        <f ca="1"/>
        <v>414.61</v>
      </c>
      <c r="GI4" vm="5152">
        <f ca="1"/>
        <v>431.46</v>
      </c>
      <c r="GJ4" vm="5153">
        <f ca="1"/>
        <v>425.25</v>
      </c>
      <c r="GK4" vm="5154">
        <f ca="1"/>
        <v>394.32</v>
      </c>
      <c r="GL4" vm="5155">
        <f ca="1"/>
        <v>411.8</v>
      </c>
      <c r="GM4" vm="5156">
        <f ca="1"/>
        <v>417.28</v>
      </c>
      <c r="GN4" vm="5157">
        <f ca="1"/>
        <v>431.97</v>
      </c>
      <c r="GO4" vm="5158">
        <f ca="1"/>
        <v>450.22</v>
      </c>
      <c r="GP4" vm="5159">
        <f ca="1"/>
        <v>434.97</v>
      </c>
      <c r="GQ4" vm="5160">
        <f ca="1"/>
        <v>427.11</v>
      </c>
      <c r="GR4" vm="5161">
        <f ca="1"/>
        <v>457.54</v>
      </c>
      <c r="GS4" vm="5162">
        <f ca="1"/>
        <v>412.68</v>
      </c>
      <c r="GT4" vm="5163">
        <f ca="1"/>
        <v>391.38</v>
      </c>
      <c r="GU4" vm="5164">
        <f ca="1"/>
        <v>396.34</v>
      </c>
      <c r="GV4" vm="5165">
        <f ca="1"/>
        <v>381.88</v>
      </c>
      <c r="GW4" vm="5166">
        <f ca="1"/>
        <v>404.15</v>
      </c>
      <c r="GX4" vm="5167">
        <f ca="1"/>
        <v>441.8</v>
      </c>
      <c r="GY4" vm="5168">
        <f ca="1"/>
        <v>439.34</v>
      </c>
      <c r="GZ4" vm="5169">
        <f ca="1"/>
        <v>437.5</v>
      </c>
      <c r="HA4" vm="5170">
        <f ca="1"/>
        <v>426.91</v>
      </c>
      <c r="HB4" vm="5171">
        <f ca="1"/>
        <v>392.1</v>
      </c>
      <c r="HC4" vm="5172">
        <f ca="1"/>
        <v>369.64</v>
      </c>
      <c r="HD4" vm="5173">
        <f ca="1"/>
        <v>404.81</v>
      </c>
      <c r="HE4" vm="5174">
        <f ca="1"/>
        <v>405.37</v>
      </c>
      <c r="HF4" vm="5175">
        <f ca="1"/>
        <v>429.02</v>
      </c>
      <c r="HG4" vm="5176">
        <f ca="1"/>
        <v>467.27</v>
      </c>
      <c r="HH4" vm="5177">
        <f ca="1"/>
        <v>462.7</v>
      </c>
      <c r="HI4" vm="5178">
        <f ca="1"/>
        <v>437.65</v>
      </c>
      <c r="HJ4" vm="5179">
        <f ca="1"/>
        <v>453.77</v>
      </c>
      <c r="HK4" vm="5180">
        <f ca="1"/>
        <v>457.88</v>
      </c>
      <c r="HL4" vm="5181">
        <f ca="1"/>
        <v>440.97</v>
      </c>
      <c r="HM4" vm="5182">
        <f ca="1"/>
        <v>484.5</v>
      </c>
      <c r="HN4" vm="5183">
        <f ca="1"/>
        <v>494.51</v>
      </c>
      <c r="HO4" vm="5184">
        <f ca="1"/>
        <v>490.81</v>
      </c>
      <c r="HP4" vm="5185">
        <f ca="1"/>
        <v>479.81</v>
      </c>
      <c r="HQ4" vm="5186">
        <f ca="1"/>
        <v>468.65</v>
      </c>
      <c r="HR4" vm="5187">
        <f ca="1"/>
        <v>437.55</v>
      </c>
      <c r="HS4" vm="5188">
        <f ca="1"/>
        <v>434.78</v>
      </c>
      <c r="HT4" vm="5189">
        <f ca="1"/>
        <v>442.08</v>
      </c>
      <c r="HU4" vm="5190">
        <f ca="1"/>
        <v>433.19</v>
      </c>
      <c r="HV4" vm="5191">
        <f ca="1"/>
        <v>451.5</v>
      </c>
      <c r="HW4" vm="5192">
        <f ca="1"/>
        <v>463.82</v>
      </c>
      <c r="HX4" vm="5193">
        <f ca="1"/>
        <v>472.26</v>
      </c>
      <c r="HY4" vm="5194">
        <f ca="1"/>
        <v>456.24</v>
      </c>
      <c r="HZ4" vm="5195">
        <f ca="1"/>
        <v>456.01</v>
      </c>
      <c r="IA4" vm="5196">
        <f ca="1"/>
        <v>425</v>
      </c>
      <c r="IB4" vm="5197">
        <f ca="1"/>
        <v>492.2</v>
      </c>
      <c r="IC4" vm="5198">
        <f ca="1"/>
        <v>516.39</v>
      </c>
      <c r="ID4" vm="5199">
        <f ca="1"/>
        <v>524.14</v>
      </c>
      <c r="IE4" vm="5200">
        <f ca="1"/>
        <v>533.88</v>
      </c>
      <c r="IF4" vm="5201">
        <f ca="1"/>
        <v>535.25</v>
      </c>
      <c r="IG4" vm="5202">
        <f ca="1"/>
        <v>506.62</v>
      </c>
      <c r="IH4" vm="5203">
        <f ca="1"/>
        <v>567.29</v>
      </c>
      <c r="II4" vm="5204">
        <f ca="1"/>
        <v>534.28</v>
      </c>
      <c r="IJ4" vm="5205">
        <f ca="1"/>
        <v>543.51</v>
      </c>
      <c r="IK4" vm="2800">
        <f ca="1"/>
        <v>563.29</v>
      </c>
      <c r="IL4" vm="5206">
        <f ca="1"/>
        <v>588.4</v>
      </c>
      <c r="IM4" vm="5207">
        <f ca="1"/>
        <v>568.05999999999995</v>
      </c>
      <c r="IN4" vm="5208">
        <f ca="1"/>
        <v>575.30999999999995</v>
      </c>
      <c r="IO4" vm="5209">
        <f ca="1"/>
        <v>548.91999999999996</v>
      </c>
      <c r="IP4" vm="5210">
        <f ca="1"/>
        <v>549.83000000000004</v>
      </c>
      <c r="IQ4" vm="5211">
        <f ca="1"/>
        <v>536.02</v>
      </c>
      <c r="IR4" vm="5212">
        <f ca="1"/>
        <v>562.89</v>
      </c>
      <c r="IS4" vm="5213">
        <f ca="1"/>
        <v>543.42999999999995</v>
      </c>
    </row>
    <row r="6" spans="1:253" x14ac:dyDescent="0.35">
      <c r="A6" t="str" cm="1">
        <f t="array" aca="1" ref="A6:F26" ca="1">_xlfn.STOCKHISTORY(A4&amp;":"&amp;B4,TODAY()-30,TODAY(),0,1,0,5,2,3,4,1)</f>
        <v>Date</v>
      </c>
      <c r="B6" t="str">
        <f ca="1"/>
        <v>Volume</v>
      </c>
      <c r="C6" t="str">
        <f ca="1"/>
        <v>Open</v>
      </c>
      <c r="D6" t="str">
        <f ca="1"/>
        <v>High</v>
      </c>
      <c r="E6" t="str">
        <f ca="1"/>
        <v>Low</v>
      </c>
      <c r="F6" t="str">
        <f ca="1"/>
        <v>Close</v>
      </c>
    </row>
    <row r="7" spans="1:253" x14ac:dyDescent="0.35">
      <c r="A7" vm="257">
        <f ca="1"/>
        <v>46265</v>
      </c>
      <c r="B7" vm="5214">
        <f ca="1"/>
        <v>7686469</v>
      </c>
      <c r="C7" vm="5215">
        <f ca="1"/>
        <v>459.85</v>
      </c>
      <c r="D7" vm="5216">
        <f ca="1"/>
        <v>474.49</v>
      </c>
      <c r="E7" vm="5195">
        <f ca="1"/>
        <v>456.01</v>
      </c>
      <c r="F7" vm="5195">
        <f ca="1"/>
        <v>456.01</v>
      </c>
    </row>
    <row r="8" spans="1:253" x14ac:dyDescent="0.35">
      <c r="A8" vm="258">
        <f ca="1"/>
        <v>46266</v>
      </c>
      <c r="B8" vm="5217">
        <f ca="1"/>
        <v>15947971</v>
      </c>
      <c r="C8" vm="5218">
        <f ca="1"/>
        <v>455.69</v>
      </c>
      <c r="D8" vm="5219">
        <f ca="1"/>
        <v>463</v>
      </c>
      <c r="E8" vm="5220">
        <f ca="1"/>
        <v>421.89010000000002</v>
      </c>
      <c r="F8" vm="5196">
        <f ca="1"/>
        <v>425</v>
      </c>
    </row>
    <row r="9" spans="1:253" x14ac:dyDescent="0.35">
      <c r="A9" vm="259">
        <f ca="1"/>
        <v>46267</v>
      </c>
      <c r="B9" vm="5221">
        <f ca="1"/>
        <v>36720176</v>
      </c>
      <c r="C9" vm="5222">
        <f ca="1"/>
        <v>462.05</v>
      </c>
      <c r="D9" vm="5223">
        <f ca="1"/>
        <v>497.98989999999998</v>
      </c>
      <c r="E9" vm="5224">
        <f ca="1"/>
        <v>432.26510000000002</v>
      </c>
      <c r="F9" vm="5197">
        <f ca="1"/>
        <v>492.2</v>
      </c>
    </row>
    <row r="10" spans="1:253" x14ac:dyDescent="0.35">
      <c r="A10" vm="260">
        <f ca="1"/>
        <v>46268</v>
      </c>
      <c r="B10" vm="5225">
        <f ca="1"/>
        <v>20327994</v>
      </c>
      <c r="C10" vm="5226">
        <f ca="1"/>
        <v>486.31</v>
      </c>
      <c r="D10" vm="5227">
        <f ca="1"/>
        <v>530.78</v>
      </c>
      <c r="E10" vm="5228">
        <f ca="1"/>
        <v>478.3064</v>
      </c>
      <c r="F10" vm="5198">
        <f ca="1"/>
        <v>516.39</v>
      </c>
    </row>
    <row r="11" spans="1:253" x14ac:dyDescent="0.35">
      <c r="A11" vm="261">
        <f ca="1"/>
        <v>46269</v>
      </c>
      <c r="B11" vm="5229">
        <f ca="1"/>
        <v>11118744</v>
      </c>
      <c r="C11" vm="5230">
        <f ca="1"/>
        <v>513.78</v>
      </c>
      <c r="D11" vm="5231">
        <f ca="1"/>
        <v>534.99</v>
      </c>
      <c r="E11" vm="5232">
        <f ca="1"/>
        <v>510.15</v>
      </c>
      <c r="F11" vm="5199">
        <f ca="1"/>
        <v>524.14</v>
      </c>
    </row>
    <row r="12" spans="1:253" x14ac:dyDescent="0.35">
      <c r="A12" vm="262">
        <f ca="1"/>
        <v>46273</v>
      </c>
      <c r="B12" vm="5233">
        <f ca="1"/>
        <v>6662471</v>
      </c>
      <c r="C12" vm="5234">
        <f ca="1"/>
        <v>521.15</v>
      </c>
      <c r="D12" vm="5235">
        <f ca="1"/>
        <v>538.47</v>
      </c>
      <c r="E12" vm="5236">
        <f ca="1"/>
        <v>515.56010000000003</v>
      </c>
      <c r="F12" vm="5200">
        <f ca="1"/>
        <v>533.88</v>
      </c>
    </row>
    <row r="13" spans="1:253" x14ac:dyDescent="0.35">
      <c r="A13" vm="263">
        <f ca="1"/>
        <v>46274</v>
      </c>
      <c r="B13" vm="5237">
        <f ca="1"/>
        <v>7282344</v>
      </c>
      <c r="C13" vm="5235">
        <f ca="1"/>
        <v>538.47</v>
      </c>
      <c r="D13" vm="5238">
        <f ca="1"/>
        <v>562.98990000000003</v>
      </c>
      <c r="E13" vm="5239">
        <f ca="1"/>
        <v>532.39260000000002</v>
      </c>
      <c r="F13" vm="5201">
        <f ca="1"/>
        <v>535.25</v>
      </c>
    </row>
    <row r="14" spans="1:253" x14ac:dyDescent="0.35">
      <c r="A14" vm="264">
        <f ca="1"/>
        <v>46275</v>
      </c>
      <c r="B14" vm="5240">
        <f ca="1"/>
        <v>5796790</v>
      </c>
      <c r="C14" vm="5241">
        <f ca="1"/>
        <v>523.82500000000005</v>
      </c>
      <c r="D14" vm="5242">
        <f ca="1"/>
        <v>530.51</v>
      </c>
      <c r="E14" vm="5243">
        <f ca="1"/>
        <v>506.25</v>
      </c>
      <c r="F14" vm="5202">
        <f ca="1"/>
        <v>506.62</v>
      </c>
    </row>
    <row r="15" spans="1:253" x14ac:dyDescent="0.35">
      <c r="A15" vm="265">
        <f ca="1"/>
        <v>46276</v>
      </c>
      <c r="B15" vm="5244">
        <f ca="1"/>
        <v>14309811</v>
      </c>
      <c r="C15" vm="5245">
        <f ca="1"/>
        <v>518.07000000000005</v>
      </c>
      <c r="D15" vm="5246">
        <f ca="1"/>
        <v>567.75</v>
      </c>
      <c r="E15" vm="5247">
        <f ca="1"/>
        <v>517.51499999999999</v>
      </c>
      <c r="F15" vm="5203">
        <f ca="1"/>
        <v>567.29</v>
      </c>
    </row>
    <row r="16" spans="1:253" x14ac:dyDescent="0.35">
      <c r="A16" vm="266">
        <f ca="1"/>
        <v>46279</v>
      </c>
      <c r="B16" vm="5248">
        <f ca="1"/>
        <v>9173770</v>
      </c>
      <c r="C16" vm="5249">
        <f ca="1"/>
        <v>538.57000000000005</v>
      </c>
      <c r="D16" vm="5250">
        <f ca="1"/>
        <v>546.29</v>
      </c>
      <c r="E16" vm="5251">
        <f ca="1"/>
        <v>525.85</v>
      </c>
      <c r="F16" vm="5204">
        <f ca="1"/>
        <v>534.28</v>
      </c>
    </row>
    <row r="17" spans="1:6" x14ac:dyDescent="0.35">
      <c r="A17" vm="267">
        <f ca="1"/>
        <v>46280</v>
      </c>
      <c r="B17" vm="5252">
        <f ca="1"/>
        <v>9566824</v>
      </c>
      <c r="C17" vm="5253">
        <f ca="1"/>
        <v>541.54999999999995</v>
      </c>
      <c r="D17" vm="5254">
        <f ca="1"/>
        <v>568.66999999999996</v>
      </c>
      <c r="E17" vm="5255">
        <f ca="1"/>
        <v>539</v>
      </c>
      <c r="F17" vm="5205">
        <f ca="1"/>
        <v>543.51</v>
      </c>
    </row>
    <row r="18" spans="1:6" x14ac:dyDescent="0.35">
      <c r="A18" vm="268">
        <f ca="1"/>
        <v>46281</v>
      </c>
      <c r="B18" vm="5256">
        <f ca="1"/>
        <v>13108085</v>
      </c>
      <c r="C18" vm="5257">
        <f ca="1"/>
        <v>553.625</v>
      </c>
      <c r="D18" vm="5258">
        <f ca="1"/>
        <v>576.75</v>
      </c>
      <c r="E18" vm="5259">
        <f ca="1"/>
        <v>550.09</v>
      </c>
      <c r="F18" vm="2800">
        <f ca="1"/>
        <v>563.29</v>
      </c>
    </row>
    <row r="19" spans="1:6" x14ac:dyDescent="0.35">
      <c r="A19" vm="269">
        <f ca="1"/>
        <v>46282</v>
      </c>
      <c r="B19" vm="5260">
        <f ca="1"/>
        <v>9350696</v>
      </c>
      <c r="C19" vm="5261">
        <f ca="1"/>
        <v>570.4</v>
      </c>
      <c r="D19" vm="5262">
        <f ca="1"/>
        <v>593.97990000000004</v>
      </c>
      <c r="E19" vm="5263">
        <f ca="1"/>
        <v>565.5</v>
      </c>
      <c r="F19" vm="5206">
        <f ca="1"/>
        <v>588.4</v>
      </c>
    </row>
    <row r="20" spans="1:6" x14ac:dyDescent="0.35">
      <c r="A20" vm="270">
        <f ca="1"/>
        <v>46283</v>
      </c>
      <c r="B20" vm="5264">
        <f ca="1"/>
        <v>11739108</v>
      </c>
      <c r="C20" vm="5265">
        <f ca="1"/>
        <v>593.15</v>
      </c>
      <c r="D20" vm="5266">
        <f ca="1"/>
        <v>595.51</v>
      </c>
      <c r="E20" vm="5207">
        <f ca="1"/>
        <v>568.05999999999995</v>
      </c>
      <c r="F20" vm="5207">
        <f ca="1"/>
        <v>568.05999999999995</v>
      </c>
    </row>
    <row r="21" spans="1:6" x14ac:dyDescent="0.35">
      <c r="A21" vm="271">
        <f ca="1"/>
        <v>46286</v>
      </c>
      <c r="B21" vm="5267">
        <f ca="1"/>
        <v>7736621</v>
      </c>
      <c r="C21" vm="5268">
        <f ca="1"/>
        <v>586.77</v>
      </c>
      <c r="D21" vm="5269">
        <f ca="1"/>
        <v>592.44000000000005</v>
      </c>
      <c r="E21" vm="5270">
        <f ca="1"/>
        <v>567.38</v>
      </c>
      <c r="F21" vm="5208">
        <f ca="1"/>
        <v>575.30999999999995</v>
      </c>
    </row>
    <row r="22" spans="1:6" x14ac:dyDescent="0.35">
      <c r="A22" vm="272">
        <f ca="1"/>
        <v>46287</v>
      </c>
      <c r="B22" vm="5271">
        <f ca="1"/>
        <v>9781562</v>
      </c>
      <c r="C22" vm="5272">
        <f ca="1"/>
        <v>569.79999999999995</v>
      </c>
      <c r="D22" vm="5273">
        <f ca="1"/>
        <v>574.6</v>
      </c>
      <c r="E22" vm="5274">
        <f ca="1"/>
        <v>547.71</v>
      </c>
      <c r="F22" vm="5209">
        <f ca="1"/>
        <v>548.91999999999996</v>
      </c>
    </row>
    <row r="23" spans="1:6" x14ac:dyDescent="0.35">
      <c r="A23" vm="273">
        <f ca="1"/>
        <v>46288</v>
      </c>
      <c r="B23" vm="5275">
        <f ca="1"/>
        <v>8252347</v>
      </c>
      <c r="C23" vm="5276">
        <f ca="1"/>
        <v>559</v>
      </c>
      <c r="D23" vm="5277">
        <f ca="1"/>
        <v>570.72</v>
      </c>
      <c r="E23" vm="5278">
        <f ca="1"/>
        <v>542.23030000000006</v>
      </c>
      <c r="F23" vm="5210">
        <f ca="1"/>
        <v>549.83000000000004</v>
      </c>
    </row>
    <row r="24" spans="1:6" x14ac:dyDescent="0.35">
      <c r="A24" vm="274">
        <f ca="1"/>
        <v>46289</v>
      </c>
      <c r="B24" vm="5279">
        <f ca="1"/>
        <v>7962968</v>
      </c>
      <c r="C24" vm="5280">
        <f ca="1"/>
        <v>535.97</v>
      </c>
      <c r="D24" vm="5281">
        <f ca="1"/>
        <v>549.85</v>
      </c>
      <c r="E24" vm="5282">
        <f ca="1"/>
        <v>530.45000000000005</v>
      </c>
      <c r="F24" vm="5211">
        <f ca="1"/>
        <v>536.02</v>
      </c>
    </row>
    <row r="25" spans="1:6" x14ac:dyDescent="0.35">
      <c r="A25" vm="275">
        <f ca="1"/>
        <v>46290</v>
      </c>
      <c r="B25" vm="5283">
        <f ca="1"/>
        <v>8729823</v>
      </c>
      <c r="C25" vm="5250">
        <f ca="1"/>
        <v>546.29</v>
      </c>
      <c r="D25" vm="5284">
        <f ca="1"/>
        <v>573.79999999999995</v>
      </c>
      <c r="E25" vm="5285">
        <f ca="1"/>
        <v>541.23509999999999</v>
      </c>
      <c r="F25" vm="5212">
        <f ca="1"/>
        <v>562.89</v>
      </c>
    </row>
    <row r="26" spans="1:6" x14ac:dyDescent="0.35">
      <c r="A26" vm="276">
        <f ca="1"/>
        <v>46293</v>
      </c>
      <c r="B26" vm="5286">
        <f ca="1"/>
        <v>6863140</v>
      </c>
      <c r="C26" vm="5287">
        <f ca="1"/>
        <v>551.74</v>
      </c>
      <c r="D26" vm="5288">
        <f ca="1"/>
        <v>557</v>
      </c>
      <c r="E26" vm="5289">
        <f ca="1"/>
        <v>535.5</v>
      </c>
      <c r="F26" vm="5213">
        <f ca="1"/>
        <v>543.42999999999995</v>
      </c>
    </row>
  </sheetData>
  <pageMargins left="0.7" right="0.7" top="0.75" bottom="0.75" header="0.3" footer="0.3"/>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254C31-E866-47D7-8651-97EAB5F022F6}">
  <dimension ref="A1:C6"/>
  <sheetViews>
    <sheetView workbookViewId="0">
      <selection activeCell="H34" sqref="H34"/>
    </sheetView>
  </sheetViews>
  <sheetFormatPr defaultRowHeight="14.5" x14ac:dyDescent="0.35"/>
  <cols>
    <col min="1" max="1" width="22.1796875" bestFit="1" customWidth="1"/>
    <col min="2" max="2" width="42.08984375" bestFit="1" customWidth="1"/>
  </cols>
  <sheetData>
    <row r="1" spans="1:3" x14ac:dyDescent="0.35">
      <c r="A1" s="2" t="s">
        <v>8</v>
      </c>
      <c r="B1" t="e" vm="21">
        <v>#VALUE!</v>
      </c>
    </row>
    <row r="3" spans="1:3" x14ac:dyDescent="0.35">
      <c r="A3" s="2" t="s">
        <v>35</v>
      </c>
      <c r="B3" s="2" t="s">
        <v>25</v>
      </c>
    </row>
    <row r="4" spans="1:3" x14ac:dyDescent="0.35">
      <c r="C4" t="e" cm="1" vm="5290">
        <f t="array" aca="1" ref="C4" ca="1">TRANSPOSE(_xlfn.STOCKHISTORY(A4&amp;":"&amp;B4,TODAY()-365,TODAY(),0,0,1))</f>
        <v>#VALUE!</v>
      </c>
    </row>
    <row r="6" spans="1:3" x14ac:dyDescent="0.35">
      <c r="A6" t="e" cm="1" vm="5290">
        <f t="array" aca="1" ref="A6" ca="1">_xlfn.STOCKHISTORY(A4&amp;":"&amp;B4,TODAY()-30,TODAY(),0,1,0,5,2,3,4,1)</f>
        <v>#VALUE!</v>
      </c>
    </row>
  </sheetData>
  <pageMargins left="0.7" right="0.7" top="0.75" bottom="0.75" header="0.3" footer="0.3"/>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37193F-3C71-4AB0-9C4D-6288989F20C7}">
  <dimension ref="A1:IS26"/>
  <sheetViews>
    <sheetView workbookViewId="0">
      <selection activeCell="H34" sqref="H34"/>
    </sheetView>
  </sheetViews>
  <sheetFormatPr defaultRowHeight="14.5" x14ac:dyDescent="0.35"/>
  <cols>
    <col min="1" max="1" width="22.1796875" bestFit="1" customWidth="1"/>
    <col min="2" max="2" width="41.08984375" bestFit="1" customWidth="1"/>
  </cols>
  <sheetData>
    <row r="1" spans="1:253" x14ac:dyDescent="0.35">
      <c r="A1" s="2" t="s">
        <v>8</v>
      </c>
      <c r="B1" t="e" vm="22">
        <v>#VALUE!</v>
      </c>
    </row>
    <row r="3" spans="1:253" x14ac:dyDescent="0.35">
      <c r="A3" s="2" t="s">
        <v>35</v>
      </c>
      <c r="B3" s="2" t="s">
        <v>25</v>
      </c>
    </row>
    <row r="4" spans="1:253" x14ac:dyDescent="0.35">
      <c r="A4" t="s">
        <v>37</v>
      </c>
      <c r="B4" t="s">
        <v>21</v>
      </c>
      <c r="C4" cm="1" vm="5291">
        <f t="array" aca="1" ref="C4:IS4" ca="1">TRANSPOSE(_xlfn.STOCKHISTORY(A4&amp;":"&amp;B4,TODAY()-365,TODAY(),0,0,1))</f>
        <v>61.12</v>
      </c>
      <c r="D4" vm="5292">
        <f ca="1"/>
        <v>60.97</v>
      </c>
      <c r="E4" vm="5293">
        <f ca="1"/>
        <v>61.34</v>
      </c>
      <c r="F4" vm="5294">
        <f ca="1"/>
        <v>59.36</v>
      </c>
      <c r="G4" vm="5295">
        <f ca="1"/>
        <v>60.13</v>
      </c>
      <c r="H4" vm="4523">
        <f ca="1"/>
        <v>58.19</v>
      </c>
      <c r="I4" vm="5296">
        <f ca="1"/>
        <v>57.26</v>
      </c>
      <c r="J4" vm="5297">
        <f ca="1"/>
        <v>56.4</v>
      </c>
      <c r="K4" vm="4644">
        <f ca="1"/>
        <v>55.92</v>
      </c>
      <c r="L4" vm="4417">
        <f ca="1"/>
        <v>55.35</v>
      </c>
      <c r="M4" vm="5298">
        <f ca="1"/>
        <v>55.62</v>
      </c>
      <c r="N4" vm="5299">
        <f ca="1"/>
        <v>57.15</v>
      </c>
      <c r="O4" vm="5300">
        <f ca="1"/>
        <v>57.8</v>
      </c>
      <c r="P4" vm="5301">
        <f ca="1"/>
        <v>57.34</v>
      </c>
      <c r="Q4" vm="5302">
        <f ca="1"/>
        <v>58.38</v>
      </c>
      <c r="R4" vm="5303">
        <f ca="1"/>
        <v>58</v>
      </c>
      <c r="S4" vm="5304">
        <f ca="1"/>
        <v>66.62</v>
      </c>
      <c r="T4" vm="5305">
        <f ca="1"/>
        <v>67.31</v>
      </c>
      <c r="U4" vm="5306">
        <f ca="1"/>
        <v>66.849999999999994</v>
      </c>
      <c r="V4" vm="5307">
        <f ca="1"/>
        <v>69.66</v>
      </c>
      <c r="W4" vm="5308">
        <f ca="1"/>
        <v>69.38</v>
      </c>
      <c r="X4" vm="5309">
        <f ca="1"/>
        <v>69.87</v>
      </c>
      <c r="Y4" vm="5310">
        <f ca="1"/>
        <v>69.13</v>
      </c>
      <c r="Z4" vm="5311">
        <f ca="1"/>
        <v>68.67</v>
      </c>
      <c r="AA4" vm="5312">
        <f ca="1"/>
        <v>69.09</v>
      </c>
      <c r="AB4" vm="5313">
        <f ca="1"/>
        <v>68.22</v>
      </c>
      <c r="AC4" vm="5314">
        <f ca="1"/>
        <v>66.87</v>
      </c>
      <c r="AD4" vm="5315">
        <f ca="1"/>
        <v>68.77</v>
      </c>
      <c r="AE4" vm="5316">
        <f ca="1"/>
        <v>68.84</v>
      </c>
      <c r="AF4" vm="5317">
        <f ca="1"/>
        <v>70.75</v>
      </c>
      <c r="AG4" vm="5318">
        <f ca="1"/>
        <v>71.05</v>
      </c>
      <c r="AH4" vm="5319">
        <f ca="1"/>
        <v>71.22</v>
      </c>
      <c r="AI4" vm="5320">
        <f ca="1"/>
        <v>71.84</v>
      </c>
      <c r="AJ4" vm="5321">
        <f ca="1"/>
        <v>71.89</v>
      </c>
      <c r="AK4" vm="5322">
        <f ca="1"/>
        <v>70.52</v>
      </c>
      <c r="AL4" vm="5323">
        <f ca="1"/>
        <v>67.91</v>
      </c>
      <c r="AM4" vm="5324">
        <f ca="1"/>
        <v>67.930000000000007</v>
      </c>
      <c r="AN4" vm="5325">
        <f ca="1"/>
        <v>68.5</v>
      </c>
      <c r="AO4" vm="5326">
        <f ca="1"/>
        <v>68.040000000000006</v>
      </c>
      <c r="AP4" vm="5327">
        <f ca="1"/>
        <v>70.33</v>
      </c>
      <c r="AQ4" vm="5328">
        <f ca="1"/>
        <v>71</v>
      </c>
      <c r="AR4" vm="5329">
        <f ca="1"/>
        <v>72.78</v>
      </c>
      <c r="AS4" vm="5330">
        <f ca="1"/>
        <v>72.81</v>
      </c>
      <c r="AT4" vm="5331">
        <f ca="1"/>
        <v>73.52</v>
      </c>
      <c r="AU4" vm="5332">
        <f ca="1"/>
        <v>72.95</v>
      </c>
      <c r="AV4" vm="5333">
        <f ca="1"/>
        <v>73.66</v>
      </c>
      <c r="AW4" vm="5334">
        <f ca="1"/>
        <v>74.69</v>
      </c>
      <c r="AX4" vm="5335">
        <f ca="1"/>
        <v>75.290000000000006</v>
      </c>
      <c r="AY4" vm="5336">
        <f ca="1"/>
        <v>76.05</v>
      </c>
      <c r="AZ4" vm="5337">
        <f ca="1"/>
        <v>75.709999999999994</v>
      </c>
      <c r="BA4" vm="5338">
        <f ca="1"/>
        <v>77.16</v>
      </c>
      <c r="BB4" vm="5339">
        <f ca="1"/>
        <v>80.8</v>
      </c>
      <c r="BC4" vm="5340">
        <f ca="1"/>
        <v>80.849999999999994</v>
      </c>
      <c r="BD4" vm="5341">
        <f ca="1"/>
        <v>80.89</v>
      </c>
      <c r="BE4" vm="5342">
        <f ca="1"/>
        <v>81.98</v>
      </c>
      <c r="BF4" vm="5343">
        <f ca="1"/>
        <v>81.760000000000005</v>
      </c>
      <c r="BG4" vm="5344">
        <f ca="1"/>
        <v>80.510000000000005</v>
      </c>
      <c r="BH4" vm="5345">
        <f ca="1"/>
        <v>81.17</v>
      </c>
      <c r="BI4" vm="5346">
        <f ca="1"/>
        <v>82.35</v>
      </c>
      <c r="BJ4" vm="5347">
        <f ca="1"/>
        <v>83.03</v>
      </c>
      <c r="BK4" vm="5348">
        <f ca="1"/>
        <v>82.75</v>
      </c>
      <c r="BL4" vm="5349">
        <f ca="1"/>
        <v>82.88</v>
      </c>
      <c r="BM4" vm="5350">
        <f ca="1"/>
        <v>83.06</v>
      </c>
      <c r="BN4" vm="5351">
        <f ca="1"/>
        <v>82.93</v>
      </c>
      <c r="BO4" vm="5352">
        <f ca="1"/>
        <v>82.33</v>
      </c>
      <c r="BP4" vm="5353">
        <f ca="1"/>
        <v>81.319999999999993</v>
      </c>
      <c r="BQ4" vm="5354">
        <f ca="1"/>
        <v>80.98</v>
      </c>
      <c r="BR4" vm="5355">
        <f ca="1"/>
        <v>83.15</v>
      </c>
      <c r="BS4" vm="5356">
        <f ca="1"/>
        <v>82.18</v>
      </c>
      <c r="BT4" vm="5357">
        <f ca="1"/>
        <v>81.91</v>
      </c>
      <c r="BU4" vm="5358">
        <f ca="1"/>
        <v>85.13</v>
      </c>
      <c r="BV4" vm="5359">
        <f ca="1"/>
        <v>82.87</v>
      </c>
      <c r="BW4" vm="5360">
        <f ca="1"/>
        <v>82.9</v>
      </c>
      <c r="BX4" vm="5361">
        <f ca="1"/>
        <v>83.24</v>
      </c>
      <c r="BY4" vm="5362">
        <f ca="1"/>
        <v>81.23</v>
      </c>
      <c r="BZ4" vm="5363">
        <f ca="1"/>
        <v>80.91</v>
      </c>
      <c r="CA4" vm="5364">
        <f ca="1"/>
        <v>80.819999999999993</v>
      </c>
      <c r="CB4" vm="5365">
        <f ca="1"/>
        <v>77.81</v>
      </c>
      <c r="CC4" vm="5366">
        <f ca="1"/>
        <v>80.930000000000007</v>
      </c>
      <c r="CD4" vm="5367">
        <f ca="1"/>
        <v>81.14</v>
      </c>
      <c r="CE4" vm="5368">
        <f ca="1"/>
        <v>79.680000000000007</v>
      </c>
      <c r="CF4" vm="5369">
        <f ca="1"/>
        <v>79.430000000000007</v>
      </c>
      <c r="CG4" vm="5370">
        <f ca="1"/>
        <v>86.38</v>
      </c>
      <c r="CH4" vm="5371">
        <f ca="1"/>
        <v>84.9</v>
      </c>
      <c r="CI4" vm="5372">
        <f ca="1"/>
        <v>86.26</v>
      </c>
      <c r="CJ4" vm="5373">
        <f ca="1"/>
        <v>84</v>
      </c>
      <c r="CK4" vm="5374">
        <f ca="1"/>
        <v>84.27</v>
      </c>
      <c r="CL4" vm="5375">
        <f ca="1"/>
        <v>85.71</v>
      </c>
      <c r="CM4" vm="5376">
        <f ca="1"/>
        <v>86.29</v>
      </c>
      <c r="CN4" vm="5377">
        <f ca="1"/>
        <v>83.3</v>
      </c>
      <c r="CO4" vm="5378">
        <f ca="1"/>
        <v>84.24</v>
      </c>
      <c r="CP4" vm="5379">
        <f ca="1"/>
        <v>80.680000000000007</v>
      </c>
      <c r="CQ4" vm="5380">
        <f ca="1"/>
        <v>80.27</v>
      </c>
      <c r="CR4" vm="5381">
        <f ca="1"/>
        <v>79.819999999999993</v>
      </c>
      <c r="CS4" vm="5382">
        <f ca="1"/>
        <v>79.930000000000007</v>
      </c>
      <c r="CT4" vm="5383">
        <f ca="1"/>
        <v>81.08</v>
      </c>
      <c r="CU4" vm="5384">
        <f ca="1"/>
        <v>81.22</v>
      </c>
      <c r="CV4" vm="5385">
        <f ca="1"/>
        <v>83.67</v>
      </c>
      <c r="CW4" vm="5386">
        <f ca="1"/>
        <v>81.47</v>
      </c>
      <c r="CX4" vm="5387">
        <f ca="1"/>
        <v>81.510000000000005</v>
      </c>
      <c r="CY4" vm="5388">
        <f ca="1"/>
        <v>79.66</v>
      </c>
      <c r="CZ4" vm="5389">
        <f ca="1"/>
        <v>81.290000000000006</v>
      </c>
      <c r="DA4" vm="5390">
        <f ca="1"/>
        <v>82.43</v>
      </c>
      <c r="DB4" vm="5391">
        <f ca="1"/>
        <v>80.790000000000006</v>
      </c>
      <c r="DC4" vm="5392">
        <f ca="1"/>
        <v>78.709999999999994</v>
      </c>
      <c r="DD4" vm="5393">
        <f ca="1"/>
        <v>77.760000000000005</v>
      </c>
      <c r="DE4" vm="5394">
        <f ca="1"/>
        <v>77.27</v>
      </c>
      <c r="DF4" vm="5395">
        <f ca="1"/>
        <v>78.599999999999994</v>
      </c>
      <c r="DG4" vm="5396">
        <f ca="1"/>
        <v>76.2</v>
      </c>
      <c r="DH4" vm="5397">
        <f ca="1"/>
        <v>75.209999999999994</v>
      </c>
      <c r="DI4" vm="5334">
        <f ca="1"/>
        <v>74.69</v>
      </c>
      <c r="DJ4" vm="5398">
        <f ca="1"/>
        <v>74.930000000000007</v>
      </c>
      <c r="DK4" vm="5399">
        <f ca="1"/>
        <v>74.790000000000006</v>
      </c>
      <c r="DL4" vm="5400">
        <f ca="1"/>
        <v>73.45</v>
      </c>
      <c r="DM4" vm="5401">
        <f ca="1"/>
        <v>72.39</v>
      </c>
      <c r="DN4" vm="5332">
        <f ca="1"/>
        <v>72.95</v>
      </c>
      <c r="DO4" vm="5402">
        <f ca="1"/>
        <v>74.040000000000006</v>
      </c>
      <c r="DP4" vm="5403">
        <f ca="1"/>
        <v>73.53</v>
      </c>
      <c r="DQ4" vm="5404">
        <f ca="1"/>
        <v>73.790000000000006</v>
      </c>
      <c r="DR4" vm="5330">
        <f ca="1"/>
        <v>72.81</v>
      </c>
      <c r="DS4" vm="5405">
        <f ca="1"/>
        <v>75.72</v>
      </c>
      <c r="DT4" vm="5406">
        <f ca="1"/>
        <v>76.569999999999993</v>
      </c>
      <c r="DU4" vm="5407">
        <f ca="1"/>
        <v>76.61</v>
      </c>
      <c r="DV4" vm="5408">
        <f ca="1"/>
        <v>75.599999999999994</v>
      </c>
      <c r="DW4" vm="5409">
        <f ca="1"/>
        <v>72.98</v>
      </c>
      <c r="DX4" vm="5410">
        <f ca="1"/>
        <v>72.760000000000005</v>
      </c>
      <c r="DY4" vm="5411">
        <f ca="1"/>
        <v>74.5</v>
      </c>
      <c r="DZ4" vm="5412">
        <f ca="1"/>
        <v>75.040000000000006</v>
      </c>
      <c r="EA4" vm="5413">
        <f ca="1"/>
        <v>72.540000000000006</v>
      </c>
      <c r="EB4" vm="5414">
        <f ca="1"/>
        <v>73.430000000000007</v>
      </c>
      <c r="EC4" vm="5410">
        <f ca="1"/>
        <v>72.760000000000005</v>
      </c>
      <c r="ED4" vm="5415">
        <f ca="1"/>
        <v>76.739999999999995</v>
      </c>
      <c r="EE4" vm="5416">
        <f ca="1"/>
        <v>76.73</v>
      </c>
      <c r="EF4" vm="5417">
        <f ca="1"/>
        <v>76.42</v>
      </c>
      <c r="EG4" vm="5418">
        <f ca="1"/>
        <v>76.83</v>
      </c>
      <c r="EH4" vm="5419">
        <f ca="1"/>
        <v>79.459999999999994</v>
      </c>
      <c r="EI4" vm="5420">
        <f ca="1"/>
        <v>77.78</v>
      </c>
      <c r="EJ4" vm="5421">
        <f ca="1"/>
        <v>78.05</v>
      </c>
      <c r="EK4" vm="5353">
        <f ca="1"/>
        <v>81.319999999999993</v>
      </c>
      <c r="EL4" vm="5422">
        <f ca="1"/>
        <v>80.540000000000006</v>
      </c>
      <c r="EM4" vm="5423">
        <f ca="1"/>
        <v>79.05</v>
      </c>
      <c r="EN4" vm="5424">
        <f ca="1"/>
        <v>79</v>
      </c>
      <c r="EO4" vm="5425">
        <f ca="1"/>
        <v>78.52</v>
      </c>
      <c r="EP4" vm="5421">
        <f ca="1"/>
        <v>78.05</v>
      </c>
      <c r="EQ4" vm="5426">
        <f ca="1"/>
        <v>77.959999999999994</v>
      </c>
      <c r="ER4" vm="5427">
        <f ca="1"/>
        <v>78.95</v>
      </c>
      <c r="ES4" vm="5428">
        <f ca="1"/>
        <v>76.62</v>
      </c>
      <c r="ET4" vm="5429">
        <f ca="1"/>
        <v>76.89</v>
      </c>
      <c r="EU4" vm="5430">
        <f ca="1"/>
        <v>75.77</v>
      </c>
      <c r="EV4" vm="5431">
        <f ca="1"/>
        <v>75.7</v>
      </c>
      <c r="EW4" vm="5432">
        <f ca="1"/>
        <v>76.150000000000006</v>
      </c>
      <c r="EX4" vm="5433">
        <f ca="1"/>
        <v>78.7</v>
      </c>
      <c r="EY4" vm="5434">
        <f ca="1"/>
        <v>78.41</v>
      </c>
      <c r="EZ4" vm="5435">
        <f ca="1"/>
        <v>78.8</v>
      </c>
      <c r="FA4" vm="5335">
        <f ca="1"/>
        <v>75.290000000000006</v>
      </c>
      <c r="FB4" vm="5436">
        <f ca="1"/>
        <v>76.44</v>
      </c>
      <c r="FC4" vm="5437">
        <f ca="1"/>
        <v>75.81</v>
      </c>
      <c r="FD4" vm="5438">
        <f ca="1"/>
        <v>77.75</v>
      </c>
      <c r="FE4" vm="5439">
        <f ca="1"/>
        <v>74.86</v>
      </c>
      <c r="FF4" vm="5440">
        <f ca="1"/>
        <v>73.099999999999994</v>
      </c>
      <c r="FG4" vm="5441">
        <f ca="1"/>
        <v>72.63</v>
      </c>
      <c r="FH4" vm="5442">
        <f ca="1"/>
        <v>76.14</v>
      </c>
      <c r="FI4" vm="5443">
        <f ca="1"/>
        <v>77.209999999999994</v>
      </c>
      <c r="FJ4" vm="5444">
        <f ca="1"/>
        <v>78.790000000000006</v>
      </c>
      <c r="FK4" vm="5445">
        <f ca="1"/>
        <v>79.790000000000006</v>
      </c>
      <c r="FL4" vm="5446">
        <f ca="1"/>
        <v>84.12</v>
      </c>
      <c r="FM4" vm="5447">
        <f ca="1"/>
        <v>84.35</v>
      </c>
      <c r="FN4" vm="5361">
        <f ca="1"/>
        <v>83.24</v>
      </c>
      <c r="FO4" vm="5448">
        <f ca="1"/>
        <v>82.68</v>
      </c>
      <c r="FP4" vm="5449">
        <f ca="1"/>
        <v>81.73</v>
      </c>
      <c r="FQ4" vm="5450">
        <f ca="1"/>
        <v>81.7</v>
      </c>
      <c r="FR4" vm="5451">
        <f ca="1"/>
        <v>83.22</v>
      </c>
      <c r="FS4" vm="5452">
        <f ca="1"/>
        <v>82.11</v>
      </c>
      <c r="FT4" vm="5453">
        <f ca="1"/>
        <v>83.77</v>
      </c>
      <c r="FU4" vm="5454">
        <f ca="1"/>
        <v>83.76</v>
      </c>
      <c r="FV4" vm="5455">
        <f ca="1"/>
        <v>79.400000000000006</v>
      </c>
      <c r="FW4" vm="5340">
        <f ca="1"/>
        <v>80.849999999999994</v>
      </c>
      <c r="FX4" vm="5456">
        <f ca="1"/>
        <v>81.5</v>
      </c>
      <c r="FY4" vm="5457">
        <f ca="1"/>
        <v>84.07</v>
      </c>
      <c r="FZ4" vm="5458">
        <f ca="1"/>
        <v>82.51</v>
      </c>
      <c r="GA4" vm="5459">
        <f ca="1"/>
        <v>79.58</v>
      </c>
      <c r="GB4" vm="5460">
        <f ca="1"/>
        <v>79.290000000000006</v>
      </c>
      <c r="GC4" vm="5461">
        <f ca="1"/>
        <v>80.430000000000007</v>
      </c>
      <c r="GD4" vm="5427">
        <f ca="1"/>
        <v>78.95</v>
      </c>
      <c r="GE4" vm="5427">
        <f ca="1"/>
        <v>78.95</v>
      </c>
      <c r="GF4" vm="5462">
        <f ca="1"/>
        <v>78.53</v>
      </c>
      <c r="GG4" vm="5463">
        <f ca="1"/>
        <v>78.099999999999994</v>
      </c>
      <c r="GH4" vm="5464">
        <f ca="1"/>
        <v>77.34</v>
      </c>
      <c r="GI4" vm="5465">
        <f ca="1"/>
        <v>77.08</v>
      </c>
      <c r="GJ4" vm="5466">
        <f ca="1"/>
        <v>75.52</v>
      </c>
      <c r="GK4" vm="5467">
        <f ca="1"/>
        <v>76</v>
      </c>
      <c r="GL4" vm="5468">
        <f ca="1"/>
        <v>77.849999999999994</v>
      </c>
      <c r="GM4" vm="5469">
        <f ca="1"/>
        <v>76.03</v>
      </c>
      <c r="GN4" vm="5470">
        <f ca="1"/>
        <v>76.239999999999995</v>
      </c>
      <c r="GO4" vm="5471">
        <f ca="1"/>
        <v>76.650000000000006</v>
      </c>
      <c r="GP4" vm="5468">
        <f ca="1"/>
        <v>77.849999999999994</v>
      </c>
      <c r="GQ4" vm="5472">
        <f ca="1"/>
        <v>76.72</v>
      </c>
      <c r="GR4" vm="5473">
        <f ca="1"/>
        <v>76.87</v>
      </c>
      <c r="GS4" vm="5474">
        <f ca="1"/>
        <v>77.64</v>
      </c>
      <c r="GT4" vm="5475">
        <f ca="1"/>
        <v>77.72</v>
      </c>
      <c r="GU4" vm="5476">
        <f ca="1"/>
        <v>76.069999999999993</v>
      </c>
      <c r="GV4" vm="5477">
        <f ca="1"/>
        <v>75.8</v>
      </c>
      <c r="GW4" vm="5478">
        <f ca="1"/>
        <v>79.52</v>
      </c>
      <c r="GX4" vm="5479">
        <f ca="1"/>
        <v>82.13</v>
      </c>
      <c r="GY4" vm="5480">
        <f ca="1"/>
        <v>80.67</v>
      </c>
      <c r="GZ4" vm="5481">
        <f ca="1"/>
        <v>82.64</v>
      </c>
      <c r="HA4" vm="5482">
        <f ca="1"/>
        <v>87.04</v>
      </c>
      <c r="HB4" vm="5483">
        <f ca="1"/>
        <v>90.3</v>
      </c>
      <c r="HC4" vm="5484">
        <f ca="1"/>
        <v>89.4</v>
      </c>
      <c r="HD4" vm="5485">
        <f ca="1"/>
        <v>88.4</v>
      </c>
      <c r="HE4" vm="5486">
        <f ca="1"/>
        <v>88.86</v>
      </c>
      <c r="HF4" vm="5487">
        <f ca="1"/>
        <v>87.68</v>
      </c>
      <c r="HG4" vm="5488">
        <f ca="1"/>
        <v>88.31</v>
      </c>
      <c r="HH4" vm="5489">
        <f ca="1"/>
        <v>89.16</v>
      </c>
      <c r="HI4" vm="5490">
        <f ca="1"/>
        <v>86.94</v>
      </c>
      <c r="HJ4" vm="5491">
        <f ca="1"/>
        <v>87.58</v>
      </c>
      <c r="HK4" vm="5492">
        <f ca="1"/>
        <v>87.96</v>
      </c>
      <c r="HL4" vm="5493">
        <f ca="1"/>
        <v>89.35</v>
      </c>
      <c r="HM4" vm="5494">
        <f ca="1"/>
        <v>86.76</v>
      </c>
      <c r="HN4" vm="5495">
        <f ca="1"/>
        <v>86.39</v>
      </c>
      <c r="HO4" vm="5496">
        <f ca="1"/>
        <v>86.77</v>
      </c>
      <c r="HP4" vm="5497">
        <f ca="1"/>
        <v>84.37</v>
      </c>
      <c r="HQ4" vm="5498">
        <f ca="1"/>
        <v>83.71</v>
      </c>
      <c r="HR4" vm="5499">
        <f ca="1"/>
        <v>84.96</v>
      </c>
      <c r="HS4" vm="5500">
        <f ca="1"/>
        <v>86.15</v>
      </c>
      <c r="HT4" vm="5501">
        <f ca="1"/>
        <v>87.93</v>
      </c>
      <c r="HU4" vm="5502">
        <f ca="1"/>
        <v>86.98</v>
      </c>
      <c r="HV4" vm="5503">
        <f ca="1"/>
        <v>85.81</v>
      </c>
      <c r="HW4" vm="5504">
        <f ca="1"/>
        <v>86.33</v>
      </c>
      <c r="HX4" vm="5505">
        <f ca="1"/>
        <v>86.18</v>
      </c>
      <c r="HY4" vm="5506">
        <f ca="1"/>
        <v>86.27</v>
      </c>
      <c r="HZ4" vm="5507">
        <f ca="1"/>
        <v>86.32</v>
      </c>
      <c r="IA4" vm="5508">
        <f ca="1"/>
        <v>85.63</v>
      </c>
      <c r="IB4" vm="5509">
        <f ca="1"/>
        <v>84.87</v>
      </c>
      <c r="IC4" vm="5510">
        <f ca="1"/>
        <v>87.22</v>
      </c>
      <c r="ID4" vm="5511">
        <f ca="1"/>
        <v>87.76</v>
      </c>
      <c r="IE4" vm="5512">
        <f ca="1"/>
        <v>85.79</v>
      </c>
      <c r="IF4" vm="5454">
        <f ca="1"/>
        <v>83.76</v>
      </c>
      <c r="IG4" vm="5513">
        <f ca="1"/>
        <v>86.12</v>
      </c>
      <c r="IH4" vm="5514">
        <f ca="1"/>
        <v>85.62</v>
      </c>
      <c r="II4" vm="5515">
        <f ca="1"/>
        <v>87.16</v>
      </c>
      <c r="IJ4" vm="5516">
        <f ca="1"/>
        <v>85.37</v>
      </c>
      <c r="IK4" vm="5517">
        <f ca="1"/>
        <v>84.29</v>
      </c>
      <c r="IL4" vm="5518">
        <f ca="1"/>
        <v>86.62</v>
      </c>
      <c r="IM4" vm="5519">
        <f ca="1"/>
        <v>82.2</v>
      </c>
      <c r="IN4" vm="5520">
        <f ca="1"/>
        <v>83.95</v>
      </c>
      <c r="IO4" vm="5521">
        <f ca="1"/>
        <v>83.45</v>
      </c>
      <c r="IP4" vm="5453">
        <f ca="1"/>
        <v>83.77</v>
      </c>
      <c r="IQ4" vm="5522">
        <f ca="1"/>
        <v>80.569999999999993</v>
      </c>
      <c r="IR4" vm="5523">
        <f ca="1"/>
        <v>82.63</v>
      </c>
      <c r="IS4" vm="5524">
        <f ca="1"/>
        <v>80.64</v>
      </c>
    </row>
    <row r="6" spans="1:253" x14ac:dyDescent="0.35">
      <c r="A6" t="str" cm="1">
        <f t="array" aca="1" ref="A6:F26" ca="1">_xlfn.STOCKHISTORY(A4&amp;":"&amp;B4,TODAY()-30,TODAY(),0,1,0,5,2,3,4,1)</f>
        <v>Date</v>
      </c>
      <c r="B6" t="str">
        <f ca="1"/>
        <v>Volume</v>
      </c>
      <c r="C6" t="str">
        <f ca="1"/>
        <v>Open</v>
      </c>
      <c r="D6" t="str">
        <f ca="1"/>
        <v>High</v>
      </c>
      <c r="E6" t="str">
        <f ca="1"/>
        <v>Low</v>
      </c>
      <c r="F6" t="str">
        <f ca="1"/>
        <v>Close</v>
      </c>
    </row>
    <row r="7" spans="1:253" x14ac:dyDescent="0.35">
      <c r="A7" vm="257">
        <f ca="1"/>
        <v>46265</v>
      </c>
      <c r="B7" vm="5525">
        <f ca="1"/>
        <v>8260227</v>
      </c>
      <c r="C7" vm="5526">
        <f ca="1"/>
        <v>86.28</v>
      </c>
      <c r="D7" vm="5527">
        <f ca="1"/>
        <v>87.19</v>
      </c>
      <c r="E7" vm="5528">
        <f ca="1"/>
        <v>86.004999999999995</v>
      </c>
      <c r="F7" vm="5507">
        <f ca="1"/>
        <v>86.32</v>
      </c>
    </row>
    <row r="8" spans="1:253" x14ac:dyDescent="0.35">
      <c r="A8" vm="258">
        <f ca="1"/>
        <v>46266</v>
      </c>
      <c r="B8" vm="5529">
        <f ca="1"/>
        <v>5360435</v>
      </c>
      <c r="C8" vm="5507">
        <f ca="1"/>
        <v>86.32</v>
      </c>
      <c r="D8" vm="5527">
        <f ca="1"/>
        <v>87.19</v>
      </c>
      <c r="E8" vm="5530">
        <f ca="1"/>
        <v>85.22</v>
      </c>
      <c r="F8" vm="5508">
        <f ca="1"/>
        <v>85.63</v>
      </c>
    </row>
    <row r="9" spans="1:253" x14ac:dyDescent="0.35">
      <c r="A9" vm="259">
        <f ca="1"/>
        <v>46267</v>
      </c>
      <c r="B9" vm="5531">
        <f ca="1"/>
        <v>5887896</v>
      </c>
      <c r="C9" vm="5532">
        <f ca="1"/>
        <v>85.64</v>
      </c>
      <c r="D9" vm="5533">
        <f ca="1"/>
        <v>86.64</v>
      </c>
      <c r="E9" vm="5520">
        <f ca="1"/>
        <v>83.95</v>
      </c>
      <c r="F9" vm="5509">
        <f ca="1"/>
        <v>84.87</v>
      </c>
    </row>
    <row r="10" spans="1:253" x14ac:dyDescent="0.35">
      <c r="A10" vm="260">
        <f ca="1"/>
        <v>46268</v>
      </c>
      <c r="B10" vm="5534">
        <f ca="1"/>
        <v>5216174</v>
      </c>
      <c r="C10" vm="5535">
        <f ca="1"/>
        <v>85.724999999999994</v>
      </c>
      <c r="D10" vm="5536">
        <f ca="1"/>
        <v>87.38</v>
      </c>
      <c r="E10" vm="5537">
        <f ca="1"/>
        <v>85.120800000000003</v>
      </c>
      <c r="F10" vm="5510">
        <f ca="1"/>
        <v>87.22</v>
      </c>
    </row>
    <row r="11" spans="1:253" x14ac:dyDescent="0.35">
      <c r="A11" vm="261">
        <f ca="1"/>
        <v>46269</v>
      </c>
      <c r="B11" vm="5538">
        <f ca="1"/>
        <v>5440717</v>
      </c>
      <c r="C11" vm="5539">
        <f ca="1"/>
        <v>86.41</v>
      </c>
      <c r="D11" vm="5511">
        <f ca="1"/>
        <v>87.76</v>
      </c>
      <c r="E11" vm="5540">
        <f ca="1"/>
        <v>85.685000000000002</v>
      </c>
      <c r="F11" vm="5511">
        <f ca="1"/>
        <v>87.76</v>
      </c>
    </row>
    <row r="12" spans="1:253" x14ac:dyDescent="0.35">
      <c r="A12" vm="262">
        <f ca="1"/>
        <v>46273</v>
      </c>
      <c r="B12" vm="5541">
        <f ca="1"/>
        <v>6239759</v>
      </c>
      <c r="C12" vm="5536">
        <f ca="1"/>
        <v>87.38</v>
      </c>
      <c r="D12" vm="5542">
        <f ca="1"/>
        <v>87.85</v>
      </c>
      <c r="E12" vm="5543">
        <f ca="1"/>
        <v>85.31</v>
      </c>
      <c r="F12" vm="5512">
        <f ca="1"/>
        <v>85.79</v>
      </c>
    </row>
    <row r="13" spans="1:253" x14ac:dyDescent="0.35">
      <c r="A13" vm="263">
        <f ca="1"/>
        <v>46274</v>
      </c>
      <c r="B13" vm="5544">
        <f ca="1"/>
        <v>7780490</v>
      </c>
      <c r="C13" vm="5530">
        <f ca="1"/>
        <v>85.22</v>
      </c>
      <c r="D13" vm="5545">
        <f ca="1"/>
        <v>86.3</v>
      </c>
      <c r="E13" vm="5454">
        <f ca="1"/>
        <v>83.76</v>
      </c>
      <c r="F13" vm="5454">
        <f ca="1"/>
        <v>83.76</v>
      </c>
    </row>
    <row r="14" spans="1:253" x14ac:dyDescent="0.35">
      <c r="A14" vm="264">
        <f ca="1"/>
        <v>46275</v>
      </c>
      <c r="B14" vm="5546">
        <f ca="1"/>
        <v>6081026</v>
      </c>
      <c r="C14" vm="5547">
        <f ca="1"/>
        <v>83.8</v>
      </c>
      <c r="D14" vm="5505">
        <f ca="1"/>
        <v>86.18</v>
      </c>
      <c r="E14" vm="5548">
        <f ca="1"/>
        <v>82.858199999999997</v>
      </c>
      <c r="F14" vm="5513">
        <f ca="1"/>
        <v>86.12</v>
      </c>
    </row>
    <row r="15" spans="1:253" x14ac:dyDescent="0.35">
      <c r="A15" vm="265">
        <f ca="1"/>
        <v>46276</v>
      </c>
      <c r="B15" vm="5549">
        <f ca="1"/>
        <v>7366075</v>
      </c>
      <c r="C15" vm="5550">
        <f ca="1"/>
        <v>87.25</v>
      </c>
      <c r="D15" vm="5551">
        <f ca="1"/>
        <v>87.77</v>
      </c>
      <c r="E15" vm="5543">
        <f ca="1"/>
        <v>85.31</v>
      </c>
      <c r="F15" vm="5514">
        <f ca="1"/>
        <v>85.62</v>
      </c>
    </row>
    <row r="16" spans="1:253" x14ac:dyDescent="0.35">
      <c r="A16" vm="266">
        <f ca="1"/>
        <v>46279</v>
      </c>
      <c r="B16" vm="5552">
        <f ca="1"/>
        <v>5558164</v>
      </c>
      <c r="C16" vm="5553">
        <f ca="1"/>
        <v>85.84</v>
      </c>
      <c r="D16" vm="5554">
        <f ca="1"/>
        <v>87.39</v>
      </c>
      <c r="E16" vm="5555">
        <f ca="1"/>
        <v>85.48</v>
      </c>
      <c r="F16" vm="5515">
        <f ca="1"/>
        <v>87.16</v>
      </c>
    </row>
    <row r="17" spans="1:6" x14ac:dyDescent="0.35">
      <c r="A17" vm="267">
        <f ca="1"/>
        <v>46280</v>
      </c>
      <c r="B17" vm="5556">
        <f ca="1"/>
        <v>6191866</v>
      </c>
      <c r="C17" vm="5557">
        <f ca="1"/>
        <v>87.05</v>
      </c>
      <c r="D17" vm="5558">
        <f ca="1"/>
        <v>87.65</v>
      </c>
      <c r="E17" vm="5371">
        <f ca="1"/>
        <v>84.9</v>
      </c>
      <c r="F17" vm="5516">
        <f ca="1"/>
        <v>85.37</v>
      </c>
    </row>
    <row r="18" spans="1:6" x14ac:dyDescent="0.35">
      <c r="A18" vm="268">
        <f ca="1"/>
        <v>46281</v>
      </c>
      <c r="B18" vm="5559">
        <f ca="1"/>
        <v>6428913</v>
      </c>
      <c r="C18" vm="5560">
        <f ca="1"/>
        <v>85.05</v>
      </c>
      <c r="D18" vm="5561">
        <f ca="1"/>
        <v>85.35</v>
      </c>
      <c r="E18" vm="5562">
        <f ca="1"/>
        <v>83.47</v>
      </c>
      <c r="F18" vm="5517">
        <f ca="1"/>
        <v>84.29</v>
      </c>
    </row>
    <row r="19" spans="1:6" x14ac:dyDescent="0.35">
      <c r="A19" vm="269">
        <f ca="1"/>
        <v>46282</v>
      </c>
      <c r="B19" vm="5563">
        <f ca="1"/>
        <v>8832813</v>
      </c>
      <c r="C19" vm="5564">
        <f ca="1"/>
        <v>86.19</v>
      </c>
      <c r="D19" vm="5565">
        <f ca="1"/>
        <v>87.86</v>
      </c>
      <c r="E19" vm="5500">
        <f ca="1"/>
        <v>86.15</v>
      </c>
      <c r="F19" vm="5518">
        <f ca="1"/>
        <v>86.62</v>
      </c>
    </row>
    <row r="20" spans="1:6" x14ac:dyDescent="0.35">
      <c r="A20" vm="270">
        <f ca="1"/>
        <v>46283</v>
      </c>
      <c r="B20" vm="5566">
        <f ca="1"/>
        <v>21148053</v>
      </c>
      <c r="C20" vm="5567">
        <f ca="1"/>
        <v>86.16</v>
      </c>
      <c r="D20" vm="5568">
        <f ca="1"/>
        <v>86.486800000000002</v>
      </c>
      <c r="E20" vm="5569">
        <f ca="1"/>
        <v>81.394999999999996</v>
      </c>
      <c r="F20" vm="5519">
        <f ca="1"/>
        <v>82.2</v>
      </c>
    </row>
    <row r="21" spans="1:6" x14ac:dyDescent="0.35">
      <c r="A21" vm="271">
        <f ca="1"/>
        <v>46286</v>
      </c>
      <c r="B21" vm="5570">
        <f ca="1"/>
        <v>7936516</v>
      </c>
      <c r="C21" vm="5571">
        <f ca="1"/>
        <v>82.375</v>
      </c>
      <c r="D21" vm="5572">
        <f ca="1"/>
        <v>84.88</v>
      </c>
      <c r="E21" vm="5519">
        <f ca="1"/>
        <v>82.2</v>
      </c>
      <c r="F21" vm="5520">
        <f ca="1"/>
        <v>83.95</v>
      </c>
    </row>
    <row r="22" spans="1:6" x14ac:dyDescent="0.35">
      <c r="A22" vm="272">
        <f ca="1"/>
        <v>46287</v>
      </c>
      <c r="B22" vm="5573">
        <f ca="1"/>
        <v>6232948</v>
      </c>
      <c r="C22" vm="5574">
        <f ca="1"/>
        <v>84.85</v>
      </c>
      <c r="D22" vm="5575">
        <f ca="1"/>
        <v>85.2</v>
      </c>
      <c r="E22" vm="5576">
        <f ca="1"/>
        <v>82.95</v>
      </c>
      <c r="F22" vm="5521">
        <f ca="1"/>
        <v>83.45</v>
      </c>
    </row>
    <row r="23" spans="1:6" x14ac:dyDescent="0.35">
      <c r="A23" vm="273">
        <f ca="1"/>
        <v>46288</v>
      </c>
      <c r="B23" vm="5577">
        <f ca="1"/>
        <v>4730304</v>
      </c>
      <c r="C23" vm="5578">
        <f ca="1"/>
        <v>83.05</v>
      </c>
      <c r="D23" vm="5579">
        <f ca="1"/>
        <v>84.564999999999998</v>
      </c>
      <c r="E23" vm="5580">
        <f ca="1"/>
        <v>82.76</v>
      </c>
      <c r="F23" vm="5453">
        <f ca="1"/>
        <v>83.77</v>
      </c>
    </row>
    <row r="24" spans="1:6" x14ac:dyDescent="0.35">
      <c r="A24" vm="274">
        <f ca="1"/>
        <v>46289</v>
      </c>
      <c r="B24" vm="5581">
        <f ca="1"/>
        <v>7936246</v>
      </c>
      <c r="C24" vm="5582">
        <f ca="1"/>
        <v>83.355000000000004</v>
      </c>
      <c r="D24" vm="5583">
        <f ca="1"/>
        <v>83.7</v>
      </c>
      <c r="E24" vm="5584">
        <f ca="1"/>
        <v>80.040000000000006</v>
      </c>
      <c r="F24" vm="5522">
        <f ca="1"/>
        <v>80.569999999999993</v>
      </c>
    </row>
    <row r="25" spans="1:6" x14ac:dyDescent="0.35">
      <c r="A25" vm="275">
        <f ca="1"/>
        <v>46290</v>
      </c>
      <c r="B25" vm="5585">
        <f ca="1"/>
        <v>7222753</v>
      </c>
      <c r="C25" vm="5586">
        <f ca="1"/>
        <v>80.94</v>
      </c>
      <c r="D25" vm="5587">
        <f ca="1"/>
        <v>83.5</v>
      </c>
      <c r="E25" vm="5588">
        <f ca="1"/>
        <v>80.88</v>
      </c>
      <c r="F25" vm="5523">
        <f ca="1"/>
        <v>82.63</v>
      </c>
    </row>
    <row r="26" spans="1:6" x14ac:dyDescent="0.35">
      <c r="A26" vm="276">
        <f ca="1"/>
        <v>46293</v>
      </c>
      <c r="B26" vm="5589">
        <f ca="1"/>
        <v>8626724</v>
      </c>
      <c r="C26" vm="5590">
        <f ca="1"/>
        <v>81.900000000000006</v>
      </c>
      <c r="D26" vm="5591">
        <f ca="1"/>
        <v>82.69</v>
      </c>
      <c r="E26" vm="5461">
        <f ca="1"/>
        <v>80.430000000000007</v>
      </c>
      <c r="F26" vm="5524">
        <f ca="1"/>
        <v>80.64</v>
      </c>
    </row>
  </sheetData>
  <pageMargins left="0.7" right="0.7" top="0.75" bottom="0.75" header="0.3" footer="0.3"/>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90ADC9-135B-46D7-B042-B085CECDA510}">
  <dimension ref="A1:IS26"/>
  <sheetViews>
    <sheetView workbookViewId="0">
      <selection activeCell="H34" sqref="H34"/>
    </sheetView>
  </sheetViews>
  <sheetFormatPr defaultRowHeight="14.5" x14ac:dyDescent="0.35"/>
  <cols>
    <col min="1" max="1" width="22.1796875" bestFit="1" customWidth="1"/>
    <col min="2" max="2" width="46.08984375" bestFit="1" customWidth="1"/>
  </cols>
  <sheetData>
    <row r="1" spans="1:253" x14ac:dyDescent="0.35">
      <c r="A1" s="2" t="s">
        <v>8</v>
      </c>
      <c r="B1" t="e" vm="24">
        <v>#VALUE!</v>
      </c>
    </row>
    <row r="3" spans="1:253" x14ac:dyDescent="0.35">
      <c r="A3" s="2" t="s">
        <v>35</v>
      </c>
      <c r="B3" s="2" t="s">
        <v>25</v>
      </c>
    </row>
    <row r="4" spans="1:253" x14ac:dyDescent="0.35">
      <c r="A4" t="s">
        <v>37</v>
      </c>
      <c r="B4" t="s">
        <v>23</v>
      </c>
      <c r="C4" cm="1" vm="5592">
        <f t="array" aca="1" ref="C4:IS4" ca="1">TRANSPOSE(_xlfn.STOCKHISTORY(A4&amp;":"&amp;B4,TODAY()-365,TODAY(),0,0,1))</f>
        <v>491.98</v>
      </c>
      <c r="D4" vm="5593">
        <f ca="1"/>
        <v>499.21</v>
      </c>
      <c r="E4" vm="5594">
        <f ca="1"/>
        <v>499</v>
      </c>
      <c r="F4" vm="5595">
        <f ca="1"/>
        <v>499.36</v>
      </c>
      <c r="G4" vm="5596">
        <f ca="1"/>
        <v>504.49</v>
      </c>
      <c r="H4" vm="5597">
        <f ca="1"/>
        <v>514.24</v>
      </c>
      <c r="I4" vm="5598">
        <f ca="1"/>
        <v>511.07</v>
      </c>
      <c r="J4" vm="5599">
        <f ca="1"/>
        <v>514.02</v>
      </c>
      <c r="K4" vm="5600">
        <f ca="1"/>
        <v>507.76</v>
      </c>
      <c r="L4" vm="5601">
        <f ca="1"/>
        <v>505.05</v>
      </c>
      <c r="M4" vm="5602">
        <f ca="1"/>
        <v>503.83</v>
      </c>
      <c r="N4" vm="5603">
        <f ca="1"/>
        <v>505.18</v>
      </c>
      <c r="O4" vm="5604">
        <f ca="1"/>
        <v>499.41</v>
      </c>
      <c r="P4" vm="5605">
        <f ca="1"/>
        <v>493.25</v>
      </c>
      <c r="Q4" vm="5606">
        <f ca="1"/>
        <v>495.15</v>
      </c>
      <c r="R4" vm="5607">
        <f ca="1"/>
        <v>505.9</v>
      </c>
      <c r="S4" vm="5608">
        <f ca="1"/>
        <v>489.5</v>
      </c>
      <c r="T4" vm="5609">
        <f ca="1"/>
        <v>487.14</v>
      </c>
      <c r="U4" vm="5610">
        <f ca="1"/>
        <v>488.05</v>
      </c>
      <c r="V4" vm="5611">
        <f ca="1"/>
        <v>485.41</v>
      </c>
      <c r="W4" vm="5612">
        <f ca="1"/>
        <v>486.91</v>
      </c>
      <c r="X4" vm="5613">
        <f ca="1"/>
        <v>485.77</v>
      </c>
      <c r="Y4" vm="5614">
        <f ca="1"/>
        <v>485.33</v>
      </c>
      <c r="Z4" vm="5615">
        <f ca="1"/>
        <v>489.72</v>
      </c>
      <c r="AA4" vm="5616">
        <f ca="1"/>
        <v>491.88</v>
      </c>
      <c r="AB4" vm="5617">
        <f ca="1"/>
        <v>487.94</v>
      </c>
      <c r="AC4" vm="5618">
        <f ca="1"/>
        <v>484.98</v>
      </c>
      <c r="AD4" vm="5619">
        <f ca="1"/>
        <v>473.14</v>
      </c>
      <c r="AE4" vm="5620">
        <f ca="1"/>
        <v>468.92</v>
      </c>
      <c r="AF4" vm="5621">
        <f ca="1"/>
        <v>458.35</v>
      </c>
      <c r="AG4" vm="5622">
        <f ca="1"/>
        <v>452.1</v>
      </c>
      <c r="AH4" vm="5623">
        <f ca="1"/>
        <v>457.07</v>
      </c>
      <c r="AI4" vm="5624">
        <f ca="1"/>
        <v>457.04</v>
      </c>
      <c r="AJ4" vm="5625">
        <f ca="1"/>
        <v>455.85</v>
      </c>
      <c r="AK4" vm="5626">
        <f ca="1"/>
        <v>465.77</v>
      </c>
      <c r="AL4" vm="5627">
        <f ca="1"/>
        <v>470.78</v>
      </c>
      <c r="AM4" vm="5628">
        <f ca="1"/>
        <v>474.72</v>
      </c>
      <c r="AN4" vm="5629">
        <f ca="1"/>
        <v>469.91</v>
      </c>
      <c r="AO4" vm="5630">
        <f ca="1"/>
        <v>468.26</v>
      </c>
      <c r="AP4" vm="5631">
        <f ca="1"/>
        <v>460.78</v>
      </c>
      <c r="AQ4" vm="5632">
        <f ca="1"/>
        <v>451.06</v>
      </c>
      <c r="AR4" vm="5633">
        <f ca="1"/>
        <v>452.41</v>
      </c>
      <c r="AS4" vm="5634">
        <f ca="1"/>
        <v>454.16</v>
      </c>
      <c r="AT4" vm="5635">
        <f ca="1"/>
        <v>457.86</v>
      </c>
      <c r="AU4" vm="5636">
        <f ca="1"/>
        <v>439.19</v>
      </c>
      <c r="AV4" vm="5637">
        <f ca="1"/>
        <v>441.82</v>
      </c>
      <c r="AW4" vm="5638">
        <f ca="1"/>
        <v>446.8</v>
      </c>
      <c r="AX4" vm="5639">
        <f ca="1"/>
        <v>448.35</v>
      </c>
      <c r="AY4" vm="5640">
        <f ca="1"/>
        <v>452.2</v>
      </c>
      <c r="AZ4" vm="5641">
        <f ca="1"/>
        <v>465.38</v>
      </c>
      <c r="BA4" vm="5642">
        <f ca="1"/>
        <v>466.89</v>
      </c>
      <c r="BB4" vm="5643">
        <f ca="1"/>
        <v>467.94</v>
      </c>
      <c r="BC4" vm="5644">
        <f ca="1"/>
        <v>474.88</v>
      </c>
      <c r="BD4" vm="5645">
        <f ca="1"/>
        <v>480.25</v>
      </c>
      <c r="BE4" vm="5646">
        <f ca="1"/>
        <v>484.42</v>
      </c>
      <c r="BF4" vm="5647">
        <f ca="1"/>
        <v>477.06</v>
      </c>
      <c r="BG4" vm="5648">
        <f ca="1"/>
        <v>474.79</v>
      </c>
      <c r="BH4" vm="5649">
        <f ca="1"/>
        <v>470.14</v>
      </c>
      <c r="BI4" vm="5650">
        <f ca="1"/>
        <v>474.13</v>
      </c>
      <c r="BJ4" vm="5651">
        <f ca="1"/>
        <v>483.57</v>
      </c>
      <c r="BK4" vm="5652">
        <f ca="1"/>
        <v>482.55</v>
      </c>
      <c r="BL4" vm="5653">
        <f ca="1"/>
        <v>485.75</v>
      </c>
      <c r="BM4" vm="5654">
        <f ca="1"/>
        <v>483.03</v>
      </c>
      <c r="BN4" vm="5655">
        <f ca="1"/>
        <v>488.87</v>
      </c>
      <c r="BO4" vm="5656">
        <f ca="1"/>
        <v>488</v>
      </c>
      <c r="BP4" vm="5657">
        <f ca="1"/>
        <v>483.67</v>
      </c>
      <c r="BQ4" vm="5658">
        <f ca="1"/>
        <v>497.07</v>
      </c>
      <c r="BR4" vm="452">
        <f ca="1"/>
        <v>511.57</v>
      </c>
      <c r="BS4" vm="5659">
        <f ca="1"/>
        <v>522.04</v>
      </c>
      <c r="BT4" vm="5660">
        <f ca="1"/>
        <v>496.87</v>
      </c>
      <c r="BU4" vm="5661">
        <f ca="1"/>
        <v>518.44000000000005</v>
      </c>
      <c r="BV4" vm="5662">
        <f ca="1"/>
        <v>542.91999999999996</v>
      </c>
      <c r="BW4" vm="5663">
        <f ca="1"/>
        <v>551.24</v>
      </c>
      <c r="BX4" vm="5664">
        <f ca="1"/>
        <v>558.29999999999995</v>
      </c>
      <c r="BY4" vm="5665">
        <f ca="1"/>
        <v>572.70000000000005</v>
      </c>
      <c r="BZ4" vm="5666">
        <f ca="1"/>
        <v>577.89</v>
      </c>
      <c r="CA4" vm="5667">
        <f ca="1"/>
        <v>582.42999999999995</v>
      </c>
      <c r="CB4" vm="5668">
        <f ca="1"/>
        <v>576.05999999999995</v>
      </c>
      <c r="CC4" vm="5669">
        <f ca="1"/>
        <v>586.23</v>
      </c>
      <c r="CD4" vm="5670">
        <f ca="1"/>
        <v>593.91</v>
      </c>
      <c r="CE4" vm="5671">
        <f ca="1"/>
        <v>590.82000000000005</v>
      </c>
      <c r="CF4" vm="5672">
        <f ca="1"/>
        <v>581.66</v>
      </c>
      <c r="CG4" vm="5673">
        <f ca="1"/>
        <v>594.95000000000005</v>
      </c>
      <c r="CH4" vm="5674">
        <f ca="1"/>
        <v>597.27</v>
      </c>
      <c r="CI4" vm="5675">
        <f ca="1"/>
        <v>622.51</v>
      </c>
      <c r="CJ4" vm="5676">
        <f ca="1"/>
        <v>634.22</v>
      </c>
      <c r="CK4" vm="5677">
        <f ca="1"/>
        <v>636</v>
      </c>
      <c r="CL4" vm="5678">
        <f ca="1"/>
        <v>628.26</v>
      </c>
      <c r="CM4" vm="5679">
        <f ca="1"/>
        <v>602.76</v>
      </c>
      <c r="CN4" vm="5680">
        <f ca="1"/>
        <v>609.17999999999995</v>
      </c>
      <c r="CO4" vm="5681">
        <f ca="1"/>
        <v>623.58000000000004</v>
      </c>
      <c r="CP4" vm="5682">
        <f ca="1"/>
        <v>638.29</v>
      </c>
      <c r="CQ4" vm="5683">
        <f ca="1"/>
        <v>629.55999999999995</v>
      </c>
      <c r="CR4" vm="5684">
        <f ca="1"/>
        <v>628.70000000000005</v>
      </c>
      <c r="CS4" vm="5685">
        <f ca="1"/>
        <v>637.42999999999995</v>
      </c>
      <c r="CT4" vm="5686">
        <f ca="1"/>
        <v>652.58000000000004</v>
      </c>
      <c r="CU4" vm="5687">
        <f ca="1"/>
        <v>649.58000000000004</v>
      </c>
      <c r="CV4" vm="2706">
        <f ca="1"/>
        <v>649.80999999999995</v>
      </c>
      <c r="CW4" vm="5688">
        <f ca="1"/>
        <v>666.51</v>
      </c>
      <c r="CX4" vm="5689">
        <f ca="1"/>
        <v>658.26</v>
      </c>
      <c r="CY4" vm="2681">
        <f ca="1"/>
        <v>660.62</v>
      </c>
      <c r="CZ4" vm="5690">
        <f ca="1"/>
        <v>664.43</v>
      </c>
      <c r="DA4" vm="5691">
        <f ca="1"/>
        <v>647.5</v>
      </c>
      <c r="DB4" vm="5692">
        <f ca="1"/>
        <v>641.63</v>
      </c>
      <c r="DC4" vm="5693">
        <f ca="1"/>
        <v>658.08</v>
      </c>
      <c r="DD4" vm="5694">
        <f ca="1"/>
        <v>676.7</v>
      </c>
      <c r="DE4" vm="5695">
        <f ca="1"/>
        <v>667.82</v>
      </c>
      <c r="DF4" vm="5696">
        <f ca="1"/>
        <v>664.48</v>
      </c>
      <c r="DG4" vm="5697">
        <f ca="1"/>
        <v>655</v>
      </c>
      <c r="DH4" vm="5698">
        <f ca="1"/>
        <v>671.77</v>
      </c>
      <c r="DI4" vm="5699">
        <f ca="1"/>
        <v>664.15</v>
      </c>
      <c r="DJ4" vm="5700">
        <f ca="1"/>
        <v>651.22</v>
      </c>
      <c r="DK4" vm="5701">
        <f ca="1"/>
        <v>649.47</v>
      </c>
      <c r="DL4" vm="5702">
        <f ca="1"/>
        <v>652.83000000000004</v>
      </c>
      <c r="DM4" vm="5703">
        <f ca="1"/>
        <v>646</v>
      </c>
      <c r="DN4" vm="5704">
        <f ca="1"/>
        <v>645.20000000000005</v>
      </c>
      <c r="DO4" vm="5705">
        <f ca="1"/>
        <v>636.33000000000004</v>
      </c>
      <c r="DP4" vm="5706">
        <f ca="1"/>
        <v>642.28</v>
      </c>
      <c r="DQ4" vm="5707">
        <f ca="1"/>
        <v>637.51</v>
      </c>
      <c r="DR4" vm="5708">
        <f ca="1"/>
        <v>627.42999999999995</v>
      </c>
      <c r="DS4" vm="5709">
        <f ca="1"/>
        <v>616.25</v>
      </c>
      <c r="DT4" vm="5710">
        <f ca="1"/>
        <v>610.16999999999996</v>
      </c>
      <c r="DU4" vm="5711">
        <f ca="1"/>
        <v>624.20000000000005</v>
      </c>
      <c r="DV4" vm="5712">
        <f ca="1"/>
        <v>627.33000000000004</v>
      </c>
      <c r="DW4" vm="5713">
        <f ca="1"/>
        <v>615.84</v>
      </c>
      <c r="DX4" vm="5714">
        <f ca="1"/>
        <v>598.57000000000005</v>
      </c>
      <c r="DY4" vm="5715">
        <f ca="1"/>
        <v>604.39</v>
      </c>
      <c r="DZ4" vm="5716">
        <f ca="1"/>
        <v>617.64</v>
      </c>
      <c r="EA4" vm="5717">
        <f ca="1"/>
        <v>622.79</v>
      </c>
      <c r="EB4" vm="5718">
        <f ca="1"/>
        <v>637.9</v>
      </c>
      <c r="EC4" vm="5719">
        <f ca="1"/>
        <v>627.70000000000005</v>
      </c>
      <c r="ED4" vm="5720">
        <f ca="1"/>
        <v>628.5</v>
      </c>
      <c r="EE4" vm="5721">
        <f ca="1"/>
        <v>623.87</v>
      </c>
      <c r="EF4" vm="5722">
        <f ca="1"/>
        <v>613.72</v>
      </c>
      <c r="EG4" vm="5723">
        <f ca="1"/>
        <v>619.69000000000005</v>
      </c>
      <c r="EH4" vm="5724">
        <f ca="1"/>
        <v>611.58000000000004</v>
      </c>
      <c r="EI4" vm="5725">
        <f ca="1"/>
        <v>611.1</v>
      </c>
      <c r="EJ4" vm="5726">
        <f ca="1"/>
        <v>607.49</v>
      </c>
      <c r="EK4" vm="5727">
        <f ca="1"/>
        <v>592.19000000000005</v>
      </c>
      <c r="EL4" vm="5728">
        <f ca="1"/>
        <v>581.28</v>
      </c>
      <c r="EM4" vm="5729">
        <f ca="1"/>
        <v>571.95000000000005</v>
      </c>
      <c r="EN4" vm="5730">
        <f ca="1"/>
        <v>555.42999999999995</v>
      </c>
      <c r="EO4" vm="5731">
        <f ca="1"/>
        <v>529.79</v>
      </c>
      <c r="EP4" vm="5732">
        <f ca="1"/>
        <v>513.45000000000005</v>
      </c>
      <c r="EQ4" vm="5733">
        <f ca="1"/>
        <v>513.35</v>
      </c>
      <c r="ER4" vm="5734">
        <f ca="1"/>
        <v>512.29</v>
      </c>
      <c r="ES4" vm="5735">
        <f ca="1"/>
        <v>509.81</v>
      </c>
      <c r="ET4" vm="5736">
        <f ca="1"/>
        <v>517.97</v>
      </c>
      <c r="EU4" vm="5737">
        <f ca="1"/>
        <v>512.77</v>
      </c>
      <c r="EV4" vm="5738">
        <f ca="1"/>
        <v>518.15</v>
      </c>
      <c r="EW4" vm="5739">
        <f ca="1"/>
        <v>508.93</v>
      </c>
      <c r="EX4" vm="5740">
        <f ca="1"/>
        <v>514.26</v>
      </c>
      <c r="EY4" vm="5741">
        <f ca="1"/>
        <v>512.41</v>
      </c>
      <c r="EZ4" vm="5742">
        <f ca="1"/>
        <v>506.51</v>
      </c>
      <c r="FA4" vm="5743">
        <f ca="1"/>
        <v>512.25</v>
      </c>
      <c r="FB4" vm="5744">
        <f ca="1"/>
        <v>521</v>
      </c>
      <c r="FC4" vm="5745">
        <f ca="1"/>
        <v>519.94000000000005</v>
      </c>
      <c r="FD4" vm="5746">
        <f ca="1"/>
        <v>520.41</v>
      </c>
      <c r="FE4" vm="5747">
        <f ca="1"/>
        <v>516.01</v>
      </c>
      <c r="FF4" vm="5748">
        <f ca="1"/>
        <v>528.30999999999995</v>
      </c>
      <c r="FG4" vm="5749">
        <f ca="1"/>
        <v>526.63</v>
      </c>
      <c r="FH4" vm="5750">
        <f ca="1"/>
        <v>522.59</v>
      </c>
      <c r="FI4" vm="5751">
        <f ca="1"/>
        <v>522.79</v>
      </c>
      <c r="FJ4" vm="5752">
        <f ca="1"/>
        <v>533.24</v>
      </c>
      <c r="FK4" vm="5753">
        <f ca="1"/>
        <v>532.9</v>
      </c>
      <c r="FL4" vm="5754">
        <f ca="1"/>
        <v>531.14</v>
      </c>
      <c r="FM4" vm="5755">
        <f ca="1"/>
        <v>537.21</v>
      </c>
      <c r="FN4" vm="5282">
        <f ca="1"/>
        <v>530.45000000000005</v>
      </c>
      <c r="FO4" vm="5756">
        <f ca="1"/>
        <v>516.5</v>
      </c>
      <c r="FP4" vm="5757">
        <f ca="1"/>
        <v>513.42999999999995</v>
      </c>
      <c r="FQ4" vm="5758">
        <f ca="1"/>
        <v>512.03</v>
      </c>
      <c r="FR4" vm="5759">
        <f ca="1"/>
        <v>519.04999999999995</v>
      </c>
      <c r="FS4" vm="5760">
        <f ca="1"/>
        <v>523.76</v>
      </c>
      <c r="FT4" vm="5761">
        <f ca="1"/>
        <v>520.07000000000005</v>
      </c>
      <c r="FU4" vm="5762">
        <f ca="1"/>
        <v>530.13</v>
      </c>
      <c r="FV4" vm="5763">
        <f ca="1"/>
        <v>525.02</v>
      </c>
      <c r="FW4" vm="5764">
        <f ca="1"/>
        <v>548.67999999999995</v>
      </c>
      <c r="FX4" vm="5765">
        <f ca="1"/>
        <v>540.33000000000004</v>
      </c>
      <c r="FY4" vm="5766">
        <f ca="1"/>
        <v>530.36</v>
      </c>
      <c r="FZ4" vm="5767">
        <f ca="1"/>
        <v>535.95000000000005</v>
      </c>
      <c r="GA4" vm="5768">
        <f ca="1"/>
        <v>532.32000000000005</v>
      </c>
      <c r="GB4" vm="5769">
        <f ca="1"/>
        <v>510.95</v>
      </c>
      <c r="GC4" vm="5770">
        <f ca="1"/>
        <v>493.6</v>
      </c>
      <c r="GD4" vm="5771">
        <f ca="1"/>
        <v>503.67</v>
      </c>
      <c r="GE4" vm="5772">
        <f ca="1"/>
        <v>491.64</v>
      </c>
      <c r="GF4" vm="5773">
        <f ca="1"/>
        <v>505.02</v>
      </c>
      <c r="GG4" vm="5774">
        <f ca="1"/>
        <v>507.4</v>
      </c>
      <c r="GH4" vm="5775">
        <f ca="1"/>
        <v>502.07</v>
      </c>
      <c r="GI4" vm="5776">
        <f ca="1"/>
        <v>509.46</v>
      </c>
      <c r="GJ4" vm="5777">
        <f ca="1"/>
        <v>521.82000000000005</v>
      </c>
      <c r="GK4" vm="5778">
        <f ca="1"/>
        <v>545.91</v>
      </c>
      <c r="GL4" vm="5779">
        <f ca="1"/>
        <v>538</v>
      </c>
      <c r="GM4" vm="5780">
        <f ca="1"/>
        <v>535.38</v>
      </c>
      <c r="GN4" vm="5781">
        <f ca="1"/>
        <v>527.96</v>
      </c>
      <c r="GO4" vm="5782">
        <f ca="1"/>
        <v>518.26</v>
      </c>
      <c r="GP4" vm="5783">
        <f ca="1"/>
        <v>523.22</v>
      </c>
      <c r="GQ4" vm="5784">
        <f ca="1"/>
        <v>520.67999999999995</v>
      </c>
      <c r="GR4" vm="5785">
        <f ca="1"/>
        <v>514.99</v>
      </c>
      <c r="GS4" vm="5786">
        <f ca="1"/>
        <v>514.46</v>
      </c>
      <c r="GT4" vm="5787">
        <f ca="1"/>
        <v>513.52</v>
      </c>
      <c r="GU4" vm="5788">
        <f ca="1"/>
        <v>508.77</v>
      </c>
      <c r="GV4" vm="5789">
        <f ca="1"/>
        <v>509.54</v>
      </c>
      <c r="GW4" vm="5790">
        <f ca="1"/>
        <v>507.09</v>
      </c>
      <c r="GX4" vm="5791">
        <f ca="1"/>
        <v>514.36</v>
      </c>
      <c r="GY4" vm="5792">
        <f ca="1"/>
        <v>568.59</v>
      </c>
      <c r="GZ4" vm="5793">
        <f ca="1"/>
        <v>582.6</v>
      </c>
      <c r="HA4" vm="5794">
        <f ca="1"/>
        <v>580</v>
      </c>
      <c r="HB4" vm="5795">
        <f ca="1"/>
        <v>581.30999999999995</v>
      </c>
      <c r="HC4" vm="5796">
        <f ca="1"/>
        <v>569.20000000000005</v>
      </c>
      <c r="HD4" vm="5797">
        <f ca="1"/>
        <v>574.11</v>
      </c>
      <c r="HE4" vm="5798">
        <f ca="1"/>
        <v>582.74</v>
      </c>
      <c r="HF4" vm="5799">
        <f ca="1"/>
        <v>586.29</v>
      </c>
      <c r="HG4" vm="5800">
        <f ca="1"/>
        <v>589.33000000000004</v>
      </c>
      <c r="HH4" vm="5801">
        <f ca="1"/>
        <v>577.6</v>
      </c>
      <c r="HI4" vm="5802">
        <f ca="1"/>
        <v>582.85</v>
      </c>
      <c r="HJ4" vm="5803">
        <f ca="1"/>
        <v>587.95000000000005</v>
      </c>
      <c r="HK4" vm="5804">
        <f ca="1"/>
        <v>603.16</v>
      </c>
      <c r="HL4" vm="5805">
        <f ca="1"/>
        <v>597.77</v>
      </c>
      <c r="HM4" vm="5806">
        <f ca="1"/>
        <v>606.72</v>
      </c>
      <c r="HN4" vm="5807">
        <f ca="1"/>
        <v>598.01</v>
      </c>
      <c r="HO4" vm="5808">
        <f ca="1"/>
        <v>608.67999999999995</v>
      </c>
      <c r="HP4" vm="5809">
        <f ca="1"/>
        <v>593.74</v>
      </c>
      <c r="HQ4" vm="5810">
        <f ca="1"/>
        <v>607.16999999999996</v>
      </c>
      <c r="HR4" vm="2651">
        <f ca="1"/>
        <v>589.15</v>
      </c>
      <c r="HS4" vm="5811">
        <f ca="1"/>
        <v>571.48</v>
      </c>
      <c r="HT4" vm="5812">
        <f ca="1"/>
        <v>563.57000000000005</v>
      </c>
      <c r="HU4" vm="5813">
        <f ca="1"/>
        <v>564.14</v>
      </c>
      <c r="HV4" vm="5814">
        <f ca="1"/>
        <v>556.52</v>
      </c>
      <c r="HW4" vm="5815">
        <f ca="1"/>
        <v>565.62</v>
      </c>
      <c r="HX4" vm="5816">
        <f ca="1"/>
        <v>565.89</v>
      </c>
      <c r="HY4" vm="2794">
        <f ca="1"/>
        <v>563.85</v>
      </c>
      <c r="HZ4" vm="5817">
        <f ca="1"/>
        <v>561.23</v>
      </c>
      <c r="IA4" vm="5818">
        <f ca="1"/>
        <v>544.5</v>
      </c>
      <c r="IB4" vm="5819">
        <f ca="1"/>
        <v>531.54999999999995</v>
      </c>
      <c r="IC4" vm="5820">
        <f ca="1"/>
        <v>532.95000000000005</v>
      </c>
      <c r="ID4" vm="5821">
        <f ca="1"/>
        <v>525.28</v>
      </c>
      <c r="IE4" vm="5822">
        <f ca="1"/>
        <v>536.15</v>
      </c>
      <c r="IF4" vm="5823">
        <f ca="1"/>
        <v>524.46</v>
      </c>
      <c r="IG4" vm="5824">
        <f ca="1"/>
        <v>530.12</v>
      </c>
      <c r="IH4" vm="5825">
        <f ca="1"/>
        <v>524.19000000000005</v>
      </c>
      <c r="II4" vm="5826">
        <f ca="1"/>
        <v>529.38</v>
      </c>
      <c r="IJ4" vm="5827">
        <f ca="1"/>
        <v>533.46</v>
      </c>
      <c r="IK4" vm="5828">
        <f ca="1"/>
        <v>537.25</v>
      </c>
      <c r="IL4" vm="5829">
        <f ca="1"/>
        <v>538.09</v>
      </c>
      <c r="IM4" vm="5830">
        <f ca="1"/>
        <v>533.38</v>
      </c>
      <c r="IN4" vm="5831">
        <f ca="1"/>
        <v>535.4</v>
      </c>
      <c r="IO4" vm="5832">
        <f ca="1"/>
        <v>522.34</v>
      </c>
      <c r="IP4" vm="5833">
        <f ca="1"/>
        <v>524.67999999999995</v>
      </c>
      <c r="IQ4" vm="5834">
        <f ca="1"/>
        <v>523.70000000000005</v>
      </c>
      <c r="IR4" vm="5835">
        <f ca="1"/>
        <v>519.55999999999995</v>
      </c>
      <c r="IS4" vm="5836">
        <f ca="1"/>
        <v>518.1</v>
      </c>
    </row>
    <row r="6" spans="1:253" x14ac:dyDescent="0.35">
      <c r="A6" t="str" cm="1">
        <f t="array" aca="1" ref="A6:F26" ca="1">_xlfn.STOCKHISTORY(A4&amp;":"&amp;B4,TODAY()-30,TODAY(),0,1,0,5,2,3,4,1)</f>
        <v>Date</v>
      </c>
      <c r="B6" t="str">
        <f ca="1"/>
        <v>Volume</v>
      </c>
      <c r="C6" t="str">
        <f ca="1"/>
        <v>Open</v>
      </c>
      <c r="D6" t="str">
        <f ca="1"/>
        <v>High</v>
      </c>
      <c r="E6" t="str">
        <f ca="1"/>
        <v>Low</v>
      </c>
      <c r="F6" t="str">
        <f ca="1"/>
        <v>Close</v>
      </c>
    </row>
    <row r="7" spans="1:253" x14ac:dyDescent="0.35">
      <c r="A7" vm="257">
        <f ca="1"/>
        <v>46265</v>
      </c>
      <c r="B7" vm="5837">
        <f ca="1"/>
        <v>945428</v>
      </c>
      <c r="C7" vm="5838">
        <f ca="1"/>
        <v>563.73</v>
      </c>
      <c r="D7" vm="5838">
        <f ca="1"/>
        <v>563.73</v>
      </c>
      <c r="E7" vm="5839">
        <f ca="1"/>
        <v>558.4</v>
      </c>
      <c r="F7" vm="5817">
        <f ca="1"/>
        <v>561.23</v>
      </c>
    </row>
    <row r="8" spans="1:253" x14ac:dyDescent="0.35">
      <c r="A8" vm="258">
        <f ca="1"/>
        <v>46266</v>
      </c>
      <c r="B8" vm="5840">
        <f ca="1"/>
        <v>1046016</v>
      </c>
      <c r="C8" vm="5841">
        <f ca="1"/>
        <v>557.51</v>
      </c>
      <c r="D8" vm="5842">
        <f ca="1"/>
        <v>564.98</v>
      </c>
      <c r="E8" vm="5253">
        <f ca="1"/>
        <v>541.54999999999995</v>
      </c>
      <c r="F8" vm="5818">
        <f ca="1"/>
        <v>544.5</v>
      </c>
    </row>
    <row r="9" spans="1:253" x14ac:dyDescent="0.35">
      <c r="A9" vm="259">
        <f ca="1"/>
        <v>46267</v>
      </c>
      <c r="B9" vm="5843">
        <f ca="1"/>
        <v>1238407</v>
      </c>
      <c r="C9" vm="5844">
        <f ca="1"/>
        <v>545.65</v>
      </c>
      <c r="D9" vm="5845">
        <f ca="1"/>
        <v>548</v>
      </c>
      <c r="E9" vm="5846">
        <f ca="1"/>
        <v>530.15</v>
      </c>
      <c r="F9" vm="5819">
        <f ca="1"/>
        <v>531.54999999999995</v>
      </c>
    </row>
    <row r="10" spans="1:253" x14ac:dyDescent="0.35">
      <c r="A10" vm="260">
        <f ca="1"/>
        <v>46268</v>
      </c>
      <c r="B10" vm="5847">
        <f ca="1"/>
        <v>775700</v>
      </c>
      <c r="C10" vm="5848">
        <f ca="1"/>
        <v>536</v>
      </c>
      <c r="D10" vm="5849">
        <f ca="1"/>
        <v>537.91999999999996</v>
      </c>
      <c r="E10" vm="5850">
        <f ca="1"/>
        <v>527.28</v>
      </c>
      <c r="F10" vm="5820">
        <f ca="1"/>
        <v>532.95000000000005</v>
      </c>
    </row>
    <row r="11" spans="1:253" x14ac:dyDescent="0.35">
      <c r="A11" vm="261">
        <f ca="1"/>
        <v>46269</v>
      </c>
      <c r="B11" vm="5851">
        <f ca="1"/>
        <v>946582</v>
      </c>
      <c r="C11" vm="5731">
        <f ca="1"/>
        <v>529.79</v>
      </c>
      <c r="D11" vm="5852">
        <f ca="1"/>
        <v>533.72</v>
      </c>
      <c r="E11" vm="5853">
        <f ca="1"/>
        <v>524.03</v>
      </c>
      <c r="F11" vm="5821">
        <f ca="1"/>
        <v>525.28</v>
      </c>
    </row>
    <row r="12" spans="1:253" x14ac:dyDescent="0.35">
      <c r="A12" vm="262">
        <f ca="1"/>
        <v>46273</v>
      </c>
      <c r="B12" vm="5854">
        <f ca="1"/>
        <v>1692605</v>
      </c>
      <c r="C12" vm="5855">
        <f ca="1"/>
        <v>532</v>
      </c>
      <c r="D12" vm="5856">
        <f ca="1"/>
        <v>541.59</v>
      </c>
      <c r="E12" vm="5857">
        <f ca="1"/>
        <v>531.37</v>
      </c>
      <c r="F12" vm="5822">
        <f ca="1"/>
        <v>536.15</v>
      </c>
    </row>
    <row r="13" spans="1:253" x14ac:dyDescent="0.35">
      <c r="A13" vm="263">
        <f ca="1"/>
        <v>46274</v>
      </c>
      <c r="B13" vm="5858">
        <f ca="1"/>
        <v>1548934</v>
      </c>
      <c r="C13" vm="5859">
        <f ca="1"/>
        <v>538.91</v>
      </c>
      <c r="D13" vm="5860">
        <f ca="1"/>
        <v>543.59</v>
      </c>
      <c r="E13" vm="5861">
        <f ca="1"/>
        <v>524.37</v>
      </c>
      <c r="F13" vm="5823">
        <f ca="1"/>
        <v>524.46</v>
      </c>
    </row>
    <row r="14" spans="1:253" x14ac:dyDescent="0.35">
      <c r="A14" vm="264">
        <f ca="1"/>
        <v>46275</v>
      </c>
      <c r="B14" vm="5862">
        <f ca="1"/>
        <v>1071274</v>
      </c>
      <c r="C14" vm="5863">
        <f ca="1"/>
        <v>526.01</v>
      </c>
      <c r="D14" vm="5864">
        <f ca="1"/>
        <v>531</v>
      </c>
      <c r="E14" vm="5865">
        <f ca="1"/>
        <v>524.09400000000005</v>
      </c>
      <c r="F14" vm="5824">
        <f ca="1"/>
        <v>530.12</v>
      </c>
    </row>
    <row r="15" spans="1:253" x14ac:dyDescent="0.35">
      <c r="A15" vm="265">
        <f ca="1"/>
        <v>46276</v>
      </c>
      <c r="B15" vm="5866">
        <f ca="1"/>
        <v>922596</v>
      </c>
      <c r="C15" vm="5867">
        <f ca="1"/>
        <v>532.24</v>
      </c>
      <c r="D15" vm="5868">
        <f ca="1"/>
        <v>533.99</v>
      </c>
      <c r="E15" vm="5869">
        <f ca="1"/>
        <v>521.87</v>
      </c>
      <c r="F15" vm="5825">
        <f ca="1"/>
        <v>524.19000000000005</v>
      </c>
    </row>
    <row r="16" spans="1:253" x14ac:dyDescent="0.35">
      <c r="A16" vm="266">
        <f ca="1"/>
        <v>46279</v>
      </c>
      <c r="B16" vm="5870">
        <f ca="1"/>
        <v>971364</v>
      </c>
      <c r="C16" vm="5871">
        <f ca="1"/>
        <v>526.6</v>
      </c>
      <c r="D16" vm="5872">
        <f ca="1"/>
        <v>532.34</v>
      </c>
      <c r="E16" vm="5873">
        <f ca="1"/>
        <v>525.42499999999995</v>
      </c>
      <c r="F16" vm="5826">
        <f ca="1"/>
        <v>529.38</v>
      </c>
    </row>
    <row r="17" spans="1:6" x14ac:dyDescent="0.35">
      <c r="A17" vm="267">
        <f ca="1"/>
        <v>46280</v>
      </c>
      <c r="B17" vm="5874">
        <f ca="1"/>
        <v>877770</v>
      </c>
      <c r="C17" vm="5875">
        <f ca="1"/>
        <v>532.13</v>
      </c>
      <c r="D17" vm="5876">
        <f ca="1"/>
        <v>537.19000000000005</v>
      </c>
      <c r="E17" vm="5877">
        <f ca="1"/>
        <v>525.88</v>
      </c>
      <c r="F17" vm="5827">
        <f ca="1"/>
        <v>533.46</v>
      </c>
    </row>
    <row r="18" spans="1:6" x14ac:dyDescent="0.35">
      <c r="A18" vm="268">
        <f ca="1"/>
        <v>46281</v>
      </c>
      <c r="B18" vm="5878">
        <f ca="1"/>
        <v>912115</v>
      </c>
      <c r="C18" vm="5879">
        <f ca="1"/>
        <v>534.79999999999995</v>
      </c>
      <c r="D18" vm="5880">
        <f ca="1"/>
        <v>539.98990000000003</v>
      </c>
      <c r="E18" vm="5881">
        <f ca="1"/>
        <v>531.01</v>
      </c>
      <c r="F18" vm="5828">
        <f ca="1"/>
        <v>537.25</v>
      </c>
    </row>
    <row r="19" spans="1:6" x14ac:dyDescent="0.35">
      <c r="A19" vm="269">
        <f ca="1"/>
        <v>46282</v>
      </c>
      <c r="B19" vm="5882">
        <f ca="1"/>
        <v>1344476</v>
      </c>
      <c r="C19" vm="5883">
        <f ca="1"/>
        <v>539.17999999999995</v>
      </c>
      <c r="D19" vm="5884">
        <f ca="1"/>
        <v>542.61369999999999</v>
      </c>
      <c r="E19" vm="5885">
        <f ca="1"/>
        <v>520.41999999999996</v>
      </c>
      <c r="F19" vm="5829">
        <f ca="1"/>
        <v>538.09</v>
      </c>
    </row>
    <row r="20" spans="1:6" x14ac:dyDescent="0.35">
      <c r="A20" vm="270">
        <f ca="1"/>
        <v>46283</v>
      </c>
      <c r="B20" vm="5886">
        <f ca="1"/>
        <v>2860825</v>
      </c>
      <c r="C20" vm="5887">
        <f ca="1"/>
        <v>536.98</v>
      </c>
      <c r="D20" vm="5888">
        <f ca="1"/>
        <v>538.1</v>
      </c>
      <c r="E20" vm="5889">
        <f ca="1"/>
        <v>527.1001</v>
      </c>
      <c r="F20" vm="5830">
        <f ca="1"/>
        <v>533.38</v>
      </c>
    </row>
    <row r="21" spans="1:6" x14ac:dyDescent="0.35">
      <c r="A21" vm="271">
        <f ca="1"/>
        <v>46286</v>
      </c>
      <c r="B21" vm="5890">
        <f ca="1"/>
        <v>967050</v>
      </c>
      <c r="C21" vm="5891">
        <f ca="1"/>
        <v>532.29499999999996</v>
      </c>
      <c r="D21" vm="5892">
        <f ca="1"/>
        <v>537.82000000000005</v>
      </c>
      <c r="E21" vm="5893">
        <f ca="1"/>
        <v>530.01</v>
      </c>
      <c r="F21" vm="5831">
        <f ca="1"/>
        <v>535.4</v>
      </c>
    </row>
    <row r="22" spans="1:6" x14ac:dyDescent="0.35">
      <c r="A22" vm="272">
        <f ca="1"/>
        <v>46287</v>
      </c>
      <c r="B22" vm="5894">
        <f ca="1"/>
        <v>1427486</v>
      </c>
      <c r="C22" vm="5895">
        <f ca="1"/>
        <v>536.87</v>
      </c>
      <c r="D22" vm="5896">
        <f ca="1"/>
        <v>537</v>
      </c>
      <c r="E22" vm="5897">
        <f ca="1"/>
        <v>515.59799999999996</v>
      </c>
      <c r="F22" vm="5832">
        <f ca="1"/>
        <v>522.34</v>
      </c>
    </row>
    <row r="23" spans="1:6" x14ac:dyDescent="0.35">
      <c r="A23" vm="273">
        <f ca="1"/>
        <v>46288</v>
      </c>
      <c r="B23" vm="5898">
        <f ca="1"/>
        <v>1134593</v>
      </c>
      <c r="C23" vm="5899">
        <f ca="1"/>
        <v>524.57000000000005</v>
      </c>
      <c r="D23" vm="5900">
        <f ca="1"/>
        <v>534.92999999999995</v>
      </c>
      <c r="E23" vm="5901">
        <f ca="1"/>
        <v>523.21</v>
      </c>
      <c r="F23" vm="5833">
        <f ca="1"/>
        <v>524.67999999999995</v>
      </c>
    </row>
    <row r="24" spans="1:6" x14ac:dyDescent="0.35">
      <c r="A24" vm="274">
        <f ca="1"/>
        <v>46289</v>
      </c>
      <c r="B24" vm="5902">
        <f ca="1"/>
        <v>833627</v>
      </c>
      <c r="C24" vm="5760">
        <f ca="1"/>
        <v>523.76</v>
      </c>
      <c r="D24" vm="5864">
        <f ca="1"/>
        <v>531</v>
      </c>
      <c r="E24" vm="5903">
        <f ca="1"/>
        <v>523.32000000000005</v>
      </c>
      <c r="F24" vm="5834">
        <f ca="1"/>
        <v>523.70000000000005</v>
      </c>
    </row>
    <row r="25" spans="1:6" x14ac:dyDescent="0.35">
      <c r="A25" vm="275">
        <f ca="1"/>
        <v>46290</v>
      </c>
      <c r="B25" vm="5904">
        <f ca="1"/>
        <v>1127654</v>
      </c>
      <c r="C25" vm="5905">
        <f ca="1"/>
        <v>524.12</v>
      </c>
      <c r="D25" vm="5906">
        <f ca="1"/>
        <v>528</v>
      </c>
      <c r="E25" vm="5907">
        <f ca="1"/>
        <v>516.49</v>
      </c>
      <c r="F25" vm="5835">
        <f ca="1"/>
        <v>519.55999999999995</v>
      </c>
    </row>
    <row r="26" spans="1:6" x14ac:dyDescent="0.35">
      <c r="A26" vm="276">
        <f ca="1"/>
        <v>46293</v>
      </c>
      <c r="B26" vm="5908">
        <f ca="1"/>
        <v>1076504</v>
      </c>
      <c r="C26" vm="5909">
        <f ca="1"/>
        <v>519</v>
      </c>
      <c r="D26" vm="5910">
        <f ca="1"/>
        <v>524.27</v>
      </c>
      <c r="E26" vm="442">
        <f ca="1"/>
        <v>516.1</v>
      </c>
      <c r="F26" vm="5836">
        <f ca="1"/>
        <v>518.1</v>
      </c>
    </row>
  </sheetData>
  <pageMargins left="0.7" right="0.7" top="0.75" bottom="0.75" header="0.3" footer="0.3"/>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FA65AD-C78D-4CDE-9913-EBF14C38630E}">
  <dimension ref="A1:IS26"/>
  <sheetViews>
    <sheetView workbookViewId="0">
      <selection activeCell="H34" sqref="H34"/>
    </sheetView>
  </sheetViews>
  <sheetFormatPr defaultRowHeight="14.5" x14ac:dyDescent="0.35"/>
  <cols>
    <col min="1" max="1" width="22.1796875" bestFit="1" customWidth="1"/>
    <col min="2" max="2" width="41.36328125" bestFit="1" customWidth="1"/>
  </cols>
  <sheetData>
    <row r="1" spans="1:253" x14ac:dyDescent="0.35">
      <c r="A1" s="2" t="s">
        <v>8</v>
      </c>
      <c r="B1" t="e" vm="17">
        <v>#VALUE!</v>
      </c>
    </row>
    <row r="3" spans="1:253" x14ac:dyDescent="0.35">
      <c r="A3" s="2" t="s">
        <v>35</v>
      </c>
      <c r="B3" s="2" t="s">
        <v>25</v>
      </c>
    </row>
    <row r="4" spans="1:253" x14ac:dyDescent="0.35">
      <c r="A4" t="s">
        <v>36</v>
      </c>
      <c r="B4" t="s">
        <v>16</v>
      </c>
      <c r="C4" cm="1" vm="5911">
        <f t="array" aca="1" ref="C4:IS4" ca="1">TRANSPOSE(_xlfn.STOCKHISTORY(A4&amp;":"&amp;B4,TODAY()-365,TODAY(),0,0,1))</f>
        <v>514.6</v>
      </c>
      <c r="D4" vm="5912">
        <f ca="1"/>
        <v>517.95000000000005</v>
      </c>
      <c r="E4" vm="5913">
        <f ca="1"/>
        <v>519.71</v>
      </c>
      <c r="F4" vm="5914">
        <f ca="1"/>
        <v>515.74</v>
      </c>
      <c r="G4" vm="5915">
        <f ca="1"/>
        <v>517.35</v>
      </c>
      <c r="H4" vm="5916">
        <f ca="1"/>
        <v>528.57000000000005</v>
      </c>
      <c r="I4" vm="5917">
        <f ca="1"/>
        <v>523.98</v>
      </c>
      <c r="J4" vm="5918">
        <f ca="1"/>
        <v>524.85</v>
      </c>
      <c r="K4" vm="5919">
        <f ca="1"/>
        <v>522.4</v>
      </c>
      <c r="L4" vm="5920">
        <f ca="1"/>
        <v>510.96</v>
      </c>
      <c r="M4" vm="5921">
        <f ca="1"/>
        <v>514.04999999999995</v>
      </c>
      <c r="N4" vm="5922">
        <f ca="1"/>
        <v>513.57000000000005</v>
      </c>
      <c r="O4" vm="5757">
        <f ca="1"/>
        <v>513.42999999999995</v>
      </c>
      <c r="P4" vm="5923">
        <f ca="1"/>
        <v>511.61</v>
      </c>
      <c r="Q4" vm="5924">
        <f ca="1"/>
        <v>513.58000000000004</v>
      </c>
      <c r="R4" vm="5925">
        <f ca="1"/>
        <v>516.79</v>
      </c>
      <c r="S4" vm="5926">
        <f ca="1"/>
        <v>517.66</v>
      </c>
      <c r="T4" vm="5927">
        <f ca="1"/>
        <v>520.54</v>
      </c>
      <c r="U4" vm="5928">
        <f ca="1"/>
        <v>520.55999999999995</v>
      </c>
      <c r="V4" vm="5929">
        <f ca="1"/>
        <v>523.61</v>
      </c>
      <c r="W4" vm="5930">
        <f ca="1"/>
        <v>531.52</v>
      </c>
      <c r="X4" vm="5931">
        <f ca="1"/>
        <v>542.07000000000005</v>
      </c>
      <c r="Y4" vm="5253">
        <f ca="1"/>
        <v>541.54999999999995</v>
      </c>
      <c r="Z4" vm="5932">
        <f ca="1"/>
        <v>525.76</v>
      </c>
      <c r="AA4" vm="5933">
        <f ca="1"/>
        <v>517.80999999999995</v>
      </c>
      <c r="AB4" vm="5934">
        <f ca="1"/>
        <v>517.03</v>
      </c>
      <c r="AC4" vm="5935">
        <f ca="1"/>
        <v>514.33000000000004</v>
      </c>
      <c r="AD4" vm="5936">
        <f ca="1"/>
        <v>507.16</v>
      </c>
      <c r="AE4" vm="5937">
        <f ca="1"/>
        <v>497.1</v>
      </c>
      <c r="AF4" vm="5938">
        <f ca="1"/>
        <v>496.82</v>
      </c>
      <c r="AG4" vm="496">
        <f ca="1"/>
        <v>506</v>
      </c>
      <c r="AH4" vm="5939">
        <f ca="1"/>
        <v>508.68</v>
      </c>
      <c r="AI4" vm="5940">
        <f ca="1"/>
        <v>511.14</v>
      </c>
      <c r="AJ4" vm="5941">
        <f ca="1"/>
        <v>503.29</v>
      </c>
      <c r="AK4" vm="5942">
        <f ca="1"/>
        <v>510.18</v>
      </c>
      <c r="AL4" vm="5943">
        <f ca="1"/>
        <v>507.49</v>
      </c>
      <c r="AM4" vm="5944">
        <f ca="1"/>
        <v>493.79</v>
      </c>
      <c r="AN4" vm="5945">
        <f ca="1"/>
        <v>487.12</v>
      </c>
      <c r="AO4" vm="5946">
        <f ca="1"/>
        <v>478.43</v>
      </c>
      <c r="AP4" vm="5947">
        <f ca="1"/>
        <v>472.12</v>
      </c>
      <c r="AQ4" vm="5948">
        <f ca="1"/>
        <v>474</v>
      </c>
      <c r="AR4" vm="5949">
        <f ca="1"/>
        <v>476.99</v>
      </c>
      <c r="AS4" vm="5950">
        <f ca="1"/>
        <v>485.5</v>
      </c>
      <c r="AT4" vm="5951">
        <f ca="1"/>
        <v>492.01</v>
      </c>
      <c r="AU4" vm="5952">
        <f ca="1"/>
        <v>486.74</v>
      </c>
      <c r="AV4" vm="5953">
        <f ca="1"/>
        <v>490</v>
      </c>
      <c r="AW4" vm="5954">
        <f ca="1"/>
        <v>477.73</v>
      </c>
      <c r="AX4" vm="5955">
        <f ca="1"/>
        <v>480.84</v>
      </c>
      <c r="AY4" vm="5956">
        <f ca="1"/>
        <v>483.16</v>
      </c>
      <c r="AZ4" vm="5957">
        <f ca="1"/>
        <v>491.02</v>
      </c>
      <c r="BA4" vm="5958">
        <f ca="1"/>
        <v>492.02</v>
      </c>
      <c r="BB4" vm="5959">
        <f ca="1"/>
        <v>478.56</v>
      </c>
      <c r="BC4" vm="5960">
        <f ca="1"/>
        <v>483.47</v>
      </c>
      <c r="BD4" vm="5961">
        <f ca="1"/>
        <v>478.53</v>
      </c>
      <c r="BE4" vm="5962">
        <f ca="1"/>
        <v>474.82</v>
      </c>
      <c r="BF4" vm="5963">
        <f ca="1"/>
        <v>476.39</v>
      </c>
      <c r="BG4" vm="5964">
        <f ca="1"/>
        <v>476.12</v>
      </c>
      <c r="BH4" vm="5965">
        <f ca="1"/>
        <v>483.98</v>
      </c>
      <c r="BI4" vm="5966">
        <f ca="1"/>
        <v>485.92</v>
      </c>
      <c r="BJ4" vm="5967">
        <f ca="1"/>
        <v>484.92</v>
      </c>
      <c r="BK4" vm="5968">
        <f ca="1"/>
        <v>486.85</v>
      </c>
      <c r="BL4" vm="5969">
        <f ca="1"/>
        <v>488.02</v>
      </c>
      <c r="BM4" vm="5970">
        <f ca="1"/>
        <v>487.71</v>
      </c>
      <c r="BN4" vm="5971">
        <f ca="1"/>
        <v>487.1</v>
      </c>
      <c r="BO4" vm="5972">
        <f ca="1"/>
        <v>487.48</v>
      </c>
      <c r="BP4" vm="5973">
        <f ca="1"/>
        <v>483.62</v>
      </c>
      <c r="BQ4" vm="5974">
        <f ca="1"/>
        <v>472.94</v>
      </c>
      <c r="BR4" vm="5975">
        <f ca="1"/>
        <v>472.85</v>
      </c>
      <c r="BS4" vm="5976">
        <f ca="1"/>
        <v>478.51</v>
      </c>
      <c r="BT4" vm="5960">
        <f ca="1"/>
        <v>483.47</v>
      </c>
      <c r="BU4" vm="5977">
        <f ca="1"/>
        <v>478.11</v>
      </c>
      <c r="BV4" vm="5978">
        <f ca="1"/>
        <v>479.28</v>
      </c>
      <c r="BW4" vm="5979">
        <f ca="1"/>
        <v>477.18</v>
      </c>
      <c r="BX4" vm="5980">
        <f ca="1"/>
        <v>470.67</v>
      </c>
      <c r="BY4" vm="5981">
        <f ca="1"/>
        <v>459.38</v>
      </c>
      <c r="BZ4" vm="5982">
        <f ca="1"/>
        <v>456.66</v>
      </c>
      <c r="CA4" vm="5983">
        <f ca="1"/>
        <v>459.86</v>
      </c>
      <c r="CB4" vm="5984">
        <f ca="1"/>
        <v>454.52</v>
      </c>
      <c r="CC4" vm="5985">
        <f ca="1"/>
        <v>444.11</v>
      </c>
      <c r="CD4" vm="5986">
        <f ca="1"/>
        <v>451.14</v>
      </c>
      <c r="CE4" vm="5987">
        <f ca="1"/>
        <v>465.95</v>
      </c>
      <c r="CF4" vm="5988">
        <f ca="1"/>
        <v>470.28</v>
      </c>
      <c r="CG4" vm="5989">
        <f ca="1"/>
        <v>480.58</v>
      </c>
      <c r="CH4" vm="5990">
        <f ca="1"/>
        <v>481.63</v>
      </c>
      <c r="CI4" vm="5991">
        <f ca="1"/>
        <v>433.5</v>
      </c>
      <c r="CJ4" vm="5992">
        <f ca="1"/>
        <v>430.29</v>
      </c>
      <c r="CK4" vm="5993">
        <f ca="1"/>
        <v>423.37</v>
      </c>
      <c r="CL4" vm="5994">
        <f ca="1"/>
        <v>411.21</v>
      </c>
      <c r="CM4" vm="5995">
        <f ca="1"/>
        <v>414.19</v>
      </c>
      <c r="CN4" vm="5996">
        <f ca="1"/>
        <v>393.67</v>
      </c>
      <c r="CO4" vm="5997">
        <f ca="1"/>
        <v>401.14</v>
      </c>
      <c r="CP4" vm="5998">
        <f ca="1"/>
        <v>413.6</v>
      </c>
      <c r="CQ4" vm="5999">
        <f ca="1"/>
        <v>413.27</v>
      </c>
      <c r="CR4" vm="6000">
        <f ca="1"/>
        <v>404.37</v>
      </c>
      <c r="CS4" vm="6001">
        <f ca="1"/>
        <v>401.84</v>
      </c>
      <c r="CT4" vm="6002">
        <f ca="1"/>
        <v>401.32</v>
      </c>
      <c r="CU4" vm="6003">
        <f ca="1"/>
        <v>396.86</v>
      </c>
      <c r="CV4" vm="6004">
        <f ca="1"/>
        <v>399.6</v>
      </c>
      <c r="CW4" vm="6005">
        <f ca="1"/>
        <v>398.46</v>
      </c>
      <c r="CX4" vm="6006">
        <f ca="1"/>
        <v>397.23</v>
      </c>
      <c r="CY4" vm="6007">
        <f ca="1"/>
        <v>384.47</v>
      </c>
      <c r="CZ4" vm="6008">
        <f ca="1"/>
        <v>389</v>
      </c>
      <c r="DA4" vm="6009">
        <f ca="1"/>
        <v>400.6</v>
      </c>
      <c r="DB4" vm="6010">
        <f ca="1"/>
        <v>401.72</v>
      </c>
      <c r="DC4" vm="6011">
        <f ca="1"/>
        <v>392.74</v>
      </c>
      <c r="DD4" vm="6012">
        <f ca="1"/>
        <v>398.55</v>
      </c>
      <c r="DE4" vm="6013">
        <f ca="1"/>
        <v>403.93</v>
      </c>
      <c r="DF4" vm="6014">
        <f ca="1"/>
        <v>405.2</v>
      </c>
      <c r="DG4" vm="6015">
        <f ca="1"/>
        <v>410.68</v>
      </c>
      <c r="DH4" vm="6016">
        <f ca="1"/>
        <v>408.96</v>
      </c>
      <c r="DI4" vm="6017">
        <f ca="1"/>
        <v>409.41</v>
      </c>
      <c r="DJ4" vm="6018">
        <f ca="1"/>
        <v>405.76</v>
      </c>
      <c r="DK4" vm="6019">
        <f ca="1"/>
        <v>404.88</v>
      </c>
      <c r="DL4" vm="6020">
        <f ca="1"/>
        <v>401.86</v>
      </c>
      <c r="DM4" vm="6021">
        <f ca="1"/>
        <v>395.55</v>
      </c>
      <c r="DN4" vm="6022">
        <f ca="1"/>
        <v>399.95</v>
      </c>
      <c r="DO4" vm="6023">
        <f ca="1"/>
        <v>399.41</v>
      </c>
      <c r="DP4" vm="6024">
        <f ca="1"/>
        <v>391.79</v>
      </c>
      <c r="DQ4" vm="6025">
        <f ca="1"/>
        <v>389.02</v>
      </c>
      <c r="DR4" vm="6026">
        <f ca="1"/>
        <v>381.87</v>
      </c>
      <c r="DS4" vm="6027">
        <f ca="1"/>
        <v>383</v>
      </c>
      <c r="DT4" vm="6028">
        <f ca="1"/>
        <v>372.74</v>
      </c>
      <c r="DU4" vm="6029">
        <f ca="1"/>
        <v>371.04</v>
      </c>
      <c r="DV4" vm="6030">
        <f ca="1"/>
        <v>365.97</v>
      </c>
      <c r="DW4" vm="6031">
        <f ca="1"/>
        <v>356.77</v>
      </c>
      <c r="DX4" vm="6032">
        <f ca="1"/>
        <v>358.96</v>
      </c>
      <c r="DY4" vm="6033">
        <f ca="1"/>
        <v>370.17</v>
      </c>
      <c r="DZ4" vm="6034">
        <f ca="1"/>
        <v>369.37</v>
      </c>
      <c r="EA4" vm="6035">
        <f ca="1"/>
        <v>373.46</v>
      </c>
      <c r="EB4" vm="6036">
        <f ca="1"/>
        <v>372.88</v>
      </c>
      <c r="EC4" vm="6037">
        <f ca="1"/>
        <v>372.29</v>
      </c>
      <c r="ED4" vm="6038">
        <f ca="1"/>
        <v>374.33</v>
      </c>
      <c r="EE4" vm="6039">
        <f ca="1"/>
        <v>373.07</v>
      </c>
      <c r="EF4" vm="6040">
        <f ca="1"/>
        <v>370.87</v>
      </c>
      <c r="EG4" vm="6041">
        <f ca="1"/>
        <v>384.37</v>
      </c>
      <c r="EH4" vm="681">
        <f ca="1"/>
        <v>393.11</v>
      </c>
      <c r="EI4" vm="6042">
        <f ca="1"/>
        <v>411.22</v>
      </c>
      <c r="EJ4" vm="6043">
        <f ca="1"/>
        <v>420.26</v>
      </c>
      <c r="EK4" vm="6044">
        <f ca="1"/>
        <v>422.79</v>
      </c>
      <c r="EL4" vm="6045">
        <f ca="1"/>
        <v>418.07</v>
      </c>
      <c r="EM4" vm="6046">
        <f ca="1"/>
        <v>424.16</v>
      </c>
      <c r="EN4" vm="6047">
        <f ca="1"/>
        <v>432.92</v>
      </c>
      <c r="EO4" vm="6048">
        <f ca="1"/>
        <v>415.75</v>
      </c>
      <c r="EP4" vm="6049">
        <f ca="1"/>
        <v>424.62</v>
      </c>
      <c r="EQ4" vm="6050">
        <f ca="1"/>
        <v>424.82</v>
      </c>
      <c r="ER4" vm="6051">
        <f ca="1"/>
        <v>429.25</v>
      </c>
      <c r="ES4" vm="6052">
        <f ca="1"/>
        <v>424.46</v>
      </c>
      <c r="ET4" vm="6053">
        <f ca="1"/>
        <v>407.78</v>
      </c>
      <c r="EU4" vm="6054">
        <f ca="1"/>
        <v>414.44</v>
      </c>
      <c r="EV4" vm="6055">
        <f ca="1"/>
        <v>413.62</v>
      </c>
      <c r="EW4" vm="6056">
        <f ca="1"/>
        <v>411.38</v>
      </c>
      <c r="EX4" vm="6057">
        <f ca="1"/>
        <v>413.96</v>
      </c>
      <c r="EY4" vm="6058">
        <f ca="1"/>
        <v>420.77</v>
      </c>
      <c r="EZ4" vm="6059">
        <f ca="1"/>
        <v>415.12</v>
      </c>
      <c r="FA4" vm="6060">
        <f ca="1"/>
        <v>412.66</v>
      </c>
      <c r="FB4" vm="6061">
        <f ca="1"/>
        <v>407.77</v>
      </c>
      <c r="FC4" vm="6062">
        <f ca="1"/>
        <v>405.21</v>
      </c>
      <c r="FD4" vm="6063">
        <f ca="1"/>
        <v>409.43</v>
      </c>
      <c r="FE4" vm="6064">
        <f ca="1"/>
        <v>421.92</v>
      </c>
      <c r="FF4" vm="6065">
        <f ca="1"/>
        <v>423.54</v>
      </c>
      <c r="FG4" vm="6066">
        <f ca="1"/>
        <v>417.42</v>
      </c>
      <c r="FH4" vm="6067">
        <f ca="1"/>
        <v>421.06</v>
      </c>
      <c r="FI4" vm="6068">
        <f ca="1"/>
        <v>419.09</v>
      </c>
      <c r="FJ4" vm="6069">
        <f ca="1"/>
        <v>418.57</v>
      </c>
      <c r="FK4" vm="6070">
        <f ca="1"/>
        <v>416.03</v>
      </c>
      <c r="FL4" vm="6071">
        <f ca="1"/>
        <v>412.67</v>
      </c>
      <c r="FM4" vm="6072">
        <f ca="1"/>
        <v>426.99</v>
      </c>
      <c r="FN4" vm="6073">
        <f ca="1"/>
        <v>450.24</v>
      </c>
      <c r="FO4" vm="6074">
        <f ca="1"/>
        <v>460.52</v>
      </c>
      <c r="FP4" vm="6075">
        <f ca="1"/>
        <v>441.31</v>
      </c>
      <c r="FQ4" vm="6076">
        <f ca="1"/>
        <v>427.34</v>
      </c>
      <c r="FR4" vm="6077">
        <f ca="1"/>
        <v>428.05</v>
      </c>
      <c r="FS4" vm="6078">
        <f ca="1"/>
        <v>416.67</v>
      </c>
      <c r="FT4" vm="6079">
        <f ca="1"/>
        <v>411.74</v>
      </c>
      <c r="FU4" vm="6080">
        <f ca="1"/>
        <v>403.41</v>
      </c>
      <c r="FV4" vm="6081">
        <f ca="1"/>
        <v>397.36</v>
      </c>
      <c r="FW4" vm="6082">
        <f ca="1"/>
        <v>390.34</v>
      </c>
      <c r="FX4" vm="6083">
        <f ca="1"/>
        <v>390.74</v>
      </c>
      <c r="FY4" vm="6084">
        <f ca="1"/>
        <v>399.76</v>
      </c>
      <c r="FZ4" vm="6085">
        <f ca="1"/>
        <v>393.83</v>
      </c>
      <c r="GA4" vm="6086">
        <f ca="1"/>
        <v>378.91</v>
      </c>
      <c r="GB4" vm="6087">
        <f ca="1"/>
        <v>379.4</v>
      </c>
      <c r="GC4" vm="6088">
        <f ca="1"/>
        <v>367.34</v>
      </c>
      <c r="GD4" vm="6089">
        <f ca="1"/>
        <v>373.94</v>
      </c>
      <c r="GE4" vm="6090">
        <f ca="1"/>
        <v>365.46</v>
      </c>
      <c r="GF4" vm="6091">
        <f ca="1"/>
        <v>352.83</v>
      </c>
      <c r="GG4" vm="6092">
        <f ca="1"/>
        <v>372.97</v>
      </c>
      <c r="GH4" vm="6093">
        <f ca="1"/>
        <v>368.57</v>
      </c>
      <c r="GI4" vm="6094">
        <f ca="1"/>
        <v>373.02</v>
      </c>
      <c r="GJ4" vm="6095">
        <f ca="1"/>
        <v>384.28</v>
      </c>
      <c r="GK4" vm="6096">
        <f ca="1"/>
        <v>390.49</v>
      </c>
      <c r="GL4" vm="6097">
        <f ca="1"/>
        <v>386.74</v>
      </c>
      <c r="GM4" vm="6098">
        <f ca="1"/>
        <v>388.84</v>
      </c>
      <c r="GN4" vm="6099">
        <f ca="1"/>
        <v>383.34</v>
      </c>
      <c r="GO4" vm="6100">
        <f ca="1"/>
        <v>384.36</v>
      </c>
      <c r="GP4" vm="6101">
        <f ca="1"/>
        <v>385.1</v>
      </c>
      <c r="GQ4" vm="6102">
        <f ca="1"/>
        <v>390.99</v>
      </c>
      <c r="GR4" vm="6103">
        <f ca="1"/>
        <v>384.93</v>
      </c>
      <c r="GS4" vm="6104">
        <f ca="1"/>
        <v>395.63</v>
      </c>
      <c r="GT4" vm="6105">
        <f ca="1"/>
        <v>401.1</v>
      </c>
      <c r="GU4" vm="6106">
        <f ca="1"/>
        <v>393.82</v>
      </c>
      <c r="GV4" vm="6107">
        <f ca="1"/>
        <v>402.29</v>
      </c>
      <c r="GW4" vm="6108">
        <f ca="1"/>
        <v>397.75</v>
      </c>
      <c r="GX4" vm="6082">
        <f ca="1"/>
        <v>390.34</v>
      </c>
      <c r="GY4" vm="6109">
        <f ca="1"/>
        <v>381.58</v>
      </c>
      <c r="GZ4" vm="6110">
        <f ca="1"/>
        <v>381.7</v>
      </c>
      <c r="HA4" vm="6111">
        <f ca="1"/>
        <v>389.1</v>
      </c>
      <c r="HB4" vm="6112">
        <f ca="1"/>
        <v>393.35</v>
      </c>
      <c r="HC4" vm="6113">
        <f ca="1"/>
        <v>390.54</v>
      </c>
      <c r="HD4" vm="6114">
        <f ca="1"/>
        <v>451.1</v>
      </c>
      <c r="HE4" vm="6115">
        <f ca="1"/>
        <v>464.72</v>
      </c>
      <c r="HF4" vm="6116">
        <f ca="1"/>
        <v>487.65</v>
      </c>
      <c r="HG4" vm="6117">
        <f ca="1"/>
        <v>492.81</v>
      </c>
      <c r="HH4" vm="6118">
        <f ca="1"/>
        <v>487.46</v>
      </c>
      <c r="HI4" vm="6119">
        <f ca="1"/>
        <v>499.86</v>
      </c>
      <c r="HJ4" vm="6120">
        <f ca="1"/>
        <v>499.99</v>
      </c>
      <c r="HK4" vm="6121">
        <f ca="1"/>
        <v>506.06</v>
      </c>
      <c r="HL4" vm="6122">
        <f ca="1"/>
        <v>503.81</v>
      </c>
      <c r="HM4" vm="6123">
        <f ca="1"/>
        <v>492.43</v>
      </c>
      <c r="HN4" vm="6124">
        <f ca="1"/>
        <v>496.88</v>
      </c>
      <c r="HO4" vm="6125">
        <f ca="1"/>
        <v>495.4</v>
      </c>
      <c r="HP4" vm="6126">
        <f ca="1"/>
        <v>480.35</v>
      </c>
      <c r="HQ4" vm="5990">
        <f ca="1"/>
        <v>481.63</v>
      </c>
      <c r="HR4" vm="6127">
        <f ca="1"/>
        <v>484.31</v>
      </c>
      <c r="HS4" vm="6128">
        <f ca="1"/>
        <v>481.15</v>
      </c>
      <c r="HT4" vm="6129">
        <f ca="1"/>
        <v>483.24</v>
      </c>
      <c r="HU4" vm="6130">
        <f ca="1"/>
        <v>487.31</v>
      </c>
      <c r="HV4" vm="6131">
        <f ca="1"/>
        <v>491.71</v>
      </c>
      <c r="HW4" vm="6132">
        <f ca="1"/>
        <v>496.37</v>
      </c>
      <c r="HX4" vm="6133">
        <f ca="1"/>
        <v>505.06</v>
      </c>
      <c r="HY4" vm="6134">
        <f ca="1"/>
        <v>513.53</v>
      </c>
      <c r="HZ4" vm="454">
        <f ca="1"/>
        <v>507.29</v>
      </c>
      <c r="IA4" vm="6135">
        <f ca="1"/>
        <v>501.02</v>
      </c>
      <c r="IB4" vm="5938">
        <f ca="1"/>
        <v>496.82</v>
      </c>
      <c r="IC4" vm="6136">
        <f ca="1"/>
        <v>510.12</v>
      </c>
      <c r="ID4" vm="6137">
        <f ca="1"/>
        <v>499.7</v>
      </c>
      <c r="IE4" vm="6138">
        <f ca="1"/>
        <v>493.95</v>
      </c>
      <c r="IF4" vm="6139">
        <f ca="1"/>
        <v>491.65</v>
      </c>
      <c r="IG4" vm="6140">
        <f ca="1"/>
        <v>492.44</v>
      </c>
      <c r="IH4" vm="6141">
        <f ca="1"/>
        <v>495.63</v>
      </c>
      <c r="II4" vm="6142">
        <f ca="1"/>
        <v>505.41</v>
      </c>
      <c r="IJ4" vm="6143">
        <f ca="1"/>
        <v>497.12</v>
      </c>
      <c r="IK4" vm="6144">
        <f ca="1"/>
        <v>490.3</v>
      </c>
      <c r="IL4" vm="6145">
        <f ca="1"/>
        <v>497.75</v>
      </c>
      <c r="IM4" vm="6146">
        <f ca="1"/>
        <v>493.78</v>
      </c>
      <c r="IN4" vm="6147">
        <f ca="1"/>
        <v>501.61</v>
      </c>
      <c r="IO4" vm="6148">
        <f ca="1"/>
        <v>498</v>
      </c>
      <c r="IP4" vm="6149">
        <f ca="1"/>
        <v>500.59</v>
      </c>
      <c r="IQ4" vm="6150">
        <f ca="1"/>
        <v>497.93</v>
      </c>
      <c r="IR4" vm="6151">
        <f ca="1"/>
        <v>516.16999999999996</v>
      </c>
      <c r="IS4" vm="6152">
        <f ca="1"/>
        <v>509.22</v>
      </c>
    </row>
    <row r="6" spans="1:253" x14ac:dyDescent="0.35">
      <c r="A6" t="str" cm="1">
        <f t="array" aca="1" ref="A6:F26" ca="1">_xlfn.STOCKHISTORY(A4&amp;":"&amp;B4,TODAY()-30,TODAY(),0,1,0,5,2,3,4,1)</f>
        <v>Date</v>
      </c>
      <c r="B6" t="str">
        <f ca="1"/>
        <v>Volume</v>
      </c>
      <c r="C6" t="str">
        <f ca="1"/>
        <v>Open</v>
      </c>
      <c r="D6" t="str">
        <f ca="1"/>
        <v>High</v>
      </c>
      <c r="E6" t="str">
        <f ca="1"/>
        <v>Low</v>
      </c>
      <c r="F6" t="str">
        <f ca="1"/>
        <v>Close</v>
      </c>
    </row>
    <row r="7" spans="1:253" x14ac:dyDescent="0.35">
      <c r="A7" vm="257">
        <f ca="1"/>
        <v>46265</v>
      </c>
      <c r="B7" vm="6153">
        <f ca="1"/>
        <v>27208911</v>
      </c>
      <c r="C7" vm="6154">
        <f ca="1"/>
        <v>510.38</v>
      </c>
      <c r="D7" vm="6155">
        <f ca="1"/>
        <v>512.19000000000005</v>
      </c>
      <c r="E7" vm="6156">
        <f ca="1"/>
        <v>506.39</v>
      </c>
      <c r="F7" vm="454">
        <f ca="1"/>
        <v>507.29</v>
      </c>
    </row>
    <row r="8" spans="1:253" x14ac:dyDescent="0.35">
      <c r="A8" vm="258">
        <f ca="1"/>
        <v>46266</v>
      </c>
      <c r="B8" vm="6157">
        <f ca="1"/>
        <v>21046892</v>
      </c>
      <c r="C8" vm="6158">
        <f ca="1"/>
        <v>497.52</v>
      </c>
      <c r="D8" vm="6159">
        <f ca="1"/>
        <v>505.97</v>
      </c>
      <c r="E8" vm="6160">
        <f ca="1"/>
        <v>496.78</v>
      </c>
      <c r="F8" vm="6135">
        <f ca="1"/>
        <v>501.02</v>
      </c>
    </row>
    <row r="9" spans="1:253" x14ac:dyDescent="0.35">
      <c r="A9" vm="259">
        <f ca="1"/>
        <v>46267</v>
      </c>
      <c r="B9" vm="6161">
        <f ca="1"/>
        <v>15336074</v>
      </c>
      <c r="C9" vm="6162">
        <f ca="1"/>
        <v>499.85</v>
      </c>
      <c r="D9" vm="6163">
        <f ca="1"/>
        <v>500.27</v>
      </c>
      <c r="E9" vm="6164">
        <f ca="1"/>
        <v>493.81</v>
      </c>
      <c r="F9" vm="5938">
        <f ca="1"/>
        <v>496.82</v>
      </c>
    </row>
    <row r="10" spans="1:253" x14ac:dyDescent="0.35">
      <c r="A10" vm="260">
        <f ca="1"/>
        <v>46268</v>
      </c>
      <c r="B10" vm="6165">
        <f ca="1"/>
        <v>24125893</v>
      </c>
      <c r="C10" vm="6166">
        <f ca="1"/>
        <v>501.66</v>
      </c>
      <c r="D10" vm="6167">
        <f ca="1"/>
        <v>515.65</v>
      </c>
      <c r="E10" vm="6168">
        <f ca="1"/>
        <v>500.8</v>
      </c>
      <c r="F10" vm="6136">
        <f ca="1"/>
        <v>510.12</v>
      </c>
    </row>
    <row r="11" spans="1:253" x14ac:dyDescent="0.35">
      <c r="A11" vm="261">
        <f ca="1"/>
        <v>46269</v>
      </c>
      <c r="B11" vm="6169">
        <f ca="1"/>
        <v>18101758</v>
      </c>
      <c r="C11" vm="6170">
        <f ca="1"/>
        <v>510</v>
      </c>
      <c r="D11" vm="6171">
        <f ca="1"/>
        <v>511</v>
      </c>
      <c r="E11" vm="5595">
        <f ca="1"/>
        <v>499.36</v>
      </c>
      <c r="F11" vm="6137">
        <f ca="1"/>
        <v>499.7</v>
      </c>
    </row>
    <row r="12" spans="1:253" x14ac:dyDescent="0.35">
      <c r="A12" vm="262">
        <f ca="1"/>
        <v>46273</v>
      </c>
      <c r="B12" vm="6172">
        <f ca="1"/>
        <v>18882338</v>
      </c>
      <c r="C12" vm="6173">
        <f ca="1"/>
        <v>493.01</v>
      </c>
      <c r="D12" vm="6174">
        <f ca="1"/>
        <v>495.19</v>
      </c>
      <c r="E12" vm="6175">
        <f ca="1"/>
        <v>490.15</v>
      </c>
      <c r="F12" vm="6138">
        <f ca="1"/>
        <v>493.95</v>
      </c>
    </row>
    <row r="13" spans="1:253" x14ac:dyDescent="0.35">
      <c r="A13" vm="263">
        <f ca="1"/>
        <v>46274</v>
      </c>
      <c r="B13" vm="6176">
        <f ca="1"/>
        <v>12889572</v>
      </c>
      <c r="C13" vm="6177">
        <f ca="1"/>
        <v>493.07</v>
      </c>
      <c r="D13" vm="6178">
        <f ca="1"/>
        <v>494.39</v>
      </c>
      <c r="E13" vm="6179">
        <f ca="1"/>
        <v>489.8</v>
      </c>
      <c r="F13" vm="6139">
        <f ca="1"/>
        <v>491.65</v>
      </c>
    </row>
    <row r="14" spans="1:253" x14ac:dyDescent="0.35">
      <c r="A14" vm="264">
        <f ca="1"/>
        <v>46275</v>
      </c>
      <c r="B14" vm="6180">
        <f ca="1"/>
        <v>15418192</v>
      </c>
      <c r="C14" vm="6181">
        <f ca="1"/>
        <v>488.32</v>
      </c>
      <c r="D14" vm="6182">
        <f ca="1"/>
        <v>494.52</v>
      </c>
      <c r="E14" vm="6183">
        <f ca="1"/>
        <v>486</v>
      </c>
      <c r="F14" vm="6140">
        <f ca="1"/>
        <v>492.44</v>
      </c>
    </row>
    <row r="15" spans="1:253" x14ac:dyDescent="0.35">
      <c r="A15" vm="265">
        <f ca="1"/>
        <v>46276</v>
      </c>
      <c r="B15" vm="6184">
        <f ca="1"/>
        <v>13783652</v>
      </c>
      <c r="C15" vm="6185">
        <f ca="1"/>
        <v>495.65</v>
      </c>
      <c r="D15" vm="6186">
        <f ca="1"/>
        <v>498.97</v>
      </c>
      <c r="E15" vm="6187">
        <f ca="1"/>
        <v>492.58</v>
      </c>
      <c r="F15" vm="6141">
        <f ca="1"/>
        <v>495.63</v>
      </c>
    </row>
    <row r="16" spans="1:253" x14ac:dyDescent="0.35">
      <c r="A16" vm="266">
        <f ca="1"/>
        <v>46279</v>
      </c>
      <c r="B16" vm="6188">
        <f ca="1"/>
        <v>23091892</v>
      </c>
      <c r="C16" vm="6189">
        <f ca="1"/>
        <v>497.06</v>
      </c>
      <c r="D16" vm="6190">
        <f ca="1"/>
        <v>509.95</v>
      </c>
      <c r="E16" vm="6191">
        <f ca="1"/>
        <v>495.34160000000003</v>
      </c>
      <c r="F16" vm="6142">
        <f ca="1"/>
        <v>505.41</v>
      </c>
    </row>
    <row r="17" spans="1:6" x14ac:dyDescent="0.35">
      <c r="A17" vm="267">
        <f ca="1"/>
        <v>46280</v>
      </c>
      <c r="B17" vm="6192">
        <f ca="1"/>
        <v>17385982</v>
      </c>
      <c r="C17" vm="6193">
        <f ca="1"/>
        <v>500.06</v>
      </c>
      <c r="D17" vm="5607">
        <f ca="1"/>
        <v>505.9</v>
      </c>
      <c r="E17" vm="440">
        <f ca="1"/>
        <v>495.54</v>
      </c>
      <c r="F17" vm="6143">
        <f ca="1"/>
        <v>497.12</v>
      </c>
    </row>
    <row r="18" spans="1:6" x14ac:dyDescent="0.35">
      <c r="A18" vm="268">
        <f ca="1"/>
        <v>46281</v>
      </c>
      <c r="B18" vm="6194">
        <f ca="1"/>
        <v>16670285</v>
      </c>
      <c r="C18" vm="6195">
        <f ca="1"/>
        <v>493.03</v>
      </c>
      <c r="D18" vm="6196">
        <f ca="1"/>
        <v>495.97</v>
      </c>
      <c r="E18" vm="6197">
        <f ca="1"/>
        <v>487.23</v>
      </c>
      <c r="F18" vm="6144">
        <f ca="1"/>
        <v>490.3</v>
      </c>
    </row>
    <row r="19" spans="1:6" x14ac:dyDescent="0.35">
      <c r="A19" vm="269">
        <f ca="1"/>
        <v>46282</v>
      </c>
      <c r="B19" vm="6198">
        <f ca="1"/>
        <v>17841640</v>
      </c>
      <c r="C19" vm="6199">
        <f ca="1"/>
        <v>497.79500000000002</v>
      </c>
      <c r="D19" vm="6200">
        <f ca="1"/>
        <v>501.47</v>
      </c>
      <c r="E19" vm="6201">
        <f ca="1"/>
        <v>493.17</v>
      </c>
      <c r="F19" vm="6145">
        <f ca="1"/>
        <v>497.75</v>
      </c>
    </row>
    <row r="20" spans="1:6" x14ac:dyDescent="0.35">
      <c r="A20" vm="270">
        <f ca="1"/>
        <v>46283</v>
      </c>
      <c r="B20" vm="6202">
        <f ca="1"/>
        <v>39622288</v>
      </c>
      <c r="C20" vm="6203">
        <f ca="1"/>
        <v>497.96499999999997</v>
      </c>
      <c r="D20" vm="6204">
        <f ca="1"/>
        <v>498.65</v>
      </c>
      <c r="E20" vm="6205">
        <f ca="1"/>
        <v>491.1</v>
      </c>
      <c r="F20" vm="6146">
        <f ca="1"/>
        <v>493.78</v>
      </c>
    </row>
    <row r="21" spans="1:6" x14ac:dyDescent="0.35">
      <c r="A21" vm="271">
        <f ca="1"/>
        <v>46286</v>
      </c>
      <c r="B21" vm="6206">
        <f ca="1"/>
        <v>27959944</v>
      </c>
      <c r="C21" vm="6207">
        <f ca="1"/>
        <v>494.94499999999999</v>
      </c>
      <c r="D21" vm="6208">
        <f ca="1"/>
        <v>501.87</v>
      </c>
      <c r="E21" vm="6209">
        <f ca="1"/>
        <v>491.33</v>
      </c>
      <c r="F21" vm="6147">
        <f ca="1"/>
        <v>501.61</v>
      </c>
    </row>
    <row r="22" spans="1:6" x14ac:dyDescent="0.35">
      <c r="A22" vm="272">
        <f ca="1"/>
        <v>46287</v>
      </c>
      <c r="B22" vm="6210">
        <f ca="1"/>
        <v>21652838</v>
      </c>
      <c r="C22" vm="6211">
        <f ca="1"/>
        <v>507.32</v>
      </c>
      <c r="D22" vm="6212">
        <f ca="1"/>
        <v>508.5</v>
      </c>
      <c r="E22" vm="6213">
        <f ca="1"/>
        <v>493.65</v>
      </c>
      <c r="F22" vm="6148">
        <f ca="1"/>
        <v>498</v>
      </c>
    </row>
    <row r="23" spans="1:6" x14ac:dyDescent="0.35">
      <c r="A23" vm="273">
        <f ca="1"/>
        <v>46288</v>
      </c>
      <c r="B23" vm="6214">
        <f ca="1"/>
        <v>19445555</v>
      </c>
      <c r="C23" vm="6215">
        <f ca="1"/>
        <v>500.755</v>
      </c>
      <c r="D23" vm="6216">
        <f ca="1"/>
        <v>509.44</v>
      </c>
      <c r="E23" vm="6217">
        <f ca="1"/>
        <v>495.88</v>
      </c>
      <c r="F23" vm="6149">
        <f ca="1"/>
        <v>500.59</v>
      </c>
    </row>
    <row r="24" spans="1:6" x14ac:dyDescent="0.35">
      <c r="A24" vm="274">
        <f ca="1"/>
        <v>46289</v>
      </c>
      <c r="B24" vm="6218">
        <f ca="1"/>
        <v>16657643</v>
      </c>
      <c r="C24" vm="6219">
        <f ca="1"/>
        <v>495.07</v>
      </c>
      <c r="D24" vm="6220">
        <f ca="1"/>
        <v>498.9</v>
      </c>
      <c r="E24" vm="6221">
        <f ca="1"/>
        <v>491.22</v>
      </c>
      <c r="F24" vm="6150">
        <f ca="1"/>
        <v>497.93</v>
      </c>
    </row>
    <row r="25" spans="1:6" x14ac:dyDescent="0.35">
      <c r="A25" vm="275">
        <f ca="1"/>
        <v>46290</v>
      </c>
      <c r="B25" vm="6222">
        <f ca="1"/>
        <v>38193112</v>
      </c>
      <c r="C25" vm="6223">
        <f ca="1"/>
        <v>499.03500000000003</v>
      </c>
      <c r="D25" vm="6224">
        <f ca="1"/>
        <v>519.4</v>
      </c>
      <c r="E25" vm="6225">
        <f ca="1"/>
        <v>497.25</v>
      </c>
      <c r="F25" vm="6151">
        <f ca="1"/>
        <v>516.16999999999996</v>
      </c>
    </row>
    <row r="26" spans="1:6" x14ac:dyDescent="0.35">
      <c r="A26" vm="276">
        <f ca="1"/>
        <v>46293</v>
      </c>
      <c r="B26" vm="6226">
        <f ca="1"/>
        <v>19626939</v>
      </c>
      <c r="C26" vm="6227">
        <f ca="1"/>
        <v>505.47</v>
      </c>
      <c r="D26" vm="6228">
        <f ca="1"/>
        <v>513.33000000000004</v>
      </c>
      <c r="E26" vm="6229">
        <f ca="1"/>
        <v>502.22</v>
      </c>
      <c r="F26" vm="6152">
        <f ca="1"/>
        <v>509.22</v>
      </c>
    </row>
  </sheetData>
  <pageMargins left="0.7" right="0.7" top="0.75" bottom="0.75" header="0.3" footer="0.3"/>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771C9-3FA4-426E-95DA-6AA08732B3C0}">
  <dimension ref="A1:IS26"/>
  <sheetViews>
    <sheetView topLeftCell="A10" workbookViewId="0">
      <selection activeCell="V38" sqref="V38"/>
    </sheetView>
  </sheetViews>
  <sheetFormatPr defaultRowHeight="14.5" x14ac:dyDescent="0.35"/>
  <cols>
    <col min="1" max="1" width="22.1796875" bestFit="1" customWidth="1"/>
    <col min="2" max="2" width="45.7265625" bestFit="1" customWidth="1"/>
  </cols>
  <sheetData>
    <row r="1" spans="1:253" x14ac:dyDescent="0.35">
      <c r="A1" s="2" t="s">
        <v>8</v>
      </c>
      <c r="B1" t="e" vm="20">
        <v>#VALUE!</v>
      </c>
    </row>
    <row r="3" spans="1:253" x14ac:dyDescent="0.35">
      <c r="A3" s="2" t="s">
        <v>35</v>
      </c>
      <c r="B3" s="2" t="s">
        <v>25</v>
      </c>
    </row>
    <row r="4" spans="1:253" x14ac:dyDescent="0.35">
      <c r="A4" t="s">
        <v>37</v>
      </c>
      <c r="B4" t="s">
        <v>19</v>
      </c>
      <c r="C4" cm="1" vm="6230">
        <f t="array" aca="1" ref="C4:IS4" ca="1">TRANSPOSE(_xlfn.STOCKHISTORY(A4&amp;":"&amp;B4,TODAY()-365,TODAY(),0,0,1))</f>
        <v>804.12</v>
      </c>
      <c r="D4" vm="6231">
        <f ca="1"/>
        <v>796.35</v>
      </c>
      <c r="E4" vm="6232">
        <f ca="1"/>
        <v>785.51</v>
      </c>
      <c r="F4" vm="6233">
        <f ca="1"/>
        <v>779.38</v>
      </c>
      <c r="G4" vm="6234">
        <f ca="1"/>
        <v>789.98</v>
      </c>
      <c r="H4" vm="6235">
        <f ca="1"/>
        <v>796.78</v>
      </c>
      <c r="I4" vm="6236">
        <f ca="1"/>
        <v>789.65</v>
      </c>
      <c r="J4" vm="6237">
        <f ca="1"/>
        <v>776.51</v>
      </c>
      <c r="K4" vm="6238">
        <f ca="1"/>
        <v>779.96</v>
      </c>
      <c r="L4" vm="6239">
        <f ca="1"/>
        <v>764.36</v>
      </c>
      <c r="M4" vm="6240">
        <f ca="1"/>
        <v>786.78</v>
      </c>
      <c r="N4" vm="6241">
        <f ca="1"/>
        <v>770.76</v>
      </c>
      <c r="O4" vm="6242">
        <f ca="1"/>
        <v>767.93</v>
      </c>
      <c r="P4" vm="6243">
        <f ca="1"/>
        <v>758.09</v>
      </c>
      <c r="Q4" vm="6244">
        <f ca="1"/>
        <v>750.77</v>
      </c>
      <c r="R4" vm="6245">
        <f ca="1"/>
        <v>763.32</v>
      </c>
      <c r="S4" vm="6246">
        <f ca="1"/>
        <v>758.98</v>
      </c>
      <c r="T4" vm="6247">
        <f ca="1"/>
        <v>744.6</v>
      </c>
      <c r="U4" vm="6248">
        <f ca="1"/>
        <v>750.78</v>
      </c>
      <c r="V4" vm="6249">
        <f ca="1"/>
        <v>783.88</v>
      </c>
      <c r="W4" vm="6250">
        <f ca="1"/>
        <v>789.99</v>
      </c>
      <c r="X4" vm="6251">
        <f ca="1"/>
        <v>792.09</v>
      </c>
      <c r="Y4" vm="6252">
        <f ca="1"/>
        <v>783.06</v>
      </c>
      <c r="Z4" vm="6253">
        <f ca="1"/>
        <v>790.16</v>
      </c>
      <c r="AA4" vm="6254">
        <f ca="1"/>
        <v>789.37</v>
      </c>
      <c r="AB4" vm="6255">
        <f ca="1"/>
        <v>785.52</v>
      </c>
      <c r="AC4" vm="6256">
        <f ca="1"/>
        <v>790.83</v>
      </c>
      <c r="AD4" vm="6257">
        <f ca="1"/>
        <v>793.09</v>
      </c>
      <c r="AE4" vm="6258">
        <f ca="1"/>
        <v>787.58</v>
      </c>
      <c r="AF4" vm="6259">
        <f ca="1"/>
        <v>786.34</v>
      </c>
      <c r="AG4" vm="6260">
        <f ca="1"/>
        <v>797.2</v>
      </c>
      <c r="AH4" vm="6261">
        <f ca="1"/>
        <v>810.31</v>
      </c>
      <c r="AI4" vm="6262">
        <f ca="1"/>
        <v>838.97</v>
      </c>
      <c r="AJ4" vm="6263">
        <f ca="1"/>
        <v>805.5</v>
      </c>
      <c r="AK4" vm="6264">
        <f ca="1"/>
        <v>790.91</v>
      </c>
      <c r="AL4" vm="6265">
        <f ca="1"/>
        <v>775.56</v>
      </c>
      <c r="AM4" vm="6266">
        <f ca="1"/>
        <v>776.3</v>
      </c>
      <c r="AN4" vm="6267">
        <f ca="1"/>
        <v>785.99</v>
      </c>
      <c r="AO4" vm="6268">
        <f ca="1"/>
        <v>773.7</v>
      </c>
      <c r="AP4" vm="6269">
        <f ca="1"/>
        <v>774.03</v>
      </c>
      <c r="AQ4" vm="6270">
        <f ca="1"/>
        <v>790.71</v>
      </c>
      <c r="AR4" vm="6271">
        <f ca="1"/>
        <v>802.32</v>
      </c>
      <c r="AS4" vm="6272">
        <f ca="1"/>
        <v>816.01</v>
      </c>
      <c r="AT4" vm="6273">
        <f ca="1"/>
        <v>826.04</v>
      </c>
      <c r="AU4" vm="6274">
        <f ca="1"/>
        <v>810.86</v>
      </c>
      <c r="AV4" vm="6275">
        <f ca="1"/>
        <v>815.21</v>
      </c>
      <c r="AW4" vm="6276">
        <f ca="1"/>
        <v>836.57</v>
      </c>
      <c r="AX4" vm="6277">
        <f ca="1"/>
        <v>837.83</v>
      </c>
      <c r="AY4" vm="6278">
        <f ca="1"/>
        <v>854.56</v>
      </c>
      <c r="AZ4" vm="6279">
        <f ca="1"/>
        <v>866.69</v>
      </c>
      <c r="BA4" vm="6280">
        <f ca="1"/>
        <v>876.58</v>
      </c>
      <c r="BB4" vm="6281">
        <f ca="1"/>
        <v>889.24</v>
      </c>
      <c r="BC4" vm="6282">
        <f ca="1"/>
        <v>911.03</v>
      </c>
      <c r="BD4" vm="6283">
        <f ca="1"/>
        <v>887.96</v>
      </c>
      <c r="BE4" vm="6284">
        <f ca="1"/>
        <v>889.59</v>
      </c>
      <c r="BF4" vm="6285">
        <f ca="1"/>
        <v>879.15</v>
      </c>
      <c r="BG4" vm="6286">
        <f ca="1"/>
        <v>872.33</v>
      </c>
      <c r="BH4" vm="6287">
        <f ca="1"/>
        <v>876.3</v>
      </c>
      <c r="BI4" vm="6288">
        <f ca="1"/>
        <v>893.48</v>
      </c>
      <c r="BJ4" vm="4936">
        <f ca="1"/>
        <v>899</v>
      </c>
      <c r="BK4" vm="6289">
        <f ca="1"/>
        <v>901.71</v>
      </c>
      <c r="BL4" vm="6290">
        <f ca="1"/>
        <v>910.78</v>
      </c>
      <c r="BM4" vm="6291">
        <f ca="1"/>
        <v>907.04</v>
      </c>
      <c r="BN4" vm="6292">
        <f ca="1"/>
        <v>892.18</v>
      </c>
      <c r="BO4" vm="6293">
        <f ca="1"/>
        <v>884.42</v>
      </c>
      <c r="BP4" vm="6294">
        <f ca="1"/>
        <v>879</v>
      </c>
      <c r="BQ4" vm="6295">
        <f ca="1"/>
        <v>914.34</v>
      </c>
      <c r="BR4" vm="6296">
        <f ca="1"/>
        <v>948.44</v>
      </c>
      <c r="BS4" vm="6297">
        <f ca="1"/>
        <v>955.47</v>
      </c>
      <c r="BT4" vm="6298">
        <f ca="1"/>
        <v>941.02</v>
      </c>
      <c r="BU4" vm="6299">
        <f ca="1"/>
        <v>934.83</v>
      </c>
      <c r="BV4" vm="6300">
        <f ca="1"/>
        <v>938.98</v>
      </c>
      <c r="BW4" vm="6301">
        <f ca="1"/>
        <v>949.55</v>
      </c>
      <c r="BX4" vm="6302">
        <f ca="1"/>
        <v>938.15</v>
      </c>
      <c r="BY4" vm="6303">
        <f ca="1"/>
        <v>932.67</v>
      </c>
      <c r="BZ4" vm="6304">
        <f ca="1"/>
        <v>975.86</v>
      </c>
      <c r="CA4" vm="6305">
        <f ca="1"/>
        <v>962</v>
      </c>
      <c r="CB4" vm="6306">
        <f ca="1"/>
        <v>943.37</v>
      </c>
      <c r="CC4" vm="6307">
        <f ca="1"/>
        <v>953.01</v>
      </c>
      <c r="CD4" vm="6308">
        <f ca="1"/>
        <v>954.65</v>
      </c>
      <c r="CE4" vm="6309">
        <f ca="1"/>
        <v>918.88</v>
      </c>
      <c r="CF4" vm="6310">
        <f ca="1"/>
        <v>931.86</v>
      </c>
      <c r="CG4" vm="6311">
        <f ca="1"/>
        <v>929.72</v>
      </c>
      <c r="CH4" vm="6312">
        <f ca="1"/>
        <v>936.81</v>
      </c>
      <c r="CI4" vm="6313">
        <f ca="1"/>
        <v>940.12</v>
      </c>
      <c r="CJ4" vm="6314">
        <f ca="1"/>
        <v>935.41</v>
      </c>
      <c r="CK4" vm="6315">
        <f ca="1"/>
        <v>946.33</v>
      </c>
      <c r="CL4" vm="6316">
        <f ca="1"/>
        <v>938.99</v>
      </c>
      <c r="CM4" vm="6317">
        <f ca="1"/>
        <v>913.3</v>
      </c>
      <c r="CN4" vm="6318">
        <f ca="1"/>
        <v>890.41</v>
      </c>
      <c r="CO4" vm="6319">
        <f ca="1"/>
        <v>928.75</v>
      </c>
      <c r="CP4" vm="6320">
        <f ca="1"/>
        <v>943.62</v>
      </c>
      <c r="CQ4" vm="6321">
        <f ca="1"/>
        <v>948.99</v>
      </c>
      <c r="CR4" vm="6322">
        <f ca="1"/>
        <v>944.59</v>
      </c>
      <c r="CS4" vm="6323">
        <f ca="1"/>
        <v>904.55</v>
      </c>
      <c r="CT4" vm="6324">
        <f ca="1"/>
        <v>905.14</v>
      </c>
      <c r="CU4" vm="6325">
        <f ca="1"/>
        <v>916.04</v>
      </c>
      <c r="CV4" vm="6326">
        <f ca="1"/>
        <v>933.73</v>
      </c>
      <c r="CW4" vm="6327">
        <f ca="1"/>
        <v>916.65</v>
      </c>
      <c r="CX4" vm="6328">
        <f ca="1"/>
        <v>922.24</v>
      </c>
      <c r="CY4" vm="6329">
        <f ca="1"/>
        <v>892.31</v>
      </c>
      <c r="CZ4" vm="6330">
        <f ca="1"/>
        <v>902.27</v>
      </c>
      <c r="DA4" vm="6331">
        <f ca="1"/>
        <v>921.38</v>
      </c>
      <c r="DB4" vm="6332">
        <f ca="1"/>
        <v>929</v>
      </c>
      <c r="DC4" vm="6333">
        <f ca="1"/>
        <v>859.57</v>
      </c>
      <c r="DD4" vm="6334">
        <f ca="1"/>
        <v>861.7</v>
      </c>
      <c r="DE4" vm="6335">
        <f ca="1"/>
        <v>862.58</v>
      </c>
      <c r="DF4" vm="6336">
        <f ca="1"/>
        <v>867.25</v>
      </c>
      <c r="DG4" vm="6337">
        <f ca="1"/>
        <v>835.46</v>
      </c>
      <c r="DH4" vm="6338">
        <f ca="1"/>
        <v>821.42</v>
      </c>
      <c r="DI4" vm="6339">
        <f ca="1"/>
        <v>832.03</v>
      </c>
      <c r="DJ4" vm="6340">
        <f ca="1"/>
        <v>833.81</v>
      </c>
      <c r="DK4" vm="6341">
        <f ca="1"/>
        <v>823.76</v>
      </c>
      <c r="DL4" vm="6342">
        <f ca="1"/>
        <v>787.52</v>
      </c>
      <c r="DM4" vm="6343">
        <f ca="1"/>
        <v>782.21</v>
      </c>
      <c r="DN4" vm="6344">
        <f ca="1"/>
        <v>794.77</v>
      </c>
      <c r="DO4" vm="6345">
        <f ca="1"/>
        <v>807.04</v>
      </c>
      <c r="DP4" vm="6346">
        <f ca="1"/>
        <v>805.48</v>
      </c>
      <c r="DQ4" vm="6347">
        <f ca="1"/>
        <v>809.5</v>
      </c>
      <c r="DR4" vm="6348">
        <f ca="1"/>
        <v>813.53</v>
      </c>
      <c r="DS4" vm="6349">
        <f ca="1"/>
        <v>831.27</v>
      </c>
      <c r="DT4" vm="6350">
        <f ca="1"/>
        <v>835.72</v>
      </c>
      <c r="DU4" vm="6351">
        <f ca="1"/>
        <v>841.84</v>
      </c>
      <c r="DV4" vm="6352">
        <f ca="1"/>
        <v>822.64</v>
      </c>
      <c r="DW4" vm="6353">
        <f ca="1"/>
        <v>802.89</v>
      </c>
      <c r="DX4" vm="6354">
        <f ca="1"/>
        <v>807.6</v>
      </c>
      <c r="DY4" vm="6355">
        <f ca="1"/>
        <v>845.99</v>
      </c>
      <c r="DZ4" vm="6356">
        <f ca="1"/>
        <v>860.21</v>
      </c>
      <c r="EA4" vm="6357">
        <f ca="1"/>
        <v>863.04</v>
      </c>
      <c r="EB4" vm="6358">
        <f ca="1"/>
        <v>866.05</v>
      </c>
      <c r="EC4" vm="6359">
        <f ca="1"/>
        <v>864.15</v>
      </c>
      <c r="ED4" vm="6360">
        <f ca="1"/>
        <v>905.75</v>
      </c>
      <c r="EE4" vm="6361">
        <f ca="1"/>
        <v>903.72</v>
      </c>
      <c r="EF4" vm="6362">
        <f ca="1"/>
        <v>907.8</v>
      </c>
      <c r="EG4" vm="6363">
        <f ca="1"/>
        <v>890.79</v>
      </c>
      <c r="EH4" vm="6364">
        <f ca="1"/>
        <v>909.63</v>
      </c>
      <c r="EI4" vm="6365">
        <f ca="1"/>
        <v>899.49</v>
      </c>
      <c r="EJ4" vm="6366">
        <f ca="1"/>
        <v>900</v>
      </c>
      <c r="EK4" vm="6367">
        <f ca="1"/>
        <v>925.95</v>
      </c>
      <c r="EL4" vm="6368">
        <f ca="1"/>
        <v>941.74</v>
      </c>
      <c r="EM4" vm="6369">
        <f ca="1"/>
        <v>926.55</v>
      </c>
      <c r="EN4" vm="6370">
        <f ca="1"/>
        <v>934.84</v>
      </c>
      <c r="EO4" vm="6371">
        <f ca="1"/>
        <v>931.3</v>
      </c>
      <c r="EP4" vm="6372">
        <f ca="1"/>
        <v>926.91</v>
      </c>
      <c r="EQ4" vm="6373">
        <f ca="1"/>
        <v>937.81</v>
      </c>
      <c r="ER4" vm="6369">
        <f ca="1"/>
        <v>926.55</v>
      </c>
      <c r="ES4" vm="6374">
        <f ca="1"/>
        <v>905.6</v>
      </c>
      <c r="ET4" vm="6375">
        <f ca="1"/>
        <v>923.77</v>
      </c>
      <c r="EU4" vm="6376">
        <f ca="1"/>
        <v>923.71</v>
      </c>
      <c r="EV4" vm="6377">
        <f ca="1"/>
        <v>903.27</v>
      </c>
      <c r="EW4" vm="6378">
        <f ca="1"/>
        <v>918.89</v>
      </c>
      <c r="EX4" vm="6379">
        <f ca="1"/>
        <v>937.35</v>
      </c>
      <c r="EY4" vm="6380">
        <f ca="1"/>
        <v>925.87</v>
      </c>
      <c r="EZ4" vm="6381">
        <f ca="1"/>
        <v>936.48</v>
      </c>
      <c r="FA4" vm="6382">
        <f ca="1"/>
        <v>944.86</v>
      </c>
      <c r="FB4" vm="6383">
        <f ca="1"/>
        <v>945.9</v>
      </c>
      <c r="FC4" vm="6384">
        <f ca="1"/>
        <v>955.42</v>
      </c>
      <c r="FD4" vm="6385">
        <f ca="1"/>
        <v>968.96</v>
      </c>
      <c r="FE4" vm="6386">
        <f ca="1"/>
        <v>948.47</v>
      </c>
      <c r="FF4" vm="6387">
        <f ca="1"/>
        <v>946.36</v>
      </c>
      <c r="FG4" vm="6388">
        <f ca="1"/>
        <v>928.74</v>
      </c>
      <c r="FH4" vm="6389">
        <f ca="1"/>
        <v>982.12</v>
      </c>
      <c r="FI4" vm="6390">
        <f ca="1"/>
        <v>988.17</v>
      </c>
      <c r="FJ4" vm="6391">
        <f ca="1"/>
        <v>996.73</v>
      </c>
      <c r="FK4" vm="6392">
        <f ca="1"/>
        <v>994.52</v>
      </c>
      <c r="FL4" vm="6393">
        <f ca="1"/>
        <v>996.47</v>
      </c>
      <c r="FM4" vm="6394">
        <f ca="1"/>
        <v>1008.37</v>
      </c>
      <c r="FN4" vm="6395">
        <f ca="1"/>
        <v>1025.56</v>
      </c>
      <c r="FO4" vm="6396">
        <f ca="1"/>
        <v>1048.58</v>
      </c>
      <c r="FP4" vm="6397">
        <f ca="1"/>
        <v>1064.58</v>
      </c>
      <c r="FQ4" vm="6398">
        <f ca="1"/>
        <v>1041.02</v>
      </c>
      <c r="FR4" vm="6399">
        <f ca="1"/>
        <v>1092.6099999999999</v>
      </c>
      <c r="FS4" vm="6400">
        <f ca="1"/>
        <v>1038.68</v>
      </c>
      <c r="FT4" vm="6401">
        <f ca="1"/>
        <v>1045</v>
      </c>
      <c r="FU4" vm="6402">
        <f ca="1"/>
        <v>1032.01</v>
      </c>
      <c r="FV4" vm="6403">
        <f ca="1"/>
        <v>1001.29</v>
      </c>
      <c r="FW4" vm="6404">
        <f ca="1"/>
        <v>1035.6400000000001</v>
      </c>
      <c r="FX4" vm="6405">
        <f ca="1"/>
        <v>1062.75</v>
      </c>
      <c r="FY4" vm="6406">
        <f ca="1"/>
        <v>1076.17</v>
      </c>
      <c r="FZ4" vm="6407">
        <f ca="1"/>
        <v>1090.67</v>
      </c>
      <c r="GA4" vm="6408">
        <f ca="1"/>
        <v>1099.1400000000001</v>
      </c>
      <c r="GB4" vm="6409">
        <f ca="1"/>
        <v>1096.56</v>
      </c>
      <c r="GC4" vm="6410">
        <f ca="1"/>
        <v>1106.3699999999999</v>
      </c>
      <c r="GD4" vm="6411">
        <f ca="1"/>
        <v>1094.44</v>
      </c>
      <c r="GE4" vm="6412">
        <f ca="1"/>
        <v>1076.9100000000001</v>
      </c>
      <c r="GF4" vm="6413">
        <f ca="1"/>
        <v>1065.0899999999999</v>
      </c>
      <c r="GG4" vm="6414">
        <f ca="1"/>
        <v>1019.61</v>
      </c>
      <c r="GH4" vm="6415">
        <f ca="1"/>
        <v>1020.21</v>
      </c>
      <c r="GI4" vm="6416">
        <f ca="1"/>
        <v>1011.37</v>
      </c>
      <c r="GJ4" vm="6414">
        <f ca="1"/>
        <v>1019.61</v>
      </c>
      <c r="GK4" vm="6417">
        <f ca="1"/>
        <v>1021</v>
      </c>
      <c r="GL4" vm="6418">
        <f ca="1"/>
        <v>1055.29</v>
      </c>
      <c r="GM4" vm="6419">
        <f ca="1"/>
        <v>1042.98</v>
      </c>
      <c r="GN4" vm="6420">
        <f ca="1"/>
        <v>1029.6400000000001</v>
      </c>
      <c r="GO4" vm="6421">
        <f ca="1"/>
        <v>1055.97</v>
      </c>
      <c r="GP4" vm="6422">
        <f ca="1"/>
        <v>1055.18</v>
      </c>
      <c r="GQ4" vm="6423">
        <f ca="1"/>
        <v>1045.9100000000001</v>
      </c>
      <c r="GR4" vm="6424">
        <f ca="1"/>
        <v>1140</v>
      </c>
      <c r="GS4" vm="6425">
        <f ca="1"/>
        <v>1152.07</v>
      </c>
      <c r="GT4" vm="6426">
        <f ca="1"/>
        <v>1095.46</v>
      </c>
      <c r="GU4" vm="6427">
        <f ca="1"/>
        <v>1065.22</v>
      </c>
      <c r="GV4" vm="6428">
        <f ca="1"/>
        <v>1055.03</v>
      </c>
      <c r="GW4" vm="6429">
        <f ca="1"/>
        <v>1085.56</v>
      </c>
      <c r="GX4" vm="6430">
        <f ca="1"/>
        <v>1098.2</v>
      </c>
      <c r="GY4" vm="6431">
        <f ca="1"/>
        <v>1074.72</v>
      </c>
      <c r="GZ4" vm="6432">
        <f ca="1"/>
        <v>1061.23</v>
      </c>
      <c r="HA4" vm="6433">
        <f ca="1"/>
        <v>1048.23</v>
      </c>
      <c r="HB4" vm="6434">
        <f ca="1"/>
        <v>1033.3399999999999</v>
      </c>
      <c r="HC4" vm="6435">
        <f ca="1"/>
        <v>980.75</v>
      </c>
      <c r="HD4" vm="6436">
        <f ca="1"/>
        <v>1024.8599999999999</v>
      </c>
      <c r="HE4" vm="6437">
        <f ca="1"/>
        <v>1018.38</v>
      </c>
      <c r="HF4" vm="6438">
        <f ca="1"/>
        <v>1027.06</v>
      </c>
      <c r="HG4" vm="6439">
        <f ca="1"/>
        <v>1052.98</v>
      </c>
      <c r="HH4" vm="6440">
        <f ca="1"/>
        <v>1060.3800000000001</v>
      </c>
      <c r="HI4" vm="6441">
        <f ca="1"/>
        <v>1032.58</v>
      </c>
      <c r="HJ4" vm="6442">
        <f ca="1"/>
        <v>1039.6099999999999</v>
      </c>
      <c r="HK4" vm="6443">
        <f ca="1"/>
        <v>1034.51</v>
      </c>
      <c r="HL4" vm="6444">
        <f ca="1"/>
        <v>1034.4100000000001</v>
      </c>
      <c r="HM4" vm="6445">
        <f ca="1"/>
        <v>1037.21</v>
      </c>
      <c r="HN4" vm="6446">
        <f ca="1"/>
        <v>1042.6300000000001</v>
      </c>
      <c r="HO4" vm="6447">
        <f ca="1"/>
        <v>1039.42</v>
      </c>
      <c r="HP4" vm="6448">
        <f ca="1"/>
        <v>1051.31</v>
      </c>
      <c r="HQ4" vm="6449">
        <f ca="1"/>
        <v>1040.47</v>
      </c>
      <c r="HR4" vm="6450">
        <f ca="1"/>
        <v>1021.65</v>
      </c>
      <c r="HS4" vm="6451">
        <f ca="1"/>
        <v>1001.95</v>
      </c>
      <c r="HT4" vm="6452">
        <f ca="1"/>
        <v>1039.28</v>
      </c>
      <c r="HU4" vm="6453">
        <f ca="1"/>
        <v>1036.28</v>
      </c>
      <c r="HV4" vm="6454">
        <f ca="1"/>
        <v>1058.8800000000001</v>
      </c>
      <c r="HW4" vm="6455">
        <f ca="1"/>
        <v>1040.46</v>
      </c>
      <c r="HX4" vm="6456">
        <f ca="1"/>
        <v>1040.8699999999999</v>
      </c>
      <c r="HY4" vm="6457">
        <f ca="1"/>
        <v>1033.99</v>
      </c>
      <c r="HZ4" vm="6458">
        <f ca="1"/>
        <v>1025.9000000000001</v>
      </c>
      <c r="IA4" vm="6459">
        <f ca="1"/>
        <v>1002.56</v>
      </c>
      <c r="IB4" vm="6460">
        <f ca="1"/>
        <v>1004.42</v>
      </c>
      <c r="IC4" vm="6461">
        <f ca="1"/>
        <v>1037.93</v>
      </c>
      <c r="ID4" vm="6462">
        <f ca="1"/>
        <v>1038.6099999999999</v>
      </c>
      <c r="IE4" vm="6463">
        <f ca="1"/>
        <v>1036.53</v>
      </c>
      <c r="IF4" vm="6464">
        <f ca="1"/>
        <v>1028.78</v>
      </c>
      <c r="IG4" vm="6465">
        <f ca="1"/>
        <v>1019.77</v>
      </c>
      <c r="IH4" vm="6466">
        <f ca="1"/>
        <v>1029.18</v>
      </c>
      <c r="II4" vm="6467">
        <f ca="1"/>
        <v>988.45</v>
      </c>
      <c r="IJ4" vm="6468">
        <f ca="1"/>
        <v>976.67</v>
      </c>
      <c r="IK4" vm="6469">
        <f ca="1"/>
        <v>937.98</v>
      </c>
      <c r="IL4" vm="6470">
        <f ca="1"/>
        <v>951.47</v>
      </c>
      <c r="IM4" vm="6471">
        <f ca="1"/>
        <v>942</v>
      </c>
      <c r="IN4" vm="6472">
        <f ca="1"/>
        <v>959.39</v>
      </c>
      <c r="IO4" vm="6473">
        <f ca="1"/>
        <v>949.49</v>
      </c>
      <c r="IP4" vm="6474">
        <f ca="1"/>
        <v>936.36</v>
      </c>
      <c r="IQ4" vm="6475">
        <f ca="1"/>
        <v>923.29</v>
      </c>
      <c r="IR4" vm="6476">
        <f ca="1"/>
        <v>935.45</v>
      </c>
      <c r="IS4" vm="6477">
        <f ca="1"/>
        <v>916.28</v>
      </c>
    </row>
    <row r="6" spans="1:253" x14ac:dyDescent="0.35">
      <c r="A6" t="str" cm="1">
        <f t="array" aca="1" ref="A6:F26" ca="1">_xlfn.STOCKHISTORY(A4&amp;":"&amp;B4,TODAY()-30,TODAY(),0,1,0,5,2,3,4,1)</f>
        <v>Date</v>
      </c>
      <c r="B6" t="str">
        <f ca="1"/>
        <v>Volume</v>
      </c>
      <c r="C6" t="str">
        <f ca="1"/>
        <v>Open</v>
      </c>
      <c r="D6" t="str">
        <f ca="1"/>
        <v>High</v>
      </c>
      <c r="E6" t="str">
        <f ca="1"/>
        <v>Low</v>
      </c>
      <c r="F6" t="str">
        <f ca="1"/>
        <v>Close</v>
      </c>
    </row>
    <row r="7" spans="1:253" x14ac:dyDescent="0.35">
      <c r="A7" vm="257">
        <f ca="1"/>
        <v>46265</v>
      </c>
      <c r="B7" vm="6478">
        <f ca="1"/>
        <v>1361114</v>
      </c>
      <c r="C7" vm="6479">
        <f ca="1"/>
        <v>1032.5999999999999</v>
      </c>
      <c r="D7" vm="6479">
        <f ca="1"/>
        <v>1032.5999999999999</v>
      </c>
      <c r="E7" vm="6480">
        <f ca="1"/>
        <v>1022.6201</v>
      </c>
      <c r="F7" vm="6458">
        <f ca="1"/>
        <v>1025.9000000000001</v>
      </c>
    </row>
    <row r="8" spans="1:253" x14ac:dyDescent="0.35">
      <c r="A8" vm="258">
        <f ca="1"/>
        <v>46266</v>
      </c>
      <c r="B8" vm="6481">
        <f ca="1"/>
        <v>1846398</v>
      </c>
      <c r="C8" vm="6482">
        <f ca="1"/>
        <v>1004.72</v>
      </c>
      <c r="D8" vm="6483">
        <f ca="1"/>
        <v>1031.1199999999999</v>
      </c>
      <c r="E8" vm="6484">
        <f ca="1"/>
        <v>996.97</v>
      </c>
      <c r="F8" vm="6459">
        <f ca="1"/>
        <v>1002.56</v>
      </c>
    </row>
    <row r="9" spans="1:253" x14ac:dyDescent="0.35">
      <c r="A9" vm="259">
        <f ca="1"/>
        <v>46267</v>
      </c>
      <c r="B9" vm="6485">
        <f ca="1"/>
        <v>2194092</v>
      </c>
      <c r="C9" vm="6486">
        <f ca="1"/>
        <v>1009.74</v>
      </c>
      <c r="D9" vm="6487">
        <f ca="1"/>
        <v>1021.843</v>
      </c>
      <c r="E9" vm="6488">
        <f ca="1"/>
        <v>998</v>
      </c>
      <c r="F9" vm="6460">
        <f ca="1"/>
        <v>1004.42</v>
      </c>
    </row>
    <row r="10" spans="1:253" x14ac:dyDescent="0.35">
      <c r="A10" vm="260">
        <f ca="1"/>
        <v>46268</v>
      </c>
      <c r="B10" vm="6489">
        <f ca="1"/>
        <v>1676091</v>
      </c>
      <c r="C10" vm="6490">
        <f ca="1"/>
        <v>1013.5</v>
      </c>
      <c r="D10" vm="6491">
        <f ca="1"/>
        <v>1039.83</v>
      </c>
      <c r="E10" vm="6492">
        <f ca="1"/>
        <v>1012.5</v>
      </c>
      <c r="F10" vm="6461">
        <f ca="1"/>
        <v>1037.93</v>
      </c>
    </row>
    <row r="11" spans="1:253" x14ac:dyDescent="0.35">
      <c r="A11" vm="261">
        <f ca="1"/>
        <v>46269</v>
      </c>
      <c r="B11" vm="6493">
        <f ca="1"/>
        <v>1429525</v>
      </c>
      <c r="C11" vm="6494">
        <f ca="1"/>
        <v>1031.0899999999999</v>
      </c>
      <c r="D11" vm="6495">
        <f ca="1"/>
        <v>1041.1953000000001</v>
      </c>
      <c r="E11" vm="6496">
        <f ca="1"/>
        <v>1024.6300000000001</v>
      </c>
      <c r="F11" vm="6462">
        <f ca="1"/>
        <v>1038.6099999999999</v>
      </c>
    </row>
    <row r="12" spans="1:253" x14ac:dyDescent="0.35">
      <c r="A12" vm="262">
        <f ca="1"/>
        <v>46273</v>
      </c>
      <c r="B12" vm="6497">
        <f ca="1"/>
        <v>1263453</v>
      </c>
      <c r="C12" vm="6498">
        <f ca="1"/>
        <v>1040.55</v>
      </c>
      <c r="D12" vm="6499">
        <f ca="1"/>
        <v>1043.8399999999999</v>
      </c>
      <c r="E12" vm="6500">
        <f ca="1"/>
        <v>1028.56</v>
      </c>
      <c r="F12" vm="6463">
        <f ca="1"/>
        <v>1036.53</v>
      </c>
    </row>
    <row r="13" spans="1:253" x14ac:dyDescent="0.35">
      <c r="A13" vm="263">
        <f ca="1"/>
        <v>46274</v>
      </c>
      <c r="B13" vm="6501">
        <f ca="1"/>
        <v>1661698</v>
      </c>
      <c r="C13" vm="6502">
        <f ca="1"/>
        <v>1028</v>
      </c>
      <c r="D13" vm="6503">
        <f ca="1"/>
        <v>1038.4324999999999</v>
      </c>
      <c r="E13" vm="6504">
        <f ca="1"/>
        <v>1011.4</v>
      </c>
      <c r="F13" vm="6464">
        <f ca="1"/>
        <v>1028.78</v>
      </c>
    </row>
    <row r="14" spans="1:253" x14ac:dyDescent="0.35">
      <c r="A14" vm="264">
        <f ca="1"/>
        <v>46275</v>
      </c>
      <c r="B14" vm="6505">
        <f ca="1"/>
        <v>1886255</v>
      </c>
      <c r="C14" vm="6506">
        <f ca="1"/>
        <v>1017.29</v>
      </c>
      <c r="D14" vm="6507">
        <f ca="1"/>
        <v>1027.23</v>
      </c>
      <c r="E14" vm="6508">
        <f ca="1"/>
        <v>1011.68</v>
      </c>
      <c r="F14" vm="6465">
        <f ca="1"/>
        <v>1019.77</v>
      </c>
    </row>
    <row r="15" spans="1:253" x14ac:dyDescent="0.35">
      <c r="A15" vm="265">
        <f ca="1"/>
        <v>46276</v>
      </c>
      <c r="B15" vm="6509">
        <f ca="1"/>
        <v>1156879</v>
      </c>
      <c r="C15" vm="6510">
        <f ca="1"/>
        <v>1035.05</v>
      </c>
      <c r="D15" vm="6511">
        <f ca="1"/>
        <v>1042.99</v>
      </c>
      <c r="E15" vm="6512">
        <f ca="1"/>
        <v>1018.585</v>
      </c>
      <c r="F15" vm="6466">
        <f ca="1"/>
        <v>1029.18</v>
      </c>
    </row>
    <row r="16" spans="1:253" x14ac:dyDescent="0.35">
      <c r="A16" vm="266">
        <f ca="1"/>
        <v>46279</v>
      </c>
      <c r="B16" vm="6513">
        <f ca="1"/>
        <v>2209520</v>
      </c>
      <c r="C16" vm="6514">
        <f ca="1"/>
        <v>1010</v>
      </c>
      <c r="D16" vm="6515">
        <f ca="1"/>
        <v>1013.69</v>
      </c>
      <c r="E16" vm="6516">
        <f ca="1"/>
        <v>978.93</v>
      </c>
      <c r="F16" vm="6467">
        <f ca="1"/>
        <v>988.45</v>
      </c>
    </row>
    <row r="17" spans="1:6" x14ac:dyDescent="0.35">
      <c r="A17" vm="267">
        <f ca="1"/>
        <v>46280</v>
      </c>
      <c r="B17" vm="6517">
        <f ca="1"/>
        <v>2349222</v>
      </c>
      <c r="C17" vm="6518">
        <f ca="1"/>
        <v>984.65</v>
      </c>
      <c r="D17" vm="6519">
        <f ca="1"/>
        <v>988.28</v>
      </c>
      <c r="E17" vm="6520">
        <f ca="1"/>
        <v>954.49</v>
      </c>
      <c r="F17" vm="6468">
        <f ca="1"/>
        <v>976.67</v>
      </c>
    </row>
    <row r="18" spans="1:6" x14ac:dyDescent="0.35">
      <c r="A18" vm="268">
        <f ca="1"/>
        <v>46281</v>
      </c>
      <c r="B18" vm="6521">
        <f ca="1"/>
        <v>3551273</v>
      </c>
      <c r="C18" vm="6522">
        <f ca="1"/>
        <v>981.46</v>
      </c>
      <c r="D18" vm="6523">
        <f ca="1"/>
        <v>984.66</v>
      </c>
      <c r="E18" vm="6524">
        <f ca="1"/>
        <v>932.37009999999998</v>
      </c>
      <c r="F18" vm="6469">
        <f ca="1"/>
        <v>937.98</v>
      </c>
    </row>
    <row r="19" spans="1:6" x14ac:dyDescent="0.35">
      <c r="A19" vm="269">
        <f ca="1"/>
        <v>46282</v>
      </c>
      <c r="B19" vm="6525">
        <f ca="1"/>
        <v>3288098</v>
      </c>
      <c r="C19" vm="6526">
        <f ca="1"/>
        <v>940.1</v>
      </c>
      <c r="D19" vm="6527">
        <f ca="1"/>
        <v>957.97</v>
      </c>
      <c r="E19" vm="6528">
        <f ca="1"/>
        <v>922</v>
      </c>
      <c r="F19" vm="6470">
        <f ca="1"/>
        <v>951.47</v>
      </c>
    </row>
    <row r="20" spans="1:6" x14ac:dyDescent="0.35">
      <c r="A20" vm="270">
        <f ca="1"/>
        <v>46283</v>
      </c>
      <c r="B20" vm="6529">
        <f ca="1"/>
        <v>3983987</v>
      </c>
      <c r="C20" vm="6530">
        <f ca="1"/>
        <v>948.96</v>
      </c>
      <c r="D20" vm="6531">
        <f ca="1"/>
        <v>952.99</v>
      </c>
      <c r="E20" vm="6532">
        <f ca="1"/>
        <v>939.55</v>
      </c>
      <c r="F20" vm="6471">
        <f ca="1"/>
        <v>942</v>
      </c>
    </row>
    <row r="21" spans="1:6" x14ac:dyDescent="0.35">
      <c r="A21" vm="271">
        <f ca="1"/>
        <v>46286</v>
      </c>
      <c r="B21" vm="6533">
        <f ca="1"/>
        <v>1864045</v>
      </c>
      <c r="C21" vm="6534">
        <f ca="1"/>
        <v>956.495</v>
      </c>
      <c r="D21" vm="6535">
        <f ca="1"/>
        <v>962.22</v>
      </c>
      <c r="E21" vm="6536">
        <f ca="1"/>
        <v>942.62</v>
      </c>
      <c r="F21" vm="6472">
        <f ca="1"/>
        <v>959.39</v>
      </c>
    </row>
    <row r="22" spans="1:6" x14ac:dyDescent="0.35">
      <c r="A22" vm="272">
        <f ca="1"/>
        <v>46287</v>
      </c>
      <c r="B22" vm="6537">
        <f ca="1"/>
        <v>2053377</v>
      </c>
      <c r="C22" vm="6538">
        <f ca="1"/>
        <v>967.39</v>
      </c>
      <c r="D22" vm="6539">
        <f ca="1"/>
        <v>967.76</v>
      </c>
      <c r="E22" vm="6540">
        <f ca="1"/>
        <v>936.77499999999998</v>
      </c>
      <c r="F22" vm="6473">
        <f ca="1"/>
        <v>949.49</v>
      </c>
    </row>
    <row r="23" spans="1:6" x14ac:dyDescent="0.35">
      <c r="A23" vm="273">
        <f ca="1"/>
        <v>46288</v>
      </c>
      <c r="B23" vm="6541">
        <f ca="1"/>
        <v>2136310</v>
      </c>
      <c r="C23" vm="6542">
        <f ca="1"/>
        <v>940.73</v>
      </c>
      <c r="D23" vm="6543">
        <f ca="1"/>
        <v>954.98</v>
      </c>
      <c r="E23" vm="6544">
        <f ca="1"/>
        <v>933.67499999999995</v>
      </c>
      <c r="F23" vm="6474">
        <f ca="1"/>
        <v>936.36</v>
      </c>
    </row>
    <row r="24" spans="1:6" x14ac:dyDescent="0.35">
      <c r="A24" vm="274">
        <f ca="1"/>
        <v>46289</v>
      </c>
      <c r="B24" vm="6545">
        <f ca="1"/>
        <v>2354548</v>
      </c>
      <c r="C24" vm="6546">
        <f ca="1"/>
        <v>931</v>
      </c>
      <c r="D24" vm="6547">
        <f ca="1"/>
        <v>933.41</v>
      </c>
      <c r="E24" vm="6548">
        <f ca="1"/>
        <v>914.68</v>
      </c>
      <c r="F24" vm="6475">
        <f ca="1"/>
        <v>923.29</v>
      </c>
    </row>
    <row r="25" spans="1:6" x14ac:dyDescent="0.35">
      <c r="A25" vm="275">
        <f ca="1"/>
        <v>46290</v>
      </c>
      <c r="B25" vm="6549">
        <f ca="1"/>
        <v>1956111</v>
      </c>
      <c r="C25" vm="6550">
        <f ca="1"/>
        <v>927.5</v>
      </c>
      <c r="D25" vm="6551">
        <f ca="1"/>
        <v>935.83</v>
      </c>
      <c r="E25" vm="6552">
        <f ca="1"/>
        <v>915.3</v>
      </c>
      <c r="F25" vm="6476">
        <f ca="1"/>
        <v>935.45</v>
      </c>
    </row>
    <row r="26" spans="1:6" x14ac:dyDescent="0.35">
      <c r="A26" vm="276">
        <f ca="1"/>
        <v>46293</v>
      </c>
      <c r="B26" vm="6553">
        <f ca="1"/>
        <v>1825530</v>
      </c>
      <c r="C26" vm="6554">
        <f ca="1"/>
        <v>930.94</v>
      </c>
      <c r="D26" vm="6555">
        <f ca="1"/>
        <v>932</v>
      </c>
      <c r="E26" vm="6556">
        <f ca="1"/>
        <v>914.5</v>
      </c>
      <c r="F26" vm="6477">
        <f ca="1"/>
        <v>916.28</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README</vt:lpstr>
      <vt:lpstr>Validation</vt:lpstr>
      <vt:lpstr>Dashboard</vt:lpstr>
      <vt:lpstr>WL Dashboard</vt:lpstr>
      <vt:lpstr>Analytics</vt:lpstr>
      <vt:lpstr>Risk Analytics</vt:lpstr>
      <vt:lpstr>Watchlist</vt:lpstr>
      <vt:lpstr>Price History</vt:lpstr>
      <vt:lpstr>Ledger</vt:lpstr>
      <vt:lpstr>AMD</vt:lpstr>
      <vt:lpstr>Portfolio Series</vt:lpstr>
      <vt:lpstr>BABA</vt:lpstr>
      <vt:lpstr>BAC</vt:lpstr>
      <vt:lpstr>COST</vt:lpstr>
      <vt:lpstr>DELL</vt:lpstr>
      <vt:lpstr>XOM</vt:lpstr>
      <vt:lpstr>GM</vt:lpstr>
      <vt:lpstr>LMT</vt:lpstr>
      <vt:lpstr>MSFT</vt:lpstr>
      <vt:lpstr>GS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alven yuka</dc:creator>
  <cp:lastModifiedBy>alven yuka</cp:lastModifiedBy>
  <dcterms:created xsi:type="dcterms:W3CDTF">2026-01-19T18:13:22Z</dcterms:created>
  <dcterms:modified xsi:type="dcterms:W3CDTF">2026-09-29T11:39:04Z</dcterms:modified>
</cp:coreProperties>
</file>