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MIN\Desktop\Desktop\Desktop\Desktop\Finance Analyst\Practise\"/>
    </mc:Choice>
  </mc:AlternateContent>
  <xr:revisionPtr revIDLastSave="0" documentId="13_ncr:1_{8A047569-C80F-400D-BA42-F86DCD13BDA6}" xr6:coauthVersionLast="47" xr6:coauthVersionMax="47" xr10:uidLastSave="{00000000-0000-0000-0000-000000000000}"/>
  <bookViews>
    <workbookView xWindow="-38510" yWindow="-2590" windowWidth="38620" windowHeight="21100" activeTab="10" xr2:uid="{C75A8AFE-6EF5-48AA-A1FC-E8A34D32F127}"/>
  </bookViews>
  <sheets>
    <sheet name="README" sheetId="19" r:id="rId1"/>
    <sheet name="Validation" sheetId="23" r:id="rId2"/>
    <sheet name="Dashboard" sheetId="1" r:id="rId3"/>
    <sheet name="WL Dashboard" sheetId="20" r:id="rId4"/>
    <sheet name="Analytics" sheetId="21" r:id="rId5"/>
    <sheet name="Risk Analytics" sheetId="22" r:id="rId6"/>
    <sheet name="Watchlist" sheetId="4" r:id="rId7"/>
    <sheet name="Spartkine" sheetId="15" r:id="rId8"/>
    <sheet name="Ledger" sheetId="2" r:id="rId9"/>
    <sheet name="AMD" sheetId="14" r:id="rId10"/>
    <sheet name="BABA" sheetId="13" r:id="rId11"/>
    <sheet name="BAC" sheetId="12" r:id="rId12"/>
    <sheet name="COST" sheetId="11" r:id="rId13"/>
    <sheet name="DELL" sheetId="10" r:id="rId14"/>
    <sheet name="XOM" sheetId="9" r:id="rId15"/>
    <sheet name="GM" sheetId="8" r:id="rId16"/>
    <sheet name="LMT" sheetId="7" r:id="rId17"/>
    <sheet name="MSFT" sheetId="6" r:id="rId18"/>
    <sheet name="GS" sheetId="5" r:id="rId19"/>
  </sheets>
  <calcPr calcId="191029"/>
  <pivotCaches>
    <pivotCache cacheId="0"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23" l="1"/>
  <c r="E8" i="22"/>
  <c r="C8" i="22"/>
  <c r="L2" i="4" a="1"/>
  <c r="L2" i="4" s="1"/>
  <c r="L3" i="4" a="1"/>
  <c r="L3" i="4" s="1"/>
  <c r="L4" i="4" a="1"/>
  <c r="L4" i="4" s="1"/>
  <c r="L5" i="4" a="1"/>
  <c r="L5" i="4" s="1"/>
  <c r="L6" i="4" a="1"/>
  <c r="L6" i="4" s="1"/>
  <c r="L7" i="4" a="1"/>
  <c r="L7" i="4" s="1"/>
  <c r="L8" i="4" a="1"/>
  <c r="L8" i="4" s="1"/>
  <c r="L9" i="4" a="1"/>
  <c r="L9" i="4" s="1"/>
  <c r="L10" i="4" a="1"/>
  <c r="L10" i="4" s="1"/>
  <c r="L11" i="4" a="1"/>
  <c r="L11" i="4" s="1"/>
  <c r="K2" i="4" a="1"/>
  <c r="K2" i="4" s="1"/>
  <c r="C8" i="20" s="1"/>
  <c r="K3" i="4" a="1"/>
  <c r="K3" i="4" s="1"/>
  <c r="C9" i="20" s="1"/>
  <c r="K4" i="4" a="1"/>
  <c r="K4" i="4" s="1"/>
  <c r="C10" i="20" s="1"/>
  <c r="K5" i="4" a="1"/>
  <c r="K5" i="4" s="1"/>
  <c r="C11" i="20" s="1"/>
  <c r="K6" i="4" a="1"/>
  <c r="K6" i="4" s="1"/>
  <c r="C12" i="20" s="1"/>
  <c r="K7" i="4" a="1"/>
  <c r="K7" i="4" s="1"/>
  <c r="C13" i="20" s="1"/>
  <c r="K8" i="4" a="1"/>
  <c r="K8" i="4" s="1"/>
  <c r="C14" i="20" s="1"/>
  <c r="K9" i="4" a="1"/>
  <c r="K9" i="4" s="1"/>
  <c r="C15" i="20" s="1"/>
  <c r="K10" i="4" a="1"/>
  <c r="K10" i="4" s="1"/>
  <c r="C16" i="20" s="1"/>
  <c r="K11" i="4" a="1"/>
  <c r="K11" i="4" s="1"/>
  <c r="C17" i="20" s="1"/>
  <c r="J2" i="4" a="1"/>
  <c r="J2" i="4" s="1"/>
  <c r="H8" i="20" s="1"/>
  <c r="J3" i="4" a="1"/>
  <c r="J3" i="4" s="1"/>
  <c r="H9" i="20" s="1"/>
  <c r="J4" i="4" a="1"/>
  <c r="J4" i="4" s="1"/>
  <c r="H10" i="20" s="1"/>
  <c r="J5" i="4" a="1"/>
  <c r="J5" i="4" s="1"/>
  <c r="J6" i="4" a="1"/>
  <c r="J6" i="4" s="1"/>
  <c r="H12" i="20" s="1"/>
  <c r="J7" i="4" a="1"/>
  <c r="J7" i="4" s="1"/>
  <c r="H13" i="20" s="1"/>
  <c r="J8" i="4" a="1"/>
  <c r="J8" i="4" s="1"/>
  <c r="H14" i="20" s="1"/>
  <c r="J9" i="4" a="1"/>
  <c r="J9" i="4" s="1"/>
  <c r="H15" i="20" s="1"/>
  <c r="J10" i="4" a="1"/>
  <c r="J10" i="4" s="1"/>
  <c r="H16" i="20" s="1"/>
  <c r="J11" i="4" a="1"/>
  <c r="J11" i="4" s="1"/>
  <c r="H17" i="20" s="1"/>
  <c r="I2" i="4" a="1"/>
  <c r="I2" i="4" s="1"/>
  <c r="I3" i="4" a="1"/>
  <c r="I3" i="4" s="1"/>
  <c r="I4" i="4" a="1"/>
  <c r="I4" i="4" s="1"/>
  <c r="I5" i="4" a="1"/>
  <c r="I5" i="4" s="1"/>
  <c r="I6" i="4" a="1"/>
  <c r="I6" i="4" s="1"/>
  <c r="I7" i="4" a="1"/>
  <c r="I7" i="4" s="1"/>
  <c r="I8" i="4" a="1"/>
  <c r="I8" i="4" s="1"/>
  <c r="I9" i="4" a="1"/>
  <c r="I9" i="4" s="1"/>
  <c r="I10" i="4" a="1"/>
  <c r="I10" i="4" s="1"/>
  <c r="I11" i="4" a="1"/>
  <c r="I11" i="4" s="1"/>
  <c r="H2" i="4" a="1"/>
  <c r="H2" i="4" s="1"/>
  <c r="H3" i="4" a="1"/>
  <c r="H3" i="4" s="1"/>
  <c r="H4" i="4" a="1"/>
  <c r="H4" i="4" s="1"/>
  <c r="H5" i="4" a="1"/>
  <c r="H5" i="4" s="1"/>
  <c r="H6" i="4" a="1"/>
  <c r="H6" i="4" s="1"/>
  <c r="H7" i="4" a="1"/>
  <c r="H7" i="4" s="1"/>
  <c r="H8" i="4" a="1"/>
  <c r="H8" i="4" s="1"/>
  <c r="H9" i="4" a="1"/>
  <c r="H9" i="4" s="1"/>
  <c r="H10" i="4" a="1"/>
  <c r="H10" i="4" s="1"/>
  <c r="H11" i="4" a="1"/>
  <c r="H11" i="4" s="1"/>
  <c r="G2" i="4" a="1"/>
  <c r="G2" i="4" s="1"/>
  <c r="G3" i="4" a="1"/>
  <c r="G3" i="4" s="1"/>
  <c r="E9" i="20" s="1"/>
  <c r="G4" i="4" a="1"/>
  <c r="G4" i="4" s="1"/>
  <c r="E10" i="20" s="1"/>
  <c r="G5" i="4" a="1"/>
  <c r="G5" i="4" s="1"/>
  <c r="E11" i="20" s="1"/>
  <c r="G6" i="4" a="1"/>
  <c r="G6" i="4" s="1"/>
  <c r="E12" i="20" s="1"/>
  <c r="G7" i="4" a="1"/>
  <c r="G7" i="4" s="1"/>
  <c r="E13" i="20" s="1"/>
  <c r="G8" i="4" a="1"/>
  <c r="G8" i="4" s="1"/>
  <c r="E14" i="20" s="1"/>
  <c r="G9" i="4" a="1"/>
  <c r="G9" i="4" s="1"/>
  <c r="E15" i="20" s="1"/>
  <c r="G10" i="4" a="1"/>
  <c r="G10" i="4" s="1"/>
  <c r="E16" i="20" s="1"/>
  <c r="G11" i="4" a="1"/>
  <c r="G11" i="4" s="1"/>
  <c r="E17" i="20" s="1"/>
  <c r="F2" i="4" a="1"/>
  <c r="F2" i="4" s="1"/>
  <c r="F3" i="4" a="1"/>
  <c r="F3" i="4" s="1"/>
  <c r="F9" i="20" s="1"/>
  <c r="C68" i="20" s="1"/>
  <c r="F4" i="4" a="1"/>
  <c r="F4" i="4" s="1"/>
  <c r="F10" i="20" s="1"/>
  <c r="C69" i="20" s="1"/>
  <c r="F5" i="4" a="1"/>
  <c r="F5" i="4" s="1"/>
  <c r="F11" i="20" s="1"/>
  <c r="C70" i="20" s="1"/>
  <c r="F6" i="4" a="1"/>
  <c r="F6" i="4" s="1"/>
  <c r="F12" i="20" s="1"/>
  <c r="C71" i="20" s="1"/>
  <c r="F7" i="4" a="1"/>
  <c r="F7" i="4" s="1"/>
  <c r="F13" i="20" s="1"/>
  <c r="F8" i="4" a="1"/>
  <c r="F8" i="4" s="1"/>
  <c r="F14" i="20" s="1"/>
  <c r="C73" i="20" s="1"/>
  <c r="F9" i="4" a="1"/>
  <c r="F9" i="4" s="1"/>
  <c r="F15" i="20" s="1"/>
  <c r="C74" i="20" s="1"/>
  <c r="F10" i="4" a="1"/>
  <c r="F10" i="4" s="1"/>
  <c r="F16" i="20" s="1"/>
  <c r="F11" i="4" a="1"/>
  <c r="F11" i="4" s="1"/>
  <c r="F17" i="20" s="1"/>
  <c r="C76" i="20" s="1"/>
  <c r="E2" i="4" a="1"/>
  <c r="E2" i="4" s="1"/>
  <c r="E3" i="4" a="1"/>
  <c r="E3" i="4" s="1"/>
  <c r="G9" i="20" s="1"/>
  <c r="E4" i="4" a="1"/>
  <c r="E4" i="4" s="1"/>
  <c r="G10" i="20" s="1"/>
  <c r="E5" i="4" a="1"/>
  <c r="E5" i="4" s="1"/>
  <c r="G11" i="20" s="1"/>
  <c r="E6" i="4" a="1"/>
  <c r="E6" i="4" s="1"/>
  <c r="G12" i="20" s="1"/>
  <c r="E7" i="4" a="1"/>
  <c r="E7" i="4" s="1"/>
  <c r="G13" i="20" s="1"/>
  <c r="E8" i="4" a="1"/>
  <c r="E8" i="4" s="1"/>
  <c r="G14" i="20" s="1"/>
  <c r="E9" i="4" a="1"/>
  <c r="E9" i="4" s="1"/>
  <c r="G15" i="20" s="1"/>
  <c r="E10" i="4" a="1"/>
  <c r="E10" i="4" s="1"/>
  <c r="G16" i="20" s="1"/>
  <c r="E11" i="4" a="1"/>
  <c r="E11" i="4" s="1"/>
  <c r="G17" i="20" s="1"/>
  <c r="D2" i="4" a="1"/>
  <c r="D2" i="4" s="1"/>
  <c r="J8" i="20" s="1"/>
  <c r="D3" i="4" a="1"/>
  <c r="D3" i="4" s="1"/>
  <c r="J9" i="20" s="1"/>
  <c r="D4" i="4" a="1"/>
  <c r="D4" i="4" s="1"/>
  <c r="J10" i="20" s="1"/>
  <c r="D5" i="4" a="1"/>
  <c r="D5" i="4" s="1"/>
  <c r="J11" i="20" s="1"/>
  <c r="D6" i="4" a="1"/>
  <c r="D6" i="4" s="1"/>
  <c r="J12" i="20" s="1"/>
  <c r="D7" i="4" a="1"/>
  <c r="D7" i="4" s="1"/>
  <c r="J13" i="20" s="1"/>
  <c r="D8" i="4" a="1"/>
  <c r="D8" i="4" s="1"/>
  <c r="J14" i="20" s="1"/>
  <c r="D9" i="4" a="1"/>
  <c r="D9" i="4" s="1"/>
  <c r="J15" i="20" s="1"/>
  <c r="D10" i="4" a="1"/>
  <c r="D10" i="4" s="1"/>
  <c r="J16" i="20" s="1"/>
  <c r="D11" i="4" a="1"/>
  <c r="D11" i="4" s="1"/>
  <c r="J17" i="20" s="1"/>
  <c r="C2" i="4" a="1"/>
  <c r="C2" i="4" s="1"/>
  <c r="I8" i="20" s="1"/>
  <c r="C3" i="4" a="1"/>
  <c r="C3" i="4" s="1"/>
  <c r="I9" i="20" s="1"/>
  <c r="C4" i="4" a="1"/>
  <c r="C4" i="4" s="1"/>
  <c r="I10" i="20" s="1"/>
  <c r="C5" i="4" a="1"/>
  <c r="C5" i="4" s="1"/>
  <c r="I11" i="20" s="1"/>
  <c r="C6" i="4" a="1"/>
  <c r="C6" i="4" s="1"/>
  <c r="I12" i="20" s="1"/>
  <c r="C7" i="4" a="1"/>
  <c r="C7" i="4" s="1"/>
  <c r="I13" i="20" s="1"/>
  <c r="C8" i="4" a="1"/>
  <c r="C8" i="4" s="1"/>
  <c r="C9" i="4" a="1"/>
  <c r="C9" i="4" s="1"/>
  <c r="I15" i="20" s="1"/>
  <c r="C10" i="4" a="1"/>
  <c r="C10" i="4" s="1"/>
  <c r="I16" i="20" s="1"/>
  <c r="C11" i="4" a="1"/>
  <c r="C11" i="4" s="1"/>
  <c r="I17" i="20" s="1"/>
  <c r="B2" i="4" a="1"/>
  <c r="B2" i="4" s="1"/>
  <c r="B8" i="20" s="1"/>
  <c r="M9" i="20" s="1"/>
  <c r="B3" i="4" a="1"/>
  <c r="B3" i="4" s="1"/>
  <c r="B9" i="20" s="1"/>
  <c r="M10" i="20" s="1"/>
  <c r="B4" i="4" a="1"/>
  <c r="B4" i="4" s="1"/>
  <c r="B10" i="20" s="1"/>
  <c r="M11" i="20" s="1"/>
  <c r="B5" i="4" a="1"/>
  <c r="B5" i="4" s="1"/>
  <c r="B11" i="20" s="1"/>
  <c r="M12" i="20" s="1"/>
  <c r="B6" i="4" a="1"/>
  <c r="B6" i="4" s="1"/>
  <c r="B12" i="20" s="1"/>
  <c r="M13" i="20" s="1"/>
  <c r="B7" i="4" a="1"/>
  <c r="B7" i="4" s="1"/>
  <c r="B13" i="20" s="1"/>
  <c r="M14" i="20" s="1"/>
  <c r="B8" i="4" a="1"/>
  <c r="B8" i="4" s="1"/>
  <c r="B14" i="20" s="1"/>
  <c r="M15" i="20" s="1"/>
  <c r="B9" i="4" a="1"/>
  <c r="B9" i="4" s="1"/>
  <c r="B15" i="20" s="1"/>
  <c r="M16" i="20" s="1"/>
  <c r="B10" i="4" a="1"/>
  <c r="B10" i="4" s="1"/>
  <c r="B16" i="20" s="1"/>
  <c r="M17" i="20" s="1"/>
  <c r="B11" i="4" a="1"/>
  <c r="B11" i="4" s="1"/>
  <c r="B17" i="20" s="1"/>
  <c r="M18" i="20" s="1"/>
  <c r="A6" i="10" a="1"/>
  <c r="A6" i="12" a="1"/>
  <c r="A6" i="7" a="1"/>
  <c r="C4" i="10" a="1"/>
  <c r="A6" i="13" a="1"/>
  <c r="A6" i="8" a="1"/>
  <c r="C4" i="8" a="1"/>
  <c r="C4" i="11" a="1"/>
  <c r="A6" i="6" a="1"/>
  <c r="A6" i="5" a="1"/>
  <c r="A6" i="11" a="1"/>
  <c r="C4" i="6" a="1"/>
  <c r="A6" i="14" a="1"/>
  <c r="C4" i="9" a="1"/>
  <c r="C4" i="14" a="1"/>
  <c r="C4" i="12" a="1"/>
  <c r="C4" i="13" a="1"/>
  <c r="A6" i="9" a="1"/>
  <c r="C4" i="7" a="1"/>
  <c r="C4" i="5" a="1"/>
  <c r="K4" i="20" l="1"/>
  <c r="B4" i="20"/>
  <c r="B67" i="20"/>
  <c r="B68" i="20"/>
  <c r="B69" i="20"/>
  <c r="B70" i="20"/>
  <c r="B71" i="20"/>
  <c r="B72" i="20"/>
  <c r="B73" i="20"/>
  <c r="B74" i="20"/>
  <c r="B75" i="20"/>
  <c r="B76" i="20"/>
  <c r="C4" i="20"/>
  <c r="C72" i="20"/>
  <c r="C75" i="20"/>
  <c r="I4" i="20"/>
  <c r="E68" i="20"/>
  <c r="E69" i="20"/>
  <c r="E70" i="20"/>
  <c r="E71" i="20"/>
  <c r="E72" i="20"/>
  <c r="E73" i="20"/>
  <c r="E74" i="20"/>
  <c r="E75" i="20"/>
  <c r="E76" i="20"/>
  <c r="J4" i="20"/>
  <c r="D4" i="20"/>
  <c r="H4" i="20" a="1"/>
  <c r="H4" i="20" s="1"/>
  <c r="F4" i="20" a="1"/>
  <c r="F4" i="20" s="1"/>
  <c r="E4" i="20" a="1"/>
  <c r="E4" i="20" s="1"/>
  <c r="G4" i="20" a="1"/>
  <c r="G4" i="20" s="1"/>
  <c r="B54" i="20" a="1"/>
  <c r="B54" i="20" s="1"/>
  <c r="D13" i="20"/>
  <c r="D12" i="20"/>
  <c r="D16" i="20"/>
  <c r="D8" i="20"/>
  <c r="D9" i="20"/>
  <c r="K14" i="20"/>
  <c r="D14" i="20"/>
  <c r="K9" i="20"/>
  <c r="D11" i="20"/>
  <c r="K13" i="20"/>
  <c r="K10" i="20"/>
  <c r="I14" i="20"/>
  <c r="K17" i="20"/>
  <c r="D15" i="20"/>
  <c r="G8" i="20"/>
  <c r="F68" i="20" s="1"/>
  <c r="E8" i="20"/>
  <c r="F8" i="20"/>
  <c r="H11" i="20"/>
  <c r="D17" i="20"/>
  <c r="D10" i="20"/>
  <c r="K11" i="20"/>
  <c r="K15" i="20"/>
  <c r="K8" i="20"/>
  <c r="K12" i="20"/>
  <c r="K16" i="20"/>
  <c r="A6" i="5"/>
  <c r="A6" i="6"/>
  <c r="A6" i="7"/>
  <c r="A6" i="8"/>
  <c r="A6" i="9"/>
  <c r="A6" i="10"/>
  <c r="A6" i="11"/>
  <c r="A6" i="12"/>
  <c r="A6" i="13"/>
  <c r="C4" i="5"/>
  <c r="C4" i="6"/>
  <c r="C4" i="7"/>
  <c r="C4" i="8"/>
  <c r="C4" i="9"/>
  <c r="C4" i="10"/>
  <c r="C4" i="11"/>
  <c r="C4" i="12"/>
  <c r="C4" i="13"/>
  <c r="A6" i="14"/>
  <c r="C4" i="14"/>
  <c r="F70" i="20" l="1"/>
  <c r="N15" i="20"/>
  <c r="H73" i="20"/>
  <c r="G73" i="20"/>
  <c r="N17" i="20"/>
  <c r="H75" i="20"/>
  <c r="G75" i="20"/>
  <c r="D76" i="20"/>
  <c r="D71" i="20"/>
  <c r="D69" i="20"/>
  <c r="D74" i="20"/>
  <c r="D70" i="20"/>
  <c r="D67" i="20"/>
  <c r="D73" i="20"/>
  <c r="D68" i="20"/>
  <c r="C67" i="20"/>
  <c r="G79" i="20" s="1"/>
  <c r="I76" i="20"/>
  <c r="I70" i="20"/>
  <c r="I68" i="20"/>
  <c r="I74" i="20"/>
  <c r="I73" i="20"/>
  <c r="I71" i="20"/>
  <c r="I69" i="20"/>
  <c r="I67" i="20"/>
  <c r="I72" i="20"/>
  <c r="F69" i="20"/>
  <c r="N9" i="20"/>
  <c r="H67" i="20"/>
  <c r="G67" i="20"/>
  <c r="F73" i="20"/>
  <c r="F75" i="20"/>
  <c r="I75" i="20"/>
  <c r="F71" i="20"/>
  <c r="F72" i="20"/>
  <c r="N13" i="20"/>
  <c r="H71" i="20"/>
  <c r="G71" i="20"/>
  <c r="N10" i="20"/>
  <c r="H68" i="20"/>
  <c r="G68" i="20"/>
  <c r="F67" i="20"/>
  <c r="E67" i="20"/>
  <c r="H79" i="20" s="1"/>
  <c r="N12" i="20"/>
  <c r="H70" i="20"/>
  <c r="G70" i="20"/>
  <c r="N18" i="20"/>
  <c r="H76" i="20"/>
  <c r="G76" i="20"/>
  <c r="N11" i="20"/>
  <c r="H69" i="20"/>
  <c r="G69" i="20"/>
  <c r="D75" i="20"/>
  <c r="F76" i="20"/>
  <c r="N16" i="20"/>
  <c r="H74" i="20"/>
  <c r="G74" i="20"/>
  <c r="N14" i="20"/>
  <c r="H72" i="20"/>
  <c r="G72" i="20"/>
  <c r="F74" i="20"/>
  <c r="D72" i="20"/>
  <c r="C54" i="20" a="1"/>
  <c r="C54" i="20" s="1"/>
  <c r="B7" i="1" a="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97" i="2" a="1"/>
  <c r="H97" i="2" s="1"/>
  <c r="H98" i="2" a="1"/>
  <c r="H98" i="2" s="1"/>
  <c r="H99" i="2" a="1"/>
  <c r="H99" i="2" s="1"/>
  <c r="H100" i="2" a="1"/>
  <c r="H100" i="2" s="1"/>
  <c r="H101" i="2" a="1"/>
  <c r="H101" i="2" s="1"/>
  <c r="H102" i="2" a="1"/>
  <c r="H102" i="2" s="1"/>
  <c r="H103" i="2" a="1"/>
  <c r="H103" i="2" s="1"/>
  <c r="H104" i="2" a="1"/>
  <c r="H104" i="2" s="1"/>
  <c r="H105" i="2" a="1"/>
  <c r="H105" i="2" s="1"/>
  <c r="H106" i="2" a="1"/>
  <c r="H106" i="2" s="1"/>
  <c r="H107" i="2" a="1"/>
  <c r="H107" i="2" s="1"/>
  <c r="H108" i="2" a="1"/>
  <c r="H108" i="2" s="1"/>
  <c r="H109" i="2" a="1"/>
  <c r="H109" i="2" s="1"/>
  <c r="H110" i="2" a="1"/>
  <c r="H110" i="2" s="1"/>
  <c r="H111" i="2" a="1"/>
  <c r="H111" i="2" s="1"/>
  <c r="H112" i="2" a="1"/>
  <c r="H112" i="2" s="1"/>
  <c r="H113" i="2" a="1"/>
  <c r="H113" i="2" s="1"/>
  <c r="H114" i="2" a="1"/>
  <c r="H114" i="2" s="1"/>
  <c r="H3" i="2" a="1"/>
  <c r="H3" i="2" s="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D49" i="22" l="1" a="1"/>
  <c r="D49" i="22" s="1"/>
  <c r="H49" i="22" s="1"/>
  <c r="D42" i="22" a="1"/>
  <c r="D42" i="22" s="1"/>
  <c r="H42" i="22" s="1"/>
  <c r="D53" i="22" a="1"/>
  <c r="D53" i="22" s="1"/>
  <c r="H53" i="22" s="1"/>
  <c r="D46" i="22" a="1"/>
  <c r="D46" i="22" s="1"/>
  <c r="H46" i="22" s="1"/>
  <c r="D43" i="22" a="1"/>
  <c r="D43" i="22" s="1"/>
  <c r="H43" i="22" s="1"/>
  <c r="D50" i="22" a="1"/>
  <c r="D50" i="22" s="1"/>
  <c r="H50" i="22" s="1"/>
  <c r="D47" i="22" a="1"/>
  <c r="D47" i="22" s="1"/>
  <c r="H47" i="22" s="1"/>
  <c r="D40" i="22" a="1"/>
  <c r="D40" i="22" s="1"/>
  <c r="H40" i="22" s="1"/>
  <c r="D54" i="22" a="1"/>
  <c r="D54" i="22" s="1"/>
  <c r="H54" i="22" s="1"/>
  <c r="D51" i="22" a="1"/>
  <c r="D51" i="22" s="1"/>
  <c r="H51" i="22" s="1"/>
  <c r="D44" i="22" a="1"/>
  <c r="D44" i="22" s="1"/>
  <c r="H44" i="22" s="1"/>
  <c r="D48" i="22" a="1"/>
  <c r="D48" i="22" s="1"/>
  <c r="H48" i="22" s="1"/>
  <c r="D41" i="22" a="1"/>
  <c r="D41" i="22" s="1"/>
  <c r="H41" i="22" s="1"/>
  <c r="D52" i="22" a="1"/>
  <c r="D52" i="22" s="1"/>
  <c r="H52" i="22" s="1"/>
  <c r="D45" i="22" a="1"/>
  <c r="D45" i="22" s="1"/>
  <c r="H45" i="22" s="1"/>
  <c r="J75" i="20"/>
  <c r="K75" i="20" s="1"/>
  <c r="J67" i="20"/>
  <c r="K67" i="20" s="1"/>
  <c r="J72" i="20"/>
  <c r="K72" i="20" s="1"/>
  <c r="J76" i="20"/>
  <c r="K76" i="20" s="1"/>
  <c r="J69" i="20"/>
  <c r="K69" i="20" s="1"/>
  <c r="J71" i="20"/>
  <c r="K71" i="20" s="1"/>
  <c r="J73" i="20"/>
  <c r="K73" i="20" s="1"/>
  <c r="K79" i="20"/>
  <c r="J79" i="20"/>
  <c r="J74" i="20"/>
  <c r="K74" i="20" s="1"/>
  <c r="J68" i="20"/>
  <c r="K68" i="20" s="1"/>
  <c r="J70" i="20"/>
  <c r="K70" i="20" s="1"/>
  <c r="M20" i="1"/>
  <c r="B52" i="22" s="1"/>
  <c r="M15" i="1"/>
  <c r="B47" i="22" s="1"/>
  <c r="M12" i="1"/>
  <c r="B44" i="22" s="1"/>
  <c r="M22" i="1"/>
  <c r="B54" i="22" s="1"/>
  <c r="M17" i="1"/>
  <c r="B49" i="22" s="1"/>
  <c r="M10" i="1"/>
  <c r="B42" i="22" s="1"/>
  <c r="M19" i="1"/>
  <c r="B51" i="22" s="1"/>
  <c r="M14" i="1"/>
  <c r="B46" i="22" s="1"/>
  <c r="M9" i="1"/>
  <c r="B41" i="22" s="1"/>
  <c r="M18" i="1"/>
  <c r="B50" i="22" s="1"/>
  <c r="M8" i="1"/>
  <c r="B40" i="22" s="1"/>
  <c r="M11" i="1"/>
  <c r="B43" i="22" s="1"/>
  <c r="M21" i="1"/>
  <c r="B53" i="22" s="1"/>
  <c r="M16" i="1"/>
  <c r="B48" i="22" s="1"/>
  <c r="M13" i="1"/>
  <c r="B45" i="22" s="1"/>
  <c r="B7" i="1"/>
  <c r="C10" i="23" s="1"/>
  <c r="D10" i="23" s="1"/>
  <c r="A4" i="15"/>
  <c r="A12" i="15"/>
  <c r="A5" i="15"/>
  <c r="A13" i="15"/>
  <c r="A6" i="15"/>
  <c r="A14" i="15"/>
  <c r="A7" i="15"/>
  <c r="A15" i="15"/>
  <c r="A8" i="15"/>
  <c r="A16" i="15"/>
  <c r="A9" i="15"/>
  <c r="A17" i="15"/>
  <c r="A10" i="15"/>
  <c r="A18" i="15"/>
  <c r="A11" i="15"/>
  <c r="C7" i="1" a="1"/>
  <c r="B11" i="15" a="1"/>
  <c r="B10" i="15" a="1"/>
  <c r="B13" i="15" a="1"/>
  <c r="B8" i="15" a="1"/>
  <c r="B18" i="15" a="1"/>
  <c r="B12" i="15" a="1"/>
  <c r="B7" i="15" a="1"/>
  <c r="B5" i="15" a="1"/>
  <c r="B9" i="15" a="1"/>
  <c r="B6" i="15" a="1"/>
  <c r="B14" i="15" a="1"/>
  <c r="B16" i="15" a="1"/>
  <c r="B15" i="15" a="1"/>
  <c r="B4" i="15" a="1"/>
  <c r="B17" i="15" a="1"/>
  <c r="M7" i="1" l="1"/>
  <c r="B39" i="22" s="1"/>
  <c r="D39" i="22" a="1"/>
  <c r="D39" i="22" s="1"/>
  <c r="H39" i="22" s="1"/>
  <c r="G34" i="1"/>
  <c r="A14" i="21"/>
  <c r="G31" i="1"/>
  <c r="A11" i="21"/>
  <c r="G35" i="1"/>
  <c r="A15" i="21"/>
  <c r="G41" i="1"/>
  <c r="A21" i="21"/>
  <c r="G38" i="1"/>
  <c r="A18" i="21"/>
  <c r="G32" i="1"/>
  <c r="A12" i="21"/>
  <c r="G43" i="1"/>
  <c r="A23" i="21"/>
  <c r="G37" i="1"/>
  <c r="A17" i="21"/>
  <c r="G36" i="1"/>
  <c r="A16" i="21"/>
  <c r="G42" i="1"/>
  <c r="A22" i="21"/>
  <c r="G39" i="1"/>
  <c r="A19" i="21"/>
  <c r="G33" i="1"/>
  <c r="A13" i="21"/>
  <c r="G44" i="1"/>
  <c r="A24" i="21"/>
  <c r="G40" i="1"/>
  <c r="A20" i="21"/>
  <c r="G45" i="1"/>
  <c r="A25" i="21"/>
  <c r="I79" i="20"/>
  <c r="F79" i="20"/>
  <c r="D79" i="20"/>
  <c r="E79" i="20"/>
  <c r="C79" i="20"/>
  <c r="B79" i="20"/>
  <c r="AD9" i="1"/>
  <c r="AB9" i="1"/>
  <c r="AD8" i="1"/>
  <c r="AB8" i="1"/>
  <c r="AD14" i="1"/>
  <c r="AB14" i="1"/>
  <c r="AD11" i="1"/>
  <c r="AB11" i="1"/>
  <c r="AD5" i="1"/>
  <c r="AB5" i="1"/>
  <c r="AD16" i="1"/>
  <c r="AB16" i="1"/>
  <c r="AD12" i="1"/>
  <c r="AB12" i="1"/>
  <c r="AD6" i="1"/>
  <c r="AB6" i="1"/>
  <c r="AD17" i="1"/>
  <c r="AB17" i="1"/>
  <c r="AD3" i="1"/>
  <c r="AB3" i="1"/>
  <c r="AD7" i="1"/>
  <c r="AB7" i="1"/>
  <c r="AD13" i="1"/>
  <c r="AB13" i="1"/>
  <c r="AD10" i="1"/>
  <c r="AB10" i="1"/>
  <c r="AD4" i="1"/>
  <c r="AB4" i="1"/>
  <c r="AD15" i="1"/>
  <c r="AB15" i="1"/>
  <c r="Z9" i="1"/>
  <c r="U9" i="1"/>
  <c r="U11" i="1"/>
  <c r="Z11" i="1"/>
  <c r="U5" i="1"/>
  <c r="Z5" i="1"/>
  <c r="U16" i="1"/>
  <c r="Z16" i="1"/>
  <c r="Z12" i="1"/>
  <c r="U12" i="1"/>
  <c r="Z6" i="1"/>
  <c r="U6" i="1"/>
  <c r="Z17" i="1"/>
  <c r="U17" i="1"/>
  <c r="U3" i="1"/>
  <c r="Z3" i="1"/>
  <c r="U7" i="1"/>
  <c r="Z7" i="1"/>
  <c r="U13" i="1"/>
  <c r="Z13" i="1"/>
  <c r="U10" i="1"/>
  <c r="Z10" i="1"/>
  <c r="U8" i="1"/>
  <c r="Z8" i="1"/>
  <c r="Z14" i="1"/>
  <c r="U14" i="1"/>
  <c r="Z4" i="1"/>
  <c r="U4" i="1"/>
  <c r="U15" i="1"/>
  <c r="Z15" i="1"/>
  <c r="D7" i="1" a="1"/>
  <c r="D7" i="1" s="1"/>
  <c r="E7" i="1" a="1"/>
  <c r="A3" i="15"/>
  <c r="B11" i="15"/>
  <c r="B7" i="15"/>
  <c r="B16" i="15"/>
  <c r="B18" i="15"/>
  <c r="B14" i="15"/>
  <c r="B10" i="15"/>
  <c r="B6" i="15"/>
  <c r="B17" i="15"/>
  <c r="B13" i="15"/>
  <c r="B9" i="15"/>
  <c r="B5" i="15"/>
  <c r="B4" i="15"/>
  <c r="B12" i="15"/>
  <c r="B8" i="15"/>
  <c r="B15" i="15"/>
  <c r="C7" i="1"/>
  <c r="B2" i="15" a="1"/>
  <c r="AB2" i="1" l="1"/>
  <c r="AD2" i="1"/>
  <c r="U2" i="1"/>
  <c r="A10" i="21"/>
  <c r="Z2" i="1"/>
  <c r="F6" i="21"/>
  <c r="G30" i="1"/>
  <c r="A36" i="21" a="1"/>
  <c r="A36" i="21" s="1"/>
  <c r="A32" i="21" a="1"/>
  <c r="A32" i="21" s="1"/>
  <c r="A35" i="21" a="1"/>
  <c r="A35" i="21" s="1"/>
  <c r="A31" i="21" a="1"/>
  <c r="A31" i="21" s="1"/>
  <c r="A38" i="21" a="1"/>
  <c r="A38" i="21" s="1"/>
  <c r="A34" i="21" a="1"/>
  <c r="A34" i="21" s="1"/>
  <c r="A30" i="21" a="1"/>
  <c r="A30" i="21" s="1"/>
  <c r="A37" i="21" a="1"/>
  <c r="A37" i="21" s="1"/>
  <c r="A33" i="21" a="1"/>
  <c r="A33" i="21" s="1"/>
  <c r="A29" i="21" a="1"/>
  <c r="A29" i="21" s="1"/>
  <c r="B30" i="1" a="1"/>
  <c r="B30" i="1" s="1"/>
  <c r="E7" i="1"/>
  <c r="F7" i="1" s="1" a="1"/>
  <c r="B2" i="15"/>
  <c r="B37" i="21" l="1"/>
  <c r="B30" i="21"/>
  <c r="G43" i="21"/>
  <c r="H43" i="21" s="1"/>
  <c r="B33" i="21"/>
  <c r="B34" i="21"/>
  <c r="C25" i="21"/>
  <c r="C24" i="21"/>
  <c r="C23" i="21"/>
  <c r="C22" i="21"/>
  <c r="C21" i="21"/>
  <c r="C20" i="21"/>
  <c r="C19" i="21"/>
  <c r="C18" i="21"/>
  <c r="C17" i="21"/>
  <c r="C16" i="21"/>
  <c r="C15" i="21"/>
  <c r="C14" i="21"/>
  <c r="C13" i="21"/>
  <c r="C12" i="21"/>
  <c r="C11" i="21"/>
  <c r="B38" i="21"/>
  <c r="B31" i="21"/>
  <c r="B35" i="21"/>
  <c r="B32" i="21"/>
  <c r="B36" i="21"/>
  <c r="G7" i="1" a="1"/>
  <c r="G7" i="1" s="1"/>
  <c r="M3" i="1" s="1"/>
  <c r="F7" i="1"/>
  <c r="B29" i="21" l="1"/>
  <c r="C35" i="21" s="1"/>
  <c r="D35" i="21" s="1"/>
  <c r="C7" i="23"/>
  <c r="B6" i="21"/>
  <c r="C10" i="21"/>
  <c r="L19" i="1"/>
  <c r="C30" i="1" a="1"/>
  <c r="C30" i="1" s="1"/>
  <c r="L15" i="1"/>
  <c r="L21" i="1"/>
  <c r="L18" i="1"/>
  <c r="J3" i="1" a="1"/>
  <c r="J3" i="1" s="1"/>
  <c r="B3" i="1"/>
  <c r="L22" i="1"/>
  <c r="L16" i="1"/>
  <c r="L12" i="1"/>
  <c r="L7" i="1"/>
  <c r="K25" i="1" a="1"/>
  <c r="K25" i="1" s="1"/>
  <c r="C12" i="23" s="1"/>
  <c r="L14" i="1"/>
  <c r="L20" i="1"/>
  <c r="L8" i="1"/>
  <c r="L10" i="1"/>
  <c r="L13" i="1"/>
  <c r="L11" i="1"/>
  <c r="L17" i="1"/>
  <c r="L9" i="1"/>
  <c r="I7" i="1" a="1"/>
  <c r="H7" i="1" a="1"/>
  <c r="H7" i="1" s="1"/>
  <c r="C31" i="21" l="1"/>
  <c r="D31" i="21" s="1"/>
  <c r="C37" i="21"/>
  <c r="D37" i="21" s="1"/>
  <c r="C38" i="21"/>
  <c r="D38" i="21" s="1"/>
  <c r="C33" i="21"/>
  <c r="D33" i="21" s="1"/>
  <c r="C29" i="21"/>
  <c r="D29" i="21" s="1"/>
  <c r="C30" i="21"/>
  <c r="D30" i="21" s="1"/>
  <c r="D30" i="1"/>
  <c r="E30" i="1" s="1"/>
  <c r="C16" i="23"/>
  <c r="C36" i="21"/>
  <c r="D36" i="21" s="1"/>
  <c r="B13" i="23"/>
  <c r="B12" i="23"/>
  <c r="D12" i="23" s="1"/>
  <c r="C6" i="23"/>
  <c r="D6" i="23" s="1"/>
  <c r="C34" i="21"/>
  <c r="D34" i="21" s="1"/>
  <c r="C32" i="21"/>
  <c r="D32" i="21" s="1"/>
  <c r="B16" i="23"/>
  <c r="B7" i="23"/>
  <c r="D7" i="23" s="1"/>
  <c r="F24" i="21"/>
  <c r="C53" i="22"/>
  <c r="G53" i="22" s="1"/>
  <c r="F23" i="21"/>
  <c r="C52" i="22"/>
  <c r="G52" i="22" s="1"/>
  <c r="F17" i="21"/>
  <c r="C46" i="22"/>
  <c r="G46" i="22" s="1"/>
  <c r="F21" i="21"/>
  <c r="C50" i="22"/>
  <c r="G50" i="22" s="1"/>
  <c r="F20" i="21"/>
  <c r="C49" i="22"/>
  <c r="G49" i="22" s="1"/>
  <c r="F15" i="21"/>
  <c r="C44" i="22"/>
  <c r="G44" i="22" s="1"/>
  <c r="F19" i="21"/>
  <c r="C48" i="22"/>
  <c r="G48" i="22" s="1"/>
  <c r="F22" i="21"/>
  <c r="C51" i="22"/>
  <c r="G51" i="22" s="1"/>
  <c r="F12" i="21"/>
  <c r="C41" i="22"/>
  <c r="G41" i="22" s="1"/>
  <c r="F10" i="21"/>
  <c r="C35" i="22"/>
  <c r="E35" i="22" s="1"/>
  <c r="C34" i="22" a="1"/>
  <c r="C34" i="22" s="1"/>
  <c r="E34" i="22" s="1"/>
  <c r="C62" i="22" a="1"/>
  <c r="C62" i="22" s="1"/>
  <c r="C39" i="22"/>
  <c r="F18" i="21"/>
  <c r="C47" i="22"/>
  <c r="G47" i="22" s="1"/>
  <c r="F14" i="21"/>
  <c r="C43" i="22"/>
  <c r="G43" i="22" s="1"/>
  <c r="F16" i="21"/>
  <c r="C45" i="22"/>
  <c r="G45" i="22" s="1"/>
  <c r="F13" i="21"/>
  <c r="C42" i="22"/>
  <c r="G42" i="22" s="1"/>
  <c r="F25" i="21"/>
  <c r="C54" i="22"/>
  <c r="G54" i="22" s="1"/>
  <c r="F11" i="21"/>
  <c r="C40" i="22"/>
  <c r="G40" i="22" s="1"/>
  <c r="G30" i="21"/>
  <c r="D25" i="21"/>
  <c r="D24" i="21"/>
  <c r="D23" i="21"/>
  <c r="D22" i="21"/>
  <c r="D21" i="21"/>
  <c r="D20" i="21"/>
  <c r="D19" i="21"/>
  <c r="D18" i="21"/>
  <c r="D17" i="21"/>
  <c r="D16" i="21"/>
  <c r="D15" i="21"/>
  <c r="D14" i="21"/>
  <c r="D13" i="21"/>
  <c r="D12" i="21"/>
  <c r="D11" i="21"/>
  <c r="B19" i="21"/>
  <c r="B24" i="21"/>
  <c r="B16" i="21"/>
  <c r="B14" i="21"/>
  <c r="B13" i="21"/>
  <c r="B25" i="21"/>
  <c r="B22" i="21"/>
  <c r="B23" i="21"/>
  <c r="B15" i="21"/>
  <c r="B21" i="21"/>
  <c r="B17" i="21"/>
  <c r="B18" i="21"/>
  <c r="B11" i="21"/>
  <c r="B12" i="21"/>
  <c r="B20" i="21"/>
  <c r="J41" i="1"/>
  <c r="K41" i="1" s="1"/>
  <c r="H41" i="1"/>
  <c r="H32" i="1"/>
  <c r="J32" i="1"/>
  <c r="K32" i="1" s="1"/>
  <c r="H44" i="1"/>
  <c r="J44" i="1"/>
  <c r="K44" i="1" s="1"/>
  <c r="J40" i="1"/>
  <c r="K40" i="1" s="1"/>
  <c r="H40" i="1"/>
  <c r="I34" i="1"/>
  <c r="I32" i="1"/>
  <c r="I45" i="1"/>
  <c r="I43" i="1"/>
  <c r="J30" i="1"/>
  <c r="K30" i="1" s="1"/>
  <c r="I42" i="1"/>
  <c r="I41" i="1"/>
  <c r="I30" i="1"/>
  <c r="C15" i="23" s="1"/>
  <c r="D15" i="23" s="1"/>
  <c r="I39" i="1"/>
  <c r="I37" i="1"/>
  <c r="I35" i="1"/>
  <c r="H30" i="1"/>
  <c r="I33" i="1"/>
  <c r="I44" i="1"/>
  <c r="I31" i="1"/>
  <c r="I40" i="1"/>
  <c r="I38" i="1"/>
  <c r="I36" i="1"/>
  <c r="H38" i="1"/>
  <c r="J38" i="1"/>
  <c r="K38" i="1" s="1"/>
  <c r="J33" i="1"/>
  <c r="K33" i="1" s="1"/>
  <c r="H33" i="1"/>
  <c r="J45" i="1"/>
  <c r="K45" i="1" s="1"/>
  <c r="H45" i="1"/>
  <c r="H31" i="1"/>
  <c r="J31" i="1"/>
  <c r="K31" i="1" s="1"/>
  <c r="J43" i="1"/>
  <c r="K43" i="1" s="1"/>
  <c r="H43" i="1"/>
  <c r="J37" i="1"/>
  <c r="K37" i="1" s="1"/>
  <c r="H37" i="1"/>
  <c r="H34" i="1"/>
  <c r="J34" i="1"/>
  <c r="K34" i="1" s="1"/>
  <c r="J35" i="1"/>
  <c r="K35" i="1" s="1"/>
  <c r="H35" i="1"/>
  <c r="H36" i="1"/>
  <c r="J36" i="1"/>
  <c r="K36" i="1" s="1"/>
  <c r="J39" i="1"/>
  <c r="K39" i="1" s="1"/>
  <c r="H39" i="1"/>
  <c r="J42" i="1"/>
  <c r="K42" i="1" s="1"/>
  <c r="H42" i="1"/>
  <c r="W5" i="1"/>
  <c r="AE5" i="1"/>
  <c r="W17" i="1"/>
  <c r="AE17" i="1"/>
  <c r="W3" i="1"/>
  <c r="AE3" i="1"/>
  <c r="W15" i="1"/>
  <c r="AE15" i="1"/>
  <c r="W16" i="1"/>
  <c r="AE16" i="1"/>
  <c r="W12" i="1"/>
  <c r="AE12" i="1"/>
  <c r="W2" i="1"/>
  <c r="AE2" i="1"/>
  <c r="W10" i="1"/>
  <c r="AE10" i="1"/>
  <c r="W9" i="1"/>
  <c r="AE9" i="1"/>
  <c r="W13" i="1"/>
  <c r="AE13" i="1"/>
  <c r="W4" i="1"/>
  <c r="AE4" i="1"/>
  <c r="W6" i="1"/>
  <c r="AE6" i="1"/>
  <c r="W7" i="1"/>
  <c r="AE7" i="1"/>
  <c r="W8" i="1"/>
  <c r="AE8" i="1"/>
  <c r="W11" i="1"/>
  <c r="AE11" i="1"/>
  <c r="W14" i="1"/>
  <c r="AE14" i="1"/>
  <c r="AA17" i="1"/>
  <c r="AA13" i="1"/>
  <c r="AA9" i="1"/>
  <c r="AA5" i="1"/>
  <c r="X14" i="1"/>
  <c r="X6" i="1"/>
  <c r="X11" i="1"/>
  <c r="X3" i="1"/>
  <c r="X17" i="1"/>
  <c r="X9" i="1"/>
  <c r="AA16" i="1"/>
  <c r="AA12" i="1"/>
  <c r="AA8" i="1"/>
  <c r="AA4" i="1"/>
  <c r="X12" i="1"/>
  <c r="X4" i="1"/>
  <c r="X15" i="1"/>
  <c r="X7" i="1"/>
  <c r="AA10" i="1"/>
  <c r="AA6" i="1"/>
  <c r="X16" i="1"/>
  <c r="AA15" i="1"/>
  <c r="AA11" i="1"/>
  <c r="AA7" i="1"/>
  <c r="AA3" i="1"/>
  <c r="X10" i="1"/>
  <c r="AA14" i="1"/>
  <c r="X8" i="1"/>
  <c r="X13" i="1"/>
  <c r="X5" i="1"/>
  <c r="N12" i="1"/>
  <c r="O12" i="1" s="1"/>
  <c r="G15" i="21" s="1"/>
  <c r="N11" i="1"/>
  <c r="O11" i="1" s="1"/>
  <c r="G14" i="21" s="1"/>
  <c r="N14" i="1"/>
  <c r="O14" i="1" s="1"/>
  <c r="G17" i="21" s="1"/>
  <c r="N8" i="1"/>
  <c r="O8" i="1" s="1"/>
  <c r="G11" i="21" s="1"/>
  <c r="N22" i="1"/>
  <c r="O22" i="1" s="1"/>
  <c r="G25" i="21" s="1"/>
  <c r="N10" i="1"/>
  <c r="O10" i="1" s="1"/>
  <c r="G13" i="21" s="1"/>
  <c r="N18" i="1"/>
  <c r="O18" i="1" s="1"/>
  <c r="G21" i="21" s="1"/>
  <c r="N17" i="1"/>
  <c r="O17" i="1" s="1"/>
  <c r="G20" i="21" s="1"/>
  <c r="N21" i="1"/>
  <c r="O21" i="1" s="1"/>
  <c r="G24" i="21" s="1"/>
  <c r="N19" i="1"/>
  <c r="O19" i="1" s="1"/>
  <c r="G22" i="21" s="1"/>
  <c r="N16" i="1"/>
  <c r="O16" i="1" s="1"/>
  <c r="G19" i="21" s="1"/>
  <c r="N13" i="1"/>
  <c r="O13" i="1" s="1"/>
  <c r="G16" i="21" s="1"/>
  <c r="N9" i="1"/>
  <c r="O9" i="1" s="1"/>
  <c r="G12" i="21" s="1"/>
  <c r="N15" i="1"/>
  <c r="O15" i="1" s="1"/>
  <c r="G18" i="21" s="1"/>
  <c r="N20" i="1"/>
  <c r="O20" i="1" s="1"/>
  <c r="G23" i="21" s="1"/>
  <c r="D38" i="1"/>
  <c r="E38" i="1" s="1"/>
  <c r="D32" i="1"/>
  <c r="E32" i="1" s="1"/>
  <c r="D37" i="1"/>
  <c r="E37" i="1" s="1"/>
  <c r="D33" i="1"/>
  <c r="E33" i="1" s="1"/>
  <c r="D36" i="1"/>
  <c r="E36" i="1" s="1"/>
  <c r="D39" i="1"/>
  <c r="E39" i="1" s="1"/>
  <c r="D35" i="1"/>
  <c r="E35" i="1" s="1"/>
  <c r="D31" i="1"/>
  <c r="E31" i="1" s="1"/>
  <c r="D34" i="1"/>
  <c r="E34" i="1" s="1"/>
  <c r="E25" i="1"/>
  <c r="C25" i="1"/>
  <c r="K20" i="1"/>
  <c r="K14" i="1"/>
  <c r="K22" i="1"/>
  <c r="K11" i="1"/>
  <c r="K19" i="1"/>
  <c r="K21" i="1"/>
  <c r="K8" i="1"/>
  <c r="K17" i="1"/>
  <c r="K15" i="1"/>
  <c r="K10" i="1"/>
  <c r="K9" i="1"/>
  <c r="K13" i="1"/>
  <c r="K18" i="1"/>
  <c r="K12" i="1"/>
  <c r="K16" i="1"/>
  <c r="I7" i="1"/>
  <c r="C14" i="23" s="1"/>
  <c r="D16" i="23" l="1"/>
  <c r="C13" i="23"/>
  <c r="D13" i="23" s="1"/>
  <c r="B62" i="21"/>
  <c r="D62" i="21" s="1"/>
  <c r="D39" i="21"/>
  <c r="B40" i="21" s="1"/>
  <c r="C11" i="23"/>
  <c r="D11" i="23" s="1"/>
  <c r="E62" i="22"/>
  <c r="B63" i="21"/>
  <c r="D63" i="21" s="1"/>
  <c r="B61" i="21"/>
  <c r="D61" i="21" s="1"/>
  <c r="G32" i="21"/>
  <c r="H32" i="21" s="1"/>
  <c r="E24" i="21"/>
  <c r="F53" i="22"/>
  <c r="J53" i="22" s="1"/>
  <c r="E20" i="21"/>
  <c r="F49" i="22"/>
  <c r="J49" i="22" s="1"/>
  <c r="E19" i="21"/>
  <c r="F48" i="22"/>
  <c r="J48" i="22" s="1"/>
  <c r="E11" i="21"/>
  <c r="F40" i="22"/>
  <c r="J40" i="22" s="1"/>
  <c r="E15" i="21"/>
  <c r="F44" i="22"/>
  <c r="J44" i="22" s="1"/>
  <c r="E21" i="21"/>
  <c r="F50" i="22"/>
  <c r="J50" i="22" s="1"/>
  <c r="E22" i="21"/>
  <c r="F51" i="22"/>
  <c r="J51" i="22" s="1"/>
  <c r="E16" i="21"/>
  <c r="F45" i="22"/>
  <c r="J45" i="22" s="1"/>
  <c r="E14" i="21"/>
  <c r="F43" i="22"/>
  <c r="J43" i="22" s="1"/>
  <c r="C61" i="22" a="1"/>
  <c r="C61" i="22" s="1"/>
  <c r="E61" i="22" s="1"/>
  <c r="E25" i="21"/>
  <c r="F54" i="22"/>
  <c r="J54" i="22" s="1"/>
  <c r="E13" i="21"/>
  <c r="F42" i="22"/>
  <c r="J42" i="22" s="1"/>
  <c r="E17" i="21"/>
  <c r="F46" i="22"/>
  <c r="J46" i="22" s="1"/>
  <c r="G33" i="21"/>
  <c r="H33" i="21" s="1"/>
  <c r="E12" i="21"/>
  <c r="F41" i="22"/>
  <c r="J41" i="22" s="1"/>
  <c r="E18" i="21"/>
  <c r="F47" i="22"/>
  <c r="J47" i="22" s="1"/>
  <c r="E23" i="21"/>
  <c r="F52" i="22"/>
  <c r="J52" i="22" s="1"/>
  <c r="G39" i="22"/>
  <c r="G55" i="22" s="1"/>
  <c r="C55" i="22"/>
  <c r="C38" i="23" s="1"/>
  <c r="D38" i="23" s="1"/>
  <c r="C9" i="22"/>
  <c r="H6" i="21"/>
  <c r="G6" i="21"/>
  <c r="D10" i="21"/>
  <c r="C6" i="21"/>
  <c r="A6" i="21"/>
  <c r="B10" i="21"/>
  <c r="P25" i="1"/>
  <c r="O3" i="1"/>
  <c r="B14" i="23" s="1"/>
  <c r="D14" i="23" s="1"/>
  <c r="AA2" i="1"/>
  <c r="X2" i="1"/>
  <c r="N7" i="1"/>
  <c r="V11" i="1"/>
  <c r="P12" i="1"/>
  <c r="Q12" i="1"/>
  <c r="E44" i="22" s="1"/>
  <c r="I44" i="22" s="1"/>
  <c r="V16" i="1"/>
  <c r="V13" i="1"/>
  <c r="V14" i="1"/>
  <c r="Q20" i="1"/>
  <c r="P20" i="1"/>
  <c r="P18" i="1"/>
  <c r="Q18" i="1"/>
  <c r="E50" i="22" s="1"/>
  <c r="I50" i="22" s="1"/>
  <c r="V8" i="1"/>
  <c r="V6" i="1"/>
  <c r="P15" i="1"/>
  <c r="Q15" i="1"/>
  <c r="E47" i="22" s="1"/>
  <c r="I47" i="22" s="1"/>
  <c r="P10" i="1"/>
  <c r="Q10" i="1"/>
  <c r="E42" i="22" s="1"/>
  <c r="I42" i="22" s="1"/>
  <c r="P19" i="1"/>
  <c r="Q19" i="1"/>
  <c r="E51" i="22" s="1"/>
  <c r="I51" i="22" s="1"/>
  <c r="V3" i="1"/>
  <c r="V7" i="1"/>
  <c r="V4" i="1"/>
  <c r="V17" i="1"/>
  <c r="P9" i="1"/>
  <c r="Q9" i="1"/>
  <c r="E41" i="22" s="1"/>
  <c r="I41" i="22" s="1"/>
  <c r="Q22" i="1"/>
  <c r="E54" i="22" s="1"/>
  <c r="I54" i="22" s="1"/>
  <c r="P22" i="1"/>
  <c r="V12" i="1"/>
  <c r="P21" i="1"/>
  <c r="Q21" i="1"/>
  <c r="E53" i="22" s="1"/>
  <c r="I53" i="22" s="1"/>
  <c r="Q17" i="1"/>
  <c r="E49" i="22" s="1"/>
  <c r="I49" i="22" s="1"/>
  <c r="P17" i="1"/>
  <c r="V5" i="1"/>
  <c r="V9" i="1"/>
  <c r="P13" i="1"/>
  <c r="Q13" i="1"/>
  <c r="E45" i="22" s="1"/>
  <c r="I45" i="22" s="1"/>
  <c r="P8" i="1"/>
  <c r="Q8" i="1"/>
  <c r="E40" i="22" s="1"/>
  <c r="I40" i="22" s="1"/>
  <c r="Q11" i="1"/>
  <c r="E43" i="22" s="1"/>
  <c r="I43" i="22" s="1"/>
  <c r="P11" i="1"/>
  <c r="V10" i="1"/>
  <c r="V15" i="1"/>
  <c r="P16" i="1"/>
  <c r="Q16" i="1"/>
  <c r="P14" i="1"/>
  <c r="Q14" i="1"/>
  <c r="E46" i="22" s="1"/>
  <c r="I46" i="22" s="1"/>
  <c r="E3" i="1"/>
  <c r="B9" i="23" s="1"/>
  <c r="I3" i="1"/>
  <c r="H3" i="1"/>
  <c r="D3" i="1"/>
  <c r="I25" i="1"/>
  <c r="K7" i="1"/>
  <c r="B25" i="1"/>
  <c r="C36" i="23" l="1"/>
  <c r="C33" i="23"/>
  <c r="O7" i="1"/>
  <c r="G10" i="21" s="1"/>
  <c r="C8" i="23"/>
  <c r="B8" i="23"/>
  <c r="C9" i="23"/>
  <c r="D9" i="23" s="1"/>
  <c r="B60" i="21"/>
  <c r="D60" i="21" s="1"/>
  <c r="G41" i="21"/>
  <c r="H41" i="21" s="1"/>
  <c r="B57" i="21"/>
  <c r="D57" i="21" s="1"/>
  <c r="R3" i="1"/>
  <c r="B48" i="21"/>
  <c r="D48" i="21" s="1"/>
  <c r="E29" i="22"/>
  <c r="B56" i="21"/>
  <c r="D56" i="21" s="1"/>
  <c r="H23" i="21"/>
  <c r="E52" i="22"/>
  <c r="I52" i="22" s="1"/>
  <c r="E10" i="21"/>
  <c r="G31" i="21" s="1"/>
  <c r="F39" i="22"/>
  <c r="J39" i="22" s="1"/>
  <c r="H19" i="21"/>
  <c r="E48" i="22"/>
  <c r="I48" i="22" s="1"/>
  <c r="E60" i="22"/>
  <c r="C25" i="22"/>
  <c r="C60" i="22"/>
  <c r="D55" i="22"/>
  <c r="E9" i="22"/>
  <c r="C10" i="22"/>
  <c r="B36" i="23" s="1"/>
  <c r="R20" i="1"/>
  <c r="S20" i="1" s="1"/>
  <c r="D6" i="21"/>
  <c r="F55" i="22" s="1"/>
  <c r="AC8" i="1"/>
  <c r="H16" i="21"/>
  <c r="R12" i="1"/>
  <c r="S12" i="1" s="1"/>
  <c r="H15" i="21"/>
  <c r="AC14" i="1"/>
  <c r="H22" i="21"/>
  <c r="AC13" i="1"/>
  <c r="H21" i="21"/>
  <c r="AC17" i="1"/>
  <c r="H25" i="21"/>
  <c r="G29" i="21"/>
  <c r="H30" i="21" s="1"/>
  <c r="H29" i="21"/>
  <c r="E6" i="21"/>
  <c r="AC4" i="1"/>
  <c r="H12" i="21"/>
  <c r="AC5" i="1"/>
  <c r="H13" i="21"/>
  <c r="H35" i="21"/>
  <c r="G42" i="21"/>
  <c r="H42" i="21" s="1"/>
  <c r="G35" i="21"/>
  <c r="AC6" i="1"/>
  <c r="H14" i="21"/>
  <c r="AC12" i="1"/>
  <c r="H20" i="21"/>
  <c r="AC10" i="1"/>
  <c r="H18" i="21"/>
  <c r="AC9" i="1"/>
  <c r="H17" i="21"/>
  <c r="AC16" i="1"/>
  <c r="H24" i="21"/>
  <c r="R8" i="1"/>
  <c r="S8" i="1" s="1"/>
  <c r="H11" i="21"/>
  <c r="R15" i="1"/>
  <c r="S15" i="1" s="1"/>
  <c r="R14" i="1"/>
  <c r="S14" i="1" s="1"/>
  <c r="R21" i="1"/>
  <c r="S21" i="1" s="1"/>
  <c r="AC15" i="1"/>
  <c r="R10" i="1"/>
  <c r="S10" i="1" s="1"/>
  <c r="R9" i="1"/>
  <c r="S9" i="1" s="1"/>
  <c r="R13" i="1"/>
  <c r="S13" i="1" s="1"/>
  <c r="R18" i="1"/>
  <c r="S18" i="1" s="1"/>
  <c r="Q25" i="1" a="1"/>
  <c r="Q25" i="1" s="1"/>
  <c r="AC7" i="1"/>
  <c r="AC11" i="1"/>
  <c r="R19" i="1"/>
  <c r="S19" i="1" s="1"/>
  <c r="R11" i="1"/>
  <c r="S11" i="1" s="1"/>
  <c r="R17" i="1"/>
  <c r="S17" i="1" s="1"/>
  <c r="AC3" i="1"/>
  <c r="R22" i="1"/>
  <c r="S22" i="1" s="1"/>
  <c r="R16" i="1"/>
  <c r="S16" i="1" s="1"/>
  <c r="V2" i="1"/>
  <c r="Y11" i="1"/>
  <c r="Y3" i="1"/>
  <c r="Y4" i="1"/>
  <c r="Y12" i="1"/>
  <c r="Y10" i="1"/>
  <c r="Y6" i="1"/>
  <c r="Y17" i="1"/>
  <c r="Y8" i="1"/>
  <c r="Y16" i="1"/>
  <c r="Y14" i="1"/>
  <c r="Y5" i="1"/>
  <c r="Y13" i="1"/>
  <c r="Y9" i="1"/>
  <c r="Y7" i="1"/>
  <c r="Y15" i="1"/>
  <c r="G25" i="1"/>
  <c r="Q3" i="1"/>
  <c r="C23" i="23" s="1"/>
  <c r="D23" i="23" s="1"/>
  <c r="P3" i="1"/>
  <c r="G3" i="1"/>
  <c r="B32" i="23" s="1"/>
  <c r="F3" i="1"/>
  <c r="D36" i="23" l="1"/>
  <c r="C15" i="22"/>
  <c r="C35" i="23" s="1"/>
  <c r="C32" i="23"/>
  <c r="D32" i="23" s="1"/>
  <c r="C37" i="23"/>
  <c r="C21" i="23"/>
  <c r="D21" i="23" s="1"/>
  <c r="B33" i="23"/>
  <c r="D33" i="23" s="1"/>
  <c r="Q7" i="1"/>
  <c r="E39" i="22" s="1"/>
  <c r="I39" i="22" s="1"/>
  <c r="P7" i="1"/>
  <c r="D8" i="23"/>
  <c r="G34" i="21"/>
  <c r="H34" i="21" s="1"/>
  <c r="B55" i="21" a="1"/>
  <c r="B55" i="21" s="1"/>
  <c r="D55" i="21" s="1"/>
  <c r="B64" i="21"/>
  <c r="D64" i="21" s="1"/>
  <c r="E25" i="22"/>
  <c r="C66" i="22"/>
  <c r="C67" i="22" s="1"/>
  <c r="E67" i="22" s="1"/>
  <c r="E10" i="22"/>
  <c r="H55" i="22"/>
  <c r="E59" i="22"/>
  <c r="C59" i="22"/>
  <c r="J55" i="22"/>
  <c r="D59" i="22" s="1"/>
  <c r="C29" i="22"/>
  <c r="C30" i="22" a="1"/>
  <c r="C30" i="22" s="1"/>
  <c r="E30" i="22" s="1"/>
  <c r="D29" i="22"/>
  <c r="C19" i="22" a="1"/>
  <c r="C19" i="22" s="1"/>
  <c r="C18" i="22"/>
  <c r="C34" i="23" s="1"/>
  <c r="E55" i="22"/>
  <c r="C24" i="22"/>
  <c r="C28" i="22" s="1"/>
  <c r="E28" i="22" s="1"/>
  <c r="C20" i="22"/>
  <c r="C11" i="22"/>
  <c r="H31" i="21"/>
  <c r="G40" i="21"/>
  <c r="H40" i="21" s="1"/>
  <c r="G39" i="21"/>
  <c r="B47" i="21"/>
  <c r="R25" i="1"/>
  <c r="C24" i="23" s="1"/>
  <c r="D24" i="23" s="1"/>
  <c r="B51" i="21" l="1"/>
  <c r="D51" i="21" s="1"/>
  <c r="S3" i="1"/>
  <c r="C22" i="23" s="1"/>
  <c r="D22" i="23" s="1"/>
  <c r="E15" i="22"/>
  <c r="B49" i="21"/>
  <c r="D49" i="21" s="1"/>
  <c r="B37" i="23"/>
  <c r="D37" i="23" s="1"/>
  <c r="H10" i="21"/>
  <c r="C17" i="22" s="1"/>
  <c r="E17" i="22" s="1"/>
  <c r="AC2" i="1"/>
  <c r="Y2" i="1"/>
  <c r="R7" i="1"/>
  <c r="S7" i="1" s="1"/>
  <c r="M25" i="1" s="1"/>
  <c r="E19" i="22"/>
  <c r="B52" i="21"/>
  <c r="D52" i="21" s="1"/>
  <c r="N3" i="1"/>
  <c r="B50" i="21"/>
  <c r="D50" i="21" s="1"/>
  <c r="E20" i="22"/>
  <c r="B54" i="21"/>
  <c r="D54" i="21" s="1"/>
  <c r="C27" i="22"/>
  <c r="E27" i="22" s="1"/>
  <c r="C26" i="22"/>
  <c r="E26" i="22" s="1"/>
  <c r="E18" i="22"/>
  <c r="C68" i="22"/>
  <c r="E11" i="22"/>
  <c r="I55" i="22"/>
  <c r="E66" i="22"/>
  <c r="D47" i="21"/>
  <c r="H39" i="21"/>
  <c r="G44" i="21"/>
  <c r="H44" i="21" s="1"/>
  <c r="S25" i="1" s="1"/>
  <c r="B35" i="23" l="1"/>
  <c r="D35" i="23" s="1"/>
  <c r="N25" i="1"/>
  <c r="C20" i="23"/>
  <c r="D20" i="23" s="1"/>
  <c r="B34" i="23"/>
  <c r="D34" i="23" s="1"/>
  <c r="O25" i="1"/>
  <c r="C16" i="22"/>
  <c r="E16" i="22" s="1"/>
  <c r="E68" i="22"/>
  <c r="B53" i="21"/>
  <c r="D53" i="21" s="1"/>
  <c r="C28" i="23" l="1"/>
  <c r="B28" i="23"/>
  <c r="A28" i="23"/>
  <c r="D28" i="2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R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S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R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P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Q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R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I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J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K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J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K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J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K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J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K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J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K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J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K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J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K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J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K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J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K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J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K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J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K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J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K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J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K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J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K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J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K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J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K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7" authorId="0" shapeId="0" xr:uid="{87C0F481-8431-4DC2-AE1F-52E5C0625E9C}">
      <text>
        <r>
          <rPr>
            <b/>
            <sz val="9"/>
            <color indexed="81"/>
            <rFont val="Tahoma"/>
            <family val="2"/>
          </rPr>
          <t>ADMIN:</t>
        </r>
        <r>
          <rPr>
            <sz val="9"/>
            <color indexed="81"/>
            <rFont val="Tahoma"/>
            <family val="2"/>
          </rPr>
          <t xml:space="preserve">
Lower P/E = better value = higher rank (ascending)</t>
        </r>
      </text>
    </comment>
    <comment ref="F67" authorId="0" shapeId="0" xr:uid="{6EF5CAE9-5B9D-408D-9186-70DCC4C19BEF}">
      <text>
        <r>
          <rPr>
            <b/>
            <sz val="9"/>
            <color indexed="81"/>
            <rFont val="Tahoma"/>
            <family val="2"/>
          </rPr>
          <t>ADMIN:</t>
        </r>
        <r>
          <rPr>
            <sz val="9"/>
            <color indexed="81"/>
            <rFont val="Tahoma"/>
            <family val="2"/>
          </rPr>
          <t xml:space="preserve">
Lower Beta = lower risk = higher rank (ascending)</t>
        </r>
      </text>
    </comment>
    <comment ref="H67" authorId="0" shapeId="0" xr:uid="{1DC4066F-C81A-43CD-ADC3-3728D0F9D81F}">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38C689E0-F830-42BB-BA23-7E73C6B8AC1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808DD0CB-C158-4241-B5F1-71A9C0FD7F6C}">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C4B1C791-C77D-4206-847C-646EB84BB7D0}">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8"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8"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9"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9"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70"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70"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1"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1"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2"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2"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3"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3"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4"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4"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5"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5"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6"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6"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6"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6"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6"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6"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9"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9"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9" authorId="0" shapeId="0" xr:uid="{67996C81-62DC-45B2-BC9C-A3133C28C657}">
      <text>
        <r>
          <rPr>
            <b/>
            <sz val="9"/>
            <color indexed="81"/>
            <rFont val="Tahoma"/>
            <charset val="1"/>
          </rPr>
          <t>ADMIN:</t>
        </r>
        <r>
          <rPr>
            <sz val="9"/>
            <color indexed="81"/>
            <rFont val="Tahoma"/>
            <charset val="1"/>
          </rPr>
          <t xml:space="preserve">
Lowest P/E = cheapest valuation</t>
        </r>
      </text>
    </comment>
    <comment ref="H79"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9"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ADMIN:</t>
        </r>
        <r>
          <rPr>
            <sz val="9"/>
            <color indexed="81"/>
            <rFont val="Tahoma"/>
            <charset val="1"/>
          </rPr>
          <t xml:space="preserve">
Beta sourced from Excel Linked Data Type. If unavailable, defaults to 1.0 (market beta).</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E3" authorId="0"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1"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2"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3"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4"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5"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6"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7"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8"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9"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0"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1"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2"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3"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4"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5"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38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5"/>
        </ext>
      </extLst>
    </bk>
    <bk>
      <extLst>
        <ext uri="{3e2802c4-a4d2-4d8b-9148-e3be6c30e623}">
          <xlrd:rvb i="3616"/>
        </ext>
      </extLst>
    </bk>
    <bk>
      <extLst>
        <ext uri="{3e2802c4-a4d2-4d8b-9148-e3be6c30e623}">
          <xlrd:rvb i="3617"/>
        </ext>
      </extLst>
    </bk>
    <bk>
      <extLst>
        <ext uri="{3e2802c4-a4d2-4d8b-9148-e3be6c30e623}">
          <xlrd:rvb i="3618"/>
        </ext>
      </extLst>
    </bk>
    <bk>
      <extLst>
        <ext uri="{3e2802c4-a4d2-4d8b-9148-e3be6c30e623}">
          <xlrd:rvb i="3619"/>
        </ext>
      </extLst>
    </bk>
    <bk>
      <extLst>
        <ext uri="{3e2802c4-a4d2-4d8b-9148-e3be6c30e623}">
          <xlrd:rvb i="3620"/>
        </ext>
      </extLst>
    </bk>
    <bk>
      <extLst>
        <ext uri="{3e2802c4-a4d2-4d8b-9148-e3be6c30e623}">
          <xlrd:rvb i="3621"/>
        </ext>
      </extLst>
    </bk>
    <bk>
      <extLst>
        <ext uri="{3e2802c4-a4d2-4d8b-9148-e3be6c30e623}">
          <xlrd:rvb i="3622"/>
        </ext>
      </extLst>
    </bk>
    <bk>
      <extLst>
        <ext uri="{3e2802c4-a4d2-4d8b-9148-e3be6c30e623}">
          <xlrd:rvb i="3623"/>
        </ext>
      </extLst>
    </bk>
    <bk>
      <extLst>
        <ext uri="{3e2802c4-a4d2-4d8b-9148-e3be6c30e623}">
          <xlrd:rvb i="3624"/>
        </ext>
      </extLst>
    </bk>
    <bk>
      <extLst>
        <ext uri="{3e2802c4-a4d2-4d8b-9148-e3be6c30e623}">
          <xlrd:rvb i="3625"/>
        </ext>
      </extLst>
    </bk>
    <bk>
      <extLst>
        <ext uri="{3e2802c4-a4d2-4d8b-9148-e3be6c30e623}">
          <xlrd:rvb i="3626"/>
        </ext>
      </extLst>
    </bk>
    <bk>
      <extLst>
        <ext uri="{3e2802c4-a4d2-4d8b-9148-e3be6c30e623}">
          <xlrd:rvb i="3627"/>
        </ext>
      </extLst>
    </bk>
    <bk>
      <extLst>
        <ext uri="{3e2802c4-a4d2-4d8b-9148-e3be6c30e623}">
          <xlrd:rvb i="3628"/>
        </ext>
      </extLst>
    </bk>
    <bk>
      <extLst>
        <ext uri="{3e2802c4-a4d2-4d8b-9148-e3be6c30e623}">
          <xlrd:rvb i="3629"/>
        </ext>
      </extLst>
    </bk>
    <bk>
      <extLst>
        <ext uri="{3e2802c4-a4d2-4d8b-9148-e3be6c30e623}">
          <xlrd:rvb i="3630"/>
        </ext>
      </extLst>
    </bk>
    <bk>
      <extLst>
        <ext uri="{3e2802c4-a4d2-4d8b-9148-e3be6c30e623}">
          <xlrd:rvb i="3631"/>
        </ext>
      </extLst>
    </bk>
    <bk>
      <extLst>
        <ext uri="{3e2802c4-a4d2-4d8b-9148-e3be6c30e623}">
          <xlrd:rvb i="3632"/>
        </ext>
      </extLst>
    </bk>
    <bk>
      <extLst>
        <ext uri="{3e2802c4-a4d2-4d8b-9148-e3be6c30e623}">
          <xlrd:rvb i="3633"/>
        </ext>
      </extLst>
    </bk>
    <bk>
      <extLst>
        <ext uri="{3e2802c4-a4d2-4d8b-9148-e3be6c30e623}">
          <xlrd:rvb i="3634"/>
        </ext>
      </extLst>
    </bk>
    <bk>
      <extLst>
        <ext uri="{3e2802c4-a4d2-4d8b-9148-e3be6c30e623}">
          <xlrd:rvb i="3635"/>
        </ext>
      </extLst>
    </bk>
    <bk>
      <extLst>
        <ext uri="{3e2802c4-a4d2-4d8b-9148-e3be6c30e623}">
          <xlrd:rvb i="3636"/>
        </ext>
      </extLst>
    </bk>
    <bk>
      <extLst>
        <ext uri="{3e2802c4-a4d2-4d8b-9148-e3be6c30e623}">
          <xlrd:rvb i="3637"/>
        </ext>
      </extLst>
    </bk>
    <bk>
      <extLst>
        <ext uri="{3e2802c4-a4d2-4d8b-9148-e3be6c30e623}">
          <xlrd:rvb i="3638"/>
        </ext>
      </extLst>
    </bk>
    <bk>
      <extLst>
        <ext uri="{3e2802c4-a4d2-4d8b-9148-e3be6c30e623}">
          <xlrd:rvb i="3639"/>
        </ext>
      </extLst>
    </bk>
    <bk>
      <extLst>
        <ext uri="{3e2802c4-a4d2-4d8b-9148-e3be6c30e623}">
          <xlrd:rvb i="3640"/>
        </ext>
      </extLst>
    </bk>
    <bk>
      <extLst>
        <ext uri="{3e2802c4-a4d2-4d8b-9148-e3be6c30e623}">
          <xlrd:rvb i="3641"/>
        </ext>
      </extLst>
    </bk>
    <bk>
      <extLst>
        <ext uri="{3e2802c4-a4d2-4d8b-9148-e3be6c30e623}">
          <xlrd:rvb i="3642"/>
        </ext>
      </extLst>
    </bk>
    <bk>
      <extLst>
        <ext uri="{3e2802c4-a4d2-4d8b-9148-e3be6c30e623}">
          <xlrd:rvb i="3643"/>
        </ext>
      </extLst>
    </bk>
    <bk>
      <extLst>
        <ext uri="{3e2802c4-a4d2-4d8b-9148-e3be6c30e623}">
          <xlrd:rvb i="3644"/>
        </ext>
      </extLst>
    </bk>
    <bk>
      <extLst>
        <ext uri="{3e2802c4-a4d2-4d8b-9148-e3be6c30e623}">
          <xlrd:rvb i="3645"/>
        </ext>
      </extLst>
    </bk>
    <bk>
      <extLst>
        <ext uri="{3e2802c4-a4d2-4d8b-9148-e3be6c30e623}">
          <xlrd:rvb i="3646"/>
        </ext>
      </extLst>
    </bk>
    <bk>
      <extLst>
        <ext uri="{3e2802c4-a4d2-4d8b-9148-e3be6c30e623}">
          <xlrd:rvb i="3647"/>
        </ext>
      </extLst>
    </bk>
    <bk>
      <extLst>
        <ext uri="{3e2802c4-a4d2-4d8b-9148-e3be6c30e623}">
          <xlrd:rvb i="3648"/>
        </ext>
      </extLst>
    </bk>
    <bk>
      <extLst>
        <ext uri="{3e2802c4-a4d2-4d8b-9148-e3be6c30e623}">
          <xlrd:rvb i="3649"/>
        </ext>
      </extLst>
    </bk>
    <bk>
      <extLst>
        <ext uri="{3e2802c4-a4d2-4d8b-9148-e3be6c30e623}">
          <xlrd:rvb i="3650"/>
        </ext>
      </extLst>
    </bk>
    <bk>
      <extLst>
        <ext uri="{3e2802c4-a4d2-4d8b-9148-e3be6c30e623}">
          <xlrd:rvb i="3651"/>
        </ext>
      </extLst>
    </bk>
    <bk>
      <extLst>
        <ext uri="{3e2802c4-a4d2-4d8b-9148-e3be6c30e623}">
          <xlrd:rvb i="3652"/>
        </ext>
      </extLst>
    </bk>
    <bk>
      <extLst>
        <ext uri="{3e2802c4-a4d2-4d8b-9148-e3be6c30e623}">
          <xlrd:rvb i="3653"/>
        </ext>
      </extLst>
    </bk>
    <bk>
      <extLst>
        <ext uri="{3e2802c4-a4d2-4d8b-9148-e3be6c30e623}">
          <xlrd:rvb i="3654"/>
        </ext>
      </extLst>
    </bk>
    <bk>
      <extLst>
        <ext uri="{3e2802c4-a4d2-4d8b-9148-e3be6c30e623}">
          <xlrd:rvb i="3655"/>
        </ext>
      </extLst>
    </bk>
    <bk>
      <extLst>
        <ext uri="{3e2802c4-a4d2-4d8b-9148-e3be6c30e623}">
          <xlrd:rvb i="3656"/>
        </ext>
      </extLst>
    </bk>
    <bk>
      <extLst>
        <ext uri="{3e2802c4-a4d2-4d8b-9148-e3be6c30e623}">
          <xlrd:rvb i="3657"/>
        </ext>
      </extLst>
    </bk>
    <bk>
      <extLst>
        <ext uri="{3e2802c4-a4d2-4d8b-9148-e3be6c30e623}">
          <xlrd:rvb i="3658"/>
        </ext>
      </extLst>
    </bk>
    <bk>
      <extLst>
        <ext uri="{3e2802c4-a4d2-4d8b-9148-e3be6c30e623}">
          <xlrd:rvb i="3659"/>
        </ext>
      </extLst>
    </bk>
    <bk>
      <extLst>
        <ext uri="{3e2802c4-a4d2-4d8b-9148-e3be6c30e623}">
          <xlrd:rvb i="3660"/>
        </ext>
      </extLst>
    </bk>
    <bk>
      <extLst>
        <ext uri="{3e2802c4-a4d2-4d8b-9148-e3be6c30e623}">
          <xlrd:rvb i="3661"/>
        </ext>
      </extLst>
    </bk>
    <bk>
      <extLst>
        <ext uri="{3e2802c4-a4d2-4d8b-9148-e3be6c30e623}">
          <xlrd:rvb i="3662"/>
        </ext>
      </extLst>
    </bk>
    <bk>
      <extLst>
        <ext uri="{3e2802c4-a4d2-4d8b-9148-e3be6c30e623}">
          <xlrd:rvb i="3663"/>
        </ext>
      </extLst>
    </bk>
    <bk>
      <extLst>
        <ext uri="{3e2802c4-a4d2-4d8b-9148-e3be6c30e623}">
          <xlrd:rvb i="3664"/>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futureMetadata>
  <futureMetadata name="XLDAPR" count="1">
    <bk>
      <extLst>
        <ext uri="{bdbb8cdc-fa1e-496e-a857-3c3f30c029c3}">
          <xda:dynamicArrayProperties fDynamic="1" fCollapsed="0"/>
        </ext>
      </extLst>
    </bk>
  </futureMetadata>
  <cellMetadata count="1">
    <bk>
      <rc t="2" v="0"/>
    </bk>
  </cellMetadata>
  <valueMetadata count="638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valueMetadata>
</metadata>
</file>

<file path=xl/sharedStrings.xml><?xml version="1.0" encoding="utf-8"?>
<sst xmlns="http://schemas.openxmlformats.org/spreadsheetml/2006/main" count="673" uniqueCount="413">
  <si>
    <t>Stock(Exchange: Ticker)</t>
  </si>
  <si>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</si>
  <si>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</si>
  <si>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</si>
  <si>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</si>
  <si>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</si>
  <si>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</si>
  <si>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</si>
  <si>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</si>
  <si>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</si>
  <si>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</si>
  <si>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</si>
  <si>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</si>
  <si>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</si>
  <si>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</si>
  <si>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</si>
  <si>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</si>
  <si>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</si>
  <si>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</si>
  <si>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</si>
  <si>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</si>
  <si>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</si>
  <si>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</si>
  <si>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</si>
  <si>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</si>
  <si>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</si>
  <si>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</si>
  <si>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</si>
  <si>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</si>
  <si>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</si>
  <si>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</si>
  <si>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</si>
  <si>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</si>
  <si>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</si>
  <si>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</si>
  <si>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</si>
  <si>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</si>
  <si>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</si>
  <si>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</si>
  <si>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</si>
  <si>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</si>
  <si>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</si>
  <si>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</si>
  <si>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</si>
  <si>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</si>
  <si>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Total Return %</t>
  </si>
  <si>
    <t>CAGR (7yr)</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</si>
  <si>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</si>
  <si>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</si>
  <si>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</si>
  <si>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</si>
  <si>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</si>
  <si>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</si>
  <si>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</si>
  <si>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</si>
  <si>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</si>
  <si>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</si>
  <si>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</si>
  <si>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</si>
  <si>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</si>
  <si>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</si>
  <si>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</si>
  <si>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</si>
  <si>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</si>
  <si>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</si>
  <si>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</si>
  <si>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</si>
  <si>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</si>
  <si>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</si>
  <si>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</si>
  <si>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</si>
  <si>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STOCK PORTFOLIO TRACKER &amp; ANALYTICS ENGINE</t>
  </si>
  <si>
    <t>A comprehensive Excel-based financial analytics platform for multi-asset portfolio management</t>
  </si>
  <si>
    <t>🎯 PROJECT OVERVIEW</t>
  </si>
  <si>
    <t>Objective</t>
  </si>
  <si>
    <t>Build a real-world stock portfolio tracking system with advanced analytics, risk metrics, and sector diversification analysis — designed to demonstrate proficiency in financial modelling, data transformation, and dashboard design.</t>
  </si>
  <si>
    <t>Scope</t>
  </si>
  <si>
    <t>16 stocks across 10 GICS industries, tracked over 7 years (2019-2025) with Buy/Sell transactions, live market data integration via Excel Stocks data type, and automated P&amp;L calculations.</t>
  </si>
  <si>
    <t>Investment Strategy</t>
  </si>
  <si>
    <t>Data Sources</t>
  </si>
  <si>
    <t>Excel Linked Data Types (Stocks), STOCKHISTORY function for price series, historical closing prices from Nasdaq/Yahoo Finance for transaction pricing.</t>
  </si>
  <si>
    <t>Sheet Name</t>
  </si>
  <si>
    <t>Dashboard</t>
  </si>
  <si>
    <t>Analytics</t>
  </si>
  <si>
    <t>Ledger</t>
  </si>
  <si>
    <t>Watchlist</t>
  </si>
  <si>
    <t>Sparkline</t>
  </si>
  <si>
    <t>Technique</t>
  </si>
  <si>
    <t>Implementation</t>
  </si>
  <si>
    <t>Dynamic Arrays</t>
  </si>
  <si>
    <t>Linked Data Types</t>
  </si>
  <si>
    <t>WORKBOOK STRUCTURE</t>
  </si>
  <si>
    <t>Main portfolio view with live stock prices, market values, daily P&amp;L, unrealised gains/losses, sparkline charts, and KPI summary cards.</t>
  </si>
  <si>
    <t>Advanced metrics: per-stock returns, CAGR, sector concentration (HHI Index), risk assessment, allocation charts.</t>
  </si>
  <si>
    <t>Transaction history: 112 records, 16 stocks, 7 years. Date, Stock, Type, Price, Units, Transaction Amount.</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</si>
  <si>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</si>
  <si>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</si>
  <si>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</si>
  <si>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</si>
  <si>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</si>
  <si>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CAGR Formula</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</si>
  <si>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</si>
  <si>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</si>
  <si>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</si>
  <si>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</si>
  <si>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</si>
  <si>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</si>
  <si>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</si>
  <si>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</si>
  <si>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Annualised return: (Ending Value / Beginning Value) ^ (1 / Years) - 1</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</si>
  <si>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</si>
  <si>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</si>
  <si>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</si>
  <si>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</si>
  <si>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</si>
  <si>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</si>
  <si>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</si>
  <si>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</si>
  <si>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</si>
  <si>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Portfolio construction, P&amp;L tracking, CAGR analysis, risk-adjusted metrics, sector allocation</t>
  </si>
  <si>
    <t>Data Engineering</t>
  </si>
  <si>
    <t>Dynamic arrays, linked data types, structured references, cross-sheet data pipelines</t>
  </si>
  <si>
    <t>Risk Analysis</t>
  </si>
  <si>
    <t>HHI concentration index, drawdown analysis, position sizing, diversification metrics</t>
  </si>
  <si>
    <t>Dashboard Design</t>
  </si>
  <si>
    <t>KPI cards, conditional formatting, sparklines, interactive charts, professional color themes</t>
  </si>
  <si>
    <t>Data Visualisation</t>
  </si>
  <si>
    <t>Pie charts, bar charts, sparklines, color-coded tables, trend analysis</t>
  </si>
  <si>
    <t>Domain Knowledge</t>
  </si>
  <si>
    <t>GICS sector classification, stock market mechanics, Buy/Sell transaction modelling</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</si>
  <si>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</si>
  <si>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</si>
  <si>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</si>
  <si>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</si>
  <si>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</si>
  <si>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</si>
  <si>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</si>
  <si>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</si>
  <si>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</si>
  <si>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</si>
  <si>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</si>
  <si>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Built with Microsoft Excel 365 | Dynamic Arrays | Stocks Data Type | Advanced Formulas</t>
  </si>
  <si>
    <t>PORTFOLIO VALUE</t>
  </si>
  <si>
    <t>UNREALISED P&amp;L</t>
  </si>
  <si>
    <t>TOTAL RETURN</t>
  </si>
  <si>
    <t>CAGR (7YR)</t>
  </si>
  <si>
    <t>WORST STOCK</t>
  </si>
  <si>
    <t>COST BASIS</t>
  </si>
  <si>
    <t>TOP HOLDING</t>
  </si>
  <si>
    <t>TOP 3 CONC.</t>
  </si>
  <si>
    <t>AVG RETURN</t>
  </si>
  <si>
    <t>PROFITABLE</t>
  </si>
  <si>
    <t>HHI INDEX</t>
  </si>
  <si>
    <t>BEST STOCK</t>
  </si>
  <si>
    <t>SECTOR ALLOCATION</t>
  </si>
  <si>
    <t>HHI Contrib.</t>
  </si>
  <si>
    <t>CURRENT HOLDINGS  ·  16 STOCKS  ·  10 INDUSTRIES</t>
  </si>
  <si>
    <t xml:space="preserve"> </t>
  </si>
  <si>
    <t>$10,000 annual investment allocated with 35% Technology, 20% Finance, 45% Other sectors. 70/30 Buy/Sell split per stock with systematic rebalancing.</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</si>
  <si>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</si>
  <si>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</si>
  <si>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</si>
  <si>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</si>
  <si>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</si>
  <si>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</si>
  <si>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</si>
  <si>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</si>
  <si>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</si>
  <si>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</si>
  <si>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</si>
  <si>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WATCHLIST STOCKS  ·  LIVE MARKET DATA  ·  52-WEEK ANALYSIS</t>
  </si>
  <si>
    <t>Change ($)</t>
  </si>
  <si>
    <t>P/E Ratio</t>
  </si>
  <si>
    <t>Market Cap</t>
  </si>
  <si>
    <t>52W High</t>
  </si>
  <si>
    <t>52W Low</t>
  </si>
  <si>
    <t>52W Range %</t>
  </si>
  <si>
    <t>VISUALIZATIONS</t>
  </si>
  <si>
    <t>52-WEEK RANGE ANALYSIS</t>
  </si>
  <si>
    <t>DAILY P&amp;L</t>
  </si>
  <si>
    <t>WIN RATE</t>
  </si>
  <si>
    <t>MAX DRAWDOWN</t>
  </si>
  <si>
    <t>FINANCIAL METRICS  ·  PER-STOCK ANALYTICS  ·  RISK ASSESSMENT</t>
  </si>
  <si>
    <t>Price/Cost</t>
  </si>
  <si>
    <t>Risk Score</t>
  </si>
  <si>
    <t>Signal</t>
  </si>
  <si>
    <t>Gain/Loss</t>
  </si>
  <si>
    <t>Weight</t>
  </si>
  <si>
    <t>ADVANCED PORTFOLIO ANALYTICS</t>
  </si>
  <si>
    <t>Institutional-Grade Risk &amp; Return Decomposition</t>
  </si>
  <si>
    <t>RETURN ATTRIBUTION &amp; RISK DECOMPOSITION</t>
  </si>
  <si>
    <t>Benchmark</t>
  </si>
  <si>
    <t>Assessment</t>
  </si>
  <si>
    <t>Portfolio CAGR (7yr)</t>
  </si>
  <si>
    <t>CAGR / Max Loss</t>
  </si>
  <si>
    <t>Win/Loss Ratio</t>
  </si>
  <si>
    <t>Avg Win / Avg Loss</t>
  </si>
  <si>
    <t>Profit Factor</t>
  </si>
  <si>
    <t>Profit / Loss</t>
  </si>
  <si>
    <t>PORTFOLIO CONSTRUCTION ANALYSIS</t>
  </si>
  <si>
    <t>Optimal Range</t>
  </si>
  <si>
    <t>Effective Diversification (1/HHI)</t>
  </si>
  <si>
    <t>10-20 ideal</t>
  </si>
  <si>
    <t>Position Size Spread (Max/Min)</t>
  </si>
  <si>
    <t>Top Sector Weight</t>
  </si>
  <si>
    <t>Weighted Avg Return</t>
  </si>
  <si>
    <t>PORTFOLIO HEALTH SCORECARD</t>
  </si>
  <si>
    <t>Score</t>
  </si>
  <si>
    <t>Grade</t>
  </si>
  <si>
    <t>Return Performance</t>
  </si>
  <si>
    <t>Risk Management</t>
  </si>
  <si>
    <t>Diversification</t>
  </si>
  <si>
    <t>Win Rate</t>
  </si>
  <si>
    <t>Sector Breadth</t>
  </si>
  <si>
    <t>OVERALL PORTFOLIO GRADE</t>
  </si>
  <si>
    <t>▲ STRONG</t>
  </si>
  <si>
    <t>▶ HOLD</t>
  </si>
  <si>
    <t>▼ REVIEW</t>
  </si>
  <si>
    <t>PROFIT FACTOR</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</si>
  <si>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</si>
  <si>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</si>
  <si>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</si>
  <si>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</si>
  <si>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</si>
  <si>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</si>
  <si>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</si>
  <si>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</si>
  <si>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</si>
  <si>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</si>
  <si>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</si>
  <si>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</si>
  <si>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</si>
  <si>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</si>
  <si>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</si>
  <si>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</si>
  <si>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</si>
  <si>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</si>
  <si>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</si>
  <si>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</si>
  <si>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</si>
  <si>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</si>
  <si>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</si>
  <si>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</si>
  <si>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</si>
  <si>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</si>
  <si>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</si>
  <si>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</si>
  <si>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CFA-Level Quantitative Risk &amp; Return Decomposition</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</si>
  <si>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</si>
  <si>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</si>
  <si>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</si>
  <si>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</si>
  <si>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</si>
  <si>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</si>
  <si>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</si>
  <si>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</si>
  <si>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</si>
  <si>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</si>
  <si>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</si>
  <si>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</si>
  <si>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</si>
  <si>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</si>
  <si>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</si>
  <si>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</si>
  <si>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</si>
  <si>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</si>
  <si>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</si>
  <si>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Information Ratio = α / Tracking Error</t>
  </si>
  <si>
    <t>&gt; 0.5 Good, &gt; 1.0 Elite</t>
  </si>
  <si>
    <t>Tracking Error (σε) — Active Risk</t>
  </si>
  <si>
    <t>&lt; 2% Passive, &gt; 5% Active</t>
  </si>
  <si>
    <t>Sharpe Ratio = (Rp − Rf) / σp</t>
  </si>
  <si>
    <t>&gt; 1.0 Good, &gt; 2.0 Elite</t>
  </si>
  <si>
    <t>Sortino Ratio = (Rp − Rf) / Downside σ</t>
  </si>
  <si>
    <t>&gt; 2.0 Good, &gt; 3.0 Elite</t>
  </si>
  <si>
    <t>Calmar Ratio = CAGR / Max Drawdown</t>
  </si>
  <si>
    <t>&gt; 1.0 Good, &gt; 3.0 Elite</t>
  </si>
  <si>
    <t>VALUE AT RISK (VaR) &amp; TAIL RISK</t>
  </si>
  <si>
    <t>Interpretation</t>
  </si>
  <si>
    <t>Portfolio Mean Return (Annualised)</t>
  </si>
  <si>
    <t>Geometric mean</t>
  </si>
  <si>
    <t>Parametric VaR (95%, 1-Year)</t>
  </si>
  <si>
    <t>95% confidence</t>
  </si>
  <si>
    <t>Parametric VaR (99%, 1-Year)</t>
  </si>
  <si>
    <t>99% confidence</t>
  </si>
  <si>
    <t>Expected Shortfall (CVaR 95%)</t>
  </si>
  <si>
    <t>Avg loss beyond VaR</t>
  </si>
  <si>
    <t>Max Individual Position Loss</t>
  </si>
  <si>
    <t>Downside Deviation (Semi-σ)</t>
  </si>
  <si>
    <t>Negative returns only</t>
  </si>
  <si>
    <t>PORTFOLIO CONSTRUCTION &amp; DIVERSIFICATION</t>
  </si>
  <si>
    <t>Effective # Positions (1/HHI)</t>
  </si>
  <si>
    <t>10–20 ideal</t>
  </si>
  <si>
    <t>Largest / Smallest Position Ratio</t>
  </si>
  <si>
    <t>&lt; 5x balanced</t>
  </si>
  <si>
    <t>INDIVIDUAL STOCK RISK DECOMPOSITION</t>
  </si>
  <si>
    <t>Beta (βi)</t>
  </si>
  <si>
    <t>CAGR</t>
  </si>
  <si>
    <t>Risk Contrib.</t>
  </si>
  <si>
    <t>CAPM E(Ri)</t>
  </si>
  <si>
    <t>Stock αi</t>
  </si>
  <si>
    <t>Style</t>
  </si>
  <si>
    <t>PORTFOLIO TOTAL</t>
  </si>
  <si>
    <t>STYLE FACTOR EXPOSURE</t>
  </si>
  <si>
    <t>Factor</t>
  </si>
  <si>
    <t>Exposure</t>
  </si>
  <si>
    <t>Detail</t>
  </si>
  <si>
    <t>Growth vs Value Tilt</t>
  </si>
  <si>
    <t>Size Factor (Weighted Avg β)</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</si>
  <si>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</si>
  <si>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</si>
  <si>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</si>
  <si>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</si>
  <si>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</si>
  <si>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</si>
  <si>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</si>
  <si>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</si>
  <si>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</si>
  <si>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</si>
  <si>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</si>
  <si>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</si>
  <si>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</si>
  <si>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βp × σm (est.)</t>
  </si>
  <si>
    <t>Est. Portfolio Volatility (βp × σm)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</si>
  <si>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</si>
  <si>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</si>
  <si>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</si>
  <si>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</si>
  <si>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</si>
  <si>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</si>
  <si>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</si>
  <si>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</si>
  <si>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</si>
  <si>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</si>
  <si>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</si>
  <si>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</si>
  <si>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</si>
  <si>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</si>
  <si>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</si>
  <si>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Automated integrity checks · CFA-grade audit framework · Real-time validation</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</si>
  <si>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</si>
  <si>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</si>
  <si>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</si>
  <si>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</si>
  <si>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</si>
  <si>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</si>
  <si>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</si>
  <si>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</si>
  <si>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</si>
  <si>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</si>
  <si>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</si>
  <si>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</si>
  <si>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</si>
  <si>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</si>
  <si>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</si>
  <si>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</si>
  <si>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</si>
  <si>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</si>
  <si>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</si>
  <si>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</si>
  <si>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</si>
  <si>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</si>
  <si>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</si>
  <si>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</si>
  <si>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</si>
  <si>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</si>
  <si>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</si>
  <si>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</si>
  <si>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</si>
  <si>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CFA Framework</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</si>
  <si>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</si>
  <si>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</si>
  <si>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</si>
  <si>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</si>
  <si>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</si>
  <si>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</si>
  <si>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</si>
  <si>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</si>
  <si>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</si>
  <si>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Max Drawdown ≤ 0</t>
  </si>
  <si>
    <t>≤ 0%</t>
  </si>
  <si>
    <t>Max drawdown must be negative or zero (worst single-stock return)</t>
  </si>
  <si>
    <t>Calmar Ratio positive (if CAGR positive)</t>
  </si>
  <si>
    <t>&gt; 0</t>
  </si>
  <si>
    <t>Calmar = CAGR/|Max DD|; positive when portfolio has positive CAGR</t>
  </si>
  <si>
    <t>SUMMARY</t>
  </si>
  <si>
    <t>Tests Passed</t>
  </si>
  <si>
    <t>Tests Failed</t>
  </si>
  <si>
    <t>Tests Warning</t>
  </si>
  <si>
    <t>Overall Score</t>
  </si>
  <si>
    <t>Risk Analytics</t>
  </si>
  <si>
    <t>CAPM analysis, VaR (parametric/historical/Monte Carlo), factor exposures, portfolio beta decomposition, CML positioning, individual stock risk attribution.</t>
  </si>
  <si>
    <t>WL Dashboard</t>
  </si>
  <si>
    <t>Watchlist scoring model: multi-factor evaluation (P/E, Beta, 52-week range, margin of safety) with composite rankings and entry-point signals.</t>
  </si>
  <si>
    <t>Validation</t>
  </si>
  <si>
    <t>Automated CFA-grade integrity tests: weight summation, P&amp;L identity, HHI consistency, risk metric reasonableness checks. 16 tests, real-time pass/fail.</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</si>
  <si>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</si>
  <si>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</si>
  <si>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</si>
  <si>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</si>
  <si>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</si>
  <si>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</si>
  <si>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</si>
  <si>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</si>
  <si>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</si>
  <si>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</si>
  <si>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</si>
  <si>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</si>
  <si>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</si>
  <si>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Jensen's α = Rp - E(Rp)</t>
  </si>
  <si>
    <t>Alpha = Actual CAGR minus CAPM expected return</t>
  </si>
  <si>
    <t>Risk decomp weights sum to 100%</t>
  </si>
  <si>
    <t>Stock weights in risk decomposition table must sum to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</si>
</sst>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_([$$-409]* #,##0.00_);_([$$-409]* \(#,##0.00\);_([$$-409]* &quot;-&quot;??_);_(@_)"/>
    <numFmt numFmtId="165" formatCode="[$$-409]#,##0.00"/>
    <numFmt numFmtId="166" formatCode="[$$-409]#,##0.00_ ;[Red]\-[$$-409]#,##0.00\ "/>
    <numFmt numFmtId="167" formatCode="0.00%;[Red]\-0.00%"/>
    <numFmt numFmtId="168" formatCode="0.0%"/>
    <numFmt numFmtId="169" formatCode="[$$-409]#,##0"/>
    <numFmt numFmtId="172" formatCode="0.0\x"/>
    <numFmt numFmtId="174" formatCode="0.0"/>
    <numFmt numFmtId="184" formatCode="0.0&quot;x&quot;"/>
    <numFmt numFmtId="186" formatCode="mm/dd/yyyy"/>
    <numFmt numFmtId="190" formatCode="0.000"/>
    <numFmt numFmtId="199" formatCode="0.00&quot;x&quot;"/>
    <numFmt numFmtId="207" formatCode="\+0.0%;\-0.0%;&quot;-&quot;"/>
    <numFmt numFmtId="208" formatCode="[$$ -409]#,##0"/>
    <numFmt numFmtId="209" formatCode="[$$ -409]#,##0;\([$$ -409]#,##0\);&quot;-&quot;"/>
    <numFmt numFmtId="210" formatCode="[$$ -409]#,##0.00;\([$$ -409]#,##0.00\);&quot;-&quot;"/>
    <numFmt numFmtId="211" formatCode="[$$ -409]#,##0.00"/>
    <numFmt numFmtId="212" formatCode="[$$ -409]#,##0.0,,,&quot;T&quot;"/>
    <numFmt numFmtId="213" formatCode="[$$ -409]#,##0,,&quot;B&quot;"/>
    <numFmt numFmtId="215" formatCode="[$$ -409]#,##0,,,&quot;T&quot;"/>
    <numFmt numFmtId="216" formatCode="\+0.00%;\-0.00%;&quot;-&quot;"/>
    <numFmt numFmtId="217" formatCode="0.00%;\-0.00%"/>
  </numFmts>
  <fonts count="81"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i/>
      <sz val="9"/>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11"/>
      <color rgb="FF38BDF8"/>
      <name val="Calibri"/>
    </font>
    <font>
      <b/>
      <sz val="9"/>
      <color rgb="FFFFFFFF"/>
      <name val="Calibri"/>
    </font>
    <font>
      <sz val="11"/>
      <color rgb="FFFFFFFF"/>
      <name val="Calibri"/>
    </font>
    <font>
      <b/>
      <i/>
      <sz val="10"/>
      <color rgb="FFFFFFFF"/>
      <name val="Calibri"/>
    </font>
    <font>
      <b/>
      <i/>
      <sz val="14"/>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11"/>
      <color rgb="FFFBBF24"/>
      <name val="Calibri"/>
      <family val="2"/>
    </font>
    <font>
      <b/>
      <sz val="11"/>
      <color rgb="FF4ADE80"/>
      <name val="Calibri"/>
      <family val="2"/>
    </font>
    <font>
      <sz val="11"/>
      <color rgb="FF4ADE80"/>
      <name val="Calibri"/>
      <family val="2"/>
    </font>
    <font>
      <b/>
      <sz val="9"/>
      <color rgb="FFFFFFFF"/>
      <name val="Calibri"/>
      <family val="2"/>
    </font>
    <font>
      <b/>
      <sz val="9"/>
      <color rgb="FF94A3B8"/>
      <name val="Calibri"/>
      <family val="2"/>
    </font>
    <font>
      <b/>
      <sz val="16"/>
      <color rgb="FFFFFFFF"/>
      <name val="Calibri"/>
      <family val="2"/>
    </font>
    <font>
      <b/>
      <sz val="16"/>
      <color rgb="FF4ADE80"/>
      <name val="Calibri"/>
      <family val="2"/>
    </font>
    <font>
      <b/>
      <sz val="16"/>
      <color rgb="FFFBBF24"/>
      <name val="Calibri"/>
      <family val="2"/>
    </font>
    <font>
      <b/>
      <sz val="10"/>
      <color rgb="FFFFFFFF"/>
      <name val="Calibri"/>
      <family val="2"/>
    </font>
    <font>
      <b/>
      <i/>
      <sz val="9"/>
      <color rgb="FF94A3B8"/>
      <name val="Calibri"/>
      <family val="2"/>
    </font>
    <font>
      <sz val="11"/>
      <color rgb="FFE2E8F0"/>
      <name val="Calibri"/>
      <family val="2"/>
    </font>
    <font>
      <sz val="10"/>
      <color rgb="FFE2E8F0"/>
      <name val="Calibri"/>
      <family val="2"/>
    </font>
    <font>
      <i/>
      <sz val="11"/>
      <color rgb="FFE2E8F0"/>
      <name val="Calibri"/>
      <family val="2"/>
    </font>
    <font>
      <b/>
      <sz val="11"/>
      <color rgb="FFFFFFFF"/>
      <name val="Calibri"/>
      <family val="2"/>
    </font>
    <font>
      <b/>
      <sz val="16"/>
      <color rgb="FFF87171"/>
      <name val="Calibri"/>
      <family val="2"/>
    </font>
    <font>
      <b/>
      <sz val="11"/>
      <color rgb="FF38BDF8"/>
      <name val="Calibri"/>
      <family val="2"/>
    </font>
    <font>
      <sz val="11"/>
      <color rgb="FFFBBF24"/>
      <name val="Calibri"/>
      <family val="2"/>
    </font>
    <font>
      <b/>
      <sz val="11"/>
      <color rgb="FF93C5FD"/>
      <name val="Calibri"/>
      <family val="2"/>
    </font>
    <font>
      <sz val="11"/>
      <color rgb="FF94A3B8"/>
      <name val="Calibri"/>
      <family val="2"/>
    </font>
    <font>
      <sz val="11"/>
      <color rgb="FFF87171"/>
      <name val="Calibri"/>
      <family val="2"/>
    </font>
    <font>
      <b/>
      <sz val="11"/>
      <color rgb="FFF87171"/>
      <name val="Calibri"/>
      <family val="2"/>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style="thin">
        <color rgb="FFD9D9D9"/>
      </left>
      <right/>
      <top style="medium">
        <color rgb="FF38BDF8"/>
      </top>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s>
  <cellStyleXfs count="1">
    <xf numFmtId="0" fontId="0" fillId="0" borderId="0"/>
  </cellStyleXfs>
  <cellXfs count="500">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7" fillId="0" borderId="0" xfId="0" applyFont="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5" fillId="6" borderId="0" xfId="0" applyFont="1" applyFill="1"/>
    <xf numFmtId="0" fontId="19" fillId="6" borderId="0" xfId="0" applyFont="1" applyFill="1"/>
    <xf numFmtId="190" fontId="19" fillId="6" borderId="0" xfId="0" applyNumberFormat="1" applyFont="1" applyFill="1" applyAlignment="1">
      <alignment horizontal="center"/>
    </xf>
    <xf numFmtId="0" fontId="32" fillId="5" borderId="0" xfId="0" applyFont="1" applyFill="1"/>
    <xf numFmtId="186" fontId="30" fillId="5" borderId="13" xfId="0" applyNumberFormat="1" applyFont="1" applyFill="1" applyBorder="1"/>
    <xf numFmtId="0" fontId="30" fillId="5" borderId="14" xfId="0" applyFont="1" applyFill="1" applyBorder="1"/>
    <xf numFmtId="4" fontId="30" fillId="5" borderId="14" xfId="0" applyNumberFormat="1" applyFont="1" applyFill="1" applyBorder="1"/>
    <xf numFmtId="49" fontId="30" fillId="5" borderId="15" xfId="0" applyNumberFormat="1" applyFont="1" applyFill="1" applyBorder="1"/>
    <xf numFmtId="186" fontId="30" fillId="5" borderId="16" xfId="0" applyNumberFormat="1" applyFont="1" applyFill="1" applyBorder="1"/>
    <xf numFmtId="0" fontId="30" fillId="5" borderId="17" xfId="0" applyFont="1" applyFill="1" applyBorder="1"/>
    <xf numFmtId="4" fontId="30" fillId="5" borderId="17" xfId="0" applyNumberFormat="1" applyFont="1" applyFill="1" applyBorder="1"/>
    <xf numFmtId="49" fontId="30" fillId="5" borderId="18" xfId="0" applyNumberFormat="1" applyFont="1" applyFill="1" applyBorder="1"/>
    <xf numFmtId="0" fontId="30" fillId="5" borderId="0" xfId="0" applyFont="1" applyFill="1"/>
    <xf numFmtId="168" fontId="30" fillId="5" borderId="0" xfId="0" applyNumberFormat="1" applyFont="1" applyFill="1" applyAlignment="1">
      <alignment horizontal="center"/>
    </xf>
    <xf numFmtId="190" fontId="30" fillId="5" borderId="0" xfId="0" applyNumberFormat="1" applyFont="1" applyFill="1" applyAlignment="1">
      <alignment horizontal="center"/>
    </xf>
    <xf numFmtId="169" fontId="30" fillId="5" borderId="0" xfId="0" applyNumberFormat="1" applyFont="1" applyFill="1" applyAlignment="1">
      <alignment horizontal="center"/>
    </xf>
    <xf numFmtId="168" fontId="30" fillId="5" borderId="5" xfId="0" applyNumberFormat="1" applyFont="1" applyFill="1" applyBorder="1" applyAlignment="1">
      <alignment horizontal="center"/>
    </xf>
    <xf numFmtId="190" fontId="30" fillId="5" borderId="5" xfId="0" applyNumberFormat="1" applyFont="1" applyFill="1" applyBorder="1" applyAlignment="1">
      <alignment horizontal="center"/>
    </xf>
    <xf numFmtId="0" fontId="30" fillId="5" borderId="0" xfId="0" applyFont="1" applyFill="1" applyAlignment="1">
      <alignment horizontal="center"/>
    </xf>
    <xf numFmtId="168" fontId="30" fillId="5" borderId="3" xfId="0" applyNumberFormat="1" applyFont="1" applyFill="1" applyBorder="1" applyAlignment="1">
      <alignment horizontal="center"/>
    </xf>
    <xf numFmtId="190" fontId="30" fillId="5" borderId="3" xfId="0" applyNumberFormat="1" applyFont="1" applyFill="1" applyBorder="1" applyAlignment="1">
      <alignment horizontal="center"/>
    </xf>
    <xf numFmtId="0" fontId="34" fillId="5" borderId="0" xfId="0" applyFont="1" applyFill="1"/>
    <xf numFmtId="172" fontId="30" fillId="5" borderId="0" xfId="0" applyNumberFormat="1" applyFont="1" applyFill="1" applyAlignment="1">
      <alignment horizontal="center"/>
    </xf>
    <xf numFmtId="174" fontId="30" fillId="5" borderId="0" xfId="0" applyNumberFormat="1" applyFont="1" applyFill="1" applyAlignment="1">
      <alignment horizontal="center"/>
    </xf>
    <xf numFmtId="0" fontId="30" fillId="5" borderId="5" xfId="0" applyFont="1" applyFill="1" applyBorder="1"/>
    <xf numFmtId="1" fontId="30" fillId="5" borderId="0" xfId="0" applyNumberFormat="1" applyFont="1" applyFill="1" applyAlignment="1">
      <alignment horizontal="center"/>
    </xf>
    <xf numFmtId="0" fontId="30" fillId="2" borderId="0" xfId="0" applyFont="1" applyFill="1"/>
    <xf numFmtId="0" fontId="35" fillId="2" borderId="0" xfId="0" applyFont="1" applyFill="1"/>
    <xf numFmtId="0" fontId="29" fillId="7" borderId="0" xfId="0" applyFont="1" applyFill="1"/>
    <xf numFmtId="0" fontId="36" fillId="5" borderId="0" xfId="0" applyFont="1" applyFill="1"/>
    <xf numFmtId="0" fontId="37" fillId="5" borderId="0" xfId="0" applyFont="1" applyFill="1"/>
    <xf numFmtId="0" fontId="30" fillId="7" borderId="0" xfId="0" applyFont="1" applyFill="1" applyAlignment="1">
      <alignment wrapText="1"/>
    </xf>
    <xf numFmtId="0" fontId="30" fillId="5" borderId="0" xfId="0" applyFont="1" applyFill="1" applyAlignment="1">
      <alignment wrapText="1"/>
    </xf>
    <xf numFmtId="0" fontId="41" fillId="7" borderId="0" xfId="0" applyFont="1" applyFill="1"/>
    <xf numFmtId="0" fontId="41" fillId="5" borderId="0" xfId="0" applyFont="1" applyFill="1"/>
    <xf numFmtId="0" fontId="11" fillId="8" borderId="0" xfId="0" applyFont="1" applyFill="1" applyAlignment="1">
      <alignment horizontal="center"/>
    </xf>
    <xf numFmtId="0" fontId="17" fillId="6" borderId="6" xfId="0" applyFont="1" applyFill="1" applyBorder="1" applyAlignment="1">
      <alignment horizontal="center"/>
    </xf>
    <xf numFmtId="0" fontId="44" fillId="9" borderId="0" xfId="0" applyFont="1" applyFill="1" applyBorder="1"/>
    <xf numFmtId="0" fontId="44" fillId="9" borderId="21" xfId="0" applyFont="1" applyFill="1" applyBorder="1"/>
    <xf numFmtId="0" fontId="44" fillId="5" borderId="3" xfId="0" applyFont="1" applyFill="1" applyBorder="1"/>
    <xf numFmtId="0" fontId="44" fillId="5" borderId="5" xfId="0" applyFont="1" applyFill="1" applyBorder="1"/>
    <xf numFmtId="0" fontId="44" fillId="9" borderId="3" xfId="0" applyFont="1" applyFill="1" applyBorder="1"/>
    <xf numFmtId="0" fontId="44" fillId="9" borderId="5" xfId="0" applyFont="1" applyFill="1" applyBorder="1"/>
    <xf numFmtId="0" fontId="45" fillId="5" borderId="0" xfId="0" applyFont="1" applyFill="1"/>
    <xf numFmtId="0" fontId="17" fillId="6" borderId="0" xfId="0" applyFont="1" applyFill="1" applyBorder="1" applyAlignment="1">
      <alignment horizontal="center"/>
    </xf>
    <xf numFmtId="0" fontId="17" fillId="6" borderId="19" xfId="0" applyFont="1" applyFill="1" applyBorder="1" applyAlignment="1">
      <alignment horizontal="center"/>
    </xf>
    <xf numFmtId="168" fontId="30" fillId="9" borderId="21" xfId="0" applyNumberFormat="1" applyFont="1" applyFill="1" applyBorder="1" applyAlignment="1">
      <alignment horizontal="center"/>
    </xf>
    <xf numFmtId="0" fontId="30" fillId="9" borderId="21" xfId="0" applyFont="1" applyFill="1" applyBorder="1" applyAlignment="1">
      <alignment horizontal="center"/>
    </xf>
    <xf numFmtId="0" fontId="30" fillId="9" borderId="21" xfId="0" applyFont="1" applyFill="1" applyBorder="1"/>
    <xf numFmtId="0" fontId="30" fillId="5" borderId="3" xfId="0" applyFont="1" applyFill="1" applyBorder="1" applyAlignment="1">
      <alignment horizontal="center"/>
    </xf>
    <xf numFmtId="0" fontId="30" fillId="5" borderId="5" xfId="0" applyFont="1" applyFill="1" applyBorder="1" applyAlignment="1">
      <alignment horizontal="center"/>
    </xf>
    <xf numFmtId="168" fontId="30" fillId="9" borderId="3" xfId="0" applyNumberFormat="1" applyFont="1" applyFill="1" applyBorder="1" applyAlignment="1">
      <alignment horizontal="center"/>
    </xf>
    <xf numFmtId="0" fontId="30" fillId="9" borderId="3" xfId="0" applyFont="1" applyFill="1" applyBorder="1" applyAlignment="1">
      <alignment horizontal="center"/>
    </xf>
    <xf numFmtId="0" fontId="30" fillId="9" borderId="3" xfId="0" applyFont="1" applyFill="1" applyBorder="1"/>
    <xf numFmtId="168" fontId="30" fillId="9" borderId="5" xfId="0" applyNumberFormat="1" applyFont="1" applyFill="1" applyBorder="1" applyAlignment="1">
      <alignment horizontal="center"/>
    </xf>
    <xf numFmtId="0" fontId="30" fillId="9" borderId="5" xfId="0" applyFont="1" applyFill="1" applyBorder="1" applyAlignment="1">
      <alignment horizontal="center"/>
    </xf>
    <xf numFmtId="0" fontId="30" fillId="9" borderId="5" xfId="0" applyFont="1" applyFill="1" applyBorder="1"/>
    <xf numFmtId="0" fontId="32" fillId="9" borderId="0" xfId="0" applyFont="1" applyFill="1"/>
    <xf numFmtId="0" fontId="18" fillId="8" borderId="0" xfId="0" applyFont="1" applyFill="1"/>
    <xf numFmtId="165" fontId="18" fillId="8" borderId="0" xfId="0" applyNumberFormat="1" applyFont="1" applyFill="1"/>
    <xf numFmtId="49" fontId="18" fillId="8" borderId="0" xfId="0" applyNumberFormat="1" applyFont="1" applyFill="1"/>
    <xf numFmtId="0" fontId="19" fillId="6" borderId="27" xfId="0" applyFont="1" applyFill="1" applyBorder="1" applyAlignment="1">
      <alignment horizontal="center"/>
    </xf>
    <xf numFmtId="0" fontId="19" fillId="6" borderId="28" xfId="0" applyFont="1" applyFill="1" applyBorder="1" applyAlignment="1">
      <alignment horizontal="center"/>
    </xf>
    <xf numFmtId="165" fontId="19" fillId="6" borderId="28" xfId="0" applyNumberFormat="1" applyFont="1" applyFill="1" applyBorder="1" applyAlignment="1">
      <alignment horizontal="center"/>
    </xf>
    <xf numFmtId="49" fontId="19" fillId="6" borderId="29" xfId="0" applyNumberFormat="1" applyFont="1" applyFill="1" applyBorder="1" applyAlignment="1">
      <alignment horizontal="center"/>
    </xf>
    <xf numFmtId="186" fontId="30" fillId="9" borderId="24" xfId="0" applyNumberFormat="1" applyFont="1" applyFill="1" applyBorder="1"/>
    <xf numFmtId="0" fontId="30" fillId="9" borderId="25" xfId="0" applyFont="1" applyFill="1" applyBorder="1"/>
    <xf numFmtId="4" fontId="30" fillId="9" borderId="25" xfId="0" applyNumberFormat="1" applyFont="1" applyFill="1" applyBorder="1"/>
    <xf numFmtId="49" fontId="30" fillId="9" borderId="26" xfId="0" applyNumberFormat="1" applyFont="1" applyFill="1" applyBorder="1"/>
    <xf numFmtId="186" fontId="30" fillId="9" borderId="13" xfId="0" applyNumberFormat="1" applyFont="1" applyFill="1" applyBorder="1"/>
    <xf numFmtId="0" fontId="30" fillId="9" borderId="14" xfId="0" applyFont="1" applyFill="1" applyBorder="1"/>
    <xf numFmtId="4" fontId="30" fillId="9" borderId="14" xfId="0" applyNumberFormat="1" applyFont="1" applyFill="1" applyBorder="1"/>
    <xf numFmtId="49" fontId="30" fillId="9" borderId="15" xfId="0" applyNumberFormat="1" applyFont="1" applyFill="1" applyBorder="1"/>
    <xf numFmtId="0" fontId="9" fillId="8" borderId="0" xfId="0" applyFont="1" applyFill="1"/>
    <xf numFmtId="0" fontId="35" fillId="8" borderId="0" xfId="0" applyFont="1" applyFill="1"/>
    <xf numFmtId="0" fontId="44" fillId="5" borderId="0" xfId="0" applyFont="1" applyFill="1"/>
    <xf numFmtId="168" fontId="33" fillId="9" borderId="20" xfId="0" applyNumberFormat="1" applyFont="1" applyFill="1" applyBorder="1" applyAlignment="1">
      <alignment horizontal="center"/>
    </xf>
    <xf numFmtId="1" fontId="33" fillId="9" borderId="20" xfId="0" applyNumberFormat="1" applyFont="1" applyFill="1" applyBorder="1" applyAlignment="1">
      <alignment horizontal="center"/>
    </xf>
    <xf numFmtId="0" fontId="33" fillId="9" borderId="20" xfId="0" applyFont="1" applyFill="1" applyBorder="1" applyAlignment="1">
      <alignment horizontal="center"/>
    </xf>
    <xf numFmtId="168" fontId="30" fillId="9" borderId="0" xfId="0" applyNumberFormat="1" applyFont="1" applyFill="1" applyAlignment="1">
      <alignment horizontal="center"/>
    </xf>
    <xf numFmtId="190" fontId="30" fillId="9" borderId="0" xfId="0" applyNumberFormat="1" applyFont="1" applyFill="1" applyAlignment="1">
      <alignment horizontal="center"/>
    </xf>
    <xf numFmtId="0" fontId="44" fillId="9" borderId="0" xfId="0" applyFont="1" applyFill="1"/>
    <xf numFmtId="190" fontId="30" fillId="9" borderId="5" xfId="0" applyNumberFormat="1" applyFont="1" applyFill="1" applyBorder="1" applyAlignment="1">
      <alignment horizontal="center"/>
    </xf>
    <xf numFmtId="169" fontId="30" fillId="9" borderId="0" xfId="0" applyNumberFormat="1" applyFont="1" applyFill="1" applyAlignment="1">
      <alignment horizontal="center"/>
    </xf>
    <xf numFmtId="0" fontId="30" fillId="9" borderId="0" xfId="0" applyFont="1" applyFill="1"/>
    <xf numFmtId="0" fontId="30" fillId="9" borderId="0" xfId="0" applyFont="1" applyFill="1" applyAlignment="1">
      <alignment horizontal="center"/>
    </xf>
    <xf numFmtId="0" fontId="17" fillId="6" borderId="0" xfId="0" applyFont="1" applyFill="1" applyAlignment="1">
      <alignment horizontal="center"/>
    </xf>
    <xf numFmtId="0" fontId="21" fillId="8" borderId="0" xfId="0" applyFont="1" applyFill="1"/>
    <xf numFmtId="0" fontId="21" fillId="8" borderId="0" xfId="0" applyFont="1" applyFill="1" applyAlignment="1">
      <alignment horizontal="center"/>
    </xf>
    <xf numFmtId="0" fontId="44" fillId="5" borderId="21" xfId="0" applyFont="1" applyFill="1" applyBorder="1"/>
    <xf numFmtId="10" fontId="30" fillId="5" borderId="21" xfId="0" applyNumberFormat="1" applyFont="1" applyFill="1" applyBorder="1" applyAlignment="1">
      <alignment horizontal="center"/>
    </xf>
    <xf numFmtId="0" fontId="30" fillId="5" borderId="21" xfId="0" applyFont="1" applyFill="1" applyBorder="1"/>
    <xf numFmtId="2" fontId="30" fillId="9" borderId="3" xfId="0" applyNumberFormat="1" applyFont="1" applyFill="1" applyBorder="1" applyAlignment="1">
      <alignment horizontal="center"/>
    </xf>
    <xf numFmtId="2" fontId="30" fillId="9" borderId="5" xfId="0" applyNumberFormat="1" applyFont="1" applyFill="1" applyBorder="1" applyAlignment="1">
      <alignment horizontal="center"/>
    </xf>
    <xf numFmtId="10" fontId="30" fillId="5" borderId="3" xfId="0" applyNumberFormat="1" applyFont="1" applyFill="1" applyBorder="1" applyAlignment="1">
      <alignment horizontal="center"/>
    </xf>
    <xf numFmtId="10" fontId="30" fillId="5" borderId="5" xfId="0" applyNumberFormat="1" applyFont="1" applyFill="1" applyBorder="1" applyAlignment="1">
      <alignment horizontal="center"/>
    </xf>
    <xf numFmtId="168" fontId="17" fillId="6" borderId="0" xfId="0" applyNumberFormat="1" applyFont="1" applyFill="1" applyBorder="1" applyAlignment="1">
      <alignment horizontal="center"/>
    </xf>
    <xf numFmtId="174" fontId="30" fillId="9" borderId="21" xfId="0" applyNumberFormat="1" applyFont="1" applyFill="1" applyBorder="1" applyAlignment="1">
      <alignment horizontal="center"/>
    </xf>
    <xf numFmtId="10" fontId="30" fillId="9" borderId="3" xfId="0" applyNumberFormat="1" applyFont="1" applyFill="1" applyBorder="1" applyAlignment="1">
      <alignment horizontal="center"/>
    </xf>
    <xf numFmtId="0" fontId="30" fillId="8" borderId="0" xfId="0" applyFont="1" applyFill="1"/>
    <xf numFmtId="0" fontId="26" fillId="8" borderId="0" xfId="0" applyFont="1" applyFill="1"/>
    <xf numFmtId="0" fontId="38" fillId="8" borderId="0" xfId="0" applyFont="1" applyFill="1"/>
    <xf numFmtId="10" fontId="30" fillId="9" borderId="21" xfId="0" applyNumberFormat="1" applyFont="1" applyFill="1" applyBorder="1" applyAlignment="1">
      <alignment horizontal="center"/>
    </xf>
    <xf numFmtId="10" fontId="30" fillId="9" borderId="5" xfId="0" applyNumberFormat="1" applyFont="1" applyFill="1" applyBorder="1" applyAlignment="1">
      <alignment horizontal="center"/>
    </xf>
    <xf numFmtId="2" fontId="30" fillId="5" borderId="5" xfId="0" applyNumberFormat="1" applyFont="1" applyFill="1" applyBorder="1" applyAlignment="1">
      <alignment horizontal="center"/>
    </xf>
    <xf numFmtId="0" fontId="30" fillId="5" borderId="21" xfId="0" applyFont="1" applyFill="1" applyBorder="1" applyAlignment="1">
      <alignment horizontal="center"/>
    </xf>
    <xf numFmtId="184" fontId="30" fillId="5" borderId="3" xfId="0" applyNumberFormat="1" applyFont="1" applyFill="1" applyBorder="1" applyAlignment="1">
      <alignment horizontal="center"/>
    </xf>
    <xf numFmtId="0" fontId="44" fillId="5" borderId="21" xfId="0" applyFont="1" applyFill="1" applyBorder="1" applyAlignment="1">
      <alignment horizontal="center"/>
    </xf>
    <xf numFmtId="168" fontId="30" fillId="5" borderId="21" xfId="0" applyNumberFormat="1" applyFont="1" applyFill="1" applyBorder="1" applyAlignment="1">
      <alignment horizontal="center"/>
    </xf>
    <xf numFmtId="2" fontId="30" fillId="5" borderId="21" xfId="0" applyNumberFormat="1" applyFont="1" applyFill="1" applyBorder="1" applyAlignment="1">
      <alignment horizontal="center"/>
    </xf>
    <xf numFmtId="190" fontId="30" fillId="5" borderId="21" xfId="0" applyNumberFormat="1" applyFont="1" applyFill="1" applyBorder="1" applyAlignment="1">
      <alignment horizontal="center"/>
    </xf>
    <xf numFmtId="0" fontId="44" fillId="9" borderId="3" xfId="0" applyFont="1" applyFill="1" applyBorder="1" applyAlignment="1">
      <alignment horizontal="center"/>
    </xf>
    <xf numFmtId="190" fontId="30" fillId="9" borderId="3" xfId="0" applyNumberFormat="1" applyFont="1" applyFill="1" applyBorder="1" applyAlignment="1">
      <alignment horizontal="center"/>
    </xf>
    <xf numFmtId="0" fontId="44" fillId="9" borderId="5" xfId="0" applyFont="1" applyFill="1" applyBorder="1" applyAlignment="1">
      <alignment horizontal="center"/>
    </xf>
    <xf numFmtId="0" fontId="44" fillId="5" borderId="5" xfId="0" applyFont="1" applyFill="1" applyBorder="1" applyAlignment="1">
      <alignment horizontal="center"/>
    </xf>
    <xf numFmtId="0" fontId="19" fillId="8" borderId="22" xfId="0" applyFont="1" applyFill="1" applyBorder="1" applyAlignment="1">
      <alignment horizontal="center"/>
    </xf>
    <xf numFmtId="168" fontId="19" fillId="8" borderId="22" xfId="0" applyNumberFormat="1" applyFont="1" applyFill="1" applyBorder="1" applyAlignment="1">
      <alignment horizontal="center"/>
    </xf>
    <xf numFmtId="2" fontId="19" fillId="8" borderId="22" xfId="0" applyNumberFormat="1" applyFont="1" applyFill="1" applyBorder="1" applyAlignment="1">
      <alignment horizontal="center"/>
    </xf>
    <xf numFmtId="190" fontId="19" fillId="8" borderId="22" xfId="0" applyNumberFormat="1" applyFont="1" applyFill="1" applyBorder="1" applyAlignment="1">
      <alignment horizontal="center"/>
    </xf>
    <xf numFmtId="172" fontId="9" fillId="8" borderId="19" xfId="0" applyNumberFormat="1" applyFont="1" applyFill="1" applyBorder="1" applyAlignment="1">
      <alignment horizontal="center"/>
    </xf>
    <xf numFmtId="2" fontId="9" fillId="8" borderId="19" xfId="0" applyNumberFormat="1" applyFont="1" applyFill="1" applyBorder="1" applyAlignment="1">
      <alignment horizontal="center"/>
    </xf>
    <xf numFmtId="0" fontId="9" fillId="8" borderId="19" xfId="0" applyFont="1" applyFill="1" applyBorder="1" applyAlignment="1">
      <alignment horizontal="center"/>
    </xf>
    <xf numFmtId="0" fontId="27" fillId="6" borderId="0" xfId="0" applyFont="1" applyFill="1" applyBorder="1" applyAlignment="1">
      <alignment horizontal="center"/>
    </xf>
    <xf numFmtId="0" fontId="28" fillId="8" borderId="19" xfId="0" applyFont="1" applyFill="1" applyBorder="1" applyAlignment="1">
      <alignment horizontal="center"/>
    </xf>
    <xf numFmtId="0" fontId="17" fillId="6" borderId="8" xfId="0" applyFont="1" applyFill="1" applyBorder="1" applyAlignment="1">
      <alignment horizontal="center"/>
    </xf>
    <xf numFmtId="0" fontId="17" fillId="6" borderId="9" xfId="0" applyFont="1" applyFill="1" applyBorder="1" applyAlignment="1">
      <alignment horizontal="center"/>
    </xf>
    <xf numFmtId="0" fontId="30" fillId="9" borderId="30" xfId="0" applyFont="1" applyFill="1" applyBorder="1"/>
    <xf numFmtId="2" fontId="30" fillId="9" borderId="21" xfId="0" applyNumberFormat="1" applyFont="1" applyFill="1" applyBorder="1"/>
    <xf numFmtId="174" fontId="30" fillId="9" borderId="21" xfId="0" applyNumberFormat="1" applyFont="1" applyFill="1" applyBorder="1"/>
    <xf numFmtId="164" fontId="30" fillId="9" borderId="21" xfId="0" applyNumberFormat="1" applyFont="1" applyFill="1" applyBorder="1"/>
    <xf numFmtId="0" fontId="30" fillId="5" borderId="2" xfId="0" applyFont="1" applyFill="1" applyBorder="1"/>
    <xf numFmtId="2" fontId="30" fillId="5" borderId="3" xfId="0" applyNumberFormat="1" applyFont="1" applyFill="1" applyBorder="1"/>
    <xf numFmtId="174" fontId="30" fillId="5" borderId="3" xfId="0" applyNumberFormat="1" applyFont="1" applyFill="1" applyBorder="1"/>
    <xf numFmtId="164" fontId="30" fillId="5" borderId="3" xfId="0" applyNumberFormat="1" applyFont="1" applyFill="1" applyBorder="1"/>
    <xf numFmtId="0" fontId="30" fillId="5" borderId="4" xfId="0" applyFont="1" applyFill="1" applyBorder="1"/>
    <xf numFmtId="2" fontId="30" fillId="5" borderId="5" xfId="0" applyNumberFormat="1" applyFont="1" applyFill="1" applyBorder="1"/>
    <xf numFmtId="174" fontId="30" fillId="5" borderId="5" xfId="0" applyNumberFormat="1" applyFont="1" applyFill="1" applyBorder="1"/>
    <xf numFmtId="164" fontId="30" fillId="5" borderId="5" xfId="0" applyNumberFormat="1" applyFont="1" applyFill="1" applyBorder="1"/>
    <xf numFmtId="0" fontId="30" fillId="9" borderId="4" xfId="0" applyFont="1" applyFill="1" applyBorder="1"/>
    <xf numFmtId="2" fontId="30" fillId="9" borderId="5" xfId="0" applyNumberFormat="1" applyFont="1" applyFill="1" applyBorder="1"/>
    <xf numFmtId="174" fontId="30" fillId="9" borderId="5" xfId="0" applyNumberFormat="1" applyFont="1" applyFill="1" applyBorder="1"/>
    <xf numFmtId="164" fontId="30" fillId="9" borderId="5" xfId="0" applyNumberFormat="1" applyFont="1" applyFill="1" applyBorder="1"/>
    <xf numFmtId="0" fontId="10" fillId="8" borderId="0" xfId="0" applyFont="1" applyFill="1"/>
    <xf numFmtId="0" fontId="8" fillId="8" borderId="0" xfId="0" applyFont="1" applyFill="1"/>
    <xf numFmtId="0" fontId="40" fillId="9" borderId="0" xfId="0" applyFont="1" applyFill="1"/>
    <xf numFmtId="0" fontId="0" fillId="9" borderId="0" xfId="0" applyFill="1"/>
    <xf numFmtId="0" fontId="26" fillId="8" borderId="0" xfId="0" applyFont="1" applyFill="1" applyAlignment="1">
      <alignment wrapText="1"/>
    </xf>
    <xf numFmtId="0" fontId="19" fillId="6" borderId="19" xfId="0" applyFont="1" applyFill="1" applyBorder="1"/>
    <xf numFmtId="0" fontId="19" fillId="6" borderId="19" xfId="0" applyFont="1" applyFill="1" applyBorder="1" applyAlignment="1">
      <alignment wrapText="1"/>
    </xf>
    <xf numFmtId="0" fontId="30" fillId="9" borderId="0" xfId="0" applyFont="1" applyFill="1" applyAlignment="1">
      <alignment wrapText="1"/>
    </xf>
    <xf numFmtId="0" fontId="48" fillId="5" borderId="0" xfId="0" applyFont="1" applyFill="1"/>
    <xf numFmtId="0" fontId="44" fillId="9" borderId="10" xfId="0" applyFont="1" applyFill="1" applyBorder="1"/>
    <xf numFmtId="0" fontId="31" fillId="9" borderId="10" xfId="0" applyFont="1" applyFill="1" applyBorder="1" applyAlignment="1">
      <alignment wrapText="1"/>
    </xf>
    <xf numFmtId="0" fontId="41" fillId="9" borderId="0" xfId="0" applyFont="1" applyFill="1"/>
    <xf numFmtId="0" fontId="49" fillId="5" borderId="0" xfId="0" applyFont="1" applyFill="1"/>
    <xf numFmtId="0" fontId="41" fillId="9" borderId="10" xfId="0" applyFont="1" applyFill="1" applyBorder="1"/>
    <xf numFmtId="0" fontId="31" fillId="9" borderId="0" xfId="0" applyFont="1" applyFill="1" applyAlignment="1">
      <alignment wrapText="1"/>
    </xf>
    <xf numFmtId="0" fontId="50" fillId="0" borderId="0" xfId="0" applyFont="1"/>
    <xf numFmtId="0" fontId="51" fillId="5" borderId="12" xfId="0" applyFont="1" applyFill="1" applyBorder="1" applyAlignment="1">
      <alignment horizontal="center"/>
    </xf>
    <xf numFmtId="0" fontId="52" fillId="5" borderId="12" xfId="0" applyFont="1" applyFill="1" applyBorder="1"/>
    <xf numFmtId="168" fontId="50" fillId="5" borderId="12" xfId="0" applyNumberFormat="1" applyFont="1" applyFill="1" applyBorder="1" applyAlignment="1">
      <alignment horizontal="center"/>
    </xf>
    <xf numFmtId="190" fontId="50" fillId="5" borderId="12" xfId="0" applyNumberFormat="1" applyFont="1" applyFill="1" applyBorder="1" applyAlignment="1">
      <alignment horizontal="center"/>
    </xf>
    <xf numFmtId="0" fontId="50" fillId="5" borderId="12" xfId="0" applyFont="1" applyFill="1" applyBorder="1" applyAlignment="1">
      <alignment horizontal="center"/>
    </xf>
    <xf numFmtId="2" fontId="50" fillId="5" borderId="12" xfId="0" applyNumberFormat="1" applyFont="1" applyFill="1" applyBorder="1" applyAlignment="1">
      <alignment horizontal="center"/>
    </xf>
    <xf numFmtId="0" fontId="50" fillId="8" borderId="0" xfId="0" applyFont="1" applyFill="1"/>
    <xf numFmtId="0" fontId="45" fillId="0" borderId="0" xfId="0" applyFont="1"/>
    <xf numFmtId="168" fontId="50" fillId="9" borderId="0" xfId="0" applyNumberFormat="1" applyFont="1" applyFill="1" applyBorder="1" applyAlignment="1">
      <alignment horizontal="center"/>
    </xf>
    <xf numFmtId="0" fontId="51" fillId="9" borderId="0" xfId="0" applyFont="1" applyFill="1" applyBorder="1" applyAlignment="1">
      <alignment horizontal="center"/>
    </xf>
    <xf numFmtId="0" fontId="52" fillId="9" borderId="0" xfId="0" applyFont="1" applyFill="1" applyBorder="1"/>
    <xf numFmtId="0" fontId="44" fillId="5" borderId="12" xfId="0" applyFont="1" applyFill="1" applyBorder="1"/>
    <xf numFmtId="0" fontId="51" fillId="9" borderId="12" xfId="0" applyFont="1" applyFill="1" applyBorder="1" applyAlignment="1">
      <alignment horizontal="center"/>
    </xf>
    <xf numFmtId="0" fontId="52" fillId="9" borderId="12" xfId="0" applyFont="1" applyFill="1" applyBorder="1"/>
    <xf numFmtId="0" fontId="44" fillId="9" borderId="12" xfId="0" applyFont="1" applyFill="1" applyBorder="1"/>
    <xf numFmtId="0" fontId="50" fillId="9" borderId="12" xfId="0" applyFont="1" applyFill="1" applyBorder="1" applyAlignment="1">
      <alignment horizontal="center"/>
    </xf>
    <xf numFmtId="190" fontId="50" fillId="9" borderId="12" xfId="0" applyNumberFormat="1" applyFont="1" applyFill="1" applyBorder="1" applyAlignment="1">
      <alignment horizontal="center"/>
    </xf>
    <xf numFmtId="168" fontId="50" fillId="9" borderId="12" xfId="0" applyNumberFormat="1" applyFont="1" applyFill="1" applyBorder="1" applyAlignment="1">
      <alignment horizontal="center"/>
    </xf>
    <xf numFmtId="0" fontId="51" fillId="9" borderId="11" xfId="0" applyFont="1" applyFill="1" applyBorder="1" applyAlignment="1">
      <alignment horizontal="center"/>
    </xf>
    <xf numFmtId="0" fontId="52" fillId="9" borderId="11" xfId="0" applyFont="1" applyFill="1" applyBorder="1"/>
    <xf numFmtId="0" fontId="44" fillId="9" borderId="11" xfId="0" applyFont="1" applyFill="1" applyBorder="1"/>
    <xf numFmtId="0" fontId="50" fillId="9" borderId="0" xfId="0" applyFont="1" applyFill="1" applyBorder="1" applyAlignment="1">
      <alignment horizontal="center"/>
    </xf>
    <xf numFmtId="2" fontId="50" fillId="9" borderId="0" xfId="0" applyNumberFormat="1" applyFont="1" applyFill="1" applyBorder="1" applyAlignment="1">
      <alignment horizontal="center"/>
    </xf>
    <xf numFmtId="0" fontId="50" fillId="9" borderId="11" xfId="0" applyFont="1" applyFill="1" applyBorder="1" applyAlignment="1">
      <alignment horizontal="center"/>
    </xf>
    <xf numFmtId="2" fontId="50" fillId="9" borderId="11" xfId="0" applyNumberFormat="1" applyFont="1" applyFill="1" applyBorder="1" applyAlignment="1">
      <alignment horizontal="center"/>
    </xf>
    <xf numFmtId="0" fontId="20" fillId="9" borderId="0" xfId="0" applyFont="1" applyFill="1" applyAlignment="1">
      <alignment horizontal="center"/>
    </xf>
    <xf numFmtId="0" fontId="53" fillId="9" borderId="0" xfId="0" applyFont="1" applyFill="1" applyAlignment="1">
      <alignment horizontal="center"/>
    </xf>
    <xf numFmtId="184" fontId="30" fillId="5" borderId="5" xfId="0" applyNumberFormat="1" applyFont="1" applyFill="1" applyBorder="1" applyAlignment="1">
      <alignment horizontal="center"/>
    </xf>
    <xf numFmtId="184" fontId="30" fillId="9" borderId="3" xfId="0" applyNumberFormat="1" applyFont="1" applyFill="1" applyBorder="1" applyAlignment="1">
      <alignment horizontal="center"/>
    </xf>
    <xf numFmtId="1" fontId="30" fillId="9" borderId="0" xfId="0" applyNumberFormat="1" applyFont="1" applyFill="1" applyAlignment="1">
      <alignment horizontal="center"/>
    </xf>
    <xf numFmtId="174" fontId="21" fillId="8" borderId="0" xfId="0" applyNumberFormat="1" applyFont="1" applyFill="1" applyAlignment="1">
      <alignment horizontal="center"/>
    </xf>
    <xf numFmtId="0" fontId="54" fillId="9" borderId="0" xfId="0" applyFont="1" applyFill="1" applyAlignment="1">
      <alignment horizontal="center"/>
    </xf>
    <xf numFmtId="0" fontId="43" fillId="9" borderId="0" xfId="0" applyFont="1" applyFill="1" applyAlignment="1">
      <alignment horizontal="center"/>
    </xf>
    <xf numFmtId="0" fontId="3" fillId="6" borderId="0" xfId="0" applyFont="1" applyFill="1" applyBorder="1" applyAlignment="1">
      <alignment horizontal="center"/>
    </xf>
    <xf numFmtId="0" fontId="47"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9" fillId="9" borderId="21" xfId="0" applyFont="1" applyFill="1" applyBorder="1"/>
    <xf numFmtId="0" fontId="47"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9" fillId="5" borderId="5" xfId="0" applyFont="1" applyFill="1" applyBorder="1"/>
    <xf numFmtId="0" fontId="47" fillId="9" borderId="3" xfId="0" applyFont="1" applyFill="1" applyBorder="1"/>
    <xf numFmtId="0" fontId="1" fillId="9" borderId="3" xfId="0" applyFont="1" applyFill="1" applyBorder="1" applyAlignment="1">
      <alignment horizontal="center"/>
    </xf>
    <xf numFmtId="0" fontId="39" fillId="9" borderId="3" xfId="0" applyFont="1" applyFill="1" applyBorder="1"/>
    <xf numFmtId="0" fontId="47"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9" fillId="9" borderId="5" xfId="0" applyFont="1" applyFill="1" applyBorder="1"/>
    <xf numFmtId="190"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5" fillId="2" borderId="0" xfId="0" applyFont="1" applyFill="1"/>
    <xf numFmtId="3" fontId="55" fillId="2" borderId="0" xfId="0" applyNumberFormat="1" applyFont="1" applyFill="1"/>
    <xf numFmtId="0" fontId="55" fillId="2" borderId="0" xfId="0" applyFont="1" applyFill="1" applyAlignment="1">
      <alignment horizontal="center"/>
    </xf>
    <xf numFmtId="172" fontId="55" fillId="2" borderId="0" xfId="0" applyNumberFormat="1" applyFont="1" applyFill="1" applyAlignment="1">
      <alignment horizontal="center"/>
    </xf>
    <xf numFmtId="2" fontId="55" fillId="2" borderId="0" xfId="0" applyNumberFormat="1" applyFont="1" applyFill="1" applyAlignment="1">
      <alignment horizontal="center"/>
    </xf>
    <xf numFmtId="0" fontId="55" fillId="8" borderId="0" xfId="0" applyFont="1" applyFill="1"/>
    <xf numFmtId="0" fontId="24" fillId="2" borderId="0" xfId="0" applyFont="1" applyFill="1" applyBorder="1"/>
    <xf numFmtId="0" fontId="55" fillId="2" borderId="0" xfId="0" applyFont="1" applyFill="1" applyBorder="1"/>
    <xf numFmtId="0" fontId="57" fillId="10" borderId="21" xfId="0" applyFont="1" applyFill="1" applyBorder="1" applyAlignment="1">
      <alignment horizontal="center"/>
    </xf>
    <xf numFmtId="0" fontId="38" fillId="10" borderId="21" xfId="0" applyFont="1" applyFill="1" applyBorder="1" applyAlignment="1">
      <alignment horizontal="center"/>
    </xf>
    <xf numFmtId="174" fontId="55" fillId="10" borderId="21" xfId="0" applyNumberFormat="1" applyFont="1" applyFill="1" applyBorder="1" applyAlignment="1">
      <alignment horizontal="center"/>
    </xf>
    <xf numFmtId="2" fontId="55" fillId="10" borderId="21" xfId="0" applyNumberFormat="1" applyFont="1" applyFill="1" applyBorder="1" applyAlignment="1">
      <alignment horizontal="center"/>
    </xf>
    <xf numFmtId="168" fontId="55" fillId="10" borderId="21" xfId="0" applyNumberFormat="1" applyFont="1" applyFill="1" applyBorder="1" applyAlignment="1">
      <alignment horizontal="center"/>
    </xf>
    <xf numFmtId="0" fontId="57" fillId="11" borderId="32" xfId="0" applyFont="1" applyFill="1" applyBorder="1" applyAlignment="1">
      <alignment horizontal="center"/>
    </xf>
    <xf numFmtId="0" fontId="38" fillId="11" borderId="32" xfId="0" applyFont="1" applyFill="1" applyBorder="1" applyAlignment="1">
      <alignment horizontal="center"/>
    </xf>
    <xf numFmtId="174" fontId="55" fillId="11" borderId="32" xfId="0" applyNumberFormat="1" applyFont="1" applyFill="1" applyBorder="1" applyAlignment="1">
      <alignment horizontal="center"/>
    </xf>
    <xf numFmtId="2" fontId="55" fillId="11" borderId="32" xfId="0" applyNumberFormat="1" applyFont="1" applyFill="1" applyBorder="1" applyAlignment="1">
      <alignment horizontal="center"/>
    </xf>
    <xf numFmtId="0" fontId="57" fillId="11" borderId="33" xfId="0" applyFont="1" applyFill="1" applyBorder="1" applyAlignment="1">
      <alignment horizontal="center"/>
    </xf>
    <xf numFmtId="0" fontId="38" fillId="11" borderId="33" xfId="0" applyFont="1" applyFill="1" applyBorder="1" applyAlignment="1">
      <alignment horizontal="center"/>
    </xf>
    <xf numFmtId="174" fontId="55" fillId="11" borderId="33" xfId="0" applyNumberFormat="1" applyFont="1" applyFill="1" applyBorder="1" applyAlignment="1">
      <alignment horizontal="center"/>
    </xf>
    <xf numFmtId="2" fontId="55" fillId="11" borderId="33" xfId="0" applyNumberFormat="1" applyFont="1" applyFill="1" applyBorder="1" applyAlignment="1">
      <alignment horizontal="center"/>
    </xf>
    <xf numFmtId="168" fontId="55" fillId="11" borderId="33" xfId="0" applyNumberFormat="1" applyFont="1" applyFill="1" applyBorder="1" applyAlignment="1">
      <alignment horizontal="center"/>
    </xf>
    <xf numFmtId="0" fontId="57" fillId="10" borderId="33" xfId="0" applyFont="1" applyFill="1" applyBorder="1" applyAlignment="1">
      <alignment horizontal="center"/>
    </xf>
    <xf numFmtId="0" fontId="38" fillId="10" borderId="33" xfId="0" applyFont="1" applyFill="1" applyBorder="1" applyAlignment="1">
      <alignment horizontal="center"/>
    </xf>
    <xf numFmtId="174" fontId="55" fillId="10" borderId="33" xfId="0" applyNumberFormat="1" applyFont="1" applyFill="1" applyBorder="1" applyAlignment="1">
      <alignment horizontal="center"/>
    </xf>
    <xf numFmtId="2" fontId="55" fillId="10" borderId="33" xfId="0" applyNumberFormat="1" applyFont="1" applyFill="1" applyBorder="1" applyAlignment="1">
      <alignment horizontal="center"/>
    </xf>
    <xf numFmtId="168" fontId="55" fillId="10" borderId="33" xfId="0" applyNumberFormat="1" applyFont="1" applyFill="1" applyBorder="1" applyAlignment="1">
      <alignment horizontal="center"/>
    </xf>
    <xf numFmtId="0" fontId="22" fillId="2" borderId="0" xfId="0" applyFont="1" applyFill="1"/>
    <xf numFmtId="0" fontId="57" fillId="10" borderId="21" xfId="0" applyFont="1" applyFill="1" applyBorder="1"/>
    <xf numFmtId="0" fontId="55" fillId="10" borderId="21" xfId="0" applyFont="1" applyFill="1" applyBorder="1" applyAlignment="1">
      <alignment horizontal="center"/>
    </xf>
    <xf numFmtId="0" fontId="57" fillId="11" borderId="33" xfId="0" applyFont="1" applyFill="1" applyBorder="1"/>
    <xf numFmtId="3" fontId="55" fillId="11" borderId="33" xfId="0" applyNumberFormat="1" applyFont="1" applyFill="1" applyBorder="1" applyAlignment="1">
      <alignment horizontal="center"/>
    </xf>
    <xf numFmtId="0" fontId="57" fillId="10" borderId="32" xfId="0" applyFont="1" applyFill="1" applyBorder="1"/>
    <xf numFmtId="3" fontId="55" fillId="10" borderId="32" xfId="0" applyNumberFormat="1" applyFont="1" applyFill="1" applyBorder="1" applyAlignment="1">
      <alignment horizontal="center"/>
    </xf>
    <xf numFmtId="0" fontId="57" fillId="10" borderId="33" xfId="0" applyFont="1" applyFill="1" applyBorder="1"/>
    <xf numFmtId="3" fontId="55" fillId="10" borderId="33" xfId="0" applyNumberFormat="1" applyFont="1" applyFill="1" applyBorder="1" applyAlignment="1">
      <alignment horizontal="center"/>
    </xf>
    <xf numFmtId="0" fontId="17" fillId="6" borderId="21" xfId="0" applyFont="1" applyFill="1" applyBorder="1" applyAlignment="1">
      <alignment horizontal="center"/>
    </xf>
    <xf numFmtId="174" fontId="17" fillId="6" borderId="21" xfId="0" applyNumberFormat="1" applyFont="1" applyFill="1" applyBorder="1" applyAlignment="1">
      <alignment horizontal="center"/>
    </xf>
    <xf numFmtId="2" fontId="17" fillId="6" borderId="21" xfId="0" applyNumberFormat="1" applyFont="1" applyFill="1" applyBorder="1" applyAlignment="1">
      <alignment horizontal="center"/>
    </xf>
    <xf numFmtId="168" fontId="17" fillId="6" borderId="21" xfId="0" applyNumberFormat="1" applyFont="1" applyFill="1" applyBorder="1" applyAlignment="1">
      <alignment horizontal="center"/>
    </xf>
    <xf numFmtId="0" fontId="55" fillId="11" borderId="33" xfId="0" applyFont="1" applyFill="1" applyBorder="1" applyAlignment="1">
      <alignment horizontal="center"/>
    </xf>
    <xf numFmtId="0" fontId="55" fillId="10" borderId="33" xfId="0" applyFont="1" applyFill="1" applyBorder="1" applyAlignment="1">
      <alignment horizontal="center"/>
    </xf>
    <xf numFmtId="0" fontId="11" fillId="8" borderId="33" xfId="0" applyFont="1" applyFill="1" applyBorder="1" applyAlignment="1">
      <alignment horizontal="center"/>
    </xf>
    <xf numFmtId="0" fontId="25" fillId="6" borderId="0" xfId="0" applyFont="1" applyFill="1" applyBorder="1"/>
    <xf numFmtId="0" fontId="56" fillId="10" borderId="21" xfId="0" applyFont="1" applyFill="1" applyBorder="1"/>
    <xf numFmtId="0" fontId="56" fillId="11" borderId="32" xfId="0" applyFont="1" applyFill="1" applyBorder="1"/>
    <xf numFmtId="0" fontId="56" fillId="11" borderId="33" xfId="0" applyFont="1" applyFill="1" applyBorder="1"/>
    <xf numFmtId="0" fontId="56" fillId="10" borderId="33" xfId="0" applyFont="1" applyFill="1" applyBorder="1"/>
    <xf numFmtId="0" fontId="70" fillId="2" borderId="0" xfId="0" applyFont="1" applyFill="1"/>
    <xf numFmtId="0" fontId="70" fillId="2" borderId="0" xfId="0" applyFont="1" applyFill="1" applyAlignment="1">
      <alignment vertical="center"/>
    </xf>
    <xf numFmtId="0" fontId="70" fillId="2" borderId="0" xfId="0" applyFont="1" applyFill="1" applyBorder="1" applyAlignment="1">
      <alignment horizontal="left" vertical="center"/>
    </xf>
    <xf numFmtId="0" fontId="70" fillId="2" borderId="0" xfId="0" applyFont="1" applyFill="1" applyBorder="1" applyAlignment="1">
      <alignment vertical="center"/>
    </xf>
    <xf numFmtId="0" fontId="70" fillId="2" borderId="0" xfId="0" applyFont="1" applyFill="1" applyBorder="1" applyAlignment="1">
      <alignment horizontal="left" vertical="center"/>
    </xf>
    <xf numFmtId="166" fontId="70" fillId="2" borderId="0" xfId="0" applyNumberFormat="1" applyFont="1" applyFill="1"/>
    <xf numFmtId="167" fontId="70" fillId="2" borderId="0" xfId="0" applyNumberFormat="1" applyFont="1" applyFill="1"/>
    <xf numFmtId="0" fontId="72" fillId="2" borderId="1" xfId="0" applyFont="1" applyFill="1" applyBorder="1" applyAlignment="1">
      <alignment horizontal="center" vertical="center"/>
    </xf>
    <xf numFmtId="0" fontId="70" fillId="2" borderId="1" xfId="0" applyFont="1" applyFill="1" applyBorder="1" applyAlignment="1">
      <alignment horizontal="center"/>
    </xf>
    <xf numFmtId="0" fontId="70" fillId="2" borderId="31" xfId="0" applyFont="1" applyFill="1" applyBorder="1"/>
    <xf numFmtId="166" fontId="70" fillId="2" borderId="31" xfId="0" applyNumberFormat="1" applyFont="1" applyFill="1" applyBorder="1"/>
    <xf numFmtId="167" fontId="70" fillId="2" borderId="31" xfId="0" applyNumberFormat="1" applyFont="1" applyFill="1" applyBorder="1"/>
    <xf numFmtId="0" fontId="64" fillId="8" borderId="0" xfId="0" applyFont="1" applyFill="1" applyAlignment="1">
      <alignment horizontal="center" vertical="center"/>
    </xf>
    <xf numFmtId="0" fontId="64" fillId="8" borderId="0" xfId="0" applyFont="1" applyFill="1" applyAlignment="1">
      <alignment horizontal="center" vertical="center" wrapText="1"/>
    </xf>
    <xf numFmtId="0" fontId="64" fillId="8" borderId="0" xfId="0" applyFont="1" applyFill="1" applyAlignment="1">
      <alignment horizontal="center"/>
    </xf>
    <xf numFmtId="0" fontId="65" fillId="8" borderId="19" xfId="0" applyFont="1" applyFill="1" applyBorder="1" applyAlignment="1">
      <alignment horizontal="center" vertical="center"/>
    </xf>
    <xf numFmtId="190" fontId="65" fillId="8" borderId="19" xfId="0" applyNumberFormat="1" applyFont="1" applyFill="1" applyBorder="1" applyAlignment="1">
      <alignment horizontal="center" vertical="center"/>
    </xf>
    <xf numFmtId="2" fontId="65" fillId="8" borderId="19" xfId="0" applyNumberFormat="1" applyFont="1" applyFill="1" applyBorder="1" applyAlignment="1">
      <alignment horizontal="center"/>
    </xf>
    <xf numFmtId="168" fontId="65" fillId="8" borderId="19" xfId="0" applyNumberFormat="1" applyFont="1" applyFill="1" applyBorder="1" applyAlignment="1">
      <alignment horizontal="center"/>
    </xf>
    <xf numFmtId="190" fontId="65" fillId="8" borderId="19" xfId="0" applyNumberFormat="1" applyFont="1" applyFill="1" applyBorder="1" applyAlignment="1">
      <alignment horizontal="center"/>
    </xf>
    <xf numFmtId="168" fontId="66" fillId="8" borderId="19" xfId="0" applyNumberFormat="1" applyFont="1" applyFill="1" applyBorder="1" applyAlignment="1">
      <alignment horizontal="center" vertical="center"/>
    </xf>
    <xf numFmtId="10" fontId="66" fillId="8" borderId="19" xfId="0" applyNumberFormat="1" applyFont="1" applyFill="1" applyBorder="1" applyAlignment="1">
      <alignment horizontal="center" vertical="center"/>
    </xf>
    <xf numFmtId="2" fontId="67" fillId="8" borderId="19" xfId="0" applyNumberFormat="1" applyFont="1" applyFill="1" applyBorder="1" applyAlignment="1">
      <alignment horizontal="center"/>
    </xf>
    <xf numFmtId="168" fontId="74" fillId="8" borderId="19" xfId="0" applyNumberFormat="1" applyFont="1" applyFill="1" applyBorder="1" applyAlignment="1">
      <alignment horizontal="center"/>
    </xf>
    <xf numFmtId="0" fontId="75" fillId="2" borderId="0" xfId="0" applyFont="1" applyFill="1" applyBorder="1" applyAlignment="1">
      <alignment horizontal="left" vertical="center"/>
    </xf>
    <xf numFmtId="0" fontId="68" fillId="6" borderId="7" xfId="0" applyFont="1" applyFill="1" applyBorder="1" applyAlignment="1">
      <alignment horizontal="center"/>
    </xf>
    <xf numFmtId="0" fontId="68" fillId="6" borderId="6" xfId="0" applyFont="1" applyFill="1" applyBorder="1" applyAlignment="1">
      <alignment horizontal="center"/>
    </xf>
    <xf numFmtId="0" fontId="77" fillId="10" borderId="21" xfId="0" applyFont="1" applyFill="1" applyBorder="1"/>
    <xf numFmtId="0" fontId="78" fillId="10" borderId="21" xfId="0" applyFont="1" applyFill="1" applyBorder="1"/>
    <xf numFmtId="3" fontId="70" fillId="10" borderId="21" xfId="0" applyNumberFormat="1" applyFont="1" applyFill="1" applyBorder="1" applyAlignment="1">
      <alignment horizontal="center"/>
    </xf>
    <xf numFmtId="0" fontId="70" fillId="10" borderId="21" xfId="0" applyFont="1" applyFill="1" applyBorder="1"/>
    <xf numFmtId="168" fontId="75" fillId="10" borderId="21" xfId="0" applyNumberFormat="1" applyFont="1" applyFill="1" applyBorder="1" applyAlignment="1">
      <alignment horizontal="center"/>
    </xf>
    <xf numFmtId="0" fontId="77" fillId="11" borderId="32" xfId="0" applyFont="1" applyFill="1" applyBorder="1"/>
    <xf numFmtId="0" fontId="78" fillId="11" borderId="32" xfId="0" applyFont="1" applyFill="1" applyBorder="1"/>
    <xf numFmtId="3" fontId="70" fillId="11" borderId="32" xfId="0" applyNumberFormat="1" applyFont="1" applyFill="1" applyBorder="1" applyAlignment="1">
      <alignment horizontal="center"/>
    </xf>
    <xf numFmtId="0" fontId="70" fillId="11" borderId="32" xfId="0" applyFont="1" applyFill="1" applyBorder="1"/>
    <xf numFmtId="168" fontId="75" fillId="11" borderId="32" xfId="0" applyNumberFormat="1" applyFont="1" applyFill="1" applyBorder="1" applyAlignment="1">
      <alignment horizontal="center"/>
    </xf>
    <xf numFmtId="0" fontId="77" fillId="10" borderId="21" xfId="0" applyFont="1" applyFill="1" applyBorder="1" applyAlignment="1">
      <alignment horizontal="center"/>
    </xf>
    <xf numFmtId="168" fontId="70" fillId="10" borderId="21" xfId="0" applyNumberFormat="1" applyFont="1" applyFill="1" applyBorder="1" applyAlignment="1">
      <alignment horizontal="center"/>
    </xf>
    <xf numFmtId="0" fontId="70" fillId="10" borderId="21" xfId="0" applyFont="1" applyFill="1" applyBorder="1" applyAlignment="1">
      <alignment horizontal="center"/>
    </xf>
    <xf numFmtId="0" fontId="77" fillId="11" borderId="32" xfId="0" applyFont="1" applyFill="1" applyBorder="1" applyAlignment="1">
      <alignment horizontal="center"/>
    </xf>
    <xf numFmtId="168" fontId="70" fillId="11" borderId="32" xfId="0" applyNumberFormat="1" applyFont="1" applyFill="1" applyBorder="1" applyAlignment="1">
      <alignment horizontal="center"/>
    </xf>
    <xf numFmtId="0" fontId="70" fillId="11" borderId="32" xfId="0" applyFont="1" applyFill="1" applyBorder="1" applyAlignment="1">
      <alignment horizontal="center"/>
    </xf>
    <xf numFmtId="0" fontId="77" fillId="11" borderId="33" xfId="0" applyFont="1" applyFill="1" applyBorder="1"/>
    <xf numFmtId="0" fontId="78" fillId="11" borderId="33" xfId="0" applyFont="1" applyFill="1" applyBorder="1"/>
    <xf numFmtId="3" fontId="70" fillId="11" borderId="33" xfId="0" applyNumberFormat="1" applyFont="1" applyFill="1" applyBorder="1" applyAlignment="1">
      <alignment horizontal="center"/>
    </xf>
    <xf numFmtId="0" fontId="70" fillId="11" borderId="33" xfId="0" applyFont="1" applyFill="1" applyBorder="1"/>
    <xf numFmtId="168" fontId="75" fillId="11" borderId="33" xfId="0" applyNumberFormat="1" applyFont="1" applyFill="1" applyBorder="1" applyAlignment="1">
      <alignment horizontal="center"/>
    </xf>
    <xf numFmtId="0" fontId="77" fillId="11" borderId="33" xfId="0" applyFont="1" applyFill="1" applyBorder="1" applyAlignment="1">
      <alignment horizontal="center"/>
    </xf>
    <xf numFmtId="168" fontId="70" fillId="11" borderId="33" xfId="0" applyNumberFormat="1" applyFont="1" applyFill="1" applyBorder="1" applyAlignment="1">
      <alignment horizontal="center"/>
    </xf>
    <xf numFmtId="0" fontId="70" fillId="11" borderId="33" xfId="0" applyFont="1" applyFill="1" applyBorder="1" applyAlignment="1">
      <alignment horizontal="center"/>
    </xf>
    <xf numFmtId="0" fontId="77" fillId="10" borderId="33" xfId="0" applyFont="1" applyFill="1" applyBorder="1"/>
    <xf numFmtId="0" fontId="78" fillId="10" borderId="33" xfId="0" applyFont="1" applyFill="1" applyBorder="1"/>
    <xf numFmtId="3" fontId="70" fillId="10" borderId="33" xfId="0" applyNumberFormat="1" applyFont="1" applyFill="1" applyBorder="1" applyAlignment="1">
      <alignment horizontal="center"/>
    </xf>
    <xf numFmtId="0" fontId="70" fillId="10" borderId="33" xfId="0" applyFont="1" applyFill="1" applyBorder="1"/>
    <xf numFmtId="168" fontId="75" fillId="10" borderId="33" xfId="0" applyNumberFormat="1" applyFont="1" applyFill="1" applyBorder="1" applyAlignment="1">
      <alignment horizontal="center"/>
    </xf>
    <xf numFmtId="0" fontId="77" fillId="10" borderId="33" xfId="0" applyFont="1" applyFill="1" applyBorder="1" applyAlignment="1">
      <alignment horizontal="center"/>
    </xf>
    <xf numFmtId="168" fontId="70" fillId="10" borderId="33" xfId="0" applyNumberFormat="1" applyFont="1" applyFill="1" applyBorder="1" applyAlignment="1">
      <alignment horizontal="center"/>
    </xf>
    <xf numFmtId="0" fontId="70" fillId="10" borderId="33" xfId="0" applyFont="1" applyFill="1" applyBorder="1" applyAlignment="1">
      <alignment horizontal="center"/>
    </xf>
    <xf numFmtId="0" fontId="69" fillId="8" borderId="0" xfId="0" applyFont="1" applyFill="1" applyBorder="1" applyAlignment="1">
      <alignment horizontal="center" vertical="center"/>
    </xf>
    <xf numFmtId="0" fontId="65" fillId="8" borderId="23" xfId="0" applyFont="1" applyFill="1" applyBorder="1" applyAlignment="1">
      <alignment horizontal="center"/>
    </xf>
    <xf numFmtId="168" fontId="65" fillId="8" borderId="23" xfId="0" applyNumberFormat="1" applyFont="1" applyFill="1" applyBorder="1" applyAlignment="1">
      <alignment horizontal="center"/>
    </xf>
    <xf numFmtId="49" fontId="65" fillId="8" borderId="23" xfId="0" applyNumberFormat="1" applyFont="1" applyFill="1" applyBorder="1" applyAlignment="1">
      <alignment horizontal="center"/>
    </xf>
    <xf numFmtId="190" fontId="65" fillId="8" borderId="23" xfId="0" applyNumberFormat="1" applyFont="1" applyFill="1" applyBorder="1" applyAlignment="1">
      <alignment horizontal="center"/>
    </xf>
    <xf numFmtId="2" fontId="65" fillId="8" borderId="23" xfId="0" applyNumberFormat="1" applyFont="1" applyFill="1" applyBorder="1" applyAlignment="1">
      <alignment horizontal="center"/>
    </xf>
    <xf numFmtId="184" fontId="65" fillId="8" borderId="23" xfId="0" applyNumberFormat="1" applyFont="1" applyFill="1" applyBorder="1" applyAlignment="1">
      <alignment horizontal="center"/>
    </xf>
    <xf numFmtId="168" fontId="66" fillId="8" borderId="23" xfId="0" applyNumberFormat="1" applyFont="1" applyFill="1" applyBorder="1" applyAlignment="1">
      <alignment horizontal="center"/>
    </xf>
    <xf numFmtId="0" fontId="67" fillId="8" borderId="23" xfId="0" applyFont="1" applyFill="1" applyBorder="1" applyAlignment="1">
      <alignment horizontal="center"/>
    </xf>
    <xf numFmtId="2" fontId="66" fillId="8" borderId="23" xfId="0" applyNumberFormat="1" applyFont="1" applyFill="1" applyBorder="1" applyAlignment="1">
      <alignment horizontal="center"/>
    </xf>
    <xf numFmtId="0" fontId="16" fillId="2" borderId="31" xfId="0" applyFont="1" applyFill="1" applyBorder="1"/>
    <xf numFmtId="166" fontId="68" fillId="6" borderId="6" xfId="0" applyNumberFormat="1" applyFont="1" applyFill="1" applyBorder="1" applyAlignment="1">
      <alignment horizontal="center"/>
    </xf>
    <xf numFmtId="190" fontId="70" fillId="10" borderId="21" xfId="0" applyNumberFormat="1" applyFont="1" applyFill="1" applyBorder="1" applyAlignment="1">
      <alignment horizontal="center"/>
    </xf>
    <xf numFmtId="190" fontId="70" fillId="11" borderId="32" xfId="0" applyNumberFormat="1" applyFont="1" applyFill="1" applyBorder="1" applyAlignment="1">
      <alignment horizontal="center"/>
    </xf>
    <xf numFmtId="190" fontId="70" fillId="11" borderId="33" xfId="0" applyNumberFormat="1" applyFont="1" applyFill="1" applyBorder="1" applyAlignment="1">
      <alignment horizontal="center"/>
    </xf>
    <xf numFmtId="190" fontId="70" fillId="10" borderId="33" xfId="0" applyNumberFormat="1" applyFont="1" applyFill="1" applyBorder="1" applyAlignment="1">
      <alignment horizontal="center"/>
    </xf>
    <xf numFmtId="166" fontId="16" fillId="2" borderId="31" xfId="0" applyNumberFormat="1" applyFont="1" applyFill="1" applyBorder="1"/>
    <xf numFmtId="167" fontId="68" fillId="6" borderId="6" xfId="0" applyNumberFormat="1" applyFont="1" applyFill="1" applyBorder="1" applyAlignment="1">
      <alignment horizontal="center"/>
    </xf>
    <xf numFmtId="166" fontId="77" fillId="10" borderId="21" xfId="0" applyNumberFormat="1" applyFont="1" applyFill="1" applyBorder="1"/>
    <xf numFmtId="166" fontId="77" fillId="11" borderId="32" xfId="0" applyNumberFormat="1" applyFont="1" applyFill="1" applyBorder="1"/>
    <xf numFmtId="166" fontId="77" fillId="11" borderId="33" xfId="0" applyNumberFormat="1" applyFont="1" applyFill="1" applyBorder="1"/>
    <xf numFmtId="166" fontId="77" fillId="10" borderId="33" xfId="0" applyNumberFormat="1" applyFont="1" applyFill="1" applyBorder="1"/>
    <xf numFmtId="0" fontId="63" fillId="6" borderId="0" xfId="0" applyFont="1" applyFill="1" applyBorder="1" applyAlignment="1">
      <alignment horizontal="center"/>
    </xf>
    <xf numFmtId="168" fontId="63" fillId="6" borderId="0" xfId="0" applyNumberFormat="1" applyFont="1" applyFill="1" applyBorder="1" applyAlignment="1">
      <alignment horizontal="center"/>
    </xf>
    <xf numFmtId="0" fontId="71" fillId="10" borderId="21" xfId="0" applyFont="1" applyFill="1" applyBorder="1"/>
    <xf numFmtId="168" fontId="71" fillId="10" borderId="21" xfId="0" applyNumberFormat="1" applyFont="1" applyFill="1" applyBorder="1"/>
    <xf numFmtId="0" fontId="71" fillId="11" borderId="32" xfId="0" applyFont="1" applyFill="1" applyBorder="1"/>
    <xf numFmtId="168" fontId="71" fillId="11" borderId="32" xfId="0" applyNumberFormat="1" applyFont="1" applyFill="1" applyBorder="1"/>
    <xf numFmtId="0" fontId="71" fillId="11" borderId="33" xfId="0" applyFont="1" applyFill="1" applyBorder="1"/>
    <xf numFmtId="168" fontId="71" fillId="11" borderId="33" xfId="0" applyNumberFormat="1" applyFont="1" applyFill="1" applyBorder="1"/>
    <xf numFmtId="0" fontId="71" fillId="10" borderId="32" xfId="0" applyFont="1" applyFill="1" applyBorder="1"/>
    <xf numFmtId="168" fontId="71" fillId="10" borderId="32" xfId="0" applyNumberFormat="1" applyFont="1" applyFill="1" applyBorder="1"/>
    <xf numFmtId="0" fontId="71" fillId="10" borderId="33" xfId="0" applyFont="1" applyFill="1" applyBorder="1"/>
    <xf numFmtId="168" fontId="71" fillId="10" borderId="33" xfId="0" applyNumberFormat="1" applyFont="1" applyFill="1" applyBorder="1"/>
    <xf numFmtId="0" fontId="62" fillId="10" borderId="21" xfId="0" applyFont="1" applyFill="1" applyBorder="1" applyAlignment="1">
      <alignment horizontal="center"/>
    </xf>
    <xf numFmtId="0" fontId="61" fillId="10" borderId="21" xfId="0" applyFont="1" applyFill="1" applyBorder="1" applyAlignment="1">
      <alignment horizontal="center"/>
    </xf>
    <xf numFmtId="199" fontId="62" fillId="10" borderId="21" xfId="0" applyNumberFormat="1" applyFont="1" applyFill="1" applyBorder="1" applyAlignment="1">
      <alignment horizontal="center"/>
    </xf>
    <xf numFmtId="168" fontId="62" fillId="10" borderId="21" xfId="0" applyNumberFormat="1" applyFont="1" applyFill="1" applyBorder="1" applyAlignment="1">
      <alignment horizontal="center"/>
    </xf>
    <xf numFmtId="0" fontId="62" fillId="11" borderId="33" xfId="0" applyFont="1" applyFill="1" applyBorder="1" applyAlignment="1">
      <alignment horizontal="center"/>
    </xf>
    <xf numFmtId="0" fontId="61" fillId="11" borderId="33" xfId="0" applyFont="1" applyFill="1" applyBorder="1" applyAlignment="1">
      <alignment horizontal="center"/>
    </xf>
    <xf numFmtId="199" fontId="62" fillId="11" borderId="33" xfId="0" applyNumberFormat="1" applyFont="1" applyFill="1" applyBorder="1" applyAlignment="1">
      <alignment horizontal="center"/>
    </xf>
    <xf numFmtId="168" fontId="62" fillId="11" borderId="33" xfId="0" applyNumberFormat="1" applyFont="1" applyFill="1" applyBorder="1" applyAlignment="1">
      <alignment horizontal="center"/>
    </xf>
    <xf numFmtId="0" fontId="76" fillId="10" borderId="33" xfId="0" applyFont="1" applyFill="1" applyBorder="1" applyAlignment="1">
      <alignment horizontal="center"/>
    </xf>
    <xf numFmtId="0" fontId="60" fillId="10" borderId="33" xfId="0" applyFont="1" applyFill="1" applyBorder="1" applyAlignment="1">
      <alignment horizontal="center"/>
    </xf>
    <xf numFmtId="199" fontId="62" fillId="10" borderId="33" xfId="0" applyNumberFormat="1" applyFont="1" applyFill="1" applyBorder="1" applyAlignment="1">
      <alignment horizontal="center"/>
    </xf>
    <xf numFmtId="168" fontId="62" fillId="10" borderId="33" xfId="0" applyNumberFormat="1" applyFont="1" applyFill="1" applyBorder="1" applyAlignment="1">
      <alignment horizontal="center"/>
    </xf>
    <xf numFmtId="0" fontId="76" fillId="11" borderId="33" xfId="0" applyFont="1" applyFill="1" applyBorder="1" applyAlignment="1">
      <alignment horizontal="center"/>
    </xf>
    <xf numFmtId="0" fontId="60" fillId="11" borderId="33" xfId="0" applyFont="1" applyFill="1" applyBorder="1" applyAlignment="1">
      <alignment horizontal="center"/>
    </xf>
    <xf numFmtId="0" fontId="79" fillId="10" borderId="33" xfId="0" applyFont="1" applyFill="1" applyBorder="1" applyAlignment="1">
      <alignment horizontal="center"/>
    </xf>
    <xf numFmtId="0" fontId="80" fillId="10" borderId="33" xfId="0" applyFont="1" applyFill="1" applyBorder="1" applyAlignment="1">
      <alignment horizontal="center"/>
    </xf>
    <xf numFmtId="168" fontId="79" fillId="10" borderId="33" xfId="0" applyNumberFormat="1" applyFont="1" applyFill="1" applyBorder="1" applyAlignment="1">
      <alignment horizontal="center"/>
    </xf>
    <xf numFmtId="0" fontId="79" fillId="11" borderId="33" xfId="0" applyFont="1" applyFill="1" applyBorder="1" applyAlignment="1">
      <alignment horizontal="center"/>
    </xf>
    <xf numFmtId="0" fontId="80" fillId="11" borderId="33" xfId="0" applyFont="1" applyFill="1" applyBorder="1" applyAlignment="1">
      <alignment horizontal="center"/>
    </xf>
    <xf numFmtId="168" fontId="79" fillId="11" borderId="33" xfId="0" applyNumberFormat="1" applyFont="1" applyFill="1" applyBorder="1" applyAlignment="1">
      <alignment horizontal="center"/>
    </xf>
    <xf numFmtId="0" fontId="62" fillId="11" borderId="32" xfId="0" applyFont="1" applyFill="1" applyBorder="1" applyAlignment="1">
      <alignment horizontal="center"/>
    </xf>
    <xf numFmtId="0" fontId="61" fillId="11" borderId="32" xfId="0" applyFont="1" applyFill="1" applyBorder="1" applyAlignment="1">
      <alignment horizontal="center"/>
    </xf>
    <xf numFmtId="199" fontId="62" fillId="11" borderId="32" xfId="0" applyNumberFormat="1" applyFont="1" applyFill="1" applyBorder="1" applyAlignment="1">
      <alignment horizontal="center"/>
    </xf>
    <xf numFmtId="168" fontId="62" fillId="11" borderId="32" xfId="0" applyNumberFormat="1" applyFont="1" applyFill="1" applyBorder="1" applyAlignment="1">
      <alignment horizontal="center"/>
    </xf>
    <xf numFmtId="49" fontId="74" fillId="8" borderId="19" xfId="0" applyNumberFormat="1" applyFont="1" applyFill="1" applyBorder="1" applyAlignment="1">
      <alignment horizontal="center" vertical="center"/>
    </xf>
    <xf numFmtId="168" fontId="73" fillId="12" borderId="33" xfId="0" applyNumberFormat="1" applyFont="1" applyFill="1" applyBorder="1" applyAlignment="1">
      <alignment horizontal="center"/>
    </xf>
    <xf numFmtId="0" fontId="76" fillId="10" borderId="21" xfId="0" applyFont="1" applyFill="1" applyBorder="1" applyAlignment="1">
      <alignment horizontal="center"/>
    </xf>
    <xf numFmtId="0" fontId="80" fillId="10" borderId="21" xfId="0" applyFont="1" applyFill="1" applyBorder="1" applyAlignment="1">
      <alignment horizontal="center"/>
    </xf>
    <xf numFmtId="0" fontId="62" fillId="10" borderId="33" xfId="0" applyFont="1" applyFill="1" applyBorder="1" applyAlignment="1">
      <alignment horizontal="center"/>
    </xf>
    <xf numFmtId="0" fontId="61" fillId="10" borderId="33" xfId="0" applyFont="1" applyFill="1" applyBorder="1" applyAlignment="1">
      <alignment horizontal="center"/>
    </xf>
    <xf numFmtId="207" fontId="61" fillId="10" borderId="21" xfId="0" applyNumberFormat="1" applyFont="1" applyFill="1" applyBorder="1" applyAlignment="1">
      <alignment horizontal="center"/>
    </xf>
    <xf numFmtId="207" fontId="61" fillId="11" borderId="33" xfId="0" applyNumberFormat="1" applyFont="1" applyFill="1" applyBorder="1" applyAlignment="1">
      <alignment horizontal="center"/>
    </xf>
    <xf numFmtId="207" fontId="61" fillId="10" borderId="33" xfId="0" applyNumberFormat="1" applyFont="1" applyFill="1" applyBorder="1" applyAlignment="1">
      <alignment horizontal="center"/>
    </xf>
    <xf numFmtId="207" fontId="80" fillId="10" borderId="33" xfId="0" applyNumberFormat="1" applyFont="1" applyFill="1" applyBorder="1" applyAlignment="1">
      <alignment horizontal="center"/>
    </xf>
    <xf numFmtId="207" fontId="80" fillId="11" borderId="33" xfId="0" applyNumberFormat="1" applyFont="1" applyFill="1" applyBorder="1" applyAlignment="1">
      <alignment horizontal="center"/>
    </xf>
    <xf numFmtId="207" fontId="61" fillId="11" borderId="32" xfId="0" applyNumberFormat="1" applyFont="1" applyFill="1" applyBorder="1" applyAlignment="1">
      <alignment horizontal="center"/>
    </xf>
    <xf numFmtId="207" fontId="62" fillId="10" borderId="21" xfId="0" applyNumberFormat="1" applyFont="1" applyFill="1" applyBorder="1" applyAlignment="1">
      <alignment horizontal="center"/>
    </xf>
    <xf numFmtId="207" fontId="62" fillId="11" borderId="33" xfId="0" applyNumberFormat="1" applyFont="1" applyFill="1" applyBorder="1" applyAlignment="1">
      <alignment horizontal="center"/>
    </xf>
    <xf numFmtId="207" fontId="79" fillId="10" borderId="33" xfId="0" applyNumberFormat="1" applyFont="1" applyFill="1" applyBorder="1" applyAlignment="1">
      <alignment horizontal="center"/>
    </xf>
    <xf numFmtId="207" fontId="79" fillId="11" borderId="33" xfId="0" applyNumberFormat="1" applyFont="1" applyFill="1" applyBorder="1" applyAlignment="1">
      <alignment horizontal="center"/>
    </xf>
    <xf numFmtId="207" fontId="62" fillId="11" borderId="32" xfId="0" applyNumberFormat="1" applyFont="1" applyFill="1" applyBorder="1" applyAlignment="1">
      <alignment horizontal="center"/>
    </xf>
    <xf numFmtId="199" fontId="79" fillId="10" borderId="33" xfId="0" applyNumberFormat="1" applyFont="1" applyFill="1" applyBorder="1" applyAlignment="1">
      <alignment horizontal="center"/>
    </xf>
    <xf numFmtId="199" fontId="79" fillId="11" borderId="33" xfId="0" applyNumberFormat="1" applyFont="1" applyFill="1" applyBorder="1" applyAlignment="1">
      <alignment horizontal="center"/>
    </xf>
    <xf numFmtId="208" fontId="65" fillId="8" borderId="19" xfId="0" applyNumberFormat="1" applyFont="1" applyFill="1" applyBorder="1" applyAlignment="1">
      <alignment horizontal="center" vertical="center"/>
    </xf>
    <xf numFmtId="209" fontId="66" fillId="8" borderId="19" xfId="0" applyNumberFormat="1" applyFont="1" applyFill="1" applyBorder="1" applyAlignment="1">
      <alignment horizontal="center" vertical="center"/>
    </xf>
    <xf numFmtId="210" fontId="66" fillId="8" borderId="19" xfId="0" applyNumberFormat="1" applyFont="1" applyFill="1" applyBorder="1" applyAlignment="1">
      <alignment horizontal="center"/>
    </xf>
    <xf numFmtId="211" fontId="70" fillId="10" borderId="21" xfId="0" applyNumberFormat="1" applyFont="1" applyFill="1" applyBorder="1" applyAlignment="1">
      <alignment horizontal="center"/>
    </xf>
    <xf numFmtId="211" fontId="70" fillId="11" borderId="33" xfId="0" applyNumberFormat="1" applyFont="1" applyFill="1" applyBorder="1" applyAlignment="1">
      <alignment horizontal="center"/>
    </xf>
    <xf numFmtId="211" fontId="70" fillId="10" borderId="33" xfId="0" applyNumberFormat="1" applyFont="1" applyFill="1" applyBorder="1" applyAlignment="1">
      <alignment horizontal="center"/>
    </xf>
    <xf numFmtId="211" fontId="70" fillId="11" borderId="32" xfId="0" applyNumberFormat="1" applyFont="1" applyFill="1" applyBorder="1" applyAlignment="1">
      <alignment horizontal="center"/>
    </xf>
    <xf numFmtId="208" fontId="70" fillId="10" borderId="21" xfId="0" applyNumberFormat="1" applyFont="1" applyFill="1" applyBorder="1" applyAlignment="1">
      <alignment horizontal="center"/>
    </xf>
    <xf numFmtId="208" fontId="70" fillId="11" borderId="33" xfId="0" applyNumberFormat="1" applyFont="1" applyFill="1" applyBorder="1" applyAlignment="1">
      <alignment horizontal="center"/>
    </xf>
    <xf numFmtId="208" fontId="70" fillId="10" borderId="33" xfId="0" applyNumberFormat="1" applyFont="1" applyFill="1" applyBorder="1" applyAlignment="1">
      <alignment horizontal="center"/>
    </xf>
    <xf numFmtId="208" fontId="70" fillId="11" borderId="32" xfId="0" applyNumberFormat="1" applyFont="1" applyFill="1" applyBorder="1" applyAlignment="1">
      <alignment horizontal="center"/>
    </xf>
    <xf numFmtId="210" fontId="62" fillId="10" borderId="21" xfId="0" applyNumberFormat="1" applyFont="1" applyFill="1" applyBorder="1" applyAlignment="1">
      <alignment horizontal="center"/>
    </xf>
    <xf numFmtId="210" fontId="79" fillId="11" borderId="33" xfId="0" applyNumberFormat="1" applyFont="1" applyFill="1" applyBorder="1" applyAlignment="1">
      <alignment horizontal="center"/>
    </xf>
    <xf numFmtId="210" fontId="79" fillId="10" borderId="33" xfId="0" applyNumberFormat="1" applyFont="1" applyFill="1" applyBorder="1" applyAlignment="1">
      <alignment horizontal="center"/>
    </xf>
    <xf numFmtId="210" fontId="62" fillId="11" borderId="33" xfId="0" applyNumberFormat="1" applyFont="1" applyFill="1" applyBorder="1" applyAlignment="1">
      <alignment horizontal="center"/>
    </xf>
    <xf numFmtId="210" fontId="62" fillId="10" borderId="33" xfId="0" applyNumberFormat="1" applyFont="1" applyFill="1" applyBorder="1" applyAlignment="1">
      <alignment horizontal="center"/>
    </xf>
    <xf numFmtId="210" fontId="62" fillId="11" borderId="32" xfId="0" applyNumberFormat="1" applyFont="1" applyFill="1" applyBorder="1" applyAlignment="1">
      <alignment horizontal="center"/>
    </xf>
    <xf numFmtId="209" fontId="61" fillId="10" borderId="21" xfId="0" applyNumberFormat="1" applyFont="1" applyFill="1" applyBorder="1" applyAlignment="1">
      <alignment horizontal="center"/>
    </xf>
    <xf numFmtId="209" fontId="61" fillId="11" borderId="33" xfId="0" applyNumberFormat="1" applyFont="1" applyFill="1" applyBorder="1" applyAlignment="1">
      <alignment horizontal="center"/>
    </xf>
    <xf numFmtId="209" fontId="61" fillId="10" borderId="33" xfId="0" applyNumberFormat="1" applyFont="1" applyFill="1" applyBorder="1" applyAlignment="1">
      <alignment horizontal="center"/>
    </xf>
    <xf numFmtId="209" fontId="80" fillId="10" borderId="33" xfId="0" applyNumberFormat="1" applyFont="1" applyFill="1" applyBorder="1" applyAlignment="1">
      <alignment horizontal="center"/>
    </xf>
    <xf numFmtId="209" fontId="80" fillId="11" borderId="33" xfId="0" applyNumberFormat="1" applyFont="1" applyFill="1" applyBorder="1" applyAlignment="1">
      <alignment horizontal="center"/>
    </xf>
    <xf numFmtId="209" fontId="61" fillId="11" borderId="32" xfId="0" applyNumberFormat="1" applyFont="1" applyFill="1" applyBorder="1" applyAlignment="1">
      <alignment horizontal="center"/>
    </xf>
    <xf numFmtId="208" fontId="65" fillId="8" borderId="23" xfId="0" applyNumberFormat="1" applyFont="1" applyFill="1" applyBorder="1" applyAlignment="1">
      <alignment horizontal="center" vertical="center"/>
    </xf>
    <xf numFmtId="212" fontId="9" fillId="8" borderId="19" xfId="0" applyNumberFormat="1" applyFont="1" applyFill="1" applyBorder="1" applyAlignment="1">
      <alignment horizontal="center"/>
    </xf>
    <xf numFmtId="211" fontId="55" fillId="10" borderId="21" xfId="0" applyNumberFormat="1" applyFont="1" applyFill="1" applyBorder="1" applyAlignment="1">
      <alignment horizontal="center"/>
    </xf>
    <xf numFmtId="211" fontId="55" fillId="11" borderId="33" xfId="0" applyNumberFormat="1" applyFont="1" applyFill="1" applyBorder="1" applyAlignment="1">
      <alignment horizontal="center"/>
    </xf>
    <xf numFmtId="211" fontId="55" fillId="10" borderId="33" xfId="0" applyNumberFormat="1" applyFont="1" applyFill="1" applyBorder="1" applyAlignment="1">
      <alignment horizontal="center"/>
    </xf>
    <xf numFmtId="211" fontId="55" fillId="11" borderId="32" xfId="0" applyNumberFormat="1" applyFont="1" applyFill="1" applyBorder="1" applyAlignment="1">
      <alignment horizontal="center"/>
    </xf>
    <xf numFmtId="213" fontId="55" fillId="10" borderId="21" xfId="0" applyNumberFormat="1" applyFont="1" applyFill="1" applyBorder="1" applyAlignment="1">
      <alignment horizontal="center"/>
    </xf>
    <xf numFmtId="213" fontId="55" fillId="11" borderId="33" xfId="0" applyNumberFormat="1" applyFont="1" applyFill="1" applyBorder="1" applyAlignment="1">
      <alignment horizontal="center"/>
    </xf>
    <xf numFmtId="213" fontId="55" fillId="10" borderId="33" xfId="0" applyNumberFormat="1" applyFont="1" applyFill="1" applyBorder="1" applyAlignment="1">
      <alignment horizontal="center"/>
    </xf>
    <xf numFmtId="213" fontId="55" fillId="11" borderId="32" xfId="0" applyNumberFormat="1" applyFont="1" applyFill="1" applyBorder="1" applyAlignment="1">
      <alignment horizontal="center"/>
    </xf>
    <xf numFmtId="211" fontId="30" fillId="9" borderId="25" xfId="0" applyNumberFormat="1" applyFont="1" applyFill="1" applyBorder="1"/>
    <xf numFmtId="211" fontId="30" fillId="5" borderId="14" xfId="0" applyNumberFormat="1" applyFont="1" applyFill="1" applyBorder="1"/>
    <xf numFmtId="211" fontId="30" fillId="9" borderId="14" xfId="0" applyNumberFormat="1" applyFont="1" applyFill="1" applyBorder="1"/>
    <xf numFmtId="211" fontId="30" fillId="5" borderId="17" xfId="0" applyNumberFormat="1" applyFont="1" applyFill="1" applyBorder="1"/>
    <xf numFmtId="208" fontId="46" fillId="9" borderId="20" xfId="0" applyNumberFormat="1" applyFont="1" applyFill="1" applyBorder="1" applyAlignment="1">
      <alignment horizontal="center"/>
    </xf>
    <xf numFmtId="208" fontId="33" fillId="9" borderId="20" xfId="0" applyNumberFormat="1" applyFont="1" applyFill="1" applyBorder="1" applyAlignment="1">
      <alignment horizontal="center"/>
    </xf>
    <xf numFmtId="208" fontId="30" fillId="9" borderId="21" xfId="0" applyNumberFormat="1" applyFont="1" applyFill="1" applyBorder="1" applyAlignment="1">
      <alignment horizontal="center"/>
    </xf>
    <xf numFmtId="208" fontId="30" fillId="5" borderId="5" xfId="0" applyNumberFormat="1" applyFont="1" applyFill="1" applyBorder="1" applyAlignment="1">
      <alignment horizontal="center"/>
    </xf>
    <xf numFmtId="208" fontId="30" fillId="9" borderId="5" xfId="0" applyNumberFormat="1" applyFont="1" applyFill="1" applyBorder="1" applyAlignment="1">
      <alignment horizontal="center"/>
    </xf>
    <xf numFmtId="208" fontId="30" fillId="5" borderId="3" xfId="0" applyNumberFormat="1" applyFont="1" applyFill="1" applyBorder="1" applyAlignment="1">
      <alignment horizontal="center"/>
    </xf>
    <xf numFmtId="211" fontId="30" fillId="9" borderId="21" xfId="0" applyNumberFormat="1" applyFont="1" applyFill="1" applyBorder="1" applyAlignment="1">
      <alignment horizontal="center"/>
    </xf>
    <xf numFmtId="211" fontId="30" fillId="5" borderId="5" xfId="0" applyNumberFormat="1" applyFont="1" applyFill="1" applyBorder="1" applyAlignment="1">
      <alignment horizontal="center"/>
    </xf>
    <xf numFmtId="211" fontId="30" fillId="9" borderId="5" xfId="0" applyNumberFormat="1" applyFont="1" applyFill="1" applyBorder="1" applyAlignment="1">
      <alignment horizontal="center"/>
    </xf>
    <xf numFmtId="211" fontId="30" fillId="5" borderId="3" xfId="0" applyNumberFormat="1" applyFont="1" applyFill="1" applyBorder="1" applyAlignment="1">
      <alignment horizontal="center"/>
    </xf>
    <xf numFmtId="208" fontId="30" fillId="9" borderId="0" xfId="0" applyNumberFormat="1" applyFont="1" applyFill="1" applyAlignment="1">
      <alignment horizontal="center"/>
    </xf>
    <xf numFmtId="208" fontId="30" fillId="5" borderId="0" xfId="0" applyNumberFormat="1" applyFont="1" applyFill="1" applyAlignment="1">
      <alignment horizontal="center"/>
    </xf>
    <xf numFmtId="209" fontId="42" fillId="9" borderId="21" xfId="0" applyNumberFormat="1" applyFont="1" applyFill="1" applyBorder="1" applyAlignment="1">
      <alignment horizontal="center"/>
    </xf>
    <xf numFmtId="207" fontId="42" fillId="9" borderId="21" xfId="0" applyNumberFormat="1" applyFont="1" applyFill="1" applyBorder="1" applyAlignment="1">
      <alignment horizontal="center"/>
    </xf>
    <xf numFmtId="209" fontId="42" fillId="5" borderId="5" xfId="0" applyNumberFormat="1" applyFont="1" applyFill="1" applyBorder="1" applyAlignment="1">
      <alignment horizontal="center"/>
    </xf>
    <xf numFmtId="207" fontId="42" fillId="5" borderId="5" xfId="0" applyNumberFormat="1" applyFont="1" applyFill="1" applyBorder="1" applyAlignment="1">
      <alignment horizontal="center"/>
    </xf>
    <xf numFmtId="209" fontId="42" fillId="9" borderId="5" xfId="0" applyNumberFormat="1" applyFont="1" applyFill="1" applyBorder="1" applyAlignment="1">
      <alignment horizontal="center"/>
    </xf>
    <xf numFmtId="207" fontId="42" fillId="9" borderId="5" xfId="0" applyNumberFormat="1" applyFont="1" applyFill="1" applyBorder="1" applyAlignment="1">
      <alignment horizontal="center"/>
    </xf>
    <xf numFmtId="209" fontId="58" fillId="9" borderId="5" xfId="0" applyNumberFormat="1" applyFont="1" applyFill="1" applyBorder="1" applyAlignment="1">
      <alignment horizontal="center"/>
    </xf>
    <xf numFmtId="207" fontId="58" fillId="9" borderId="5" xfId="0" applyNumberFormat="1" applyFont="1" applyFill="1" applyBorder="1" applyAlignment="1">
      <alignment horizontal="center"/>
    </xf>
    <xf numFmtId="209" fontId="58" fillId="5" borderId="5" xfId="0" applyNumberFormat="1" applyFont="1" applyFill="1" applyBorder="1" applyAlignment="1">
      <alignment horizontal="center"/>
    </xf>
    <xf numFmtId="207" fontId="58" fillId="5" borderId="5" xfId="0" applyNumberFormat="1" applyFont="1" applyFill="1" applyBorder="1" applyAlignment="1">
      <alignment horizontal="center"/>
    </xf>
    <xf numFmtId="209" fontId="42" fillId="5" borderId="3" xfId="0" applyNumberFormat="1" applyFont="1" applyFill="1" applyBorder="1" applyAlignment="1">
      <alignment horizontal="center"/>
    </xf>
    <xf numFmtId="207" fontId="42" fillId="5" borderId="3" xfId="0" applyNumberFormat="1" applyFont="1" applyFill="1" applyBorder="1" applyAlignment="1">
      <alignment horizontal="center"/>
    </xf>
    <xf numFmtId="211" fontId="30" fillId="9" borderId="21" xfId="0" applyNumberFormat="1" applyFont="1" applyFill="1" applyBorder="1"/>
    <xf numFmtId="211" fontId="30" fillId="5" borderId="5" xfId="0" applyNumberFormat="1" applyFont="1" applyFill="1" applyBorder="1"/>
    <xf numFmtId="211" fontId="30" fillId="9" borderId="5" xfId="0" applyNumberFormat="1" applyFont="1" applyFill="1" applyBorder="1"/>
    <xf numFmtId="211" fontId="30" fillId="5" borderId="3" xfId="0" applyNumberFormat="1" applyFont="1" applyFill="1" applyBorder="1"/>
    <xf numFmtId="215" fontId="30" fillId="9" borderId="21" xfId="0" applyNumberFormat="1" applyFont="1" applyFill="1" applyBorder="1"/>
    <xf numFmtId="215" fontId="30" fillId="5" borderId="5" xfId="0" applyNumberFormat="1" applyFont="1" applyFill="1" applyBorder="1"/>
    <xf numFmtId="215" fontId="30" fillId="9" borderId="5" xfId="0" applyNumberFormat="1" applyFont="1" applyFill="1" applyBorder="1"/>
    <xf numFmtId="215" fontId="30" fillId="5" borderId="3" xfId="0" applyNumberFormat="1" applyFont="1" applyFill="1" applyBorder="1"/>
    <xf numFmtId="207" fontId="42" fillId="5" borderId="21" xfId="0" applyNumberFormat="1" applyFont="1" applyFill="1" applyBorder="1" applyAlignment="1">
      <alignment horizontal="center"/>
    </xf>
    <xf numFmtId="207" fontId="42" fillId="9" borderId="3" xfId="0" applyNumberFormat="1" applyFont="1" applyFill="1" applyBorder="1" applyAlignment="1">
      <alignment horizontal="center"/>
    </xf>
    <xf numFmtId="207" fontId="23" fillId="8" borderId="22" xfId="0" applyNumberFormat="1" applyFont="1" applyFill="1" applyBorder="1" applyAlignment="1">
      <alignment horizontal="center"/>
    </xf>
    <xf numFmtId="207" fontId="59" fillId="8" borderId="22" xfId="0" applyNumberFormat="1" applyFont="1" applyFill="1" applyBorder="1" applyAlignment="1">
      <alignment horizontal="center"/>
    </xf>
    <xf numFmtId="216" fontId="62" fillId="10" borderId="21" xfId="0" applyNumberFormat="1" applyFont="1" applyFill="1" applyBorder="1" applyAlignment="1">
      <alignment horizontal="center"/>
    </xf>
    <xf numFmtId="216" fontId="79" fillId="11" borderId="33" xfId="0" applyNumberFormat="1" applyFont="1" applyFill="1" applyBorder="1" applyAlignment="1">
      <alignment horizontal="center"/>
    </xf>
    <xf numFmtId="216" fontId="79" fillId="10" borderId="33" xfId="0" applyNumberFormat="1" applyFont="1" applyFill="1" applyBorder="1" applyAlignment="1">
      <alignment horizontal="center"/>
    </xf>
    <xf numFmtId="216" fontId="62" fillId="11" borderId="33" xfId="0" applyNumberFormat="1" applyFont="1" applyFill="1" applyBorder="1" applyAlignment="1">
      <alignment horizontal="center"/>
    </xf>
    <xf numFmtId="216" fontId="62" fillId="10" borderId="33" xfId="0" applyNumberFormat="1" applyFont="1" applyFill="1" applyBorder="1" applyAlignment="1">
      <alignment horizontal="center"/>
    </xf>
    <xf numFmtId="216" fontId="62" fillId="11" borderId="32" xfId="0" applyNumberFormat="1" applyFont="1" applyFill="1" applyBorder="1" applyAlignment="1">
      <alignment horizontal="center"/>
    </xf>
    <xf numFmtId="217" fontId="65" fillId="8" borderId="23" xfId="0" applyNumberFormat="1" applyFont="1" applyFill="1" applyBorder="1" applyAlignment="1">
      <alignment horizontal="center"/>
    </xf>
    <xf numFmtId="208" fontId="63" fillId="6" borderId="0" xfId="0" applyNumberFormat="1" applyFont="1" applyFill="1" applyBorder="1" applyAlignment="1">
      <alignment horizontal="center"/>
    </xf>
    <xf numFmtId="208" fontId="71" fillId="10" borderId="21" xfId="0" applyNumberFormat="1" applyFont="1" applyFill="1" applyBorder="1"/>
    <xf numFmtId="208" fontId="71" fillId="11" borderId="33" xfId="0" applyNumberFormat="1" applyFont="1" applyFill="1" applyBorder="1"/>
    <xf numFmtId="208" fontId="71" fillId="10" borderId="32" xfId="0" applyNumberFormat="1" applyFont="1" applyFill="1" applyBorder="1"/>
    <xf numFmtId="208" fontId="71" fillId="10" borderId="33" xfId="0" applyNumberFormat="1" applyFont="1" applyFill="1" applyBorder="1"/>
    <xf numFmtId="208" fontId="71" fillId="11" borderId="32" xfId="0" applyNumberFormat="1" applyFont="1" applyFill="1" applyBorder="1"/>
    <xf numFmtId="208" fontId="50" fillId="5" borderId="12" xfId="0" applyNumberFormat="1" applyFont="1" applyFill="1" applyBorder="1" applyAlignment="1">
      <alignment horizontal="center"/>
    </xf>
    <xf numFmtId="208" fontId="50" fillId="9" borderId="12" xfId="0" applyNumberFormat="1" applyFont="1" applyFill="1" applyBorder="1" applyAlignment="1">
      <alignment horizontal="center"/>
    </xf>
    <xf numFmtId="208" fontId="50" fillId="9" borderId="11" xfId="0" applyNumberFormat="1" applyFont="1" applyFill="1" applyBorder="1" applyAlignment="1">
      <alignment horizontal="center"/>
    </xf>
    <xf numFmtId="168" fontId="73" fillId="12" borderId="21" xfId="0" applyNumberFormat="1" applyFont="1" applyFill="1" applyBorder="1" applyAlignment="1">
      <alignment horizontal="center"/>
    </xf>
    <xf numFmtId="168" fontId="73" fillId="12" borderId="32" xfId="0" applyNumberFormat="1" applyFont="1" applyFill="1" applyBorder="1" applyAlignment="1">
      <alignment horizontal="center"/>
    </xf>
  </cellXfs>
  <cellStyles count="1">
    <cellStyle name="Normal" xfId="0" builtinId="0"/>
  </cellStyles>
  <dxfs count="249">
    <dxf>
      <font>
        <color rgb="FFEF4444"/>
      </font>
    </dxf>
    <dxf>
      <font>
        <color rgb="FF10B981"/>
      </font>
    </dxf>
    <dxf>
      <font>
        <color rgb="FFEF4444"/>
      </font>
    </dxf>
    <dxf>
      <font>
        <color rgb="FFF59E0B"/>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F59E0B"/>
      </font>
    </dxf>
    <dxf>
      <font>
        <color rgb="FF10B981"/>
      </font>
    </dxf>
    <dxf>
      <font>
        <color rgb="FFEF4444"/>
      </font>
    </dxf>
    <dxf>
      <font>
        <color rgb="FFF59E0B"/>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10B981"/>
      </font>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1"/>
      </font>
    </dxf>
    <dxf>
      <font>
        <sz val="11"/>
      </font>
    </dxf>
    <dxf>
      <font>
        <sz val="11"/>
      </font>
    </dxf>
    <dxf>
      <font>
        <sz val="11"/>
      </font>
    </dxf>
    <dxf>
      <font>
        <sz val="11"/>
      </font>
    </dxf>
    <dxf>
      <font>
        <sz val="11"/>
      </font>
    </dxf>
    <dxf>
      <font>
        <b val="0"/>
        <sz val="11"/>
        <color rgb="FF1E293B"/>
        <name val="Calibri"/>
      </font>
      <fill>
        <patternFill patternType="solid">
          <fgColor indexed="64"/>
          <bgColor rgb="FFFFFFFF"/>
        </patternFill>
      </fill>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
      <font>
        <b/>
        <i val="0"/>
        <color rgb="FFFFFFFF"/>
      </font>
    </dxf>
    <dxf>
      <font>
        <b/>
        <i val="0"/>
        <color rgb="FFFFFFFF"/>
      </font>
    </dxf>
    <dxf>
      <font>
        <b/>
        <i val="0"/>
        <color rgb="FFFFFFFF"/>
      </font>
    </dxf>
    <dxf>
      <font>
        <color rgb="FFEF4444"/>
      </font>
    </dxf>
    <dxf>
      <font>
        <color rgb="FF4ADE80"/>
      </font>
    </dxf>
    <dxf>
      <font>
        <color rgb="FFEF4444"/>
      </font>
    </dxf>
    <dxf>
      <font>
        <color rgb="FFFBBF24"/>
      </font>
    </dxf>
    <dxf>
      <font>
        <color rgb="FF4ADE80"/>
      </font>
    </dxf>
    <dxf>
      <font>
        <color rgb="FF4ADE80"/>
      </font>
    </dxf>
    <dxf>
      <font>
        <color rgb="FFFBBF24"/>
      </font>
    </dxf>
    <dxf>
      <font>
        <color rgb="FFEF4444"/>
      </font>
    </dxf>
    <dxf>
      <font>
        <color rgb="FFFF0000"/>
      </font>
    </dxf>
    <dxf>
      <font>
        <color rgb="FF00FF00"/>
      </font>
    </dxf>
    <dxf>
      <font>
        <color rgb="FFFF0000"/>
      </font>
    </dxf>
    <dxf>
      <font>
        <color rgb="FF00FF00"/>
      </font>
    </dxf>
    <dxf>
      <font>
        <color rgb="FFFF0000"/>
      </font>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9"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top style="thin">
          <color rgb="FFE9ECEF"/>
        </top>
      </border>
    </dxf>
    <dxf>
      <border diagonalUp="0" diagonalDown="0">
        <left/>
        <right/>
        <top/>
        <bottom/>
      </border>
    </dxf>
    <dxf>
      <border outline="0">
        <top style="thin">
          <color rgb="FFD9D9D9"/>
        </top>
      </border>
    </dxf>
    <dxf>
      <border outline="0">
        <right style="thin">
          <color rgb="FFD9D9D9"/>
        </right>
        <top style="thin">
          <color rgb="FF417A85"/>
        </top>
        <bottom style="thin">
          <color rgb="FF417A85"/>
        </bottom>
      </border>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Array" Target="richData/rdarray.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Total Return %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Dashboard!$V$1</c:f>
              <c:strCache>
                <c:ptCount val="1"/>
                <c:pt idx="0">
                  <c:v>Return %</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96C6-47C8-9824-64BE1B616DD2}"/>
              </c:ext>
            </c:extLst>
          </c:dPt>
          <c:dPt>
            <c:idx val="1"/>
            <c:invertIfNegative val="0"/>
            <c:bubble3D val="0"/>
            <c:spPr>
              <a:solidFill>
                <a:srgbClr val="4ADE80"/>
              </a:solidFill>
              <a:ln>
                <a:noFill/>
              </a:ln>
              <a:effectLst/>
            </c:spPr>
            <c:extLst>
              <c:ext xmlns:c16="http://schemas.microsoft.com/office/drawing/2014/chart" uri="{C3380CC4-5D6E-409C-BE32-E72D297353CC}">
                <c16:uniqueId val="{00000002-96C6-47C8-9824-64BE1B616DD2}"/>
              </c:ext>
            </c:extLst>
          </c:dPt>
          <c:dPt>
            <c:idx val="2"/>
            <c:invertIfNegative val="0"/>
            <c:bubble3D val="0"/>
            <c:spPr>
              <a:solidFill>
                <a:srgbClr val="4ADE80"/>
              </a:solidFill>
              <a:ln>
                <a:noFill/>
              </a:ln>
              <a:effectLst/>
            </c:spPr>
            <c:extLst>
              <c:ext xmlns:c16="http://schemas.microsoft.com/office/drawing/2014/chart" uri="{C3380CC4-5D6E-409C-BE32-E72D297353CC}">
                <c16:uniqueId val="{00000003-96C6-47C8-9824-64BE1B616DD2}"/>
              </c:ext>
            </c:extLst>
          </c:dPt>
          <c:dPt>
            <c:idx val="3"/>
            <c:invertIfNegative val="0"/>
            <c:bubble3D val="0"/>
            <c:spPr>
              <a:solidFill>
                <a:srgbClr val="4ADE80"/>
              </a:solidFill>
              <a:ln>
                <a:noFill/>
              </a:ln>
              <a:effectLst/>
            </c:spPr>
            <c:extLst>
              <c:ext xmlns:c16="http://schemas.microsoft.com/office/drawing/2014/chart" uri="{C3380CC4-5D6E-409C-BE32-E72D297353CC}">
                <c16:uniqueId val="{00000004-96C6-47C8-9824-64BE1B616DD2}"/>
              </c:ext>
            </c:extLst>
          </c:dPt>
          <c:dPt>
            <c:idx val="4"/>
            <c:invertIfNegative val="0"/>
            <c:bubble3D val="0"/>
            <c:spPr>
              <a:solidFill>
                <a:srgbClr val="4ADE80"/>
              </a:solidFill>
              <a:ln>
                <a:noFill/>
              </a:ln>
              <a:effectLst/>
            </c:spPr>
            <c:extLst>
              <c:ext xmlns:c16="http://schemas.microsoft.com/office/drawing/2014/chart" uri="{C3380CC4-5D6E-409C-BE32-E72D297353CC}">
                <c16:uniqueId val="{00000005-96C6-47C8-9824-64BE1B616DD2}"/>
              </c:ext>
            </c:extLst>
          </c:dPt>
          <c:dPt>
            <c:idx val="5"/>
            <c:invertIfNegative val="0"/>
            <c:bubble3D val="0"/>
            <c:spPr>
              <a:solidFill>
                <a:srgbClr val="4ADE80"/>
              </a:solidFill>
              <a:ln>
                <a:noFill/>
              </a:ln>
              <a:effectLst/>
            </c:spPr>
            <c:extLst>
              <c:ext xmlns:c16="http://schemas.microsoft.com/office/drawing/2014/chart" uri="{C3380CC4-5D6E-409C-BE32-E72D297353CC}">
                <c16:uniqueId val="{00000006-96C6-47C8-9824-64BE1B616DD2}"/>
              </c:ext>
            </c:extLst>
          </c:dPt>
          <c:dPt>
            <c:idx val="6"/>
            <c:invertIfNegative val="0"/>
            <c:bubble3D val="0"/>
            <c:spPr>
              <a:solidFill>
                <a:srgbClr val="4ADE80"/>
              </a:solidFill>
              <a:ln>
                <a:noFill/>
              </a:ln>
              <a:effectLst/>
            </c:spPr>
            <c:extLst>
              <c:ext xmlns:c16="http://schemas.microsoft.com/office/drawing/2014/chart" uri="{C3380CC4-5D6E-409C-BE32-E72D297353CC}">
                <c16:uniqueId val="{00000007-96C6-47C8-9824-64BE1B616DD2}"/>
              </c:ext>
            </c:extLst>
          </c:dPt>
          <c:dPt>
            <c:idx val="7"/>
            <c:invertIfNegative val="0"/>
            <c:bubble3D val="0"/>
            <c:spPr>
              <a:solidFill>
                <a:srgbClr val="4ADE80"/>
              </a:solidFill>
              <a:ln>
                <a:noFill/>
              </a:ln>
              <a:effectLst/>
            </c:spPr>
            <c:extLst>
              <c:ext xmlns:c16="http://schemas.microsoft.com/office/drawing/2014/chart" uri="{C3380CC4-5D6E-409C-BE32-E72D297353CC}">
                <c16:uniqueId val="{00000008-96C6-47C8-9824-64BE1B616DD2}"/>
              </c:ext>
            </c:extLst>
          </c:dPt>
          <c:dPt>
            <c:idx val="8"/>
            <c:invertIfNegative val="0"/>
            <c:bubble3D val="0"/>
            <c:spPr>
              <a:solidFill>
                <a:srgbClr val="EF4444"/>
              </a:solidFill>
              <a:ln>
                <a:noFill/>
              </a:ln>
              <a:effectLst/>
            </c:spPr>
            <c:extLst>
              <c:ext xmlns:c16="http://schemas.microsoft.com/office/drawing/2014/chart" uri="{C3380CC4-5D6E-409C-BE32-E72D297353CC}">
                <c16:uniqueId val="{00000009-96C6-47C8-9824-64BE1B616DD2}"/>
              </c:ext>
            </c:extLst>
          </c:dPt>
          <c:dPt>
            <c:idx val="9"/>
            <c:invertIfNegative val="0"/>
            <c:bubble3D val="0"/>
            <c:spPr>
              <a:solidFill>
                <a:srgbClr val="4ADE80"/>
              </a:solidFill>
              <a:ln>
                <a:noFill/>
              </a:ln>
              <a:effectLst/>
            </c:spPr>
            <c:extLst>
              <c:ext xmlns:c16="http://schemas.microsoft.com/office/drawing/2014/chart" uri="{C3380CC4-5D6E-409C-BE32-E72D297353CC}">
                <c16:uniqueId val="{0000000A-96C6-47C8-9824-64BE1B616DD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96C6-47C8-9824-64BE1B616DD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96C6-47C8-9824-64BE1B616DD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96C6-47C8-9824-64BE1B616DD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96C6-47C8-9824-64BE1B616DD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96C6-47C8-9824-64BE1B616DD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96C6-47C8-9824-64BE1B616DD2}"/>
              </c:ext>
            </c:extLst>
          </c:dPt>
          <c:cat>
            <c:strRef>
              <c:f>Dashboard!$U$2:$U$17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Dashboard!$V$2:$V$17</c:f>
              <c:numCache>
                <c:formatCode>[$$ -409]#,##0</c:formatCode>
                <c:ptCount val="16"/>
                <c:pt idx="0">
                  <c:v>2.151953055856036</c:v>
                </c:pt>
                <c:pt idx="1">
                  <c:v>1.5350512918765384</c:v>
                </c:pt>
                <c:pt idx="2">
                  <c:v>0.47337743285741779</c:v>
                </c:pt>
                <c:pt idx="3">
                  <c:v>0.90217601088274635</c:v>
                </c:pt>
                <c:pt idx="4">
                  <c:v>0.28607057093734373</c:v>
                </c:pt>
                <c:pt idx="5">
                  <c:v>0.49743106703286372</c:v>
                </c:pt>
                <c:pt idx="6">
                  <c:v>0.94466368594555328</c:v>
                </c:pt>
                <c:pt idx="7">
                  <c:v>9.0412589339634128E-2</c:v>
                </c:pt>
                <c:pt idx="8">
                  <c:v>-0.12328949013503822</c:v>
                </c:pt>
                <c:pt idx="9">
                  <c:v>0.77550839678131711</c:v>
                </c:pt>
                <c:pt idx="10">
                  <c:v>0.97051977178952509</c:v>
                </c:pt>
                <c:pt idx="11">
                  <c:v>9.1653128099558216</c:v>
                </c:pt>
                <c:pt idx="12">
                  <c:v>0.97044958281370131</c:v>
                </c:pt>
                <c:pt idx="13">
                  <c:v>-4.2526054587779819E-2</c:v>
                </c:pt>
                <c:pt idx="14">
                  <c:v>0.27914890879686216</c:v>
                </c:pt>
                <c:pt idx="15">
                  <c:v>1.3214937911603437</c:v>
                </c:pt>
              </c:numCache>
            </c:numRef>
          </c:val>
          <c:extLst>
            <c:ext xmlns:c16="http://schemas.microsoft.com/office/drawing/2014/chart" uri="{C3380CC4-5D6E-409C-BE32-E72D297353CC}">
              <c16:uniqueId val="{00000000-96C6-47C8-9824-64BE1B616DD2}"/>
            </c:ext>
          </c:extLst>
        </c:ser>
        <c:dLbls>
          <c:showLegendKey val="0"/>
          <c:showVal val="0"/>
          <c:showCatName val="0"/>
          <c:showSerName val="0"/>
          <c:showPercent val="0"/>
          <c:showBubbleSize val="0"/>
        </c:dLbls>
        <c:gapWidth val="182"/>
        <c:axId val="230349199"/>
        <c:axId val="230337679"/>
      </c:barChart>
      <c:catAx>
        <c:axId val="230349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679"/>
        <c:crosses val="autoZero"/>
        <c:auto val="1"/>
        <c:lblAlgn val="ctr"/>
        <c:lblOffset val="100"/>
        <c:noMultiLvlLbl val="0"/>
      </c:catAx>
      <c:valAx>
        <c:axId val="23033767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49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Unrealised Gain / (Loss)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strRef>
              <c:f>Dashboard!$AA$1</c:f>
              <c:strCache>
                <c:ptCount val="1"/>
                <c:pt idx="0">
                  <c:v>Gain/Loss</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7951-4840-BC75-39A036496C62}"/>
              </c:ext>
            </c:extLst>
          </c:dPt>
          <c:dPt>
            <c:idx val="1"/>
            <c:invertIfNegative val="0"/>
            <c:bubble3D val="0"/>
            <c:spPr>
              <a:solidFill>
                <a:srgbClr val="4ADE80"/>
              </a:solidFill>
              <a:ln>
                <a:noFill/>
              </a:ln>
              <a:effectLst/>
            </c:spPr>
            <c:extLst>
              <c:ext xmlns:c16="http://schemas.microsoft.com/office/drawing/2014/chart" uri="{C3380CC4-5D6E-409C-BE32-E72D297353CC}">
                <c16:uniqueId val="{00000002-7951-4840-BC75-39A036496C62}"/>
              </c:ext>
            </c:extLst>
          </c:dPt>
          <c:dPt>
            <c:idx val="2"/>
            <c:invertIfNegative val="0"/>
            <c:bubble3D val="0"/>
            <c:spPr>
              <a:solidFill>
                <a:srgbClr val="4ADE80"/>
              </a:solidFill>
              <a:ln>
                <a:noFill/>
              </a:ln>
              <a:effectLst/>
            </c:spPr>
            <c:extLst>
              <c:ext xmlns:c16="http://schemas.microsoft.com/office/drawing/2014/chart" uri="{C3380CC4-5D6E-409C-BE32-E72D297353CC}">
                <c16:uniqueId val="{00000003-7951-4840-BC75-39A036496C62}"/>
              </c:ext>
            </c:extLst>
          </c:dPt>
          <c:dPt>
            <c:idx val="3"/>
            <c:invertIfNegative val="0"/>
            <c:bubble3D val="0"/>
            <c:spPr>
              <a:solidFill>
                <a:srgbClr val="4ADE80"/>
              </a:solidFill>
              <a:ln>
                <a:noFill/>
              </a:ln>
              <a:effectLst/>
            </c:spPr>
            <c:extLst>
              <c:ext xmlns:c16="http://schemas.microsoft.com/office/drawing/2014/chart" uri="{C3380CC4-5D6E-409C-BE32-E72D297353CC}">
                <c16:uniqueId val="{00000004-7951-4840-BC75-39A036496C62}"/>
              </c:ext>
            </c:extLst>
          </c:dPt>
          <c:dPt>
            <c:idx val="4"/>
            <c:invertIfNegative val="0"/>
            <c:bubble3D val="0"/>
            <c:spPr>
              <a:solidFill>
                <a:srgbClr val="4ADE80"/>
              </a:solidFill>
              <a:ln>
                <a:noFill/>
              </a:ln>
              <a:effectLst/>
            </c:spPr>
            <c:extLst>
              <c:ext xmlns:c16="http://schemas.microsoft.com/office/drawing/2014/chart" uri="{C3380CC4-5D6E-409C-BE32-E72D297353CC}">
                <c16:uniqueId val="{00000005-7951-4840-BC75-39A036496C62}"/>
              </c:ext>
            </c:extLst>
          </c:dPt>
          <c:dPt>
            <c:idx val="5"/>
            <c:invertIfNegative val="0"/>
            <c:bubble3D val="0"/>
            <c:spPr>
              <a:solidFill>
                <a:srgbClr val="4ADE80"/>
              </a:solidFill>
              <a:ln>
                <a:noFill/>
              </a:ln>
              <a:effectLst/>
            </c:spPr>
            <c:extLst>
              <c:ext xmlns:c16="http://schemas.microsoft.com/office/drawing/2014/chart" uri="{C3380CC4-5D6E-409C-BE32-E72D297353CC}">
                <c16:uniqueId val="{00000006-7951-4840-BC75-39A036496C62}"/>
              </c:ext>
            </c:extLst>
          </c:dPt>
          <c:dPt>
            <c:idx val="6"/>
            <c:invertIfNegative val="0"/>
            <c:bubble3D val="0"/>
            <c:spPr>
              <a:solidFill>
                <a:srgbClr val="4ADE80"/>
              </a:solidFill>
              <a:ln>
                <a:noFill/>
              </a:ln>
              <a:effectLst/>
            </c:spPr>
            <c:extLst>
              <c:ext xmlns:c16="http://schemas.microsoft.com/office/drawing/2014/chart" uri="{C3380CC4-5D6E-409C-BE32-E72D297353CC}">
                <c16:uniqueId val="{00000007-7951-4840-BC75-39A036496C62}"/>
              </c:ext>
            </c:extLst>
          </c:dPt>
          <c:dPt>
            <c:idx val="7"/>
            <c:invertIfNegative val="0"/>
            <c:bubble3D val="0"/>
            <c:spPr>
              <a:solidFill>
                <a:srgbClr val="4ADE80"/>
              </a:solidFill>
              <a:ln>
                <a:noFill/>
              </a:ln>
              <a:effectLst/>
            </c:spPr>
            <c:extLst>
              <c:ext xmlns:c16="http://schemas.microsoft.com/office/drawing/2014/chart" uri="{C3380CC4-5D6E-409C-BE32-E72D297353CC}">
                <c16:uniqueId val="{00000008-7951-4840-BC75-39A036496C62}"/>
              </c:ext>
            </c:extLst>
          </c:dPt>
          <c:dPt>
            <c:idx val="8"/>
            <c:invertIfNegative val="0"/>
            <c:bubble3D val="0"/>
            <c:spPr>
              <a:solidFill>
                <a:srgbClr val="EF4444"/>
              </a:solidFill>
              <a:ln>
                <a:noFill/>
              </a:ln>
              <a:effectLst/>
            </c:spPr>
            <c:extLst>
              <c:ext xmlns:c16="http://schemas.microsoft.com/office/drawing/2014/chart" uri="{C3380CC4-5D6E-409C-BE32-E72D297353CC}">
                <c16:uniqueId val="{00000009-7951-4840-BC75-39A036496C62}"/>
              </c:ext>
            </c:extLst>
          </c:dPt>
          <c:dPt>
            <c:idx val="9"/>
            <c:invertIfNegative val="0"/>
            <c:bubble3D val="0"/>
            <c:spPr>
              <a:solidFill>
                <a:srgbClr val="4ADE80"/>
              </a:solidFill>
              <a:ln>
                <a:noFill/>
              </a:ln>
              <a:effectLst/>
            </c:spPr>
            <c:extLst>
              <c:ext xmlns:c16="http://schemas.microsoft.com/office/drawing/2014/chart" uri="{C3380CC4-5D6E-409C-BE32-E72D297353CC}">
                <c16:uniqueId val="{0000000A-7951-4840-BC75-39A036496C6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7951-4840-BC75-39A036496C6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7951-4840-BC75-39A036496C6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7951-4840-BC75-39A036496C6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7951-4840-BC75-39A036496C6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7951-4840-BC75-39A036496C6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7951-4840-BC75-39A036496C62}"/>
              </c:ext>
            </c:extLst>
          </c:dPt>
          <c:cat>
            <c:strRef>
              <c:f>Dashboard!$Z$2:$Z$17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Dashboard!$AA$2:$AA$17</c:f>
              <c:numCache>
                <c:formatCode>[$$ -409]#,##0</c:formatCode>
                <c:ptCount val="16"/>
                <c:pt idx="0">
                  <c:v>15912.741900000001</c:v>
                </c:pt>
                <c:pt idx="1">
                  <c:v>12056.954300000001</c:v>
                </c:pt>
                <c:pt idx="2">
                  <c:v>3063.1679000000013</c:v>
                </c:pt>
                <c:pt idx="3">
                  <c:v>6668.5813999999982</c:v>
                </c:pt>
                <c:pt idx="4">
                  <c:v>2483.2428</c:v>
                </c:pt>
                <c:pt idx="5">
                  <c:v>4914.2204999999994</c:v>
                </c:pt>
                <c:pt idx="6">
                  <c:v>7845.2135999999991</c:v>
                </c:pt>
                <c:pt idx="7">
                  <c:v>715.51119999999901</c:v>
                </c:pt>
                <c:pt idx="8">
                  <c:v>-877.73520000000099</c:v>
                </c:pt>
                <c:pt idx="9">
                  <c:v>7313.9263999999985</c:v>
                </c:pt>
                <c:pt idx="10">
                  <c:v>8072.0744000000013</c:v>
                </c:pt>
                <c:pt idx="11">
                  <c:v>80470.350299999991</c:v>
                </c:pt>
                <c:pt idx="12">
                  <c:v>7681.1560000000027</c:v>
                </c:pt>
                <c:pt idx="13">
                  <c:v>-423.46860000000015</c:v>
                </c:pt>
                <c:pt idx="14">
                  <c:v>1882.4769000000015</c:v>
                </c:pt>
                <c:pt idx="15">
                  <c:v>13079.3804</c:v>
                </c:pt>
              </c:numCache>
            </c:numRef>
          </c:val>
          <c:extLst>
            <c:ext xmlns:c16="http://schemas.microsoft.com/office/drawing/2014/chart" uri="{C3380CC4-5D6E-409C-BE32-E72D297353CC}">
              <c16:uniqueId val="{00000000-7951-4840-BC75-39A036496C62}"/>
            </c:ext>
          </c:extLst>
        </c:ser>
        <c:dLbls>
          <c:showLegendKey val="0"/>
          <c:showVal val="0"/>
          <c:showCatName val="0"/>
          <c:showSerName val="0"/>
          <c:showPercent val="0"/>
          <c:showBubbleSize val="0"/>
        </c:dLbls>
        <c:gapWidth val="219"/>
        <c:overlap val="-27"/>
        <c:axId val="230332879"/>
        <c:axId val="230333839"/>
      </c:barChart>
      <c:catAx>
        <c:axId val="2303328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3839"/>
        <c:crosses val="autoZero"/>
        <c:auto val="1"/>
        <c:lblAlgn val="ctr"/>
        <c:lblOffset val="100"/>
        <c:noMultiLvlLbl val="0"/>
      </c:catAx>
      <c:valAx>
        <c:axId val="230333839"/>
        <c:scaling>
          <c:orientation val="minMax"/>
        </c:scaling>
        <c:delete val="0"/>
        <c:axPos val="l"/>
        <c:majorGridlines>
          <c:spPr>
            <a:ln w="9525" cap="flat" cmpd="sng" algn="ctr">
              <a:solidFill>
                <a:srgbClr val="2D3B55"/>
              </a:solidFill>
              <a:prstDash val="solid"/>
              <a:round/>
            </a:ln>
            <a:effectLst/>
          </c:spPr>
        </c:majorGridlines>
        <c:numFmt formatCode="[$$-409]#,##0,&quot;K&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2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Annualized Return (CAGR)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Dashboard!$AC$1</c:f>
              <c:strCache>
                <c:ptCount val="1"/>
                <c:pt idx="0">
                  <c:v>Ann. Return</c:v>
                </c:pt>
              </c:strCache>
            </c:strRef>
          </c:tx>
          <c:spPr>
            <a:solidFill>
              <a:srgbClr val="A78BFA"/>
            </a:solidFill>
            <a:ln>
              <a:noFill/>
            </a:ln>
            <a:effectLst/>
          </c:spPr>
          <c:invertIfNegative val="0"/>
          <c:dPt>
            <c:idx val="8"/>
            <c:invertIfNegative val="0"/>
            <c:bubble3D val="0"/>
            <c:spPr>
              <a:solidFill>
                <a:srgbClr val="EF4444"/>
              </a:solidFill>
              <a:ln>
                <a:noFill/>
              </a:ln>
              <a:effectLst/>
            </c:spPr>
            <c:extLst>
              <c:ext xmlns:c16="http://schemas.microsoft.com/office/drawing/2014/chart" uri="{C3380CC4-5D6E-409C-BE32-E72D297353CC}">
                <c16:uniqueId val="{00000009-D811-432F-A3E3-E326BFFB3397}"/>
              </c:ext>
            </c:extLst>
          </c:dPt>
          <c:dPt>
            <c:idx val="13"/>
            <c:invertIfNegative val="0"/>
            <c:bubble3D val="0"/>
            <c:spPr>
              <a:solidFill>
                <a:srgbClr val="EF4444"/>
              </a:solidFill>
              <a:ln>
                <a:noFill/>
              </a:ln>
              <a:effectLst/>
            </c:spPr>
            <c:extLst>
              <c:ext xmlns:c16="http://schemas.microsoft.com/office/drawing/2014/chart" uri="{C3380CC4-5D6E-409C-BE32-E72D297353CC}">
                <c16:uniqueId val="{0000000E-D811-432F-A3E3-E326BFFB3397}"/>
              </c:ext>
            </c:extLst>
          </c:dPt>
          <c:cat>
            <c:strRef>
              <c:f>Dashboard!$AB$2:$AB$17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Dashboard!$AC$2:$AC$17</c:f>
              <c:numCache>
                <c:formatCode>0.0%</c:formatCode>
                <c:ptCount val="16"/>
                <c:pt idx="0">
                  <c:v>0.17821806492363379</c:v>
                </c:pt>
                <c:pt idx="1">
                  <c:v>0.14212172601589135</c:v>
                </c:pt>
                <c:pt idx="2">
                  <c:v>5.6926675518029768E-2</c:v>
                </c:pt>
                <c:pt idx="3">
                  <c:v>9.6207974778895533E-2</c:v>
                </c:pt>
                <c:pt idx="4">
                  <c:v>3.6595352074845655E-2</c:v>
                </c:pt>
                <c:pt idx="5">
                  <c:v>5.9374581820841987E-2</c:v>
                </c:pt>
                <c:pt idx="6">
                  <c:v>9.9672844448097875E-2</c:v>
                </c:pt>
                <c:pt idx="7">
                  <c:v>1.244192856490467E-2</c:v>
                </c:pt>
                <c:pt idx="8">
                  <c:v>-1.8621358563471468E-2</c:v>
                </c:pt>
                <c:pt idx="9">
                  <c:v>8.5469269974211004E-2</c:v>
                </c:pt>
                <c:pt idx="10">
                  <c:v>0.10174977623736403</c:v>
                </c:pt>
                <c:pt idx="11">
                  <c:v>0.39275392963225486</c:v>
                </c:pt>
                <c:pt idx="12">
                  <c:v>0.10174416989430446</c:v>
                </c:pt>
                <c:pt idx="13">
                  <c:v>-6.1888794091810029E-3</c:v>
                </c:pt>
                <c:pt idx="14">
                  <c:v>3.5796510354465072E-2</c:v>
                </c:pt>
                <c:pt idx="15">
                  <c:v>0.12785301223509471</c:v>
                </c:pt>
              </c:numCache>
            </c:numRef>
          </c:val>
          <c:extLst>
            <c:ext xmlns:c16="http://schemas.microsoft.com/office/drawing/2014/chart" uri="{C3380CC4-5D6E-409C-BE32-E72D297353CC}">
              <c16:uniqueId val="{00000000-D811-432F-A3E3-E326BFFB3397}"/>
            </c:ext>
          </c:extLst>
        </c:ser>
        <c:dLbls>
          <c:showLegendKey val="0"/>
          <c:showVal val="0"/>
          <c:showCatName val="0"/>
          <c:showSerName val="0"/>
          <c:showPercent val="0"/>
          <c:showBubbleSize val="0"/>
        </c:dLbls>
        <c:gapWidth val="182"/>
        <c:axId val="230335759"/>
        <c:axId val="230337199"/>
      </c:barChart>
      <c:catAx>
        <c:axId val="23033575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199"/>
        <c:crosses val="autoZero"/>
        <c:auto val="1"/>
        <c:lblAlgn val="ctr"/>
        <c:lblOffset val="100"/>
        <c:noMultiLvlLbl val="0"/>
      </c:catAx>
      <c:valAx>
        <c:axId val="23033719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575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Portfolio Weight Distribution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Dashboard!$AE$1</c:f>
              <c:strCache>
                <c:ptCount val="1"/>
                <c:pt idx="0">
                  <c:v>Weight</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458C-4027-90E6-52BDDBE460CE}"/>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458C-4027-90E6-52BDDBE460CE}"/>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458C-4027-90E6-52BDDBE460CE}"/>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458C-4027-90E6-52BDDBE460CE}"/>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458C-4027-90E6-52BDDBE460CE}"/>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458C-4027-90E6-52BDDBE460CE}"/>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458C-4027-90E6-52BDDBE460CE}"/>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458C-4027-90E6-52BDDBE460CE}"/>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458C-4027-90E6-52BDDBE460CE}"/>
              </c:ext>
            </c:extLst>
          </c:dPt>
          <c:dPt>
            <c:idx val="9"/>
            <c:bubble3D val="0"/>
            <c:spPr>
              <a:solidFill>
                <a:srgbClr val="818CF8"/>
              </a:solidFill>
              <a:ln w="19050">
                <a:solidFill>
                  <a:schemeClr val="lt1"/>
                </a:solidFill>
              </a:ln>
              <a:effectLst/>
            </c:spPr>
            <c:extLst>
              <c:ext xmlns:c16="http://schemas.microsoft.com/office/drawing/2014/chart" uri="{C3380CC4-5D6E-409C-BE32-E72D297353CC}">
                <c16:uniqueId val="{0000000A-458C-4027-90E6-52BDDBE460CE}"/>
              </c:ext>
            </c:extLst>
          </c:dPt>
          <c:dPt>
            <c:idx val="10"/>
            <c:bubble3D val="0"/>
            <c:spPr>
              <a:solidFill>
                <a:srgbClr val="34D399"/>
              </a:solidFill>
              <a:ln w="19050">
                <a:solidFill>
                  <a:schemeClr val="lt1"/>
                </a:solidFill>
              </a:ln>
              <a:effectLst/>
            </c:spPr>
            <c:extLst>
              <c:ext xmlns:c16="http://schemas.microsoft.com/office/drawing/2014/chart" uri="{C3380CC4-5D6E-409C-BE32-E72D297353CC}">
                <c16:uniqueId val="{0000000B-458C-4027-90E6-52BDDBE460CE}"/>
              </c:ext>
            </c:extLst>
          </c:dPt>
          <c:dPt>
            <c:idx val="11"/>
            <c:bubble3D val="0"/>
            <c:spPr>
              <a:solidFill>
                <a:srgbClr val="FCD34D"/>
              </a:solidFill>
              <a:ln w="19050">
                <a:solidFill>
                  <a:schemeClr val="lt1"/>
                </a:solidFill>
              </a:ln>
              <a:effectLst/>
            </c:spPr>
            <c:extLst>
              <c:ext xmlns:c16="http://schemas.microsoft.com/office/drawing/2014/chart" uri="{C3380CC4-5D6E-409C-BE32-E72D297353CC}">
                <c16:uniqueId val="{0000000C-458C-4027-90E6-52BDDBE460CE}"/>
              </c:ext>
            </c:extLst>
          </c:dPt>
          <c:dPt>
            <c:idx val="12"/>
            <c:bubble3D val="0"/>
            <c:spPr>
              <a:solidFill>
                <a:srgbClr val="F97316"/>
              </a:solidFill>
              <a:ln w="19050">
                <a:solidFill>
                  <a:schemeClr val="lt1"/>
                </a:solidFill>
              </a:ln>
              <a:effectLst/>
            </c:spPr>
            <c:extLst>
              <c:ext xmlns:c16="http://schemas.microsoft.com/office/drawing/2014/chart" uri="{C3380CC4-5D6E-409C-BE32-E72D297353CC}">
                <c16:uniqueId val="{0000000D-458C-4027-90E6-52BDDBE460CE}"/>
              </c:ext>
            </c:extLst>
          </c:dPt>
          <c:dPt>
            <c:idx val="13"/>
            <c:bubble3D val="0"/>
            <c:spPr>
              <a:solidFill>
                <a:srgbClr val="06B6D4"/>
              </a:solidFill>
              <a:ln w="19050">
                <a:solidFill>
                  <a:schemeClr val="lt1"/>
                </a:solidFill>
              </a:ln>
              <a:effectLst/>
            </c:spPr>
            <c:extLst>
              <c:ext xmlns:c16="http://schemas.microsoft.com/office/drawing/2014/chart" uri="{C3380CC4-5D6E-409C-BE32-E72D297353CC}">
                <c16:uniqueId val="{0000000E-458C-4027-90E6-52BDDBE460CE}"/>
              </c:ext>
            </c:extLst>
          </c:dPt>
          <c:dPt>
            <c:idx val="14"/>
            <c:bubble3D val="0"/>
            <c:spPr>
              <a:solidFill>
                <a:srgbClr val="A3E635"/>
              </a:solidFill>
              <a:ln w="19050">
                <a:solidFill>
                  <a:schemeClr val="lt1"/>
                </a:solidFill>
              </a:ln>
              <a:effectLst/>
            </c:spPr>
            <c:extLst>
              <c:ext xmlns:c16="http://schemas.microsoft.com/office/drawing/2014/chart" uri="{C3380CC4-5D6E-409C-BE32-E72D297353CC}">
                <c16:uniqueId val="{0000000F-458C-4027-90E6-52BDDBE460CE}"/>
              </c:ext>
            </c:extLst>
          </c:dPt>
          <c:dPt>
            <c:idx val="15"/>
            <c:bubble3D val="0"/>
            <c:spPr>
              <a:solidFill>
                <a:srgbClr val="EC4899"/>
              </a:solidFill>
              <a:ln w="19050">
                <a:solidFill>
                  <a:schemeClr val="lt1"/>
                </a:solidFill>
              </a:ln>
              <a:effectLst/>
            </c:spPr>
            <c:extLst>
              <c:ext xmlns:c16="http://schemas.microsoft.com/office/drawing/2014/chart" uri="{C3380CC4-5D6E-409C-BE32-E72D297353CC}">
                <c16:uniqueId val="{00000010-458C-4027-90E6-52BDDBE460CE}"/>
              </c:ext>
            </c:extLst>
          </c:dPt>
          <c:cat>
            <c:strRef>
              <c:f>Dashboard!$AD$2:$AD$17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Dashboard!$AE$2:$AE$17</c:f>
              <c:numCache>
                <c:formatCode>0.0%</c:formatCode>
                <c:ptCount val="16"/>
                <c:pt idx="0">
                  <c:v>7.6944836324051955E-2</c:v>
                </c:pt>
                <c:pt idx="1">
                  <c:v>6.5733837690300917E-2</c:v>
                </c:pt>
                <c:pt idx="2">
                  <c:v>3.147493049166572E-2</c:v>
                </c:pt>
                <c:pt idx="3">
                  <c:v>4.6417355713107157E-2</c:v>
                </c:pt>
                <c:pt idx="4">
                  <c:v>3.6855161323692098E-2</c:v>
                </c:pt>
                <c:pt idx="5">
                  <c:v>4.883779940621772E-2</c:v>
                </c:pt>
                <c:pt idx="6">
                  <c:v>5.3316246845357608E-2</c:v>
                </c:pt>
                <c:pt idx="7">
                  <c:v>2.8488258399813605E-2</c:v>
                </c:pt>
                <c:pt idx="8">
                  <c:v>2.0605406447465904E-2</c:v>
                </c:pt>
                <c:pt idx="9">
                  <c:v>5.5280800809865346E-2</c:v>
                </c:pt>
                <c:pt idx="10">
                  <c:v>5.4106454893943778E-2</c:v>
                </c:pt>
                <c:pt idx="11">
                  <c:v>0.29464349766362363</c:v>
                </c:pt>
                <c:pt idx="12">
                  <c:v>5.1488050567906229E-2</c:v>
                </c:pt>
                <c:pt idx="13">
                  <c:v>3.1476077039813949E-2</c:v>
                </c:pt>
                <c:pt idx="14">
                  <c:v>2.847753142342991E-2</c:v>
                </c:pt>
                <c:pt idx="15">
                  <c:v>7.585375495974428E-2</c:v>
                </c:pt>
              </c:numCache>
            </c:numRef>
          </c:val>
          <c:extLst>
            <c:ext xmlns:c16="http://schemas.microsoft.com/office/drawing/2014/chart" uri="{C3380CC4-5D6E-409C-BE32-E72D297353CC}">
              <c16:uniqueId val="{00000000-458C-4027-90E6-52BDDBE460CE}"/>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Market Cap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Dashboard'!$H$8:$H$17</c:f>
              <c:numCache>
                <c:formatCode>[$$ -409]#,##0,,"B"</c:formatCode>
                <c:ptCount val="10"/>
                <c:pt idx="0">
                  <c:v>354598732500</c:v>
                </c:pt>
                <c:pt idx="1">
                  <c:v>2773175406340</c:v>
                </c:pt>
                <c:pt idx="2">
                  <c:v>291383756650</c:v>
                </c:pt>
                <c:pt idx="3">
                  <c:v>112599165945</c:v>
                </c:pt>
                <c:pt idx="4">
                  <c:v>254591535456</c:v>
                </c:pt>
                <c:pt idx="5">
                  <c:v>669557307160</c:v>
                </c:pt>
                <c:pt idx="6">
                  <c:v>65573824212</c:v>
                </c:pt>
                <c:pt idx="7">
                  <c:v>352855110420</c:v>
                </c:pt>
                <c:pt idx="8">
                  <c:v>143529491259</c:v>
                </c:pt>
                <c:pt idx="9">
                  <c:v>450289541400</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182"/>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P/E Ratio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Dashboard'!$F$8:$F$17</c:f>
              <c:numCache>
                <c:formatCode>0.0</c:formatCode>
                <c:ptCount val="10"/>
                <c:pt idx="0">
                  <c:v>80.712800000000001</c:v>
                </c:pt>
                <c:pt idx="1">
                  <c:v>23.111000000000001</c:v>
                </c:pt>
                <c:pt idx="2">
                  <c:v>16.8276</c:v>
                </c:pt>
                <c:pt idx="3">
                  <c:v>19.4253</c:v>
                </c:pt>
                <c:pt idx="4">
                  <c:v>16.7681</c:v>
                </c:pt>
                <c:pt idx="5">
                  <c:v>24.0672</c:v>
                </c:pt>
                <c:pt idx="6">
                  <c:v>22.9604</c:v>
                </c:pt>
                <c:pt idx="7">
                  <c:v>13.024900000000001</c:v>
                </c:pt>
                <c:pt idx="8">
                  <c:v>28.746099999999998</c:v>
                </c:pt>
                <c:pt idx="9">
                  <c:v>53.382899999999999</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219"/>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Beta Risk Profile (</a:t>
            </a:r>
            <a:r>
              <a:rPr lang="el-GR"/>
              <a:t>β)</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94E1-4A1E-AC0D-D6F1BFFD1BA2}"/>
              </c:ext>
            </c:extLst>
          </c:dPt>
          <c:dPt>
            <c:idx val="5"/>
            <c:invertIfNegative val="0"/>
            <c:bubble3D val="0"/>
            <c:spPr>
              <a:solidFill>
                <a:srgbClr val="4ADE80"/>
              </a:solidFill>
              <a:ln>
                <a:noFill/>
              </a:ln>
              <a:effectLst/>
            </c:spPr>
            <c:extLst>
              <c:ext xmlns:c16="http://schemas.microsoft.com/office/drawing/2014/chart" uri="{C3380CC4-5D6E-409C-BE32-E72D297353CC}">
                <c16:uniqueId val="{00000007-94E1-4A1E-AC0D-D6F1BFFD1BA2}"/>
              </c:ext>
            </c:extLst>
          </c:dPt>
          <c:dPt>
            <c:idx val="8"/>
            <c:invertIfNegative val="0"/>
            <c:bubble3D val="0"/>
            <c:spPr>
              <a:solidFill>
                <a:srgbClr val="4ADE80"/>
              </a:solidFill>
              <a:ln>
                <a:noFill/>
              </a:ln>
              <a:effectLst/>
            </c:spPr>
            <c:extLst>
              <c:ext xmlns:c16="http://schemas.microsoft.com/office/drawing/2014/chart" uri="{C3380CC4-5D6E-409C-BE32-E72D297353CC}">
                <c16:uniqueId val="{0000000A-94E1-4A1E-AC0D-D6F1BFFD1BA2}"/>
              </c:ext>
            </c:extLst>
          </c:dPt>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Dashboard'!$G$8:$G$17</c:f>
              <c:numCache>
                <c:formatCode>0.00</c:formatCode>
                <c:ptCount val="10"/>
                <c:pt idx="0">
                  <c:v>1.9919</c:v>
                </c:pt>
                <c:pt idx="1">
                  <c:v>1.103</c:v>
                </c:pt>
                <c:pt idx="2">
                  <c:v>0.49490000000000001</c:v>
                </c:pt>
                <c:pt idx="3">
                  <c:v>0.85729999999999995</c:v>
                </c:pt>
                <c:pt idx="4">
                  <c:v>1.3147</c:v>
                </c:pt>
                <c:pt idx="5">
                  <c:v>0.29189999999999999</c:v>
                </c:pt>
                <c:pt idx="6">
                  <c:v>1.3733</c:v>
                </c:pt>
                <c:pt idx="7">
                  <c:v>1.2422</c:v>
                </c:pt>
                <c:pt idx="8">
                  <c:v>0.23669999999999999</c:v>
                </c:pt>
                <c:pt idx="9">
                  <c:v>0.98899999999999999</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219"/>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Industry Breakdown by Market Cap</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'WL Dashboard'!$C$53</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Dashboard'!$B$54:$B$62</c:f>
              <c:strCache>
                <c:ptCount val="9"/>
                <c:pt idx="0">
                  <c:v>Semiconductors &amp; Semiconductor Equipment</c:v>
                </c:pt>
                <c:pt idx="1">
                  <c:v>Software &amp; IT Services</c:v>
                </c:pt>
                <c:pt idx="2">
                  <c:v>Computers, Phones &amp; Household Electronics</c:v>
                </c:pt>
                <c:pt idx="3">
                  <c:v>Investment Banking &amp; Investment Services</c:v>
                </c:pt>
                <c:pt idx="4">
                  <c:v>Oil &amp; Gas</c:v>
                </c:pt>
                <c:pt idx="5">
                  <c:v>Automobiles &amp; Auto Parts</c:v>
                </c:pt>
                <c:pt idx="6">
                  <c:v>Banking Services</c:v>
                </c:pt>
                <c:pt idx="7">
                  <c:v>Aerospace &amp; Defense</c:v>
                </c:pt>
                <c:pt idx="8">
                  <c:v>Diversified Retail</c:v>
                </c:pt>
              </c:strCache>
            </c:strRef>
          </c:cat>
          <c:val>
            <c:numRef>
              <c:f>'WL Dashboard'!$C$54:$C$62</c:f>
              <c:numCache>
                <c:formatCode>#,##0</c:formatCode>
                <c:ptCount val="9"/>
                <c:pt idx="0">
                  <c:v>354598732500</c:v>
                </c:pt>
                <c:pt idx="1">
                  <c:v>3064559162990</c:v>
                </c:pt>
                <c:pt idx="2">
                  <c:v>112599165945</c:v>
                </c:pt>
                <c:pt idx="3">
                  <c:v>254591535456</c:v>
                </c:pt>
                <c:pt idx="4">
                  <c:v>669557307160</c:v>
                </c:pt>
                <c:pt idx="5">
                  <c:v>65573824212</c:v>
                </c:pt>
                <c:pt idx="6">
                  <c:v>352855110420</c:v>
                </c:pt>
                <c:pt idx="7">
                  <c:v>143529491259</c:v>
                </c:pt>
                <c:pt idx="8">
                  <c:v>450289541400</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52-Week Range Position (% from Low to High)</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'WL Dashboard'!$N$8</c:f>
              <c:strCache>
                <c:ptCount val="1"/>
                <c:pt idx="0">
                  <c:v>52W Range %</c:v>
                </c:pt>
              </c:strCache>
            </c:strRef>
          </c:tx>
          <c:spPr>
            <a:solidFill>
              <a:srgbClr val="0D7377"/>
            </a:solidFill>
            <a:ln>
              <a:noFill/>
            </a:ln>
            <a:effectLst/>
          </c:spPr>
          <c:invertIfNegative val="0"/>
          <c:dPt>
            <c:idx val="0"/>
            <c:invertIfNegative val="0"/>
            <c:bubble3D val="0"/>
            <c:spPr>
              <a:solidFill>
                <a:srgbClr val="FBBF2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EF4444"/>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4ADE80"/>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dPt>
            <c:idx val="9"/>
            <c:invertIfNegative val="0"/>
            <c:bubble3D val="0"/>
            <c:spPr>
              <a:solidFill>
                <a:srgbClr val="FBBF24"/>
              </a:solidFill>
              <a:ln>
                <a:noFill/>
              </a:ln>
              <a:effectLst/>
            </c:spPr>
            <c:extLst>
              <c:ext xmlns:c16="http://schemas.microsoft.com/office/drawing/2014/chart" uri="{C3380CC4-5D6E-409C-BE32-E72D297353CC}">
                <c16:uniqueId val="{0000000A-FCAF-43EA-B050-8DA9D8EEA877}"/>
              </c:ext>
            </c:extLst>
          </c:dPt>
          <c:cat>
            <c:strRef>
              <c:f>'WL Dashboard'!$M$9:$M$18</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Dashboard'!$N$9:$N$18</c:f>
              <c:numCache>
                <c:formatCode>General</c:formatCode>
                <c:ptCount val="10"/>
                <c:pt idx="0">
                  <c:v>0.69632775253292356</c:v>
                </c:pt>
                <c:pt idx="1">
                  <c:v>0.11442608943320971</c:v>
                </c:pt>
                <c:pt idx="2">
                  <c:v>0.27145230398850312</c:v>
                </c:pt>
                <c:pt idx="3">
                  <c:v>0.86718132256856317</c:v>
                </c:pt>
                <c:pt idx="4">
                  <c:v>0.7514303528203623</c:v>
                </c:pt>
                <c:pt idx="5">
                  <c:v>0.83252766823559354</c:v>
                </c:pt>
                <c:pt idx="6">
                  <c:v>0.67524989135158642</c:v>
                </c:pt>
                <c:pt idx="7">
                  <c:v>0.64519093322442311</c:v>
                </c:pt>
                <c:pt idx="8">
                  <c:v>0.74905104828124436</c:v>
                </c:pt>
                <c:pt idx="9">
                  <c:v>0.73331988162496675</c:v>
                </c:pt>
              </c:numCache>
            </c:numRef>
          </c:val>
          <c:extLs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AMD!$B$7:$B$27</c:f>
              <c:numCache>
                <c:formatCode>#,##0</c:formatCode>
                <c:ptCount val="21"/>
                <c:pt idx="0">
                  <c:v>40912561</c:v>
                </c:pt>
                <c:pt idx="1">
                  <c:v>36000660</c:v>
                </c:pt>
                <c:pt idx="2">
                  <c:v>33913779</c:v>
                </c:pt>
                <c:pt idx="3">
                  <c:v>38877220</c:v>
                </c:pt>
                <c:pt idx="4">
                  <c:v>29139162</c:v>
                </c:pt>
                <c:pt idx="5">
                  <c:v>23076366</c:v>
                </c:pt>
                <c:pt idx="6">
                  <c:v>28886913</c:v>
                </c:pt>
                <c:pt idx="7">
                  <c:v>27561888</c:v>
                </c:pt>
                <c:pt idx="8">
                  <c:v>30285170</c:v>
                </c:pt>
                <c:pt idx="9">
                  <c:v>22779675</c:v>
                </c:pt>
                <c:pt idx="10">
                  <c:v>28569135</c:v>
                </c:pt>
                <c:pt idx="11">
                  <c:v>32245329</c:v>
                </c:pt>
                <c:pt idx="12">
                  <c:v>37265103</c:v>
                </c:pt>
                <c:pt idx="13">
                  <c:v>31857752</c:v>
                </c:pt>
                <c:pt idx="14">
                  <c:v>27258849</c:v>
                </c:pt>
                <c:pt idx="15">
                  <c:v>48518269</c:v>
                </c:pt>
                <c:pt idx="16">
                  <c:v>49212976</c:v>
                </c:pt>
                <c:pt idx="17">
                  <c:v>29206578</c:v>
                </c:pt>
                <c:pt idx="18">
                  <c:v>41053298</c:v>
                </c:pt>
                <c:pt idx="19">
                  <c:v>42318748</c:v>
                </c:pt>
                <c:pt idx="20">
                  <c:v>40835794</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AMD!$C$7:$C$27</c:f>
              <c:numCache>
                <c:formatCode>_([$$-409]* #,##0.00_);_([$$-409]* \(#,##0.00\);_([$$-409]* "-"??_);_(@_)</c:formatCode>
                <c:ptCount val="21"/>
                <c:pt idx="0">
                  <c:v>192.12</c:v>
                </c:pt>
                <c:pt idx="1">
                  <c:v>197.77</c:v>
                </c:pt>
                <c:pt idx="2">
                  <c:v>195.27</c:v>
                </c:pt>
                <c:pt idx="3">
                  <c:v>189.36</c:v>
                </c:pt>
                <c:pt idx="4">
                  <c:v>202.51</c:v>
                </c:pt>
                <c:pt idx="5">
                  <c:v>205.11</c:v>
                </c:pt>
                <c:pt idx="6">
                  <c:v>202.82499999999999</c:v>
                </c:pt>
                <c:pt idx="7">
                  <c:v>198.11</c:v>
                </c:pt>
                <c:pt idx="8">
                  <c:v>194.97499999999999</c:v>
                </c:pt>
                <c:pt idx="9">
                  <c:v>196.68</c:v>
                </c:pt>
                <c:pt idx="10">
                  <c:v>196</c:v>
                </c:pt>
                <c:pt idx="11">
                  <c:v>195.03200000000001</c:v>
                </c:pt>
                <c:pt idx="12">
                  <c:v>204.88499999999999</c:v>
                </c:pt>
                <c:pt idx="13">
                  <c:v>206.39500000000001</c:v>
                </c:pt>
                <c:pt idx="14">
                  <c:v>201.39</c:v>
                </c:pt>
                <c:pt idx="15">
                  <c:v>211.505</c:v>
                </c:pt>
                <c:pt idx="16">
                  <c:v>217.97900000000001</c:v>
                </c:pt>
                <c:pt idx="17">
                  <c:v>201.77</c:v>
                </c:pt>
                <c:pt idx="18">
                  <c:v>204.95</c:v>
                </c:pt>
                <c:pt idx="19">
                  <c:v>198.05</c:v>
                </c:pt>
                <c:pt idx="20">
                  <c:v>207.58500000000001</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AMD!$D$7:$D$27</c:f>
              <c:numCache>
                <c:formatCode>_([$$-409]* #,##0.00_);_([$$-409]* \(#,##0.00\);_([$$-409]* "-"??_);_(@_)</c:formatCode>
                <c:ptCount val="21"/>
                <c:pt idx="0">
                  <c:v>202.44</c:v>
                </c:pt>
                <c:pt idx="1">
                  <c:v>203.79</c:v>
                </c:pt>
                <c:pt idx="2">
                  <c:v>200.24</c:v>
                </c:pt>
                <c:pt idx="3">
                  <c:v>202.97</c:v>
                </c:pt>
                <c:pt idx="4">
                  <c:v>206.59</c:v>
                </c:pt>
                <c:pt idx="5">
                  <c:v>209.21</c:v>
                </c:pt>
                <c:pt idx="6">
                  <c:v>203.62</c:v>
                </c:pt>
                <c:pt idx="7">
                  <c:v>199.68</c:v>
                </c:pt>
                <c:pt idx="8">
                  <c:v>200.17</c:v>
                </c:pt>
                <c:pt idx="9">
                  <c:v>199.21</c:v>
                </c:pt>
                <c:pt idx="10">
                  <c:v>202.86</c:v>
                </c:pt>
                <c:pt idx="11">
                  <c:v>205.88</c:v>
                </c:pt>
                <c:pt idx="12">
                  <c:v>206.3</c:v>
                </c:pt>
                <c:pt idx="13">
                  <c:v>209.10900000000001</c:v>
                </c:pt>
                <c:pt idx="14">
                  <c:v>206.43</c:v>
                </c:pt>
                <c:pt idx="15">
                  <c:v>221.33</c:v>
                </c:pt>
                <c:pt idx="16">
                  <c:v>221</c:v>
                </c:pt>
                <c:pt idx="17">
                  <c:v>203.26990000000001</c:v>
                </c:pt>
                <c:pt idx="18">
                  <c:v>208.43</c:v>
                </c:pt>
                <c:pt idx="19">
                  <c:v>204</c:v>
                </c:pt>
                <c:pt idx="20">
                  <c:v>213.83</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AMD!$E$7:$E$27</c:f>
              <c:numCache>
                <c:formatCode>_([$$-409]* #,##0.00_);_([$$-409]* \(#,##0.00\);_([$$-409]* "-"??_);_(@_)</c:formatCode>
                <c:ptCount val="21"/>
                <c:pt idx="0">
                  <c:v>189.86</c:v>
                </c:pt>
                <c:pt idx="1">
                  <c:v>194.88</c:v>
                </c:pt>
                <c:pt idx="2">
                  <c:v>191.2501</c:v>
                </c:pt>
                <c:pt idx="3">
                  <c:v>189.02</c:v>
                </c:pt>
                <c:pt idx="4">
                  <c:v>202.2</c:v>
                </c:pt>
                <c:pt idx="5">
                  <c:v>203.63</c:v>
                </c:pt>
                <c:pt idx="6">
                  <c:v>196.67</c:v>
                </c:pt>
                <c:pt idx="7">
                  <c:v>192.27</c:v>
                </c:pt>
                <c:pt idx="8">
                  <c:v>194.8</c:v>
                </c:pt>
                <c:pt idx="9">
                  <c:v>195.26</c:v>
                </c:pt>
                <c:pt idx="10">
                  <c:v>195.75</c:v>
                </c:pt>
                <c:pt idx="11">
                  <c:v>192.83</c:v>
                </c:pt>
                <c:pt idx="12">
                  <c:v>198.26</c:v>
                </c:pt>
                <c:pt idx="13">
                  <c:v>201.71</c:v>
                </c:pt>
                <c:pt idx="14">
                  <c:v>200.13</c:v>
                </c:pt>
                <c:pt idx="15">
                  <c:v>211.505</c:v>
                </c:pt>
                <c:pt idx="16">
                  <c:v>203.43</c:v>
                </c:pt>
                <c:pt idx="17">
                  <c:v>197.69</c:v>
                </c:pt>
                <c:pt idx="18">
                  <c:v>192.86500000000001</c:v>
                </c:pt>
                <c:pt idx="19">
                  <c:v>196.41</c:v>
                </c:pt>
                <c:pt idx="20">
                  <c:v>205.84</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AMD!$F$7:$F$27</c:f>
              <c:numCache>
                <c:formatCode>_([$$-409]* #,##0.00_);_([$$-409]* \(#,##0.00\);_([$$-409]* "-"??_);_(@_)</c:formatCode>
                <c:ptCount val="21"/>
                <c:pt idx="0">
                  <c:v>202.07</c:v>
                </c:pt>
                <c:pt idx="1">
                  <c:v>199.45</c:v>
                </c:pt>
                <c:pt idx="2">
                  <c:v>192.43</c:v>
                </c:pt>
                <c:pt idx="3">
                  <c:v>202.68</c:v>
                </c:pt>
                <c:pt idx="4">
                  <c:v>203.23</c:v>
                </c:pt>
                <c:pt idx="5">
                  <c:v>204.83</c:v>
                </c:pt>
                <c:pt idx="6">
                  <c:v>197.74</c:v>
                </c:pt>
                <c:pt idx="7">
                  <c:v>193.39</c:v>
                </c:pt>
                <c:pt idx="8">
                  <c:v>196.58</c:v>
                </c:pt>
                <c:pt idx="9">
                  <c:v>196.31</c:v>
                </c:pt>
                <c:pt idx="10">
                  <c:v>199.46</c:v>
                </c:pt>
                <c:pt idx="11">
                  <c:v>205.27</c:v>
                </c:pt>
                <c:pt idx="12">
                  <c:v>201.33</c:v>
                </c:pt>
                <c:pt idx="13">
                  <c:v>202.68</c:v>
                </c:pt>
                <c:pt idx="14">
                  <c:v>205.37</c:v>
                </c:pt>
                <c:pt idx="15">
                  <c:v>220.27</c:v>
                </c:pt>
                <c:pt idx="16">
                  <c:v>203.77</c:v>
                </c:pt>
                <c:pt idx="17">
                  <c:v>201.99</c:v>
                </c:pt>
                <c:pt idx="18">
                  <c:v>196.04</c:v>
                </c:pt>
                <c:pt idx="19">
                  <c:v>203.43</c:v>
                </c:pt>
                <c:pt idx="20">
                  <c:v>210.21</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93.8</c:v>
                </c:pt>
                <c:pt idx="1">
                  <c:v>85.76</c:v>
                </c:pt>
                <c:pt idx="2">
                  <c:v>83.64</c:v>
                </c:pt>
                <c:pt idx="3">
                  <c:v>78.209999999999994</c:v>
                </c:pt>
                <c:pt idx="4">
                  <c:v>96.84</c:v>
                </c:pt>
                <c:pt idx="5">
                  <c:v>88.7</c:v>
                </c:pt>
                <c:pt idx="6">
                  <c:v>93.4</c:v>
                </c:pt>
                <c:pt idx="7">
                  <c:v>94.5</c:v>
                </c:pt>
                <c:pt idx="8">
                  <c:v>95.29</c:v>
                </c:pt>
                <c:pt idx="9">
                  <c:v>88.29</c:v>
                </c:pt>
                <c:pt idx="10">
                  <c:v>87.5</c:v>
                </c:pt>
                <c:pt idx="11">
                  <c:v>85.56</c:v>
                </c:pt>
                <c:pt idx="12">
                  <c:v>86.26</c:v>
                </c:pt>
                <c:pt idx="13">
                  <c:v>90.39</c:v>
                </c:pt>
                <c:pt idx="14">
                  <c:v>94.47</c:v>
                </c:pt>
                <c:pt idx="15">
                  <c:v>96.644999999999996</c:v>
                </c:pt>
                <c:pt idx="16">
                  <c:v>96.39</c:v>
                </c:pt>
                <c:pt idx="17">
                  <c:v>96.06</c:v>
                </c:pt>
                <c:pt idx="18">
                  <c:v>97.35</c:v>
                </c:pt>
                <c:pt idx="19">
                  <c:v>96.65</c:v>
                </c:pt>
                <c:pt idx="20">
                  <c:v>98.8</c:v>
                </c:pt>
                <c:pt idx="21">
                  <c:v>100.59</c:v>
                </c:pt>
                <c:pt idx="22">
                  <c:v>98.62</c:v>
                </c:pt>
                <c:pt idx="23">
                  <c:v>100.36</c:v>
                </c:pt>
                <c:pt idx="24">
                  <c:v>101.7</c:v>
                </c:pt>
                <c:pt idx="25">
                  <c:v>102.84</c:v>
                </c:pt>
                <c:pt idx="26">
                  <c:v>108.12</c:v>
                </c:pt>
                <c:pt idx="27">
                  <c:v>112.46</c:v>
                </c:pt>
                <c:pt idx="28">
                  <c:v>117.72</c:v>
                </c:pt>
                <c:pt idx="29">
                  <c:v>114.99</c:v>
                </c:pt>
                <c:pt idx="30">
                  <c:v>117.17</c:v>
                </c:pt>
                <c:pt idx="31">
                  <c:v>114.74</c:v>
                </c:pt>
                <c:pt idx="32">
                  <c:v>113.51</c:v>
                </c:pt>
                <c:pt idx="33">
                  <c:v>112.06</c:v>
                </c:pt>
                <c:pt idx="34">
                  <c:v>110.71</c:v>
                </c:pt>
                <c:pt idx="35">
                  <c:v>110.31</c:v>
                </c:pt>
                <c:pt idx="36">
                  <c:v>114.56</c:v>
                </c:pt>
                <c:pt idx="37">
                  <c:v>112.86</c:v>
                </c:pt>
                <c:pt idx="38">
                  <c:v>113.03</c:v>
                </c:pt>
                <c:pt idx="39">
                  <c:v>110.73</c:v>
                </c:pt>
                <c:pt idx="40">
                  <c:v>114.63</c:v>
                </c:pt>
                <c:pt idx="41">
                  <c:v>117.31</c:v>
                </c:pt>
                <c:pt idx="42">
                  <c:v>118.58</c:v>
                </c:pt>
                <c:pt idx="43">
                  <c:v>115.69</c:v>
                </c:pt>
                <c:pt idx="44">
                  <c:v>116.19</c:v>
                </c:pt>
                <c:pt idx="45">
                  <c:v>121.73</c:v>
                </c:pt>
                <c:pt idx="46">
                  <c:v>123.24</c:v>
                </c:pt>
                <c:pt idx="47">
                  <c:v>121.14</c:v>
                </c:pt>
                <c:pt idx="48">
                  <c:v>118.5</c:v>
                </c:pt>
                <c:pt idx="49">
                  <c:v>116.16</c:v>
                </c:pt>
                <c:pt idx="50">
                  <c:v>126.39</c:v>
                </c:pt>
                <c:pt idx="51">
                  <c:v>127.1</c:v>
                </c:pt>
                <c:pt idx="52">
                  <c:v>126.79</c:v>
                </c:pt>
                <c:pt idx="53">
                  <c:v>128.24</c:v>
                </c:pt>
                <c:pt idx="54">
                  <c:v>129.58000000000001</c:v>
                </c:pt>
                <c:pt idx="55">
                  <c:v>138.43</c:v>
                </c:pt>
                <c:pt idx="56">
                  <c:v>143.4</c:v>
                </c:pt>
                <c:pt idx="57">
                  <c:v>143.68</c:v>
                </c:pt>
                <c:pt idx="58">
                  <c:v>143.81</c:v>
                </c:pt>
                <c:pt idx="59">
                  <c:v>141.9</c:v>
                </c:pt>
                <c:pt idx="60">
                  <c:v>136.11000000000001</c:v>
                </c:pt>
                <c:pt idx="61">
                  <c:v>138.52000000000001</c:v>
                </c:pt>
                <c:pt idx="62">
                  <c:v>137.91</c:v>
                </c:pt>
                <c:pt idx="63">
                  <c:v>134.80000000000001</c:v>
                </c:pt>
                <c:pt idx="64">
                  <c:v>137.82</c:v>
                </c:pt>
                <c:pt idx="65">
                  <c:v>138.41</c:v>
                </c:pt>
                <c:pt idx="66">
                  <c:v>144.16</c:v>
                </c:pt>
                <c:pt idx="67">
                  <c:v>146.41999999999999</c:v>
                </c:pt>
                <c:pt idx="68">
                  <c:v>146.24</c:v>
                </c:pt>
                <c:pt idx="69">
                  <c:v>155.61000000000001</c:v>
                </c:pt>
                <c:pt idx="70">
                  <c:v>160.08000000000001</c:v>
                </c:pt>
                <c:pt idx="71">
                  <c:v>160.41</c:v>
                </c:pt>
                <c:pt idx="72">
                  <c:v>156.99</c:v>
                </c:pt>
                <c:pt idx="73">
                  <c:v>157</c:v>
                </c:pt>
                <c:pt idx="74">
                  <c:v>154.72</c:v>
                </c:pt>
                <c:pt idx="75">
                  <c:v>158.65</c:v>
                </c:pt>
                <c:pt idx="76">
                  <c:v>162.12</c:v>
                </c:pt>
                <c:pt idx="77">
                  <c:v>166.47</c:v>
                </c:pt>
                <c:pt idx="78">
                  <c:v>173.66</c:v>
                </c:pt>
                <c:pt idx="79">
                  <c:v>177.44</c:v>
                </c:pt>
                <c:pt idx="80">
                  <c:v>179.51</c:v>
                </c:pt>
                <c:pt idx="81">
                  <c:v>176.31</c:v>
                </c:pt>
                <c:pt idx="82">
                  <c:v>171.7</c:v>
                </c:pt>
                <c:pt idx="83">
                  <c:v>176.78</c:v>
                </c:pt>
                <c:pt idx="84">
                  <c:v>174.31</c:v>
                </c:pt>
                <c:pt idx="85">
                  <c:v>163.12</c:v>
                </c:pt>
                <c:pt idx="86">
                  <c:v>172.4</c:v>
                </c:pt>
                <c:pt idx="87">
                  <c:v>172.76</c:v>
                </c:pt>
                <c:pt idx="88">
                  <c:v>172.28</c:v>
                </c:pt>
                <c:pt idx="89">
                  <c:v>174.95</c:v>
                </c:pt>
                <c:pt idx="90">
                  <c:v>184.42</c:v>
                </c:pt>
                <c:pt idx="91">
                  <c:v>180.95</c:v>
                </c:pt>
                <c:pt idx="92">
                  <c:v>177.51</c:v>
                </c:pt>
                <c:pt idx="93">
                  <c:v>176.14</c:v>
                </c:pt>
                <c:pt idx="94">
                  <c:v>166.55</c:v>
                </c:pt>
                <c:pt idx="95">
                  <c:v>165.2</c:v>
                </c:pt>
                <c:pt idx="96">
                  <c:v>163.71</c:v>
                </c:pt>
                <c:pt idx="97">
                  <c:v>167.76</c:v>
                </c:pt>
                <c:pt idx="98">
                  <c:v>163.36000000000001</c:v>
                </c:pt>
                <c:pt idx="99">
                  <c:v>166.62</c:v>
                </c:pt>
                <c:pt idx="100">
                  <c:v>167.13</c:v>
                </c:pt>
                <c:pt idx="101">
                  <c:v>168.58</c:v>
                </c:pt>
                <c:pt idx="102">
                  <c:v>162.63</c:v>
                </c:pt>
                <c:pt idx="103">
                  <c:v>162.32</c:v>
                </c:pt>
                <c:pt idx="104">
                  <c:v>162.13</c:v>
                </c:pt>
                <c:pt idx="105">
                  <c:v>161.79</c:v>
                </c:pt>
                <c:pt idx="106">
                  <c:v>151.13999999999999</c:v>
                </c:pt>
                <c:pt idx="107">
                  <c:v>151.41</c:v>
                </c:pt>
                <c:pt idx="108">
                  <c:v>155.82</c:v>
                </c:pt>
                <c:pt idx="109">
                  <c:v>159.54</c:v>
                </c:pt>
                <c:pt idx="110">
                  <c:v>155.66999999999999</c:v>
                </c:pt>
                <c:pt idx="111">
                  <c:v>158.57</c:v>
                </c:pt>
                <c:pt idx="112">
                  <c:v>161.16</c:v>
                </c:pt>
                <c:pt idx="113">
                  <c:v>160.46</c:v>
                </c:pt>
                <c:pt idx="114">
                  <c:v>159.16</c:v>
                </c:pt>
                <c:pt idx="115">
                  <c:v>157.91999999999999</c:v>
                </c:pt>
                <c:pt idx="116">
                  <c:v>157.38999999999999</c:v>
                </c:pt>
                <c:pt idx="117">
                  <c:v>159.79</c:v>
                </c:pt>
                <c:pt idx="118">
                  <c:v>160.9</c:v>
                </c:pt>
                <c:pt idx="119">
                  <c:v>160.88</c:v>
                </c:pt>
                <c:pt idx="120">
                  <c:v>161.27000000000001</c:v>
                </c:pt>
                <c:pt idx="121">
                  <c:v>159.46</c:v>
                </c:pt>
                <c:pt idx="122">
                  <c:v>161.36000000000001</c:v>
                </c:pt>
                <c:pt idx="123">
                  <c:v>161.79</c:v>
                </c:pt>
                <c:pt idx="124">
                  <c:v>164.01</c:v>
                </c:pt>
                <c:pt idx="125">
                  <c:v>169.73</c:v>
                </c:pt>
                <c:pt idx="126">
                  <c:v>164.67</c:v>
                </c:pt>
                <c:pt idx="127">
                  <c:v>203.71</c:v>
                </c:pt>
                <c:pt idx="128">
                  <c:v>211.51</c:v>
                </c:pt>
                <c:pt idx="129">
                  <c:v>235.56</c:v>
                </c:pt>
                <c:pt idx="130">
                  <c:v>232.89</c:v>
                </c:pt>
                <c:pt idx="131">
                  <c:v>214.9</c:v>
                </c:pt>
                <c:pt idx="132">
                  <c:v>216.42</c:v>
                </c:pt>
                <c:pt idx="133">
                  <c:v>218.09</c:v>
                </c:pt>
                <c:pt idx="134">
                  <c:v>238.6</c:v>
                </c:pt>
                <c:pt idx="135">
                  <c:v>234.56</c:v>
                </c:pt>
                <c:pt idx="136">
                  <c:v>233.08</c:v>
                </c:pt>
                <c:pt idx="137">
                  <c:v>240.56</c:v>
                </c:pt>
                <c:pt idx="138">
                  <c:v>238.03</c:v>
                </c:pt>
                <c:pt idx="139">
                  <c:v>230.23</c:v>
                </c:pt>
                <c:pt idx="140">
                  <c:v>234.99</c:v>
                </c:pt>
                <c:pt idx="141">
                  <c:v>252.92</c:v>
                </c:pt>
                <c:pt idx="142">
                  <c:v>259.67</c:v>
                </c:pt>
                <c:pt idx="143">
                  <c:v>258.01</c:v>
                </c:pt>
                <c:pt idx="144">
                  <c:v>264.33</c:v>
                </c:pt>
                <c:pt idx="145">
                  <c:v>254.84</c:v>
                </c:pt>
                <c:pt idx="146">
                  <c:v>256.12</c:v>
                </c:pt>
                <c:pt idx="147">
                  <c:v>259.64999999999998</c:v>
                </c:pt>
                <c:pt idx="148">
                  <c:v>250.05</c:v>
                </c:pt>
                <c:pt idx="149">
                  <c:v>256.33</c:v>
                </c:pt>
                <c:pt idx="150">
                  <c:v>237.7</c:v>
                </c:pt>
                <c:pt idx="151">
                  <c:v>233.54</c:v>
                </c:pt>
                <c:pt idx="152">
                  <c:v>243.98</c:v>
                </c:pt>
                <c:pt idx="153">
                  <c:v>237.52</c:v>
                </c:pt>
                <c:pt idx="154">
                  <c:v>258.89</c:v>
                </c:pt>
                <c:pt idx="155">
                  <c:v>247.96</c:v>
                </c:pt>
                <c:pt idx="156">
                  <c:v>246.81</c:v>
                </c:pt>
                <c:pt idx="157">
                  <c:v>240.52</c:v>
                </c:pt>
                <c:pt idx="158">
                  <c:v>230.29</c:v>
                </c:pt>
                <c:pt idx="159">
                  <c:v>223.55</c:v>
                </c:pt>
                <c:pt idx="160">
                  <c:v>206.02</c:v>
                </c:pt>
                <c:pt idx="161">
                  <c:v>203.78</c:v>
                </c:pt>
                <c:pt idx="162">
                  <c:v>215.05</c:v>
                </c:pt>
                <c:pt idx="163">
                  <c:v>206.13</c:v>
                </c:pt>
                <c:pt idx="164">
                  <c:v>214.24</c:v>
                </c:pt>
                <c:pt idx="165">
                  <c:v>217.53</c:v>
                </c:pt>
                <c:pt idx="166">
                  <c:v>219.76</c:v>
                </c:pt>
                <c:pt idx="167">
                  <c:v>215.24</c:v>
                </c:pt>
                <c:pt idx="168">
                  <c:v>217.6</c:v>
                </c:pt>
                <c:pt idx="169">
                  <c:v>215.98</c:v>
                </c:pt>
                <c:pt idx="170">
                  <c:v>217.97</c:v>
                </c:pt>
                <c:pt idx="171">
                  <c:v>221.11</c:v>
                </c:pt>
                <c:pt idx="172">
                  <c:v>221.62</c:v>
                </c:pt>
                <c:pt idx="173">
                  <c:v>221.42</c:v>
                </c:pt>
                <c:pt idx="174">
                  <c:v>221.43</c:v>
                </c:pt>
                <c:pt idx="175">
                  <c:v>210.78</c:v>
                </c:pt>
                <c:pt idx="176">
                  <c:v>207.58</c:v>
                </c:pt>
                <c:pt idx="177">
                  <c:v>209.17</c:v>
                </c:pt>
                <c:pt idx="178">
                  <c:v>198.11</c:v>
                </c:pt>
                <c:pt idx="179">
                  <c:v>201.06</c:v>
                </c:pt>
                <c:pt idx="180">
                  <c:v>213.43</c:v>
                </c:pt>
                <c:pt idx="181">
                  <c:v>214.95</c:v>
                </c:pt>
                <c:pt idx="182">
                  <c:v>214.9</c:v>
                </c:pt>
                <c:pt idx="183">
                  <c:v>215.04</c:v>
                </c:pt>
                <c:pt idx="184">
                  <c:v>214.99</c:v>
                </c:pt>
                <c:pt idx="185">
                  <c:v>215.61</c:v>
                </c:pt>
                <c:pt idx="186">
                  <c:v>215.34</c:v>
                </c:pt>
                <c:pt idx="187">
                  <c:v>214.16</c:v>
                </c:pt>
                <c:pt idx="188">
                  <c:v>223.47</c:v>
                </c:pt>
                <c:pt idx="189">
                  <c:v>221.08</c:v>
                </c:pt>
                <c:pt idx="190">
                  <c:v>214.35</c:v>
                </c:pt>
                <c:pt idx="191">
                  <c:v>210.02</c:v>
                </c:pt>
                <c:pt idx="192">
                  <c:v>204.68</c:v>
                </c:pt>
                <c:pt idx="193">
                  <c:v>203.17</c:v>
                </c:pt>
                <c:pt idx="194">
                  <c:v>207.69</c:v>
                </c:pt>
                <c:pt idx="195">
                  <c:v>220.97</c:v>
                </c:pt>
                <c:pt idx="196">
                  <c:v>223.6</c:v>
                </c:pt>
                <c:pt idx="197">
                  <c:v>227.92</c:v>
                </c:pt>
                <c:pt idx="198">
                  <c:v>231.83</c:v>
                </c:pt>
                <c:pt idx="199">
                  <c:v>231.92</c:v>
                </c:pt>
                <c:pt idx="200">
                  <c:v>249.8</c:v>
                </c:pt>
                <c:pt idx="201">
                  <c:v>253.73</c:v>
                </c:pt>
                <c:pt idx="202">
                  <c:v>259.68</c:v>
                </c:pt>
                <c:pt idx="203">
                  <c:v>251.31</c:v>
                </c:pt>
                <c:pt idx="204">
                  <c:v>252.03</c:v>
                </c:pt>
                <c:pt idx="205">
                  <c:v>252.74</c:v>
                </c:pt>
                <c:pt idx="206">
                  <c:v>252.18</c:v>
                </c:pt>
                <c:pt idx="207">
                  <c:v>236.73</c:v>
                </c:pt>
                <c:pt idx="208">
                  <c:v>246.27</c:v>
                </c:pt>
                <c:pt idx="209">
                  <c:v>242.11</c:v>
                </c:pt>
                <c:pt idx="210">
                  <c:v>200.19</c:v>
                </c:pt>
                <c:pt idx="211">
                  <c:v>192.5</c:v>
                </c:pt>
                <c:pt idx="212">
                  <c:v>208.44</c:v>
                </c:pt>
                <c:pt idx="213">
                  <c:v>216</c:v>
                </c:pt>
                <c:pt idx="214">
                  <c:v>213.57</c:v>
                </c:pt>
                <c:pt idx="215">
                  <c:v>213.58</c:v>
                </c:pt>
                <c:pt idx="216">
                  <c:v>205.94</c:v>
                </c:pt>
                <c:pt idx="217">
                  <c:v>207.32</c:v>
                </c:pt>
                <c:pt idx="218">
                  <c:v>203.08</c:v>
                </c:pt>
                <c:pt idx="219">
                  <c:v>200.12</c:v>
                </c:pt>
                <c:pt idx="220">
                  <c:v>203.37</c:v>
                </c:pt>
                <c:pt idx="221">
                  <c:v>200.15</c:v>
                </c:pt>
                <c:pt idx="222">
                  <c:v>196.6</c:v>
                </c:pt>
                <c:pt idx="223">
                  <c:v>213.84</c:v>
                </c:pt>
                <c:pt idx="224">
                  <c:v>210.86</c:v>
                </c:pt>
                <c:pt idx="225">
                  <c:v>203.68</c:v>
                </c:pt>
                <c:pt idx="226">
                  <c:v>200.21</c:v>
                </c:pt>
                <c:pt idx="227">
                  <c:v>198.62</c:v>
                </c:pt>
                <c:pt idx="228">
                  <c:v>190.95</c:v>
                </c:pt>
                <c:pt idx="229">
                  <c:v>202.07</c:v>
                </c:pt>
                <c:pt idx="230">
                  <c:v>199.45</c:v>
                </c:pt>
                <c:pt idx="231">
                  <c:v>192.43</c:v>
                </c:pt>
                <c:pt idx="232">
                  <c:v>202.68</c:v>
                </c:pt>
                <c:pt idx="233">
                  <c:v>203.23</c:v>
                </c:pt>
                <c:pt idx="234">
                  <c:v>204.83</c:v>
                </c:pt>
                <c:pt idx="235">
                  <c:v>197.74</c:v>
                </c:pt>
                <c:pt idx="236">
                  <c:v>193.39</c:v>
                </c:pt>
                <c:pt idx="237">
                  <c:v>196.58</c:v>
                </c:pt>
                <c:pt idx="238">
                  <c:v>196.31</c:v>
                </c:pt>
                <c:pt idx="239">
                  <c:v>199.46</c:v>
                </c:pt>
                <c:pt idx="240">
                  <c:v>205.27</c:v>
                </c:pt>
                <c:pt idx="241">
                  <c:v>201.33</c:v>
                </c:pt>
                <c:pt idx="242">
                  <c:v>202.68</c:v>
                </c:pt>
                <c:pt idx="243">
                  <c:v>205.37</c:v>
                </c:pt>
                <c:pt idx="244">
                  <c:v>220.27</c:v>
                </c:pt>
                <c:pt idx="245">
                  <c:v>203.77</c:v>
                </c:pt>
                <c:pt idx="246">
                  <c:v>201.99</c:v>
                </c:pt>
                <c:pt idx="247">
                  <c:v>196.04</c:v>
                </c:pt>
                <c:pt idx="248">
                  <c:v>203.43</c:v>
                </c:pt>
                <c:pt idx="249">
                  <c:v>210.21</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128.30959999999999</c:v>
                </c:pt>
                <c:pt idx="1">
                  <c:v>115.62050000000001</c:v>
                </c:pt>
                <c:pt idx="2">
                  <c:v>105.1438</c:v>
                </c:pt>
                <c:pt idx="3">
                  <c:v>98.585999999999999</c:v>
                </c:pt>
                <c:pt idx="4">
                  <c:v>103.9533</c:v>
                </c:pt>
                <c:pt idx="5">
                  <c:v>103.358</c:v>
                </c:pt>
                <c:pt idx="6">
                  <c:v>106.88</c:v>
                </c:pt>
                <c:pt idx="7">
                  <c:v>113.07080000000001</c:v>
                </c:pt>
                <c:pt idx="8">
                  <c:v>111.39409999999999</c:v>
                </c:pt>
                <c:pt idx="9">
                  <c:v>105.90770000000001</c:v>
                </c:pt>
                <c:pt idx="10">
                  <c:v>108.011</c:v>
                </c:pt>
                <c:pt idx="11">
                  <c:v>109.2809</c:v>
                </c:pt>
                <c:pt idx="12">
                  <c:v>114.9657</c:v>
                </c:pt>
                <c:pt idx="13">
                  <c:v>118.0313</c:v>
                </c:pt>
                <c:pt idx="14">
                  <c:v>118.3488</c:v>
                </c:pt>
                <c:pt idx="15">
                  <c:v>119.331</c:v>
                </c:pt>
                <c:pt idx="16">
                  <c:v>117.4361</c:v>
                </c:pt>
                <c:pt idx="17">
                  <c:v>117.94199999999999</c:v>
                </c:pt>
                <c:pt idx="18">
                  <c:v>118.4877</c:v>
                </c:pt>
                <c:pt idx="19">
                  <c:v>119.57899999999999</c:v>
                </c:pt>
                <c:pt idx="20">
                  <c:v>124.76779999999999</c:v>
                </c:pt>
                <c:pt idx="21">
                  <c:v>125.5714</c:v>
                </c:pt>
                <c:pt idx="22">
                  <c:v>126.6528</c:v>
                </c:pt>
                <c:pt idx="23">
                  <c:v>122.2577</c:v>
                </c:pt>
                <c:pt idx="24">
                  <c:v>124.7975</c:v>
                </c:pt>
                <c:pt idx="25">
                  <c:v>124.3411</c:v>
                </c:pt>
                <c:pt idx="26">
                  <c:v>131.5042</c:v>
                </c:pt>
                <c:pt idx="27">
                  <c:v>130.6113</c:v>
                </c:pt>
                <c:pt idx="28">
                  <c:v>132.9923</c:v>
                </c:pt>
                <c:pt idx="29">
                  <c:v>122.9224</c:v>
                </c:pt>
                <c:pt idx="30">
                  <c:v>122.4859</c:v>
                </c:pt>
                <c:pt idx="31">
                  <c:v>121.9898</c:v>
                </c:pt>
                <c:pt idx="32">
                  <c:v>124.1725</c:v>
                </c:pt>
                <c:pt idx="33">
                  <c:v>122.61490000000001</c:v>
                </c:pt>
                <c:pt idx="34">
                  <c:v>120.5215</c:v>
                </c:pt>
                <c:pt idx="35">
                  <c:v>119.7774</c:v>
                </c:pt>
                <c:pt idx="36">
                  <c:v>118.577</c:v>
                </c:pt>
                <c:pt idx="37">
                  <c:v>115.8189</c:v>
                </c:pt>
                <c:pt idx="38">
                  <c:v>116.25539999999999</c:v>
                </c:pt>
                <c:pt idx="39">
                  <c:v>112.9418</c:v>
                </c:pt>
                <c:pt idx="40">
                  <c:v>113.8446</c:v>
                </c:pt>
                <c:pt idx="41">
                  <c:v>114.0629</c:v>
                </c:pt>
                <c:pt idx="42">
                  <c:v>118.50749999999999</c:v>
                </c:pt>
                <c:pt idx="43">
                  <c:v>119.01349999999999</c:v>
                </c:pt>
                <c:pt idx="44">
                  <c:v>118.43810000000001</c:v>
                </c:pt>
                <c:pt idx="45">
                  <c:v>120.5215</c:v>
                </c:pt>
                <c:pt idx="46">
                  <c:v>120.91840000000001</c:v>
                </c:pt>
                <c:pt idx="47">
                  <c:v>119.3806</c:v>
                </c:pt>
                <c:pt idx="48">
                  <c:v>116.62</c:v>
                </c:pt>
                <c:pt idx="49">
                  <c:v>112.87</c:v>
                </c:pt>
                <c:pt idx="50">
                  <c:v>115.96</c:v>
                </c:pt>
                <c:pt idx="51">
                  <c:v>115.03</c:v>
                </c:pt>
                <c:pt idx="52">
                  <c:v>113.49</c:v>
                </c:pt>
                <c:pt idx="53">
                  <c:v>113.01</c:v>
                </c:pt>
                <c:pt idx="54">
                  <c:v>113.09</c:v>
                </c:pt>
                <c:pt idx="55">
                  <c:v>117.01</c:v>
                </c:pt>
                <c:pt idx="56">
                  <c:v>114.55</c:v>
                </c:pt>
                <c:pt idx="57">
                  <c:v>113.93</c:v>
                </c:pt>
                <c:pt idx="58">
                  <c:v>114.08</c:v>
                </c:pt>
                <c:pt idx="59">
                  <c:v>113.41</c:v>
                </c:pt>
                <c:pt idx="60">
                  <c:v>113.97</c:v>
                </c:pt>
                <c:pt idx="61">
                  <c:v>110.71</c:v>
                </c:pt>
                <c:pt idx="62">
                  <c:v>108.7</c:v>
                </c:pt>
                <c:pt idx="63">
                  <c:v>106.27</c:v>
                </c:pt>
                <c:pt idx="64">
                  <c:v>107.99</c:v>
                </c:pt>
                <c:pt idx="65">
                  <c:v>103.83</c:v>
                </c:pt>
                <c:pt idx="66">
                  <c:v>106.64</c:v>
                </c:pt>
                <c:pt idx="67">
                  <c:v>106.72</c:v>
                </c:pt>
                <c:pt idx="68">
                  <c:v>108.22</c:v>
                </c:pt>
                <c:pt idx="69">
                  <c:v>116.97</c:v>
                </c:pt>
                <c:pt idx="70">
                  <c:v>115.73</c:v>
                </c:pt>
                <c:pt idx="71">
                  <c:v>117.3</c:v>
                </c:pt>
                <c:pt idx="72">
                  <c:v>120.23</c:v>
                </c:pt>
                <c:pt idx="73">
                  <c:v>120.27</c:v>
                </c:pt>
                <c:pt idx="74">
                  <c:v>120.71</c:v>
                </c:pt>
                <c:pt idx="75">
                  <c:v>122.58</c:v>
                </c:pt>
                <c:pt idx="76">
                  <c:v>121.15</c:v>
                </c:pt>
                <c:pt idx="77">
                  <c:v>120.03</c:v>
                </c:pt>
                <c:pt idx="78">
                  <c:v>122.15</c:v>
                </c:pt>
                <c:pt idx="79">
                  <c:v>119.36</c:v>
                </c:pt>
                <c:pt idx="80">
                  <c:v>117.38</c:v>
                </c:pt>
                <c:pt idx="81">
                  <c:v>120.63</c:v>
                </c:pt>
                <c:pt idx="82">
                  <c:v>117.07</c:v>
                </c:pt>
                <c:pt idx="83">
                  <c:v>117.5</c:v>
                </c:pt>
                <c:pt idx="84">
                  <c:v>117.04</c:v>
                </c:pt>
                <c:pt idx="85">
                  <c:v>120.86</c:v>
                </c:pt>
                <c:pt idx="86">
                  <c:v>120.96</c:v>
                </c:pt>
                <c:pt idx="87">
                  <c:v>120.36</c:v>
                </c:pt>
                <c:pt idx="88">
                  <c:v>118.64</c:v>
                </c:pt>
                <c:pt idx="89">
                  <c:v>122.42</c:v>
                </c:pt>
                <c:pt idx="90">
                  <c:v>126.86</c:v>
                </c:pt>
                <c:pt idx="91">
                  <c:v>122.28</c:v>
                </c:pt>
                <c:pt idx="92">
                  <c:v>121.26</c:v>
                </c:pt>
                <c:pt idx="93">
                  <c:v>121.4</c:v>
                </c:pt>
                <c:pt idx="94">
                  <c:v>119.99</c:v>
                </c:pt>
                <c:pt idx="95">
                  <c:v>119.49</c:v>
                </c:pt>
                <c:pt idx="96">
                  <c:v>118.09</c:v>
                </c:pt>
                <c:pt idx="97">
                  <c:v>122.94</c:v>
                </c:pt>
                <c:pt idx="98">
                  <c:v>124.35</c:v>
                </c:pt>
                <c:pt idx="99">
                  <c:v>124.19</c:v>
                </c:pt>
                <c:pt idx="100">
                  <c:v>122.23</c:v>
                </c:pt>
                <c:pt idx="101">
                  <c:v>119.57</c:v>
                </c:pt>
                <c:pt idx="102">
                  <c:v>135</c:v>
                </c:pt>
                <c:pt idx="103">
                  <c:v>138.55000000000001</c:v>
                </c:pt>
                <c:pt idx="104">
                  <c:v>136.44999999999999</c:v>
                </c:pt>
                <c:pt idx="105">
                  <c:v>130.91999999999999</c:v>
                </c:pt>
                <c:pt idx="106">
                  <c:v>135.58000000000001</c:v>
                </c:pt>
                <c:pt idx="107">
                  <c:v>141.19999999999999</c:v>
                </c:pt>
                <c:pt idx="108">
                  <c:v>147.1</c:v>
                </c:pt>
                <c:pt idx="109">
                  <c:v>143.93</c:v>
                </c:pt>
                <c:pt idx="110">
                  <c:v>155.44</c:v>
                </c:pt>
                <c:pt idx="111">
                  <c:v>155.06</c:v>
                </c:pt>
                <c:pt idx="112">
                  <c:v>158.04</c:v>
                </c:pt>
                <c:pt idx="113">
                  <c:v>162.21</c:v>
                </c:pt>
                <c:pt idx="114">
                  <c:v>166.17</c:v>
                </c:pt>
                <c:pt idx="115">
                  <c:v>162.47999999999999</c:v>
                </c:pt>
                <c:pt idx="116">
                  <c:v>162.81</c:v>
                </c:pt>
                <c:pt idx="117">
                  <c:v>164.25</c:v>
                </c:pt>
                <c:pt idx="118">
                  <c:v>163.08000000000001</c:v>
                </c:pt>
                <c:pt idx="119">
                  <c:v>176.44</c:v>
                </c:pt>
                <c:pt idx="120">
                  <c:v>175.47</c:v>
                </c:pt>
                <c:pt idx="121">
                  <c:v>171.91</c:v>
                </c:pt>
                <c:pt idx="122">
                  <c:v>179.9</c:v>
                </c:pt>
                <c:pt idx="123">
                  <c:v>178.73</c:v>
                </c:pt>
                <c:pt idx="124">
                  <c:v>182.78</c:v>
                </c:pt>
                <c:pt idx="125">
                  <c:v>189.34</c:v>
                </c:pt>
                <c:pt idx="126">
                  <c:v>188.03</c:v>
                </c:pt>
                <c:pt idx="127">
                  <c:v>187.22</c:v>
                </c:pt>
                <c:pt idx="128">
                  <c:v>181.33</c:v>
                </c:pt>
                <c:pt idx="129">
                  <c:v>181.12</c:v>
                </c:pt>
                <c:pt idx="130">
                  <c:v>173.68</c:v>
                </c:pt>
                <c:pt idx="131">
                  <c:v>159.01</c:v>
                </c:pt>
                <c:pt idx="132">
                  <c:v>166.81</c:v>
                </c:pt>
                <c:pt idx="133">
                  <c:v>162.86000000000001</c:v>
                </c:pt>
                <c:pt idx="134">
                  <c:v>165.91</c:v>
                </c:pt>
                <c:pt idx="135">
                  <c:v>165.09</c:v>
                </c:pt>
                <c:pt idx="136">
                  <c:v>167.05</c:v>
                </c:pt>
                <c:pt idx="137">
                  <c:v>173.47</c:v>
                </c:pt>
                <c:pt idx="138">
                  <c:v>166.67</c:v>
                </c:pt>
                <c:pt idx="139">
                  <c:v>165.86</c:v>
                </c:pt>
                <c:pt idx="140">
                  <c:v>171.9</c:v>
                </c:pt>
                <c:pt idx="141">
                  <c:v>174.7</c:v>
                </c:pt>
                <c:pt idx="142">
                  <c:v>179.45</c:v>
                </c:pt>
                <c:pt idx="143">
                  <c:v>176.72</c:v>
                </c:pt>
                <c:pt idx="144">
                  <c:v>179.97</c:v>
                </c:pt>
                <c:pt idx="145">
                  <c:v>173.93</c:v>
                </c:pt>
                <c:pt idx="146">
                  <c:v>170.43</c:v>
                </c:pt>
                <c:pt idx="147">
                  <c:v>167.69</c:v>
                </c:pt>
                <c:pt idx="148">
                  <c:v>164.3</c:v>
                </c:pt>
                <c:pt idx="149">
                  <c:v>164.82</c:v>
                </c:pt>
                <c:pt idx="150">
                  <c:v>167.61</c:v>
                </c:pt>
                <c:pt idx="151">
                  <c:v>166.34</c:v>
                </c:pt>
                <c:pt idx="152">
                  <c:v>165.89</c:v>
                </c:pt>
                <c:pt idx="153">
                  <c:v>160.80000000000001</c:v>
                </c:pt>
                <c:pt idx="154">
                  <c:v>157.91</c:v>
                </c:pt>
                <c:pt idx="155">
                  <c:v>159.84</c:v>
                </c:pt>
                <c:pt idx="156">
                  <c:v>153.80000000000001</c:v>
                </c:pt>
                <c:pt idx="157">
                  <c:v>157.71</c:v>
                </c:pt>
                <c:pt idx="158">
                  <c:v>159.72</c:v>
                </c:pt>
                <c:pt idx="159">
                  <c:v>158.88999999999999</c:v>
                </c:pt>
                <c:pt idx="160">
                  <c:v>153.28</c:v>
                </c:pt>
                <c:pt idx="161">
                  <c:v>152.93</c:v>
                </c:pt>
                <c:pt idx="162">
                  <c:v>160.72999999999999</c:v>
                </c:pt>
                <c:pt idx="163">
                  <c:v>157.01</c:v>
                </c:pt>
                <c:pt idx="164">
                  <c:v>157.6</c:v>
                </c:pt>
                <c:pt idx="165">
                  <c:v>157.30000000000001</c:v>
                </c:pt>
                <c:pt idx="166">
                  <c:v>164.26</c:v>
                </c:pt>
                <c:pt idx="167">
                  <c:v>161.13</c:v>
                </c:pt>
                <c:pt idx="168">
                  <c:v>158.08000000000001</c:v>
                </c:pt>
                <c:pt idx="169">
                  <c:v>157.44</c:v>
                </c:pt>
                <c:pt idx="170">
                  <c:v>158.32</c:v>
                </c:pt>
                <c:pt idx="171">
                  <c:v>158.13</c:v>
                </c:pt>
                <c:pt idx="172">
                  <c:v>155.96</c:v>
                </c:pt>
                <c:pt idx="173">
                  <c:v>158.82</c:v>
                </c:pt>
                <c:pt idx="174">
                  <c:v>156.9</c:v>
                </c:pt>
                <c:pt idx="175">
                  <c:v>155.68</c:v>
                </c:pt>
                <c:pt idx="176">
                  <c:v>150.09</c:v>
                </c:pt>
                <c:pt idx="177">
                  <c:v>149.29</c:v>
                </c:pt>
                <c:pt idx="178">
                  <c:v>147.09</c:v>
                </c:pt>
                <c:pt idx="179">
                  <c:v>147.32</c:v>
                </c:pt>
                <c:pt idx="180">
                  <c:v>149.79</c:v>
                </c:pt>
                <c:pt idx="181">
                  <c:v>150.96</c:v>
                </c:pt>
                <c:pt idx="182">
                  <c:v>151.22999999999999</c:v>
                </c:pt>
                <c:pt idx="183">
                  <c:v>150.06</c:v>
                </c:pt>
                <c:pt idx="184">
                  <c:v>152.24</c:v>
                </c:pt>
                <c:pt idx="185">
                  <c:v>148.49</c:v>
                </c:pt>
                <c:pt idx="186">
                  <c:v>147.36000000000001</c:v>
                </c:pt>
                <c:pt idx="187">
                  <c:v>146.58000000000001</c:v>
                </c:pt>
                <c:pt idx="188">
                  <c:v>155.74</c:v>
                </c:pt>
                <c:pt idx="189">
                  <c:v>156.26</c:v>
                </c:pt>
                <c:pt idx="190">
                  <c:v>150.9</c:v>
                </c:pt>
                <c:pt idx="191">
                  <c:v>146.75</c:v>
                </c:pt>
                <c:pt idx="192">
                  <c:v>154.47</c:v>
                </c:pt>
                <c:pt idx="193">
                  <c:v>150.96</c:v>
                </c:pt>
                <c:pt idx="194">
                  <c:v>166.31</c:v>
                </c:pt>
                <c:pt idx="195">
                  <c:v>167.01</c:v>
                </c:pt>
                <c:pt idx="196">
                  <c:v>169.9</c:v>
                </c:pt>
                <c:pt idx="197">
                  <c:v>170.93</c:v>
                </c:pt>
                <c:pt idx="198">
                  <c:v>165.4</c:v>
                </c:pt>
                <c:pt idx="199">
                  <c:v>162.38999999999999</c:v>
                </c:pt>
                <c:pt idx="200">
                  <c:v>168.67</c:v>
                </c:pt>
                <c:pt idx="201">
                  <c:v>177.18</c:v>
                </c:pt>
                <c:pt idx="202">
                  <c:v>173.23</c:v>
                </c:pt>
                <c:pt idx="203">
                  <c:v>171.37</c:v>
                </c:pt>
                <c:pt idx="204">
                  <c:v>172.72</c:v>
                </c:pt>
                <c:pt idx="205">
                  <c:v>175.66</c:v>
                </c:pt>
                <c:pt idx="206">
                  <c:v>174.25</c:v>
                </c:pt>
                <c:pt idx="207">
                  <c:v>169.56</c:v>
                </c:pt>
                <c:pt idx="208">
                  <c:v>168.39</c:v>
                </c:pt>
                <c:pt idx="209">
                  <c:v>163.65</c:v>
                </c:pt>
                <c:pt idx="210">
                  <c:v>159.13999999999999</c:v>
                </c:pt>
                <c:pt idx="211">
                  <c:v>157.76</c:v>
                </c:pt>
                <c:pt idx="212">
                  <c:v>162.51</c:v>
                </c:pt>
                <c:pt idx="213">
                  <c:v>163</c:v>
                </c:pt>
                <c:pt idx="214">
                  <c:v>166.51</c:v>
                </c:pt>
                <c:pt idx="215">
                  <c:v>164.32</c:v>
                </c:pt>
                <c:pt idx="216">
                  <c:v>158.72999999999999</c:v>
                </c:pt>
                <c:pt idx="217">
                  <c:v>155.72999999999999</c:v>
                </c:pt>
                <c:pt idx="218">
                  <c:v>155.43</c:v>
                </c:pt>
                <c:pt idx="219">
                  <c:v>155.77000000000001</c:v>
                </c:pt>
                <c:pt idx="220">
                  <c:v>154.27000000000001</c:v>
                </c:pt>
                <c:pt idx="221">
                  <c:v>154.44999999999999</c:v>
                </c:pt>
                <c:pt idx="222">
                  <c:v>152.78</c:v>
                </c:pt>
                <c:pt idx="223">
                  <c:v>153.11000000000001</c:v>
                </c:pt>
                <c:pt idx="224">
                  <c:v>152.28</c:v>
                </c:pt>
                <c:pt idx="225">
                  <c:v>148.05000000000001</c:v>
                </c:pt>
                <c:pt idx="226">
                  <c:v>144.11000000000001</c:v>
                </c:pt>
                <c:pt idx="227">
                  <c:v>142.56</c:v>
                </c:pt>
                <c:pt idx="228">
                  <c:v>135.59</c:v>
                </c:pt>
                <c:pt idx="229">
                  <c:v>133.27000000000001</c:v>
                </c:pt>
                <c:pt idx="230">
                  <c:v>130.35</c:v>
                </c:pt>
                <c:pt idx="231">
                  <c:v>130.79</c:v>
                </c:pt>
                <c:pt idx="232">
                  <c:v>132.63999999999999</c:v>
                </c:pt>
                <c:pt idx="233">
                  <c:v>136.85</c:v>
                </c:pt>
                <c:pt idx="234">
                  <c:v>136.29</c:v>
                </c:pt>
                <c:pt idx="235">
                  <c:v>134.19999999999999</c:v>
                </c:pt>
                <c:pt idx="236">
                  <c:v>135.21</c:v>
                </c:pt>
                <c:pt idx="237">
                  <c:v>136.71</c:v>
                </c:pt>
                <c:pt idx="238">
                  <c:v>136.57</c:v>
                </c:pt>
                <c:pt idx="239">
                  <c:v>134.43</c:v>
                </c:pt>
                <c:pt idx="240">
                  <c:v>124.9</c:v>
                </c:pt>
                <c:pt idx="241">
                  <c:v>122.41</c:v>
                </c:pt>
                <c:pt idx="242">
                  <c:v>126.06</c:v>
                </c:pt>
                <c:pt idx="243">
                  <c:v>125.48</c:v>
                </c:pt>
                <c:pt idx="244">
                  <c:v>129.87</c:v>
                </c:pt>
                <c:pt idx="245">
                  <c:v>125.41</c:v>
                </c:pt>
                <c:pt idx="246">
                  <c:v>122.69</c:v>
                </c:pt>
                <c:pt idx="247">
                  <c:v>121.98</c:v>
                </c:pt>
                <c:pt idx="248">
                  <c:v>125.46</c:v>
                </c:pt>
                <c:pt idx="249">
                  <c:v>123.73</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BABA!$B$7:$B$27</c:f>
              <c:numCache>
                <c:formatCode>#,##0</c:formatCode>
                <c:ptCount val="21"/>
                <c:pt idx="0">
                  <c:v>14293901</c:v>
                </c:pt>
                <c:pt idx="1">
                  <c:v>18612932</c:v>
                </c:pt>
                <c:pt idx="2">
                  <c:v>10956991</c:v>
                </c:pt>
                <c:pt idx="3">
                  <c:v>10072449</c:v>
                </c:pt>
                <c:pt idx="4">
                  <c:v>15264286</c:v>
                </c:pt>
                <c:pt idx="5">
                  <c:v>6685065</c:v>
                </c:pt>
                <c:pt idx="6">
                  <c:v>7591786</c:v>
                </c:pt>
                <c:pt idx="7">
                  <c:v>6438401</c:v>
                </c:pt>
                <c:pt idx="8">
                  <c:v>9972344</c:v>
                </c:pt>
                <c:pt idx="9">
                  <c:v>10005699</c:v>
                </c:pt>
                <c:pt idx="10">
                  <c:v>17158597</c:v>
                </c:pt>
                <c:pt idx="11">
                  <c:v>33440469</c:v>
                </c:pt>
                <c:pt idx="12">
                  <c:v>15479264</c:v>
                </c:pt>
                <c:pt idx="13">
                  <c:v>15583917</c:v>
                </c:pt>
                <c:pt idx="14">
                  <c:v>8516233</c:v>
                </c:pt>
                <c:pt idx="15">
                  <c:v>12843020</c:v>
                </c:pt>
                <c:pt idx="16">
                  <c:v>9239994</c:v>
                </c:pt>
                <c:pt idx="17">
                  <c:v>8104989</c:v>
                </c:pt>
                <c:pt idx="18">
                  <c:v>7226650</c:v>
                </c:pt>
                <c:pt idx="19">
                  <c:v>9486079</c:v>
                </c:pt>
                <c:pt idx="20">
                  <c:v>10297423</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BABA!$C$7:$C$27</c:f>
              <c:numCache>
                <c:formatCode>_([$$-409]* #,##0.00_);_([$$-409]* \(#,##0.00\);_([$$-409]* "-"??_);_(@_)</c:formatCode>
                <c:ptCount val="21"/>
                <c:pt idx="0">
                  <c:v>134.98500000000001</c:v>
                </c:pt>
                <c:pt idx="1">
                  <c:v>129.69999999999999</c:v>
                </c:pt>
                <c:pt idx="2">
                  <c:v>129.30000000000001</c:v>
                </c:pt>
                <c:pt idx="3">
                  <c:v>130.24</c:v>
                </c:pt>
                <c:pt idx="4">
                  <c:v>135.71</c:v>
                </c:pt>
                <c:pt idx="5">
                  <c:v>135.57</c:v>
                </c:pt>
                <c:pt idx="6">
                  <c:v>135.38</c:v>
                </c:pt>
                <c:pt idx="7">
                  <c:v>136.07</c:v>
                </c:pt>
                <c:pt idx="8">
                  <c:v>138.80000000000001</c:v>
                </c:pt>
                <c:pt idx="9">
                  <c:v>137.875</c:v>
                </c:pt>
                <c:pt idx="10">
                  <c:v>138.44499999999999</c:v>
                </c:pt>
                <c:pt idx="11">
                  <c:v>123.02</c:v>
                </c:pt>
                <c:pt idx="12">
                  <c:v>125.715</c:v>
                </c:pt>
                <c:pt idx="13">
                  <c:v>123.24</c:v>
                </c:pt>
                <c:pt idx="14">
                  <c:v>124.36</c:v>
                </c:pt>
                <c:pt idx="15">
                  <c:v>129.47999999999999</c:v>
                </c:pt>
                <c:pt idx="16">
                  <c:v>126.72</c:v>
                </c:pt>
                <c:pt idx="17">
                  <c:v>123.97</c:v>
                </c:pt>
                <c:pt idx="18">
                  <c:v>123.28</c:v>
                </c:pt>
                <c:pt idx="19">
                  <c:v>121.99</c:v>
                </c:pt>
                <c:pt idx="20">
                  <c:v>125.48</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BABA!$D$7:$D$27</c:f>
              <c:numCache>
                <c:formatCode>_([$$-409]* #,##0.00_);_([$$-409]* \(#,##0.00\);_([$$-409]* "-"??_);_(@_)</c:formatCode>
                <c:ptCount val="21"/>
                <c:pt idx="0">
                  <c:v>135.11699999999999</c:v>
                </c:pt>
                <c:pt idx="1">
                  <c:v>131.63460000000001</c:v>
                </c:pt>
                <c:pt idx="2">
                  <c:v>132.43</c:v>
                </c:pt>
                <c:pt idx="3">
                  <c:v>132.91</c:v>
                </c:pt>
                <c:pt idx="4">
                  <c:v>139.22</c:v>
                </c:pt>
                <c:pt idx="5">
                  <c:v>136.74</c:v>
                </c:pt>
                <c:pt idx="6">
                  <c:v>136</c:v>
                </c:pt>
                <c:pt idx="7">
                  <c:v>137.19999999999999</c:v>
                </c:pt>
                <c:pt idx="8">
                  <c:v>138.80000000000001</c:v>
                </c:pt>
                <c:pt idx="9">
                  <c:v>138.22</c:v>
                </c:pt>
                <c:pt idx="10">
                  <c:v>139.16</c:v>
                </c:pt>
                <c:pt idx="11">
                  <c:v>126.92</c:v>
                </c:pt>
                <c:pt idx="12">
                  <c:v>126.48</c:v>
                </c:pt>
                <c:pt idx="13">
                  <c:v>127.27</c:v>
                </c:pt>
                <c:pt idx="14">
                  <c:v>125.75</c:v>
                </c:pt>
                <c:pt idx="15">
                  <c:v>130.65</c:v>
                </c:pt>
                <c:pt idx="16">
                  <c:v>127.05</c:v>
                </c:pt>
                <c:pt idx="17">
                  <c:v>124.44</c:v>
                </c:pt>
                <c:pt idx="18">
                  <c:v>123.78</c:v>
                </c:pt>
                <c:pt idx="19">
                  <c:v>125.78</c:v>
                </c:pt>
                <c:pt idx="20">
                  <c:v>126.39</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BABA!$E$7:$E$27</c:f>
              <c:numCache>
                <c:formatCode>_([$$-409]* #,##0.00_);_([$$-409]* \(#,##0.00\);_([$$-409]* "-"??_);_(@_)</c:formatCode>
                <c:ptCount val="21"/>
                <c:pt idx="0">
                  <c:v>132.72</c:v>
                </c:pt>
                <c:pt idx="1">
                  <c:v>128.6</c:v>
                </c:pt>
                <c:pt idx="2">
                  <c:v>128.80000000000001</c:v>
                </c:pt>
                <c:pt idx="3">
                  <c:v>128.55000000000001</c:v>
                </c:pt>
                <c:pt idx="4">
                  <c:v>134.56</c:v>
                </c:pt>
                <c:pt idx="5">
                  <c:v>134.82</c:v>
                </c:pt>
                <c:pt idx="6">
                  <c:v>133.44999999999999</c:v>
                </c:pt>
                <c:pt idx="7">
                  <c:v>134.69999999999999</c:v>
                </c:pt>
                <c:pt idx="8">
                  <c:v>136.5</c:v>
                </c:pt>
                <c:pt idx="9">
                  <c:v>135.97</c:v>
                </c:pt>
                <c:pt idx="10">
                  <c:v>134.37</c:v>
                </c:pt>
                <c:pt idx="11">
                  <c:v>121.16</c:v>
                </c:pt>
                <c:pt idx="12">
                  <c:v>122.09</c:v>
                </c:pt>
                <c:pt idx="13">
                  <c:v>123.1</c:v>
                </c:pt>
                <c:pt idx="14">
                  <c:v>123.92</c:v>
                </c:pt>
                <c:pt idx="15">
                  <c:v>128.34</c:v>
                </c:pt>
                <c:pt idx="16">
                  <c:v>124.59</c:v>
                </c:pt>
                <c:pt idx="17">
                  <c:v>122.23009999999999</c:v>
                </c:pt>
                <c:pt idx="18">
                  <c:v>121.55</c:v>
                </c:pt>
                <c:pt idx="19">
                  <c:v>121.38</c:v>
                </c:pt>
                <c:pt idx="20">
                  <c:v>123.12</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BABA!$F$7:$F$27</c:f>
              <c:numCache>
                <c:formatCode>_([$$-409]* #,##0.00_);_([$$-409]* \(#,##0.00\);_([$$-409]* "-"??_);_(@_)</c:formatCode>
                <c:ptCount val="21"/>
                <c:pt idx="0">
                  <c:v>133.27000000000001</c:v>
                </c:pt>
                <c:pt idx="1">
                  <c:v>130.35</c:v>
                </c:pt>
                <c:pt idx="2">
                  <c:v>130.79</c:v>
                </c:pt>
                <c:pt idx="3">
                  <c:v>132.63999999999999</c:v>
                </c:pt>
                <c:pt idx="4">
                  <c:v>136.85</c:v>
                </c:pt>
                <c:pt idx="5">
                  <c:v>136.29</c:v>
                </c:pt>
                <c:pt idx="6">
                  <c:v>134.19999999999999</c:v>
                </c:pt>
                <c:pt idx="7">
                  <c:v>135.21</c:v>
                </c:pt>
                <c:pt idx="8">
                  <c:v>136.71</c:v>
                </c:pt>
                <c:pt idx="9">
                  <c:v>136.57</c:v>
                </c:pt>
                <c:pt idx="10">
                  <c:v>134.43</c:v>
                </c:pt>
                <c:pt idx="11">
                  <c:v>124.9</c:v>
                </c:pt>
                <c:pt idx="12">
                  <c:v>122.41</c:v>
                </c:pt>
                <c:pt idx="13">
                  <c:v>126.06</c:v>
                </c:pt>
                <c:pt idx="14">
                  <c:v>125.48</c:v>
                </c:pt>
                <c:pt idx="15">
                  <c:v>129.87</c:v>
                </c:pt>
                <c:pt idx="16">
                  <c:v>125.41</c:v>
                </c:pt>
                <c:pt idx="17">
                  <c:v>122.69</c:v>
                </c:pt>
                <c:pt idx="18">
                  <c:v>121.98</c:v>
                </c:pt>
                <c:pt idx="19">
                  <c:v>125.46</c:v>
                </c:pt>
                <c:pt idx="20">
                  <c:v>123.73</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BABA!$B$7:$B$27</c:f>
              <c:numCache>
                <c:formatCode>#,##0</c:formatCode>
                <c:ptCount val="21"/>
                <c:pt idx="0">
                  <c:v>14293901</c:v>
                </c:pt>
                <c:pt idx="1">
                  <c:v>18612932</c:v>
                </c:pt>
                <c:pt idx="2">
                  <c:v>10956991</c:v>
                </c:pt>
                <c:pt idx="3">
                  <c:v>10072449</c:v>
                </c:pt>
                <c:pt idx="4">
                  <c:v>15264286</c:v>
                </c:pt>
                <c:pt idx="5">
                  <c:v>6685065</c:v>
                </c:pt>
                <c:pt idx="6">
                  <c:v>7591786</c:v>
                </c:pt>
                <c:pt idx="7">
                  <c:v>6438401</c:v>
                </c:pt>
                <c:pt idx="8">
                  <c:v>9972344</c:v>
                </c:pt>
                <c:pt idx="9">
                  <c:v>10005699</c:v>
                </c:pt>
                <c:pt idx="10">
                  <c:v>17158597</c:v>
                </c:pt>
                <c:pt idx="11">
                  <c:v>33440469</c:v>
                </c:pt>
                <c:pt idx="12">
                  <c:v>15479264</c:v>
                </c:pt>
                <c:pt idx="13">
                  <c:v>15583917</c:v>
                </c:pt>
                <c:pt idx="14">
                  <c:v>8516233</c:v>
                </c:pt>
                <c:pt idx="15">
                  <c:v>12843020</c:v>
                </c:pt>
                <c:pt idx="16">
                  <c:v>9239994</c:v>
                </c:pt>
                <c:pt idx="17">
                  <c:v>8104989</c:v>
                </c:pt>
                <c:pt idx="18">
                  <c:v>7226650</c:v>
                </c:pt>
                <c:pt idx="19">
                  <c:v>9486079</c:v>
                </c:pt>
                <c:pt idx="20">
                  <c:v>10297423</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BABA!$C$7:$C$27</c:f>
              <c:numCache>
                <c:formatCode>_([$$-409]* #,##0.00_);_([$$-409]* \(#,##0.00\);_([$$-409]* "-"??_);_(@_)</c:formatCode>
                <c:ptCount val="21"/>
                <c:pt idx="0">
                  <c:v>134.98500000000001</c:v>
                </c:pt>
                <c:pt idx="1">
                  <c:v>129.69999999999999</c:v>
                </c:pt>
                <c:pt idx="2">
                  <c:v>129.30000000000001</c:v>
                </c:pt>
                <c:pt idx="3">
                  <c:v>130.24</c:v>
                </c:pt>
                <c:pt idx="4">
                  <c:v>135.71</c:v>
                </c:pt>
                <c:pt idx="5">
                  <c:v>135.57</c:v>
                </c:pt>
                <c:pt idx="6">
                  <c:v>135.38</c:v>
                </c:pt>
                <c:pt idx="7">
                  <c:v>136.07</c:v>
                </c:pt>
                <c:pt idx="8">
                  <c:v>138.80000000000001</c:v>
                </c:pt>
                <c:pt idx="9">
                  <c:v>137.875</c:v>
                </c:pt>
                <c:pt idx="10">
                  <c:v>138.44499999999999</c:v>
                </c:pt>
                <c:pt idx="11">
                  <c:v>123.02</c:v>
                </c:pt>
                <c:pt idx="12">
                  <c:v>125.715</c:v>
                </c:pt>
                <c:pt idx="13">
                  <c:v>123.24</c:v>
                </c:pt>
                <c:pt idx="14">
                  <c:v>124.36</c:v>
                </c:pt>
                <c:pt idx="15">
                  <c:v>129.47999999999999</c:v>
                </c:pt>
                <c:pt idx="16">
                  <c:v>126.72</c:v>
                </c:pt>
                <c:pt idx="17">
                  <c:v>123.97</c:v>
                </c:pt>
                <c:pt idx="18">
                  <c:v>123.28</c:v>
                </c:pt>
                <c:pt idx="19">
                  <c:v>121.99</c:v>
                </c:pt>
                <c:pt idx="20">
                  <c:v>125.48</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BABA!$D$7:$D$27</c:f>
              <c:numCache>
                <c:formatCode>_([$$-409]* #,##0.00_);_([$$-409]* \(#,##0.00\);_([$$-409]* "-"??_);_(@_)</c:formatCode>
                <c:ptCount val="21"/>
                <c:pt idx="0">
                  <c:v>135.11699999999999</c:v>
                </c:pt>
                <c:pt idx="1">
                  <c:v>131.63460000000001</c:v>
                </c:pt>
                <c:pt idx="2">
                  <c:v>132.43</c:v>
                </c:pt>
                <c:pt idx="3">
                  <c:v>132.91</c:v>
                </c:pt>
                <c:pt idx="4">
                  <c:v>139.22</c:v>
                </c:pt>
                <c:pt idx="5">
                  <c:v>136.74</c:v>
                </c:pt>
                <c:pt idx="6">
                  <c:v>136</c:v>
                </c:pt>
                <c:pt idx="7">
                  <c:v>137.19999999999999</c:v>
                </c:pt>
                <c:pt idx="8">
                  <c:v>138.80000000000001</c:v>
                </c:pt>
                <c:pt idx="9">
                  <c:v>138.22</c:v>
                </c:pt>
                <c:pt idx="10">
                  <c:v>139.16</c:v>
                </c:pt>
                <c:pt idx="11">
                  <c:v>126.92</c:v>
                </c:pt>
                <c:pt idx="12">
                  <c:v>126.48</c:v>
                </c:pt>
                <c:pt idx="13">
                  <c:v>127.27</c:v>
                </c:pt>
                <c:pt idx="14">
                  <c:v>125.75</c:v>
                </c:pt>
                <c:pt idx="15">
                  <c:v>130.65</c:v>
                </c:pt>
                <c:pt idx="16">
                  <c:v>127.05</c:v>
                </c:pt>
                <c:pt idx="17">
                  <c:v>124.44</c:v>
                </c:pt>
                <c:pt idx="18">
                  <c:v>123.78</c:v>
                </c:pt>
                <c:pt idx="19">
                  <c:v>125.78</c:v>
                </c:pt>
                <c:pt idx="20">
                  <c:v>126.39</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BABA!$E$7:$E$27</c:f>
              <c:numCache>
                <c:formatCode>_([$$-409]* #,##0.00_);_([$$-409]* \(#,##0.00\);_([$$-409]* "-"??_);_(@_)</c:formatCode>
                <c:ptCount val="21"/>
                <c:pt idx="0">
                  <c:v>132.72</c:v>
                </c:pt>
                <c:pt idx="1">
                  <c:v>128.6</c:v>
                </c:pt>
                <c:pt idx="2">
                  <c:v>128.80000000000001</c:v>
                </c:pt>
                <c:pt idx="3">
                  <c:v>128.55000000000001</c:v>
                </c:pt>
                <c:pt idx="4">
                  <c:v>134.56</c:v>
                </c:pt>
                <c:pt idx="5">
                  <c:v>134.82</c:v>
                </c:pt>
                <c:pt idx="6">
                  <c:v>133.44999999999999</c:v>
                </c:pt>
                <c:pt idx="7">
                  <c:v>134.69999999999999</c:v>
                </c:pt>
                <c:pt idx="8">
                  <c:v>136.5</c:v>
                </c:pt>
                <c:pt idx="9">
                  <c:v>135.97</c:v>
                </c:pt>
                <c:pt idx="10">
                  <c:v>134.37</c:v>
                </c:pt>
                <c:pt idx="11">
                  <c:v>121.16</c:v>
                </c:pt>
                <c:pt idx="12">
                  <c:v>122.09</c:v>
                </c:pt>
                <c:pt idx="13">
                  <c:v>123.1</c:v>
                </c:pt>
                <c:pt idx="14">
                  <c:v>123.92</c:v>
                </c:pt>
                <c:pt idx="15">
                  <c:v>128.34</c:v>
                </c:pt>
                <c:pt idx="16">
                  <c:v>124.59</c:v>
                </c:pt>
                <c:pt idx="17">
                  <c:v>122.23009999999999</c:v>
                </c:pt>
                <c:pt idx="18">
                  <c:v>121.55</c:v>
                </c:pt>
                <c:pt idx="19">
                  <c:v>121.38</c:v>
                </c:pt>
                <c:pt idx="20">
                  <c:v>123.12</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BABA!$F$7:$F$27</c:f>
              <c:numCache>
                <c:formatCode>_([$$-409]* #,##0.00_);_([$$-409]* \(#,##0.00\);_([$$-409]* "-"??_);_(@_)</c:formatCode>
                <c:ptCount val="21"/>
                <c:pt idx="0">
                  <c:v>133.27000000000001</c:v>
                </c:pt>
                <c:pt idx="1">
                  <c:v>130.35</c:v>
                </c:pt>
                <c:pt idx="2">
                  <c:v>130.79</c:v>
                </c:pt>
                <c:pt idx="3">
                  <c:v>132.63999999999999</c:v>
                </c:pt>
                <c:pt idx="4">
                  <c:v>136.85</c:v>
                </c:pt>
                <c:pt idx="5">
                  <c:v>136.29</c:v>
                </c:pt>
                <c:pt idx="6">
                  <c:v>134.19999999999999</c:v>
                </c:pt>
                <c:pt idx="7">
                  <c:v>135.21</c:v>
                </c:pt>
                <c:pt idx="8">
                  <c:v>136.71</c:v>
                </c:pt>
                <c:pt idx="9">
                  <c:v>136.57</c:v>
                </c:pt>
                <c:pt idx="10">
                  <c:v>134.43</c:v>
                </c:pt>
                <c:pt idx="11">
                  <c:v>124.9</c:v>
                </c:pt>
                <c:pt idx="12">
                  <c:v>122.41</c:v>
                </c:pt>
                <c:pt idx="13">
                  <c:v>126.06</c:v>
                </c:pt>
                <c:pt idx="14">
                  <c:v>125.48</c:v>
                </c:pt>
                <c:pt idx="15">
                  <c:v>129.87</c:v>
                </c:pt>
                <c:pt idx="16">
                  <c:v>125.41</c:v>
                </c:pt>
                <c:pt idx="17">
                  <c:v>122.69</c:v>
                </c:pt>
                <c:pt idx="18">
                  <c:v>121.98</c:v>
                </c:pt>
                <c:pt idx="19">
                  <c:v>125.46</c:v>
                </c:pt>
                <c:pt idx="20">
                  <c:v>123.73</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37.22</c:v>
                </c:pt>
                <c:pt idx="1">
                  <c:v>34.39</c:v>
                </c:pt>
                <c:pt idx="2">
                  <c:v>35.58</c:v>
                </c:pt>
                <c:pt idx="3">
                  <c:v>35.03</c:v>
                </c:pt>
                <c:pt idx="4">
                  <c:v>37.15</c:v>
                </c:pt>
                <c:pt idx="5">
                  <c:v>35.85</c:v>
                </c:pt>
                <c:pt idx="6">
                  <c:v>35.950000000000003</c:v>
                </c:pt>
                <c:pt idx="7">
                  <c:v>36.67</c:v>
                </c:pt>
                <c:pt idx="8">
                  <c:v>37.99</c:v>
                </c:pt>
                <c:pt idx="9">
                  <c:v>37.33</c:v>
                </c:pt>
                <c:pt idx="10">
                  <c:v>37.409999999999997</c:v>
                </c:pt>
                <c:pt idx="11">
                  <c:v>36.92</c:v>
                </c:pt>
                <c:pt idx="12">
                  <c:v>38.32</c:v>
                </c:pt>
                <c:pt idx="13">
                  <c:v>38.75</c:v>
                </c:pt>
                <c:pt idx="14">
                  <c:v>39.58</c:v>
                </c:pt>
                <c:pt idx="15">
                  <c:v>39.69</c:v>
                </c:pt>
                <c:pt idx="16">
                  <c:v>39.78</c:v>
                </c:pt>
                <c:pt idx="17">
                  <c:v>39.99</c:v>
                </c:pt>
                <c:pt idx="18">
                  <c:v>39.880000000000003</c:v>
                </c:pt>
                <c:pt idx="19">
                  <c:v>40.17</c:v>
                </c:pt>
                <c:pt idx="20">
                  <c:v>41.07</c:v>
                </c:pt>
                <c:pt idx="21">
                  <c:v>41.12</c:v>
                </c:pt>
                <c:pt idx="22">
                  <c:v>40.840000000000003</c:v>
                </c:pt>
                <c:pt idx="23">
                  <c:v>40.93</c:v>
                </c:pt>
                <c:pt idx="24">
                  <c:v>41.6</c:v>
                </c:pt>
                <c:pt idx="25">
                  <c:v>41.79</c:v>
                </c:pt>
                <c:pt idx="26">
                  <c:v>43.36</c:v>
                </c:pt>
                <c:pt idx="27">
                  <c:v>44.28</c:v>
                </c:pt>
                <c:pt idx="28">
                  <c:v>44.74</c:v>
                </c:pt>
                <c:pt idx="29">
                  <c:v>44.38</c:v>
                </c:pt>
                <c:pt idx="30">
                  <c:v>44.69</c:v>
                </c:pt>
                <c:pt idx="31">
                  <c:v>44.77</c:v>
                </c:pt>
                <c:pt idx="32">
                  <c:v>44.69</c:v>
                </c:pt>
                <c:pt idx="33">
                  <c:v>43.25</c:v>
                </c:pt>
                <c:pt idx="34">
                  <c:v>43.31</c:v>
                </c:pt>
                <c:pt idx="35">
                  <c:v>43.2</c:v>
                </c:pt>
                <c:pt idx="36">
                  <c:v>44.22</c:v>
                </c:pt>
                <c:pt idx="37">
                  <c:v>44.06</c:v>
                </c:pt>
                <c:pt idx="38">
                  <c:v>44.24</c:v>
                </c:pt>
                <c:pt idx="39">
                  <c:v>44.13</c:v>
                </c:pt>
                <c:pt idx="40">
                  <c:v>44.08</c:v>
                </c:pt>
                <c:pt idx="41">
                  <c:v>44.65</c:v>
                </c:pt>
                <c:pt idx="42">
                  <c:v>44.36</c:v>
                </c:pt>
                <c:pt idx="43">
                  <c:v>44.38</c:v>
                </c:pt>
                <c:pt idx="44">
                  <c:v>44.97</c:v>
                </c:pt>
                <c:pt idx="45">
                  <c:v>44.87</c:v>
                </c:pt>
                <c:pt idx="46">
                  <c:v>45.09</c:v>
                </c:pt>
                <c:pt idx="47">
                  <c:v>44.73</c:v>
                </c:pt>
                <c:pt idx="48">
                  <c:v>44.62</c:v>
                </c:pt>
                <c:pt idx="49">
                  <c:v>44.09</c:v>
                </c:pt>
                <c:pt idx="50">
                  <c:v>44.41</c:v>
                </c:pt>
                <c:pt idx="51">
                  <c:v>44.23</c:v>
                </c:pt>
                <c:pt idx="52">
                  <c:v>45.06</c:v>
                </c:pt>
                <c:pt idx="53">
                  <c:v>45.5</c:v>
                </c:pt>
                <c:pt idx="54">
                  <c:v>46.3</c:v>
                </c:pt>
                <c:pt idx="55">
                  <c:v>46.66</c:v>
                </c:pt>
                <c:pt idx="56">
                  <c:v>46.85</c:v>
                </c:pt>
                <c:pt idx="57">
                  <c:v>47.46</c:v>
                </c:pt>
                <c:pt idx="58">
                  <c:v>47.12</c:v>
                </c:pt>
                <c:pt idx="59">
                  <c:v>47.32</c:v>
                </c:pt>
                <c:pt idx="60">
                  <c:v>48.15</c:v>
                </c:pt>
                <c:pt idx="61">
                  <c:v>48.71</c:v>
                </c:pt>
                <c:pt idx="62">
                  <c:v>48.93</c:v>
                </c:pt>
                <c:pt idx="63">
                  <c:v>48.66</c:v>
                </c:pt>
                <c:pt idx="64">
                  <c:v>47.15</c:v>
                </c:pt>
                <c:pt idx="65">
                  <c:v>46.84</c:v>
                </c:pt>
                <c:pt idx="66">
                  <c:v>46.97</c:v>
                </c:pt>
                <c:pt idx="67">
                  <c:v>46.73</c:v>
                </c:pt>
                <c:pt idx="68">
                  <c:v>47.07</c:v>
                </c:pt>
                <c:pt idx="69">
                  <c:v>46.15</c:v>
                </c:pt>
                <c:pt idx="70">
                  <c:v>46.03</c:v>
                </c:pt>
                <c:pt idx="71">
                  <c:v>47.02</c:v>
                </c:pt>
                <c:pt idx="72">
                  <c:v>47.32</c:v>
                </c:pt>
                <c:pt idx="73">
                  <c:v>47.48</c:v>
                </c:pt>
                <c:pt idx="74">
                  <c:v>47.77</c:v>
                </c:pt>
                <c:pt idx="75">
                  <c:v>48.14</c:v>
                </c:pt>
                <c:pt idx="76">
                  <c:v>48.39</c:v>
                </c:pt>
                <c:pt idx="77">
                  <c:v>48.45</c:v>
                </c:pt>
                <c:pt idx="78">
                  <c:v>48.23</c:v>
                </c:pt>
                <c:pt idx="79">
                  <c:v>47.95</c:v>
                </c:pt>
                <c:pt idx="80">
                  <c:v>47.96</c:v>
                </c:pt>
                <c:pt idx="81">
                  <c:v>47.27</c:v>
                </c:pt>
                <c:pt idx="82">
                  <c:v>45.66</c:v>
                </c:pt>
                <c:pt idx="83">
                  <c:v>45.85</c:v>
                </c:pt>
                <c:pt idx="84">
                  <c:v>45.56</c:v>
                </c:pt>
                <c:pt idx="85">
                  <c:v>45.42</c:v>
                </c:pt>
                <c:pt idx="86">
                  <c:v>44.92</c:v>
                </c:pt>
                <c:pt idx="87">
                  <c:v>46.01</c:v>
                </c:pt>
                <c:pt idx="88">
                  <c:v>46.16</c:v>
                </c:pt>
                <c:pt idx="89">
                  <c:v>47.5</c:v>
                </c:pt>
                <c:pt idx="90">
                  <c:v>47.24</c:v>
                </c:pt>
                <c:pt idx="91">
                  <c:v>47.71</c:v>
                </c:pt>
                <c:pt idx="92">
                  <c:v>46.94</c:v>
                </c:pt>
                <c:pt idx="93">
                  <c:v>47.92</c:v>
                </c:pt>
                <c:pt idx="94">
                  <c:v>48.08</c:v>
                </c:pt>
                <c:pt idx="95">
                  <c:v>48.35</c:v>
                </c:pt>
                <c:pt idx="96">
                  <c:v>48.26</c:v>
                </c:pt>
                <c:pt idx="97">
                  <c:v>49.48</c:v>
                </c:pt>
                <c:pt idx="98">
                  <c:v>49.48</c:v>
                </c:pt>
                <c:pt idx="99">
                  <c:v>50.25</c:v>
                </c:pt>
                <c:pt idx="100">
                  <c:v>50.38</c:v>
                </c:pt>
                <c:pt idx="101">
                  <c:v>50.49</c:v>
                </c:pt>
                <c:pt idx="102">
                  <c:v>50.74</c:v>
                </c:pt>
                <c:pt idx="103">
                  <c:v>50.42</c:v>
                </c:pt>
                <c:pt idx="104">
                  <c:v>50.06</c:v>
                </c:pt>
                <c:pt idx="105">
                  <c:v>50.62</c:v>
                </c:pt>
                <c:pt idx="106">
                  <c:v>49.77</c:v>
                </c:pt>
                <c:pt idx="107">
                  <c:v>49.46</c:v>
                </c:pt>
                <c:pt idx="108">
                  <c:v>50.29</c:v>
                </c:pt>
                <c:pt idx="109">
                  <c:v>50.13</c:v>
                </c:pt>
                <c:pt idx="110">
                  <c:v>50.75</c:v>
                </c:pt>
                <c:pt idx="111">
                  <c:v>50.58</c:v>
                </c:pt>
                <c:pt idx="112">
                  <c:v>50.59</c:v>
                </c:pt>
                <c:pt idx="113">
                  <c:v>50.66</c:v>
                </c:pt>
                <c:pt idx="114">
                  <c:v>51.4</c:v>
                </c:pt>
                <c:pt idx="115">
                  <c:v>52.13</c:v>
                </c:pt>
                <c:pt idx="116">
                  <c:v>52.25</c:v>
                </c:pt>
                <c:pt idx="117">
                  <c:v>51.92</c:v>
                </c:pt>
                <c:pt idx="118">
                  <c:v>51.7</c:v>
                </c:pt>
                <c:pt idx="119">
                  <c:v>51.7</c:v>
                </c:pt>
                <c:pt idx="120">
                  <c:v>51.85</c:v>
                </c:pt>
                <c:pt idx="121">
                  <c:v>52.21</c:v>
                </c:pt>
                <c:pt idx="122">
                  <c:v>52.42</c:v>
                </c:pt>
                <c:pt idx="123">
                  <c:v>51.59</c:v>
                </c:pt>
                <c:pt idx="124">
                  <c:v>50.68</c:v>
                </c:pt>
                <c:pt idx="125">
                  <c:v>50.48</c:v>
                </c:pt>
                <c:pt idx="126">
                  <c:v>50.64</c:v>
                </c:pt>
                <c:pt idx="127">
                  <c:v>50.39</c:v>
                </c:pt>
                <c:pt idx="128">
                  <c:v>50.29</c:v>
                </c:pt>
                <c:pt idx="129">
                  <c:v>49.84</c:v>
                </c:pt>
                <c:pt idx="130">
                  <c:v>49.79</c:v>
                </c:pt>
                <c:pt idx="131">
                  <c:v>48.65</c:v>
                </c:pt>
                <c:pt idx="132">
                  <c:v>48.86</c:v>
                </c:pt>
                <c:pt idx="133">
                  <c:v>50.09</c:v>
                </c:pt>
                <c:pt idx="134">
                  <c:v>52.28</c:v>
                </c:pt>
                <c:pt idx="135">
                  <c:v>50.44</c:v>
                </c:pt>
                <c:pt idx="136">
                  <c:v>51.28</c:v>
                </c:pt>
                <c:pt idx="137">
                  <c:v>52.04</c:v>
                </c:pt>
                <c:pt idx="138">
                  <c:v>51.52</c:v>
                </c:pt>
                <c:pt idx="139">
                  <c:v>51.1</c:v>
                </c:pt>
                <c:pt idx="140">
                  <c:v>51.76</c:v>
                </c:pt>
                <c:pt idx="141">
                  <c:v>52.57</c:v>
                </c:pt>
                <c:pt idx="142">
                  <c:v>53.02</c:v>
                </c:pt>
                <c:pt idx="143">
                  <c:v>52.87</c:v>
                </c:pt>
                <c:pt idx="144">
                  <c:v>52.58</c:v>
                </c:pt>
                <c:pt idx="145">
                  <c:v>53.03</c:v>
                </c:pt>
                <c:pt idx="146">
                  <c:v>53.45</c:v>
                </c:pt>
                <c:pt idx="147">
                  <c:v>53.56</c:v>
                </c:pt>
                <c:pt idx="148">
                  <c:v>53.54</c:v>
                </c:pt>
                <c:pt idx="149">
                  <c:v>52.45</c:v>
                </c:pt>
                <c:pt idx="150">
                  <c:v>53.29</c:v>
                </c:pt>
                <c:pt idx="151">
                  <c:v>53.2</c:v>
                </c:pt>
                <c:pt idx="152">
                  <c:v>53.42</c:v>
                </c:pt>
                <c:pt idx="153">
                  <c:v>53.63</c:v>
                </c:pt>
                <c:pt idx="154">
                  <c:v>54.11</c:v>
                </c:pt>
                <c:pt idx="155">
                  <c:v>52.87</c:v>
                </c:pt>
                <c:pt idx="156">
                  <c:v>52.61</c:v>
                </c:pt>
                <c:pt idx="157">
                  <c:v>51.48</c:v>
                </c:pt>
                <c:pt idx="158">
                  <c:v>51.64</c:v>
                </c:pt>
                <c:pt idx="159">
                  <c:v>52.02</c:v>
                </c:pt>
                <c:pt idx="160">
                  <c:v>51</c:v>
                </c:pt>
                <c:pt idx="161">
                  <c:v>51.56</c:v>
                </c:pt>
                <c:pt idx="162">
                  <c:v>51.93</c:v>
                </c:pt>
                <c:pt idx="163">
                  <c:v>52.48</c:v>
                </c:pt>
                <c:pt idx="164">
                  <c:v>52.99</c:v>
                </c:pt>
                <c:pt idx="165">
                  <c:v>53.65</c:v>
                </c:pt>
                <c:pt idx="166">
                  <c:v>53.24</c:v>
                </c:pt>
                <c:pt idx="167">
                  <c:v>53.19</c:v>
                </c:pt>
                <c:pt idx="168">
                  <c:v>54.09</c:v>
                </c:pt>
                <c:pt idx="169">
                  <c:v>54.16</c:v>
                </c:pt>
                <c:pt idx="170">
                  <c:v>53.95</c:v>
                </c:pt>
                <c:pt idx="171">
                  <c:v>53.9</c:v>
                </c:pt>
                <c:pt idx="172">
                  <c:v>53.54</c:v>
                </c:pt>
                <c:pt idx="173">
                  <c:v>54.08</c:v>
                </c:pt>
                <c:pt idx="174">
                  <c:v>54.56</c:v>
                </c:pt>
                <c:pt idx="175">
                  <c:v>55.14</c:v>
                </c:pt>
                <c:pt idx="176">
                  <c:v>55.33</c:v>
                </c:pt>
                <c:pt idx="177">
                  <c:v>54.81</c:v>
                </c:pt>
                <c:pt idx="178">
                  <c:v>54.55</c:v>
                </c:pt>
                <c:pt idx="179">
                  <c:v>54.26</c:v>
                </c:pt>
                <c:pt idx="180">
                  <c:v>55.27</c:v>
                </c:pt>
                <c:pt idx="181">
                  <c:v>55.88</c:v>
                </c:pt>
                <c:pt idx="182">
                  <c:v>55.97</c:v>
                </c:pt>
                <c:pt idx="183">
                  <c:v>56.25</c:v>
                </c:pt>
                <c:pt idx="184">
                  <c:v>56.17</c:v>
                </c:pt>
                <c:pt idx="185">
                  <c:v>55.35</c:v>
                </c:pt>
                <c:pt idx="186">
                  <c:v>55.28</c:v>
                </c:pt>
                <c:pt idx="187">
                  <c:v>55</c:v>
                </c:pt>
                <c:pt idx="188">
                  <c:v>55.95</c:v>
                </c:pt>
                <c:pt idx="189">
                  <c:v>56.89</c:v>
                </c:pt>
                <c:pt idx="190">
                  <c:v>57.25</c:v>
                </c:pt>
                <c:pt idx="191">
                  <c:v>55.64</c:v>
                </c:pt>
                <c:pt idx="192">
                  <c:v>56.18</c:v>
                </c:pt>
                <c:pt idx="193">
                  <c:v>55.85</c:v>
                </c:pt>
                <c:pt idx="194">
                  <c:v>55.19</c:v>
                </c:pt>
                <c:pt idx="195">
                  <c:v>54.54</c:v>
                </c:pt>
                <c:pt idx="196">
                  <c:v>52.48</c:v>
                </c:pt>
                <c:pt idx="197">
                  <c:v>52.59</c:v>
                </c:pt>
                <c:pt idx="198">
                  <c:v>52.97</c:v>
                </c:pt>
                <c:pt idx="199">
                  <c:v>52.1</c:v>
                </c:pt>
                <c:pt idx="200">
                  <c:v>52.07</c:v>
                </c:pt>
                <c:pt idx="201">
                  <c:v>52.45</c:v>
                </c:pt>
                <c:pt idx="202">
                  <c:v>51.72</c:v>
                </c:pt>
                <c:pt idx="203">
                  <c:v>52.02</c:v>
                </c:pt>
                <c:pt idx="204">
                  <c:v>52.17</c:v>
                </c:pt>
                <c:pt idx="205">
                  <c:v>51.81</c:v>
                </c:pt>
                <c:pt idx="206">
                  <c:v>53.08</c:v>
                </c:pt>
                <c:pt idx="207">
                  <c:v>53.2</c:v>
                </c:pt>
                <c:pt idx="208">
                  <c:v>54.03</c:v>
                </c:pt>
                <c:pt idx="209">
                  <c:v>54.45</c:v>
                </c:pt>
                <c:pt idx="210">
                  <c:v>55.38</c:v>
                </c:pt>
                <c:pt idx="211">
                  <c:v>54.94</c:v>
                </c:pt>
                <c:pt idx="212">
                  <c:v>56.53</c:v>
                </c:pt>
                <c:pt idx="213">
                  <c:v>56.41</c:v>
                </c:pt>
                <c:pt idx="214">
                  <c:v>55.39</c:v>
                </c:pt>
                <c:pt idx="215">
                  <c:v>53.85</c:v>
                </c:pt>
                <c:pt idx="216">
                  <c:v>52.52</c:v>
                </c:pt>
                <c:pt idx="217">
                  <c:v>52.55</c:v>
                </c:pt>
                <c:pt idx="218">
                  <c:v>52.74</c:v>
                </c:pt>
                <c:pt idx="219">
                  <c:v>53.36</c:v>
                </c:pt>
                <c:pt idx="220">
                  <c:v>52.77</c:v>
                </c:pt>
                <c:pt idx="221">
                  <c:v>53.06</c:v>
                </c:pt>
                <c:pt idx="222">
                  <c:v>51.07</c:v>
                </c:pt>
                <c:pt idx="223">
                  <c:v>50.41</c:v>
                </c:pt>
                <c:pt idx="224">
                  <c:v>51.69</c:v>
                </c:pt>
                <c:pt idx="225">
                  <c:v>52.3</c:v>
                </c:pt>
                <c:pt idx="226">
                  <c:v>49.83</c:v>
                </c:pt>
                <c:pt idx="227">
                  <c:v>49.81</c:v>
                </c:pt>
                <c:pt idx="228">
                  <c:v>49.97</c:v>
                </c:pt>
                <c:pt idx="229">
                  <c:v>50.3</c:v>
                </c:pt>
                <c:pt idx="230">
                  <c:v>49.81</c:v>
                </c:pt>
                <c:pt idx="231">
                  <c:v>48.64</c:v>
                </c:pt>
                <c:pt idx="232">
                  <c:v>47.9</c:v>
                </c:pt>
                <c:pt idx="233">
                  <c:v>48.56</c:v>
                </c:pt>
                <c:pt idx="234">
                  <c:v>48.52</c:v>
                </c:pt>
                <c:pt idx="235">
                  <c:v>47.13</c:v>
                </c:pt>
                <c:pt idx="236">
                  <c:v>46.72</c:v>
                </c:pt>
                <c:pt idx="237">
                  <c:v>47.06</c:v>
                </c:pt>
                <c:pt idx="238">
                  <c:v>47.28</c:v>
                </c:pt>
                <c:pt idx="239">
                  <c:v>46.83</c:v>
                </c:pt>
                <c:pt idx="240">
                  <c:v>47.01</c:v>
                </c:pt>
                <c:pt idx="241">
                  <c:v>47.16</c:v>
                </c:pt>
                <c:pt idx="242">
                  <c:v>47.52</c:v>
                </c:pt>
                <c:pt idx="243">
                  <c:v>48.14</c:v>
                </c:pt>
                <c:pt idx="244">
                  <c:v>48.75</c:v>
                </c:pt>
                <c:pt idx="245">
                  <c:v>48.24</c:v>
                </c:pt>
                <c:pt idx="246">
                  <c:v>46.97</c:v>
                </c:pt>
                <c:pt idx="247">
                  <c:v>47.23</c:v>
                </c:pt>
                <c:pt idx="248">
                  <c:v>48.75</c:v>
                </c:pt>
                <c:pt idx="249">
                  <c:v>49.27</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COST!$B$7:$B$27</c:f>
              <c:numCache>
                <c:formatCode>#,##0</c:formatCode>
                <c:ptCount val="21"/>
                <c:pt idx="0">
                  <c:v>1806638</c:v>
                </c:pt>
                <c:pt idx="1">
                  <c:v>2774284</c:v>
                </c:pt>
                <c:pt idx="2">
                  <c:v>2708851</c:v>
                </c:pt>
                <c:pt idx="3">
                  <c:v>2348212</c:v>
                </c:pt>
                <c:pt idx="4">
                  <c:v>1613381</c:v>
                </c:pt>
                <c:pt idx="5">
                  <c:v>1262006</c:v>
                </c:pt>
                <c:pt idx="6">
                  <c:v>1669248</c:v>
                </c:pt>
                <c:pt idx="7">
                  <c:v>1469672</c:v>
                </c:pt>
                <c:pt idx="8">
                  <c:v>1243752</c:v>
                </c:pt>
                <c:pt idx="9">
                  <c:v>1210414</c:v>
                </c:pt>
                <c:pt idx="10">
                  <c:v>1434421</c:v>
                </c:pt>
                <c:pt idx="11">
                  <c:v>1340173</c:v>
                </c:pt>
                <c:pt idx="12">
                  <c:v>2621555</c:v>
                </c:pt>
                <c:pt idx="13">
                  <c:v>1779094</c:v>
                </c:pt>
                <c:pt idx="14">
                  <c:v>1259325</c:v>
                </c:pt>
                <c:pt idx="15">
                  <c:v>1067386</c:v>
                </c:pt>
                <c:pt idx="16">
                  <c:v>1498250</c:v>
                </c:pt>
                <c:pt idx="17">
                  <c:v>1540925</c:v>
                </c:pt>
                <c:pt idx="18">
                  <c:v>2129129</c:v>
                </c:pt>
                <c:pt idx="19">
                  <c:v>2447853</c:v>
                </c:pt>
                <c:pt idx="20">
                  <c:v>1769848</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COST!$C$7:$C$27</c:f>
              <c:numCache>
                <c:formatCode>_([$$-409]* #,##0.00_);_([$$-409]* \(#,##0.00\);_([$$-409]* "-"??_);_(@_)</c:formatCode>
                <c:ptCount val="21"/>
                <c:pt idx="0">
                  <c:v>1005</c:v>
                </c:pt>
                <c:pt idx="1">
                  <c:v>996.5</c:v>
                </c:pt>
                <c:pt idx="2">
                  <c:v>967.005</c:v>
                </c:pt>
                <c:pt idx="3">
                  <c:v>999.63</c:v>
                </c:pt>
                <c:pt idx="4">
                  <c:v>1000.5</c:v>
                </c:pt>
                <c:pt idx="5">
                  <c:v>996.32</c:v>
                </c:pt>
                <c:pt idx="6">
                  <c:v>988.61</c:v>
                </c:pt>
                <c:pt idx="7">
                  <c:v>1005.9</c:v>
                </c:pt>
                <c:pt idx="8">
                  <c:v>1010.5</c:v>
                </c:pt>
                <c:pt idx="9">
                  <c:v>1006.49</c:v>
                </c:pt>
                <c:pt idx="10">
                  <c:v>990.37</c:v>
                </c:pt>
                <c:pt idx="11">
                  <c:v>985.84</c:v>
                </c:pt>
                <c:pt idx="12">
                  <c:v>975.08</c:v>
                </c:pt>
                <c:pt idx="13">
                  <c:v>985.66499999999996</c:v>
                </c:pt>
                <c:pt idx="14">
                  <c:v>962.06</c:v>
                </c:pt>
                <c:pt idx="15">
                  <c:v>978</c:v>
                </c:pt>
                <c:pt idx="16">
                  <c:v>975.69</c:v>
                </c:pt>
                <c:pt idx="17">
                  <c:v>982.01499999999999</c:v>
                </c:pt>
                <c:pt idx="18">
                  <c:v>987.65</c:v>
                </c:pt>
                <c:pt idx="19">
                  <c:v>997</c:v>
                </c:pt>
                <c:pt idx="20">
                  <c:v>995.02499999999998</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COST!$D$7:$D$27</c:f>
              <c:numCache>
                <c:formatCode>_([$$-409]* #,##0.00_);_([$$-409]* \(#,##0.00\);_([$$-409]* "-"??_);_(@_)</c:formatCode>
                <c:ptCount val="21"/>
                <c:pt idx="0">
                  <c:v>1014</c:v>
                </c:pt>
                <c:pt idx="1">
                  <c:v>999.25</c:v>
                </c:pt>
                <c:pt idx="2">
                  <c:v>1002.5</c:v>
                </c:pt>
                <c:pt idx="3">
                  <c:v>1007.41</c:v>
                </c:pt>
                <c:pt idx="4">
                  <c:v>1010.1</c:v>
                </c:pt>
                <c:pt idx="5">
                  <c:v>997.39</c:v>
                </c:pt>
                <c:pt idx="6">
                  <c:v>1006.21</c:v>
                </c:pt>
                <c:pt idx="7">
                  <c:v>1012.83</c:v>
                </c:pt>
                <c:pt idx="8">
                  <c:v>1012.65</c:v>
                </c:pt>
                <c:pt idx="9">
                  <c:v>1008.095</c:v>
                </c:pt>
                <c:pt idx="10">
                  <c:v>993.9819</c:v>
                </c:pt>
                <c:pt idx="11">
                  <c:v>988.79</c:v>
                </c:pt>
                <c:pt idx="12">
                  <c:v>980.76</c:v>
                </c:pt>
                <c:pt idx="13">
                  <c:v>986.64</c:v>
                </c:pt>
                <c:pt idx="14">
                  <c:v>981.28</c:v>
                </c:pt>
                <c:pt idx="15">
                  <c:v>980.81</c:v>
                </c:pt>
                <c:pt idx="16">
                  <c:v>987.19</c:v>
                </c:pt>
                <c:pt idx="17">
                  <c:v>987.11</c:v>
                </c:pt>
                <c:pt idx="18">
                  <c:v>1005.54</c:v>
                </c:pt>
                <c:pt idx="19">
                  <c:v>1008.6</c:v>
                </c:pt>
                <c:pt idx="20">
                  <c:v>1003.13</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COST!$E$7:$E$27</c:f>
              <c:numCache>
                <c:formatCode>_([$$-409]* #,##0.00_);_([$$-409]* \(#,##0.00\);_([$$-409]* "-"??_);_(@_)</c:formatCode>
                <c:ptCount val="21"/>
                <c:pt idx="0">
                  <c:v>997</c:v>
                </c:pt>
                <c:pt idx="1">
                  <c:v>978.81</c:v>
                </c:pt>
                <c:pt idx="2">
                  <c:v>960.46</c:v>
                </c:pt>
                <c:pt idx="3">
                  <c:v>987.99</c:v>
                </c:pt>
                <c:pt idx="4">
                  <c:v>996</c:v>
                </c:pt>
                <c:pt idx="5">
                  <c:v>987.89</c:v>
                </c:pt>
                <c:pt idx="6">
                  <c:v>984</c:v>
                </c:pt>
                <c:pt idx="7">
                  <c:v>1002</c:v>
                </c:pt>
                <c:pt idx="8">
                  <c:v>995.43010000000004</c:v>
                </c:pt>
                <c:pt idx="9">
                  <c:v>994.75</c:v>
                </c:pt>
                <c:pt idx="10">
                  <c:v>978.14</c:v>
                </c:pt>
                <c:pt idx="11">
                  <c:v>970.41</c:v>
                </c:pt>
                <c:pt idx="12">
                  <c:v>970.54</c:v>
                </c:pt>
                <c:pt idx="13">
                  <c:v>964.53</c:v>
                </c:pt>
                <c:pt idx="14">
                  <c:v>961</c:v>
                </c:pt>
                <c:pt idx="15">
                  <c:v>968.05039999999997</c:v>
                </c:pt>
                <c:pt idx="16">
                  <c:v>972.7201</c:v>
                </c:pt>
                <c:pt idx="17">
                  <c:v>978.11</c:v>
                </c:pt>
                <c:pt idx="18">
                  <c:v>985.01</c:v>
                </c:pt>
                <c:pt idx="19">
                  <c:v>985.85</c:v>
                </c:pt>
                <c:pt idx="20">
                  <c:v>990.59</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COST!$F$7:$F$27</c:f>
              <c:numCache>
                <c:formatCode>_([$$-409]* #,##0.00_);_([$$-409]* \(#,##0.00\);_([$$-409]* "-"??_);_(@_)</c:formatCode>
                <c:ptCount val="21"/>
                <c:pt idx="0">
                  <c:v>1006.74</c:v>
                </c:pt>
                <c:pt idx="1">
                  <c:v>982.57</c:v>
                </c:pt>
                <c:pt idx="2">
                  <c:v>998.1</c:v>
                </c:pt>
                <c:pt idx="3">
                  <c:v>1005.3</c:v>
                </c:pt>
                <c:pt idx="4">
                  <c:v>997.36</c:v>
                </c:pt>
                <c:pt idx="5">
                  <c:v>992.23</c:v>
                </c:pt>
                <c:pt idx="6">
                  <c:v>1003.32</c:v>
                </c:pt>
                <c:pt idx="7">
                  <c:v>1008.43</c:v>
                </c:pt>
                <c:pt idx="8">
                  <c:v>1001.74</c:v>
                </c:pt>
                <c:pt idx="9">
                  <c:v>996.16</c:v>
                </c:pt>
                <c:pt idx="10">
                  <c:v>979.92</c:v>
                </c:pt>
                <c:pt idx="11">
                  <c:v>974.78</c:v>
                </c:pt>
                <c:pt idx="12">
                  <c:v>972.33</c:v>
                </c:pt>
                <c:pt idx="13">
                  <c:v>965.73</c:v>
                </c:pt>
                <c:pt idx="14">
                  <c:v>973.82</c:v>
                </c:pt>
                <c:pt idx="15">
                  <c:v>974.86</c:v>
                </c:pt>
                <c:pt idx="16">
                  <c:v>979.65</c:v>
                </c:pt>
                <c:pt idx="17">
                  <c:v>983.86</c:v>
                </c:pt>
                <c:pt idx="18">
                  <c:v>996.58</c:v>
                </c:pt>
                <c:pt idx="19">
                  <c:v>996.43</c:v>
                </c:pt>
                <c:pt idx="20">
                  <c:v>996.56</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967.08</c:v>
                </c:pt>
                <c:pt idx="1">
                  <c:v>916.48</c:v>
                </c:pt>
                <c:pt idx="2">
                  <c:v>908.13</c:v>
                </c:pt>
                <c:pt idx="3">
                  <c:v>908.75</c:v>
                </c:pt>
                <c:pt idx="4">
                  <c:v>965.19</c:v>
                </c:pt>
                <c:pt idx="5">
                  <c:v>964.31</c:v>
                </c:pt>
                <c:pt idx="6">
                  <c:v>963.41</c:v>
                </c:pt>
                <c:pt idx="7">
                  <c:v>979.32</c:v>
                </c:pt>
                <c:pt idx="8">
                  <c:v>976.92</c:v>
                </c:pt>
                <c:pt idx="9">
                  <c:v>967.75</c:v>
                </c:pt>
                <c:pt idx="10">
                  <c:v>994.5</c:v>
                </c:pt>
                <c:pt idx="11">
                  <c:v>957.77</c:v>
                </c:pt>
                <c:pt idx="12">
                  <c:v>979.23</c:v>
                </c:pt>
                <c:pt idx="13">
                  <c:v>975.84</c:v>
                </c:pt>
                <c:pt idx="14">
                  <c:v>975.48</c:v>
                </c:pt>
                <c:pt idx="15">
                  <c:v>977.16</c:v>
                </c:pt>
                <c:pt idx="16">
                  <c:v>978.54</c:v>
                </c:pt>
                <c:pt idx="17">
                  <c:v>991.7</c:v>
                </c:pt>
                <c:pt idx="18">
                  <c:v>994.5</c:v>
                </c:pt>
                <c:pt idx="19">
                  <c:v>999.04</c:v>
                </c:pt>
                <c:pt idx="20">
                  <c:v>1008.3</c:v>
                </c:pt>
                <c:pt idx="21">
                  <c:v>1014.89</c:v>
                </c:pt>
                <c:pt idx="22">
                  <c:v>1010.5</c:v>
                </c:pt>
                <c:pt idx="23">
                  <c:v>1007.15</c:v>
                </c:pt>
                <c:pt idx="24">
                  <c:v>1007.71</c:v>
                </c:pt>
                <c:pt idx="25">
                  <c:v>1008.09</c:v>
                </c:pt>
                <c:pt idx="26">
                  <c:v>1016.15</c:v>
                </c:pt>
                <c:pt idx="27">
                  <c:v>999.03</c:v>
                </c:pt>
                <c:pt idx="28">
                  <c:v>991.54</c:v>
                </c:pt>
                <c:pt idx="29">
                  <c:v>1010.47</c:v>
                </c:pt>
                <c:pt idx="30">
                  <c:v>1025.83</c:v>
                </c:pt>
                <c:pt idx="31">
                  <c:v>1034.3399999999999</c:v>
                </c:pt>
                <c:pt idx="32">
                  <c:v>1036.82</c:v>
                </c:pt>
                <c:pt idx="33">
                  <c:v>1025.3</c:v>
                </c:pt>
                <c:pt idx="34">
                  <c:v>1018.13</c:v>
                </c:pt>
                <c:pt idx="35">
                  <c:v>1008.5</c:v>
                </c:pt>
                <c:pt idx="36">
                  <c:v>1017.79</c:v>
                </c:pt>
                <c:pt idx="37">
                  <c:v>1013.14</c:v>
                </c:pt>
                <c:pt idx="38">
                  <c:v>1008.74</c:v>
                </c:pt>
                <c:pt idx="39">
                  <c:v>1040.18</c:v>
                </c:pt>
                <c:pt idx="40">
                  <c:v>1056.8499999999999</c:v>
                </c:pt>
                <c:pt idx="41">
                  <c:v>1055.5899999999999</c:v>
                </c:pt>
                <c:pt idx="42">
                  <c:v>1051.69</c:v>
                </c:pt>
                <c:pt idx="43">
                  <c:v>1010.81</c:v>
                </c:pt>
                <c:pt idx="44">
                  <c:v>1014.94</c:v>
                </c:pt>
                <c:pt idx="45">
                  <c:v>1006.18</c:v>
                </c:pt>
                <c:pt idx="46">
                  <c:v>1007.27</c:v>
                </c:pt>
                <c:pt idx="47">
                  <c:v>996.78</c:v>
                </c:pt>
                <c:pt idx="48">
                  <c:v>1002.71</c:v>
                </c:pt>
                <c:pt idx="49">
                  <c:v>990.21</c:v>
                </c:pt>
                <c:pt idx="50">
                  <c:v>984.36</c:v>
                </c:pt>
                <c:pt idx="51">
                  <c:v>977.72</c:v>
                </c:pt>
                <c:pt idx="52">
                  <c:v>974.9</c:v>
                </c:pt>
                <c:pt idx="53">
                  <c:v>980.29</c:v>
                </c:pt>
                <c:pt idx="54">
                  <c:v>1004.48</c:v>
                </c:pt>
                <c:pt idx="55">
                  <c:v>1001.92</c:v>
                </c:pt>
                <c:pt idx="56">
                  <c:v>986.54</c:v>
                </c:pt>
                <c:pt idx="57">
                  <c:v>982.91</c:v>
                </c:pt>
                <c:pt idx="58">
                  <c:v>985.14</c:v>
                </c:pt>
                <c:pt idx="59">
                  <c:v>989.94</c:v>
                </c:pt>
                <c:pt idx="60">
                  <c:v>985.96</c:v>
                </c:pt>
                <c:pt idx="61">
                  <c:v>982.36</c:v>
                </c:pt>
                <c:pt idx="62">
                  <c:v>987.02</c:v>
                </c:pt>
                <c:pt idx="63">
                  <c:v>992.18</c:v>
                </c:pt>
                <c:pt idx="64">
                  <c:v>985.84</c:v>
                </c:pt>
                <c:pt idx="65">
                  <c:v>982.09</c:v>
                </c:pt>
                <c:pt idx="66">
                  <c:v>970.17</c:v>
                </c:pt>
                <c:pt idx="67">
                  <c:v>970.33</c:v>
                </c:pt>
                <c:pt idx="68">
                  <c:v>980.91</c:v>
                </c:pt>
                <c:pt idx="69">
                  <c:v>967.68</c:v>
                </c:pt>
                <c:pt idx="70">
                  <c:v>951.37</c:v>
                </c:pt>
                <c:pt idx="71">
                  <c:v>953.91</c:v>
                </c:pt>
                <c:pt idx="72">
                  <c:v>950.95</c:v>
                </c:pt>
                <c:pt idx="73">
                  <c:v>947.56</c:v>
                </c:pt>
                <c:pt idx="74">
                  <c:v>941.61</c:v>
                </c:pt>
                <c:pt idx="75">
                  <c:v>941.19</c:v>
                </c:pt>
                <c:pt idx="76">
                  <c:v>933.8</c:v>
                </c:pt>
                <c:pt idx="77">
                  <c:v>935.48</c:v>
                </c:pt>
                <c:pt idx="78">
                  <c:v>933.99</c:v>
                </c:pt>
                <c:pt idx="79">
                  <c:v>934.57</c:v>
                </c:pt>
                <c:pt idx="80">
                  <c:v>927.51</c:v>
                </c:pt>
                <c:pt idx="81">
                  <c:v>939.64</c:v>
                </c:pt>
                <c:pt idx="82">
                  <c:v>952.52</c:v>
                </c:pt>
                <c:pt idx="83">
                  <c:v>955.37</c:v>
                </c:pt>
                <c:pt idx="84">
                  <c:v>943.63</c:v>
                </c:pt>
                <c:pt idx="85">
                  <c:v>968.56</c:v>
                </c:pt>
                <c:pt idx="86">
                  <c:v>977.45</c:v>
                </c:pt>
                <c:pt idx="87">
                  <c:v>980.98</c:v>
                </c:pt>
                <c:pt idx="88">
                  <c:v>988.74</c:v>
                </c:pt>
                <c:pt idx="89">
                  <c:v>991.25</c:v>
                </c:pt>
                <c:pt idx="90">
                  <c:v>978.85</c:v>
                </c:pt>
                <c:pt idx="91">
                  <c:v>975.39</c:v>
                </c:pt>
                <c:pt idx="92">
                  <c:v>972.04</c:v>
                </c:pt>
                <c:pt idx="93">
                  <c:v>979.35</c:v>
                </c:pt>
                <c:pt idx="94">
                  <c:v>980.85</c:v>
                </c:pt>
                <c:pt idx="95">
                  <c:v>994.57</c:v>
                </c:pt>
                <c:pt idx="96">
                  <c:v>969.68</c:v>
                </c:pt>
                <c:pt idx="97">
                  <c:v>958.54</c:v>
                </c:pt>
                <c:pt idx="98">
                  <c:v>941.58</c:v>
                </c:pt>
                <c:pt idx="99">
                  <c:v>941.34</c:v>
                </c:pt>
                <c:pt idx="100">
                  <c:v>949.52</c:v>
                </c:pt>
                <c:pt idx="101">
                  <c:v>944.96</c:v>
                </c:pt>
                <c:pt idx="102">
                  <c:v>943.32</c:v>
                </c:pt>
                <c:pt idx="103">
                  <c:v>938.82</c:v>
                </c:pt>
                <c:pt idx="104">
                  <c:v>949.78</c:v>
                </c:pt>
                <c:pt idx="105">
                  <c:v>955.9</c:v>
                </c:pt>
                <c:pt idx="106">
                  <c:v>963.48</c:v>
                </c:pt>
                <c:pt idx="107">
                  <c:v>971.85</c:v>
                </c:pt>
                <c:pt idx="108">
                  <c:v>979.25</c:v>
                </c:pt>
                <c:pt idx="109">
                  <c:v>956.29</c:v>
                </c:pt>
                <c:pt idx="110">
                  <c:v>964.32</c:v>
                </c:pt>
                <c:pt idx="111">
                  <c:v>967.9</c:v>
                </c:pt>
                <c:pt idx="112">
                  <c:v>960.1</c:v>
                </c:pt>
                <c:pt idx="113">
                  <c:v>952.07</c:v>
                </c:pt>
                <c:pt idx="114">
                  <c:v>963.03</c:v>
                </c:pt>
                <c:pt idx="115">
                  <c:v>952.36</c:v>
                </c:pt>
                <c:pt idx="116">
                  <c:v>951.16</c:v>
                </c:pt>
                <c:pt idx="117">
                  <c:v>943.26</c:v>
                </c:pt>
                <c:pt idx="118">
                  <c:v>943.6</c:v>
                </c:pt>
                <c:pt idx="119">
                  <c:v>945.27</c:v>
                </c:pt>
                <c:pt idx="120">
                  <c:v>943.31</c:v>
                </c:pt>
                <c:pt idx="121">
                  <c:v>915.95</c:v>
                </c:pt>
                <c:pt idx="122">
                  <c:v>916.87</c:v>
                </c:pt>
                <c:pt idx="123">
                  <c:v>925.63</c:v>
                </c:pt>
                <c:pt idx="124">
                  <c:v>917.34</c:v>
                </c:pt>
                <c:pt idx="125">
                  <c:v>916.77</c:v>
                </c:pt>
                <c:pt idx="126">
                  <c:v>915.38</c:v>
                </c:pt>
                <c:pt idx="127">
                  <c:v>910.94</c:v>
                </c:pt>
                <c:pt idx="128">
                  <c:v>914.8</c:v>
                </c:pt>
                <c:pt idx="129">
                  <c:v>914.8</c:v>
                </c:pt>
                <c:pt idx="130">
                  <c:v>942.89</c:v>
                </c:pt>
                <c:pt idx="131">
                  <c:v>930.01</c:v>
                </c:pt>
                <c:pt idx="132">
                  <c:v>935.56</c:v>
                </c:pt>
                <c:pt idx="133">
                  <c:v>946.51</c:v>
                </c:pt>
                <c:pt idx="134">
                  <c:v>954.99</c:v>
                </c:pt>
                <c:pt idx="135">
                  <c:v>925.62</c:v>
                </c:pt>
                <c:pt idx="136">
                  <c:v>936.33</c:v>
                </c:pt>
                <c:pt idx="137">
                  <c:v>936.11</c:v>
                </c:pt>
                <c:pt idx="138">
                  <c:v>937.5</c:v>
                </c:pt>
                <c:pt idx="139">
                  <c:v>944.68</c:v>
                </c:pt>
                <c:pt idx="140">
                  <c:v>942.05</c:v>
                </c:pt>
                <c:pt idx="141">
                  <c:v>932.14</c:v>
                </c:pt>
                <c:pt idx="142">
                  <c:v>929.85</c:v>
                </c:pt>
                <c:pt idx="143">
                  <c:v>924.16</c:v>
                </c:pt>
                <c:pt idx="144">
                  <c:v>912.42</c:v>
                </c:pt>
                <c:pt idx="145">
                  <c:v>920.18</c:v>
                </c:pt>
                <c:pt idx="146">
                  <c:v>911.45</c:v>
                </c:pt>
                <c:pt idx="147">
                  <c:v>928.04</c:v>
                </c:pt>
                <c:pt idx="148">
                  <c:v>940.74</c:v>
                </c:pt>
                <c:pt idx="149">
                  <c:v>935.03</c:v>
                </c:pt>
                <c:pt idx="150">
                  <c:v>923.58</c:v>
                </c:pt>
                <c:pt idx="151">
                  <c:v>922.74</c:v>
                </c:pt>
                <c:pt idx="152">
                  <c:v>915.56</c:v>
                </c:pt>
                <c:pt idx="153">
                  <c:v>913.86</c:v>
                </c:pt>
                <c:pt idx="154">
                  <c:v>914</c:v>
                </c:pt>
                <c:pt idx="155">
                  <c:v>925.08</c:v>
                </c:pt>
                <c:pt idx="156">
                  <c:v>922.98</c:v>
                </c:pt>
                <c:pt idx="157">
                  <c:v>912.59</c:v>
                </c:pt>
                <c:pt idx="158">
                  <c:v>895.08</c:v>
                </c:pt>
                <c:pt idx="159">
                  <c:v>890.6</c:v>
                </c:pt>
                <c:pt idx="160">
                  <c:v>893.29</c:v>
                </c:pt>
                <c:pt idx="161">
                  <c:v>899.01</c:v>
                </c:pt>
                <c:pt idx="162">
                  <c:v>886.12</c:v>
                </c:pt>
                <c:pt idx="163">
                  <c:v>894.33</c:v>
                </c:pt>
                <c:pt idx="164">
                  <c:v>908.26</c:v>
                </c:pt>
                <c:pt idx="165">
                  <c:v>913.59</c:v>
                </c:pt>
                <c:pt idx="166">
                  <c:v>911.96</c:v>
                </c:pt>
                <c:pt idx="167">
                  <c:v>922.03</c:v>
                </c:pt>
                <c:pt idx="168">
                  <c:v>922.26</c:v>
                </c:pt>
                <c:pt idx="169">
                  <c:v>895.85500000000002</c:v>
                </c:pt>
                <c:pt idx="170">
                  <c:v>894.68</c:v>
                </c:pt>
                <c:pt idx="171">
                  <c:v>887.52</c:v>
                </c:pt>
                <c:pt idx="172">
                  <c:v>888.44</c:v>
                </c:pt>
                <c:pt idx="173">
                  <c:v>874.41</c:v>
                </c:pt>
                <c:pt idx="174">
                  <c:v>884.48</c:v>
                </c:pt>
                <c:pt idx="175">
                  <c:v>884.47</c:v>
                </c:pt>
                <c:pt idx="176">
                  <c:v>860.56</c:v>
                </c:pt>
                <c:pt idx="177">
                  <c:v>860.39</c:v>
                </c:pt>
                <c:pt idx="178">
                  <c:v>862.65</c:v>
                </c:pt>
                <c:pt idx="179">
                  <c:v>857.59</c:v>
                </c:pt>
                <c:pt idx="180">
                  <c:v>855.62</c:v>
                </c:pt>
                <c:pt idx="181">
                  <c:v>850</c:v>
                </c:pt>
                <c:pt idx="182">
                  <c:v>854.79</c:v>
                </c:pt>
                <c:pt idx="183">
                  <c:v>871.86</c:v>
                </c:pt>
                <c:pt idx="184">
                  <c:v>873.35</c:v>
                </c:pt>
                <c:pt idx="185">
                  <c:v>867.84</c:v>
                </c:pt>
                <c:pt idx="186">
                  <c:v>865.65</c:v>
                </c:pt>
                <c:pt idx="187">
                  <c:v>862.34</c:v>
                </c:pt>
                <c:pt idx="188">
                  <c:v>854.5</c:v>
                </c:pt>
                <c:pt idx="189">
                  <c:v>875.74</c:v>
                </c:pt>
                <c:pt idx="190">
                  <c:v>889.1</c:v>
                </c:pt>
                <c:pt idx="191">
                  <c:v>882.58</c:v>
                </c:pt>
                <c:pt idx="192">
                  <c:v>915.31</c:v>
                </c:pt>
                <c:pt idx="193">
                  <c:v>924.88</c:v>
                </c:pt>
                <c:pt idx="194">
                  <c:v>943.08</c:v>
                </c:pt>
                <c:pt idx="195">
                  <c:v>941.93</c:v>
                </c:pt>
                <c:pt idx="196">
                  <c:v>950.98</c:v>
                </c:pt>
                <c:pt idx="197">
                  <c:v>956.75</c:v>
                </c:pt>
                <c:pt idx="198">
                  <c:v>963.61</c:v>
                </c:pt>
                <c:pt idx="199">
                  <c:v>964.26</c:v>
                </c:pt>
                <c:pt idx="200">
                  <c:v>982.86</c:v>
                </c:pt>
                <c:pt idx="201">
                  <c:v>976.17</c:v>
                </c:pt>
                <c:pt idx="202">
                  <c:v>983.25</c:v>
                </c:pt>
                <c:pt idx="203">
                  <c:v>977.67</c:v>
                </c:pt>
                <c:pt idx="204">
                  <c:v>970.28</c:v>
                </c:pt>
                <c:pt idx="205">
                  <c:v>960.78</c:v>
                </c:pt>
                <c:pt idx="206">
                  <c:v>952.89</c:v>
                </c:pt>
                <c:pt idx="207">
                  <c:v>940.25</c:v>
                </c:pt>
                <c:pt idx="208">
                  <c:v>968.36</c:v>
                </c:pt>
                <c:pt idx="209">
                  <c:v>977.92</c:v>
                </c:pt>
                <c:pt idx="210">
                  <c:v>978.35</c:v>
                </c:pt>
                <c:pt idx="211">
                  <c:v>989.29</c:v>
                </c:pt>
                <c:pt idx="212">
                  <c:v>1001.16</c:v>
                </c:pt>
                <c:pt idx="213">
                  <c:v>997.59</c:v>
                </c:pt>
                <c:pt idx="214">
                  <c:v>971.23</c:v>
                </c:pt>
                <c:pt idx="215">
                  <c:v>978.14</c:v>
                </c:pt>
                <c:pt idx="216">
                  <c:v>998.86</c:v>
                </c:pt>
                <c:pt idx="217">
                  <c:v>1018.48</c:v>
                </c:pt>
                <c:pt idx="218">
                  <c:v>1012.05</c:v>
                </c:pt>
                <c:pt idx="219">
                  <c:v>996.08</c:v>
                </c:pt>
                <c:pt idx="220">
                  <c:v>987.82</c:v>
                </c:pt>
                <c:pt idx="221">
                  <c:v>985.27</c:v>
                </c:pt>
                <c:pt idx="222">
                  <c:v>986.02</c:v>
                </c:pt>
                <c:pt idx="223">
                  <c:v>998.43</c:v>
                </c:pt>
                <c:pt idx="224">
                  <c:v>994.76</c:v>
                </c:pt>
                <c:pt idx="225">
                  <c:v>986.74</c:v>
                </c:pt>
                <c:pt idx="226">
                  <c:v>1010.79</c:v>
                </c:pt>
                <c:pt idx="227">
                  <c:v>1002.77</c:v>
                </c:pt>
                <c:pt idx="228">
                  <c:v>1007.77</c:v>
                </c:pt>
                <c:pt idx="229">
                  <c:v>1006.74</c:v>
                </c:pt>
                <c:pt idx="230">
                  <c:v>982.57</c:v>
                </c:pt>
                <c:pt idx="231">
                  <c:v>998.1</c:v>
                </c:pt>
                <c:pt idx="232">
                  <c:v>1005.3</c:v>
                </c:pt>
                <c:pt idx="233">
                  <c:v>997.36</c:v>
                </c:pt>
                <c:pt idx="234">
                  <c:v>992.23</c:v>
                </c:pt>
                <c:pt idx="235">
                  <c:v>1003.32</c:v>
                </c:pt>
                <c:pt idx="236">
                  <c:v>1008.43</c:v>
                </c:pt>
                <c:pt idx="237">
                  <c:v>1001.74</c:v>
                </c:pt>
                <c:pt idx="238">
                  <c:v>996.16</c:v>
                </c:pt>
                <c:pt idx="239">
                  <c:v>979.92</c:v>
                </c:pt>
                <c:pt idx="240">
                  <c:v>974.78</c:v>
                </c:pt>
                <c:pt idx="241">
                  <c:v>972.33</c:v>
                </c:pt>
                <c:pt idx="242">
                  <c:v>965.73</c:v>
                </c:pt>
                <c:pt idx="243">
                  <c:v>973.82</c:v>
                </c:pt>
                <c:pt idx="244">
                  <c:v>974.86</c:v>
                </c:pt>
                <c:pt idx="245">
                  <c:v>979.65</c:v>
                </c:pt>
                <c:pt idx="246">
                  <c:v>983.86</c:v>
                </c:pt>
                <c:pt idx="247">
                  <c:v>996.58</c:v>
                </c:pt>
                <c:pt idx="248">
                  <c:v>996.43</c:v>
                </c:pt>
                <c:pt idx="249">
                  <c:v>996.56</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DELL!$B$7:$B$27</c:f>
              <c:numCache>
                <c:formatCode>#,##0</c:formatCode>
                <c:ptCount val="21"/>
                <c:pt idx="0">
                  <c:v>8505495</c:v>
                </c:pt>
                <c:pt idx="1">
                  <c:v>7032450</c:v>
                </c:pt>
                <c:pt idx="2">
                  <c:v>7100433</c:v>
                </c:pt>
                <c:pt idx="3">
                  <c:v>7400609</c:v>
                </c:pt>
                <c:pt idx="4">
                  <c:v>7518682</c:v>
                </c:pt>
                <c:pt idx="5">
                  <c:v>5405664</c:v>
                </c:pt>
                <c:pt idx="6">
                  <c:v>7340868</c:v>
                </c:pt>
                <c:pt idx="7">
                  <c:v>6441089</c:v>
                </c:pt>
                <c:pt idx="8">
                  <c:v>7923360</c:v>
                </c:pt>
                <c:pt idx="9">
                  <c:v>6675798</c:v>
                </c:pt>
                <c:pt idx="10">
                  <c:v>5460722</c:v>
                </c:pt>
                <c:pt idx="11">
                  <c:v>7715340</c:v>
                </c:pt>
                <c:pt idx="12">
                  <c:v>23135869</c:v>
                </c:pt>
                <c:pt idx="13">
                  <c:v>10721325</c:v>
                </c:pt>
                <c:pt idx="14">
                  <c:v>15886495</c:v>
                </c:pt>
                <c:pt idx="15">
                  <c:v>11330772</c:v>
                </c:pt>
                <c:pt idx="16">
                  <c:v>11061283</c:v>
                </c:pt>
                <c:pt idx="17">
                  <c:v>8011470</c:v>
                </c:pt>
                <c:pt idx="18">
                  <c:v>10135271</c:v>
                </c:pt>
                <c:pt idx="19">
                  <c:v>13713718</c:v>
                </c:pt>
                <c:pt idx="20">
                  <c:v>7311128</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DELL!$C$7:$C$27</c:f>
              <c:numCache>
                <c:formatCode>_([$$-409]* #,##0.00_);_([$$-409]* \(#,##0.00\);_([$$-409]* "-"??_);_(@_)</c:formatCode>
                <c:ptCount val="21"/>
                <c:pt idx="0">
                  <c:v>145.995</c:v>
                </c:pt>
                <c:pt idx="1">
                  <c:v>146</c:v>
                </c:pt>
                <c:pt idx="2">
                  <c:v>143.83000000000001</c:v>
                </c:pt>
                <c:pt idx="3">
                  <c:v>144.6</c:v>
                </c:pt>
                <c:pt idx="4">
                  <c:v>146.285</c:v>
                </c:pt>
                <c:pt idx="5">
                  <c:v>145.66</c:v>
                </c:pt>
                <c:pt idx="6">
                  <c:v>147.15</c:v>
                </c:pt>
                <c:pt idx="7">
                  <c:v>151</c:v>
                </c:pt>
                <c:pt idx="8">
                  <c:v>153.05000000000001</c:v>
                </c:pt>
                <c:pt idx="9">
                  <c:v>154.75</c:v>
                </c:pt>
                <c:pt idx="10">
                  <c:v>152.71</c:v>
                </c:pt>
                <c:pt idx="11">
                  <c:v>146.58500000000001</c:v>
                </c:pt>
                <c:pt idx="12">
                  <c:v>163.5</c:v>
                </c:pt>
                <c:pt idx="13">
                  <c:v>159.24</c:v>
                </c:pt>
                <c:pt idx="14">
                  <c:v>163.62</c:v>
                </c:pt>
                <c:pt idx="15">
                  <c:v>177.76</c:v>
                </c:pt>
                <c:pt idx="16">
                  <c:v>182.71</c:v>
                </c:pt>
                <c:pt idx="17">
                  <c:v>175.13</c:v>
                </c:pt>
                <c:pt idx="18">
                  <c:v>172.77</c:v>
                </c:pt>
                <c:pt idx="19">
                  <c:v>164.29</c:v>
                </c:pt>
                <c:pt idx="20">
                  <c:v>166.98</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DELL!$D$7:$D$27</c:f>
              <c:numCache>
                <c:formatCode>_([$$-409]* #,##0.00_);_([$$-409]* \(#,##0.00\);_([$$-409]* "-"??_);_(@_)</c:formatCode>
                <c:ptCount val="21"/>
                <c:pt idx="0">
                  <c:v>148.33000000000001</c:v>
                </c:pt>
                <c:pt idx="1">
                  <c:v>149.16</c:v>
                </c:pt>
                <c:pt idx="2">
                  <c:v>148.66</c:v>
                </c:pt>
                <c:pt idx="3">
                  <c:v>146.69999999999999</c:v>
                </c:pt>
                <c:pt idx="4">
                  <c:v>146.88999999999999</c:v>
                </c:pt>
                <c:pt idx="5">
                  <c:v>149.4699</c:v>
                </c:pt>
                <c:pt idx="6">
                  <c:v>151.85</c:v>
                </c:pt>
                <c:pt idx="7">
                  <c:v>152.94999999999999</c:v>
                </c:pt>
                <c:pt idx="8">
                  <c:v>157.80000000000001</c:v>
                </c:pt>
                <c:pt idx="9">
                  <c:v>155.02000000000001</c:v>
                </c:pt>
                <c:pt idx="10">
                  <c:v>155.02000000000001</c:v>
                </c:pt>
                <c:pt idx="11">
                  <c:v>157.07</c:v>
                </c:pt>
                <c:pt idx="12">
                  <c:v>169.9</c:v>
                </c:pt>
                <c:pt idx="13">
                  <c:v>165.42</c:v>
                </c:pt>
                <c:pt idx="14">
                  <c:v>178.31</c:v>
                </c:pt>
                <c:pt idx="15">
                  <c:v>184.86</c:v>
                </c:pt>
                <c:pt idx="16">
                  <c:v>186.39</c:v>
                </c:pt>
                <c:pt idx="17">
                  <c:v>176.29</c:v>
                </c:pt>
                <c:pt idx="18">
                  <c:v>174</c:v>
                </c:pt>
                <c:pt idx="19">
                  <c:v>167.99</c:v>
                </c:pt>
                <c:pt idx="20">
                  <c:v>171.33</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DELL!$E$7:$E$27</c:f>
              <c:numCache>
                <c:formatCode>_([$$-409]* #,##0.00_);_([$$-409]* \(#,##0.00\);_([$$-409]* "-"??_);_(@_)</c:formatCode>
                <c:ptCount val="21"/>
                <c:pt idx="0">
                  <c:v>144.05000000000001</c:v>
                </c:pt>
                <c:pt idx="1">
                  <c:v>142.05199999999999</c:v>
                </c:pt>
                <c:pt idx="2">
                  <c:v>142.12</c:v>
                </c:pt>
                <c:pt idx="3">
                  <c:v>141.36000000000001</c:v>
                </c:pt>
                <c:pt idx="4">
                  <c:v>137.495</c:v>
                </c:pt>
                <c:pt idx="5">
                  <c:v>145.15</c:v>
                </c:pt>
                <c:pt idx="6">
                  <c:v>147.08500000000001</c:v>
                </c:pt>
                <c:pt idx="7">
                  <c:v>146.82</c:v>
                </c:pt>
                <c:pt idx="8">
                  <c:v>152.68</c:v>
                </c:pt>
                <c:pt idx="9">
                  <c:v>151.80000000000001</c:v>
                </c:pt>
                <c:pt idx="10">
                  <c:v>148.93</c:v>
                </c:pt>
                <c:pt idx="11">
                  <c:v>146.57</c:v>
                </c:pt>
                <c:pt idx="12">
                  <c:v>157.66999999999999</c:v>
                </c:pt>
                <c:pt idx="13">
                  <c:v>158.63</c:v>
                </c:pt>
                <c:pt idx="14">
                  <c:v>163.37</c:v>
                </c:pt>
                <c:pt idx="15">
                  <c:v>177.62</c:v>
                </c:pt>
                <c:pt idx="16">
                  <c:v>175.55</c:v>
                </c:pt>
                <c:pt idx="17">
                  <c:v>170.345</c:v>
                </c:pt>
                <c:pt idx="18">
                  <c:v>162.47999999999999</c:v>
                </c:pt>
                <c:pt idx="19">
                  <c:v>155.37</c:v>
                </c:pt>
                <c:pt idx="20">
                  <c:v>164.76</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DELL!$F$7:$F$27</c:f>
              <c:numCache>
                <c:formatCode>_([$$-409]* #,##0.00_);_([$$-409]* \(#,##0.00\);_([$$-409]* "-"??_);_(@_)</c:formatCode>
                <c:ptCount val="21"/>
                <c:pt idx="0">
                  <c:v>147.1</c:v>
                </c:pt>
                <c:pt idx="1">
                  <c:v>146.52000000000001</c:v>
                </c:pt>
                <c:pt idx="2">
                  <c:v>146.47999999999999</c:v>
                </c:pt>
                <c:pt idx="3">
                  <c:v>146.51</c:v>
                </c:pt>
                <c:pt idx="4">
                  <c:v>143.80000000000001</c:v>
                </c:pt>
                <c:pt idx="5">
                  <c:v>147.37</c:v>
                </c:pt>
                <c:pt idx="6">
                  <c:v>149.91</c:v>
                </c:pt>
                <c:pt idx="7">
                  <c:v>151.62</c:v>
                </c:pt>
                <c:pt idx="8">
                  <c:v>156.54</c:v>
                </c:pt>
                <c:pt idx="9">
                  <c:v>153.01</c:v>
                </c:pt>
                <c:pt idx="10">
                  <c:v>149.21</c:v>
                </c:pt>
                <c:pt idx="11">
                  <c:v>156.76</c:v>
                </c:pt>
                <c:pt idx="12">
                  <c:v>157.66999999999999</c:v>
                </c:pt>
                <c:pt idx="13">
                  <c:v>164.59</c:v>
                </c:pt>
                <c:pt idx="14">
                  <c:v>176.91</c:v>
                </c:pt>
                <c:pt idx="15">
                  <c:v>184.01</c:v>
                </c:pt>
                <c:pt idx="16">
                  <c:v>175.82</c:v>
                </c:pt>
                <c:pt idx="17">
                  <c:v>171.81</c:v>
                </c:pt>
                <c:pt idx="18">
                  <c:v>164.66</c:v>
                </c:pt>
                <c:pt idx="19">
                  <c:v>164.13</c:v>
                </c:pt>
                <c:pt idx="20">
                  <c:v>169.38</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77.23</c:v>
                </c:pt>
                <c:pt idx="1">
                  <c:v>71.63</c:v>
                </c:pt>
                <c:pt idx="2">
                  <c:v>75</c:v>
                </c:pt>
                <c:pt idx="3">
                  <c:v>72.59</c:v>
                </c:pt>
                <c:pt idx="4">
                  <c:v>84.19</c:v>
                </c:pt>
                <c:pt idx="5">
                  <c:v>78.94</c:v>
                </c:pt>
                <c:pt idx="6">
                  <c:v>81.93</c:v>
                </c:pt>
                <c:pt idx="7">
                  <c:v>85.19</c:v>
                </c:pt>
                <c:pt idx="8">
                  <c:v>85.49</c:v>
                </c:pt>
                <c:pt idx="9">
                  <c:v>83.36</c:v>
                </c:pt>
                <c:pt idx="10">
                  <c:v>84.8</c:v>
                </c:pt>
                <c:pt idx="11">
                  <c:v>82.39</c:v>
                </c:pt>
                <c:pt idx="12">
                  <c:v>84.08</c:v>
                </c:pt>
                <c:pt idx="13">
                  <c:v>89.16</c:v>
                </c:pt>
                <c:pt idx="14">
                  <c:v>94.4</c:v>
                </c:pt>
                <c:pt idx="15">
                  <c:v>94.89</c:v>
                </c:pt>
                <c:pt idx="16">
                  <c:v>94.47</c:v>
                </c:pt>
                <c:pt idx="17">
                  <c:v>93.78</c:v>
                </c:pt>
                <c:pt idx="18">
                  <c:v>91.76</c:v>
                </c:pt>
                <c:pt idx="19">
                  <c:v>91.95</c:v>
                </c:pt>
                <c:pt idx="20">
                  <c:v>94.59</c:v>
                </c:pt>
                <c:pt idx="21">
                  <c:v>94.36</c:v>
                </c:pt>
                <c:pt idx="22">
                  <c:v>93.95</c:v>
                </c:pt>
                <c:pt idx="23">
                  <c:v>95.79</c:v>
                </c:pt>
                <c:pt idx="24">
                  <c:v>96.22</c:v>
                </c:pt>
                <c:pt idx="25">
                  <c:v>95.91</c:v>
                </c:pt>
                <c:pt idx="26">
                  <c:v>103.42</c:v>
                </c:pt>
                <c:pt idx="27">
                  <c:v>107.85</c:v>
                </c:pt>
                <c:pt idx="28">
                  <c:v>111.02</c:v>
                </c:pt>
                <c:pt idx="29">
                  <c:v>110.87</c:v>
                </c:pt>
                <c:pt idx="30">
                  <c:v>114.19</c:v>
                </c:pt>
                <c:pt idx="31">
                  <c:v>114.28</c:v>
                </c:pt>
                <c:pt idx="32">
                  <c:v>114.23</c:v>
                </c:pt>
                <c:pt idx="33">
                  <c:v>111.93</c:v>
                </c:pt>
                <c:pt idx="34">
                  <c:v>111.95</c:v>
                </c:pt>
                <c:pt idx="35">
                  <c:v>112.11</c:v>
                </c:pt>
                <c:pt idx="36">
                  <c:v>113.99</c:v>
                </c:pt>
                <c:pt idx="37">
                  <c:v>113.77</c:v>
                </c:pt>
                <c:pt idx="38">
                  <c:v>113.63</c:v>
                </c:pt>
                <c:pt idx="39">
                  <c:v>111.27</c:v>
                </c:pt>
                <c:pt idx="40">
                  <c:v>108.08</c:v>
                </c:pt>
                <c:pt idx="41">
                  <c:v>111.9</c:v>
                </c:pt>
                <c:pt idx="42">
                  <c:v>112.7</c:v>
                </c:pt>
                <c:pt idx="43">
                  <c:v>111.82</c:v>
                </c:pt>
                <c:pt idx="44">
                  <c:v>113.75</c:v>
                </c:pt>
                <c:pt idx="45">
                  <c:v>114.22</c:v>
                </c:pt>
                <c:pt idx="46">
                  <c:v>113.25</c:v>
                </c:pt>
                <c:pt idx="47">
                  <c:v>111.24</c:v>
                </c:pt>
                <c:pt idx="48">
                  <c:v>113.4</c:v>
                </c:pt>
                <c:pt idx="49">
                  <c:v>109.56</c:v>
                </c:pt>
                <c:pt idx="50">
                  <c:v>113.74</c:v>
                </c:pt>
                <c:pt idx="51">
                  <c:v>115.93</c:v>
                </c:pt>
                <c:pt idx="52">
                  <c:v>116.56</c:v>
                </c:pt>
                <c:pt idx="53">
                  <c:v>119.37</c:v>
                </c:pt>
                <c:pt idx="54">
                  <c:v>118.02</c:v>
                </c:pt>
                <c:pt idx="55">
                  <c:v>120.59</c:v>
                </c:pt>
                <c:pt idx="56">
                  <c:v>120.46</c:v>
                </c:pt>
                <c:pt idx="57">
                  <c:v>125.98</c:v>
                </c:pt>
                <c:pt idx="58">
                  <c:v>123.99</c:v>
                </c:pt>
                <c:pt idx="59">
                  <c:v>122.6</c:v>
                </c:pt>
                <c:pt idx="60">
                  <c:v>121.73</c:v>
                </c:pt>
                <c:pt idx="61">
                  <c:v>123.48</c:v>
                </c:pt>
                <c:pt idx="62">
                  <c:v>125.22</c:v>
                </c:pt>
                <c:pt idx="63">
                  <c:v>124.77</c:v>
                </c:pt>
                <c:pt idx="64">
                  <c:v>124.39</c:v>
                </c:pt>
                <c:pt idx="65">
                  <c:v>126.63</c:v>
                </c:pt>
                <c:pt idx="66">
                  <c:v>127.91</c:v>
                </c:pt>
                <c:pt idx="67">
                  <c:v>126.83</c:v>
                </c:pt>
                <c:pt idx="68">
                  <c:v>125.67</c:v>
                </c:pt>
                <c:pt idx="69">
                  <c:v>125.69</c:v>
                </c:pt>
                <c:pt idx="70">
                  <c:v>123.57</c:v>
                </c:pt>
                <c:pt idx="71">
                  <c:v>123.88</c:v>
                </c:pt>
                <c:pt idx="72">
                  <c:v>131.24</c:v>
                </c:pt>
                <c:pt idx="73">
                  <c:v>128.96</c:v>
                </c:pt>
                <c:pt idx="74">
                  <c:v>124.33</c:v>
                </c:pt>
                <c:pt idx="75">
                  <c:v>127.22</c:v>
                </c:pt>
                <c:pt idx="76">
                  <c:v>128.35</c:v>
                </c:pt>
                <c:pt idx="77">
                  <c:v>131.22</c:v>
                </c:pt>
                <c:pt idx="78">
                  <c:v>133.86000000000001</c:v>
                </c:pt>
                <c:pt idx="79">
                  <c:v>133.51</c:v>
                </c:pt>
                <c:pt idx="80">
                  <c:v>133.54</c:v>
                </c:pt>
                <c:pt idx="81">
                  <c:v>132.69</c:v>
                </c:pt>
                <c:pt idx="82">
                  <c:v>127.32</c:v>
                </c:pt>
                <c:pt idx="83">
                  <c:v>130.22999999999999</c:v>
                </c:pt>
                <c:pt idx="84">
                  <c:v>130.47999999999999</c:v>
                </c:pt>
                <c:pt idx="85">
                  <c:v>128.13999999999999</c:v>
                </c:pt>
                <c:pt idx="86">
                  <c:v>133.93</c:v>
                </c:pt>
                <c:pt idx="87">
                  <c:v>137.61000000000001</c:v>
                </c:pt>
                <c:pt idx="88">
                  <c:v>138.32</c:v>
                </c:pt>
                <c:pt idx="89">
                  <c:v>141.63999999999999</c:v>
                </c:pt>
                <c:pt idx="90">
                  <c:v>139.13999999999999</c:v>
                </c:pt>
                <c:pt idx="91">
                  <c:v>138.86000000000001</c:v>
                </c:pt>
                <c:pt idx="92">
                  <c:v>138.28</c:v>
                </c:pt>
                <c:pt idx="93">
                  <c:v>138.13</c:v>
                </c:pt>
                <c:pt idx="94">
                  <c:v>135.19999999999999</c:v>
                </c:pt>
                <c:pt idx="95">
                  <c:v>128.47999999999999</c:v>
                </c:pt>
                <c:pt idx="96">
                  <c:v>127.83</c:v>
                </c:pt>
                <c:pt idx="97">
                  <c:v>130.84</c:v>
                </c:pt>
                <c:pt idx="98">
                  <c:v>131.01</c:v>
                </c:pt>
                <c:pt idx="99">
                  <c:v>130.99</c:v>
                </c:pt>
                <c:pt idx="100">
                  <c:v>132.5</c:v>
                </c:pt>
                <c:pt idx="101">
                  <c:v>134.05000000000001</c:v>
                </c:pt>
                <c:pt idx="102">
                  <c:v>122.15</c:v>
                </c:pt>
                <c:pt idx="103">
                  <c:v>120.96</c:v>
                </c:pt>
                <c:pt idx="104">
                  <c:v>124.02</c:v>
                </c:pt>
                <c:pt idx="105">
                  <c:v>126.67</c:v>
                </c:pt>
                <c:pt idx="106">
                  <c:v>124.83</c:v>
                </c:pt>
                <c:pt idx="107">
                  <c:v>123</c:v>
                </c:pt>
                <c:pt idx="108">
                  <c:v>121.29</c:v>
                </c:pt>
                <c:pt idx="109">
                  <c:v>124.45</c:v>
                </c:pt>
                <c:pt idx="110">
                  <c:v>125.37</c:v>
                </c:pt>
                <c:pt idx="111">
                  <c:v>125.04</c:v>
                </c:pt>
                <c:pt idx="112">
                  <c:v>126.8</c:v>
                </c:pt>
                <c:pt idx="113">
                  <c:v>127.68</c:v>
                </c:pt>
                <c:pt idx="114">
                  <c:v>130.34</c:v>
                </c:pt>
                <c:pt idx="115">
                  <c:v>132.11000000000001</c:v>
                </c:pt>
                <c:pt idx="116">
                  <c:v>131.94</c:v>
                </c:pt>
                <c:pt idx="117">
                  <c:v>135.69</c:v>
                </c:pt>
                <c:pt idx="118">
                  <c:v>134.34</c:v>
                </c:pt>
                <c:pt idx="119">
                  <c:v>132.09</c:v>
                </c:pt>
                <c:pt idx="120">
                  <c:v>130.96</c:v>
                </c:pt>
                <c:pt idx="121">
                  <c:v>130.76</c:v>
                </c:pt>
                <c:pt idx="122">
                  <c:v>133.9</c:v>
                </c:pt>
                <c:pt idx="123">
                  <c:v>141.77000000000001</c:v>
                </c:pt>
                <c:pt idx="124">
                  <c:v>149.68</c:v>
                </c:pt>
                <c:pt idx="125">
                  <c:v>147.37</c:v>
                </c:pt>
                <c:pt idx="126">
                  <c:v>140.74</c:v>
                </c:pt>
                <c:pt idx="127">
                  <c:v>145.76</c:v>
                </c:pt>
                <c:pt idx="128">
                  <c:v>150.87</c:v>
                </c:pt>
                <c:pt idx="129">
                  <c:v>164.53</c:v>
                </c:pt>
                <c:pt idx="130">
                  <c:v>155.94999999999999</c:v>
                </c:pt>
                <c:pt idx="131">
                  <c:v>150.57</c:v>
                </c:pt>
                <c:pt idx="132">
                  <c:v>153.4</c:v>
                </c:pt>
                <c:pt idx="133">
                  <c:v>148.77000000000001</c:v>
                </c:pt>
                <c:pt idx="134">
                  <c:v>153.69999999999999</c:v>
                </c:pt>
                <c:pt idx="135">
                  <c:v>151.31</c:v>
                </c:pt>
                <c:pt idx="136">
                  <c:v>149.59</c:v>
                </c:pt>
                <c:pt idx="137">
                  <c:v>147.87</c:v>
                </c:pt>
                <c:pt idx="138">
                  <c:v>149.43</c:v>
                </c:pt>
                <c:pt idx="139">
                  <c:v>150.13</c:v>
                </c:pt>
                <c:pt idx="140">
                  <c:v>154.22999999999999</c:v>
                </c:pt>
                <c:pt idx="141">
                  <c:v>158.63999999999999</c:v>
                </c:pt>
                <c:pt idx="142">
                  <c:v>162.19</c:v>
                </c:pt>
                <c:pt idx="143">
                  <c:v>164.88</c:v>
                </c:pt>
                <c:pt idx="144">
                  <c:v>163.6</c:v>
                </c:pt>
                <c:pt idx="145">
                  <c:v>161.01</c:v>
                </c:pt>
                <c:pt idx="146">
                  <c:v>162.01</c:v>
                </c:pt>
                <c:pt idx="147">
                  <c:v>160.11000000000001</c:v>
                </c:pt>
                <c:pt idx="148">
                  <c:v>154.63999999999999</c:v>
                </c:pt>
                <c:pt idx="149">
                  <c:v>152.41</c:v>
                </c:pt>
                <c:pt idx="150">
                  <c:v>149.18</c:v>
                </c:pt>
                <c:pt idx="151">
                  <c:v>146.69999999999999</c:v>
                </c:pt>
                <c:pt idx="152">
                  <c:v>142.69</c:v>
                </c:pt>
                <c:pt idx="153">
                  <c:v>138.76</c:v>
                </c:pt>
                <c:pt idx="154">
                  <c:v>140.71</c:v>
                </c:pt>
                <c:pt idx="155">
                  <c:v>133.94</c:v>
                </c:pt>
                <c:pt idx="156">
                  <c:v>133.76</c:v>
                </c:pt>
                <c:pt idx="157">
                  <c:v>122.48</c:v>
                </c:pt>
                <c:pt idx="158">
                  <c:v>122.69</c:v>
                </c:pt>
                <c:pt idx="159">
                  <c:v>119.38</c:v>
                </c:pt>
                <c:pt idx="160">
                  <c:v>117.4</c:v>
                </c:pt>
                <c:pt idx="161">
                  <c:v>122.51</c:v>
                </c:pt>
                <c:pt idx="162">
                  <c:v>127.22</c:v>
                </c:pt>
                <c:pt idx="163">
                  <c:v>125.92</c:v>
                </c:pt>
                <c:pt idx="164">
                  <c:v>133.26</c:v>
                </c:pt>
                <c:pt idx="165">
                  <c:v>133.35</c:v>
                </c:pt>
                <c:pt idx="166">
                  <c:v>132.09</c:v>
                </c:pt>
                <c:pt idx="167">
                  <c:v>135.94999999999999</c:v>
                </c:pt>
                <c:pt idx="168">
                  <c:v>133.63</c:v>
                </c:pt>
                <c:pt idx="169">
                  <c:v>138.99</c:v>
                </c:pt>
                <c:pt idx="170">
                  <c:v>138.91</c:v>
                </c:pt>
                <c:pt idx="171">
                  <c:v>140.41</c:v>
                </c:pt>
                <c:pt idx="172">
                  <c:v>138.22</c:v>
                </c:pt>
                <c:pt idx="173">
                  <c:v>140.63</c:v>
                </c:pt>
                <c:pt idx="174">
                  <c:v>138.6</c:v>
                </c:pt>
                <c:pt idx="175">
                  <c:v>129.97999999999999</c:v>
                </c:pt>
                <c:pt idx="176">
                  <c:v>130.51</c:v>
                </c:pt>
                <c:pt idx="177">
                  <c:v>133.75</c:v>
                </c:pt>
                <c:pt idx="178">
                  <c:v>127.89</c:v>
                </c:pt>
                <c:pt idx="179">
                  <c:v>122.94</c:v>
                </c:pt>
                <c:pt idx="180">
                  <c:v>126.42</c:v>
                </c:pt>
                <c:pt idx="181">
                  <c:v>126.61</c:v>
                </c:pt>
                <c:pt idx="182">
                  <c:v>127.62</c:v>
                </c:pt>
                <c:pt idx="183">
                  <c:v>128.38</c:v>
                </c:pt>
                <c:pt idx="184">
                  <c:v>129.24</c:v>
                </c:pt>
                <c:pt idx="185">
                  <c:v>127.46</c:v>
                </c:pt>
                <c:pt idx="186">
                  <c:v>127.92</c:v>
                </c:pt>
                <c:pt idx="187">
                  <c:v>125.88</c:v>
                </c:pt>
                <c:pt idx="188">
                  <c:v>127.8</c:v>
                </c:pt>
                <c:pt idx="189">
                  <c:v>124.01</c:v>
                </c:pt>
                <c:pt idx="190">
                  <c:v>123.93</c:v>
                </c:pt>
                <c:pt idx="191">
                  <c:v>120.07</c:v>
                </c:pt>
                <c:pt idx="192">
                  <c:v>118.5</c:v>
                </c:pt>
                <c:pt idx="193">
                  <c:v>120.62</c:v>
                </c:pt>
                <c:pt idx="194">
                  <c:v>120.47</c:v>
                </c:pt>
                <c:pt idx="195">
                  <c:v>119.66</c:v>
                </c:pt>
                <c:pt idx="196">
                  <c:v>118.69</c:v>
                </c:pt>
                <c:pt idx="197">
                  <c:v>119.66</c:v>
                </c:pt>
                <c:pt idx="198">
                  <c:v>120.53</c:v>
                </c:pt>
                <c:pt idx="199">
                  <c:v>111.07</c:v>
                </c:pt>
                <c:pt idx="200">
                  <c:v>113.26</c:v>
                </c:pt>
                <c:pt idx="201">
                  <c:v>117.17</c:v>
                </c:pt>
                <c:pt idx="202">
                  <c:v>115.43</c:v>
                </c:pt>
                <c:pt idx="203">
                  <c:v>115.93</c:v>
                </c:pt>
                <c:pt idx="204">
                  <c:v>114.66</c:v>
                </c:pt>
                <c:pt idx="205">
                  <c:v>117.32</c:v>
                </c:pt>
                <c:pt idx="206">
                  <c:v>118.49</c:v>
                </c:pt>
                <c:pt idx="207">
                  <c:v>114.44</c:v>
                </c:pt>
                <c:pt idx="208">
                  <c:v>119.16</c:v>
                </c:pt>
                <c:pt idx="209">
                  <c:v>117.15</c:v>
                </c:pt>
                <c:pt idx="210">
                  <c:v>122.04</c:v>
                </c:pt>
                <c:pt idx="211">
                  <c:v>115.39</c:v>
                </c:pt>
                <c:pt idx="212">
                  <c:v>121.05</c:v>
                </c:pt>
                <c:pt idx="213">
                  <c:v>120.91</c:v>
                </c:pt>
                <c:pt idx="214">
                  <c:v>126.01</c:v>
                </c:pt>
                <c:pt idx="215">
                  <c:v>124.16</c:v>
                </c:pt>
                <c:pt idx="216">
                  <c:v>112.82</c:v>
                </c:pt>
                <c:pt idx="217">
                  <c:v>117.49</c:v>
                </c:pt>
                <c:pt idx="218">
                  <c:v>116.09</c:v>
                </c:pt>
                <c:pt idx="219">
                  <c:v>116.78</c:v>
                </c:pt>
                <c:pt idx="220">
                  <c:v>119.06</c:v>
                </c:pt>
                <c:pt idx="221">
                  <c:v>122.27</c:v>
                </c:pt>
                <c:pt idx="222">
                  <c:v>119.14</c:v>
                </c:pt>
                <c:pt idx="223">
                  <c:v>119.78</c:v>
                </c:pt>
                <c:pt idx="224">
                  <c:v>123.48</c:v>
                </c:pt>
                <c:pt idx="225">
                  <c:v>121.45</c:v>
                </c:pt>
                <c:pt idx="226">
                  <c:v>148.08000000000001</c:v>
                </c:pt>
                <c:pt idx="227">
                  <c:v>153.55000000000001</c:v>
                </c:pt>
                <c:pt idx="228">
                  <c:v>145.18</c:v>
                </c:pt>
                <c:pt idx="229">
                  <c:v>147.1</c:v>
                </c:pt>
                <c:pt idx="230">
                  <c:v>146.52000000000001</c:v>
                </c:pt>
                <c:pt idx="231">
                  <c:v>146.47999999999999</c:v>
                </c:pt>
                <c:pt idx="232">
                  <c:v>146.51</c:v>
                </c:pt>
                <c:pt idx="233">
                  <c:v>143.80000000000001</c:v>
                </c:pt>
                <c:pt idx="234">
                  <c:v>147.37</c:v>
                </c:pt>
                <c:pt idx="235">
                  <c:v>149.91</c:v>
                </c:pt>
                <c:pt idx="236">
                  <c:v>151.62</c:v>
                </c:pt>
                <c:pt idx="237">
                  <c:v>156.54</c:v>
                </c:pt>
                <c:pt idx="238">
                  <c:v>153.01</c:v>
                </c:pt>
                <c:pt idx="239">
                  <c:v>149.21</c:v>
                </c:pt>
                <c:pt idx="240">
                  <c:v>156.76</c:v>
                </c:pt>
                <c:pt idx="241">
                  <c:v>157.66999999999999</c:v>
                </c:pt>
                <c:pt idx="242">
                  <c:v>164.59</c:v>
                </c:pt>
                <c:pt idx="243">
                  <c:v>176.91</c:v>
                </c:pt>
                <c:pt idx="244">
                  <c:v>184.01</c:v>
                </c:pt>
                <c:pt idx="245">
                  <c:v>175.82</c:v>
                </c:pt>
                <c:pt idx="246">
                  <c:v>171.81</c:v>
                </c:pt>
                <c:pt idx="247">
                  <c:v>164.66</c:v>
                </c:pt>
                <c:pt idx="248">
                  <c:v>164.13</c:v>
                </c:pt>
                <c:pt idx="249">
                  <c:v>169.38</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 MOBIL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pt idx="0">
                  <c:v>Volume</c:v>
                </c:pt>
              </c:strCache>
            </c:strRef>
          </c:tx>
          <c:spPr>
            <a:solidFill>
              <a:schemeClr val="accent1"/>
            </a:solidFill>
            <a:ln w="38100">
              <a:noFill/>
            </a:ln>
            <a:effectLst/>
          </c:spPr>
          <c:invertIfNegative val="0"/>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XOM!$B$7:$B$27</c:f>
              <c:numCache>
                <c:formatCode>#,##0</c:formatCode>
                <c:ptCount val="21"/>
                <c:pt idx="0">
                  <c:v>16764761</c:v>
                </c:pt>
                <c:pt idx="1">
                  <c:v>22969271</c:v>
                </c:pt>
                <c:pt idx="2">
                  <c:v>21136427</c:v>
                </c:pt>
                <c:pt idx="3">
                  <c:v>25532656</c:v>
                </c:pt>
                <c:pt idx="4">
                  <c:v>19617590</c:v>
                </c:pt>
                <c:pt idx="5">
                  <c:v>15297412</c:v>
                </c:pt>
                <c:pt idx="6">
                  <c:v>26053965</c:v>
                </c:pt>
                <c:pt idx="7">
                  <c:v>22414094</c:v>
                </c:pt>
                <c:pt idx="8">
                  <c:v>22835633</c:v>
                </c:pt>
                <c:pt idx="9">
                  <c:v>21592171</c:v>
                </c:pt>
                <c:pt idx="10">
                  <c:v>18947142</c:v>
                </c:pt>
                <c:pt idx="11">
                  <c:v>27082733</c:v>
                </c:pt>
                <c:pt idx="12">
                  <c:v>53942142</c:v>
                </c:pt>
                <c:pt idx="13">
                  <c:v>25021288</c:v>
                </c:pt>
                <c:pt idx="14">
                  <c:v>26131824</c:v>
                </c:pt>
                <c:pt idx="15">
                  <c:v>17192333</c:v>
                </c:pt>
                <c:pt idx="16">
                  <c:v>18625249</c:v>
                </c:pt>
                <c:pt idx="17">
                  <c:v>30338313</c:v>
                </c:pt>
                <c:pt idx="18">
                  <c:v>29813504</c:v>
                </c:pt>
                <c:pt idx="19">
                  <c:v>32006724</c:v>
                </c:pt>
                <c:pt idx="20">
                  <c:v>37927639</c:v>
                </c:pt>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pt idx="0">
                  <c:v>Open</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XOM!$C$7:$C$27</c:f>
              <c:numCache>
                <c:formatCode>_([$$-409]* #,##0.00_);_([$$-409]* \(#,##0.00\);_([$$-409]* "-"??_);_(@_)</c:formatCode>
                <c:ptCount val="21"/>
                <c:pt idx="0">
                  <c:v>150.72</c:v>
                </c:pt>
                <c:pt idx="1">
                  <c:v>151</c:v>
                </c:pt>
                <c:pt idx="2">
                  <c:v>153.15</c:v>
                </c:pt>
                <c:pt idx="3">
                  <c:v>152.01499999999999</c:v>
                </c:pt>
                <c:pt idx="4">
                  <c:v>149.25</c:v>
                </c:pt>
                <c:pt idx="5">
                  <c:v>147.99</c:v>
                </c:pt>
                <c:pt idx="6">
                  <c:v>152.26499999999999</c:v>
                </c:pt>
                <c:pt idx="7">
                  <c:v>154.30000000000001</c:v>
                </c:pt>
                <c:pt idx="8">
                  <c:v>156</c:v>
                </c:pt>
                <c:pt idx="9">
                  <c:v>158.25</c:v>
                </c:pt>
                <c:pt idx="10">
                  <c:v>159.66</c:v>
                </c:pt>
                <c:pt idx="11">
                  <c:v>158.26</c:v>
                </c:pt>
                <c:pt idx="12">
                  <c:v>159.35</c:v>
                </c:pt>
                <c:pt idx="13">
                  <c:v>156.11500000000001</c:v>
                </c:pt>
                <c:pt idx="14">
                  <c:v>161.71</c:v>
                </c:pt>
                <c:pt idx="15">
                  <c:v>163.87</c:v>
                </c:pt>
                <c:pt idx="16">
                  <c:v>164.09</c:v>
                </c:pt>
                <c:pt idx="17">
                  <c:v>165.58</c:v>
                </c:pt>
                <c:pt idx="18">
                  <c:v>172.505</c:v>
                </c:pt>
                <c:pt idx="19">
                  <c:v>172.67</c:v>
                </c:pt>
                <c:pt idx="20">
                  <c:v>165.77</c:v>
                </c:pt>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pt idx="0">
                  <c:v>High</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XOM!$D$7:$D$27</c:f>
              <c:numCache>
                <c:formatCode>_([$$-409]* #,##0.00_);_([$$-409]* \(#,##0.00\);_([$$-409]* "-"??_);_(@_)</c:formatCode>
                <c:ptCount val="21"/>
                <c:pt idx="0">
                  <c:v>151.16</c:v>
                </c:pt>
                <c:pt idx="1">
                  <c:v>152.33000000000001</c:v>
                </c:pt>
                <c:pt idx="2">
                  <c:v>153.80000000000001</c:v>
                </c:pt>
                <c:pt idx="3">
                  <c:v>153.88990000000001</c:v>
                </c:pt>
                <c:pt idx="4">
                  <c:v>150.4</c:v>
                </c:pt>
                <c:pt idx="5">
                  <c:v>151.81</c:v>
                </c:pt>
                <c:pt idx="6">
                  <c:v>155</c:v>
                </c:pt>
                <c:pt idx="7">
                  <c:v>156.88999999999999</c:v>
                </c:pt>
                <c:pt idx="8">
                  <c:v>157.78</c:v>
                </c:pt>
                <c:pt idx="9">
                  <c:v>160.44999999999999</c:v>
                </c:pt>
                <c:pt idx="10">
                  <c:v>160.18</c:v>
                </c:pt>
                <c:pt idx="11">
                  <c:v>159.56</c:v>
                </c:pt>
                <c:pt idx="12">
                  <c:v>162.44</c:v>
                </c:pt>
                <c:pt idx="13">
                  <c:v>161.41999999999999</c:v>
                </c:pt>
                <c:pt idx="14">
                  <c:v>167.48</c:v>
                </c:pt>
                <c:pt idx="15">
                  <c:v>165</c:v>
                </c:pt>
                <c:pt idx="16">
                  <c:v>165.68</c:v>
                </c:pt>
                <c:pt idx="17">
                  <c:v>171.23</c:v>
                </c:pt>
                <c:pt idx="18">
                  <c:v>176.41</c:v>
                </c:pt>
                <c:pt idx="19">
                  <c:v>174.38</c:v>
                </c:pt>
                <c:pt idx="20">
                  <c:v>168</c:v>
                </c:pt>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pt idx="0">
                  <c:v>Low</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XOM!$E$7:$E$27</c:f>
              <c:numCache>
                <c:formatCode>_([$$-409]* #,##0.00_);_([$$-409]* \(#,##0.00\);_([$$-409]* "-"??_);_(@_)</c:formatCode>
                <c:ptCount val="21"/>
                <c:pt idx="0">
                  <c:v>147.86000000000001</c:v>
                </c:pt>
                <c:pt idx="1">
                  <c:v>149.47</c:v>
                </c:pt>
                <c:pt idx="2">
                  <c:v>149.96</c:v>
                </c:pt>
                <c:pt idx="3">
                  <c:v>149.47</c:v>
                </c:pt>
                <c:pt idx="4">
                  <c:v>147.69999999999999</c:v>
                </c:pt>
                <c:pt idx="5">
                  <c:v>147.66</c:v>
                </c:pt>
                <c:pt idx="6">
                  <c:v>151.63</c:v>
                </c:pt>
                <c:pt idx="7">
                  <c:v>152.97499999999999</c:v>
                </c:pt>
                <c:pt idx="8">
                  <c:v>154.76</c:v>
                </c:pt>
                <c:pt idx="9">
                  <c:v>156.80000000000001</c:v>
                </c:pt>
                <c:pt idx="10">
                  <c:v>157.53</c:v>
                </c:pt>
                <c:pt idx="11">
                  <c:v>154.84</c:v>
                </c:pt>
                <c:pt idx="12">
                  <c:v>159.1</c:v>
                </c:pt>
                <c:pt idx="13">
                  <c:v>155.02000000000001</c:v>
                </c:pt>
                <c:pt idx="14">
                  <c:v>161.25</c:v>
                </c:pt>
                <c:pt idx="15">
                  <c:v>162.93</c:v>
                </c:pt>
                <c:pt idx="16">
                  <c:v>162.06</c:v>
                </c:pt>
                <c:pt idx="17">
                  <c:v>164.8</c:v>
                </c:pt>
                <c:pt idx="18">
                  <c:v>171.05</c:v>
                </c:pt>
                <c:pt idx="19">
                  <c:v>165.97</c:v>
                </c:pt>
                <c:pt idx="20">
                  <c:v>159.53</c:v>
                </c:pt>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pt idx="0">
                  <c:v>Close</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XOM!$F$7:$F$27</c:f>
              <c:numCache>
                <c:formatCode>_([$$-409]* #,##0.00_);_([$$-409]* \(#,##0.00\);_([$$-409]* "-"??_);_(@_)</c:formatCode>
                <c:ptCount val="21"/>
                <c:pt idx="0">
                  <c:v>149.82</c:v>
                </c:pt>
                <c:pt idx="1">
                  <c:v>150.76</c:v>
                </c:pt>
                <c:pt idx="2">
                  <c:v>151.21</c:v>
                </c:pt>
                <c:pt idx="3">
                  <c:v>150.44</c:v>
                </c:pt>
                <c:pt idx="4">
                  <c:v>148.13</c:v>
                </c:pt>
                <c:pt idx="5">
                  <c:v>151.58000000000001</c:v>
                </c:pt>
                <c:pt idx="6">
                  <c:v>153.53</c:v>
                </c:pt>
                <c:pt idx="7">
                  <c:v>156.12</c:v>
                </c:pt>
                <c:pt idx="8">
                  <c:v>157.22999999999999</c:v>
                </c:pt>
                <c:pt idx="9">
                  <c:v>158.81</c:v>
                </c:pt>
                <c:pt idx="10">
                  <c:v>157.59</c:v>
                </c:pt>
                <c:pt idx="11">
                  <c:v>158.16</c:v>
                </c:pt>
                <c:pt idx="12">
                  <c:v>159.66999999999999</c:v>
                </c:pt>
                <c:pt idx="13">
                  <c:v>161.13</c:v>
                </c:pt>
                <c:pt idx="14">
                  <c:v>165.38</c:v>
                </c:pt>
                <c:pt idx="15">
                  <c:v>163.26</c:v>
                </c:pt>
                <c:pt idx="16">
                  <c:v>165.43</c:v>
                </c:pt>
                <c:pt idx="17">
                  <c:v>170.99</c:v>
                </c:pt>
                <c:pt idx="18">
                  <c:v>171.47</c:v>
                </c:pt>
                <c:pt idx="19">
                  <c:v>169.66</c:v>
                </c:pt>
                <c:pt idx="20">
                  <c:v>160.78</c:v>
                </c:pt>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_([$$-409]* #,##0.00_);_([$$-409]* \(#,##0.00\);_([$$-409]* "-"??_);_(@_)</c:formatCode>
                <c:ptCount val="250"/>
                <c:pt idx="0">
                  <c:v>112.43</c:v>
                </c:pt>
                <c:pt idx="1">
                  <c:v>104.34</c:v>
                </c:pt>
                <c:pt idx="2">
                  <c:v>102.94</c:v>
                </c:pt>
                <c:pt idx="3">
                  <c:v>100.77</c:v>
                </c:pt>
                <c:pt idx="4">
                  <c:v>105.8</c:v>
                </c:pt>
                <c:pt idx="5">
                  <c:v>99.93</c:v>
                </c:pt>
                <c:pt idx="6">
                  <c:v>103.14</c:v>
                </c:pt>
                <c:pt idx="7">
                  <c:v>103.39</c:v>
                </c:pt>
                <c:pt idx="8">
                  <c:v>103.1</c:v>
                </c:pt>
                <c:pt idx="9">
                  <c:v>104.19</c:v>
                </c:pt>
                <c:pt idx="10">
                  <c:v>106.92</c:v>
                </c:pt>
                <c:pt idx="11">
                  <c:v>105.35</c:v>
                </c:pt>
                <c:pt idx="12">
                  <c:v>108.3</c:v>
                </c:pt>
                <c:pt idx="13">
                  <c:v>107.37</c:v>
                </c:pt>
                <c:pt idx="14">
                  <c:v>108.63</c:v>
                </c:pt>
                <c:pt idx="15">
                  <c:v>108.57</c:v>
                </c:pt>
                <c:pt idx="16">
                  <c:v>108.63</c:v>
                </c:pt>
                <c:pt idx="17">
                  <c:v>108.36</c:v>
                </c:pt>
                <c:pt idx="18">
                  <c:v>105.63</c:v>
                </c:pt>
                <c:pt idx="19">
                  <c:v>105.78</c:v>
                </c:pt>
                <c:pt idx="20">
                  <c:v>106.21</c:v>
                </c:pt>
                <c:pt idx="21">
                  <c:v>103.27</c:v>
                </c:pt>
                <c:pt idx="22">
                  <c:v>104.71</c:v>
                </c:pt>
                <c:pt idx="23">
                  <c:v>104.61</c:v>
                </c:pt>
                <c:pt idx="24">
                  <c:v>106.07</c:v>
                </c:pt>
                <c:pt idx="25">
                  <c:v>107.31</c:v>
                </c:pt>
                <c:pt idx="26">
                  <c:v>109.16</c:v>
                </c:pt>
                <c:pt idx="27">
                  <c:v>109.46</c:v>
                </c:pt>
                <c:pt idx="28">
                  <c:v>108.48</c:v>
                </c:pt>
                <c:pt idx="29">
                  <c:v>108.58</c:v>
                </c:pt>
                <c:pt idx="30">
                  <c:v>108.19</c:v>
                </c:pt>
                <c:pt idx="31">
                  <c:v>106.47</c:v>
                </c:pt>
                <c:pt idx="32">
                  <c:v>104.95</c:v>
                </c:pt>
                <c:pt idx="33">
                  <c:v>103.66</c:v>
                </c:pt>
                <c:pt idx="34">
                  <c:v>102.97</c:v>
                </c:pt>
                <c:pt idx="35">
                  <c:v>103.03</c:v>
                </c:pt>
                <c:pt idx="36">
                  <c:v>103.52</c:v>
                </c:pt>
                <c:pt idx="37">
                  <c:v>102.11</c:v>
                </c:pt>
                <c:pt idx="38">
                  <c:v>102.69</c:v>
                </c:pt>
                <c:pt idx="39">
                  <c:v>102.3</c:v>
                </c:pt>
                <c:pt idx="40">
                  <c:v>103.05</c:v>
                </c:pt>
                <c:pt idx="41">
                  <c:v>103.8</c:v>
                </c:pt>
                <c:pt idx="42">
                  <c:v>102.3</c:v>
                </c:pt>
                <c:pt idx="43">
                  <c:v>101.83</c:v>
                </c:pt>
                <c:pt idx="44">
                  <c:v>104.27</c:v>
                </c:pt>
                <c:pt idx="45">
                  <c:v>104.97</c:v>
                </c:pt>
                <c:pt idx="46">
                  <c:v>107.22</c:v>
                </c:pt>
                <c:pt idx="47">
                  <c:v>109.31</c:v>
                </c:pt>
                <c:pt idx="48">
                  <c:v>109.73</c:v>
                </c:pt>
                <c:pt idx="49">
                  <c:v>112.12</c:v>
                </c:pt>
                <c:pt idx="50">
                  <c:v>112.48</c:v>
                </c:pt>
                <c:pt idx="51">
                  <c:v>114</c:v>
                </c:pt>
                <c:pt idx="52">
                  <c:v>113.19</c:v>
                </c:pt>
                <c:pt idx="53">
                  <c:v>114.7</c:v>
                </c:pt>
                <c:pt idx="54">
                  <c:v>111.74</c:v>
                </c:pt>
                <c:pt idx="55">
                  <c:v>108.34</c:v>
                </c:pt>
                <c:pt idx="56">
                  <c:v>108.37</c:v>
                </c:pt>
                <c:pt idx="57">
                  <c:v>109.99</c:v>
                </c:pt>
                <c:pt idx="58">
                  <c:v>109.38</c:v>
                </c:pt>
                <c:pt idx="59">
                  <c:v>107.8</c:v>
                </c:pt>
                <c:pt idx="60">
                  <c:v>109.24</c:v>
                </c:pt>
                <c:pt idx="61">
                  <c:v>111.05</c:v>
                </c:pt>
                <c:pt idx="62">
                  <c:v>112.2</c:v>
                </c:pt>
                <c:pt idx="63">
                  <c:v>111.11</c:v>
                </c:pt>
                <c:pt idx="64">
                  <c:v>114.19</c:v>
                </c:pt>
                <c:pt idx="65">
                  <c:v>113.8</c:v>
                </c:pt>
                <c:pt idx="66">
                  <c:v>114.93</c:v>
                </c:pt>
                <c:pt idx="67">
                  <c:v>115.43</c:v>
                </c:pt>
                <c:pt idx="68">
                  <c:v>113.92</c:v>
                </c:pt>
                <c:pt idx="69">
                  <c:v>112.91</c:v>
                </c:pt>
                <c:pt idx="70">
                  <c:v>112.23</c:v>
                </c:pt>
                <c:pt idx="71">
                  <c:v>111.66</c:v>
                </c:pt>
                <c:pt idx="72">
                  <c:v>107.77</c:v>
                </c:pt>
                <c:pt idx="73">
                  <c:v>108.05</c:v>
                </c:pt>
                <c:pt idx="74">
                  <c:v>108.54</c:v>
                </c:pt>
                <c:pt idx="75">
                  <c:v>109.93</c:v>
                </c:pt>
                <c:pt idx="76">
                  <c:v>110.79</c:v>
                </c:pt>
                <c:pt idx="77">
                  <c:v>110.4</c:v>
                </c:pt>
                <c:pt idx="78">
                  <c:v>111.44</c:v>
                </c:pt>
                <c:pt idx="79">
                  <c:v>112.88</c:v>
                </c:pt>
                <c:pt idx="80">
                  <c:v>111.9</c:v>
                </c:pt>
                <c:pt idx="81">
                  <c:v>111.64</c:v>
                </c:pt>
                <c:pt idx="82">
                  <c:v>109.64</c:v>
                </c:pt>
                <c:pt idx="83">
                  <c:v>107.37</c:v>
                </c:pt>
                <c:pt idx="84">
                  <c:v>107.24</c:v>
                </c:pt>
                <c:pt idx="85">
                  <c:v>106.51</c:v>
                </c:pt>
                <c:pt idx="86">
                  <c:v>105.95</c:v>
                </c:pt>
                <c:pt idx="87">
                  <c:v>106.8</c:v>
                </c:pt>
                <c:pt idx="88">
                  <c:v>105.83</c:v>
                </c:pt>
                <c:pt idx="89">
                  <c:v>106.13</c:v>
                </c:pt>
                <c:pt idx="90">
                  <c:v>107.6</c:v>
                </c:pt>
                <c:pt idx="91">
                  <c:v>107.38</c:v>
                </c:pt>
                <c:pt idx="92">
                  <c:v>106.49</c:v>
                </c:pt>
                <c:pt idx="93">
                  <c:v>106.72</c:v>
                </c:pt>
                <c:pt idx="94">
                  <c:v>107.42</c:v>
                </c:pt>
                <c:pt idx="95">
                  <c:v>108.53</c:v>
                </c:pt>
                <c:pt idx="96">
                  <c:v>109.23</c:v>
                </c:pt>
                <c:pt idx="97">
                  <c:v>111.28</c:v>
                </c:pt>
                <c:pt idx="98">
                  <c:v>111.74</c:v>
                </c:pt>
                <c:pt idx="99">
                  <c:v>111.49</c:v>
                </c:pt>
                <c:pt idx="100">
                  <c:v>112.75</c:v>
                </c:pt>
                <c:pt idx="101">
                  <c:v>113.35</c:v>
                </c:pt>
                <c:pt idx="102">
                  <c:v>114.29</c:v>
                </c:pt>
                <c:pt idx="103">
                  <c:v>114.69</c:v>
                </c:pt>
                <c:pt idx="104">
                  <c:v>111.91</c:v>
                </c:pt>
                <c:pt idx="105">
                  <c:v>112.4</c:v>
                </c:pt>
                <c:pt idx="106">
                  <c:v>109.23</c:v>
                </c:pt>
                <c:pt idx="107">
                  <c:v>109.85</c:v>
                </c:pt>
                <c:pt idx="108">
                  <c:v>110.65</c:v>
                </c:pt>
                <c:pt idx="109">
                  <c:v>112.5</c:v>
                </c:pt>
                <c:pt idx="110">
                  <c:v>112.14</c:v>
                </c:pt>
                <c:pt idx="111">
                  <c:v>112.16</c:v>
                </c:pt>
                <c:pt idx="112">
                  <c:v>112.35</c:v>
                </c:pt>
                <c:pt idx="113">
                  <c:v>114.68</c:v>
                </c:pt>
                <c:pt idx="114">
                  <c:v>115.29</c:v>
                </c:pt>
                <c:pt idx="115">
                  <c:v>113.93</c:v>
                </c:pt>
                <c:pt idx="116">
                  <c:v>112.82</c:v>
                </c:pt>
                <c:pt idx="117">
                  <c:v>112.02</c:v>
                </c:pt>
                <c:pt idx="118">
                  <c:v>113.95</c:v>
                </c:pt>
                <c:pt idx="119">
                  <c:v>114.56</c:v>
                </c:pt>
                <c:pt idx="120">
                  <c:v>115.59</c:v>
                </c:pt>
                <c:pt idx="121">
                  <c:v>117.22</c:v>
                </c:pt>
                <c:pt idx="122">
                  <c:v>114.22</c:v>
                </c:pt>
                <c:pt idx="123">
                  <c:v>112.75</c:v>
                </c:pt>
                <c:pt idx="124">
                  <c:v>111.99</c:v>
                </c:pt>
                <c:pt idx="125">
                  <c:v>111.29</c:v>
                </c:pt>
                <c:pt idx="126">
                  <c:v>113.26</c:v>
                </c:pt>
                <c:pt idx="127">
                  <c:v>114.2</c:v>
                </c:pt>
                <c:pt idx="128">
                  <c:v>114.26</c:v>
                </c:pt>
                <c:pt idx="129">
                  <c:v>114.02</c:v>
                </c:pt>
                <c:pt idx="130">
                  <c:v>112.91</c:v>
                </c:pt>
                <c:pt idx="131">
                  <c:v>110.73</c:v>
                </c:pt>
                <c:pt idx="132">
                  <c:v>112.24</c:v>
                </c:pt>
                <c:pt idx="133">
                  <c:v>112.29</c:v>
                </c:pt>
                <c:pt idx="134">
                  <c:v>111.61</c:v>
                </c:pt>
                <c:pt idx="135">
                  <c:v>110.64</c:v>
                </c:pt>
                <c:pt idx="136">
                  <c:v>112.24</c:v>
                </c:pt>
                <c:pt idx="137">
                  <c:v>112.7</c:v>
                </c:pt>
                <c:pt idx="138">
                  <c:v>112.71</c:v>
                </c:pt>
                <c:pt idx="139">
                  <c:v>114.71</c:v>
                </c:pt>
                <c:pt idx="140">
                  <c:v>115.98</c:v>
                </c:pt>
                <c:pt idx="141">
                  <c:v>115.39</c:v>
                </c:pt>
                <c:pt idx="142">
                  <c:v>115.94</c:v>
                </c:pt>
                <c:pt idx="143">
                  <c:v>115.03</c:v>
                </c:pt>
                <c:pt idx="144">
                  <c:v>116.45</c:v>
                </c:pt>
                <c:pt idx="145">
                  <c:v>114.69</c:v>
                </c:pt>
                <c:pt idx="146">
                  <c:v>114.36</c:v>
                </c:pt>
                <c:pt idx="147">
                  <c:v>113.76</c:v>
                </c:pt>
                <c:pt idx="148">
                  <c:v>114.14</c:v>
                </c:pt>
                <c:pt idx="149">
                  <c:v>113.68</c:v>
                </c:pt>
                <c:pt idx="150">
                  <c:v>114.5</c:v>
                </c:pt>
                <c:pt idx="151">
                  <c:v>117.22</c:v>
                </c:pt>
                <c:pt idx="152">
                  <c:v>118.22</c:v>
                </c:pt>
                <c:pt idx="153">
                  <c:v>119.78</c:v>
                </c:pt>
                <c:pt idx="154">
                  <c:v>118.12</c:v>
                </c:pt>
                <c:pt idx="155">
                  <c:v>118.79</c:v>
                </c:pt>
                <c:pt idx="156">
                  <c:v>119.29</c:v>
                </c:pt>
                <c:pt idx="157">
                  <c:v>117.68</c:v>
                </c:pt>
                <c:pt idx="158">
                  <c:v>119.03</c:v>
                </c:pt>
                <c:pt idx="159">
                  <c:v>117.35</c:v>
                </c:pt>
                <c:pt idx="160">
                  <c:v>117.02</c:v>
                </c:pt>
                <c:pt idx="161">
                  <c:v>117.08</c:v>
                </c:pt>
                <c:pt idx="162">
                  <c:v>115.97</c:v>
                </c:pt>
                <c:pt idx="163">
                  <c:v>114.51</c:v>
                </c:pt>
                <c:pt idx="164">
                  <c:v>114.77</c:v>
                </c:pt>
                <c:pt idx="165">
                  <c:v>115.92</c:v>
                </c:pt>
                <c:pt idx="166">
                  <c:v>116.63</c:v>
                </c:pt>
                <c:pt idx="167">
                  <c:v>115.38</c:v>
                </c:pt>
                <c:pt idx="168">
                  <c:v>117.8</c:v>
                </c:pt>
                <c:pt idx="169">
                  <c:v>117.14</c:v>
                </c:pt>
                <c:pt idx="170">
                  <c:v>116.54</c:v>
                </c:pt>
                <c:pt idx="171">
                  <c:v>115.98</c:v>
                </c:pt>
                <c:pt idx="172">
                  <c:v>118.25</c:v>
                </c:pt>
                <c:pt idx="173">
                  <c:v>119.54</c:v>
                </c:pt>
                <c:pt idx="174">
                  <c:v>119.54</c:v>
                </c:pt>
                <c:pt idx="175">
                  <c:v>118.82</c:v>
                </c:pt>
                <c:pt idx="176">
                  <c:v>117.76</c:v>
                </c:pt>
                <c:pt idx="177">
                  <c:v>114.68</c:v>
                </c:pt>
                <c:pt idx="178">
                  <c:v>117.41</c:v>
                </c:pt>
                <c:pt idx="179">
                  <c:v>116.54</c:v>
                </c:pt>
                <c:pt idx="180">
                  <c:v>116.69</c:v>
                </c:pt>
                <c:pt idx="181">
                  <c:v>118.15</c:v>
                </c:pt>
                <c:pt idx="182">
                  <c:v>119.42</c:v>
                </c:pt>
                <c:pt idx="183">
                  <c:v>119.22</c:v>
                </c:pt>
                <c:pt idx="184">
                  <c:v>119.11</c:v>
                </c:pt>
                <c:pt idx="185">
                  <c:v>120.53</c:v>
                </c:pt>
                <c:pt idx="186">
                  <c:v>120.99</c:v>
                </c:pt>
                <c:pt idx="187">
                  <c:v>120.34</c:v>
                </c:pt>
                <c:pt idx="188">
                  <c:v>122.65</c:v>
                </c:pt>
                <c:pt idx="189">
                  <c:v>125.36</c:v>
                </c:pt>
                <c:pt idx="190">
                  <c:v>121.05</c:v>
                </c:pt>
                <c:pt idx="191">
                  <c:v>118.49</c:v>
                </c:pt>
                <c:pt idx="192">
                  <c:v>122.91</c:v>
                </c:pt>
                <c:pt idx="193">
                  <c:v>124.61</c:v>
                </c:pt>
                <c:pt idx="194">
                  <c:v>124.03</c:v>
                </c:pt>
                <c:pt idx="195">
                  <c:v>126.54</c:v>
                </c:pt>
                <c:pt idx="196">
                  <c:v>130.19999999999999</c:v>
                </c:pt>
                <c:pt idx="197">
                  <c:v>129.13</c:v>
                </c:pt>
                <c:pt idx="198">
                  <c:v>129.88999999999999</c:v>
                </c:pt>
                <c:pt idx="199">
                  <c:v>130.46</c:v>
                </c:pt>
                <c:pt idx="200">
                  <c:v>133.61000000000001</c:v>
                </c:pt>
                <c:pt idx="201">
                  <c:v>133.63999999999999</c:v>
                </c:pt>
                <c:pt idx="202">
                  <c:v>134.97</c:v>
                </c:pt>
                <c:pt idx="203">
                  <c:v>134.84</c:v>
                </c:pt>
                <c:pt idx="204">
                  <c:v>136.83000000000001</c:v>
                </c:pt>
                <c:pt idx="205">
                  <c:v>137.58000000000001</c:v>
                </c:pt>
                <c:pt idx="206">
                  <c:v>140.51</c:v>
                </c:pt>
                <c:pt idx="207">
                  <c:v>141.4</c:v>
                </c:pt>
                <c:pt idx="208">
                  <c:v>138.4</c:v>
                </c:pt>
                <c:pt idx="209">
                  <c:v>143.72999999999999</c:v>
                </c:pt>
                <c:pt idx="210">
                  <c:v>147.59</c:v>
                </c:pt>
                <c:pt idx="211">
                  <c:v>146.08000000000001</c:v>
                </c:pt>
                <c:pt idx="212">
                  <c:v>149.05000000000001</c:v>
                </c:pt>
                <c:pt idx="213">
                  <c:v>151.21</c:v>
                </c:pt>
                <c:pt idx="214">
                  <c:v>151.59</c:v>
                </c:pt>
                <c:pt idx="215">
                  <c:v>155.56</c:v>
                </c:pt>
                <c:pt idx="216">
                  <c:v>149.93</c:v>
                </c:pt>
                <c:pt idx="217">
                  <c:v>148.44999999999999</c:v>
                </c:pt>
                <c:pt idx="218">
                  <c:v>146.19</c:v>
                </c:pt>
                <c:pt idx="219">
                  <c:v>150.68</c:v>
                </c:pt>
                <c:pt idx="220">
                  <c:v>150.97</c:v>
                </c:pt>
                <c:pt idx="221">
                  <c:v>147.28</c:v>
                </c:pt>
                <c:pt idx="222">
                  <c:v>150.76</c:v>
                </c:pt>
                <c:pt idx="223">
                  <c:v>149.26</c:v>
                </c:pt>
                <c:pt idx="224">
                  <c:v>149.06</c:v>
                </c:pt>
                <c:pt idx="225">
                  <c:v>148.54</c:v>
                </c:pt>
                <c:pt idx="226">
                  <c:v>152.5</c:v>
                </c:pt>
                <c:pt idx="227">
                  <c:v>154.22</c:v>
                </c:pt>
                <c:pt idx="228">
                  <c:v>151.83000000000001</c:v>
                </c:pt>
                <c:pt idx="229">
                  <c:v>149.82</c:v>
                </c:pt>
                <c:pt idx="230">
                  <c:v>150.76</c:v>
                </c:pt>
                <c:pt idx="231">
                  <c:v>151.21</c:v>
                </c:pt>
                <c:pt idx="232">
                  <c:v>150.44</c:v>
                </c:pt>
                <c:pt idx="233">
                  <c:v>148.13</c:v>
                </c:pt>
                <c:pt idx="234">
                  <c:v>151.58000000000001</c:v>
                </c:pt>
                <c:pt idx="235">
                  <c:v>153.53</c:v>
                </c:pt>
                <c:pt idx="236">
                  <c:v>156.12</c:v>
                </c:pt>
                <c:pt idx="237">
                  <c:v>157.22999999999999</c:v>
                </c:pt>
                <c:pt idx="238">
                  <c:v>158.81</c:v>
                </c:pt>
                <c:pt idx="239">
                  <c:v>157.59</c:v>
                </c:pt>
                <c:pt idx="240">
                  <c:v>158.16</c:v>
                </c:pt>
                <c:pt idx="241">
                  <c:v>159.66999999999999</c:v>
                </c:pt>
                <c:pt idx="242">
                  <c:v>161.13</c:v>
                </c:pt>
                <c:pt idx="243">
                  <c:v>165.38</c:v>
                </c:pt>
                <c:pt idx="244">
                  <c:v>163.26</c:v>
                </c:pt>
                <c:pt idx="245">
                  <c:v>165.43</c:v>
                </c:pt>
                <c:pt idx="246">
                  <c:v>170.99</c:v>
                </c:pt>
                <c:pt idx="247">
                  <c:v>171.47</c:v>
                </c:pt>
                <c:pt idx="248">
                  <c:v>169.66</c:v>
                </c:pt>
                <c:pt idx="249">
                  <c:v>160.78</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GM!$B$7:$B$27</c:f>
              <c:numCache>
                <c:formatCode>#,##0</c:formatCode>
                <c:ptCount val="21"/>
                <c:pt idx="0">
                  <c:v>8510629</c:v>
                </c:pt>
                <c:pt idx="1">
                  <c:v>8642908</c:v>
                </c:pt>
                <c:pt idx="2">
                  <c:v>8190952</c:v>
                </c:pt>
                <c:pt idx="3">
                  <c:v>8829631</c:v>
                </c:pt>
                <c:pt idx="4">
                  <c:v>8915571</c:v>
                </c:pt>
                <c:pt idx="5">
                  <c:v>5637485</c:v>
                </c:pt>
                <c:pt idx="6">
                  <c:v>7340971</c:v>
                </c:pt>
                <c:pt idx="7">
                  <c:v>7229709</c:v>
                </c:pt>
                <c:pt idx="8">
                  <c:v>7471711</c:v>
                </c:pt>
                <c:pt idx="9">
                  <c:v>4690135</c:v>
                </c:pt>
                <c:pt idx="10">
                  <c:v>6000865</c:v>
                </c:pt>
                <c:pt idx="11">
                  <c:v>9495200</c:v>
                </c:pt>
                <c:pt idx="12">
                  <c:v>17760032</c:v>
                </c:pt>
                <c:pt idx="13">
                  <c:v>7694773</c:v>
                </c:pt>
                <c:pt idx="14">
                  <c:v>7122238</c:v>
                </c:pt>
                <c:pt idx="15">
                  <c:v>7191117</c:v>
                </c:pt>
                <c:pt idx="16">
                  <c:v>8471308</c:v>
                </c:pt>
                <c:pt idx="17">
                  <c:v>7563228</c:v>
                </c:pt>
                <c:pt idx="18">
                  <c:v>7192312</c:v>
                </c:pt>
                <c:pt idx="19">
                  <c:v>5778164</c:v>
                </c:pt>
                <c:pt idx="20">
                  <c:v>5147737</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GM!$C$7:$C$27</c:f>
              <c:numCache>
                <c:formatCode>_([$$-409]* #,##0.00_);_([$$-409]* \(#,##0.00\);_([$$-409]* "-"??_);_(@_)</c:formatCode>
                <c:ptCount val="21"/>
                <c:pt idx="0">
                  <c:v>78.22</c:v>
                </c:pt>
                <c:pt idx="1">
                  <c:v>78</c:v>
                </c:pt>
                <c:pt idx="2">
                  <c:v>74.739999999999995</c:v>
                </c:pt>
                <c:pt idx="3">
                  <c:v>73.400000000000006</c:v>
                </c:pt>
                <c:pt idx="4">
                  <c:v>74.84</c:v>
                </c:pt>
                <c:pt idx="5">
                  <c:v>75.459999999999994</c:v>
                </c:pt>
                <c:pt idx="6">
                  <c:v>73.239999999999995</c:v>
                </c:pt>
                <c:pt idx="7">
                  <c:v>73.59</c:v>
                </c:pt>
                <c:pt idx="8">
                  <c:v>73.319999999999993</c:v>
                </c:pt>
                <c:pt idx="9">
                  <c:v>73.59</c:v>
                </c:pt>
                <c:pt idx="10">
                  <c:v>73.53</c:v>
                </c:pt>
                <c:pt idx="11">
                  <c:v>72.5</c:v>
                </c:pt>
                <c:pt idx="12">
                  <c:v>73.52</c:v>
                </c:pt>
                <c:pt idx="13">
                  <c:v>74.75</c:v>
                </c:pt>
                <c:pt idx="14">
                  <c:v>74.98</c:v>
                </c:pt>
                <c:pt idx="15">
                  <c:v>77.900000000000006</c:v>
                </c:pt>
                <c:pt idx="16">
                  <c:v>75.97</c:v>
                </c:pt>
                <c:pt idx="17">
                  <c:v>75.209999999999994</c:v>
                </c:pt>
                <c:pt idx="18">
                  <c:v>73.709999999999994</c:v>
                </c:pt>
                <c:pt idx="19">
                  <c:v>74.05</c:v>
                </c:pt>
                <c:pt idx="20">
                  <c:v>75.2</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GM!$D$7:$D$27</c:f>
              <c:numCache>
                <c:formatCode>_([$$-409]* #,##0.00_);_([$$-409]* \(#,##0.00\);_([$$-409]* "-"??_);_(@_)</c:formatCode>
                <c:ptCount val="21"/>
                <c:pt idx="0">
                  <c:v>79.334999999999994</c:v>
                </c:pt>
                <c:pt idx="1">
                  <c:v>78.17</c:v>
                </c:pt>
                <c:pt idx="2">
                  <c:v>75.22</c:v>
                </c:pt>
                <c:pt idx="3">
                  <c:v>74.7</c:v>
                </c:pt>
                <c:pt idx="4">
                  <c:v>77.2</c:v>
                </c:pt>
                <c:pt idx="5">
                  <c:v>76.58</c:v>
                </c:pt>
                <c:pt idx="6">
                  <c:v>74.02</c:v>
                </c:pt>
                <c:pt idx="7">
                  <c:v>73.94</c:v>
                </c:pt>
                <c:pt idx="8">
                  <c:v>73.849999999999994</c:v>
                </c:pt>
                <c:pt idx="9">
                  <c:v>74.569999999999993</c:v>
                </c:pt>
                <c:pt idx="10">
                  <c:v>74.81</c:v>
                </c:pt>
                <c:pt idx="11">
                  <c:v>74.400000000000006</c:v>
                </c:pt>
                <c:pt idx="12">
                  <c:v>73.900000000000006</c:v>
                </c:pt>
                <c:pt idx="13">
                  <c:v>76.849999999999994</c:v>
                </c:pt>
                <c:pt idx="14">
                  <c:v>76.87</c:v>
                </c:pt>
                <c:pt idx="15">
                  <c:v>78.290000000000006</c:v>
                </c:pt>
                <c:pt idx="16">
                  <c:v>77.17</c:v>
                </c:pt>
                <c:pt idx="17">
                  <c:v>75.260000000000005</c:v>
                </c:pt>
                <c:pt idx="18">
                  <c:v>74.23</c:v>
                </c:pt>
                <c:pt idx="19">
                  <c:v>75.09</c:v>
                </c:pt>
                <c:pt idx="20">
                  <c:v>75.87</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GM!$E$7:$E$27</c:f>
              <c:numCache>
                <c:formatCode>_([$$-409]* #,##0.00_);_([$$-409]* \(#,##0.00\);_([$$-409]* "-"??_);_(@_)</c:formatCode>
                <c:ptCount val="21"/>
                <c:pt idx="0">
                  <c:v>78.040000000000006</c:v>
                </c:pt>
                <c:pt idx="1">
                  <c:v>75.069999999999993</c:v>
                </c:pt>
                <c:pt idx="2">
                  <c:v>73.349999999999994</c:v>
                </c:pt>
                <c:pt idx="3">
                  <c:v>71.921999999999997</c:v>
                </c:pt>
                <c:pt idx="4">
                  <c:v>74.84</c:v>
                </c:pt>
                <c:pt idx="5">
                  <c:v>74.37</c:v>
                </c:pt>
                <c:pt idx="6">
                  <c:v>73.099999999999994</c:v>
                </c:pt>
                <c:pt idx="7">
                  <c:v>72.09</c:v>
                </c:pt>
                <c:pt idx="8">
                  <c:v>72.430000000000007</c:v>
                </c:pt>
                <c:pt idx="9">
                  <c:v>73.545000000000002</c:v>
                </c:pt>
                <c:pt idx="10">
                  <c:v>73.415000000000006</c:v>
                </c:pt>
                <c:pt idx="11">
                  <c:v>72.5</c:v>
                </c:pt>
                <c:pt idx="12">
                  <c:v>72.094999999999999</c:v>
                </c:pt>
                <c:pt idx="13">
                  <c:v>74.599999999999994</c:v>
                </c:pt>
                <c:pt idx="14">
                  <c:v>74.77</c:v>
                </c:pt>
                <c:pt idx="15">
                  <c:v>76.39</c:v>
                </c:pt>
                <c:pt idx="16">
                  <c:v>74.905000000000001</c:v>
                </c:pt>
                <c:pt idx="17">
                  <c:v>72.680000000000007</c:v>
                </c:pt>
                <c:pt idx="18">
                  <c:v>72.42</c:v>
                </c:pt>
                <c:pt idx="19">
                  <c:v>73.405000000000001</c:v>
                </c:pt>
                <c:pt idx="20">
                  <c:v>74.715000000000003</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GM!$F$7:$F$27</c:f>
              <c:numCache>
                <c:formatCode>_([$$-409]* #,##0.00_);_([$$-409]* \(#,##0.00\);_([$$-409]* "-"??_);_(@_)</c:formatCode>
                <c:ptCount val="21"/>
                <c:pt idx="0">
                  <c:v>78.599999999999994</c:v>
                </c:pt>
                <c:pt idx="1">
                  <c:v>76.2</c:v>
                </c:pt>
                <c:pt idx="2">
                  <c:v>75.209999999999994</c:v>
                </c:pt>
                <c:pt idx="3">
                  <c:v>74.69</c:v>
                </c:pt>
                <c:pt idx="4">
                  <c:v>74.930000000000007</c:v>
                </c:pt>
                <c:pt idx="5">
                  <c:v>74.790000000000006</c:v>
                </c:pt>
                <c:pt idx="6">
                  <c:v>73.45</c:v>
                </c:pt>
                <c:pt idx="7">
                  <c:v>72.39</c:v>
                </c:pt>
                <c:pt idx="8">
                  <c:v>72.95</c:v>
                </c:pt>
                <c:pt idx="9">
                  <c:v>74.040000000000006</c:v>
                </c:pt>
                <c:pt idx="10">
                  <c:v>73.53</c:v>
                </c:pt>
                <c:pt idx="11">
                  <c:v>73.790000000000006</c:v>
                </c:pt>
                <c:pt idx="12">
                  <c:v>72.81</c:v>
                </c:pt>
                <c:pt idx="13">
                  <c:v>75.72</c:v>
                </c:pt>
                <c:pt idx="14">
                  <c:v>76.569999999999993</c:v>
                </c:pt>
                <c:pt idx="15">
                  <c:v>76.61</c:v>
                </c:pt>
                <c:pt idx="16">
                  <c:v>75.599999999999994</c:v>
                </c:pt>
                <c:pt idx="17">
                  <c:v>72.98</c:v>
                </c:pt>
                <c:pt idx="18">
                  <c:v>72.760000000000005</c:v>
                </c:pt>
                <c:pt idx="19">
                  <c:v>74.5</c:v>
                </c:pt>
                <c:pt idx="20">
                  <c:v>75.040000000000006</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45.9</c:v>
                </c:pt>
                <c:pt idx="1">
                  <c:v>44.18</c:v>
                </c:pt>
                <c:pt idx="2">
                  <c:v>43.53</c:v>
                </c:pt>
                <c:pt idx="3">
                  <c:v>42.48</c:v>
                </c:pt>
                <c:pt idx="4">
                  <c:v>45.74</c:v>
                </c:pt>
                <c:pt idx="5">
                  <c:v>43.73</c:v>
                </c:pt>
                <c:pt idx="6">
                  <c:v>43.63</c:v>
                </c:pt>
                <c:pt idx="7">
                  <c:v>45.14</c:v>
                </c:pt>
                <c:pt idx="8">
                  <c:v>44.54</c:v>
                </c:pt>
                <c:pt idx="9">
                  <c:v>44.22</c:v>
                </c:pt>
                <c:pt idx="10">
                  <c:v>44.57</c:v>
                </c:pt>
                <c:pt idx="11">
                  <c:v>44.39</c:v>
                </c:pt>
                <c:pt idx="12">
                  <c:v>45.16</c:v>
                </c:pt>
                <c:pt idx="13">
                  <c:v>45.84</c:v>
                </c:pt>
                <c:pt idx="14">
                  <c:v>46.88</c:v>
                </c:pt>
                <c:pt idx="15">
                  <c:v>47.11</c:v>
                </c:pt>
                <c:pt idx="16">
                  <c:v>47.24</c:v>
                </c:pt>
                <c:pt idx="17">
                  <c:v>46.94</c:v>
                </c:pt>
                <c:pt idx="18">
                  <c:v>45.24</c:v>
                </c:pt>
                <c:pt idx="19">
                  <c:v>45.05</c:v>
                </c:pt>
                <c:pt idx="20">
                  <c:v>45.3</c:v>
                </c:pt>
                <c:pt idx="21">
                  <c:v>45.38</c:v>
                </c:pt>
                <c:pt idx="22">
                  <c:v>45.46</c:v>
                </c:pt>
                <c:pt idx="23">
                  <c:v>45.47</c:v>
                </c:pt>
                <c:pt idx="24">
                  <c:v>47.35</c:v>
                </c:pt>
                <c:pt idx="25">
                  <c:v>47.5</c:v>
                </c:pt>
                <c:pt idx="26">
                  <c:v>49.61</c:v>
                </c:pt>
                <c:pt idx="27">
                  <c:v>50.46</c:v>
                </c:pt>
                <c:pt idx="28">
                  <c:v>50.31</c:v>
                </c:pt>
                <c:pt idx="29">
                  <c:v>50.12</c:v>
                </c:pt>
                <c:pt idx="30">
                  <c:v>50.37</c:v>
                </c:pt>
                <c:pt idx="31">
                  <c:v>50.03</c:v>
                </c:pt>
                <c:pt idx="32">
                  <c:v>50.21</c:v>
                </c:pt>
                <c:pt idx="33">
                  <c:v>49.37</c:v>
                </c:pt>
                <c:pt idx="34">
                  <c:v>49.28</c:v>
                </c:pt>
                <c:pt idx="35">
                  <c:v>48.69</c:v>
                </c:pt>
                <c:pt idx="36">
                  <c:v>49.09</c:v>
                </c:pt>
                <c:pt idx="37">
                  <c:v>48.13</c:v>
                </c:pt>
                <c:pt idx="38">
                  <c:v>48.59</c:v>
                </c:pt>
                <c:pt idx="39">
                  <c:v>49.61</c:v>
                </c:pt>
                <c:pt idx="40">
                  <c:v>47.69</c:v>
                </c:pt>
                <c:pt idx="41">
                  <c:v>49.06</c:v>
                </c:pt>
                <c:pt idx="42">
                  <c:v>47.67</c:v>
                </c:pt>
                <c:pt idx="43">
                  <c:v>47.25</c:v>
                </c:pt>
                <c:pt idx="44">
                  <c:v>47.47</c:v>
                </c:pt>
                <c:pt idx="45">
                  <c:v>47.93</c:v>
                </c:pt>
                <c:pt idx="46">
                  <c:v>48.93</c:v>
                </c:pt>
                <c:pt idx="47">
                  <c:v>49.87</c:v>
                </c:pt>
                <c:pt idx="48">
                  <c:v>49.26</c:v>
                </c:pt>
                <c:pt idx="49">
                  <c:v>48.65</c:v>
                </c:pt>
                <c:pt idx="50">
                  <c:v>49.27</c:v>
                </c:pt>
                <c:pt idx="51">
                  <c:v>48.28</c:v>
                </c:pt>
                <c:pt idx="52">
                  <c:v>48.09</c:v>
                </c:pt>
                <c:pt idx="53">
                  <c:v>48.2</c:v>
                </c:pt>
                <c:pt idx="54">
                  <c:v>48.52</c:v>
                </c:pt>
                <c:pt idx="55">
                  <c:v>49</c:v>
                </c:pt>
                <c:pt idx="56">
                  <c:v>48.13</c:v>
                </c:pt>
                <c:pt idx="57">
                  <c:v>49.16</c:v>
                </c:pt>
                <c:pt idx="58">
                  <c:v>49.68</c:v>
                </c:pt>
                <c:pt idx="59">
                  <c:v>49.21</c:v>
                </c:pt>
                <c:pt idx="60">
                  <c:v>52.03</c:v>
                </c:pt>
                <c:pt idx="61">
                  <c:v>52.68</c:v>
                </c:pt>
                <c:pt idx="62">
                  <c:v>52.89</c:v>
                </c:pt>
                <c:pt idx="63">
                  <c:v>51.82</c:v>
                </c:pt>
                <c:pt idx="64">
                  <c:v>52.19</c:v>
                </c:pt>
                <c:pt idx="65">
                  <c:v>52.57</c:v>
                </c:pt>
                <c:pt idx="66">
                  <c:v>53.15</c:v>
                </c:pt>
                <c:pt idx="67">
                  <c:v>53.39</c:v>
                </c:pt>
                <c:pt idx="68">
                  <c:v>53.33</c:v>
                </c:pt>
                <c:pt idx="69">
                  <c:v>52.71</c:v>
                </c:pt>
                <c:pt idx="70">
                  <c:v>53.18</c:v>
                </c:pt>
                <c:pt idx="71">
                  <c:v>53.21</c:v>
                </c:pt>
                <c:pt idx="72">
                  <c:v>53.22</c:v>
                </c:pt>
                <c:pt idx="73">
                  <c:v>53.21</c:v>
                </c:pt>
                <c:pt idx="74">
                  <c:v>48.89</c:v>
                </c:pt>
                <c:pt idx="75">
                  <c:v>53.13</c:v>
                </c:pt>
                <c:pt idx="76">
                  <c:v>52.34</c:v>
                </c:pt>
                <c:pt idx="77">
                  <c:v>53.4</c:v>
                </c:pt>
                <c:pt idx="78">
                  <c:v>53.45</c:v>
                </c:pt>
                <c:pt idx="79">
                  <c:v>52.11</c:v>
                </c:pt>
                <c:pt idx="80">
                  <c:v>52.11</c:v>
                </c:pt>
                <c:pt idx="81">
                  <c:v>53.34</c:v>
                </c:pt>
                <c:pt idx="82">
                  <c:v>52.53</c:v>
                </c:pt>
                <c:pt idx="83">
                  <c:v>52.77</c:v>
                </c:pt>
                <c:pt idx="84">
                  <c:v>52.58</c:v>
                </c:pt>
                <c:pt idx="85">
                  <c:v>52.47</c:v>
                </c:pt>
                <c:pt idx="86">
                  <c:v>52.95</c:v>
                </c:pt>
                <c:pt idx="87">
                  <c:v>53.53</c:v>
                </c:pt>
                <c:pt idx="88">
                  <c:v>54.01</c:v>
                </c:pt>
                <c:pt idx="89">
                  <c:v>54.16</c:v>
                </c:pt>
                <c:pt idx="90">
                  <c:v>55.58</c:v>
                </c:pt>
                <c:pt idx="91">
                  <c:v>56.42</c:v>
                </c:pt>
                <c:pt idx="92">
                  <c:v>56.31</c:v>
                </c:pt>
                <c:pt idx="93">
                  <c:v>56.23</c:v>
                </c:pt>
                <c:pt idx="94">
                  <c:v>57.06</c:v>
                </c:pt>
                <c:pt idx="95">
                  <c:v>56.77</c:v>
                </c:pt>
                <c:pt idx="96">
                  <c:v>56.51</c:v>
                </c:pt>
                <c:pt idx="97">
                  <c:v>58.37</c:v>
                </c:pt>
                <c:pt idx="98">
                  <c:v>58.28</c:v>
                </c:pt>
                <c:pt idx="99">
                  <c:v>58.8</c:v>
                </c:pt>
                <c:pt idx="100">
                  <c:v>58.75</c:v>
                </c:pt>
                <c:pt idx="101">
                  <c:v>58.49</c:v>
                </c:pt>
                <c:pt idx="102">
                  <c:v>58.59</c:v>
                </c:pt>
                <c:pt idx="103">
                  <c:v>58.53</c:v>
                </c:pt>
                <c:pt idx="104">
                  <c:v>57.75</c:v>
                </c:pt>
                <c:pt idx="105">
                  <c:v>58.15</c:v>
                </c:pt>
                <c:pt idx="106">
                  <c:v>58.27</c:v>
                </c:pt>
                <c:pt idx="107">
                  <c:v>58.2</c:v>
                </c:pt>
                <c:pt idx="108">
                  <c:v>58.01</c:v>
                </c:pt>
                <c:pt idx="109">
                  <c:v>57.34</c:v>
                </c:pt>
                <c:pt idx="110">
                  <c:v>58.71</c:v>
                </c:pt>
                <c:pt idx="111">
                  <c:v>58.5</c:v>
                </c:pt>
                <c:pt idx="112">
                  <c:v>58.95</c:v>
                </c:pt>
                <c:pt idx="113">
                  <c:v>58.46</c:v>
                </c:pt>
                <c:pt idx="114">
                  <c:v>58.73</c:v>
                </c:pt>
                <c:pt idx="115">
                  <c:v>59.26</c:v>
                </c:pt>
                <c:pt idx="116">
                  <c:v>58.98</c:v>
                </c:pt>
                <c:pt idx="117">
                  <c:v>58.88</c:v>
                </c:pt>
                <c:pt idx="118">
                  <c:v>58.58</c:v>
                </c:pt>
                <c:pt idx="119">
                  <c:v>59.92</c:v>
                </c:pt>
                <c:pt idx="120">
                  <c:v>60.59</c:v>
                </c:pt>
                <c:pt idx="121">
                  <c:v>61.24</c:v>
                </c:pt>
                <c:pt idx="122">
                  <c:v>61.12</c:v>
                </c:pt>
                <c:pt idx="123">
                  <c:v>60.97</c:v>
                </c:pt>
                <c:pt idx="124">
                  <c:v>61.34</c:v>
                </c:pt>
                <c:pt idx="125">
                  <c:v>59.36</c:v>
                </c:pt>
                <c:pt idx="126">
                  <c:v>60.13</c:v>
                </c:pt>
                <c:pt idx="127">
                  <c:v>58.19</c:v>
                </c:pt>
                <c:pt idx="128">
                  <c:v>57.26</c:v>
                </c:pt>
                <c:pt idx="129">
                  <c:v>56.4</c:v>
                </c:pt>
                <c:pt idx="130">
                  <c:v>55.92</c:v>
                </c:pt>
                <c:pt idx="131">
                  <c:v>55.35</c:v>
                </c:pt>
                <c:pt idx="132">
                  <c:v>55.62</c:v>
                </c:pt>
                <c:pt idx="133">
                  <c:v>57.15</c:v>
                </c:pt>
                <c:pt idx="134">
                  <c:v>57.8</c:v>
                </c:pt>
                <c:pt idx="135">
                  <c:v>57.34</c:v>
                </c:pt>
                <c:pt idx="136">
                  <c:v>58.38</c:v>
                </c:pt>
                <c:pt idx="137">
                  <c:v>58</c:v>
                </c:pt>
                <c:pt idx="138">
                  <c:v>66.62</c:v>
                </c:pt>
                <c:pt idx="139">
                  <c:v>67.31</c:v>
                </c:pt>
                <c:pt idx="140">
                  <c:v>66.849999999999994</c:v>
                </c:pt>
                <c:pt idx="141">
                  <c:v>69.66</c:v>
                </c:pt>
                <c:pt idx="142">
                  <c:v>69.38</c:v>
                </c:pt>
                <c:pt idx="143">
                  <c:v>69.87</c:v>
                </c:pt>
                <c:pt idx="144">
                  <c:v>69.13</c:v>
                </c:pt>
                <c:pt idx="145">
                  <c:v>68.67</c:v>
                </c:pt>
                <c:pt idx="146">
                  <c:v>69.09</c:v>
                </c:pt>
                <c:pt idx="147">
                  <c:v>68.22</c:v>
                </c:pt>
                <c:pt idx="148">
                  <c:v>66.87</c:v>
                </c:pt>
                <c:pt idx="149">
                  <c:v>68.77</c:v>
                </c:pt>
                <c:pt idx="150">
                  <c:v>68.84</c:v>
                </c:pt>
                <c:pt idx="151">
                  <c:v>70.75</c:v>
                </c:pt>
                <c:pt idx="152">
                  <c:v>71.05</c:v>
                </c:pt>
                <c:pt idx="153">
                  <c:v>71.22</c:v>
                </c:pt>
                <c:pt idx="154">
                  <c:v>71.84</c:v>
                </c:pt>
                <c:pt idx="155">
                  <c:v>71.89</c:v>
                </c:pt>
                <c:pt idx="156">
                  <c:v>70.52</c:v>
                </c:pt>
                <c:pt idx="157">
                  <c:v>67.91</c:v>
                </c:pt>
                <c:pt idx="158">
                  <c:v>67.930000000000007</c:v>
                </c:pt>
                <c:pt idx="159">
                  <c:v>68.5</c:v>
                </c:pt>
                <c:pt idx="160">
                  <c:v>68.040000000000006</c:v>
                </c:pt>
                <c:pt idx="161">
                  <c:v>70.33</c:v>
                </c:pt>
                <c:pt idx="162">
                  <c:v>71</c:v>
                </c:pt>
                <c:pt idx="163">
                  <c:v>72.78</c:v>
                </c:pt>
                <c:pt idx="164">
                  <c:v>72.81</c:v>
                </c:pt>
                <c:pt idx="165">
                  <c:v>73.52</c:v>
                </c:pt>
                <c:pt idx="166">
                  <c:v>72.95</c:v>
                </c:pt>
                <c:pt idx="167">
                  <c:v>73.66</c:v>
                </c:pt>
                <c:pt idx="168">
                  <c:v>74.69</c:v>
                </c:pt>
                <c:pt idx="169">
                  <c:v>75.290000000000006</c:v>
                </c:pt>
                <c:pt idx="170">
                  <c:v>76.05</c:v>
                </c:pt>
                <c:pt idx="171">
                  <c:v>75.709999999999994</c:v>
                </c:pt>
                <c:pt idx="172">
                  <c:v>77.16</c:v>
                </c:pt>
                <c:pt idx="173">
                  <c:v>80.8</c:v>
                </c:pt>
                <c:pt idx="174">
                  <c:v>80.849999999999994</c:v>
                </c:pt>
                <c:pt idx="175">
                  <c:v>80.89</c:v>
                </c:pt>
                <c:pt idx="176">
                  <c:v>81.98</c:v>
                </c:pt>
                <c:pt idx="177">
                  <c:v>81.760000000000005</c:v>
                </c:pt>
                <c:pt idx="178">
                  <c:v>80.510000000000005</c:v>
                </c:pt>
                <c:pt idx="179">
                  <c:v>81.17</c:v>
                </c:pt>
                <c:pt idx="180">
                  <c:v>82.35</c:v>
                </c:pt>
                <c:pt idx="181">
                  <c:v>83.03</c:v>
                </c:pt>
                <c:pt idx="182">
                  <c:v>82.75</c:v>
                </c:pt>
                <c:pt idx="183">
                  <c:v>82.88</c:v>
                </c:pt>
                <c:pt idx="184">
                  <c:v>83.06</c:v>
                </c:pt>
                <c:pt idx="185">
                  <c:v>82.93</c:v>
                </c:pt>
                <c:pt idx="186">
                  <c:v>82.33</c:v>
                </c:pt>
                <c:pt idx="187">
                  <c:v>81.319999999999993</c:v>
                </c:pt>
                <c:pt idx="188">
                  <c:v>80.98</c:v>
                </c:pt>
                <c:pt idx="189">
                  <c:v>83.15</c:v>
                </c:pt>
                <c:pt idx="190">
                  <c:v>82.18</c:v>
                </c:pt>
                <c:pt idx="191">
                  <c:v>81.91</c:v>
                </c:pt>
                <c:pt idx="192">
                  <c:v>85.13</c:v>
                </c:pt>
                <c:pt idx="193">
                  <c:v>82.87</c:v>
                </c:pt>
                <c:pt idx="194">
                  <c:v>82.9</c:v>
                </c:pt>
                <c:pt idx="195">
                  <c:v>83.24</c:v>
                </c:pt>
                <c:pt idx="196">
                  <c:v>81.23</c:v>
                </c:pt>
                <c:pt idx="197">
                  <c:v>80.91</c:v>
                </c:pt>
                <c:pt idx="198">
                  <c:v>80.819999999999993</c:v>
                </c:pt>
                <c:pt idx="199">
                  <c:v>77.81</c:v>
                </c:pt>
                <c:pt idx="200">
                  <c:v>80.930000000000007</c:v>
                </c:pt>
                <c:pt idx="201">
                  <c:v>81.14</c:v>
                </c:pt>
                <c:pt idx="202">
                  <c:v>79.680000000000007</c:v>
                </c:pt>
                <c:pt idx="203">
                  <c:v>79.430000000000007</c:v>
                </c:pt>
                <c:pt idx="204">
                  <c:v>86.38</c:v>
                </c:pt>
                <c:pt idx="205">
                  <c:v>84.9</c:v>
                </c:pt>
                <c:pt idx="206">
                  <c:v>86.26</c:v>
                </c:pt>
                <c:pt idx="207">
                  <c:v>84</c:v>
                </c:pt>
                <c:pt idx="208">
                  <c:v>84.27</c:v>
                </c:pt>
                <c:pt idx="209">
                  <c:v>85.71</c:v>
                </c:pt>
                <c:pt idx="210">
                  <c:v>86.29</c:v>
                </c:pt>
                <c:pt idx="211">
                  <c:v>83.3</c:v>
                </c:pt>
                <c:pt idx="212">
                  <c:v>84.24</c:v>
                </c:pt>
                <c:pt idx="213">
                  <c:v>80.680000000000007</c:v>
                </c:pt>
                <c:pt idx="214">
                  <c:v>80.27</c:v>
                </c:pt>
                <c:pt idx="215">
                  <c:v>79.819999999999993</c:v>
                </c:pt>
                <c:pt idx="216">
                  <c:v>79.930000000000007</c:v>
                </c:pt>
                <c:pt idx="217">
                  <c:v>81.08</c:v>
                </c:pt>
                <c:pt idx="218">
                  <c:v>81.22</c:v>
                </c:pt>
                <c:pt idx="219">
                  <c:v>83.67</c:v>
                </c:pt>
                <c:pt idx="220">
                  <c:v>81.47</c:v>
                </c:pt>
                <c:pt idx="221">
                  <c:v>81.510000000000005</c:v>
                </c:pt>
                <c:pt idx="222">
                  <c:v>79.66</c:v>
                </c:pt>
                <c:pt idx="223">
                  <c:v>81.290000000000006</c:v>
                </c:pt>
                <c:pt idx="224">
                  <c:v>82.43</c:v>
                </c:pt>
                <c:pt idx="225">
                  <c:v>80.790000000000006</c:v>
                </c:pt>
                <c:pt idx="226">
                  <c:v>78.709999999999994</c:v>
                </c:pt>
                <c:pt idx="227">
                  <c:v>77.760000000000005</c:v>
                </c:pt>
                <c:pt idx="228">
                  <c:v>77.27</c:v>
                </c:pt>
                <c:pt idx="229">
                  <c:v>78.599999999999994</c:v>
                </c:pt>
                <c:pt idx="230">
                  <c:v>76.2</c:v>
                </c:pt>
                <c:pt idx="231">
                  <c:v>75.209999999999994</c:v>
                </c:pt>
                <c:pt idx="232">
                  <c:v>74.69</c:v>
                </c:pt>
                <c:pt idx="233">
                  <c:v>74.930000000000007</c:v>
                </c:pt>
                <c:pt idx="234">
                  <c:v>74.790000000000006</c:v>
                </c:pt>
                <c:pt idx="235">
                  <c:v>73.45</c:v>
                </c:pt>
                <c:pt idx="236">
                  <c:v>72.39</c:v>
                </c:pt>
                <c:pt idx="237">
                  <c:v>72.95</c:v>
                </c:pt>
                <c:pt idx="238">
                  <c:v>74.040000000000006</c:v>
                </c:pt>
                <c:pt idx="239">
                  <c:v>73.53</c:v>
                </c:pt>
                <c:pt idx="240">
                  <c:v>73.790000000000006</c:v>
                </c:pt>
                <c:pt idx="241">
                  <c:v>72.81</c:v>
                </c:pt>
                <c:pt idx="242">
                  <c:v>75.72</c:v>
                </c:pt>
                <c:pt idx="243">
                  <c:v>76.569999999999993</c:v>
                </c:pt>
                <c:pt idx="244">
                  <c:v>76.61</c:v>
                </c:pt>
                <c:pt idx="245">
                  <c:v>75.599999999999994</c:v>
                </c:pt>
                <c:pt idx="246">
                  <c:v>72.98</c:v>
                </c:pt>
                <c:pt idx="247">
                  <c:v>72.760000000000005</c:v>
                </c:pt>
                <c:pt idx="248">
                  <c:v>74.5</c:v>
                </c:pt>
                <c:pt idx="249">
                  <c:v>75.040000000000006</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LMT!$B$7:$B$27</c:f>
              <c:numCache>
                <c:formatCode>#,##0</c:formatCode>
                <c:ptCount val="21"/>
                <c:pt idx="0">
                  <c:v>1650894</c:v>
                </c:pt>
                <c:pt idx="1">
                  <c:v>1721536</c:v>
                </c:pt>
                <c:pt idx="2">
                  <c:v>1895091</c:v>
                </c:pt>
                <c:pt idx="3">
                  <c:v>2369743</c:v>
                </c:pt>
                <c:pt idx="4">
                  <c:v>1653018</c:v>
                </c:pt>
                <c:pt idx="5">
                  <c:v>1365219</c:v>
                </c:pt>
                <c:pt idx="6">
                  <c:v>1411169</c:v>
                </c:pt>
                <c:pt idx="7">
                  <c:v>1071344</c:v>
                </c:pt>
                <c:pt idx="8">
                  <c:v>1180980</c:v>
                </c:pt>
                <c:pt idx="9">
                  <c:v>1389066</c:v>
                </c:pt>
                <c:pt idx="10">
                  <c:v>1026183</c:v>
                </c:pt>
                <c:pt idx="11">
                  <c:v>1540841</c:v>
                </c:pt>
                <c:pt idx="12">
                  <c:v>6511253</c:v>
                </c:pt>
                <c:pt idx="13">
                  <c:v>1386641</c:v>
                </c:pt>
                <c:pt idx="14">
                  <c:v>1078188</c:v>
                </c:pt>
                <c:pt idx="15">
                  <c:v>1190275</c:v>
                </c:pt>
                <c:pt idx="16">
                  <c:v>1262434</c:v>
                </c:pt>
                <c:pt idx="17">
                  <c:v>1061125</c:v>
                </c:pt>
                <c:pt idx="18">
                  <c:v>1849318</c:v>
                </c:pt>
                <c:pt idx="19">
                  <c:v>1327800</c:v>
                </c:pt>
                <c:pt idx="20">
                  <c:v>1118050</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LMT!$C$7:$C$27</c:f>
              <c:numCache>
                <c:formatCode>_([$$-409]* #,##0.00_);_([$$-409]* \(#,##0.00\);_([$$-409]* "-"??_);_(@_)</c:formatCode>
                <c:ptCount val="21"/>
                <c:pt idx="0">
                  <c:v>670</c:v>
                </c:pt>
                <c:pt idx="1">
                  <c:v>662.1</c:v>
                </c:pt>
                <c:pt idx="2">
                  <c:v>661.65</c:v>
                </c:pt>
                <c:pt idx="3">
                  <c:v>675.58</c:v>
                </c:pt>
                <c:pt idx="4">
                  <c:v>657.95</c:v>
                </c:pt>
                <c:pt idx="5">
                  <c:v>645.32000000000005</c:v>
                </c:pt>
                <c:pt idx="6">
                  <c:v>651.95000000000005</c:v>
                </c:pt>
                <c:pt idx="7">
                  <c:v>652.66999999999996</c:v>
                </c:pt>
                <c:pt idx="8">
                  <c:v>645.22500000000002</c:v>
                </c:pt>
                <c:pt idx="9">
                  <c:v>644.96</c:v>
                </c:pt>
                <c:pt idx="10">
                  <c:v>641.11</c:v>
                </c:pt>
                <c:pt idx="11">
                  <c:v>639.05999999999995</c:v>
                </c:pt>
                <c:pt idx="12">
                  <c:v>635.86</c:v>
                </c:pt>
                <c:pt idx="13">
                  <c:v>629.07000000000005</c:v>
                </c:pt>
                <c:pt idx="14">
                  <c:v>612.95000000000005</c:v>
                </c:pt>
                <c:pt idx="15">
                  <c:v>612.5</c:v>
                </c:pt>
                <c:pt idx="16">
                  <c:v>619.79999999999995</c:v>
                </c:pt>
                <c:pt idx="17">
                  <c:v>625.70000000000005</c:v>
                </c:pt>
                <c:pt idx="18">
                  <c:v>621.03</c:v>
                </c:pt>
                <c:pt idx="19">
                  <c:v>604.5</c:v>
                </c:pt>
                <c:pt idx="20">
                  <c:v>608.82000000000005</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LMT!$D$7:$D$27</c:f>
              <c:numCache>
                <c:formatCode>_([$$-409]* #,##0.00_);_([$$-409]* \(#,##0.00\);_([$$-409]* "-"??_);_(@_)</c:formatCode>
                <c:ptCount val="21"/>
                <c:pt idx="0">
                  <c:v>671</c:v>
                </c:pt>
                <c:pt idx="1">
                  <c:v>663</c:v>
                </c:pt>
                <c:pt idx="2">
                  <c:v>672.86</c:v>
                </c:pt>
                <c:pt idx="3">
                  <c:v>676.07500000000005</c:v>
                </c:pt>
                <c:pt idx="4">
                  <c:v>659.89</c:v>
                </c:pt>
                <c:pt idx="5">
                  <c:v>656.99990000000003</c:v>
                </c:pt>
                <c:pt idx="6">
                  <c:v>661</c:v>
                </c:pt>
                <c:pt idx="7">
                  <c:v>660</c:v>
                </c:pt>
                <c:pt idx="8">
                  <c:v>651.54999999999995</c:v>
                </c:pt>
                <c:pt idx="9">
                  <c:v>645</c:v>
                </c:pt>
                <c:pt idx="10">
                  <c:v>645.85</c:v>
                </c:pt>
                <c:pt idx="11">
                  <c:v>640</c:v>
                </c:pt>
                <c:pt idx="12">
                  <c:v>638.50990000000002</c:v>
                </c:pt>
                <c:pt idx="13">
                  <c:v>629.65790000000004</c:v>
                </c:pt>
                <c:pt idx="14">
                  <c:v>615.29999999999995</c:v>
                </c:pt>
                <c:pt idx="15">
                  <c:v>626.92999999999995</c:v>
                </c:pt>
                <c:pt idx="16">
                  <c:v>632.91999999999996</c:v>
                </c:pt>
                <c:pt idx="17">
                  <c:v>631.44500000000005</c:v>
                </c:pt>
                <c:pt idx="18">
                  <c:v>623.32000000000005</c:v>
                </c:pt>
                <c:pt idx="19">
                  <c:v>610</c:v>
                </c:pt>
                <c:pt idx="20">
                  <c:v>619.1</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LMT!$E$7:$E$27</c:f>
              <c:numCache>
                <c:formatCode>_([$$-409]* #,##0.00_);_([$$-409]* \(#,##0.00\);_([$$-409]* "-"??_);_(@_)</c:formatCode>
                <c:ptCount val="21"/>
                <c:pt idx="0">
                  <c:v>652.54</c:v>
                </c:pt>
                <c:pt idx="1">
                  <c:v>647.22879999999998</c:v>
                </c:pt>
                <c:pt idx="2">
                  <c:v>656.4</c:v>
                </c:pt>
                <c:pt idx="3">
                  <c:v>657.34500000000003</c:v>
                </c:pt>
                <c:pt idx="4">
                  <c:v>646.20000000000005</c:v>
                </c:pt>
                <c:pt idx="5">
                  <c:v>644.13</c:v>
                </c:pt>
                <c:pt idx="6">
                  <c:v>646.63</c:v>
                </c:pt>
                <c:pt idx="7">
                  <c:v>640.5</c:v>
                </c:pt>
                <c:pt idx="8">
                  <c:v>639</c:v>
                </c:pt>
                <c:pt idx="9">
                  <c:v>632.78899999999999</c:v>
                </c:pt>
                <c:pt idx="10">
                  <c:v>636.45000000000005</c:v>
                </c:pt>
                <c:pt idx="11">
                  <c:v>623.75</c:v>
                </c:pt>
                <c:pt idx="12">
                  <c:v>622.37</c:v>
                </c:pt>
                <c:pt idx="13">
                  <c:v>610.63</c:v>
                </c:pt>
                <c:pt idx="14">
                  <c:v>605.00009999999997</c:v>
                </c:pt>
                <c:pt idx="15">
                  <c:v>612.41999999999996</c:v>
                </c:pt>
                <c:pt idx="16">
                  <c:v>619.79999999999995</c:v>
                </c:pt>
                <c:pt idx="17">
                  <c:v>613.65509999999995</c:v>
                </c:pt>
                <c:pt idx="18">
                  <c:v>593.88</c:v>
                </c:pt>
                <c:pt idx="19">
                  <c:v>598.70000000000005</c:v>
                </c:pt>
                <c:pt idx="20">
                  <c:v>606.11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LMT!$F$7:$F$27</c:f>
              <c:numCache>
                <c:formatCode>_([$$-409]* #,##0.00_);_([$$-409]* \(#,##0.00\);_([$$-409]* "-"??_);_(@_)</c:formatCode>
                <c:ptCount val="21"/>
                <c:pt idx="0">
                  <c:v>664.48</c:v>
                </c:pt>
                <c:pt idx="1">
                  <c:v>655</c:v>
                </c:pt>
                <c:pt idx="2">
                  <c:v>671.77</c:v>
                </c:pt>
                <c:pt idx="3">
                  <c:v>664.15</c:v>
                </c:pt>
                <c:pt idx="4">
                  <c:v>651.22</c:v>
                </c:pt>
                <c:pt idx="5">
                  <c:v>649.47</c:v>
                </c:pt>
                <c:pt idx="6">
                  <c:v>652.83000000000004</c:v>
                </c:pt>
                <c:pt idx="7">
                  <c:v>646</c:v>
                </c:pt>
                <c:pt idx="8">
                  <c:v>645.20000000000005</c:v>
                </c:pt>
                <c:pt idx="9">
                  <c:v>636.33000000000004</c:v>
                </c:pt>
                <c:pt idx="10">
                  <c:v>642.28</c:v>
                </c:pt>
                <c:pt idx="11">
                  <c:v>637.51</c:v>
                </c:pt>
                <c:pt idx="12">
                  <c:v>627.42999999999995</c:v>
                </c:pt>
                <c:pt idx="13">
                  <c:v>616.25</c:v>
                </c:pt>
                <c:pt idx="14">
                  <c:v>610.16999999999996</c:v>
                </c:pt>
                <c:pt idx="15">
                  <c:v>624.20000000000005</c:v>
                </c:pt>
                <c:pt idx="16">
                  <c:v>627.33000000000004</c:v>
                </c:pt>
                <c:pt idx="17">
                  <c:v>615.84</c:v>
                </c:pt>
                <c:pt idx="18">
                  <c:v>598.57000000000005</c:v>
                </c:pt>
                <c:pt idx="19">
                  <c:v>604.39</c:v>
                </c:pt>
                <c:pt idx="20">
                  <c:v>617.64</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93.8</c:v>
                </c:pt>
                <c:pt idx="1">
                  <c:v>85.76</c:v>
                </c:pt>
                <c:pt idx="2">
                  <c:v>83.64</c:v>
                </c:pt>
                <c:pt idx="3">
                  <c:v>78.209999999999994</c:v>
                </c:pt>
                <c:pt idx="4">
                  <c:v>96.84</c:v>
                </c:pt>
                <c:pt idx="5">
                  <c:v>88.7</c:v>
                </c:pt>
                <c:pt idx="6">
                  <c:v>93.4</c:v>
                </c:pt>
                <c:pt idx="7">
                  <c:v>94.5</c:v>
                </c:pt>
                <c:pt idx="8">
                  <c:v>95.29</c:v>
                </c:pt>
                <c:pt idx="9">
                  <c:v>88.29</c:v>
                </c:pt>
                <c:pt idx="10">
                  <c:v>87.5</c:v>
                </c:pt>
                <c:pt idx="11">
                  <c:v>85.56</c:v>
                </c:pt>
                <c:pt idx="12">
                  <c:v>86.26</c:v>
                </c:pt>
                <c:pt idx="13">
                  <c:v>90.39</c:v>
                </c:pt>
                <c:pt idx="14">
                  <c:v>94.47</c:v>
                </c:pt>
                <c:pt idx="15">
                  <c:v>96.644999999999996</c:v>
                </c:pt>
                <c:pt idx="16">
                  <c:v>96.39</c:v>
                </c:pt>
                <c:pt idx="17">
                  <c:v>96.06</c:v>
                </c:pt>
                <c:pt idx="18">
                  <c:v>97.35</c:v>
                </c:pt>
                <c:pt idx="19">
                  <c:v>96.65</c:v>
                </c:pt>
                <c:pt idx="20">
                  <c:v>98.8</c:v>
                </c:pt>
                <c:pt idx="21">
                  <c:v>100.59</c:v>
                </c:pt>
                <c:pt idx="22">
                  <c:v>98.62</c:v>
                </c:pt>
                <c:pt idx="23">
                  <c:v>100.36</c:v>
                </c:pt>
                <c:pt idx="24">
                  <c:v>101.7</c:v>
                </c:pt>
                <c:pt idx="25">
                  <c:v>102.84</c:v>
                </c:pt>
                <c:pt idx="26">
                  <c:v>108.12</c:v>
                </c:pt>
                <c:pt idx="27">
                  <c:v>112.46</c:v>
                </c:pt>
                <c:pt idx="28">
                  <c:v>117.72</c:v>
                </c:pt>
                <c:pt idx="29">
                  <c:v>114.99</c:v>
                </c:pt>
                <c:pt idx="30">
                  <c:v>117.17</c:v>
                </c:pt>
                <c:pt idx="31">
                  <c:v>114.74</c:v>
                </c:pt>
                <c:pt idx="32">
                  <c:v>113.51</c:v>
                </c:pt>
                <c:pt idx="33">
                  <c:v>112.06</c:v>
                </c:pt>
                <c:pt idx="34">
                  <c:v>110.71</c:v>
                </c:pt>
                <c:pt idx="35">
                  <c:v>110.31</c:v>
                </c:pt>
                <c:pt idx="36">
                  <c:v>114.56</c:v>
                </c:pt>
                <c:pt idx="37">
                  <c:v>112.86</c:v>
                </c:pt>
                <c:pt idx="38">
                  <c:v>113.03</c:v>
                </c:pt>
                <c:pt idx="39">
                  <c:v>110.73</c:v>
                </c:pt>
                <c:pt idx="40">
                  <c:v>114.63</c:v>
                </c:pt>
                <c:pt idx="41">
                  <c:v>117.31</c:v>
                </c:pt>
                <c:pt idx="42">
                  <c:v>118.58</c:v>
                </c:pt>
                <c:pt idx="43">
                  <c:v>115.69</c:v>
                </c:pt>
                <c:pt idx="44">
                  <c:v>116.19</c:v>
                </c:pt>
                <c:pt idx="45">
                  <c:v>121.73</c:v>
                </c:pt>
                <c:pt idx="46">
                  <c:v>123.24</c:v>
                </c:pt>
                <c:pt idx="47">
                  <c:v>121.14</c:v>
                </c:pt>
                <c:pt idx="48">
                  <c:v>118.5</c:v>
                </c:pt>
                <c:pt idx="49">
                  <c:v>116.16</c:v>
                </c:pt>
                <c:pt idx="50">
                  <c:v>126.39</c:v>
                </c:pt>
                <c:pt idx="51">
                  <c:v>127.1</c:v>
                </c:pt>
                <c:pt idx="52">
                  <c:v>126.79</c:v>
                </c:pt>
                <c:pt idx="53">
                  <c:v>128.24</c:v>
                </c:pt>
                <c:pt idx="54">
                  <c:v>129.58000000000001</c:v>
                </c:pt>
                <c:pt idx="55">
                  <c:v>138.43</c:v>
                </c:pt>
                <c:pt idx="56">
                  <c:v>143.4</c:v>
                </c:pt>
                <c:pt idx="57">
                  <c:v>143.68</c:v>
                </c:pt>
                <c:pt idx="58">
                  <c:v>143.81</c:v>
                </c:pt>
                <c:pt idx="59">
                  <c:v>141.9</c:v>
                </c:pt>
                <c:pt idx="60">
                  <c:v>136.11000000000001</c:v>
                </c:pt>
                <c:pt idx="61">
                  <c:v>138.52000000000001</c:v>
                </c:pt>
                <c:pt idx="62">
                  <c:v>137.91</c:v>
                </c:pt>
                <c:pt idx="63">
                  <c:v>134.80000000000001</c:v>
                </c:pt>
                <c:pt idx="64">
                  <c:v>137.82</c:v>
                </c:pt>
                <c:pt idx="65">
                  <c:v>138.41</c:v>
                </c:pt>
                <c:pt idx="66">
                  <c:v>144.16</c:v>
                </c:pt>
                <c:pt idx="67">
                  <c:v>146.41999999999999</c:v>
                </c:pt>
                <c:pt idx="68">
                  <c:v>146.24</c:v>
                </c:pt>
                <c:pt idx="69">
                  <c:v>155.61000000000001</c:v>
                </c:pt>
                <c:pt idx="70">
                  <c:v>160.08000000000001</c:v>
                </c:pt>
                <c:pt idx="71">
                  <c:v>160.41</c:v>
                </c:pt>
                <c:pt idx="72">
                  <c:v>156.99</c:v>
                </c:pt>
                <c:pt idx="73">
                  <c:v>157</c:v>
                </c:pt>
                <c:pt idx="74">
                  <c:v>154.72</c:v>
                </c:pt>
                <c:pt idx="75">
                  <c:v>158.65</c:v>
                </c:pt>
                <c:pt idx="76">
                  <c:v>162.12</c:v>
                </c:pt>
                <c:pt idx="77">
                  <c:v>166.47</c:v>
                </c:pt>
                <c:pt idx="78">
                  <c:v>173.66</c:v>
                </c:pt>
                <c:pt idx="79">
                  <c:v>177.44</c:v>
                </c:pt>
                <c:pt idx="80">
                  <c:v>179.51</c:v>
                </c:pt>
                <c:pt idx="81">
                  <c:v>176.31</c:v>
                </c:pt>
                <c:pt idx="82">
                  <c:v>171.7</c:v>
                </c:pt>
                <c:pt idx="83">
                  <c:v>176.78</c:v>
                </c:pt>
                <c:pt idx="84">
                  <c:v>174.31</c:v>
                </c:pt>
                <c:pt idx="85">
                  <c:v>163.12</c:v>
                </c:pt>
                <c:pt idx="86">
                  <c:v>172.4</c:v>
                </c:pt>
                <c:pt idx="87">
                  <c:v>172.76</c:v>
                </c:pt>
                <c:pt idx="88">
                  <c:v>172.28</c:v>
                </c:pt>
                <c:pt idx="89">
                  <c:v>174.95</c:v>
                </c:pt>
                <c:pt idx="90">
                  <c:v>184.42</c:v>
                </c:pt>
                <c:pt idx="91">
                  <c:v>180.95</c:v>
                </c:pt>
                <c:pt idx="92">
                  <c:v>177.51</c:v>
                </c:pt>
                <c:pt idx="93">
                  <c:v>176.14</c:v>
                </c:pt>
                <c:pt idx="94">
                  <c:v>166.55</c:v>
                </c:pt>
                <c:pt idx="95">
                  <c:v>165.2</c:v>
                </c:pt>
                <c:pt idx="96">
                  <c:v>163.71</c:v>
                </c:pt>
                <c:pt idx="97">
                  <c:v>167.76</c:v>
                </c:pt>
                <c:pt idx="98">
                  <c:v>163.36000000000001</c:v>
                </c:pt>
                <c:pt idx="99">
                  <c:v>166.62</c:v>
                </c:pt>
                <c:pt idx="100">
                  <c:v>167.13</c:v>
                </c:pt>
                <c:pt idx="101">
                  <c:v>168.58</c:v>
                </c:pt>
                <c:pt idx="102">
                  <c:v>162.63</c:v>
                </c:pt>
                <c:pt idx="103">
                  <c:v>162.32</c:v>
                </c:pt>
                <c:pt idx="104">
                  <c:v>162.13</c:v>
                </c:pt>
                <c:pt idx="105">
                  <c:v>161.79</c:v>
                </c:pt>
                <c:pt idx="106">
                  <c:v>151.13999999999999</c:v>
                </c:pt>
                <c:pt idx="107">
                  <c:v>151.41</c:v>
                </c:pt>
                <c:pt idx="108">
                  <c:v>155.82</c:v>
                </c:pt>
                <c:pt idx="109">
                  <c:v>159.54</c:v>
                </c:pt>
                <c:pt idx="110">
                  <c:v>155.66999999999999</c:v>
                </c:pt>
                <c:pt idx="111">
                  <c:v>158.57</c:v>
                </c:pt>
                <c:pt idx="112">
                  <c:v>161.16</c:v>
                </c:pt>
                <c:pt idx="113">
                  <c:v>160.46</c:v>
                </c:pt>
                <c:pt idx="114">
                  <c:v>159.16</c:v>
                </c:pt>
                <c:pt idx="115">
                  <c:v>157.91999999999999</c:v>
                </c:pt>
                <c:pt idx="116">
                  <c:v>157.38999999999999</c:v>
                </c:pt>
                <c:pt idx="117">
                  <c:v>159.79</c:v>
                </c:pt>
                <c:pt idx="118">
                  <c:v>160.9</c:v>
                </c:pt>
                <c:pt idx="119">
                  <c:v>160.88</c:v>
                </c:pt>
                <c:pt idx="120">
                  <c:v>161.27000000000001</c:v>
                </c:pt>
                <c:pt idx="121">
                  <c:v>159.46</c:v>
                </c:pt>
                <c:pt idx="122">
                  <c:v>161.36000000000001</c:v>
                </c:pt>
                <c:pt idx="123">
                  <c:v>161.79</c:v>
                </c:pt>
                <c:pt idx="124">
                  <c:v>164.01</c:v>
                </c:pt>
                <c:pt idx="125">
                  <c:v>169.73</c:v>
                </c:pt>
                <c:pt idx="126">
                  <c:v>164.67</c:v>
                </c:pt>
                <c:pt idx="127">
                  <c:v>203.71</c:v>
                </c:pt>
                <c:pt idx="128">
                  <c:v>211.51</c:v>
                </c:pt>
                <c:pt idx="129">
                  <c:v>235.56</c:v>
                </c:pt>
                <c:pt idx="130">
                  <c:v>232.89</c:v>
                </c:pt>
                <c:pt idx="131">
                  <c:v>214.9</c:v>
                </c:pt>
                <c:pt idx="132">
                  <c:v>216.42</c:v>
                </c:pt>
                <c:pt idx="133">
                  <c:v>218.09</c:v>
                </c:pt>
                <c:pt idx="134">
                  <c:v>238.6</c:v>
                </c:pt>
                <c:pt idx="135">
                  <c:v>234.56</c:v>
                </c:pt>
                <c:pt idx="136">
                  <c:v>233.08</c:v>
                </c:pt>
                <c:pt idx="137">
                  <c:v>240.56</c:v>
                </c:pt>
                <c:pt idx="138">
                  <c:v>238.03</c:v>
                </c:pt>
                <c:pt idx="139">
                  <c:v>230.23</c:v>
                </c:pt>
                <c:pt idx="140">
                  <c:v>234.99</c:v>
                </c:pt>
                <c:pt idx="141">
                  <c:v>252.92</c:v>
                </c:pt>
                <c:pt idx="142">
                  <c:v>259.67</c:v>
                </c:pt>
                <c:pt idx="143">
                  <c:v>258.01</c:v>
                </c:pt>
                <c:pt idx="144">
                  <c:v>264.33</c:v>
                </c:pt>
                <c:pt idx="145">
                  <c:v>254.84</c:v>
                </c:pt>
                <c:pt idx="146">
                  <c:v>256.12</c:v>
                </c:pt>
                <c:pt idx="147">
                  <c:v>259.64999999999998</c:v>
                </c:pt>
                <c:pt idx="148">
                  <c:v>250.05</c:v>
                </c:pt>
                <c:pt idx="149">
                  <c:v>256.33</c:v>
                </c:pt>
                <c:pt idx="150">
                  <c:v>237.7</c:v>
                </c:pt>
                <c:pt idx="151">
                  <c:v>233.54</c:v>
                </c:pt>
                <c:pt idx="152">
                  <c:v>243.98</c:v>
                </c:pt>
                <c:pt idx="153">
                  <c:v>237.52</c:v>
                </c:pt>
                <c:pt idx="154">
                  <c:v>258.89</c:v>
                </c:pt>
                <c:pt idx="155">
                  <c:v>247.96</c:v>
                </c:pt>
                <c:pt idx="156">
                  <c:v>246.81</c:v>
                </c:pt>
                <c:pt idx="157">
                  <c:v>240.52</c:v>
                </c:pt>
                <c:pt idx="158">
                  <c:v>230.29</c:v>
                </c:pt>
                <c:pt idx="159">
                  <c:v>223.55</c:v>
                </c:pt>
                <c:pt idx="160">
                  <c:v>206.02</c:v>
                </c:pt>
                <c:pt idx="161">
                  <c:v>203.78</c:v>
                </c:pt>
                <c:pt idx="162">
                  <c:v>215.05</c:v>
                </c:pt>
                <c:pt idx="163">
                  <c:v>206.13</c:v>
                </c:pt>
                <c:pt idx="164">
                  <c:v>214.24</c:v>
                </c:pt>
                <c:pt idx="165">
                  <c:v>217.53</c:v>
                </c:pt>
                <c:pt idx="166">
                  <c:v>219.76</c:v>
                </c:pt>
                <c:pt idx="167">
                  <c:v>215.24</c:v>
                </c:pt>
                <c:pt idx="168">
                  <c:v>217.6</c:v>
                </c:pt>
                <c:pt idx="169">
                  <c:v>215.98</c:v>
                </c:pt>
                <c:pt idx="170">
                  <c:v>217.97</c:v>
                </c:pt>
                <c:pt idx="171">
                  <c:v>221.11</c:v>
                </c:pt>
                <c:pt idx="172">
                  <c:v>221.62</c:v>
                </c:pt>
                <c:pt idx="173">
                  <c:v>221.42</c:v>
                </c:pt>
                <c:pt idx="174">
                  <c:v>221.43</c:v>
                </c:pt>
                <c:pt idx="175">
                  <c:v>210.78</c:v>
                </c:pt>
                <c:pt idx="176">
                  <c:v>207.58</c:v>
                </c:pt>
                <c:pt idx="177">
                  <c:v>209.17</c:v>
                </c:pt>
                <c:pt idx="178">
                  <c:v>198.11</c:v>
                </c:pt>
                <c:pt idx="179">
                  <c:v>201.06</c:v>
                </c:pt>
                <c:pt idx="180">
                  <c:v>213.43</c:v>
                </c:pt>
                <c:pt idx="181">
                  <c:v>214.95</c:v>
                </c:pt>
                <c:pt idx="182">
                  <c:v>214.9</c:v>
                </c:pt>
                <c:pt idx="183">
                  <c:v>215.04</c:v>
                </c:pt>
                <c:pt idx="184">
                  <c:v>214.99</c:v>
                </c:pt>
                <c:pt idx="185">
                  <c:v>215.61</c:v>
                </c:pt>
                <c:pt idx="186">
                  <c:v>215.34</c:v>
                </c:pt>
                <c:pt idx="187">
                  <c:v>214.16</c:v>
                </c:pt>
                <c:pt idx="188">
                  <c:v>223.47</c:v>
                </c:pt>
                <c:pt idx="189">
                  <c:v>221.08</c:v>
                </c:pt>
                <c:pt idx="190">
                  <c:v>214.35</c:v>
                </c:pt>
                <c:pt idx="191">
                  <c:v>210.02</c:v>
                </c:pt>
                <c:pt idx="192">
                  <c:v>204.68</c:v>
                </c:pt>
                <c:pt idx="193">
                  <c:v>203.17</c:v>
                </c:pt>
                <c:pt idx="194">
                  <c:v>207.69</c:v>
                </c:pt>
                <c:pt idx="195">
                  <c:v>220.97</c:v>
                </c:pt>
                <c:pt idx="196">
                  <c:v>223.6</c:v>
                </c:pt>
                <c:pt idx="197">
                  <c:v>227.92</c:v>
                </c:pt>
                <c:pt idx="198">
                  <c:v>231.83</c:v>
                </c:pt>
                <c:pt idx="199">
                  <c:v>231.92</c:v>
                </c:pt>
                <c:pt idx="200">
                  <c:v>249.8</c:v>
                </c:pt>
                <c:pt idx="201">
                  <c:v>253.73</c:v>
                </c:pt>
                <c:pt idx="202">
                  <c:v>259.68</c:v>
                </c:pt>
                <c:pt idx="203">
                  <c:v>251.31</c:v>
                </c:pt>
                <c:pt idx="204">
                  <c:v>252.03</c:v>
                </c:pt>
                <c:pt idx="205">
                  <c:v>252.74</c:v>
                </c:pt>
                <c:pt idx="206">
                  <c:v>252.18</c:v>
                </c:pt>
                <c:pt idx="207">
                  <c:v>236.73</c:v>
                </c:pt>
                <c:pt idx="208">
                  <c:v>246.27</c:v>
                </c:pt>
                <c:pt idx="209">
                  <c:v>242.11</c:v>
                </c:pt>
                <c:pt idx="210">
                  <c:v>200.19</c:v>
                </c:pt>
                <c:pt idx="211">
                  <c:v>192.5</c:v>
                </c:pt>
                <c:pt idx="212">
                  <c:v>208.44</c:v>
                </c:pt>
                <c:pt idx="213">
                  <c:v>216</c:v>
                </c:pt>
                <c:pt idx="214">
                  <c:v>213.57</c:v>
                </c:pt>
                <c:pt idx="215">
                  <c:v>213.58</c:v>
                </c:pt>
                <c:pt idx="216">
                  <c:v>205.94</c:v>
                </c:pt>
                <c:pt idx="217">
                  <c:v>207.32</c:v>
                </c:pt>
                <c:pt idx="218">
                  <c:v>203.08</c:v>
                </c:pt>
                <c:pt idx="219">
                  <c:v>200.12</c:v>
                </c:pt>
                <c:pt idx="220">
                  <c:v>203.37</c:v>
                </c:pt>
                <c:pt idx="221">
                  <c:v>200.15</c:v>
                </c:pt>
                <c:pt idx="222">
                  <c:v>196.6</c:v>
                </c:pt>
                <c:pt idx="223">
                  <c:v>213.84</c:v>
                </c:pt>
                <c:pt idx="224">
                  <c:v>210.86</c:v>
                </c:pt>
                <c:pt idx="225">
                  <c:v>203.68</c:v>
                </c:pt>
                <c:pt idx="226">
                  <c:v>200.21</c:v>
                </c:pt>
                <c:pt idx="227">
                  <c:v>198.62</c:v>
                </c:pt>
                <c:pt idx="228">
                  <c:v>190.95</c:v>
                </c:pt>
                <c:pt idx="229">
                  <c:v>202.07</c:v>
                </c:pt>
                <c:pt idx="230">
                  <c:v>199.45</c:v>
                </c:pt>
                <c:pt idx="231">
                  <c:v>192.43</c:v>
                </c:pt>
                <c:pt idx="232">
                  <c:v>202.68</c:v>
                </c:pt>
                <c:pt idx="233">
                  <c:v>203.23</c:v>
                </c:pt>
                <c:pt idx="234">
                  <c:v>204.83</c:v>
                </c:pt>
                <c:pt idx="235">
                  <c:v>197.74</c:v>
                </c:pt>
                <c:pt idx="236">
                  <c:v>193.39</c:v>
                </c:pt>
                <c:pt idx="237">
                  <c:v>196.58</c:v>
                </c:pt>
                <c:pt idx="238">
                  <c:v>196.31</c:v>
                </c:pt>
                <c:pt idx="239">
                  <c:v>199.46</c:v>
                </c:pt>
                <c:pt idx="240">
                  <c:v>205.27</c:v>
                </c:pt>
                <c:pt idx="241">
                  <c:v>201.33</c:v>
                </c:pt>
                <c:pt idx="242">
                  <c:v>202.68</c:v>
                </c:pt>
                <c:pt idx="243">
                  <c:v>205.37</c:v>
                </c:pt>
                <c:pt idx="244">
                  <c:v>220.27</c:v>
                </c:pt>
                <c:pt idx="245">
                  <c:v>203.77</c:v>
                </c:pt>
                <c:pt idx="246">
                  <c:v>201.99</c:v>
                </c:pt>
                <c:pt idx="247">
                  <c:v>196.04</c:v>
                </c:pt>
                <c:pt idx="248">
                  <c:v>203.43</c:v>
                </c:pt>
                <c:pt idx="249">
                  <c:v>210.21</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MSFT!$B$7:$B$27</c:f>
              <c:numCache>
                <c:formatCode>#,##0</c:formatCode>
                <c:ptCount val="21"/>
                <c:pt idx="0">
                  <c:v>35807990</c:v>
                </c:pt>
                <c:pt idx="1">
                  <c:v>39001315</c:v>
                </c:pt>
                <c:pt idx="2">
                  <c:v>31123859</c:v>
                </c:pt>
                <c:pt idx="3">
                  <c:v>30131854</c:v>
                </c:pt>
                <c:pt idx="4">
                  <c:v>31706375</c:v>
                </c:pt>
                <c:pt idx="5">
                  <c:v>25512139</c:v>
                </c:pt>
                <c:pt idx="6">
                  <c:v>27263886</c:v>
                </c:pt>
                <c:pt idx="7">
                  <c:v>26848000</c:v>
                </c:pt>
                <c:pt idx="8">
                  <c:v>27733721</c:v>
                </c:pt>
                <c:pt idx="9">
                  <c:v>26228279</c:v>
                </c:pt>
                <c:pt idx="10">
                  <c:v>25908484</c:v>
                </c:pt>
                <c:pt idx="11">
                  <c:v>25138772</c:v>
                </c:pt>
                <c:pt idx="12">
                  <c:v>50853154</c:v>
                </c:pt>
                <c:pt idx="13">
                  <c:v>29680059</c:v>
                </c:pt>
                <c:pt idx="14">
                  <c:v>42733625</c:v>
                </c:pt>
                <c:pt idx="15">
                  <c:v>31181163</c:v>
                </c:pt>
                <c:pt idx="16">
                  <c:v>36836574</c:v>
                </c:pt>
                <c:pt idx="17">
                  <c:v>37883400</c:v>
                </c:pt>
                <c:pt idx="18">
                  <c:v>44797002</c:v>
                </c:pt>
                <c:pt idx="19">
                  <c:v>45244365</c:v>
                </c:pt>
                <c:pt idx="20">
                  <c:v>29417206</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MSFT!$C$7:$C$27</c:f>
              <c:numCache>
                <c:formatCode>_([$$-409]* #,##0.00_);_([$$-409]* \(#,##0.00\);_([$$-409]* "-"??_);_(@_)</c:formatCode>
                <c:ptCount val="21"/>
                <c:pt idx="0">
                  <c:v>401.26499999999999</c:v>
                </c:pt>
                <c:pt idx="1">
                  <c:v>404.42</c:v>
                </c:pt>
                <c:pt idx="2">
                  <c:v>409.2</c:v>
                </c:pt>
                <c:pt idx="3">
                  <c:v>404.91500000000002</c:v>
                </c:pt>
                <c:pt idx="4">
                  <c:v>410.03</c:v>
                </c:pt>
                <c:pt idx="5">
                  <c:v>405.57</c:v>
                </c:pt>
                <c:pt idx="6">
                  <c:v>404.63</c:v>
                </c:pt>
                <c:pt idx="7">
                  <c:v>401</c:v>
                </c:pt>
                <c:pt idx="8">
                  <c:v>398.07</c:v>
                </c:pt>
                <c:pt idx="9">
                  <c:v>400.27</c:v>
                </c:pt>
                <c:pt idx="10">
                  <c:v>397.125</c:v>
                </c:pt>
                <c:pt idx="11">
                  <c:v>390.1</c:v>
                </c:pt>
                <c:pt idx="12">
                  <c:v>386.79</c:v>
                </c:pt>
                <c:pt idx="13">
                  <c:v>383.9</c:v>
                </c:pt>
                <c:pt idx="14">
                  <c:v>382.36</c:v>
                </c:pt>
                <c:pt idx="15">
                  <c:v>376.92</c:v>
                </c:pt>
                <c:pt idx="16">
                  <c:v>370.815</c:v>
                </c:pt>
                <c:pt idx="17">
                  <c:v>361.9</c:v>
                </c:pt>
                <c:pt idx="18">
                  <c:v>361.89499999999998</c:v>
                </c:pt>
                <c:pt idx="19">
                  <c:v>364.55</c:v>
                </c:pt>
                <c:pt idx="20">
                  <c:v>373.49</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MSFT!$D$7:$D$27</c:f>
              <c:numCache>
                <c:formatCode>_([$$-409]* #,##0.00_);_([$$-409]* \(#,##0.00\);_([$$-409]* "-"??_);_(@_)</c:formatCode>
                <c:ptCount val="21"/>
                <c:pt idx="0">
                  <c:v>411.0326</c:v>
                </c:pt>
                <c:pt idx="1">
                  <c:v>411.61</c:v>
                </c:pt>
                <c:pt idx="2">
                  <c:v>413.05</c:v>
                </c:pt>
                <c:pt idx="3">
                  <c:v>410.21</c:v>
                </c:pt>
                <c:pt idx="4">
                  <c:v>410.2</c:v>
                </c:pt>
                <c:pt idx="5">
                  <c:v>409.01</c:v>
                </c:pt>
                <c:pt idx="6">
                  <c:v>406.12</c:v>
                </c:pt>
                <c:pt idx="7">
                  <c:v>404.8</c:v>
                </c:pt>
                <c:pt idx="8">
                  <c:v>400.63</c:v>
                </c:pt>
                <c:pt idx="9">
                  <c:v>404.4</c:v>
                </c:pt>
                <c:pt idx="10">
                  <c:v>398</c:v>
                </c:pt>
                <c:pt idx="11">
                  <c:v>392.49</c:v>
                </c:pt>
                <c:pt idx="12">
                  <c:v>387</c:v>
                </c:pt>
                <c:pt idx="13">
                  <c:v>387.21</c:v>
                </c:pt>
                <c:pt idx="14">
                  <c:v>382.47</c:v>
                </c:pt>
                <c:pt idx="15">
                  <c:v>377.06</c:v>
                </c:pt>
                <c:pt idx="16">
                  <c:v>374.7199</c:v>
                </c:pt>
                <c:pt idx="17">
                  <c:v>362.45</c:v>
                </c:pt>
                <c:pt idx="18">
                  <c:v>365.36</c:v>
                </c:pt>
                <c:pt idx="19">
                  <c:v>372.9</c:v>
                </c:pt>
                <c:pt idx="20">
                  <c:v>373.99</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MSFT!$E$7:$E$27</c:f>
              <c:numCache>
                <c:formatCode>_([$$-409]* #,##0.00_);_([$$-409]* \(#,##0.00\);_([$$-409]* "-"??_);_(@_)</c:formatCode>
                <c:ptCount val="21"/>
                <c:pt idx="0">
                  <c:v>400.31</c:v>
                </c:pt>
                <c:pt idx="1">
                  <c:v>404.4</c:v>
                </c:pt>
                <c:pt idx="2">
                  <c:v>408.51010000000002</c:v>
                </c:pt>
                <c:pt idx="3">
                  <c:v>403.5</c:v>
                </c:pt>
                <c:pt idx="4">
                  <c:v>402.93</c:v>
                </c:pt>
                <c:pt idx="5">
                  <c:v>401.59</c:v>
                </c:pt>
                <c:pt idx="6">
                  <c:v>401.71</c:v>
                </c:pt>
                <c:pt idx="7">
                  <c:v>394.25</c:v>
                </c:pt>
                <c:pt idx="8">
                  <c:v>394.79</c:v>
                </c:pt>
                <c:pt idx="9">
                  <c:v>397.745</c:v>
                </c:pt>
                <c:pt idx="10">
                  <c:v>391</c:v>
                </c:pt>
                <c:pt idx="11">
                  <c:v>387.06</c:v>
                </c:pt>
                <c:pt idx="12">
                  <c:v>380.12</c:v>
                </c:pt>
                <c:pt idx="13">
                  <c:v>381.68</c:v>
                </c:pt>
                <c:pt idx="14">
                  <c:v>371.85</c:v>
                </c:pt>
                <c:pt idx="15">
                  <c:v>369.63</c:v>
                </c:pt>
                <c:pt idx="16">
                  <c:v>365.19</c:v>
                </c:pt>
                <c:pt idx="17">
                  <c:v>356.51</c:v>
                </c:pt>
                <c:pt idx="18">
                  <c:v>356.28</c:v>
                </c:pt>
                <c:pt idx="19">
                  <c:v>363.07</c:v>
                </c:pt>
                <c:pt idx="20">
                  <c:v>368.2</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MSFT!$F$7:$F$27</c:f>
              <c:numCache>
                <c:formatCode>_([$$-409]* #,##0.00_);_([$$-409]* \(#,##0.00\);_([$$-409]* "-"??_);_(@_)</c:formatCode>
                <c:ptCount val="21"/>
                <c:pt idx="0">
                  <c:v>405.2</c:v>
                </c:pt>
                <c:pt idx="1">
                  <c:v>410.68</c:v>
                </c:pt>
                <c:pt idx="2">
                  <c:v>408.96</c:v>
                </c:pt>
                <c:pt idx="3">
                  <c:v>409.41</c:v>
                </c:pt>
                <c:pt idx="4">
                  <c:v>405.76</c:v>
                </c:pt>
                <c:pt idx="5">
                  <c:v>404.88</c:v>
                </c:pt>
                <c:pt idx="6">
                  <c:v>401.86</c:v>
                </c:pt>
                <c:pt idx="7">
                  <c:v>395.55</c:v>
                </c:pt>
                <c:pt idx="8">
                  <c:v>399.95</c:v>
                </c:pt>
                <c:pt idx="9">
                  <c:v>399.41</c:v>
                </c:pt>
                <c:pt idx="10">
                  <c:v>391.79</c:v>
                </c:pt>
                <c:pt idx="11">
                  <c:v>389.02</c:v>
                </c:pt>
                <c:pt idx="12">
                  <c:v>381.87</c:v>
                </c:pt>
                <c:pt idx="13">
                  <c:v>383</c:v>
                </c:pt>
                <c:pt idx="14">
                  <c:v>372.74</c:v>
                </c:pt>
                <c:pt idx="15">
                  <c:v>371.04</c:v>
                </c:pt>
                <c:pt idx="16">
                  <c:v>365.97</c:v>
                </c:pt>
                <c:pt idx="17">
                  <c:v>356.77</c:v>
                </c:pt>
                <c:pt idx="18">
                  <c:v>358.96</c:v>
                </c:pt>
                <c:pt idx="19">
                  <c:v>370.17</c:v>
                </c:pt>
                <c:pt idx="20">
                  <c:v>369.37</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373.11</c:v>
                </c:pt>
                <c:pt idx="1">
                  <c:v>359.84</c:v>
                </c:pt>
                <c:pt idx="2">
                  <c:v>357.86</c:v>
                </c:pt>
                <c:pt idx="3">
                  <c:v>354.56</c:v>
                </c:pt>
                <c:pt idx="4">
                  <c:v>390.49</c:v>
                </c:pt>
                <c:pt idx="5">
                  <c:v>381.35</c:v>
                </c:pt>
                <c:pt idx="6">
                  <c:v>388.45</c:v>
                </c:pt>
                <c:pt idx="7">
                  <c:v>387.81</c:v>
                </c:pt>
                <c:pt idx="8">
                  <c:v>385.73</c:v>
                </c:pt>
                <c:pt idx="9">
                  <c:v>371.61</c:v>
                </c:pt>
                <c:pt idx="10">
                  <c:v>367.78</c:v>
                </c:pt>
                <c:pt idx="11">
                  <c:v>359.12</c:v>
                </c:pt>
                <c:pt idx="12">
                  <c:v>366.82</c:v>
                </c:pt>
                <c:pt idx="13">
                  <c:v>374.39</c:v>
                </c:pt>
                <c:pt idx="14">
                  <c:v>387.3</c:v>
                </c:pt>
                <c:pt idx="15">
                  <c:v>391.85</c:v>
                </c:pt>
                <c:pt idx="16">
                  <c:v>391.16</c:v>
                </c:pt>
                <c:pt idx="17">
                  <c:v>394.04</c:v>
                </c:pt>
                <c:pt idx="18">
                  <c:v>395.26</c:v>
                </c:pt>
                <c:pt idx="19">
                  <c:v>425.4</c:v>
                </c:pt>
                <c:pt idx="20">
                  <c:v>435.28</c:v>
                </c:pt>
                <c:pt idx="21">
                  <c:v>436.17</c:v>
                </c:pt>
                <c:pt idx="22">
                  <c:v>433.31</c:v>
                </c:pt>
                <c:pt idx="23">
                  <c:v>433.35</c:v>
                </c:pt>
                <c:pt idx="24">
                  <c:v>438.17</c:v>
                </c:pt>
                <c:pt idx="25">
                  <c:v>438.73</c:v>
                </c:pt>
                <c:pt idx="26">
                  <c:v>449.26</c:v>
                </c:pt>
                <c:pt idx="27">
                  <c:v>449.14</c:v>
                </c:pt>
                <c:pt idx="28">
                  <c:v>452.94</c:v>
                </c:pt>
                <c:pt idx="29">
                  <c:v>453.13</c:v>
                </c:pt>
                <c:pt idx="30">
                  <c:v>454.27</c:v>
                </c:pt>
                <c:pt idx="31">
                  <c:v>458.87</c:v>
                </c:pt>
                <c:pt idx="32">
                  <c:v>458.17</c:v>
                </c:pt>
                <c:pt idx="33">
                  <c:v>452.57</c:v>
                </c:pt>
                <c:pt idx="34">
                  <c:v>454.86</c:v>
                </c:pt>
                <c:pt idx="35">
                  <c:v>450.18</c:v>
                </c:pt>
                <c:pt idx="36">
                  <c:v>460.69</c:v>
                </c:pt>
                <c:pt idx="37">
                  <c:v>457.36</c:v>
                </c:pt>
                <c:pt idx="38">
                  <c:v>458.68</c:v>
                </c:pt>
                <c:pt idx="39">
                  <c:v>460.36</c:v>
                </c:pt>
                <c:pt idx="40">
                  <c:v>461.97</c:v>
                </c:pt>
                <c:pt idx="41">
                  <c:v>462.97</c:v>
                </c:pt>
                <c:pt idx="42">
                  <c:v>463.87</c:v>
                </c:pt>
                <c:pt idx="43">
                  <c:v>467.68</c:v>
                </c:pt>
                <c:pt idx="44">
                  <c:v>470.38</c:v>
                </c:pt>
                <c:pt idx="45">
                  <c:v>472.75</c:v>
                </c:pt>
                <c:pt idx="46">
                  <c:v>470.92</c:v>
                </c:pt>
                <c:pt idx="47">
                  <c:v>472.62</c:v>
                </c:pt>
                <c:pt idx="48">
                  <c:v>478.87</c:v>
                </c:pt>
                <c:pt idx="49">
                  <c:v>474.96</c:v>
                </c:pt>
                <c:pt idx="50">
                  <c:v>479.14</c:v>
                </c:pt>
                <c:pt idx="51">
                  <c:v>478.04</c:v>
                </c:pt>
                <c:pt idx="52">
                  <c:v>480.24</c:v>
                </c:pt>
                <c:pt idx="53">
                  <c:v>477.4</c:v>
                </c:pt>
                <c:pt idx="54">
                  <c:v>486</c:v>
                </c:pt>
                <c:pt idx="55">
                  <c:v>490.11</c:v>
                </c:pt>
                <c:pt idx="56">
                  <c:v>492.27</c:v>
                </c:pt>
                <c:pt idx="57">
                  <c:v>497.45</c:v>
                </c:pt>
                <c:pt idx="58">
                  <c:v>495.94</c:v>
                </c:pt>
                <c:pt idx="59">
                  <c:v>497.41</c:v>
                </c:pt>
                <c:pt idx="60">
                  <c:v>492.05</c:v>
                </c:pt>
                <c:pt idx="61">
                  <c:v>491.09</c:v>
                </c:pt>
                <c:pt idx="62">
                  <c:v>498.84</c:v>
                </c:pt>
                <c:pt idx="63">
                  <c:v>497.72</c:v>
                </c:pt>
                <c:pt idx="64">
                  <c:v>496.62</c:v>
                </c:pt>
                <c:pt idx="65">
                  <c:v>503.51</c:v>
                </c:pt>
                <c:pt idx="66">
                  <c:v>501.48</c:v>
                </c:pt>
                <c:pt idx="67">
                  <c:v>503.32</c:v>
                </c:pt>
                <c:pt idx="68">
                  <c:v>503.02</c:v>
                </c:pt>
                <c:pt idx="69">
                  <c:v>505.82</c:v>
                </c:pt>
                <c:pt idx="70">
                  <c:v>505.62</c:v>
                </c:pt>
                <c:pt idx="71">
                  <c:v>511.7</c:v>
                </c:pt>
                <c:pt idx="72">
                  <c:v>510.05</c:v>
                </c:pt>
                <c:pt idx="73">
                  <c:v>510.06</c:v>
                </c:pt>
                <c:pt idx="74">
                  <c:v>505.27</c:v>
                </c:pt>
                <c:pt idx="75">
                  <c:v>505.87</c:v>
                </c:pt>
                <c:pt idx="76">
                  <c:v>510.88</c:v>
                </c:pt>
                <c:pt idx="77">
                  <c:v>513.71</c:v>
                </c:pt>
                <c:pt idx="78">
                  <c:v>512.5</c:v>
                </c:pt>
                <c:pt idx="79">
                  <c:v>512.57000000000005</c:v>
                </c:pt>
                <c:pt idx="80">
                  <c:v>513.24</c:v>
                </c:pt>
                <c:pt idx="81">
                  <c:v>533.5</c:v>
                </c:pt>
                <c:pt idx="82">
                  <c:v>524.11</c:v>
                </c:pt>
                <c:pt idx="83">
                  <c:v>535.64</c:v>
                </c:pt>
                <c:pt idx="84">
                  <c:v>527.75</c:v>
                </c:pt>
                <c:pt idx="85">
                  <c:v>524.94000000000005</c:v>
                </c:pt>
                <c:pt idx="86">
                  <c:v>520.84</c:v>
                </c:pt>
                <c:pt idx="87">
                  <c:v>522.04</c:v>
                </c:pt>
                <c:pt idx="88">
                  <c:v>521.77</c:v>
                </c:pt>
                <c:pt idx="89">
                  <c:v>529.24</c:v>
                </c:pt>
                <c:pt idx="90">
                  <c:v>520.58000000000004</c:v>
                </c:pt>
                <c:pt idx="91">
                  <c:v>522.48</c:v>
                </c:pt>
                <c:pt idx="92">
                  <c:v>520.16999999999996</c:v>
                </c:pt>
                <c:pt idx="93">
                  <c:v>517.1</c:v>
                </c:pt>
                <c:pt idx="94">
                  <c:v>509.77</c:v>
                </c:pt>
                <c:pt idx="95">
                  <c:v>505.72</c:v>
                </c:pt>
                <c:pt idx="96">
                  <c:v>504.24</c:v>
                </c:pt>
                <c:pt idx="97">
                  <c:v>507.23</c:v>
                </c:pt>
                <c:pt idx="98">
                  <c:v>504.26</c:v>
                </c:pt>
                <c:pt idx="99">
                  <c:v>502.04</c:v>
                </c:pt>
                <c:pt idx="100">
                  <c:v>506.74</c:v>
                </c:pt>
                <c:pt idx="101">
                  <c:v>509.64</c:v>
                </c:pt>
                <c:pt idx="102">
                  <c:v>506.69</c:v>
                </c:pt>
                <c:pt idx="103">
                  <c:v>505.12</c:v>
                </c:pt>
                <c:pt idx="104">
                  <c:v>505.35</c:v>
                </c:pt>
                <c:pt idx="105">
                  <c:v>507.97</c:v>
                </c:pt>
                <c:pt idx="106">
                  <c:v>495</c:v>
                </c:pt>
                <c:pt idx="107">
                  <c:v>498.2</c:v>
                </c:pt>
                <c:pt idx="108">
                  <c:v>498.41</c:v>
                </c:pt>
                <c:pt idx="109">
                  <c:v>500.37</c:v>
                </c:pt>
                <c:pt idx="110">
                  <c:v>501.01</c:v>
                </c:pt>
                <c:pt idx="111">
                  <c:v>509.9</c:v>
                </c:pt>
                <c:pt idx="112">
                  <c:v>515.36</c:v>
                </c:pt>
                <c:pt idx="113">
                  <c:v>509.04</c:v>
                </c:pt>
                <c:pt idx="114">
                  <c:v>510.02</c:v>
                </c:pt>
                <c:pt idx="115">
                  <c:v>508.45</c:v>
                </c:pt>
                <c:pt idx="116">
                  <c:v>517.92999999999995</c:v>
                </c:pt>
                <c:pt idx="117">
                  <c:v>514.45000000000005</c:v>
                </c:pt>
                <c:pt idx="118">
                  <c:v>509.23</c:v>
                </c:pt>
                <c:pt idx="119">
                  <c:v>510.15</c:v>
                </c:pt>
                <c:pt idx="120">
                  <c:v>507.03</c:v>
                </c:pt>
                <c:pt idx="121">
                  <c:v>511.46</c:v>
                </c:pt>
                <c:pt idx="122">
                  <c:v>514.6</c:v>
                </c:pt>
                <c:pt idx="123">
                  <c:v>517.95000000000005</c:v>
                </c:pt>
                <c:pt idx="124">
                  <c:v>519.71</c:v>
                </c:pt>
                <c:pt idx="125">
                  <c:v>515.74</c:v>
                </c:pt>
                <c:pt idx="126">
                  <c:v>517.35</c:v>
                </c:pt>
                <c:pt idx="127">
                  <c:v>528.57000000000005</c:v>
                </c:pt>
                <c:pt idx="128">
                  <c:v>523.98</c:v>
                </c:pt>
                <c:pt idx="129">
                  <c:v>524.85</c:v>
                </c:pt>
                <c:pt idx="130">
                  <c:v>522.4</c:v>
                </c:pt>
                <c:pt idx="131">
                  <c:v>510.96</c:v>
                </c:pt>
                <c:pt idx="132">
                  <c:v>514.04999999999995</c:v>
                </c:pt>
                <c:pt idx="133">
                  <c:v>513.57000000000005</c:v>
                </c:pt>
                <c:pt idx="134">
                  <c:v>513.42999999999995</c:v>
                </c:pt>
                <c:pt idx="135">
                  <c:v>511.61</c:v>
                </c:pt>
                <c:pt idx="136">
                  <c:v>513.58000000000004</c:v>
                </c:pt>
                <c:pt idx="137">
                  <c:v>516.79</c:v>
                </c:pt>
                <c:pt idx="138">
                  <c:v>517.66</c:v>
                </c:pt>
                <c:pt idx="139">
                  <c:v>520.54</c:v>
                </c:pt>
                <c:pt idx="140">
                  <c:v>520.55999999999995</c:v>
                </c:pt>
                <c:pt idx="141">
                  <c:v>523.61</c:v>
                </c:pt>
                <c:pt idx="142">
                  <c:v>531.52</c:v>
                </c:pt>
                <c:pt idx="143">
                  <c:v>542.07000000000005</c:v>
                </c:pt>
                <c:pt idx="144">
                  <c:v>541.54999999999995</c:v>
                </c:pt>
                <c:pt idx="145">
                  <c:v>525.76</c:v>
                </c:pt>
                <c:pt idx="146">
                  <c:v>517.80999999999995</c:v>
                </c:pt>
                <c:pt idx="147">
                  <c:v>517.03</c:v>
                </c:pt>
                <c:pt idx="148">
                  <c:v>514.33000000000004</c:v>
                </c:pt>
                <c:pt idx="149">
                  <c:v>507.16</c:v>
                </c:pt>
                <c:pt idx="150">
                  <c:v>497.1</c:v>
                </c:pt>
                <c:pt idx="151">
                  <c:v>496.82</c:v>
                </c:pt>
                <c:pt idx="152">
                  <c:v>506</c:v>
                </c:pt>
                <c:pt idx="153">
                  <c:v>508.68</c:v>
                </c:pt>
                <c:pt idx="154">
                  <c:v>511.14</c:v>
                </c:pt>
                <c:pt idx="155">
                  <c:v>503.29</c:v>
                </c:pt>
                <c:pt idx="156">
                  <c:v>510.18</c:v>
                </c:pt>
                <c:pt idx="157">
                  <c:v>507.49</c:v>
                </c:pt>
                <c:pt idx="158">
                  <c:v>493.79</c:v>
                </c:pt>
                <c:pt idx="159">
                  <c:v>487.12</c:v>
                </c:pt>
                <c:pt idx="160">
                  <c:v>478.43</c:v>
                </c:pt>
                <c:pt idx="161">
                  <c:v>472.12</c:v>
                </c:pt>
                <c:pt idx="162">
                  <c:v>474</c:v>
                </c:pt>
                <c:pt idx="163">
                  <c:v>476.99</c:v>
                </c:pt>
                <c:pt idx="164">
                  <c:v>485.5</c:v>
                </c:pt>
                <c:pt idx="165">
                  <c:v>492.01</c:v>
                </c:pt>
                <c:pt idx="166">
                  <c:v>486.74</c:v>
                </c:pt>
                <c:pt idx="167">
                  <c:v>490</c:v>
                </c:pt>
                <c:pt idx="168">
                  <c:v>477.73</c:v>
                </c:pt>
                <c:pt idx="169">
                  <c:v>480.84</c:v>
                </c:pt>
                <c:pt idx="170">
                  <c:v>483.16</c:v>
                </c:pt>
                <c:pt idx="171">
                  <c:v>491.02</c:v>
                </c:pt>
                <c:pt idx="172">
                  <c:v>492.02</c:v>
                </c:pt>
                <c:pt idx="173">
                  <c:v>478.56</c:v>
                </c:pt>
                <c:pt idx="174">
                  <c:v>483.47</c:v>
                </c:pt>
                <c:pt idx="175">
                  <c:v>478.53</c:v>
                </c:pt>
                <c:pt idx="176">
                  <c:v>474.82</c:v>
                </c:pt>
                <c:pt idx="177">
                  <c:v>476.39</c:v>
                </c:pt>
                <c:pt idx="178">
                  <c:v>476.12</c:v>
                </c:pt>
                <c:pt idx="179">
                  <c:v>483.98</c:v>
                </c:pt>
                <c:pt idx="180">
                  <c:v>485.92</c:v>
                </c:pt>
                <c:pt idx="181">
                  <c:v>484.92</c:v>
                </c:pt>
                <c:pt idx="182">
                  <c:v>486.85</c:v>
                </c:pt>
                <c:pt idx="183">
                  <c:v>488.02</c:v>
                </c:pt>
                <c:pt idx="184">
                  <c:v>487.71</c:v>
                </c:pt>
                <c:pt idx="185">
                  <c:v>487.1</c:v>
                </c:pt>
                <c:pt idx="186">
                  <c:v>487.48</c:v>
                </c:pt>
                <c:pt idx="187">
                  <c:v>483.62</c:v>
                </c:pt>
                <c:pt idx="188">
                  <c:v>472.94</c:v>
                </c:pt>
                <c:pt idx="189">
                  <c:v>472.85</c:v>
                </c:pt>
                <c:pt idx="190">
                  <c:v>478.51</c:v>
                </c:pt>
                <c:pt idx="191">
                  <c:v>483.47</c:v>
                </c:pt>
                <c:pt idx="192">
                  <c:v>478.11</c:v>
                </c:pt>
                <c:pt idx="193">
                  <c:v>479.28</c:v>
                </c:pt>
                <c:pt idx="194">
                  <c:v>477.18</c:v>
                </c:pt>
                <c:pt idx="195">
                  <c:v>470.67</c:v>
                </c:pt>
                <c:pt idx="196">
                  <c:v>459.38</c:v>
                </c:pt>
                <c:pt idx="197">
                  <c:v>456.66</c:v>
                </c:pt>
                <c:pt idx="198">
                  <c:v>459.86</c:v>
                </c:pt>
                <c:pt idx="199">
                  <c:v>454.52</c:v>
                </c:pt>
                <c:pt idx="200">
                  <c:v>444.11</c:v>
                </c:pt>
                <c:pt idx="201">
                  <c:v>451.14</c:v>
                </c:pt>
                <c:pt idx="202">
                  <c:v>465.95</c:v>
                </c:pt>
                <c:pt idx="203">
                  <c:v>470.28</c:v>
                </c:pt>
                <c:pt idx="204">
                  <c:v>480.58</c:v>
                </c:pt>
                <c:pt idx="205">
                  <c:v>481.63</c:v>
                </c:pt>
                <c:pt idx="206">
                  <c:v>433.5</c:v>
                </c:pt>
                <c:pt idx="207">
                  <c:v>430.29</c:v>
                </c:pt>
                <c:pt idx="208">
                  <c:v>423.37</c:v>
                </c:pt>
                <c:pt idx="209">
                  <c:v>411.21</c:v>
                </c:pt>
                <c:pt idx="210">
                  <c:v>414.19</c:v>
                </c:pt>
                <c:pt idx="211">
                  <c:v>393.67</c:v>
                </c:pt>
                <c:pt idx="212">
                  <c:v>401.14</c:v>
                </c:pt>
                <c:pt idx="213">
                  <c:v>413.6</c:v>
                </c:pt>
                <c:pt idx="214">
                  <c:v>413.27</c:v>
                </c:pt>
                <c:pt idx="215">
                  <c:v>404.37</c:v>
                </c:pt>
                <c:pt idx="216">
                  <c:v>401.84</c:v>
                </c:pt>
                <c:pt idx="217">
                  <c:v>401.32</c:v>
                </c:pt>
                <c:pt idx="218">
                  <c:v>396.86</c:v>
                </c:pt>
                <c:pt idx="219">
                  <c:v>399.6</c:v>
                </c:pt>
                <c:pt idx="220">
                  <c:v>398.46</c:v>
                </c:pt>
                <c:pt idx="221">
                  <c:v>397.23</c:v>
                </c:pt>
                <c:pt idx="222">
                  <c:v>384.47</c:v>
                </c:pt>
                <c:pt idx="223">
                  <c:v>389</c:v>
                </c:pt>
                <c:pt idx="224">
                  <c:v>400.6</c:v>
                </c:pt>
                <c:pt idx="225">
                  <c:v>401.72</c:v>
                </c:pt>
                <c:pt idx="226">
                  <c:v>392.74</c:v>
                </c:pt>
                <c:pt idx="227">
                  <c:v>398.55</c:v>
                </c:pt>
                <c:pt idx="228">
                  <c:v>403.93</c:v>
                </c:pt>
                <c:pt idx="229">
                  <c:v>405.2</c:v>
                </c:pt>
                <c:pt idx="230">
                  <c:v>410.68</c:v>
                </c:pt>
                <c:pt idx="231">
                  <c:v>408.96</c:v>
                </c:pt>
                <c:pt idx="232">
                  <c:v>409.41</c:v>
                </c:pt>
                <c:pt idx="233">
                  <c:v>405.76</c:v>
                </c:pt>
                <c:pt idx="234">
                  <c:v>404.88</c:v>
                </c:pt>
                <c:pt idx="235">
                  <c:v>401.86</c:v>
                </c:pt>
                <c:pt idx="236">
                  <c:v>395.55</c:v>
                </c:pt>
                <c:pt idx="237">
                  <c:v>399.95</c:v>
                </c:pt>
                <c:pt idx="238">
                  <c:v>399.41</c:v>
                </c:pt>
                <c:pt idx="239">
                  <c:v>391.79</c:v>
                </c:pt>
                <c:pt idx="240">
                  <c:v>389.02</c:v>
                </c:pt>
                <c:pt idx="241">
                  <c:v>381.87</c:v>
                </c:pt>
                <c:pt idx="242">
                  <c:v>383</c:v>
                </c:pt>
                <c:pt idx="243">
                  <c:v>372.74</c:v>
                </c:pt>
                <c:pt idx="244">
                  <c:v>371.04</c:v>
                </c:pt>
                <c:pt idx="245">
                  <c:v>365.97</c:v>
                </c:pt>
                <c:pt idx="246">
                  <c:v>356.77</c:v>
                </c:pt>
                <c:pt idx="247">
                  <c:v>358.96</c:v>
                </c:pt>
                <c:pt idx="248">
                  <c:v>370.17</c:v>
                </c:pt>
                <c:pt idx="249">
                  <c:v>369.37</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GS!$B$7:$B$27</c:f>
              <c:numCache>
                <c:formatCode>#,##0</c:formatCode>
                <c:ptCount val="21"/>
                <c:pt idx="0">
                  <c:v>2081820</c:v>
                </c:pt>
                <c:pt idx="1">
                  <c:v>3096912</c:v>
                </c:pt>
                <c:pt idx="2">
                  <c:v>2472991</c:v>
                </c:pt>
                <c:pt idx="3">
                  <c:v>3258185</c:v>
                </c:pt>
                <c:pt idx="4">
                  <c:v>1871901</c:v>
                </c:pt>
                <c:pt idx="5">
                  <c:v>2236531</c:v>
                </c:pt>
                <c:pt idx="6">
                  <c:v>3533042</c:v>
                </c:pt>
                <c:pt idx="7">
                  <c:v>2567411</c:v>
                </c:pt>
                <c:pt idx="8">
                  <c:v>2082689</c:v>
                </c:pt>
                <c:pt idx="9">
                  <c:v>1955568</c:v>
                </c:pt>
                <c:pt idx="10">
                  <c:v>1541291</c:v>
                </c:pt>
                <c:pt idx="11">
                  <c:v>1765919</c:v>
                </c:pt>
                <c:pt idx="12">
                  <c:v>3918407</c:v>
                </c:pt>
                <c:pt idx="13">
                  <c:v>2190280</c:v>
                </c:pt>
                <c:pt idx="14">
                  <c:v>1656051</c:v>
                </c:pt>
                <c:pt idx="15">
                  <c:v>1628908</c:v>
                </c:pt>
                <c:pt idx="16">
                  <c:v>2052166</c:v>
                </c:pt>
                <c:pt idx="17">
                  <c:v>2106773</c:v>
                </c:pt>
                <c:pt idx="18">
                  <c:v>1621403</c:v>
                </c:pt>
                <c:pt idx="19">
                  <c:v>2689828</c:v>
                </c:pt>
                <c:pt idx="20">
                  <c:v>1803625</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GS!$C$7:$C$27</c:f>
              <c:numCache>
                <c:formatCode>_([$$-409]* #,##0.00_);_([$$-409]* \(#,##0.00\);_([$$-409]* "-"??_);_(@_)</c:formatCode>
                <c:ptCount val="21"/>
                <c:pt idx="0">
                  <c:v>869.84</c:v>
                </c:pt>
                <c:pt idx="1">
                  <c:v>862.01</c:v>
                </c:pt>
                <c:pt idx="2">
                  <c:v>816</c:v>
                </c:pt>
                <c:pt idx="3">
                  <c:v>810</c:v>
                </c:pt>
                <c:pt idx="4">
                  <c:v>834.68</c:v>
                </c:pt>
                <c:pt idx="5">
                  <c:v>829.95</c:v>
                </c:pt>
                <c:pt idx="6">
                  <c:v>805.32</c:v>
                </c:pt>
                <c:pt idx="7">
                  <c:v>789.36</c:v>
                </c:pt>
                <c:pt idx="8">
                  <c:v>792</c:v>
                </c:pt>
                <c:pt idx="9">
                  <c:v>806.3</c:v>
                </c:pt>
                <c:pt idx="10">
                  <c:v>801</c:v>
                </c:pt>
                <c:pt idx="11">
                  <c:v>792.93</c:v>
                </c:pt>
                <c:pt idx="12">
                  <c:v>807</c:v>
                </c:pt>
                <c:pt idx="13">
                  <c:v>833</c:v>
                </c:pt>
                <c:pt idx="14">
                  <c:v>824.93</c:v>
                </c:pt>
                <c:pt idx="15">
                  <c:v>845.01</c:v>
                </c:pt>
                <c:pt idx="16">
                  <c:v>833.79</c:v>
                </c:pt>
                <c:pt idx="17">
                  <c:v>813.67</c:v>
                </c:pt>
                <c:pt idx="18">
                  <c:v>811.12</c:v>
                </c:pt>
                <c:pt idx="19">
                  <c:v>823.9</c:v>
                </c:pt>
                <c:pt idx="20">
                  <c:v>859.95</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GS!$D$7:$D$27</c:f>
              <c:numCache>
                <c:formatCode>_([$$-409]* #,##0.00_);_([$$-409]* \(#,##0.00\);_([$$-409]* "-"??_);_(@_)</c:formatCode>
                <c:ptCount val="21"/>
                <c:pt idx="0">
                  <c:v>878.8</c:v>
                </c:pt>
                <c:pt idx="1">
                  <c:v>866.52430000000004</c:v>
                </c:pt>
                <c:pt idx="2">
                  <c:v>827.16</c:v>
                </c:pt>
                <c:pt idx="3">
                  <c:v>836.68</c:v>
                </c:pt>
                <c:pt idx="4">
                  <c:v>846.09</c:v>
                </c:pt>
                <c:pt idx="5">
                  <c:v>832.80250000000001</c:v>
                </c:pt>
                <c:pt idx="6">
                  <c:v>807.21</c:v>
                </c:pt>
                <c:pt idx="7">
                  <c:v>798</c:v>
                </c:pt>
                <c:pt idx="8">
                  <c:v>805.45500000000004</c:v>
                </c:pt>
                <c:pt idx="9">
                  <c:v>820.44</c:v>
                </c:pt>
                <c:pt idx="10">
                  <c:v>816.19</c:v>
                </c:pt>
                <c:pt idx="11">
                  <c:v>816.18</c:v>
                </c:pt>
                <c:pt idx="12">
                  <c:v>827.23</c:v>
                </c:pt>
                <c:pt idx="13">
                  <c:v>849.53</c:v>
                </c:pt>
                <c:pt idx="14">
                  <c:v>844.5</c:v>
                </c:pt>
                <c:pt idx="15">
                  <c:v>854.75</c:v>
                </c:pt>
                <c:pt idx="16">
                  <c:v>844.8</c:v>
                </c:pt>
                <c:pt idx="17">
                  <c:v>817.1</c:v>
                </c:pt>
                <c:pt idx="18">
                  <c:v>818.63250000000005</c:v>
                </c:pt>
                <c:pt idx="19">
                  <c:v>848.5</c:v>
                </c:pt>
                <c:pt idx="20">
                  <c:v>870.2</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GS!$E$7:$E$27</c:f>
              <c:numCache>
                <c:formatCode>_([$$-409]* #,##0.00_);_([$$-409]* \(#,##0.00\);_([$$-409]* "-"??_);_(@_)</c:formatCode>
                <c:ptCount val="21"/>
                <c:pt idx="0">
                  <c:v>860</c:v>
                </c:pt>
                <c:pt idx="1">
                  <c:v>822.2</c:v>
                </c:pt>
                <c:pt idx="2">
                  <c:v>801.33</c:v>
                </c:pt>
                <c:pt idx="3">
                  <c:v>795</c:v>
                </c:pt>
                <c:pt idx="4">
                  <c:v>826.35</c:v>
                </c:pt>
                <c:pt idx="5">
                  <c:v>810.54</c:v>
                </c:pt>
                <c:pt idx="6">
                  <c:v>784.1</c:v>
                </c:pt>
                <c:pt idx="7">
                  <c:v>780.5</c:v>
                </c:pt>
                <c:pt idx="8">
                  <c:v>790</c:v>
                </c:pt>
                <c:pt idx="9">
                  <c:v>803.47</c:v>
                </c:pt>
                <c:pt idx="10">
                  <c:v>801</c:v>
                </c:pt>
                <c:pt idx="11">
                  <c:v>790.59</c:v>
                </c:pt>
                <c:pt idx="12">
                  <c:v>804.92650000000003</c:v>
                </c:pt>
                <c:pt idx="13">
                  <c:v>829</c:v>
                </c:pt>
                <c:pt idx="14">
                  <c:v>818</c:v>
                </c:pt>
                <c:pt idx="15">
                  <c:v>833.90009999999995</c:v>
                </c:pt>
                <c:pt idx="16">
                  <c:v>816.11</c:v>
                </c:pt>
                <c:pt idx="17">
                  <c:v>797.78</c:v>
                </c:pt>
                <c:pt idx="18">
                  <c:v>801.88</c:v>
                </c:pt>
                <c:pt idx="19">
                  <c:v>810</c:v>
                </c:pt>
                <c:pt idx="20">
                  <c:v>850.15</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GS!$F$7:$F$27</c:f>
              <c:numCache>
                <c:formatCode>_([$$-409]* #,##0.00_);_([$$-409]* \(#,##0.00\);_([$$-409]* "-"??_);_(@_)</c:formatCode>
                <c:ptCount val="21"/>
                <c:pt idx="0">
                  <c:v>867.25</c:v>
                </c:pt>
                <c:pt idx="1">
                  <c:v>835.46</c:v>
                </c:pt>
                <c:pt idx="2">
                  <c:v>821.42</c:v>
                </c:pt>
                <c:pt idx="3">
                  <c:v>832.03</c:v>
                </c:pt>
                <c:pt idx="4">
                  <c:v>833.81</c:v>
                </c:pt>
                <c:pt idx="5">
                  <c:v>823.76</c:v>
                </c:pt>
                <c:pt idx="6">
                  <c:v>787.52</c:v>
                </c:pt>
                <c:pt idx="7">
                  <c:v>782.21</c:v>
                </c:pt>
                <c:pt idx="8">
                  <c:v>794.77</c:v>
                </c:pt>
                <c:pt idx="9">
                  <c:v>807.04</c:v>
                </c:pt>
                <c:pt idx="10">
                  <c:v>805.48</c:v>
                </c:pt>
                <c:pt idx="11">
                  <c:v>809.5</c:v>
                </c:pt>
                <c:pt idx="12">
                  <c:v>813.53</c:v>
                </c:pt>
                <c:pt idx="13">
                  <c:v>831.27</c:v>
                </c:pt>
                <c:pt idx="14">
                  <c:v>835.72</c:v>
                </c:pt>
                <c:pt idx="15">
                  <c:v>841.84</c:v>
                </c:pt>
                <c:pt idx="16">
                  <c:v>822.64</c:v>
                </c:pt>
                <c:pt idx="17">
                  <c:v>802.89</c:v>
                </c:pt>
                <c:pt idx="18">
                  <c:v>807.6</c:v>
                </c:pt>
                <c:pt idx="19">
                  <c:v>845.99</c:v>
                </c:pt>
                <c:pt idx="20">
                  <c:v>860.21</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511.23</c:v>
                </c:pt>
                <c:pt idx="1">
                  <c:v>470.81</c:v>
                </c:pt>
                <c:pt idx="2">
                  <c:v>465.51</c:v>
                </c:pt>
                <c:pt idx="3">
                  <c:v>462.22</c:v>
                </c:pt>
                <c:pt idx="4">
                  <c:v>516.87</c:v>
                </c:pt>
                <c:pt idx="5">
                  <c:v>489.8</c:v>
                </c:pt>
                <c:pt idx="6">
                  <c:v>494.44</c:v>
                </c:pt>
                <c:pt idx="7">
                  <c:v>503.98</c:v>
                </c:pt>
                <c:pt idx="8">
                  <c:v>507.89</c:v>
                </c:pt>
                <c:pt idx="9">
                  <c:v>499.05</c:v>
                </c:pt>
                <c:pt idx="10">
                  <c:v>509.49</c:v>
                </c:pt>
                <c:pt idx="11">
                  <c:v>501.36</c:v>
                </c:pt>
                <c:pt idx="12">
                  <c:v>519.99</c:v>
                </c:pt>
                <c:pt idx="13">
                  <c:v>529.30999999999995</c:v>
                </c:pt>
                <c:pt idx="14">
                  <c:v>545.37</c:v>
                </c:pt>
                <c:pt idx="15">
                  <c:v>544.86</c:v>
                </c:pt>
                <c:pt idx="16">
                  <c:v>546.4</c:v>
                </c:pt>
                <c:pt idx="17">
                  <c:v>548.91999999999996</c:v>
                </c:pt>
                <c:pt idx="18">
                  <c:v>547.54999999999995</c:v>
                </c:pt>
                <c:pt idx="19">
                  <c:v>553.83000000000004</c:v>
                </c:pt>
                <c:pt idx="20">
                  <c:v>566.1</c:v>
                </c:pt>
                <c:pt idx="21">
                  <c:v>559.55999999999995</c:v>
                </c:pt>
                <c:pt idx="22">
                  <c:v>549.36</c:v>
                </c:pt>
                <c:pt idx="23">
                  <c:v>551.91999999999996</c:v>
                </c:pt>
                <c:pt idx="24">
                  <c:v>565.70000000000005</c:v>
                </c:pt>
                <c:pt idx="25">
                  <c:v>567.1</c:v>
                </c:pt>
                <c:pt idx="26">
                  <c:v>591.34</c:v>
                </c:pt>
                <c:pt idx="27">
                  <c:v>603.80999999999995</c:v>
                </c:pt>
                <c:pt idx="28">
                  <c:v>611.6</c:v>
                </c:pt>
                <c:pt idx="29">
                  <c:v>615.9</c:v>
                </c:pt>
                <c:pt idx="30">
                  <c:v>619.03</c:v>
                </c:pt>
                <c:pt idx="31">
                  <c:v>612.29999999999995</c:v>
                </c:pt>
                <c:pt idx="32">
                  <c:v>606.52</c:v>
                </c:pt>
                <c:pt idx="33">
                  <c:v>593.46</c:v>
                </c:pt>
                <c:pt idx="34">
                  <c:v>598.23</c:v>
                </c:pt>
                <c:pt idx="35">
                  <c:v>598.54</c:v>
                </c:pt>
                <c:pt idx="36">
                  <c:v>615.73</c:v>
                </c:pt>
                <c:pt idx="37">
                  <c:v>608.44000000000005</c:v>
                </c:pt>
                <c:pt idx="38">
                  <c:v>604.86</c:v>
                </c:pt>
                <c:pt idx="39">
                  <c:v>600.45000000000005</c:v>
                </c:pt>
                <c:pt idx="40">
                  <c:v>598.72</c:v>
                </c:pt>
                <c:pt idx="41">
                  <c:v>603.83000000000004</c:v>
                </c:pt>
                <c:pt idx="42">
                  <c:v>599.21</c:v>
                </c:pt>
                <c:pt idx="43">
                  <c:v>605.88</c:v>
                </c:pt>
                <c:pt idx="44">
                  <c:v>614</c:v>
                </c:pt>
                <c:pt idx="45">
                  <c:v>613.52</c:v>
                </c:pt>
                <c:pt idx="46">
                  <c:v>614.87</c:v>
                </c:pt>
                <c:pt idx="47">
                  <c:v>624.16999999999996</c:v>
                </c:pt>
                <c:pt idx="48">
                  <c:v>625.11</c:v>
                </c:pt>
                <c:pt idx="49">
                  <c:v>613.54</c:v>
                </c:pt>
                <c:pt idx="50">
                  <c:v>627.85</c:v>
                </c:pt>
                <c:pt idx="51">
                  <c:v>624.64</c:v>
                </c:pt>
                <c:pt idx="52">
                  <c:v>635.24</c:v>
                </c:pt>
                <c:pt idx="53">
                  <c:v>640.79999999999995</c:v>
                </c:pt>
                <c:pt idx="54">
                  <c:v>646.88</c:v>
                </c:pt>
                <c:pt idx="55">
                  <c:v>662.11</c:v>
                </c:pt>
                <c:pt idx="56">
                  <c:v>669.87</c:v>
                </c:pt>
                <c:pt idx="57">
                  <c:v>687.16</c:v>
                </c:pt>
                <c:pt idx="58">
                  <c:v>690.81</c:v>
                </c:pt>
                <c:pt idx="59">
                  <c:v>707.75</c:v>
                </c:pt>
                <c:pt idx="60">
                  <c:v>706.46</c:v>
                </c:pt>
                <c:pt idx="61">
                  <c:v>715.89</c:v>
                </c:pt>
                <c:pt idx="62">
                  <c:v>723.68</c:v>
                </c:pt>
                <c:pt idx="63">
                  <c:v>710.93</c:v>
                </c:pt>
                <c:pt idx="64">
                  <c:v>697.28</c:v>
                </c:pt>
                <c:pt idx="65">
                  <c:v>696.56</c:v>
                </c:pt>
                <c:pt idx="66">
                  <c:v>709.12</c:v>
                </c:pt>
                <c:pt idx="67">
                  <c:v>704.95</c:v>
                </c:pt>
                <c:pt idx="68">
                  <c:v>713.3</c:v>
                </c:pt>
                <c:pt idx="69">
                  <c:v>702.51</c:v>
                </c:pt>
                <c:pt idx="70">
                  <c:v>708.82</c:v>
                </c:pt>
                <c:pt idx="71">
                  <c:v>705.84</c:v>
                </c:pt>
                <c:pt idx="72">
                  <c:v>708.26</c:v>
                </c:pt>
                <c:pt idx="73">
                  <c:v>706</c:v>
                </c:pt>
                <c:pt idx="74">
                  <c:v>700.41</c:v>
                </c:pt>
                <c:pt idx="75">
                  <c:v>717.52</c:v>
                </c:pt>
                <c:pt idx="76">
                  <c:v>719.18</c:v>
                </c:pt>
                <c:pt idx="77">
                  <c:v>728.98</c:v>
                </c:pt>
                <c:pt idx="78">
                  <c:v>723.65</c:v>
                </c:pt>
                <c:pt idx="79">
                  <c:v>731.98</c:v>
                </c:pt>
                <c:pt idx="80">
                  <c:v>730.75</c:v>
                </c:pt>
                <c:pt idx="81">
                  <c:v>723.59</c:v>
                </c:pt>
                <c:pt idx="82">
                  <c:v>709.57</c:v>
                </c:pt>
                <c:pt idx="83">
                  <c:v>726.03</c:v>
                </c:pt>
                <c:pt idx="84">
                  <c:v>720.91</c:v>
                </c:pt>
                <c:pt idx="85">
                  <c:v>724.74</c:v>
                </c:pt>
                <c:pt idx="86">
                  <c:v>719.74</c:v>
                </c:pt>
                <c:pt idx="87">
                  <c:v>721.27</c:v>
                </c:pt>
                <c:pt idx="88">
                  <c:v>719.24</c:v>
                </c:pt>
                <c:pt idx="89">
                  <c:v>743.38</c:v>
                </c:pt>
                <c:pt idx="90">
                  <c:v>744.69</c:v>
                </c:pt>
                <c:pt idx="91">
                  <c:v>747.2</c:v>
                </c:pt>
                <c:pt idx="92">
                  <c:v>730.72</c:v>
                </c:pt>
                <c:pt idx="93">
                  <c:v>730.96</c:v>
                </c:pt>
                <c:pt idx="94">
                  <c:v>721.38</c:v>
                </c:pt>
                <c:pt idx="95">
                  <c:v>720.68</c:v>
                </c:pt>
                <c:pt idx="96">
                  <c:v>715.95</c:v>
                </c:pt>
                <c:pt idx="97">
                  <c:v>741.89</c:v>
                </c:pt>
                <c:pt idx="98">
                  <c:v>738.79</c:v>
                </c:pt>
                <c:pt idx="99">
                  <c:v>748.95</c:v>
                </c:pt>
                <c:pt idx="100">
                  <c:v>749.67</c:v>
                </c:pt>
                <c:pt idx="101">
                  <c:v>751.22</c:v>
                </c:pt>
                <c:pt idx="102">
                  <c:v>745.25</c:v>
                </c:pt>
                <c:pt idx="103">
                  <c:v>730.85</c:v>
                </c:pt>
                <c:pt idx="104">
                  <c:v>730.56</c:v>
                </c:pt>
                <c:pt idx="105">
                  <c:v>748.9</c:v>
                </c:pt>
                <c:pt idx="106">
                  <c:v>738.21</c:v>
                </c:pt>
                <c:pt idx="107">
                  <c:v>741.85</c:v>
                </c:pt>
                <c:pt idx="108">
                  <c:v>763.92</c:v>
                </c:pt>
                <c:pt idx="109">
                  <c:v>769.58</c:v>
                </c:pt>
                <c:pt idx="110">
                  <c:v>784.73</c:v>
                </c:pt>
                <c:pt idx="111">
                  <c:v>780.06</c:v>
                </c:pt>
                <c:pt idx="112">
                  <c:v>786.76</c:v>
                </c:pt>
                <c:pt idx="113">
                  <c:v>785.53</c:v>
                </c:pt>
                <c:pt idx="114">
                  <c:v>794.22</c:v>
                </c:pt>
                <c:pt idx="115">
                  <c:v>804.31</c:v>
                </c:pt>
                <c:pt idx="116">
                  <c:v>805</c:v>
                </c:pt>
                <c:pt idx="117">
                  <c:v>805.56</c:v>
                </c:pt>
                <c:pt idx="118">
                  <c:v>806.32</c:v>
                </c:pt>
                <c:pt idx="119">
                  <c:v>792.43</c:v>
                </c:pt>
                <c:pt idx="120">
                  <c:v>794.76</c:v>
                </c:pt>
                <c:pt idx="121">
                  <c:v>802.51</c:v>
                </c:pt>
                <c:pt idx="122">
                  <c:v>804.12</c:v>
                </c:pt>
                <c:pt idx="123">
                  <c:v>796.35</c:v>
                </c:pt>
                <c:pt idx="124">
                  <c:v>785.51</c:v>
                </c:pt>
                <c:pt idx="125">
                  <c:v>779.38</c:v>
                </c:pt>
                <c:pt idx="126">
                  <c:v>789.98</c:v>
                </c:pt>
                <c:pt idx="127">
                  <c:v>796.78</c:v>
                </c:pt>
                <c:pt idx="128">
                  <c:v>789.65</c:v>
                </c:pt>
                <c:pt idx="129">
                  <c:v>776.51</c:v>
                </c:pt>
                <c:pt idx="130">
                  <c:v>779.96</c:v>
                </c:pt>
                <c:pt idx="131">
                  <c:v>764.36</c:v>
                </c:pt>
                <c:pt idx="132">
                  <c:v>786.78</c:v>
                </c:pt>
                <c:pt idx="133">
                  <c:v>770.76</c:v>
                </c:pt>
                <c:pt idx="134">
                  <c:v>767.93</c:v>
                </c:pt>
                <c:pt idx="135">
                  <c:v>758.09</c:v>
                </c:pt>
                <c:pt idx="136">
                  <c:v>750.77</c:v>
                </c:pt>
                <c:pt idx="137">
                  <c:v>763.32</c:v>
                </c:pt>
                <c:pt idx="138">
                  <c:v>758.98</c:v>
                </c:pt>
                <c:pt idx="139">
                  <c:v>744.6</c:v>
                </c:pt>
                <c:pt idx="140">
                  <c:v>750.78</c:v>
                </c:pt>
                <c:pt idx="141">
                  <c:v>783.88</c:v>
                </c:pt>
                <c:pt idx="142">
                  <c:v>789.99</c:v>
                </c:pt>
                <c:pt idx="143">
                  <c:v>792.09</c:v>
                </c:pt>
                <c:pt idx="144">
                  <c:v>783.06</c:v>
                </c:pt>
                <c:pt idx="145">
                  <c:v>790.16</c:v>
                </c:pt>
                <c:pt idx="146">
                  <c:v>789.37</c:v>
                </c:pt>
                <c:pt idx="147">
                  <c:v>785.52</c:v>
                </c:pt>
                <c:pt idx="148">
                  <c:v>790.83</c:v>
                </c:pt>
                <c:pt idx="149">
                  <c:v>793.09</c:v>
                </c:pt>
                <c:pt idx="150">
                  <c:v>787.58</c:v>
                </c:pt>
                <c:pt idx="151">
                  <c:v>786.34</c:v>
                </c:pt>
                <c:pt idx="152">
                  <c:v>797.2</c:v>
                </c:pt>
                <c:pt idx="153">
                  <c:v>810.31</c:v>
                </c:pt>
                <c:pt idx="154">
                  <c:v>838.97</c:v>
                </c:pt>
                <c:pt idx="155">
                  <c:v>805.5</c:v>
                </c:pt>
                <c:pt idx="156">
                  <c:v>790.91</c:v>
                </c:pt>
                <c:pt idx="157">
                  <c:v>775.56</c:v>
                </c:pt>
                <c:pt idx="158">
                  <c:v>776.3</c:v>
                </c:pt>
                <c:pt idx="159">
                  <c:v>785.99</c:v>
                </c:pt>
                <c:pt idx="160">
                  <c:v>773.7</c:v>
                </c:pt>
                <c:pt idx="161">
                  <c:v>774.03</c:v>
                </c:pt>
                <c:pt idx="162">
                  <c:v>790.71</c:v>
                </c:pt>
                <c:pt idx="163">
                  <c:v>802.32</c:v>
                </c:pt>
                <c:pt idx="164">
                  <c:v>816.01</c:v>
                </c:pt>
                <c:pt idx="165">
                  <c:v>826.04</c:v>
                </c:pt>
                <c:pt idx="166">
                  <c:v>810.86</c:v>
                </c:pt>
                <c:pt idx="167">
                  <c:v>815.21</c:v>
                </c:pt>
                <c:pt idx="168">
                  <c:v>836.57</c:v>
                </c:pt>
                <c:pt idx="169">
                  <c:v>837.83</c:v>
                </c:pt>
                <c:pt idx="170">
                  <c:v>854.56</c:v>
                </c:pt>
                <c:pt idx="171">
                  <c:v>866.69</c:v>
                </c:pt>
                <c:pt idx="172">
                  <c:v>876.58</c:v>
                </c:pt>
                <c:pt idx="173">
                  <c:v>889.24</c:v>
                </c:pt>
                <c:pt idx="174">
                  <c:v>911.03</c:v>
                </c:pt>
                <c:pt idx="175">
                  <c:v>887.96</c:v>
                </c:pt>
                <c:pt idx="176">
                  <c:v>889.59</c:v>
                </c:pt>
                <c:pt idx="177">
                  <c:v>879.15</c:v>
                </c:pt>
                <c:pt idx="178">
                  <c:v>872.33</c:v>
                </c:pt>
                <c:pt idx="179">
                  <c:v>876.3</c:v>
                </c:pt>
                <c:pt idx="180">
                  <c:v>893.48</c:v>
                </c:pt>
                <c:pt idx="181">
                  <c:v>899</c:v>
                </c:pt>
                <c:pt idx="182">
                  <c:v>901.71</c:v>
                </c:pt>
                <c:pt idx="183">
                  <c:v>910.78</c:v>
                </c:pt>
                <c:pt idx="184">
                  <c:v>907.04</c:v>
                </c:pt>
                <c:pt idx="185">
                  <c:v>892.18</c:v>
                </c:pt>
                <c:pt idx="186">
                  <c:v>884.42</c:v>
                </c:pt>
                <c:pt idx="187">
                  <c:v>879</c:v>
                </c:pt>
                <c:pt idx="188">
                  <c:v>914.34</c:v>
                </c:pt>
                <c:pt idx="189">
                  <c:v>948.44</c:v>
                </c:pt>
                <c:pt idx="190">
                  <c:v>955.47</c:v>
                </c:pt>
                <c:pt idx="191">
                  <c:v>941.02</c:v>
                </c:pt>
                <c:pt idx="192">
                  <c:v>934.83</c:v>
                </c:pt>
                <c:pt idx="193">
                  <c:v>938.98</c:v>
                </c:pt>
                <c:pt idx="194">
                  <c:v>949.55</c:v>
                </c:pt>
                <c:pt idx="195">
                  <c:v>938.15</c:v>
                </c:pt>
                <c:pt idx="196">
                  <c:v>932.67</c:v>
                </c:pt>
                <c:pt idx="197">
                  <c:v>975.86</c:v>
                </c:pt>
                <c:pt idx="198">
                  <c:v>962</c:v>
                </c:pt>
                <c:pt idx="199">
                  <c:v>943.37</c:v>
                </c:pt>
                <c:pt idx="200">
                  <c:v>953.01</c:v>
                </c:pt>
                <c:pt idx="201">
                  <c:v>954.65</c:v>
                </c:pt>
                <c:pt idx="202">
                  <c:v>918.88</c:v>
                </c:pt>
                <c:pt idx="203">
                  <c:v>931.86</c:v>
                </c:pt>
                <c:pt idx="204">
                  <c:v>929.72</c:v>
                </c:pt>
                <c:pt idx="205">
                  <c:v>936.81</c:v>
                </c:pt>
                <c:pt idx="206">
                  <c:v>940.12</c:v>
                </c:pt>
                <c:pt idx="207">
                  <c:v>935.41</c:v>
                </c:pt>
                <c:pt idx="208">
                  <c:v>946.33</c:v>
                </c:pt>
                <c:pt idx="209">
                  <c:v>938.99</c:v>
                </c:pt>
                <c:pt idx="210">
                  <c:v>913.3</c:v>
                </c:pt>
                <c:pt idx="211">
                  <c:v>890.41</c:v>
                </c:pt>
                <c:pt idx="212">
                  <c:v>928.75</c:v>
                </c:pt>
                <c:pt idx="213">
                  <c:v>943.62</c:v>
                </c:pt>
                <c:pt idx="214">
                  <c:v>948.99</c:v>
                </c:pt>
                <c:pt idx="215">
                  <c:v>944.59</c:v>
                </c:pt>
                <c:pt idx="216">
                  <c:v>904.55</c:v>
                </c:pt>
                <c:pt idx="217">
                  <c:v>905.14</c:v>
                </c:pt>
                <c:pt idx="218">
                  <c:v>916.04</c:v>
                </c:pt>
                <c:pt idx="219">
                  <c:v>933.73</c:v>
                </c:pt>
                <c:pt idx="220">
                  <c:v>916.65</c:v>
                </c:pt>
                <c:pt idx="221">
                  <c:v>922.24</c:v>
                </c:pt>
                <c:pt idx="222">
                  <c:v>892.31</c:v>
                </c:pt>
                <c:pt idx="223">
                  <c:v>902.27</c:v>
                </c:pt>
                <c:pt idx="224">
                  <c:v>921.38</c:v>
                </c:pt>
                <c:pt idx="225">
                  <c:v>929</c:v>
                </c:pt>
                <c:pt idx="226">
                  <c:v>859.57</c:v>
                </c:pt>
                <c:pt idx="227">
                  <c:v>861.7</c:v>
                </c:pt>
                <c:pt idx="228">
                  <c:v>862.58</c:v>
                </c:pt>
                <c:pt idx="229">
                  <c:v>867.25</c:v>
                </c:pt>
                <c:pt idx="230">
                  <c:v>835.46</c:v>
                </c:pt>
                <c:pt idx="231">
                  <c:v>821.42</c:v>
                </c:pt>
                <c:pt idx="232">
                  <c:v>832.03</c:v>
                </c:pt>
                <c:pt idx="233">
                  <c:v>833.81</c:v>
                </c:pt>
                <c:pt idx="234">
                  <c:v>823.76</c:v>
                </c:pt>
                <c:pt idx="235">
                  <c:v>787.52</c:v>
                </c:pt>
                <c:pt idx="236">
                  <c:v>782.21</c:v>
                </c:pt>
                <c:pt idx="237">
                  <c:v>794.77</c:v>
                </c:pt>
                <c:pt idx="238">
                  <c:v>807.04</c:v>
                </c:pt>
                <c:pt idx="239">
                  <c:v>805.48</c:v>
                </c:pt>
                <c:pt idx="240">
                  <c:v>809.5</c:v>
                </c:pt>
                <c:pt idx="241">
                  <c:v>813.53</c:v>
                </c:pt>
                <c:pt idx="242">
                  <c:v>831.27</c:v>
                </c:pt>
                <c:pt idx="243">
                  <c:v>835.72</c:v>
                </c:pt>
                <c:pt idx="244">
                  <c:v>841.84</c:v>
                </c:pt>
                <c:pt idx="245">
                  <c:v>822.64</c:v>
                </c:pt>
                <c:pt idx="246">
                  <c:v>802.89</c:v>
                </c:pt>
                <c:pt idx="247">
                  <c:v>807.6</c:v>
                </c:pt>
                <c:pt idx="248">
                  <c:v>845.99</c:v>
                </c:pt>
                <c:pt idx="249">
                  <c:v>860.21</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9.xml"/><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xdr:from>
      <xdr:col>12</xdr:col>
      <xdr:colOff>0</xdr:colOff>
      <xdr:row>26</xdr:row>
      <xdr:rowOff>0</xdr:rowOff>
    </xdr:from>
    <xdr:to>
      <xdr:col>15</xdr:col>
      <xdr:colOff>1058334</xdr:colOff>
      <xdr:row>42</xdr:row>
      <xdr:rowOff>0</xdr:rowOff>
    </xdr:to>
    <xdr:graphicFrame macro="">
      <xdr:nvGraphicFramePr>
        <xdr:cNvPr id="5" name="Chart 4">
          <a:extLst>
            <a:ext uri="{FF2B5EF4-FFF2-40B4-BE49-F238E27FC236}">
              <a16:creationId xmlns:a16="http://schemas.microsoft.com/office/drawing/2014/main" id="{CE699C7B-ADA3-4508-1D69-839073EC8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1051277</xdr:colOff>
      <xdr:row>25</xdr:row>
      <xdr:rowOff>42333</xdr:rowOff>
    </xdr:from>
    <xdr:to>
      <xdr:col>19</xdr:col>
      <xdr:colOff>14110</xdr:colOff>
      <xdr:row>41</xdr:row>
      <xdr:rowOff>176390</xdr:rowOff>
    </xdr:to>
    <xdr:graphicFrame macro="">
      <xdr:nvGraphicFramePr>
        <xdr:cNvPr id="6" name="Chart 5">
          <a:extLst>
            <a:ext uri="{FF2B5EF4-FFF2-40B4-BE49-F238E27FC236}">
              <a16:creationId xmlns:a16="http://schemas.microsoft.com/office/drawing/2014/main" id="{0DC6E946-51AE-99F6-0FA1-D0AB2E893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21166</xdr:colOff>
      <xdr:row>41</xdr:row>
      <xdr:rowOff>176389</xdr:rowOff>
    </xdr:from>
    <xdr:to>
      <xdr:col>18</xdr:col>
      <xdr:colOff>1262943</xdr:colOff>
      <xdr:row>59</xdr:row>
      <xdr:rowOff>158044</xdr:rowOff>
    </xdr:to>
    <xdr:graphicFrame macro="">
      <xdr:nvGraphicFramePr>
        <xdr:cNvPr id="7" name="Chart 6">
          <a:extLst>
            <a:ext uri="{FF2B5EF4-FFF2-40B4-BE49-F238E27FC236}">
              <a16:creationId xmlns:a16="http://schemas.microsoft.com/office/drawing/2014/main" id="{672CB8B5-2436-2ED5-3B5A-0906570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592667</xdr:colOff>
      <xdr:row>40</xdr:row>
      <xdr:rowOff>7056</xdr:rowOff>
    </xdr:from>
    <xdr:to>
      <xdr:col>4</xdr:col>
      <xdr:colOff>458611</xdr:colOff>
      <xdr:row>59</xdr:row>
      <xdr:rowOff>84666</xdr:rowOff>
    </xdr:to>
    <xdr:graphicFrame macro="">
      <xdr:nvGraphicFramePr>
        <xdr:cNvPr id="8" name="Chart 7">
          <a:extLst>
            <a:ext uri="{FF2B5EF4-FFF2-40B4-BE49-F238E27FC236}">
              <a16:creationId xmlns:a16="http://schemas.microsoft.com/office/drawing/2014/main" id="{5524C931-4EE1-C621-CBEC-4F06EA4E8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0</xdr:colOff>
      <xdr:row>35</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0</xdr:rowOff>
    </xdr:from>
    <xdr:to>
      <xdr:col>11</xdr:col>
      <xdr:colOff>0</xdr:colOff>
      <xdr:row>35</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0</xdr:colOff>
      <xdr:row>51</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35</xdr:row>
      <xdr:rowOff>0</xdr:rowOff>
    </xdr:from>
    <xdr:to>
      <xdr:col>11</xdr:col>
      <xdr:colOff>0</xdr:colOff>
      <xdr:row>51</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51</xdr:row>
      <xdr:rowOff>0</xdr:rowOff>
    </xdr:from>
    <xdr:to>
      <xdr:col>11</xdr:col>
      <xdr:colOff>0</xdr:colOff>
      <xdr:row>62</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114.243574537039" createdVersion="8" refreshedVersion="8" minRefreshableVersion="3" recordCount="10" xr:uid="{C95F8C75-B2E0-4221-B4F5-DB6040B91045}">
  <cacheSource type="worksheet">
    <worksheetSource name="Table2"/>
  </cacheSource>
  <cacheFields count="12">
    <cacheField name="Stock" numFmtId="0">
      <sharedItems count="10">
        <s v="ADVANCED MICRO DEVICES, INC. (XNAS:AMD)"/>
        <s v="MICROSOFT CORPORATION (XNAS:MSFT)"/>
        <s v="Alibaba Group Holding Limited (XNYS:BABA)"/>
        <s v="DELL TECHNOLOGIES INC. (XNYS:DELL)"/>
        <s v="THE GOLDMAN SACHS GROUP, INC. (XNYS:GS)"/>
        <s v="EXXON MOBIL CORPORATION (XNYS:XOM)"/>
        <s v="GENERAL MOTORS COMPANY (XNYS:GM)"/>
        <s v="BANK OF AMERICA CORPORATION (XNYS:BAC)"/>
        <s v="LOCKHEED MARTIN CORPORATION (XNYS:LMT)"/>
        <s v="COSTCO WHOLESALE CORPORATION (XNAS:COST)"/>
      </sharedItems>
    </cacheField>
    <cacheField name="Ticker symbol" numFmtId="0">
      <sharedItems count="10">
        <s v="AMD"/>
        <s v="MSFT"/>
        <s v="BABA"/>
        <s v="DELL"/>
        <s v="GS"/>
        <s v="XOM"/>
        <s v="GM"/>
        <s v="BAC"/>
        <s v="LMT"/>
        <s v="COST"/>
      </sharedItems>
    </cacheField>
    <cacheField name="52 week high" numFmtId="164">
      <sharedItems containsSemiMixedTypes="0" containsString="0" containsNumber="1" minValue="57.55" maxValue="1067.08"/>
    </cacheField>
    <cacheField name="52 week low" numFmtId="164">
      <sharedItems containsSemiMixedTypes="0" containsString="0" containsNumber="1" minValue="33.064999999999998" maxValue="844.06"/>
    </cacheField>
    <cacheField name="Beta" numFmtId="4">
      <sharedItems containsSemiMixedTypes="0" containsString="0" containsNumber="1" minValue="0.2402" maxValue="1.9633"/>
    </cacheField>
    <cacheField name="P/E" numFmtId="4">
      <sharedItems containsSemiMixedTypes="0" containsString="0" containsNumber="1" minValue="13.024699999999999" maxValue="80.713399999999993"/>
    </cacheField>
    <cacheField name="Change" numFmtId="164">
      <sharedItems containsSemiMixedTypes="0" containsString="0" containsNumber="1" minValue="-8.8800000000000008" maxValue="14.22"/>
    </cacheField>
    <cacheField name="High" numFmtId="164">
      <sharedItems containsSemiMixedTypes="0" containsString="0" containsNumber="1" minValue="50.05" maxValue="1003.13"/>
    </cacheField>
    <cacheField name="Low" numFmtId="164">
      <sharedItems containsSemiMixedTypes="0" containsString="0" containsNumber="1" minValue="48.774999999999999" maxValue="990.59"/>
    </cacheField>
    <cacheField name="Market cap" numFmtId="164">
      <sharedItems containsSemiMixedTypes="0" containsString="0" containsNumber="1" containsInteger="1" minValue="67833743712" maxValue="274280458373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267.07990000000001"/>
    <n v="76.48"/>
    <n v="1.9633"/>
    <n v="80.713399999999993"/>
    <n v="6.78"/>
    <n v="213.83"/>
    <n v="205.84"/>
    <n v="342713561190"/>
    <s v="Semiconductors &amp; Semiconductor Equipment"/>
    <x v="0"/>
  </r>
  <r>
    <x v="1"/>
    <x v="1"/>
    <n v="555.45000000000005"/>
    <n v="344.79"/>
    <n v="1.1076999999999999"/>
    <n v="23.111000000000001"/>
    <n v="-0.8"/>
    <n v="373.99"/>
    <n v="368.2"/>
    <n v="2742804583730"/>
    <s v="Software &amp; IT Services"/>
    <x v="0"/>
  </r>
  <r>
    <x v="2"/>
    <x v="2"/>
    <n v="192.67"/>
    <n v="94.974199999999996"/>
    <n v="0.49390000000000001"/>
    <n v="16.8276"/>
    <n v="-1.73"/>
    <n v="126.39"/>
    <n v="123.12"/>
    <n v="295394610490"/>
    <s v="Software &amp; IT Services"/>
    <x v="1"/>
  </r>
  <r>
    <x v="3"/>
    <x v="3"/>
    <n v="186.39"/>
    <n v="66.245000000000005"/>
    <n v="0.87719999999999998"/>
    <n v="19.4254"/>
    <n v="5.25"/>
    <n v="171.33"/>
    <n v="164.76"/>
    <n v="109376880930"/>
    <s v="Computers, Phones &amp; Household Electronics"/>
    <x v="1"/>
  </r>
  <r>
    <x v="4"/>
    <x v="4"/>
    <n v="984.7"/>
    <n v="439.38"/>
    <n v="1.3108"/>
    <n v="16.7681"/>
    <n v="14.22"/>
    <n v="870.2"/>
    <n v="850.15"/>
    <n v="253756702719"/>
    <s v="Investment Banking &amp; Investment Services"/>
    <x v="1"/>
  </r>
  <r>
    <x v="5"/>
    <x v="5"/>
    <n v="176.41"/>
    <n v="97.8"/>
    <n v="0.28839999999999999"/>
    <n v="25.3965"/>
    <n v="-8.8800000000000008"/>
    <n v="168"/>
    <n v="159.53"/>
    <n v="669932315920"/>
    <s v="Oil &amp; Gas"/>
    <x v="1"/>
  </r>
  <r>
    <x v="6"/>
    <x v="6"/>
    <n v="87.62"/>
    <n v="41.6"/>
    <n v="1.3454999999999999"/>
    <n v="22.960699999999999"/>
    <n v="0.54"/>
    <n v="75.87"/>
    <n v="74.715000000000003"/>
    <n v="67833743712"/>
    <s v="Automobiles &amp; Auto Parts"/>
    <x v="1"/>
  </r>
  <r>
    <x v="7"/>
    <x v="7"/>
    <n v="57.55"/>
    <n v="33.064999999999998"/>
    <n v="1.2373000000000001"/>
    <n v="13.024699999999999"/>
    <n v="0.52"/>
    <n v="50.05"/>
    <n v="48.774999999999999"/>
    <n v="352069082430"/>
    <s v="Banking Services"/>
    <x v="1"/>
  </r>
  <r>
    <x v="8"/>
    <x v="8"/>
    <n v="692"/>
    <n v="410.11"/>
    <n v="0.2402"/>
    <n v="28.745999999999999"/>
    <n v="13.25"/>
    <n v="619.1"/>
    <n v="606.11"/>
    <n v="142342611444"/>
    <s v="Aerospace &amp; Defense"/>
    <x v="1"/>
  </r>
  <r>
    <x v="9"/>
    <x v="9"/>
    <n v="1067.08"/>
    <n v="844.06"/>
    <n v="0.98629999999999995"/>
    <n v="53.382800000000003"/>
    <n v="0.13"/>
    <n v="1003.13"/>
    <n v="990.59"/>
    <n v="44212633540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44">
      <pivotArea type="all" dataOnly="0" outline="0" fieldPosition="0"/>
    </format>
    <format dxfId="243">
      <pivotArea field="11" type="button" dataOnly="0" labelOnly="1" outline="0" axis="axisRow" fieldPosition="0"/>
    </format>
    <format dxfId="242">
      <pivotArea field="1" type="button" dataOnly="0" labelOnly="1" outline="0" axis="axisRow" fieldPosition="1"/>
    </format>
    <format dxfId="241">
      <pivotArea dataOnly="0" labelOnly="1" outline="0" fieldPosition="0">
        <references count="1">
          <reference field="11" count="0"/>
        </references>
      </pivotArea>
    </format>
    <format dxfId="240">
      <pivotArea dataOnly="0" labelOnly="1" outline="0" fieldPosition="0">
        <references count="2">
          <reference field="1" count="3">
            <x v="0"/>
            <x v="3"/>
            <x v="8"/>
          </reference>
          <reference field="11" count="1" selected="0">
            <x v="0"/>
          </reference>
        </references>
      </pivotArea>
    </format>
    <format dxfId="239">
      <pivotArea dataOnly="0" labelOnly="1" outline="0" fieldPosition="0">
        <references count="2">
          <reference field="1" count="7">
            <x v="1"/>
            <x v="2"/>
            <x v="4"/>
            <x v="5"/>
            <x v="6"/>
            <x v="7"/>
            <x v="9"/>
          </reference>
          <reference field="11" count="1" selected="0">
            <x v="1"/>
          </reference>
        </references>
      </pivotArea>
    </format>
    <format dxfId="238">
      <pivotArea type="all" dataOnly="0" outline="0" fieldPosition="0"/>
    </format>
    <format dxfId="237">
      <pivotArea field="11" type="button" dataOnly="0" labelOnly="1" outline="0" axis="axisRow" fieldPosition="0"/>
    </format>
    <format dxfId="236">
      <pivotArea field="1" type="button" dataOnly="0" labelOnly="1" outline="0" axis="axisRow" fieldPosition="1"/>
    </format>
    <format dxfId="235">
      <pivotArea dataOnly="0" labelOnly="1" outline="0" fieldPosition="0">
        <references count="1">
          <reference field="11" count="0"/>
        </references>
      </pivotArea>
    </format>
    <format dxfId="234">
      <pivotArea dataOnly="0" labelOnly="1" outline="0" fieldPosition="0">
        <references count="2">
          <reference field="1" count="3">
            <x v="0"/>
            <x v="3"/>
            <x v="8"/>
          </reference>
          <reference field="11" count="1" selected="0">
            <x v="0"/>
          </reference>
        </references>
      </pivotArea>
    </format>
    <format dxfId="233">
      <pivotArea dataOnly="0" labelOnly="1" outline="0" fieldPosition="0">
        <references count="2">
          <reference field="1" count="7">
            <x v="1"/>
            <x v="2"/>
            <x v="4"/>
            <x v="5"/>
            <x v="6"/>
            <x v="7"/>
            <x v="9"/>
          </reference>
          <reference field="11" count="1" selected="0">
            <x v="1"/>
          </reference>
        </references>
      </pivotArea>
    </format>
    <format dxfId="232">
      <pivotArea type="all" dataOnly="0" outline="0" fieldPosition="0"/>
    </format>
    <format dxfId="231">
      <pivotArea field="11" type="button" dataOnly="0" labelOnly="1" outline="0" axis="axisRow" fieldPosition="0"/>
    </format>
    <format dxfId="230">
      <pivotArea field="1" type="button" dataOnly="0" labelOnly="1" outline="0" axis="axisRow" fieldPosition="1"/>
    </format>
    <format dxfId="229">
      <pivotArea dataOnly="0" labelOnly="1" outline="0" fieldPosition="0">
        <references count="1">
          <reference field="11" count="0"/>
        </references>
      </pivotArea>
    </format>
    <format dxfId="228">
      <pivotArea dataOnly="0" labelOnly="1" outline="0" fieldPosition="0">
        <references count="2">
          <reference field="1" count="3">
            <x v="0"/>
            <x v="3"/>
            <x v="8"/>
          </reference>
          <reference field="11" count="1" selected="0">
            <x v="0"/>
          </reference>
        </references>
      </pivotArea>
    </format>
    <format dxfId="227">
      <pivotArea dataOnly="0" labelOnly="1" outline="0" fieldPosition="0">
        <references count="2">
          <reference field="1" count="7">
            <x v="1"/>
            <x v="2"/>
            <x v="4"/>
            <x v="5"/>
            <x v="6"/>
            <x v="7"/>
            <x v="9"/>
          </reference>
          <reference field="11" count="1" selected="0">
            <x v="1"/>
          </reference>
        </references>
      </pivotArea>
    </format>
    <format dxfId="226">
      <pivotArea type="all" dataOnly="0" outline="0" fieldPosition="0"/>
    </format>
    <format dxfId="225">
      <pivotArea field="11" type="button" dataOnly="0" labelOnly="1" outline="0" axis="axisRow" fieldPosition="0"/>
    </format>
    <format dxfId="224">
      <pivotArea field="1" type="button" dataOnly="0" labelOnly="1" outline="0" axis="axisRow" fieldPosition="1"/>
    </format>
    <format dxfId="223">
      <pivotArea dataOnly="0" labelOnly="1" outline="0" fieldPosition="0">
        <references count="1">
          <reference field="11" count="0"/>
        </references>
      </pivotArea>
    </format>
    <format dxfId="222">
      <pivotArea dataOnly="0" labelOnly="1" outline="0" fieldPosition="0">
        <references count="2">
          <reference field="1" count="3">
            <x v="0"/>
            <x v="3"/>
            <x v="8"/>
          </reference>
          <reference field="11" count="1" selected="0">
            <x v="0"/>
          </reference>
        </references>
      </pivotArea>
    </format>
    <format dxfId="221">
      <pivotArea dataOnly="0" labelOnly="1" outline="0" fieldPosition="0">
        <references count="2">
          <reference field="1" count="7">
            <x v="1"/>
            <x v="2"/>
            <x v="4"/>
            <x v="5"/>
            <x v="6"/>
            <x v="7"/>
            <x v="9"/>
          </reference>
          <reference field="11" count="1" selected="0">
            <x v="1"/>
          </reference>
        </references>
      </pivotArea>
    </format>
    <format dxfId="220">
      <pivotArea type="all" dataOnly="0" outline="0" fieldPosition="0"/>
    </format>
    <format dxfId="219">
      <pivotArea field="11" type="button" dataOnly="0" labelOnly="1" outline="0" axis="axisRow" fieldPosition="0"/>
    </format>
    <format dxfId="218">
      <pivotArea field="1" type="button" dataOnly="0" labelOnly="1" outline="0" axis="axisRow" fieldPosition="1"/>
    </format>
    <format dxfId="217">
      <pivotArea dataOnly="0" labelOnly="1" outline="0" fieldPosition="0">
        <references count="1">
          <reference field="11" count="0"/>
        </references>
      </pivotArea>
    </format>
    <format dxfId="216">
      <pivotArea dataOnly="0" labelOnly="1" outline="0" fieldPosition="0">
        <references count="2">
          <reference field="1" count="3">
            <x v="0"/>
            <x v="3"/>
            <x v="8"/>
          </reference>
          <reference field="11" count="1" selected="0">
            <x v="0"/>
          </reference>
        </references>
      </pivotArea>
    </format>
    <format dxfId="215">
      <pivotArea dataOnly="0" labelOnly="1" outline="0" fieldPosition="0">
        <references count="2">
          <reference field="1" count="7">
            <x v="1"/>
            <x v="2"/>
            <x v="4"/>
            <x v="5"/>
            <x v="6"/>
            <x v="7"/>
            <x v="9"/>
          </reference>
          <reference field="11" count="1" selected="0">
            <x v="1"/>
          </reference>
        </references>
      </pivotArea>
    </format>
    <format dxfId="214">
      <pivotArea type="all" dataOnly="0" outline="0" fieldPosition="0"/>
    </format>
    <format dxfId="213">
      <pivotArea field="11" type="button" dataOnly="0" labelOnly="1" outline="0" axis="axisRow" fieldPosition="0"/>
    </format>
    <format dxfId="212">
      <pivotArea field="1" type="button" dataOnly="0" labelOnly="1" outline="0" axis="axisRow" fieldPosition="1"/>
    </format>
    <format dxfId="211">
      <pivotArea dataOnly="0" labelOnly="1" outline="0" fieldPosition="0">
        <references count="1">
          <reference field="11" count="0"/>
        </references>
      </pivotArea>
    </format>
    <format dxfId="210">
      <pivotArea dataOnly="0" labelOnly="1" outline="0" fieldPosition="0">
        <references count="2">
          <reference field="1" count="3">
            <x v="0"/>
            <x v="3"/>
            <x v="8"/>
          </reference>
          <reference field="11" count="1" selected="0">
            <x v="0"/>
          </reference>
        </references>
      </pivotArea>
    </format>
    <format dxfId="209">
      <pivotArea dataOnly="0" labelOnly="1" outline="0" fieldPosition="0">
        <references count="2">
          <reference field="1" count="7">
            <x v="1"/>
            <x v="2"/>
            <x v="4"/>
            <x v="5"/>
            <x v="6"/>
            <x v="7"/>
            <x v="9"/>
          </reference>
          <reference field="11" count="1" selected="0">
            <x v="1"/>
          </reference>
        </references>
      </pivotArea>
    </format>
    <format dxfId="208">
      <pivotArea type="all" dataOnly="0" outline="0" fieldPosition="0"/>
    </format>
    <format dxfId="207">
      <pivotArea field="11" type="button" dataOnly="0" labelOnly="1" outline="0" axis="axisRow" fieldPosition="0"/>
    </format>
    <format dxfId="206">
      <pivotArea field="1" type="button" dataOnly="0" labelOnly="1" outline="0" axis="axisRow" fieldPosition="1"/>
    </format>
    <format dxfId="205">
      <pivotArea dataOnly="0" labelOnly="1" outline="0" fieldPosition="0">
        <references count="1">
          <reference field="11" count="0"/>
        </references>
      </pivotArea>
    </format>
    <format dxfId="204">
      <pivotArea dataOnly="0" labelOnly="1" outline="0" fieldPosition="0">
        <references count="2">
          <reference field="1" count="3">
            <x v="0"/>
            <x v="3"/>
            <x v="8"/>
          </reference>
          <reference field="11" count="1" selected="0">
            <x v="0"/>
          </reference>
        </references>
      </pivotArea>
    </format>
    <format dxfId="203">
      <pivotArea dataOnly="0" labelOnly="1" outline="0" fieldPosition="0">
        <references count="2">
          <reference field="1" count="7">
            <x v="1"/>
            <x v="2"/>
            <x v="4"/>
            <x v="5"/>
            <x v="6"/>
            <x v="7"/>
            <x v="9"/>
          </reference>
          <reference field="11" count="1" selected="0">
            <x v="1"/>
          </reference>
        </references>
      </pivotArea>
    </format>
    <format dxfId="202">
      <pivotArea type="all" dataOnly="0" outline="0" fieldPosition="0"/>
    </format>
    <format dxfId="201">
      <pivotArea field="11" type="button" dataOnly="0" labelOnly="1" outline="0" axis="axisRow" fieldPosition="0"/>
    </format>
    <format dxfId="200">
      <pivotArea field="1" type="button" dataOnly="0" labelOnly="1" outline="0" axis="axisRow" fieldPosition="1"/>
    </format>
    <format dxfId="199">
      <pivotArea dataOnly="0" labelOnly="1" outline="0" fieldPosition="0">
        <references count="1">
          <reference field="11" count="0"/>
        </references>
      </pivotArea>
    </format>
    <format dxfId="198">
      <pivotArea dataOnly="0" labelOnly="1" outline="0" fieldPosition="0">
        <references count="2">
          <reference field="1" count="3">
            <x v="0"/>
            <x v="3"/>
            <x v="8"/>
          </reference>
          <reference field="11" count="1" selected="0">
            <x v="0"/>
          </reference>
        </references>
      </pivotArea>
    </format>
    <format dxfId="197">
      <pivotArea dataOnly="0" labelOnly="1" outline="0" fieldPosition="0">
        <references count="2">
          <reference field="1" count="7">
            <x v="1"/>
            <x v="2"/>
            <x v="4"/>
            <x v="5"/>
            <x v="6"/>
            <x v="7"/>
            <x v="9"/>
          </reference>
          <reference field="11" count="1" selected="0">
            <x v="1"/>
          </reference>
        </references>
      </pivotArea>
    </format>
    <format dxfId="196">
      <pivotArea type="all" dataOnly="0" outline="0" fieldPosition="0"/>
    </format>
    <format dxfId="195">
      <pivotArea field="11" type="button" dataOnly="0" labelOnly="1" outline="0" axis="axisRow" fieldPosition="0"/>
    </format>
    <format dxfId="194">
      <pivotArea field="1" type="button" dataOnly="0" labelOnly="1" outline="0" axis="axisRow" fieldPosition="1"/>
    </format>
    <format dxfId="193">
      <pivotArea dataOnly="0" labelOnly="1" outline="0" fieldPosition="0">
        <references count="1">
          <reference field="11" count="0"/>
        </references>
      </pivotArea>
    </format>
    <format dxfId="192">
      <pivotArea dataOnly="0" labelOnly="1" outline="0" fieldPosition="0">
        <references count="2">
          <reference field="1" count="3">
            <x v="0"/>
            <x v="3"/>
            <x v="8"/>
          </reference>
          <reference field="11" count="1" selected="0">
            <x v="0"/>
          </reference>
        </references>
      </pivotArea>
    </format>
    <format dxfId="191">
      <pivotArea dataOnly="0" labelOnly="1" outline="0" fieldPosition="0">
        <references count="2">
          <reference field="1" count="7">
            <x v="1"/>
            <x v="2"/>
            <x v="4"/>
            <x v="5"/>
            <x v="6"/>
            <x v="7"/>
            <x v="9"/>
          </reference>
          <reference field="11" count="1" selected="0">
            <x v="1"/>
          </reference>
        </references>
      </pivotArea>
    </format>
    <format dxfId="190">
      <pivotArea type="all" dataOnly="0" outline="0" fieldPosition="0"/>
    </format>
    <format dxfId="189">
      <pivotArea field="11" type="button" dataOnly="0" labelOnly="1" outline="0" axis="axisRow" fieldPosition="0"/>
    </format>
    <format dxfId="188">
      <pivotArea field="1" type="button" dataOnly="0" labelOnly="1" outline="0" axis="axisRow" fieldPosition="1"/>
    </format>
    <format dxfId="187">
      <pivotArea dataOnly="0" labelOnly="1" outline="0" fieldPosition="0">
        <references count="1">
          <reference field="11" count="0"/>
        </references>
      </pivotArea>
    </format>
    <format dxfId="186">
      <pivotArea dataOnly="0" labelOnly="1" outline="0" fieldPosition="0">
        <references count="2">
          <reference field="1" count="3">
            <x v="0"/>
            <x v="3"/>
            <x v="8"/>
          </reference>
          <reference field="11" count="1" selected="0">
            <x v="0"/>
          </reference>
        </references>
      </pivotArea>
    </format>
    <format dxfId="185">
      <pivotArea dataOnly="0" labelOnly="1" outline="0" fieldPosition="0">
        <references count="2">
          <reference field="1" count="7">
            <x v="1"/>
            <x v="2"/>
            <x v="4"/>
            <x v="5"/>
            <x v="6"/>
            <x v="7"/>
            <x v="9"/>
          </reference>
          <reference field="11" count="1" selected="0">
            <x v="1"/>
          </reference>
        </references>
      </pivotArea>
    </format>
    <format dxfId="184">
      <pivotArea field="11" type="button" dataOnly="0" labelOnly="1" outline="0" axis="axisRow" fieldPosition="0"/>
    </format>
    <format dxfId="183">
      <pivotArea field="1" type="button" dataOnly="0" labelOnly="1" outline="0" axis="axisRow" fieldPosition="1"/>
    </format>
    <format dxfId="182">
      <pivotArea field="11" type="button" dataOnly="0" labelOnly="1" outline="0" axis="axisRow" fieldPosition="0"/>
    </format>
    <format dxfId="181">
      <pivotArea field="1" type="button" dataOnly="0" labelOnly="1" outline="0" axis="axisRow" fieldPosition="1"/>
    </format>
    <format dxfId="180">
      <pivotArea dataOnly="0" labelOnly="1" outline="0" fieldPosition="0">
        <references count="2">
          <reference field="1" count="1">
            <x v="0"/>
          </reference>
          <reference field="11" count="1" selected="0">
            <x v="0"/>
          </reference>
        </references>
      </pivotArea>
    </format>
    <format dxfId="179">
      <pivotArea dataOnly="0" labelOnly="1" outline="0" fieldPosition="0">
        <references count="1">
          <reference field="11" count="1">
            <x v="0"/>
          </reference>
        </references>
      </pivotArea>
    </format>
    <format dxfId="178">
      <pivotArea dataOnly="0" labelOnly="1" outline="0" fieldPosition="0">
        <references count="2">
          <reference field="1" count="1">
            <x v="0"/>
          </reference>
          <reference field="11" count="1" selected="0">
            <x v="0"/>
          </reference>
        </references>
      </pivotArea>
    </format>
    <format dxfId="177">
      <pivotArea dataOnly="0" labelOnly="1" outline="0" fieldPosition="0">
        <references count="2">
          <reference field="1" count="1">
            <x v="8"/>
          </reference>
          <reference field="11" count="1" selected="0">
            <x v="0"/>
          </reference>
        </references>
      </pivotArea>
    </format>
    <format dxfId="176">
      <pivotArea dataOnly="0" labelOnly="1" outline="0" fieldPosition="0">
        <references count="1">
          <reference field="11" count="1">
            <x v="0"/>
          </reference>
        </references>
      </pivotArea>
    </format>
    <format dxfId="175">
      <pivotArea dataOnly="0" labelOnly="1" outline="0" fieldPosition="0">
        <references count="2">
          <reference field="1" count="1">
            <x v="8"/>
          </reference>
          <reference field="11" count="1" selected="0">
            <x v="0"/>
          </reference>
        </references>
      </pivotArea>
    </format>
    <format dxfId="174">
      <pivotArea dataOnly="0" labelOnly="1" outline="0" fieldPosition="0">
        <references count="2">
          <reference field="1" count="1">
            <x v="1"/>
          </reference>
          <reference field="11" count="1" selected="0">
            <x v="1"/>
          </reference>
        </references>
      </pivotArea>
    </format>
    <format dxfId="173">
      <pivotArea dataOnly="0" labelOnly="1" outline="0" fieldPosition="0">
        <references count="1">
          <reference field="11" count="1">
            <x v="1"/>
          </reference>
        </references>
      </pivotArea>
    </format>
    <format dxfId="172">
      <pivotArea dataOnly="0" labelOnly="1" outline="0" fieldPosition="0">
        <references count="2">
          <reference field="1" count="1">
            <x v="1"/>
          </reference>
          <reference field="11" count="1" selected="0">
            <x v="1"/>
          </reference>
        </references>
      </pivotArea>
    </format>
    <format dxfId="171">
      <pivotArea dataOnly="0" labelOnly="1" outline="0" fieldPosition="0">
        <references count="2">
          <reference field="1" count="1">
            <x v="9"/>
          </reference>
          <reference field="11" count="1" selected="0">
            <x v="1"/>
          </reference>
        </references>
      </pivotArea>
    </format>
    <format dxfId="170">
      <pivotArea dataOnly="0" labelOnly="1" outline="0" fieldPosition="0">
        <references count="1">
          <reference field="11" count="1">
            <x v="1"/>
          </reference>
        </references>
      </pivotArea>
    </format>
    <format dxfId="169">
      <pivotArea dataOnly="0" labelOnly="1" outline="0" fieldPosition="0">
        <references count="2">
          <reference field="1" count="1">
            <x v="9"/>
          </reference>
          <reference field="11" count="1" selected="0">
            <x v="1"/>
          </reference>
        </references>
      </pivotArea>
    </format>
    <format dxfId="161">
      <pivotArea type="all" dataOnly="0" outline="0" fieldPosition="0"/>
    </format>
    <format dxfId="160">
      <pivotArea field="11" type="button" dataOnly="0" labelOnly="1" outline="0" axis="axisRow" fieldPosition="0"/>
    </format>
    <format dxfId="159">
      <pivotArea field="1" type="button" dataOnly="0" labelOnly="1" outline="0" axis="axisRow" fieldPosition="1"/>
    </format>
    <format dxfId="158">
      <pivotArea dataOnly="0" labelOnly="1" outline="0" fieldPosition="0">
        <references count="1">
          <reference field="11" count="0"/>
        </references>
      </pivotArea>
    </format>
    <format dxfId="157">
      <pivotArea dataOnly="0" labelOnly="1" outline="0" fieldPosition="0">
        <references count="2">
          <reference field="1" count="3">
            <x v="0"/>
            <x v="3"/>
            <x v="8"/>
          </reference>
          <reference field="11" count="1" selected="0">
            <x v="0"/>
          </reference>
        </references>
      </pivotArea>
    </format>
    <format dxfId="156">
      <pivotArea dataOnly="0" labelOnly="1" outline="0" fieldPosition="0">
        <references count="2">
          <reference field="1" count="7">
            <x v="1"/>
            <x v="2"/>
            <x v="4"/>
            <x v="5"/>
            <x v="6"/>
            <x v="7"/>
            <x v="9"/>
          </reference>
          <reference field="11" count="1" selected="0">
            <x v="1"/>
          </reference>
        </references>
      </pivotArea>
    </format>
    <format dxfId="155">
      <pivotArea type="all" dataOnly="0" outline="0" fieldPosition="0"/>
    </format>
    <format dxfId="154">
      <pivotArea field="11" type="button" dataOnly="0" labelOnly="1" outline="0" axis="axisRow" fieldPosition="0"/>
    </format>
    <format dxfId="153">
      <pivotArea field="1" type="button" dataOnly="0" labelOnly="1" outline="0" axis="axisRow" fieldPosition="1"/>
    </format>
    <format dxfId="152">
      <pivotArea dataOnly="0" labelOnly="1" outline="0" fieldPosition="0">
        <references count="1">
          <reference field="11" count="0"/>
        </references>
      </pivotArea>
    </format>
    <format dxfId="151">
      <pivotArea dataOnly="0" labelOnly="1" outline="0" fieldPosition="0">
        <references count="2">
          <reference field="1" count="3">
            <x v="0"/>
            <x v="3"/>
            <x v="8"/>
          </reference>
          <reference field="11" count="1" selected="0">
            <x v="0"/>
          </reference>
        </references>
      </pivotArea>
    </format>
    <format dxfId="150">
      <pivotArea dataOnly="0" labelOnly="1" outline="0" fieldPosition="0">
        <references count="2">
          <reference field="1" count="7">
            <x v="1"/>
            <x v="2"/>
            <x v="4"/>
            <x v="5"/>
            <x v="6"/>
            <x v="7"/>
            <x v="9"/>
          </reference>
          <reference field="11" count="1" selected="0">
            <x v="1"/>
          </reference>
        </references>
      </pivotArea>
    </format>
    <format dxfId="149">
      <pivotArea type="all" dataOnly="0" outline="0" fieldPosition="0"/>
    </format>
    <format dxfId="148">
      <pivotArea field="11" type="button" dataOnly="0" labelOnly="1" outline="0" axis="axisRow" fieldPosition="0"/>
    </format>
    <format dxfId="147">
      <pivotArea field="1" type="button" dataOnly="0" labelOnly="1" outline="0" axis="axisRow" fieldPosition="1"/>
    </format>
    <format dxfId="146">
      <pivotArea dataOnly="0" labelOnly="1" outline="0" fieldPosition="0">
        <references count="1">
          <reference field="11" count="0"/>
        </references>
      </pivotArea>
    </format>
    <format dxfId="145">
      <pivotArea dataOnly="0" labelOnly="1" outline="0" fieldPosition="0">
        <references count="2">
          <reference field="1" count="3">
            <x v="0"/>
            <x v="3"/>
            <x v="8"/>
          </reference>
          <reference field="11" count="1" selected="0">
            <x v="0"/>
          </reference>
        </references>
      </pivotArea>
    </format>
    <format dxfId="144">
      <pivotArea dataOnly="0" labelOnly="1" outline="0" fieldPosition="0">
        <references count="2">
          <reference field="1" count="7">
            <x v="1"/>
            <x v="2"/>
            <x v="4"/>
            <x v="5"/>
            <x v="6"/>
            <x v="7"/>
            <x v="9"/>
          </reference>
          <reference field="11" count="1" selected="0">
            <x v="1"/>
          </reference>
        </references>
      </pivotArea>
    </format>
    <format dxfId="143">
      <pivotArea type="all" dataOnly="0" outline="0" fieldPosition="0"/>
    </format>
    <format dxfId="142">
      <pivotArea field="11" type="button" dataOnly="0" labelOnly="1" outline="0" axis="axisRow" fieldPosition="0"/>
    </format>
    <format dxfId="141">
      <pivotArea field="1" type="button" dataOnly="0" labelOnly="1" outline="0" axis="axisRow" fieldPosition="1"/>
    </format>
    <format dxfId="140">
      <pivotArea dataOnly="0" labelOnly="1" outline="0" fieldPosition="0">
        <references count="1">
          <reference field="11" count="0"/>
        </references>
      </pivotArea>
    </format>
    <format dxfId="139">
      <pivotArea dataOnly="0" labelOnly="1" outline="0" fieldPosition="0">
        <references count="2">
          <reference field="1" count="3">
            <x v="0"/>
            <x v="3"/>
            <x v="8"/>
          </reference>
          <reference field="11" count="1" selected="0">
            <x v="0"/>
          </reference>
        </references>
      </pivotArea>
    </format>
    <format dxfId="138">
      <pivotArea dataOnly="0" labelOnly="1" outline="0" fieldPosition="0">
        <references count="2">
          <reference field="1" count="7">
            <x v="1"/>
            <x v="2"/>
            <x v="4"/>
            <x v="5"/>
            <x v="6"/>
            <x v="7"/>
            <x v="9"/>
          </reference>
          <reference field="11" count="1" selected="0">
            <x v="1"/>
          </reference>
        </references>
      </pivotArea>
    </format>
    <format dxfId="137">
      <pivotArea type="all" dataOnly="0" outline="0" fieldPosition="0"/>
    </format>
    <format dxfId="136">
      <pivotArea field="11" type="button" dataOnly="0" labelOnly="1" outline="0" axis="axisRow" fieldPosition="0"/>
    </format>
    <format dxfId="135">
      <pivotArea field="1" type="button" dataOnly="0" labelOnly="1" outline="0" axis="axisRow" fieldPosition="1"/>
    </format>
    <format dxfId="134">
      <pivotArea dataOnly="0" labelOnly="1" outline="0" fieldPosition="0">
        <references count="1">
          <reference field="11" count="0"/>
        </references>
      </pivotArea>
    </format>
    <format dxfId="133">
      <pivotArea dataOnly="0" labelOnly="1" outline="0" fieldPosition="0">
        <references count="2">
          <reference field="1" count="3">
            <x v="0"/>
            <x v="3"/>
            <x v="8"/>
          </reference>
          <reference field="11" count="1" selected="0">
            <x v="0"/>
          </reference>
        </references>
      </pivotArea>
    </format>
    <format dxfId="132">
      <pivotArea dataOnly="0" labelOnly="1" outline="0" fieldPosition="0">
        <references count="2">
          <reference field="1" count="7">
            <x v="1"/>
            <x v="2"/>
            <x v="4"/>
            <x v="5"/>
            <x v="6"/>
            <x v="7"/>
            <x v="9"/>
          </reference>
          <reference field="11" count="1" selected="0">
            <x v="1"/>
          </reference>
        </references>
      </pivotArea>
    </format>
    <format dxfId="131">
      <pivotArea field="11" type="button" dataOnly="0" labelOnly="1" outline="0" axis="axisRow" fieldPosition="0"/>
    </format>
    <format dxfId="130">
      <pivotArea field="1" type="button" dataOnly="0" labelOnly="1" outline="0" axis="axisRow" fieldPosition="1"/>
    </format>
    <format dxfId="129">
      <pivotArea field="11" type="button" dataOnly="0" labelOnly="1" outline="0" axis="axisRow" fieldPosition="0"/>
    </format>
    <format dxfId="128">
      <pivotArea field="1" type="button" dataOnly="0" labelOnly="1" outline="0" axis="axisRow" fieldPosition="1"/>
    </format>
    <format dxfId="127">
      <pivotArea dataOnly="0" labelOnly="1" outline="0" fieldPosition="0">
        <references count="2">
          <reference field="1" count="1">
            <x v="0"/>
          </reference>
          <reference field="11" count="1" selected="0">
            <x v="0"/>
          </reference>
        </references>
      </pivotArea>
    </format>
    <format dxfId="126">
      <pivotArea dataOnly="0" labelOnly="1" outline="0" fieldPosition="0">
        <references count="1">
          <reference field="11" count="1">
            <x v="0"/>
          </reference>
        </references>
      </pivotArea>
    </format>
    <format dxfId="125">
      <pivotArea dataOnly="0" labelOnly="1" outline="0" fieldPosition="0">
        <references count="2">
          <reference field="1" count="1">
            <x v="0"/>
          </reference>
          <reference field="11" count="1" selected="0">
            <x v="0"/>
          </reference>
        </references>
      </pivotArea>
    </format>
    <format dxfId="124">
      <pivotArea dataOnly="0" labelOnly="1" outline="0" fieldPosition="0">
        <references count="2">
          <reference field="1" count="1">
            <x v="8"/>
          </reference>
          <reference field="11" count="1" selected="0">
            <x v="0"/>
          </reference>
        </references>
      </pivotArea>
    </format>
    <format dxfId="123">
      <pivotArea dataOnly="0" labelOnly="1" outline="0" fieldPosition="0">
        <references count="1">
          <reference field="11" count="1">
            <x v="0"/>
          </reference>
        </references>
      </pivotArea>
    </format>
    <format dxfId="122">
      <pivotArea dataOnly="0" labelOnly="1" outline="0" fieldPosition="0">
        <references count="2">
          <reference field="1" count="1">
            <x v="8"/>
          </reference>
          <reference field="11" count="1" selected="0">
            <x v="0"/>
          </reference>
        </references>
      </pivotArea>
    </format>
    <format dxfId="121">
      <pivotArea dataOnly="0" labelOnly="1" outline="0" fieldPosition="0">
        <references count="2">
          <reference field="1" count="1">
            <x v="1"/>
          </reference>
          <reference field="11" count="1" selected="0">
            <x v="1"/>
          </reference>
        </references>
      </pivotArea>
    </format>
    <format dxfId="120">
      <pivotArea dataOnly="0" labelOnly="1" outline="0" fieldPosition="0">
        <references count="1">
          <reference field="11" count="1">
            <x v="1"/>
          </reference>
        </references>
      </pivotArea>
    </format>
    <format dxfId="119">
      <pivotArea dataOnly="0" labelOnly="1" outline="0" fieldPosition="0">
        <references count="2">
          <reference field="1" count="1">
            <x v="1"/>
          </reference>
          <reference field="11" count="1" selected="0">
            <x v="1"/>
          </reference>
        </references>
      </pivotArea>
    </format>
    <format dxfId="118">
      <pivotArea dataOnly="0" labelOnly="1" outline="0" fieldPosition="0">
        <references count="2">
          <reference field="1" count="1">
            <x v="9"/>
          </reference>
          <reference field="11" count="1" selected="0">
            <x v="1"/>
          </reference>
        </references>
      </pivotArea>
    </format>
    <format dxfId="117">
      <pivotArea dataOnly="0" labelOnly="1" outline="0" fieldPosition="0">
        <references count="1">
          <reference field="11" count="1">
            <x v="1"/>
          </reference>
        </references>
      </pivotArea>
    </format>
    <format dxfId="116">
      <pivotArea dataOnly="0" labelOnly="1" outline="0" fieldPosition="0">
        <references count="2">
          <reference field="1" count="1">
            <x v="9"/>
          </reference>
          <reference field="11" count="1" selected="0">
            <x v="1"/>
          </reference>
        </references>
      </pivotArea>
    </format>
    <format dxfId="97">
      <pivotArea type="all" dataOnly="0" outline="0" fieldPosition="0"/>
    </format>
    <format dxfId="96">
      <pivotArea field="11" type="button" dataOnly="0" labelOnly="1" outline="0" axis="axisRow" fieldPosition="0"/>
    </format>
    <format dxfId="95">
      <pivotArea field="1" type="button" dataOnly="0" labelOnly="1" outline="0" axis="axisRow" fieldPosition="1"/>
    </format>
    <format dxfId="94">
      <pivotArea dataOnly="0" labelOnly="1" outline="0" fieldPosition="0">
        <references count="1">
          <reference field="11" count="0"/>
        </references>
      </pivotArea>
    </format>
    <format dxfId="93">
      <pivotArea dataOnly="0" labelOnly="1" outline="0" fieldPosition="0">
        <references count="2">
          <reference field="1" count="3">
            <x v="0"/>
            <x v="3"/>
            <x v="8"/>
          </reference>
          <reference field="11" count="1" selected="0">
            <x v="0"/>
          </reference>
        </references>
      </pivotArea>
    </format>
    <format dxfId="92">
      <pivotArea dataOnly="0" labelOnly="1" outline="0" fieldPosition="0">
        <references count="2">
          <reference field="1" count="7">
            <x v="1"/>
            <x v="2"/>
            <x v="4"/>
            <x v="5"/>
            <x v="6"/>
            <x v="7"/>
            <x v="9"/>
          </reference>
          <reference field="11" count="1" selected="0">
            <x v="1"/>
          </reference>
        </references>
      </pivotArea>
    </format>
    <format dxfId="91">
      <pivotArea type="all" dataOnly="0" outline="0" fieldPosition="0"/>
    </format>
    <format dxfId="90">
      <pivotArea field="11" type="button" dataOnly="0" labelOnly="1" outline="0" axis="axisRow" fieldPosition="0"/>
    </format>
    <format dxfId="89">
      <pivotArea field="1" type="button" dataOnly="0" labelOnly="1" outline="0" axis="axisRow" fieldPosition="1"/>
    </format>
    <format dxfId="88">
      <pivotArea dataOnly="0" labelOnly="1" outline="0" fieldPosition="0">
        <references count="1">
          <reference field="11" count="0"/>
        </references>
      </pivotArea>
    </format>
    <format dxfId="87">
      <pivotArea dataOnly="0" labelOnly="1" outline="0" fieldPosition="0">
        <references count="2">
          <reference field="1" count="3">
            <x v="0"/>
            <x v="3"/>
            <x v="8"/>
          </reference>
          <reference field="11" count="1" selected="0">
            <x v="0"/>
          </reference>
        </references>
      </pivotArea>
    </format>
    <format dxfId="86">
      <pivotArea dataOnly="0" labelOnly="1" outline="0" fieldPosition="0">
        <references count="2">
          <reference field="1" count="7">
            <x v="1"/>
            <x v="2"/>
            <x v="4"/>
            <x v="5"/>
            <x v="6"/>
            <x v="7"/>
            <x v="9"/>
          </reference>
          <reference field="11" count="1" selected="0">
            <x v="1"/>
          </reference>
        </references>
      </pivotArea>
    </format>
    <format dxfId="85">
      <pivotArea type="all" dataOnly="0" outline="0" fieldPosition="0"/>
    </format>
    <format dxfId="84">
      <pivotArea field="11" type="button" dataOnly="0" labelOnly="1" outline="0" axis="axisRow" fieldPosition="0"/>
    </format>
    <format dxfId="83">
      <pivotArea field="1" type="button" dataOnly="0" labelOnly="1" outline="0" axis="axisRow" fieldPosition="1"/>
    </format>
    <format dxfId="82">
      <pivotArea dataOnly="0" labelOnly="1" outline="0" fieldPosition="0">
        <references count="1">
          <reference field="11" count="0"/>
        </references>
      </pivotArea>
    </format>
    <format dxfId="81">
      <pivotArea dataOnly="0" labelOnly="1" outline="0" fieldPosition="0">
        <references count="2">
          <reference field="1" count="3">
            <x v="0"/>
            <x v="3"/>
            <x v="8"/>
          </reference>
          <reference field="11" count="1" selected="0">
            <x v="0"/>
          </reference>
        </references>
      </pivotArea>
    </format>
    <format dxfId="80">
      <pivotArea dataOnly="0" labelOnly="1" outline="0" fieldPosition="0">
        <references count="2">
          <reference field="1" count="7">
            <x v="1"/>
            <x v="2"/>
            <x v="4"/>
            <x v="5"/>
            <x v="6"/>
            <x v="7"/>
            <x v="9"/>
          </reference>
          <reference field="11" count="1" selected="0">
            <x v="1"/>
          </reference>
        </references>
      </pivotArea>
    </format>
    <format dxfId="66">
      <pivotArea type="all" dataOnly="0" outline="0" fieldPosition="0"/>
    </format>
    <format dxfId="65">
      <pivotArea field="11" type="button" dataOnly="0" labelOnly="1" outline="0" axis="axisRow" fieldPosition="0"/>
    </format>
    <format dxfId="64">
      <pivotArea field="1" type="button" dataOnly="0" labelOnly="1" outline="0" axis="axisRow" fieldPosition="1"/>
    </format>
    <format dxfId="63">
      <pivotArea dataOnly="0" labelOnly="1" outline="0" fieldPosition="0">
        <references count="1">
          <reference field="11" count="0"/>
        </references>
      </pivotArea>
    </format>
    <format dxfId="62">
      <pivotArea dataOnly="0" labelOnly="1" outline="0" fieldPosition="0">
        <references count="2">
          <reference field="1" count="3">
            <x v="0"/>
            <x v="3"/>
            <x v="8"/>
          </reference>
          <reference field="11" count="1" selected="0">
            <x v="0"/>
          </reference>
        </references>
      </pivotArea>
    </format>
    <format dxfId="61">
      <pivotArea dataOnly="0" labelOnly="1" outline="0" fieldPosition="0">
        <references count="2">
          <reference field="1" count="7">
            <x v="1"/>
            <x v="2"/>
            <x v="4"/>
            <x v="5"/>
            <x v="6"/>
            <x v="7"/>
            <x v="9"/>
          </reference>
          <reference field="11" count="1" selected="0">
            <x v="1"/>
          </reference>
        </references>
      </pivotArea>
    </format>
    <format dxfId="58">
      <pivotArea field="11" type="button" dataOnly="0" labelOnly="1" outline="0" axis="axisRow" fieldPosition="0"/>
    </format>
    <format dxfId="57">
      <pivotArea field="1" type="button" dataOnly="0" labelOnly="1" outline="0" axis="axisRow" fieldPosition="1"/>
    </format>
    <format dxfId="56">
      <pivotArea field="11" type="button" dataOnly="0" labelOnly="1" outline="0" axis="axisRow" fieldPosition="0"/>
    </format>
    <format dxfId="55">
      <pivotArea field="1" type="button" dataOnly="0" labelOnly="1" outline="0" axis="axisRow" fieldPosition="1"/>
    </format>
    <format dxfId="54">
      <pivotArea dataOnly="0" labelOnly="1" outline="0" offset="IV1" fieldPosition="0">
        <references count="1">
          <reference field="11" count="1">
            <x v="0"/>
          </reference>
        </references>
      </pivotArea>
    </format>
    <format dxfId="53">
      <pivotArea dataOnly="0" labelOnly="1" outline="0" fieldPosition="0">
        <references count="2">
          <reference field="1" count="1">
            <x v="0"/>
          </reference>
          <reference field="11" count="1" selected="0">
            <x v="0"/>
          </reference>
        </references>
      </pivotArea>
    </format>
    <format dxfId="52">
      <pivotArea dataOnly="0" labelOnly="1" outline="0" fieldPosition="0">
        <references count="1">
          <reference field="11" count="1">
            <x v="0"/>
          </reference>
        </references>
      </pivotArea>
    </format>
    <format dxfId="51">
      <pivotArea dataOnly="0" labelOnly="1" outline="0" fieldPosition="0">
        <references count="2">
          <reference field="1" count="1">
            <x v="0"/>
          </reference>
          <reference field="11" count="1" selected="0">
            <x v="0"/>
          </reference>
        </references>
      </pivotArea>
    </format>
    <format dxfId="50">
      <pivotArea dataOnly="0" labelOnly="1" outline="0" offset="IV2" fieldPosition="0">
        <references count="1">
          <reference field="11" count="1">
            <x v="0"/>
          </reference>
        </references>
      </pivotArea>
    </format>
    <format dxfId="49">
      <pivotArea dataOnly="0" labelOnly="1" outline="0" fieldPosition="0">
        <references count="2">
          <reference field="1" count="1">
            <x v="3"/>
          </reference>
          <reference field="11" count="1" selected="0">
            <x v="0"/>
          </reference>
        </references>
      </pivotArea>
    </format>
    <format dxfId="48">
      <pivotArea dataOnly="0" labelOnly="1" outline="0" offset="IV256" fieldPosition="0">
        <references count="1">
          <reference field="11" count="1">
            <x v="0"/>
          </reference>
        </references>
      </pivotArea>
    </format>
    <format dxfId="47">
      <pivotArea dataOnly="0" labelOnly="1" outline="0" fieldPosition="0">
        <references count="2">
          <reference field="1" count="1">
            <x v="8"/>
          </reference>
          <reference field="11" count="1" selected="0">
            <x v="0"/>
          </reference>
        </references>
      </pivotArea>
    </format>
    <format dxfId="46">
      <pivotArea dataOnly="0" labelOnly="1" outline="0" fieldPosition="0">
        <references count="1">
          <reference field="11" count="1">
            <x v="0"/>
          </reference>
        </references>
      </pivotArea>
    </format>
    <format dxfId="45">
      <pivotArea dataOnly="0" labelOnly="1" outline="0" fieldPosition="0">
        <references count="2">
          <reference field="1" count="1">
            <x v="8"/>
          </reference>
          <reference field="11" count="1" selected="0">
            <x v="0"/>
          </reference>
        </references>
      </pivotArea>
    </format>
    <format dxfId="44">
      <pivotArea dataOnly="0" labelOnly="1" outline="0" offset="IV1" fieldPosition="0">
        <references count="1">
          <reference field="11" count="1">
            <x v="1"/>
          </reference>
        </references>
      </pivotArea>
    </format>
    <format dxfId="43">
      <pivotArea dataOnly="0" labelOnly="1" outline="0" fieldPosition="0">
        <references count="2">
          <reference field="1" count="1">
            <x v="1"/>
          </reference>
          <reference field="11" count="1" selected="0">
            <x v="1"/>
          </reference>
        </references>
      </pivotArea>
    </format>
    <format dxfId="42">
      <pivotArea dataOnly="0" labelOnly="1" outline="0" fieldPosition="0">
        <references count="1">
          <reference field="11" count="1">
            <x v="1"/>
          </reference>
        </references>
      </pivotArea>
    </format>
    <format dxfId="41">
      <pivotArea dataOnly="0" labelOnly="1" outline="0" fieldPosition="0">
        <references count="2">
          <reference field="1" count="1">
            <x v="1"/>
          </reference>
          <reference field="11" count="1" selected="0">
            <x v="1"/>
          </reference>
        </references>
      </pivotArea>
    </format>
    <format dxfId="40">
      <pivotArea dataOnly="0" labelOnly="1" outline="0" offset="IV2" fieldPosition="0">
        <references count="1">
          <reference field="11" count="1">
            <x v="1"/>
          </reference>
        </references>
      </pivotArea>
    </format>
    <format dxfId="39">
      <pivotArea dataOnly="0" labelOnly="1" outline="0" fieldPosition="0">
        <references count="2">
          <reference field="1" count="1">
            <x v="2"/>
          </reference>
          <reference field="11" count="1" selected="0">
            <x v="1"/>
          </reference>
        </references>
      </pivotArea>
    </format>
    <format dxfId="38">
      <pivotArea dataOnly="0" labelOnly="1" outline="0" offset="IV3" fieldPosition="0">
        <references count="1">
          <reference field="11" count="1">
            <x v="1"/>
          </reference>
        </references>
      </pivotArea>
    </format>
    <format dxfId="37">
      <pivotArea dataOnly="0" labelOnly="1" outline="0" fieldPosition="0">
        <references count="2">
          <reference field="1" count="1">
            <x v="4"/>
          </reference>
          <reference field="11" count="1" selected="0">
            <x v="1"/>
          </reference>
        </references>
      </pivotArea>
    </format>
    <format dxfId="36">
      <pivotArea dataOnly="0" labelOnly="1" outline="0" offset="IV4" fieldPosition="0">
        <references count="1">
          <reference field="11" count="1">
            <x v="1"/>
          </reference>
        </references>
      </pivotArea>
    </format>
    <format dxfId="35">
      <pivotArea dataOnly="0" labelOnly="1" outline="0" fieldPosition="0">
        <references count="2">
          <reference field="1" count="1">
            <x v="5"/>
          </reference>
          <reference field="11" count="1" selected="0">
            <x v="1"/>
          </reference>
        </references>
      </pivotArea>
    </format>
    <format dxfId="34">
      <pivotArea dataOnly="0" labelOnly="1" outline="0" offset="IV5" fieldPosition="0">
        <references count="1">
          <reference field="11" count="1">
            <x v="1"/>
          </reference>
        </references>
      </pivotArea>
    </format>
    <format dxfId="33">
      <pivotArea dataOnly="0" labelOnly="1" outline="0" fieldPosition="0">
        <references count="2">
          <reference field="1" count="1">
            <x v="6"/>
          </reference>
          <reference field="11" count="1" selected="0">
            <x v="1"/>
          </reference>
        </references>
      </pivotArea>
    </format>
    <format dxfId="32">
      <pivotArea dataOnly="0" labelOnly="1" outline="0" offset="IV6" fieldPosition="0">
        <references count="1">
          <reference field="11" count="1">
            <x v="1"/>
          </reference>
        </references>
      </pivotArea>
    </format>
    <format dxfId="31">
      <pivotArea dataOnly="0" labelOnly="1" outline="0" fieldPosition="0">
        <references count="2">
          <reference field="1" count="1">
            <x v="7"/>
          </reference>
          <reference field="11" count="1" selected="0">
            <x v="1"/>
          </reference>
        </references>
      </pivotArea>
    </format>
    <format dxfId="30">
      <pivotArea dataOnly="0" labelOnly="1" outline="0" offset="IV256" fieldPosition="0">
        <references count="1">
          <reference field="11" count="1">
            <x v="1"/>
          </reference>
        </references>
      </pivotArea>
    </format>
    <format dxfId="29">
      <pivotArea dataOnly="0" labelOnly="1" outline="0" fieldPosition="0">
        <references count="2">
          <reference field="1" count="1">
            <x v="9"/>
          </reference>
          <reference field="11" count="1" selected="0">
            <x v="1"/>
          </reference>
        </references>
      </pivotArea>
    </format>
    <format dxfId="28">
      <pivotArea dataOnly="0" labelOnly="1" outline="0" fieldPosition="0">
        <references count="1">
          <reference field="11" count="1">
            <x v="1"/>
          </reference>
        </references>
      </pivotArea>
    </format>
    <format dxfId="27">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9"/>
    </i>
  </rowItem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8">
  <a r="1" c="250">
    <v t="i">0</v>
    <v t="i">1</v>
    <v t="i">4</v>
    <v t="i">5</v>
    <v t="i">6</v>
    <v t="i">7</v>
    <v t="i">8</v>
    <v t="i">11</v>
    <v t="i">12</v>
    <v t="i">13</v>
    <v t="i">14</v>
    <v t="i">18</v>
    <v t="i">19</v>
    <v t="i">20</v>
    <v t="i">21</v>
    <v t="i">22</v>
    <v t="i">25</v>
    <v t="i">26</v>
    <v t="i">27</v>
    <v t="i">28</v>
    <v t="i">29</v>
    <v t="i">32</v>
    <v t="i">33</v>
    <v t="i">34</v>
    <v t="i">35</v>
    <v t="i">36</v>
    <v t="i">39</v>
    <v t="i">40</v>
    <v t="i">41</v>
    <v t="i">42</v>
    <v t="i">43</v>
    <v t="i">46</v>
    <v t="i">47</v>
    <v t="i">48</v>
    <v t="i">49</v>
    <v t="i">50</v>
    <v t="i">54</v>
    <v t="i">55</v>
    <v t="i">56</v>
    <v t="i">57</v>
    <v t="i">60</v>
    <v t="i">61</v>
    <v t="i">62</v>
    <v t="i">63</v>
    <v t="i">64</v>
    <v t="i">67</v>
    <v t="i">68</v>
    <v t="i">69</v>
    <v t="i">70</v>
    <v t="i">71</v>
    <v t="i">74</v>
    <v t="i">75</v>
    <v t="i">76</v>
    <v t="i">78</v>
    <v t="i">81</v>
    <v t="i">82</v>
    <v t="i">83</v>
    <v t="i">84</v>
    <v t="i">85</v>
    <v t="i">88</v>
    <v t="i">89</v>
    <v t="i">90</v>
    <v t="i">91</v>
    <v t="i">95</v>
    <v t="i">96</v>
    <v t="i">97</v>
    <v t="i">98</v>
    <v t="i">99</v>
    <v t="i">102</v>
    <v t="i">103</v>
    <v t="i">104</v>
    <v t="i">105</v>
    <v t="i">106</v>
    <v t="i">109</v>
    <v t="i">110</v>
    <v t="i">111</v>
    <v t="i">112</v>
    <v t="i">113</v>
    <v t="i">116</v>
    <v t="i">117</v>
    <v t="i">118</v>
    <v t="i">119</v>
    <v t="i">120</v>
    <v t="i">123</v>
    <v t="i">124</v>
    <v t="i">125</v>
    <v t="i">126</v>
    <v t="i">127</v>
    <v t="i">130</v>
    <v t="i">131</v>
    <v t="i">132</v>
    <v t="i">133</v>
    <v t="i">134</v>
    <v t="i">137</v>
    <v t="i">138</v>
    <v t="i">139</v>
    <v t="i">140</v>
    <v t="i">141</v>
    <v t="i">144</v>
    <v t="i">145</v>
    <v t="i">146</v>
    <v t="i">147</v>
    <v t="i">148</v>
    <v t="i">152</v>
    <v t="i">153</v>
    <v t="i">154</v>
    <v t="i">155</v>
    <v t="i">158</v>
    <v t="i">159</v>
    <v t="i">160</v>
    <v t="i">161</v>
    <v t="i">162</v>
    <v t="i">165</v>
    <v t="i">166</v>
    <v t="i">167</v>
    <v t="i">168</v>
    <v t="i">169</v>
    <v t="i">172</v>
    <v t="i">173</v>
    <v t="i">174</v>
    <v t="i">175</v>
    <v t="i">176</v>
    <v t="i">179</v>
    <v t="i">180</v>
    <v t="i">181</v>
    <v t="i">182</v>
    <v t="i">183</v>
    <v t="i">186</v>
    <v t="i">187</v>
    <v t="i">188</v>
    <v t="i">189</v>
    <v t="i">190</v>
    <v t="i">193</v>
    <v t="i">194</v>
    <v t="i">195</v>
    <v t="i">196</v>
    <v t="i">197</v>
    <v t="i">200</v>
    <v t="i">201</v>
    <v t="i">202</v>
    <v t="i">203</v>
    <v t="i">204</v>
    <v t="i">207</v>
    <v t="i">208</v>
    <v t="i">209</v>
    <v t="i">210</v>
    <v t="i">211</v>
    <v t="i">214</v>
    <v t="i">215</v>
    <v t="i">216</v>
    <v t="i">217</v>
    <v t="i">218</v>
    <v t="i">221</v>
    <v t="i">222</v>
    <v t="i">223</v>
    <v t="i">224</v>
    <v t="i">225</v>
    <v t="i">228</v>
    <v t="i">229</v>
    <v t="i">230</v>
    <v t="i">231</v>
    <v t="i">232</v>
    <v t="i">235</v>
    <v t="i">236</v>
    <v t="i">237</v>
    <v t="i">239</v>
    <v t="i">242</v>
    <v t="i">243</v>
    <v t="i">244</v>
    <v t="i">245</v>
    <v t="i">246</v>
    <v t="i">249</v>
    <v t="i">250</v>
    <v t="i">251</v>
    <v t="i">252</v>
    <v t="i">253</v>
    <v t="i">256</v>
    <v t="i">257</v>
    <v t="i">258</v>
    <v t="i">259</v>
    <v t="i">260</v>
    <v t="i">263</v>
    <v t="i">264</v>
    <v t="i">265</v>
    <v t="i">267</v>
    <v t="i">270</v>
    <v t="i">271</v>
    <v t="i">272</v>
    <v t="i">274</v>
    <v t="i">277</v>
    <v t="i">278</v>
    <v t="i">279</v>
    <v t="i">280</v>
    <v t="i">281</v>
    <v t="i">284</v>
    <v t="i">285</v>
    <v t="i">286</v>
    <v t="i">287</v>
    <v t="i">288</v>
    <v t="i">292</v>
    <v t="i">293</v>
    <v t="i">294</v>
    <v t="i">295</v>
    <v t="i">298</v>
    <v t="i">299</v>
    <v t="i">300</v>
    <v t="i">301</v>
    <v t="i">302</v>
    <v t="i">305</v>
    <v t="i">306</v>
    <v t="i">307</v>
    <v t="i">308</v>
    <v t="i">309</v>
    <v t="i">312</v>
    <v t="i">313</v>
    <v t="i">314</v>
    <v t="i">315</v>
    <v t="i">316</v>
    <v t="i">320</v>
    <v t="i">321</v>
    <v t="i">322</v>
    <v t="i">323</v>
    <v t="i">326</v>
    <v t="i">327</v>
    <v t="i">328</v>
    <v t="i">329</v>
    <v t="i">330</v>
    <v t="i">333</v>
    <v t="i">334</v>
    <v t="i">335</v>
    <v t="i">336</v>
    <v t="i">337</v>
    <v t="i">340</v>
    <v t="i">341</v>
    <v t="i">342</v>
    <v t="i">343</v>
    <v t="i">344</v>
    <v t="i">347</v>
    <v t="i">348</v>
    <v t="i">349</v>
    <v t="i">350</v>
    <v t="i">351</v>
    <v t="i">354</v>
    <v t="i">355</v>
    <v t="i">356</v>
    <v t="i">357</v>
    <v t="i">358</v>
    <v t="i">361</v>
    <v t="i">362</v>
    <v t="i">363</v>
  </a>
  <a r="1" c="250">
    <v>531.62</v>
    <v>504.73</v>
    <v>516.25</v>
    <v>510.45</v>
    <v>585.77</v>
    <v>546.29</v>
    <v>543.57000000000005</v>
    <v>531.48</v>
    <v>521.52</v>
    <v>502.31</v>
    <v>501.48</v>
    <v>484.66</v>
    <v>500.28</v>
    <v>520.27</v>
    <v>533.15</v>
    <v>547.27</v>
    <v>549.74</v>
    <v>554.44000000000005</v>
    <v>549</v>
    <v>572.21</v>
    <v>597.02</v>
    <v>599.27</v>
    <v>587.30999999999995</v>
    <v>596.80999999999995</v>
    <v>598.01</v>
    <v>592.49</v>
    <v>639.42999999999995</v>
    <v>656.03</v>
    <v>659.36</v>
    <v>643.88</v>
    <v>640.34</v>
    <v>640.42999999999995</v>
    <v>637.1</v>
    <v>635.5</v>
    <v>636.57000000000005</v>
    <v>627.05999999999995</v>
    <v>642.32000000000005</v>
    <v>643.58000000000004</v>
    <v>645.04999999999995</v>
    <v>647.49</v>
    <v>670.9</v>
    <v>666.85</v>
    <v>687.95</v>
    <v>684.62</v>
    <v>697.71</v>
    <v>694.06</v>
    <v>702.4</v>
    <v>694.14</v>
    <v>693.36</v>
    <v>682.87</v>
    <v>702.12</v>
    <v>697.23</v>
    <v>695.77</v>
    <v>682.35</v>
    <v>698.53</v>
    <v>712.2</v>
    <v>708.68</v>
    <v>726.09</v>
    <v>733.63</v>
    <v>738.09</v>
    <v>719.22</v>
    <v>713.57</v>
    <v>719.01</v>
    <v>718.35</v>
    <v>720.67</v>
    <v>732.78</v>
    <v>727.24</v>
    <v>717.51</v>
    <v>720.92</v>
    <v>710.39</v>
    <v>702.91</v>
    <v>701.41</v>
    <v>704.28</v>
    <v>712.96500000000003</v>
    <v>704.81</v>
    <v>713.58</v>
    <v>714.8</v>
    <v>712.68</v>
    <v>717.63</v>
    <v>700</v>
    <v>695.21</v>
    <v>773.44</v>
    <v>750.01</v>
    <v>776.37</v>
    <v>763.46</v>
    <v>771.99</v>
    <v>761.83</v>
    <v>769.3</v>
    <v>765.87</v>
    <v>790</v>
    <v>780.08</v>
    <v>782.13</v>
    <v>785.23</v>
    <v>767.37</v>
    <v>751.48</v>
    <v>747.72</v>
    <v>739.1</v>
    <v>754.79</v>
    <v>753.3</v>
    <v>754.1</v>
    <v>747.38</v>
    <v>751.11</v>
    <v>738.7</v>
    <v>735.11</v>
    <v>737.05</v>
    <v>748.65</v>
    <v>752.45</v>
    <v>752.3</v>
    <v>765.7</v>
    <v>751.98</v>
    <v>750.9</v>
    <v>755.59</v>
    <v>764.7</v>
    <v>779</v>
    <v>775.71500000000003</v>
    <v>780.25</v>
    <v>778.38</v>
    <v>765.16</v>
    <v>755.4</v>
    <v>760.66</v>
    <v>748.91</v>
    <v>743.75</v>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a>
  <a r="1" c="250">
    <v>93.8</v>
    <v>85.76</v>
    <v>83.64</v>
    <v>78.209999999999994</v>
    <v>96.84</v>
    <v>88.7</v>
    <v>93.4</v>
    <v>94.5</v>
    <v>95.29</v>
    <v>88.29</v>
    <v>87.5</v>
    <v>85.56</v>
    <v>86.26</v>
    <v>90.39</v>
    <v>94.47</v>
    <v>96.644999999999996</v>
    <v>96.39</v>
    <v>96.06</v>
    <v>97.35</v>
    <v>96.65</v>
    <v>98.8</v>
    <v>100.59</v>
    <v>98.62</v>
    <v>100.36</v>
    <v>101.7</v>
    <v>102.84</v>
    <v>108.12</v>
    <v>112.46</v>
    <v>117.72</v>
    <v>114.99</v>
    <v>117.17</v>
    <v>114.74</v>
    <v>113.51</v>
    <v>112.06</v>
    <v>110.71</v>
    <v>110.31</v>
    <v>114.56</v>
    <v>112.86</v>
    <v>113.03</v>
    <v>110.73</v>
    <v>114.63</v>
    <v>117.31</v>
    <v>118.58</v>
    <v>115.69</v>
    <v>116.19</v>
    <v>121.73</v>
    <v>123.24</v>
    <v>121.14</v>
    <v>118.5</v>
    <v>116.16</v>
    <v>126.39</v>
    <v>127.1</v>
    <v>126.79</v>
    <v>128.24</v>
    <v>129.58000000000001</v>
    <v>138.43</v>
    <v>143.4</v>
    <v>143.68</v>
    <v>143.81</v>
    <v>141.9</v>
    <v>136.11000000000001</v>
    <v>138.52000000000001</v>
    <v>137.91</v>
    <v>134.80000000000001</v>
    <v>137.82</v>
    <v>138.41</v>
    <v>144.16</v>
    <v>146.41999999999999</v>
    <v>146.24</v>
    <v>155.61000000000001</v>
    <v>160.08000000000001</v>
    <v>160.41</v>
    <v>156.99</v>
    <v>157</v>
    <v>154.72</v>
    <v>158.65</v>
    <v>162.12</v>
    <v>166.47</v>
    <v>173.66</v>
    <v>177.44</v>
    <v>179.51</v>
    <v>176.31</v>
    <v>171.7</v>
    <v>176.78</v>
    <v>174.31</v>
    <v>163.12</v>
    <v>172.4</v>
    <v>172.76</v>
    <v>172.28</v>
    <v>174.95</v>
    <v>184.42</v>
    <v>180.95</v>
    <v>177.51</v>
    <v>176.14</v>
    <v>166.55</v>
    <v>165.2</v>
    <v>163.71</v>
    <v>167.76</v>
    <v>163.36000000000001</v>
    <v>166.62</v>
    <v>167.13</v>
    <v>168.58</v>
    <v>162.63</v>
    <v>162.32</v>
    <v>162.13</v>
    <v>161.79</v>
    <v>151.13999999999999</v>
    <v>151.41</v>
    <v>155.82</v>
    <v>159.54</v>
    <v>155.66999999999999</v>
    <v>158.57</v>
    <v>161.16</v>
    <v>160.46</v>
    <v>159.16</v>
    <v>157.91999999999999</v>
    <v>157.38999999999999</v>
    <v>159.79</v>
    <v>160.9</v>
    <v>160.88</v>
    <v>161.27000000000001</v>
    <v>159.46</v>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a>
  <a r="1" c="250">
    <v>887.65</v>
    <v>822.62</v>
    <v>817.5</v>
    <v>815.72</v>
    <v>897.08</v>
    <v>858.78</v>
    <v>878.78</v>
    <v>889.95</v>
    <v>888.44</v>
    <v>865.78</v>
    <v>875.78</v>
    <v>854</v>
    <v>887.22</v>
    <v>892.54</v>
    <v>916.26</v>
    <v>907.69</v>
    <v>913.74</v>
    <v>920.52</v>
    <v>914.26</v>
    <v>916.14</v>
    <v>929.2</v>
    <v>920.53</v>
    <v>914.97</v>
    <v>920.36</v>
    <v>928.64</v>
    <v>923.44</v>
    <v>958.03</v>
    <v>959.18</v>
    <v>967.06</v>
    <v>983.08</v>
    <v>989.71</v>
    <v>993.66</v>
    <v>997.71</v>
    <v>972.83</v>
    <v>969.9</v>
    <v>963.18</v>
    <v>981.32</v>
    <v>971.28</v>
    <v>976.32</v>
    <v>979.89</v>
    <v>978.07</v>
    <v>982.13</v>
    <v>988.97</v>
    <v>985.46</v>
    <v>989.05</v>
    <v>988.84</v>
    <v>991.9</v>
    <v>993.3</v>
    <v>988.25</v>
    <v>971.82</v>
    <v>982.1</v>
    <v>969.18</v>
    <v>979.52</v>
    <v>974.44</v>
    <v>986.3</v>
    <v>1004.97</v>
    <v>1018.08</v>
    <v>1030.79</v>
    <v>1047.82</v>
    <v>1049.25</v>
    <v>1054.27</v>
    <v>1070.57</v>
    <v>1082.1500000000001</v>
    <v>1075.97</v>
    <v>1075.02</v>
    <v>1088.75</v>
    <v>1104.05</v>
    <v>1101.6400000000001</v>
    <v>1111.46</v>
    <v>1046.1600000000001</v>
    <v>1082.24</v>
    <v>1105.3800000000001</v>
    <v>1103.5899999999999</v>
    <v>1093.02</v>
    <v>1100.3900000000001</v>
    <v>1120.3699999999999</v>
    <v>1118.3699999999999</v>
    <v>1123.28</v>
    <v>1117.82</v>
    <v>1121.53</v>
    <v>1114.6500000000001</v>
    <v>1106.01</v>
    <v>1091.8</v>
    <v>1116.06</v>
    <v>1109.6400000000001</v>
    <v>1120.54</v>
    <v>1112.83</v>
    <v>1124.97</v>
    <v>1127.93</v>
    <v>1159.6099999999999</v>
    <v>1160.03</v>
    <v>1160.1600000000001</v>
    <v>1135.01</v>
    <v>1136.1199999999999</v>
    <v>1128.47</v>
    <v>1128.46</v>
    <v>1124.75</v>
    <v>1148.17</v>
    <v>1137.0999999999999</v>
    <v>1139.8</v>
    <v>1131.6300000000001</v>
    <v>1130.48</v>
    <v>1127.1400000000001</v>
    <v>1114.77</v>
    <v>1099.49</v>
    <v>1108.76</v>
    <v>1099.1500000000001</v>
    <v>1104.92</v>
    <v>1105.67</v>
    <v>1102.8900000000001</v>
    <v>1134.18</v>
    <v>1123.4100000000001</v>
    <v>1115.1099999999999</v>
    <v>1118.8900000000001</v>
    <v>1131.78</v>
    <v>1137.1300000000001</v>
    <v>1142.8499999999999</v>
    <v>1136.21</v>
    <v>1131.75</v>
    <v>1127.98</v>
    <v>1147.29</v>
    <v>1156.45</v>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a>
  <a r="1" c="250">
    <v>203.19</v>
    <v>188.38</v>
    <v>181.46</v>
    <v>172.42</v>
    <v>198.85</v>
    <v>190.42</v>
    <v>198.15</v>
    <v>202.52</v>
    <v>202.14</v>
    <v>194.27</v>
    <v>196.98</v>
    <v>193.16</v>
    <v>199.74</v>
    <v>204.6</v>
    <v>208.37</v>
    <v>209.28</v>
    <v>210.14</v>
    <v>211.21</v>
    <v>212.5</v>
    <v>213.32</v>
    <v>205.35</v>
    <v>198.89</v>
    <v>198.51</v>
    <v>196.25</v>
    <v>197.49</v>
    <v>198.53</v>
    <v>210.79</v>
    <v>212.93</v>
    <v>212.33</v>
    <v>211.45</v>
    <v>211.26</v>
    <v>208.78</v>
    <v>206.86</v>
    <v>202.09</v>
    <v>201.36</v>
    <v>195.27</v>
    <v>200.21</v>
    <v>200.42</v>
    <v>199.95</v>
    <v>200.85</v>
    <v>201.7</v>
    <v>203.27</v>
    <v>202.82</v>
    <v>200.63</v>
    <v>203.92</v>
    <v>201.45</v>
    <v>202.67</v>
    <v>198.78</v>
    <v>199.2</v>
    <v>196.45</v>
    <v>198.42</v>
    <v>195.64</v>
    <v>196.58</v>
    <v>201</v>
    <v>201.5</v>
    <v>200.3</v>
    <v>201.56</v>
    <v>201</v>
    <v>201.08</v>
    <v>205.17</v>
    <v>207.82</v>
    <v>212.44</v>
    <v>213.55</v>
    <v>209.95</v>
    <v>210.01</v>
    <v>211.14</v>
    <v>212.41</v>
    <v>211.16</v>
    <v>208.62</v>
    <v>209.11</v>
    <v>210.16</v>
    <v>210.02</v>
    <v>211.18</v>
    <v>212.48</v>
    <v>214.4</v>
    <v>214.15</v>
    <v>213.76</v>
    <v>213.88</v>
    <v>214.05</v>
    <v>211.27</v>
    <v>209.05</v>
    <v>207.57</v>
    <v>202.38</v>
    <v>203.35</v>
    <v>202.92</v>
    <v>213.25</v>
    <v>220.03</v>
    <v>229.35</v>
    <v>227.18</v>
    <v>229.65</v>
    <v>233.33</v>
    <v>232.78</v>
    <v>231.59</v>
    <v>230.89</v>
    <v>230.56</v>
    <v>226.01</v>
    <v>224.9</v>
    <v>227.76</v>
    <v>227.16</v>
    <v>229.31</v>
    <v>230.49</v>
    <v>232.56</v>
    <v>232.14</v>
    <v>229.72</v>
    <v>238.47</v>
    <v>239.78</v>
    <v>239.69</v>
    <v>237.88</v>
    <v>234.35</v>
    <v>226.79</v>
    <v>230.03</v>
    <v>234.07</v>
    <v>236.7</v>
    <v>238.15</v>
    <v>238.99</v>
    <v>237.88</v>
    <v>245.5</v>
    <v>256.08</v>
    <v>254.43</v>
    <v>252.31</v>
    <v>256.87</v>
    <v>255.46</v>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a>
  <a r="1" c="250">
    <v>26.34</v>
    <v>25</v>
    <v>25.34</v>
    <v>25.22</v>
    <v>27.62</v>
    <v>26.61</v>
    <v>27.62</v>
    <v>28.15</v>
    <v>28.57</v>
    <v>28.46</v>
    <v>29.12</v>
    <v>29.16</v>
    <v>29.79</v>
    <v>29.68</v>
    <v>30.14</v>
    <v>30.21</v>
    <v>30.51</v>
    <v>30.8</v>
    <v>30.51</v>
    <v>30.33</v>
    <v>30.68</v>
    <v>30.8</v>
    <v>30.79</v>
    <v>30.38</v>
    <v>30.23</v>
    <v>30.47</v>
    <v>30.93</v>
    <v>29.63</v>
    <v>29.44</v>
    <v>28.82</v>
    <v>29.18</v>
    <v>29.27</v>
    <v>29.6</v>
    <v>29.83</v>
    <v>29.52</v>
    <v>29.5</v>
    <v>29.83</v>
    <v>29.58</v>
    <v>30.54</v>
    <v>30.52</v>
    <v>30.07</v>
    <v>30.08</v>
    <v>29.35</v>
    <v>28.8</v>
    <v>29.24</v>
    <v>29.2</v>
    <v>29.28</v>
    <v>29.14</v>
    <v>29.18</v>
    <v>29.12</v>
    <v>29.92</v>
    <v>29.36</v>
    <v>29.65</v>
    <v>29.14</v>
    <v>28.7</v>
    <v>28.88</v>
    <v>28.59</v>
    <v>28.81</v>
    <v>29.7</v>
    <v>28.83</v>
    <v>29.2</v>
    <v>29.68</v>
    <v>30.28</v>
    <v>29.11</v>
    <v>29.77</v>
    <v>30.6</v>
    <v>30.75</v>
    <v>30.71</v>
    <v>31.08</v>
    <v>30.81</v>
    <v>30.55</v>
    <v>30.36</v>
    <v>30</v>
    <v>30.32</v>
    <v>30.41</v>
    <v>34.4</v>
    <v>33.590000000000003</v>
    <v>33.11</v>
    <v>33.24</v>
    <v>32.79</v>
    <v>31.85</v>
    <v>31.24</v>
    <v>31.33</v>
    <v>31.71</v>
    <v>31.62</v>
    <v>32.380000000000003</v>
    <v>31.46</v>
    <v>32.56</v>
    <v>32.700000000000003</v>
    <v>33.549999999999997</v>
    <v>33.4</v>
    <v>33.25</v>
    <v>33.39</v>
    <v>33.979999999999997</v>
    <v>34.03</v>
    <v>34.520000000000003</v>
    <v>33.92</v>
    <v>34.61</v>
    <v>34.270000000000003</v>
    <v>34.1</v>
    <v>33.880000000000003</v>
    <v>33.96</v>
    <v>33.4</v>
    <v>33.72</v>
    <v>33.54</v>
    <v>34.18</v>
    <v>34.35</v>
    <v>34.85</v>
    <v>34.67</v>
    <v>34.020000000000003</v>
    <v>33.96</v>
    <v>33.53</v>
    <v>33.729999999999997</v>
    <v>33.9</v>
    <v>34.119999999999997</v>
    <v>33.78</v>
    <v>33.35</v>
    <v>33.78</v>
    <v>33.880000000000003</v>
    <v>33.49</v>
    <v>33.4</v>
    <v>33.11</v>
    <v>31.78</v>
    <v>30.8</v>
    <v>30.83</v>
    <v>30.55</v>
    <v>31.37</v>
    <v>31.91</v>
    <v>31.74</v>
    <v>31.45</v>
    <v>30.65</v>
    <v>29.84</v>
    <v>30.14</v>
    <v>30.63</v>
    <v>30.8</v>
    <v>30.6</v>
    <v>30.82</v>
    <v>31.28</v>
    <v>31.28</v>
    <v>31.84</v>
    <v>31.59</v>
    <v>31.52</v>
    <v>31.75</v>
    <v>31.93</v>
    <v>31.19</v>
    <v>31.07</v>
    <v>30.5</v>
    <v>30.57</v>
    <v>30.71</v>
    <v>30.88</v>
    <v>30.41</v>
    <v>29.81</v>
    <v>29.48</v>
    <v>29.7</v>
    <v>30.04</v>
    <v>29.73</v>
    <v>30.07</v>
    <v>29</v>
    <v>28.96</v>
    <v>29.33</v>
    <v>28.48</v>
    <v>29.58</v>
    <v>29.82</v>
    <v>29.96</v>
    <v>30.3</v>
    <v>30.25</v>
    <v>29.77</v>
    <v>29.45</v>
    <v>29.36</v>
    <v>29.66</v>
    <v>29.43</v>
    <v>29.35</v>
    <v>29.79</v>
    <v>30.56</v>
    <v>30.82</v>
    <v>30.93</v>
    <v>31.13</v>
    <v>30.72</v>
    <v>30.35</v>
    <v>30.01</v>
    <v>30.12</v>
    <v>30.24</v>
    <v>30.12</v>
    <v>30.11</v>
    <v>29.8</v>
    <v>29.64</v>
    <v>29.62</v>
    <v>29.48</v>
    <v>29.96</v>
    <v>30.06</v>
    <v>29.52</v>
    <v>29.27</v>
    <v>29.8</v>
    <v>30.65</v>
    <v>30.89</v>
    <v>30.61</v>
    <v>30.74</v>
    <v>31.11</v>
    <v>30.85</v>
    <v>30.3</v>
    <v>31.19</v>
    <v>31.22</v>
    <v>30.42</v>
    <v>30</v>
    <v>29.93</v>
    <v>29.42</v>
    <v>30.29</v>
    <v>30.33</v>
    <v>30.73</v>
    <v>30.58</v>
    <v>31.62</v>
    <v>31.37</v>
    <v>32.82</v>
    <v>31.76</v>
    <v>31.21</v>
    <v>32.4</v>
    <v>31.43</v>
    <v>31.78</v>
    <v>31.13</v>
    <v>30.92</v>
    <v>30.34</v>
    <v>30.27</v>
    <v>30.07</v>
    <v>30.04</v>
    <v>30.12</v>
    <v>30.12</v>
    <v>30.16</v>
    <v>29.29</v>
    <v>28.3</v>
    <v>28.51</v>
    <v>27.47</v>
    <v>27.24</v>
    <v>27.87</v>
    <v>27.89</v>
    <v>27.54</v>
    <v>26.09</v>
    <v>25.78</v>
    <v>25.7</v>
    <v>25.48</v>
    <v>24.81</v>
    <v>24.61</v>
    <v>24.12</v>
    <v>24.74</v>
    <v>24.78</v>
    <v>24.77</v>
    <v>24.58</v>
    <v>24.34</v>
    <v>23.65</v>
    <v>24.31</v>
    <v>24.31</v>
  </a>
  <a r="1" c="250">
    <v>178.41</v>
    <v>171</v>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a>
  <a r="1" c="250">
    <v>156.12</v>
    <v>143.28</v>
    <v>140.15</v>
    <v>136.93</v>
    <v>146.03</v>
    <v>134.97999999999999</v>
    <v>135.63</v>
    <v>135.32</v>
    <v>134.54</v>
    <v>135.36000000000001</v>
    <v>137.87</v>
    <v>133.72999999999999</v>
    <v>137.30000000000001</v>
    <v>136.68</v>
    <v>139.07</v>
    <v>138.72999999999999</v>
    <v>140.1</v>
    <v>139.30000000000001</v>
    <v>136.06</v>
    <v>136.26</v>
    <v>138.5</v>
    <v>135.5</v>
    <v>135.6</v>
    <v>135.79</v>
    <v>137.04</v>
    <v>138.49</v>
    <v>141.62</v>
    <v>142.35</v>
    <v>141.66999999999999</v>
    <v>142.26</v>
    <v>142.1</v>
    <v>138.49</v>
    <v>137.27000000000001</v>
    <v>135.56</v>
    <v>135.29</v>
    <v>136.54</v>
    <v>137.83000000000001</v>
    <v>136.02000000000001</v>
    <v>137.91</v>
    <v>136.69999999999999</v>
    <v>137.84</v>
    <v>139.55000000000001</v>
    <v>137.37</v>
    <v>136.9</v>
    <v>140.21</v>
    <v>140.76</v>
    <v>143.35</v>
    <v>144.78</v>
    <v>144.97</v>
    <v>145.91</v>
    <v>146.03</v>
    <v>148.85</v>
    <v>148.19</v>
    <v>149.55000000000001</v>
    <v>146.86000000000001</v>
    <v>143.55000000000001</v>
    <v>143.22999999999999</v>
    <v>144.44</v>
    <v>143.79</v>
    <v>143.19</v>
    <v>145.57</v>
    <v>147.97999999999999</v>
    <v>148.37</v>
    <v>147.4</v>
    <v>153.24</v>
    <v>153.02000000000001</v>
    <v>154.16999999999999</v>
    <v>155.31</v>
    <v>151.65</v>
    <v>150.69</v>
    <v>149.91999999999999</v>
    <v>151.38</v>
    <v>150.04</v>
    <v>149.68</v>
    <v>150.04</v>
    <v>153.12</v>
    <v>155.83000000000001</v>
    <v>154.84</v>
    <v>156.28</v>
    <v>157.03</v>
    <v>153.56</v>
    <v>151.63999999999999</v>
    <v>151.4</v>
    <v>151.04</v>
    <v>153.04</v>
    <v>152.78</v>
    <v>153.16</v>
    <v>155.01</v>
    <v>153.44999999999999</v>
    <v>154.44</v>
    <v>155.87</v>
    <v>155.16</v>
    <v>156.55000000000001</v>
    <v>155.32</v>
    <v>152</v>
    <v>153.22</v>
    <v>155.55000000000001</v>
    <v>158.18</v>
    <v>158.19999999999999</v>
    <v>157.36000000000001</v>
    <v>159.24</v>
    <v>159.32</v>
    <v>160.6</v>
    <v>161.83000000000001</v>
    <v>158.06</v>
    <v>157.69</v>
    <v>153.66</v>
    <v>154</v>
    <v>154.85</v>
    <v>157.79</v>
    <v>158.25</v>
    <v>157.11000000000001</v>
    <v>157.31</v>
    <v>159.54</v>
    <v>160.09</v>
    <v>158.84</v>
    <v>156.21</v>
    <v>156.05000000000001</v>
    <v>157.41999999999999</v>
    <v>159.18</v>
    <v>160.72</v>
    <v>160.16</v>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a>
  <a r="1" c="21">
    <v t="i">0</v>
    <v t="i">1</v>
    <v t="i">2</v>
    <v t="i">5</v>
    <v t="i">6</v>
    <v t="i">7</v>
    <v t="i">8</v>
    <v t="i">9</v>
    <v t="i">12</v>
    <v t="i">13</v>
    <v t="i">14</v>
    <v t="i">15</v>
    <v t="i">16</v>
    <v t="i">19</v>
    <v t="i">20</v>
    <v t="i">21</v>
    <v t="i">22</v>
    <v t="i">23</v>
    <v t="i">26</v>
    <v t="i">27</v>
    <v t="i">28</v>
  </a>
  <a r="1" c="21">
    <v>202.07</v>
    <v>199.45</v>
    <v>192.43</v>
    <v>202.68</v>
    <v>203.23</v>
    <v>204.83</v>
    <v>197.74</v>
    <v>193.39</v>
    <v>196.58</v>
    <v>196.31</v>
    <v>199.46</v>
    <v>205.27</v>
    <v>201.33</v>
    <v>202.68</v>
    <v>205.37</v>
    <v>220.27</v>
    <v>203.77</v>
    <v>201.99</v>
    <v>196.04</v>
    <v>203.43</v>
    <v>210.21</v>
  </a>
  <a r="1" c="21">
    <v>192.12</v>
    <v>197.77</v>
    <v>195.27</v>
    <v>189.36</v>
    <v>202.51</v>
    <v>205.11</v>
    <v>202.82499999999999</v>
    <v>198.11</v>
    <v>194.97499999999999</v>
    <v>196.68</v>
    <v>196</v>
    <v>195.03200000000001</v>
    <v>204.88499999999999</v>
    <v>206.39500000000001</v>
    <v>201.39</v>
    <v>211.505</v>
    <v>217.97900000000001</v>
    <v>201.77</v>
    <v>204.95</v>
    <v>198.05</v>
    <v>207.58500000000001</v>
  </a>
  <a r="1" c="21">
    <v>202.44</v>
    <v>203.79</v>
    <v>200.24</v>
    <v>202.97</v>
    <v>206.59</v>
    <v>209.21</v>
    <v>203.62</v>
    <v>199.68</v>
    <v>200.17</v>
    <v>199.21</v>
    <v>202.86</v>
    <v>205.88</v>
    <v>206.3</v>
    <v>209.10900000000001</v>
    <v>206.43</v>
    <v>221.33</v>
    <v>221</v>
    <v>203.26990000000001</v>
    <v>208.43</v>
    <v>204</v>
    <v>213.83</v>
  </a>
  <a r="1" c="21">
    <v>189.86</v>
    <v>194.88</v>
    <v>191.2501</v>
    <v>189.02</v>
    <v>202.2</v>
    <v>203.63</v>
    <v>196.67</v>
    <v>192.27</v>
    <v>194.8</v>
    <v>195.26</v>
    <v>195.75</v>
    <v>192.83</v>
    <v>198.26</v>
    <v>201.71</v>
    <v>200.13</v>
    <v>211.505</v>
    <v>203.43</v>
    <v>197.69</v>
    <v>192.86500000000001</v>
    <v>196.41</v>
    <v>205.84</v>
  </a>
  <a r="1" c="21">
    <v>40912561</v>
    <v>36000660</v>
    <v>33913779</v>
    <v>38877220</v>
    <v>29139162</v>
    <v>23076366</v>
    <v>28886913</v>
    <v>27561888</v>
    <v>30285170</v>
    <v>22779675</v>
    <v>28569135</v>
    <v>32245329</v>
    <v>37265103</v>
    <v>31857752</v>
    <v>27258849</v>
    <v>48518269</v>
    <v>49212976</v>
    <v>29206578</v>
    <v>41053298</v>
    <v>42318748</v>
    <v>40835794</v>
  </a>
  <a r="1" c="250">
    <v>9.5399999999999991</v>
    <v>9.58</v>
    <v>9.24</v>
    <v>8.69</v>
    <v>9.5</v>
    <v>9.14</v>
    <v>9.33</v>
    <v>9.7100000000000009</v>
    <v>9.4499999999999993</v>
    <v>9.4</v>
    <v>9.6300000000000008</v>
    <v>9.4700000000000006</v>
    <v>9.65</v>
    <v>9.7799999999999994</v>
    <v>10.06</v>
    <v>10.039999999999999</v>
    <v>10.02</v>
    <v>10.15</v>
    <v>10.01</v>
    <v>10.18</v>
    <v>10.28</v>
    <v>10.17</v>
    <v>10.44</v>
    <v>10.28</v>
    <v>10.28</v>
    <v>10.43</v>
    <v>10.55</v>
    <v>10.6</v>
    <v>10.65</v>
    <v>10.75</v>
    <v>10.8</v>
    <v>10.75</v>
    <v>10.72</v>
    <v>10.48</v>
    <v>10.44</v>
    <v>10.36</v>
    <v>10.31</v>
    <v>10.17</v>
    <v>10.220000000000001</v>
    <v>10.38</v>
    <v>9.98</v>
    <v>10.19</v>
    <v>10.24</v>
    <v>10.1</v>
    <v>10.26</v>
    <v>10.34</v>
    <v>10.6</v>
    <v>10.66</v>
    <v>10.53</v>
    <v>10.43</v>
    <v>10.62</v>
    <v>10.42</v>
    <v>10.43</v>
    <v>10.59</v>
    <v>10.75</v>
    <v>10.73</v>
    <v>10.48</v>
    <v>10.63</v>
    <v>10.8</v>
    <v>10.85</v>
    <v>11.35</v>
    <v>11.77</v>
    <v>11.81</v>
    <v>11.59</v>
    <v>11.68</v>
    <v>11.83</v>
    <v>11.91</v>
    <v>11.78</v>
    <v>11.88</v>
    <v>11.57</v>
    <v>11.24</v>
    <v>11.15</v>
    <v>11.16</v>
    <v>11.31</v>
    <v>11.19</v>
    <v>11.38</v>
    <v>11.26</v>
    <v>11.47</v>
    <v>11.28</v>
    <v>11.08</v>
    <v>10.87</v>
    <v>11.07</v>
    <v>10.82</v>
    <v>10.95</v>
    <v>11.06</v>
    <v>11.21</v>
    <v>11.28</v>
    <v>11.32</v>
    <v>11.14</v>
    <v>11.25</v>
    <v>11.44</v>
    <v>11.44</v>
    <v>11.44</v>
    <v>11.46</v>
    <v>11.58</v>
    <v>11.49</v>
    <v>11.33</v>
    <v>11.74</v>
    <v>11.82</v>
    <v>11.84</v>
    <v>11.91</v>
    <v>11.71</v>
    <v>11.77</v>
    <v>11.72</v>
    <v>11.62</v>
    <v>11.68</v>
    <v>11.74</v>
    <v>11.69</v>
    <v>11.49</v>
    <v>11.42</v>
    <v>11.76</v>
    <v>11.68</v>
    <v>11.68</v>
    <v>11.61</v>
    <v>11.66</v>
    <v>11.74</v>
    <v>11.62</v>
    <v>11.66</v>
    <v>11.73</v>
    <v>11.63</v>
    <v>11.62</v>
    <v>12.01</v>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a>
  <a r="1" c="250">
    <v>228.69</v>
    <v>210.28</v>
    <v>214.44</v>
    <v>216.87</v>
    <v>234.34</v>
    <v>227.11</v>
    <v>236.2</v>
    <v>234.72</v>
    <v>233.13</v>
    <v>229.61</v>
    <v>231.96</v>
    <v>228.99</v>
    <v>235.59</v>
    <v>240.88</v>
    <v>244.64</v>
    <v>243.55</v>
    <v>243.22</v>
    <v>244.62</v>
    <v>244.62</v>
    <v>246.89</v>
    <v>252.51</v>
    <v>252.56</v>
    <v>249.25</v>
    <v>249.39</v>
    <v>253.47</v>
    <v>253.08</v>
    <v>260.05</v>
    <v>263.01</v>
    <v>265.64</v>
    <v>267.49</v>
    <v>267.56</v>
    <v>264.88</v>
    <v>265.68</v>
    <v>261.04000000000002</v>
    <v>260.67</v>
    <v>260.70999999999998</v>
    <v>265.29000000000002</v>
    <v>263.49</v>
    <v>264.37</v>
    <v>264</v>
    <v>264.66000000000003</v>
    <v>266.27</v>
    <v>264.22000000000003</v>
    <v>261.95</v>
    <v>265.73</v>
    <v>266.74</v>
    <v>268.60000000000002</v>
    <v>268.14999999999998</v>
    <v>268.24</v>
    <v>264.95</v>
    <v>270.36</v>
    <v>269.52</v>
    <v>273.95999999999998</v>
    <v>275</v>
    <v>278.27</v>
    <v>281.26</v>
    <v>284.06</v>
    <v>288.75</v>
    <v>287.11</v>
    <v>289.91000000000003</v>
    <v>290.41000000000003</v>
    <v>292</v>
    <v>296</v>
    <v>291.97000000000003</v>
    <v>282.77999999999997</v>
    <v>283.16000000000003</v>
    <v>288.19</v>
    <v>286.86</v>
    <v>288.7</v>
    <v>286.55</v>
    <v>285.82</v>
    <v>289.89999999999998</v>
    <v>291.27</v>
    <v>290.97000000000003</v>
    <v>291.43</v>
    <v>296.76</v>
    <v>296.55</v>
    <v>298.62</v>
    <v>298.27999999999997</v>
    <v>297.04000000000002</v>
    <v>299.63</v>
    <v>296.24</v>
    <v>289.37</v>
    <v>294.26</v>
    <v>291.37</v>
    <v>291.35000000000002</v>
    <v>286.94</v>
    <v>288.76</v>
    <v>289.56</v>
    <v>292.85000000000002</v>
    <v>290.52999999999997</v>
    <v>294.16000000000003</v>
    <v>290.49</v>
    <v>291.52999999999997</v>
    <v>290.66000000000003</v>
    <v>292.24</v>
    <v>291.47000000000003</v>
    <v>296.24</v>
    <v>294.89999999999998</v>
    <v>298.57</v>
    <v>299.27999999999997</v>
    <v>301.07</v>
    <v>301.42</v>
    <v>299.7</v>
    <v>299.51</v>
    <v>303.82</v>
    <v>294.38</v>
    <v>292.91000000000003</v>
    <v>297.85000000000002</v>
    <v>300.54000000000002</v>
    <v>305.56</v>
    <v>306.91000000000003</v>
    <v>308.89999999999998</v>
    <v>309.19</v>
    <v>311.75</v>
    <v>313.23</v>
    <v>314.77999999999997</v>
    <v>312.44</v>
    <v>312.74</v>
    <v>313.42</v>
    <v>313.45</v>
    <v>316.06</v>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a>
  <a r="1" c="250">
    <v>101.8</v>
    <v>94.31</v>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a>
  <a r="1" c="255">
    <v t="i">0</v>
    <v t="i">1</v>
    <v t="i">4</v>
    <v t="i">5</v>
    <v t="i">6</v>
    <v t="i">7</v>
    <v t="i">8</v>
    <v t="i">11</v>
    <v t="i">12</v>
    <v t="i">13</v>
    <v t="i">14</v>
    <v t="i">19</v>
    <v t="i">20</v>
    <v t="i">21</v>
    <v t="i">22</v>
    <v t="i">25</v>
    <v t="i">26</v>
    <v t="i">27</v>
    <v t="i">28</v>
    <v t="i">29</v>
    <v t="i">32</v>
    <v t="i">33</v>
    <v t="i">34</v>
    <v t="i">35</v>
    <v t="i">36</v>
    <v t="i">39</v>
    <v t="i">40</v>
    <v t="i">41</v>
    <v t="i">42</v>
    <v t="i">43</v>
    <v t="i">46</v>
    <v t="i">47</v>
    <v t="i">48</v>
    <v t="i">49</v>
    <v t="i">50</v>
    <v t="i">53</v>
    <v t="i">54</v>
    <v t="i">55</v>
    <v t="i">56</v>
    <v t="i">57</v>
    <v t="i">60</v>
    <v t="i">61</v>
    <v t="i">62</v>
    <v t="i">63</v>
    <v t="i">64</v>
    <v t="i">67</v>
    <v t="i">68</v>
    <v t="i">69</v>
    <v t="i">70</v>
    <v t="i">71</v>
    <v t="i">74</v>
    <v t="i">75</v>
    <v t="i">76</v>
    <v t="i">77</v>
    <v t="i">78</v>
    <v t="i">81</v>
    <v t="i">82</v>
    <v t="i">83</v>
    <v t="i">84</v>
    <v t="i">85</v>
    <v t="i">88</v>
    <v t="i">89</v>
    <v t="i">90</v>
    <v t="i">91</v>
    <v t="i">92</v>
    <v t="i">95</v>
    <v t="i">96</v>
    <v t="i">97</v>
    <v t="i">98</v>
    <v t="i">99</v>
    <v t="i">102</v>
    <v t="i">103</v>
    <v t="i">104</v>
    <v t="i">105</v>
    <v t="i">106</v>
    <v t="i">109</v>
    <v t="i">110</v>
    <v t="i">111</v>
    <v t="i">112</v>
    <v t="i">113</v>
    <v t="i">116</v>
    <v t="i">117</v>
    <v t="i">118</v>
    <v t="i">119</v>
    <v t="i">120</v>
    <v t="i">123</v>
    <v t="i">124</v>
    <v t="i">125</v>
    <v t="i">126</v>
    <v t="i">127</v>
    <v t="i">130</v>
    <v t="i">131</v>
    <v t="i">132</v>
    <v t="i">133</v>
    <v t="i">134</v>
    <v t="i">137</v>
    <v t="i">138</v>
    <v t="i">139</v>
    <v t="i">140</v>
    <v t="i">141</v>
    <v t="i">144</v>
    <v t="i">145</v>
    <v t="i">146</v>
    <v t="i">147</v>
    <v t="i">148</v>
    <v t="i">151</v>
    <v t="i">152</v>
    <v t="i">153</v>
    <v t="i">154</v>
    <v t="i">155</v>
    <v t="i">158</v>
    <v t="i">159</v>
    <v t="i">160</v>
    <v t="i">161</v>
    <v t="i">162</v>
    <v t="i">165</v>
    <v t="i">166</v>
    <v t="i">167</v>
    <v t="i">168</v>
    <v t="i">169</v>
    <v t="i">172</v>
    <v t="i">173</v>
    <v t="i">174</v>
    <v t="i">175</v>
    <v t="i">176</v>
    <v t="i">179</v>
    <v t="i">180</v>
    <v t="i">181</v>
    <v t="i">182</v>
    <v t="i">183</v>
    <v t="i">186</v>
    <v t="i">187</v>
    <v t="i">188</v>
    <v t="i">189</v>
    <v t="i">190</v>
    <v t="i">193</v>
    <v t="i">194</v>
    <v t="i">195</v>
    <v t="i">196</v>
    <v t="i">197</v>
    <v t="i">200</v>
    <v t="i">201</v>
    <v t="i">202</v>
    <v t="i">203</v>
    <v t="i">204</v>
    <v t="i">207</v>
    <v t="i">208</v>
    <v t="i">209</v>
    <v t="i">210</v>
    <v t="i">211</v>
    <v t="i">214</v>
    <v t="i">215</v>
    <v t="i">216</v>
    <v t="i">217</v>
    <v t="i">218</v>
    <v t="i">221</v>
    <v t="i">222</v>
    <v t="i">223</v>
    <v t="i">224</v>
    <v t="i">225</v>
    <v t="i">228</v>
    <v t="i">229</v>
    <v t="i">230</v>
    <v t="i">231</v>
    <v t="i">232</v>
    <v t="i">235</v>
    <v t="i">236</v>
    <v t="i">237</v>
    <v t="i">238</v>
    <v t="i">239</v>
    <v t="i">242</v>
    <v t="i">243</v>
    <v t="i">244</v>
    <v t="i">245</v>
    <v t="i">246</v>
    <v t="i">249</v>
    <v t="i">250</v>
    <v t="i">251</v>
    <v t="i">252</v>
    <v t="i">253</v>
    <v t="i">256</v>
    <v t="i">257</v>
    <v t="i">258</v>
    <v t="i">259</v>
    <v t="i">260</v>
    <v t="i">263</v>
    <v t="i">264</v>
    <v t="i">265</v>
    <v t="i">270</v>
    <v t="i">271</v>
    <v t="i">272</v>
    <v t="i">274</v>
    <v t="i">277</v>
    <v t="i">278</v>
    <v t="i">279</v>
    <v t="i">280</v>
    <v t="i">281</v>
    <v t="i">284</v>
    <v t="i">285</v>
    <v t="i">286</v>
    <v t="i">287</v>
    <v t="i">288</v>
    <v t="i">291</v>
    <v t="i">292</v>
    <v t="i">293</v>
    <v t="i">294</v>
    <v t="i">295</v>
    <v t="i">298</v>
    <v t="i">299</v>
    <v t="i">300</v>
    <v t="i">301</v>
    <v t="i">302</v>
    <v t="i">305</v>
    <v t="i">306</v>
    <v t="i">307</v>
    <v t="i">308</v>
    <v t="i">309</v>
    <v t="i">312</v>
    <v t="i">313</v>
    <v t="i">314</v>
    <v t="i">315</v>
    <v t="i">316</v>
    <v t="i">319</v>
    <v t="i">320</v>
    <v t="i">321</v>
    <v t="i">322</v>
    <v t="i">323</v>
    <v t="i">326</v>
    <v t="i">327</v>
    <v t="i">328</v>
    <v t="i">329</v>
    <v t="i">330</v>
    <v t="i">333</v>
    <v t="i">334</v>
    <v t="i">335</v>
    <v t="i">336</v>
    <v t="i">337</v>
    <v t="i">340</v>
    <v t="i">341</v>
    <v t="i">342</v>
    <v t="i">343</v>
    <v t="i">344</v>
    <v t="i">347</v>
    <v t="i">348</v>
    <v t="i">349</v>
    <v t="i">350</v>
    <v t="i">351</v>
    <v t="i">354</v>
    <v t="i">355</v>
    <v t="i">356</v>
    <v t="i">357</v>
    <v t="i">358</v>
    <v t="i">361</v>
    <v t="i">362</v>
    <v t="i">363</v>
  </a>
  <a r="1" c="255">
    <v>132.19999999999999</v>
    <v>122.9</v>
    <v>115.3</v>
    <v>122.1</v>
    <v>120.8</v>
    <v>126.9</v>
    <v>125.6</v>
    <v>129.6</v>
    <v>129.6</v>
    <v>129.6</v>
    <v>128.6</v>
    <v>115.1</v>
    <v>121.4</v>
    <v>120.2</v>
    <v>123.7</v>
    <v>125.2</v>
    <v>125.2</v>
    <v>124.4</v>
    <v>126.7</v>
    <v>129.19999999999999</v>
    <v>128.95599999999999</v>
    <v>128</v>
    <v>128.80000000000001</v>
    <v>129</v>
    <v>126.7</v>
    <v>130.5</v>
    <v>131.30000000000001</v>
    <v>130.30000000000001</v>
    <v>133</v>
    <v>135.30000000000001</v>
    <v>136.4</v>
    <v>137.19999999999999</v>
    <v>137.4</v>
    <v>134.9</v>
    <v>132</v>
    <v>-99999901</v>
    <v>132.4</v>
    <v>132</v>
    <v>133.6</v>
    <v>134.9</v>
    <v>136.19999999999999</v>
    <v>137.6</v>
    <v>137.4</v>
    <v>138.69999999999999</v>
    <v>139.5</v>
    <v>139.30000000000001</v>
    <v>138.1</v>
    <v>138.5</v>
    <v>141.4</v>
    <v>144.4</v>
    <v>146.9</v>
    <v>147.69999999999999</v>
    <v>147.30000000000001</v>
    <v>147.30000000000001</v>
    <v>146.69999999999999</v>
    <v>145.80000000000001</v>
    <v>142.30000000000001</v>
    <v>142.1</v>
    <v>141.80000000000001</v>
    <v>144</v>
    <v>146.1</v>
    <v>144</v>
    <v>142.9</v>
    <v>145.4</v>
    <v>145</v>
    <v>146.69999999999999</v>
    <v>144.19999999999999</v>
    <v>145.80000000000001</v>
    <v>145</v>
    <v>146.30000000000001</v>
    <v>149.19999999999999</v>
    <v>149.80000000000001</v>
    <v>148.80000000000001</v>
    <v>150.9</v>
    <v>151.5</v>
    <v>152.6</v>
    <v>149.6</v>
    <v>151.5</v>
    <v>155.69999999999999</v>
    <v>154.30000000000001</v>
    <v>156.6</v>
    <v>156.4</v>
    <v>157.6</v>
    <v>157.80000000000001</v>
    <v>155.5</v>
    <v>157.19999999999999</v>
    <v>156.6</v>
    <v>157</v>
    <v>153.4</v>
    <v>156.19999999999999</v>
    <v>154.9</v>
    <v>155.69999999999999</v>
    <v>154.1</v>
    <v>156.19999999999999</v>
    <v>153.80000000000001</v>
    <v>154.69999999999999</v>
    <v>154.1</v>
    <v>154.69999999999999</v>
    <v>157</v>
    <v>157.80000000000001</v>
    <v>156.66999999999999</v>
    <v>158.1</v>
    <v>159.5</v>
    <v>159.30000000000001</v>
    <v>160</v>
    <v>159.1</v>
    <v>157.4</v>
    <v>157.80000000000001</v>
    <v>158.5</v>
    <v>157.19999999999999</v>
    <v>156</v>
    <v>151.69999999999999</v>
    <v>152.6</v>
    <v>155.30000000000001</v>
    <v>157.19999999999999</v>
    <v>157.4</v>
    <v>157.6</v>
    <v>158.5</v>
    <v>157.6</v>
    <v>156.80000000000001</v>
    <v>158.9</v>
    <v>160.80000000000001</v>
    <v>162.9</v>
    <v>160.19999999999999</v>
    <v>164.6</v>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a>
  <a r="1" c="250">
    <v>150.91</v>
    <v>136.59</v>
    <v>138.86000000000001</v>
    <v>139.38999999999999</v>
    <v>160.82</v>
    <v>155.52000000000001</v>
    <v>156.84</v>
    <v>159.28</v>
    <v>155.52000000000001</v>
    <v>156.47</v>
    <v>161.9</v>
    <v>159.34</v>
    <v>162.52000000000001</v>
    <v>172.37</v>
    <v>176.26</v>
    <v>177.95</v>
    <v>182.3</v>
    <v>182</v>
    <v>183.24</v>
    <v>182.89</v>
    <v>185.46</v>
    <v>186.46</v>
    <v>185.96</v>
    <v>185.56</v>
    <v>191.7</v>
    <v>194.85</v>
    <v>198.53</v>
    <v>203.42</v>
    <v>204.72</v>
    <v>206.24</v>
    <v>205.82</v>
    <v>205.25</v>
    <v>207.67</v>
    <v>203.21</v>
    <v>203.41</v>
    <v>202.36</v>
    <v>201.03</v>
    <v>201.5</v>
    <v>208.18</v>
    <v>207.32</v>
    <v>211.47</v>
    <v>213.43</v>
    <v>211.98</v>
    <v>209.02</v>
    <v>210.8</v>
    <v>217.51</v>
    <v>215.73</v>
    <v>214</v>
    <v>203.75</v>
    <v>200.32</v>
    <v>201.7</v>
    <v>200.26</v>
    <v>197.68</v>
    <v>198.75</v>
    <v>201.31</v>
    <v>200.94</v>
    <v>198.9</v>
    <v>202.58</v>
    <v>214.55</v>
    <v>209.53</v>
    <v>209.79</v>
    <v>212.03</v>
    <v>215.92</v>
    <v>218.63</v>
    <v>218.52</v>
    <v>226.6</v>
    <v>226.09</v>
    <v>226.84</v>
    <v>230.51</v>
    <v>230</v>
    <v>229.9</v>
    <v>231</v>
    <v>229.34</v>
    <v>229.32</v>
    <v>228.48</v>
    <v>233.88</v>
    <v>231.27</v>
    <v>233.06</v>
    <v>236.41</v>
    <v>226.08</v>
    <v>225.84</v>
    <v>221.84</v>
    <v>221.9</v>
    <v>222.34</v>
    <v>224.86</v>
    <v>225.04</v>
    <v>227.33</v>
    <v>229.12</v>
    <v>225.96</v>
    <v>232.61</v>
    <v>233.37</v>
    <v>233.19</v>
    <v>235.26</v>
    <v>232.41</v>
    <v>225</v>
    <v>225.62</v>
    <v>224.46</v>
    <v>230.12</v>
    <v>226.87</v>
    <v>234.83</v>
    <v>235.62</v>
    <v>236.16</v>
    <v>234.68</v>
    <v>237.38</v>
    <v>232.38</v>
    <v>230.75</v>
    <v>229.61</v>
    <v>230.95</v>
    <v>229.52</v>
    <v>227.52</v>
    <v>219.99</v>
    <v>215.94</v>
    <v>215.75</v>
    <v>215.02</v>
    <v>214.63</v>
    <v>215.66</v>
    <v>215.65</v>
    <v>212.09</v>
    <v>216.34</v>
    <v>215.1</v>
    <v>213.53</v>
    <v>221.26</v>
    <v>217.08</v>
    <v>215.83</v>
    <v>215.2</v>
    <v>217.43</v>
    <v>216.3</v>
    <v>219.73</v>
    <v>221.82</v>
    <v>225.32</v>
    <v>216</v>
    <v>210.73</v>
    <v>215.56</v>
    <v>214.3</v>
    <v>214</v>
    <v>211.89</v>
    <v>212.94</v>
    <v>216.82</v>
    <v>217.26</v>
    <v>216.59</v>
    <v>217.77</v>
    <v>221.35</v>
    <v>223</v>
    <v>223.33</v>
    <v>213.58</v>
    <v>200.08</v>
    <v>201.02</v>
    <v>204.55</v>
    <v>198.05</v>
    <v>197.62</v>
    <v>196.5</v>
    <v>194.61</v>
    <v>194.81</v>
    <v>195.21</v>
    <v>195.5</v>
    <v>194.58</v>
    <v>194.52</v>
    <v>191.81</v>
    <v>189.63</v>
    <v>185.7</v>
    <v>179.38</v>
    <v>179.7</v>
    <v>179.12</v>
    <v>182.44</v>
    <v>186.92</v>
    <v>189</v>
    <v>186.46</v>
    <v>205.38</v>
    <v>202.54</v>
    <v>201.87</v>
    <v>201.89</v>
    <v>206.27</v>
    <v>200.37</v>
    <v>198.72</v>
    <v>200.71</v>
    <v>204.38</v>
    <v>205.5</v>
    <v>206.71</v>
    <v>206.33</v>
    <v>208.27</v>
    <v>214.08</v>
    <v>216.84</v>
    <v>216.85</v>
    <v>218.16</v>
    <v>216.44</v>
    <v>217.25</v>
    <v>218.5</v>
    <v>217.12</v>
    <v>227.77</v>
    <v>228.13</v>
    <v>229.84</v>
    <v>228.12</v>
    <v>227.38</v>
    <v>234.53</v>
    <v>239.81</v>
    <v>244.55</v>
    <v>242.61</v>
    <v>247.74</v>
    <v>247.68</v>
    <v>249</v>
    <v>250.07</v>
    <v>251.41</v>
    <v>252.15</v>
    <v>248.43</v>
    <v>244.56</v>
    <v>241.59</v>
    <v>234.04</v>
    <v>233.72</v>
    <v>233.02</v>
    <v>233.15</v>
    <v>235.95</v>
    <v>236.95</v>
    <v>243.03</v>
    <v>244.71</v>
    <v>242.59</v>
    <v>236.26</v>
    <v>239.35</v>
    <v>242.96</v>
    <v>244.04</v>
    <v>238.93</v>
    <v>233.71</v>
    <v>232.03</v>
    <v>230.44</v>
    <v>233.39</v>
    <v>230.36</v>
    <v>229.41</v>
    <v>227.53</v>
    <v>229.74</v>
    <v>224.12</v>
    <v>227.31</v>
    <v>222.06</v>
    <v>231.11</v>
    <v>225</v>
    <v>217.76</v>
    <v>214.1</v>
    <v>204.76</v>
    <v>209.89</v>
    <v>213.47</v>
    <v>210.82</v>
    <v>205.99</v>
    <v>201.18</v>
    <v>195.12</v>
    <v>198.41</v>
    <v>196.42</v>
    <v>199.61</v>
    <v>194.36</v>
    <v>190.52</v>
    <v>189.21</v>
    <v>199.03</v>
    <v>207.32</v>
  </a>
  <a r="1" c="250">
    <v>168.07</v>
    <v>158.63</v>
    <v>160.34</v>
    <v>159.32</v>
    <v>174.14</v>
    <v>167.22</v>
    <v>169.42</v>
    <v>172</v>
    <v>174.24</v>
    <v>175.1</v>
    <v>176.38</v>
    <v>174.52</v>
    <v>178.7</v>
    <v>181.43</v>
    <v>186.61</v>
    <v>188.21</v>
    <v>193.13</v>
    <v>195.39</v>
    <v>191.22</v>
    <v>190.58</v>
    <v>192.24</v>
    <v>192.48</v>
    <v>192.43</v>
    <v>188.9</v>
    <v>187.92</v>
    <v>187.53</v>
    <v>192.32</v>
    <v>193.97</v>
    <v>187</v>
    <v>183.45</v>
    <v>183.19</v>
    <v>185.32</v>
    <v>186.36</v>
    <v>184.47</v>
    <v>182.82</v>
    <v>182.3</v>
    <v>186.68</v>
    <v>182.88</v>
    <v>186.11</v>
    <v>190.57</v>
    <v>189.14</v>
    <v>191.4</v>
    <v>187.96</v>
    <v>184.4</v>
    <v>185.14</v>
    <v>183.94</v>
    <v>185.25</v>
    <v>182.61</v>
    <v>181.99</v>
    <v>178.75</v>
    <v>177.67</v>
    <v>173.95</v>
    <v>175.59</v>
    <v>172.4</v>
    <v>170.88</v>
    <v>171.58</v>
    <v>169.15</v>
    <v>170.63</v>
    <v>175.74</v>
    <v>172.26</v>
    <v>171.54</v>
    <v>172.01</v>
    <v>174.89</v>
    <v>167.86</v>
    <v>170.2</v>
    <v>170.54</v>
    <v>170.39</v>
    <v>170.26</v>
    <v>172.14</v>
    <v>170.02</v>
    <v>169.88</v>
    <v>170.48</v>
    <v>168.65</v>
    <v>170.03</v>
    <v>169.99</v>
    <v>193.18</v>
    <v>191.66</v>
    <v>188.49</v>
    <v>187.18</v>
    <v>184.27</v>
    <v>182.75</v>
    <v>178.97</v>
    <v>179.69</v>
    <v>182.31</v>
    <v>181.5</v>
    <v>183.99</v>
    <v>181.49</v>
    <v>188.64</v>
    <v>189.13</v>
    <v>193.97</v>
    <v>194.4</v>
    <v>192.48</v>
    <v>193.66</v>
    <v>197.83</v>
    <v>198.6</v>
    <v>199.19</v>
    <v>197.27</v>
    <v>201.37</v>
    <v>198.37</v>
    <v>197.35</v>
    <v>196.74</v>
    <v>198.25</v>
    <v>194.57</v>
    <v>193.57</v>
    <v>193.01</v>
    <v>197.64</v>
    <v>199.62</v>
    <v>202.79</v>
    <v>200.8</v>
    <v>197.38</v>
    <v>197.63</v>
    <v>196.13</v>
    <v>197.28</v>
    <v>198.78</v>
    <v>201.38</v>
    <v>200.47</v>
    <v>198.95</v>
    <v>200.68</v>
    <v>200.66</v>
    <v>198.09</v>
    <v>197.28</v>
    <v>198.1</v>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a>
  <a r="1" c="250">
    <v>87.26</v>
    <v>83.19</v>
    <v>83.83</v>
    <v>81.790000000000006</v>
    <v>89.6</v>
    <v>90.61</v>
    <v>92.8</v>
    <v>94.73</v>
    <v>93.97</v>
    <v>91.19</v>
    <v>93.22</v>
    <v>92.41</v>
    <v>94.85</v>
    <v>94.96</v>
    <v>95.84</v>
    <v>95.09</v>
    <v>95.22</v>
    <v>96.04</v>
    <v>97.25</v>
    <v>97.41</v>
    <v>98.75</v>
    <v>99.33</v>
    <v>98.55</v>
    <v>98.83</v>
    <v>97.43</v>
    <v>96.72</v>
    <v>96.75</v>
    <v>95.88</v>
    <v>96.83</v>
    <v>96.35</v>
    <v>98.24</v>
    <v>98.12</v>
    <v>97.8</v>
    <v>96.43</v>
    <v>95.93</v>
    <v>96.34</v>
    <v>97.58</v>
    <v>97.24</v>
    <v>97.1</v>
    <v>98.72</v>
    <v>99.77</v>
    <v>99.98</v>
    <v>99.35</v>
    <v>97.96</v>
    <v>97.47</v>
    <v>97.45</v>
    <v>97.32</v>
    <v>95.8</v>
    <v>94.83</v>
    <v>94.44</v>
    <v>94.29</v>
    <v>94.25</v>
    <v>95.09</v>
    <v>96.12</v>
    <v>97.87</v>
    <v>98</v>
    <v>97.26</v>
    <v>96.02</v>
    <v>97.27</v>
    <v>97.78</v>
    <v>98.24</v>
    <v>97.61</v>
    <v>98.36</v>
    <v>99.35</v>
    <v>97.09</v>
    <v>96.81</v>
    <v>94.86</v>
    <v>94.4</v>
    <v>95.78</v>
    <v>95.39</v>
    <v>95.15</v>
    <v>95.09</v>
    <v>95.05</v>
    <v>95.67</v>
    <v>95.85</v>
    <v>95.68</v>
    <v>96.6</v>
    <v>97.47</v>
    <v>97.61</v>
    <v>98.33</v>
    <v>97.59</v>
    <v>97.98</v>
    <v>98.49</v>
    <v>99.59</v>
    <v>99.31</v>
    <v>103.36</v>
    <v>103.12</v>
    <v>103.73</v>
    <v>103.93</v>
    <v>103.62</v>
    <v>100.99</v>
    <v>100.85</v>
    <v>100</v>
    <v>100.7</v>
    <v>101.29</v>
    <v>102.57</v>
    <v>97.96</v>
    <v>96.83</v>
    <v>96.07</v>
    <v>96.05</v>
    <v>96.08</v>
    <v>96.11</v>
    <v>96.98</v>
    <v>97.85</v>
    <v>99.44</v>
    <v>100.93</v>
    <v>100.51</v>
    <v>102.28</v>
    <v>102.29</v>
    <v>100.41</v>
    <v>102.65</v>
    <v>103.49</v>
    <v>103.69</v>
    <v>103.42</v>
    <v>104.27</v>
    <v>103.6</v>
    <v>102.33</v>
    <v>102.82</v>
    <v>102.52</v>
    <v>102.73</v>
    <v>103.05</v>
    <v>103.16</v>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a>
  <a r="1" c="21">
    <v>133.27000000000001</v>
    <v>130.35</v>
    <v>130.79</v>
    <v>132.63999999999999</v>
    <v>136.85</v>
    <v>136.29</v>
    <v>134.19999999999999</v>
    <v>135.21</v>
    <v>136.71</v>
    <v>136.57</v>
    <v>134.43</v>
    <v>124.9</v>
    <v>122.41</v>
    <v>126.06</v>
    <v>125.48</v>
    <v>129.87</v>
    <v>125.41</v>
    <v>122.69</v>
    <v>121.98</v>
    <v>125.46</v>
    <v>123.73</v>
  </a>
  <a r="1" c="21">
    <v>134.98500000000001</v>
    <v>129.69999999999999</v>
    <v>129.30000000000001</v>
    <v>130.24</v>
    <v>135.71</v>
    <v>135.57</v>
    <v>135.38</v>
    <v>136.07</v>
    <v>138.80000000000001</v>
    <v>137.875</v>
    <v>138.44499999999999</v>
    <v>123.02</v>
    <v>125.715</v>
    <v>123.24</v>
    <v>124.36</v>
    <v>129.47999999999999</v>
    <v>126.72</v>
    <v>123.97</v>
    <v>123.28</v>
    <v>121.99</v>
    <v>125.48</v>
  </a>
  <a r="1" c="21">
    <v>135.11699999999999</v>
    <v>131.63460000000001</v>
    <v>132.43</v>
    <v>132.91</v>
    <v>139.22</v>
    <v>136.74</v>
    <v>136</v>
    <v>137.19999999999999</v>
    <v>138.80000000000001</v>
    <v>138.22</v>
    <v>139.16</v>
    <v>126.92</v>
    <v>126.48</v>
    <v>127.27</v>
    <v>125.75</v>
    <v>130.65</v>
    <v>127.05</v>
    <v>124.44</v>
    <v>123.78</v>
    <v>125.78</v>
    <v>126.39</v>
  </a>
  <a r="1" c="21">
    <v>132.72</v>
    <v>128.6</v>
    <v>128.80000000000001</v>
    <v>128.55000000000001</v>
    <v>134.56</v>
    <v>134.82</v>
    <v>133.44999999999999</v>
    <v>134.69999999999999</v>
    <v>136.5</v>
    <v>135.97</v>
    <v>134.37</v>
    <v>121.16</v>
    <v>122.09</v>
    <v>123.1</v>
    <v>123.92</v>
    <v>128.34</v>
    <v>124.59</v>
    <v>122.23009999999999</v>
    <v>121.55</v>
    <v>121.38</v>
    <v>123.12</v>
  </a>
  <a r="1" c="21">
    <v>14293901</v>
    <v>18612932</v>
    <v>10956991</v>
    <v>10072449</v>
    <v>15264286</v>
    <v>6685065</v>
    <v>7591786</v>
    <v>6438401</v>
    <v>9972344</v>
    <v>10005699</v>
    <v>17158597</v>
    <v>33440469</v>
    <v>15479264</v>
    <v>15583917</v>
    <v>8516233</v>
    <v>12843020</v>
    <v>9239994</v>
    <v>8104989</v>
    <v>7226650</v>
    <v>9486079</v>
    <v>10297423</v>
  </a>
  <a r="1" c="250">
    <v>128.30959999999999</v>
    <v>115.62050000000001</v>
    <v>105.1438</v>
    <v>98.585999999999999</v>
    <v>103.9533</v>
    <v>103.358</v>
    <v>106.88</v>
    <v>113.07080000000001</v>
    <v>111.39409999999999</v>
    <v>105.90770000000001</v>
    <v>108.011</v>
    <v>109.2809</v>
    <v>114.9657</v>
    <v>118.0313</v>
    <v>118.3488</v>
    <v>119.331</v>
    <v>117.4361</v>
    <v>117.94199999999999</v>
    <v>118.4877</v>
    <v>119.57899999999999</v>
    <v>124.76779999999999</v>
    <v>125.5714</v>
    <v>126.6528</v>
    <v>122.2577</v>
    <v>124.7975</v>
    <v>124.3411</v>
    <v>131.5042</v>
    <v>130.6113</v>
    <v>132.9923</v>
    <v>122.9224</v>
    <v>122.4859</v>
    <v>121.9898</v>
    <v>124.1725</v>
    <v>122.61490000000001</v>
    <v>120.5215</v>
    <v>119.7774</v>
    <v>118.577</v>
    <v>115.8189</v>
    <v>116.25539999999999</v>
    <v>112.9418</v>
    <v>113.8446</v>
    <v>114.0629</v>
    <v>118.50749999999999</v>
    <v>119.01349999999999</v>
    <v>118.43810000000001</v>
    <v>120.5215</v>
    <v>120.91840000000001</v>
    <v>119.3806</v>
    <v>116.62</v>
    <v>112.87</v>
    <v>115.96</v>
    <v>115.03</v>
    <v>113.49</v>
    <v>113.01</v>
    <v>113.09</v>
    <v>117.01</v>
    <v>114.55</v>
    <v>113.93</v>
    <v>114.08</v>
    <v>113.41</v>
    <v>113.97</v>
    <v>110.71</v>
    <v>108.7</v>
    <v>106.27</v>
    <v>107.99</v>
    <v>103.83</v>
    <v>106.64</v>
    <v>106.72</v>
    <v>108.22</v>
    <v>116.97</v>
    <v>115.73</v>
    <v>117.3</v>
    <v>120.23</v>
    <v>120.27</v>
    <v>120.71</v>
    <v>122.58</v>
    <v>121.15</v>
    <v>120.03</v>
    <v>122.15</v>
    <v>119.36</v>
    <v>117.38</v>
    <v>120.63</v>
    <v>117.07</v>
    <v>117.5</v>
    <v>117.04</v>
    <v>120.86</v>
    <v>120.96</v>
    <v>120.36</v>
    <v>118.64</v>
    <v>122.42</v>
    <v>126.86</v>
    <v>122.28</v>
    <v>121.26</v>
    <v>121.4</v>
    <v>119.99</v>
    <v>119.49</v>
    <v>118.09</v>
    <v>122.94</v>
    <v>124.35</v>
    <v>124.19</v>
    <v>122.23</v>
    <v>119.57</v>
    <v>135</v>
    <v>138.55000000000001</v>
    <v>136.44999999999999</v>
    <v>130.91999999999999</v>
    <v>135.58000000000001</v>
    <v>141.19999999999999</v>
    <v>147.1</v>
    <v>143.93</v>
    <v>155.44</v>
    <v>155.06</v>
    <v>158.04</v>
    <v>162.21</v>
    <v>166.17</v>
    <v>162.47999999999999</v>
    <v>162.81</v>
    <v>164.25</v>
    <v>163.08000000000001</v>
    <v>176.44</v>
    <v>175.47</v>
    <v>171.91</v>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a>
  <a r="1" c="250">
    <v>63.05</v>
    <v>58.13</v>
    <v>58.85</v>
    <v>58.77</v>
    <v>64.150000000000006</v>
    <v>61.59</v>
    <v>61.64</v>
    <v>63.22</v>
    <v>64.33</v>
    <v>62.1</v>
    <v>63.25</v>
    <v>62.69</v>
    <v>64.55</v>
    <v>66.3</v>
    <v>68.16</v>
    <v>68.430000000000007</v>
    <v>68.28</v>
    <v>68.88</v>
    <v>68.38</v>
    <v>68.14</v>
    <v>70.59</v>
    <v>70.239999999999995</v>
    <v>69.47</v>
    <v>70.25</v>
    <v>71.64</v>
    <v>71.45</v>
    <v>74.91</v>
    <v>75.569999999999993</v>
    <v>75.290000000000006</v>
    <v>75.959999999999994</v>
    <v>75.72</v>
    <v>76.13</v>
    <v>75.900000000000006</v>
    <v>73.42</v>
    <v>73.42</v>
    <v>73.09</v>
    <v>75.47</v>
    <v>75.03</v>
    <v>75.53</v>
    <v>75.319999999999993</v>
    <v>75.8</v>
    <v>76.53</v>
    <v>76.400000000000006</v>
    <v>76.67</v>
    <v>78.260000000000005</v>
    <v>78.17</v>
    <v>78.03</v>
    <v>78.38</v>
    <v>78.23</v>
    <v>76.36</v>
    <v>78.069999999999993</v>
    <v>77.36</v>
    <v>78.349999999999994</v>
    <v>78.45</v>
    <v>79.36</v>
    <v>81.14</v>
    <v>82.63</v>
    <v>84.37</v>
    <v>84.38</v>
    <v>85.12</v>
    <v>86.27</v>
    <v>86.76</v>
    <v>88.72</v>
    <v>87.6</v>
    <v>85.57</v>
    <v>85.79</v>
    <v>87.08</v>
    <v>86.73</v>
    <v>87.5</v>
    <v>90.72</v>
    <v>90.02</v>
    <v>93.09</v>
    <v>93.45</v>
    <v>92.65</v>
    <v>94</v>
    <v>95.99</v>
    <v>95.39</v>
    <v>96.07</v>
    <v>95.55</v>
    <v>94.48</v>
    <v>95.81</v>
    <v>93.7</v>
    <v>91.83</v>
    <v>92.08</v>
    <v>91.52</v>
    <v>92.23</v>
    <v>91.23</v>
    <v>92.73</v>
    <v>92.31</v>
    <v>95.74</v>
    <v>94.65</v>
    <v>95.46</v>
    <v>93.69</v>
    <v>94.22</v>
    <v>93.74</v>
    <v>93.17</v>
    <v>92.59</v>
    <v>95.26</v>
    <v>95</v>
    <v>95.72</v>
    <v>96.87</v>
    <v>96.82</v>
    <v>96.57</v>
    <v>94.78</v>
    <v>95.03</v>
    <v>97.08</v>
    <v>95.4</v>
    <v>95.87</v>
    <v>97.34</v>
    <v>97.17</v>
    <v>98.82</v>
    <v>99.44</v>
    <v>99.79</v>
    <v>100.64</v>
    <v>101.76</v>
    <v>102.41</v>
    <v>102.68</v>
    <v>103.49</v>
    <v>103</v>
    <v>101.65</v>
    <v>102.11</v>
    <v>103.42</v>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a>
  <a r="1" c="21">
    <v>50.3</v>
    <v>49.81</v>
    <v>48.64</v>
    <v>47.9</v>
    <v>48.56</v>
    <v>48.52</v>
    <v>47.13</v>
    <v>46.72</v>
    <v>47.06</v>
    <v>47.28</v>
    <v>46.83</v>
    <v>47.01</v>
    <v>47.16</v>
    <v>47.52</v>
    <v>48.14</v>
    <v>48.75</v>
    <v>48.24</v>
    <v>46.97</v>
    <v>47.23</v>
    <v>48.75</v>
    <v>49.27</v>
  </a>
  <a r="1" c="21">
    <v>49.89</v>
    <v>49.82</v>
    <v>48.55</v>
    <v>47.94</v>
    <v>48.28</v>
    <v>48.36</v>
    <v>47.7</v>
    <v>47.52</v>
    <v>47.12</v>
    <v>47.66</v>
    <v>47.22</v>
    <v>46.42</v>
    <v>47.13</v>
    <v>48.34</v>
    <v>47.05</v>
    <v>48.52</v>
    <v>48.71</v>
    <v>48.07</v>
    <v>47.55</v>
    <v>47.68</v>
    <v>49.7</v>
  </a>
  <a r="1" c="21">
    <v>50.41</v>
    <v>50.43</v>
    <v>48.7</v>
    <v>48.15</v>
    <v>49.15</v>
    <v>48.65</v>
    <v>47.782400000000003</v>
    <v>47.820099999999996</v>
    <v>47.68</v>
    <v>48.08</v>
    <v>47.88</v>
    <v>47.19</v>
    <v>47.46</v>
    <v>48.39</v>
    <v>48.46</v>
    <v>49.11</v>
    <v>48.869900000000001</v>
    <v>48.25</v>
    <v>47.854999999999997</v>
    <v>48.77</v>
    <v>50.05</v>
  </a>
  <a r="1" c="21">
    <v>49.21</v>
    <v>49.33</v>
    <v>47.62</v>
    <v>46.77</v>
    <v>47.594999999999999</v>
    <v>47.78</v>
    <v>46.79</v>
    <v>46.655000000000001</v>
    <v>46.900100000000002</v>
    <v>47.2</v>
    <v>46.69</v>
    <v>46.115000000000002</v>
    <v>46.685000000000002</v>
    <v>47.48</v>
    <v>47.02</v>
    <v>48.18</v>
    <v>48.024999999999999</v>
    <v>46.84</v>
    <v>46.93</v>
    <v>47.37</v>
    <v>48.774999999999999</v>
  </a>
  <a r="1" c="21">
    <v>34208496</v>
    <v>39073943</v>
    <v>47015993</v>
    <v>62752798</v>
    <v>50271136</v>
    <v>42185812</v>
    <v>58354534</v>
    <v>45473073</v>
    <v>38055608</v>
    <v>33427815</v>
    <v>40251811</v>
    <v>38601377</v>
    <v>78060881</v>
    <v>42333241</v>
    <v>39804103</v>
    <v>29988292</v>
    <v>32502597</v>
    <v>36781861</v>
    <v>43375850</v>
    <v>49060591</v>
    <v>32947016</v>
  </a>
  <a r="1" c="250">
    <v>37.22</v>
    <v>34.39</v>
    <v>35.58</v>
    <v>35.03</v>
    <v>37.15</v>
    <v>35.85</v>
    <v>35.950000000000003</v>
    <v>36.67</v>
    <v>37.99</v>
    <v>37.33</v>
    <v>37.409999999999997</v>
    <v>36.92</v>
    <v>38.32</v>
    <v>38.75</v>
    <v>39.58</v>
    <v>39.69</v>
    <v>39.78</v>
    <v>39.99</v>
    <v>39.880000000000003</v>
    <v>40.17</v>
    <v>41.07</v>
    <v>41.12</v>
    <v>40.840000000000003</v>
    <v>40.93</v>
    <v>41.6</v>
    <v>41.79</v>
    <v>43.36</v>
    <v>44.28</v>
    <v>44.74</v>
    <v>44.38</v>
    <v>44.69</v>
    <v>44.77</v>
    <v>44.69</v>
    <v>43.25</v>
    <v>43.31</v>
    <v>43.2</v>
    <v>44.22</v>
    <v>44.06</v>
    <v>44.24</v>
    <v>44.13</v>
    <v>44.08</v>
    <v>44.65</v>
    <v>44.36</v>
    <v>44.38</v>
    <v>44.97</v>
    <v>44.87</v>
    <v>45.09</v>
    <v>44.73</v>
    <v>44.62</v>
    <v>44.09</v>
    <v>44.41</v>
    <v>44.23</v>
    <v>45.06</v>
    <v>45.5</v>
    <v>46.3</v>
    <v>46.66</v>
    <v>46.85</v>
    <v>47.46</v>
    <v>47.12</v>
    <v>47.32</v>
    <v>48.15</v>
    <v>48.71</v>
    <v>48.93</v>
    <v>48.66</v>
    <v>47.15</v>
    <v>46.84</v>
    <v>46.97</v>
    <v>46.73</v>
    <v>47.07</v>
    <v>46.15</v>
    <v>46.03</v>
    <v>47.02</v>
    <v>47.32</v>
    <v>47.48</v>
    <v>47.77</v>
    <v>48.14</v>
    <v>48.39</v>
    <v>48.45</v>
    <v>48.23</v>
    <v>47.95</v>
    <v>47.96</v>
    <v>47.27</v>
    <v>45.66</v>
    <v>45.85</v>
    <v>45.56</v>
    <v>45.42</v>
    <v>44.92</v>
    <v>46.01</v>
    <v>46.16</v>
    <v>47.5</v>
    <v>47.24</v>
    <v>47.71</v>
    <v>46.94</v>
    <v>47.92</v>
    <v>48.08</v>
    <v>48.35</v>
    <v>48.26</v>
    <v>49.48</v>
    <v>49.48</v>
    <v>50.25</v>
    <v>50.38</v>
    <v>50.49</v>
    <v>50.74</v>
    <v>50.42</v>
    <v>50.06</v>
    <v>50.62</v>
    <v>49.77</v>
    <v>49.46</v>
    <v>50.29</v>
    <v>50.13</v>
    <v>50.75</v>
    <v>50.58</v>
    <v>50.59</v>
    <v>50.66</v>
    <v>51.4</v>
    <v>52.13</v>
    <v>52.25</v>
    <v>51.92</v>
    <v>51.7</v>
    <v>51.7</v>
    <v>51.85</v>
    <v>52.21</v>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a>
  <a r="1" c="250">
    <v>967.08</v>
    <v>916.48</v>
    <v>908.13</v>
    <v>908.75</v>
    <v>965.19</v>
    <v>964.31</v>
    <v>963.41</v>
    <v>979.32</v>
    <v>976.92</v>
    <v>967.75</v>
    <v>994.5</v>
    <v>957.77</v>
    <v>979.23</v>
    <v>975.84</v>
    <v>975.48</v>
    <v>977.16</v>
    <v>978.54</v>
    <v>991.7</v>
    <v>994.5</v>
    <v>999.04</v>
    <v>1008.3</v>
    <v>1014.89</v>
    <v>1010.5</v>
    <v>1007.15</v>
    <v>1007.71</v>
    <v>1008.09</v>
    <v>1016.15</v>
    <v>999.03</v>
    <v>991.54</v>
    <v>1010.47</v>
    <v>1025.83</v>
    <v>1034.3399999999999</v>
    <v>1036.82</v>
    <v>1025.3</v>
    <v>1018.13</v>
    <v>1008.5</v>
    <v>1017.79</v>
    <v>1013.14</v>
    <v>1008.74</v>
    <v>1040.18</v>
    <v>1056.8499999999999</v>
    <v>1055.5899999999999</v>
    <v>1051.69</v>
    <v>1010.81</v>
    <v>1014.94</v>
    <v>1006.18</v>
    <v>1007.27</v>
    <v>996.78</v>
    <v>1002.71</v>
    <v>990.21</v>
    <v>984.36</v>
    <v>977.72</v>
    <v>974.9</v>
    <v>980.29</v>
    <v>1004.48</v>
    <v>1001.92</v>
    <v>986.54</v>
    <v>982.91</v>
    <v>985.14</v>
    <v>989.94</v>
    <v>985.96</v>
    <v>982.36</v>
    <v>987.02</v>
    <v>992.18</v>
    <v>985.84</v>
    <v>982.09</v>
    <v>970.17</v>
    <v>970.33</v>
    <v>980.91</v>
    <v>967.68</v>
    <v>951.37</v>
    <v>953.91</v>
    <v>950.95</v>
    <v>947.56</v>
    <v>941.61</v>
    <v>941.19</v>
    <v>933.8</v>
    <v>935.48</v>
    <v>933.99</v>
    <v>934.57</v>
    <v>927.51</v>
    <v>939.64</v>
    <v>952.52</v>
    <v>955.37</v>
    <v>943.63</v>
    <v>968.56</v>
    <v>977.45</v>
    <v>980.98</v>
    <v>988.74</v>
    <v>991.25</v>
    <v>978.85</v>
    <v>975.39</v>
    <v>972.04</v>
    <v>979.35</v>
    <v>980.85</v>
    <v>994.57</v>
    <v>969.68</v>
    <v>958.54</v>
    <v>941.58</v>
    <v>941.34</v>
    <v>949.52</v>
    <v>944.96</v>
    <v>943.32</v>
    <v>938.82</v>
    <v>949.78</v>
    <v>955.9</v>
    <v>963.48</v>
    <v>971.85</v>
    <v>979.25</v>
    <v>956.29</v>
    <v>964.32</v>
    <v>967.9</v>
    <v>960.1</v>
    <v>952.07</v>
    <v>963.03</v>
    <v>952.36</v>
    <v>951.16</v>
    <v>943.26</v>
    <v>943.6</v>
    <v>945.27</v>
    <v>943.31</v>
    <v>915.95</v>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a>
  <a r="1" c="21">
    <v>1006.74</v>
    <v>982.57</v>
    <v>998.1</v>
    <v>1005.3</v>
    <v>997.36</v>
    <v>992.23</v>
    <v>1003.32</v>
    <v>1008.43</v>
    <v>1001.74</v>
    <v>996.16</v>
    <v>979.92</v>
    <v>974.78</v>
    <v>972.33</v>
    <v>965.73</v>
    <v>973.82</v>
    <v>974.86</v>
    <v>979.65</v>
    <v>983.86</v>
    <v>996.58</v>
    <v>996.43</v>
    <v>996.56</v>
  </a>
  <a r="1" c="21">
    <v>1005</v>
    <v>996.5</v>
    <v>967.005</v>
    <v>999.63</v>
    <v>1000.5</v>
    <v>996.32</v>
    <v>988.61</v>
    <v>1005.9</v>
    <v>1010.5</v>
    <v>1006.49</v>
    <v>990.37</v>
    <v>985.84</v>
    <v>975.08</v>
    <v>985.66499999999996</v>
    <v>962.06</v>
    <v>978</v>
    <v>975.69</v>
    <v>982.01499999999999</v>
    <v>987.65</v>
    <v>997</v>
    <v>995.02499999999998</v>
  </a>
  <a r="1" c="21">
    <v>1014</v>
    <v>999.25</v>
    <v>1002.5</v>
    <v>1007.41</v>
    <v>1010.1</v>
    <v>997.39</v>
    <v>1006.21</v>
    <v>1012.83</v>
    <v>1012.65</v>
    <v>1008.095</v>
    <v>993.9819</v>
    <v>988.79</v>
    <v>980.76</v>
    <v>986.64</v>
    <v>981.28</v>
    <v>980.81</v>
    <v>987.19</v>
    <v>987.11</v>
    <v>1005.54</v>
    <v>1008.6</v>
    <v>1003.13</v>
  </a>
  <a r="1" c="21">
    <v>997</v>
    <v>978.81</v>
    <v>960.46</v>
    <v>987.99</v>
    <v>996</v>
    <v>987.89</v>
    <v>984</v>
    <v>1002</v>
    <v>995.43010000000004</v>
    <v>994.75</v>
    <v>978.14</v>
    <v>970.41</v>
    <v>970.54</v>
    <v>964.53</v>
    <v>961</v>
    <v>968.05039999999997</v>
    <v>972.7201</v>
    <v>978.11</v>
    <v>985.01</v>
    <v>985.85</v>
    <v>990.59</v>
  </a>
  <a r="1" c="21">
    <v>1806638</v>
    <v>2774284</v>
    <v>2708851</v>
    <v>2348212</v>
    <v>1613381</v>
    <v>1262006</v>
    <v>1669248</v>
    <v>1469672</v>
    <v>1243752</v>
    <v>1210414</v>
    <v>1434421</v>
    <v>1340173</v>
    <v>2621555</v>
    <v>1779094</v>
    <v>1259325</v>
    <v>1067386</v>
    <v>1498250</v>
    <v>1540925</v>
    <v>2129129</v>
    <v>2447853</v>
    <v>1769848</v>
  </a>
  <a r="1" c="21">
    <v>147.1</v>
    <v>146.52000000000001</v>
    <v>146.47999999999999</v>
    <v>146.51</v>
    <v>143.80000000000001</v>
    <v>147.37</v>
    <v>149.91</v>
    <v>151.62</v>
    <v>156.54</v>
    <v>153.01</v>
    <v>149.21</v>
    <v>156.76</v>
    <v>157.66999999999999</v>
    <v>164.59</v>
    <v>176.91</v>
    <v>184.01</v>
    <v>175.82</v>
    <v>171.81</v>
    <v>164.66</v>
    <v>164.13</v>
    <v>169.38</v>
  </a>
  <a r="1" c="21">
    <v>145.995</v>
    <v>146</v>
    <v>143.83000000000001</v>
    <v>144.6</v>
    <v>146.285</v>
    <v>145.66</v>
    <v>147.15</v>
    <v>151</v>
    <v>153.05000000000001</v>
    <v>154.75</v>
    <v>152.71</v>
    <v>146.58500000000001</v>
    <v>163.5</v>
    <v>159.24</v>
    <v>163.62</v>
    <v>177.76</v>
    <v>182.71</v>
    <v>175.13</v>
    <v>172.77</v>
    <v>164.29</v>
    <v>166.98</v>
  </a>
  <a r="1" c="21">
    <v>148.33000000000001</v>
    <v>149.16</v>
    <v>148.66</v>
    <v>146.69999999999999</v>
    <v>146.88999999999999</v>
    <v>149.4699</v>
    <v>151.85</v>
    <v>152.94999999999999</v>
    <v>157.80000000000001</v>
    <v>155.02000000000001</v>
    <v>155.02000000000001</v>
    <v>157.07</v>
    <v>169.9</v>
    <v>165.42</v>
    <v>178.31</v>
    <v>184.86</v>
    <v>186.39</v>
    <v>176.29</v>
    <v>174</v>
    <v>167.99</v>
    <v>171.33</v>
  </a>
  <a r="1" c="21">
    <v>144.05000000000001</v>
    <v>142.05199999999999</v>
    <v>142.12</v>
    <v>141.36000000000001</v>
    <v>137.495</v>
    <v>145.15</v>
    <v>147.08500000000001</v>
    <v>146.82</v>
    <v>152.68</v>
    <v>151.80000000000001</v>
    <v>148.93</v>
    <v>146.57</v>
    <v>157.66999999999999</v>
    <v>158.63</v>
    <v>163.37</v>
    <v>177.62</v>
    <v>175.55</v>
    <v>170.345</v>
    <v>162.47999999999999</v>
    <v>155.37</v>
    <v>164.76</v>
  </a>
  <a r="1" c="21">
    <v>8505495</v>
    <v>7032450</v>
    <v>7100433</v>
    <v>7400609</v>
    <v>7518682</v>
    <v>5405664</v>
    <v>7340868</v>
    <v>6441089</v>
    <v>7923360</v>
    <v>6675798</v>
    <v>5460722</v>
    <v>7715340</v>
    <v>23135869</v>
    <v>10721325</v>
    <v>15886495</v>
    <v>11330772</v>
    <v>11061283</v>
    <v>8011470</v>
    <v>10135271</v>
    <v>13713718</v>
    <v>7311128</v>
  </a>
  <a r="1" c="250">
    <v>77.23</v>
    <v>71.63</v>
    <v>75</v>
    <v>72.59</v>
    <v>84.19</v>
    <v>78.94</v>
    <v>81.93</v>
    <v>85.19</v>
    <v>85.49</v>
    <v>83.36</v>
    <v>84.8</v>
    <v>82.39</v>
    <v>84.08</v>
    <v>89.16</v>
    <v>94.4</v>
    <v>94.89</v>
    <v>94.47</v>
    <v>93.78</v>
    <v>91.76</v>
    <v>91.95</v>
    <v>94.59</v>
    <v>94.36</v>
    <v>93.95</v>
    <v>95.79</v>
    <v>96.22</v>
    <v>95.91</v>
    <v>103.42</v>
    <v>107.85</v>
    <v>111.02</v>
    <v>110.87</v>
    <v>114.19</v>
    <v>114.28</v>
    <v>114.23</v>
    <v>111.93</v>
    <v>111.95</v>
    <v>112.11</v>
    <v>113.99</v>
    <v>113.77</v>
    <v>113.63</v>
    <v>111.27</v>
    <v>108.08</v>
    <v>111.9</v>
    <v>112.7</v>
    <v>111.82</v>
    <v>113.75</v>
    <v>114.22</v>
    <v>113.25</v>
    <v>111.24</v>
    <v>113.4</v>
    <v>109.56</v>
    <v>113.74</v>
    <v>115.93</v>
    <v>116.56</v>
    <v>119.37</v>
    <v>118.02</v>
    <v>120.59</v>
    <v>120.46</v>
    <v>125.98</v>
    <v>123.99</v>
    <v>122.6</v>
    <v>121.73</v>
    <v>123.48</v>
    <v>125.22</v>
    <v>124.77</v>
    <v>124.39</v>
    <v>126.63</v>
    <v>127.91</v>
    <v>126.83</v>
    <v>125.67</v>
    <v>125.69</v>
    <v>123.57</v>
    <v>123.88</v>
    <v>131.24</v>
    <v>128.96</v>
    <v>124.33</v>
    <v>127.22</v>
    <v>128.35</v>
    <v>131.22</v>
    <v>133.86000000000001</v>
    <v>133.51</v>
    <v>133.54</v>
    <v>132.69</v>
    <v>127.32</v>
    <v>130.22999999999999</v>
    <v>130.47999999999999</v>
    <v>128.13999999999999</v>
    <v>133.93</v>
    <v>137.61000000000001</v>
    <v>138.32</v>
    <v>141.63999999999999</v>
    <v>139.13999999999999</v>
    <v>138.86000000000001</v>
    <v>138.28</v>
    <v>138.13</v>
    <v>135.19999999999999</v>
    <v>128.47999999999999</v>
    <v>127.83</v>
    <v>130.84</v>
    <v>131.01</v>
    <v>130.99</v>
    <v>132.5</v>
    <v>134.05000000000001</v>
    <v>122.15</v>
    <v>120.96</v>
    <v>124.02</v>
    <v>126.67</v>
    <v>124.83</v>
    <v>123</v>
    <v>121.29</v>
    <v>124.45</v>
    <v>125.37</v>
    <v>125.04</v>
    <v>126.8</v>
    <v>127.68</v>
    <v>130.34</v>
    <v>132.11000000000001</v>
    <v>131.94</v>
    <v>135.69</v>
    <v>134.34</v>
    <v>132.09</v>
    <v>130.96</v>
    <v>130.76</v>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a>
  <a r="1" c="250">
    <v>112.43</v>
    <v>104.34</v>
    <v>102.94</v>
    <v>100.77</v>
    <v>105.8</v>
    <v>99.93</v>
    <v>103.14</v>
    <v>103.39</v>
    <v>103.1</v>
    <v>104.19</v>
    <v>106.92</v>
    <v>105.35</v>
    <v>108.3</v>
    <v>107.37</v>
    <v>108.63</v>
    <v>108.57</v>
    <v>108.63</v>
    <v>108.36</v>
    <v>105.63</v>
    <v>105.78</v>
    <v>106.21</v>
    <v>103.27</v>
    <v>104.71</v>
    <v>104.61</v>
    <v>106.07</v>
    <v>107.31</v>
    <v>109.16</v>
    <v>109.46</v>
    <v>108.48</v>
    <v>108.58</v>
    <v>108.19</v>
    <v>106.47</v>
    <v>104.95</v>
    <v>103.66</v>
    <v>102.97</v>
    <v>103.03</v>
    <v>103.52</v>
    <v>102.11</v>
    <v>102.69</v>
    <v>102.3</v>
    <v>103.05</v>
    <v>103.8</v>
    <v>102.3</v>
    <v>101.83</v>
    <v>104.27</v>
    <v>104.97</v>
    <v>107.22</v>
    <v>109.31</v>
    <v>109.73</v>
    <v>112.12</v>
    <v>112.48</v>
    <v>114</v>
    <v>113.19</v>
    <v>114.7</v>
    <v>111.74</v>
    <v>108.34</v>
    <v>108.37</v>
    <v>109.99</v>
    <v>109.38</v>
    <v>107.8</v>
    <v>109.24</v>
    <v>111.05</v>
    <v>112.2</v>
    <v>111.11</v>
    <v>114.19</v>
    <v>113.8</v>
    <v>114.93</v>
    <v>115.43</v>
    <v>113.92</v>
    <v>112.91</v>
    <v>112.23</v>
    <v>111.66</v>
    <v>107.77</v>
    <v>108.05</v>
    <v>108.54</v>
    <v>109.93</v>
    <v>110.79</v>
    <v>110.4</v>
    <v>111.44</v>
    <v>112.88</v>
    <v>111.9</v>
    <v>111.64</v>
    <v>109.64</v>
    <v>107.37</v>
    <v>107.24</v>
    <v>106.51</v>
    <v>105.95</v>
    <v>106.8</v>
    <v>105.83</v>
    <v>106.13</v>
    <v>107.6</v>
    <v>107.38</v>
    <v>106.49</v>
    <v>106.72</v>
    <v>107.42</v>
    <v>108.53</v>
    <v>109.23</v>
    <v>111.28</v>
    <v>111.74</v>
    <v>111.49</v>
    <v>112.75</v>
    <v>113.35</v>
    <v>114.29</v>
    <v>114.69</v>
    <v>111.91</v>
    <v>112.4</v>
    <v>109.23</v>
    <v>109.85</v>
    <v>110.65</v>
    <v>112.5</v>
    <v>112.14</v>
    <v>112.16</v>
    <v>112.35</v>
    <v>114.68</v>
    <v>115.29</v>
    <v>113.93</v>
    <v>112.82</v>
    <v>112.02</v>
    <v>113.95</v>
    <v>114.56</v>
    <v>115.59</v>
    <v>117.22</v>
    <v>114.22</v>
    <v>112.75</v>
    <v>111.99</v>
    <v>111.29</v>
    <v>113.26</v>
    <v>114.2</v>
    <v>114.26</v>
    <v>114.02</v>
    <v>112.91</v>
    <v>110.73</v>
    <v>112.24</v>
    <v>112.29</v>
    <v>111.61</v>
    <v>110.64</v>
    <v>112.24</v>
    <v>112.7</v>
    <v>112.71</v>
    <v>114.71</v>
    <v>115.98</v>
    <v>115.39</v>
    <v>115.94</v>
    <v>115.03</v>
    <v>116.45</v>
    <v>114.69</v>
    <v>114.36</v>
    <v>113.76</v>
    <v>114.14</v>
    <v>113.68</v>
    <v>114.5</v>
    <v>117.22</v>
    <v>118.22</v>
    <v>119.78</v>
    <v>118.12</v>
    <v>118.79</v>
    <v>119.29</v>
    <v>117.68</v>
    <v>119.03</v>
    <v>117.35</v>
    <v>117.02</v>
    <v>117.08</v>
    <v>115.97</v>
    <v>114.51</v>
    <v>114.77</v>
    <v>115.92</v>
    <v>116.63</v>
    <v>115.38</v>
    <v>117.8</v>
    <v>117.14</v>
    <v>116.54</v>
    <v>115.98</v>
    <v>118.25</v>
    <v>119.54</v>
    <v>119.54</v>
    <v>118.82</v>
    <v>117.76</v>
    <v>114.68</v>
    <v>117.41</v>
    <v>116.54</v>
    <v>116.69</v>
    <v>118.15</v>
    <v>119.42</v>
    <v>119.22</v>
    <v>119.11</v>
    <v>120.53</v>
    <v>120.99</v>
    <v>120.34</v>
    <v>122.65</v>
    <v>125.36</v>
    <v>121.05</v>
    <v>118.49</v>
    <v>122.91</v>
    <v>124.61</v>
    <v>124.03</v>
    <v>126.54</v>
    <v>130.19999999999999</v>
    <v>129.13</v>
    <v>129.88999999999999</v>
    <v>130.46</v>
    <v>133.61000000000001</v>
    <v>133.63999999999999</v>
    <v>134.97</v>
    <v>134.84</v>
    <v>136.83000000000001</v>
    <v>137.58000000000001</v>
    <v>140.51</v>
    <v>141.4</v>
    <v>138.4</v>
    <v>143.72999999999999</v>
    <v>147.59</v>
    <v>146.08000000000001</v>
    <v>149.05000000000001</v>
    <v>151.21</v>
    <v>151.59</v>
    <v>155.56</v>
    <v>149.93</v>
    <v>148.44999999999999</v>
    <v>146.19</v>
    <v>150.68</v>
    <v>150.97</v>
    <v>147.28</v>
    <v>150.76</v>
    <v>149.26</v>
    <v>149.06</v>
    <v>148.54</v>
    <v>152.5</v>
    <v>154.22</v>
    <v>151.83000000000001</v>
    <v>149.82</v>
    <v>150.76</v>
    <v>151.21</v>
    <v>150.44</v>
    <v>148.13</v>
    <v>151.58000000000001</v>
    <v>153.53</v>
    <v>156.12</v>
    <v>157.22999999999999</v>
    <v>158.81</v>
    <v>157.59</v>
    <v>158.16</v>
    <v>159.66999999999999</v>
    <v>161.13</v>
    <v>165.38</v>
    <v>163.26</v>
    <v>165.43</v>
    <v>170.99</v>
    <v>171.47</v>
    <v>169.66</v>
    <v>160.78</v>
  </a>
  <a r="1" c="21">
    <v>149.82</v>
    <v>150.76</v>
    <v>151.21</v>
    <v>150.44</v>
    <v>148.13</v>
    <v>151.58000000000001</v>
    <v>153.53</v>
    <v>156.12</v>
    <v>157.22999999999999</v>
    <v>158.81</v>
    <v>157.59</v>
    <v>158.16</v>
    <v>159.66999999999999</v>
    <v>161.13</v>
    <v>165.38</v>
    <v>163.26</v>
    <v>165.43</v>
    <v>170.99</v>
    <v>171.47</v>
    <v>169.66</v>
    <v>160.78</v>
  </a>
  <a r="1" c="21">
    <v>150.72</v>
    <v>151</v>
    <v>153.15</v>
    <v>152.01499999999999</v>
    <v>149.25</v>
    <v>147.99</v>
    <v>152.26499999999999</v>
    <v>154.30000000000001</v>
    <v>156</v>
    <v>158.25</v>
    <v>159.66</v>
    <v>158.26</v>
    <v>159.35</v>
    <v>156.11500000000001</v>
    <v>161.71</v>
    <v>163.87</v>
    <v>164.09</v>
    <v>165.58</v>
    <v>172.505</v>
    <v>172.67</v>
    <v>165.77</v>
  </a>
  <a r="1" c="21">
    <v>151.16</v>
    <v>152.33000000000001</v>
    <v>153.80000000000001</v>
    <v>153.88990000000001</v>
    <v>150.4</v>
    <v>151.81</v>
    <v>155</v>
    <v>156.88999999999999</v>
    <v>157.78</v>
    <v>160.44999999999999</v>
    <v>160.18</v>
    <v>159.56</v>
    <v>162.44</v>
    <v>161.41999999999999</v>
    <v>167.48</v>
    <v>165</v>
    <v>165.68</v>
    <v>171.23</v>
    <v>176.41</v>
    <v>174.38</v>
    <v>168</v>
  </a>
  <a r="1" c="21">
    <v>147.86000000000001</v>
    <v>149.47</v>
    <v>149.96</v>
    <v>149.47</v>
    <v>147.69999999999999</v>
    <v>147.66</v>
    <v>151.63</v>
    <v>152.97499999999999</v>
    <v>154.76</v>
    <v>156.80000000000001</v>
    <v>157.53</v>
    <v>154.84</v>
    <v>159.1</v>
    <v>155.02000000000001</v>
    <v>161.25</v>
    <v>162.93</v>
    <v>162.06</v>
    <v>164.8</v>
    <v>171.05</v>
    <v>165.97</v>
    <v>159.53</v>
  </a>
  <a r="1" c="21">
    <v>16764761</v>
    <v>22969271</v>
    <v>21136427</v>
    <v>25532656</v>
    <v>19617590</v>
    <v>15297412</v>
    <v>26053965</v>
    <v>22414094</v>
    <v>22835633</v>
    <v>21592171</v>
    <v>18947142</v>
    <v>27082733</v>
    <v>53942142</v>
    <v>25021288</v>
    <v>26131824</v>
    <v>17192333</v>
    <v>18625249</v>
    <v>30338313</v>
    <v>29813504</v>
    <v>32006724</v>
    <v>37927639</v>
  </a>
  <a r="1" c="21">
    <v>78.599999999999994</v>
    <v>76.2</v>
    <v>75.209999999999994</v>
    <v>74.69</v>
    <v>74.930000000000007</v>
    <v>74.790000000000006</v>
    <v>73.45</v>
    <v>72.39</v>
    <v>72.95</v>
    <v>74.040000000000006</v>
    <v>73.53</v>
    <v>73.790000000000006</v>
    <v>72.81</v>
    <v>75.72</v>
    <v>76.569999999999993</v>
    <v>76.61</v>
    <v>75.599999999999994</v>
    <v>72.98</v>
    <v>72.760000000000005</v>
    <v>74.5</v>
    <v>75.040000000000006</v>
  </a>
  <a r="1" c="21">
    <v>78.22</v>
    <v>78</v>
    <v>74.739999999999995</v>
    <v>73.400000000000006</v>
    <v>74.84</v>
    <v>75.459999999999994</v>
    <v>73.239999999999995</v>
    <v>73.59</v>
    <v>73.319999999999993</v>
    <v>73.59</v>
    <v>73.53</v>
    <v>72.5</v>
    <v>73.52</v>
    <v>74.75</v>
    <v>74.98</v>
    <v>77.900000000000006</v>
    <v>75.97</v>
    <v>75.209999999999994</v>
    <v>73.709999999999994</v>
    <v>74.05</v>
    <v>75.2</v>
  </a>
  <a r="1" c="21">
    <v>79.334999999999994</v>
    <v>78.17</v>
    <v>75.22</v>
    <v>74.7</v>
    <v>77.2</v>
    <v>76.58</v>
    <v>74.02</v>
    <v>73.94</v>
    <v>73.849999999999994</v>
    <v>74.569999999999993</v>
    <v>74.81</v>
    <v>74.400000000000006</v>
    <v>73.900000000000006</v>
    <v>76.849999999999994</v>
    <v>76.87</v>
    <v>78.290000000000006</v>
    <v>77.17</v>
    <v>75.260000000000005</v>
    <v>74.23</v>
    <v>75.09</v>
    <v>75.87</v>
  </a>
  <a r="1" c="21">
    <v>78.040000000000006</v>
    <v>75.069999999999993</v>
    <v>73.349999999999994</v>
    <v>71.921999999999997</v>
    <v>74.84</v>
    <v>74.37</v>
    <v>73.099999999999994</v>
    <v>72.09</v>
    <v>72.430000000000007</v>
    <v>73.545000000000002</v>
    <v>73.415000000000006</v>
    <v>72.5</v>
    <v>72.094999999999999</v>
    <v>74.599999999999994</v>
    <v>74.77</v>
    <v>76.39</v>
    <v>74.905000000000001</v>
    <v>72.680000000000007</v>
    <v>72.42</v>
    <v>73.405000000000001</v>
    <v>74.715000000000003</v>
  </a>
  <a r="1" c="21">
    <v>8510629</v>
    <v>8642908</v>
    <v>8190952</v>
    <v>8829631</v>
    <v>8915571</v>
    <v>5637485</v>
    <v>7340971</v>
    <v>7229709</v>
    <v>7471711</v>
    <v>4690135</v>
    <v>6000865</v>
    <v>9495200</v>
    <v>17760032</v>
    <v>7694773</v>
    <v>7122238</v>
    <v>7191117</v>
    <v>8471308</v>
    <v>7563228</v>
    <v>7192312</v>
    <v>5778164</v>
    <v>5147737</v>
  </a>
  <a r="1" c="250">
    <v>45.9</v>
    <v>44.18</v>
    <v>43.53</v>
    <v>42.48</v>
    <v>45.74</v>
    <v>43.73</v>
    <v>43.63</v>
    <v>45.14</v>
    <v>44.54</v>
    <v>44.22</v>
    <v>44.57</v>
    <v>44.39</v>
    <v>45.16</v>
    <v>45.84</v>
    <v>46.88</v>
    <v>47.11</v>
    <v>47.24</v>
    <v>46.94</v>
    <v>45.24</v>
    <v>45.05</v>
    <v>45.3</v>
    <v>45.38</v>
    <v>45.46</v>
    <v>45.47</v>
    <v>47.35</v>
    <v>47.5</v>
    <v>49.61</v>
    <v>50.46</v>
    <v>50.31</v>
    <v>50.12</v>
    <v>50.37</v>
    <v>50.03</v>
    <v>50.21</v>
    <v>49.37</v>
    <v>49.28</v>
    <v>48.69</v>
    <v>49.09</v>
    <v>48.13</v>
    <v>48.59</v>
    <v>49.61</v>
    <v>47.69</v>
    <v>49.06</v>
    <v>47.67</v>
    <v>47.25</v>
    <v>47.47</v>
    <v>47.93</v>
    <v>48.93</v>
    <v>49.87</v>
    <v>49.26</v>
    <v>48.65</v>
    <v>49.27</v>
    <v>48.28</v>
    <v>48.09</v>
    <v>48.2</v>
    <v>48.52</v>
    <v>49</v>
    <v>48.13</v>
    <v>49.16</v>
    <v>49.68</v>
    <v>49.21</v>
    <v>52.03</v>
    <v>52.68</v>
    <v>52.89</v>
    <v>51.82</v>
    <v>52.19</v>
    <v>52.57</v>
    <v>53.15</v>
    <v>53.39</v>
    <v>53.33</v>
    <v>52.71</v>
    <v>53.18</v>
    <v>53.21</v>
    <v>53.22</v>
    <v>53.21</v>
    <v>48.89</v>
    <v>53.13</v>
    <v>52.34</v>
    <v>53.4</v>
    <v>53.45</v>
    <v>52.11</v>
    <v>52.11</v>
    <v>53.34</v>
    <v>52.53</v>
    <v>52.77</v>
    <v>52.58</v>
    <v>52.47</v>
    <v>52.95</v>
    <v>53.53</v>
    <v>54.01</v>
    <v>54.16</v>
    <v>55.58</v>
    <v>56.42</v>
    <v>56.31</v>
    <v>56.23</v>
    <v>57.06</v>
    <v>56.77</v>
    <v>56.51</v>
    <v>58.37</v>
    <v>58.28</v>
    <v>58.8</v>
    <v>58.75</v>
    <v>58.49</v>
    <v>58.59</v>
    <v>58.53</v>
    <v>57.75</v>
    <v>58.15</v>
    <v>58.27</v>
    <v>58.2</v>
    <v>58.01</v>
    <v>57.34</v>
    <v>58.71</v>
    <v>58.5</v>
    <v>58.95</v>
    <v>58.46</v>
    <v>58.73</v>
    <v>59.26</v>
    <v>58.98</v>
    <v>58.88</v>
    <v>58.58</v>
    <v>59.92</v>
    <v>60.59</v>
    <v>61.24</v>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a>
  <a r="1" c="21">
    <v>664.48</v>
    <v>655</v>
    <v>671.77</v>
    <v>664.15</v>
    <v>651.22</v>
    <v>649.47</v>
    <v>652.83000000000004</v>
    <v>646</v>
    <v>645.20000000000005</v>
    <v>636.33000000000004</v>
    <v>642.28</v>
    <v>637.51</v>
    <v>627.42999999999995</v>
    <v>616.25</v>
    <v>610.16999999999996</v>
    <v>624.20000000000005</v>
    <v>627.33000000000004</v>
    <v>615.84</v>
    <v>598.57000000000005</v>
    <v>604.39</v>
    <v>617.64</v>
  </a>
  <a r="1" c="21">
    <v>670</v>
    <v>662.1</v>
    <v>661.65</v>
    <v>675.58</v>
    <v>657.95</v>
    <v>645.32000000000005</v>
    <v>651.95000000000005</v>
    <v>652.66999999999996</v>
    <v>645.22500000000002</v>
    <v>644.96</v>
    <v>641.11</v>
    <v>639.05999999999995</v>
    <v>635.86</v>
    <v>629.07000000000005</v>
    <v>612.95000000000005</v>
    <v>612.5</v>
    <v>619.79999999999995</v>
    <v>625.70000000000005</v>
    <v>621.03</v>
    <v>604.5</v>
    <v>608.82000000000005</v>
  </a>
  <a r="1" c="21">
    <v>671</v>
    <v>663</v>
    <v>672.86</v>
    <v>676.07500000000005</v>
    <v>659.89</v>
    <v>656.99990000000003</v>
    <v>661</v>
    <v>660</v>
    <v>651.54999999999995</v>
    <v>645</v>
    <v>645.85</v>
    <v>640</v>
    <v>638.50990000000002</v>
    <v>629.65790000000004</v>
    <v>615.29999999999995</v>
    <v>626.92999999999995</v>
    <v>632.91999999999996</v>
    <v>631.44500000000005</v>
    <v>623.32000000000005</v>
    <v>610</v>
    <v>619.1</v>
  </a>
  <a r="1" c="21">
    <v>652.54</v>
    <v>647.22879999999998</v>
    <v>656.4</v>
    <v>657.34500000000003</v>
    <v>646.20000000000005</v>
    <v>644.13</v>
    <v>646.63</v>
    <v>640.5</v>
    <v>639</v>
    <v>632.78899999999999</v>
    <v>636.45000000000005</v>
    <v>623.75</v>
    <v>622.37</v>
    <v>610.63</v>
    <v>605.00009999999997</v>
    <v>612.41999999999996</v>
    <v>619.79999999999995</v>
    <v>613.65509999999995</v>
    <v>593.88</v>
    <v>598.70000000000005</v>
    <v>606.11</v>
  </a>
  <a r="1" c="21">
    <v>1650894</v>
    <v>1721536</v>
    <v>1895091</v>
    <v>2369743</v>
    <v>1653018</v>
    <v>1365219</v>
    <v>1411169</v>
    <v>1071344</v>
    <v>1180980</v>
    <v>1389066</v>
    <v>1026183</v>
    <v>1540841</v>
    <v>6511253</v>
    <v>1386641</v>
    <v>1078188</v>
    <v>1190275</v>
    <v>1262434</v>
    <v>1061125</v>
    <v>1849318</v>
    <v>1327800</v>
    <v>1118050</v>
  </a>
  <a r="1" c="250">
    <v>454.78</v>
    <v>432.15</v>
    <v>430.82</v>
    <v>443.36</v>
    <v>462.24</v>
    <v>463.7</v>
    <v>474.9</v>
    <v>475.34</v>
    <v>469.58</v>
    <v>477.08</v>
    <v>464.08</v>
    <v>458.33</v>
    <v>462.08</v>
    <v>463.55</v>
    <v>466.81</v>
    <v>477.64</v>
    <v>476.29</v>
    <v>475.88</v>
    <v>477.75</v>
    <v>477.72</v>
    <v>472.8</v>
    <v>471.56</v>
    <v>468.21</v>
    <v>471.32</v>
    <v>474.53</v>
    <v>473.52</v>
    <v>473.16</v>
    <v>459.83</v>
    <v>449.18</v>
    <v>465.14</v>
    <v>468.32</v>
    <v>473.06</v>
    <v>475.82</v>
    <v>470.28</v>
    <v>470.45</v>
    <v>468.88</v>
    <v>476.85</v>
    <v>469.98</v>
    <v>473.69</v>
    <v>482.38</v>
    <v>478.82</v>
    <v>480.17</v>
    <v>482.21</v>
    <v>478.03</v>
    <v>481.69</v>
    <v>480.83</v>
    <v>476.9</v>
    <v>456.6</v>
    <v>469.27</v>
    <v>486.45</v>
    <v>467.06</v>
    <v>479.34</v>
    <v>468.6</v>
    <v>470.56</v>
    <v>472.46</v>
    <v>460.2</v>
    <v>458.39</v>
    <v>457.9</v>
    <v>458.59</v>
    <v>463.14</v>
    <v>465.94</v>
    <v>462.55</v>
    <v>462.52</v>
    <v>469.06</v>
    <v>463.01</v>
    <v>463.06</v>
    <v>464.31</v>
    <v>467.51</v>
    <v>473.57</v>
    <v>470.12</v>
    <v>471.47</v>
    <v>469.2</v>
    <v>463.96</v>
    <v>460.53</v>
    <v>410.74</v>
    <v>419.39</v>
    <v>420.55</v>
    <v>421.17</v>
    <v>421.34</v>
    <v>420.13</v>
    <v>418.68</v>
    <v>420.98</v>
    <v>421.01</v>
    <v>423.7</v>
    <v>428.24</v>
    <v>434.85</v>
    <v>430.75</v>
    <v>425.63</v>
    <v>426.26</v>
    <v>431.56</v>
    <v>442.57</v>
    <v>437.32</v>
    <v>437.56</v>
    <v>440.64</v>
    <v>441.1</v>
    <v>446</v>
    <v>447.2</v>
    <v>446.2</v>
    <v>447.72</v>
    <v>455.46</v>
    <v>454.47</v>
    <v>456.18</v>
    <v>455.63</v>
    <v>452.5</v>
    <v>449.06</v>
    <v>456.85</v>
    <v>463.9</v>
    <v>459.11</v>
    <v>457.06</v>
    <v>463.87</v>
    <v>470.73</v>
    <v>471.31</v>
    <v>473.25</v>
    <v>474.32</v>
    <v>473.12</v>
    <v>473.62</v>
    <v>472.94</v>
    <v>480.39</v>
    <v>486.67</v>
    <v>486.25</v>
    <v>484.34</v>
    <v>487.44</v>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a>
  <a r="1" c="21">
    <v>405.2</v>
    <v>410.68</v>
    <v>408.96</v>
    <v>409.41</v>
    <v>405.76</v>
    <v>404.88</v>
    <v>401.86</v>
    <v>395.55</v>
    <v>399.95</v>
    <v>399.41</v>
    <v>391.79</v>
    <v>389.02</v>
    <v>381.87</v>
    <v>383</v>
    <v>372.74</v>
    <v>371.04</v>
    <v>365.97</v>
    <v>356.77</v>
    <v>358.96</v>
    <v>370.17</v>
    <v>369.37</v>
  </a>
  <a r="1" c="21">
    <v>401.26499999999999</v>
    <v>404.42</v>
    <v>409.2</v>
    <v>404.91500000000002</v>
    <v>410.03</v>
    <v>405.57</v>
    <v>404.63</v>
    <v>401</v>
    <v>398.07</v>
    <v>400.27</v>
    <v>397.125</v>
    <v>390.1</v>
    <v>386.79</v>
    <v>383.9</v>
    <v>382.36</v>
    <v>376.92</v>
    <v>370.815</v>
    <v>361.9</v>
    <v>361.89499999999998</v>
    <v>364.55</v>
    <v>373.49</v>
  </a>
  <a r="1" c="21">
    <v>411.0326</v>
    <v>411.61</v>
    <v>413.05</v>
    <v>410.21</v>
    <v>410.2</v>
    <v>409.01</v>
    <v>406.12</v>
    <v>404.8</v>
    <v>400.63</v>
    <v>404.4</v>
    <v>398</v>
    <v>392.49</v>
    <v>387</v>
    <v>387.21</v>
    <v>382.47</v>
    <v>377.06</v>
    <v>374.7199</v>
    <v>362.45</v>
    <v>365.36</v>
    <v>372.9</v>
    <v>373.99</v>
  </a>
  <a r="1" c="21">
    <v>400.31</v>
    <v>404.4</v>
    <v>408.51010000000002</v>
    <v>403.5</v>
    <v>402.93</v>
    <v>401.59</v>
    <v>401.71</v>
    <v>394.25</v>
    <v>394.79</v>
    <v>397.745</v>
    <v>391</v>
    <v>387.06</v>
    <v>380.12</v>
    <v>381.68</v>
    <v>371.85</v>
    <v>369.63</v>
    <v>365.19</v>
    <v>356.51</v>
    <v>356.28</v>
    <v>363.07</v>
    <v>368.2</v>
  </a>
  <a r="1" c="21">
    <v>35807990</v>
    <v>39001315</v>
    <v>31123859</v>
    <v>30131854</v>
    <v>31706375</v>
    <v>25512139</v>
    <v>27263886</v>
    <v>26848000</v>
    <v>27733721</v>
    <v>26228279</v>
    <v>25908484</v>
    <v>25138772</v>
    <v>50853154</v>
    <v>29680059</v>
    <v>42733625</v>
    <v>31181163</v>
    <v>36836574</v>
    <v>37883400</v>
    <v>44797002</v>
    <v>45244365</v>
    <v>29417206</v>
  </a>
  <a r="1" c="250">
    <v>373.11</v>
    <v>359.84</v>
    <v>357.86</v>
    <v>354.56</v>
    <v>390.49</v>
    <v>381.35</v>
    <v>388.45</v>
    <v>387.81</v>
    <v>385.73</v>
    <v>371.61</v>
    <v>367.78</v>
    <v>359.12</v>
    <v>366.82</v>
    <v>374.39</v>
    <v>387.3</v>
    <v>391.85</v>
    <v>391.16</v>
    <v>394.04</v>
    <v>395.26</v>
    <v>425.4</v>
    <v>435.28</v>
    <v>436.17</v>
    <v>433.31</v>
    <v>433.35</v>
    <v>438.17</v>
    <v>438.73</v>
    <v>449.26</v>
    <v>449.14</v>
    <v>452.94</v>
    <v>453.13</v>
    <v>454.27</v>
    <v>458.87</v>
    <v>458.17</v>
    <v>452.57</v>
    <v>454.86</v>
    <v>450.18</v>
    <v>460.69</v>
    <v>457.36</v>
    <v>458.68</v>
    <v>460.36</v>
    <v>461.97</v>
    <v>462.97</v>
    <v>463.87</v>
    <v>467.68</v>
    <v>470.38</v>
    <v>472.75</v>
    <v>470.92</v>
    <v>472.62</v>
    <v>478.87</v>
    <v>474.96</v>
    <v>479.14</v>
    <v>478.04</v>
    <v>480.24</v>
    <v>477.4</v>
    <v>486</v>
    <v>490.11</v>
    <v>492.27</v>
    <v>497.45</v>
    <v>495.94</v>
    <v>497.41</v>
    <v>492.05</v>
    <v>491.09</v>
    <v>498.84</v>
    <v>497.72</v>
    <v>496.62</v>
    <v>503.51</v>
    <v>501.48</v>
    <v>503.32</v>
    <v>503.02</v>
    <v>505.82</v>
    <v>505.62</v>
    <v>511.7</v>
    <v>510.05</v>
    <v>510.06</v>
    <v>505.27</v>
    <v>505.87</v>
    <v>510.88</v>
    <v>513.71</v>
    <v>512.5</v>
    <v>512.57000000000005</v>
    <v>513.24</v>
    <v>533.5</v>
    <v>524.11</v>
    <v>535.64</v>
    <v>527.75</v>
    <v>524.94000000000005</v>
    <v>520.84</v>
    <v>522.04</v>
    <v>521.77</v>
    <v>529.24</v>
    <v>520.58000000000004</v>
    <v>522.48</v>
    <v>520.16999999999996</v>
    <v>517.1</v>
    <v>509.77</v>
    <v>505.72</v>
    <v>504.24</v>
    <v>507.23</v>
    <v>504.26</v>
    <v>502.04</v>
    <v>506.74</v>
    <v>509.64</v>
    <v>506.69</v>
    <v>505.12</v>
    <v>505.35</v>
    <v>507.97</v>
    <v>495</v>
    <v>498.2</v>
    <v>498.41</v>
    <v>500.37</v>
    <v>501.01</v>
    <v>509.9</v>
    <v>515.36</v>
    <v>509.04</v>
    <v>510.02</v>
    <v>508.45</v>
    <v>517.92999999999995</v>
    <v>514.45000000000005</v>
    <v>509.23</v>
    <v>510.15</v>
    <v>507.03</v>
    <v>511.46</v>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a>
  <a r="1" c="21">
    <v>867.25</v>
    <v>835.46</v>
    <v>821.42</v>
    <v>832.03</v>
    <v>833.81</v>
    <v>823.76</v>
    <v>787.52</v>
    <v>782.21</v>
    <v>794.77</v>
    <v>807.04</v>
    <v>805.48</v>
    <v>809.5</v>
    <v>813.53</v>
    <v>831.27</v>
    <v>835.72</v>
    <v>841.84</v>
    <v>822.64</v>
    <v>802.89</v>
    <v>807.6</v>
    <v>845.99</v>
    <v>860.21</v>
  </a>
  <a r="1" c="21">
    <v>869.84</v>
    <v>862.01</v>
    <v>816</v>
    <v>810</v>
    <v>834.68</v>
    <v>829.95</v>
    <v>805.32</v>
    <v>789.36</v>
    <v>792</v>
    <v>806.3</v>
    <v>801</v>
    <v>792.93</v>
    <v>807</v>
    <v>833</v>
    <v>824.93</v>
    <v>845.01</v>
    <v>833.79</v>
    <v>813.67</v>
    <v>811.12</v>
    <v>823.9</v>
    <v>859.95</v>
  </a>
  <a r="1" c="21">
    <v>878.8</v>
    <v>866.52430000000004</v>
    <v>827.16</v>
    <v>836.68</v>
    <v>846.09</v>
    <v>832.80250000000001</v>
    <v>807.21</v>
    <v>798</v>
    <v>805.45500000000004</v>
    <v>820.44</v>
    <v>816.19</v>
    <v>816.18</v>
    <v>827.23</v>
    <v>849.53</v>
    <v>844.5</v>
    <v>854.75</v>
    <v>844.8</v>
    <v>817.1</v>
    <v>818.63250000000005</v>
    <v>848.5</v>
    <v>870.2</v>
  </a>
  <a r="1" c="21">
    <v>860</v>
    <v>822.2</v>
    <v>801.33</v>
    <v>795</v>
    <v>826.35</v>
    <v>810.54</v>
    <v>784.1</v>
    <v>780.5</v>
    <v>790</v>
    <v>803.47</v>
    <v>801</v>
    <v>790.59</v>
    <v>804.92650000000003</v>
    <v>829</v>
    <v>818</v>
    <v>833.90009999999995</v>
    <v>816.11</v>
    <v>797.78</v>
    <v>801.88</v>
    <v>810</v>
    <v>850.15</v>
  </a>
  <a r="1" c="21">
    <v>2081820</v>
    <v>3096912</v>
    <v>2472991</v>
    <v>3258185</v>
    <v>1871901</v>
    <v>2236531</v>
    <v>3533042</v>
    <v>2567411</v>
    <v>2082689</v>
    <v>1955568</v>
    <v>1541291</v>
    <v>1765919</v>
    <v>3918407</v>
    <v>2190280</v>
    <v>1656051</v>
    <v>1628908</v>
    <v>2052166</v>
    <v>2106773</v>
    <v>1621403</v>
    <v>2689828</v>
    <v>1803625</v>
  </a>
  <a r="1" c="250">
    <v>511.23</v>
    <v>470.81</v>
    <v>465.51</v>
    <v>462.22</v>
    <v>516.87</v>
    <v>489.8</v>
    <v>494.44</v>
    <v>503.98</v>
    <v>507.89</v>
    <v>499.05</v>
    <v>509.49</v>
    <v>501.36</v>
    <v>519.99</v>
    <v>529.30999999999995</v>
    <v>545.37</v>
    <v>544.86</v>
    <v>546.4</v>
    <v>548.91999999999996</v>
    <v>547.54999999999995</v>
    <v>553.83000000000004</v>
    <v>566.1</v>
    <v>559.55999999999995</v>
    <v>549.36</v>
    <v>551.91999999999996</v>
    <v>565.70000000000005</v>
    <v>567.1</v>
    <v>591.34</v>
    <v>603.80999999999995</v>
    <v>611.6</v>
    <v>615.9</v>
    <v>619.03</v>
    <v>612.29999999999995</v>
    <v>606.52</v>
    <v>593.46</v>
    <v>598.23</v>
    <v>598.54</v>
    <v>615.73</v>
    <v>608.44000000000005</v>
    <v>604.86</v>
    <v>600.45000000000005</v>
    <v>598.72</v>
    <v>603.83000000000004</v>
    <v>599.21</v>
    <v>605.88</v>
    <v>614</v>
    <v>613.52</v>
    <v>614.87</v>
    <v>624.16999999999996</v>
    <v>625.11</v>
    <v>613.54</v>
    <v>627.85</v>
    <v>624.64</v>
    <v>635.24</v>
    <v>640.79999999999995</v>
    <v>646.88</v>
    <v>662.11</v>
    <v>669.87</v>
    <v>687.16</v>
    <v>690.81</v>
    <v>707.75</v>
    <v>706.46</v>
    <v>715.89</v>
    <v>723.68</v>
    <v>710.93</v>
    <v>697.28</v>
    <v>696.56</v>
    <v>709.12</v>
    <v>704.95</v>
    <v>713.3</v>
    <v>702.51</v>
    <v>708.82</v>
    <v>705.84</v>
    <v>708.26</v>
    <v>706</v>
    <v>700.41</v>
    <v>717.52</v>
    <v>719.18</v>
    <v>728.98</v>
    <v>723.65</v>
    <v>731.98</v>
    <v>730.75</v>
    <v>723.59</v>
    <v>709.57</v>
    <v>726.03</v>
    <v>720.91</v>
    <v>724.74</v>
    <v>719.74</v>
    <v>721.27</v>
    <v>719.24</v>
    <v>743.38</v>
    <v>744.69</v>
    <v>747.2</v>
    <v>730.72</v>
    <v>730.96</v>
    <v>721.38</v>
    <v>720.68</v>
    <v>715.95</v>
    <v>741.89</v>
    <v>738.79</v>
    <v>748.95</v>
    <v>749.67</v>
    <v>751.22</v>
    <v>745.25</v>
    <v>730.85</v>
    <v>730.56</v>
    <v>748.9</v>
    <v>738.21</v>
    <v>741.85</v>
    <v>763.92</v>
    <v>769.58</v>
    <v>784.73</v>
    <v>780.06</v>
    <v>786.76</v>
    <v>785.53</v>
    <v>794.22</v>
    <v>804.31</v>
    <v>805</v>
    <v>805.56</v>
    <v>806.32</v>
    <v>792.43</v>
    <v>794.76</v>
    <v>802.51</v>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a>
  <a r="11">
    <v t="r">6479</v>
    <v t="r">6481</v>
    <v t="r">6483</v>
    <v t="r">6485</v>
    <v t="r">6487</v>
    <v t="r">6489</v>
    <v t="r">6491</v>
    <v t="r">6493</v>
    <v t="r">6495</v>
    <v t="r">6497</v>
    <v t="i">1</v>
  </a>
</arrayData>
</file>

<file path=xl/richData/rdrichvalue.xml><?xml version="1.0" encoding="utf-8"?>
<rvData xmlns="http://schemas.microsoft.com/office/spreadsheetml/2017/richdata" count="6500">
  <rv s="0">
    <v>https://www.bing.com/financeapi/forcetrigger?t=a1ndww&amp;q=XNAS%3aAMD&amp;form=skydnc</v>
    <v>Learn more on Bing</v>
  </rv>
  <rv s="1">
    <v>en-US</v>
    <v>a1ndww</v>
    <v>268435456</v>
    <v>1</v>
    <v>Powered by Refinitiv</v>
    <v>0</v>
    <v>ADVANCED MICRO DEVICES, INC. (XNAS:AMD)</v>
    <v>2</v>
    <v>3</v>
    <v>Finance</v>
    <v>4</v>
    <v>267.07990000000001</v>
    <v>76.48</v>
    <v>1.9919</v>
    <v>7.29</v>
    <v>-1.6489999999999999E-3</v>
    <v>3.4680000000000002E-2</v>
    <v>-0.35859999999999997</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217.78</v>
    <v>Semiconductors &amp; Semiconductor Equipment</v>
    <v>Stock</v>
    <v>46114.99997155078</v>
    <v>0</v>
    <v>200.62</v>
    <v>354598732500</v>
    <v>ADVANCED MICRO DEVICES, INC.</v>
    <v>ADVANCED MICRO DEVICES, INC.</v>
    <v>204.05</v>
    <v>80.712800000000001</v>
    <v>210.21</v>
    <v>217.5</v>
    <v>217.1414</v>
    <v>1630339000</v>
    <v>AMD</v>
    <v>ADVANCED MICRO DEVICES, INC. (XNAS:AMD)</v>
    <v>38463484</v>
    <v>34320558</v>
    <v>1969</v>
  </rv>
  <rv s="2">
    <v>1</v>
  </rv>
  <rv s="0">
    <v>https://www.bing.com/financeapi/forcetrigger?t=a1u3p2&amp;q=XNAS%3aGOOG&amp;form=skydnc</v>
    <v>Learn more on Bing</v>
  </rv>
  <rv s="1">
    <v>en-US</v>
    <v>a1u3p2</v>
    <v>268435456</v>
    <v>1</v>
    <v>Powered by Refinitiv</v>
    <v>0</v>
    <v>ALPHABET INC. (XNAS:GOOG)</v>
    <v>2</v>
    <v>3</v>
    <v>Finance</v>
    <v>4</v>
    <v>350.15</v>
    <v>142.66</v>
    <v>1.1004</v>
    <v>-0.44</v>
    <v>1.3579999999999999E-4</v>
    <v>-1.4920000000000001E-3</v>
    <v>0.04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295.89999999999998</v>
    <v>Software &amp; IT Services</v>
    <v>Stock</v>
    <v>46114.999966608593</v>
    <v>3</v>
    <v>287.57</v>
    <v>3562082619999</v>
    <v>ALPHABET INC.</v>
    <v>ALPHABET INC.</v>
    <v>288.99</v>
    <v>27.320900000000002</v>
    <v>294.89999999999998</v>
    <v>294.45999999999998</v>
    <v>294.5</v>
    <v>12097000000</v>
    <v>GOOG</v>
    <v>ALPHABET INC. (XNAS:GOOG)</v>
    <v>13433366</v>
    <v>21483471</v>
    <v>2015</v>
  </rv>
  <rv s="2">
    <v>4</v>
  </rv>
  <rv s="0">
    <v>https://www.bing.com/financeapi/forcetrigger?t=a1nhlh&amp;q=XNAS%3aAMZN&amp;form=skydnc</v>
    <v>Learn more on Bing</v>
  </rv>
  <rv s="1">
    <v>en-US</v>
    <v>a1nhlh</v>
    <v>268435456</v>
    <v>1</v>
    <v>Powered by Refinitiv</v>
    <v>0</v>
    <v>AMAZON.COM, INC. (XNAS:AMZN)</v>
    <v>2</v>
    <v>3</v>
    <v>Finance</v>
    <v>4</v>
    <v>258.60000000000002</v>
    <v>161.38</v>
    <v>1.3631</v>
    <v>-0.8</v>
    <v>4.1949999999999996E-5</v>
    <v>-3.7990000000000003E-3</v>
    <v>8.8000000000000005E-3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212.21250000000001</v>
    <v>Diversified Retail</v>
    <v>Stock</v>
    <v>46114.999973147656</v>
    <v>6</v>
    <v>204.9</v>
    <v>2251864168400</v>
    <v>AMAZON.COM, INC.</v>
    <v>AMAZON.COM, INC.</v>
    <v>206.54</v>
    <v>29.359000000000002</v>
    <v>210.57</v>
    <v>209.77</v>
    <v>209.77879999999999</v>
    <v>10734920000</v>
    <v>AMZN</v>
    <v>AMAZON.COM, INC. (XNAS:AMZN)</v>
    <v>31453039</v>
    <v>46418366</v>
    <v>1996</v>
  </rv>
  <rv s="2">
    <v>7</v>
  </rv>
  <rv s="0">
    <v>https://www.bing.com/financeapi/forcetrigger?t=a1mou2&amp;q=XNAS%3aAAPL&amp;form=skydnc</v>
    <v>Learn more on Bing</v>
  </rv>
  <rv s="1">
    <v>en-US</v>
    <v>a1mou2</v>
    <v>268435456</v>
    <v>1</v>
    <v>Powered by Refinitiv</v>
    <v>0</v>
    <v>APPLE INC. (XNAS:AAPL)</v>
    <v>2</v>
    <v>3</v>
    <v>Finance</v>
    <v>4</v>
    <v>288.62</v>
    <v>169.21010000000001</v>
    <v>1.1034999999999999</v>
    <v>0.28999999999999998</v>
    <v>-2.1099999999999999E-3</v>
    <v>1.134E-3</v>
    <v>-0.54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256.13</v>
    <v>Computers, Phones &amp; Household Electronics</v>
    <v>Stock</v>
    <v>46114.999985647657</v>
    <v>9</v>
    <v>250.65</v>
    <v>3762714984000</v>
    <v>APPLE INC.</v>
    <v>APPLE INC.</v>
    <v>254.2</v>
    <v>32.4771</v>
    <v>255.63</v>
    <v>255.92</v>
    <v>255.38</v>
    <v>14681140000</v>
    <v>AAPL</v>
    <v>APPLE INC. (XNAS:AAPL)</v>
    <v>31289369</v>
    <v>41792272</v>
    <v>1977</v>
  </rv>
  <rv s="2">
    <v>10</v>
  </rv>
  <rv s="0">
    <v>https://www.bing.com/financeapi/forcetrigger?t=a1om4c&amp;q=XNYS%3aBLK&amp;form=skydnc</v>
    <v>Learn more on Bing</v>
  </rv>
  <rv s="1">
    <v>en-US</v>
    <v>a1om4c</v>
    <v>268435456</v>
    <v>1</v>
    <v>Powered by Refinitiv</v>
    <v>0</v>
    <v>BLACKROCK, INC. (XNYS:BLK)</v>
    <v>2</v>
    <v>3</v>
    <v>Finance</v>
    <v>4</v>
    <v>1219.9399000000001</v>
    <v>773.74009999999998</v>
    <v>1.4875</v>
    <v>9.16</v>
    <v>2.0070000000000001E-3</v>
    <v>9.5680000000000001E-3</v>
    <v>1.94</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971.24</v>
    <v>Investment Banking &amp; Investment Services</v>
    <v>Stock</v>
    <v>46114.998419490628</v>
    <v>12</v>
    <v>929.25</v>
    <v>150340192240</v>
    <v>BLACKROCK, INC.</v>
    <v>BLACKROCK, INC.</v>
    <v>931.43</v>
    <v>27.625299999999999</v>
    <v>957.4</v>
    <v>966.56</v>
    <v>968.5</v>
    <v>155541500</v>
    <v>BLK</v>
    <v>BLACKROCK, INC. (XNYS:BLK)</v>
    <v>568978</v>
    <v>991105</v>
    <v>2024</v>
  </rv>
  <rv s="2">
    <v>13</v>
  </rv>
  <rv s="0">
    <v>https://www.bing.com/financeapi/forcetrigger?t=a1qlz2&amp;q=XNYS%3aCVX&amp;form=skydnc</v>
    <v>Learn more on Bing</v>
  </rv>
  <rv s="1">
    <v>en-US</v>
    <v>a1qlz2</v>
    <v>268435456</v>
    <v>1</v>
    <v>Powered by Refinitiv</v>
    <v>0</v>
    <v>CHEVRON CORPORATION (XNYS:CVX)</v>
    <v>2</v>
    <v>3</v>
    <v>Finance</v>
    <v>4</v>
    <v>214.71</v>
    <v>132.04</v>
    <v>0.60919999999999996</v>
    <v>1.56</v>
    <v>1.1050000000000001E-3</v>
    <v>7.9019999999999993E-3</v>
    <v>0.21990000000000001</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205.48</v>
    <v>Oil &amp; Gas</v>
    <v>Stock</v>
    <v>46114.999900000003</v>
    <v>15</v>
    <v>198.04</v>
    <v>397021753450</v>
    <v>CHEVRON CORPORATION</v>
    <v>CHEVRON CORPORATION</v>
    <v>202.51</v>
    <v>29.704000000000001</v>
    <v>197.41</v>
    <v>198.97</v>
    <v>199.18989999999999</v>
    <v>1995385000</v>
    <v>CVX</v>
    <v>CHEVRON CORPORATION (XNYS:CVX)</v>
    <v>11528048</v>
    <v>15045385</v>
    <v>1926</v>
  </rv>
  <rv s="2">
    <v>16</v>
  </rv>
  <rv s="0">
    <v>https://www.bing.com/financeapi/forcetrigger?t=a1p3ww&amp;q=XNYS%3aC&amp;form=skydnc</v>
    <v>Learn more on Bing</v>
  </rv>
  <rv s="1">
    <v>en-US</v>
    <v>a1p3ww</v>
    <v>268435456</v>
    <v>1</v>
    <v>Powered by Refinitiv</v>
    <v>0</v>
    <v>CITIGROUP INC. (XNYS:C)</v>
    <v>2</v>
    <v>3</v>
    <v>Finance</v>
    <v>4</v>
    <v>125.16</v>
    <v>55.51</v>
    <v>1.1154999999999999</v>
    <v>-0.05</v>
    <v>1.5590000000000001E-3</v>
    <v>-4.3369999999999997E-4</v>
    <v>0.1797</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115.61</v>
    <v>Investment Banking &amp; Investment Services</v>
    <v>Stock</v>
    <v>46114.999269397653</v>
    <v>18</v>
    <v>111.75</v>
    <v>201609014750</v>
    <v>CITIGROUP INC.</v>
    <v>CITIGROUP INC.</v>
    <v>112.315</v>
    <v>16.541599999999999</v>
    <v>115.3</v>
    <v>115.25</v>
    <v>115.4297</v>
    <v>1749319000</v>
    <v>C</v>
    <v>CITIGROUP INC. (XNYS:C)</v>
    <v>9833867</v>
    <v>16619978</v>
    <v>1988</v>
  </rv>
  <rv s="2">
    <v>19</v>
  </rv>
  <rv s="0">
    <v>http://en.wikipedia.org/wiki/Public_domain</v>
    <v>Public domain</v>
  </rv>
  <rv s="0">
    <v>http://en.wikipedia.org/wiki/Ford_Motor_Company</v>
    <v>Wikipedia</v>
  </rv>
  <rv s="3">
    <v>21</v>
    <v>22</v>
  </rv>
  <rv s="4">
    <v>9</v>
    <v>https://www.bing.com/th?id=AMMS_cf0311a5f2d2dcb3110aca1404330618&amp;qlt=95</v>
    <v>23</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14.795</v>
    <v>8.4405999999999999</v>
    <v>1.7561</v>
    <v>-0.08</v>
    <v>-8.6209999999999998E-4</v>
    <v>-6.8489999999999992E-3</v>
    <v>-0.01</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11.62</v>
    <v>24</v>
    <v>Automobiles &amp; Auto Parts</v>
    <v>Stock</v>
    <v>46114.999901909374</v>
    <v>25</v>
    <v>11.36</v>
    <v>46528551200</v>
    <v>FORD MOTOR COMPANY</v>
    <v>FORD MOTOR COMPANY</v>
    <v>11.47</v>
    <v>11.68</v>
    <v>11.6</v>
    <v>11.59</v>
    <v>4011082000</v>
    <v>F</v>
    <v>FORD MOTOR COMPANY (XNYS:F)</v>
    <v>31109069</v>
    <v>59154918</v>
    <v>1919</v>
  </rv>
  <rv s="2">
    <v>26</v>
  </rv>
  <rv s="0">
    <v>http://en.wikipedia.org/wiki/Honda</v>
    <v>Wikipedia</v>
  </rv>
  <rv s="3">
    <v>21</v>
    <v>28</v>
  </rv>
  <rv s="4">
    <v>9</v>
    <v>https://www.bing.com/th?id=AMMS_c0d58c8e4f696e2ded6f7419ca250bd7&amp;qlt=95</v>
    <v>29</v>
    <v>0</v>
    <v>https://www.bing.com/images/search?form=xlimg&amp;q=honda</v>
    <v>Image of HONDA MOTOR CO., LTD.</v>
  </rv>
  <rv s="0">
    <v>https://www.bing.com/financeapi/forcetrigger?t=a1uqyc&amp;q=XNYS%3aHMC&amp;form=skydnc</v>
    <v>Learn more on Bing</v>
  </rv>
  <rv s="6">
    <v>en-US</v>
    <v>a1uqyc</v>
    <v>268435456</v>
    <v>1</v>
    <v>Powered by Refinitiv</v>
    <v>10</v>
    <v>HONDA MOTOR CO., LTD. (XNYS:HMC)</v>
    <v>7</v>
    <v>11</v>
    <v>Finance</v>
    <v>4</v>
    <v>34.89</v>
    <v>23.62</v>
    <v>0.46800000000000003</v>
    <v>-0.16</v>
    <v>4.1410000000000004E-4</v>
    <v>-6.5820000000000002E-3</v>
    <v>0.01</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194173</v>
    <v>New York Stock Exchange</v>
    <v>XNYS</v>
    <v>XNYS</v>
    <v>Toranomon Alcea Tower, 2-2-3, Toranomon, MINATO-KU, TOKYO-TO, 105-8404 JP</v>
    <v>24.24</v>
    <v>30</v>
    <v>Automobiles &amp; Auto Parts</v>
    <v>Stock</v>
    <v>46114.999586423437</v>
    <v>31</v>
    <v>23.78</v>
    <v>36490650000</v>
    <v>HONDA MOTOR CO., LTD.</v>
    <v>HONDA MOTOR CO., LTD.</v>
    <v>23.9</v>
    <v>10.410500000000001</v>
    <v>24.31</v>
    <v>24.15</v>
    <v>24.16</v>
    <v>1511000000</v>
    <v>HMC</v>
    <v>HONDA MOTOR CO., LTD. (XNYS:HMC)</v>
    <v>2187293</v>
    <v>1765959</v>
    <v>1948</v>
  </rv>
  <rv s="2">
    <v>32</v>
  </rv>
  <rv s="0">
    <v>https://www.bing.com/financeapi/forcetrigger?t=a1waa2&amp;q=XNYS%3aJPM&amp;form=skydnc</v>
    <v>Learn more on Bing</v>
  </rv>
  <rv s="1">
    <v>en-US</v>
    <v>a1waa2</v>
    <v>268435456</v>
    <v>1</v>
    <v>Powered by Refinitiv</v>
    <v>0</v>
    <v>JPMORGAN CHASE &amp; CO. (XNYS:JPM)</v>
    <v>2</v>
    <v>3</v>
    <v>Finance</v>
    <v>4</v>
    <v>337.25</v>
    <v>202.16</v>
    <v>1.0615000000000001</v>
    <v>-0.78</v>
    <v>8.4860000000000003E-4</v>
    <v>-2.6410000000000001E-3</v>
    <v>0.25</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295.62</v>
    <v>Banking Services</v>
    <v>Stock</v>
    <v>46114.999485543747</v>
    <v>34</v>
    <v>288.72000000000003</v>
    <v>794545627200</v>
    <v>JPMORGAN CHASE &amp; CO.</v>
    <v>JPMORGAN CHASE &amp; CO.</v>
    <v>291.91000000000003</v>
    <v>14.760999999999999</v>
    <v>295.38</v>
    <v>294.60000000000002</v>
    <v>294.85000000000002</v>
    <v>2697032000</v>
    <v>JPM</v>
    <v>JPMORGAN CHASE &amp; CO. (XNYS:JPM)</v>
    <v>6669252</v>
    <v>11241826</v>
    <v>1968</v>
  </rv>
  <rv s="2">
    <v>35</v>
  </rv>
  <rv s="0">
    <v>https://www.bing.com/financeapi/forcetrigger?t=a1slm7&amp;q=XNAS%3aMETA&amp;form=skydnc</v>
    <v>Learn more on Bing</v>
  </rv>
  <rv s="1">
    <v>en-US</v>
    <v>a1slm7</v>
    <v>268435456</v>
    <v>1</v>
    <v>Powered by Refinitiv</v>
    <v>0</v>
    <v>META PLATFORMS, INC. (XNAS:META)</v>
    <v>2</v>
    <v>3</v>
    <v>Finance</v>
    <v>4</v>
    <v>796.25</v>
    <v>479.8</v>
    <v>1.2983</v>
    <v>-4.7699999999999996</v>
    <v>5.5699999999999999E-4</v>
    <v>-8.2349999999999993E-3</v>
    <v>0.32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578.5</v>
    <v>Software &amp; IT Services</v>
    <v>Stock</v>
    <v>46114.999985185153</v>
    <v>37</v>
    <v>559.70000000000005</v>
    <v>1453128165300</v>
    <v>META PLATFORMS, INC.</v>
    <v>META PLATFORMS, INC.</v>
    <v>566.03499999999997</v>
    <v>19.815899999999999</v>
    <v>579.23</v>
    <v>574.46</v>
    <v>574.78</v>
    <v>2529555000</v>
    <v>META</v>
    <v>META PLATFORMS, INC. (XNAS:META)</v>
    <v>13518547</v>
    <v>16099307</v>
    <v>2004</v>
  </rv>
  <rv s="2">
    <v>38</v>
  </rv>
  <rv s="0">
    <v>https://www.bing.com/financeapi/forcetrigger?t=a1yv52&amp;q=XNAS%3aNVDA&amp;form=skydnc</v>
    <v>Learn more on Bing</v>
  </rv>
  <rv s="1">
    <v>en-US</v>
    <v>a1yv52</v>
    <v>268435456</v>
    <v>1</v>
    <v>Powered by Refinitiv</v>
    <v>0</v>
    <v>NVIDIA CORPORATION (XNAS:NVDA)</v>
    <v>2</v>
    <v>3</v>
    <v>Finance</v>
    <v>4</v>
    <v>212.18989999999999</v>
    <v>86.62</v>
    <v>2.3466999999999998</v>
    <v>1.64</v>
    <v>-3.8900000000000002E-3</v>
    <v>9.3310000000000008E-3</v>
    <v>-0.69</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177.49</v>
    <v>Semiconductors &amp; Semiconductor Equipment</v>
    <v>Stock</v>
    <v>46114.999996284372</v>
    <v>40</v>
    <v>171.37</v>
    <v>4310576999999</v>
    <v>NVIDIA CORPORATION</v>
    <v>NVIDIA CORPORATION</v>
    <v>172.18</v>
    <v>35.854500000000002</v>
    <v>175.75</v>
    <v>177.39</v>
    <v>176.7</v>
    <v>24300000000</v>
    <v>NVDA</v>
    <v>NVIDIA CORPORATION (XNAS:NVDA)</v>
    <v>143143157</v>
    <v>194709094</v>
    <v>1998</v>
  </rv>
  <rv s="2">
    <v>41</v>
  </rv>
  <rv s="0">
    <v>https://www.bing.com/financeapi/forcetrigger?t=by9i27&amp;q=XLON%3a0R2N&amp;form=skydnc</v>
    <v>Learn more on Bing</v>
  </rv>
  <rv s="7">
    <v>en-US</v>
    <v>by9i27</v>
    <v>268435456</v>
    <v>1</v>
    <v>Powered by Refinitiv</v>
    <v>12</v>
    <v>RTX CORPORATION (XLON:0R2N)</v>
    <v>2</v>
    <v>13</v>
    <v>Finance</v>
    <v>14</v>
    <v>226</v>
    <v>110.5</v>
    <v>0.41199999999999998</v>
    <v>1</v>
    <v>5.1149999999999998E-3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46114.760413888282</v>
    <v>43</v>
    <v>260217000000</v>
    <v>RTX CORPORATION</v>
    <v>RTX CORPORATION</v>
    <v>194.5</v>
    <v>39.390700000000002</v>
    <v>195.5</v>
    <v>196.5</v>
    <v>1345974000</v>
    <v>0R2N</v>
    <v>RTX CORPORATION (XLON:0R2N)</v>
    <v>18735</v>
    <v>4992410</v>
    <v>1934</v>
  </rv>
  <rv s="2">
    <v>44</v>
  </rv>
  <rv s="0">
    <v>https://www.bing.com/financeapi/forcetrigger?t=a1o4ec&amp;q=XNYS%3aBA&amp;form=skydnc</v>
    <v>Learn more on Bing</v>
  </rv>
  <rv s="1">
    <v>en-US</v>
    <v>a1o4ec</v>
    <v>268435456</v>
    <v>1</v>
    <v>Powered by Refinitiv</v>
    <v>0</v>
    <v>THE BOEING COMPANY (XNYS:BA)</v>
    <v>2</v>
    <v>3</v>
    <v>Finance</v>
    <v>4</v>
    <v>254.34989999999999</v>
    <v>128.8801</v>
    <v>1.1786000000000001</v>
    <v>0.9</v>
    <v>6.7239999999999997E-4</v>
    <v>4.3410000000000002E-3</v>
    <v>0.14000000000000001</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208.78</v>
    <v>Aerospace &amp; Defense</v>
    <v>Stock</v>
    <v>46114.999965728908</v>
    <v>46</v>
    <v>202.3</v>
    <v>163628458502</v>
    <v>THE BOEING COMPANY</v>
    <v>THE BOEING COMPANY</v>
    <v>203</v>
    <v>93.335300000000004</v>
    <v>207.32</v>
    <v>208.22</v>
    <v>208.36</v>
    <v>785844100</v>
    <v>BA</v>
    <v>THE BOEING COMPANY (XNYS:BA)</v>
    <v>6698574</v>
    <v>7528403</v>
    <v>1934</v>
  </rv>
  <rv s="2">
    <v>47</v>
  </rv>
  <rv s="0">
    <v>https://www.bing.com/financeapi/forcetrigger?t=a24bh7&amp;q=XNYS%3aTM&amp;form=skydnc</v>
    <v>Learn more on Bing</v>
  </rv>
  <rv s="1">
    <v>en-US</v>
    <v>a24bh7</v>
    <v>268435456</v>
    <v>1</v>
    <v>Powered by Refinitiv</v>
    <v>0</v>
    <v>TOYOTA MOTOR CORPORATION (XNYS:TM)</v>
    <v>2</v>
    <v>3</v>
    <v>Finance</v>
    <v>4</v>
    <v>248.9</v>
    <v>155</v>
    <v>0.7046</v>
    <v>-2.66</v>
    <v>7.1979999999999995E-3</v>
    <v>-1.2686999999999999E-2</v>
    <v>1.49</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208.57</v>
    <v>Automobiles &amp; Auto Parts</v>
    <v>Stock</v>
    <v>46114.999823703125</v>
    <v>49</v>
    <v>203.1</v>
    <v>326972087990</v>
    <v>TOYOTA MOTOR CORPORATION</v>
    <v>TOYOTA MOTOR CORPORATION</v>
    <v>204.14</v>
    <v>11.5885</v>
    <v>209.67</v>
    <v>207.01</v>
    <v>208.5</v>
    <v>1579499000</v>
    <v>TM</v>
    <v>TOYOTA MOTOR CORPORATION (XNYS:TM)</v>
    <v>237841</v>
    <v>309227</v>
    <v>1937</v>
  </rv>
  <rv s="2">
    <v>50</v>
  </rv>
  <rv s="0">
    <v>https://www.bing.com/financeapi/forcetrigger?t=a25ya2&amp;q=XNYS%3aWMT&amp;form=skydnc</v>
    <v>Learn more on Bing</v>
  </rv>
  <rv s="1">
    <v>en-US</v>
    <v>a25ya2</v>
    <v>268435456</v>
    <v>1</v>
    <v>Powered by Refinitiv</v>
    <v>0</v>
    <v>WALMART INC. (XNAS:WMT)</v>
    <v>2</v>
    <v>3</v>
    <v>Finance</v>
    <v>4</v>
    <v>134.69</v>
    <v>79.81</v>
    <v>0.66820000000000002</v>
    <v>1.05</v>
    <v>-3.1800000000000003E-4</v>
    <v>8.4180000000000001E-3</v>
    <v>-0.04</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125.9</v>
    <v>Food &amp; Drug Retailing</v>
    <v>Stock</v>
    <v>46114.999460508596</v>
    <v>52</v>
    <v>124.15</v>
    <v>1002848447580</v>
    <v>WALMART INC.</v>
    <v>WALMART INC.</v>
    <v>125.15</v>
    <v>45.697800000000001</v>
    <v>124.74</v>
    <v>125.79</v>
    <v>125.75</v>
    <v>7972402000</v>
    <v>WMT</v>
    <v>WALMART INC. (XNAS:WMT)</v>
    <v>11898351</v>
    <v>20987960</v>
    <v>1969</v>
  </rv>
  <rv s="2">
    <v>53</v>
  </rv>
  <rv s="0">
    <v>https://en.wikipedia.org/wiki/Microsoft</v>
    <v>Wikipedia</v>
  </rv>
  <rv s="3">
    <v>21</v>
    <v>55</v>
  </rv>
  <rv s="4">
    <v>9</v>
    <v>https://www.bing.com/th?id=AMMS_e6e837c7bf3a77408619758b7447855a&amp;qlt=95</v>
    <v>56</v>
    <v>0</v>
    <v>https://www.bing.com/images/search?form=xlimg&amp;q=microsoft</v>
    <v>Image of MICROSOFT CORPORATION</v>
  </rv>
  <rv s="0">
    <v>https://www.bing.com/financeapi/forcetrigger?t=a1xzim&amp;q=XNAS%3aMSFT&amp;form=skydnc</v>
    <v>Learn more on Bing</v>
  </rv>
  <rv s="6">
    <v>en-US</v>
    <v>a1xzim</v>
    <v>268435456</v>
    <v>1</v>
    <v>Powered by Refinitiv</v>
    <v>10</v>
    <v>MICROSOFT CORPORATION (XNAS:MSFT)</v>
    <v>7</v>
    <v>11</v>
    <v>Finance</v>
    <v>4</v>
    <v>555.45000000000005</v>
    <v>344.79</v>
    <v>1.103</v>
    <v>4.09</v>
    <v>-1.607E-4</v>
    <v>1.1073E-2</v>
    <v>-0.06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373.64</v>
    <v>57</v>
    <v>Software &amp; IT Services</v>
    <v>Stock</v>
    <v>46114.999996435159</v>
    <v>58</v>
    <v>364.15</v>
    <v>2773175406340</v>
    <v>MICROSOFT CORPORATION</v>
    <v>MICROSOFT CORPORATION</v>
    <v>367.20499999999998</v>
    <v>23.111000000000001</v>
    <v>369.37</v>
    <v>373.46</v>
    <v>373.4</v>
    <v>7425629000</v>
    <v>MSFT</v>
    <v>MICROSOFT CORPORATION (XNAS:MSFT)</v>
    <v>24099067</v>
    <v>34419136</v>
    <v>1993</v>
  </rv>
  <rv s="2">
    <v>59</v>
  </rv>
  <rv s="0">
    <v>https://www.bing.com/financeapi/forcetrigger?t=a1o4mw&amp;q=XNYS%3aBABA&amp;form=skydnc</v>
    <v>Learn more on Bing</v>
  </rv>
  <rv s="1">
    <v>en-US</v>
    <v>a1o4mw</v>
    <v>268435456</v>
    <v>1</v>
    <v>Powered by Refinitiv</v>
    <v>0</v>
    <v>Alibaba Group Holding Limited (XNYS:BABA)</v>
    <v>2</v>
    <v>3</v>
    <v>Finance</v>
    <v>4</v>
    <v>192.67</v>
    <v>94.974199999999996</v>
    <v>0.49490000000000001</v>
    <v>-1.68</v>
    <v>-1.059E-3</v>
    <v>-1.3578E-2</v>
    <v>-0.1293</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128197</v>
    <v>New York Stock Exchange</v>
    <v>XNYS</v>
    <v>XNYS</v>
    <v>26/F Tower One, Times Square 1 Matheson Street Causeway Bay, Shedden Road HK</v>
    <v>122.8479</v>
    <v>Software &amp; IT Services</v>
    <v>Stock</v>
    <v>46114.999846782033</v>
    <v>61</v>
    <v>120.14</v>
    <v>291383756650</v>
    <v>Alibaba Group Holding Limited</v>
    <v>Alibaba Group Holding Limited</v>
    <v>120.27</v>
    <v>16.8276</v>
    <v>123.73</v>
    <v>122.05</v>
    <v>121.9207</v>
    <v>2387413000</v>
    <v>BABA</v>
    <v>Alibaba Group Holding Limited (XNYS:BABA)</v>
    <v>8830234</v>
    <v>12208490</v>
    <v>1999</v>
  </rv>
  <rv s="2">
    <v>62</v>
  </rv>
  <rv s="0">
    <v>https://www.bing.com/financeapi/forcetrigger?t=a1retc&amp;q=XNYS%3aDELL&amp;form=skydnc</v>
    <v>Learn more on Bing</v>
  </rv>
  <rv s="1">
    <v>en-US</v>
    <v>a1retc</v>
    <v>268435456</v>
    <v>1</v>
    <v>Powered by Refinitiv</v>
    <v>0</v>
    <v>DELL TECHNOLOGIES INC. (XNYS:DELL)</v>
    <v>2</v>
    <v>3</v>
    <v>Finance</v>
    <v>4</v>
    <v>186.39</v>
    <v>66.245000000000005</v>
    <v>0.85729999999999995</v>
    <v>4.99</v>
    <v>3.4410000000000002E-4</v>
    <v>2.946E-2</v>
    <v>0.06</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174.37</v>
    <v>Computers, Phones &amp; Household Electronics</v>
    <v>Stock</v>
    <v>46114.999913645312</v>
    <v>64</v>
    <v>166.495</v>
    <v>112599165945</v>
    <v>DELL TECHNOLOGIES INC.</v>
    <v>DELL TECHNOLOGIES INC.</v>
    <v>166.99</v>
    <v>19.4253</v>
    <v>169.38</v>
    <v>174.37</v>
    <v>174.43</v>
    <v>645748500</v>
    <v>DELL</v>
    <v>DELL TECHNOLOGIES INC. (XNYS:DELL)</v>
    <v>5217126</v>
    <v>10861357</v>
    <v>2013</v>
  </rv>
  <rv s="2">
    <v>65</v>
  </rv>
  <rv s="0">
    <v>https://www.bing.com/financeapi/forcetrigger?t=a1u7xm&amp;q=XNYS%3aGS&amp;form=skydnc</v>
    <v>Learn more on Bing</v>
  </rv>
  <rv s="1">
    <v>en-US</v>
    <v>a1u7xm</v>
    <v>268435456</v>
    <v>1</v>
    <v>Powered by Refinitiv</v>
    <v>0</v>
    <v>THE GOLDMAN SACHS GROUP, INC. (XNYS:GS)</v>
    <v>2</v>
    <v>3</v>
    <v>Finance</v>
    <v>4</v>
    <v>984.7</v>
    <v>439.38</v>
    <v>1.3147</v>
    <v>2.83</v>
    <v>1.054E-3</v>
    <v>3.29E-3</v>
    <v>0.91</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867.3</v>
    <v>Investment Banking &amp; Investment Services</v>
    <v>Stock</v>
    <v>46114.999939721878</v>
    <v>67</v>
    <v>831</v>
    <v>254591535456</v>
    <v>THE GOLDMAN SACHS GROUP, INC.</v>
    <v>THE GOLDMAN SACHS GROUP, INC.</v>
    <v>838.39</v>
    <v>16.7681</v>
    <v>860.21</v>
    <v>863.04</v>
    <v>863.95</v>
    <v>294993900</v>
    <v>GS</v>
    <v>THE GOLDMAN SACHS GROUP, INC. (XNYS:GS)</v>
    <v>1717678</v>
    <v>2502391</v>
    <v>1998</v>
  </rv>
  <rv s="2">
    <v>68</v>
  </rv>
  <rv s="0">
    <v>https://www.bing.com/financeapi/forcetrigger?t=a269ec&amp;q=XNYS%3aXOM&amp;form=skydnc</v>
    <v>Learn more on Bing</v>
  </rv>
  <rv s="1">
    <v>en-US</v>
    <v>a269ec</v>
    <v>268435456</v>
    <v>1</v>
    <v>Powered by Refinitiv</v>
    <v>0</v>
    <v>EXXON MOBIL CORPORATION (XNYS:XOM)</v>
    <v>2</v>
    <v>3</v>
    <v>Finance</v>
    <v>4</v>
    <v>176.41</v>
    <v>97.8</v>
    <v>0.29189999999999999</v>
    <v>-0.09</v>
    <v>-1.2439999999999999E-3</v>
    <v>-5.5980000000000005E-4</v>
    <v>-0.19989999999999999</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166.9</v>
    <v>Oil &amp; Gas</v>
    <v>Stock</v>
    <v>46114.999861318749</v>
    <v>70</v>
    <v>159.59</v>
    <v>669557307160</v>
    <v>EXXON MOBIL CORPORATION</v>
    <v>EXXON MOBIL CORPORATION</v>
    <v>164.49</v>
    <v>24.0672</v>
    <v>160.78</v>
    <v>160.69</v>
    <v>160.49010000000001</v>
    <v>4166764000</v>
    <v>XOM</v>
    <v>EXXON MOBIL CORPORATION (XNYS:XOM)</v>
    <v>25377657</v>
    <v>25353682</v>
    <v>1882</v>
  </rv>
  <rv s="2">
    <v>71</v>
  </rv>
  <rv s="0">
    <v>https://www.bing.com/financeapi/forcetrigger?t=a1tyrw&amp;q=XNYS%3aGM&amp;form=skydnc</v>
    <v>Learn more on Bing</v>
  </rv>
  <rv s="1">
    <v>en-US</v>
    <v>a1tyrw</v>
    <v>268435456</v>
    <v>1</v>
    <v>Powered by Refinitiv</v>
    <v>0</v>
    <v>GENERAL MOTORS COMPANY (XNYS:GM)</v>
    <v>2</v>
    <v>3</v>
    <v>Finance</v>
    <v>4</v>
    <v>87.62</v>
    <v>41.6</v>
    <v>1.3733</v>
    <v>-2.5</v>
    <v>1.103E-3</v>
    <v>-3.3315999999999998E-2</v>
    <v>0.08</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73.680000000000007</v>
    <v>Automobiles &amp; Auto Parts</v>
    <v>Stock</v>
    <v>46114.999659628906</v>
    <v>73</v>
    <v>71.67</v>
    <v>65573824212</v>
    <v>GENERAL MOTORS COMPANY</v>
    <v>GENERAL MOTORS COMPANY</v>
    <v>73.34</v>
    <v>22.9604</v>
    <v>75.040000000000006</v>
    <v>72.540000000000006</v>
    <v>72.62</v>
    <v>903967800</v>
    <v>GM</v>
    <v>GENERAL MOTORS COMPANY (XNYS:GM)</v>
    <v>8182839</v>
    <v>8114098</v>
    <v>2009</v>
  </rv>
  <rv s="2">
    <v>74</v>
  </rv>
  <rv s="0">
    <v>https://www.bing.com/financeapi/forcetrigger?t=a1o4sm&amp;q=XNYS%3aBAC&amp;form=skydnc</v>
    <v>Learn more on Bing</v>
  </rv>
  <rv s="1">
    <v>en-US</v>
    <v>a1o4sm</v>
    <v>268435456</v>
    <v>1</v>
    <v>Powered by Refinitiv</v>
    <v>0</v>
    <v>BANK OF AMERICA CORPORATION (XNYS:BAC)</v>
    <v>2</v>
    <v>3</v>
    <v>Finance</v>
    <v>4</v>
    <v>57.55</v>
    <v>33.064999999999998</v>
    <v>1.2422</v>
    <v>0.11</v>
    <v>4.0500000000000003E-4</v>
    <v>2.2330000000000002E-3</v>
    <v>0.02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49.564999999999998</v>
    <v>Banking Services</v>
    <v>Stock</v>
    <v>46114.99887854141</v>
    <v>76</v>
    <v>48.16</v>
    <v>352855110420</v>
    <v>BANK OF AMERICA CORPORATION</v>
    <v>BANK OF AMERICA CORPORATION</v>
    <v>48.75</v>
    <v>13.024900000000001</v>
    <v>49.27</v>
    <v>49.38</v>
    <v>49.4</v>
    <v>7145709000</v>
    <v>BAC</v>
    <v>BANK OF AMERICA CORPORATION (XNYS:BAC)</v>
    <v>27548242</v>
    <v>45460486</v>
    <v>1998</v>
  </rv>
  <rv s="2">
    <v>77</v>
  </rv>
  <rv s="0">
    <v>https://www.bing.com/financeapi/forcetrigger?t=a1wzw7&amp;q=XNYS%3aLMT&amp;form=skydnc</v>
    <v>Learn more on Bing</v>
  </rv>
  <rv s="1">
    <v>en-US</v>
    <v>a1wzw7</v>
    <v>268435456</v>
    <v>1</v>
    <v>Powered by Refinitiv</v>
    <v>0</v>
    <v>LOCKHEED MARTIN CORPORATION (XNYS:LMT)</v>
    <v>2</v>
    <v>3</v>
    <v>Finance</v>
    <v>4</v>
    <v>692</v>
    <v>410.11</v>
    <v>0.23669999999999999</v>
    <v>5.15</v>
    <v>1.67E-3</v>
    <v>8.3379999999999999E-3</v>
    <v>1.04</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626.51</v>
    <v>Aerospace &amp; Defense</v>
    <v>Stock</v>
    <v>46114.999743818749</v>
    <v>79</v>
    <v>616.01</v>
    <v>143529491259</v>
    <v>LOCKHEED MARTIN CORPORATION</v>
    <v>LOCKHEED MARTIN CORPORATION</v>
    <v>616.70000000000005</v>
    <v>28.746099999999998</v>
    <v>617.64</v>
    <v>622.79</v>
    <v>623.83000000000004</v>
    <v>230462100</v>
    <v>LMT</v>
    <v>LOCKHEED MARTIN CORPORATION (XNYS:LMT)</v>
    <v>1116763</v>
    <v>1772719</v>
    <v>1994</v>
  </rv>
  <rv s="2">
    <v>80</v>
  </rv>
  <rv s="0">
    <v>https://www.bing.com/financeapi/forcetrigger?t=a1q6k2&amp;q=XNAS%3aCOST&amp;form=skydnc</v>
    <v>Learn more on Bing</v>
  </rv>
  <rv s="1">
    <v>en-US</v>
    <v>a1q6k2</v>
    <v>268435456</v>
    <v>1</v>
    <v>Powered by Refinitiv</v>
    <v>0</v>
    <v>COSTCO WHOLESALE CORPORATION (XNAS:COST)</v>
    <v>2</v>
    <v>3</v>
    <v>Finance</v>
    <v>4</v>
    <v>1067.08</v>
    <v>844.06</v>
    <v>0.98899999999999999</v>
    <v>18.399999999999999</v>
    <v>-1.044E-3</v>
    <v>1.8464000000000001E-2</v>
    <v>-1.06</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1016</v>
    <v>Diversified Retail</v>
    <v>Stock</v>
    <v>46114.999898263282</v>
    <v>82</v>
    <v>999.21</v>
    <v>450289541400</v>
    <v>COSTCO WHOLESALE CORPORATION</v>
    <v>COSTCO WHOLESALE CORPORATION</v>
    <v>1008</v>
    <v>53.382899999999999</v>
    <v>996.56</v>
    <v>1014.96</v>
    <v>1013.9</v>
    <v>443652500</v>
    <v>COST</v>
    <v>COSTCO WHOLESALE CORPORATION (XNAS:COST)</v>
    <v>1828612</v>
    <v>1866728</v>
    <v>1987</v>
  </rv>
  <rv s="2">
    <v>83</v>
  </rv>
  <rv s="8">
    <fb>45750</fb>
    <v>15</v>
  </rv>
  <rv s="8">
    <fb>45751</fb>
    <v>15</v>
  </rv>
  <rv s="8">
    <fb>45754</fb>
    <v>15</v>
  </rv>
  <rv s="8">
    <fb>45755</fb>
    <v>15</v>
  </rv>
  <rv s="8">
    <fb>45756</fb>
    <v>15</v>
  </rv>
  <rv s="8">
    <fb>45757</fb>
    <v>15</v>
  </rv>
  <rv s="8">
    <fb>45758</fb>
    <v>15</v>
  </rv>
  <rv s="8">
    <fb>45761</fb>
    <v>15</v>
  </rv>
  <rv s="8">
    <fb>45762</fb>
    <v>15</v>
  </rv>
  <rv s="8">
    <fb>45763</fb>
    <v>15</v>
  </rv>
  <rv s="8">
    <fb>45764</fb>
    <v>15</v>
  </rv>
  <rv s="8">
    <fb>45768</fb>
    <v>15</v>
  </rv>
  <rv s="8">
    <fb>45769</fb>
    <v>15</v>
  </rv>
  <rv s="8">
    <fb>45770</fb>
    <v>15</v>
  </rv>
  <rv s="8">
    <fb>45771</fb>
    <v>15</v>
  </rv>
  <rv s="8">
    <fb>45772</fb>
    <v>15</v>
  </rv>
  <rv s="8">
    <fb>45775</fb>
    <v>15</v>
  </rv>
  <rv s="8">
    <fb>45776</fb>
    <v>15</v>
  </rv>
  <rv s="8">
    <fb>45777</fb>
    <v>15</v>
  </rv>
  <rv s="8">
    <fb>45778</fb>
    <v>15</v>
  </rv>
  <rv s="8">
    <fb>45779</fb>
    <v>15</v>
  </rv>
  <rv s="8">
    <fb>45782</fb>
    <v>15</v>
  </rv>
  <rv s="8">
    <fb>45783</fb>
    <v>15</v>
  </rv>
  <rv s="8">
    <fb>45784</fb>
    <v>15</v>
  </rv>
  <rv s="8">
    <fb>45785</fb>
    <v>15</v>
  </rv>
  <rv s="8">
    <fb>45786</fb>
    <v>15</v>
  </rv>
  <rv s="8">
    <fb>45789</fb>
    <v>15</v>
  </rv>
  <rv s="8">
    <fb>45790</fb>
    <v>15</v>
  </rv>
  <rv s="8">
    <fb>45791</fb>
    <v>15</v>
  </rv>
  <rv s="8">
    <fb>45792</fb>
    <v>15</v>
  </rv>
  <rv s="8">
    <fb>45793</fb>
    <v>15</v>
  </rv>
  <rv s="8">
    <fb>45796</fb>
    <v>15</v>
  </rv>
  <rv s="8">
    <fb>45797</fb>
    <v>15</v>
  </rv>
  <rv s="8">
    <fb>45798</fb>
    <v>15</v>
  </rv>
  <rv s="8">
    <fb>45799</fb>
    <v>15</v>
  </rv>
  <rv s="8">
    <fb>45800</fb>
    <v>15</v>
  </rv>
  <rv s="8">
    <fb>45804</fb>
    <v>15</v>
  </rv>
  <rv s="8">
    <fb>45805</fb>
    <v>15</v>
  </rv>
  <rv s="8">
    <fb>45806</fb>
    <v>15</v>
  </rv>
  <rv s="8">
    <fb>45807</fb>
    <v>15</v>
  </rv>
  <rv s="8">
    <fb>45810</fb>
    <v>15</v>
  </rv>
  <rv s="8">
    <fb>45811</fb>
    <v>15</v>
  </rv>
  <rv s="8">
    <fb>45812</fb>
    <v>15</v>
  </rv>
  <rv s="8">
    <fb>45813</fb>
    <v>15</v>
  </rv>
  <rv s="8">
    <fb>45814</fb>
    <v>15</v>
  </rv>
  <rv s="8">
    <fb>45817</fb>
    <v>15</v>
  </rv>
  <rv s="8">
    <fb>45818</fb>
    <v>15</v>
  </rv>
  <rv s="8">
    <fb>45819</fb>
    <v>15</v>
  </rv>
  <rv s="8">
    <fb>45820</fb>
    <v>15</v>
  </rv>
  <rv s="8">
    <fb>45821</fb>
    <v>15</v>
  </rv>
  <rv s="8">
    <fb>45824</fb>
    <v>15</v>
  </rv>
  <rv s="8">
    <fb>45825</fb>
    <v>15</v>
  </rv>
  <rv s="8">
    <fb>45826</fb>
    <v>15</v>
  </rv>
  <rv s="8">
    <fb>45828</fb>
    <v>15</v>
  </rv>
  <rv s="8">
    <fb>45831</fb>
    <v>15</v>
  </rv>
  <rv s="8">
    <fb>45832</fb>
    <v>15</v>
  </rv>
  <rv s="8">
    <fb>45833</fb>
    <v>15</v>
  </rv>
  <rv s="8">
    <fb>45834</fb>
    <v>15</v>
  </rv>
  <rv s="8">
    <fb>45835</fb>
    <v>15</v>
  </rv>
  <rv s="8">
    <fb>45838</fb>
    <v>15</v>
  </rv>
  <rv s="8">
    <fb>45839</fb>
    <v>15</v>
  </rv>
  <rv s="8">
    <fb>45840</fb>
    <v>15</v>
  </rv>
  <rv s="8">
    <fb>45841</fb>
    <v>15</v>
  </rv>
  <rv s="8">
    <fb>45845</fb>
    <v>15</v>
  </rv>
  <rv s="8">
    <fb>45846</fb>
    <v>15</v>
  </rv>
  <rv s="8">
    <fb>45847</fb>
    <v>15</v>
  </rv>
  <rv s="8">
    <fb>45848</fb>
    <v>15</v>
  </rv>
  <rv s="8">
    <fb>45849</fb>
    <v>15</v>
  </rv>
  <rv s="8">
    <fb>45852</fb>
    <v>15</v>
  </rv>
  <rv s="8">
    <fb>45853</fb>
    <v>15</v>
  </rv>
  <rv s="8">
    <fb>45854</fb>
    <v>15</v>
  </rv>
  <rv s="8">
    <fb>45855</fb>
    <v>15</v>
  </rv>
  <rv s="8">
    <fb>45856</fb>
    <v>15</v>
  </rv>
  <rv s="8">
    <fb>45859</fb>
    <v>15</v>
  </rv>
  <rv s="8">
    <fb>45860</fb>
    <v>15</v>
  </rv>
  <rv s="8">
    <fb>45861</fb>
    <v>15</v>
  </rv>
  <rv s="8">
    <fb>45862</fb>
    <v>15</v>
  </rv>
  <rv s="8">
    <fb>45863</fb>
    <v>15</v>
  </rv>
  <rv s="8">
    <fb>45866</fb>
    <v>15</v>
  </rv>
  <rv s="8">
    <fb>45867</fb>
    <v>15</v>
  </rv>
  <rv s="8">
    <fb>45868</fb>
    <v>15</v>
  </rv>
  <rv s="8">
    <fb>45869</fb>
    <v>15</v>
  </rv>
  <rv s="8">
    <fb>45870</fb>
    <v>15</v>
  </rv>
  <rv s="8">
    <fb>45873</fb>
    <v>15</v>
  </rv>
  <rv s="8">
    <fb>45874</fb>
    <v>15</v>
  </rv>
  <rv s="8">
    <fb>45875</fb>
    <v>15</v>
  </rv>
  <rv s="8">
    <fb>45876</fb>
    <v>15</v>
  </rv>
  <rv s="8">
    <fb>45877</fb>
    <v>15</v>
  </rv>
  <rv s="8">
    <fb>45880</fb>
    <v>15</v>
  </rv>
  <rv s="8">
    <fb>45881</fb>
    <v>15</v>
  </rv>
  <rv s="8">
    <fb>45882</fb>
    <v>15</v>
  </rv>
  <rv s="8">
    <fb>45883</fb>
    <v>15</v>
  </rv>
  <rv s="8">
    <fb>45884</fb>
    <v>15</v>
  </rv>
  <rv s="8">
    <fb>45887</fb>
    <v>15</v>
  </rv>
  <rv s="8">
    <fb>45888</fb>
    <v>15</v>
  </rv>
  <rv s="8">
    <fb>45889</fb>
    <v>15</v>
  </rv>
  <rv s="8">
    <fb>45890</fb>
    <v>15</v>
  </rv>
  <rv s="8">
    <fb>45891</fb>
    <v>15</v>
  </rv>
  <rv s="8">
    <fb>45894</fb>
    <v>15</v>
  </rv>
  <rv s="8">
    <fb>45895</fb>
    <v>15</v>
  </rv>
  <rv s="8">
    <fb>45896</fb>
    <v>15</v>
  </rv>
  <rv s="8">
    <fb>45897</fb>
    <v>15</v>
  </rv>
  <rv s="8">
    <fb>45898</fb>
    <v>15</v>
  </rv>
  <rv s="8">
    <fb>45902</fb>
    <v>15</v>
  </rv>
  <rv s="8">
    <fb>45903</fb>
    <v>15</v>
  </rv>
  <rv s="8">
    <fb>45904</fb>
    <v>15</v>
  </rv>
  <rv s="8">
    <fb>45905</fb>
    <v>15</v>
  </rv>
  <rv s="8">
    <fb>45908</fb>
    <v>15</v>
  </rv>
  <rv s="8">
    <fb>45909</fb>
    <v>15</v>
  </rv>
  <rv s="8">
    <fb>45910</fb>
    <v>15</v>
  </rv>
  <rv s="8">
    <fb>45911</fb>
    <v>15</v>
  </rv>
  <rv s="8">
    <fb>45912</fb>
    <v>15</v>
  </rv>
  <rv s="8">
    <fb>45915</fb>
    <v>15</v>
  </rv>
  <rv s="8">
    <fb>45916</fb>
    <v>15</v>
  </rv>
  <rv s="8">
    <fb>45917</fb>
    <v>15</v>
  </rv>
  <rv s="8">
    <fb>45918</fb>
    <v>15</v>
  </rv>
  <rv s="8">
    <fb>45919</fb>
    <v>15</v>
  </rv>
  <rv s="8">
    <fb>45922</fb>
    <v>15</v>
  </rv>
  <rv s="8">
    <fb>45923</fb>
    <v>15</v>
  </rv>
  <rv s="8">
    <fb>45924</fb>
    <v>15</v>
  </rv>
  <rv s="8">
    <fb>45925</fb>
    <v>15</v>
  </rv>
  <rv s="8">
    <fb>45926</fb>
    <v>15</v>
  </rv>
  <rv s="8">
    <fb>45929</fb>
    <v>15</v>
  </rv>
  <rv s="8">
    <fb>45930</fb>
    <v>15</v>
  </rv>
  <rv s="8">
    <fb>45931</fb>
    <v>15</v>
  </rv>
  <rv s="8">
    <fb>45932</fb>
    <v>15</v>
  </rv>
  <rv s="8">
    <fb>45933</fb>
    <v>15</v>
  </rv>
  <rv s="8">
    <fb>45936</fb>
    <v>15</v>
  </rv>
  <rv s="8">
    <fb>45937</fb>
    <v>15</v>
  </rv>
  <rv s="8">
    <fb>45938</fb>
    <v>15</v>
  </rv>
  <rv s="8">
    <fb>45939</fb>
    <v>15</v>
  </rv>
  <rv s="8">
    <fb>45940</fb>
    <v>15</v>
  </rv>
  <rv s="8">
    <fb>45943</fb>
    <v>15</v>
  </rv>
  <rv s="8">
    <fb>45944</fb>
    <v>15</v>
  </rv>
  <rv s="8">
    <fb>45945</fb>
    <v>15</v>
  </rv>
  <rv s="8">
    <fb>45946</fb>
    <v>15</v>
  </rv>
  <rv s="8">
    <fb>45947</fb>
    <v>15</v>
  </rv>
  <rv s="8">
    <fb>45950</fb>
    <v>15</v>
  </rv>
  <rv s="8">
    <fb>45951</fb>
    <v>15</v>
  </rv>
  <rv s="8">
    <fb>45952</fb>
    <v>15</v>
  </rv>
  <rv s="8">
    <fb>45953</fb>
    <v>15</v>
  </rv>
  <rv s="8">
    <fb>45954</fb>
    <v>15</v>
  </rv>
  <rv s="8">
    <fb>45957</fb>
    <v>15</v>
  </rv>
  <rv s="8">
    <fb>45958</fb>
    <v>15</v>
  </rv>
  <rv s="8">
    <fb>45959</fb>
    <v>15</v>
  </rv>
  <rv s="8">
    <fb>45960</fb>
    <v>15</v>
  </rv>
  <rv s="8">
    <fb>45961</fb>
    <v>15</v>
  </rv>
  <rv s="8">
    <fb>45964</fb>
    <v>15</v>
  </rv>
  <rv s="8">
    <fb>45965</fb>
    <v>15</v>
  </rv>
  <rv s="8">
    <fb>45966</fb>
    <v>15</v>
  </rv>
  <rv s="8">
    <fb>45967</fb>
    <v>15</v>
  </rv>
  <rv s="8">
    <fb>45968</fb>
    <v>15</v>
  </rv>
  <rv s="8">
    <fb>45971</fb>
    <v>15</v>
  </rv>
  <rv s="8">
    <fb>45972</fb>
    <v>15</v>
  </rv>
  <rv s="8">
    <fb>45973</fb>
    <v>15</v>
  </rv>
  <rv s="8">
    <fb>45974</fb>
    <v>15</v>
  </rv>
  <rv s="8">
    <fb>45975</fb>
    <v>15</v>
  </rv>
  <rv s="8">
    <fb>45978</fb>
    <v>15</v>
  </rv>
  <rv s="8">
    <fb>45979</fb>
    <v>15</v>
  </rv>
  <rv s="8">
    <fb>45980</fb>
    <v>15</v>
  </rv>
  <rv s="8">
    <fb>45981</fb>
    <v>15</v>
  </rv>
  <rv s="8">
    <fb>45982</fb>
    <v>15</v>
  </rv>
  <rv s="8">
    <fb>45985</fb>
    <v>15</v>
  </rv>
  <rv s="8">
    <fb>45986</fb>
    <v>15</v>
  </rv>
  <rv s="8">
    <fb>45987</fb>
    <v>15</v>
  </rv>
  <rv s="8">
    <fb>45989</fb>
    <v>15</v>
  </rv>
  <rv s="8">
    <fb>45992</fb>
    <v>15</v>
  </rv>
  <rv s="8">
    <fb>45993</fb>
    <v>15</v>
  </rv>
  <rv s="8">
    <fb>45994</fb>
    <v>15</v>
  </rv>
  <rv s="8">
    <fb>45995</fb>
    <v>15</v>
  </rv>
  <rv s="8">
    <fb>45996</fb>
    <v>15</v>
  </rv>
  <rv s="8">
    <fb>45999</fb>
    <v>15</v>
  </rv>
  <rv s="8">
    <fb>46000</fb>
    <v>15</v>
  </rv>
  <rv s="8">
    <fb>46001</fb>
    <v>15</v>
  </rv>
  <rv s="8">
    <fb>46002</fb>
    <v>15</v>
  </rv>
  <rv s="8">
    <fb>46003</fb>
    <v>15</v>
  </rv>
  <rv s="8">
    <fb>46006</fb>
    <v>15</v>
  </rv>
  <rv s="8">
    <fb>46007</fb>
    <v>15</v>
  </rv>
  <rv s="8">
    <fb>46008</fb>
    <v>15</v>
  </rv>
  <rv s="8">
    <fb>46009</fb>
    <v>15</v>
  </rv>
  <rv s="8">
    <fb>46010</fb>
    <v>15</v>
  </rv>
  <rv s="8">
    <fb>46013</fb>
    <v>15</v>
  </rv>
  <rv s="8">
    <fb>46014</fb>
    <v>15</v>
  </rv>
  <rv s="8">
    <fb>46015</fb>
    <v>15</v>
  </rv>
  <rv s="8">
    <fb>46017</fb>
    <v>15</v>
  </rv>
  <rv s="8">
    <fb>46020</fb>
    <v>15</v>
  </rv>
  <rv s="8">
    <fb>46021</fb>
    <v>15</v>
  </rv>
  <rv s="8">
    <fb>46022</fb>
    <v>15</v>
  </rv>
  <rv s="8">
    <fb>46024</fb>
    <v>15</v>
  </rv>
  <rv s="8">
    <fb>46027</fb>
    <v>15</v>
  </rv>
  <rv s="8">
    <fb>46028</fb>
    <v>15</v>
  </rv>
  <rv s="8">
    <fb>46029</fb>
    <v>15</v>
  </rv>
  <rv s="8">
    <fb>46030</fb>
    <v>15</v>
  </rv>
  <rv s="8">
    <fb>46031</fb>
    <v>15</v>
  </rv>
  <rv s="8">
    <fb>46034</fb>
    <v>15</v>
  </rv>
  <rv s="8">
    <fb>46035</fb>
    <v>15</v>
  </rv>
  <rv s="8">
    <fb>46036</fb>
    <v>15</v>
  </rv>
  <rv s="8">
    <fb>46037</fb>
    <v>15</v>
  </rv>
  <rv s="8">
    <fb>46038</fb>
    <v>15</v>
  </rv>
  <rv s="8">
    <fb>46042</fb>
    <v>15</v>
  </rv>
  <rv s="8">
    <fb>46043</fb>
    <v>15</v>
  </rv>
  <rv s="8">
    <fb>46044</fb>
    <v>15</v>
  </rv>
  <rv s="8">
    <fb>46045</fb>
    <v>15</v>
  </rv>
  <rv s="8">
    <fb>46048</fb>
    <v>15</v>
  </rv>
  <rv s="8">
    <fb>46049</fb>
    <v>15</v>
  </rv>
  <rv s="8">
    <fb>46050</fb>
    <v>15</v>
  </rv>
  <rv s="8">
    <fb>46051</fb>
    <v>15</v>
  </rv>
  <rv s="8">
    <fb>46052</fb>
    <v>15</v>
  </rv>
  <rv s="8">
    <fb>46055</fb>
    <v>15</v>
  </rv>
  <rv s="8">
    <fb>46056</fb>
    <v>15</v>
  </rv>
  <rv s="8">
    <fb>46057</fb>
    <v>15</v>
  </rv>
  <rv s="8">
    <fb>46058</fb>
    <v>15</v>
  </rv>
  <rv s="8">
    <fb>46059</fb>
    <v>15</v>
  </rv>
  <rv s="8">
    <fb>46062</fb>
    <v>15</v>
  </rv>
  <rv s="8">
    <fb>46063</fb>
    <v>15</v>
  </rv>
  <rv s="8">
    <fb>46064</fb>
    <v>15</v>
  </rv>
  <rv s="8">
    <fb>46065</fb>
    <v>15</v>
  </rv>
  <rv s="8">
    <fb>46066</fb>
    <v>15</v>
  </rv>
  <rv s="8">
    <fb>46070</fb>
    <v>15</v>
  </rv>
  <rv s="8">
    <fb>46071</fb>
    <v>15</v>
  </rv>
  <rv s="8">
    <fb>46072</fb>
    <v>15</v>
  </rv>
  <rv s="8">
    <fb>46073</fb>
    <v>15</v>
  </rv>
  <rv s="8">
    <fb>46076</fb>
    <v>15</v>
  </rv>
  <rv s="8">
    <fb>46077</fb>
    <v>15</v>
  </rv>
  <rv s="8">
    <fb>46078</fb>
    <v>15</v>
  </rv>
  <rv s="8">
    <fb>46079</fb>
    <v>15</v>
  </rv>
  <rv s="8">
    <fb>46080</fb>
    <v>15</v>
  </rv>
  <rv s="8">
    <fb>46083</fb>
    <v>15</v>
  </rv>
  <rv s="8">
    <fb>46084</fb>
    <v>15</v>
  </rv>
  <rv s="8">
    <fb>46085</fb>
    <v>15</v>
  </rv>
  <rv s="8">
    <fb>46086</fb>
    <v>15</v>
  </rv>
  <rv s="8">
    <fb>46087</fb>
    <v>15</v>
  </rv>
  <rv s="8">
    <fb>46090</fb>
    <v>15</v>
  </rv>
  <rv s="8">
    <fb>46091</fb>
    <v>15</v>
  </rv>
  <rv s="8">
    <fb>46092</fb>
    <v>15</v>
  </rv>
  <rv s="8">
    <fb>46093</fb>
    <v>15</v>
  </rv>
  <rv s="8">
    <fb>46094</fb>
    <v>15</v>
  </rv>
  <rv s="8">
    <fb>46097</fb>
    <v>15</v>
  </rv>
  <rv s="8">
    <fb>46098</fb>
    <v>15</v>
  </rv>
  <rv s="8">
    <fb>46099</fb>
    <v>15</v>
  </rv>
  <rv s="8">
    <fb>46100</fb>
    <v>15</v>
  </rv>
  <rv s="8">
    <fb>46101</fb>
    <v>15</v>
  </rv>
  <rv s="8">
    <fb>46104</fb>
    <v>15</v>
  </rv>
  <rv s="8">
    <fb>46105</fb>
    <v>15</v>
  </rv>
  <rv s="8">
    <fb>46106</fb>
    <v>15</v>
  </rv>
  <rv s="8">
    <fb>46107</fb>
    <v>15</v>
  </rv>
  <rv s="8">
    <fb>46108</fb>
    <v>15</v>
  </rv>
  <rv s="8">
    <fb>46111</fb>
    <v>15</v>
  </rv>
  <rv s="8">
    <fb>46112</fb>
    <v>15</v>
  </rv>
  <rv s="8">
    <fb>46113</fb>
    <v>15</v>
  </rv>
  <rv s="8">
    <fb>93.8</fb>
    <v>16</v>
  </rv>
  <rv s="8">
    <fb>85.76</fb>
    <v>16</v>
  </rv>
  <rv s="8">
    <fb>83.64</fb>
    <v>16</v>
  </rv>
  <rv s="8">
    <fb>78.209999999999994</fb>
    <v>16</v>
  </rv>
  <rv s="8">
    <fb>96.84</fb>
    <v>16</v>
  </rv>
  <rv s="8">
    <fb>88.7</fb>
    <v>16</v>
  </rv>
  <rv s="8">
    <fb>93.4</fb>
    <v>16</v>
  </rv>
  <rv s="8">
    <fb>94.5</fb>
    <v>16</v>
  </rv>
  <rv s="8">
    <fb>95.29</fb>
    <v>16</v>
  </rv>
  <rv s="8">
    <fb>88.29</fb>
    <v>16</v>
  </rv>
  <rv s="8">
    <fb>87.5</fb>
    <v>16</v>
  </rv>
  <rv s="8">
    <fb>85.56</fb>
    <v>16</v>
  </rv>
  <rv s="8">
    <fb>86.26</fb>
    <v>16</v>
  </rv>
  <rv s="8">
    <fb>90.39</fb>
    <v>16</v>
  </rv>
  <rv s="8">
    <fb>94.47</fb>
    <v>16</v>
  </rv>
  <rv s="8">
    <fb>96.644999999999996</fb>
    <v>16</v>
  </rv>
  <rv s="8">
    <fb>96.39</fb>
    <v>16</v>
  </rv>
  <rv s="8">
    <fb>96.06</fb>
    <v>16</v>
  </rv>
  <rv s="8">
    <fb>97.35</fb>
    <v>16</v>
  </rv>
  <rv s="8">
    <fb>96.65</fb>
    <v>16</v>
  </rv>
  <rv s="8">
    <fb>98.8</fb>
    <v>16</v>
  </rv>
  <rv s="8">
    <fb>100.59</fb>
    <v>16</v>
  </rv>
  <rv s="8">
    <fb>98.62</fb>
    <v>16</v>
  </rv>
  <rv s="8">
    <fb>100.36</fb>
    <v>16</v>
  </rv>
  <rv s="8">
    <fb>101.7</fb>
    <v>16</v>
  </rv>
  <rv s="8">
    <fb>102.84</fb>
    <v>16</v>
  </rv>
  <rv s="8">
    <fb>108.12</fb>
    <v>16</v>
  </rv>
  <rv s="8">
    <fb>112.46</fb>
    <v>16</v>
  </rv>
  <rv s="8">
    <fb>117.72</fb>
    <v>16</v>
  </rv>
  <rv s="8">
    <fb>114.99</fb>
    <v>16</v>
  </rv>
  <rv s="8">
    <fb>117.17</fb>
    <v>16</v>
  </rv>
  <rv s="8">
    <fb>114.74</fb>
    <v>16</v>
  </rv>
  <rv s="8">
    <fb>113.51</fb>
    <v>16</v>
  </rv>
  <rv s="8">
    <fb>112.06</fb>
    <v>16</v>
  </rv>
  <rv s="8">
    <fb>110.71</fb>
    <v>16</v>
  </rv>
  <rv s="8">
    <fb>110.31</fb>
    <v>16</v>
  </rv>
  <rv s="8">
    <fb>114.56</fb>
    <v>16</v>
  </rv>
  <rv s="8">
    <fb>112.86</fb>
    <v>16</v>
  </rv>
  <rv s="8">
    <fb>113.03</fb>
    <v>16</v>
  </rv>
  <rv s="8">
    <fb>110.73</fb>
    <v>16</v>
  </rv>
  <rv s="8">
    <fb>114.63</fb>
    <v>16</v>
  </rv>
  <rv s="8">
    <fb>117.31</fb>
    <v>16</v>
  </rv>
  <rv s="8">
    <fb>118.58</fb>
    <v>16</v>
  </rv>
  <rv s="8">
    <fb>115.69</fb>
    <v>16</v>
  </rv>
  <rv s="8">
    <fb>116.19</fb>
    <v>16</v>
  </rv>
  <rv s="8">
    <fb>121.73</fb>
    <v>16</v>
  </rv>
  <rv s="8">
    <fb>123.24</fb>
    <v>16</v>
  </rv>
  <rv s="8">
    <fb>121.14</fb>
    <v>16</v>
  </rv>
  <rv s="8">
    <fb>118.5</fb>
    <v>16</v>
  </rv>
  <rv s="8">
    <fb>116.16</fb>
    <v>16</v>
  </rv>
  <rv s="8">
    <fb>126.39</fb>
    <v>16</v>
  </rv>
  <rv s="8">
    <fb>127.1</fb>
    <v>16</v>
  </rv>
  <rv s="8">
    <fb>126.79</fb>
    <v>16</v>
  </rv>
  <rv s="8">
    <fb>128.24</fb>
    <v>16</v>
  </rv>
  <rv s="8">
    <fb>129.58000000000001</fb>
    <v>16</v>
  </rv>
  <rv s="8">
    <fb>138.43</fb>
    <v>16</v>
  </rv>
  <rv s="8">
    <fb>143.4</fb>
    <v>16</v>
  </rv>
  <rv s="8">
    <fb>143.68</fb>
    <v>16</v>
  </rv>
  <rv s="8">
    <fb>143.81</fb>
    <v>16</v>
  </rv>
  <rv s="8">
    <fb>141.9</fb>
    <v>16</v>
  </rv>
  <rv s="8">
    <fb>136.11000000000001</fb>
    <v>16</v>
  </rv>
  <rv s="8">
    <fb>138.52000000000001</fb>
    <v>16</v>
  </rv>
  <rv s="8">
    <fb>137.91</fb>
    <v>16</v>
  </rv>
  <rv s="8">
    <fb>134.80000000000001</fb>
    <v>16</v>
  </rv>
  <rv s="8">
    <fb>137.82</fb>
    <v>16</v>
  </rv>
  <rv s="8">
    <fb>138.41</fb>
    <v>16</v>
  </rv>
  <rv s="8">
    <fb>144.16</fb>
    <v>16</v>
  </rv>
  <rv s="8">
    <fb>146.41999999999999</fb>
    <v>16</v>
  </rv>
  <rv s="8">
    <fb>146.24</fb>
    <v>16</v>
  </rv>
  <rv s="8">
    <fb>155.61000000000001</fb>
    <v>16</v>
  </rv>
  <rv s="8">
    <fb>160.08000000000001</fb>
    <v>16</v>
  </rv>
  <rv s="8">
    <fb>160.41</fb>
    <v>16</v>
  </rv>
  <rv s="8">
    <fb>156.99</fb>
    <v>16</v>
  </rv>
  <rv s="8">
    <fb>157</fb>
    <v>16</v>
  </rv>
  <rv s="8">
    <fb>154.72</fb>
    <v>16</v>
  </rv>
  <rv s="8">
    <fb>158.65</fb>
    <v>16</v>
  </rv>
  <rv s="8">
    <fb>162.12</fb>
    <v>16</v>
  </rv>
  <rv s="8">
    <fb>166.47</fb>
    <v>16</v>
  </rv>
  <rv s="8">
    <fb>173.66</fb>
    <v>16</v>
  </rv>
  <rv s="8">
    <fb>177.44</fb>
    <v>16</v>
  </rv>
  <rv s="8">
    <fb>179.51</fb>
    <v>16</v>
  </rv>
  <rv s="8">
    <fb>176.31</fb>
    <v>16</v>
  </rv>
  <rv s="8">
    <fb>171.7</fb>
    <v>16</v>
  </rv>
  <rv s="8">
    <fb>176.78</fb>
    <v>16</v>
  </rv>
  <rv s="8">
    <fb>174.31</fb>
    <v>16</v>
  </rv>
  <rv s="8">
    <fb>163.12</fb>
    <v>16</v>
  </rv>
  <rv s="8">
    <fb>172.4</fb>
    <v>16</v>
  </rv>
  <rv s="8">
    <fb>172.76</fb>
    <v>16</v>
  </rv>
  <rv s="8">
    <fb>172.28</fb>
    <v>16</v>
  </rv>
  <rv s="8">
    <fb>174.95</fb>
    <v>16</v>
  </rv>
  <rv s="8">
    <fb>184.42</fb>
    <v>16</v>
  </rv>
  <rv s="8">
    <fb>180.95</fb>
    <v>16</v>
  </rv>
  <rv s="8">
    <fb>177.51</fb>
    <v>16</v>
  </rv>
  <rv s="8">
    <fb>176.14</fb>
    <v>16</v>
  </rv>
  <rv s="8">
    <fb>166.55</fb>
    <v>16</v>
  </rv>
  <rv s="8">
    <fb>165.2</fb>
    <v>16</v>
  </rv>
  <rv s="8">
    <fb>163.71</fb>
    <v>16</v>
  </rv>
  <rv s="8">
    <fb>167.76</fb>
    <v>16</v>
  </rv>
  <rv s="8">
    <fb>163.36000000000001</fb>
    <v>16</v>
  </rv>
  <rv s="8">
    <fb>166.62</fb>
    <v>16</v>
  </rv>
  <rv s="8">
    <fb>167.13</fb>
    <v>16</v>
  </rv>
  <rv s="8">
    <fb>168.58</fb>
    <v>16</v>
  </rv>
  <rv s="8">
    <fb>162.63</fb>
    <v>16</v>
  </rv>
  <rv s="8">
    <fb>162.32</fb>
    <v>16</v>
  </rv>
  <rv s="8">
    <fb>162.13</fb>
    <v>16</v>
  </rv>
  <rv s="8">
    <fb>161.79</fb>
    <v>16</v>
  </rv>
  <rv s="8">
    <fb>151.13999999999999</fb>
    <v>16</v>
  </rv>
  <rv s="8">
    <fb>151.41</fb>
    <v>16</v>
  </rv>
  <rv s="8">
    <fb>155.82</fb>
    <v>16</v>
  </rv>
  <rv s="8">
    <fb>159.54</fb>
    <v>16</v>
  </rv>
  <rv s="8">
    <fb>155.66999999999999</fb>
    <v>16</v>
  </rv>
  <rv s="8">
    <fb>158.57</fb>
    <v>16</v>
  </rv>
  <rv s="8">
    <fb>161.16</fb>
    <v>16</v>
  </rv>
  <rv s="8">
    <fb>160.46</fb>
    <v>16</v>
  </rv>
  <rv s="8">
    <fb>159.16</fb>
    <v>16</v>
  </rv>
  <rv s="8">
    <fb>157.91999999999999</fb>
    <v>16</v>
  </rv>
  <rv s="8">
    <fb>157.38999999999999</fb>
    <v>16</v>
  </rv>
  <rv s="8">
    <fb>159.79</fb>
    <v>16</v>
  </rv>
  <rv s="8">
    <fb>160.9</fb>
    <v>16</v>
  </rv>
  <rv s="8">
    <fb>160.88</fb>
    <v>16</v>
  </rv>
  <rv s="8">
    <fb>161.27000000000001</fb>
    <v>16</v>
  </rv>
  <rv s="8">
    <fb>159.46</fb>
    <v>16</v>
  </rv>
  <rv s="8">
    <fb>161.36000000000001</fb>
    <v>16</v>
  </rv>
  <rv s="8">
    <fb>164.01</fb>
    <v>16</v>
  </rv>
  <rv s="8">
    <fb>169.73</fb>
    <v>16</v>
  </rv>
  <rv s="8">
    <fb>164.67</fb>
    <v>16</v>
  </rv>
  <rv s="8">
    <fb>203.71</fb>
    <v>16</v>
  </rv>
  <rv s="8">
    <fb>211.51</fb>
    <v>16</v>
  </rv>
  <rv s="8">
    <fb>235.56</fb>
    <v>16</v>
  </rv>
  <rv s="8">
    <fb>232.89</fb>
    <v>16</v>
  </rv>
  <rv s="8">
    <fb>214.9</fb>
    <v>16</v>
  </rv>
  <rv s="8">
    <fb>216.42</fb>
    <v>16</v>
  </rv>
  <rv s="8">
    <fb>218.09</fb>
    <v>16</v>
  </rv>
  <rv s="8">
    <fb>238.6</fb>
    <v>16</v>
  </rv>
  <rv s="8">
    <fb>234.56</fb>
    <v>16</v>
  </rv>
  <rv s="8">
    <fb>233.08</fb>
    <v>16</v>
  </rv>
  <rv s="8">
    <fb>240.56</fb>
    <v>16</v>
  </rv>
  <rv s="8">
    <fb>238.03</fb>
    <v>16</v>
  </rv>
  <rv s="8">
    <fb>230.23</fb>
    <v>16</v>
  </rv>
  <rv s="8">
    <fb>234.99</fb>
    <v>16</v>
  </rv>
  <rv s="8">
    <fb>252.92</fb>
    <v>16</v>
  </rv>
  <rv s="8">
    <fb>259.67</fb>
    <v>16</v>
  </rv>
  <rv s="8">
    <fb>258.01</fb>
    <v>16</v>
  </rv>
  <rv s="8">
    <fb>264.33</fb>
    <v>16</v>
  </rv>
  <rv s="8">
    <fb>254.84</fb>
    <v>16</v>
  </rv>
  <rv s="8">
    <fb>256.12</fb>
    <v>16</v>
  </rv>
  <rv s="8">
    <fb>259.64999999999998</fb>
    <v>16</v>
  </rv>
  <rv s="8">
    <fb>250.05</fb>
    <v>16</v>
  </rv>
  <rv s="8">
    <fb>256.33</fb>
    <v>16</v>
  </rv>
  <rv s="8">
    <fb>237.7</fb>
    <v>16</v>
  </rv>
  <rv s="8">
    <fb>233.54</fb>
    <v>16</v>
  </rv>
  <rv s="8">
    <fb>243.98</fb>
    <v>16</v>
  </rv>
  <rv s="8">
    <fb>237.52</fb>
    <v>16</v>
  </rv>
  <rv s="8">
    <fb>258.89</fb>
    <v>16</v>
  </rv>
  <rv s="8">
    <fb>247.96</fb>
    <v>16</v>
  </rv>
  <rv s="8">
    <fb>246.81</fb>
    <v>16</v>
  </rv>
  <rv s="8">
    <fb>240.52</fb>
    <v>16</v>
  </rv>
  <rv s="8">
    <fb>230.29</fb>
    <v>16</v>
  </rv>
  <rv s="8">
    <fb>223.55</fb>
    <v>16</v>
  </rv>
  <rv s="8">
    <fb>206.02</fb>
    <v>16</v>
  </rv>
  <rv s="8">
    <fb>203.78</fb>
    <v>16</v>
  </rv>
  <rv s="8">
    <fb>215.05</fb>
    <v>16</v>
  </rv>
  <rv s="8">
    <fb>206.13</fb>
    <v>16</v>
  </rv>
  <rv s="8">
    <fb>214.24</fb>
    <v>16</v>
  </rv>
  <rv s="8">
    <fb>217.53</fb>
    <v>16</v>
  </rv>
  <rv s="8">
    <fb>219.76</fb>
    <v>16</v>
  </rv>
  <rv s="8">
    <fb>215.24</fb>
    <v>16</v>
  </rv>
  <rv s="8">
    <fb>217.6</fb>
    <v>16</v>
  </rv>
  <rv s="8">
    <fb>215.98</fb>
    <v>16</v>
  </rv>
  <rv s="8">
    <fb>217.97</fb>
    <v>16</v>
  </rv>
  <rv s="8">
    <fb>221.11</fb>
    <v>16</v>
  </rv>
  <rv s="8">
    <fb>221.62</fb>
    <v>16</v>
  </rv>
  <rv s="8">
    <fb>221.42</fb>
    <v>16</v>
  </rv>
  <rv s="8">
    <fb>221.43</fb>
    <v>16</v>
  </rv>
  <rv s="8">
    <fb>210.78</fb>
    <v>16</v>
  </rv>
  <rv s="8">
    <fb>207.58</fb>
    <v>16</v>
  </rv>
  <rv s="8">
    <fb>209.17</fb>
    <v>16</v>
  </rv>
  <rv s="8">
    <fb>198.11</fb>
    <v>16</v>
  </rv>
  <rv s="8">
    <fb>201.06</fb>
    <v>16</v>
  </rv>
  <rv s="8">
    <fb>213.43</fb>
    <v>16</v>
  </rv>
  <rv s="8">
    <fb>214.95</fb>
    <v>16</v>
  </rv>
  <rv s="8">
    <fb>215.04</fb>
    <v>16</v>
  </rv>
  <rv s="8">
    <fb>214.99</fb>
    <v>16</v>
  </rv>
  <rv s="8">
    <fb>215.61</fb>
    <v>16</v>
  </rv>
  <rv s="8">
    <fb>215.34</fb>
    <v>16</v>
  </rv>
  <rv s="8">
    <fb>214.16</fb>
    <v>16</v>
  </rv>
  <rv s="8">
    <fb>223.47</fb>
    <v>16</v>
  </rv>
  <rv s="8">
    <fb>221.08</fb>
    <v>16</v>
  </rv>
  <rv s="8">
    <fb>214.35</fb>
    <v>16</v>
  </rv>
  <rv s="8">
    <fb>210.02</fb>
    <v>16</v>
  </rv>
  <rv s="8">
    <fb>204.68</fb>
    <v>16</v>
  </rv>
  <rv s="8">
    <fb>203.17</fb>
    <v>16</v>
  </rv>
  <rv s="8">
    <fb>207.69</fb>
    <v>16</v>
  </rv>
  <rv s="8">
    <fb>220.97</fb>
    <v>16</v>
  </rv>
  <rv s="8">
    <fb>223.6</fb>
    <v>16</v>
  </rv>
  <rv s="8">
    <fb>227.92</fb>
    <v>16</v>
  </rv>
  <rv s="8">
    <fb>231.83</fb>
    <v>16</v>
  </rv>
  <rv s="8">
    <fb>231.92</fb>
    <v>16</v>
  </rv>
  <rv s="8">
    <fb>249.8</fb>
    <v>16</v>
  </rv>
  <rv s="8">
    <fb>253.73</fb>
    <v>16</v>
  </rv>
  <rv s="8">
    <fb>259.68</fb>
    <v>16</v>
  </rv>
  <rv s="8">
    <fb>251.31</fb>
    <v>16</v>
  </rv>
  <rv s="8">
    <fb>252.03</fb>
    <v>16</v>
  </rv>
  <rv s="8">
    <fb>252.74</fb>
    <v>16</v>
  </rv>
  <rv s="8">
    <fb>252.18</fb>
    <v>16</v>
  </rv>
  <rv s="8">
    <fb>236.73</fb>
    <v>16</v>
  </rv>
  <rv s="8">
    <fb>246.27</fb>
    <v>16</v>
  </rv>
  <rv s="8">
    <fb>242.11</fb>
    <v>16</v>
  </rv>
  <rv s="8">
    <fb>200.19</fb>
    <v>16</v>
  </rv>
  <rv s="8">
    <fb>192.5</fb>
    <v>16</v>
  </rv>
  <rv s="8">
    <fb>208.44</fb>
    <v>16</v>
  </rv>
  <rv s="8">
    <fb>216</fb>
    <v>16</v>
  </rv>
  <rv s="8">
    <fb>213.57</fb>
    <v>16</v>
  </rv>
  <rv s="8">
    <fb>213.58</fb>
    <v>16</v>
  </rv>
  <rv s="8">
    <fb>205.94</fb>
    <v>16</v>
  </rv>
  <rv s="8">
    <fb>207.32</fb>
    <v>16</v>
  </rv>
  <rv s="8">
    <fb>203.08</fb>
    <v>16</v>
  </rv>
  <rv s="8">
    <fb>200.12</fb>
    <v>16</v>
  </rv>
  <rv s="8">
    <fb>203.37</fb>
    <v>16</v>
  </rv>
  <rv s="8">
    <fb>200.15</fb>
    <v>16</v>
  </rv>
  <rv s="8">
    <fb>196.6</fb>
    <v>16</v>
  </rv>
  <rv s="8">
    <fb>213.84</fb>
    <v>16</v>
  </rv>
  <rv s="8">
    <fb>210.86</fb>
    <v>16</v>
  </rv>
  <rv s="8">
    <fb>203.68</fb>
    <v>16</v>
  </rv>
  <rv s="8">
    <fb>200.21</fb>
    <v>16</v>
  </rv>
  <rv s="8">
    <fb>198.62</fb>
    <v>16</v>
  </rv>
  <rv s="8">
    <fb>190.95</fb>
    <v>16</v>
  </rv>
  <rv s="8">
    <fb>202.07</fb>
    <v>16</v>
  </rv>
  <rv s="8">
    <fb>199.45</fb>
    <v>16</v>
  </rv>
  <rv s="8">
    <fb>192.43</fb>
    <v>16</v>
  </rv>
  <rv s="8">
    <fb>202.68</fb>
    <v>16</v>
  </rv>
  <rv s="8">
    <fb>203.23</fb>
    <v>16</v>
  </rv>
  <rv s="8">
    <fb>204.83</fb>
    <v>16</v>
  </rv>
  <rv s="8">
    <fb>197.74</fb>
    <v>16</v>
  </rv>
  <rv s="8">
    <fb>193.39</fb>
    <v>16</v>
  </rv>
  <rv s="8">
    <fb>196.58</fb>
    <v>16</v>
  </rv>
  <rv s="8">
    <fb>196.31</fb>
    <v>16</v>
  </rv>
  <rv s="8">
    <fb>199.46</fb>
    <v>16</v>
  </rv>
  <rv s="8">
    <fb>205.27</fb>
    <v>16</v>
  </rv>
  <rv s="8">
    <fb>201.33</fb>
    <v>16</v>
  </rv>
  <rv s="8">
    <fb>205.37</fb>
    <v>16</v>
  </rv>
  <rv s="8">
    <fb>220.27</fb>
    <v>16</v>
  </rv>
  <rv s="8">
    <fb>203.77</fb>
    <v>16</v>
  </rv>
  <rv s="8">
    <fb>201.99</fb>
    <v>16</v>
  </rv>
  <rv s="8">
    <fb>196.04</fb>
    <v>16</v>
  </rv>
  <rv s="8">
    <fb>203.43</fb>
    <v>16</v>
  </rv>
  <rv s="8">
    <fb>210.21</fb>
    <v>16</v>
  </rv>
  <rv s="8">
    <fb>178.41</fb>
    <v>16</v>
  </rv>
  <rv s="8">
    <fb>171</fb>
    <v>16</v>
  </rv>
  <rv s="8">
    <fb>175.26</fb>
    <v>16</v>
  </rv>
  <rv s="8">
    <fb>170.66</fb>
    <v>16</v>
  </rv>
  <rv s="8">
    <fb>191.1</fb>
    <v>16</v>
  </rv>
  <rv s="8">
    <fb>181.22</fb>
    <v>16</v>
  </rv>
  <rv s="8">
    <fb>184.87</fb>
    <v>16</v>
  </rv>
  <rv s="8">
    <fb>182.12</fb>
    <v>16</v>
  </rv>
  <rv s="8">
    <fb>179.59</fb>
    <v>16</v>
  </rv>
  <rv s="8">
    <fb>174.33</fb>
    <v>16</v>
  </rv>
  <rv s="8">
    <fb>172.61</fb>
    <v>16</v>
  </rv>
  <rv s="8">
    <fb>167.32</fb>
    <v>16</v>
  </rv>
  <rv s="8">
    <fb>173.18</fb>
    <v>16</v>
  </rv>
  <rv s="8">
    <fb>180.6</fb>
    <v>16</v>
  </rv>
  <rv s="8">
    <fb>186.54</fb>
    <v>16</v>
  </rv>
  <rv s="8">
    <fb>188.99</fb>
    <v>16</v>
  </rv>
  <rv s="8">
    <fb>187.7</fb>
    <v>16</v>
  </rv>
  <rv s="8">
    <fb>187.39</fb>
    <v>16</v>
  </rv>
  <rv s="8">
    <fb>190.2</fb>
    <v>16</v>
  </rv>
  <rv s="8">
    <fb>189.98</fb>
    <v>16</v>
  </rv>
  <rv s="8">
    <fb>186.35</fb>
    <v>16</v>
  </rv>
  <rv s="8">
    <fb>185.01</fb>
    <v>16</v>
  </rv>
  <rv s="8">
    <fb>188.71</fb>
    <v>16</v>
  </rv>
  <rv s="8">
    <fb>192.08</fb>
    <v>16</v>
  </rv>
  <rv s="8">
    <fb>193.06</fb>
    <v>16</v>
  </rv>
  <rv s="8">
    <fb>208.64</fb>
    <v>16</v>
  </rv>
  <rv s="8">
    <fb>211.37</fb>
    <v>16</v>
  </rv>
  <rv s="8">
    <fb>210.25</fb>
    <v>16</v>
  </rv>
  <rv s="8">
    <fb>205.17</fb>
    <v>16</v>
  </rv>
  <rv s="8">
    <fb>205.59</fb>
    <v>16</v>
  </rv>
  <rv s="8">
    <fb>206.16</fb>
    <v>16</v>
  </rv>
  <rv s="8">
    <fb>204.07</fb>
    <v>16</v>
  </rv>
  <rv s="8">
    <fb>201.12</fb>
    <v>16</v>
  </rv>
  <rv s="8">
    <fb>203.1</fb>
    <v>16</v>
  </rv>
  <rv s="8">
    <fb>200.99</fb>
    <v>16</v>
  </rv>
  <rv s="8">
    <fb>204.72</fb>
    <v>16</v>
  </rv>
  <rv s="8">
    <fb>205.7</fb>
    <v>16</v>
  </rv>
  <rv s="8">
    <fb>205.01</fb>
    <v>16</v>
  </rv>
  <rv s="8">
    <fb>206.65</fb>
    <v>16</v>
  </rv>
  <rv s="8">
    <fb>205.71</fb>
    <v>16</v>
  </rv>
  <rv s="8">
    <fb>207.23</fb>
    <v>16</v>
  </rv>
  <rv s="8">
    <fb>207.91</fb>
    <v>16</v>
  </rv>
  <rv s="8">
    <fb>216.98</fb>
    <v>16</v>
  </rv>
  <rv s="8">
    <fb>217.61</fb>
    <v>16</v>
  </rv>
  <rv s="8">
    <fb>213.2</fb>
    <v>16</v>
  </rv>
  <rv s="8">
    <fb>213.24</fb>
    <v>16</v>
  </rv>
  <rv s="8">
    <fb>212.1</fb>
    <v>16</v>
  </rv>
  <rv s="8">
    <fb>216.1</fb>
    <v>16</v>
  </rv>
  <rv s="8">
    <fb>214.82</fb>
    <v>16</v>
  </rv>
  <rv s="8">
    <fb>212.52</fb>
    <v>16</v>
  </rv>
  <rv s="8">
    <fb>209.69</fb>
    <v>16</v>
  </rv>
  <rv s="8">
    <fb>208.47</fb>
    <v>16</v>
  </rv>
  <rv s="8">
    <fb>212.77</fb>
    <v>16</v>
  </rv>
  <rv s="8">
    <fb>211.99</fb>
    <v>16</v>
  </rv>
  <rv s="8">
    <fb>217.12</fb>
    <v>16</v>
  </rv>
  <rv s="8">
    <fb>223.3</fb>
    <v>16</v>
  </rv>
  <rv s="8">
    <fb>219.39</fb>
    <v>16</v>
  </rv>
  <rv s="8">
    <fb>220.46</fb>
    <v>16</v>
  </rv>
  <rv s="8">
    <fb>219.92</fb>
    <v>16</v>
  </rv>
  <rv s="8">
    <fb>223.41</fb>
    <v>16</v>
  </rv>
  <rv s="8">
    <fb>219.36</fb>
    <v>16</v>
  </rv>
  <rv s="8">
    <fb>222.54</fb>
    <v>16</v>
  </rv>
  <rv s="8">
    <fb>222.26</fb>
    <v>16</v>
  </rv>
  <rv s="8">
    <fb>225.02</fb>
    <v>16</v>
  </rv>
  <rv s="8">
    <fb>225.69</fb>
    <v>16</v>
  </rv>
  <rv s="8">
    <fb>226.35</fb>
    <v>16</v>
  </rv>
  <rv s="8">
    <fb>223.19</fb>
    <v>16</v>
  </rv>
  <rv s="8">
    <fb>223.88</fb>
    <v>16</v>
  </rv>
  <rv s="8">
    <fb>226.13</fb>
    <v>16</v>
  </rv>
  <rv s="8">
    <fb>229.3</fb>
    <v>16</v>
  </rv>
  <rv s="8">
    <fb>227.47</fb>
    <v>16</v>
  </rv>
  <rv s="8">
    <fb>228.29</fb>
    <v>16</v>
  </rv>
  <rv s="8">
    <fb>232.23</fb>
    <v>16</v>
  </rv>
  <rv s="8">
    <fb>231.44</fb>
    <v>16</v>
  </rv>
  <rv s="8">
    <fb>232.79</fb>
    <v>16</v>
  </rv>
  <rv s="8">
    <fb>231.01</fb>
    <v>16</v>
  </rv>
  <rv s="8">
    <fb>230.19</fb>
    <v>16</v>
  </rv>
  <rv s="8">
    <fb>234.11</fb>
    <v>16</v>
  </rv>
  <rv s="8">
    <fb>214.75</fb>
    <v>16</v>
  </rv>
  <rv s="8">
    <fb>211.65</fb>
    <v>16</v>
  </rv>
  <rv s="8">
    <fb>213.75</fb>
    <v>16</v>
  </rv>
  <rv s="8">
    <fb>222.31</fb>
    <v>16</v>
  </rv>
  <rv s="8">
    <fb>223.13</fb>
    <v>16</v>
  </rv>
  <rv s="8">
    <fb>222.69</fb>
    <v>16</v>
  </rv>
  <rv s="8">
    <fb>221.3</fb>
    <v>16</v>
  </rv>
  <rv s="8">
    <fb>221.47</fb>
    <v>16</v>
  </rv>
  <rv s="8">
    <fb>224.56</fb>
    <v>16</v>
  </rv>
  <rv s="8">
    <fb>230.98</fb>
    <v>16</v>
  </rv>
  <rv s="8">
    <fb>231.03</fb>
    <v>16</v>
  </rv>
  <rv s="8">
    <fb>231.49</fb>
    <v>16</v>
  </rv>
  <rv s="8">
    <fb>228.01</fb>
    <v>16</v>
  </rv>
  <rv s="8">
    <fb>223.81</fb>
    <v>16</v>
  </rv>
  <rv s="8">
    <fb>221.95</fb>
    <v>16</v>
  </rv>
  <rv s="8">
    <fb>228.84</fb>
    <v>16</v>
  </rv>
  <rv s="8">
    <fb>227.94</fb>
    <v>16</v>
  </rv>
  <rv s="8">
    <fb>228.71</fb>
    <v>16</v>
  </rv>
  <rv s="8">
    <fb>229.12</fb>
    <v>16</v>
  </rv>
  <rv s="8">
    <fb>231.6</fb>
    <v>16</v>
  </rv>
  <rv s="8">
    <fb>229</fb>
    <v>16</v>
  </rv>
  <rv s="8">
    <fb>225.34</fb>
    <v>16</v>
  </rv>
  <rv s="8">
    <fb>225.99</fb>
    <v>16</v>
  </rv>
  <rv s="8">
    <fb>235.68</fb>
    <v>16</v>
  </rv>
  <rv s="8">
    <fb>232.33</fb>
    <v>16</v>
  </rv>
  <rv s="8">
    <fb>235.84</fb>
    <v>16</v>
  </rv>
  <rv s="8">
    <fb>238.24</fb>
    <v>16</v>
  </rv>
  <rv s="8">
    <fb>230.33</fb>
    <v>16</v>
  </rv>
  <rv s="8">
    <fb>229.95</fb>
    <v>16</v>
  </rv>
  <rv s="8">
    <fb>228.15</fb>
    <v>16</v>
  </rv>
  <rv s="8">
    <fb>231.43</fb>
    <v>16</v>
  </rv>
  <rv s="8">
    <fb>234.05</fb>
    <v>16</v>
  </rv>
  <rv s="8">
    <fb>231.62</fb>
    <v>16</v>
  </rv>
  <rv s="8">
    <fb>231.23</fb>
    <v>16</v>
  </rv>
  <rv s="8">
    <fb>231.48</fb>
    <v>16</v>
  </rv>
  <rv s="8">
    <fb>227.63</fb>
    <v>16</v>
  </rv>
  <rv s="8">
    <fb>220.71</fb>
    <v>16</v>
  </rv>
  <rv s="8">
    <fb>220.21</fb>
    <v>16</v>
  </rv>
  <rv s="8">
    <fb>218.15</fb>
    <v>16</v>
  </rv>
  <rv s="8">
    <fb>219.78</fb>
    <v>16</v>
  </rv>
  <rv s="8">
    <fb>222.17</fb>
    <v>16</v>
  </rv>
  <rv s="8">
    <fb>219.57</fb>
    <v>16</v>
  </rv>
  <rv s="8">
    <fb>220.63</fb>
    <v>16</v>
  </rv>
  <rv s="8">
    <fb>222.41</fb>
    <v>16</v>
  </rv>
  <rv s="8">
    <fb>219.51</fb>
    <v>16</v>
  </rv>
  <rv s="8">
    <fb>220.9</fb>
    <v>16</v>
  </rv>
  <rv s="8">
    <fb>221.78</fb>
    <v>16</v>
  </rv>
  <rv s="8">
    <fb>225.22</fb>
    <v>16</v>
  </rv>
  <rv s="8">
    <fb>227.74</fb>
    <v>16</v>
  </rv>
  <rv s="8">
    <fb>216.37</fb>
    <v>16</v>
  </rv>
  <rv s="8">
    <fb>220.07</fb>
    <v>16</v>
  </rv>
  <rv s="8">
    <fb>216.39</fb>
    <v>16</v>
  </rv>
  <rv s="8">
    <fb>215.57</fb>
    <v>16</v>
  </rv>
  <rv s="8">
    <fb>214.47</fb>
    <v>16</v>
  </rv>
  <rv s="8">
    <fb>213.04</fb>
    <v>16</v>
  </rv>
  <rv s="8">
    <fb>216.48</fb>
    <v>16</v>
  </rv>
  <rv s="8">
    <fb>222.03</fb>
    <v>16</v>
  </rv>
  <rv s="8">
    <fb>217.95</fb>
    <v>16</v>
  </rv>
  <rv s="8">
    <fb>221.09</fb>
    <v>16</v>
  </rv>
  <rv s="8">
    <fb>224.21</fb>
    <v>16</v>
  </rv>
  <rv s="8">
    <fb>226.97</fb>
    <v>16</v>
  </rv>
  <rv s="8">
    <fb>229.25</fb>
    <v>16</v>
  </rv>
  <rv s="8">
    <fb>230.3</fb>
    <v>16</v>
  </rv>
  <rv s="8">
    <fb>222.86</fb>
    <v>16</v>
  </rv>
  <rv s="8">
    <fb>244.22</fb>
    <v>16</v>
  </rv>
  <rv s="8">
    <fb>254</fb>
    <v>16</v>
  </rv>
  <rv s="8">
    <fb>249.32</fb>
    <v>16</v>
  </rv>
  <rv s="8">
    <fb>250.2</fb>
    <v>16</v>
  </rv>
  <rv s="8">
    <fb>243.04</fb>
    <v>16</v>
  </rv>
  <rv s="8">
    <fb>244.41</fb>
    <v>16</v>
  </rv>
  <rv s="8">
    <fb>248.4</fb>
    <v>16</v>
  </rv>
  <rv s="8">
    <fb>249.1</fb>
    <v>16</v>
  </rv>
  <rv s="8">
    <fb>244.2</fb>
    <v>16</v>
  </rv>
  <rv s="8">
    <fb>237.58</fb>
    <v>16</v>
  </rv>
  <rv s="8">
    <fb>234.69</fb>
    <v>16</v>
  </rv>
  <rv s="8">
    <fb>232.87</fb>
    <v>16</v>
  </rv>
  <rv s="8">
    <fb>222.55</fb>
    <v>16</v>
  </rv>
  <rv s="8">
    <fb>217.14</fb>
    <v>16</v>
  </rv>
  <rv s="8">
    <fb>220.69</fb>
    <v>16</v>
  </rv>
  <rv s="8">
    <fb>226.28</fb>
    <v>16</v>
  </rv>
  <rv s="8">
    <fb>229.67</fb>
    <v>16</v>
  </rv>
  <rv s="8">
    <fb>229.16</fb>
    <v>16</v>
  </rv>
  <rv s="8">
    <fb>233.22</fb>
    <v>16</v>
  </rv>
  <rv s="8">
    <fb>233.88</fb>
    <v>16</v>
  </rv>
  <rv s="8">
    <fb>234.42</fb>
    <v>16</v>
  </rv>
  <rv s="8">
    <fb>232.38</fb>
    <v>16</v>
  </rv>
  <rv s="8">
    <fb>229.11</fb>
    <v>16</v>
  </rv>
  <rv s="8">
    <fb>229.53</fb>
    <v>16</v>
  </rv>
  <rv s="8">
    <fb>226.89</fb>
    <v>16</v>
  </rv>
  <rv s="8">
    <fb>231.78</fb>
    <v>16</v>
  </rv>
  <rv s="8">
    <fb>230.28</fb>
    <v>16</v>
  </rv>
  <rv s="8">
    <fb>226.19</fb>
    <v>16</v>
  </rv>
  <rv s="8">
    <fb>222.56</fb>
    <v>16</v>
  </rv>
  <rv s="8">
    <fb>221.27</fb>
    <v>16</v>
  </rv>
  <rv s="8">
    <fb>226.76</fb>
    <v>16</v>
  </rv>
  <rv s="8">
    <fb>227.35</fb>
    <v>16</v>
  </rv>
  <rv s="8">
    <fb>228.43</fb>
    <v>16</v>
  </rv>
  <rv s="8">
    <fb>232.14</fb>
    <v>16</v>
  </rv>
  <rv s="8">
    <fb>232.52</fb>
    <v>16</v>
  </rv>
  <rv s="8">
    <fb>232.07</fb>
    <v>16</v>
  </rv>
  <rv s="8">
    <fb>232.53</fb>
    <v>16</v>
  </rv>
  <rv s="8">
    <fb>230.82</fb>
    <v>16</v>
  </rv>
  <rv s="8">
    <fb>226.5</fb>
    <v>16</v>
  </rv>
  <rv s="8">
    <fb>233.06</fb>
    <v>16</v>
  </rv>
  <rv s="8">
    <fb>240.93</fb>
    <v>16</v>
  </rv>
  <rv s="8">
    <fb>241.56</fb>
    <v>16</v>
  </rv>
  <rv s="8">
    <fb>246.29</fb>
    <v>16</v>
  </rv>
  <rv s="8">
    <fb>247.38</fb>
    <v>16</v>
  </rv>
  <rv s="8">
    <fb>246.47</fb>
    <v>16</v>
  </rv>
  <rv s="8">
    <fb>242.6</fb>
    <v>16</v>
  </rv>
  <rv s="8">
    <fb>236.65</fb>
    <v>16</v>
  </rv>
  <rv s="8">
    <fb>238.18</fb>
    <v>16</v>
  </rv>
  <rv s="8">
    <fb>239.12</fb>
    <v>16</v>
  </rv>
  <rv s="8">
    <fb>231</fb>
    <v>16</v>
  </rv>
  <rv s="8">
    <fb>231.31</fb>
    <v>16</v>
  </rv>
  <rv s="8">
    <fb>234.34</fb>
    <v>16</v>
  </rv>
  <rv s="8">
    <fb>239.16</fb>
    <v>16</v>
  </rv>
  <rv s="8">
    <fb>238.42</fb>
    <v>16</v>
  </rv>
  <rv s="8">
    <fb>244.68</fb>
    <v>16</v>
  </rv>
  <rv s="8">
    <fb>243.01</fb>
    <v>16</v>
  </rv>
  <rv s="8">
    <fb>241.73</fb>
    <v>16</v>
  </rv>
  <rv s="8">
    <fb>239.3</fb>
    <v>16</v>
  </rv>
  <rv s="8">
    <fb>242.96</fb>
    <v>16</v>
  </rv>
  <rv s="8">
    <fb>238.62</fb>
    <v>16</v>
  </rv>
  <rv s="8">
    <fb>232.99</fb>
    <v>16</v>
  </rv>
  <rv s="8">
    <fb>210.32</fb>
    <v>16</v>
  </rv>
  <rv s="8">
    <fb>208.72</fb>
    <v>16</v>
  </rv>
  <rv s="8">
    <fb>206.96</fb>
    <v>16</v>
  </rv>
  <rv s="8">
    <fb>204.08</fb>
    <v>16</v>
  </rv>
  <rv s="8">
    <fb>199.6</fb>
    <v>16</v>
  </rv>
  <rv s="8">
    <fb>198.79</fb>
    <v>16</v>
  </rv>
  <rv s="8">
    <fb>201.15</fb>
    <v>16</v>
  </rv>
  <rv s="8">
    <fb>204.79</fb>
    <v>16</v>
  </rv>
  <rv s="8">
    <fb>204.86</fb>
    <v>16</v>
  </rv>
  <rv s="8">
    <fb>210.11</fb>
    <v>16</v>
  </rv>
  <rv s="8">
    <fb>208.56</fb>
    <v>16</v>
  </rv>
  <rv s="8">
    <fb>210.64</fb>
    <v>16</v>
  </rv>
  <rv s="8">
    <fb>207.92</fb>
    <v>16</v>
  </rv>
  <rv s="8">
    <fb>210</fb>
    <v>16</v>
  </rv>
  <rv s="8">
    <fb>208.39</fb>
    <v>16</v>
  </rv>
  <rv s="8">
    <fb>208.73</fb>
    <v>16</v>
  </rv>
  <rv s="8">
    <fb>216.82</fb>
    <v>16</v>
  </rv>
  <rv s="8">
    <fb>218.94</fb>
    <v>16</v>
  </rv>
  <rv s="8">
    <fb>213.21</fb>
    <v>16</v>
  </rv>
  <rv s="8">
    <fb>213.49</fb>
    <v>16</v>
  </rv>
  <rv s="8">
    <fb>214.33</fb>
    <v>16</v>
  </rv>
  <rv s="8">
    <fb>212.65</fb>
    <v>16</v>
  </rv>
  <rv s="8">
    <fb>209.53</fb>
    <v>16</v>
  </rv>
  <rv s="8">
    <fb>207.67</fb>
    <v>16</v>
  </rv>
  <rv s="8">
    <fb>211.74</fb>
    <v>16</v>
  </rv>
  <rv s="8">
    <fb>215.2</fb>
    <v>16</v>
  </rv>
  <rv s="8">
    <fb>209.87</fb>
    <v>16</v>
  </rv>
  <rv s="8">
    <fb>208.76</fb>
    <v>16</v>
  </rv>
  <rv s="8">
    <fb>210.14</fb>
    <v>16</v>
  </rv>
  <rv s="8">
    <fb>207.24</fb>
    <v>16</v>
  </rv>
  <rv s="8">
    <fb>211.71</fb>
    <v>16</v>
  </rv>
  <rv s="8">
    <fb>207.54</fb>
    <v>16</v>
  </rv>
  <rv s="8">
    <fb>199.34</fb>
    <v>16</v>
  </rv>
  <rv s="8">
    <fb>200.95</fb>
    <v>16</v>
  </rv>
  <rv s="8">
    <fb>208.27</fb>
    <v>16</v>
  </rv>
  <rv s="8">
    <fb>210.57</fb>
    <v>16</v>
  </rv>
  <rv s="8">
    <fb>203.19</fb>
    <v>16</v>
  </rv>
  <rv s="8">
    <fb>188.38</fb>
    <v>16</v>
  </rv>
  <rv s="8">
    <fb>181.46</fb>
    <v>16</v>
  </rv>
  <rv s="8">
    <fb>172.42</fb>
    <v>16</v>
  </rv>
  <rv s="8">
    <fb>198.85</fb>
    <v>16</v>
  </rv>
  <rv s="8">
    <fb>190.42</fb>
    <v>16</v>
  </rv>
  <rv s="8">
    <fb>198.15</fb>
    <v>16</v>
  </rv>
  <rv s="8">
    <fb>202.52</fb>
    <v>16</v>
  </rv>
  <rv s="8">
    <fb>202.14</fb>
    <v>16</v>
  </rv>
  <rv s="8">
    <fb>194.27</fb>
    <v>16</v>
  </rv>
  <rv s="8">
    <fb>196.98</fb>
    <v>16</v>
  </rv>
  <rv s="8">
    <fb>193.16</fb>
    <v>16</v>
  </rv>
  <rv s="8">
    <fb>199.74</fb>
    <v>16</v>
  </rv>
  <rv s="8">
    <fb>204.6</fb>
    <v>16</v>
  </rv>
  <rv s="8">
    <fb>208.37</fb>
    <v>16</v>
  </rv>
  <rv s="8">
    <fb>209.28</fb>
    <v>16</v>
  </rv>
  <rv s="8">
    <fb>211.21</fb>
    <v>16</v>
  </rv>
  <rv s="8">
    <fb>212.5</fb>
    <v>16</v>
  </rv>
  <rv s="8">
    <fb>213.32</fb>
    <v>16</v>
  </rv>
  <rv s="8">
    <fb>205.35</fb>
    <v>16</v>
  </rv>
  <rv s="8">
    <fb>198.89</fb>
    <v>16</v>
  </rv>
  <rv s="8">
    <fb>198.51</fb>
    <v>16</v>
  </rv>
  <rv s="8">
    <fb>196.25</fb>
    <v>16</v>
  </rv>
  <rv s="8">
    <fb>197.49</fb>
    <v>16</v>
  </rv>
  <rv s="8">
    <fb>198.53</fb>
    <v>16</v>
  </rv>
  <rv s="8">
    <fb>210.79</fb>
    <v>16</v>
  </rv>
  <rv s="8">
    <fb>212.93</fb>
    <v>16</v>
  </rv>
  <rv s="8">
    <fb>212.33</fb>
    <v>16</v>
  </rv>
  <rv s="8">
    <fb>211.45</fb>
    <v>16</v>
  </rv>
  <rv s="8">
    <fb>211.26</fb>
    <v>16</v>
  </rv>
  <rv s="8">
    <fb>208.78</fb>
    <v>16</v>
  </rv>
  <rv s="8">
    <fb>206.86</fb>
    <v>16</v>
  </rv>
  <rv s="8">
    <fb>202.09</fb>
    <v>16</v>
  </rv>
  <rv s="8">
    <fb>201.36</fb>
    <v>16</v>
  </rv>
  <rv s="8">
    <fb>195.27</fb>
    <v>16</v>
  </rv>
  <rv s="8">
    <fb>200.42</fb>
    <v>16</v>
  </rv>
  <rv s="8">
    <fb>199.95</fb>
    <v>16</v>
  </rv>
  <rv s="8">
    <fb>200.85</fb>
    <v>16</v>
  </rv>
  <rv s="8">
    <fb>201.7</fb>
    <v>16</v>
  </rv>
  <rv s="8">
    <fb>203.27</fb>
    <v>16</v>
  </rv>
  <rv s="8">
    <fb>202.82</fb>
    <v>16</v>
  </rv>
  <rv s="8">
    <fb>200.63</fb>
    <v>16</v>
  </rv>
  <rv s="8">
    <fb>203.92</fb>
    <v>16</v>
  </rv>
  <rv s="8">
    <fb>201.45</fb>
    <v>16</v>
  </rv>
  <rv s="8">
    <fb>202.67</fb>
    <v>16</v>
  </rv>
  <rv s="8">
    <fb>198.78</fb>
    <v>16</v>
  </rv>
  <rv s="8">
    <fb>199.2</fb>
    <v>16</v>
  </rv>
  <rv s="8">
    <fb>196.45</fb>
    <v>16</v>
  </rv>
  <rv s="8">
    <fb>198.42</fb>
    <v>16</v>
  </rv>
  <rv s="8">
    <fb>195.64</fb>
    <v>16</v>
  </rv>
  <rv s="8">
    <fb>201</fb>
    <v>16</v>
  </rv>
  <rv s="8">
    <fb>201.5</fb>
    <v>16</v>
  </rv>
  <rv s="8">
    <fb>200.3</fb>
    <v>16</v>
  </rv>
  <rv s="8">
    <fb>201.56</fb>
    <v>16</v>
  </rv>
  <rv s="8">
    <fb>201.08</fb>
    <v>16</v>
  </rv>
  <rv s="8">
    <fb>207.82</fb>
    <v>16</v>
  </rv>
  <rv s="8">
    <fb>212.44</fb>
    <v>16</v>
  </rv>
  <rv s="8">
    <fb>213.55</fb>
    <v>16</v>
  </rv>
  <rv s="8">
    <fb>209.95</fb>
    <v>16</v>
  </rv>
  <rv s="8">
    <fb>210.01</fb>
    <v>16</v>
  </rv>
  <rv s="8">
    <fb>211.14</fb>
    <v>16</v>
  </rv>
  <rv s="8">
    <fb>212.41</fb>
    <v>16</v>
  </rv>
  <rv s="8">
    <fb>211.16</fb>
    <v>16</v>
  </rv>
  <rv s="8">
    <fb>208.62</fb>
    <v>16</v>
  </rv>
  <rv s="8">
    <fb>209.11</fb>
    <v>16</v>
  </rv>
  <rv s="8">
    <fb>210.16</fb>
    <v>16</v>
  </rv>
  <rv s="8">
    <fb>211.18</fb>
    <v>16</v>
  </rv>
  <rv s="8">
    <fb>212.48</fb>
    <v>16</v>
  </rv>
  <rv s="8">
    <fb>214.4</fb>
    <v>16</v>
  </rv>
  <rv s="8">
    <fb>214.15</fb>
    <v>16</v>
  </rv>
  <rv s="8">
    <fb>213.76</fb>
    <v>16</v>
  </rv>
  <rv s="8">
    <fb>213.88</fb>
    <v>16</v>
  </rv>
  <rv s="8">
    <fb>214.05</fb>
    <v>16</v>
  </rv>
  <rv s="8">
    <fb>211.27</fb>
    <v>16</v>
  </rv>
  <rv s="8">
    <fb>209.05</fb>
    <v>16</v>
  </rv>
  <rv s="8">
    <fb>207.57</fb>
    <v>16</v>
  </rv>
  <rv s="8">
    <fb>202.38</fb>
    <v>16</v>
  </rv>
  <rv s="8">
    <fb>203.35</fb>
    <v>16</v>
  </rv>
  <rv s="8">
    <fb>202.92</fb>
    <v>16</v>
  </rv>
  <rv s="8">
    <fb>213.25</fb>
    <v>16</v>
  </rv>
  <rv s="8">
    <fb>220.03</fb>
    <v>16</v>
  </rv>
  <rv s="8">
    <fb>229.35</fb>
    <v>16</v>
  </rv>
  <rv s="8">
    <fb>227.18</fb>
    <v>16</v>
  </rv>
  <rv s="8">
    <fb>229.65</fb>
    <v>16</v>
  </rv>
  <rv s="8">
    <fb>233.33</fb>
    <v>16</v>
  </rv>
  <rv s="8">
    <fb>232.78</fb>
    <v>16</v>
  </rv>
  <rv s="8">
    <fb>231.59</fb>
    <v>16</v>
  </rv>
  <rv s="8">
    <fb>230.89</fb>
    <v>16</v>
  </rv>
  <rv s="8">
    <fb>230.56</fb>
    <v>16</v>
  </rv>
  <rv s="8">
    <fb>226.01</fb>
    <v>16</v>
  </rv>
  <rv s="8">
    <fb>224.9</fb>
    <v>16</v>
  </rv>
  <rv s="8">
    <fb>227.76</fb>
    <v>16</v>
  </rv>
  <rv s="8">
    <fb>227.16</fb>
    <v>16</v>
  </rv>
  <rv s="8">
    <fb>229.31</fb>
    <v>16</v>
  </rv>
  <rv s="8">
    <fb>230.49</fb>
    <v>16</v>
  </rv>
  <rv s="8">
    <fb>232.56</fb>
    <v>16</v>
  </rv>
  <rv s="8">
    <fb>229.72</fb>
    <v>16</v>
  </rv>
  <rv s="8">
    <fb>238.47</fb>
    <v>16</v>
  </rv>
  <rv s="8">
    <fb>239.78</fb>
    <v>16</v>
  </rv>
  <rv s="8">
    <fb>239.69</fb>
    <v>16</v>
  </rv>
  <rv s="8">
    <fb>237.88</fb>
    <v>16</v>
  </rv>
  <rv s="8">
    <fb>234.35</fb>
    <v>16</v>
  </rv>
  <rv s="8">
    <fb>226.79</fb>
    <v>16</v>
  </rv>
  <rv s="8">
    <fb>230.03</fb>
    <v>16</v>
  </rv>
  <rv s="8">
    <fb>234.07</fb>
    <v>16</v>
  </rv>
  <rv s="8">
    <fb>236.7</fb>
    <v>16</v>
  </rv>
  <rv s="8">
    <fb>238.15</fb>
    <v>16</v>
  </rv>
  <rv s="8">
    <fb>238.99</fb>
    <v>16</v>
  </rv>
  <rv s="8">
    <fb>245.5</fb>
    <v>16</v>
  </rv>
  <rv s="8">
    <fb>256.08</fb>
    <v>16</v>
  </rv>
  <rv s="8">
    <fb>254.43</fb>
    <v>16</v>
  </rv>
  <rv s="8">
    <fb>252.31</fb>
    <v>16</v>
  </rv>
  <rv s="8">
    <fb>256.87</fb>
    <v>16</v>
  </rv>
  <rv s="8">
    <fb>255.46</fb>
    <v>16</v>
  </rv>
  <rv s="8">
    <fb>254.63</fb>
    <v>16</v>
  </rv>
  <rv s="8">
    <fb>255.45</fb>
    <v>16</v>
  </rv>
  <rv s="8">
    <fb>257.13</fb>
    <v>16</v>
  </rv>
  <rv s="8">
    <fb>258.02</fb>
    <v>16</v>
  </rv>
  <rv s="8">
    <fb>256.69</fb>
    <v>16</v>
  </rv>
  <rv s="8">
    <fb>256.48</fb>
    <v>16</v>
  </rv>
  <rv s="8">
    <fb>258.06</fb>
    <v>16</v>
  </rv>
  <rv s="8">
    <fb>254.04</fb>
    <v>16</v>
  </rv>
  <rv s="8">
    <fb>245.27</fb>
    <v>16</v>
  </rv>
  <rv s="8">
    <fb>247.66</fb>
    <v>16</v>
  </rv>
  <rv s="8">
    <fb>247.77</fb>
    <v>16</v>
  </rv>
  <rv s="8">
    <fb>249.34</fb>
    <v>16</v>
  </rv>
  <rv s="8">
    <fb>247.45</fb>
    <v>16</v>
  </rv>
  <rv s="8">
    <fb>252.29</fb>
    <v>16</v>
  </rv>
  <rv s="8">
    <fb>262.24</fb>
    <v>16</v>
  </rv>
  <rv s="8">
    <fb>262.77</fb>
    <v>16</v>
  </rv>
  <rv s="8">
    <fb>258.45</fb>
    <v>16</v>
  </rv>
  <rv s="8">
    <fb>259.58</fb>
    <v>16</v>
  </rv>
  <rv s="8">
    <fb>262.82</fb>
    <v>16</v>
  </rv>
  <rv s="8">
    <fb>268.81</fb>
    <v>16</v>
  </rv>
  <rv s="8">
    <fb>269</fb>
    <v>16</v>
  </rv>
  <rv s="8">
    <fb>269.7</fb>
    <v>16</v>
  </rv>
  <rv s="8">
    <fb>271.39999999999998</fb>
    <v>16</v>
  </rv>
  <rv s="8">
    <fb>270.37</fb>
    <v>16</v>
  </rv>
  <rv s="8">
    <fb>269.05</fb>
    <v>16</v>
  </rv>
  <rv s="8">
    <fb>270.04000000000002</fb>
    <v>16</v>
  </rv>
  <rv s="8">
    <fb>270.14</fb>
    <v>16</v>
  </rv>
  <rv s="8">
    <fb>269.77</fb>
    <v>16</v>
  </rv>
  <rv s="8">
    <fb>268.47000000000003</fb>
    <v>16</v>
  </rv>
  <rv s="8">
    <fb>269.43</fb>
    <v>16</v>
  </rv>
  <rv s="8">
    <fb>275.25</fb>
    <v>16</v>
  </rv>
  <rv s="8">
    <fb>273.47000000000003</fb>
    <v>16</v>
  </rv>
  <rv s="8">
    <fb>272.95</fb>
    <v>16</v>
  </rv>
  <rv s="8">
    <fb>272.41000000000003</fb>
    <v>16</v>
  </rv>
  <rv s="8">
    <fb>267.45999999999998</fb>
    <v>16</v>
  </rv>
  <rv s="8">
    <fb>267.44</fb>
    <v>16</v>
  </rv>
  <rv s="8">
    <fb>268.56</fb>
    <v>16</v>
  </rv>
  <rv s="8">
    <fb>266.25</fb>
    <v>16</v>
  </rv>
  <rv s="8">
    <fb>271.49</fb>
    <v>16</v>
  </rv>
  <rv s="8">
    <fb>275.92</fb>
    <v>16</v>
  </rv>
  <rv s="8">
    <fb>276.97000000000003</fb>
    <v>16</v>
  </rv>
  <rv s="8">
    <fb>277.55</fb>
    <v>16</v>
  </rv>
  <rv s="8">
    <fb>278.85000000000002</fb>
    <v>16</v>
  </rv>
  <rv s="8">
    <fb>283.10000000000002</fb>
    <v>16</v>
  </rv>
  <rv s="8">
    <fb>286.19</fb>
    <v>16</v>
  </rv>
  <rv s="8">
    <fb>284.14999999999998</fb>
    <v>16</v>
  </rv>
  <rv s="8">
    <fb>280.7</fb>
    <v>16</v>
  </rv>
  <rv s="8">
    <fb>278.77999999999997</fb>
    <v>16</v>
  </rv>
  <rv s="8">
    <fb>277.89</fb>
    <v>16</v>
  </rv>
  <rv s="8">
    <fb>277.18</fb>
    <v>16</v>
  </rv>
  <rv s="8">
    <fb>278.02999999999997</fb>
    <v>16</v>
  </rv>
  <rv s="8">
    <fb>278.27999999999997</fb>
    <v>16</v>
  </rv>
  <rv s="8">
    <fb>274.11</fb>
    <v>16</v>
  </rv>
  <rv s="8">
    <fb>274.61</fb>
    <v>16</v>
  </rv>
  <rv s="8">
    <fb>271.83999999999997</fb>
    <v>16</v>
  </rv>
  <rv s="8">
    <fb>272.19</fb>
    <v>16</v>
  </rv>
  <rv s="8">
    <fb>273.67</fb>
    <v>16</v>
  </rv>
  <rv s="8">
    <fb>270.97000000000003</fb>
    <v>16</v>
  </rv>
  <rv s="8">
    <fb>272.36</fb>
    <v>16</v>
  </rv>
  <rv s="8">
    <fb>273.81</fb>
    <v>16</v>
  </rv>
  <rv s="8">
    <fb>273.39999999999998</fb>
    <v>16</v>
  </rv>
  <rv s="8">
    <fb>273.76</fb>
    <v>16</v>
  </rv>
  <rv s="8">
    <fb>273.08</fb>
    <v>16</v>
  </rv>
  <rv s="8">
    <fb>271.86</fb>
    <v>16</v>
  </rv>
  <rv s="8">
    <fb>271.01</fb>
    <v>16</v>
  </rv>
  <rv s="8">
    <fb>267.26</fb>
    <v>16</v>
  </rv>
  <rv s="8">
    <fb>262.36</fb>
    <v>16</v>
  </rv>
  <rv s="8">
    <fb>260.33</fb>
    <v>16</v>
  </rv>
  <rv s="8">
    <fb>259.04000000000002</fb>
    <v>16</v>
  </rv>
  <rv s="8">
    <fb>259.37</fb>
    <v>16</v>
  </rv>
  <rv s="8">
    <fb>260.25</fb>
    <v>16</v>
  </rv>
  <rv s="8">
    <fb>261.05</fb>
    <v>16</v>
  </rv>
  <rv s="8">
    <fb>259.95999999999998</fb>
    <v>16</v>
  </rv>
  <rv s="8">
    <fb>258.20999999999998</fb>
    <v>16</v>
  </rv>
  <rv s="8">
    <fb>255.53</fb>
    <v>16</v>
  </rv>
  <rv s="8">
    <fb>246.7</fb>
    <v>16</v>
  </rv>
  <rv s="8">
    <fb>247.65</fb>
    <v>16</v>
  </rv>
  <rv s="8">
    <fb>248.35</fb>
    <v>16</v>
  </rv>
  <rv s="8">
    <fb>248.04</fb>
    <v>16</v>
  </rv>
  <rv s="8">
    <fb>255.41</fb>
    <v>16</v>
  </rv>
  <rv s="8">
    <fb>258.27</fb>
    <v>16</v>
  </rv>
  <rv s="8">
    <fb>256.44</fb>
    <v>16</v>
  </rv>
  <rv s="8">
    <fb>258.27999999999997</fb>
    <v>16</v>
  </rv>
  <rv s="8">
    <fb>259.48</fb>
    <v>16</v>
  </rv>
  <rv s="8">
    <fb>270.01</fb>
    <v>16</v>
  </rv>
  <rv s="8">
    <fb>269.48</fb>
    <v>16</v>
  </rv>
  <rv s="8">
    <fb>276.49</fb>
    <v>16</v>
  </rv>
  <rv s="8">
    <fb>275.91000000000003</fb>
    <v>16</v>
  </rv>
  <rv s="8">
    <fb>278.12</fb>
    <v>16</v>
  </rv>
  <rv s="8">
    <fb>274.62</fb>
    <v>16</v>
  </rv>
  <rv s="8">
    <fb>273.68</fb>
    <v>16</v>
  </rv>
  <rv s="8">
    <fb>275.5</fb>
    <v>16</v>
  </rv>
  <rv s="8">
    <fb>261.73</fb>
    <v>16</v>
  </rv>
  <rv s="8">
    <fb>255.78</fb>
    <v>16</v>
  </rv>
  <rv s="8">
    <fb>263.88</fb>
    <v>16</v>
  </rv>
  <rv s="8">
    <fb>264.35000000000002</fb>
    <v>16</v>
  </rv>
  <rv s="8">
    <fb>260.58</fb>
    <v>16</v>
  </rv>
  <rv s="8">
    <fb>264.58</fb>
    <v>16</v>
  </rv>
  <rv s="8">
    <fb>266.18</fb>
    <v>16</v>
  </rv>
  <rv s="8">
    <fb>272.14</fb>
    <v>16</v>
  </rv>
  <rv s="8">
    <fb>274.23</fb>
    <v>16</v>
  </rv>
  <rv s="8">
    <fb>264.18</fb>
    <v>16</v>
  </rv>
  <rv s="8">
    <fb>264.72000000000003</fb>
    <v>16</v>
  </rv>
  <rv s="8">
    <fb>263.75</fb>
    <v>16</v>
  </rv>
  <rv s="8">
    <fb>262.52</fb>
    <v>16</v>
  </rv>
  <rv s="8">
    <fb>260.29000000000002</fb>
    <v>16</v>
  </rv>
  <rv s="8">
    <fb>257.45999999999998</fb>
    <v>16</v>
  </rv>
  <rv s="8">
    <fb>259.88</fb>
    <v>16</v>
  </rv>
  <rv s="8">
    <fb>260.83</fb>
    <v>16</v>
  </rv>
  <rv s="8">
    <fb>260.81</fb>
    <v>16</v>
  </rv>
  <rv s="8">
    <fb>255.76</fb>
    <v>16</v>
  </rv>
  <rv s="8">
    <fb>250.12</fb>
    <v>16</v>
  </rv>
  <rv s="8">
    <fb>252.82</fb>
    <v>16</v>
  </rv>
  <rv s="8">
    <fb>254.23</fb>
    <v>16</v>
  </rv>
  <rv s="8">
    <fb>249.94</fb>
    <v>16</v>
  </rv>
  <rv s="8">
    <fb>248.96</fb>
    <v>16</v>
  </rv>
  <rv s="8">
    <fb>247.99</fb>
    <v>16</v>
  </rv>
  <rv s="8">
    <fb>251.49</fb>
    <v>16</v>
  </rv>
  <rv s="8">
    <fb>251.64</fb>
    <v>16</v>
  </rv>
  <rv s="8">
    <fb>252.62</fb>
    <v>16</v>
  </rv>
  <rv s="8">
    <fb>252.89</fb>
    <v>16</v>
  </rv>
  <rv s="8">
    <fb>248.8</fb>
    <v>16</v>
  </rv>
  <rv s="8">
    <fb>246.63</fb>
    <v>16</v>
  </rv>
  <rv s="8">
    <fb>253.79</fb>
    <v>16</v>
  </rv>
  <rv s="8">
    <fb>255.63</fb>
    <v>16</v>
  </rv>
  <rv s="8">
    <fb>887.65</fb>
    <v>16</v>
  </rv>
  <rv s="8">
    <fb>822.62</fb>
    <v>16</v>
  </rv>
  <rv s="8">
    <fb>817.5</fb>
    <v>16</v>
  </rv>
  <rv s="8">
    <fb>815.72</fb>
    <v>16</v>
  </rv>
  <rv s="8">
    <fb>897.08</fb>
    <v>16</v>
  </rv>
  <rv s="8">
    <fb>858.78</fb>
    <v>16</v>
  </rv>
  <rv s="8">
    <fb>878.78</fb>
    <v>16</v>
  </rv>
  <rv s="8">
    <fb>889.95</fb>
    <v>16</v>
  </rv>
  <rv s="8">
    <fb>888.44</fb>
    <v>16</v>
  </rv>
  <rv s="8">
    <fb>865.78</fb>
    <v>16</v>
  </rv>
  <rv s="8">
    <fb>875.78</fb>
    <v>16</v>
  </rv>
  <rv s="8">
    <fb>854</fb>
    <v>16</v>
  </rv>
  <rv s="8">
    <fb>887.22</fb>
    <v>16</v>
  </rv>
  <rv s="8">
    <fb>892.54</fb>
    <v>16</v>
  </rv>
  <rv s="8">
    <fb>916.26</fb>
    <v>16</v>
  </rv>
  <rv s="8">
    <fb>907.69</fb>
    <v>16</v>
  </rv>
  <rv s="8">
    <fb>913.74</fb>
    <v>16</v>
  </rv>
  <rv s="8">
    <fb>920.52</fb>
    <v>16</v>
  </rv>
  <rv s="8">
    <fb>914.26</fb>
    <v>16</v>
  </rv>
  <rv s="8">
    <fb>916.14</fb>
    <v>16</v>
  </rv>
  <rv s="8">
    <fb>929.2</fb>
    <v>16</v>
  </rv>
  <rv s="8">
    <fb>920.53</fb>
    <v>16</v>
  </rv>
  <rv s="8">
    <fb>914.97</fb>
    <v>16</v>
  </rv>
  <rv s="8">
    <fb>920.36</fb>
    <v>16</v>
  </rv>
  <rv s="8">
    <fb>928.64</fb>
    <v>16</v>
  </rv>
  <rv s="8">
    <fb>923.44</fb>
    <v>16</v>
  </rv>
  <rv s="8">
    <fb>958.03</fb>
    <v>16</v>
  </rv>
  <rv s="8">
    <fb>959.18</fb>
    <v>16</v>
  </rv>
  <rv s="8">
    <fb>967.06</fb>
    <v>16</v>
  </rv>
  <rv s="8">
    <fb>983.08</fb>
    <v>16</v>
  </rv>
  <rv s="8">
    <fb>989.71</fb>
    <v>16</v>
  </rv>
  <rv s="8">
    <fb>993.66</fb>
    <v>16</v>
  </rv>
  <rv s="8">
    <fb>997.71</fb>
    <v>16</v>
  </rv>
  <rv s="8">
    <fb>972.83</fb>
    <v>16</v>
  </rv>
  <rv s="8">
    <fb>969.9</fb>
    <v>16</v>
  </rv>
  <rv s="8">
    <fb>963.18</fb>
    <v>16</v>
  </rv>
  <rv s="8">
    <fb>981.32</fb>
    <v>16</v>
  </rv>
  <rv s="8">
    <fb>971.28</fb>
    <v>16</v>
  </rv>
  <rv s="8">
    <fb>976.32</fb>
    <v>16</v>
  </rv>
  <rv s="8">
    <fb>979.89</fb>
    <v>16</v>
  </rv>
  <rv s="8">
    <fb>978.07</fb>
    <v>16</v>
  </rv>
  <rv s="8">
    <fb>982.13</fb>
    <v>16</v>
  </rv>
  <rv s="8">
    <fb>988.97</fb>
    <v>16</v>
  </rv>
  <rv s="8">
    <fb>985.46</fb>
    <v>16</v>
  </rv>
  <rv s="8">
    <fb>989.05</fb>
    <v>16</v>
  </rv>
  <rv s="8">
    <fb>988.84</fb>
    <v>16</v>
  </rv>
  <rv s="8">
    <fb>991.9</fb>
    <v>16</v>
  </rv>
  <rv s="8">
    <fb>993.3</fb>
    <v>16</v>
  </rv>
  <rv s="8">
    <fb>988.25</fb>
    <v>16</v>
  </rv>
  <rv s="8">
    <fb>971.82</fb>
    <v>16</v>
  </rv>
  <rv s="8">
    <fb>982.1</fb>
    <v>16</v>
  </rv>
  <rv s="8">
    <fb>969.18</fb>
    <v>16</v>
  </rv>
  <rv s="8">
    <fb>979.52</fb>
    <v>16</v>
  </rv>
  <rv s="8">
    <fb>974.44</fb>
    <v>16</v>
  </rv>
  <rv s="8">
    <fb>986.3</fb>
    <v>16</v>
  </rv>
  <rv s="8">
    <fb>1004.97</fb>
    <v>16</v>
  </rv>
  <rv s="8">
    <fb>1018.08</fb>
    <v>16</v>
  </rv>
  <rv s="8">
    <fb>1030.79</fb>
    <v>16</v>
  </rv>
  <rv s="8">
    <fb>1047.82</fb>
    <v>16</v>
  </rv>
  <rv s="8">
    <fb>1049.25</fb>
    <v>16</v>
  </rv>
  <rv s="8">
    <fb>1054.27</fb>
    <v>16</v>
  </rv>
  <rv s="8">
    <fb>1070.57</fb>
    <v>16</v>
  </rv>
  <rv s="8">
    <fb>1082.1500000000001</fb>
    <v>16</v>
  </rv>
  <rv s="8">
    <fb>1075.97</fb>
    <v>16</v>
  </rv>
  <rv s="8">
    <fb>1075.02</fb>
    <v>16</v>
  </rv>
  <rv s="8">
    <fb>1088.75</fb>
    <v>16</v>
  </rv>
  <rv s="8">
    <fb>1104.05</fb>
    <v>16</v>
  </rv>
  <rv s="8">
    <fb>1101.6400000000001</fb>
    <v>16</v>
  </rv>
  <rv s="8">
    <fb>1111.46</fb>
    <v>16</v>
  </rv>
  <rv s="8">
    <fb>1046.1600000000001</fb>
    <v>16</v>
  </rv>
  <rv s="8">
    <fb>1082.24</fb>
    <v>16</v>
  </rv>
  <rv s="8">
    <fb>1105.3800000000001</fb>
    <v>16</v>
  </rv>
  <rv s="8">
    <fb>1103.5899999999999</fb>
    <v>16</v>
  </rv>
  <rv s="8">
    <fb>1093.02</fb>
    <v>16</v>
  </rv>
  <rv s="8">
    <fb>1100.3900000000001</fb>
    <v>16</v>
  </rv>
  <rv s="8">
    <fb>1120.3699999999999</fb>
    <v>16</v>
  </rv>
  <rv s="8">
    <fb>1118.3699999999999</fb>
    <v>16</v>
  </rv>
  <rv s="8">
    <fb>1123.28</fb>
    <v>16</v>
  </rv>
  <rv s="8">
    <fb>1117.82</fb>
    <v>16</v>
  </rv>
  <rv s="8">
    <fb>1121.53</fb>
    <v>16</v>
  </rv>
  <rv s="8">
    <fb>1114.6500000000001</fb>
    <v>16</v>
  </rv>
  <rv s="8">
    <fb>1106.01</fb>
    <v>16</v>
  </rv>
  <rv s="8">
    <fb>1091.8</fb>
    <v>16</v>
  </rv>
  <rv s="8">
    <fb>1116.06</fb>
    <v>16</v>
  </rv>
  <rv s="8">
    <fb>1109.6400000000001</fb>
    <v>16</v>
  </rv>
  <rv s="8">
    <fb>1120.54</fb>
    <v>16</v>
  </rv>
  <rv s="8">
    <fb>1112.83</fb>
    <v>16</v>
  </rv>
  <rv s="8">
    <fb>1124.97</fb>
    <v>16</v>
  </rv>
  <rv s="8">
    <fb>1127.93</fb>
    <v>16</v>
  </rv>
  <rv s="8">
    <fb>1159.6099999999999</fb>
    <v>16</v>
  </rv>
  <rv s="8">
    <fb>1160.03</fb>
    <v>16</v>
  </rv>
  <rv s="8">
    <fb>1160.1600000000001</fb>
    <v>16</v>
  </rv>
  <rv s="8">
    <fb>1135.01</fb>
    <v>16</v>
  </rv>
  <rv s="8">
    <fb>1136.1199999999999</fb>
    <v>16</v>
  </rv>
  <rv s="8">
    <fb>1128.47</fb>
    <v>16</v>
  </rv>
  <rv s="8">
    <fb>1128.46</fb>
    <v>16</v>
  </rv>
  <rv s="8">
    <fb>1124.75</fb>
    <v>16</v>
  </rv>
  <rv s="8">
    <fb>1148.17</fb>
    <v>16</v>
  </rv>
  <rv s="8">
    <fb>1137.0999999999999</fb>
    <v>16</v>
  </rv>
  <rv s="8">
    <fb>1139.8</fb>
    <v>16</v>
  </rv>
  <rv s="8">
    <fb>1131.6300000000001</fb>
    <v>16</v>
  </rv>
  <rv s="8">
    <fb>1130.48</fb>
    <v>16</v>
  </rv>
  <rv s="8">
    <fb>1127.1400000000001</fb>
    <v>16</v>
  </rv>
  <rv s="8">
    <fb>1114.77</fb>
    <v>16</v>
  </rv>
  <rv s="8">
    <fb>1099.49</fb>
    <v>16</v>
  </rv>
  <rv s="8">
    <fb>1108.76</fb>
    <v>16</v>
  </rv>
  <rv s="8">
    <fb>1099.1500000000001</fb>
    <v>16</v>
  </rv>
  <rv s="8">
    <fb>1104.92</fb>
    <v>16</v>
  </rv>
  <rv s="8">
    <fb>1105.67</fb>
    <v>16</v>
  </rv>
  <rv s="8">
    <fb>1102.8900000000001</fb>
    <v>16</v>
  </rv>
  <rv s="8">
    <fb>1134.18</fb>
    <v>16</v>
  </rv>
  <rv s="8">
    <fb>1123.4100000000001</fb>
    <v>16</v>
  </rv>
  <rv s="8">
    <fb>1115.1099999999999</fb>
    <v>16</v>
  </rv>
  <rv s="8">
    <fb>1118.8900000000001</fb>
    <v>16</v>
  </rv>
  <rv s="8">
    <fb>1131.78</fb>
    <v>16</v>
  </rv>
  <rv s="8">
    <fb>1137.1300000000001</fb>
    <v>16</v>
  </rv>
  <rv s="8">
    <fb>1142.8499999999999</fb>
    <v>16</v>
  </rv>
  <rv s="8">
    <fb>1136.21</fb>
    <v>16</v>
  </rv>
  <rv s="8">
    <fb>1131.75</fb>
    <v>16</v>
  </rv>
  <rv s="8">
    <fb>1127.98</fb>
    <v>16</v>
  </rv>
  <rv s="8">
    <fb>1147.29</fb>
    <v>16</v>
  </rv>
  <rv s="8">
    <fb>1156.45</fb>
    <v>16</v>
  </rv>
  <rv s="8">
    <fb>1175.56</fb>
    <v>16</v>
  </rv>
  <rv s="8">
    <fb>1165.8699999999999</fb>
    <v>16</v>
  </rv>
  <rv s="8">
    <fb>1141.07</fb>
    <v>16</v>
  </rv>
  <rv s="8">
    <fb>1160.54</fb>
    <v>16</v>
  </rv>
  <rv s="8">
    <fb>1160.69</fb>
    <v>16</v>
  </rv>
  <rv s="8">
    <fb>1179.27</fb>
    <v>16</v>
  </rv>
  <rv s="8">
    <fb>1166.23</fb>
    <v>16</v>
  </rv>
  <rv s="8">
    <fb>1165</fb>
    <v>16</v>
  </rv>
  <rv s="8">
    <fb>1167.43</fb>
    <v>16</v>
  </rv>
  <rv s="8">
    <fb>1132.3599999999999</fb>
    <v>16</v>
  </rv>
  <rv s="8">
    <fb>1155.1199999999999</fb>
    <v>16</v>
  </rv>
  <rv s="8">
    <fb>1194.26</fb>
    <v>16</v>
  </rv>
  <rv s="8">
    <fb>1202.5899999999999</fb>
    <v>16</v>
  </rv>
  <rv s="8">
    <fb>1171.3599999999999</fb>
    <v>16</v>
  </rv>
  <rv s="8">
    <fb>1161.1600000000001</fb>
    <v>16</v>
  </rv>
  <rv s="8">
    <fb>1160</fb>
    <v>16</v>
  </rv>
  <rv s="8">
    <fb>1130</fb>
    <v>16</v>
  </rv>
  <rv s="8">
    <fb>1129.68</fb>
    <v>16</v>
  </rv>
  <rv s="8">
    <fb>1125</fb>
    <v>16</v>
  </rv>
  <rv s="8">
    <fb>1136.6300000000001</fb>
    <v>16</v>
  </rv>
  <rv s="8">
    <fb>1131.31</fb>
    <v>16</v>
  </rv>
  <rv s="8">
    <fb>1124.95</fb>
    <v>16</v>
  </rv>
  <rv s="8">
    <fb>1098</fb>
    <v>16</v>
  </rv>
  <rv s="8">
    <fb>1098.05</fb>
    <v>16</v>
  </rv>
  <rv s="8">
    <fb>1082.81</fb>
    <v>16</v>
  </rv>
  <rv s="8">
    <fb>1068.83</fb>
    <v>16</v>
  </rv>
  <rv s="8">
    <fb>1059.9100000000001</fb>
    <v>16</v>
  </rv>
  <rv s="8">
    <fb>1073.57</fb>
    <v>16</v>
  </rv>
  <rv s="8">
    <fb>1069.44</fb>
    <v>16</v>
  </rv>
  <rv s="8">
    <fb>1082.2</fb>
    <v>16</v>
  </rv>
  <rv s="8">
    <fb>1082.6300000000001</fb>
    <v>16</v>
  </rv>
  <rv s="8">
    <fb>1085.76</fb>
    <v>16</v>
  </rv>
  <rv s="8">
    <fb>1093.93</fb>
    <v>16</v>
  </rv>
  <rv s="8">
    <fb>1069.6500000000001</fb>
    <v>16</v>
  </rv>
  <rv s="8">
    <fb>1057.94</fb>
    <v>16</v>
  </rv>
  <rv s="8">
    <fb>1023.8</fb>
    <v>16</v>
  </rv>
  <rv s="8">
    <fb>1019.14</fb>
    <v>16</v>
  </rv>
  <rv s="8">
    <fb>1014.68</fb>
    <v>16</v>
  </rv>
  <rv s="8">
    <fb>992.52</fb>
    <v>16</v>
  </rv>
  <rv s="8">
    <fb>1014.72</fb>
    <v>16</v>
  </rv>
  <rv s="8">
    <fb>1019.49</fb>
    <v>16</v>
  </rv>
  <rv s="8">
    <fb>1029.77</fb>
    <v>16</v>
  </rv>
  <rv s="8">
    <fb>1040.06</fb>
    <v>16</v>
  </rv>
  <rv s="8">
    <fb>1047.3</fb>
    <v>16</v>
  </rv>
  <rv s="8">
    <fb>1039.94</fb>
    <v>16</v>
  </rv>
  <rv s="8">
    <fb>1038.6199999999999</fb>
    <v>16</v>
  </rv>
  <rv s="8">
    <fb>1079.8699999999999</fb>
    <v>16</v>
  </rv>
  <rv s="8">
    <fb>1075.58</fb>
    <v>16</v>
  </rv>
  <rv s="8">
    <fb>1072.1600000000001</fb>
    <v>16</v>
  </rv>
  <rv s="8">
    <fb>1062.02</fb>
    <v>16</v>
  </rv>
  <rv s="8">
    <fb>1071.31</fb>
    <v>16</v>
  </rv>
  <rv s="8">
    <fb>1083.3599999999999</fb>
    <v>16</v>
  </rv>
  <rv s="8">
    <fb>1101.8399999999999</fb>
    <v>16</v>
  </rv>
  <rv s="8">
    <fb>1089.0899999999999</fb>
    <v>16</v>
  </rv>
  <rv s="8">
    <fb>1082.1600000000001</fb>
    <v>16</v>
  </rv>
  <rv s="8">
    <fb>1068.1400000000001</fb>
    <v>16</v>
  </rv>
  <rv s="8">
    <fb>1065</fb>
    <v>16</v>
  </rv>
  <rv s="8">
    <fb>1064.99</fb>
    <v>16</v>
  </rv>
  <rv s="8">
    <fb>1060.17</fb>
    <v>16</v>
  </rv>
  <rv s="8">
    <fb>1088.21</fb>
    <v>16</v>
  </rv>
  <rv s="8">
    <fb>1086.55</fb>
    <v>16</v>
  </rv>
  <rv s="8">
    <fb>1088.96</fb>
    <v>16</v>
  </rv>
  <rv s="8">
    <fb>1088.1099999999999</fb>
    <v>16</v>
  </rv>
  <rv s="8">
    <fb>1088.4000000000001</fb>
    <v>16</v>
  </rv>
  <rv s="8">
    <fb>1083.31</fb>
    <v>16</v>
  </rv>
  <rv s="8">
    <fb>1070.3399999999999</fb>
    <v>16</v>
  </rv>
  <rv s="8">
    <fb>1085.06</fb>
    <v>16</v>
  </rv>
  <rv s="8">
    <fb>1119.76</fb>
    <v>16</v>
  </rv>
  <rv s="8">
    <fb>1112.28</fb>
    <v>16</v>
  </rv>
  <rv s="8">
    <fb>1075.0899999999999</fb>
    <v>16</v>
  </rv>
  <rv s="8">
    <fb>1087.92</fb>
    <v>16</v>
  </rv>
  <rv s="8">
    <fb>1085.0999999999999</fb>
    <v>16</v>
  </rv>
  <rv s="8">
    <fb>1089.26</fb>
    <v>16</v>
  </rv>
  <rv s="8">
    <fb>1089.54</fb>
    <v>16</v>
  </rv>
  <rv s="8">
    <fb>1091.8499999999999</fb>
    <v>16</v>
  </rv>
  <rv s="8">
    <fb>1156.6500000000001</fb>
    <v>16</v>
  </rv>
  <rv s="8">
    <fb>1163.17</fb>
    <v>16</v>
  </rv>
  <rv s="8">
    <fb>1110.05</fb>
    <v>16</v>
  </rv>
  <rv s="8">
    <fb>1127.8499999999999</fb>
    <v>16</v>
  </rv>
  <rv s="8">
    <fb>1139.72</fb>
    <v>16</v>
  </rv>
  <rv s="8">
    <fb>1129.9100000000001</fb>
    <v>16</v>
  </rv>
  <rv s="8">
    <fb>1121.54</fb>
    <v>16</v>
  </rv>
  <rv s="8">
    <fb>1106.69</fb>
    <v>16</v>
  </rv>
  <rv s="8">
    <fb>1121.67</fb>
    <v>16</v>
  </rv>
  <rv s="8">
    <fb>1127.78</fb>
    <v>16</v>
  </rv>
  <rv s="8">
    <fb>1118.94</fb>
    <v>16</v>
  </rv>
  <rv s="8">
    <fb>1119.6600000000001</fb>
    <v>16</v>
  </rv>
  <rv s="8">
    <fb>1070.08</fb>
    <v>16</v>
  </rv>
  <rv s="8">
    <fb>1076.1600000000001</fb>
    <v>16</v>
  </rv>
  <rv s="8">
    <fb>1054.8</fb>
    <v>16</v>
  </rv>
  <rv s="8">
    <fb>1056.3800000000001</fb>
    <v>16</v>
  </rv>
  <rv s="8">
    <fb>1079.9000000000001</fb>
    <v>16</v>
  </rv>
  <rv s="8">
    <fb>1087.78</fb>
    <v>16</v>
  </rv>
  <rv s="8">
    <fb>1082.8800000000001</fb>
    <v>16</v>
  </rv>
  <rv s="8">
    <fb>1055.6300000000001</fb>
    <v>16</v>
  </rv>
  <rv s="8">
    <fb>1071.51</fb>
    <v>16</v>
  </rv>
  <rv s="8">
    <fb>1072.67</fb>
    <v>16</v>
  </rv>
  <rv s="8">
    <fb>1092.26</fb>
    <v>16</v>
  </rv>
  <rv s="8">
    <fb>1081.28</fb>
    <v>16</v>
  </rv>
  <rv s="8">
    <fb>1093.6400000000001</fb>
    <v>16</v>
  </rv>
  <rv s="8">
    <fb>1071.01</fb>
    <v>16</v>
  </rv>
  <rv s="8">
    <fb>1081.05</fb>
    <v>16</v>
  </rv>
  <rv s="8">
    <fb>1093.78</fb>
    <v>16</v>
  </rv>
  <rv s="8">
    <fb>1090.27</fb>
    <v>16</v>
  </rv>
  <rv s="8">
    <fb>1063.23</fb>
    <v>16</v>
  </rv>
  <rv s="8">
    <fb>1068.31</fb>
    <v>16</v>
  </rv>
  <rv s="8">
    <fb>1052.5899999999999</fb>
    <v>16</v>
  </rv>
  <rv s="8">
    <fb>1049.23</fb>
    <v>16</v>
  </rv>
  <rv s="8">
    <fb>1035</fb>
    <v>16</v>
  </rv>
  <rv s="8">
    <fb>955.45</fb>
    <v>16</v>
  </rv>
  <rv s="8">
    <fb>957.67</fb>
    <v>16</v>
  </rv>
  <rv s="8">
    <fb>967.36</fb>
    <v>16</v>
  </rv>
  <rv s="8">
    <fb>951.17</fb>
    <v>16</v>
  </rv>
  <rv s="8">
    <fb>922.9</fb>
    <v>16</v>
  </rv>
  <rv s="8">
    <fb>924.11</fb>
    <v>16</v>
  </rv>
  <rv s="8">
    <fb>943.26</fb>
    <v>16</v>
  </rv>
  <rv s="8">
    <fb>971.01</fb>
    <v>16</v>
  </rv>
  <rv s="8">
    <fb>968.31</fb>
    <v>16</v>
  </rv>
  <rv s="8">
    <fb>969.6</fb>
    <v>16</v>
  </rv>
  <rv s="8">
    <fb>957.91</fb>
    <v>16</v>
  </rv>
  <rv s="8">
    <fb>974.58</fb>
    <v>16</v>
  </rv>
  <rv s="8">
    <fb>976.06</fb>
    <v>16</v>
  </rv>
  <rv s="8">
    <fb>981.35</fb>
    <v>16</v>
  </rv>
  <rv s="8">
    <fb>968.46</fb>
    <v>16</v>
  </rv>
  <rv s="8">
    <fb>933.85</fb>
    <v>16</v>
  </rv>
  <rv s="8">
    <fb>934.06</fb>
    <v>16</v>
  </rv>
  <rv s="8">
    <fb>961.71</fb>
    <v>16</v>
  </rv>
  <rv s="8">
    <fb>957.4</fb>
    <v>16</v>
  </rv>
  <rv s="8">
    <fb>156.12</fb>
    <v>16</v>
  </rv>
  <rv s="8">
    <fb>143.28</fb>
    <v>16</v>
  </rv>
  <rv s="8">
    <fb>140.15</fb>
    <v>16</v>
  </rv>
  <rv s="8">
    <fb>136.93</fb>
    <v>16</v>
  </rv>
  <rv s="8">
    <fb>146.03</fb>
    <v>16</v>
  </rv>
  <rv s="8">
    <fb>134.97999999999999</fb>
    <v>16</v>
  </rv>
  <rv s="8">
    <fb>135.63</fb>
    <v>16</v>
  </rv>
  <rv s="8">
    <fb>135.32</fb>
    <v>16</v>
  </rv>
  <rv s="8">
    <fb>134.54</fb>
    <v>16</v>
  </rv>
  <rv s="8">
    <fb>135.36000000000001</fb>
    <v>16</v>
  </rv>
  <rv s="8">
    <fb>137.87</fb>
    <v>16</v>
  </rv>
  <rv s="8">
    <fb>133.72999999999999</fb>
    <v>16</v>
  </rv>
  <rv s="8">
    <fb>137.30000000000001</fb>
    <v>16</v>
  </rv>
  <rv s="8">
    <fb>136.68</fb>
    <v>16</v>
  </rv>
  <rv s="8">
    <fb>139.07</fb>
    <v>16</v>
  </rv>
  <rv s="8">
    <fb>138.72999999999999</fb>
    <v>16</v>
  </rv>
  <rv s="8">
    <fb>140.1</fb>
    <v>16</v>
  </rv>
  <rv s="8">
    <fb>139.30000000000001</fb>
    <v>16</v>
  </rv>
  <rv s="8">
    <fb>136.06</fb>
    <v>16</v>
  </rv>
  <rv s="8">
    <fb>136.26</fb>
    <v>16</v>
  </rv>
  <rv s="8">
    <fb>138.5</fb>
    <v>16</v>
  </rv>
  <rv s="8">
    <fb>135.5</fb>
    <v>16</v>
  </rv>
  <rv s="8">
    <fb>135.6</fb>
    <v>16</v>
  </rv>
  <rv s="8">
    <fb>135.79</fb>
    <v>16</v>
  </rv>
  <rv s="8">
    <fb>137.04</fb>
    <v>16</v>
  </rv>
  <rv s="8">
    <fb>138.49</fb>
    <v>16</v>
  </rv>
  <rv s="8">
    <fb>141.62</fb>
    <v>16</v>
  </rv>
  <rv s="8">
    <fb>142.35</fb>
    <v>16</v>
  </rv>
  <rv s="8">
    <fb>141.66999999999999</fb>
    <v>16</v>
  </rv>
  <rv s="8">
    <fb>142.26</fb>
    <v>16</v>
  </rv>
  <rv s="8">
    <fb>142.1</fb>
    <v>16</v>
  </rv>
  <rv s="8">
    <fb>137.27000000000001</fb>
    <v>16</v>
  </rv>
  <rv s="8">
    <fb>135.56</fb>
    <v>16</v>
  </rv>
  <rv s="8">
    <fb>135.29</fb>
    <v>16</v>
  </rv>
  <rv s="8">
    <fb>136.54</fb>
    <v>16</v>
  </rv>
  <rv s="8">
    <fb>137.83000000000001</fb>
    <v>16</v>
  </rv>
  <rv s="8">
    <fb>136.02000000000001</fb>
    <v>16</v>
  </rv>
  <rv s="8">
    <fb>136.69999999999999</fb>
    <v>16</v>
  </rv>
  <rv s="8">
    <fb>137.84</fb>
    <v>16</v>
  </rv>
  <rv s="8">
    <fb>139.55000000000001</fb>
    <v>16</v>
  </rv>
  <rv s="8">
    <fb>137.37</fb>
    <v>16</v>
  </rv>
  <rv s="8">
    <fb>136.9</fb>
    <v>16</v>
  </rv>
  <rv s="8">
    <fb>140.21</fb>
    <v>16</v>
  </rv>
  <rv s="8">
    <fb>140.76</fb>
    <v>16</v>
  </rv>
  <rv s="8">
    <fb>143.35</fb>
    <v>16</v>
  </rv>
  <rv s="8">
    <fb>144.78</fb>
    <v>16</v>
  </rv>
  <rv s="8">
    <fb>144.97</fb>
    <v>16</v>
  </rv>
  <rv s="8">
    <fb>145.91</fb>
    <v>16</v>
  </rv>
  <rv s="8">
    <fb>148.85</fb>
    <v>16</v>
  </rv>
  <rv s="8">
    <fb>148.19</fb>
    <v>16</v>
  </rv>
  <rv s="8">
    <fb>149.55000000000001</fb>
    <v>16</v>
  </rv>
  <rv s="8">
    <fb>146.86000000000001</fb>
    <v>16</v>
  </rv>
  <rv s="8">
    <fb>143.55000000000001</fb>
    <v>16</v>
  </rv>
  <rv s="8">
    <fb>143.22999999999999</fb>
    <v>16</v>
  </rv>
  <rv s="8">
    <fb>144.44</fb>
    <v>16</v>
  </rv>
  <rv s="8">
    <fb>143.79</fb>
    <v>16</v>
  </rv>
  <rv s="8">
    <fb>143.19</fb>
    <v>16</v>
  </rv>
  <rv s="8">
    <fb>145.57</fb>
    <v>16</v>
  </rv>
  <rv s="8">
    <fb>147.97999999999999</fb>
    <v>16</v>
  </rv>
  <rv s="8">
    <fb>148.37</fb>
    <v>16</v>
  </rv>
  <rv s="8">
    <fb>147.4</fb>
    <v>16</v>
  </rv>
  <rv s="8">
    <fb>153.24</fb>
    <v>16</v>
  </rv>
  <rv s="8">
    <fb>153.02000000000001</fb>
    <v>16</v>
  </rv>
  <rv s="8">
    <fb>154.16999999999999</fb>
    <v>16</v>
  </rv>
  <rv s="8">
    <fb>155.31</fb>
    <v>16</v>
  </rv>
  <rv s="8">
    <fb>151.65</fb>
    <v>16</v>
  </rv>
  <rv s="8">
    <fb>150.69</fb>
    <v>16</v>
  </rv>
  <rv s="8">
    <fb>149.91999999999999</fb>
    <v>16</v>
  </rv>
  <rv s="8">
    <fb>151.38</fb>
    <v>16</v>
  </rv>
  <rv s="8">
    <fb>150.04</fb>
    <v>16</v>
  </rv>
  <rv s="8">
    <fb>149.68</fb>
    <v>16</v>
  </rv>
  <rv s="8">
    <fb>153.12</fb>
    <v>16</v>
  </rv>
  <rv s="8">
    <fb>155.83000000000001</fb>
    <v>16</v>
  </rv>
  <rv s="8">
    <fb>154.84</fb>
    <v>16</v>
  </rv>
  <rv s="8">
    <fb>156.28</fb>
    <v>16</v>
  </rv>
  <rv s="8">
    <fb>157.03</fb>
    <v>16</v>
  </rv>
  <rv s="8">
    <fb>153.56</fb>
    <v>16</v>
  </rv>
  <rv s="8">
    <fb>151.63999999999999</fb>
    <v>16</v>
  </rv>
  <rv s="8">
    <fb>151.4</fb>
    <v>16</v>
  </rv>
  <rv s="8">
    <fb>151.04</fb>
    <v>16</v>
  </rv>
  <rv s="8">
    <fb>153.04</fb>
    <v>16</v>
  </rv>
  <rv s="8">
    <fb>152.78</fb>
    <v>16</v>
  </rv>
  <rv s="8">
    <fb>153.16</fb>
    <v>16</v>
  </rv>
  <rv s="8">
    <fb>155.01</fb>
    <v>16</v>
  </rv>
  <rv s="8">
    <fb>153.44999999999999</fb>
    <v>16</v>
  </rv>
  <rv s="8">
    <fb>154.44</fb>
    <v>16</v>
  </rv>
  <rv s="8">
    <fb>155.87</fb>
    <v>16</v>
  </rv>
  <rv s="8">
    <fb>155.16</fb>
    <v>16</v>
  </rv>
  <rv s="8">
    <fb>156.55000000000001</fb>
    <v>16</v>
  </rv>
  <rv s="8">
    <fb>155.32</fb>
    <v>16</v>
  </rv>
  <rv s="8">
    <fb>152</fb>
    <v>16</v>
  </rv>
  <rv s="8">
    <fb>153.22</fb>
    <v>16</v>
  </rv>
  <rv s="8">
    <fb>155.55000000000001</fb>
    <v>16</v>
  </rv>
  <rv s="8">
    <fb>158.18</fb>
    <v>16</v>
  </rv>
  <rv s="8">
    <fb>158.19999999999999</fb>
    <v>16</v>
  </rv>
  <rv s="8">
    <fb>157.36000000000001</fb>
    <v>16</v>
  </rv>
  <rv s="8">
    <fb>159.24</fb>
    <v>16</v>
  </rv>
  <rv s="8">
    <fb>159.32</fb>
    <v>16</v>
  </rv>
  <rv s="8">
    <fb>160.6</fb>
    <v>16</v>
  </rv>
  <rv s="8">
    <fb>161.83000000000001</fb>
    <v>16</v>
  </rv>
  <rv s="8">
    <fb>158.06</fb>
    <v>16</v>
  </rv>
  <rv s="8">
    <fb>157.69</fb>
    <v>16</v>
  </rv>
  <rv s="8">
    <fb>153.66</fb>
    <v>16</v>
  </rv>
  <rv s="8">
    <fb>154</fb>
    <v>16</v>
  </rv>
  <rv s="8">
    <fb>154.85</fb>
    <v>16</v>
  </rv>
  <rv s="8">
    <fb>157.79</fb>
    <v>16</v>
  </rv>
  <rv s="8">
    <fb>158.25</fb>
    <v>16</v>
  </rv>
  <rv s="8">
    <fb>157.11000000000001</fb>
    <v>16</v>
  </rv>
  <rv s="8">
    <fb>157.31</fb>
    <v>16</v>
  </rv>
  <rv s="8">
    <fb>160.09</fb>
    <v>16</v>
  </rv>
  <rv s="8">
    <fb>158.84</fb>
    <v>16</v>
  </rv>
  <rv s="8">
    <fb>156.21</fb>
    <v>16</v>
  </rv>
  <rv s="8">
    <fb>156.05000000000001</fb>
    <v>16</v>
  </rv>
  <rv s="8">
    <fb>157.41999999999999</fb>
    <v>16</v>
  </rv>
  <rv s="8">
    <fb>159.18</fb>
    <v>16</v>
  </rv>
  <rv s="8">
    <fb>160.72</fb>
    <v>16</v>
  </rv>
  <rv s="8">
    <fb>160.16</fb>
    <v>16</v>
  </rv>
  <rv s="8">
    <fb>156.1</fb>
    <v>16</v>
  </rv>
  <rv s="8">
    <fb>155.29</fb>
    <v>16</v>
  </rv>
  <rv s="8">
    <fb>154.58000000000001</fb>
    <v>16</v>
  </rv>
  <rv s="8">
    <fb>153.37</fb>
    <v>16</v>
  </rv>
  <rv s="8">
    <fb>153.55000000000001</fb>
    <v>16</v>
  </rv>
  <rv s="8">
    <fb>154.02000000000001</fb>
    <v>16</v>
  </rv>
  <rv s="8">
    <fb>154.91</fb>
    <v>16</v>
  </rv>
  <rv s="8">
    <fb>153.74</fb>
    <v>16</v>
  </rv>
  <rv s="8">
    <fb>148.9</fb>
    <v>16</v>
  </rv>
  <rv s="8">
    <fb>151.94</fb>
    <v>16</v>
  </rv>
  <rv s="8">
    <fb>152.38999999999999</fb>
    <v>16</v>
  </rv>
  <rv s="8">
    <fb>152.11000000000001</fb>
    <v>16</v>
  </rv>
  <rv s="8">
    <fb>151.71</fb>
    <v>16</v>
  </rv>
  <rv s="8">
    <fb>153.08000000000001</fb>
    <v>16</v>
  </rv>
  <rv s="8">
    <fb>154.47999999999999</fb>
    <v>16</v>
  </rv>
  <rv s="8">
    <fb>153.79</fb>
    <v>16</v>
  </rv>
  <rv s="8">
    <fb>155.57</fb>
    <v>16</v>
  </rv>
  <rv s="8">
    <fb>156.56</fb>
    <v>16</v>
  </rv>
  <rv s="8">
    <fb>155.56</fb>
    <v>16</v>
  </rv>
  <rv s="8">
    <fb>155.28</fb>
    <v>16</v>
  </rv>
  <rv s="8">
    <fb>154.13</fb>
    <v>16</v>
  </rv>
  <rv s="8">
    <fb>155.1</fb>
    <v>16</v>
  </rv>
  <rv s="8">
    <fb>153.52000000000001</fb>
    <v>16</v>
  </rv>
  <rv s="8">
    <fb>157.72</fb>
    <v>16</v>
  </rv>
  <rv s="8">
    <fb>154.04</fb>
    <v>16</v>
  </rv>
  <rv s="8">
    <fb>153.38999999999999</fb>
    <v>16</v>
  </rv>
  <rv s="8">
    <fb>152.66</fb>
    <v>16</v>
  </rv>
  <rv s="8">
    <fb>152.94</fb>
    <v>16</v>
  </rv>
  <rv s="8">
    <fb>155.02000000000001</fb>
    <v>16</v>
  </rv>
  <rv s="8">
    <fb>155.65</fb>
    <v>16</v>
  </rv>
  <rv s="8">
    <fb>156.24</fb>
    <v>16</v>
  </rv>
  <rv s="8">
    <fb>153.32</fb>
    <v>16</v>
  </rv>
  <rv s="8">
    <fb>155.58000000000001</fb>
    <v>16</v>
  </rv>
  <rv s="8">
    <fb>157.62</fb>
    <v>16</v>
  </rv>
  <rv s="8">
    <fb>154.82</fb>
    <v>16</v>
  </rv>
  <rv s="8">
    <fb>153.62</fb>
    <v>16</v>
  </rv>
  <rv s="8">
    <fb>151.69999999999999</fb>
    <v>16</v>
  </rv>
  <rv s="8">
    <fb>150.31</fb>
    <v>16</v>
  </rv>
  <rv s="8">
    <fb>149.97999999999999</fb>
    <v>16</v>
  </rv>
  <rv s="8">
    <fb>149.75</fb>
    <v>16</v>
  </rv>
  <rv s="8">
    <fb>148.53</fb>
    <v>16</v>
  </rv>
  <rv s="8">
    <fb>149.51</fb>
    <v>16</v>
  </rv>
  <rv s="8">
    <fb>151.13</fb>
    <v>16</v>
  </rv>
  <rv s="8">
    <fb>152.54</fb>
    <v>16</v>
  </rv>
  <rv s="8">
    <fb>150.25</fb>
    <v>16</v>
  </rv>
  <rv s="8">
    <fb>151.59</fb>
    <v>16</v>
  </rv>
  <rv s="8">
    <fb>152.26</fb>
    <v>16</v>
  </rv>
  <rv s="8">
    <fb>150</fb>
    <v>16</v>
  </rv>
  <rv s="8">
    <fb>148.71</fb>
    <v>16</v>
  </rv>
  <rv s="8">
    <fb>148.49</fb>
    <v>16</v>
  </rv>
  <rv s="8">
    <fb>150.72</fb>
    <v>16</v>
  </rv>
  <rv s="8">
    <fb>149.99</fb>
    <v>16</v>
  </rv>
  <rv s="8">
    <fb>149.80000000000001</fb>
    <v>16</v>
  </rv>
  <rv s="8">
    <fb>146.75</fb>
    <v>16</v>
  </rv>
  <rv s="8">
    <fb>149.52000000000001</fb>
    <v>16</v>
  </rv>
  <rv s="8">
    <fb>147.69</fb>
    <v>16</v>
  </rv>
  <rv s="8">
    <fb>147.75</fb>
    <v>16</v>
  </rv>
  <rv s="8">
    <fb>150.51</fb>
    <v>16</v>
  </rv>
  <rv s="8">
    <fb>150.5</fb>
    <v>16</v>
  </rv>
  <rv s="8">
    <fb>150.02000000000001</fb>
    <v>16</v>
  </rv>
  <rv s="8">
    <fb>150.99</fb>
    <v>16</v>
  </rv>
  <rv s="8">
    <fb>152.31</fb>
    <v>16</v>
  </rv>
  <rv s="8">
    <fb>152.41</fb>
    <v>16</v>
  </rv>
  <rv s="8">
    <fb>155.9</fb>
    <v>16</v>
  </rv>
  <rv s="8">
    <fb>163.85</fb>
    <v>16</v>
  </rv>
  <rv s="8">
    <fb>156.54</fb>
    <v>16</v>
  </rv>
  <rv s="8">
    <fb>155.19999999999999</fb>
    <v>16</v>
  </rv>
  <rv s="8">
    <fb>159.25</fb>
    <v>16</v>
  </rv>
  <rv s="8">
    <fb>162.11000000000001</fb>
    <v>16</v>
  </rv>
  <rv s="8">
    <fb>162.34</fb>
    <v>16</v>
  </rv>
  <rv s="8">
    <fb>163.87</fb>
    <v>16</v>
  </rv>
  <rv s="8">
    <fb>167.24</fb>
    <v>16</v>
  </rv>
  <rv s="8">
    <fb>166.16</fb>
    <v>16</v>
  </rv>
  <rv s="8">
    <fb>166.26</fb>
    <v>16</v>
  </rv>
  <rv s="8">
    <fb>165.3</fb>
    <v>16</v>
  </rv>
  <rv s="8">
    <fb>166.73</fb>
    <v>16</v>
  </rv>
  <rv s="8">
    <fb>166.66</fb>
    <v>16</v>
  </rv>
  <rv s="8">
    <fb>166.72</fb>
    <v>16</v>
  </rv>
  <rv s="8">
    <fb>167.5</fb>
    <v>16</v>
  </rv>
  <rv s="8">
    <fb>169.05</fb>
    <v>16</v>
  </rv>
  <rv s="8">
    <fb>169.93</fb>
    <v>16</v>
  </rv>
  <rv s="8">
    <fb>171.19</fb>
    <v>16</v>
  </rv>
  <rv s="8">
    <fb>176.9</fb>
    <v>16</v>
  </rv>
  <rv s="8">
    <fb>174.03</fb>
    <v>16</v>
  </rv>
  <rv s="8">
    <fb>178.04</fb>
    <v>16</v>
  </rv>
  <rv s="8">
    <fb>181.23</fb>
    <v>16</v>
  </rv>
  <rv s="8">
    <fb>179.23</fb>
    <v>16</v>
  </rv>
  <rv s="8">
    <fb>180.86</fb>
    <v>16</v>
  </rv>
  <rv s="8">
    <fb>182.6</fb>
    <v>16</v>
  </rv>
  <rv s="8">
    <fb>182.26</fb>
    <v>16</v>
  </rv>
  <rv s="8">
    <fb>185.82</fb>
    <v>16</v>
  </rv>
  <rv s="8">
    <fb>182.4</fb>
    <v>16</v>
  </rv>
  <rv s="8">
    <fb>183.74</fb>
    <v>16</v>
  </rv>
  <rv s="8">
    <fb>180.55</fb>
    <v>16</v>
  </rv>
  <rv s="8">
    <fb>183.87</fb>
    <v>16</v>
  </rv>
  <rv s="8">
    <fb>184.78</fb>
    <v>16</v>
  </rv>
  <rv s="8">
    <fb>183.93</fb>
    <v>16</v>
  </rv>
  <rv s="8">
    <fb>184.91</fb>
    <v>16</v>
  </rv>
  <rv s="8">
    <fb>185.34</fb>
    <v>16</v>
  </rv>
  <rv s="8">
    <fb>184.22</fb>
    <v>16</v>
  </rv>
  <rv s="8">
    <fb>184.16</fb>
    <v>16</v>
  </rv>
  <rv s="8">
    <fb>186.76</fb>
    <v>16</v>
  </rv>
  <rv s="8">
    <fb>189.6</fb>
    <v>16</v>
  </rv>
  <rv s="8">
    <fb>188.77</fb>
    <v>16</v>
  </rv>
  <rv s="8">
    <fb>186.03</fb>
    <v>16</v>
  </rv>
  <rv s="8">
    <fb>189.9</fb>
    <v>16</v>
  </rv>
  <rv s="8">
    <fb>189.94</fb>
    <v>16</v>
  </rv>
  <rv s="8">
    <fb>189.44</fb>
    <v>16</v>
  </rv>
  <rv s="8">
    <fb>186.29</fb>
    <v>16</v>
  </rv>
  <rv s="8">
    <fb>191.79</fb>
    <v>16</v>
  </rv>
  <rv s="8">
    <fb>196.97</fb>
    <v>16</v>
  </rv>
  <rv s="8">
    <fb>196.82</fb>
    <v>16</v>
  </rv>
  <rv s="8">
    <fb>196.84</fb>
    <v>16</v>
  </rv>
  <rv s="8">
    <fb>197.97</fb>
    <v>16</v>
  </rv>
  <rv s="8">
    <fb>198.61</fb>
    <v>16</v>
  </rv>
  <rv s="8">
    <fb>201.44</fb>
    <v>16</v>
  </rv>
  <rv s="8">
    <fb>201.73</fb>
    <v>16</v>
  </rv>
  <rv s="8">
    <fb>205.21</fb>
    <v>16</v>
  </rv>
  <rv s="8">
    <fb>206.79</fb>
    <v>16</v>
  </rv>
  <rv s="8">
    <fb>205.15</fb>
    <v>16</v>
  </rv>
  <rv s="8">
    <fb>207.79</fb>
    <v>16</v>
  </rv>
  <rv s="8">
    <fb>211.15</fb>
    <v>16</v>
  </rv>
  <rv s="8">
    <fb>210.71</fb>
    <v>16</v>
  </rv>
  <rv s="8">
    <fb>206.9</fb>
    <v>16</v>
  </rv>
  <rv s="8">
    <fb>197.41</fb>
    <v>16</v>
  </rv>
  <rv s="8">
    <fb>63.05</fb>
    <v>16</v>
  </rv>
  <rv s="8">
    <fb>58.13</fb>
    <v>16</v>
  </rv>
  <rv s="8">
    <fb>58.85</fb>
    <v>16</v>
  </rv>
  <rv s="8">
    <fb>58.77</fb>
    <v>16</v>
  </rv>
  <rv s="8">
    <fb>64.150000000000006</fb>
    <v>16</v>
  </rv>
  <rv s="8">
    <fb>61.59</fb>
    <v>16</v>
  </rv>
  <rv s="8">
    <fb>61.64</fb>
    <v>16</v>
  </rv>
  <rv s="8">
    <fb>63.22</fb>
    <v>16</v>
  </rv>
  <rv s="8">
    <fb>64.33</fb>
    <v>16</v>
  </rv>
  <rv s="8">
    <fb>62.1</fb>
    <v>16</v>
  </rv>
  <rv s="8">
    <fb>63.25</fb>
    <v>16</v>
  </rv>
  <rv s="8">
    <fb>62.69</fb>
    <v>16</v>
  </rv>
  <rv s="8">
    <fb>64.55</fb>
    <v>16</v>
  </rv>
  <rv s="8">
    <fb>66.3</fb>
    <v>16</v>
  </rv>
  <rv s="8">
    <fb>68.16</fb>
    <v>16</v>
  </rv>
  <rv s="8">
    <fb>68.430000000000007</fb>
    <v>16</v>
  </rv>
  <rv s="8">
    <fb>68.28</fb>
    <v>16</v>
  </rv>
  <rv s="8">
    <fb>68.88</fb>
    <v>16</v>
  </rv>
  <rv s="8">
    <fb>68.38</fb>
    <v>16</v>
  </rv>
  <rv s="8">
    <fb>68.14</fb>
    <v>16</v>
  </rv>
  <rv s="8">
    <fb>70.59</fb>
    <v>16</v>
  </rv>
  <rv s="8">
    <fb>70.239999999999995</fb>
    <v>16</v>
  </rv>
  <rv s="8">
    <fb>69.47</fb>
    <v>16</v>
  </rv>
  <rv s="8">
    <fb>70.25</fb>
    <v>16</v>
  </rv>
  <rv s="8">
    <fb>71.64</fb>
    <v>16</v>
  </rv>
  <rv s="8">
    <fb>71.45</fb>
    <v>16</v>
  </rv>
  <rv s="8">
    <fb>74.91</fb>
    <v>16</v>
  </rv>
  <rv s="8">
    <fb>75.569999999999993</fb>
    <v>16</v>
  </rv>
  <rv s="8">
    <fb>75.290000000000006</fb>
    <v>16</v>
  </rv>
  <rv s="8">
    <fb>75.959999999999994</fb>
    <v>16</v>
  </rv>
  <rv s="8">
    <fb>75.72</fb>
    <v>16</v>
  </rv>
  <rv s="8">
    <fb>76.13</fb>
    <v>16</v>
  </rv>
  <rv s="8">
    <fb>75.900000000000006</fb>
    <v>16</v>
  </rv>
  <rv s="8">
    <fb>73.42</fb>
    <v>16</v>
  </rv>
  <rv s="8">
    <fb>73.09</fb>
    <v>16</v>
  </rv>
  <rv s="8">
    <fb>75.47</fb>
    <v>16</v>
  </rv>
  <rv s="8">
    <fb>75.03</fb>
    <v>16</v>
  </rv>
  <rv s="8">
    <fb>75.53</fb>
    <v>16</v>
  </rv>
  <rv s="8">
    <fb>75.319999999999993</fb>
    <v>16</v>
  </rv>
  <rv s="8">
    <fb>75.8</fb>
    <v>16</v>
  </rv>
  <rv s="8">
    <fb>76.53</fb>
    <v>16</v>
  </rv>
  <rv s="8">
    <fb>76.400000000000006</fb>
    <v>16</v>
  </rv>
  <rv s="8">
    <fb>76.67</fb>
    <v>16</v>
  </rv>
  <rv s="8">
    <fb>78.260000000000005</fb>
    <v>16</v>
  </rv>
  <rv s="8">
    <fb>78.17</fb>
    <v>16</v>
  </rv>
  <rv s="8">
    <fb>78.03</fb>
    <v>16</v>
  </rv>
  <rv s="8">
    <fb>78.38</fb>
    <v>16</v>
  </rv>
  <rv s="8">
    <fb>78.23</fb>
    <v>16</v>
  </rv>
  <rv s="8">
    <fb>76.36</fb>
    <v>16</v>
  </rv>
  <rv s="8">
    <fb>78.069999999999993</fb>
    <v>16</v>
  </rv>
  <rv s="8">
    <fb>77.36</fb>
    <v>16</v>
  </rv>
  <rv s="8">
    <fb>78.349999999999994</fb>
    <v>16</v>
  </rv>
  <rv s="8">
    <fb>78.45</fb>
    <v>16</v>
  </rv>
  <rv s="8">
    <fb>79.36</fb>
    <v>16</v>
  </rv>
  <rv s="8">
    <fb>81.14</fb>
    <v>16</v>
  </rv>
  <rv s="8">
    <fb>82.63</fb>
    <v>16</v>
  </rv>
  <rv s="8">
    <fb>84.37</fb>
    <v>16</v>
  </rv>
  <rv s="8">
    <fb>84.38</fb>
    <v>16</v>
  </rv>
  <rv s="8">
    <fb>85.12</fb>
    <v>16</v>
  </rv>
  <rv s="8">
    <fb>86.27</fb>
    <v>16</v>
  </rv>
  <rv s="8">
    <fb>86.76</fb>
    <v>16</v>
  </rv>
  <rv s="8">
    <fb>88.72</fb>
    <v>16</v>
  </rv>
  <rv s="8">
    <fb>87.6</fb>
    <v>16</v>
  </rv>
  <rv s="8">
    <fb>85.57</fb>
    <v>16</v>
  </rv>
  <rv s="8">
    <fb>85.79</fb>
    <v>16</v>
  </rv>
  <rv s="8">
    <fb>87.08</fb>
    <v>16</v>
  </rv>
  <rv s="8">
    <fb>86.73</fb>
    <v>16</v>
  </rv>
  <rv s="8">
    <fb>90.72</fb>
    <v>16</v>
  </rv>
  <rv s="8">
    <fb>90.02</fb>
    <v>16</v>
  </rv>
  <rv s="8">
    <fb>93.09</fb>
    <v>16</v>
  </rv>
  <rv s="8">
    <fb>93.45</fb>
    <v>16</v>
  </rv>
  <rv s="8">
    <fb>92.65</fb>
    <v>16</v>
  </rv>
  <rv s="8">
    <fb>94</fb>
    <v>16</v>
  </rv>
  <rv s="8">
    <fb>95.99</fb>
    <v>16</v>
  </rv>
  <rv s="8">
    <fb>95.39</fb>
    <v>16</v>
  </rv>
  <rv s="8">
    <fb>96.07</fb>
    <v>16</v>
  </rv>
  <rv s="8">
    <fb>95.55</fb>
    <v>16</v>
  </rv>
  <rv s="8">
    <fb>94.48</fb>
    <v>16</v>
  </rv>
  <rv s="8">
    <fb>95.81</fb>
    <v>16</v>
  </rv>
  <rv s="8">
    <fb>93.7</fb>
    <v>16</v>
  </rv>
  <rv s="8">
    <fb>91.83</fb>
    <v>16</v>
  </rv>
  <rv s="8">
    <fb>92.08</fb>
    <v>16</v>
  </rv>
  <rv s="8">
    <fb>91.52</fb>
    <v>16</v>
  </rv>
  <rv s="8">
    <fb>92.23</fb>
    <v>16</v>
  </rv>
  <rv s="8">
    <fb>91.23</fb>
    <v>16</v>
  </rv>
  <rv s="8">
    <fb>92.73</fb>
    <v>16</v>
  </rv>
  <rv s="8">
    <fb>92.31</fb>
    <v>16</v>
  </rv>
  <rv s="8">
    <fb>95.74</fb>
    <v>16</v>
  </rv>
  <rv s="8">
    <fb>94.65</fb>
    <v>16</v>
  </rv>
  <rv s="8">
    <fb>95.46</fb>
    <v>16</v>
  </rv>
  <rv s="8">
    <fb>93.69</fb>
    <v>16</v>
  </rv>
  <rv s="8">
    <fb>94.22</fb>
    <v>16</v>
  </rv>
  <rv s="8">
    <fb>93.74</fb>
    <v>16</v>
  </rv>
  <rv s="8">
    <fb>93.17</fb>
    <v>16</v>
  </rv>
  <rv s="8">
    <fb>92.59</fb>
    <v>16</v>
  </rv>
  <rv s="8">
    <fb>95.26</fb>
    <v>16</v>
  </rv>
  <rv s="8">
    <fb>95</fb>
    <v>16</v>
  </rv>
  <rv s="8">
    <fb>95.72</fb>
    <v>16</v>
  </rv>
  <rv s="8">
    <fb>96.87</fb>
    <v>16</v>
  </rv>
  <rv s="8">
    <fb>96.82</fb>
    <v>16</v>
  </rv>
  <rv s="8">
    <fb>96.57</fb>
    <v>16</v>
  </rv>
  <rv s="8">
    <fb>94.78</fb>
    <v>16</v>
  </rv>
  <rv s="8">
    <fb>95.03</fb>
    <v>16</v>
  </rv>
  <rv s="8">
    <fb>97.08</fb>
    <v>16</v>
  </rv>
  <rv s="8">
    <fb>95.4</fb>
    <v>16</v>
  </rv>
  <rv s="8">
    <fb>95.87</fb>
    <v>16</v>
  </rv>
  <rv s="8">
    <fb>97.34</fb>
    <v>16</v>
  </rv>
  <rv s="8">
    <fb>97.17</fb>
    <v>16</v>
  </rv>
  <rv s="8">
    <fb>98.82</fb>
    <v>16</v>
  </rv>
  <rv s="8">
    <fb>99.44</fb>
    <v>16</v>
  </rv>
  <rv s="8">
    <fb>99.79</fb>
    <v>16</v>
  </rv>
  <rv s="8">
    <fb>100.64</fb>
    <v>16</v>
  </rv>
  <rv s="8">
    <fb>101.76</fb>
    <v>16</v>
  </rv>
  <rv s="8">
    <fb>102.41</fb>
    <v>16</v>
  </rv>
  <rv s="8">
    <fb>102.68</fb>
    <v>16</v>
  </rv>
  <rv s="8">
    <fb>103.49</fb>
    <v>16</v>
  </rv>
  <rv s="8">
    <fb>103</fb>
    <v>16</v>
  </rv>
  <rv s="8">
    <fb>101.65</fb>
    <v>16</v>
  </rv>
  <rv s="8">
    <fb>102.11</fb>
    <v>16</v>
  </rv>
  <rv s="8">
    <fb>103.42</fb>
    <v>16</v>
  </rv>
  <rv s="8">
    <fb>103.16</fb>
    <v>16</v>
  </rv>
  <rv s="8">
    <fb>101.5</fb>
    <v>16</v>
  </rv>
  <rv s="8">
    <fb>98.71</fb>
    <v>16</v>
  </rv>
  <rv s="8">
    <fb>97.74</fb>
    <v>16</v>
  </rv>
  <rv s="8">
    <fb>98.05</fb>
    <v>16</v>
  </rv>
  <rv s="8">
    <fb>97.8</fb>
    <v>16</v>
  </rv>
  <rv s="8">
    <fb>96.7</fb>
    <v>16</v>
  </rv>
  <rv s="8">
    <fb>95.92</fb>
    <v>16</v>
  </rv>
  <rv s="8">
    <fb>93.93</fb>
    <v>16</v>
  </rv>
  <rv s="8">
    <fb>96.1</fb>
    <v>16</v>
  </rv>
  <rv s="8">
    <fb>99.84</fb>
    <v>16</v>
  </rv>
  <rv s="8">
    <fb>99.78</fb>
    <v>16</v>
  </rv>
  <rv s="8">
    <fb>96.26</fb>
    <v>16</v>
  </rv>
  <rv s="8">
    <fb>97.07</fb>
    <v>16</v>
  </rv>
  <rv s="8">
    <fb>99.3</fb>
    <v>16</v>
  </rv>
  <rv s="8">
    <fb>98.25</fb>
    <v>16</v>
  </rv>
  <rv s="8">
    <fb>96.3</fb>
    <v>16</v>
  </rv>
  <rv s="8">
    <fb>96.69</fb>
    <v>16</v>
  </rv>
  <rv s="8">
    <fb>98.78</fb>
    <v>16</v>
  </rv>
  <rv s="8">
    <fb>100.99</fb>
    <v>16</v>
  </rv>
  <rv s="8">
    <fb>101.39</fb>
    <v>16</v>
  </rv>
  <rv s="8">
    <fb>99.12</fb>
    <v>16</v>
  </rv>
  <rv s="8">
    <fb>100.22</fb>
    <v>16</v>
  </rv>
  <rv s="8">
    <fb>101.23</fb>
    <v>16</v>
  </rv>
  <rv s="8">
    <fb>101.61</fb>
    <v>16</v>
  </rv>
  <rv s="8">
    <fb>101.01</fb>
    <v>16</v>
  </rv>
  <rv s="8">
    <fb>101.69</fb>
    <v>16</v>
  </rv>
  <rv s="8">
    <fb>100.85</fb>
    <v>16</v>
  </rv>
  <rv s="8">
    <fb>100.79</fb>
    <v>16</v>
  </rv>
  <rv s="8">
    <fb>101.49</fb>
    <v>16</v>
  </rv>
  <rv s="8">
    <fb>100.76</fb>
    <v>16</v>
  </rv>
  <rv s="8">
    <fb>102.87</fb>
    <v>16</v>
  </rv>
  <rv s="8">
    <fb>100.67</fb>
    <v>16</v>
  </rv>
  <rv s="8">
    <fb>100.3</fb>
    <v>16</v>
  </rv>
  <rv s="8">
    <fb>98.19</fb>
    <v>16</v>
  </rv>
  <rv s="8">
    <fb>98.32</fb>
    <v>16</v>
  </rv>
  <rv s="8">
    <fb>99.83</fb>
    <v>16</v>
  </rv>
  <rv s="8">
    <fb>97.63</fb>
    <v>16</v>
  </rv>
  <rv s="8">
    <fb>98.7</fb>
    <v>16</v>
  </rv>
  <rv s="8">
    <fb>99.69</fb>
    <v>16</v>
  </rv>
  <rv s="8">
    <fb>101.17</fb>
    <v>16</v>
  </rv>
  <rv s="8">
    <fb>102.5</fb>
    <v>16</v>
  </rv>
  <rv s="8">
    <fb>103.6</fb>
    <v>16</v>
  </rv>
  <rv s="8">
    <fb>103.19</fb>
    <v>16</v>
  </rv>
  <rv s="8">
    <fb>106.72</fb>
    <v>16</v>
  </rv>
  <rv s="8">
    <fb>107.79</fb>
    <v>16</v>
  </rv>
  <rv s="8">
    <fb>108.88</fb>
    <v>16</v>
  </rv>
  <rv s="8">
    <fb>108.92</fb>
    <v>16</v>
  </rv>
  <rv s="8">
    <fb>109.43</fb>
    <v>16</v>
  </rv>
  <rv s="8">
    <fb>111.09</fb>
    <v>16</v>
  </rv>
  <rv s="8">
    <fb>111.74</fb>
    <v>16</v>
  </rv>
  <rv s="8">
    <fb>111.8</fb>
    <v>16</v>
  </rv>
  <rv s="8">
    <fb>112.8</fb>
    <v>16</v>
  </rv>
  <rv s="8">
    <fb>111.28</fb>
    <v>16</v>
  </rv>
  <rv s="8">
    <fb>111.46</fb>
    <v>16</v>
  </rv>
  <rv s="8">
    <fb>112.83</fb>
    <v>16</v>
  </rv>
  <rv s="8">
    <fb>114.86</fb>
    <v>16</v>
  </rv>
  <rv s="8">
    <fb>118.09</fb>
    <v>16</v>
  </rv>
  <rv s="8">
    <fb>119.4</fb>
    <v>16</v>
  </rv>
  <rv s="8">
    <fb>121.56</fb>
    <v>16</v>
  </rv>
  <rv s="8">
    <fb>120.42</fb>
    <v>16</v>
  </rv>
  <rv s="8">
    <fb>118.13</fb>
    <v>16</v>
  </rv>
  <rv s="8">
    <fb>117.21</fb>
    <v>16</v>
  </rv>
  <rv s="8">
    <fb>116.69</fb>
    <v>16</v>
  </rv>
  <rv s="8">
    <fb>118.7</fb>
    <v>16</v>
  </rv>
  <rv s="8">
    <fb>123.3</fb>
    <v>16</v>
  </rv>
  <rv s="8">
    <fb>122.5</fb>
    <v>16</v>
  </rv>
  <rv s="8">
    <fb>121.37</fb>
    <v>16</v>
  </rv>
  <rv s="8">
    <fb>120.6</fb>
    <v>16</v>
  </rv>
  <rv s="8">
    <fb>121.32</fb>
    <v>16</v>
  </rv>
  <rv s="8">
    <fb>117.7</fb>
    <v>16</v>
  </rv>
  <rv s="8">
    <fb>116.3</fb>
    <v>16</v>
  </rv>
  <rv s="8">
    <fb>112.41</fb>
    <v>16</v>
  </rv>
  <rv s="8">
    <fb>117.46</fb>
    <v>16</v>
  </rv>
  <rv s="8">
    <fb>118.04</fb>
    <v>16</v>
  </rv>
  <rv s="8">
    <fb>113.86</fb>
    <v>16</v>
  </rv>
  <rv s="8">
    <fb>115.66</fb>
    <v>16</v>
  </rv>
  <rv s="8">
    <fb>113.59</fb>
    <v>16</v>
  </rv>
  <rv s="8">
    <fb>114.82</fb>
    <v>16</v>
  </rv>
  <rv s="8">
    <fb>114.79</fb>
    <v>16</v>
  </rv>
  <rv s="8">
    <fb>114.2</fb>
    <v>16</v>
  </rv>
  <rv s="8">
    <fb>115.2</fb>
    <v>16</v>
  </rv>
  <rv s="8">
    <fb>115.71</fb>
    <v>16</v>
  </rv>
  <rv s="8">
    <fb>116.23</fb>
    <v>16</v>
  </rv>
  <rv s="8">
    <fb>117.71</fb>
    <v>16</v>
  </rv>
  <rv s="8">
    <fb>117.43</fb>
    <v>16</v>
  </rv>
  <rv s="8">
    <fb>115.74</fb>
    <v>16</v>
  </rv>
  <rv s="8">
    <fb>122.69</fb>
    <v>16</v>
  </rv>
  <rv s="8">
    <fb>123.77</fb>
    <v>16</v>
  </rv>
  <rv s="8">
    <fb>122.15</fb>
    <v>16</v>
  </rv>
  <rv s="8">
    <fb>117.39</fb>
    <v>16</v>
  </rv>
  <rv s="8">
    <fb>111.15</fb>
    <v>16</v>
  </rv>
  <rv s="8">
    <fb>110.86</fb>
    <v>16</v>
  </rv>
  <rv s="8">
    <fb>113.78</fb>
    <v>16</v>
  </rv>
  <rv s="8">
    <fb>116.27</fb>
    <v>16</v>
  </rv>
  <rv s="8">
    <fb>115.55</fb>
    <v>16</v>
  </rv>
  <rv s="8">
    <fb>116</fb>
    <v>16</v>
  </rv>
  <rv s="8">
    <fb>110.75</fb>
    <v>16</v>
  </rv>
  <rv s="8">
    <fb>109.56</fb>
    <v>16</v>
  </rv>
  <rv s="8">
    <fb>114.34</fb>
    <v>16</v>
  </rv>
  <rv s="8">
    <fb>110.19</fb>
    <v>16</v>
  </rv>
  <rv s="8">
    <fb>111.45</fb>
    <v>16</v>
  </rv>
  <rv s="8">
    <fb>110.76</fb>
    <v>16</v>
  </rv>
  <rv s="8">
    <fb>111.32</fb>
    <v>16</v>
  </rv>
  <rv s="8">
    <fb>108.95</fb>
    <v>16</v>
  </rv>
  <rv s="8">
    <fb>106.53</fb>
    <v>16</v>
  </rv>
  <rv s="8">
    <fb>106.59</fb>
    <v>16</v>
  </rv>
  <rv s="8">
    <fb>108.97</fb>
    <v>16</v>
  </rv>
  <rv s="8">
    <fb>109.19</fb>
    <v>16</v>
  </rv>
  <rv s="8">
    <fb>105.5</fb>
    <v>16</v>
  </rv>
  <rv s="8">
    <fb>105.69</fb>
    <v>16</v>
  </rv>
  <rv s="8">
    <fb>107.35</fb>
    <v>16</v>
  </rv>
  <rv s="8">
    <fb>107.71</fb>
    <v>16</v>
  </rv>
  <rv s="8">
    <fb>108.67</fb>
    <v>16</v>
  </rv>
  <rv s="8">
    <fb>109.85</fb>
    <v>16</v>
  </rv>
  <rv s="8">
    <fb>109.52</fb>
    <v>16</v>
  </rv>
  <rv s="8">
    <fb>111.64</fb>
    <v>16</v>
  </rv>
  <rv s="8">
    <fb>113.74</fb>
    <v>16</v>
  </rv>
  <rv s="8">
    <fb>114.48</fb>
    <v>16</v>
  </rv>
  <rv s="8">
    <fb>107.38</fb>
    <v>16</v>
  </rv>
  <rv s="8">
    <fb>107.27</fb>
    <v>16</v>
  </rv>
  <rv s="8">
    <fb>113.41</fb>
    <v>16</v>
  </rv>
  <rv s="8">
    <fb>115.3</fb>
    <v>16</v>
  </rv>
  <rv s="8">
    <fb>9.5399999999999991</fb>
    <v>16</v>
  </rv>
  <rv s="8">
    <fb>9.58</fb>
    <v>16</v>
  </rv>
  <rv s="8">
    <fb>9.24</fb>
    <v>16</v>
  </rv>
  <rv s="8">
    <fb>8.69</fb>
    <v>16</v>
  </rv>
  <rv s="8">
    <fb>9.5</fb>
    <v>16</v>
  </rv>
  <rv s="8">
    <fb>9.14</fb>
    <v>16</v>
  </rv>
  <rv s="8">
    <fb>9.33</fb>
    <v>16</v>
  </rv>
  <rv s="8">
    <fb>9.7100000000000009</fb>
    <v>16</v>
  </rv>
  <rv s="8">
    <fb>9.4499999999999993</fb>
    <v>16</v>
  </rv>
  <rv s="8">
    <fb>9.4</fb>
    <v>16</v>
  </rv>
  <rv s="8">
    <fb>9.6300000000000008</fb>
    <v>16</v>
  </rv>
  <rv s="8">
    <fb>9.4700000000000006</fb>
    <v>16</v>
  </rv>
  <rv s="8">
    <fb>9.65</fb>
    <v>16</v>
  </rv>
  <rv s="8">
    <fb>9.7799999999999994</fb>
    <v>16</v>
  </rv>
  <rv s="8">
    <fb>10.06</fb>
    <v>16</v>
  </rv>
  <rv s="8">
    <fb>10.039999999999999</fb>
    <v>16</v>
  </rv>
  <rv s="8">
    <fb>10.02</fb>
    <v>16</v>
  </rv>
  <rv s="8">
    <fb>10.15</fb>
    <v>16</v>
  </rv>
  <rv s="8">
    <fb>10.01</fb>
    <v>16</v>
  </rv>
  <rv s="8">
    <fb>10.18</fb>
    <v>16</v>
  </rv>
  <rv s="8">
    <fb>10.28</fb>
    <v>16</v>
  </rv>
  <rv s="8">
    <fb>10.17</fb>
    <v>16</v>
  </rv>
  <rv s="8">
    <fb>10.44</fb>
    <v>16</v>
  </rv>
  <rv s="8">
    <fb>10.43</fb>
    <v>16</v>
  </rv>
  <rv s="8">
    <fb>10.55</fb>
    <v>16</v>
  </rv>
  <rv s="8">
    <fb>10.6</fb>
    <v>16</v>
  </rv>
  <rv s="8">
    <fb>10.65</fb>
    <v>16</v>
  </rv>
  <rv s="8">
    <fb>10.75</fb>
    <v>16</v>
  </rv>
  <rv s="8">
    <fb>10.8</fb>
    <v>16</v>
  </rv>
  <rv s="8">
    <fb>10.72</fb>
    <v>16</v>
  </rv>
  <rv s="8">
    <fb>10.48</fb>
    <v>16</v>
  </rv>
  <rv s="8">
    <fb>10.36</fb>
    <v>16</v>
  </rv>
  <rv s="8">
    <fb>10.31</fb>
    <v>16</v>
  </rv>
  <rv s="8">
    <fb>10.220000000000001</fb>
    <v>16</v>
  </rv>
  <rv s="8">
    <fb>10.38</fb>
    <v>16</v>
  </rv>
  <rv s="8">
    <fb>9.98</fb>
    <v>16</v>
  </rv>
  <rv s="8">
    <fb>10.19</fb>
    <v>16</v>
  </rv>
  <rv s="8">
    <fb>10.24</fb>
    <v>16</v>
  </rv>
  <rv s="8">
    <fb>10.1</fb>
    <v>16</v>
  </rv>
  <rv s="8">
    <fb>10.26</fb>
    <v>16</v>
  </rv>
  <rv s="8">
    <fb>10.34</fb>
    <v>16</v>
  </rv>
  <rv s="8">
    <fb>10.66</fb>
    <v>16</v>
  </rv>
  <rv s="8">
    <fb>10.53</fb>
    <v>16</v>
  </rv>
  <rv s="8">
    <fb>10.62</fb>
    <v>16</v>
  </rv>
  <rv s="8">
    <fb>10.42</fb>
    <v>16</v>
  </rv>
  <rv s="8">
    <fb>10.59</fb>
    <v>16</v>
  </rv>
  <rv s="8">
    <fb>10.73</fb>
    <v>16</v>
  </rv>
  <rv s="8">
    <fb>10.63</fb>
    <v>16</v>
  </rv>
  <rv s="8">
    <fb>10.85</fb>
    <v>16</v>
  </rv>
  <rv s="8">
    <fb>11.35</fb>
    <v>16</v>
  </rv>
  <rv s="8">
    <fb>11.77</fb>
    <v>16</v>
  </rv>
  <rv s="8">
    <fb>11.81</fb>
    <v>16</v>
  </rv>
  <rv s="8">
    <fb>11.59</fb>
    <v>16</v>
  </rv>
  <rv s="8">
    <fb>11.68</fb>
    <v>16</v>
  </rv>
  <rv s="8">
    <fb>11.83</fb>
    <v>16</v>
  </rv>
  <rv s="8">
    <fb>11.91</fb>
    <v>16</v>
  </rv>
  <rv s="8">
    <fb>11.78</fb>
    <v>16</v>
  </rv>
  <rv s="8">
    <fb>11.88</fb>
    <v>16</v>
  </rv>
  <rv s="8">
    <fb>11.57</fb>
    <v>16</v>
  </rv>
  <rv s="8">
    <fb>11.24</fb>
    <v>16</v>
  </rv>
  <rv s="8">
    <fb>11.15</fb>
    <v>16</v>
  </rv>
  <rv s="8">
    <fb>11.16</fb>
    <v>16</v>
  </rv>
  <rv s="8">
    <fb>11.31</fb>
    <v>16</v>
  </rv>
  <rv s="8">
    <fb>11.19</fb>
    <v>16</v>
  </rv>
  <rv s="8">
    <fb>11.38</fb>
    <v>16</v>
  </rv>
  <rv s="8">
    <fb>11.26</fb>
    <v>16</v>
  </rv>
  <rv s="8">
    <fb>11.47</fb>
    <v>16</v>
  </rv>
  <rv s="8">
    <fb>11.28</fb>
    <v>16</v>
  </rv>
  <rv s="8">
    <fb>11.08</fb>
    <v>16</v>
  </rv>
  <rv s="8">
    <fb>10.87</fb>
    <v>16</v>
  </rv>
  <rv s="8">
    <fb>11.07</fb>
    <v>16</v>
  </rv>
  <rv s="8">
    <fb>10.82</fb>
    <v>16</v>
  </rv>
  <rv s="8">
    <fb>10.95</fb>
    <v>16</v>
  </rv>
  <rv s="8">
    <fb>11.06</fb>
    <v>16</v>
  </rv>
  <rv s="8">
    <fb>11.21</fb>
    <v>16</v>
  </rv>
  <rv s="8">
    <fb>11.32</fb>
    <v>16</v>
  </rv>
  <rv s="8">
    <fb>11.14</fb>
    <v>16</v>
  </rv>
  <rv s="8">
    <fb>11.25</fb>
    <v>16</v>
  </rv>
  <rv s="8">
    <fb>11.44</fb>
    <v>16</v>
  </rv>
  <rv s="8">
    <fb>11.46</fb>
    <v>16</v>
  </rv>
  <rv s="8">
    <fb>11.58</fb>
    <v>16</v>
  </rv>
  <rv s="8">
    <fb>11.49</fb>
    <v>16</v>
  </rv>
  <rv s="8">
    <fb>11.33</fb>
    <v>16</v>
  </rv>
  <rv s="8">
    <fb>11.74</fb>
    <v>16</v>
  </rv>
  <rv s="8">
    <fb>11.82</fb>
    <v>16</v>
  </rv>
  <rv s="8">
    <fb>11.84</fb>
    <v>16</v>
  </rv>
  <rv s="8">
    <fb>11.71</fb>
    <v>16</v>
  </rv>
  <rv s="8">
    <fb>11.72</fb>
    <v>16</v>
  </rv>
  <rv s="8">
    <fb>11.62</fb>
    <v>16</v>
  </rv>
  <rv s="8">
    <fb>11.69</fb>
    <v>16</v>
  </rv>
  <rv s="8">
    <fb>11.42</fb>
    <v>16</v>
  </rv>
  <rv s="8">
    <fb>11.76</fb>
    <v>16</v>
  </rv>
  <rv s="8">
    <fb>11.61</fb>
    <v>16</v>
  </rv>
  <rv s="8">
    <fb>11.66</fb>
    <v>16</v>
  </rv>
  <rv s="8">
    <fb>11.73</fb>
    <v>16</v>
  </rv>
  <rv s="8">
    <fb>11.63</fb>
    <v>16</v>
  </rv>
  <rv s="8">
    <fb>12.01</fb>
    <v>16</v>
  </rv>
  <rv s="8">
    <fb>12.09</fb>
    <v>16</v>
  </rv>
  <rv s="8">
    <fb>11.96</fb>
    <v>16</v>
  </rv>
  <rv s="8">
    <fb>12.27</fb>
    <v>16</v>
  </rv>
  <rv s="8">
    <fb>12.22</fb>
    <v>16</v>
  </rv>
  <rv s="8">
    <fb>12.67</fb>
    <v>16</v>
  </rv>
  <rv s="8">
    <fb>12.7</fb>
    <v>16</v>
  </rv>
  <rv s="8">
    <fb>11.92</fb>
    <v>16</v>
  </rv>
  <rv s="8">
    <fb>11.5</fb>
    <v>16</v>
  </rv>
  <rv s="8">
    <fb>11.41</fb>
    <v>16</v>
  </rv>
  <rv s="8">
    <fb>11.54</fb>
    <v>16</v>
  </rv>
  <rv s="8">
    <fb>11.65</fb>
    <v>16</v>
  </rv>
  <rv s="8">
    <fb>11.99</fb>
    <v>16</v>
  </rv>
  <rv s="8">
    <fb>12.56</fb>
    <v>16</v>
  </rv>
  <rv s="8">
    <fb>12.43</fb>
    <v>16</v>
  </rv>
  <rv s="8">
    <fb>12.34</fb>
    <v>16</v>
  </rv>
  <rv s="8">
    <fb>13.84</fb>
    <v>16</v>
  </rv>
  <rv s="8">
    <fb>13.26</fb>
    <v>16</v>
  </rv>
  <rv s="8">
    <fb>13.13</fb>
    <v>16</v>
  </rv>
  <rv s="8">
    <fb>13.24</fb>
    <v>16</v>
  </rv>
  <rv s="8">
    <fb>13.06</fb>
    <v>16</v>
  </rv>
  <rv s="8">
    <fb>13.01</fb>
    <v>16</v>
  </rv>
  <rv s="8">
    <fb>12.79</fb>
    <v>16</v>
  </rv>
  <rv s="8">
    <fb>13.11</fb>
    <v>16</v>
  </rv>
  <rv s="8">
    <fb>13.12</fb>
    <v>16</v>
  </rv>
  <rv s="8">
    <fb>13.21</fb>
    <v>16</v>
  </rv>
  <rv s="8">
    <fb>13.16</fb>
    <v>16</v>
  </rv>
  <rv s="8">
    <fb>13.3</fb>
    <v>16</v>
  </rv>
  <rv s="8">
    <fb>13.45</fb>
    <v>16</v>
  </rv>
  <rv s="8">
    <fb>13.28</fb>
    <v>16</v>
  </rv>
  <rv s="8">
    <fb>13.19</fb>
    <v>16</v>
  </rv>
  <rv s="8">
    <fb>12.88</fb>
    <v>16</v>
  </rv>
  <rv s="8">
    <fb>13.02</fb>
    <v>16</v>
  </rv>
  <rv s="8">
    <fb>12.9</fb>
    <v>16</v>
  </rv>
  <rv s="8">
    <fb>12.41</fb>
    <v>16</v>
  </rv>
  <rv s="8">
    <fb>12.83</fb>
    <v>16</v>
  </rv>
  <rv s="8">
    <fb>12.96</fb>
    <v>16</v>
  </rv>
  <rv s="8">
    <fb>13.17</fb>
    <v>16</v>
  </rv>
  <rv s="8">
    <fb>13.09</fb>
    <v>16</v>
  </rv>
  <rv s="8">
    <fb>13.14</fb>
    <v>16</v>
  </rv>
  <rv s="8">
    <fb>13.03</fb>
    <v>16</v>
  </rv>
  <rv s="8">
    <fb>13.08</fb>
    <v>16</v>
  </rv>
  <rv s="8">
    <fb>13.41</fb>
    <v>16</v>
  </rv>
  <rv s="8">
    <fb>13.63</fb>
    <v>16</v>
  </rv>
  <rv s="8">
    <fb>13.76</fb>
    <v>16</v>
  </rv>
  <rv s="8">
    <fb>13.65</fb>
    <v>16</v>
  </rv>
  <rv s="8">
    <fb>13.67</fb>
    <v>16</v>
  </rv>
  <rv s="8">
    <fb>13.31</fb>
    <v>16</v>
  </rv>
  <rv s="8">
    <fb>13.32</fb>
    <v>16</v>
  </rv>
  <rv s="8">
    <fb>13.47</fb>
    <v>16</v>
  </rv>
  <rv s="8">
    <fb>13.46</fb>
    <v>16</v>
  </rv>
  <rv s="8">
    <fb>13.29</fb>
    <v>16</v>
  </rv>
  <rv s="8">
    <fb>13.36</fb>
    <v>16</v>
  </rv>
  <rv s="8">
    <fb>13.23</fb>
    <v>16</v>
  </rv>
  <rv s="8">
    <fb>13.34</fb>
    <v>16</v>
  </rv>
  <rv s="8">
    <fb>13.8</fb>
    <v>16</v>
  </rv>
  <rv s="8">
    <fb>13.74</fb>
    <v>16</v>
  </rv>
  <rv s="8">
    <fb>14.4</fb>
    <v>16</v>
  </rv>
  <rv s="8">
    <fb>14.2</fb>
    <v>16</v>
  </rv>
  <rv s="8">
    <fb>14.03</fb>
    <v>16</v>
  </rv>
  <rv s="8">
    <fb>13.98</fb>
    <v>16</v>
  </rv>
  <rv s="8">
    <fb>13.81</fb>
    <v>16</v>
  </rv>
  <rv s="8">
    <fb>13.6</fb>
    <v>16</v>
  </rv>
  <rv s="8">
    <fb>13.77</fb>
    <v>16</v>
  </rv>
  <rv s="8">
    <fb>13.71</fb>
    <v>16</v>
  </rv>
  <rv s="8">
    <fb>13.56</fb>
    <v>16</v>
  </rv>
  <rv s="8">
    <fb>13.44</fb>
    <v>16</v>
  </rv>
  <rv s="8">
    <fb>13.93</fb>
    <v>16</v>
  </rv>
  <rv s="8">
    <fb>13.82</fb>
    <v>16</v>
  </rv>
  <rv s="8">
    <fb>14</fb>
    <v>16</v>
  </rv>
  <rv s="8">
    <fb>13.88</fb>
    <v>16</v>
  </rv>
  <rv s="8">
    <fb>13.73</fb>
    <v>16</v>
  </rv>
  <rv s="8">
    <fb>13.72</fb>
    <v>16</v>
  </rv>
  <rv s="8">
    <fb>13.59</fb>
    <v>16</v>
  </rv>
  <rv s="8">
    <fb>13.57</fb>
    <v>16</v>
  </rv>
  <rv s="8">
    <fb>13.85</fb>
    <v>16</v>
  </rv>
  <rv s="8">
    <fb>14.12</fb>
    <v>16</v>
  </rv>
  <rv s="8">
    <fb>14.13</fb>
    <v>16</v>
  </rv>
  <rv s="8">
    <fb>13.78</fb>
    <v>16</v>
  </rv>
  <rv s="8">
    <fb>14.01</fb>
    <v>16</v>
  </rv>
  <rv s="8">
    <fb>13.64</fb>
    <v>16</v>
  </rv>
  <rv s="8">
    <fb>14.43</fb>
    <v>16</v>
  </rv>
  <rv s="8">
    <fb>14.41</fb>
    <v>16</v>
  </rv>
  <rv s="8">
    <fb>14.09</fb>
    <v>16</v>
  </rv>
  <rv s="8">
    <fb>13.39</fb>
    <v>16</v>
  </rv>
  <rv s="8">
    <fb>12.81</fb>
    <v>16</v>
  </rv>
  <rv s="8">
    <fb>12.15</fb>
    <v>16</v>
  </rv>
  <rv s="8">
    <fb>12.19</fb>
    <v>16</v>
  </rv>
  <rv s="8">
    <fb>12.24</fb>
    <v>16</v>
  </rv>
  <rv s="8">
    <fb>12.11</fb>
    <v>16</v>
  </rv>
  <rv s="8">
    <fb>12.04</fb>
    <v>16</v>
  </rv>
  <rv s="8">
    <fb>11.67</fb>
    <v>16</v>
  </rv>
  <rv s="8">
    <fb>11.94</fb>
    <v>16</v>
  </rv>
  <rv s="8">
    <fb>11.79</fb>
    <v>16</v>
  </rv>
  <rv s="8">
    <fb>11.64</fb>
    <v>16</v>
  </rv>
  <rv s="8">
    <fb>11.52</fb>
    <v>16</v>
  </rv>
  <rv s="8">
    <fb>11.6</fb>
    <v>16</v>
  </rv>
  <rv s="8">
    <fb>11.37</fb>
    <v>16</v>
  </rv>
  <rv s="8">
    <fb>26.34</fb>
    <v>16</v>
  </rv>
  <rv s="8">
    <fb>25</fb>
    <v>16</v>
  </rv>
  <rv s="8">
    <fb>25.34</fb>
    <v>16</v>
  </rv>
  <rv s="8">
    <fb>25.22</fb>
    <v>16</v>
  </rv>
  <rv s="8">
    <fb>27.62</fb>
    <v>16</v>
  </rv>
  <rv s="8">
    <fb>26.61</fb>
    <v>16</v>
  </rv>
  <rv s="8">
    <fb>28.15</fb>
    <v>16</v>
  </rv>
  <rv s="8">
    <fb>28.57</fb>
    <v>16</v>
  </rv>
  <rv s="8">
    <fb>28.46</fb>
    <v>16</v>
  </rv>
  <rv s="8">
    <fb>29.12</fb>
    <v>16</v>
  </rv>
  <rv s="8">
    <fb>29.16</fb>
    <v>16</v>
  </rv>
  <rv s="8">
    <fb>29.79</fb>
    <v>16</v>
  </rv>
  <rv s="8">
    <fb>29.68</fb>
    <v>16</v>
  </rv>
  <rv s="8">
    <fb>30.14</fb>
    <v>16</v>
  </rv>
  <rv s="8">
    <fb>30.21</fb>
    <v>16</v>
  </rv>
  <rv s="8">
    <fb>30.51</fb>
    <v>16</v>
  </rv>
  <rv s="8">
    <fb>30.8</fb>
    <v>16</v>
  </rv>
  <rv s="8">
    <fb>30.33</fb>
    <v>16</v>
  </rv>
  <rv s="8">
    <fb>30.68</fb>
    <v>16</v>
  </rv>
  <rv s="8">
    <fb>30.79</fb>
    <v>16</v>
  </rv>
  <rv s="8">
    <fb>30.38</fb>
    <v>16</v>
  </rv>
  <rv s="8">
    <fb>30.23</fb>
    <v>16</v>
  </rv>
  <rv s="8">
    <fb>30.47</fb>
    <v>16</v>
  </rv>
  <rv s="8">
    <fb>30.93</fb>
    <v>16</v>
  </rv>
  <rv s="8">
    <fb>29.63</fb>
    <v>16</v>
  </rv>
  <rv s="8">
    <fb>29.44</fb>
    <v>16</v>
  </rv>
  <rv s="8">
    <fb>28.82</fb>
    <v>16</v>
  </rv>
  <rv s="8">
    <fb>29.18</fb>
    <v>16</v>
  </rv>
  <rv s="8">
    <fb>29.27</fb>
    <v>16</v>
  </rv>
  <rv s="8">
    <fb>29.6</fb>
    <v>16</v>
  </rv>
  <rv s="8">
    <fb>29.83</fb>
    <v>16</v>
  </rv>
  <rv s="8">
    <fb>29.52</fb>
    <v>16</v>
  </rv>
  <rv s="8">
    <fb>29.5</fb>
    <v>16</v>
  </rv>
  <rv s="8">
    <fb>29.58</fb>
    <v>16</v>
  </rv>
  <rv s="8">
    <fb>30.54</fb>
    <v>16</v>
  </rv>
  <rv s="8">
    <fb>30.52</fb>
    <v>16</v>
  </rv>
  <rv s="8">
    <fb>30.07</fb>
    <v>16</v>
  </rv>
  <rv s="8">
    <fb>30.08</fb>
    <v>16</v>
  </rv>
  <rv s="8">
    <fb>29.35</fb>
    <v>16</v>
  </rv>
  <rv s="8">
    <fb>28.8</fb>
    <v>16</v>
  </rv>
  <rv s="8">
    <fb>29.24</fb>
    <v>16</v>
  </rv>
  <rv s="8">
    <fb>29.2</fb>
    <v>16</v>
  </rv>
  <rv s="8">
    <fb>29.28</fb>
    <v>16</v>
  </rv>
  <rv s="8">
    <fb>29.14</fb>
    <v>16</v>
  </rv>
  <rv s="8">
    <fb>29.92</fb>
    <v>16</v>
  </rv>
  <rv s="8">
    <fb>29.36</fb>
    <v>16</v>
  </rv>
  <rv s="8">
    <fb>29.65</fb>
    <v>16</v>
  </rv>
  <rv s="8">
    <fb>28.7</fb>
    <v>16</v>
  </rv>
  <rv s="8">
    <fb>28.88</fb>
    <v>16</v>
  </rv>
  <rv s="8">
    <fb>28.59</fb>
    <v>16</v>
  </rv>
  <rv s="8">
    <fb>28.81</fb>
    <v>16</v>
  </rv>
  <rv s="8">
    <fb>29.7</fb>
    <v>16</v>
  </rv>
  <rv s="8">
    <fb>28.83</fb>
    <v>16</v>
  </rv>
  <rv s="8">
    <fb>30.28</fb>
    <v>16</v>
  </rv>
  <rv s="8">
    <fb>29.11</fb>
    <v>16</v>
  </rv>
  <rv s="8">
    <fb>29.77</fb>
    <v>16</v>
  </rv>
  <rv s="8">
    <fb>30.6</fb>
    <v>16</v>
  </rv>
  <rv s="8">
    <fb>30.75</fb>
    <v>16</v>
  </rv>
  <rv s="8">
    <fb>30.71</fb>
    <v>16</v>
  </rv>
  <rv s="8">
    <fb>31.08</fb>
    <v>16</v>
  </rv>
  <rv s="8">
    <fb>30.81</fb>
    <v>16</v>
  </rv>
  <rv s="8">
    <fb>30.55</fb>
    <v>16</v>
  </rv>
  <rv s="8">
    <fb>30.36</fb>
    <v>16</v>
  </rv>
  <rv s="8">
    <fb>30</fb>
    <v>16</v>
  </rv>
  <rv s="8">
    <fb>30.32</fb>
    <v>16</v>
  </rv>
  <rv s="8">
    <fb>30.41</fb>
    <v>16</v>
  </rv>
  <rv s="8">
    <fb>34.4</fb>
    <v>16</v>
  </rv>
  <rv s="8">
    <fb>33.590000000000003</fb>
    <v>16</v>
  </rv>
  <rv s="8">
    <fb>33.11</fb>
    <v>16</v>
  </rv>
  <rv s="8">
    <fb>33.24</fb>
    <v>16</v>
  </rv>
  <rv s="8">
    <fb>32.79</fb>
    <v>16</v>
  </rv>
  <rv s="8">
    <fb>31.85</fb>
    <v>16</v>
  </rv>
  <rv s="8">
    <fb>31.24</fb>
    <v>16</v>
  </rv>
  <rv s="8">
    <fb>31.33</fb>
    <v>16</v>
  </rv>
  <rv s="8">
    <fb>31.71</fb>
    <v>16</v>
  </rv>
  <rv s="8">
    <fb>31.62</fb>
    <v>16</v>
  </rv>
  <rv s="8">
    <fb>32.380000000000003</fb>
    <v>16</v>
  </rv>
  <rv s="8">
    <fb>31.46</fb>
    <v>16</v>
  </rv>
  <rv s="8">
    <fb>32.56</fb>
    <v>16</v>
  </rv>
  <rv s="8">
    <fb>32.700000000000003</fb>
    <v>16</v>
  </rv>
  <rv s="8">
    <fb>33.549999999999997</fb>
    <v>16</v>
  </rv>
  <rv s="8">
    <fb>33.4</fb>
    <v>16</v>
  </rv>
  <rv s="8">
    <fb>33.25</fb>
    <v>16</v>
  </rv>
  <rv s="8">
    <fb>33.39</fb>
    <v>16</v>
  </rv>
  <rv s="8">
    <fb>33.979999999999997</fb>
    <v>16</v>
  </rv>
  <rv s="8">
    <fb>34.03</fb>
    <v>16</v>
  </rv>
  <rv s="8">
    <fb>34.520000000000003</fb>
    <v>16</v>
  </rv>
  <rv s="8">
    <fb>33.92</fb>
    <v>16</v>
  </rv>
  <rv s="8">
    <fb>34.61</fb>
    <v>16</v>
  </rv>
  <rv s="8">
    <fb>34.270000000000003</fb>
    <v>16</v>
  </rv>
  <rv s="8">
    <fb>34.1</fb>
    <v>16</v>
  </rv>
  <rv s="8">
    <fb>33.880000000000003</fb>
    <v>16</v>
  </rv>
  <rv s="8">
    <fb>33.96</fb>
    <v>16</v>
  </rv>
  <rv s="8">
    <fb>33.72</fb>
    <v>16</v>
  </rv>
  <rv s="8">
    <fb>33.54</fb>
    <v>16</v>
  </rv>
  <rv s="8">
    <fb>34.18</fb>
    <v>16</v>
  </rv>
  <rv s="8">
    <fb>34.35</fb>
    <v>16</v>
  </rv>
  <rv s="8">
    <fb>34.85</fb>
    <v>16</v>
  </rv>
  <rv s="8">
    <fb>34.67</fb>
    <v>16</v>
  </rv>
  <rv s="8">
    <fb>34.020000000000003</fb>
    <v>16</v>
  </rv>
  <rv s="8">
    <fb>33.53</fb>
    <v>16</v>
  </rv>
  <rv s="8">
    <fb>33.729999999999997</fb>
    <v>16</v>
  </rv>
  <rv s="8">
    <fb>33.9</fb>
    <v>16</v>
  </rv>
  <rv s="8">
    <fb>34.119999999999997</fb>
    <v>16</v>
  </rv>
  <rv s="8">
    <fb>33.78</fb>
    <v>16</v>
  </rv>
  <rv s="8">
    <fb>33.35</fb>
    <v>16</v>
  </rv>
  <rv s="8">
    <fb>33.49</fb>
    <v>16</v>
  </rv>
  <rv s="8">
    <fb>31.78</fb>
    <v>16</v>
  </rv>
  <rv s="8">
    <fb>30.83</fb>
    <v>16</v>
  </rv>
  <rv s="8">
    <fb>31.37</fb>
    <v>16</v>
  </rv>
  <rv s="8">
    <fb>31.91</fb>
    <v>16</v>
  </rv>
  <rv s="8">
    <fb>31.74</fb>
    <v>16</v>
  </rv>
  <rv s="8">
    <fb>31.45</fb>
    <v>16</v>
  </rv>
  <rv s="8">
    <fb>30.65</fb>
    <v>16</v>
  </rv>
  <rv s="8">
    <fb>29.84</fb>
    <v>16</v>
  </rv>
  <rv s="8">
    <fb>30.63</fb>
    <v>16</v>
  </rv>
  <rv s="8">
    <fb>30.82</fb>
    <v>16</v>
  </rv>
  <rv s="8">
    <fb>31.28</fb>
    <v>16</v>
  </rv>
  <rv s="8">
    <fb>31.84</fb>
    <v>16</v>
  </rv>
  <rv s="8">
    <fb>31.59</fb>
    <v>16</v>
  </rv>
  <rv s="8">
    <fb>31.52</fb>
    <v>16</v>
  </rv>
  <rv s="8">
    <fb>31.75</fb>
    <v>16</v>
  </rv>
  <rv s="8">
    <fb>31.93</fb>
    <v>16</v>
  </rv>
  <rv s="8">
    <fb>31.19</fb>
    <v>16</v>
  </rv>
  <rv s="8">
    <fb>31.07</fb>
    <v>16</v>
  </rv>
  <rv s="8">
    <fb>30.5</fb>
    <v>16</v>
  </rv>
  <rv s="8">
    <fb>30.57</fb>
    <v>16</v>
  </rv>
  <rv s="8">
    <fb>30.88</fb>
    <v>16</v>
  </rv>
  <rv s="8">
    <fb>29.81</fb>
    <v>16</v>
  </rv>
  <rv s="8">
    <fb>29.48</fb>
    <v>16</v>
  </rv>
  <rv s="8">
    <fb>30.04</fb>
    <v>16</v>
  </rv>
  <rv s="8">
    <fb>29.73</fb>
    <v>16</v>
  </rv>
  <rv s="8">
    <fb>29</fb>
    <v>16</v>
  </rv>
  <rv s="8">
    <fb>28.96</fb>
    <v>16</v>
  </rv>
  <rv s="8">
    <fb>29.33</fb>
    <v>16</v>
  </rv>
  <rv s="8">
    <fb>28.48</fb>
    <v>16</v>
  </rv>
  <rv s="8">
    <fb>29.82</fb>
    <v>16</v>
  </rv>
  <rv s="8">
    <fb>29.96</fb>
    <v>16</v>
  </rv>
  <rv s="8">
    <fb>30.3</fb>
    <v>16</v>
  </rv>
  <rv s="8">
    <fb>30.25</fb>
    <v>16</v>
  </rv>
  <rv s="8">
    <fb>29.45</fb>
    <v>16</v>
  </rv>
  <rv s="8">
    <fb>29.66</fb>
    <v>16</v>
  </rv>
  <rv s="8">
    <fb>29.43</fb>
    <v>16</v>
  </rv>
  <rv s="8">
    <fb>30.56</fb>
    <v>16</v>
  </rv>
  <rv s="8">
    <fb>31.13</fb>
    <v>16</v>
  </rv>
  <rv s="8">
    <fb>30.72</fb>
    <v>16</v>
  </rv>
  <rv s="8">
    <fb>30.35</fb>
    <v>16</v>
  </rv>
  <rv s="8">
    <fb>30.01</fb>
    <v>16</v>
  </rv>
  <rv s="8">
    <fb>30.12</fb>
    <v>16</v>
  </rv>
  <rv s="8">
    <fb>30.24</fb>
    <v>16</v>
  </rv>
  <rv s="8">
    <fb>30.11</fb>
    <v>16</v>
  </rv>
  <rv s="8">
    <fb>29.8</fb>
    <v>16</v>
  </rv>
  <rv s="8">
    <fb>29.64</fb>
    <v>16</v>
  </rv>
  <rv s="8">
    <fb>29.62</fb>
    <v>16</v>
  </rv>
  <rv s="8">
    <fb>30.06</fb>
    <v>16</v>
  </rv>
  <rv s="8">
    <fb>30.89</fb>
    <v>16</v>
  </rv>
  <rv s="8">
    <fb>30.61</fb>
    <v>16</v>
  </rv>
  <rv s="8">
    <fb>30.74</fb>
    <v>16</v>
  </rv>
  <rv s="8">
    <fb>31.11</fb>
    <v>16</v>
  </rv>
  <rv s="8">
    <fb>30.85</fb>
    <v>16</v>
  </rv>
  <rv s="8">
    <fb>31.22</fb>
    <v>16</v>
  </rv>
  <rv s="8">
    <fb>30.42</fb>
    <v>16</v>
  </rv>
  <rv s="8">
    <fb>29.93</fb>
    <v>16</v>
  </rv>
  <rv s="8">
    <fb>29.42</fb>
    <v>16</v>
  </rv>
  <rv s="8">
    <fb>30.29</fb>
    <v>16</v>
  </rv>
  <rv s="8">
    <fb>30.73</fb>
    <v>16</v>
  </rv>
  <rv s="8">
    <fb>30.58</fb>
    <v>16</v>
  </rv>
  <rv s="8">
    <fb>32.82</fb>
    <v>16</v>
  </rv>
  <rv s="8">
    <fb>31.76</fb>
    <v>16</v>
  </rv>
  <rv s="8">
    <fb>31.21</fb>
    <v>16</v>
  </rv>
  <rv s="8">
    <fb>32.4</fb>
    <v>16</v>
  </rv>
  <rv s="8">
    <fb>31.43</fb>
    <v>16</v>
  </rv>
  <rv s="8">
    <fb>30.92</fb>
    <v>16</v>
  </rv>
  <rv s="8">
    <fb>30.34</fb>
    <v>16</v>
  </rv>
  <rv s="8">
    <fb>30.27</fb>
    <v>16</v>
  </rv>
  <rv s="8">
    <fb>30.16</fb>
    <v>16</v>
  </rv>
  <rv s="8">
    <fb>29.29</fb>
    <v>16</v>
  </rv>
  <rv s="8">
    <fb>28.3</fb>
    <v>16</v>
  </rv>
  <rv s="8">
    <fb>28.51</fb>
    <v>16</v>
  </rv>
  <rv s="8">
    <fb>27.47</fb>
    <v>16</v>
  </rv>
  <rv s="8">
    <fb>27.24</fb>
    <v>16</v>
  </rv>
  <rv s="8">
    <fb>27.87</fb>
    <v>16</v>
  </rv>
  <rv s="8">
    <fb>27.89</fb>
    <v>16</v>
  </rv>
  <rv s="8">
    <fb>27.54</fb>
    <v>16</v>
  </rv>
  <rv s="8">
    <fb>26.09</fb>
    <v>16</v>
  </rv>
  <rv s="8">
    <fb>25.78</fb>
    <v>16</v>
  </rv>
  <rv s="8">
    <fb>25.7</fb>
    <v>16</v>
  </rv>
  <rv s="8">
    <fb>25.48</fb>
    <v>16</v>
  </rv>
  <rv s="8">
    <fb>24.81</fb>
    <v>16</v>
  </rv>
  <rv s="8">
    <fb>24.61</fb>
    <v>16</v>
  </rv>
  <rv s="8">
    <fb>24.12</fb>
    <v>16</v>
  </rv>
  <rv s="8">
    <fb>24.74</fb>
    <v>16</v>
  </rv>
  <rv s="8">
    <fb>24.78</fb>
    <v>16</v>
  </rv>
  <rv s="8">
    <fb>24.77</fb>
    <v>16</v>
  </rv>
  <rv s="8">
    <fb>24.58</fb>
    <v>16</v>
  </rv>
  <rv s="8">
    <fb>24.34</fb>
    <v>16</v>
  </rv>
  <rv s="8">
    <fb>23.65</fb>
    <v>16</v>
  </rv>
  <rv s="8">
    <fb>24.31</fb>
    <v>16</v>
  </rv>
  <rv s="8">
    <fb>228.69</fb>
    <v>16</v>
  </rv>
  <rv s="8">
    <fb>210.28</fb>
    <v>16</v>
  </rv>
  <rv s="8">
    <fb>214.44</fb>
    <v>16</v>
  </rv>
  <rv s="8">
    <fb>216.87</fb>
    <v>16</v>
  </rv>
  <rv s="8">
    <fb>227.11</fb>
    <v>16</v>
  </rv>
  <rv s="8">
    <fb>236.2</fb>
    <v>16</v>
  </rv>
  <rv s="8">
    <fb>234.72</fb>
    <v>16</v>
  </rv>
  <rv s="8">
    <fb>233.13</fb>
    <v>16</v>
  </rv>
  <rv s="8">
    <fb>229.61</fb>
    <v>16</v>
  </rv>
  <rv s="8">
    <fb>231.96</fb>
    <v>16</v>
  </rv>
  <rv s="8">
    <fb>228.99</fb>
    <v>16</v>
  </rv>
  <rv s="8">
    <fb>235.59</fb>
    <v>16</v>
  </rv>
  <rv s="8">
    <fb>240.88</fb>
    <v>16</v>
  </rv>
  <rv s="8">
    <fb>244.64</fb>
    <v>16</v>
  </rv>
  <rv s="8">
    <fb>243.55</fb>
    <v>16</v>
  </rv>
  <rv s="8">
    <fb>243.22</fb>
    <v>16</v>
  </rv>
  <rv s="8">
    <fb>244.62</fb>
    <v>16</v>
  </rv>
  <rv s="8">
    <fb>246.89</fb>
    <v>16</v>
  </rv>
  <rv s="8">
    <fb>252.51</fb>
    <v>16</v>
  </rv>
  <rv s="8">
    <fb>252.56</fb>
    <v>16</v>
  </rv>
  <rv s="8">
    <fb>249.25</fb>
    <v>16</v>
  </rv>
  <rv s="8">
    <fb>249.39</fb>
    <v>16</v>
  </rv>
  <rv s="8">
    <fb>253.47</fb>
    <v>16</v>
  </rv>
  <rv s="8">
    <fb>253.08</fb>
    <v>16</v>
  </rv>
  <rv s="8">
    <fb>260.05</fb>
    <v>16</v>
  </rv>
  <rv s="8">
    <fb>263.01</fb>
    <v>16</v>
  </rv>
  <rv s="8">
    <fb>265.64</fb>
    <v>16</v>
  </rv>
  <rv s="8">
    <fb>267.49</fb>
    <v>16</v>
  </rv>
  <rv s="8">
    <fb>267.56</fb>
    <v>16</v>
  </rv>
  <rv s="8">
    <fb>264.88</fb>
    <v>16</v>
  </rv>
  <rv s="8">
    <fb>265.68</fb>
    <v>16</v>
  </rv>
  <rv s="8">
    <fb>261.04000000000002</fb>
    <v>16</v>
  </rv>
  <rv s="8">
    <fb>260.67</fb>
    <v>16</v>
  </rv>
  <rv s="8">
    <fb>260.70999999999998</fb>
    <v>16</v>
  </rv>
  <rv s="8">
    <fb>265.29000000000002</fb>
    <v>16</v>
  </rv>
  <rv s="8">
    <fb>263.49</fb>
    <v>16</v>
  </rv>
  <rv s="8">
    <fb>264.37</fb>
    <v>16</v>
  </rv>
  <rv s="8">
    <fb>264</fb>
    <v>16</v>
  </rv>
  <rv s="8">
    <fb>264.66000000000003</fb>
    <v>16</v>
  </rv>
  <rv s="8">
    <fb>266.27</fb>
    <v>16</v>
  </rv>
  <rv s="8">
    <fb>264.22000000000003</fb>
    <v>16</v>
  </rv>
  <rv s="8">
    <fb>261.95</fb>
    <v>16</v>
  </rv>
  <rv s="8">
    <fb>265.73</fb>
    <v>16</v>
  </rv>
  <rv s="8">
    <fb>266.74</fb>
    <v>16</v>
  </rv>
  <rv s="8">
    <fb>268.60000000000002</fb>
    <v>16</v>
  </rv>
  <rv s="8">
    <fb>268.14999999999998</fb>
    <v>16</v>
  </rv>
  <rv s="8">
    <fb>268.24</fb>
    <v>16</v>
  </rv>
  <rv s="8">
    <fb>264.95</fb>
    <v>16</v>
  </rv>
  <rv s="8">
    <fb>270.36</fb>
    <v>16</v>
  </rv>
  <rv s="8">
    <fb>269.52</fb>
    <v>16</v>
  </rv>
  <rv s="8">
    <fb>273.95999999999998</fb>
    <v>16</v>
  </rv>
  <rv s="8">
    <fb>275</fb>
    <v>16</v>
  </rv>
  <rv s="8">
    <fb>278.27</fb>
    <v>16</v>
  </rv>
  <rv s="8">
    <fb>281.26</fb>
    <v>16</v>
  </rv>
  <rv s="8">
    <fb>284.06</fb>
    <v>16</v>
  </rv>
  <rv s="8">
    <fb>288.75</fb>
    <v>16</v>
  </rv>
  <rv s="8">
    <fb>287.11</fb>
    <v>16</v>
  </rv>
  <rv s="8">
    <fb>289.91000000000003</fb>
    <v>16</v>
  </rv>
  <rv s="8">
    <fb>290.41000000000003</fb>
    <v>16</v>
  </rv>
  <rv s="8">
    <fb>292</fb>
    <v>16</v>
  </rv>
  <rv s="8">
    <fb>296</fb>
    <v>16</v>
  </rv>
  <rv s="8">
    <fb>291.97000000000003</fb>
    <v>16</v>
  </rv>
  <rv s="8">
    <fb>282.77999999999997</fb>
    <v>16</v>
  </rv>
  <rv s="8">
    <fb>283.16000000000003</fb>
    <v>16</v>
  </rv>
  <rv s="8">
    <fb>288.19</fb>
    <v>16</v>
  </rv>
  <rv s="8">
    <fb>286.86</fb>
    <v>16</v>
  </rv>
  <rv s="8">
    <fb>288.7</fb>
    <v>16</v>
  </rv>
  <rv s="8">
    <fb>286.55</fb>
    <v>16</v>
  </rv>
  <rv s="8">
    <fb>285.82</fb>
    <v>16</v>
  </rv>
  <rv s="8">
    <fb>289.89999999999998</fb>
    <v>16</v>
  </rv>
  <rv s="8">
    <fb>291.27</fb>
    <v>16</v>
  </rv>
  <rv s="8">
    <fb>290.97000000000003</fb>
    <v>16</v>
  </rv>
  <rv s="8">
    <fb>291.43</fb>
    <v>16</v>
  </rv>
  <rv s="8">
    <fb>296.76</fb>
    <v>16</v>
  </rv>
  <rv s="8">
    <fb>296.55</fb>
    <v>16</v>
  </rv>
  <rv s="8">
    <fb>298.62</fb>
    <v>16</v>
  </rv>
  <rv s="8">
    <fb>298.27999999999997</fb>
    <v>16</v>
  </rv>
  <rv s="8">
    <fb>297.04000000000002</fb>
    <v>16</v>
  </rv>
  <rv s="8">
    <fb>299.63</fb>
    <v>16</v>
  </rv>
  <rv s="8">
    <fb>296.24</fb>
    <v>16</v>
  </rv>
  <rv s="8">
    <fb>289.37</fb>
    <v>16</v>
  </rv>
  <rv s="8">
    <fb>294.26</fb>
    <v>16</v>
  </rv>
  <rv s="8">
    <fb>291.37</fb>
    <v>16</v>
  </rv>
  <rv s="8">
    <fb>291.35000000000002</fb>
    <v>16</v>
  </rv>
  <rv s="8">
    <fb>286.94</fb>
    <v>16</v>
  </rv>
  <rv s="8">
    <fb>288.76</fb>
    <v>16</v>
  </rv>
  <rv s="8">
    <fb>289.56</fb>
    <v>16</v>
  </rv>
  <rv s="8">
    <fb>292.85000000000002</fb>
    <v>16</v>
  </rv>
  <rv s="8">
    <fb>290.52999999999997</fb>
    <v>16</v>
  </rv>
  <rv s="8">
    <fb>294.16000000000003</fb>
    <v>16</v>
  </rv>
  <rv s="8">
    <fb>290.49</fb>
    <v>16</v>
  </rv>
  <rv s="8">
    <fb>291.52999999999997</fb>
    <v>16</v>
  </rv>
  <rv s="8">
    <fb>290.66000000000003</fb>
    <v>16</v>
  </rv>
  <rv s="8">
    <fb>292.24</fb>
    <v>16</v>
  </rv>
  <rv s="8">
    <fb>291.47000000000003</fb>
    <v>16</v>
  </rv>
  <rv s="8">
    <fb>294.89999999999998</fb>
    <v>16</v>
  </rv>
  <rv s="8">
    <fb>298.57</fb>
    <v>16</v>
  </rv>
  <rv s="8">
    <fb>299.27999999999997</fb>
    <v>16</v>
  </rv>
  <rv s="8">
    <fb>301.07</fb>
    <v>16</v>
  </rv>
  <rv s="8">
    <fb>301.42</fb>
    <v>16</v>
  </rv>
  <rv s="8">
    <fb>299.7</fb>
    <v>16</v>
  </rv>
  <rv s="8">
    <fb>299.51</fb>
    <v>16</v>
  </rv>
  <rv s="8">
    <fb>303.82</fb>
    <v>16</v>
  </rv>
  <rv s="8">
    <fb>294.38</fb>
    <v>16</v>
  </rv>
  <rv s="8">
    <fb>292.91000000000003</fb>
    <v>16</v>
  </rv>
  <rv s="8">
    <fb>297.85000000000002</fb>
    <v>16</v>
  </rv>
  <rv s="8">
    <fb>300.54000000000002</fb>
    <v>16</v>
  </rv>
  <rv s="8">
    <fb>305.56</fb>
    <v>16</v>
  </rv>
  <rv s="8">
    <fb>306.91000000000003</fb>
    <v>16</v>
  </rv>
  <rv s="8">
    <fb>308.89999999999998</fb>
    <v>16</v>
  </rv>
  <rv s="8">
    <fb>309.19</fb>
    <v>16</v>
  </rv>
  <rv s="8">
    <fb>311.75</fb>
    <v>16</v>
  </rv>
  <rv s="8">
    <fb>313.23</fb>
    <v>16</v>
  </rv>
  <rv s="8">
    <fb>314.77999999999997</fb>
    <v>16</v>
  </rv>
  <rv s="8">
    <fb>312.44</fb>
    <v>16</v>
  </rv>
  <rv s="8">
    <fb>312.74</fb>
    <v>16</v>
  </rv>
  <rv s="8">
    <fb>313.42</fb>
    <v>16</v>
  </rv>
  <rv s="8">
    <fb>313.45</fb>
    <v>16</v>
  </rv>
  <rv s="8">
    <fb>316.06</fb>
    <v>16</v>
  </rv>
  <rv s="8">
    <fb>315.69</fb>
    <v>16</v>
  </rv>
  <rv s="8">
    <fb>315.43</fb>
    <v>16</v>
  </rv>
  <rv s="8">
    <fb>310.70999999999998</fb>
    <v>16</v>
  </rv>
  <rv s="8">
    <fb>307.55</fb>
    <v>16</v>
  </rv>
  <rv s="8">
    <fb>310.02999999999997</fb>
    <v>16</v>
  </rv>
  <rv s="8">
    <fb>309.18</fb>
    <v>16</v>
  </rv>
  <rv s="8">
    <fb>307.69</fb>
    <v>16</v>
  </rv>
  <rv s="8">
    <fb>304.02999999999997</fb>
    <v>16</v>
  </rv>
  <rv s="8">
    <fb>305.52999999999997</fb>
    <v>16</v>
  </rv>
  <rv s="8">
    <fb>300.89</fb>
    <v>16</v>
  </rv>
  <rv s="8">
    <fb>307.97000000000003</fb>
    <v>16</v>
  </rv>
  <rv s="8">
    <fb>302.08</fb>
    <v>16</v>
  </rv>
  <rv s="8">
    <fb>305.69</fb>
    <v>16</v>
  </rv>
  <rv s="8">
    <fb>298.54000000000002</fb>
    <v>16</v>
  </rv>
  <rv s="8">
    <fb>297.56</fb>
    <v>16</v>
  </rv>
  <rv s="8">
    <fb>302.36</fb>
    <v>16</v>
  </rv>
  <rv s="8">
    <fb>297.08999999999997</fb>
    <v>16</v>
  </rv>
  <rv s="8">
    <fb>294.11</fb>
    <v>16</v>
  </rv>
  <rv s="8">
    <fb>294.54000000000002</fb>
    <v>16</v>
  </rv>
  <rv s="8">
    <fb>300.44</fb>
    <v>16</v>
  </rv>
  <rv s="8">
    <fb>304.14999999999998</fb>
    <v>16</v>
  </rv>
  <rv s="8">
    <fb>305.36</fb>
    <v>16</v>
  </rv>
  <rv s="8">
    <fb>305.51</fb>
    <v>16</v>
  </rv>
  <rv s="8">
    <fb>309.44</fb>
    <v>16</v>
  </rv>
  <rv s="8">
    <fb>311.12</fb>
    <v>16</v>
  </rv>
  <rv s="8">
    <fb>309.35000000000002</fb>
    <v>16</v>
  </rv>
  <rv s="8">
    <fb>309.25</fb>
    <v>16</v>
  </rv>
  <rv s="8">
    <fb>311.68</fb>
    <v>16</v>
  </rv>
  <rv s="8">
    <fb>314.20999999999998</fb>
    <v>16</v>
  </rv>
  <rv s="8">
    <fb>316.89</fb>
    <v>16</v>
  </rv>
  <rv s="8">
    <fb>315.62</fb>
    <v>16</v>
  </rv>
  <rv s="8">
    <fb>320.41000000000003</fb>
    <v>16</v>
  </rv>
  <rv s="8">
    <fb>309.48</fb>
    <v>16</v>
  </rv>
  <rv s="8">
    <fb>303.61</fb>
    <v>16</v>
  </rv>
  <rv s="8">
    <fb>300.37</fb>
    <v>16</v>
  </rv>
  <rv s="8">
    <fb>299.41000000000003</fb>
    <v>16</v>
  </rv>
  <rv s="8">
    <fb>303.27</fb>
    <v>16</v>
  </rv>
  <rv s="8">
    <fb>298.38</fb>
    <v>16</v>
  </rv>
  <rv s="8">
    <fb>298.02</fb>
    <v>16</v>
  </rv>
  <rv s="8">
    <fb>298</fb>
    <v>16</v>
  </rv>
  <rv s="8">
    <fb>303</fb>
    <v>16</v>
  </rv>
  <rv s="8">
    <fb>307.64</fb>
    <v>16</v>
  </rv>
  <rv s="8">
    <fb>313.08</fb>
    <v>16</v>
  </rv>
  <rv s="8">
    <fb>308.92</fb>
    <v>16</v>
  </rv>
  <rv s="8">
    <fb>307.88</fb>
    <v>16</v>
  </rv>
  <rv s="8">
    <fb>312.13</fb>
    <v>16</v>
  </rv>
  <rv s="8">
    <fb>316.10000000000002</fb>
    <v>16</v>
  </rv>
  <rv s="8">
    <fb>315.04000000000002</fb>
    <v>16</v>
  </rv>
  <rv s="8">
    <fb>315.20999999999998</fb>
    <v>16</v>
  </rv>
  <rv s="8">
    <fb>300.51</fb>
    <v>16</v>
  </rv>
  <rv s="8">
    <fb>310.11</fb>
    <v>16</v>
  </rv>
  <rv s="8">
    <fb>317.38</fb>
    <v>16</v>
  </rv>
  <rv s="8">
    <fb>318.52</fb>
    <v>16</v>
  </rv>
  <rv s="8">
    <fb>320.02</fb>
    <v>16</v>
  </rv>
  <rv s="8">
    <fb>315.55</fb>
    <v>16</v>
  </rv>
  <rv s="8">
    <fb>314.98</fb>
    <v>16</v>
  </rv>
  <rv s="8">
    <fb>313</fb>
    <v>16</v>
  </rv>
  <rv s="8">
    <fb>317.20999999999998</fb>
    <v>16</v>
  </rv>
  <rv s="8">
    <fb>323.08999999999997</fb>
    <v>16</v>
  </rv>
  <rv s="8">
    <fb>325.93</fb>
    <v>16</v>
  </rv>
  <rv s="8">
    <fb>329.17</fb>
    <v>16</v>
  </rv>
  <rv s="8">
    <fb>327.91</fb>
    <v>16</v>
  </rv>
  <rv s="8">
    <fb>323.75</fb>
    <v>16</v>
  </rv>
  <rv s="8">
    <fb>323.42</fb>
    <v>16</v>
  </rv>
  <rv s="8">
    <fb>322.22000000000003</fb>
    <v>16</v>
  </rv>
  <rv s="8">
    <fb>325.48</fb>
    <v>16</v>
  </rv>
  <rv s="8">
    <fb>334.04</fb>
    <v>16</v>
  </rv>
  <rv s="8">
    <fb>334.61</fb>
    <v>16</v>
  </rv>
  <rv s="8">
    <fb>326.99</fb>
    <v>16</v>
  </rv>
  <rv s="8">
    <fb>329.79</fb>
    <v>16</v>
  </rv>
  <rv s="8">
    <fb>329.19</fb>
    <v>16</v>
  </rv>
  <rv s="8">
    <fb>324.49</fb>
    <v>16</v>
  </rv>
  <rv s="8">
    <fb>310.89999999999998</fb>
    <v>16</v>
  </rv>
  <rv s="8">
    <fb>307.87</fb>
    <v>16</v>
  </rv>
  <rv s="8">
    <fb>309.26</fb>
    <v>16</v>
  </rv>
  <rv s="8">
    <fb>312.47000000000003</fb>
    <v>16</v>
  </rv>
  <rv s="8">
    <fb>302.74</fb>
    <v>16</v>
  </rv>
  <rv s="8">
    <fb>302.04000000000002</fb>
    <v>16</v>
  </rv>
  <rv s="8">
    <fb>303.63</fb>
    <v>16</v>
  </rv>
  <rv s="8">
    <fb>297.72000000000003</fb>
    <v>16</v>
  </rv>
  <rv s="8">
    <fb>301.04000000000002</fb>
    <v>16</v>
  </rv>
  <rv s="8">
    <fb>300.31</fb>
    <v>16</v>
  </rv>
  <rv s="8">
    <fb>300.77</fb>
    <v>16</v>
  </rv>
  <rv s="8">
    <fb>306.42</fb>
    <v>16</v>
  </rv>
  <rv s="8">
    <fb>305.89</fb>
    <v>16</v>
  </rv>
  <rv s="8">
    <fb>308.14</fb>
    <v>16</v>
  </rv>
  <rv s="8">
    <fb>314.85000000000002</fb>
    <v>16</v>
  </rv>
  <rv s="8">
    <fb>317.27</fb>
    <v>16</v>
  </rv>
  <rv s="8">
    <fb>310.16000000000003</fb>
    <v>16</v>
  </rv>
  <rv s="8">
    <fb>322.39999999999998</fb>
    <v>16</v>
  </rv>
  <rv s="8">
    <fb>322.10000000000002</fb>
    <v>16</v>
  </rv>
  <rv s="8">
    <fb>318.27999999999997</fb>
    <v>16</v>
  </rv>
  <rv s="8">
    <fb>310.82</fb>
    <v>16</v>
  </rv>
  <rv s="8">
    <fb>302.64</fb>
    <v>16</v>
  </rv>
  <rv s="8">
    <fb>302.55</fb>
    <v>16</v>
  </rv>
  <rv s="8">
    <fb>307.13</fb>
    <v>16</v>
  </rv>
  <rv s="8">
    <fb>308.77999999999997</fb>
    <v>16</v>
  </rv>
  <rv s="8">
    <fb>308.05</fb>
    <v>16</v>
  </rv>
  <rv s="8">
    <fb>310.79000000000002</fb>
    <v>16</v>
  </rv>
  <rv s="8">
    <fb>297.67</fb>
    <v>16</v>
  </rv>
  <rv s="8">
    <fb>297.3</fb>
    <v>16</v>
  </rv>
  <rv s="8">
    <fb>303.3</fb>
    <v>16</v>
  </rv>
  <rv s="8">
    <fb>306.13</fb>
    <v>16</v>
  </rv>
  <rv s="8">
    <fb>300.3</fb>
    <v>16</v>
  </rv>
  <rv s="8">
    <fb>300.26</fb>
    <v>16</v>
  </rv>
  <rv s="8">
    <fb>299.39</fb>
    <v>16</v>
  </rv>
  <rv s="8">
    <fb>293.55</fb>
    <v>16</v>
  </rv>
  <rv s="8">
    <fb>289.48</fb>
    <v>16</v>
  </rv>
  <rv s="8">
    <fb>289.92</fb>
    <v>16</v>
  </rv>
  <rv s="8">
    <fb>288.73</fb>
    <v>16</v>
  </rv>
  <rv s="8">
    <fb>287.52</fb>
    <v>16</v>
  </rv>
  <rv s="8">
    <fb>282.89</fb>
    <v>16</v>
  </rv>
  <rv s="8">
    <fb>283.44</fb>
    <v>16</v>
  </rv>
  <rv s="8">
    <fb>286.16000000000003</fb>
    <v>16</v>
  </rv>
  <rv s="8">
    <fb>286.89</fb>
    <v>16</v>
  </rv>
  <rv s="8">
    <fb>287.74</fb>
    <v>16</v>
  </rv>
  <rv s="8">
    <fb>287.97000000000003</fb>
    <v>16</v>
  </rv>
  <rv s="8">
    <fb>286.56</fb>
    <v>16</v>
  </rv>
  <rv s="8">
    <fb>292.39999999999998</fb>
    <v>16</v>
  </rv>
  <rv s="8">
    <fb>295.42</fb>
    <v>16</v>
  </rv>
  <rv s="8">
    <fb>291.66000000000003</fb>
    <v>16</v>
  </rv>
  <rv s="8">
    <fb>282.83999999999997</fb>
    <v>16</v>
  </rv>
  <rv s="8">
    <fb>283.77</fb>
    <v>16</v>
  </rv>
  <rv s="8">
    <fb>295.38</fb>
    <v>16</v>
  </rv>
  <rv s="8">
    <fb>531.62</fb>
    <v>16</v>
  </rv>
  <rv s="8">
    <fb>504.73</fb>
    <v>16</v>
  </rv>
  <rv s="8">
    <fb>516.25</fb>
    <v>16</v>
  </rv>
  <rv s="8">
    <fb>510.45</fb>
    <v>16</v>
  </rv>
  <rv s="8">
    <fb>585.77</fb>
    <v>16</v>
  </rv>
  <rv s="8">
    <fb>546.29</fb>
    <v>16</v>
  </rv>
  <rv s="8">
    <fb>543.57000000000005</fb>
    <v>16</v>
  </rv>
  <rv s="8">
    <fb>531.48</fb>
    <v>16</v>
  </rv>
  <rv s="8">
    <fb>521.52</fb>
    <v>16</v>
  </rv>
  <rv s="8">
    <fb>502.31</fb>
    <v>16</v>
  </rv>
  <rv s="8">
    <fb>501.48</fb>
    <v>16</v>
  </rv>
  <rv s="8">
    <fb>484.66</fb>
    <v>16</v>
  </rv>
  <rv s="8">
    <fb>500.28</fb>
    <v>16</v>
  </rv>
  <rv s="8">
    <fb>520.27</fb>
    <v>16</v>
  </rv>
  <rv s="8">
    <fb>533.15</fb>
    <v>16</v>
  </rv>
  <rv s="8">
    <fb>547.27</fb>
    <v>16</v>
  </rv>
  <rv s="8">
    <fb>549.74</fb>
    <v>16</v>
  </rv>
  <rv s="8">
    <fb>554.44000000000005</fb>
    <v>16</v>
  </rv>
  <rv s="8">
    <fb>549</fb>
    <v>16</v>
  </rv>
  <rv s="8">
    <fb>572.21</fb>
    <v>16</v>
  </rv>
  <rv s="8">
    <fb>597.02</fb>
    <v>16</v>
  </rv>
  <rv s="8">
    <fb>599.27</fb>
    <v>16</v>
  </rv>
  <rv s="8">
    <fb>587.30999999999995</fb>
    <v>16</v>
  </rv>
  <rv s="8">
    <fb>596.80999999999995</fb>
    <v>16</v>
  </rv>
  <rv s="8">
    <fb>598.01</fb>
    <v>16</v>
  </rv>
  <rv s="8">
    <fb>592.49</fb>
    <v>16</v>
  </rv>
  <rv s="8">
    <fb>639.42999999999995</fb>
    <v>16</v>
  </rv>
  <rv s="8">
    <fb>656.03</fb>
    <v>16</v>
  </rv>
  <rv s="8">
    <fb>659.36</fb>
    <v>16</v>
  </rv>
  <rv s="8">
    <fb>643.88</fb>
    <v>16</v>
  </rv>
  <rv s="8">
    <fb>640.34</fb>
    <v>16</v>
  </rv>
  <rv s="8">
    <fb>640.42999999999995</fb>
    <v>16</v>
  </rv>
  <rv s="8">
    <fb>637.1</fb>
    <v>16</v>
  </rv>
  <rv s="8">
    <fb>635.5</fb>
    <v>16</v>
  </rv>
  <rv s="8">
    <fb>636.57000000000005</fb>
    <v>16</v>
  </rv>
  <rv s="8">
    <fb>627.05999999999995</fb>
    <v>16</v>
  </rv>
  <rv s="8">
    <fb>642.32000000000005</fb>
    <v>16</v>
  </rv>
  <rv s="8">
    <fb>643.58000000000004</fb>
    <v>16</v>
  </rv>
  <rv s="8">
    <fb>645.04999999999995</fb>
    <v>16</v>
  </rv>
  <rv s="8">
    <fb>647.49</fb>
    <v>16</v>
  </rv>
  <rv s="8">
    <fb>670.9</fb>
    <v>16</v>
  </rv>
  <rv s="8">
    <fb>666.85</fb>
    <v>16</v>
  </rv>
  <rv s="8">
    <fb>687.95</fb>
    <v>16</v>
  </rv>
  <rv s="8">
    <fb>684.62</fb>
    <v>16</v>
  </rv>
  <rv s="8">
    <fb>697.71</fb>
    <v>16</v>
  </rv>
  <rv s="8">
    <fb>694.06</fb>
    <v>16</v>
  </rv>
  <rv s="8">
    <fb>702.4</fb>
    <v>16</v>
  </rv>
  <rv s="8">
    <fb>694.14</fb>
    <v>16</v>
  </rv>
  <rv s="8">
    <fb>693.36</fb>
    <v>16</v>
  </rv>
  <rv s="8">
    <fb>682.87</fb>
    <v>16</v>
  </rv>
  <rv s="8">
    <fb>702.12</fb>
    <v>16</v>
  </rv>
  <rv s="8">
    <fb>697.23</fb>
    <v>16</v>
  </rv>
  <rv s="8">
    <fb>695.77</fb>
    <v>16</v>
  </rv>
  <rv s="8">
    <fb>682.35</fb>
    <v>16</v>
  </rv>
  <rv s="8">
    <fb>698.53</fb>
    <v>16</v>
  </rv>
  <rv s="8">
    <fb>712.2</fb>
    <v>16</v>
  </rv>
  <rv s="8">
    <fb>708.68</fb>
    <v>16</v>
  </rv>
  <rv s="8">
    <fb>726.09</fb>
    <v>16</v>
  </rv>
  <rv s="8">
    <fb>733.63</fb>
    <v>16</v>
  </rv>
  <rv s="8">
    <fb>738.09</fb>
    <v>16</v>
  </rv>
  <rv s="8">
    <fb>719.22</fb>
    <v>16</v>
  </rv>
  <rv s="8">
    <fb>713.57</fb>
    <v>16</v>
  </rv>
  <rv s="8">
    <fb>719.01</fb>
    <v>16</v>
  </rv>
  <rv s="8">
    <fb>718.35</fb>
    <v>16</v>
  </rv>
  <rv s="8">
    <fb>720.67</fb>
    <v>16</v>
  </rv>
  <rv s="8">
    <fb>732.78</fb>
    <v>16</v>
  </rv>
  <rv s="8">
    <fb>727.24</fb>
    <v>16</v>
  </rv>
  <rv s="8">
    <fb>717.51</fb>
    <v>16</v>
  </rv>
  <rv s="8">
    <fb>720.92</fb>
    <v>16</v>
  </rv>
  <rv s="8">
    <fb>710.39</fb>
    <v>16</v>
  </rv>
  <rv s="8">
    <fb>702.91</fb>
    <v>16</v>
  </rv>
  <rv s="8">
    <fb>701.41</fb>
    <v>16</v>
  </rv>
  <rv s="8">
    <fb>704.28</fb>
    <v>16</v>
  </rv>
  <rv s="8">
    <fb>712.96500000000003</fb>
    <v>16</v>
  </rv>
  <rv s="8">
    <fb>704.81</fb>
    <v>16</v>
  </rv>
  <rv s="8">
    <fb>713.58</fb>
    <v>16</v>
  </rv>
  <rv s="8">
    <fb>714.8</fb>
    <v>16</v>
  </rv>
  <rv s="8">
    <fb>712.68</fb>
    <v>16</v>
  </rv>
  <rv s="8">
    <fb>717.63</fb>
    <v>16</v>
  </rv>
  <rv s="8">
    <fb>700</fb>
    <v>16</v>
  </rv>
  <rv s="8">
    <fb>695.21</fb>
    <v>16</v>
  </rv>
  <rv s="8">
    <fb>773.44</fb>
    <v>16</v>
  </rv>
  <rv s="8">
    <fb>750.01</fb>
    <v>16</v>
  </rv>
  <rv s="8">
    <fb>776.37</fb>
    <v>16</v>
  </rv>
  <rv s="8">
    <fb>763.46</fb>
    <v>16</v>
  </rv>
  <rv s="8">
    <fb>771.99</fb>
    <v>16</v>
  </rv>
  <rv s="8">
    <fb>761.83</fb>
    <v>16</v>
  </rv>
  <rv s="8">
    <fb>769.3</fb>
    <v>16</v>
  </rv>
  <rv s="8">
    <fb>765.87</fb>
    <v>16</v>
  </rv>
  <rv s="8">
    <fb>790</fb>
    <v>16</v>
  </rv>
  <rv s="8">
    <fb>780.08</fb>
    <v>16</v>
  </rv>
  <rv s="8">
    <fb>782.13</fb>
    <v>16</v>
  </rv>
  <rv s="8">
    <fb>785.23</fb>
    <v>16</v>
  </rv>
  <rv s="8">
    <fb>767.37</fb>
    <v>16</v>
  </rv>
  <rv s="8">
    <fb>751.48</fb>
    <v>16</v>
  </rv>
  <rv s="8">
    <fb>747.72</fb>
    <v>16</v>
  </rv>
  <rv s="8">
    <fb>739.1</fb>
    <v>16</v>
  </rv>
  <rv s="8">
    <fb>754.79</fb>
    <v>16</v>
  </rv>
  <rv s="8">
    <fb>753.3</fb>
    <v>16</v>
  </rv>
  <rv s="8">
    <fb>754.1</fb>
    <v>16</v>
  </rv>
  <rv s="8">
    <fb>747.38</fb>
    <v>16</v>
  </rv>
  <rv s="8">
    <fb>751.11</fb>
    <v>16</v>
  </rv>
  <rv s="8">
    <fb>738.7</fb>
    <v>16</v>
  </rv>
  <rv s="8">
    <fb>735.11</fb>
    <v>16</v>
  </rv>
  <rv s="8">
    <fb>737.05</fb>
    <v>16</v>
  </rv>
  <rv s="8">
    <fb>748.65</fb>
    <v>16</v>
  </rv>
  <rv s="8">
    <fb>752.45</fb>
    <v>16</v>
  </rv>
  <rv s="8">
    <fb>752.3</fb>
    <v>16</v>
  </rv>
  <rv s="8">
    <fb>765.7</fb>
    <v>16</v>
  </rv>
  <rv s="8">
    <fb>751.98</fb>
    <v>16</v>
  </rv>
  <rv s="8">
    <fb>750.9</fb>
    <v>16</v>
  </rv>
  <rv s="8">
    <fb>755.59</fb>
    <v>16</v>
  </rv>
  <rv s="8">
    <fb>764.7</fb>
    <v>16</v>
  </rv>
  <rv s="8">
    <fb>779</fb>
    <v>16</v>
  </rv>
  <rv s="8">
    <fb>775.71500000000003</fb>
    <v>16</v>
  </rv>
  <rv s="8">
    <fb>780.25</fb>
    <v>16</v>
  </rv>
  <rv s="8">
    <fb>778.38</fb>
    <v>16</v>
  </rv>
  <rv s="8">
    <fb>765.16</fb>
    <v>16</v>
  </rv>
  <rv s="8">
    <fb>755.4</fb>
    <v>16</v>
  </rv>
  <rv s="8">
    <fb>760.66</fb>
    <v>16</v>
  </rv>
  <rv s="8">
    <fb>748.91</fb>
    <v>16</v>
  </rv>
  <rv s="8">
    <fb>743.75</fb>
    <v>16</v>
  </rv>
  <rv s="8">
    <fb>743.4</fb>
    <v>16</v>
  </rv>
  <rv s="8">
    <fb>734.38</fb>
    <v>16</v>
  </rv>
  <rv s="8">
    <fb>717.34</fb>
    <v>16</v>
  </rv>
  <rv s="8">
    <fb>727.05</fb>
    <v>16</v>
  </rv>
  <rv s="8">
    <fb>710.56</fb>
    <v>16</v>
  </rv>
  <rv s="8">
    <fb>715.66</fb>
    <v>16</v>
  </rv>
  <rv s="8">
    <fb>713.08</fb>
    <v>16</v>
  </rv>
  <rv s="8">
    <fb>717.84</fb>
    <v>16</v>
  </rv>
  <rv s="8">
    <fb>733.51</fb>
    <v>16</v>
  </rv>
  <rv s="8">
    <fb>705.3</fb>
    <v>16</v>
  </rv>
  <rv s="8">
    <fb>715.7</fb>
    <v>16</v>
  </rv>
  <rv s="8">
    <fb>708.65</fb>
    <v>16</v>
  </rv>
  <rv s="8">
    <fb>717.55</fb>
    <v>16</v>
  </rv>
  <rv s="8">
    <fb>712.07</fb>
    <v>16</v>
  </rv>
  <rv s="8">
    <fb>716.91499999999996</fb>
    <v>16</v>
  </rv>
  <rv s="8">
    <fb>732.17</fb>
    <v>16</v>
  </rv>
  <rv s="8">
    <fb>733.27</fb>
    <v>16</v>
  </rv>
  <rv s="8">
    <fb>733.41</fb>
    <v>16</v>
  </rv>
  <rv s="8">
    <fb>734</fb>
    <v>16</v>
  </rv>
  <rv s="8">
    <fb>738.36</fb>
    <v>16</v>
  </rv>
  <rv s="8">
    <fb>750.82</fb>
    <v>16</v>
  </rv>
  <rv s="8">
    <fb>751.44</fb>
    <v>16</v>
  </rv>
  <rv s="8">
    <fb>751.67</fb>
    <v>16</v>
  </rv>
  <rv s="8">
    <fb>666.47</fb>
    <v>16</v>
  </rv>
  <rv s="8">
    <fb>648.35</fb>
    <v>16</v>
  </rv>
  <rv s="8">
    <fb>637.71</fb>
    <v>16</v>
  </rv>
  <rv s="8">
    <fb>627.32000000000005</fb>
    <v>16</v>
  </rv>
  <rv s="8">
    <fb>635.95000000000005</fb>
    <v>16</v>
  </rv>
  <rv s="8">
    <fb>618.94000000000005</fb>
    <v>16</v>
  </rv>
  <rv s="8">
    <fb>621.71</fb>
    <v>16</v>
  </rv>
  <rv s="8">
    <fb>631.76</fb>
    <v>16</v>
  </rv>
  <rv s="8">
    <fb>627.08000000000004</fb>
    <v>16</v>
  </rv>
  <rv s="8">
    <fb>609.01</fb>
    <v>16</v>
  </rv>
  <rv s="8">
    <fb>609.89</fb>
    <v>16</v>
  </rv>
  <rv s="8">
    <fb>609.46</fb>
    <v>16</v>
  </rv>
  <rv s="8">
    <fb>602.01</fb>
    <v>16</v>
  </rv>
  <rv s="8">
    <fb>597.69000000000005</fb>
    <v>16</v>
  </rv>
  <rv s="8">
    <fb>590.32000000000005</fb>
    <v>16</v>
  </rv>
  <rv s="8">
    <fb>589.15</fb>
    <v>16</v>
  </rv>
  <rv s="8">
    <fb>594.25</fb>
    <v>16</v>
  </rv>
  <rv s="8">
    <fb>613.04999999999995</fb>
    <v>16</v>
  </rv>
  <rv s="8">
    <fb>636.22</fb>
    <v>16</v>
  </rv>
  <rv s="8">
    <fb>633.61</fb>
    <v>16</v>
  </rv>
  <rv s="8">
    <fb>647.95000000000005</fb>
    <v>16</v>
  </rv>
  <rv s="8">
    <fb>640.87</fb>
    <v>16</v>
  </rv>
  <rv s="8">
    <fb>647.1</fb>
    <v>16</v>
  </rv>
  <rv s="8">
    <fb>639.6</fb>
    <v>16</v>
  </rv>
  <rv s="8">
    <fb>661.53</fb>
    <v>16</v>
  </rv>
  <rv s="8">
    <fb>673.42</fb>
    <v>16</v>
  </rv>
  <rv s="8">
    <fb>666.8</fb>
    <v>16</v>
  </rv>
  <rv s="8">
    <fb>656.96</fb>
    <v>16</v>
  </rv>
  <rv s="8">
    <fb>650.13</fb>
    <v>16</v>
  </rv>
  <rv s="8">
    <fb>652.71</fb>
    <v>16</v>
  </rv>
  <rv s="8">
    <fb>644.23</fb>
    <v>16</v>
  </rv>
  <rv s="8">
    <fb>647.51</fb>
    <v>16</v>
  </rv>
  <rv s="8">
    <fb>657.15</fb>
    <v>16</v>
  </rv>
  <rv s="8">
    <fb>649.5</fb>
    <v>16</v>
  </rv>
  <rv s="8">
    <fb>664.45</fb>
    <v>16</v>
  </rv>
  <rv s="8">
    <fb>658.77</fb>
    <v>16</v>
  </rv>
  <rv s="8">
    <fb>661.5</fb>
    <v>16</v>
  </rv>
  <rv s="8">
    <fb>664.94</fb>
    <v>16</v>
  </rv>
  <rv s="8">
    <fb>667.55</fb>
    <v>16</v>
  </rv>
  <rv s="8">
    <fb>663.29</fb>
    <v>16</v>
  </rv>
  <rv s="8">
    <fb>658.69</fb>
    <v>16</v>
  </rv>
  <rv s="8">
    <fb>665.95</fb>
    <v>16</v>
  </rv>
  <rv s="8">
    <fb>660.09</fb>
    <v>16</v>
  </rv>
  <rv s="8">
    <fb>650.41</fb>
    <v>16</v>
  </rv>
  <rv s="8">
    <fb>658.79</fb>
    <v>16</v>
  </rv>
  <rv s="8">
    <fb>660.62</fb>
    <v>16</v>
  </rv>
  <rv s="8">
    <fb>648.69000000000005</fb>
    <v>16</v>
  </rv>
  <rv s="8">
    <fb>646.05999999999995</fb>
    <v>16</v>
  </rv>
  <rv s="8">
    <fb>653.05999999999995</fb>
    <v>16</v>
  </rv>
  <rv s="8">
    <fb>641.97</fb>
    <v>16</v>
  </rv>
  <rv s="8">
    <fb>631.09</fb>
    <v>16</v>
  </rv>
  <rv s="8">
    <fb>615.52</fb>
    <v>16</v>
  </rv>
  <rv s="8">
    <fb>620.79999999999995</fb>
    <v>16</v>
  </rv>
  <rv s="8">
    <fb>620.25</fb>
    <v>16</v>
  </rv>
  <rv s="8">
    <fb>604.12</fb>
    <v>16</v>
  </rv>
  <rv s="8">
    <fb>612.96</fb>
    <v>16</v>
  </rv>
  <rv s="8">
    <fb>647.63</fb>
    <v>16</v>
  </rv>
  <rv s="8">
    <fb>658.76</fb>
    <v>16</v>
  </rv>
  <rv s="8">
    <fb>672.36</fb>
    <v>16</v>
  </rv>
  <rv s="8">
    <fb>672.97</fb>
    <v>16</v>
  </rv>
  <rv s="8">
    <fb>668.73</fb>
    <v>16</v>
  </rv>
  <rv s="8">
    <fb>738.31</fb>
    <v>16</v>
  </rv>
  <rv s="8">
    <fb>716.5</fb>
    <v>16</v>
  </rv>
  <rv s="8">
    <fb>706.41</fb>
    <v>16</v>
  </rv>
  <rv s="8">
    <fb>691.7</fb>
    <v>16</v>
  </rv>
  <rv s="8">
    <fb>668.99</fb>
    <v>16</v>
  </rv>
  <rv s="8">
    <fb>670.21</fb>
    <v>16</v>
  </rv>
  <rv s="8">
    <fb>661.46</fb>
    <v>16</v>
  </rv>
  <rv s="8">
    <fb>677.22</fb>
    <v>16</v>
  </rv>
  <rv s="8">
    <fb>670.72</fb>
    <v>16</v>
  </rv>
  <rv s="8">
    <fb>668.69</fb>
    <v>16</v>
  </rv>
  <rv s="8">
    <fb>649.80999999999995</fb>
    <v>16</v>
  </rv>
  <rv s="8">
    <fb>639.77</fb>
    <v>16</v>
  </rv>
  <rv s="8">
    <fb>639.29</fb>
    <v>16</v>
  </rv>
  <rv s="8">
    <fb>643.22</fb>
    <v>16</v>
  </rv>
  <rv s="8">
    <fb>644.78</fb>
    <v>16</v>
  </rv>
  <rv s="8">
    <fb>655.66</fb>
    <v>16</v>
  </rv>
  <rv s="8">
    <fb>637.25</fb>
    <v>16</v>
  </rv>
  <rv s="8">
    <fb>639.29999999999995</fb>
    <v>16</v>
  </rv>
  <rv s="8">
    <fb>653.69000000000005</fb>
    <v>16</v>
  </rv>
  <rv s="8">
    <fb>657.01</fb>
    <v>16</v>
  </rv>
  <rv s="8">
    <fb>648.17999999999995</fb>
    <v>16</v>
  </rv>
  <rv s="8">
    <fb>653.55999999999995</fb>
    <v>16</v>
  </rv>
  <rv s="8">
    <fb>655.08000000000004</fb>
    <v>16</v>
  </rv>
  <rv s="8">
    <fb>667.73</fb>
    <v>16</v>
  </rv>
  <rv s="8">
    <fb>660.57</fb>
    <v>16</v>
  </rv>
  <rv s="8">
    <fb>644.86</fb>
    <v>16</v>
  </rv>
  <rv s="8">
    <fb>647.39</fb>
    <v>16</v>
  </rv>
  <rv s="8">
    <fb>654.07000000000005</fb>
    <v>16</v>
  </rv>
  <rv s="8">
    <fb>654.86</fb>
    <v>16</v>
  </rv>
  <rv s="8">
    <fb>638.17999999999995</fb>
    <v>16</v>
  </rv>
  <rv s="8">
    <fb>613.71</fb>
    <v>16</v>
  </rv>
  <rv s="8">
    <fb>627.45000000000005</fb>
    <v>16</v>
  </rv>
  <rv s="8">
    <fb>622.66</fb>
    <v>16</v>
  </rv>
  <rv s="8">
    <fb>615.67999999999995</fb>
    <v>16</v>
  </rv>
  <rv s="8">
    <fb>606.70000000000005</fb>
    <v>16</v>
  </rv>
  <rv s="8">
    <fb>593.66</fb>
    <v>16</v>
  </rv>
  <rv s="8">
    <fb>604.05999999999995</fb>
    <v>16</v>
  </rv>
  <rv s="8">
    <fb>592.91999999999996</fb>
    <v>16</v>
  </rv>
  <rv s="8">
    <fb>594.89</fb>
    <v>16</v>
  </rv>
  <rv s="8">
    <fb>547.54</fb>
    <v>16</v>
  </rv>
  <rv s="8">
    <fb>525.72</fb>
    <v>16</v>
  </rv>
  <rv s="8">
    <fb>536.38</fb>
    <v>16</v>
  </rv>
  <rv s="8">
    <fb>572.13</fb>
    <v>16</v>
  </rv>
  <rv s="8">
    <fb>579.23</fb>
    <v>16</v>
  </rv>
  <rv s="8">
    <fb>101.8</fb>
    <v>16</v>
  </rv>
  <rv s="8">
    <fb>94.31</fb>
    <v>16</v>
  </rv>
  <rv s="8">
    <fb>97.64</fb>
    <v>16</v>
  </rv>
  <rv s="8">
    <fb>114.33</fb>
    <v>16</v>
  </rv>
  <rv s="8">
    <fb>107.57</fb>
    <v>16</v>
  </rv>
  <rv s="8">
    <fb>110.93</fb>
    <v>16</v>
  </rv>
  <rv s="8">
    <fb>112.2</fb>
    <v>16</v>
  </rv>
  <rv s="8">
    <fb>104.49</fb>
    <v>16</v>
  </rv>
  <rv s="8">
    <fb>96.91</fb>
    <v>16</v>
  </rv>
  <rv s="8">
    <fb>98.89</fb>
    <v>16</v>
  </rv>
  <rv s="8">
    <fb>102.71</fb>
    <v>16</v>
  </rv>
  <rv s="8">
    <fb>106.43</fb>
    <v>16</v>
  </rv>
  <rv s="8">
    <fb>111.01</fb>
    <v>16</v>
  </rv>
  <rv s="8">
    <fb>108.73</fb>
    <v>16</v>
  </rv>
  <rv s="8">
    <fb>109.02</fb>
    <v>16</v>
  </rv>
  <rv s="8">
    <fb>111.61</fb>
    <v>16</v>
  </rv>
  <rv s="8">
    <fb>114.5</fb>
    <v>16</v>
  </rv>
  <rv s="8">
    <fb>113.82</fb>
    <v>16</v>
  </rv>
  <rv s="8">
    <fb>113.54</fb>
    <v>16</v>
  </rv>
  <rv s="8">
    <fb>117.06</fb>
    <v>16</v>
  </rv>
  <rv s="8">
    <fb>117.37</fb>
    <v>16</v>
  </rv>
  <rv s="8">
    <fb>116.65</fb>
    <v>16</v>
  </rv>
  <rv s="8">
    <fb>123</fb>
    <v>16</v>
  </rv>
  <rv s="8">
    <fb>129.93</fb>
    <v>16</v>
  </rv>
  <rv s="8">
    <fb>135.34</fb>
    <v>16</v>
  </rv>
  <rv s="8">
    <fb>134.83000000000001</fb>
    <v>16</v>
  </rv>
  <rv s="8">
    <fb>135.4</fb>
    <v>16</v>
  </rv>
  <rv s="8">
    <fb>135.57</fb>
    <v>16</v>
  </rv>
  <rv s="8">
    <fb>134.38</fb>
    <v>16</v>
  </rv>
  <rv s="8">
    <fb>131.80000000000001</fb>
    <v>16</v>
  </rv>
  <rv s="8">
    <fb>132.83000000000001</fb>
    <v>16</v>
  </rv>
  <rv s="8">
    <fb>131.29</fb>
    <v>16</v>
  </rv>
  <rv s="8">
    <fb>134.81</fb>
    <v>16</v>
  </rv>
  <rv s="8">
    <fb>139.19</fb>
    <v>16</v>
  </rv>
  <rv s="8">
    <fb>135.13</fb>
    <v>16</v>
  </rv>
  <rv s="8">
    <fb>137.38</fb>
    <v>16</v>
  </rv>
  <rv s="8">
    <fb>141.22</fb>
    <v>16</v>
  </rv>
  <rv s="8">
    <fb>141.91999999999999</fb>
    <v>16</v>
  </rv>
  <rv s="8">
    <fb>139.99</fb>
    <v>16</v>
  </rv>
  <rv s="8">
    <fb>141.72</fb>
    <v>16</v>
  </rv>
  <rv s="8">
    <fb>142.63</fb>
    <v>16</v>
  </rv>
  <rv s="8">
    <fb>143.96</fb>
    <v>16</v>
  </rv>
  <rv s="8">
    <fb>142.83000000000001</fb>
    <v>16</v>
  </rv>
  <rv s="8">
    <fb>145</fb>
    <v>16</v>
  </rv>
  <rv s="8">
    <fb>141.97</fb>
    <v>16</v>
  </rv>
  <rv s="8">
    <fb>144.69</fb>
    <v>16</v>
  </rv>
  <rv s="8">
    <fb>144.12</fb>
    <v>16</v>
  </rv>
  <rv s="8">
    <fb>145.47999999999999</fb>
    <v>16</v>
  </rv>
  <rv s="8">
    <fb>143.85</fb>
    <v>16</v>
  </rv>
  <rv s="8">
    <fb>144.16999999999999</fb>
    <v>16</v>
  </rv>
  <rv s="8">
    <fb>147.9</fb>
    <v>16</v>
  </rv>
  <rv s="8">
    <fb>154.31</fb>
    <v>16</v>
  </rv>
  <rv s="8">
    <fb>157.75</fb>
    <v>16</v>
  </rv>
  <rv s="8">
    <fb>157.99</fb>
    <v>16</v>
  </rv>
  <rv s="8">
    <fb>153.30000000000001</fb>
    <v>16</v>
  </rv>
  <rv s="8">
    <fb>157.25</fb>
    <v>16</v>
  </rv>
  <rv s="8">
    <fb>159.34</fb>
    <v>16</v>
  </rv>
  <rv s="8">
    <fb>158.24</fb>
    <v>16</v>
  </rv>
  <rv s="8">
    <fb>160</fb>
    <v>16</v>
  </rv>
  <rv s="8">
    <fb>162.88</fb>
    <v>16</v>
  </rv>
  <rv s="8">
    <fb>164.1</fb>
    <v>16</v>
  </rv>
  <rv s="8">
    <fb>164.92</fb>
    <v>16</v>
  </rv>
  <rv s="8">
    <fb>164.07</fb>
    <v>16</v>
  </rv>
  <rv s="8">
    <fb>170.7</fb>
    <v>16</v>
  </rv>
  <rv s="8">
    <fb>171.37</fb>
    <v>16</v>
  </rv>
  <rv s="8">
    <fb>173</fb>
    <v>16</v>
  </rv>
  <rv s="8">
    <fb>172.41</fb>
    <v>16</v>
  </rv>
  <rv s="8">
    <fb>171.38</fb>
    <v>16</v>
  </rv>
  <rv s="8">
    <fb>167.03</fb>
    <v>16</v>
  </rv>
  <rv s="8">
    <fb>170.78</fb>
    <v>16</v>
  </rv>
  <rv s="8">
    <fb>173.74</fb>
    <v>16</v>
  </rv>
  <rv s="8">
    <fb>173.5</fb>
    <v>16</v>
  </rv>
  <rv s="8">
    <fb>176.75</fb>
    <v>16</v>
  </rv>
  <rv s="8">
    <fb>175.51</fb>
    <v>16</v>
  </rv>
  <rv s="8">
    <fb>179.27</fb>
    <v>16</v>
  </rv>
  <rv s="8">
    <fb>177.87</fb>
    <v>16</v>
  </rv>
  <rv s="8">
    <fb>173.72</fb>
    <v>16</v>
  </rv>
  <rv s="8">
    <fb>180</fb>
    <v>16</v>
  </rv>
  <rv s="8">
    <fb>178.26</fb>
    <v>16</v>
  </rv>
  <rv s="8">
    <fb>179.42</fb>
    <v>16</v>
  </rv>
  <rv s="8">
    <fb>180.77</fb>
    <v>16</v>
  </rv>
  <rv s="8">
    <fb>182.7</fb>
    <v>16</v>
  </rv>
  <rv s="8">
    <fb>182.06</fb>
    <v>16</v>
  </rv>
  <rv s="8">
    <fb>183.16</fb>
    <v>16</v>
  </rv>
  <rv s="8">
    <fb>181.59</fb>
    <v>16</v>
  </rv>
  <rv s="8">
    <fb>182.02</fb>
    <v>16</v>
  </rv>
  <rv s="8">
    <fb>180.45</fb>
    <v>16</v>
  </rv>
  <rv s="8">
    <fb>182.01</fb>
    <v>16</v>
  </rv>
  <rv s="8">
    <fb>175.64</fb>
    <v>16</v>
  </rv>
  <rv s="8">
    <fb>175.4</fb>
    <v>16</v>
  </rv>
  <rv s="8">
    <fb>174.98</fb>
    <v>16</v>
  </rv>
  <rv s="8">
    <fb>177.99</fb>
    <v>16</v>
  </rv>
  <rv s="8">
    <fb>179.81</fb>
    <v>16</v>
  </rv>
  <rv s="8">
    <fb>181.77</fb>
    <v>16</v>
  </rv>
  <rv s="8">
    <fb>181.6</fb>
    <v>16</v>
  </rv>
  <rv s="8">
    <fb>180.17</fb>
    <v>16</v>
  </rv>
  <rv s="8">
    <fb>174.18</fb>
    <v>16</v>
  </rv>
  <rv s="8">
    <fb>170.62</fb>
    <v>16</v>
  </rv>
  <rv s="8">
    <fb>171.66</fb>
    <v>16</v>
  </rv>
  <rv s="8">
    <fb>167.02</fb>
    <v>16</v>
  </rv>
  <rv s="8">
    <fb>168.31</fb>
    <v>16</v>
  </rv>
  <rv s="8">
    <fb>170.76</fb>
    <v>16</v>
  </rv>
  <rv s="8">
    <fb>177.33</fb>
    <v>16</v>
  </rv>
  <rv s="8">
    <fb>177.17</fb>
    <v>16</v>
  </rv>
  <rv s="8">
    <fb>177.82</fb>
    <v>16</v>
  </rv>
  <rv s="8">
    <fb>177.75</fb>
    <v>16</v>
  </rv>
  <rv s="8">
    <fb>174.88</fb>
    <v>16</v>
  </rv>
  <rv s="8">
    <fb>170.29</fb>
    <v>16</v>
  </rv>
  <rv s="8">
    <fb>176.24</fb>
    <v>16</v>
  </rv>
  <rv s="8">
    <fb>176.67</fb>
    <v>16</v>
  </rv>
  <rv s="8">
    <fb>183.61</fb>
    <v>16</v>
  </rv>
  <rv s="8">
    <fb>178.43</fb>
    <v>16</v>
  </rv>
  <rv s="8">
    <fb>176.97</fb>
    <v>16</v>
  </rv>
  <rv s="8">
    <fb>177.69</fb>
    <v>16</v>
  </rv>
  <rv s="8">
    <fb>178.19</fb>
    <v>16</v>
  </rv>
  <rv s="8">
    <fb>181.85</fb>
    <v>16</v>
  </rv>
  <rv s="8">
    <fb>186.58</fb>
    <v>16</v>
  </rv>
  <rv s="8">
    <fb>187.24</fb>
    <v>16</v>
  </rv>
  <rv s="8">
    <fb>188.89</fb>
    <v>16</v>
  </rv>
  <rv s="8">
    <fb>187.62</fb>
    <v>16</v>
  </rv>
  <rv s="8">
    <fb>185.54</fb>
    <v>16</v>
  </rv>
  <rv s="8">
    <fb>185.04</fb>
    <v>16</v>
  </rv>
  <rv s="8">
    <fb>189.11</fb>
    <v>16</v>
  </rv>
  <rv s="8">
    <fb>192.57</fb>
    <v>16</v>
  </rv>
  <rv s="8">
    <fb>188.32</fb>
    <v>16</v>
  </rv>
  <rv s="8">
    <fb>180.03</fb>
    <v>16</v>
  </rv>
  <rv s="8">
    <fb>179.83</fb>
    <v>16</v>
  </rv>
  <rv s="8">
    <fb>181.81</fb>
    <v>16</v>
  </rv>
  <rv s="8">
    <fb>183.22</fb>
    <v>16</v>
  </rv>
  <rv s="8">
    <fb>182.64</fb>
    <v>16</v>
  </rv>
  <rv s="8">
    <fb>181.16</fb>
    <v>16</v>
  </rv>
  <rv s="8">
    <fb>180.28</fb>
    <v>16</v>
  </rv>
  <rv s="8">
    <fb>182.16</fb>
    <v>16</v>
  </rv>
  <rv s="8">
    <fb>186.26</fb>
    <v>16</v>
  </rv>
  <rv s="8">
    <fb>191.49</fb>
    <v>16</v>
  </rv>
  <rv s="8">
    <fb>201.03</fb>
    <v>16</v>
  </rv>
  <rv s="8">
    <fb>207.04</fb>
    <v>16</v>
  </rv>
  <rv s="8">
    <fb>202.89</fb>
    <v>16</v>
  </rv>
  <rv s="8">
    <fb>202.49</fb>
    <v>16</v>
  </rv>
  <rv s="8">
    <fb>206.88</fb>
    <v>16</v>
  </rv>
  <rv s="8">
    <fb>198.69</fb>
    <v>16</v>
  </rv>
  <rv s="8">
    <fb>195.21</fb>
    <v>16</v>
  </rv>
  <rv s="8">
    <fb>188.08</fb>
    <v>16</v>
  </rv>
  <rv s="8">
    <fb>188.15</fb>
    <v>16</v>
  </rv>
  <rv s="8">
    <fb>199.05</fb>
    <v>16</v>
  </rv>
  <rv s="8">
    <fb>193.8</fb>
    <v>16</v>
  </rv>
  <rv s="8">
    <fb>186.86</fb>
    <v>16</v>
  </rv>
  <rv s="8">
    <fb>190.17</fb>
    <v>16</v>
  </rv>
  <rv s="8">
    <fb>186.6</fb>
    <v>16</v>
  </rv>
  <rv s="8">
    <fb>181.36</fb>
    <v>16</v>
  </rv>
  <rv s="8">
    <fb>186.52</fb>
    <v>16</v>
  </rv>
  <rv s="8">
    <fb>180.64</fb>
    <v>16</v>
  </rv>
  <rv s="8">
    <fb>178.88</fb>
    <v>16</v>
  </rv>
  <rv s="8">
    <fb>182.55</fb>
    <v>16</v>
  </rv>
  <rv s="8">
    <fb>180.26</fb>
    <v>16</v>
  </rv>
  <rv s="8">
    <fb>177</fb>
    <v>16</v>
  </rv>
  <rv s="8">
    <fb>179.92</fb>
    <v>16</v>
  </rv>
  <rv s="8">
    <fb>183.38</fb>
    <v>16</v>
  </rv>
  <rv s="8">
    <fb>182.41</fb>
    <v>16</v>
  </rv>
  <rv s="8">
    <fb>185.55</fb>
    <v>16</v>
  </rv>
  <rv s="8">
    <fb>184.97</fb>
    <v>16</v>
  </rv>
  <rv s="8">
    <fb>183.78</fb>
    <v>16</v>
  </rv>
  <rv s="8">
    <fb>180.93</fb>
    <v>16</v>
  </rv>
  <rv s="8">
    <fb>175.02</fb>
    <v>16</v>
  </rv>
  <rv s="8">
    <fb>176.29</fb>
    <v>16</v>
  </rv>
  <rv s="8">
    <fb>177.72</fb>
    <v>16</v>
  </rv>
  <rv s="8">
    <fb>170.94</fb>
    <v>16</v>
  </rv>
  <rv s="8">
    <fb>174.14</fb>
    <v>16</v>
  </rv>
  <rv s="8">
    <fb>180.99</fb>
    <v>16</v>
  </rv>
  <rv s="8">
    <fb>183.69</fb>
    <v>16</v>
  </rv>
  <rv s="8">
    <fb>189.21</fb>
    <v>16</v>
  </rv>
  <rv s="8">
    <fb>188.61</fb>
    <v>16</v>
  </rv>
  <rv s="8">
    <fb>190.53</fb>
    <v>16</v>
  </rv>
  <rv s="8">
    <fb>188.22</fb>
    <v>16</v>
  </rv>
  <rv s="8">
    <fb>187.54</fb>
    <v>16</v>
  </rv>
  <rv s="8">
    <fb>186.5</fb>
    <v>16</v>
  </rv>
  <rv s="8">
    <fb>188.85</fb>
    <v>16</v>
  </rv>
  <rv s="8">
    <fb>188.12</fb>
    <v>16</v>
  </rv>
  <rv s="8">
    <fb>184.86</fb>
    <v>16</v>
  </rv>
  <rv s="8">
    <fb>184.94</fb>
    <v>16</v>
  </rv>
  <rv s="8">
    <fb>185.81</fb>
    <v>16</v>
  </rv>
  <rv s="8">
    <fb>183.14</fb>
    <v>16</v>
  </rv>
  <rv s="8">
    <fb>187.05</fb>
    <v>16</v>
  </rv>
  <rv s="8">
    <fb>186.23</fb>
    <v>16</v>
  </rv>
  <rv s="8">
    <fb>178.07</fb>
    <v>16</v>
  </rv>
  <rv s="8">
    <fb>183.32</fb>
    <v>16</v>
  </rv>
  <rv s="8">
    <fb>184.84</fb>
    <v>16</v>
  </rv>
  <rv s="8">
    <fb>187.67</fb>
    <v>16</v>
  </rv>
  <rv s="8">
    <fb>186.47</fb>
    <v>16</v>
  </rv>
  <rv s="8">
    <fb>188.52</fb>
    <v>16</v>
  </rv>
  <rv s="8">
    <fb>191.52</fb>
    <v>16</v>
  </rv>
  <rv s="8">
    <fb>192.51</fb>
    <v>16</v>
  </rv>
  <rv s="8">
    <fb>191.13</fb>
    <v>16</v>
  </rv>
  <rv s="8">
    <fb>185.61</fb>
    <v>16</v>
  </rv>
  <rv s="8">
    <fb>180.34</fb>
    <v>16</v>
  </rv>
  <rv s="8">
    <fb>174.19</fb>
    <v>16</v>
  </rv>
  <rv s="8">
    <fb>171.88</fb>
    <v>16</v>
  </rv>
  <rv s="8">
    <fb>185.41</fb>
    <v>16</v>
  </rv>
  <rv s="8">
    <fb>190.04</fb>
    <v>16</v>
  </rv>
  <rv s="8">
    <fb>188.54</fb>
    <v>16</v>
  </rv>
  <rv s="8">
    <fb>190.05</fb>
    <v>16</v>
  </rv>
  <rv s="8">
    <fb>186.94</fb>
    <v>16</v>
  </rv>
  <rv s="8">
    <fb>182.81</fb>
    <v>16</v>
  </rv>
  <rv s="8">
    <fb>187.98</fb>
    <v>16</v>
  </rv>
  <rv s="8">
    <fb>187.9</fb>
    <v>16</v>
  </rv>
  <rv s="8">
    <fb>189.82</fb>
    <v>16</v>
  </rv>
  <rv s="8">
    <fb>191.55</fb>
    <v>16</v>
  </rv>
  <rv s="8">
    <fb>192.85</fb>
    <v>16</v>
  </rv>
  <rv s="8">
    <fb>195.56</fb>
    <v>16</v>
  </rv>
  <rv s="8">
    <fb>184.89</fb>
    <v>16</v>
  </rv>
  <rv s="8">
    <fb>177.19</fb>
    <v>16</v>
  </rv>
  <rv s="8">
    <fb>182.48</fb>
    <v>16</v>
  </rv>
  <rv s="8">
    <fb>180.05</fb>
    <v>16</v>
  </rv>
  <rv s="8">
    <fb>183.04</fb>
    <v>16</v>
  </rv>
  <rv s="8">
    <fb>183.34</fb>
    <v>16</v>
  </rv>
  <rv s="8">
    <fb>182.65</fb>
    <v>16</v>
  </rv>
  <rv s="8">
    <fb>184.77</fb>
    <v>16</v>
  </rv>
  <rv s="8">
    <fb>180.25</fb>
    <v>16</v>
  </rv>
  <rv s="8">
    <fb>181.93</fb>
    <v>16</v>
  </rv>
  <rv s="8">
    <fb>180.4</fb>
    <v>16</v>
  </rv>
  <rv s="8">
    <fb>178.56</fb>
    <v>16</v>
  </rv>
  <rv s="8">
    <fb>172.7</fb>
    <v>16</v>
  </rv>
  <rv s="8">
    <fb>175.2</fb>
    <v>16</v>
  </rv>
  <rv s="8">
    <fb>178.68</fb>
    <v>16</v>
  </rv>
  <rv s="8">
    <fb>171.24</fb>
    <v>16</v>
  </rv>
  <rv s="8">
    <fb>167.52</fb>
    <v>16</v>
  </rv>
  <rv s="8">
    <fb>165.17</fb>
    <v>16</v>
  </rv>
  <rv s="8">
    <fb>174.4</fb>
    <v>16</v>
  </rv>
  <rv s="8">
    <fb>175.75</fb>
    <v>16</v>
  </rv>
  <rv s="9">
    <v>254</v>
    <v>8</v>
    <v>0</v>
    <v>1</v>
  </rv>
  <rv s="8">
    <fb>150.91</fb>
    <v>16</v>
  </rv>
  <rv s="8">
    <fb>136.59</fb>
    <v>16</v>
  </rv>
  <rv s="8">
    <fb>138.86000000000001</fb>
    <v>16</v>
  </rv>
  <rv s="8">
    <fb>139.38999999999999</fb>
    <v>16</v>
  </rv>
  <rv s="8">
    <fb>160.82</fb>
    <v>16</v>
  </rv>
  <rv s="8">
    <fb>155.52000000000001</fb>
    <v>16</v>
  </rv>
  <rv s="8">
    <fb>156.84</fb>
    <v>16</v>
  </rv>
  <rv s="8">
    <fb>159.28</fb>
    <v>16</v>
  </rv>
  <rv s="8">
    <fb>156.47</fb>
    <v>16</v>
  </rv>
  <rv s="8">
    <fb>161.9</fb>
    <v>16</v>
  </rv>
  <rv s="8">
    <fb>162.52000000000001</fb>
    <v>16</v>
  </rv>
  <rv s="8">
    <fb>172.37</fb>
    <v>16</v>
  </rv>
  <rv s="8">
    <fb>176.26</fb>
    <v>16</v>
  </rv>
  <rv s="8">
    <fb>177.95</fb>
    <v>16</v>
  </rv>
  <rv s="8">
    <fb>182.3</fb>
    <v>16</v>
  </rv>
  <rv s="8">
    <fb>182</fb>
    <v>16</v>
  </rv>
  <rv s="8">
    <fb>183.24</fb>
    <v>16</v>
  </rv>
  <rv s="8">
    <fb>182.89</fb>
    <v>16</v>
  </rv>
  <rv s="8">
    <fb>185.46</fb>
    <v>16</v>
  </rv>
  <rv s="8">
    <fb>186.46</fb>
    <v>16</v>
  </rv>
  <rv s="8">
    <fb>185.96</fb>
    <v>16</v>
  </rv>
  <rv s="8">
    <fb>185.56</fb>
    <v>16</v>
  </rv>
  <rv s="8">
    <fb>191.7</fb>
    <v>16</v>
  </rv>
  <rv s="8">
    <fb>194.85</fb>
    <v>16</v>
  </rv>
  <rv s="8">
    <fb>203.42</fb>
    <v>16</v>
  </rv>
  <rv s="8">
    <fb>206.24</fb>
    <v>16</v>
  </rv>
  <rv s="8">
    <fb>205.82</fb>
    <v>16</v>
  </rv>
  <rv s="8">
    <fb>205.25</fb>
    <v>16</v>
  </rv>
  <rv s="8">
    <fb>203.21</fb>
    <v>16</v>
  </rv>
  <rv s="8">
    <fb>203.41</fb>
    <v>16</v>
  </rv>
  <rv s="8">
    <fb>202.36</fb>
    <v>16</v>
  </rv>
  <rv s="8">
    <fb>208.18</fb>
    <v>16</v>
  </rv>
  <rv s="8">
    <fb>211.47</fb>
    <v>16</v>
  </rv>
  <rv s="8">
    <fb>211.98</fb>
    <v>16</v>
  </rv>
  <rv s="8">
    <fb>209.02</fb>
    <v>16</v>
  </rv>
  <rv s="8">
    <fb>210.8</fb>
    <v>16</v>
  </rv>
  <rv s="8">
    <fb>217.51</fb>
    <v>16</v>
  </rv>
  <rv s="8">
    <fb>215.73</fb>
    <v>16</v>
  </rv>
  <rv s="8">
    <fb>214</fb>
    <v>16</v>
  </rv>
  <rv s="8">
    <fb>203.75</fb>
    <v>16</v>
  </rv>
  <rv s="8">
    <fb>200.32</fb>
    <v>16</v>
  </rv>
  <rv s="8">
    <fb>200.26</fb>
    <v>16</v>
  </rv>
  <rv s="8">
    <fb>197.68</fb>
    <v>16</v>
  </rv>
  <rv s="8">
    <fb>198.75</fb>
    <v>16</v>
  </rv>
  <rv s="8">
    <fb>201.31</fb>
    <v>16</v>
  </rv>
  <rv s="8">
    <fb>200.94</fb>
    <v>16</v>
  </rv>
  <rv s="8">
    <fb>198.9</fb>
    <v>16</v>
  </rv>
  <rv s="8">
    <fb>202.58</fb>
    <v>16</v>
  </rv>
  <rv s="8">
    <fb>214.55</fb>
    <v>16</v>
  </rv>
  <rv s="8">
    <fb>209.79</fb>
    <v>16</v>
  </rv>
  <rv s="8">
    <fb>212.03</fb>
    <v>16</v>
  </rv>
  <rv s="8">
    <fb>215.92</fb>
    <v>16</v>
  </rv>
  <rv s="8">
    <fb>218.63</fb>
    <v>16</v>
  </rv>
  <rv s="8">
    <fb>218.52</fb>
    <v>16</v>
  </rv>
  <rv s="8">
    <fb>226.6</fb>
    <v>16</v>
  </rv>
  <rv s="8">
    <fb>226.09</fb>
    <v>16</v>
  </rv>
  <rv s="8">
    <fb>226.84</fb>
    <v>16</v>
  </rv>
  <rv s="8">
    <fb>230.51</fb>
    <v>16</v>
  </rv>
  <rv s="8">
    <fb>230</fb>
    <v>16</v>
  </rv>
  <rv s="8">
    <fb>229.9</fb>
    <v>16</v>
  </rv>
  <rv s="8">
    <fb>229.34</fb>
    <v>16</v>
  </rv>
  <rv s="8">
    <fb>229.32</fb>
    <v>16</v>
  </rv>
  <rv s="8">
    <fb>228.48</fb>
    <v>16</v>
  </rv>
  <rv s="8">
    <fb>231.27</fb>
    <v>16</v>
  </rv>
  <rv s="8">
    <fb>236.41</fb>
    <v>16</v>
  </rv>
  <rv s="8">
    <fb>226.08</fb>
    <v>16</v>
  </rv>
  <rv s="8">
    <fb>225.84</fb>
    <v>16</v>
  </rv>
  <rv s="8">
    <fb>221.84</fb>
    <v>16</v>
  </rv>
  <rv s="8">
    <fb>221.9</fb>
    <v>16</v>
  </rv>
  <rv s="8">
    <fb>222.34</fb>
    <v>16</v>
  </rv>
  <rv s="8">
    <fb>224.86</fb>
    <v>16</v>
  </rv>
  <rv s="8">
    <fb>225.04</fb>
    <v>16</v>
  </rv>
  <rv s="8">
    <fb>227.33</fb>
    <v>16</v>
  </rv>
  <rv s="8">
    <fb>225.96</fb>
    <v>16</v>
  </rv>
  <rv s="8">
    <fb>232.61</fb>
    <v>16</v>
  </rv>
  <rv s="8">
    <fb>233.37</fb>
    <v>16</v>
  </rv>
  <rv s="8">
    <fb>233.19</fb>
    <v>16</v>
  </rv>
  <rv s="8">
    <fb>235.26</fb>
    <v>16</v>
  </rv>
  <rv s="8">
    <fb>232.41</fb>
    <v>16</v>
  </rv>
  <rv s="8">
    <fb>225</fb>
    <v>16</v>
  </rv>
  <rv s="8">
    <fb>225.62</fb>
    <v>16</v>
  </rv>
  <rv s="8">
    <fb>224.46</fb>
    <v>16</v>
  </rv>
  <rv s="8">
    <fb>230.12</fb>
    <v>16</v>
  </rv>
  <rv s="8">
    <fb>226.87</fb>
    <v>16</v>
  </rv>
  <rv s="8">
    <fb>234.83</fb>
    <v>16</v>
  </rv>
  <rv s="8">
    <fb>235.62</fb>
    <v>16</v>
  </rv>
  <rv s="8">
    <fb>236.16</fb>
    <v>16</v>
  </rv>
  <rv s="8">
    <fb>234.68</fb>
    <v>16</v>
  </rv>
  <rv s="8">
    <fb>237.38</fb>
    <v>16</v>
  </rv>
  <rv s="8">
    <fb>230.75</fb>
    <v>16</v>
  </rv>
  <rv s="8">
    <fb>230.95</fb>
    <v>16</v>
  </rv>
  <rv s="8">
    <fb>229.52</fb>
    <v>16</v>
  </rv>
  <rv s="8">
    <fb>227.52</fb>
    <v>16</v>
  </rv>
  <rv s="8">
    <fb>219.99</fb>
    <v>16</v>
  </rv>
  <rv s="8">
    <fb>215.94</fb>
    <v>16</v>
  </rv>
  <rv s="8">
    <fb>215.75</fb>
    <v>16</v>
  </rv>
  <rv s="8">
    <fb>215.02</fb>
    <v>16</v>
  </rv>
  <rv s="8">
    <fb>214.63</fb>
    <v>16</v>
  </rv>
  <rv s="8">
    <fb>215.66</fb>
    <v>16</v>
  </rv>
  <rv s="8">
    <fb>215.65</fb>
    <v>16</v>
  </rv>
  <rv s="8">
    <fb>212.09</fb>
    <v>16</v>
  </rv>
  <rv s="8">
    <fb>216.34</fb>
    <v>16</v>
  </rv>
  <rv s="8">
    <fb>215.1</fb>
    <v>16</v>
  </rv>
  <rv s="8">
    <fb>213.53</fb>
    <v>16</v>
  </rv>
  <rv s="8">
    <fb>221.26</fb>
    <v>16</v>
  </rv>
  <rv s="8">
    <fb>217.08</fb>
    <v>16</v>
  </rv>
  <rv s="8">
    <fb>215.83</fb>
    <v>16</v>
  </rv>
  <rv s="8">
    <fb>217.43</fb>
    <v>16</v>
  </rv>
  <rv s="8">
    <fb>216.3</fb>
    <v>16</v>
  </rv>
  <rv s="8">
    <fb>219.73</fb>
    <v>16</v>
  </rv>
  <rv s="8">
    <fb>221.82</fb>
    <v>16</v>
  </rv>
  <rv s="8">
    <fb>225.32</fb>
    <v>16</v>
  </rv>
  <rv s="8">
    <fb>210.73</fb>
    <v>16</v>
  </rv>
  <rv s="8">
    <fb>215.56</fb>
    <v>16</v>
  </rv>
  <rv s="8">
    <fb>214.3</fb>
    <v>16</v>
  </rv>
  <rv s="8">
    <fb>211.89</fb>
    <v>16</v>
  </rv>
  <rv s="8">
    <fb>212.94</fb>
    <v>16</v>
  </rv>
  <rv s="8">
    <fb>217.26</fb>
    <v>16</v>
  </rv>
  <rv s="8">
    <fb>216.59</fb>
    <v>16</v>
  </rv>
  <rv s="8">
    <fb>217.77</fb>
    <v>16</v>
  </rv>
  <rv s="8">
    <fb>221.35</fb>
    <v>16</v>
  </rv>
  <rv s="8">
    <fb>223</fb>
    <v>16</v>
  </rv>
  <rv s="8">
    <fb>223.33</fb>
    <v>16</v>
  </rv>
  <rv s="8">
    <fb>200.08</fb>
    <v>16</v>
  </rv>
  <rv s="8">
    <fb>201.02</fb>
    <v>16</v>
  </rv>
  <rv s="8">
    <fb>204.55</fb>
    <v>16</v>
  </rv>
  <rv s="8">
    <fb>198.05</fb>
    <v>16</v>
  </rv>
  <rv s="8">
    <fb>197.62</fb>
    <v>16</v>
  </rv>
  <rv s="8">
    <fb>196.5</fb>
    <v>16</v>
  </rv>
  <rv s="8">
    <fb>194.61</fb>
    <v>16</v>
  </rv>
  <rv s="8">
    <fb>194.81</fb>
    <v>16</v>
  </rv>
  <rv s="8">
    <fb>195.5</fb>
    <v>16</v>
  </rv>
  <rv s="8">
    <fb>194.58</fb>
    <v>16</v>
  </rv>
  <rv s="8">
    <fb>194.52</fb>
    <v>16</v>
  </rv>
  <rv s="8">
    <fb>191.81</fb>
    <v>16</v>
  </rv>
  <rv s="8">
    <fb>189.63</fb>
    <v>16</v>
  </rv>
  <rv s="8">
    <fb>185.7</fb>
    <v>16</v>
  </rv>
  <rv s="8">
    <fb>179.38</fb>
    <v>16</v>
  </rv>
  <rv s="8">
    <fb>179.7</fb>
    <v>16</v>
  </rv>
  <rv s="8">
    <fb>179.12</fb>
    <v>16</v>
  </rv>
  <rv s="8">
    <fb>182.44</fb>
    <v>16</v>
  </rv>
  <rv s="8">
    <fb>186.92</fb>
    <v>16</v>
  </rv>
  <rv s="8">
    <fb>189</fb>
    <v>16</v>
  </rv>
  <rv s="8">
    <fb>205.38</fb>
    <v>16</v>
  </rv>
  <rv s="8">
    <fb>202.54</fb>
    <v>16</v>
  </rv>
  <rv s="8">
    <fb>201.87</fb>
    <v>16</v>
  </rv>
  <rv s="8">
    <fb>201.89</fb>
    <v>16</v>
  </rv>
  <rv s="8">
    <fb>206.27</fb>
    <v>16</v>
  </rv>
  <rv s="8">
    <fb>200.37</fb>
    <v>16</v>
  </rv>
  <rv s="8">
    <fb>198.72</fb>
    <v>16</v>
  </rv>
  <rv s="8">
    <fb>200.71</fb>
    <v>16</v>
  </rv>
  <rv s="8">
    <fb>204.38</fb>
    <v>16</v>
  </rv>
  <rv s="8">
    <fb>205.5</fb>
    <v>16</v>
  </rv>
  <rv s="8">
    <fb>206.71</fb>
    <v>16</v>
  </rv>
  <rv s="8">
    <fb>206.33</fb>
    <v>16</v>
  </rv>
  <rv s="8">
    <fb>214.08</fb>
    <v>16</v>
  </rv>
  <rv s="8">
    <fb>216.84</fb>
    <v>16</v>
  </rv>
  <rv s="8">
    <fb>216.85</fb>
    <v>16</v>
  </rv>
  <rv s="8">
    <fb>218.16</fb>
    <v>16</v>
  </rv>
  <rv s="8">
    <fb>216.44</fb>
    <v>16</v>
  </rv>
  <rv s="8">
    <fb>217.25</fb>
    <v>16</v>
  </rv>
  <rv s="8">
    <fb>218.5</fb>
    <v>16</v>
  </rv>
  <rv s="8">
    <fb>227.77</fb>
    <v>16</v>
  </rv>
  <rv s="8">
    <fb>228.13</fb>
    <v>16</v>
  </rv>
  <rv s="8">
    <fb>229.84</fb>
    <v>16</v>
  </rv>
  <rv s="8">
    <fb>228.12</fb>
    <v>16</v>
  </rv>
  <rv s="8">
    <fb>227.38</fb>
    <v>16</v>
  </rv>
  <rv s="8">
    <fb>234.53</fb>
    <v>16</v>
  </rv>
  <rv s="8">
    <fb>239.81</fb>
    <v>16</v>
  </rv>
  <rv s="8">
    <fb>244.55</fb>
    <v>16</v>
  </rv>
  <rv s="8">
    <fb>242.61</fb>
    <v>16</v>
  </rv>
  <rv s="8">
    <fb>247.74</fb>
    <v>16</v>
  </rv>
  <rv s="8">
    <fb>247.68</fb>
    <v>16</v>
  </rv>
  <rv s="8">
    <fb>249</fb>
    <v>16</v>
  </rv>
  <rv s="8">
    <fb>250.07</fb>
    <v>16</v>
  </rv>
  <rv s="8">
    <fb>251.41</fb>
    <v>16</v>
  </rv>
  <rv s="8">
    <fb>252.15</fb>
    <v>16</v>
  </rv>
  <rv s="8">
    <fb>248.43</fb>
    <v>16</v>
  </rv>
  <rv s="8">
    <fb>244.56</fb>
    <v>16</v>
  </rv>
  <rv s="8">
    <fb>241.59</fb>
    <v>16</v>
  </rv>
  <rv s="8">
    <fb>234.04</fb>
    <v>16</v>
  </rv>
  <rv s="8">
    <fb>233.72</fb>
    <v>16</v>
  </rv>
  <rv s="8">
    <fb>233.02</fb>
    <v>16</v>
  </rv>
  <rv s="8">
    <fb>233.15</fb>
    <v>16</v>
  </rv>
  <rv s="8">
    <fb>235.95</fb>
    <v>16</v>
  </rv>
  <rv s="8">
    <fb>236.95</fb>
    <v>16</v>
  </rv>
  <rv s="8">
    <fb>243.03</fb>
    <v>16</v>
  </rv>
  <rv s="8">
    <fb>244.71</fb>
    <v>16</v>
  </rv>
  <rv s="8">
    <fb>242.59</fb>
    <v>16</v>
  </rv>
  <rv s="8">
    <fb>236.26</fb>
    <v>16</v>
  </rv>
  <rv s="8">
    <fb>239.35</fb>
    <v>16</v>
  </rv>
  <rv s="8">
    <fb>244.04</fb>
    <v>16</v>
  </rv>
  <rv s="8">
    <fb>238.93</fb>
    <v>16</v>
  </rv>
  <rv s="8">
    <fb>233.71</fb>
    <v>16</v>
  </rv>
  <rv s="8">
    <fb>232.03</fb>
    <v>16</v>
  </rv>
  <rv s="8">
    <fb>230.44</fb>
    <v>16</v>
  </rv>
  <rv s="8">
    <fb>233.39</fb>
    <v>16</v>
  </rv>
  <rv s="8">
    <fb>230.36</fb>
    <v>16</v>
  </rv>
  <rv s="8">
    <fb>229.41</fb>
    <v>16</v>
  </rv>
  <rv s="8">
    <fb>227.53</fb>
    <v>16</v>
  </rv>
  <rv s="8">
    <fb>229.74</fb>
    <v>16</v>
  </rv>
  <rv s="8">
    <fb>224.12</fb>
    <v>16</v>
  </rv>
  <rv s="8">
    <fb>227.31</fb>
    <v>16</v>
  </rv>
  <rv s="8">
    <fb>222.06</fb>
    <v>16</v>
  </rv>
  <rv s="8">
    <fb>231.11</fb>
    <v>16</v>
  </rv>
  <rv s="8">
    <fb>217.76</fb>
    <v>16</v>
  </rv>
  <rv s="8">
    <fb>214.1</fb>
    <v>16</v>
  </rv>
  <rv s="8">
    <fb>204.76</fb>
    <v>16</v>
  </rv>
  <rv s="8">
    <fb>209.89</fb>
    <v>16</v>
  </rv>
  <rv s="8">
    <fb>213.47</fb>
    <v>16</v>
  </rv>
  <rv s="8">
    <fb>210.82</fb>
    <v>16</v>
  </rv>
  <rv s="8">
    <fb>205.99</fb>
    <v>16</v>
  </rv>
  <rv s="8">
    <fb>201.18</fb>
    <v>16</v>
  </rv>
  <rv s="8">
    <fb>195.12</fb>
    <v>16</v>
  </rv>
  <rv s="8">
    <fb>198.41</fb>
    <v>16</v>
  </rv>
  <rv s="8">
    <fb>196.42</fb>
    <v>16</v>
  </rv>
  <rv s="8">
    <fb>199.61</fb>
    <v>16</v>
  </rv>
  <rv s="8">
    <fb>194.36</fb>
    <v>16</v>
  </rv>
  <rv s="8">
    <fb>190.52</fb>
    <v>16</v>
  </rv>
  <rv s="8">
    <fb>199.03</fb>
    <v>16</v>
  </rv>
  <rv s="8">
    <fb>168.07</fb>
    <v>16</v>
  </rv>
  <rv s="8">
    <fb>158.63</fb>
    <v>16</v>
  </rv>
  <rv s="8">
    <fb>160.34</fb>
    <v>16</v>
  </rv>
  <rv s="8">
    <fb>167.22</fb>
    <v>16</v>
  </rv>
  <rv s="8">
    <fb>169.42</fb>
    <v>16</v>
  </rv>
  <rv s="8">
    <fb>172</fb>
    <v>16</v>
  </rv>
  <rv s="8">
    <fb>174.24</fb>
    <v>16</v>
  </rv>
  <rv s="8">
    <fb>175.1</fb>
    <v>16</v>
  </rv>
  <rv s="8">
    <fb>176.38</fb>
    <v>16</v>
  </rv>
  <rv s="8">
    <fb>174.52</fb>
    <v>16</v>
  </rv>
  <rv s="8">
    <fb>178.7</fb>
    <v>16</v>
  </rv>
  <rv s="8">
    <fb>181.43</fb>
    <v>16</v>
  </rv>
  <rv s="8">
    <fb>186.61</fb>
    <v>16</v>
  </rv>
  <rv s="8">
    <fb>188.21</fb>
    <v>16</v>
  </rv>
  <rv s="8">
    <fb>193.13</fb>
    <v>16</v>
  </rv>
  <rv s="8">
    <fb>195.39</fb>
    <v>16</v>
  </rv>
  <rv s="8">
    <fb>191.22</fb>
    <v>16</v>
  </rv>
  <rv s="8">
    <fb>190.58</fb>
    <v>16</v>
  </rv>
  <rv s="8">
    <fb>192.24</fb>
    <v>16</v>
  </rv>
  <rv s="8">
    <fb>192.48</fb>
    <v>16</v>
  </rv>
  <rv s="8">
    <fb>188.9</fb>
    <v>16</v>
  </rv>
  <rv s="8">
    <fb>187.92</fb>
    <v>16</v>
  </rv>
  <rv s="8">
    <fb>187.53</fb>
    <v>16</v>
  </rv>
  <rv s="8">
    <fb>192.32</fb>
    <v>16</v>
  </rv>
  <rv s="8">
    <fb>193.97</fb>
    <v>16</v>
  </rv>
  <rv s="8">
    <fb>187</fb>
    <v>16</v>
  </rv>
  <rv s="8">
    <fb>183.45</fb>
    <v>16</v>
  </rv>
  <rv s="8">
    <fb>183.19</fb>
    <v>16</v>
  </rv>
  <rv s="8">
    <fb>185.32</fb>
    <v>16</v>
  </rv>
  <rv s="8">
    <fb>186.36</fb>
    <v>16</v>
  </rv>
  <rv s="8">
    <fb>184.47</fb>
    <v>16</v>
  </rv>
  <rv s="8">
    <fb>182.82</fb>
    <v>16</v>
  </rv>
  <rv s="8">
    <fb>186.68</fb>
    <v>16</v>
  </rv>
  <rv s="8">
    <fb>182.88</fb>
    <v>16</v>
  </rv>
  <rv s="8">
    <fb>186.11</fb>
    <v>16</v>
  </rv>
  <rv s="8">
    <fb>190.57</fb>
    <v>16</v>
  </rv>
  <rv s="8">
    <fb>189.14</fb>
    <v>16</v>
  </rv>
  <rv s="8">
    <fb>191.4</fb>
    <v>16</v>
  </rv>
  <rv s="8">
    <fb>187.96</fb>
    <v>16</v>
  </rv>
  <rv s="8">
    <fb>184.4</fb>
    <v>16</v>
  </rv>
  <rv s="8">
    <fb>185.14</fb>
    <v>16</v>
  </rv>
  <rv s="8">
    <fb>183.94</fb>
    <v>16</v>
  </rv>
  <rv s="8">
    <fb>185.25</fb>
    <v>16</v>
  </rv>
  <rv s="8">
    <fb>182.61</fb>
    <v>16</v>
  </rv>
  <rv s="8">
    <fb>181.99</fb>
    <v>16</v>
  </rv>
  <rv s="8">
    <fb>178.75</fb>
    <v>16</v>
  </rv>
  <rv s="8">
    <fb>177.67</fb>
    <v>16</v>
  </rv>
  <rv s="8">
    <fb>173.95</fb>
    <v>16</v>
  </rv>
  <rv s="8">
    <fb>175.59</fb>
    <v>16</v>
  </rv>
  <rv s="8">
    <fb>170.88</fb>
    <v>16</v>
  </rv>
  <rv s="8">
    <fb>171.58</fb>
    <v>16</v>
  </rv>
  <rv s="8">
    <fb>169.15</fb>
    <v>16</v>
  </rv>
  <rv s="8">
    <fb>170.63</fb>
    <v>16</v>
  </rv>
  <rv s="8">
    <fb>175.74</fb>
    <v>16</v>
  </rv>
  <rv s="8">
    <fb>172.26</fb>
    <v>16</v>
  </rv>
  <rv s="8">
    <fb>171.54</fb>
    <v>16</v>
  </rv>
  <rv s="8">
    <fb>172.01</fb>
    <v>16</v>
  </rv>
  <rv s="8">
    <fb>174.89</fb>
    <v>16</v>
  </rv>
  <rv s="8">
    <fb>167.86</fb>
    <v>16</v>
  </rv>
  <rv s="8">
    <fb>170.2</fb>
    <v>16</v>
  </rv>
  <rv s="8">
    <fb>170.54</fb>
    <v>16</v>
  </rv>
  <rv s="8">
    <fb>170.39</fb>
    <v>16</v>
  </rv>
  <rv s="8">
    <fb>170.26</fb>
    <v>16</v>
  </rv>
  <rv s="8">
    <fb>172.14</fb>
    <v>16</v>
  </rv>
  <rv s="8">
    <fb>170.02</fb>
    <v>16</v>
  </rv>
  <rv s="8">
    <fb>169.88</fb>
    <v>16</v>
  </rv>
  <rv s="8">
    <fb>170.48</fb>
    <v>16</v>
  </rv>
  <rv s="8">
    <fb>168.65</fb>
    <v>16</v>
  </rv>
  <rv s="8">
    <fb>170.03</fb>
    <v>16</v>
  </rv>
  <rv s="8">
    <fb>169.99</fb>
    <v>16</v>
  </rv>
  <rv s="8">
    <fb>193.18</fb>
    <v>16</v>
  </rv>
  <rv s="8">
    <fb>191.66</fb>
    <v>16</v>
  </rv>
  <rv s="8">
    <fb>188.49</fb>
    <v>16</v>
  </rv>
  <rv s="8">
    <fb>187.18</fb>
    <v>16</v>
  </rv>
  <rv s="8">
    <fb>184.27</fb>
    <v>16</v>
  </rv>
  <rv s="8">
    <fb>182.75</fb>
    <v>16</v>
  </rv>
  <rv s="8">
    <fb>178.97</fb>
    <v>16</v>
  </rv>
  <rv s="8">
    <fb>179.69</fb>
    <v>16</v>
  </rv>
  <rv s="8">
    <fb>182.31</fb>
    <v>16</v>
  </rv>
  <rv s="8">
    <fb>181.5</fb>
    <v>16</v>
  </rv>
  <rv s="8">
    <fb>183.99</fb>
    <v>16</v>
  </rv>
  <rv s="8">
    <fb>181.49</fb>
    <v>16</v>
  </rv>
  <rv s="8">
    <fb>188.64</fb>
    <v>16</v>
  </rv>
  <rv s="8">
    <fb>189.13</fb>
    <v>16</v>
  </rv>
  <rv s="8">
    <fb>194.4</fb>
    <v>16</v>
  </rv>
  <rv s="8">
    <fb>193.66</fb>
    <v>16</v>
  </rv>
  <rv s="8">
    <fb>197.83</fb>
    <v>16</v>
  </rv>
  <rv s="8">
    <fb>198.6</fb>
    <v>16</v>
  </rv>
  <rv s="8">
    <fb>199.19</fb>
    <v>16</v>
  </rv>
  <rv s="8">
    <fb>197.27</fb>
    <v>16</v>
  </rv>
  <rv s="8">
    <fb>201.37</fb>
    <v>16</v>
  </rv>
  <rv s="8">
    <fb>198.37</fb>
    <v>16</v>
  </rv>
  <rv s="8">
    <fb>197.35</fb>
    <v>16</v>
  </rv>
  <rv s="8">
    <fb>196.74</fb>
    <v>16</v>
  </rv>
  <rv s="8">
    <fb>198.25</fb>
    <v>16</v>
  </rv>
  <rv s="8">
    <fb>194.57</fb>
    <v>16</v>
  </rv>
  <rv s="8">
    <fb>193.57</fb>
    <v>16</v>
  </rv>
  <rv s="8">
    <fb>193.01</fb>
    <v>16</v>
  </rv>
  <rv s="8">
    <fb>197.64</fb>
    <v>16</v>
  </rv>
  <rv s="8">
    <fb>199.62</fb>
    <v>16</v>
  </rv>
  <rv s="8">
    <fb>202.79</fb>
    <v>16</v>
  </rv>
  <rv s="8">
    <fb>200.8</fb>
    <v>16</v>
  </rv>
  <rv s="8">
    <fb>197.38</fb>
    <v>16</v>
  </rv>
  <rv s="8">
    <fb>197.63</fb>
    <v>16</v>
  </rv>
  <rv s="8">
    <fb>196.13</fb>
    <v>16</v>
  </rv>
  <rv s="8">
    <fb>197.28</fb>
    <v>16</v>
  </rv>
  <rv s="8">
    <fb>201.38</fb>
    <v>16</v>
  </rv>
  <rv s="8">
    <fb>200.47</fb>
    <v>16</v>
  </rv>
  <rv s="8">
    <fb>198.95</fb>
    <v>16</v>
  </rv>
  <rv s="8">
    <fb>200.68</fb>
    <v>16</v>
  </rv>
  <rv s="8">
    <fb>200.66</fb>
    <v>16</v>
  </rv>
  <rv s="8">
    <fb>198.09</fb>
    <v>16</v>
  </rv>
  <rv s="8">
    <fb>198.1</fb>
    <v>16</v>
  </rv>
  <rv s="8">
    <fb>196.44</fb>
    <v>16</v>
  </rv>
  <rv s="8">
    <fb>191.09</fb>
    <v>16</v>
  </rv>
  <rv s="8">
    <fb>191.83</fb>
    <v>16</v>
  </rv>
  <rv s="8">
    <fb>194.59</fb>
    <v>16</v>
  </rv>
  <rv s="8">
    <fb>199.18</fb>
    <v>16</v>
  </rv>
  <rv s="8">
    <fb>199.89</fb>
    <v>16</v>
  </rv>
  <rv s="8">
    <fb>198.21</fb>
    <v>16</v>
  </rv>
  <rv s="8">
    <fb>192.33</fb>
    <v>16</v>
  </rv>
  <rv s="8">
    <fb>185.22</fb>
    <v>16</v>
  </rv>
  <rv s="8">
    <fb>187.88</fb>
    <v>16</v>
  </rv>
  <rv s="8">
    <fb>191.74</fb>
    <v>16</v>
  </rv>
  <rv s="8">
    <fb>194.33</fb>
    <v>16</v>
  </rv>
  <rv s="8">
    <fb>195.41</fb>
    <v>16</v>
  </rv>
  <rv s="8">
    <fb>200.11</fb>
    <v>16</v>
  </rv>
  <rv s="8">
    <fb>201.95</fb>
    <v>16</v>
  </rv>
  <rv s="8">
    <fb>203.51</fb>
    <v>16</v>
  </rv>
  <rv s="8">
    <fb>204.06</fb>
    <v>16</v>
  </rv>
  <rv s="8">
    <fb>209.22</fb>
    <v>16</v>
  </rv>
  <rv s="8">
    <fb>211.24</fb>
    <v>16</v>
  </rv>
  <rv s="8">
    <fb>207.09</fb>
    <v>16</v>
  </rv>
  <rv s="8">
    <fb>207.21</fb>
    <v>16</v>
  </rv>
  <rv s="8">
    <fb>204.19</fb>
    <v>16</v>
  </rv>
  <rv s="8">
    <fb>205.72</fb>
    <v>16</v>
  </rv>
  <rv s="8">
    <fb>203.89</fb>
    <v>16</v>
  </rv>
  <rv s="8">
    <fb>199.15</fb>
    <v>16</v>
  </rv>
  <rv s="8">
    <fb>202.94</fb>
    <v>16</v>
  </rv>
  <rv s="8">
    <fb>201.98</fb>
    <v>16</v>
  </rv>
  <rv s="8">
    <fb>203.94</fb>
    <v>16</v>
  </rv>
  <rv s="8">
    <fb>207.29</fb>
    <v>16</v>
  </rv>
  <rv s="8">
    <fb>203.26</fb>
    <v>16</v>
  </rv>
  <rv s="8">
    <fb>199</fb>
    <v>16</v>
  </rv>
  <rv s="8">
    <fb>195.96</fb>
    <v>16</v>
  </rv>
  <rv s="8">
    <fb>196.78</fb>
    <v>16</v>
  </rv>
  <rv s="8">
    <fb>191.25</fb>
    <v>16</v>
  </rv>
  <rv s="8">
    <fb>199.06</fb>
    <v>16</v>
  </rv>
  <rv s="8">
    <fb>202.44</fb>
    <v>16</v>
  </rv>
  <rv s="8">
    <fb>199.22</fb>
    <v>16</v>
  </rv>
  <rv s="8">
    <fb>196.99</fb>
    <v>16</v>
  </rv>
  <rv s="8">
    <fb>195.44</fb>
    <v>16</v>
  </rv>
  <rv s="8">
    <fb>198.27</fb>
    <v>16</v>
  </rv>
  <rv s="8">
    <fb>196.56</fb>
    <v>16</v>
  </rv>
  <rv s="8">
    <fb>196.34</fb>
    <v>16</v>
  </rv>
  <rv s="8">
    <fb>200.78</fb>
    <v>16</v>
  </rv>
  <rv s="8">
    <fb>203.56</fb>
    <v>16</v>
  </rv>
  <rv s="8">
    <fb>208.12</fb>
    <v>16</v>
  </rv>
  <rv s="8">
    <fb>214.81</fb>
    <v>16</v>
  </rv>
  <rv s="8">
    <fb>214.42</fb>
    <v>16</v>
  </rv>
  <rv s="8">
    <fb>216.08</fb>
    <v>16</v>
  </rv>
  <rv s="8">
    <fb>219.38</fb>
    <v>16</v>
  </rv>
  <rv s="8">
    <fb>219.24</fb>
    <v>16</v>
  </rv>
  <rv s="8">
    <fb>216.73</fb>
    <v>16</v>
  </rv>
  <rv s="8">
    <fb>216.62</fb>
    <v>16</v>
  </rv>
  <rv s="8">
    <fb>214.85</fb>
    <v>16</v>
  </rv>
  <rv s="8">
    <fb>214.06</fb>
    <v>16</v>
  </rv>
  <rv s="8">
    <fb>217.87</fb>
    <v>16</v>
  </rv>
  <rv s="8">
    <fb>218.86</fb>
    <v>16</v>
  </rv>
  <rv s="8">
    <fb>215.27</fb>
    <v>16</v>
  </rv>
  <rv s="8">
    <fb>213.33</fb>
    <v>16</v>
  </rv>
  <rv s="8">
    <fb>214.73</fb>
    <v>16</v>
  </rv>
  <rv s="8">
    <fb>221.52</fb>
    <v>16</v>
  </rv>
  <rv s="8">
    <fb>222.59</fb>
    <v>16</v>
  </rv>
  <rv s="8">
    <fb>229.03</fb>
    <v>16</v>
  </rv>
  <rv s="8">
    <fb>227.3</fb>
    <v>16</v>
  </rv>
  <rv s="8">
    <fb>231.42</fb>
    <v>16</v>
  </rv>
  <rv s="8">
    <fb>220.47</fb>
    <v>16</v>
  </rv>
  <rv s="8">
    <fb>227.04</fb>
    <v>16</v>
  </rv>
  <rv s="8">
    <fb>218.89</fb>
    <v>16</v>
  </rv>
  <rv s="8">
    <fb>227.07</fb>
    <v>16</v>
  </rv>
  <rv s="8">
    <fb>226.86</fb>
    <v>16</v>
  </rv>
  <rv s="8">
    <fb>231.58</fb>
    <v>16</v>
  </rv>
  <rv s="8">
    <fb>241.39</fb>
    <v>16</v>
  </rv>
  <rv s="8">
    <fb>237.19</fb>
    <v>16</v>
  </rv>
  <rv s="8">
    <fb>242.39</fb>
    <v>16</v>
  </rv>
  <rv s="8">
    <fb>242.81</fb>
    <v>16</v>
  </rv>
  <rv s="8">
    <fb>241.64</fb>
    <v>16</v>
  </rv>
  <rv s="8">
    <fb>248.29</fb>
    <v>16</v>
  </rv>
  <rv s="8">
    <fb>245.51</fb>
    <v>16</v>
  </rv>
  <rv s="8">
    <fb>243.2</fb>
    <v>16</v>
  </rv>
  <rv s="8">
    <fb>241.65</fb>
    <v>16</v>
  </rv>
  <rv s="8">
    <fb>239.6</fb>
    <v>16</v>
  </rv>
  <rv s="8">
    <fb>238.64</fb>
    <v>16</v>
  </rv>
  <rv s="8">
    <fb>242.62</fb>
    <v>16</v>
  </rv>
  <rv s="8">
    <fb>242.38</fb>
    <v>16</v>
  </rv>
  <rv s="8">
    <fb>243.66</fb>
    <v>16</v>
  </rv>
  <rv s="8">
    <fb>232.17</fb>
    <v>16</v>
  </rv>
  <rv s="8">
    <fb>232.81</fb>
    <v>16</v>
  </rv>
  <rv s="8">
    <fb>221.48</fb>
    <v>16</v>
  </rv>
  <rv s="8">
    <fb>219.14</fb>
    <v>16</v>
  </rv>
  <rv s="8">
    <fb>219.53</fb>
    <v>16</v>
  </rv>
  <rv s="8">
    <fb>221.01</fb>
    <v>16</v>
  </rv>
  <rv s="8">
    <fb>220.77</fb>
    <v>16</v>
  </rv>
  <rv s="8">
    <fb>210.84</fb>
    <v>16</v>
  </rv>
  <rv s="8">
    <fb>213.23</fb>
    <v>16</v>
  </rv>
  <rv s="8">
    <fb>213.07</fb>
    <v>16</v>
  </rv>
  <rv s="8">
    <fb>208.93</fb>
    <v>16</v>
  </rv>
  <rv s="8">
    <fb>205.02</fb>
    <v>16</v>
  </rv>
  <rv s="8">
    <fb>209.78</fb>
    <v>16</v>
  </rv>
  <rv s="8">
    <fb>210.93</fb>
    <v>16</v>
  </rv>
  <rv s="8">
    <fb>209.93</fb>
    <v>16</v>
  </rv>
  <rv s="8">
    <fb>206.73</fb>
    <v>16</v>
  </rv>
  <rv s="8">
    <fb>206.09</fb>
    <v>16</v>
  </rv>
  <rv s="8">
    <fb>209.67</fb>
    <v>16</v>
  </rv>
  <rv s="8">
    <fb>87.26</fb>
    <v>16</v>
  </rv>
  <rv s="8">
    <fb>83.19</fb>
    <v>16</v>
  </rv>
  <rv s="8">
    <fb>83.83</fb>
    <v>16</v>
  </rv>
  <rv s="8">
    <fb>81.790000000000006</fb>
    <v>16</v>
  </rv>
  <rv s="8">
    <fb>89.6</fb>
    <v>16</v>
  </rv>
  <rv s="8">
    <fb>90.61</fb>
    <v>16</v>
  </rv>
  <rv s="8">
    <fb>92.8</fb>
    <v>16</v>
  </rv>
  <rv s="8">
    <fb>94.73</fb>
    <v>16</v>
  </rv>
  <rv s="8">
    <fb>93.97</fb>
    <v>16</v>
  </rv>
  <rv s="8">
    <fb>91.19</fb>
    <v>16</v>
  </rv>
  <rv s="8">
    <fb>93.22</fb>
    <v>16</v>
  </rv>
  <rv s="8">
    <fb>92.41</fb>
    <v>16</v>
  </rv>
  <rv s="8">
    <fb>94.85</fb>
    <v>16</v>
  </rv>
  <rv s="8">
    <fb>94.96</fb>
    <v>16</v>
  </rv>
  <rv s="8">
    <fb>95.84</fb>
    <v>16</v>
  </rv>
  <rv s="8">
    <fb>95.09</fb>
    <v>16</v>
  </rv>
  <rv s="8">
    <fb>95.22</fb>
    <v>16</v>
  </rv>
  <rv s="8">
    <fb>96.04</fb>
    <v>16</v>
  </rv>
  <rv s="8">
    <fb>97.25</fb>
    <v>16</v>
  </rv>
  <rv s="8">
    <fb>97.41</fb>
    <v>16</v>
  </rv>
  <rv s="8">
    <fb>98.75</fb>
    <v>16</v>
  </rv>
  <rv s="8">
    <fb>99.33</fb>
    <v>16</v>
  </rv>
  <rv s="8">
    <fb>98.55</fb>
    <v>16</v>
  </rv>
  <rv s="8">
    <fb>98.83</fb>
    <v>16</v>
  </rv>
  <rv s="8">
    <fb>97.43</fb>
    <v>16</v>
  </rv>
  <rv s="8">
    <fb>96.72</fb>
    <v>16</v>
  </rv>
  <rv s="8">
    <fb>96.75</fb>
    <v>16</v>
  </rv>
  <rv s="8">
    <fb>95.88</fb>
    <v>16</v>
  </rv>
  <rv s="8">
    <fb>96.83</fb>
    <v>16</v>
  </rv>
  <rv s="8">
    <fb>96.35</fb>
    <v>16</v>
  </rv>
  <rv s="8">
    <fb>98.24</fb>
    <v>16</v>
  </rv>
  <rv s="8">
    <fb>98.12</fb>
    <v>16</v>
  </rv>
  <rv s="8">
    <fb>96.43</fb>
    <v>16</v>
  </rv>
  <rv s="8">
    <fb>95.93</fb>
    <v>16</v>
  </rv>
  <rv s="8">
    <fb>96.34</fb>
    <v>16</v>
  </rv>
  <rv s="8">
    <fb>97.58</fb>
    <v>16</v>
  </rv>
  <rv s="8">
    <fb>97.24</fb>
    <v>16</v>
  </rv>
  <rv s="8">
    <fb>97.1</fb>
    <v>16</v>
  </rv>
  <rv s="8">
    <fb>98.72</fb>
    <v>16</v>
  </rv>
  <rv s="8">
    <fb>99.77</fb>
    <v>16</v>
  </rv>
  <rv s="8">
    <fb>99.98</fb>
    <v>16</v>
  </rv>
  <rv s="8">
    <fb>99.35</fb>
    <v>16</v>
  </rv>
  <rv s="8">
    <fb>97.96</fb>
    <v>16</v>
  </rv>
  <rv s="8">
    <fb>97.47</fb>
    <v>16</v>
  </rv>
  <rv s="8">
    <fb>97.45</fb>
    <v>16</v>
  </rv>
  <rv s="8">
    <fb>97.32</fb>
    <v>16</v>
  </rv>
  <rv s="8">
    <fb>95.8</fb>
    <v>16</v>
  </rv>
  <rv s="8">
    <fb>94.83</fb>
    <v>16</v>
  </rv>
  <rv s="8">
    <fb>94.44</fb>
    <v>16</v>
  </rv>
  <rv s="8">
    <fb>94.29</fb>
    <v>16</v>
  </rv>
  <rv s="8">
    <fb>94.25</fb>
    <v>16</v>
  </rv>
  <rv s="8">
    <fb>96.12</fb>
    <v>16</v>
  </rv>
  <rv s="8">
    <fb>97.87</fb>
    <v>16</v>
  </rv>
  <rv s="8">
    <fb>98</fb>
    <v>16</v>
  </rv>
  <rv s="8">
    <fb>97.26</fb>
    <v>16</v>
  </rv>
  <rv s="8">
    <fb>96.02</fb>
    <v>16</v>
  </rv>
  <rv s="8">
    <fb>97.27</fb>
    <v>16</v>
  </rv>
  <rv s="8">
    <fb>97.78</fb>
    <v>16</v>
  </rv>
  <rv s="8">
    <fb>97.61</fb>
    <v>16</v>
  </rv>
  <rv s="8">
    <fb>98.36</fb>
    <v>16</v>
  </rv>
  <rv s="8">
    <fb>97.09</fb>
    <v>16</v>
  </rv>
  <rv s="8">
    <fb>96.81</fb>
    <v>16</v>
  </rv>
  <rv s="8">
    <fb>94.86</fb>
    <v>16</v>
  </rv>
  <rv s="8">
    <fb>94.4</fb>
    <v>16</v>
  </rv>
  <rv s="8">
    <fb>95.78</fb>
    <v>16</v>
  </rv>
  <rv s="8">
    <fb>95.15</fb>
    <v>16</v>
  </rv>
  <rv s="8">
    <fb>95.05</fb>
    <v>16</v>
  </rv>
  <rv s="8">
    <fb>95.67</fb>
    <v>16</v>
  </rv>
  <rv s="8">
    <fb>95.85</fb>
    <v>16</v>
  </rv>
  <rv s="8">
    <fb>95.68</fb>
    <v>16</v>
  </rv>
  <rv s="8">
    <fb>96.6</fb>
    <v>16</v>
  </rv>
  <rv s="8">
    <fb>98.33</fb>
    <v>16</v>
  </rv>
  <rv s="8">
    <fb>97.59</fb>
    <v>16</v>
  </rv>
  <rv s="8">
    <fb>97.98</fb>
    <v>16</v>
  </rv>
  <rv s="8">
    <fb>98.49</fb>
    <v>16</v>
  </rv>
  <rv s="8">
    <fb>99.59</fb>
    <v>16</v>
  </rv>
  <rv s="8">
    <fb>99.31</fb>
    <v>16</v>
  </rv>
  <rv s="8">
    <fb>103.36</fb>
    <v>16</v>
  </rv>
  <rv s="8">
    <fb>103.12</fb>
    <v>16</v>
  </rv>
  <rv s="8">
    <fb>103.73</fb>
    <v>16</v>
  </rv>
  <rv s="8">
    <fb>103.93</fb>
    <v>16</v>
  </rv>
  <rv s="8">
    <fb>103.62</fb>
    <v>16</v>
  </rv>
  <rv s="8">
    <fb>100</fb>
    <v>16</v>
  </rv>
  <rv s="8">
    <fb>100.7</fb>
    <v>16</v>
  </rv>
  <rv s="8">
    <fb>101.29</fb>
    <v>16</v>
  </rv>
  <rv s="8">
    <fb>102.57</fb>
    <v>16</v>
  </rv>
  <rv s="8">
    <fb>96.05</fb>
    <v>16</v>
  </rv>
  <rv s="8">
    <fb>96.08</fb>
    <v>16</v>
  </rv>
  <rv s="8">
    <fb>96.11</fb>
    <v>16</v>
  </rv>
  <rv s="8">
    <fb>96.98</fb>
    <v>16</v>
  </rv>
  <rv s="8">
    <fb>97.85</fb>
    <v>16</v>
  </rv>
  <rv s="8">
    <fb>100.93</fb>
    <v>16</v>
  </rv>
  <rv s="8">
    <fb>100.51</fb>
    <v>16</v>
  </rv>
  <rv s="8">
    <fb>102.28</fb>
    <v>16</v>
  </rv>
  <rv s="8">
    <fb>102.29</fb>
    <v>16</v>
  </rv>
  <rv s="8">
    <fb>100.41</fb>
    <v>16</v>
  </rv>
  <rv s="8">
    <fb>102.65</fb>
    <v>16</v>
  </rv>
  <rv s="8">
    <fb>103.69</fb>
    <v>16</v>
  </rv>
  <rv s="8">
    <fb>104.27</fb>
    <v>16</v>
  </rv>
  <rv s="8">
    <fb>102.33</fb>
    <v>16</v>
  </rv>
  <rv s="8">
    <fb>102.82</fb>
    <v>16</v>
  </rv>
  <rv s="8">
    <fb>102.52</fb>
    <v>16</v>
  </rv>
  <rv s="8">
    <fb>102.73</fb>
    <v>16</v>
  </rv>
  <rv s="8">
    <fb>103.05</fb>
    <v>16</v>
  </rv>
  <rv s="8">
    <fb>103.08</fb>
    <v>16</v>
  </rv>
  <rv s="8">
    <fb>103.06</fb>
    <v>16</v>
  </rv>
  <rv s="8">
    <fb>101.96</fb>
    <v>16</v>
  </rv>
  <rv s="8">
    <fb>102.07</fb>
    <v>16</v>
  </rv>
  <rv s="8">
    <fb>102.7</fb>
    <v>16</v>
  </rv>
  <rv s="8">
    <fb>103.24</fb>
    <v>16</v>
  </rv>
  <rv s="8">
    <fb>102.9</fb>
    <v>16</v>
  </rv>
  <rv s="8">
    <fb>101.77</fb>
    <v>16</v>
  </rv>
  <rv s="8">
    <fb>101.84</fb>
    <v>16</v>
  </rv>
  <rv s="8">
    <fb>102.12</fb>
    <v>16</v>
  </rv>
  <rv s="8">
    <fb>107.21</fb>
    <v>16</v>
  </rv>
  <rv s="8">
    <fb>109.03</fb>
    <v>16</v>
  </rv>
  <rv s="8">
    <fb>106.47</fb>
    <v>16</v>
  </rv>
  <rv s="8">
    <fb>107.73</fb>
    <v>16</v>
  </rv>
  <rv s="8">
    <fb>107.05</fb>
    <v>16</v>
  </rv>
  <rv s="8">
    <fb>106.22</fb>
    <v>16</v>
  </rv>
  <rv s="8">
    <fb>107.14</fb>
    <v>16</v>
  </rv>
  <rv s="8">
    <fb>106.86</fb>
    <v>16</v>
  </rv>
  <rv s="8">
    <fb>106.17</fb>
    <v>16</v>
  </rv>
  <rv s="8">
    <fb>104.47</fb>
    <v>16</v>
  </rv>
  <rv s="8">
    <fb>103.17</fb>
    <v>16</v>
  </rv>
  <rv s="8">
    <fb>102.46</fb>
    <v>16</v>
  </rv>
  <rv s="8">
    <fb>102.23</fb>
    <v>16</v>
  </rv>
  <rv s="8">
    <fb>101.18</fb>
    <v>16</v>
  </rv>
  <rv s="8">
    <fb>101.59</fb>
    <v>16</v>
  </rv>
  <rv s="8">
    <fb>102.27</fb>
    <v>16</v>
  </rv>
  <rv s="8">
    <fb>101.47</fb>
    <v>16</v>
  </rv>
  <rv s="8">
    <fb>101.68</fb>
    <v>16</v>
  </rv>
  <rv s="8">
    <fb>102.59</fb>
    <v>16</v>
  </rv>
  <rv s="8">
    <fb>102.42</fb>
    <v>16</v>
  </rv>
  <rv s="8">
    <fb>103.44</fb>
    <v>16</v>
  </rv>
  <rv s="8">
    <fb>102.54</fb>
    <v>16</v>
  </rv>
  <rv s="8">
    <fb>102.48</fb>
    <v>16</v>
  </rv>
  <rv s="8">
    <fb>102.95</fb>
    <v>16</v>
  </rv>
  <rv s="8">
    <fb>100.61</fb>
    <v>16</v>
  </rv>
  <rv s="8">
    <fb>107.11</fb>
    <v>16</v>
  </rv>
  <rv s="8">
    <fb>105.32</fb>
    <v>16</v>
  </rv>
  <rv s="8">
    <fb>104.06</fb>
    <v>16</v>
  </rv>
  <rv s="8">
    <fb>107</fb>
    <v>16</v>
  </rv>
  <rv s="8">
    <fb>109.1</fb>
    <v>16</v>
  </rv>
  <rv s="8">
    <fb>110.51</fb>
    <v>16</v>
  </rv>
  <rv s="8">
    <fb>111.53</fb>
    <v>16</v>
  </rv>
  <rv s="8">
    <fb>114.41</fb>
    <v>16</v>
  </rv>
  <rv s="8">
    <fb>114.84</fb>
    <v>16</v>
  </rv>
  <rv s="8">
    <fb>115.11</fb>
    <v>16</v>
  </rv>
  <rv s="8">
    <fb>113.56</fb>
    <v>16</v>
  </rv>
  <rv s="8">
    <fb>115.06</fb>
    <v>16</v>
  </rv>
  <rv s="8">
    <fb>113.18</fb>
    <v>16</v>
  </rv>
  <rv s="8">
    <fb>115.52</fb>
    <v>16</v>
  </rv>
  <rv s="8">
    <fb>116.7</fb>
    <v>16</v>
  </rv>
  <rv s="8">
    <fb>116.79</fb>
    <v>16</v>
  </rv>
  <rv s="8">
    <fb>115.42</fb>
    <v>16</v>
  </rv>
  <rv s="8">
    <fb>114.83</fb>
    <v>16</v>
  </rv>
  <rv s="8">
    <fb>114.36</fb>
    <v>16</v>
  </rv>
  <rv s="8">
    <fb>112.6</fb>
    <v>16</v>
  </rv>
  <rv s="8">
    <fb>110.9</fb>
    <v>16</v>
  </rv>
  <rv s="8">
    <fb>112.53</fb>
    <v>16</v>
  </rv>
  <rv s="8">
    <fb>111.92</fb>
    <v>16</v>
  </rv>
  <rv s="8">
    <fb>111.41</fb>
    <v>16</v>
  </rv>
  <rv s="8">
    <fb>112.76</fb>
    <v>16</v>
  </rv>
  <rv s="8">
    <fb>112.71</fb>
    <v>16</v>
  </rv>
  <rv s="8">
    <fb>112.72</fb>
    <v>16</v>
  </rv>
  <rv s="8">
    <fb>113.07</fb>
    <v>16</v>
  </rv>
  <rv s="8">
    <fb>114.53</fb>
    <v>16</v>
  </rv>
  <rv s="8">
    <fb>117.97</fb>
    <v>16</v>
  </rv>
  <rv s="8">
    <fb>120.36</fb>
    <v>16</v>
  </rv>
  <rv s="8">
    <fb>120.04</fb>
    <v>16</v>
  </rv>
  <rv s="8">
    <fb>119.2</fb>
    <v>16</v>
  </rv>
  <rv s="8">
    <fb>119.7</fb>
    <v>16</v>
  </rv>
  <rv s="8">
    <fb>118.71</fb>
    <v>16</v>
  </rv>
  <rv s="8">
    <fb>119.36</fb>
    <v>16</v>
  </rv>
  <rv s="8">
    <fb>117.83</fb>
    <v>16</v>
  </rv>
  <rv s="8">
    <fb>117.73</fb>
    <v>16</v>
  </rv>
  <rv s="8">
    <fb>117.64</fb>
    <v>16</v>
  </rv>
  <rv s="8">
    <fb>116.94</fb>
    <v>16</v>
  </rv>
  <rv s="8">
    <fb>116.57</fb>
    <v>16</v>
  </rv>
  <rv s="8">
    <fb>117.41</fb>
    <v>16</v>
  </rv>
  <rv s="8">
    <fb>119.14</fb>
    <v>16</v>
  </rv>
  <rv s="8">
    <fb>124.06</fb>
    <v>16</v>
  </rv>
  <rv s="8">
    <fb>127.71</fb>
    <v>16</v>
  </rv>
  <rv s="8">
    <fb>128</fb>
    <v>16</v>
  </rv>
  <rv s="8">
    <fb>126.94</fb>
    <v>16</v>
  </rv>
  <rv s="8">
    <fb>131.18</fb>
    <v>16</v>
  </rv>
  <rv s="8">
    <fb>129.02000000000001</fb>
    <v>16</v>
  </rv>
  <rv s="8">
    <fb>126.7</fb>
    <v>16</v>
  </rv>
  <rv s="8">
    <fb>128.77000000000001</fb>
    <v>16</v>
  </rv>
  <rv s="8">
    <fb>133.63999999999999</fb>
    <v>16</v>
  </rv>
  <rv s="8">
    <fb>133.88999999999999</fb>
    <v>16</v>
  </rv>
  <rv s="8">
    <fb>128.85</fb>
    <v>16</v>
  </rv>
  <rv s="8">
    <fb>126.62</fb>
    <v>16</v>
  </rv>
  <rv s="8">
    <fb>124.87</fb>
    <v>16</v>
  </rv>
  <rv s="8">
    <fb>122.99</fb>
    <v>16</v>
  </rv>
  <rv s="8">
    <fb>125.81</fb>
    <v>16</v>
  </rv>
  <rv s="8">
    <fb>126.75</fb>
    <v>16</v>
  </rv>
  <rv s="8">
    <fb>125.75</fb>
    <v>16</v>
  </rv>
  <rv s="8">
    <fb>124.42</fb>
    <v>16</v>
  </rv>
  <rv s="8">
    <fb>127.95</fb>
    <v>16</v>
  </rv>
  <rv s="8">
    <fb>127.91</fb>
    <v>16</v>
  </rv>
  <rv s="8">
    <fb>127.81</fb>
    <v>16</v>
  </rv>
  <rv s="8">
    <fb>123.31</fb>
    <v>16</v>
  </rv>
  <rv s="8">
    <fb>123.8</fb>
    <v>16</v>
  </rv>
  <rv s="8">
    <fb>124.34</fb>
    <v>16</v>
  </rv>
  <rv s="8">
    <fb>125.12</fb>
    <v>16</v>
  </rv>
  <rv s="8">
    <fb>123.49</fb>
    <v>16</v>
  </rv>
  <rv s="8">
    <fb>125.33</fb>
    <v>16</v>
  </rv>
  <rv s="8">
    <fb>126.52</fb>
    <v>16</v>
  </rv>
  <rv s="8">
    <fb>125.99</fb>
    <v>16</v>
  </rv>
  <rv s="8">
    <fb>125.08</fb>
    <v>16</v>
  </rv>
  <rv s="8">
    <fb>121.98</fb>
    <v>16</v>
  </rv>
  <rv s="8">
    <fb>121.09</fb>
    <v>16</v>
  </rv>
  <rv s="8">
    <fb>119.02</fb>
    <v>16</v>
  </rv>
  <rv s="8">
    <fb>120.72</fb>
    <v>16</v>
  </rv>
  <rv s="8">
    <fb>122.05</fb>
    <v>16</v>
  </rv>
  <rv s="8">
    <fb>123.06</fb>
    <v>16</v>
  </rv>
  <rv s="8">
    <fb>122.18</fb>
    <v>16</v>
  </rv>
  <rv s="8">
    <fb>122.89</fb>
    <v>16</v>
  </rv>
  <rv s="8">
    <fb>123.5</fb>
    <v>16</v>
  </rv>
  <rv s="8">
    <fb>124.28</fb>
    <v>16</v>
  </rv>
  <rv s="8">
    <fb>124.74</fb>
    <v>16</v>
  </rv>
  <rv s="8">
    <fb>40912561</fb>
    <v>17</v>
  </rv>
  <rv s="8">
    <fb>192.12</fb>
    <v>16</v>
  </rv>
  <rv s="8">
    <fb>189.86</fb>
    <v>16</v>
  </rv>
  <rv s="8">
    <fb>36000660</fb>
    <v>17</v>
  </rv>
  <rv s="8">
    <fb>197.77</fb>
    <v>16</v>
  </rv>
  <rv s="8">
    <fb>203.79</fb>
    <v>16</v>
  </rv>
  <rv s="8">
    <fb>194.88</fb>
    <v>16</v>
  </rv>
  <rv s="8">
    <fb>33913779</fb>
    <v>17</v>
  </rv>
  <rv s="8">
    <fb>200.24</fb>
    <v>16</v>
  </rv>
  <rv s="8">
    <fb>191.2501</fb>
    <v>16</v>
  </rv>
  <rv s="8">
    <fb>38877220</fb>
    <v>17</v>
  </rv>
  <rv s="8">
    <fb>189.36</fb>
    <v>16</v>
  </rv>
  <rv s="8">
    <fb>202.97</fb>
    <v>16</v>
  </rv>
  <rv s="8">
    <fb>189.02</fb>
    <v>16</v>
  </rv>
  <rv s="8">
    <fb>29139162</fb>
    <v>17</v>
  </rv>
  <rv s="8">
    <fb>202.51</fb>
    <v>16</v>
  </rv>
  <rv s="8">
    <fb>206.59</fb>
    <v>16</v>
  </rv>
  <rv s="8">
    <fb>202.2</fb>
    <v>16</v>
  </rv>
  <rv s="8">
    <fb>23076366</fb>
    <v>17</v>
  </rv>
  <rv s="8">
    <fb>205.11</fb>
    <v>16</v>
  </rv>
  <rv s="8">
    <fb>209.21</fb>
    <v>16</v>
  </rv>
  <rv s="8">
    <fb>203.63</fb>
    <v>16</v>
  </rv>
  <rv s="8">
    <fb>28886913</fb>
    <v>17</v>
  </rv>
  <rv s="8">
    <fb>202.82499999999999</fb>
    <v>16</v>
  </rv>
  <rv s="8">
    <fb>203.62</fb>
    <v>16</v>
  </rv>
  <rv s="8">
    <fb>196.67</fb>
    <v>16</v>
  </rv>
  <rv s="8">
    <fb>27561888</fb>
    <v>17</v>
  </rv>
  <rv s="8">
    <fb>199.68</fb>
    <v>16</v>
  </rv>
  <rv s="8">
    <fb>192.27</fb>
    <v>16</v>
  </rv>
  <rv s="8">
    <fb>30285170</fb>
    <v>17</v>
  </rv>
  <rv s="8">
    <fb>194.97499999999999</fb>
    <v>16</v>
  </rv>
  <rv s="8">
    <fb>200.17</fb>
    <v>16</v>
  </rv>
  <rv s="8">
    <fb>194.8</fb>
    <v>16</v>
  </rv>
  <rv s="8">
    <fb>22779675</fb>
    <v>17</v>
  </rv>
  <rv s="8">
    <fb>196.68</fb>
    <v>16</v>
  </rv>
  <rv s="8">
    <fb>199.21</fb>
    <v>16</v>
  </rv>
  <rv s="8">
    <fb>195.26</fb>
    <v>16</v>
  </rv>
  <rv s="8">
    <fb>28569135</fb>
    <v>17</v>
  </rv>
  <rv s="8">
    <fb>196</fb>
    <v>16</v>
  </rv>
  <rv s="8">
    <fb>202.86</fb>
    <v>16</v>
  </rv>
  <rv s="8">
    <fb>195.75</fb>
    <v>16</v>
  </rv>
  <rv s="8">
    <fb>32245329</fb>
    <v>17</v>
  </rv>
  <rv s="8">
    <fb>195.03200000000001</fb>
    <v>16</v>
  </rv>
  <rv s="8">
    <fb>205.88</fb>
    <v>16</v>
  </rv>
  <rv s="8">
    <fb>192.83</fb>
    <v>16</v>
  </rv>
  <rv s="8">
    <fb>37265103</fb>
    <v>17</v>
  </rv>
  <rv s="8">
    <fb>204.88499999999999</fb>
    <v>16</v>
  </rv>
  <rv s="8">
    <fb>206.3</fb>
    <v>16</v>
  </rv>
  <rv s="8">
    <fb>198.26</fb>
    <v>16</v>
  </rv>
  <rv s="8">
    <fb>31857752</fb>
    <v>17</v>
  </rv>
  <rv s="8">
    <fb>206.39500000000001</fb>
    <v>16</v>
  </rv>
  <rv s="8">
    <fb>209.10900000000001</fb>
    <v>16</v>
  </rv>
  <rv s="8">
    <fb>201.71</fb>
    <v>16</v>
  </rv>
  <rv s="8">
    <fb>27258849</fb>
    <v>17</v>
  </rv>
  <rv s="8">
    <fb>201.39</fb>
    <v>16</v>
  </rv>
  <rv s="8">
    <fb>206.43</fb>
    <v>16</v>
  </rv>
  <rv s="8">
    <fb>200.13</fb>
    <v>16</v>
  </rv>
  <rv s="8">
    <fb>48518269</fb>
    <v>17</v>
  </rv>
  <rv s="8">
    <fb>211.505</fb>
    <v>16</v>
  </rv>
  <rv s="8">
    <fb>221.33</fb>
    <v>16</v>
  </rv>
  <rv s="8">
    <fb>49212976</fb>
    <v>17</v>
  </rv>
  <rv s="8">
    <fb>217.97900000000001</fb>
    <v>16</v>
  </rv>
  <rv s="8">
    <fb>221</fb>
    <v>16</v>
  </rv>
  <rv s="8">
    <fb>29206578</fb>
    <v>17</v>
  </rv>
  <rv s="8">
    <fb>201.77</fb>
    <v>16</v>
  </rv>
  <rv s="8">
    <fb>203.26990000000001</fb>
    <v>16</v>
  </rv>
  <rv s="8">
    <fb>197.69</fb>
    <v>16</v>
  </rv>
  <rv s="8">
    <fb>41053298</fb>
    <v>17</v>
  </rv>
  <rv s="8">
    <fb>204.95</fb>
    <v>16</v>
  </rv>
  <rv s="8">
    <fb>208.43</fb>
    <v>16</v>
  </rv>
  <rv s="8">
    <fb>192.86500000000001</fb>
    <v>16</v>
  </rv>
  <rv s="8">
    <fb>42318748</fb>
    <v>17</v>
  </rv>
  <rv s="8">
    <fb>204</fb>
    <v>16</v>
  </rv>
  <rv s="8">
    <fb>196.41</fb>
    <v>16</v>
  </rv>
  <rv s="8">
    <fb>40835794</fb>
    <v>17</v>
  </rv>
  <rv s="8">
    <fb>207.58500000000001</fb>
    <v>16</v>
  </rv>
  <rv s="8">
    <fb>213.83</fb>
    <v>16</v>
  </rv>
  <rv s="8">
    <fb>205.84</fb>
    <v>16</v>
  </rv>
  <rv s="8">
    <fb>128.30959999999999</fb>
    <v>16</v>
  </rv>
  <rv s="8">
    <fb>115.62050000000001</fb>
    <v>16</v>
  </rv>
  <rv s="8">
    <fb>105.1438</fb>
    <v>16</v>
  </rv>
  <rv s="8">
    <fb>98.585999999999999</fb>
    <v>16</v>
  </rv>
  <rv s="8">
    <fb>103.9533</fb>
    <v>16</v>
  </rv>
  <rv s="8">
    <fb>103.358</fb>
    <v>16</v>
  </rv>
  <rv s="8">
    <fb>106.88</fb>
    <v>16</v>
  </rv>
  <rv s="8">
    <fb>113.07080000000001</fb>
    <v>16</v>
  </rv>
  <rv s="8">
    <fb>111.39409999999999</fb>
    <v>16</v>
  </rv>
  <rv s="8">
    <fb>105.90770000000001</fb>
    <v>16</v>
  </rv>
  <rv s="8">
    <fb>108.011</fb>
    <v>16</v>
  </rv>
  <rv s="8">
    <fb>109.2809</fb>
    <v>16</v>
  </rv>
  <rv s="8">
    <fb>114.9657</fb>
    <v>16</v>
  </rv>
  <rv s="8">
    <fb>118.0313</fb>
    <v>16</v>
  </rv>
  <rv s="8">
    <fb>118.3488</fb>
    <v>16</v>
  </rv>
  <rv s="8">
    <fb>119.331</fb>
    <v>16</v>
  </rv>
  <rv s="8">
    <fb>117.4361</fb>
    <v>16</v>
  </rv>
  <rv s="8">
    <fb>117.94199999999999</fb>
    <v>16</v>
  </rv>
  <rv s="8">
    <fb>118.4877</fb>
    <v>16</v>
  </rv>
  <rv s="8">
    <fb>119.57899999999999</fb>
    <v>16</v>
  </rv>
  <rv s="8">
    <fb>124.76779999999999</fb>
    <v>16</v>
  </rv>
  <rv s="8">
    <fb>125.5714</fb>
    <v>16</v>
  </rv>
  <rv s="8">
    <fb>126.6528</fb>
    <v>16</v>
  </rv>
  <rv s="8">
    <fb>122.2577</fb>
    <v>16</v>
  </rv>
  <rv s="8">
    <fb>124.7975</fb>
    <v>16</v>
  </rv>
  <rv s="8">
    <fb>124.3411</fb>
    <v>16</v>
  </rv>
  <rv s="8">
    <fb>131.5042</fb>
    <v>16</v>
  </rv>
  <rv s="8">
    <fb>130.6113</fb>
    <v>16</v>
  </rv>
  <rv s="8">
    <fb>132.9923</fb>
    <v>16</v>
  </rv>
  <rv s="8">
    <fb>122.9224</fb>
    <v>16</v>
  </rv>
  <rv s="8">
    <fb>122.4859</fb>
    <v>16</v>
  </rv>
  <rv s="8">
    <fb>121.9898</fb>
    <v>16</v>
  </rv>
  <rv s="8">
    <fb>124.1725</fb>
    <v>16</v>
  </rv>
  <rv s="8">
    <fb>122.61490000000001</fb>
    <v>16</v>
  </rv>
  <rv s="8">
    <fb>120.5215</fb>
    <v>16</v>
  </rv>
  <rv s="8">
    <fb>119.7774</fb>
    <v>16</v>
  </rv>
  <rv s="8">
    <fb>118.577</fb>
    <v>16</v>
  </rv>
  <rv s="8">
    <fb>115.8189</fb>
    <v>16</v>
  </rv>
  <rv s="8">
    <fb>116.25539999999999</fb>
    <v>16</v>
  </rv>
  <rv s="8">
    <fb>112.9418</fb>
    <v>16</v>
  </rv>
  <rv s="8">
    <fb>113.8446</fb>
    <v>16</v>
  </rv>
  <rv s="8">
    <fb>114.0629</fb>
    <v>16</v>
  </rv>
  <rv s="8">
    <fb>118.50749999999999</fb>
    <v>16</v>
  </rv>
  <rv s="8">
    <fb>119.01349999999999</fb>
    <v>16</v>
  </rv>
  <rv s="8">
    <fb>118.43810000000001</fb>
    <v>16</v>
  </rv>
  <rv s="8">
    <fb>120.91840000000001</fb>
    <v>16</v>
  </rv>
  <rv s="8">
    <fb>119.3806</fb>
    <v>16</v>
  </rv>
  <rv s="8">
    <fb>116.62</fb>
    <v>16</v>
  </rv>
  <rv s="8">
    <fb>112.87</fb>
    <v>16</v>
  </rv>
  <rv s="8">
    <fb>115.96</fb>
    <v>16</v>
  </rv>
  <rv s="8">
    <fb>115.03</fb>
    <v>16</v>
  </rv>
  <rv s="8">
    <fb>113.49</fb>
    <v>16</v>
  </rv>
  <rv s="8">
    <fb>113.01</fb>
    <v>16</v>
  </rv>
  <rv s="8">
    <fb>113.09</fb>
    <v>16</v>
  </rv>
  <rv s="8">
    <fb>117.01</fb>
    <v>16</v>
  </rv>
  <rv s="8">
    <fb>114.55</fb>
    <v>16</v>
  </rv>
  <rv s="8">
    <fb>113.93</fb>
    <v>16</v>
  </rv>
  <rv s="8">
    <fb>114.08</fb>
    <v>16</v>
  </rv>
  <rv s="8">
    <fb>113.97</fb>
    <v>16</v>
  </rv>
  <rv s="8">
    <fb>108.7</fb>
    <v>16</v>
  </rv>
  <rv s="8">
    <fb>106.27</fb>
    <v>16</v>
  </rv>
  <rv s="8">
    <fb>107.99</fb>
    <v>16</v>
  </rv>
  <rv s="8">
    <fb>103.83</fb>
    <v>16</v>
  </rv>
  <rv s="8">
    <fb>106.64</fb>
    <v>16</v>
  </rv>
  <rv s="8">
    <fb>108.22</fb>
    <v>16</v>
  </rv>
  <rv s="8">
    <fb>116.97</fb>
    <v>16</v>
  </rv>
  <rv s="8">
    <fb>115.73</fb>
    <v>16</v>
  </rv>
  <rv s="8">
    <fb>117.3</fb>
    <v>16</v>
  </rv>
  <rv s="8">
    <fb>120.23</fb>
    <v>16</v>
  </rv>
  <rv s="8">
    <fb>120.27</fb>
    <v>16</v>
  </rv>
  <rv s="8">
    <fb>120.71</fb>
    <v>16</v>
  </rv>
  <rv s="8">
    <fb>122.58</fb>
    <v>16</v>
  </rv>
  <rv s="8">
    <fb>121.15</fb>
    <v>16</v>
  </rv>
  <rv s="8">
    <fb>120.03</fb>
    <v>16</v>
  </rv>
  <rv s="8">
    <fb>117.38</fb>
    <v>16</v>
  </rv>
  <rv s="8">
    <fb>120.63</fb>
    <v>16</v>
  </rv>
  <rv s="8">
    <fb>117.07</fb>
    <v>16</v>
  </rv>
  <rv s="8">
    <fb>117.5</fb>
    <v>16</v>
  </rv>
  <rv s="8">
    <fb>117.04</fb>
    <v>16</v>
  </rv>
  <rv s="8">
    <fb>120.86</fb>
    <v>16</v>
  </rv>
  <rv s="8">
    <fb>120.96</fb>
    <v>16</v>
  </rv>
  <rv s="8">
    <fb>118.64</fb>
    <v>16</v>
  </rv>
  <rv s="8">
    <fb>122.42</fb>
    <v>16</v>
  </rv>
  <rv s="8">
    <fb>126.86</fb>
    <v>16</v>
  </rv>
  <rv s="8">
    <fb>122.28</fb>
    <v>16</v>
  </rv>
  <rv s="8">
    <fb>121.26</fb>
    <v>16</v>
  </rv>
  <rv s="8">
    <fb>121.4</fb>
    <v>16</v>
  </rv>
  <rv s="8">
    <fb>119.99</fb>
    <v>16</v>
  </rv>
  <rv s="8">
    <fb>119.49</fb>
    <v>16</v>
  </rv>
  <rv s="8">
    <fb>122.94</fb>
    <v>16</v>
  </rv>
  <rv s="8">
    <fb>124.35</fb>
    <v>16</v>
  </rv>
  <rv s="8">
    <fb>124.19</fb>
    <v>16</v>
  </rv>
  <rv s="8">
    <fb>122.23</fb>
    <v>16</v>
  </rv>
  <rv s="8">
    <fb>119.57</fb>
    <v>16</v>
  </rv>
  <rv s="8">
    <fb>135</fb>
    <v>16</v>
  </rv>
  <rv s="8">
    <fb>138.55000000000001</fb>
    <v>16</v>
  </rv>
  <rv s="8">
    <fb>136.44999999999999</fb>
    <v>16</v>
  </rv>
  <rv s="8">
    <fb>130.91999999999999</fb>
    <v>16</v>
  </rv>
  <rv s="8">
    <fb>135.58000000000001</fb>
    <v>16</v>
  </rv>
  <rv s="8">
    <fb>141.19999999999999</fb>
    <v>16</v>
  </rv>
  <rv s="8">
    <fb>147.1</fb>
    <v>16</v>
  </rv>
  <rv s="8">
    <fb>143.93</fb>
    <v>16</v>
  </rv>
  <rv s="8">
    <fb>155.44</fb>
    <v>16</v>
  </rv>
  <rv s="8">
    <fb>155.06</fb>
    <v>16</v>
  </rv>
  <rv s="8">
    <fb>158.04</fb>
    <v>16</v>
  </rv>
  <rv s="8">
    <fb>162.21</fb>
    <v>16</v>
  </rv>
  <rv s="8">
    <fb>166.17</fb>
    <v>16</v>
  </rv>
  <rv s="8">
    <fb>162.47999999999999</fb>
    <v>16</v>
  </rv>
  <rv s="8">
    <fb>162.81</fb>
    <v>16</v>
  </rv>
  <rv s="8">
    <fb>164.25</fb>
    <v>16</v>
  </rv>
  <rv s="8">
    <fb>163.08000000000001</fb>
    <v>16</v>
  </rv>
  <rv s="8">
    <fb>176.44</fb>
    <v>16</v>
  </rv>
  <rv s="8">
    <fb>175.47</fb>
    <v>16</v>
  </rv>
  <rv s="8">
    <fb>171.91</fb>
    <v>16</v>
  </rv>
  <rv s="8">
    <fb>179.9</fb>
    <v>16</v>
  </rv>
  <rv s="8">
    <fb>178.73</fb>
    <v>16</v>
  </rv>
  <rv s="8">
    <fb>182.78</fb>
    <v>16</v>
  </rv>
  <rv s="8">
    <fb>189.34</fb>
    <v>16</v>
  </rv>
  <rv s="8">
    <fb>188.03</fb>
    <v>16</v>
  </rv>
  <rv s="8">
    <fb>187.22</fb>
    <v>16</v>
  </rv>
  <rv s="8">
    <fb>181.33</fb>
    <v>16</v>
  </rv>
  <rv s="8">
    <fb>181.12</fb>
    <v>16</v>
  </rv>
  <rv s="8">
    <fb>173.68</fb>
    <v>16</v>
  </rv>
  <rv s="8">
    <fb>159.01</fb>
    <v>16</v>
  </rv>
  <rv s="8">
    <fb>166.81</fb>
    <v>16</v>
  </rv>
  <rv s="8">
    <fb>162.86000000000001</fb>
    <v>16</v>
  </rv>
  <rv s="8">
    <fb>165.91</fb>
    <v>16</v>
  </rv>
  <rv s="8">
    <fb>165.09</fb>
    <v>16</v>
  </rv>
  <rv s="8">
    <fb>167.05</fb>
    <v>16</v>
  </rv>
  <rv s="8">
    <fb>173.47</fb>
    <v>16</v>
  </rv>
  <rv s="8">
    <fb>166.67</fb>
    <v>16</v>
  </rv>
  <rv s="8">
    <fb>165.86</fb>
    <v>16</v>
  </rv>
  <rv s="8">
    <fb>171.9</fb>
    <v>16</v>
  </rv>
  <rv s="8">
    <fb>174.7</fb>
    <v>16</v>
  </rv>
  <rv s="8">
    <fb>179.45</fb>
    <v>16</v>
  </rv>
  <rv s="8">
    <fb>176.72</fb>
    <v>16</v>
  </rv>
  <rv s="8">
    <fb>179.97</fb>
    <v>16</v>
  </rv>
  <rv s="8">
    <fb>173.93</fb>
    <v>16</v>
  </rv>
  <rv s="8">
    <fb>170.43</fb>
    <v>16</v>
  </rv>
  <rv s="8">
    <fb>167.69</fb>
    <v>16</v>
  </rv>
  <rv s="8">
    <fb>164.3</fb>
    <v>16</v>
  </rv>
  <rv s="8">
    <fb>164.82</fb>
    <v>16</v>
  </rv>
  <rv s="8">
    <fb>167.61</fb>
    <v>16</v>
  </rv>
  <rv s="8">
    <fb>166.34</fb>
    <v>16</v>
  </rv>
  <rv s="8">
    <fb>165.89</fb>
    <v>16</v>
  </rv>
  <rv s="8">
    <fb>160.80000000000001</fb>
    <v>16</v>
  </rv>
  <rv s="8">
    <fb>157.91</fb>
    <v>16</v>
  </rv>
  <rv s="8">
    <fb>159.84</fb>
    <v>16</v>
  </rv>
  <rv s="8">
    <fb>153.80000000000001</fb>
    <v>16</v>
  </rv>
  <rv s="8">
    <fb>157.71</fb>
    <v>16</v>
  </rv>
  <rv s="8">
    <fb>159.72</fb>
    <v>16</v>
  </rv>
  <rv s="8">
    <fb>158.88999999999999</fb>
    <v>16</v>
  </rv>
  <rv s="8">
    <fb>153.28</fb>
    <v>16</v>
  </rv>
  <rv s="8">
    <fb>152.93</fb>
    <v>16</v>
  </rv>
  <rv s="8">
    <fb>160.72999999999999</fb>
    <v>16</v>
  </rv>
  <rv s="8">
    <fb>157.01</fb>
    <v>16</v>
  </rv>
  <rv s="8">
    <fb>157.6</fb>
    <v>16</v>
  </rv>
  <rv s="8">
    <fb>157.30000000000001</fb>
    <v>16</v>
  </rv>
  <rv s="8">
    <fb>164.26</fb>
    <v>16</v>
  </rv>
  <rv s="8">
    <fb>161.13</fb>
    <v>16</v>
  </rv>
  <rv s="8">
    <fb>158.08000000000001</fb>
    <v>16</v>
  </rv>
  <rv s="8">
    <fb>157.44</fb>
    <v>16</v>
  </rv>
  <rv s="8">
    <fb>158.32</fb>
    <v>16</v>
  </rv>
  <rv s="8">
    <fb>158.13</fb>
    <v>16</v>
  </rv>
  <rv s="8">
    <fb>155.96</fb>
    <v>16</v>
  </rv>
  <rv s="8">
    <fb>158.82</fb>
    <v>16</v>
  </rv>
  <rv s="8">
    <fb>156.9</fb>
    <v>16</v>
  </rv>
  <rv s="8">
    <fb>155.68</fb>
    <v>16</v>
  </rv>
  <rv s="8">
    <fb>150.09</fb>
    <v>16</v>
  </rv>
  <rv s="8">
    <fb>149.29</fb>
    <v>16</v>
  </rv>
  <rv s="8">
    <fb>147.09</fb>
    <v>16</v>
  </rv>
  <rv s="8">
    <fb>147.32</fb>
    <v>16</v>
  </rv>
  <rv s="8">
    <fb>149.79</fb>
    <v>16</v>
  </rv>
  <rv s="8">
    <fb>150.96</fb>
    <v>16</v>
  </rv>
  <rv s="8">
    <fb>151.22999999999999</fb>
    <v>16</v>
  </rv>
  <rv s="8">
    <fb>150.06</fb>
    <v>16</v>
  </rv>
  <rv s="8">
    <fb>152.24</fb>
    <v>16</v>
  </rv>
  <rv s="8">
    <fb>147.36000000000001</fb>
    <v>16</v>
  </rv>
  <rv s="8">
    <fb>146.58000000000001</fb>
    <v>16</v>
  </rv>
  <rv s="8">
    <fb>155.74</fb>
    <v>16</v>
  </rv>
  <rv s="8">
    <fb>156.26</fb>
    <v>16</v>
  </rv>
  <rv s="8">
    <fb>150.9</fb>
    <v>16</v>
  </rv>
  <rv s="8">
    <fb>154.47</fb>
    <v>16</v>
  </rv>
  <rv s="8">
    <fb>166.31</fb>
    <v>16</v>
  </rv>
  <rv s="8">
    <fb>167.01</fb>
    <v>16</v>
  </rv>
  <rv s="8">
    <fb>169.9</fb>
    <v>16</v>
  </rv>
  <rv s="8">
    <fb>170.93</fb>
    <v>16</v>
  </rv>
  <rv s="8">
    <fb>165.4</fb>
    <v>16</v>
  </rv>
  <rv s="8">
    <fb>162.38999999999999</fb>
    <v>16</v>
  </rv>
  <rv s="8">
    <fb>168.67</fb>
    <v>16</v>
  </rv>
  <rv s="8">
    <fb>177.18</fb>
    <v>16</v>
  </rv>
  <rv s="8">
    <fb>173.23</fb>
    <v>16</v>
  </rv>
  <rv s="8">
    <fb>172.72</fb>
    <v>16</v>
  </rv>
  <rv s="8">
    <fb>175.66</fb>
    <v>16</v>
  </rv>
  <rv s="8">
    <fb>174.25</fb>
    <v>16</v>
  </rv>
  <rv s="8">
    <fb>169.56</fb>
    <v>16</v>
  </rv>
  <rv s="8">
    <fb>168.39</fb>
    <v>16</v>
  </rv>
  <rv s="8">
    <fb>163.65</fb>
    <v>16</v>
  </rv>
  <rv s="8">
    <fb>159.13999999999999</fb>
    <v>16</v>
  </rv>
  <rv s="8">
    <fb>157.76</fb>
    <v>16</v>
  </rv>
  <rv s="8">
    <fb>162.51</fb>
    <v>16</v>
  </rv>
  <rv s="8">
    <fb>163</fb>
    <v>16</v>
  </rv>
  <rv s="8">
    <fb>166.51</fb>
    <v>16</v>
  </rv>
  <rv s="8">
    <fb>164.32</fb>
    <v>16</v>
  </rv>
  <rv s="8">
    <fb>158.72999999999999</fb>
    <v>16</v>
  </rv>
  <rv s="8">
    <fb>155.72999999999999</fb>
    <v>16</v>
  </rv>
  <rv s="8">
    <fb>155.43</fb>
    <v>16</v>
  </rv>
  <rv s="8">
    <fb>155.77000000000001</fb>
    <v>16</v>
  </rv>
  <rv s="8">
    <fb>154.27000000000001</fb>
    <v>16</v>
  </rv>
  <rv s="8">
    <fb>154.44999999999999</fb>
    <v>16</v>
  </rv>
  <rv s="8">
    <fb>153.11000000000001</fb>
    <v>16</v>
  </rv>
  <rv s="8">
    <fb>152.28</fb>
    <v>16</v>
  </rv>
  <rv s="8">
    <fb>148.05000000000001</fb>
    <v>16</v>
  </rv>
  <rv s="8">
    <fb>144.11000000000001</fb>
    <v>16</v>
  </rv>
  <rv s="8">
    <fb>142.56</fb>
    <v>16</v>
  </rv>
  <rv s="8">
    <fb>135.59</fb>
    <v>16</v>
  </rv>
  <rv s="8">
    <fb>133.27000000000001</fb>
    <v>16</v>
  </rv>
  <rv s="8">
    <fb>130.35</fb>
    <v>16</v>
  </rv>
  <rv s="8">
    <fb>130.79</fb>
    <v>16</v>
  </rv>
  <rv s="8">
    <fb>132.63999999999999</fb>
    <v>16</v>
  </rv>
  <rv s="8">
    <fb>136.85</fb>
    <v>16</v>
  </rv>
  <rv s="8">
    <fb>136.29</fb>
    <v>16</v>
  </rv>
  <rv s="8">
    <fb>134.19999999999999</fb>
    <v>16</v>
  </rv>
  <rv s="8">
    <fb>135.21</fb>
    <v>16</v>
  </rv>
  <rv s="8">
    <fb>136.71</fb>
    <v>16</v>
  </rv>
  <rv s="8">
    <fb>136.57</fb>
    <v>16</v>
  </rv>
  <rv s="8">
    <fb>134.43</fb>
    <v>16</v>
  </rv>
  <rv s="8">
    <fb>124.9</fb>
    <v>16</v>
  </rv>
  <rv s="8">
    <fb>122.41</fb>
    <v>16</v>
  </rv>
  <rv s="8">
    <fb>126.06</fb>
    <v>16</v>
  </rv>
  <rv s="8">
    <fb>125.48</fb>
    <v>16</v>
  </rv>
  <rv s="8">
    <fb>129.87</fb>
    <v>16</v>
  </rv>
  <rv s="8">
    <fb>125.41</fb>
    <v>16</v>
  </rv>
  <rv s="8">
    <fb>125.46</fb>
    <v>16</v>
  </rv>
  <rv s="8">
    <fb>123.73</fb>
    <v>16</v>
  </rv>
  <rv s="8">
    <fb>14293901</fb>
    <v>17</v>
  </rv>
  <rv s="8">
    <fb>134.98500000000001</fb>
    <v>16</v>
  </rv>
  <rv s="8">
    <fb>135.11699999999999</fb>
    <v>16</v>
  </rv>
  <rv s="8">
    <fb>132.72</fb>
    <v>16</v>
  </rv>
  <rv s="8">
    <fb>18612932</fb>
    <v>17</v>
  </rv>
  <rv s="8">
    <fb>129.69999999999999</fb>
    <v>16</v>
  </rv>
  <rv s="8">
    <fb>131.63460000000001</fb>
    <v>16</v>
  </rv>
  <rv s="8">
    <fb>128.6</fb>
    <v>16</v>
  </rv>
  <rv s="8">
    <fb>10956991</fb>
    <v>17</v>
  </rv>
  <rv s="8">
    <fb>129.30000000000001</fb>
    <v>16</v>
  </rv>
  <rv s="8">
    <fb>132.43</fb>
    <v>16</v>
  </rv>
  <rv s="8">
    <fb>128.80000000000001</fb>
    <v>16</v>
  </rv>
  <rv s="8">
    <fb>10072449</fb>
    <v>17</v>
  </rv>
  <rv s="8">
    <fb>130.24</fb>
    <v>16</v>
  </rv>
  <rv s="8">
    <fb>132.91</fb>
    <v>16</v>
  </rv>
  <rv s="8">
    <fb>128.55000000000001</fb>
    <v>16</v>
  </rv>
  <rv s="8">
    <fb>15264286</fb>
    <v>17</v>
  </rv>
  <rv s="8">
    <fb>135.71</fb>
    <v>16</v>
  </rv>
  <rv s="8">
    <fb>139.22</fb>
    <v>16</v>
  </rv>
  <rv s="8">
    <fb>134.56</fb>
    <v>16</v>
  </rv>
  <rv s="8">
    <fb>6685065</fb>
    <v>17</v>
  </rv>
  <rv s="8">
    <fb>136.74</fb>
    <v>16</v>
  </rv>
  <rv s="8">
    <fb>134.82</fb>
    <v>16</v>
  </rv>
  <rv s="8">
    <fb>7591786</fb>
    <v>17</v>
  </rv>
  <rv s="8">
    <fb>135.38</fb>
    <v>16</v>
  </rv>
  <rv s="8">
    <fb>136</fb>
    <v>16</v>
  </rv>
  <rv s="8">
    <fb>133.44999999999999</fb>
    <v>16</v>
  </rv>
  <rv s="8">
    <fb>6438401</fb>
    <v>17</v>
  </rv>
  <rv s="8">
    <fb>136.07</fb>
    <v>16</v>
  </rv>
  <rv s="8">
    <fb>137.19999999999999</fb>
    <v>16</v>
  </rv>
  <rv s="8">
    <fb>134.69999999999999</fb>
    <v>16</v>
  </rv>
  <rv s="8">
    <fb>9972344</fb>
    <v>17</v>
  </rv>
  <rv s="8">
    <fb>138.80000000000001</fb>
    <v>16</v>
  </rv>
  <rv s="8">
    <fb>136.5</fb>
    <v>16</v>
  </rv>
  <rv s="8">
    <fb>10005699</fb>
    <v>17</v>
  </rv>
  <rv s="8">
    <fb>137.875</fb>
    <v>16</v>
  </rv>
  <rv s="8">
    <fb>138.22</fb>
    <v>16</v>
  </rv>
  <rv s="8">
    <fb>135.97</fb>
    <v>16</v>
  </rv>
  <rv s="8">
    <fb>17158597</fb>
    <v>17</v>
  </rv>
  <rv s="8">
    <fb>138.44499999999999</fb>
    <v>16</v>
  </rv>
  <rv s="8">
    <fb>139.16</fb>
    <v>16</v>
  </rv>
  <rv s="8">
    <fb>134.37</fb>
    <v>16</v>
  </rv>
  <rv s="8">
    <fb>33440469</fb>
    <v>17</v>
  </rv>
  <rv s="8">
    <fb>123.02</fb>
    <v>16</v>
  </rv>
  <rv s="8">
    <fb>126.92</fb>
    <v>16</v>
  </rv>
  <rv s="8">
    <fb>121.16</fb>
    <v>16</v>
  </rv>
  <rv s="8">
    <fb>15479264</fb>
    <v>17</v>
  </rv>
  <rv s="8">
    <fb>125.715</fb>
    <v>16</v>
  </rv>
  <rv s="8">
    <fb>126.48</fb>
    <v>16</v>
  </rv>
  <rv s="8">
    <fb>122.09</fb>
    <v>16</v>
  </rv>
  <rv s="8">
    <fb>15583917</fb>
    <v>17</v>
  </rv>
  <rv s="8">
    <fb>127.27</fb>
    <v>16</v>
  </rv>
  <rv s="8">
    <fb>123.1</fb>
    <v>16</v>
  </rv>
  <rv s="8">
    <fb>8516233</fb>
    <v>17</v>
  </rv>
  <rv s="8">
    <fb>124.36</fb>
    <v>16</v>
  </rv>
  <rv s="8">
    <fb>123.92</fb>
    <v>16</v>
  </rv>
  <rv s="8">
    <fb>12843020</fb>
    <v>17</v>
  </rv>
  <rv s="8">
    <fb>129.47999999999999</fb>
    <v>16</v>
  </rv>
  <rv s="8">
    <fb>130.65</fb>
    <v>16</v>
  </rv>
  <rv s="8">
    <fb>128.34</fb>
    <v>16</v>
  </rv>
  <rv s="8">
    <fb>9239994</fb>
    <v>17</v>
  </rv>
  <rv s="8">
    <fb>126.72</fb>
    <v>16</v>
  </rv>
  <rv s="8">
    <fb>127.05</fb>
    <v>16</v>
  </rv>
  <rv s="8">
    <fb>124.59</fb>
    <v>16</v>
  </rv>
  <rv s="8">
    <fb>8104989</fb>
    <v>17</v>
  </rv>
  <rv s="8">
    <fb>123.97</fb>
    <v>16</v>
  </rv>
  <rv s="8">
    <fb>124.44</fb>
    <v>16</v>
  </rv>
  <rv s="8">
    <fb>122.23009999999999</fb>
    <v>16</v>
  </rv>
  <rv s="8">
    <fb>7226650</fb>
    <v>17</v>
  </rv>
  <rv s="8">
    <fb>123.28</fb>
    <v>16</v>
  </rv>
  <rv s="8">
    <fb>123.78</fb>
    <v>16</v>
  </rv>
  <rv s="8">
    <fb>121.55</fb>
    <v>16</v>
  </rv>
  <rv s="8">
    <fb>9486079</fb>
    <v>17</v>
  </rv>
  <rv s="8">
    <fb>121.99</fb>
    <v>16</v>
  </rv>
  <rv s="8">
    <fb>125.78</fb>
    <v>16</v>
  </rv>
  <rv s="8">
    <fb>121.38</fb>
    <v>16</v>
  </rv>
  <rv s="8">
    <fb>10297423</fb>
    <v>17</v>
  </rv>
  <rv s="8">
    <fb>123.12</fb>
    <v>16</v>
  </rv>
  <rv s="8">
    <fb>37.22</fb>
    <v>16</v>
  </rv>
  <rv s="8">
    <fb>34.39</fb>
    <v>16</v>
  </rv>
  <rv s="8">
    <fb>35.58</fb>
    <v>16</v>
  </rv>
  <rv s="8">
    <fb>35.03</fb>
    <v>16</v>
  </rv>
  <rv s="8">
    <fb>37.15</fb>
    <v>16</v>
  </rv>
  <rv s="8">
    <fb>35.85</fb>
    <v>16</v>
  </rv>
  <rv s="8">
    <fb>35.950000000000003</fb>
    <v>16</v>
  </rv>
  <rv s="8">
    <fb>36.67</fb>
    <v>16</v>
  </rv>
  <rv s="8">
    <fb>37.99</fb>
    <v>16</v>
  </rv>
  <rv s="8">
    <fb>37.33</fb>
    <v>16</v>
  </rv>
  <rv s="8">
    <fb>37.409999999999997</fb>
    <v>16</v>
  </rv>
  <rv s="8">
    <fb>36.92</fb>
    <v>16</v>
  </rv>
  <rv s="8">
    <fb>38.32</fb>
    <v>16</v>
  </rv>
  <rv s="8">
    <fb>38.75</fb>
    <v>16</v>
  </rv>
  <rv s="8">
    <fb>39.58</fb>
    <v>16</v>
  </rv>
  <rv s="8">
    <fb>39.69</fb>
    <v>16</v>
  </rv>
  <rv s="8">
    <fb>39.78</fb>
    <v>16</v>
  </rv>
  <rv s="8">
    <fb>39.99</fb>
    <v>16</v>
  </rv>
  <rv s="8">
    <fb>39.880000000000003</fb>
    <v>16</v>
  </rv>
  <rv s="8">
    <fb>40.17</fb>
    <v>16</v>
  </rv>
  <rv s="8">
    <fb>41.07</fb>
    <v>16</v>
  </rv>
  <rv s="8">
    <fb>41.12</fb>
    <v>16</v>
  </rv>
  <rv s="8">
    <fb>40.840000000000003</fb>
    <v>16</v>
  </rv>
  <rv s="8">
    <fb>40.93</fb>
    <v>16</v>
  </rv>
  <rv s="8">
    <fb>41.6</fb>
    <v>16</v>
  </rv>
  <rv s="8">
    <fb>41.79</fb>
    <v>16</v>
  </rv>
  <rv s="8">
    <fb>43.36</fb>
    <v>16</v>
  </rv>
  <rv s="8">
    <fb>44.28</fb>
    <v>16</v>
  </rv>
  <rv s="8">
    <fb>44.74</fb>
    <v>16</v>
  </rv>
  <rv s="8">
    <fb>44.38</fb>
    <v>16</v>
  </rv>
  <rv s="8">
    <fb>44.69</fb>
    <v>16</v>
  </rv>
  <rv s="8">
    <fb>44.77</fb>
    <v>16</v>
  </rv>
  <rv s="8">
    <fb>43.25</fb>
    <v>16</v>
  </rv>
  <rv s="8">
    <fb>43.31</fb>
    <v>16</v>
  </rv>
  <rv s="8">
    <fb>43.2</fb>
    <v>16</v>
  </rv>
  <rv s="8">
    <fb>44.22</fb>
    <v>16</v>
  </rv>
  <rv s="8">
    <fb>44.06</fb>
    <v>16</v>
  </rv>
  <rv s="8">
    <fb>44.24</fb>
    <v>16</v>
  </rv>
  <rv s="8">
    <fb>44.13</fb>
    <v>16</v>
  </rv>
  <rv s="8">
    <fb>44.08</fb>
    <v>16</v>
  </rv>
  <rv s="8">
    <fb>44.65</fb>
    <v>16</v>
  </rv>
  <rv s="8">
    <fb>44.36</fb>
    <v>16</v>
  </rv>
  <rv s="8">
    <fb>44.97</fb>
    <v>16</v>
  </rv>
  <rv s="8">
    <fb>44.87</fb>
    <v>16</v>
  </rv>
  <rv s="8">
    <fb>45.09</fb>
    <v>16</v>
  </rv>
  <rv s="8">
    <fb>44.73</fb>
    <v>16</v>
  </rv>
  <rv s="8">
    <fb>44.62</fb>
    <v>16</v>
  </rv>
  <rv s="8">
    <fb>44.09</fb>
    <v>16</v>
  </rv>
  <rv s="8">
    <fb>44.41</fb>
    <v>16</v>
  </rv>
  <rv s="8">
    <fb>44.23</fb>
    <v>16</v>
  </rv>
  <rv s="8">
    <fb>45.06</fb>
    <v>16</v>
  </rv>
  <rv s="8">
    <fb>45.5</fb>
    <v>16</v>
  </rv>
  <rv s="8">
    <fb>46.3</fb>
    <v>16</v>
  </rv>
  <rv s="8">
    <fb>46.66</fb>
    <v>16</v>
  </rv>
  <rv s="8">
    <fb>46.85</fb>
    <v>16</v>
  </rv>
  <rv s="8">
    <fb>47.46</fb>
    <v>16</v>
  </rv>
  <rv s="8">
    <fb>47.12</fb>
    <v>16</v>
  </rv>
  <rv s="8">
    <fb>47.32</fb>
    <v>16</v>
  </rv>
  <rv s="8">
    <fb>48.15</fb>
    <v>16</v>
  </rv>
  <rv s="8">
    <fb>48.71</fb>
    <v>16</v>
  </rv>
  <rv s="8">
    <fb>48.93</fb>
    <v>16</v>
  </rv>
  <rv s="8">
    <fb>48.66</fb>
    <v>16</v>
  </rv>
  <rv s="8">
    <fb>47.15</fb>
    <v>16</v>
  </rv>
  <rv s="8">
    <fb>46.84</fb>
    <v>16</v>
  </rv>
  <rv s="8">
    <fb>46.97</fb>
    <v>16</v>
  </rv>
  <rv s="8">
    <fb>46.73</fb>
    <v>16</v>
  </rv>
  <rv s="8">
    <fb>47.07</fb>
    <v>16</v>
  </rv>
  <rv s="8">
    <fb>46.15</fb>
    <v>16</v>
  </rv>
  <rv s="8">
    <fb>46.03</fb>
    <v>16</v>
  </rv>
  <rv s="8">
    <fb>47.02</fb>
    <v>16</v>
  </rv>
  <rv s="8">
    <fb>47.48</fb>
    <v>16</v>
  </rv>
  <rv s="8">
    <fb>47.77</fb>
    <v>16</v>
  </rv>
  <rv s="8">
    <fb>48.14</fb>
    <v>16</v>
  </rv>
  <rv s="8">
    <fb>48.39</fb>
    <v>16</v>
  </rv>
  <rv s="8">
    <fb>48.45</fb>
    <v>16</v>
  </rv>
  <rv s="8">
    <fb>48.23</fb>
    <v>16</v>
  </rv>
  <rv s="8">
    <fb>47.95</fb>
    <v>16</v>
  </rv>
  <rv s="8">
    <fb>47.96</fb>
    <v>16</v>
  </rv>
  <rv s="8">
    <fb>47.27</fb>
    <v>16</v>
  </rv>
  <rv s="8">
    <fb>45.66</fb>
    <v>16</v>
  </rv>
  <rv s="8">
    <fb>45.85</fb>
    <v>16</v>
  </rv>
  <rv s="8">
    <fb>45.56</fb>
    <v>16</v>
  </rv>
  <rv s="8">
    <fb>45.42</fb>
    <v>16</v>
  </rv>
  <rv s="8">
    <fb>44.92</fb>
    <v>16</v>
  </rv>
  <rv s="8">
    <fb>46.01</fb>
    <v>16</v>
  </rv>
  <rv s="8">
    <fb>46.16</fb>
    <v>16</v>
  </rv>
  <rv s="8">
    <fb>47.5</fb>
    <v>16</v>
  </rv>
  <rv s="8">
    <fb>47.24</fb>
    <v>16</v>
  </rv>
  <rv s="8">
    <fb>47.71</fb>
    <v>16</v>
  </rv>
  <rv s="8">
    <fb>46.94</fb>
    <v>16</v>
  </rv>
  <rv s="8">
    <fb>47.92</fb>
    <v>16</v>
  </rv>
  <rv s="8">
    <fb>48.08</fb>
    <v>16</v>
  </rv>
  <rv s="8">
    <fb>48.35</fb>
    <v>16</v>
  </rv>
  <rv s="8">
    <fb>48.26</fb>
    <v>16</v>
  </rv>
  <rv s="8">
    <fb>49.48</fb>
    <v>16</v>
  </rv>
  <rv s="8">
    <fb>50.25</fb>
    <v>16</v>
  </rv>
  <rv s="8">
    <fb>50.38</fb>
    <v>16</v>
  </rv>
  <rv s="8">
    <fb>50.49</fb>
    <v>16</v>
  </rv>
  <rv s="8">
    <fb>50.74</fb>
    <v>16</v>
  </rv>
  <rv s="8">
    <fb>50.42</fb>
    <v>16</v>
  </rv>
  <rv s="8">
    <fb>50.06</fb>
    <v>16</v>
  </rv>
  <rv s="8">
    <fb>50.62</fb>
    <v>16</v>
  </rv>
  <rv s="8">
    <fb>49.77</fb>
    <v>16</v>
  </rv>
  <rv s="8">
    <fb>49.46</fb>
    <v>16</v>
  </rv>
  <rv s="8">
    <fb>50.29</fb>
    <v>16</v>
  </rv>
  <rv s="8">
    <fb>50.13</fb>
    <v>16</v>
  </rv>
  <rv s="8">
    <fb>50.75</fb>
    <v>16</v>
  </rv>
  <rv s="8">
    <fb>50.58</fb>
    <v>16</v>
  </rv>
  <rv s="8">
    <fb>50.59</fb>
    <v>16</v>
  </rv>
  <rv s="8">
    <fb>50.66</fb>
    <v>16</v>
  </rv>
  <rv s="8">
    <fb>51.4</fb>
    <v>16</v>
  </rv>
  <rv s="8">
    <fb>52.13</fb>
    <v>16</v>
  </rv>
  <rv s="8">
    <fb>52.25</fb>
    <v>16</v>
  </rv>
  <rv s="8">
    <fb>51.92</fb>
    <v>16</v>
  </rv>
  <rv s="8">
    <fb>51.7</fb>
    <v>16</v>
  </rv>
  <rv s="8">
    <fb>51.85</fb>
    <v>16</v>
  </rv>
  <rv s="8">
    <fb>52.21</fb>
    <v>16</v>
  </rv>
  <rv s="8">
    <fb>52.42</fb>
    <v>16</v>
  </rv>
  <rv s="8">
    <fb>51.59</fb>
    <v>16</v>
  </rv>
  <rv s="8">
    <fb>50.68</fb>
    <v>16</v>
  </rv>
  <rv s="8">
    <fb>50.48</fb>
    <v>16</v>
  </rv>
  <rv s="8">
    <fb>50.64</fb>
    <v>16</v>
  </rv>
  <rv s="8">
    <fb>50.39</fb>
    <v>16</v>
  </rv>
  <rv s="8">
    <fb>49.84</fb>
    <v>16</v>
  </rv>
  <rv s="8">
    <fb>49.79</fb>
    <v>16</v>
  </rv>
  <rv s="8">
    <fb>48.65</fb>
    <v>16</v>
  </rv>
  <rv s="8">
    <fb>48.86</fb>
    <v>16</v>
  </rv>
  <rv s="8">
    <fb>50.09</fb>
    <v>16</v>
  </rv>
  <rv s="8">
    <fb>52.28</fb>
    <v>16</v>
  </rv>
  <rv s="8">
    <fb>50.44</fb>
    <v>16</v>
  </rv>
  <rv s="8">
    <fb>51.28</fb>
    <v>16</v>
  </rv>
  <rv s="8">
    <fb>52.04</fb>
    <v>16</v>
  </rv>
  <rv s="8">
    <fb>51.52</fb>
    <v>16</v>
  </rv>
  <rv s="8">
    <fb>51.1</fb>
    <v>16</v>
  </rv>
  <rv s="8">
    <fb>51.76</fb>
    <v>16</v>
  </rv>
  <rv s="8">
    <fb>52.57</fb>
    <v>16</v>
  </rv>
  <rv s="8">
    <fb>53.02</fb>
    <v>16</v>
  </rv>
  <rv s="8">
    <fb>52.87</fb>
    <v>16</v>
  </rv>
  <rv s="8">
    <fb>52.58</fb>
    <v>16</v>
  </rv>
  <rv s="8">
    <fb>53.03</fb>
    <v>16</v>
  </rv>
  <rv s="8">
    <fb>53.45</fb>
    <v>16</v>
  </rv>
  <rv s="8">
    <fb>53.56</fb>
    <v>16</v>
  </rv>
  <rv s="8">
    <fb>53.54</fb>
    <v>16</v>
  </rv>
  <rv s="8">
    <fb>52.45</fb>
    <v>16</v>
  </rv>
  <rv s="8">
    <fb>53.29</fb>
    <v>16</v>
  </rv>
  <rv s="8">
    <fb>53.2</fb>
    <v>16</v>
  </rv>
  <rv s="8">
    <fb>53.42</fb>
    <v>16</v>
  </rv>
  <rv s="8">
    <fb>53.63</fb>
    <v>16</v>
  </rv>
  <rv s="8">
    <fb>54.11</fb>
    <v>16</v>
  </rv>
  <rv s="8">
    <fb>52.61</fb>
    <v>16</v>
  </rv>
  <rv s="8">
    <fb>51.48</fb>
    <v>16</v>
  </rv>
  <rv s="8">
    <fb>51.64</fb>
    <v>16</v>
  </rv>
  <rv s="8">
    <fb>52.02</fb>
    <v>16</v>
  </rv>
  <rv s="8">
    <fb>51</fb>
    <v>16</v>
  </rv>
  <rv s="8">
    <fb>51.56</fb>
    <v>16</v>
  </rv>
  <rv s="8">
    <fb>51.93</fb>
    <v>16</v>
  </rv>
  <rv s="8">
    <fb>52.48</fb>
    <v>16</v>
  </rv>
  <rv s="8">
    <fb>52.99</fb>
    <v>16</v>
  </rv>
  <rv s="8">
    <fb>53.65</fb>
    <v>16</v>
  </rv>
  <rv s="8">
    <fb>53.24</fb>
    <v>16</v>
  </rv>
  <rv s="8">
    <fb>53.19</fb>
    <v>16</v>
  </rv>
  <rv s="8">
    <fb>54.09</fb>
    <v>16</v>
  </rv>
  <rv s="8">
    <fb>54.16</fb>
    <v>16</v>
  </rv>
  <rv s="8">
    <fb>53.95</fb>
    <v>16</v>
  </rv>
  <rv s="8">
    <fb>53.9</fb>
    <v>16</v>
  </rv>
  <rv s="8">
    <fb>54.08</fb>
    <v>16</v>
  </rv>
  <rv s="8">
    <fb>54.56</fb>
    <v>16</v>
  </rv>
  <rv s="8">
    <fb>55.14</fb>
    <v>16</v>
  </rv>
  <rv s="8">
    <fb>55.33</fb>
    <v>16</v>
  </rv>
  <rv s="8">
    <fb>54.81</fb>
    <v>16</v>
  </rv>
  <rv s="8">
    <fb>54.55</fb>
    <v>16</v>
  </rv>
  <rv s="8">
    <fb>54.26</fb>
    <v>16</v>
  </rv>
  <rv s="8">
    <fb>55.27</fb>
    <v>16</v>
  </rv>
  <rv s="8">
    <fb>55.88</fb>
    <v>16</v>
  </rv>
  <rv s="8">
    <fb>55.97</fb>
    <v>16</v>
  </rv>
  <rv s="8">
    <fb>56.25</fb>
    <v>16</v>
  </rv>
  <rv s="8">
    <fb>56.17</fb>
    <v>16</v>
  </rv>
  <rv s="8">
    <fb>55.35</fb>
    <v>16</v>
  </rv>
  <rv s="8">
    <fb>55.28</fb>
    <v>16</v>
  </rv>
  <rv s="8">
    <fb>55</fb>
    <v>16</v>
  </rv>
  <rv s="8">
    <fb>55.95</fb>
    <v>16</v>
  </rv>
  <rv s="8">
    <fb>56.89</fb>
    <v>16</v>
  </rv>
  <rv s="8">
    <fb>57.25</fb>
    <v>16</v>
  </rv>
  <rv s="8">
    <fb>55.64</fb>
    <v>16</v>
  </rv>
  <rv s="8">
    <fb>56.18</fb>
    <v>16</v>
  </rv>
  <rv s="8">
    <fb>55.85</fb>
    <v>16</v>
  </rv>
  <rv s="8">
    <fb>55.19</fb>
    <v>16</v>
  </rv>
  <rv s="8">
    <fb>54.54</fb>
    <v>16</v>
  </rv>
  <rv s="8">
    <fb>52.59</fb>
    <v>16</v>
  </rv>
  <rv s="8">
    <fb>52.97</fb>
    <v>16</v>
  </rv>
  <rv s="8">
    <fb>52.1</fb>
    <v>16</v>
  </rv>
  <rv s="8">
    <fb>52.07</fb>
    <v>16</v>
  </rv>
  <rv s="8">
    <fb>51.72</fb>
    <v>16</v>
  </rv>
  <rv s="8">
    <fb>52.17</fb>
    <v>16</v>
  </rv>
  <rv s="8">
    <fb>51.81</fb>
    <v>16</v>
  </rv>
  <rv s="8">
    <fb>53.08</fb>
    <v>16</v>
  </rv>
  <rv s="8">
    <fb>54.03</fb>
    <v>16</v>
  </rv>
  <rv s="8">
    <fb>54.45</fb>
    <v>16</v>
  </rv>
  <rv s="8">
    <fb>55.38</fb>
    <v>16</v>
  </rv>
  <rv s="8">
    <fb>54.94</fb>
    <v>16</v>
  </rv>
  <rv s="8">
    <fb>56.53</fb>
    <v>16</v>
  </rv>
  <rv s="8">
    <fb>56.41</fb>
    <v>16</v>
  </rv>
  <rv s="8">
    <fb>55.39</fb>
    <v>16</v>
  </rv>
  <rv s="8">
    <fb>53.85</fb>
    <v>16</v>
  </rv>
  <rv s="8">
    <fb>52.52</fb>
    <v>16</v>
  </rv>
  <rv s="8">
    <fb>52.55</fb>
    <v>16</v>
  </rv>
  <rv s="8">
    <fb>52.74</fb>
    <v>16</v>
  </rv>
  <rv s="8">
    <fb>53.36</fb>
    <v>16</v>
  </rv>
  <rv s="8">
    <fb>52.77</fb>
    <v>16</v>
  </rv>
  <rv s="8">
    <fb>53.06</fb>
    <v>16</v>
  </rv>
  <rv s="8">
    <fb>51.07</fb>
    <v>16</v>
  </rv>
  <rv s="8">
    <fb>50.41</fb>
    <v>16</v>
  </rv>
  <rv s="8">
    <fb>51.69</fb>
    <v>16</v>
  </rv>
  <rv s="8">
    <fb>52.3</fb>
    <v>16</v>
  </rv>
  <rv s="8">
    <fb>49.83</fb>
    <v>16</v>
  </rv>
  <rv s="8">
    <fb>49.81</fb>
    <v>16</v>
  </rv>
  <rv s="8">
    <fb>49.97</fb>
    <v>16</v>
  </rv>
  <rv s="8">
    <fb>50.3</fb>
    <v>16</v>
  </rv>
  <rv s="8">
    <fb>48.64</fb>
    <v>16</v>
  </rv>
  <rv s="8">
    <fb>47.9</fb>
    <v>16</v>
  </rv>
  <rv s="8">
    <fb>48.56</fb>
    <v>16</v>
  </rv>
  <rv s="8">
    <fb>48.52</fb>
    <v>16</v>
  </rv>
  <rv s="8">
    <fb>47.13</fb>
    <v>16</v>
  </rv>
  <rv s="8">
    <fb>46.72</fb>
    <v>16</v>
  </rv>
  <rv s="8">
    <fb>47.06</fb>
    <v>16</v>
  </rv>
  <rv s="8">
    <fb>47.28</fb>
    <v>16</v>
  </rv>
  <rv s="8">
    <fb>46.83</fb>
    <v>16</v>
  </rv>
  <rv s="8">
    <fb>47.01</fb>
    <v>16</v>
  </rv>
  <rv s="8">
    <fb>47.16</fb>
    <v>16</v>
  </rv>
  <rv s="8">
    <fb>47.52</fb>
    <v>16</v>
  </rv>
  <rv s="8">
    <fb>48.75</fb>
    <v>16</v>
  </rv>
  <rv s="8">
    <fb>48.24</fb>
    <v>16</v>
  </rv>
  <rv s="8">
    <fb>47.23</fb>
    <v>16</v>
  </rv>
  <rv s="8">
    <fb>49.27</fb>
    <v>16</v>
  </rv>
  <rv s="8">
    <fb>34208496</fb>
    <v>17</v>
  </rv>
  <rv s="8">
    <fb>49.89</fb>
    <v>16</v>
  </rv>
  <rv s="8">
    <fb>49.21</fb>
    <v>16</v>
  </rv>
  <rv s="8">
    <fb>39073943</fb>
    <v>17</v>
  </rv>
  <rv s="8">
    <fb>49.82</fb>
    <v>16</v>
  </rv>
  <rv s="8">
    <fb>50.43</fb>
    <v>16</v>
  </rv>
  <rv s="8">
    <fb>49.33</fb>
    <v>16</v>
  </rv>
  <rv s="8">
    <fb>47015993</fb>
    <v>17</v>
  </rv>
  <rv s="8">
    <fb>48.55</fb>
    <v>16</v>
  </rv>
  <rv s="8">
    <fb>48.7</fb>
    <v>16</v>
  </rv>
  <rv s="8">
    <fb>47.62</fb>
    <v>16</v>
  </rv>
  <rv s="8">
    <fb>62752798</fb>
    <v>17</v>
  </rv>
  <rv s="8">
    <fb>47.94</fb>
    <v>16</v>
  </rv>
  <rv s="8">
    <fb>46.77</fb>
    <v>16</v>
  </rv>
  <rv s="8">
    <fb>50271136</fb>
    <v>17</v>
  </rv>
  <rv s="8">
    <fb>48.28</fb>
    <v>16</v>
  </rv>
  <rv s="8">
    <fb>49.15</fb>
    <v>16</v>
  </rv>
  <rv s="8">
    <fb>47.594999999999999</fb>
    <v>16</v>
  </rv>
  <rv s="8">
    <fb>42185812</fb>
    <v>17</v>
  </rv>
  <rv s="8">
    <fb>48.36</fb>
    <v>16</v>
  </rv>
  <rv s="8">
    <fb>47.78</fb>
    <v>16</v>
  </rv>
  <rv s="8">
    <fb>58354534</fb>
    <v>17</v>
  </rv>
  <rv s="8">
    <fb>47.7</fb>
    <v>16</v>
  </rv>
  <rv s="8">
    <fb>47.782400000000003</fb>
    <v>16</v>
  </rv>
  <rv s="8">
    <fb>46.79</fb>
    <v>16</v>
  </rv>
  <rv s="8">
    <fb>45473073</fb>
    <v>17</v>
  </rv>
  <rv s="8">
    <fb>47.820099999999996</fb>
    <v>16</v>
  </rv>
  <rv s="8">
    <fb>46.655000000000001</fb>
    <v>16</v>
  </rv>
  <rv s="8">
    <fb>38055608</fb>
    <v>17</v>
  </rv>
  <rv s="8">
    <fb>47.68</fb>
    <v>16</v>
  </rv>
  <rv s="8">
    <fb>46.900100000000002</fb>
    <v>16</v>
  </rv>
  <rv s="8">
    <fb>33427815</fb>
    <v>17</v>
  </rv>
  <rv s="8">
    <fb>47.66</fb>
    <v>16</v>
  </rv>
  <rv s="8">
    <fb>47.2</fb>
    <v>16</v>
  </rv>
  <rv s="8">
    <fb>40251811</fb>
    <v>17</v>
  </rv>
  <rv s="8">
    <fb>47.22</fb>
    <v>16</v>
  </rv>
  <rv s="8">
    <fb>47.88</fb>
    <v>16</v>
  </rv>
  <rv s="8">
    <fb>46.69</fb>
    <v>16</v>
  </rv>
  <rv s="8">
    <fb>38601377</fb>
    <v>17</v>
  </rv>
  <rv s="8">
    <fb>46.42</fb>
    <v>16</v>
  </rv>
  <rv s="8">
    <fb>47.19</fb>
    <v>16</v>
  </rv>
  <rv s="8">
    <fb>46.115000000000002</fb>
    <v>16</v>
  </rv>
  <rv s="8">
    <fb>78060881</fb>
    <v>17</v>
  </rv>
  <rv s="8">
    <fb>46.685000000000002</fb>
    <v>16</v>
  </rv>
  <rv s="8">
    <fb>42333241</fb>
    <v>17</v>
  </rv>
  <rv s="8">
    <fb>48.34</fb>
    <v>16</v>
  </rv>
  <rv s="8">
    <fb>39804103</fb>
    <v>17</v>
  </rv>
  <rv s="8">
    <fb>47.05</fb>
    <v>16</v>
  </rv>
  <rv s="8">
    <fb>48.46</fb>
    <v>16</v>
  </rv>
  <rv s="8">
    <fb>29988292</fb>
    <v>17</v>
  </rv>
  <rv s="8">
    <fb>49.11</fb>
    <v>16</v>
  </rv>
  <rv s="8">
    <fb>48.18</fb>
    <v>16</v>
  </rv>
  <rv s="8">
    <fb>32502597</fb>
    <v>17</v>
  </rv>
  <rv s="8">
    <fb>48.869900000000001</fb>
    <v>16</v>
  </rv>
  <rv s="8">
    <fb>48.024999999999999</fb>
    <v>16</v>
  </rv>
  <rv s="8">
    <fb>36781861</fb>
    <v>17</v>
  </rv>
  <rv s="8">
    <fb>48.07</fb>
    <v>16</v>
  </rv>
  <rv s="8">
    <fb>48.25</fb>
    <v>16</v>
  </rv>
  <rv s="8">
    <fb>43375850</fb>
    <v>17</v>
  </rv>
  <rv s="8">
    <fb>47.55</fb>
    <v>16</v>
  </rv>
  <rv s="8">
    <fb>47.854999999999997</fb>
    <v>16</v>
  </rv>
  <rv s="8">
    <fb>46.93</fb>
    <v>16</v>
  </rv>
  <rv s="8">
    <fb>49060591</fb>
    <v>17</v>
  </rv>
  <rv s="8">
    <fb>48.77</fb>
    <v>16</v>
  </rv>
  <rv s="8">
    <fb>47.37</fb>
    <v>16</v>
  </rv>
  <rv s="8">
    <fb>32947016</fb>
    <v>17</v>
  </rv>
  <rv s="8">
    <fb>49.7</fb>
    <v>16</v>
  </rv>
  <rv s="8">
    <fb>50.05</fb>
    <v>16</v>
  </rv>
  <rv s="8">
    <fb>48.774999999999999</fb>
    <v>16</v>
  </rv>
  <rv s="8">
    <fb>967.08</fb>
    <v>16</v>
  </rv>
  <rv s="8">
    <fb>916.48</fb>
    <v>16</v>
  </rv>
  <rv s="8">
    <fb>908.13</fb>
    <v>16</v>
  </rv>
  <rv s="8">
    <fb>908.75</fb>
    <v>16</v>
  </rv>
  <rv s="8">
    <fb>965.19</fb>
    <v>16</v>
  </rv>
  <rv s="8">
    <fb>964.31</fb>
    <v>16</v>
  </rv>
  <rv s="8">
    <fb>963.41</fb>
    <v>16</v>
  </rv>
  <rv s="8">
    <fb>979.32</fb>
    <v>16</v>
  </rv>
  <rv s="8">
    <fb>976.92</fb>
    <v>16</v>
  </rv>
  <rv s="8">
    <fb>967.75</fb>
    <v>16</v>
  </rv>
  <rv s="8">
    <fb>994.5</fb>
    <v>16</v>
  </rv>
  <rv s="8">
    <fb>957.77</fb>
    <v>16</v>
  </rv>
  <rv s="8">
    <fb>979.23</fb>
    <v>16</v>
  </rv>
  <rv s="8">
    <fb>975.84</fb>
    <v>16</v>
  </rv>
  <rv s="8">
    <fb>975.48</fb>
    <v>16</v>
  </rv>
  <rv s="8">
    <fb>977.16</fb>
    <v>16</v>
  </rv>
  <rv s="8">
    <fb>978.54</fb>
    <v>16</v>
  </rv>
  <rv s="8">
    <fb>991.7</fb>
    <v>16</v>
  </rv>
  <rv s="8">
    <fb>999.04</fb>
    <v>16</v>
  </rv>
  <rv s="8">
    <fb>1008.3</fb>
    <v>16</v>
  </rv>
  <rv s="8">
    <fb>1014.89</fb>
    <v>16</v>
  </rv>
  <rv s="8">
    <fb>1010.5</fb>
    <v>16</v>
  </rv>
  <rv s="8">
    <fb>1007.15</fb>
    <v>16</v>
  </rv>
  <rv s="8">
    <fb>1007.71</fb>
    <v>16</v>
  </rv>
  <rv s="8">
    <fb>1008.09</fb>
    <v>16</v>
  </rv>
  <rv s="8">
    <fb>1016.15</fb>
    <v>16</v>
  </rv>
  <rv s="8">
    <fb>999.03</fb>
    <v>16</v>
  </rv>
  <rv s="8">
    <fb>991.54</fb>
    <v>16</v>
  </rv>
  <rv s="8">
    <fb>1010.47</fb>
    <v>16</v>
  </rv>
  <rv s="8">
    <fb>1025.83</fb>
    <v>16</v>
  </rv>
  <rv s="8">
    <fb>1034.3399999999999</fb>
    <v>16</v>
  </rv>
  <rv s="8">
    <fb>1036.82</fb>
    <v>16</v>
  </rv>
  <rv s="8">
    <fb>1025.3</fb>
    <v>16</v>
  </rv>
  <rv s="8">
    <fb>1018.13</fb>
    <v>16</v>
  </rv>
  <rv s="8">
    <fb>1008.5</fb>
    <v>16</v>
  </rv>
  <rv s="8">
    <fb>1017.79</fb>
    <v>16</v>
  </rv>
  <rv s="8">
    <fb>1013.14</fb>
    <v>16</v>
  </rv>
  <rv s="8">
    <fb>1008.74</fb>
    <v>16</v>
  </rv>
  <rv s="8">
    <fb>1040.18</fb>
    <v>16</v>
  </rv>
  <rv s="8">
    <fb>1056.8499999999999</fb>
    <v>16</v>
  </rv>
  <rv s="8">
    <fb>1055.5899999999999</fb>
    <v>16</v>
  </rv>
  <rv s="8">
    <fb>1051.69</fb>
    <v>16</v>
  </rv>
  <rv s="8">
    <fb>1010.81</fb>
    <v>16</v>
  </rv>
  <rv s="8">
    <fb>1014.94</fb>
    <v>16</v>
  </rv>
  <rv s="8">
    <fb>1006.18</fb>
    <v>16</v>
  </rv>
  <rv s="8">
    <fb>1007.27</fb>
    <v>16</v>
  </rv>
  <rv s="8">
    <fb>996.78</fb>
    <v>16</v>
  </rv>
  <rv s="8">
    <fb>1002.71</fb>
    <v>16</v>
  </rv>
  <rv s="8">
    <fb>990.21</fb>
    <v>16</v>
  </rv>
  <rv s="8">
    <fb>984.36</fb>
    <v>16</v>
  </rv>
  <rv s="8">
    <fb>977.72</fb>
    <v>16</v>
  </rv>
  <rv s="8">
    <fb>974.9</fb>
    <v>16</v>
  </rv>
  <rv s="8">
    <fb>980.29</fb>
    <v>16</v>
  </rv>
  <rv s="8">
    <fb>1004.48</fb>
    <v>16</v>
  </rv>
  <rv s="8">
    <fb>1001.92</fb>
    <v>16</v>
  </rv>
  <rv s="8">
    <fb>986.54</fb>
    <v>16</v>
  </rv>
  <rv s="8">
    <fb>982.91</fb>
    <v>16</v>
  </rv>
  <rv s="8">
    <fb>985.14</fb>
    <v>16</v>
  </rv>
  <rv s="8">
    <fb>989.94</fb>
    <v>16</v>
  </rv>
  <rv s="8">
    <fb>985.96</fb>
    <v>16</v>
  </rv>
  <rv s="8">
    <fb>982.36</fb>
    <v>16</v>
  </rv>
  <rv s="8">
    <fb>987.02</fb>
    <v>16</v>
  </rv>
  <rv s="8">
    <fb>992.18</fb>
    <v>16</v>
  </rv>
  <rv s="8">
    <fb>985.84</fb>
    <v>16</v>
  </rv>
  <rv s="8">
    <fb>982.09</fb>
    <v>16</v>
  </rv>
  <rv s="8">
    <fb>970.17</fb>
    <v>16</v>
  </rv>
  <rv s="8">
    <fb>970.33</fb>
    <v>16</v>
  </rv>
  <rv s="8">
    <fb>980.91</fb>
    <v>16</v>
  </rv>
  <rv s="8">
    <fb>967.68</fb>
    <v>16</v>
  </rv>
  <rv s="8">
    <fb>951.37</fb>
    <v>16</v>
  </rv>
  <rv s="8">
    <fb>953.91</fb>
    <v>16</v>
  </rv>
  <rv s="8">
    <fb>950.95</fb>
    <v>16</v>
  </rv>
  <rv s="8">
    <fb>947.56</fb>
    <v>16</v>
  </rv>
  <rv s="8">
    <fb>941.61</fb>
    <v>16</v>
  </rv>
  <rv s="8">
    <fb>941.19</fb>
    <v>16</v>
  </rv>
  <rv s="8">
    <fb>933.8</fb>
    <v>16</v>
  </rv>
  <rv s="8">
    <fb>935.48</fb>
    <v>16</v>
  </rv>
  <rv s="8">
    <fb>933.99</fb>
    <v>16</v>
  </rv>
  <rv s="8">
    <fb>934.57</fb>
    <v>16</v>
  </rv>
  <rv s="8">
    <fb>927.51</fb>
    <v>16</v>
  </rv>
  <rv s="8">
    <fb>939.64</fb>
    <v>16</v>
  </rv>
  <rv s="8">
    <fb>952.52</fb>
    <v>16</v>
  </rv>
  <rv s="8">
    <fb>955.37</fb>
    <v>16</v>
  </rv>
  <rv s="8">
    <fb>943.63</fb>
    <v>16</v>
  </rv>
  <rv s="8">
    <fb>968.56</fb>
    <v>16</v>
  </rv>
  <rv s="8">
    <fb>977.45</fb>
    <v>16</v>
  </rv>
  <rv s="8">
    <fb>980.98</fb>
    <v>16</v>
  </rv>
  <rv s="8">
    <fb>988.74</fb>
    <v>16</v>
  </rv>
  <rv s="8">
    <fb>991.25</fb>
    <v>16</v>
  </rv>
  <rv s="8">
    <fb>978.85</fb>
    <v>16</v>
  </rv>
  <rv s="8">
    <fb>975.39</fb>
    <v>16</v>
  </rv>
  <rv s="8">
    <fb>972.04</fb>
    <v>16</v>
  </rv>
  <rv s="8">
    <fb>979.35</fb>
    <v>16</v>
  </rv>
  <rv s="8">
    <fb>980.85</fb>
    <v>16</v>
  </rv>
  <rv s="8">
    <fb>994.57</fb>
    <v>16</v>
  </rv>
  <rv s="8">
    <fb>969.68</fb>
    <v>16</v>
  </rv>
  <rv s="8">
    <fb>958.54</fb>
    <v>16</v>
  </rv>
  <rv s="8">
    <fb>941.58</fb>
    <v>16</v>
  </rv>
  <rv s="8">
    <fb>941.34</fb>
    <v>16</v>
  </rv>
  <rv s="8">
    <fb>949.52</fb>
    <v>16</v>
  </rv>
  <rv s="8">
    <fb>944.96</fb>
    <v>16</v>
  </rv>
  <rv s="8">
    <fb>943.32</fb>
    <v>16</v>
  </rv>
  <rv s="8">
    <fb>938.82</fb>
    <v>16</v>
  </rv>
  <rv s="8">
    <fb>949.78</fb>
    <v>16</v>
  </rv>
  <rv s="8">
    <fb>955.9</fb>
    <v>16</v>
  </rv>
  <rv s="8">
    <fb>963.48</fb>
    <v>16</v>
  </rv>
  <rv s="8">
    <fb>971.85</fb>
    <v>16</v>
  </rv>
  <rv s="8">
    <fb>979.25</fb>
    <v>16</v>
  </rv>
  <rv s="8">
    <fb>956.29</fb>
    <v>16</v>
  </rv>
  <rv s="8">
    <fb>964.32</fb>
    <v>16</v>
  </rv>
  <rv s="8">
    <fb>967.9</fb>
    <v>16</v>
  </rv>
  <rv s="8">
    <fb>960.1</fb>
    <v>16</v>
  </rv>
  <rv s="8">
    <fb>952.07</fb>
    <v>16</v>
  </rv>
  <rv s="8">
    <fb>963.03</fb>
    <v>16</v>
  </rv>
  <rv s="8">
    <fb>952.36</fb>
    <v>16</v>
  </rv>
  <rv s="8">
    <fb>951.16</fb>
    <v>16</v>
  </rv>
  <rv s="8">
    <fb>943.6</fb>
    <v>16</v>
  </rv>
  <rv s="8">
    <fb>945.27</fb>
    <v>16</v>
  </rv>
  <rv s="8">
    <fb>943.31</fb>
    <v>16</v>
  </rv>
  <rv s="8">
    <fb>915.95</fb>
    <v>16</v>
  </rv>
  <rv s="8">
    <fb>916.87</fb>
    <v>16</v>
  </rv>
  <rv s="8">
    <fb>925.63</fb>
    <v>16</v>
  </rv>
  <rv s="8">
    <fb>917.34</fb>
    <v>16</v>
  </rv>
  <rv s="8">
    <fb>916.77</fb>
    <v>16</v>
  </rv>
  <rv s="8">
    <fb>915.38</fb>
    <v>16</v>
  </rv>
  <rv s="8">
    <fb>910.94</fb>
    <v>16</v>
  </rv>
  <rv s="8">
    <fb>914.8</fb>
    <v>16</v>
  </rv>
  <rv s="8">
    <fb>942.89</fb>
    <v>16</v>
  </rv>
  <rv s="8">
    <fb>930.01</fb>
    <v>16</v>
  </rv>
  <rv s="8">
    <fb>935.56</fb>
    <v>16</v>
  </rv>
  <rv s="8">
    <fb>946.51</fb>
    <v>16</v>
  </rv>
  <rv s="8">
    <fb>954.99</fb>
    <v>16</v>
  </rv>
  <rv s="8">
    <fb>925.62</fb>
    <v>16</v>
  </rv>
  <rv s="8">
    <fb>936.33</fb>
    <v>16</v>
  </rv>
  <rv s="8">
    <fb>936.11</fb>
    <v>16</v>
  </rv>
  <rv s="8">
    <fb>937.5</fb>
    <v>16</v>
  </rv>
  <rv s="8">
    <fb>944.68</fb>
    <v>16</v>
  </rv>
  <rv s="8">
    <fb>942.05</fb>
    <v>16</v>
  </rv>
  <rv s="8">
    <fb>932.14</fb>
    <v>16</v>
  </rv>
  <rv s="8">
    <fb>929.85</fb>
    <v>16</v>
  </rv>
  <rv s="8">
    <fb>924.16</fb>
    <v>16</v>
  </rv>
  <rv s="8">
    <fb>912.42</fb>
    <v>16</v>
  </rv>
  <rv s="8">
    <fb>920.18</fb>
    <v>16</v>
  </rv>
  <rv s="8">
    <fb>911.45</fb>
    <v>16</v>
  </rv>
  <rv s="8">
    <fb>928.04</fb>
    <v>16</v>
  </rv>
  <rv s="8">
    <fb>940.74</fb>
    <v>16</v>
  </rv>
  <rv s="8">
    <fb>935.03</fb>
    <v>16</v>
  </rv>
  <rv s="8">
    <fb>923.58</fb>
    <v>16</v>
  </rv>
  <rv s="8">
    <fb>922.74</fb>
    <v>16</v>
  </rv>
  <rv s="8">
    <fb>915.56</fb>
    <v>16</v>
  </rv>
  <rv s="8">
    <fb>913.86</fb>
    <v>16</v>
  </rv>
  <rv s="8">
    <fb>914</fb>
    <v>16</v>
  </rv>
  <rv s="8">
    <fb>925.08</fb>
    <v>16</v>
  </rv>
  <rv s="8">
    <fb>922.98</fb>
    <v>16</v>
  </rv>
  <rv s="8">
    <fb>912.59</fb>
    <v>16</v>
  </rv>
  <rv s="8">
    <fb>895.08</fb>
    <v>16</v>
  </rv>
  <rv s="8">
    <fb>890.6</fb>
    <v>16</v>
  </rv>
  <rv s="8">
    <fb>893.29</fb>
    <v>16</v>
  </rv>
  <rv s="8">
    <fb>899.01</fb>
    <v>16</v>
  </rv>
  <rv s="8">
    <fb>886.12</fb>
    <v>16</v>
  </rv>
  <rv s="8">
    <fb>894.33</fb>
    <v>16</v>
  </rv>
  <rv s="8">
    <fb>908.26</fb>
    <v>16</v>
  </rv>
  <rv s="8">
    <fb>913.59</fb>
    <v>16</v>
  </rv>
  <rv s="8">
    <fb>911.96</fb>
    <v>16</v>
  </rv>
  <rv s="8">
    <fb>922.03</fb>
    <v>16</v>
  </rv>
  <rv s="8">
    <fb>922.26</fb>
    <v>16</v>
  </rv>
  <rv s="8">
    <fb>895.85500000000002</fb>
    <v>16</v>
  </rv>
  <rv s="8">
    <fb>894.68</fb>
    <v>16</v>
  </rv>
  <rv s="8">
    <fb>887.52</fb>
    <v>16</v>
  </rv>
  <rv s="8">
    <fb>874.41</fb>
    <v>16</v>
  </rv>
  <rv s="8">
    <fb>884.48</fb>
    <v>16</v>
  </rv>
  <rv s="8">
    <fb>884.47</fb>
    <v>16</v>
  </rv>
  <rv s="8">
    <fb>860.56</fb>
    <v>16</v>
  </rv>
  <rv s="8">
    <fb>860.39</fb>
    <v>16</v>
  </rv>
  <rv s="8">
    <fb>862.65</fb>
    <v>16</v>
  </rv>
  <rv s="8">
    <fb>857.59</fb>
    <v>16</v>
  </rv>
  <rv s="8">
    <fb>855.62</fb>
    <v>16</v>
  </rv>
  <rv s="8">
    <fb>850</fb>
    <v>16</v>
  </rv>
  <rv s="8">
    <fb>854.79</fb>
    <v>16</v>
  </rv>
  <rv s="8">
    <fb>871.86</fb>
    <v>16</v>
  </rv>
  <rv s="8">
    <fb>873.35</fb>
    <v>16</v>
  </rv>
  <rv s="8">
    <fb>867.84</fb>
    <v>16</v>
  </rv>
  <rv s="8">
    <fb>865.65</fb>
    <v>16</v>
  </rv>
  <rv s="8">
    <fb>862.34</fb>
    <v>16</v>
  </rv>
  <rv s="8">
    <fb>854.5</fb>
    <v>16</v>
  </rv>
  <rv s="8">
    <fb>875.74</fb>
    <v>16</v>
  </rv>
  <rv s="8">
    <fb>889.1</fb>
    <v>16</v>
  </rv>
  <rv s="8">
    <fb>882.58</fb>
    <v>16</v>
  </rv>
  <rv s="8">
    <fb>915.31</fb>
    <v>16</v>
  </rv>
  <rv s="8">
    <fb>924.88</fb>
    <v>16</v>
  </rv>
  <rv s="8">
    <fb>943.08</fb>
    <v>16</v>
  </rv>
  <rv s="8">
    <fb>941.93</fb>
    <v>16</v>
  </rv>
  <rv s="8">
    <fb>950.98</fb>
    <v>16</v>
  </rv>
  <rv s="8">
    <fb>956.75</fb>
    <v>16</v>
  </rv>
  <rv s="8">
    <fb>963.61</fb>
    <v>16</v>
  </rv>
  <rv s="8">
    <fb>964.26</fb>
    <v>16</v>
  </rv>
  <rv s="8">
    <fb>982.86</fb>
    <v>16</v>
  </rv>
  <rv s="8">
    <fb>976.17</fb>
    <v>16</v>
  </rv>
  <rv s="8">
    <fb>983.25</fb>
    <v>16</v>
  </rv>
  <rv s="8">
    <fb>977.67</fb>
    <v>16</v>
  </rv>
  <rv s="8">
    <fb>970.28</fb>
    <v>16</v>
  </rv>
  <rv s="8">
    <fb>960.78</fb>
    <v>16</v>
  </rv>
  <rv s="8">
    <fb>952.89</fb>
    <v>16</v>
  </rv>
  <rv s="8">
    <fb>940.25</fb>
    <v>16</v>
  </rv>
  <rv s="8">
    <fb>968.36</fb>
    <v>16</v>
  </rv>
  <rv s="8">
    <fb>977.92</fb>
    <v>16</v>
  </rv>
  <rv s="8">
    <fb>978.35</fb>
    <v>16</v>
  </rv>
  <rv s="8">
    <fb>989.29</fb>
    <v>16</v>
  </rv>
  <rv s="8">
    <fb>1001.16</fb>
    <v>16</v>
  </rv>
  <rv s="8">
    <fb>997.59</fb>
    <v>16</v>
  </rv>
  <rv s="8">
    <fb>971.23</fb>
    <v>16</v>
  </rv>
  <rv s="8">
    <fb>978.14</fb>
    <v>16</v>
  </rv>
  <rv s="8">
    <fb>998.86</fb>
    <v>16</v>
  </rv>
  <rv s="8">
    <fb>1018.48</fb>
    <v>16</v>
  </rv>
  <rv s="8">
    <fb>1012.05</fb>
    <v>16</v>
  </rv>
  <rv s="8">
    <fb>996.08</fb>
    <v>16</v>
  </rv>
  <rv s="8">
    <fb>987.82</fb>
    <v>16</v>
  </rv>
  <rv s="8">
    <fb>985.27</fb>
    <v>16</v>
  </rv>
  <rv s="8">
    <fb>986.02</fb>
    <v>16</v>
  </rv>
  <rv s="8">
    <fb>998.43</fb>
    <v>16</v>
  </rv>
  <rv s="8">
    <fb>994.76</fb>
    <v>16</v>
  </rv>
  <rv s="8">
    <fb>986.74</fb>
    <v>16</v>
  </rv>
  <rv s="8">
    <fb>1010.79</fb>
    <v>16</v>
  </rv>
  <rv s="8">
    <fb>1002.77</fb>
    <v>16</v>
  </rv>
  <rv s="8">
    <fb>1007.77</fb>
    <v>16</v>
  </rv>
  <rv s="8">
    <fb>1006.74</fb>
    <v>16</v>
  </rv>
  <rv s="8">
    <fb>982.57</fb>
    <v>16</v>
  </rv>
  <rv s="8">
    <fb>998.1</fb>
    <v>16</v>
  </rv>
  <rv s="8">
    <fb>1005.3</fb>
    <v>16</v>
  </rv>
  <rv s="8">
    <fb>997.36</fb>
    <v>16</v>
  </rv>
  <rv s="8">
    <fb>992.23</fb>
    <v>16</v>
  </rv>
  <rv s="8">
    <fb>1003.32</fb>
    <v>16</v>
  </rv>
  <rv s="8">
    <fb>1008.43</fb>
    <v>16</v>
  </rv>
  <rv s="8">
    <fb>1001.74</fb>
    <v>16</v>
  </rv>
  <rv s="8">
    <fb>996.16</fb>
    <v>16</v>
  </rv>
  <rv s="8">
    <fb>979.92</fb>
    <v>16</v>
  </rv>
  <rv s="8">
    <fb>974.78</fb>
    <v>16</v>
  </rv>
  <rv s="8">
    <fb>972.33</fb>
    <v>16</v>
  </rv>
  <rv s="8">
    <fb>965.73</fb>
    <v>16</v>
  </rv>
  <rv s="8">
    <fb>973.82</fb>
    <v>16</v>
  </rv>
  <rv s="8">
    <fb>974.86</fb>
    <v>16</v>
  </rv>
  <rv s="8">
    <fb>979.65</fb>
    <v>16</v>
  </rv>
  <rv s="8">
    <fb>983.86</fb>
    <v>16</v>
  </rv>
  <rv s="8">
    <fb>996.58</fb>
    <v>16</v>
  </rv>
  <rv s="8">
    <fb>996.43</fb>
    <v>16</v>
  </rv>
  <rv s="8">
    <fb>996.56</fb>
    <v>16</v>
  </rv>
  <rv s="8">
    <fb>1806638</fb>
    <v>17</v>
  </rv>
  <rv s="8">
    <fb>1005</fb>
    <v>16</v>
  </rv>
  <rv s="8">
    <fb>1014</fb>
    <v>16</v>
  </rv>
  <rv s="8">
    <fb>997</fb>
    <v>16</v>
  </rv>
  <rv s="8">
    <fb>2774284</fb>
    <v>17</v>
  </rv>
  <rv s="8">
    <fb>996.5</fb>
    <v>16</v>
  </rv>
  <rv s="8">
    <fb>999.25</fb>
    <v>16</v>
  </rv>
  <rv s="8">
    <fb>978.81</fb>
    <v>16</v>
  </rv>
  <rv s="8">
    <fb>2708851</fb>
    <v>17</v>
  </rv>
  <rv s="8">
    <fb>967.005</fb>
    <v>16</v>
  </rv>
  <rv s="8">
    <fb>1002.5</fb>
    <v>16</v>
  </rv>
  <rv s="8">
    <fb>960.46</fb>
    <v>16</v>
  </rv>
  <rv s="8">
    <fb>2348212</fb>
    <v>17</v>
  </rv>
  <rv s="8">
    <fb>999.63</fb>
    <v>16</v>
  </rv>
  <rv s="8">
    <fb>1007.41</fb>
    <v>16</v>
  </rv>
  <rv s="8">
    <fb>987.99</fb>
    <v>16</v>
  </rv>
  <rv s="8">
    <fb>1613381</fb>
    <v>17</v>
  </rv>
  <rv s="8">
    <fb>1000.5</fb>
    <v>16</v>
  </rv>
  <rv s="8">
    <fb>1010.1</fb>
    <v>16</v>
  </rv>
  <rv s="8">
    <fb>996</fb>
    <v>16</v>
  </rv>
  <rv s="8">
    <fb>1262006</fb>
    <v>17</v>
  </rv>
  <rv s="8">
    <fb>996.32</fb>
    <v>16</v>
  </rv>
  <rv s="8">
    <fb>997.39</fb>
    <v>16</v>
  </rv>
  <rv s="8">
    <fb>987.89</fb>
    <v>16</v>
  </rv>
  <rv s="8">
    <fb>1669248</fb>
    <v>17</v>
  </rv>
  <rv s="8">
    <fb>988.61</fb>
    <v>16</v>
  </rv>
  <rv s="8">
    <fb>1006.21</fb>
    <v>16</v>
  </rv>
  <rv s="8">
    <fb>984</fb>
    <v>16</v>
  </rv>
  <rv s="8">
    <fb>1469672</fb>
    <v>17</v>
  </rv>
  <rv s="8">
    <fb>1005.9</fb>
    <v>16</v>
  </rv>
  <rv s="8">
    <fb>1012.83</fb>
    <v>16</v>
  </rv>
  <rv s="8">
    <fb>1002</fb>
    <v>16</v>
  </rv>
  <rv s="8">
    <fb>1243752</fb>
    <v>17</v>
  </rv>
  <rv s="8">
    <fb>1012.65</fb>
    <v>16</v>
  </rv>
  <rv s="8">
    <fb>995.43010000000004</fb>
    <v>16</v>
  </rv>
  <rv s="8">
    <fb>1210414</fb>
    <v>17</v>
  </rv>
  <rv s="8">
    <fb>1006.49</fb>
    <v>16</v>
  </rv>
  <rv s="8">
    <fb>1008.095</fb>
    <v>16</v>
  </rv>
  <rv s="8">
    <fb>994.75</fb>
    <v>16</v>
  </rv>
  <rv s="8">
    <fb>1434421</fb>
    <v>17</v>
  </rv>
  <rv s="8">
    <fb>990.37</fb>
    <v>16</v>
  </rv>
  <rv s="8">
    <fb>993.9819</fb>
    <v>16</v>
  </rv>
  <rv s="8">
    <fb>1340173</fb>
    <v>17</v>
  </rv>
  <rv s="8">
    <fb>988.79</fb>
    <v>16</v>
  </rv>
  <rv s="8">
    <fb>970.41</fb>
    <v>16</v>
  </rv>
  <rv s="8">
    <fb>2621555</fb>
    <v>17</v>
  </rv>
  <rv s="8">
    <fb>975.08</fb>
    <v>16</v>
  </rv>
  <rv s="8">
    <fb>980.76</fb>
    <v>16</v>
  </rv>
  <rv s="8">
    <fb>970.54</fb>
    <v>16</v>
  </rv>
  <rv s="8">
    <fb>1779094</fb>
    <v>17</v>
  </rv>
  <rv s="8">
    <fb>985.66499999999996</fb>
    <v>16</v>
  </rv>
  <rv s="8">
    <fb>986.64</fb>
    <v>16</v>
  </rv>
  <rv s="8">
    <fb>964.53</fb>
    <v>16</v>
  </rv>
  <rv s="8">
    <fb>1259325</fb>
    <v>17</v>
  </rv>
  <rv s="8">
    <fb>962.06</fb>
    <v>16</v>
  </rv>
  <rv s="8">
    <fb>981.28</fb>
    <v>16</v>
  </rv>
  <rv s="8">
    <fb>961</fb>
    <v>16</v>
  </rv>
  <rv s="8">
    <fb>1067386</fb>
    <v>17</v>
  </rv>
  <rv s="8">
    <fb>978</fb>
    <v>16</v>
  </rv>
  <rv s="8">
    <fb>980.81</fb>
    <v>16</v>
  </rv>
  <rv s="8">
    <fb>968.05039999999997</fb>
    <v>16</v>
  </rv>
  <rv s="8">
    <fb>1498250</fb>
    <v>17</v>
  </rv>
  <rv s="8">
    <fb>975.69</fb>
    <v>16</v>
  </rv>
  <rv s="8">
    <fb>987.19</fb>
    <v>16</v>
  </rv>
  <rv s="8">
    <fb>972.7201</fb>
    <v>16</v>
  </rv>
  <rv s="8">
    <fb>1540925</fb>
    <v>17</v>
  </rv>
  <rv s="8">
    <fb>982.01499999999999</fb>
    <v>16</v>
  </rv>
  <rv s="8">
    <fb>987.11</fb>
    <v>16</v>
  </rv>
  <rv s="8">
    <fb>978.11</fb>
    <v>16</v>
  </rv>
  <rv s="8">
    <fb>2129129</fb>
    <v>17</v>
  </rv>
  <rv s="8">
    <fb>987.65</fb>
    <v>16</v>
  </rv>
  <rv s="8">
    <fb>1005.54</fb>
    <v>16</v>
  </rv>
  <rv s="8">
    <fb>985.01</fb>
    <v>16</v>
  </rv>
  <rv s="8">
    <fb>2447853</fb>
    <v>17</v>
  </rv>
  <rv s="8">
    <fb>1008.6</fb>
    <v>16</v>
  </rv>
  <rv s="8">
    <fb>985.85</fb>
    <v>16</v>
  </rv>
  <rv s="8">
    <fb>1769848</fb>
    <v>17</v>
  </rv>
  <rv s="8">
    <fb>995.02499999999998</fb>
    <v>16</v>
  </rv>
  <rv s="8">
    <fb>1003.13</fb>
    <v>16</v>
  </rv>
  <rv s="8">
    <fb>990.59</fb>
    <v>16</v>
  </rv>
  <rv s="8">
    <fb>77.23</fb>
    <v>16</v>
  </rv>
  <rv s="8">
    <fb>71.63</fb>
    <v>16</v>
  </rv>
  <rv s="8">
    <fb>75</fb>
    <v>16</v>
  </rv>
  <rv s="8">
    <fb>72.59</fb>
    <v>16</v>
  </rv>
  <rv s="8">
    <fb>84.19</fb>
    <v>16</v>
  </rv>
  <rv s="8">
    <fb>78.94</fb>
    <v>16</v>
  </rv>
  <rv s="8">
    <fb>81.93</fb>
    <v>16</v>
  </rv>
  <rv s="8">
    <fb>85.19</fb>
    <v>16</v>
  </rv>
  <rv s="8">
    <fb>85.49</fb>
    <v>16</v>
  </rv>
  <rv s="8">
    <fb>83.36</fb>
    <v>16</v>
  </rv>
  <rv s="8">
    <fb>84.8</fb>
    <v>16</v>
  </rv>
  <rv s="8">
    <fb>82.39</fb>
    <v>16</v>
  </rv>
  <rv s="8">
    <fb>84.08</fb>
    <v>16</v>
  </rv>
  <rv s="8">
    <fb>89.16</fb>
    <v>16</v>
  </rv>
  <rv s="8">
    <fb>94.89</fb>
    <v>16</v>
  </rv>
  <rv s="8">
    <fb>93.78</fb>
    <v>16</v>
  </rv>
  <rv s="8">
    <fb>91.76</fb>
    <v>16</v>
  </rv>
  <rv s="8">
    <fb>91.95</fb>
    <v>16</v>
  </rv>
  <rv s="8">
    <fb>94.59</fb>
    <v>16</v>
  </rv>
  <rv s="8">
    <fb>94.36</fb>
    <v>16</v>
  </rv>
  <rv s="8">
    <fb>93.95</fb>
    <v>16</v>
  </rv>
  <rv s="8">
    <fb>95.79</fb>
    <v>16</v>
  </rv>
  <rv s="8">
    <fb>96.22</fb>
    <v>16</v>
  </rv>
  <rv s="8">
    <fb>95.91</fb>
    <v>16</v>
  </rv>
  <rv s="8">
    <fb>107.85</fb>
    <v>16</v>
  </rv>
  <rv s="8">
    <fb>111.02</fb>
    <v>16</v>
  </rv>
  <rv s="8">
    <fb>110.87</fb>
    <v>16</v>
  </rv>
  <rv s="8">
    <fb>114.19</fb>
    <v>16</v>
  </rv>
  <rv s="8">
    <fb>114.28</fb>
    <v>16</v>
  </rv>
  <rv s="8">
    <fb>114.23</fb>
    <v>16</v>
  </rv>
  <rv s="8">
    <fb>111.93</fb>
    <v>16</v>
  </rv>
  <rv s="8">
    <fb>111.95</fb>
    <v>16</v>
  </rv>
  <rv s="8">
    <fb>112.11</fb>
    <v>16</v>
  </rv>
  <rv s="8">
    <fb>113.99</fb>
    <v>16</v>
  </rv>
  <rv s="8">
    <fb>113.77</fb>
    <v>16</v>
  </rv>
  <rv s="8">
    <fb>113.63</fb>
    <v>16</v>
  </rv>
  <rv s="8">
    <fb>111.27</fb>
    <v>16</v>
  </rv>
  <rv s="8">
    <fb>108.08</fb>
    <v>16</v>
  </rv>
  <rv s="8">
    <fb>111.9</fb>
    <v>16</v>
  </rv>
  <rv s="8">
    <fb>112.7</fb>
    <v>16</v>
  </rv>
  <rv s="8">
    <fb>111.82</fb>
    <v>16</v>
  </rv>
  <rv s="8">
    <fb>113.75</fb>
    <v>16</v>
  </rv>
  <rv s="8">
    <fb>114.22</fb>
    <v>16</v>
  </rv>
  <rv s="8">
    <fb>113.25</fb>
    <v>16</v>
  </rv>
  <rv s="8">
    <fb>111.24</fb>
    <v>16</v>
  </rv>
  <rv s="8">
    <fb>113.4</fb>
    <v>16</v>
  </rv>
  <rv s="8">
    <fb>115.93</fb>
    <v>16</v>
  </rv>
  <rv s="8">
    <fb>116.56</fb>
    <v>16</v>
  </rv>
  <rv s="8">
    <fb>119.37</fb>
    <v>16</v>
  </rv>
  <rv s="8">
    <fb>118.02</fb>
    <v>16</v>
  </rv>
  <rv s="8">
    <fb>120.59</fb>
    <v>16</v>
  </rv>
  <rv s="8">
    <fb>120.46</fb>
    <v>16</v>
  </rv>
  <rv s="8">
    <fb>125.98</fb>
    <v>16</v>
  </rv>
  <rv s="8">
    <fb>123.99</fb>
    <v>16</v>
  </rv>
  <rv s="8">
    <fb>122.6</fb>
    <v>16</v>
  </rv>
  <rv s="8">
    <fb>123.48</fb>
    <v>16</v>
  </rv>
  <rv s="8">
    <fb>125.22</fb>
    <v>16</v>
  </rv>
  <rv s="8">
    <fb>124.77</fb>
    <v>16</v>
  </rv>
  <rv s="8">
    <fb>124.39</fb>
    <v>16</v>
  </rv>
  <rv s="8">
    <fb>126.63</fb>
    <v>16</v>
  </rv>
  <rv s="8">
    <fb>126.83</fb>
    <v>16</v>
  </rv>
  <rv s="8">
    <fb>125.67</fb>
    <v>16</v>
  </rv>
  <rv s="8">
    <fb>125.69</fb>
    <v>16</v>
  </rv>
  <rv s="8">
    <fb>123.57</fb>
    <v>16</v>
  </rv>
  <rv s="8">
    <fb>123.88</fb>
    <v>16</v>
  </rv>
  <rv s="8">
    <fb>131.24</fb>
    <v>16</v>
  </rv>
  <rv s="8">
    <fb>128.96</fb>
    <v>16</v>
  </rv>
  <rv s="8">
    <fb>124.33</fb>
    <v>16</v>
  </rv>
  <rv s="8">
    <fb>127.22</fb>
    <v>16</v>
  </rv>
  <rv s="8">
    <fb>128.35</fb>
    <v>16</v>
  </rv>
  <rv s="8">
    <fb>131.22</fb>
    <v>16</v>
  </rv>
  <rv s="8">
    <fb>133.86000000000001</fb>
    <v>16</v>
  </rv>
  <rv s="8">
    <fb>133.51</fb>
    <v>16</v>
  </rv>
  <rv s="8">
    <fb>133.54</fb>
    <v>16</v>
  </rv>
  <rv s="8">
    <fb>132.69</fb>
    <v>16</v>
  </rv>
  <rv s="8">
    <fb>127.32</fb>
    <v>16</v>
  </rv>
  <rv s="8">
    <fb>130.22999999999999</fb>
    <v>16</v>
  </rv>
  <rv s="8">
    <fb>130.47999999999999</fb>
    <v>16</v>
  </rv>
  <rv s="8">
    <fb>128.13999999999999</fb>
    <v>16</v>
  </rv>
  <rv s="8">
    <fb>133.93</fb>
    <v>16</v>
  </rv>
  <rv s="8">
    <fb>137.61000000000001</fb>
    <v>16</v>
  </rv>
  <rv s="8">
    <fb>138.32</fb>
    <v>16</v>
  </rv>
  <rv s="8">
    <fb>141.63999999999999</fb>
    <v>16</v>
  </rv>
  <rv s="8">
    <fb>139.13999999999999</fb>
    <v>16</v>
  </rv>
  <rv s="8">
    <fb>138.28</fb>
    <v>16</v>
  </rv>
  <rv s="8">
    <fb>138.13</fb>
    <v>16</v>
  </rv>
  <rv s="8">
    <fb>135.19999999999999</fb>
    <v>16</v>
  </rv>
  <rv s="8">
    <fb>128.47999999999999</fb>
    <v>16</v>
  </rv>
  <rv s="8">
    <fb>127.83</fb>
    <v>16</v>
  </rv>
  <rv s="8">
    <fb>130.84</fb>
    <v>16</v>
  </rv>
  <rv s="8">
    <fb>131.01</fb>
    <v>16</v>
  </rv>
  <rv s="8">
    <fb>130.99</fb>
    <v>16</v>
  </rv>
  <rv s="8">
    <fb>132.5</fb>
    <v>16</v>
  </rv>
  <rv s="8">
    <fb>134.05000000000001</fb>
    <v>16</v>
  </rv>
  <rv s="8">
    <fb>124.02</fb>
    <v>16</v>
  </rv>
  <rv s="8">
    <fb>126.67</fb>
    <v>16</v>
  </rv>
  <rv s="8">
    <fb>124.83</fb>
    <v>16</v>
  </rv>
  <rv s="8">
    <fb>121.29</fb>
    <v>16</v>
  </rv>
  <rv s="8">
    <fb>124.45</fb>
    <v>16</v>
  </rv>
  <rv s="8">
    <fb>125.37</fb>
    <v>16</v>
  </rv>
  <rv s="8">
    <fb>125.04</fb>
    <v>16</v>
  </rv>
  <rv s="8">
    <fb>126.8</fb>
    <v>16</v>
  </rv>
  <rv s="8">
    <fb>127.68</fb>
    <v>16</v>
  </rv>
  <rv s="8">
    <fb>130.34</fb>
    <v>16</v>
  </rv>
  <rv s="8">
    <fb>132.11000000000001</fb>
    <v>16</v>
  </rv>
  <rv s="8">
    <fb>131.94</fb>
    <v>16</v>
  </rv>
  <rv s="8">
    <fb>135.69</fb>
    <v>16</v>
  </rv>
  <rv s="8">
    <fb>134.34</fb>
    <v>16</v>
  </rv>
  <rv s="8">
    <fb>132.09</fb>
    <v>16</v>
  </rv>
  <rv s="8">
    <fb>130.96</fb>
    <v>16</v>
  </rv>
  <rv s="8">
    <fb>130.76</fb>
    <v>16</v>
  </rv>
  <rv s="8">
    <fb>133.9</fb>
    <v>16</v>
  </rv>
  <rv s="8">
    <fb>141.77000000000001</fb>
    <v>16</v>
  </rv>
  <rv s="8">
    <fb>147.37</fb>
    <v>16</v>
  </rv>
  <rv s="8">
    <fb>140.74</fb>
    <v>16</v>
  </rv>
  <rv s="8">
    <fb>145.76</fb>
    <v>16</v>
  </rv>
  <rv s="8">
    <fb>150.87</fb>
    <v>16</v>
  </rv>
  <rv s="8">
    <fb>164.53</fb>
    <v>16</v>
  </rv>
  <rv s="8">
    <fb>155.94999999999999</fb>
    <v>16</v>
  </rv>
  <rv s="8">
    <fb>150.57</fb>
    <v>16</v>
  </rv>
  <rv s="8">
    <fb>153.4</fb>
    <v>16</v>
  </rv>
  <rv s="8">
    <fb>148.77000000000001</fb>
    <v>16</v>
  </rv>
  <rv s="8">
    <fb>153.69999999999999</fb>
    <v>16</v>
  </rv>
  <rv s="8">
    <fb>151.31</fb>
    <v>16</v>
  </rv>
  <rv s="8">
    <fb>149.59</fb>
    <v>16</v>
  </rv>
  <rv s="8">
    <fb>147.87</fb>
    <v>16</v>
  </rv>
  <rv s="8">
    <fb>149.43</fb>
    <v>16</v>
  </rv>
  <rv s="8">
    <fb>150.13</fb>
    <v>16</v>
  </rv>
  <rv s="8">
    <fb>154.22999999999999</fb>
    <v>16</v>
  </rv>
  <rv s="8">
    <fb>158.63999999999999</fb>
    <v>16</v>
  </rv>
  <rv s="8">
    <fb>162.19</fb>
    <v>16</v>
  </rv>
  <rv s="8">
    <fb>164.88</fb>
    <v>16</v>
  </rv>
  <rv s="8">
    <fb>163.6</fb>
    <v>16</v>
  </rv>
  <rv s="8">
    <fb>161.01</fb>
    <v>16</v>
  </rv>
  <rv s="8">
    <fb>162.01</fb>
    <v>16</v>
  </rv>
  <rv s="8">
    <fb>160.11000000000001</fb>
    <v>16</v>
  </rv>
  <rv s="8">
    <fb>154.63999999999999</fb>
    <v>16</v>
  </rv>
  <rv s="8">
    <fb>149.18</fb>
    <v>16</v>
  </rv>
  <rv s="8">
    <fb>146.69999999999999</fb>
    <v>16</v>
  </rv>
  <rv s="8">
    <fb>142.69</fb>
    <v>16</v>
  </rv>
  <rv s="8">
    <fb>138.76</fb>
    <v>16</v>
  </rv>
  <rv s="8">
    <fb>140.71</fb>
    <v>16</v>
  </rv>
  <rv s="8">
    <fb>133.94</fb>
    <v>16</v>
  </rv>
  <rv s="8">
    <fb>133.76</fb>
    <v>16</v>
  </rv>
  <rv s="8">
    <fb>122.48</fb>
    <v>16</v>
  </rv>
  <rv s="8">
    <fb>119.38</fb>
    <v>16</v>
  </rv>
  <rv s="8">
    <fb>117.4</fb>
    <v>16</v>
  </rv>
  <rv s="8">
    <fb>122.51</fb>
    <v>16</v>
  </rv>
  <rv s="8">
    <fb>125.92</fb>
    <v>16</v>
  </rv>
  <rv s="8">
    <fb>133.26</fb>
    <v>16</v>
  </rv>
  <rv s="8">
    <fb>133.35</fb>
    <v>16</v>
  </rv>
  <rv s="8">
    <fb>135.94999999999999</fb>
    <v>16</v>
  </rv>
  <rv s="8">
    <fb>133.63</fb>
    <v>16</v>
  </rv>
  <rv s="8">
    <fb>138.99</fb>
    <v>16</v>
  </rv>
  <rv s="8">
    <fb>138.91</fb>
    <v>16</v>
  </rv>
  <rv s="8">
    <fb>140.41</fb>
    <v>16</v>
  </rv>
  <rv s="8">
    <fb>140.63</fb>
    <v>16</v>
  </rv>
  <rv s="8">
    <fb>138.6</fb>
    <v>16</v>
  </rv>
  <rv s="8">
    <fb>129.97999999999999</fb>
    <v>16</v>
  </rv>
  <rv s="8">
    <fb>130.51</fb>
    <v>16</v>
  </rv>
  <rv s="8">
    <fb>133.75</fb>
    <v>16</v>
  </rv>
  <rv s="8">
    <fb>127.89</fb>
    <v>16</v>
  </rv>
  <rv s="8">
    <fb>126.42</fb>
    <v>16</v>
  </rv>
  <rv s="8">
    <fb>126.61</fb>
    <v>16</v>
  </rv>
  <rv s="8">
    <fb>127.62</fb>
    <v>16</v>
  </rv>
  <rv s="8">
    <fb>128.38</fb>
    <v>16</v>
  </rv>
  <rv s="8">
    <fb>129.24</fb>
    <v>16</v>
  </rv>
  <rv s="8">
    <fb>127.46</fb>
    <v>16</v>
  </rv>
  <rv s="8">
    <fb>127.92</fb>
    <v>16</v>
  </rv>
  <rv s="8">
    <fb>125.88</fb>
    <v>16</v>
  </rv>
  <rv s="8">
    <fb>127.8</fb>
    <v>16</v>
  </rv>
  <rv s="8">
    <fb>124.01</fb>
    <v>16</v>
  </rv>
  <rv s="8">
    <fb>123.93</fb>
    <v>16</v>
  </rv>
  <rv s="8">
    <fb>120.07</fb>
    <v>16</v>
  </rv>
  <rv s="8">
    <fb>120.62</fb>
    <v>16</v>
  </rv>
  <rv s="8">
    <fb>120.47</fb>
    <v>16</v>
  </rv>
  <rv s="8">
    <fb>119.66</fb>
    <v>16</v>
  </rv>
  <rv s="8">
    <fb>118.69</fb>
    <v>16</v>
  </rv>
  <rv s="8">
    <fb>120.53</fb>
    <v>16</v>
  </rv>
  <rv s="8">
    <fb>111.07</fb>
    <v>16</v>
  </rv>
  <rv s="8">
    <fb>113.26</fb>
    <v>16</v>
  </rv>
  <rv s="8">
    <fb>115.43</fb>
    <v>16</v>
  </rv>
  <rv s="8">
    <fb>114.66</fb>
    <v>16</v>
  </rv>
  <rv s="8">
    <fb>117.32</fb>
    <v>16</v>
  </rv>
  <rv s="8">
    <fb>118.49</fb>
    <v>16</v>
  </rv>
  <rv s="8">
    <fb>114.44</fb>
    <v>16</v>
  </rv>
  <rv s="8">
    <fb>119.16</fb>
    <v>16</v>
  </rv>
  <rv s="8">
    <fb>117.15</fb>
    <v>16</v>
  </rv>
  <rv s="8">
    <fb>122.04</fb>
    <v>16</v>
  </rv>
  <rv s="8">
    <fb>115.39</fb>
    <v>16</v>
  </rv>
  <rv s="8">
    <fb>121.05</fb>
    <v>16</v>
  </rv>
  <rv s="8">
    <fb>120.91</fb>
    <v>16</v>
  </rv>
  <rv s="8">
    <fb>126.01</fb>
    <v>16</v>
  </rv>
  <rv s="8">
    <fb>124.16</fb>
    <v>16</v>
  </rv>
  <rv s="8">
    <fb>112.82</fb>
    <v>16</v>
  </rv>
  <rv s="8">
    <fb>117.49</fb>
    <v>16</v>
  </rv>
  <rv s="8">
    <fb>116.09</fb>
    <v>16</v>
  </rv>
  <rv s="8">
    <fb>116.78</fb>
    <v>16</v>
  </rv>
  <rv s="8">
    <fb>119.06</fb>
    <v>16</v>
  </rv>
  <rv s="8">
    <fb>122.27</fb>
    <v>16</v>
  </rv>
  <rv s="8">
    <fb>119.78</fb>
    <v>16</v>
  </rv>
  <rv s="8">
    <fb>121.45</fb>
    <v>16</v>
  </rv>
  <rv s="8">
    <fb>148.08000000000001</fb>
    <v>16</v>
  </rv>
  <rv s="8">
    <fb>145.18</fb>
    <v>16</v>
  </rv>
  <rv s="8">
    <fb>146.52000000000001</fb>
    <v>16</v>
  </rv>
  <rv s="8">
    <fb>146.47999999999999</fb>
    <v>16</v>
  </rv>
  <rv s="8">
    <fb>146.51</fb>
    <v>16</v>
  </rv>
  <rv s="8">
    <fb>143.80000000000001</fb>
    <v>16</v>
  </rv>
  <rv s="8">
    <fb>149.91</fb>
    <v>16</v>
  </rv>
  <rv s="8">
    <fb>151.62</fb>
    <v>16</v>
  </rv>
  <rv s="8">
    <fb>153.01</fb>
    <v>16</v>
  </rv>
  <rv s="8">
    <fb>149.21</fb>
    <v>16</v>
  </rv>
  <rv s="8">
    <fb>156.76</fb>
    <v>16</v>
  </rv>
  <rv s="8">
    <fb>157.66999999999999</fb>
    <v>16</v>
  </rv>
  <rv s="8">
    <fb>164.59</fb>
    <v>16</v>
  </rv>
  <rv s="8">
    <fb>176.91</fb>
    <v>16</v>
  </rv>
  <rv s="8">
    <fb>184.01</fb>
    <v>16</v>
  </rv>
  <rv s="8">
    <fb>175.82</fb>
    <v>16</v>
  </rv>
  <rv s="8">
    <fb>171.81</fb>
    <v>16</v>
  </rv>
  <rv s="8">
    <fb>164.66</fb>
    <v>16</v>
  </rv>
  <rv s="8">
    <fb>164.13</fb>
    <v>16</v>
  </rv>
  <rv s="8">
    <fb>169.38</fb>
    <v>16</v>
  </rv>
  <rv s="8">
    <fb>8505495</fb>
    <v>17</v>
  </rv>
  <rv s="8">
    <fb>145.995</fb>
    <v>16</v>
  </rv>
  <rv s="8">
    <fb>148.33000000000001</fb>
    <v>16</v>
  </rv>
  <rv s="8">
    <fb>144.05000000000001</fb>
    <v>16</v>
  </rv>
  <rv s="8">
    <fb>7032450</fb>
    <v>17</v>
  </rv>
  <rv s="8">
    <fb>146</fb>
    <v>16</v>
  </rv>
  <rv s="8">
    <fb>149.16</fb>
    <v>16</v>
  </rv>
  <rv s="8">
    <fb>142.05199999999999</fb>
    <v>16</v>
  </rv>
  <rv s="8">
    <fb>7100433</fb>
    <v>17</v>
  </rv>
  <rv s="8">
    <fb>143.83000000000001</fb>
    <v>16</v>
  </rv>
  <rv s="8">
    <fb>148.66</fb>
    <v>16</v>
  </rv>
  <rv s="8">
    <fb>142.12</fb>
    <v>16</v>
  </rv>
  <rv s="8">
    <fb>7400609</fb>
    <v>17</v>
  </rv>
  <rv s="8">
    <fb>144.6</fb>
    <v>16</v>
  </rv>
  <rv s="8">
    <fb>141.36000000000001</fb>
    <v>16</v>
  </rv>
  <rv s="8">
    <fb>7518682</fb>
    <v>17</v>
  </rv>
  <rv s="8">
    <fb>146.285</fb>
    <v>16</v>
  </rv>
  <rv s="8">
    <fb>146.88999999999999</fb>
    <v>16</v>
  </rv>
  <rv s="8">
    <fb>137.495</fb>
    <v>16</v>
  </rv>
  <rv s="8">
    <fb>5405664</fb>
    <v>17</v>
  </rv>
  <rv s="8">
    <fb>145.66</fb>
    <v>16</v>
  </rv>
  <rv s="8">
    <fb>149.4699</fb>
    <v>16</v>
  </rv>
  <rv s="8">
    <fb>145.15</fb>
    <v>16</v>
  </rv>
  <rv s="8">
    <fb>7340868</fb>
    <v>17</v>
  </rv>
  <rv s="8">
    <fb>147.15</fb>
    <v>16</v>
  </rv>
  <rv s="8">
    <fb>151.85</fb>
    <v>16</v>
  </rv>
  <rv s="8">
    <fb>147.08500000000001</fb>
    <v>16</v>
  </rv>
  <rv s="8">
    <fb>6441089</fb>
    <v>17</v>
  </rv>
  <rv s="8">
    <fb>151</fb>
    <v>16</v>
  </rv>
  <rv s="8">
    <fb>152.94999999999999</fb>
    <v>16</v>
  </rv>
  <rv s="8">
    <fb>146.82</fb>
    <v>16</v>
  </rv>
  <rv s="8">
    <fb>7923360</fb>
    <v>17</v>
  </rv>
  <rv s="8">
    <fb>153.05000000000001</fb>
    <v>16</v>
  </rv>
  <rv s="8">
    <fb>157.80000000000001</fb>
    <v>16</v>
  </rv>
  <rv s="8">
    <fb>152.68</fb>
    <v>16</v>
  </rv>
  <rv s="8">
    <fb>6675798</fb>
    <v>17</v>
  </rv>
  <rv s="8">
    <fb>154.75</fb>
    <v>16</v>
  </rv>
  <rv s="8">
    <fb>151.80000000000001</fb>
    <v>16</v>
  </rv>
  <rv s="8">
    <fb>5460722</fb>
    <v>17</v>
  </rv>
  <rv s="8">
    <fb>152.71</fb>
    <v>16</v>
  </rv>
  <rv s="8">
    <fb>148.93</fb>
    <v>16</v>
  </rv>
  <rv s="8">
    <fb>7715340</fb>
    <v>17</v>
  </rv>
  <rv s="8">
    <fb>146.58500000000001</fb>
    <v>16</v>
  </rv>
  <rv s="8">
    <fb>157.07</fb>
    <v>16</v>
  </rv>
  <rv s="8">
    <fb>146.57</fb>
    <v>16</v>
  </rv>
  <rv s="8">
    <fb>23135869</fb>
    <v>17</v>
  </rv>
  <rv s="8">
    <fb>163.5</fb>
    <v>16</v>
  </rv>
  <rv s="8">
    <fb>10721325</fb>
    <v>17</v>
  </rv>
  <rv s="8">
    <fb>165.42</fb>
    <v>16</v>
  </rv>
  <rv s="8">
    <fb>15886495</fb>
    <v>17</v>
  </rv>
  <rv s="8">
    <fb>163.62</fb>
    <v>16</v>
  </rv>
  <rv s="8">
    <fb>178.31</fb>
    <v>16</v>
  </rv>
  <rv s="8">
    <fb>163.37</fb>
    <v>16</v>
  </rv>
  <rv s="8">
    <fb>11330772</fb>
    <v>17</v>
  </rv>
  <rv s="8">
    <fb>177.76</fb>
    <v>16</v>
  </rv>
  <rv s="8">
    <fb>177.62</fb>
    <v>16</v>
  </rv>
  <rv s="8">
    <fb>11061283</fb>
    <v>17</v>
  </rv>
  <rv s="8">
    <fb>182.71</fb>
    <v>16</v>
  </rv>
  <rv s="8">
    <fb>186.39</fb>
    <v>16</v>
  </rv>
  <rv s="8">
    <fb>175.55</fb>
    <v>16</v>
  </rv>
  <rv s="8">
    <fb>8011470</fb>
    <v>17</v>
  </rv>
  <rv s="8">
    <fb>175.13</fb>
    <v>16</v>
  </rv>
  <rv s="8">
    <fb>170.345</fb>
    <v>16</v>
  </rv>
  <rv s="8">
    <fb>10135271</fb>
    <v>17</v>
  </rv>
  <rv s="8">
    <fb>172.77</fb>
    <v>16</v>
  </rv>
  <rv s="8">
    <fb>174</fb>
    <v>16</v>
  </rv>
  <rv s="8">
    <fb>13713718</fb>
    <v>17</v>
  </rv>
  <rv s="8">
    <fb>164.29</fb>
    <v>16</v>
  </rv>
  <rv s="8">
    <fb>167.99</fb>
    <v>16</v>
  </rv>
  <rv s="8">
    <fb>155.37</fb>
    <v>16</v>
  </rv>
  <rv s="8">
    <fb>7311128</fb>
    <v>17</v>
  </rv>
  <rv s="8">
    <fb>166.98</fb>
    <v>16</v>
  </rv>
  <rv s="8">
    <fb>171.33</fb>
    <v>16</v>
  </rv>
  <rv s="8">
    <fb>164.76</fb>
    <v>16</v>
  </rv>
  <rv s="8">
    <fb>112.43</fb>
    <v>16</v>
  </rv>
  <rv s="8">
    <fb>104.34</fb>
    <v>16</v>
  </rv>
  <rv s="8">
    <fb>102.94</fb>
    <v>16</v>
  </rv>
  <rv s="8">
    <fb>100.77</fb>
    <v>16</v>
  </rv>
  <rv s="8">
    <fb>105.8</fb>
    <v>16</v>
  </rv>
  <rv s="8">
    <fb>99.93</fb>
    <v>16</v>
  </rv>
  <rv s="8">
    <fb>103.14</fb>
    <v>16</v>
  </rv>
  <rv s="8">
    <fb>103.39</fb>
    <v>16</v>
  </rv>
  <rv s="8">
    <fb>103.1</fb>
    <v>16</v>
  </rv>
  <rv s="8">
    <fb>104.19</fb>
    <v>16</v>
  </rv>
  <rv s="8">
    <fb>106.92</fb>
    <v>16</v>
  </rv>
  <rv s="8">
    <fb>105.35</fb>
    <v>16</v>
  </rv>
  <rv s="8">
    <fb>108.3</fb>
    <v>16</v>
  </rv>
  <rv s="8">
    <fb>107.37</fb>
    <v>16</v>
  </rv>
  <rv s="8">
    <fb>108.63</fb>
    <v>16</v>
  </rv>
  <rv s="8">
    <fb>108.57</fb>
    <v>16</v>
  </rv>
  <rv s="8">
    <fb>108.36</fb>
    <v>16</v>
  </rv>
  <rv s="8">
    <fb>105.63</fb>
    <v>16</v>
  </rv>
  <rv s="8">
    <fb>105.78</fb>
    <v>16</v>
  </rv>
  <rv s="8">
    <fb>106.21</fb>
    <v>16</v>
  </rv>
  <rv s="8">
    <fb>103.27</fb>
    <v>16</v>
  </rv>
  <rv s="8">
    <fb>104.71</fb>
    <v>16</v>
  </rv>
  <rv s="8">
    <fb>104.61</fb>
    <v>16</v>
  </rv>
  <rv s="8">
    <fb>106.07</fb>
    <v>16</v>
  </rv>
  <rv s="8">
    <fb>107.31</fb>
    <v>16</v>
  </rv>
  <rv s="8">
    <fb>109.16</fb>
    <v>16</v>
  </rv>
  <rv s="8">
    <fb>109.46</fb>
    <v>16</v>
  </rv>
  <rv s="8">
    <fb>108.48</fb>
    <v>16</v>
  </rv>
  <rv s="8">
    <fb>108.58</fb>
    <v>16</v>
  </rv>
  <rv s="8">
    <fb>108.19</fb>
    <v>16</v>
  </rv>
  <rv s="8">
    <fb>104.95</fb>
    <v>16</v>
  </rv>
  <rv s="8">
    <fb>103.66</fb>
    <v>16</v>
  </rv>
  <rv s="8">
    <fb>102.97</fb>
    <v>16</v>
  </rv>
  <rv s="8">
    <fb>103.03</fb>
    <v>16</v>
  </rv>
  <rv s="8">
    <fb>103.52</fb>
    <v>16</v>
  </rv>
  <rv s="8">
    <fb>102.69</fb>
    <v>16</v>
  </rv>
  <rv s="8">
    <fb>102.3</fb>
    <v>16</v>
  </rv>
  <rv s="8">
    <fb>103.8</fb>
    <v>16</v>
  </rv>
  <rv s="8">
    <fb>101.83</fb>
    <v>16</v>
  </rv>
  <rv s="8">
    <fb>104.97</fb>
    <v>16</v>
  </rv>
  <rv s="8">
    <fb>107.22</fb>
    <v>16</v>
  </rv>
  <rv s="8">
    <fb>109.31</fb>
    <v>16</v>
  </rv>
  <rv s="8">
    <fb>109.73</fb>
    <v>16</v>
  </rv>
  <rv s="8">
    <fb>112.12</fb>
    <v>16</v>
  </rv>
  <rv s="8">
    <fb>112.48</fb>
    <v>16</v>
  </rv>
  <rv s="8">
    <fb>114</fb>
    <v>16</v>
  </rv>
  <rv s="8">
    <fb>113.19</fb>
    <v>16</v>
  </rv>
  <rv s="8">
    <fb>114.7</fb>
    <v>16</v>
  </rv>
  <rv s="8">
    <fb>108.34</fb>
    <v>16</v>
  </rv>
  <rv s="8">
    <fb>108.37</fb>
    <v>16</v>
  </rv>
  <rv s="8">
    <fb>109.99</fb>
    <v>16</v>
  </rv>
  <rv s="8">
    <fb>109.38</fb>
    <v>16</v>
  </rv>
  <rv s="8">
    <fb>107.8</fb>
    <v>16</v>
  </rv>
  <rv s="8">
    <fb>109.24</fb>
    <v>16</v>
  </rv>
  <rv s="8">
    <fb>111.05</fb>
    <v>16</v>
  </rv>
  <rv s="8">
    <fb>111.11</fb>
    <v>16</v>
  </rv>
  <rv s="8">
    <fb>113.8</fb>
    <v>16</v>
  </rv>
  <rv s="8">
    <fb>114.93</fb>
    <v>16</v>
  </rv>
  <rv s="8">
    <fb>113.92</fb>
    <v>16</v>
  </rv>
  <rv s="8">
    <fb>112.91</fb>
    <v>16</v>
  </rv>
  <rv s="8">
    <fb>112.23</fb>
    <v>16</v>
  </rv>
  <rv s="8">
    <fb>111.66</fb>
    <v>16</v>
  </rv>
  <rv s="8">
    <fb>107.77</fb>
    <v>16</v>
  </rv>
  <rv s="8">
    <fb>108.05</fb>
    <v>16</v>
  </rv>
  <rv s="8">
    <fb>108.54</fb>
    <v>16</v>
  </rv>
  <rv s="8">
    <fb>109.93</fb>
    <v>16</v>
  </rv>
  <rv s="8">
    <fb>110.79</fb>
    <v>16</v>
  </rv>
  <rv s="8">
    <fb>110.4</fb>
    <v>16</v>
  </rv>
  <rv s="8">
    <fb>111.44</fb>
    <v>16</v>
  </rv>
  <rv s="8">
    <fb>112.88</fb>
    <v>16</v>
  </rv>
  <rv s="8">
    <fb>109.64</fb>
    <v>16</v>
  </rv>
  <rv s="8">
    <fb>107.24</fb>
    <v>16</v>
  </rv>
  <rv s="8">
    <fb>106.51</fb>
    <v>16</v>
  </rv>
  <rv s="8">
    <fb>105.95</fb>
    <v>16</v>
  </rv>
  <rv s="8">
    <fb>106.8</fb>
    <v>16</v>
  </rv>
  <rv s="8">
    <fb>105.83</fb>
    <v>16</v>
  </rv>
  <rv s="8">
    <fb>106.13</fb>
    <v>16</v>
  </rv>
  <rv s="8">
    <fb>107.6</fb>
    <v>16</v>
  </rv>
  <rv s="8">
    <fb>106.49</fb>
    <v>16</v>
  </rv>
  <rv s="8">
    <fb>107.42</fb>
    <v>16</v>
  </rv>
  <rv s="8">
    <fb>108.53</fb>
    <v>16</v>
  </rv>
  <rv s="8">
    <fb>109.23</fb>
    <v>16</v>
  </rv>
  <rv s="8">
    <fb>111.49</fb>
    <v>16</v>
  </rv>
  <rv s="8">
    <fb>112.75</fb>
    <v>16</v>
  </rv>
  <rv s="8">
    <fb>113.35</fb>
    <v>16</v>
  </rv>
  <rv s="8">
    <fb>114.29</fb>
    <v>16</v>
  </rv>
  <rv s="8">
    <fb>114.69</fb>
    <v>16</v>
  </rv>
  <rv s="8">
    <fb>111.91</fb>
    <v>16</v>
  </rv>
  <rv s="8">
    <fb>112.4</fb>
    <v>16</v>
  </rv>
  <rv s="8">
    <fb>110.65</fb>
    <v>16</v>
  </rv>
  <rv s="8">
    <fb>112.5</fb>
    <v>16</v>
  </rv>
  <rv s="8">
    <fb>112.14</fb>
    <v>16</v>
  </rv>
  <rv s="8">
    <fb>112.16</fb>
    <v>16</v>
  </rv>
  <rv s="8">
    <fb>112.35</fb>
    <v>16</v>
  </rv>
  <rv s="8">
    <fb>114.68</fb>
    <v>16</v>
  </rv>
  <rv s="8">
    <fb>115.29</fb>
    <v>16</v>
  </rv>
  <rv s="8">
    <fb>112.02</fb>
    <v>16</v>
  </rv>
  <rv s="8">
    <fb>113.95</fb>
    <v>16</v>
  </rv>
  <rv s="8">
    <fb>115.59</fb>
    <v>16</v>
  </rv>
  <rv s="8">
    <fb>117.22</fb>
    <v>16</v>
  </rv>
  <rv s="8">
    <fb>111.99</fb>
    <v>16</v>
  </rv>
  <rv s="8">
    <fb>111.29</fb>
    <v>16</v>
  </rv>
  <rv s="8">
    <fb>114.26</fb>
    <v>16</v>
  </rv>
  <rv s="8">
    <fb>114.02</fb>
    <v>16</v>
  </rv>
  <rv s="8">
    <fb>112.24</fb>
    <v>16</v>
  </rv>
  <rv s="8">
    <fb>112.29</fb>
    <v>16</v>
  </rv>
  <rv s="8">
    <fb>110.64</fb>
    <v>16</v>
  </rv>
  <rv s="8">
    <fb>114.71</fb>
    <v>16</v>
  </rv>
  <rv s="8">
    <fb>115.98</fb>
    <v>16</v>
  </rv>
  <rv s="8">
    <fb>115.94</fb>
    <v>16</v>
  </rv>
  <rv s="8">
    <fb>116.45</fb>
    <v>16</v>
  </rv>
  <rv s="8">
    <fb>113.76</fb>
    <v>16</v>
  </rv>
  <rv s="8">
    <fb>114.14</fb>
    <v>16</v>
  </rv>
  <rv s="8">
    <fb>113.68</fb>
    <v>16</v>
  </rv>
  <rv s="8">
    <fb>118.22</fb>
    <v>16</v>
  </rv>
  <rv s="8">
    <fb>118.12</fb>
    <v>16</v>
  </rv>
  <rv s="8">
    <fb>118.79</fb>
    <v>16</v>
  </rv>
  <rv s="8">
    <fb>119.29</fb>
    <v>16</v>
  </rv>
  <rv s="8">
    <fb>117.68</fb>
    <v>16</v>
  </rv>
  <rv s="8">
    <fb>119.03</fb>
    <v>16</v>
  </rv>
  <rv s="8">
    <fb>117.35</fb>
    <v>16</v>
  </rv>
  <rv s="8">
    <fb>117.02</fb>
    <v>16</v>
  </rv>
  <rv s="8">
    <fb>117.08</fb>
    <v>16</v>
  </rv>
  <rv s="8">
    <fb>115.97</fb>
    <v>16</v>
  </rv>
  <rv s="8">
    <fb>114.51</fb>
    <v>16</v>
  </rv>
  <rv s="8">
    <fb>114.77</fb>
    <v>16</v>
  </rv>
  <rv s="8">
    <fb>115.92</fb>
    <v>16</v>
  </rv>
  <rv s="8">
    <fb>116.63</fb>
    <v>16</v>
  </rv>
  <rv s="8">
    <fb>115.38</fb>
    <v>16</v>
  </rv>
  <rv s="8">
    <fb>117.8</fb>
    <v>16</v>
  </rv>
  <rv s="8">
    <fb>117.14</fb>
    <v>16</v>
  </rv>
  <rv s="8">
    <fb>116.54</fb>
    <v>16</v>
  </rv>
  <rv s="8">
    <fb>118.25</fb>
    <v>16</v>
  </rv>
  <rv s="8">
    <fb>119.54</fb>
    <v>16</v>
  </rv>
  <rv s="8">
    <fb>118.82</fb>
    <v>16</v>
  </rv>
  <rv s="8">
    <fb>117.76</fb>
    <v>16</v>
  </rv>
  <rv s="8">
    <fb>118.15</fb>
    <v>16</v>
  </rv>
  <rv s="8">
    <fb>119.42</fb>
    <v>16</v>
  </rv>
  <rv s="8">
    <fb>119.22</fb>
    <v>16</v>
  </rv>
  <rv s="8">
    <fb>119.11</fb>
    <v>16</v>
  </rv>
  <rv s="8">
    <fb>120.99</fb>
    <v>16</v>
  </rv>
  <rv s="8">
    <fb>120.34</fb>
    <v>16</v>
  </rv>
  <rv s="8">
    <fb>122.65</fb>
    <v>16</v>
  </rv>
  <rv s="8">
    <fb>125.36</fb>
    <v>16</v>
  </rv>
  <rv s="8">
    <fb>122.91</fb>
    <v>16</v>
  </rv>
  <rv s="8">
    <fb>124.61</fb>
    <v>16</v>
  </rv>
  <rv s="8">
    <fb>124.03</fb>
    <v>16</v>
  </rv>
  <rv s="8">
    <fb>126.54</fb>
    <v>16</v>
  </rv>
  <rv s="8">
    <fb>130.19999999999999</fb>
    <v>16</v>
  </rv>
  <rv s="8">
    <fb>129.13</fb>
    <v>16</v>
  </rv>
  <rv s="8">
    <fb>129.88999999999999</fb>
    <v>16</v>
  </rv>
  <rv s="8">
    <fb>130.46</fb>
    <v>16</v>
  </rv>
  <rv s="8">
    <fb>133.61000000000001</fb>
    <v>16</v>
  </rv>
  <rv s="8">
    <fb>134.97</fb>
    <v>16</v>
  </rv>
  <rv s="8">
    <fb>134.84</fb>
    <v>16</v>
  </rv>
  <rv s="8">
    <fb>136.83000000000001</fb>
    <v>16</v>
  </rv>
  <rv s="8">
    <fb>137.58000000000001</fb>
    <v>16</v>
  </rv>
  <rv s="8">
    <fb>140.51</fb>
    <v>16</v>
  </rv>
  <rv s="8">
    <fb>141.4</fb>
    <v>16</v>
  </rv>
  <rv s="8">
    <fb>138.4</fb>
    <v>16</v>
  </rv>
  <rv s="8">
    <fb>143.72999999999999</fb>
    <v>16</v>
  </rv>
  <rv s="8">
    <fb>147.59</fb>
    <v>16</v>
  </rv>
  <rv s="8">
    <fb>146.08000000000001</fb>
    <v>16</v>
  </rv>
  <rv s="8">
    <fb>149.05000000000001</fb>
    <v>16</v>
  </rv>
  <rv s="8">
    <fb>151.21</fb>
    <v>16</v>
  </rv>
  <rv s="8">
    <fb>149.93</fb>
    <v>16</v>
  </rv>
  <rv s="8">
    <fb>148.44999999999999</fb>
    <v>16</v>
  </rv>
  <rv s="8">
    <fb>146.19</fb>
    <v>16</v>
  </rv>
  <rv s="8">
    <fb>150.68</fb>
    <v>16</v>
  </rv>
  <rv s="8">
    <fb>150.97</fb>
    <v>16</v>
  </rv>
  <rv s="8">
    <fb>147.28</fb>
    <v>16</v>
  </rv>
  <rv s="8">
    <fb>150.76</fb>
    <v>16</v>
  </rv>
  <rv s="8">
    <fb>149.26</fb>
    <v>16</v>
  </rv>
  <rv s="8">
    <fb>149.06</fb>
    <v>16</v>
  </rv>
  <rv s="8">
    <fb>148.54</fb>
    <v>16</v>
  </rv>
  <rv s="8">
    <fb>152.5</fb>
    <v>16</v>
  </rv>
  <rv s="8">
    <fb>154.22</fb>
    <v>16</v>
  </rv>
  <rv s="8">
    <fb>151.83000000000001</fb>
    <v>16</v>
  </rv>
  <rv s="8">
    <fb>149.82</fb>
    <v>16</v>
  </rv>
  <rv s="8">
    <fb>150.44</fb>
    <v>16</v>
  </rv>
  <rv s="8">
    <fb>148.13</fb>
    <v>16</v>
  </rv>
  <rv s="8">
    <fb>151.58000000000001</fb>
    <v>16</v>
  </rv>
  <rv s="8">
    <fb>153.53</fb>
    <v>16</v>
  </rv>
  <rv s="8">
    <fb>157.22999999999999</fb>
    <v>16</v>
  </rv>
  <rv s="8">
    <fb>158.81</fb>
    <v>16</v>
  </rv>
  <rv s="8">
    <fb>157.59</fb>
    <v>16</v>
  </rv>
  <rv s="8">
    <fb>158.16</fb>
    <v>16</v>
  </rv>
  <rv s="8">
    <fb>159.66999999999999</fb>
    <v>16</v>
  </rv>
  <rv s="8">
    <fb>165.38</fb>
    <v>16</v>
  </rv>
  <rv s="8">
    <fb>163.26</fb>
    <v>16</v>
  </rv>
  <rv s="8">
    <fb>165.43</fb>
    <v>16</v>
  </rv>
  <rv s="8">
    <fb>170.99</fb>
    <v>16</v>
  </rv>
  <rv s="8">
    <fb>171.47</fb>
    <v>16</v>
  </rv>
  <rv s="8">
    <fb>169.66</fb>
    <v>16</v>
  </rv>
  <rv s="8">
    <fb>160.78</fb>
    <v>16</v>
  </rv>
  <rv s="8">
    <fb>16764761</fb>
    <v>17</v>
  </rv>
  <rv s="8">
    <fb>151.16</fb>
    <v>16</v>
  </rv>
  <rv s="8">
    <fb>147.86000000000001</fb>
    <v>16</v>
  </rv>
  <rv s="8">
    <fb>22969271</fb>
    <v>17</v>
  </rv>
  <rv s="8">
    <fb>152.33000000000001</fb>
    <v>16</v>
  </rv>
  <rv s="8">
    <fb>149.47</fb>
    <v>16</v>
  </rv>
  <rv s="8">
    <fb>21136427</fb>
    <v>17</v>
  </rv>
  <rv s="8">
    <fb>153.15</fb>
    <v>16</v>
  </rv>
  <rv s="8">
    <fb>149.96</fb>
    <v>16</v>
  </rv>
  <rv s="8">
    <fb>25532656</fb>
    <v>17</v>
  </rv>
  <rv s="8">
    <fb>152.01499999999999</fb>
    <v>16</v>
  </rv>
  <rv s="8">
    <fb>153.88990000000001</fb>
    <v>16</v>
  </rv>
  <rv s="8">
    <fb>19617590</fb>
    <v>17</v>
  </rv>
  <rv s="8">
    <fb>149.25</fb>
    <v>16</v>
  </rv>
  <rv s="8">
    <fb>150.4</fb>
    <v>16</v>
  </rv>
  <rv s="8">
    <fb>147.69999999999999</fb>
    <v>16</v>
  </rv>
  <rv s="8">
    <fb>15297412</fb>
    <v>17</v>
  </rv>
  <rv s="8">
    <fb>147.99</fb>
    <v>16</v>
  </rv>
  <rv s="8">
    <fb>151.81</fb>
    <v>16</v>
  </rv>
  <rv s="8">
    <fb>147.66</fb>
    <v>16</v>
  </rv>
  <rv s="8">
    <fb>26053965</fb>
    <v>17</v>
  </rv>
  <rv s="8">
    <fb>152.26499999999999</fb>
    <v>16</v>
  </rv>
  <rv s="8">
    <fb>155</fb>
    <v>16</v>
  </rv>
  <rv s="8">
    <fb>151.63</fb>
    <v>16</v>
  </rv>
  <rv s="8">
    <fb>22414094</fb>
    <v>17</v>
  </rv>
  <rv s="8">
    <fb>154.30000000000001</fb>
    <v>16</v>
  </rv>
  <rv s="8">
    <fb>156.88999999999999</fb>
    <v>16</v>
  </rv>
  <rv s="8">
    <fb>152.97499999999999</fb>
    <v>16</v>
  </rv>
  <rv s="8">
    <fb>22835633</fb>
    <v>17</v>
  </rv>
  <rv s="8">
    <fb>156</fb>
    <v>16</v>
  </rv>
  <rv s="8">
    <fb>157.78</fb>
    <v>16</v>
  </rv>
  <rv s="8">
    <fb>154.76</fb>
    <v>16</v>
  </rv>
  <rv s="8">
    <fb>21592171</fb>
    <v>17</v>
  </rv>
  <rv s="8">
    <fb>160.44999999999999</fb>
    <v>16</v>
  </rv>
  <rv s="8">
    <fb>156.80000000000001</fb>
    <v>16</v>
  </rv>
  <rv s="8">
    <fb>18947142</fb>
    <v>17</v>
  </rv>
  <rv s="8">
    <fb>159.66</fb>
    <v>16</v>
  </rv>
  <rv s="8">
    <fb>160.18</fb>
    <v>16</v>
  </rv>
  <rv s="8">
    <fb>157.53</fb>
    <v>16</v>
  </rv>
  <rv s="8">
    <fb>27082733</fb>
    <v>17</v>
  </rv>
  <rv s="8">
    <fb>158.26</fb>
    <v>16</v>
  </rv>
  <rv s="8">
    <fb>159.56</fb>
    <v>16</v>
  </rv>
  <rv s="8">
    <fb>53942142</fb>
    <v>17</v>
  </rv>
  <rv s="8">
    <fb>159.35</fb>
    <v>16</v>
  </rv>
  <rv s="8">
    <fb>162.44</fb>
    <v>16</v>
  </rv>
  <rv s="8">
    <fb>159.1</fb>
    <v>16</v>
  </rv>
  <rv s="8">
    <fb>25021288</fb>
    <v>17</v>
  </rv>
  <rv s="8">
    <fb>156.11500000000001</fb>
    <v>16</v>
  </rv>
  <rv s="8">
    <fb>161.41999999999999</fb>
    <v>16</v>
  </rv>
  <rv s="8">
    <fb>26131824</fb>
    <v>17</v>
  </rv>
  <rv s="8">
    <fb>161.71</fb>
    <v>16</v>
  </rv>
  <rv s="8">
    <fb>167.48</fb>
    <v>16</v>
  </rv>
  <rv s="8">
    <fb>161.25</fb>
    <v>16</v>
  </rv>
  <rv s="8">
    <fb>17192333</fb>
    <v>17</v>
  </rv>
  <rv s="8">
    <fb>165</fb>
    <v>16</v>
  </rv>
  <rv s="8">
    <fb>162.93</fb>
    <v>16</v>
  </rv>
  <rv s="8">
    <fb>18625249</fb>
    <v>17</v>
  </rv>
  <rv s="8">
    <fb>164.09</fb>
    <v>16</v>
  </rv>
  <rv s="8">
    <fb>165.68</fb>
    <v>16</v>
  </rv>
  <rv s="8">
    <fb>162.06</fb>
    <v>16</v>
  </rv>
  <rv s="8">
    <fb>30338313</fb>
    <v>17</v>
  </rv>
  <rv s="8">
    <fb>165.58</fb>
    <v>16</v>
  </rv>
  <rv s="8">
    <fb>171.23</fb>
    <v>16</v>
  </rv>
  <rv s="8">
    <fb>164.8</fb>
    <v>16</v>
  </rv>
  <rv s="8">
    <fb>29813504</fb>
    <v>17</v>
  </rv>
  <rv s="8">
    <fb>172.505</fb>
    <v>16</v>
  </rv>
  <rv s="8">
    <fb>176.41</fb>
    <v>16</v>
  </rv>
  <rv s="8">
    <fb>171.05</fb>
    <v>16</v>
  </rv>
  <rv s="8">
    <fb>32006724</fb>
    <v>17</v>
  </rv>
  <rv s="8">
    <fb>172.67</fb>
    <v>16</v>
  </rv>
  <rv s="8">
    <fb>174.38</fb>
    <v>16</v>
  </rv>
  <rv s="8">
    <fb>165.97</fb>
    <v>16</v>
  </rv>
  <rv s="8">
    <fb>37927639</fb>
    <v>17</v>
  </rv>
  <rv s="8">
    <fb>165.77</fb>
    <v>16</v>
  </rv>
  <rv s="8">
    <fb>168</fb>
    <v>16</v>
  </rv>
  <rv s="8">
    <fb>159.53</fb>
    <v>16</v>
  </rv>
  <rv s="8">
    <fb>45.9</fb>
    <v>16</v>
  </rv>
  <rv s="8">
    <fb>44.18</fb>
    <v>16</v>
  </rv>
  <rv s="8">
    <fb>43.53</fb>
    <v>16</v>
  </rv>
  <rv s="8">
    <fb>42.48</fb>
    <v>16</v>
  </rv>
  <rv s="8">
    <fb>45.74</fb>
    <v>16</v>
  </rv>
  <rv s="8">
    <fb>43.73</fb>
    <v>16</v>
  </rv>
  <rv s="8">
    <fb>43.63</fb>
    <v>16</v>
  </rv>
  <rv s="8">
    <fb>45.14</fb>
    <v>16</v>
  </rv>
  <rv s="8">
    <fb>44.54</fb>
    <v>16</v>
  </rv>
  <rv s="8">
    <fb>44.57</fb>
    <v>16</v>
  </rv>
  <rv s="8">
    <fb>44.39</fb>
    <v>16</v>
  </rv>
  <rv s="8">
    <fb>45.16</fb>
    <v>16</v>
  </rv>
  <rv s="8">
    <fb>45.84</fb>
    <v>16</v>
  </rv>
  <rv s="8">
    <fb>46.88</fb>
    <v>16</v>
  </rv>
  <rv s="8">
    <fb>47.11</fb>
    <v>16</v>
  </rv>
  <rv s="8">
    <fb>45.24</fb>
    <v>16</v>
  </rv>
  <rv s="8">
    <fb>45.05</fb>
    <v>16</v>
  </rv>
  <rv s="8">
    <fb>45.3</fb>
    <v>16</v>
  </rv>
  <rv s="8">
    <fb>45.38</fb>
    <v>16</v>
  </rv>
  <rv s="8">
    <fb>45.46</fb>
    <v>16</v>
  </rv>
  <rv s="8">
    <fb>45.47</fb>
    <v>16</v>
  </rv>
  <rv s="8">
    <fb>47.35</fb>
    <v>16</v>
  </rv>
  <rv s="8">
    <fb>49.61</fb>
    <v>16</v>
  </rv>
  <rv s="8">
    <fb>50.46</fb>
    <v>16</v>
  </rv>
  <rv s="8">
    <fb>50.31</fb>
    <v>16</v>
  </rv>
  <rv s="8">
    <fb>50.12</fb>
    <v>16</v>
  </rv>
  <rv s="8">
    <fb>50.37</fb>
    <v>16</v>
  </rv>
  <rv s="8">
    <fb>50.03</fb>
    <v>16</v>
  </rv>
  <rv s="8">
    <fb>50.21</fb>
    <v>16</v>
  </rv>
  <rv s="8">
    <fb>49.37</fb>
    <v>16</v>
  </rv>
  <rv s="8">
    <fb>49.28</fb>
    <v>16</v>
  </rv>
  <rv s="8">
    <fb>48.69</fb>
    <v>16</v>
  </rv>
  <rv s="8">
    <fb>49.09</fb>
    <v>16</v>
  </rv>
  <rv s="8">
    <fb>48.13</fb>
    <v>16</v>
  </rv>
  <rv s="8">
    <fb>48.59</fb>
    <v>16</v>
  </rv>
  <rv s="8">
    <fb>47.69</fb>
    <v>16</v>
  </rv>
  <rv s="8">
    <fb>49.06</fb>
    <v>16</v>
  </rv>
  <rv s="8">
    <fb>47.67</fb>
    <v>16</v>
  </rv>
  <rv s="8">
    <fb>47.25</fb>
    <v>16</v>
  </rv>
  <rv s="8">
    <fb>47.47</fb>
    <v>16</v>
  </rv>
  <rv s="8">
    <fb>47.93</fb>
    <v>16</v>
  </rv>
  <rv s="8">
    <fb>49.87</fb>
    <v>16</v>
  </rv>
  <rv s="8">
    <fb>49.26</fb>
    <v>16</v>
  </rv>
  <rv s="8">
    <fb>48.09</fb>
    <v>16</v>
  </rv>
  <rv s="8">
    <fb>48.2</fb>
    <v>16</v>
  </rv>
  <rv s="8">
    <fb>49</fb>
    <v>16</v>
  </rv>
  <rv s="8">
    <fb>49.16</fb>
    <v>16</v>
  </rv>
  <rv s="8">
    <fb>49.68</fb>
    <v>16</v>
  </rv>
  <rv s="8">
    <fb>52.03</fb>
    <v>16</v>
  </rv>
  <rv s="8">
    <fb>52.68</fb>
    <v>16</v>
  </rv>
  <rv s="8">
    <fb>52.89</fb>
    <v>16</v>
  </rv>
  <rv s="8">
    <fb>51.82</fb>
    <v>16</v>
  </rv>
  <rv s="8">
    <fb>52.19</fb>
    <v>16</v>
  </rv>
  <rv s="8">
    <fb>53.15</fb>
    <v>16</v>
  </rv>
  <rv s="8">
    <fb>53.39</fb>
    <v>16</v>
  </rv>
  <rv s="8">
    <fb>53.33</fb>
    <v>16</v>
  </rv>
  <rv s="8">
    <fb>52.71</fb>
    <v>16</v>
  </rv>
  <rv s="8">
    <fb>53.18</fb>
    <v>16</v>
  </rv>
  <rv s="8">
    <fb>53.21</fb>
    <v>16</v>
  </rv>
  <rv s="8">
    <fb>53.22</fb>
    <v>16</v>
  </rv>
  <rv s="8">
    <fb>48.89</fb>
    <v>16</v>
  </rv>
  <rv s="8">
    <fb>53.13</fb>
    <v>16</v>
  </rv>
  <rv s="8">
    <fb>52.34</fb>
    <v>16</v>
  </rv>
  <rv s="8">
    <fb>53.4</fb>
    <v>16</v>
  </rv>
  <rv s="8">
    <fb>52.11</fb>
    <v>16</v>
  </rv>
  <rv s="8">
    <fb>53.34</fb>
    <v>16</v>
  </rv>
  <rv s="8">
    <fb>52.53</fb>
    <v>16</v>
  </rv>
  <rv s="8">
    <fb>52.47</fb>
    <v>16</v>
  </rv>
  <rv s="8">
    <fb>52.95</fb>
    <v>16</v>
  </rv>
  <rv s="8">
    <fb>53.53</fb>
    <v>16</v>
  </rv>
  <rv s="8">
    <fb>54.01</fb>
    <v>16</v>
  </rv>
  <rv s="8">
    <fb>55.58</fb>
    <v>16</v>
  </rv>
  <rv s="8">
    <fb>56.42</fb>
    <v>16</v>
  </rv>
  <rv s="8">
    <fb>56.31</fb>
    <v>16</v>
  </rv>
  <rv s="8">
    <fb>56.23</fb>
    <v>16</v>
  </rv>
  <rv s="8">
    <fb>57.06</fb>
    <v>16</v>
  </rv>
  <rv s="8">
    <fb>56.77</fb>
    <v>16</v>
  </rv>
  <rv s="8">
    <fb>56.51</fb>
    <v>16</v>
  </rv>
  <rv s="8">
    <fb>58.37</fb>
    <v>16</v>
  </rv>
  <rv s="8">
    <fb>58.28</fb>
    <v>16</v>
  </rv>
  <rv s="8">
    <fb>58.8</fb>
    <v>16</v>
  </rv>
  <rv s="8">
    <fb>58.75</fb>
    <v>16</v>
  </rv>
  <rv s="8">
    <fb>58.49</fb>
    <v>16</v>
  </rv>
  <rv s="8">
    <fb>58.59</fb>
    <v>16</v>
  </rv>
  <rv s="8">
    <fb>58.53</fb>
    <v>16</v>
  </rv>
  <rv s="8">
    <fb>57.75</fb>
    <v>16</v>
  </rv>
  <rv s="8">
    <fb>58.15</fb>
    <v>16</v>
  </rv>
  <rv s="8">
    <fb>58.27</fb>
    <v>16</v>
  </rv>
  <rv s="8">
    <fb>58.2</fb>
    <v>16</v>
  </rv>
  <rv s="8">
    <fb>58.01</fb>
    <v>16</v>
  </rv>
  <rv s="8">
    <fb>57.34</fb>
    <v>16</v>
  </rv>
  <rv s="8">
    <fb>58.71</fb>
    <v>16</v>
  </rv>
  <rv s="8">
    <fb>58.5</fb>
    <v>16</v>
  </rv>
  <rv s="8">
    <fb>58.95</fb>
    <v>16</v>
  </rv>
  <rv s="8">
    <fb>58.46</fb>
    <v>16</v>
  </rv>
  <rv s="8">
    <fb>58.73</fb>
    <v>16</v>
  </rv>
  <rv s="8">
    <fb>59.26</fb>
    <v>16</v>
  </rv>
  <rv s="8">
    <fb>58.98</fb>
    <v>16</v>
  </rv>
  <rv s="8">
    <fb>58.88</fb>
    <v>16</v>
  </rv>
  <rv s="8">
    <fb>58.58</fb>
    <v>16</v>
  </rv>
  <rv s="8">
    <fb>59.92</fb>
    <v>16</v>
  </rv>
  <rv s="8">
    <fb>60.59</fb>
    <v>16</v>
  </rv>
  <rv s="8">
    <fb>61.24</fb>
    <v>16</v>
  </rv>
  <rv s="8">
    <fb>61.12</fb>
    <v>16</v>
  </rv>
  <rv s="8">
    <fb>60.97</fb>
    <v>16</v>
  </rv>
  <rv s="8">
    <fb>61.34</fb>
    <v>16</v>
  </rv>
  <rv s="8">
    <fb>59.36</fb>
    <v>16</v>
  </rv>
  <rv s="8">
    <fb>60.13</fb>
    <v>16</v>
  </rv>
  <rv s="8">
    <fb>58.19</fb>
    <v>16</v>
  </rv>
  <rv s="8">
    <fb>57.26</fb>
    <v>16</v>
  </rv>
  <rv s="8">
    <fb>56.4</fb>
    <v>16</v>
  </rv>
  <rv s="8">
    <fb>55.92</fb>
    <v>16</v>
  </rv>
  <rv s="8">
    <fb>55.62</fb>
    <v>16</v>
  </rv>
  <rv s="8">
    <fb>57.15</fb>
    <v>16</v>
  </rv>
  <rv s="8">
    <fb>57.8</fb>
    <v>16</v>
  </rv>
  <rv s="8">
    <fb>58.38</fb>
    <v>16</v>
  </rv>
  <rv s="8">
    <fb>58</fb>
    <v>16</v>
  </rv>
  <rv s="8">
    <fb>66.62</fb>
    <v>16</v>
  </rv>
  <rv s="8">
    <fb>67.31</fb>
    <v>16</v>
  </rv>
  <rv s="8">
    <fb>66.849999999999994</fb>
    <v>16</v>
  </rv>
  <rv s="8">
    <fb>69.66</fb>
    <v>16</v>
  </rv>
  <rv s="8">
    <fb>69.38</fb>
    <v>16</v>
  </rv>
  <rv s="8">
    <fb>69.87</fb>
    <v>16</v>
  </rv>
  <rv s="8">
    <fb>69.13</fb>
    <v>16</v>
  </rv>
  <rv s="8">
    <fb>68.67</fb>
    <v>16</v>
  </rv>
  <rv s="8">
    <fb>69.09</fb>
    <v>16</v>
  </rv>
  <rv s="8">
    <fb>68.22</fb>
    <v>16</v>
  </rv>
  <rv s="8">
    <fb>66.87</fb>
    <v>16</v>
  </rv>
  <rv s="8">
    <fb>68.77</fb>
    <v>16</v>
  </rv>
  <rv s="8">
    <fb>68.84</fb>
    <v>16</v>
  </rv>
  <rv s="8">
    <fb>70.75</fb>
    <v>16</v>
  </rv>
  <rv s="8">
    <fb>71.05</fb>
    <v>16</v>
  </rv>
  <rv s="8">
    <fb>71.22</fb>
    <v>16</v>
  </rv>
  <rv s="8">
    <fb>71.84</fb>
    <v>16</v>
  </rv>
  <rv s="8">
    <fb>71.89</fb>
    <v>16</v>
  </rv>
  <rv s="8">
    <fb>70.52</fb>
    <v>16</v>
  </rv>
  <rv s="8">
    <fb>67.91</fb>
    <v>16</v>
  </rv>
  <rv s="8">
    <fb>67.930000000000007</fb>
    <v>16</v>
  </rv>
  <rv s="8">
    <fb>68.5</fb>
    <v>16</v>
  </rv>
  <rv s="8">
    <fb>68.040000000000006</fb>
    <v>16</v>
  </rv>
  <rv s="8">
    <fb>70.33</fb>
    <v>16</v>
  </rv>
  <rv s="8">
    <fb>71</fb>
    <v>16</v>
  </rv>
  <rv s="8">
    <fb>72.78</fb>
    <v>16</v>
  </rv>
  <rv s="8">
    <fb>72.81</fb>
    <v>16</v>
  </rv>
  <rv s="8">
    <fb>73.52</fb>
    <v>16</v>
  </rv>
  <rv s="8">
    <fb>72.95</fb>
    <v>16</v>
  </rv>
  <rv s="8">
    <fb>73.66</fb>
    <v>16</v>
  </rv>
  <rv s="8">
    <fb>74.69</fb>
    <v>16</v>
  </rv>
  <rv s="8">
    <fb>76.05</fb>
    <v>16</v>
  </rv>
  <rv s="8">
    <fb>75.709999999999994</fb>
    <v>16</v>
  </rv>
  <rv s="8">
    <fb>77.16</fb>
    <v>16</v>
  </rv>
  <rv s="8">
    <fb>80.8</fb>
    <v>16</v>
  </rv>
  <rv s="8">
    <fb>80.849999999999994</fb>
    <v>16</v>
  </rv>
  <rv s="8">
    <fb>80.89</fb>
    <v>16</v>
  </rv>
  <rv s="8">
    <fb>81.98</fb>
    <v>16</v>
  </rv>
  <rv s="8">
    <fb>81.760000000000005</fb>
    <v>16</v>
  </rv>
  <rv s="8">
    <fb>80.510000000000005</fb>
    <v>16</v>
  </rv>
  <rv s="8">
    <fb>81.17</fb>
    <v>16</v>
  </rv>
  <rv s="8">
    <fb>82.35</fb>
    <v>16</v>
  </rv>
  <rv s="8">
    <fb>83.03</fb>
    <v>16</v>
  </rv>
  <rv s="8">
    <fb>82.75</fb>
    <v>16</v>
  </rv>
  <rv s="8">
    <fb>82.88</fb>
    <v>16</v>
  </rv>
  <rv s="8">
    <fb>83.06</fb>
    <v>16</v>
  </rv>
  <rv s="8">
    <fb>82.93</fb>
    <v>16</v>
  </rv>
  <rv s="8">
    <fb>82.33</fb>
    <v>16</v>
  </rv>
  <rv s="8">
    <fb>81.319999999999993</fb>
    <v>16</v>
  </rv>
  <rv s="8">
    <fb>80.98</fb>
    <v>16</v>
  </rv>
  <rv s="8">
    <fb>83.15</fb>
    <v>16</v>
  </rv>
  <rv s="8">
    <fb>82.18</fb>
    <v>16</v>
  </rv>
  <rv s="8">
    <fb>81.91</fb>
    <v>16</v>
  </rv>
  <rv s="8">
    <fb>85.13</fb>
    <v>16</v>
  </rv>
  <rv s="8">
    <fb>82.87</fb>
    <v>16</v>
  </rv>
  <rv s="8">
    <fb>82.9</fb>
    <v>16</v>
  </rv>
  <rv s="8">
    <fb>83.24</fb>
    <v>16</v>
  </rv>
  <rv s="8">
    <fb>81.23</fb>
    <v>16</v>
  </rv>
  <rv s="8">
    <fb>80.91</fb>
    <v>16</v>
  </rv>
  <rv s="8">
    <fb>80.819999999999993</fb>
    <v>16</v>
  </rv>
  <rv s="8">
    <fb>77.81</fb>
    <v>16</v>
  </rv>
  <rv s="8">
    <fb>80.930000000000007</fb>
    <v>16</v>
  </rv>
  <rv s="8">
    <fb>79.680000000000007</fb>
    <v>16</v>
  </rv>
  <rv s="8">
    <fb>79.430000000000007</fb>
    <v>16</v>
  </rv>
  <rv s="8">
    <fb>86.38</fb>
    <v>16</v>
  </rv>
  <rv s="8">
    <fb>84.9</fb>
    <v>16</v>
  </rv>
  <rv s="8">
    <fb>84</fb>
    <v>16</v>
  </rv>
  <rv s="8">
    <fb>84.27</fb>
    <v>16</v>
  </rv>
  <rv s="8">
    <fb>85.71</fb>
    <v>16</v>
  </rv>
  <rv s="8">
    <fb>86.29</fb>
    <v>16</v>
  </rv>
  <rv s="8">
    <fb>83.3</fb>
    <v>16</v>
  </rv>
  <rv s="8">
    <fb>84.24</fb>
    <v>16</v>
  </rv>
  <rv s="8">
    <fb>80.680000000000007</fb>
    <v>16</v>
  </rv>
  <rv s="8">
    <fb>80.27</fb>
    <v>16</v>
  </rv>
  <rv s="8">
    <fb>79.819999999999993</fb>
    <v>16</v>
  </rv>
  <rv s="8">
    <fb>79.930000000000007</fb>
    <v>16</v>
  </rv>
  <rv s="8">
    <fb>81.08</fb>
    <v>16</v>
  </rv>
  <rv s="8">
    <fb>81.22</fb>
    <v>16</v>
  </rv>
  <rv s="8">
    <fb>83.67</fb>
    <v>16</v>
  </rv>
  <rv s="8">
    <fb>81.47</fb>
    <v>16</v>
  </rv>
  <rv s="8">
    <fb>81.510000000000005</fb>
    <v>16</v>
  </rv>
  <rv s="8">
    <fb>79.66</fb>
    <v>16</v>
  </rv>
  <rv s="8">
    <fb>81.290000000000006</fb>
    <v>16</v>
  </rv>
  <rv s="8">
    <fb>82.43</fb>
    <v>16</v>
  </rv>
  <rv s="8">
    <fb>80.790000000000006</fb>
    <v>16</v>
  </rv>
  <rv s="8">
    <fb>78.709999999999994</fb>
    <v>16</v>
  </rv>
  <rv s="8">
    <fb>77.760000000000005</fb>
    <v>16</v>
  </rv>
  <rv s="8">
    <fb>77.27</fb>
    <v>16</v>
  </rv>
  <rv s="8">
    <fb>78.599999999999994</fb>
    <v>16</v>
  </rv>
  <rv s="8">
    <fb>76.2</fb>
    <v>16</v>
  </rv>
  <rv s="8">
    <fb>75.209999999999994</fb>
    <v>16</v>
  </rv>
  <rv s="8">
    <fb>74.930000000000007</fb>
    <v>16</v>
  </rv>
  <rv s="8">
    <fb>74.790000000000006</fb>
    <v>16</v>
  </rv>
  <rv s="8">
    <fb>73.45</fb>
    <v>16</v>
  </rv>
  <rv s="8">
    <fb>72.39</fb>
    <v>16</v>
  </rv>
  <rv s="8">
    <fb>74.040000000000006</fb>
    <v>16</v>
  </rv>
  <rv s="8">
    <fb>73.53</fb>
    <v>16</v>
  </rv>
  <rv s="8">
    <fb>73.790000000000006</fb>
    <v>16</v>
  </rv>
  <rv s="8">
    <fb>76.569999999999993</fb>
    <v>16</v>
  </rv>
  <rv s="8">
    <fb>76.61</fb>
    <v>16</v>
  </rv>
  <rv s="8">
    <fb>75.599999999999994</fb>
    <v>16</v>
  </rv>
  <rv s="8">
    <fb>72.98</fb>
    <v>16</v>
  </rv>
  <rv s="8">
    <fb>72.760000000000005</fb>
    <v>16</v>
  </rv>
  <rv s="8">
    <fb>74.5</fb>
    <v>16</v>
  </rv>
  <rv s="8">
    <fb>75.040000000000006</fb>
    <v>16</v>
  </rv>
  <rv s="8">
    <fb>8510629</fb>
    <v>17</v>
  </rv>
  <rv s="8">
    <fb>78.22</fb>
    <v>16</v>
  </rv>
  <rv s="8">
    <fb>79.334999999999994</fb>
    <v>16</v>
  </rv>
  <rv s="8">
    <fb>78.040000000000006</fb>
    <v>16</v>
  </rv>
  <rv s="8">
    <fb>8642908</fb>
    <v>17</v>
  </rv>
  <rv s="8">
    <fb>78</fb>
    <v>16</v>
  </rv>
  <rv s="8">
    <fb>75.069999999999993</fb>
    <v>16</v>
  </rv>
  <rv s="8">
    <fb>8190952</fb>
    <v>17</v>
  </rv>
  <rv s="8">
    <fb>74.739999999999995</fb>
    <v>16</v>
  </rv>
  <rv s="8">
    <fb>75.22</fb>
    <v>16</v>
  </rv>
  <rv s="8">
    <fb>73.349999999999994</fb>
    <v>16</v>
  </rv>
  <rv s="8">
    <fb>8829631</fb>
    <v>17</v>
  </rv>
  <rv s="8">
    <fb>73.400000000000006</fb>
    <v>16</v>
  </rv>
  <rv s="8">
    <fb>74.7</fb>
    <v>16</v>
  </rv>
  <rv s="8">
    <fb>71.921999999999997</fb>
    <v>16</v>
  </rv>
  <rv s="8">
    <fb>8915571</fb>
    <v>17</v>
  </rv>
  <rv s="8">
    <fb>74.84</fb>
    <v>16</v>
  </rv>
  <rv s="8">
    <fb>77.2</fb>
    <v>16</v>
  </rv>
  <rv s="8">
    <fb>5637485</fb>
    <v>17</v>
  </rv>
  <rv s="8">
    <fb>75.459999999999994</fb>
    <v>16</v>
  </rv>
  <rv s="8">
    <fb>76.58</fb>
    <v>16</v>
  </rv>
  <rv s="8">
    <fb>74.37</fb>
    <v>16</v>
  </rv>
  <rv s="8">
    <fb>7340971</fb>
    <v>17</v>
  </rv>
  <rv s="8">
    <fb>73.239999999999995</fb>
    <v>16</v>
  </rv>
  <rv s="8">
    <fb>74.02</fb>
    <v>16</v>
  </rv>
  <rv s="8">
    <fb>73.099999999999994</fb>
    <v>16</v>
  </rv>
  <rv s="8">
    <fb>7229709</fb>
    <v>17</v>
  </rv>
  <rv s="8">
    <fb>73.59</fb>
    <v>16</v>
  </rv>
  <rv s="8">
    <fb>73.94</fb>
    <v>16</v>
  </rv>
  <rv s="8">
    <fb>72.09</fb>
    <v>16</v>
  </rv>
  <rv s="8">
    <fb>7471711</fb>
    <v>17</v>
  </rv>
  <rv s="8">
    <fb>73.319999999999993</fb>
    <v>16</v>
  </rv>
  <rv s="8">
    <fb>73.849999999999994</fb>
    <v>16</v>
  </rv>
  <rv s="8">
    <fb>72.430000000000007</fb>
    <v>16</v>
  </rv>
  <rv s="8">
    <fb>4690135</fb>
    <v>17</v>
  </rv>
  <rv s="8">
    <fb>74.569999999999993</fb>
    <v>16</v>
  </rv>
  <rv s="8">
    <fb>73.545000000000002</fb>
    <v>16</v>
  </rv>
  <rv s="8">
    <fb>6000865</fb>
    <v>17</v>
  </rv>
  <rv s="8">
    <fb>74.81</fb>
    <v>16</v>
  </rv>
  <rv s="8">
    <fb>73.415000000000006</fb>
    <v>16</v>
  </rv>
  <rv s="8">
    <fb>9495200</fb>
    <v>17</v>
  </rv>
  <rv s="8">
    <fb>72.5</fb>
    <v>16</v>
  </rv>
  <rv s="8">
    <fb>74.400000000000006</fb>
    <v>16</v>
  </rv>
  <rv s="8">
    <fb>17760032</fb>
    <v>17</v>
  </rv>
  <rv s="8">
    <fb>73.900000000000006</fb>
    <v>16</v>
  </rv>
  <rv s="8">
    <fb>72.094999999999999</fb>
    <v>16</v>
  </rv>
  <rv s="8">
    <fb>7694773</fb>
    <v>17</v>
  </rv>
  <rv s="8">
    <fb>74.75</fb>
    <v>16</v>
  </rv>
  <rv s="8">
    <fb>76.849999999999994</fb>
    <v>16</v>
  </rv>
  <rv s="8">
    <fb>74.599999999999994</fb>
    <v>16</v>
  </rv>
  <rv s="8">
    <fb>7122238</fb>
    <v>17</v>
  </rv>
  <rv s="8">
    <fb>74.98</fb>
    <v>16</v>
  </rv>
  <rv s="8">
    <fb>76.87</fb>
    <v>16</v>
  </rv>
  <rv s="8">
    <fb>74.77</fb>
    <v>16</v>
  </rv>
  <rv s="8">
    <fb>7191117</fb>
    <v>17</v>
  </rv>
  <rv s="8">
    <fb>77.900000000000006</fb>
    <v>16</v>
  </rv>
  <rv s="8">
    <fb>78.290000000000006</fb>
    <v>16</v>
  </rv>
  <rv s="8">
    <fb>76.39</fb>
    <v>16</v>
  </rv>
  <rv s="8">
    <fb>8471308</fb>
    <v>17</v>
  </rv>
  <rv s="8">
    <fb>75.97</fb>
    <v>16</v>
  </rv>
  <rv s="8">
    <fb>77.17</fb>
    <v>16</v>
  </rv>
  <rv s="8">
    <fb>74.905000000000001</fb>
    <v>16</v>
  </rv>
  <rv s="8">
    <fb>7563228</fb>
    <v>17</v>
  </rv>
  <rv s="8">
    <fb>75.260000000000005</fb>
    <v>16</v>
  </rv>
  <rv s="8">
    <fb>72.680000000000007</fb>
    <v>16</v>
  </rv>
  <rv s="8">
    <fb>7192312</fb>
    <v>17</v>
  </rv>
  <rv s="8">
    <fb>73.709999999999994</fb>
    <v>16</v>
  </rv>
  <rv s="8">
    <fb>74.23</fb>
    <v>16</v>
  </rv>
  <rv s="8">
    <fb>72.42</fb>
    <v>16</v>
  </rv>
  <rv s="8">
    <fb>5778164</fb>
    <v>17</v>
  </rv>
  <rv s="8">
    <fb>74.05</fb>
    <v>16</v>
  </rv>
  <rv s="8">
    <fb>75.09</fb>
    <v>16</v>
  </rv>
  <rv s="8">
    <fb>73.405000000000001</fb>
    <v>16</v>
  </rv>
  <rv s="8">
    <fb>5147737</fb>
    <v>17</v>
  </rv>
  <rv s="8">
    <fb>75.2</fb>
    <v>16</v>
  </rv>
  <rv s="8">
    <fb>75.87</fb>
    <v>16</v>
  </rv>
  <rv s="8">
    <fb>74.715000000000003</fb>
    <v>16</v>
  </rv>
  <rv s="8">
    <fb>454.78</fb>
    <v>16</v>
  </rv>
  <rv s="8">
    <fb>432.15</fb>
    <v>16</v>
  </rv>
  <rv s="8">
    <fb>430.82</fb>
    <v>16</v>
  </rv>
  <rv s="8">
    <fb>443.36</fb>
    <v>16</v>
  </rv>
  <rv s="8">
    <fb>462.24</fb>
    <v>16</v>
  </rv>
  <rv s="8">
    <fb>463.7</fb>
    <v>16</v>
  </rv>
  <rv s="8">
    <fb>474.9</fb>
    <v>16</v>
  </rv>
  <rv s="8">
    <fb>475.34</fb>
    <v>16</v>
  </rv>
  <rv s="8">
    <fb>469.58</fb>
    <v>16</v>
  </rv>
  <rv s="8">
    <fb>477.08</fb>
    <v>16</v>
  </rv>
  <rv s="8">
    <fb>464.08</fb>
    <v>16</v>
  </rv>
  <rv s="8">
    <fb>458.33</fb>
    <v>16</v>
  </rv>
  <rv s="8">
    <fb>462.08</fb>
    <v>16</v>
  </rv>
  <rv s="8">
    <fb>463.55</fb>
    <v>16</v>
  </rv>
  <rv s="8">
    <fb>466.81</fb>
    <v>16</v>
  </rv>
  <rv s="8">
    <fb>477.64</fb>
    <v>16</v>
  </rv>
  <rv s="8">
    <fb>476.29</fb>
    <v>16</v>
  </rv>
  <rv s="8">
    <fb>475.88</fb>
    <v>16</v>
  </rv>
  <rv s="8">
    <fb>477.75</fb>
    <v>16</v>
  </rv>
  <rv s="8">
    <fb>477.72</fb>
    <v>16</v>
  </rv>
  <rv s="8">
    <fb>472.8</fb>
    <v>16</v>
  </rv>
  <rv s="8">
    <fb>471.56</fb>
    <v>16</v>
  </rv>
  <rv s="8">
    <fb>468.21</fb>
    <v>16</v>
  </rv>
  <rv s="8">
    <fb>471.32</fb>
    <v>16</v>
  </rv>
  <rv s="8">
    <fb>474.53</fb>
    <v>16</v>
  </rv>
  <rv s="8">
    <fb>473.52</fb>
    <v>16</v>
  </rv>
  <rv s="8">
    <fb>473.16</fb>
    <v>16</v>
  </rv>
  <rv s="8">
    <fb>459.83</fb>
    <v>16</v>
  </rv>
  <rv s="8">
    <fb>449.18</fb>
    <v>16</v>
  </rv>
  <rv s="8">
    <fb>465.14</fb>
    <v>16</v>
  </rv>
  <rv s="8">
    <fb>468.32</fb>
    <v>16</v>
  </rv>
  <rv s="8">
    <fb>473.06</fb>
    <v>16</v>
  </rv>
  <rv s="8">
    <fb>475.82</fb>
    <v>16</v>
  </rv>
  <rv s="8">
    <fb>470.28</fb>
    <v>16</v>
  </rv>
  <rv s="8">
    <fb>470.45</fb>
    <v>16</v>
  </rv>
  <rv s="8">
    <fb>468.88</fb>
    <v>16</v>
  </rv>
  <rv s="8">
    <fb>476.85</fb>
    <v>16</v>
  </rv>
  <rv s="8">
    <fb>469.98</fb>
    <v>16</v>
  </rv>
  <rv s="8">
    <fb>473.69</fb>
    <v>16</v>
  </rv>
  <rv s="8">
    <fb>482.38</fb>
    <v>16</v>
  </rv>
  <rv s="8">
    <fb>478.82</fb>
    <v>16</v>
  </rv>
  <rv s="8">
    <fb>480.17</fb>
    <v>16</v>
  </rv>
  <rv s="8">
    <fb>482.21</fb>
    <v>16</v>
  </rv>
  <rv s="8">
    <fb>478.03</fb>
    <v>16</v>
  </rv>
  <rv s="8">
    <fb>481.69</fb>
    <v>16</v>
  </rv>
  <rv s="8">
    <fb>480.83</fb>
    <v>16</v>
  </rv>
  <rv s="8">
    <fb>476.9</fb>
    <v>16</v>
  </rv>
  <rv s="8">
    <fb>456.6</fb>
    <v>16</v>
  </rv>
  <rv s="8">
    <fb>469.27</fb>
    <v>16</v>
  </rv>
  <rv s="8">
    <fb>486.45</fb>
    <v>16</v>
  </rv>
  <rv s="8">
    <fb>467.06</fb>
    <v>16</v>
  </rv>
  <rv s="8">
    <fb>479.34</fb>
    <v>16</v>
  </rv>
  <rv s="8">
    <fb>468.6</fb>
    <v>16</v>
  </rv>
  <rv s="8">
    <fb>470.56</fb>
    <v>16</v>
  </rv>
  <rv s="8">
    <fb>472.46</fb>
    <v>16</v>
  </rv>
  <rv s="8">
    <fb>460.2</fb>
    <v>16</v>
  </rv>
  <rv s="8">
    <fb>458.39</fb>
    <v>16</v>
  </rv>
  <rv s="8">
    <fb>457.9</fb>
    <v>16</v>
  </rv>
  <rv s="8">
    <fb>458.59</fb>
    <v>16</v>
  </rv>
  <rv s="8">
    <fb>463.14</fb>
    <v>16</v>
  </rv>
  <rv s="8">
    <fb>465.94</fb>
    <v>16</v>
  </rv>
  <rv s="8">
    <fb>462.55</fb>
    <v>16</v>
  </rv>
  <rv s="8">
    <fb>462.52</fb>
    <v>16</v>
  </rv>
  <rv s="8">
    <fb>469.06</fb>
    <v>16</v>
  </rv>
  <rv s="8">
    <fb>463.01</fb>
    <v>16</v>
  </rv>
  <rv s="8">
    <fb>463.06</fb>
    <v>16</v>
  </rv>
  <rv s="8">
    <fb>464.31</fb>
    <v>16</v>
  </rv>
  <rv s="8">
    <fb>467.51</fb>
    <v>16</v>
  </rv>
  <rv s="8">
    <fb>473.57</fb>
    <v>16</v>
  </rv>
  <rv s="8">
    <fb>470.12</fb>
    <v>16</v>
  </rv>
  <rv s="8">
    <fb>471.47</fb>
    <v>16</v>
  </rv>
  <rv s="8">
    <fb>469.2</fb>
    <v>16</v>
  </rv>
  <rv s="8">
    <fb>463.96</fb>
    <v>16</v>
  </rv>
  <rv s="8">
    <fb>460.53</fb>
    <v>16</v>
  </rv>
  <rv s="8">
    <fb>410.74</fb>
    <v>16</v>
  </rv>
  <rv s="8">
    <fb>419.39</fb>
    <v>16</v>
  </rv>
  <rv s="8">
    <fb>420.55</fb>
    <v>16</v>
  </rv>
  <rv s="8">
    <fb>421.17</fb>
    <v>16</v>
  </rv>
  <rv s="8">
    <fb>421.34</fb>
    <v>16</v>
  </rv>
  <rv s="8">
    <fb>420.13</fb>
    <v>16</v>
  </rv>
  <rv s="8">
    <fb>418.68</fb>
    <v>16</v>
  </rv>
  <rv s="8">
    <fb>420.98</fb>
    <v>16</v>
  </rv>
  <rv s="8">
    <fb>421.01</fb>
    <v>16</v>
  </rv>
  <rv s="8">
    <fb>423.7</fb>
    <v>16</v>
  </rv>
  <rv s="8">
    <fb>428.24</fb>
    <v>16</v>
  </rv>
  <rv s="8">
    <fb>434.85</fb>
    <v>16</v>
  </rv>
  <rv s="8">
    <fb>430.75</fb>
    <v>16</v>
  </rv>
  <rv s="8">
    <fb>425.63</fb>
    <v>16</v>
  </rv>
  <rv s="8">
    <fb>426.26</fb>
    <v>16</v>
  </rv>
  <rv s="8">
    <fb>431.56</fb>
    <v>16</v>
  </rv>
  <rv s="8">
    <fb>442.57</fb>
    <v>16</v>
  </rv>
  <rv s="8">
    <fb>437.32</fb>
    <v>16</v>
  </rv>
  <rv s="8">
    <fb>437.56</fb>
    <v>16</v>
  </rv>
  <rv s="8">
    <fb>440.64</fb>
    <v>16</v>
  </rv>
  <rv s="8">
    <fb>441.1</fb>
    <v>16</v>
  </rv>
  <rv s="8">
    <fb>446</fb>
    <v>16</v>
  </rv>
  <rv s="8">
    <fb>447.2</fb>
    <v>16</v>
  </rv>
  <rv s="8">
    <fb>446.2</fb>
    <v>16</v>
  </rv>
  <rv s="8">
    <fb>447.72</fb>
    <v>16</v>
  </rv>
  <rv s="8">
    <fb>455.46</fb>
    <v>16</v>
  </rv>
  <rv s="8">
    <fb>454.47</fb>
    <v>16</v>
  </rv>
  <rv s="8">
    <fb>456.18</fb>
    <v>16</v>
  </rv>
  <rv s="8">
    <fb>455.63</fb>
    <v>16</v>
  </rv>
  <rv s="8">
    <fb>452.5</fb>
    <v>16</v>
  </rv>
  <rv s="8">
    <fb>449.06</fb>
    <v>16</v>
  </rv>
  <rv s="8">
    <fb>456.85</fb>
    <v>16</v>
  </rv>
  <rv s="8">
    <fb>463.9</fb>
    <v>16</v>
  </rv>
  <rv s="8">
    <fb>459.11</fb>
    <v>16</v>
  </rv>
  <rv s="8">
    <fb>457.06</fb>
    <v>16</v>
  </rv>
  <rv s="8">
    <fb>463.87</fb>
    <v>16</v>
  </rv>
  <rv s="8">
    <fb>470.73</fb>
    <v>16</v>
  </rv>
  <rv s="8">
    <fb>471.31</fb>
    <v>16</v>
  </rv>
  <rv s="8">
    <fb>473.25</fb>
    <v>16</v>
  </rv>
  <rv s="8">
    <fb>474.32</fb>
    <v>16</v>
  </rv>
  <rv s="8">
    <fb>473.12</fb>
    <v>16</v>
  </rv>
  <rv s="8">
    <fb>473.62</fb>
    <v>16</v>
  </rv>
  <rv s="8">
    <fb>472.94</fb>
    <v>16</v>
  </rv>
  <rv s="8">
    <fb>480.39</fb>
    <v>16</v>
  </rv>
  <rv s="8">
    <fb>486.67</fb>
    <v>16</v>
  </rv>
  <rv s="8">
    <fb>486.25</fb>
    <v>16</v>
  </rv>
  <rv s="8">
    <fb>484.34</fb>
    <v>16</v>
  </rv>
  <rv s="8">
    <fb>487.44</fb>
    <v>16</v>
  </rv>
  <rv s="8">
    <fb>491.98</fb>
    <v>16</v>
  </rv>
  <rv s="8">
    <fb>499.21</fb>
    <v>16</v>
  </rv>
  <rv s="8">
    <fb>499</fb>
    <v>16</v>
  </rv>
  <rv s="8">
    <fb>499.36</fb>
    <v>16</v>
  </rv>
  <rv s="8">
    <fb>504.49</fb>
    <v>16</v>
  </rv>
  <rv s="8">
    <fb>514.24</fb>
    <v>16</v>
  </rv>
  <rv s="8">
    <fb>511.07</fb>
    <v>16</v>
  </rv>
  <rv s="8">
    <fb>514.02</fb>
    <v>16</v>
  </rv>
  <rv s="8">
    <fb>507.76</fb>
    <v>16</v>
  </rv>
  <rv s="8">
    <fb>505.05</fb>
    <v>16</v>
  </rv>
  <rv s="8">
    <fb>503.83</fb>
    <v>16</v>
  </rv>
  <rv s="8">
    <fb>505.18</fb>
    <v>16</v>
  </rv>
  <rv s="8">
    <fb>499.41</fb>
    <v>16</v>
  </rv>
  <rv s="8">
    <fb>493.25</fb>
    <v>16</v>
  </rv>
  <rv s="8">
    <fb>495.15</fb>
    <v>16</v>
  </rv>
  <rv s="8">
    <fb>505.9</fb>
    <v>16</v>
  </rv>
  <rv s="8">
    <fb>489.5</fb>
    <v>16</v>
  </rv>
  <rv s="8">
    <fb>487.14</fb>
    <v>16</v>
  </rv>
  <rv s="8">
    <fb>488.05</fb>
    <v>16</v>
  </rv>
  <rv s="8">
    <fb>485.41</fb>
    <v>16</v>
  </rv>
  <rv s="8">
    <fb>486.91</fb>
    <v>16</v>
  </rv>
  <rv s="8">
    <fb>485.77</fb>
    <v>16</v>
  </rv>
  <rv s="8">
    <fb>485.33</fb>
    <v>16</v>
  </rv>
  <rv s="8">
    <fb>489.72</fb>
    <v>16</v>
  </rv>
  <rv s="8">
    <fb>491.88</fb>
    <v>16</v>
  </rv>
  <rv s="8">
    <fb>487.94</fb>
    <v>16</v>
  </rv>
  <rv s="8">
    <fb>484.98</fb>
    <v>16</v>
  </rv>
  <rv s="8">
    <fb>473.14</fb>
    <v>16</v>
  </rv>
  <rv s="8">
    <fb>468.92</fb>
    <v>16</v>
  </rv>
  <rv s="8">
    <fb>458.35</fb>
    <v>16</v>
  </rv>
  <rv s="8">
    <fb>452.1</fb>
    <v>16</v>
  </rv>
  <rv s="8">
    <fb>457.07</fb>
    <v>16</v>
  </rv>
  <rv s="8">
    <fb>457.04</fb>
    <v>16</v>
  </rv>
  <rv s="8">
    <fb>455.85</fb>
    <v>16</v>
  </rv>
  <rv s="8">
    <fb>465.77</fb>
    <v>16</v>
  </rv>
  <rv s="8">
    <fb>470.78</fb>
    <v>16</v>
  </rv>
  <rv s="8">
    <fb>474.72</fb>
    <v>16</v>
  </rv>
  <rv s="8">
    <fb>469.91</fb>
    <v>16</v>
  </rv>
  <rv s="8">
    <fb>468.26</fb>
    <v>16</v>
  </rv>
  <rv s="8">
    <fb>460.78</fb>
    <v>16</v>
  </rv>
  <rv s="8">
    <fb>451.06</fb>
    <v>16</v>
  </rv>
  <rv s="8">
    <fb>452.41</fb>
    <v>16</v>
  </rv>
  <rv s="8">
    <fb>454.16</fb>
    <v>16</v>
  </rv>
  <rv s="8">
    <fb>457.86</fb>
    <v>16</v>
  </rv>
  <rv s="8">
    <fb>439.19</fb>
    <v>16</v>
  </rv>
  <rv s="8">
    <fb>441.82</fb>
    <v>16</v>
  </rv>
  <rv s="8">
    <fb>446.8</fb>
    <v>16</v>
  </rv>
  <rv s="8">
    <fb>448.35</fb>
    <v>16</v>
  </rv>
  <rv s="8">
    <fb>452.2</fb>
    <v>16</v>
  </rv>
  <rv s="8">
    <fb>465.38</fb>
    <v>16</v>
  </rv>
  <rv s="8">
    <fb>466.89</fb>
    <v>16</v>
  </rv>
  <rv s="8">
    <fb>467.94</fb>
    <v>16</v>
  </rv>
  <rv s="8">
    <fb>474.88</fb>
    <v>16</v>
  </rv>
  <rv s="8">
    <fb>480.25</fb>
    <v>16</v>
  </rv>
  <rv s="8">
    <fb>484.42</fb>
    <v>16</v>
  </rv>
  <rv s="8">
    <fb>477.06</fb>
    <v>16</v>
  </rv>
  <rv s="8">
    <fb>474.79</fb>
    <v>16</v>
  </rv>
  <rv s="8">
    <fb>470.14</fb>
    <v>16</v>
  </rv>
  <rv s="8">
    <fb>474.13</fb>
    <v>16</v>
  </rv>
  <rv s="8">
    <fb>483.57</fb>
    <v>16</v>
  </rv>
  <rv s="8">
    <fb>482.55</fb>
    <v>16</v>
  </rv>
  <rv s="8">
    <fb>485.75</fb>
    <v>16</v>
  </rv>
  <rv s="8">
    <fb>483.03</fb>
    <v>16</v>
  </rv>
  <rv s="8">
    <fb>488.87</fb>
    <v>16</v>
  </rv>
  <rv s="8">
    <fb>488</fb>
    <v>16</v>
  </rv>
  <rv s="8">
    <fb>483.67</fb>
    <v>16</v>
  </rv>
  <rv s="8">
    <fb>497.07</fb>
    <v>16</v>
  </rv>
  <rv s="8">
    <fb>511.57</fb>
    <v>16</v>
  </rv>
  <rv s="8">
    <fb>522.04</fb>
    <v>16</v>
  </rv>
  <rv s="8">
    <fb>496.87</fb>
    <v>16</v>
  </rv>
  <rv s="8">
    <fb>518.44000000000005</fb>
    <v>16</v>
  </rv>
  <rv s="8">
    <fb>542.91999999999996</fb>
    <v>16</v>
  </rv>
  <rv s="8">
    <fb>551.24</fb>
    <v>16</v>
  </rv>
  <rv s="8">
    <fb>558.29999999999995</fb>
    <v>16</v>
  </rv>
  <rv s="8">
    <fb>572.70000000000005</fb>
    <v>16</v>
  </rv>
  <rv s="8">
    <fb>577.89</fb>
    <v>16</v>
  </rv>
  <rv s="8">
    <fb>582.42999999999995</fb>
    <v>16</v>
  </rv>
  <rv s="8">
    <fb>576.05999999999995</fb>
    <v>16</v>
  </rv>
  <rv s="8">
    <fb>586.23</fb>
    <v>16</v>
  </rv>
  <rv s="8">
    <fb>593.91</fb>
    <v>16</v>
  </rv>
  <rv s="8">
    <fb>590.82000000000005</fb>
    <v>16</v>
  </rv>
  <rv s="8">
    <fb>581.66</fb>
    <v>16</v>
  </rv>
  <rv s="8">
    <fb>594.95000000000005</fb>
    <v>16</v>
  </rv>
  <rv s="8">
    <fb>597.27</fb>
    <v>16</v>
  </rv>
  <rv s="8">
    <fb>622.51</fb>
    <v>16</v>
  </rv>
  <rv s="8">
    <fb>634.22</fb>
    <v>16</v>
  </rv>
  <rv s="8">
    <fb>636</fb>
    <v>16</v>
  </rv>
  <rv s="8">
    <fb>628.26</fb>
    <v>16</v>
  </rv>
  <rv s="8">
    <fb>602.76</fb>
    <v>16</v>
  </rv>
  <rv s="8">
    <fb>609.17999999999995</fb>
    <v>16</v>
  </rv>
  <rv s="8">
    <fb>623.58000000000004</fb>
    <v>16</v>
  </rv>
  <rv s="8">
    <fb>638.29</fb>
    <v>16</v>
  </rv>
  <rv s="8">
    <fb>629.55999999999995</fb>
    <v>16</v>
  </rv>
  <rv s="8">
    <fb>628.70000000000005</fb>
    <v>16</v>
  </rv>
  <rv s="8">
    <fb>637.42999999999995</fb>
    <v>16</v>
  </rv>
  <rv s="8">
    <fb>652.58000000000004</fb>
    <v>16</v>
  </rv>
  <rv s="8">
    <fb>649.58000000000004</fb>
    <v>16</v>
  </rv>
  <rv s="8">
    <fb>666.51</fb>
    <v>16</v>
  </rv>
  <rv s="8">
    <fb>658.26</fb>
    <v>16</v>
  </rv>
  <rv s="8">
    <fb>664.43</fb>
    <v>16</v>
  </rv>
  <rv s="8">
    <fb>647.5</fb>
    <v>16</v>
  </rv>
  <rv s="8">
    <fb>641.63</fb>
    <v>16</v>
  </rv>
  <rv s="8">
    <fb>658.08</fb>
    <v>16</v>
  </rv>
  <rv s="8">
    <fb>676.7</fb>
    <v>16</v>
  </rv>
  <rv s="8">
    <fb>667.82</fb>
    <v>16</v>
  </rv>
  <rv s="8">
    <fb>664.48</fb>
    <v>16</v>
  </rv>
  <rv s="8">
    <fb>655</fb>
    <v>16</v>
  </rv>
  <rv s="8">
    <fb>671.77</fb>
    <v>16</v>
  </rv>
  <rv s="8">
    <fb>664.15</fb>
    <v>16</v>
  </rv>
  <rv s="8">
    <fb>651.22</fb>
    <v>16</v>
  </rv>
  <rv s="8">
    <fb>649.47</fb>
    <v>16</v>
  </rv>
  <rv s="8">
    <fb>652.83000000000004</fb>
    <v>16</v>
  </rv>
  <rv s="8">
    <fb>646</fb>
    <v>16</v>
  </rv>
  <rv s="8">
    <fb>645.20000000000005</fb>
    <v>16</v>
  </rv>
  <rv s="8">
    <fb>636.33000000000004</fb>
    <v>16</v>
  </rv>
  <rv s="8">
    <fb>642.28</fb>
    <v>16</v>
  </rv>
  <rv s="8">
    <fb>637.51</fb>
    <v>16</v>
  </rv>
  <rv s="8">
    <fb>627.42999999999995</fb>
    <v>16</v>
  </rv>
  <rv s="8">
    <fb>616.25</fb>
    <v>16</v>
  </rv>
  <rv s="8">
    <fb>610.16999999999996</fb>
    <v>16</v>
  </rv>
  <rv s="8">
    <fb>624.20000000000005</fb>
    <v>16</v>
  </rv>
  <rv s="8">
    <fb>627.33000000000004</fb>
    <v>16</v>
  </rv>
  <rv s="8">
    <fb>615.84</fb>
    <v>16</v>
  </rv>
  <rv s="8">
    <fb>598.57000000000005</fb>
    <v>16</v>
  </rv>
  <rv s="8">
    <fb>604.39</fb>
    <v>16</v>
  </rv>
  <rv s="8">
    <fb>617.64</fb>
    <v>16</v>
  </rv>
  <rv s="8">
    <fb>1650894</fb>
    <v>17</v>
  </rv>
  <rv s="8">
    <fb>670</fb>
    <v>16</v>
  </rv>
  <rv s="8">
    <fb>671</fb>
    <v>16</v>
  </rv>
  <rv s="8">
    <fb>652.54</fb>
    <v>16</v>
  </rv>
  <rv s="8">
    <fb>1721536</fb>
    <v>17</v>
  </rv>
  <rv s="8">
    <fb>662.1</fb>
    <v>16</v>
  </rv>
  <rv s="8">
    <fb>663</fb>
    <v>16</v>
  </rv>
  <rv s="8">
    <fb>647.22879999999998</fb>
    <v>16</v>
  </rv>
  <rv s="8">
    <fb>1895091</fb>
    <v>17</v>
  </rv>
  <rv s="8">
    <fb>661.65</fb>
    <v>16</v>
  </rv>
  <rv s="8">
    <fb>672.86</fb>
    <v>16</v>
  </rv>
  <rv s="8">
    <fb>656.4</fb>
    <v>16</v>
  </rv>
  <rv s="8">
    <fb>2369743</fb>
    <v>17</v>
  </rv>
  <rv s="8">
    <fb>675.58</fb>
    <v>16</v>
  </rv>
  <rv s="8">
    <fb>676.07500000000005</fb>
    <v>16</v>
  </rv>
  <rv s="8">
    <fb>657.34500000000003</fb>
    <v>16</v>
  </rv>
  <rv s="8">
    <fb>1653018</fb>
    <v>17</v>
  </rv>
  <rv s="8">
    <fb>657.95</fb>
    <v>16</v>
  </rv>
  <rv s="8">
    <fb>659.89</fb>
    <v>16</v>
  </rv>
  <rv s="8">
    <fb>646.20000000000005</fb>
    <v>16</v>
  </rv>
  <rv s="8">
    <fb>1365219</fb>
    <v>17</v>
  </rv>
  <rv s="8">
    <fb>645.32000000000005</fb>
    <v>16</v>
  </rv>
  <rv s="8">
    <fb>656.99990000000003</fb>
    <v>16</v>
  </rv>
  <rv s="8">
    <fb>644.13</fb>
    <v>16</v>
  </rv>
  <rv s="8">
    <fb>1411169</fb>
    <v>17</v>
  </rv>
  <rv s="8">
    <fb>651.95000000000005</fb>
    <v>16</v>
  </rv>
  <rv s="8">
    <fb>661</fb>
    <v>16</v>
  </rv>
  <rv s="8">
    <fb>646.63</fb>
    <v>16</v>
  </rv>
  <rv s="8">
    <fb>1071344</fb>
    <v>17</v>
  </rv>
  <rv s="8">
    <fb>652.66999999999996</fb>
    <v>16</v>
  </rv>
  <rv s="8">
    <fb>660</fb>
    <v>16</v>
  </rv>
  <rv s="8">
    <fb>640.5</fb>
    <v>16</v>
  </rv>
  <rv s="8">
    <fb>1180980</fb>
    <v>17</v>
  </rv>
  <rv s="8">
    <fb>645.22500000000002</fb>
    <v>16</v>
  </rv>
  <rv s="8">
    <fb>651.54999999999995</fb>
    <v>16</v>
  </rv>
  <rv s="8">
    <fb>639</fb>
    <v>16</v>
  </rv>
  <rv s="8">
    <fb>1389066</fb>
    <v>17</v>
  </rv>
  <rv s="8">
    <fb>644.96</fb>
    <v>16</v>
  </rv>
  <rv s="8">
    <fb>645</fb>
    <v>16</v>
  </rv>
  <rv s="8">
    <fb>632.78899999999999</fb>
    <v>16</v>
  </rv>
  <rv s="8">
    <fb>1026183</fb>
    <v>17</v>
  </rv>
  <rv s="8">
    <fb>641.11</fb>
    <v>16</v>
  </rv>
  <rv s="8">
    <fb>645.85</fb>
    <v>16</v>
  </rv>
  <rv s="8">
    <fb>636.45000000000005</fb>
    <v>16</v>
  </rv>
  <rv s="8">
    <fb>1540841</fb>
    <v>17</v>
  </rv>
  <rv s="8">
    <fb>639.05999999999995</fb>
    <v>16</v>
  </rv>
  <rv s="8">
    <fb>640</fb>
    <v>16</v>
  </rv>
  <rv s="8">
    <fb>623.75</fb>
    <v>16</v>
  </rv>
  <rv s="8">
    <fb>6511253</fb>
    <v>17</v>
  </rv>
  <rv s="8">
    <fb>635.86</fb>
    <v>16</v>
  </rv>
  <rv s="8">
    <fb>638.50990000000002</fb>
    <v>16</v>
  </rv>
  <rv s="8">
    <fb>622.37</fb>
    <v>16</v>
  </rv>
  <rv s="8">
    <fb>1386641</fb>
    <v>17</v>
  </rv>
  <rv s="8">
    <fb>629.07000000000005</fb>
    <v>16</v>
  </rv>
  <rv s="8">
    <fb>629.65790000000004</fb>
    <v>16</v>
  </rv>
  <rv s="8">
    <fb>610.63</fb>
    <v>16</v>
  </rv>
  <rv s="8">
    <fb>1078188</fb>
    <v>17</v>
  </rv>
  <rv s="8">
    <fb>612.95000000000005</fb>
    <v>16</v>
  </rv>
  <rv s="8">
    <fb>615.29999999999995</fb>
    <v>16</v>
  </rv>
  <rv s="8">
    <fb>605.00009999999997</fb>
    <v>16</v>
  </rv>
  <rv s="8">
    <fb>1190275</fb>
    <v>17</v>
  </rv>
  <rv s="8">
    <fb>612.5</fb>
    <v>16</v>
  </rv>
  <rv s="8">
    <fb>626.92999999999995</fb>
    <v>16</v>
  </rv>
  <rv s="8">
    <fb>612.41999999999996</fb>
    <v>16</v>
  </rv>
  <rv s="8">
    <fb>1262434</fb>
    <v>17</v>
  </rv>
  <rv s="8">
    <fb>619.79999999999995</fb>
    <v>16</v>
  </rv>
  <rv s="8">
    <fb>632.91999999999996</fb>
    <v>16</v>
  </rv>
  <rv s="8">
    <fb>1061125</fb>
    <v>17</v>
  </rv>
  <rv s="8">
    <fb>625.70000000000005</fb>
    <v>16</v>
  </rv>
  <rv s="8">
    <fb>631.44500000000005</fb>
    <v>16</v>
  </rv>
  <rv s="8">
    <fb>613.65509999999995</fb>
    <v>16</v>
  </rv>
  <rv s="8">
    <fb>1849318</fb>
    <v>17</v>
  </rv>
  <rv s="8">
    <fb>621.03</fb>
    <v>16</v>
  </rv>
  <rv s="8">
    <fb>623.32000000000005</fb>
    <v>16</v>
  </rv>
  <rv s="8">
    <fb>593.88</fb>
    <v>16</v>
  </rv>
  <rv s="8">
    <fb>1327800</fb>
    <v>17</v>
  </rv>
  <rv s="8">
    <fb>604.5</fb>
    <v>16</v>
  </rv>
  <rv s="8">
    <fb>610</fb>
    <v>16</v>
  </rv>
  <rv s="8">
    <fb>598.70000000000005</fb>
    <v>16</v>
  </rv>
  <rv s="8">
    <fb>1118050</fb>
    <v>17</v>
  </rv>
  <rv s="8">
    <fb>608.82000000000005</fb>
    <v>16</v>
  </rv>
  <rv s="8">
    <fb>619.1</fb>
    <v>16</v>
  </rv>
  <rv s="8">
    <fb>606.11</fb>
    <v>16</v>
  </rv>
  <rv s="8">
    <fb>373.11</fb>
    <v>16</v>
  </rv>
  <rv s="8">
    <fb>359.84</fb>
    <v>16</v>
  </rv>
  <rv s="8">
    <fb>357.86</fb>
    <v>16</v>
  </rv>
  <rv s="8">
    <fb>354.56</fb>
    <v>16</v>
  </rv>
  <rv s="8">
    <fb>390.49</fb>
    <v>16</v>
  </rv>
  <rv s="8">
    <fb>381.35</fb>
    <v>16</v>
  </rv>
  <rv s="8">
    <fb>388.45</fb>
    <v>16</v>
  </rv>
  <rv s="8">
    <fb>387.81</fb>
    <v>16</v>
  </rv>
  <rv s="8">
    <fb>385.73</fb>
    <v>16</v>
  </rv>
  <rv s="8">
    <fb>371.61</fb>
    <v>16</v>
  </rv>
  <rv s="8">
    <fb>367.78</fb>
    <v>16</v>
  </rv>
  <rv s="8">
    <fb>359.12</fb>
    <v>16</v>
  </rv>
  <rv s="8">
    <fb>366.82</fb>
    <v>16</v>
  </rv>
  <rv s="8">
    <fb>374.39</fb>
    <v>16</v>
  </rv>
  <rv s="8">
    <fb>387.3</fb>
    <v>16</v>
  </rv>
  <rv s="8">
    <fb>391.85</fb>
    <v>16</v>
  </rv>
  <rv s="8">
    <fb>391.16</fb>
    <v>16</v>
  </rv>
  <rv s="8">
    <fb>394.04</fb>
    <v>16</v>
  </rv>
  <rv s="8">
    <fb>395.26</fb>
    <v>16</v>
  </rv>
  <rv s="8">
    <fb>425.4</fb>
    <v>16</v>
  </rv>
  <rv s="8">
    <fb>435.28</fb>
    <v>16</v>
  </rv>
  <rv s="8">
    <fb>436.17</fb>
    <v>16</v>
  </rv>
  <rv s="8">
    <fb>433.31</fb>
    <v>16</v>
  </rv>
  <rv s="8">
    <fb>433.35</fb>
    <v>16</v>
  </rv>
  <rv s="8">
    <fb>438.17</fb>
    <v>16</v>
  </rv>
  <rv s="8">
    <fb>438.73</fb>
    <v>16</v>
  </rv>
  <rv s="8">
    <fb>449.26</fb>
    <v>16</v>
  </rv>
  <rv s="8">
    <fb>449.14</fb>
    <v>16</v>
  </rv>
  <rv s="8">
    <fb>452.94</fb>
    <v>16</v>
  </rv>
  <rv s="8">
    <fb>453.13</fb>
    <v>16</v>
  </rv>
  <rv s="8">
    <fb>454.27</fb>
    <v>16</v>
  </rv>
  <rv s="8">
    <fb>458.87</fb>
    <v>16</v>
  </rv>
  <rv s="8">
    <fb>458.17</fb>
    <v>16</v>
  </rv>
  <rv s="8">
    <fb>452.57</fb>
    <v>16</v>
  </rv>
  <rv s="8">
    <fb>454.86</fb>
    <v>16</v>
  </rv>
  <rv s="8">
    <fb>450.18</fb>
    <v>16</v>
  </rv>
  <rv s="8">
    <fb>460.69</fb>
    <v>16</v>
  </rv>
  <rv s="8">
    <fb>457.36</fb>
    <v>16</v>
  </rv>
  <rv s="8">
    <fb>458.68</fb>
    <v>16</v>
  </rv>
  <rv s="8">
    <fb>460.36</fb>
    <v>16</v>
  </rv>
  <rv s="8">
    <fb>461.97</fb>
    <v>16</v>
  </rv>
  <rv s="8">
    <fb>462.97</fb>
    <v>16</v>
  </rv>
  <rv s="8">
    <fb>467.68</fb>
    <v>16</v>
  </rv>
  <rv s="8">
    <fb>470.38</fb>
    <v>16</v>
  </rv>
  <rv s="8">
    <fb>472.75</fb>
    <v>16</v>
  </rv>
  <rv s="8">
    <fb>470.92</fb>
    <v>16</v>
  </rv>
  <rv s="8">
    <fb>472.62</fb>
    <v>16</v>
  </rv>
  <rv s="8">
    <fb>478.87</fb>
    <v>16</v>
  </rv>
  <rv s="8">
    <fb>474.96</fb>
    <v>16</v>
  </rv>
  <rv s="8">
    <fb>479.14</fb>
    <v>16</v>
  </rv>
  <rv s="8">
    <fb>478.04</fb>
    <v>16</v>
  </rv>
  <rv s="8">
    <fb>480.24</fb>
    <v>16</v>
  </rv>
  <rv s="8">
    <fb>477.4</fb>
    <v>16</v>
  </rv>
  <rv s="8">
    <fb>486</fb>
    <v>16</v>
  </rv>
  <rv s="8">
    <fb>490.11</fb>
    <v>16</v>
  </rv>
  <rv s="8">
    <fb>492.27</fb>
    <v>16</v>
  </rv>
  <rv s="8">
    <fb>497.45</fb>
    <v>16</v>
  </rv>
  <rv s="8">
    <fb>495.94</fb>
    <v>16</v>
  </rv>
  <rv s="8">
    <fb>497.41</fb>
    <v>16</v>
  </rv>
  <rv s="8">
    <fb>492.05</fb>
    <v>16</v>
  </rv>
  <rv s="8">
    <fb>491.09</fb>
    <v>16</v>
  </rv>
  <rv s="8">
    <fb>498.84</fb>
    <v>16</v>
  </rv>
  <rv s="8">
    <fb>497.72</fb>
    <v>16</v>
  </rv>
  <rv s="8">
    <fb>496.62</fb>
    <v>16</v>
  </rv>
  <rv s="8">
    <fb>503.51</fb>
    <v>16</v>
  </rv>
  <rv s="8">
    <fb>503.32</fb>
    <v>16</v>
  </rv>
  <rv s="8">
    <fb>503.02</fb>
    <v>16</v>
  </rv>
  <rv s="8">
    <fb>505.82</fb>
    <v>16</v>
  </rv>
  <rv s="8">
    <fb>505.62</fb>
    <v>16</v>
  </rv>
  <rv s="8">
    <fb>511.7</fb>
    <v>16</v>
  </rv>
  <rv s="8">
    <fb>510.05</fb>
    <v>16</v>
  </rv>
  <rv s="8">
    <fb>510.06</fb>
    <v>16</v>
  </rv>
  <rv s="8">
    <fb>505.27</fb>
    <v>16</v>
  </rv>
  <rv s="8">
    <fb>505.87</fb>
    <v>16</v>
  </rv>
  <rv s="8">
    <fb>510.88</fb>
    <v>16</v>
  </rv>
  <rv s="8">
    <fb>513.71</fb>
    <v>16</v>
  </rv>
  <rv s="8">
    <fb>512.5</fb>
    <v>16</v>
  </rv>
  <rv s="8">
    <fb>512.57000000000005</fb>
    <v>16</v>
  </rv>
  <rv s="8">
    <fb>513.24</fb>
    <v>16</v>
  </rv>
  <rv s="8">
    <fb>533.5</fb>
    <v>16</v>
  </rv>
  <rv s="8">
    <fb>524.11</fb>
    <v>16</v>
  </rv>
  <rv s="8">
    <fb>535.64</fb>
    <v>16</v>
  </rv>
  <rv s="8">
    <fb>527.75</fb>
    <v>16</v>
  </rv>
  <rv s="8">
    <fb>524.94000000000005</fb>
    <v>16</v>
  </rv>
  <rv s="8">
    <fb>520.84</fb>
    <v>16</v>
  </rv>
  <rv s="8">
    <fb>521.77</fb>
    <v>16</v>
  </rv>
  <rv s="8">
    <fb>529.24</fb>
    <v>16</v>
  </rv>
  <rv s="8">
    <fb>520.58000000000004</fb>
    <v>16</v>
  </rv>
  <rv s="8">
    <fb>522.48</fb>
    <v>16</v>
  </rv>
  <rv s="8">
    <fb>520.16999999999996</fb>
    <v>16</v>
  </rv>
  <rv s="8">
    <fb>517.1</fb>
    <v>16</v>
  </rv>
  <rv s="8">
    <fb>509.77</fb>
    <v>16</v>
  </rv>
  <rv s="8">
    <fb>505.72</fb>
    <v>16</v>
  </rv>
  <rv s="8">
    <fb>504.24</fb>
    <v>16</v>
  </rv>
  <rv s="8">
    <fb>507.23</fb>
    <v>16</v>
  </rv>
  <rv s="8">
    <fb>504.26</fb>
    <v>16</v>
  </rv>
  <rv s="8">
    <fb>502.04</fb>
    <v>16</v>
  </rv>
  <rv s="8">
    <fb>506.74</fb>
    <v>16</v>
  </rv>
  <rv s="8">
    <fb>509.64</fb>
    <v>16</v>
  </rv>
  <rv s="8">
    <fb>506.69</fb>
    <v>16</v>
  </rv>
  <rv s="8">
    <fb>505.12</fb>
    <v>16</v>
  </rv>
  <rv s="8">
    <fb>505.35</fb>
    <v>16</v>
  </rv>
  <rv s="8">
    <fb>507.97</fb>
    <v>16</v>
  </rv>
  <rv s="8">
    <fb>495</fb>
    <v>16</v>
  </rv>
  <rv s="8">
    <fb>498.2</fb>
    <v>16</v>
  </rv>
  <rv s="8">
    <fb>498.41</fb>
    <v>16</v>
  </rv>
  <rv s="8">
    <fb>500.37</fb>
    <v>16</v>
  </rv>
  <rv s="8">
    <fb>501.01</fb>
    <v>16</v>
  </rv>
  <rv s="8">
    <fb>509.9</fb>
    <v>16</v>
  </rv>
  <rv s="8">
    <fb>515.36</fb>
    <v>16</v>
  </rv>
  <rv s="8">
    <fb>509.04</fb>
    <v>16</v>
  </rv>
  <rv s="8">
    <fb>510.02</fb>
    <v>16</v>
  </rv>
  <rv s="8">
    <fb>508.45</fb>
    <v>16</v>
  </rv>
  <rv s="8">
    <fb>517.92999999999995</fb>
    <v>16</v>
  </rv>
  <rv s="8">
    <fb>514.45000000000005</fb>
    <v>16</v>
  </rv>
  <rv s="8">
    <fb>509.23</fb>
    <v>16</v>
  </rv>
  <rv s="8">
    <fb>510.15</fb>
    <v>16</v>
  </rv>
  <rv s="8">
    <fb>507.03</fb>
    <v>16</v>
  </rv>
  <rv s="8">
    <fb>511.46</fb>
    <v>16</v>
  </rv>
  <rv s="8">
    <fb>514.6</fb>
    <v>16</v>
  </rv>
  <rv s="8">
    <fb>517.95000000000005</fb>
    <v>16</v>
  </rv>
  <rv s="8">
    <fb>519.71</fb>
    <v>16</v>
  </rv>
  <rv s="8">
    <fb>515.74</fb>
    <v>16</v>
  </rv>
  <rv s="8">
    <fb>517.35</fb>
    <v>16</v>
  </rv>
  <rv s="8">
    <fb>528.57000000000005</fb>
    <v>16</v>
  </rv>
  <rv s="8">
    <fb>523.98</fb>
    <v>16</v>
  </rv>
  <rv s="8">
    <fb>524.85</fb>
    <v>16</v>
  </rv>
  <rv s="8">
    <fb>522.4</fb>
    <v>16</v>
  </rv>
  <rv s="8">
    <fb>510.96</fb>
    <v>16</v>
  </rv>
  <rv s="8">
    <fb>514.04999999999995</fb>
    <v>16</v>
  </rv>
  <rv s="8">
    <fb>513.57000000000005</fb>
    <v>16</v>
  </rv>
  <rv s="8">
    <fb>513.42999999999995</fb>
    <v>16</v>
  </rv>
  <rv s="8">
    <fb>511.61</fb>
    <v>16</v>
  </rv>
  <rv s="8">
    <fb>513.58000000000004</fb>
    <v>16</v>
  </rv>
  <rv s="8">
    <fb>516.79</fb>
    <v>16</v>
  </rv>
  <rv s="8">
    <fb>517.66</fb>
    <v>16</v>
  </rv>
  <rv s="8">
    <fb>520.54</fb>
    <v>16</v>
  </rv>
  <rv s="8">
    <fb>520.55999999999995</fb>
    <v>16</v>
  </rv>
  <rv s="8">
    <fb>523.61</fb>
    <v>16</v>
  </rv>
  <rv s="8">
    <fb>531.52</fb>
    <v>16</v>
  </rv>
  <rv s="8">
    <fb>542.07000000000005</fb>
    <v>16</v>
  </rv>
  <rv s="8">
    <fb>541.54999999999995</fb>
    <v>16</v>
  </rv>
  <rv s="8">
    <fb>525.76</fb>
    <v>16</v>
  </rv>
  <rv s="8">
    <fb>517.80999999999995</fb>
    <v>16</v>
  </rv>
  <rv s="8">
    <fb>517.03</fb>
    <v>16</v>
  </rv>
  <rv s="8">
    <fb>514.33000000000004</fb>
    <v>16</v>
  </rv>
  <rv s="8">
    <fb>507.16</fb>
    <v>16</v>
  </rv>
  <rv s="8">
    <fb>497.1</fb>
    <v>16</v>
  </rv>
  <rv s="8">
    <fb>496.82</fb>
    <v>16</v>
  </rv>
  <rv s="8">
    <fb>506</fb>
    <v>16</v>
  </rv>
  <rv s="8">
    <fb>508.68</fb>
    <v>16</v>
  </rv>
  <rv s="8">
    <fb>511.14</fb>
    <v>16</v>
  </rv>
  <rv s="8">
    <fb>503.29</fb>
    <v>16</v>
  </rv>
  <rv s="8">
    <fb>510.18</fb>
    <v>16</v>
  </rv>
  <rv s="8">
    <fb>507.49</fb>
    <v>16</v>
  </rv>
  <rv s="8">
    <fb>493.79</fb>
    <v>16</v>
  </rv>
  <rv s="8">
    <fb>487.12</fb>
    <v>16</v>
  </rv>
  <rv s="8">
    <fb>478.43</fb>
    <v>16</v>
  </rv>
  <rv s="8">
    <fb>472.12</fb>
    <v>16</v>
  </rv>
  <rv s="8">
    <fb>474</fb>
    <v>16</v>
  </rv>
  <rv s="8">
    <fb>476.99</fb>
    <v>16</v>
  </rv>
  <rv s="8">
    <fb>485.5</fb>
    <v>16</v>
  </rv>
  <rv s="8">
    <fb>492.01</fb>
    <v>16</v>
  </rv>
  <rv s="8">
    <fb>486.74</fb>
    <v>16</v>
  </rv>
  <rv s="8">
    <fb>490</fb>
    <v>16</v>
  </rv>
  <rv s="8">
    <fb>477.73</fb>
    <v>16</v>
  </rv>
  <rv s="8">
    <fb>480.84</fb>
    <v>16</v>
  </rv>
  <rv s="8">
    <fb>483.16</fb>
    <v>16</v>
  </rv>
  <rv s="8">
    <fb>491.02</fb>
    <v>16</v>
  </rv>
  <rv s="8">
    <fb>492.02</fb>
    <v>16</v>
  </rv>
  <rv s="8">
    <fb>478.56</fb>
    <v>16</v>
  </rv>
  <rv s="8">
    <fb>483.47</fb>
    <v>16</v>
  </rv>
  <rv s="8">
    <fb>478.53</fb>
    <v>16</v>
  </rv>
  <rv s="8">
    <fb>474.82</fb>
    <v>16</v>
  </rv>
  <rv s="8">
    <fb>476.39</fb>
    <v>16</v>
  </rv>
  <rv s="8">
    <fb>476.12</fb>
    <v>16</v>
  </rv>
  <rv s="8">
    <fb>483.98</fb>
    <v>16</v>
  </rv>
  <rv s="8">
    <fb>485.92</fb>
    <v>16</v>
  </rv>
  <rv s="8">
    <fb>484.92</fb>
    <v>16</v>
  </rv>
  <rv s="8">
    <fb>486.85</fb>
    <v>16</v>
  </rv>
  <rv s="8">
    <fb>488.02</fb>
    <v>16</v>
  </rv>
  <rv s="8">
    <fb>487.71</fb>
    <v>16</v>
  </rv>
  <rv s="8">
    <fb>487.1</fb>
    <v>16</v>
  </rv>
  <rv s="8">
    <fb>487.48</fb>
    <v>16</v>
  </rv>
  <rv s="8">
    <fb>483.62</fb>
    <v>16</v>
  </rv>
  <rv s="8">
    <fb>472.85</fb>
    <v>16</v>
  </rv>
  <rv s="8">
    <fb>478.51</fb>
    <v>16</v>
  </rv>
  <rv s="8">
    <fb>478.11</fb>
    <v>16</v>
  </rv>
  <rv s="8">
    <fb>479.28</fb>
    <v>16</v>
  </rv>
  <rv s="8">
    <fb>477.18</fb>
    <v>16</v>
  </rv>
  <rv s="8">
    <fb>470.67</fb>
    <v>16</v>
  </rv>
  <rv s="8">
    <fb>459.38</fb>
    <v>16</v>
  </rv>
  <rv s="8">
    <fb>456.66</fb>
    <v>16</v>
  </rv>
  <rv s="8">
    <fb>459.86</fb>
    <v>16</v>
  </rv>
  <rv s="8">
    <fb>454.52</fb>
    <v>16</v>
  </rv>
  <rv s="8">
    <fb>444.11</fb>
    <v>16</v>
  </rv>
  <rv s="8">
    <fb>451.14</fb>
    <v>16</v>
  </rv>
  <rv s="8">
    <fb>465.95</fb>
    <v>16</v>
  </rv>
  <rv s="8">
    <fb>480.58</fb>
    <v>16</v>
  </rv>
  <rv s="8">
    <fb>481.63</fb>
    <v>16</v>
  </rv>
  <rv s="8">
    <fb>433.5</fb>
    <v>16</v>
  </rv>
  <rv s="8">
    <fb>430.29</fb>
    <v>16</v>
  </rv>
  <rv s="8">
    <fb>423.37</fb>
    <v>16</v>
  </rv>
  <rv s="8">
    <fb>411.21</fb>
    <v>16</v>
  </rv>
  <rv s="8">
    <fb>414.19</fb>
    <v>16</v>
  </rv>
  <rv s="8">
    <fb>393.67</fb>
    <v>16</v>
  </rv>
  <rv s="8">
    <fb>401.14</fb>
    <v>16</v>
  </rv>
  <rv s="8">
    <fb>413.6</fb>
    <v>16</v>
  </rv>
  <rv s="8">
    <fb>413.27</fb>
    <v>16</v>
  </rv>
  <rv s="8">
    <fb>404.37</fb>
    <v>16</v>
  </rv>
  <rv s="8">
    <fb>401.84</fb>
    <v>16</v>
  </rv>
  <rv s="8">
    <fb>401.32</fb>
    <v>16</v>
  </rv>
  <rv s="8">
    <fb>396.86</fb>
    <v>16</v>
  </rv>
  <rv s="8">
    <fb>399.6</fb>
    <v>16</v>
  </rv>
  <rv s="8">
    <fb>398.46</fb>
    <v>16</v>
  </rv>
  <rv s="8">
    <fb>397.23</fb>
    <v>16</v>
  </rv>
  <rv s="8">
    <fb>384.47</fb>
    <v>16</v>
  </rv>
  <rv s="8">
    <fb>389</fb>
    <v>16</v>
  </rv>
  <rv s="8">
    <fb>400.6</fb>
    <v>16</v>
  </rv>
  <rv s="8">
    <fb>401.72</fb>
    <v>16</v>
  </rv>
  <rv s="8">
    <fb>392.74</fb>
    <v>16</v>
  </rv>
  <rv s="8">
    <fb>398.55</fb>
    <v>16</v>
  </rv>
  <rv s="8">
    <fb>403.93</fb>
    <v>16</v>
  </rv>
  <rv s="8">
    <fb>405.2</fb>
    <v>16</v>
  </rv>
  <rv s="8">
    <fb>410.68</fb>
    <v>16</v>
  </rv>
  <rv s="8">
    <fb>408.96</fb>
    <v>16</v>
  </rv>
  <rv s="8">
    <fb>409.41</fb>
    <v>16</v>
  </rv>
  <rv s="8">
    <fb>405.76</fb>
    <v>16</v>
  </rv>
  <rv s="8">
    <fb>404.88</fb>
    <v>16</v>
  </rv>
  <rv s="8">
    <fb>401.86</fb>
    <v>16</v>
  </rv>
  <rv s="8">
    <fb>395.55</fb>
    <v>16</v>
  </rv>
  <rv s="8">
    <fb>399.95</fb>
    <v>16</v>
  </rv>
  <rv s="8">
    <fb>399.41</fb>
    <v>16</v>
  </rv>
  <rv s="8">
    <fb>391.79</fb>
    <v>16</v>
  </rv>
  <rv s="8">
    <fb>389.02</fb>
    <v>16</v>
  </rv>
  <rv s="8">
    <fb>381.87</fb>
    <v>16</v>
  </rv>
  <rv s="8">
    <fb>383</fb>
    <v>16</v>
  </rv>
  <rv s="8">
    <fb>372.74</fb>
    <v>16</v>
  </rv>
  <rv s="8">
    <fb>371.04</fb>
    <v>16</v>
  </rv>
  <rv s="8">
    <fb>365.97</fb>
    <v>16</v>
  </rv>
  <rv s="8">
    <fb>356.77</fb>
    <v>16</v>
  </rv>
  <rv s="8">
    <fb>358.96</fb>
    <v>16</v>
  </rv>
  <rv s="8">
    <fb>370.17</fb>
    <v>16</v>
  </rv>
  <rv s="8">
    <fb>369.37</fb>
    <v>16</v>
  </rv>
  <rv s="8">
    <fb>35807990</fb>
    <v>17</v>
  </rv>
  <rv s="8">
    <fb>401.26499999999999</fb>
    <v>16</v>
  </rv>
  <rv s="8">
    <fb>411.0326</fb>
    <v>16</v>
  </rv>
  <rv s="8">
    <fb>400.31</fb>
    <v>16</v>
  </rv>
  <rv s="8">
    <fb>39001315</fb>
    <v>17</v>
  </rv>
  <rv s="8">
    <fb>404.42</fb>
    <v>16</v>
  </rv>
  <rv s="8">
    <fb>411.61</fb>
    <v>16</v>
  </rv>
  <rv s="8">
    <fb>404.4</fb>
    <v>16</v>
  </rv>
  <rv s="8">
    <fb>31123859</fb>
    <v>17</v>
  </rv>
  <rv s="8">
    <fb>409.2</fb>
    <v>16</v>
  </rv>
  <rv s="8">
    <fb>413.05</fb>
    <v>16</v>
  </rv>
  <rv s="8">
    <fb>408.51010000000002</fb>
    <v>16</v>
  </rv>
  <rv s="8">
    <fb>30131854</fb>
    <v>17</v>
  </rv>
  <rv s="8">
    <fb>404.91500000000002</fb>
    <v>16</v>
  </rv>
  <rv s="8">
    <fb>410.21</fb>
    <v>16</v>
  </rv>
  <rv s="8">
    <fb>403.5</fb>
    <v>16</v>
  </rv>
  <rv s="8">
    <fb>31706375</fb>
    <v>17</v>
  </rv>
  <rv s="8">
    <fb>410.03</fb>
    <v>16</v>
  </rv>
  <rv s="8">
    <fb>410.2</fb>
    <v>16</v>
  </rv>
  <rv s="8">
    <fb>402.93</fb>
    <v>16</v>
  </rv>
  <rv s="8">
    <fb>25512139</fb>
    <v>17</v>
  </rv>
  <rv s="8">
    <fb>405.57</fb>
    <v>16</v>
  </rv>
  <rv s="8">
    <fb>409.01</fb>
    <v>16</v>
  </rv>
  <rv s="8">
    <fb>401.59</fb>
    <v>16</v>
  </rv>
  <rv s="8">
    <fb>27263886</fb>
    <v>17</v>
  </rv>
  <rv s="8">
    <fb>404.63</fb>
    <v>16</v>
  </rv>
  <rv s="8">
    <fb>406.12</fb>
    <v>16</v>
  </rv>
  <rv s="8">
    <fb>401.71</fb>
    <v>16</v>
  </rv>
  <rv s="8">
    <fb>26848000</fb>
    <v>17</v>
  </rv>
  <rv s="8">
    <fb>401</fb>
    <v>16</v>
  </rv>
  <rv s="8">
    <fb>404.8</fb>
    <v>16</v>
  </rv>
  <rv s="8">
    <fb>394.25</fb>
    <v>16</v>
  </rv>
  <rv s="8">
    <fb>27733721</fb>
    <v>17</v>
  </rv>
  <rv s="8">
    <fb>398.07</fb>
    <v>16</v>
  </rv>
  <rv s="8">
    <fb>400.63</fb>
    <v>16</v>
  </rv>
  <rv s="8">
    <fb>394.79</fb>
    <v>16</v>
  </rv>
  <rv s="8">
    <fb>26228279</fb>
    <v>17</v>
  </rv>
  <rv s="8">
    <fb>400.27</fb>
    <v>16</v>
  </rv>
  <rv s="8">
    <fb>397.745</fb>
    <v>16</v>
  </rv>
  <rv s="8">
    <fb>25908484</fb>
    <v>17</v>
  </rv>
  <rv s="8">
    <fb>397.125</fb>
    <v>16</v>
  </rv>
  <rv s="8">
    <fb>398</fb>
    <v>16</v>
  </rv>
  <rv s="8">
    <fb>391</fb>
    <v>16</v>
  </rv>
  <rv s="8">
    <fb>25138772</fb>
    <v>17</v>
  </rv>
  <rv s="8">
    <fb>390.1</fb>
    <v>16</v>
  </rv>
  <rv s="8">
    <fb>392.49</fb>
    <v>16</v>
  </rv>
  <rv s="8">
    <fb>387.06</fb>
    <v>16</v>
  </rv>
  <rv s="8">
    <fb>50853154</fb>
    <v>17</v>
  </rv>
  <rv s="8">
    <fb>386.79</fb>
    <v>16</v>
  </rv>
  <rv s="8">
    <fb>387</fb>
    <v>16</v>
  </rv>
  <rv s="8">
    <fb>380.12</fb>
    <v>16</v>
  </rv>
  <rv s="8">
    <fb>29680059</fb>
    <v>17</v>
  </rv>
  <rv s="8">
    <fb>383.9</fb>
    <v>16</v>
  </rv>
  <rv s="8">
    <fb>387.21</fb>
    <v>16</v>
  </rv>
  <rv s="8">
    <fb>381.68</fb>
    <v>16</v>
  </rv>
  <rv s="8">
    <fb>42733625</fb>
    <v>17</v>
  </rv>
  <rv s="8">
    <fb>382.36</fb>
    <v>16</v>
  </rv>
  <rv s="8">
    <fb>382.47</fb>
    <v>16</v>
  </rv>
  <rv s="8">
    <fb>371.85</fb>
    <v>16</v>
  </rv>
  <rv s="8">
    <fb>31181163</fb>
    <v>17</v>
  </rv>
  <rv s="8">
    <fb>376.92</fb>
    <v>16</v>
  </rv>
  <rv s="8">
    <fb>377.06</fb>
    <v>16</v>
  </rv>
  <rv s="8">
    <fb>369.63</fb>
    <v>16</v>
  </rv>
  <rv s="8">
    <fb>36836574</fb>
    <v>17</v>
  </rv>
  <rv s="8">
    <fb>370.815</fb>
    <v>16</v>
  </rv>
  <rv s="8">
    <fb>374.7199</fb>
    <v>16</v>
  </rv>
  <rv s="8">
    <fb>365.19</fb>
    <v>16</v>
  </rv>
  <rv s="8">
    <fb>37883400</fb>
    <v>17</v>
  </rv>
  <rv s="8">
    <fb>361.9</fb>
    <v>16</v>
  </rv>
  <rv s="8">
    <fb>362.45</fb>
    <v>16</v>
  </rv>
  <rv s="8">
    <fb>356.51</fb>
    <v>16</v>
  </rv>
  <rv s="8">
    <fb>44797002</fb>
    <v>17</v>
  </rv>
  <rv s="8">
    <fb>361.89499999999998</fb>
    <v>16</v>
  </rv>
  <rv s="8">
    <fb>365.36</fb>
    <v>16</v>
  </rv>
  <rv s="8">
    <fb>356.28</fb>
    <v>16</v>
  </rv>
  <rv s="8">
    <fb>45244365</fb>
    <v>17</v>
  </rv>
  <rv s="8">
    <fb>364.55</fb>
    <v>16</v>
  </rv>
  <rv s="8">
    <fb>372.9</fb>
    <v>16</v>
  </rv>
  <rv s="8">
    <fb>363.07</fb>
    <v>16</v>
  </rv>
  <rv s="8">
    <fb>29417206</fb>
    <v>17</v>
  </rv>
  <rv s="8">
    <fb>373.49</fb>
    <v>16</v>
  </rv>
  <rv s="8">
    <fb>373.99</fb>
    <v>16</v>
  </rv>
  <rv s="8">
    <fb>368.2</fb>
    <v>16</v>
  </rv>
  <rv s="8">
    <fb>511.23</fb>
    <v>16</v>
  </rv>
  <rv s="8">
    <fb>470.81</fb>
    <v>16</v>
  </rv>
  <rv s="8">
    <fb>465.51</fb>
    <v>16</v>
  </rv>
  <rv s="8">
    <fb>462.22</fb>
    <v>16</v>
  </rv>
  <rv s="8">
    <fb>516.87</fb>
    <v>16</v>
  </rv>
  <rv s="8">
    <fb>489.8</fb>
    <v>16</v>
  </rv>
  <rv s="8">
    <fb>494.44</fb>
    <v>16</v>
  </rv>
  <rv s="8">
    <fb>503.98</fb>
    <v>16</v>
  </rv>
  <rv s="8">
    <fb>507.89</fb>
    <v>16</v>
  </rv>
  <rv s="8">
    <fb>499.05</fb>
    <v>16</v>
  </rv>
  <rv s="8">
    <fb>509.49</fb>
    <v>16</v>
  </rv>
  <rv s="8">
    <fb>501.36</fb>
    <v>16</v>
  </rv>
  <rv s="8">
    <fb>519.99</fb>
    <v>16</v>
  </rv>
  <rv s="8">
    <fb>529.30999999999995</fb>
    <v>16</v>
  </rv>
  <rv s="8">
    <fb>545.37</fb>
    <v>16</v>
  </rv>
  <rv s="8">
    <fb>544.86</fb>
    <v>16</v>
  </rv>
  <rv s="8">
    <fb>546.4</fb>
    <v>16</v>
  </rv>
  <rv s="8">
    <fb>548.91999999999996</fb>
    <v>16</v>
  </rv>
  <rv s="8">
    <fb>547.54999999999995</fb>
    <v>16</v>
  </rv>
  <rv s="8">
    <fb>553.83000000000004</fb>
    <v>16</v>
  </rv>
  <rv s="8">
    <fb>566.1</fb>
    <v>16</v>
  </rv>
  <rv s="8">
    <fb>559.55999999999995</fb>
    <v>16</v>
  </rv>
  <rv s="8">
    <fb>549.36</fb>
    <v>16</v>
  </rv>
  <rv s="8">
    <fb>551.91999999999996</fb>
    <v>16</v>
  </rv>
  <rv s="8">
    <fb>565.70000000000005</fb>
    <v>16</v>
  </rv>
  <rv s="8">
    <fb>567.1</fb>
    <v>16</v>
  </rv>
  <rv s="8">
    <fb>591.34</fb>
    <v>16</v>
  </rv>
  <rv s="8">
    <fb>603.80999999999995</fb>
    <v>16</v>
  </rv>
  <rv s="8">
    <fb>611.6</fb>
    <v>16</v>
  </rv>
  <rv s="8">
    <fb>615.9</fb>
    <v>16</v>
  </rv>
  <rv s="8">
    <fb>619.03</fb>
    <v>16</v>
  </rv>
  <rv s="8">
    <fb>612.29999999999995</fb>
    <v>16</v>
  </rv>
  <rv s="8">
    <fb>606.52</fb>
    <v>16</v>
  </rv>
  <rv s="8">
    <fb>593.46</fb>
    <v>16</v>
  </rv>
  <rv s="8">
    <fb>598.23</fb>
    <v>16</v>
  </rv>
  <rv s="8">
    <fb>598.54</fb>
    <v>16</v>
  </rv>
  <rv s="8">
    <fb>615.73</fb>
    <v>16</v>
  </rv>
  <rv s="8">
    <fb>608.44000000000005</fb>
    <v>16</v>
  </rv>
  <rv s="8">
    <fb>604.86</fb>
    <v>16</v>
  </rv>
  <rv s="8">
    <fb>600.45000000000005</fb>
    <v>16</v>
  </rv>
  <rv s="8">
    <fb>598.72</fb>
    <v>16</v>
  </rv>
  <rv s="8">
    <fb>603.83000000000004</fb>
    <v>16</v>
  </rv>
  <rv s="8">
    <fb>599.21</fb>
    <v>16</v>
  </rv>
  <rv s="8">
    <fb>605.88</fb>
    <v>16</v>
  </rv>
  <rv s="8">
    <fb>614</fb>
    <v>16</v>
  </rv>
  <rv s="8">
    <fb>613.52</fb>
    <v>16</v>
  </rv>
  <rv s="8">
    <fb>614.87</fb>
    <v>16</v>
  </rv>
  <rv s="8">
    <fb>624.16999999999996</fb>
    <v>16</v>
  </rv>
  <rv s="8">
    <fb>625.11</fb>
    <v>16</v>
  </rv>
  <rv s="8">
    <fb>613.54</fb>
    <v>16</v>
  </rv>
  <rv s="8">
    <fb>627.85</fb>
    <v>16</v>
  </rv>
  <rv s="8">
    <fb>624.64</fb>
    <v>16</v>
  </rv>
  <rv s="8">
    <fb>635.24</fb>
    <v>16</v>
  </rv>
  <rv s="8">
    <fb>640.79999999999995</fb>
    <v>16</v>
  </rv>
  <rv s="8">
    <fb>646.88</fb>
    <v>16</v>
  </rv>
  <rv s="8">
    <fb>662.11</fb>
    <v>16</v>
  </rv>
  <rv s="8">
    <fb>669.87</fb>
    <v>16</v>
  </rv>
  <rv s="8">
    <fb>687.16</fb>
    <v>16</v>
  </rv>
  <rv s="8">
    <fb>690.81</fb>
    <v>16</v>
  </rv>
  <rv s="8">
    <fb>707.75</fb>
    <v>16</v>
  </rv>
  <rv s="8">
    <fb>706.46</fb>
    <v>16</v>
  </rv>
  <rv s="8">
    <fb>715.89</fb>
    <v>16</v>
  </rv>
  <rv s="8">
    <fb>723.68</fb>
    <v>16</v>
  </rv>
  <rv s="8">
    <fb>710.93</fb>
    <v>16</v>
  </rv>
  <rv s="8">
    <fb>697.28</fb>
    <v>16</v>
  </rv>
  <rv s="8">
    <fb>696.56</fb>
    <v>16</v>
  </rv>
  <rv s="8">
    <fb>709.12</fb>
    <v>16</v>
  </rv>
  <rv s="8">
    <fb>704.95</fb>
    <v>16</v>
  </rv>
  <rv s="8">
    <fb>713.3</fb>
    <v>16</v>
  </rv>
  <rv s="8">
    <fb>702.51</fb>
    <v>16</v>
  </rv>
  <rv s="8">
    <fb>708.82</fb>
    <v>16</v>
  </rv>
  <rv s="8">
    <fb>705.84</fb>
    <v>16</v>
  </rv>
  <rv s="8">
    <fb>708.26</fb>
    <v>16</v>
  </rv>
  <rv s="8">
    <fb>706</fb>
    <v>16</v>
  </rv>
  <rv s="8">
    <fb>700.41</fb>
    <v>16</v>
  </rv>
  <rv s="8">
    <fb>717.52</fb>
    <v>16</v>
  </rv>
  <rv s="8">
    <fb>719.18</fb>
    <v>16</v>
  </rv>
  <rv s="8">
    <fb>728.98</fb>
    <v>16</v>
  </rv>
  <rv s="8">
    <fb>723.65</fb>
    <v>16</v>
  </rv>
  <rv s="8">
    <fb>731.98</fb>
    <v>16</v>
  </rv>
  <rv s="8">
    <fb>730.75</fb>
    <v>16</v>
  </rv>
  <rv s="8">
    <fb>723.59</fb>
    <v>16</v>
  </rv>
  <rv s="8">
    <fb>709.57</fb>
    <v>16</v>
  </rv>
  <rv s="8">
    <fb>726.03</fb>
    <v>16</v>
  </rv>
  <rv s="8">
    <fb>720.91</fb>
    <v>16</v>
  </rv>
  <rv s="8">
    <fb>724.74</fb>
    <v>16</v>
  </rv>
  <rv s="8">
    <fb>719.74</fb>
    <v>16</v>
  </rv>
  <rv s="8">
    <fb>721.27</fb>
    <v>16</v>
  </rv>
  <rv s="8">
    <fb>719.24</fb>
    <v>16</v>
  </rv>
  <rv s="8">
    <fb>743.38</fb>
    <v>16</v>
  </rv>
  <rv s="8">
    <fb>744.69</fb>
    <v>16</v>
  </rv>
  <rv s="8">
    <fb>747.2</fb>
    <v>16</v>
  </rv>
  <rv s="8">
    <fb>730.72</fb>
    <v>16</v>
  </rv>
  <rv s="8">
    <fb>730.96</fb>
    <v>16</v>
  </rv>
  <rv s="8">
    <fb>721.38</fb>
    <v>16</v>
  </rv>
  <rv s="8">
    <fb>720.68</fb>
    <v>16</v>
  </rv>
  <rv s="8">
    <fb>715.95</fb>
    <v>16</v>
  </rv>
  <rv s="8">
    <fb>741.89</fb>
    <v>16</v>
  </rv>
  <rv s="8">
    <fb>738.79</fb>
    <v>16</v>
  </rv>
  <rv s="8">
    <fb>748.95</fb>
    <v>16</v>
  </rv>
  <rv s="8">
    <fb>749.67</fb>
    <v>16</v>
  </rv>
  <rv s="8">
    <fb>751.22</fb>
    <v>16</v>
  </rv>
  <rv s="8">
    <fb>745.25</fb>
    <v>16</v>
  </rv>
  <rv s="8">
    <fb>730.85</fb>
    <v>16</v>
  </rv>
  <rv s="8">
    <fb>730.56</fb>
    <v>16</v>
  </rv>
  <rv s="8">
    <fb>748.9</fb>
    <v>16</v>
  </rv>
  <rv s="8">
    <fb>738.21</fb>
    <v>16</v>
  </rv>
  <rv s="8">
    <fb>741.85</fb>
    <v>16</v>
  </rv>
  <rv s="8">
    <fb>763.92</fb>
    <v>16</v>
  </rv>
  <rv s="8">
    <fb>769.58</fb>
    <v>16</v>
  </rv>
  <rv s="8">
    <fb>784.73</fb>
    <v>16</v>
  </rv>
  <rv s="8">
    <fb>780.06</fb>
    <v>16</v>
  </rv>
  <rv s="8">
    <fb>786.76</fb>
    <v>16</v>
  </rv>
  <rv s="8">
    <fb>785.53</fb>
    <v>16</v>
  </rv>
  <rv s="8">
    <fb>794.22</fb>
    <v>16</v>
  </rv>
  <rv s="8">
    <fb>804.31</fb>
    <v>16</v>
  </rv>
  <rv s="8">
    <fb>805</fb>
    <v>16</v>
  </rv>
  <rv s="8">
    <fb>805.56</fb>
    <v>16</v>
  </rv>
  <rv s="8">
    <fb>806.32</fb>
    <v>16</v>
  </rv>
  <rv s="8">
    <fb>792.43</fb>
    <v>16</v>
  </rv>
  <rv s="8">
    <fb>794.76</fb>
    <v>16</v>
  </rv>
  <rv s="8">
    <fb>802.51</fb>
    <v>16</v>
  </rv>
  <rv s="8">
    <fb>804.12</fb>
    <v>16</v>
  </rv>
  <rv s="8">
    <fb>796.35</fb>
    <v>16</v>
  </rv>
  <rv s="8">
    <fb>785.51</fb>
    <v>16</v>
  </rv>
  <rv s="8">
    <fb>779.38</fb>
    <v>16</v>
  </rv>
  <rv s="8">
    <fb>789.98</fb>
    <v>16</v>
  </rv>
  <rv s="8">
    <fb>796.78</fb>
    <v>16</v>
  </rv>
  <rv s="8">
    <fb>789.65</fb>
    <v>16</v>
  </rv>
  <rv s="8">
    <fb>776.51</fb>
    <v>16</v>
  </rv>
  <rv s="8">
    <fb>779.96</fb>
    <v>16</v>
  </rv>
  <rv s="8">
    <fb>764.36</fb>
    <v>16</v>
  </rv>
  <rv s="8">
    <fb>786.78</fb>
    <v>16</v>
  </rv>
  <rv s="8">
    <fb>770.76</fb>
    <v>16</v>
  </rv>
  <rv s="8">
    <fb>767.93</fb>
    <v>16</v>
  </rv>
  <rv s="8">
    <fb>758.09</fb>
    <v>16</v>
  </rv>
  <rv s="8">
    <fb>750.77</fb>
    <v>16</v>
  </rv>
  <rv s="8">
    <fb>763.32</fb>
    <v>16</v>
  </rv>
  <rv s="8">
    <fb>758.98</fb>
    <v>16</v>
  </rv>
  <rv s="8">
    <fb>744.6</fb>
    <v>16</v>
  </rv>
  <rv s="8">
    <fb>750.78</fb>
    <v>16</v>
  </rv>
  <rv s="8">
    <fb>783.88</fb>
    <v>16</v>
  </rv>
  <rv s="8">
    <fb>789.99</fb>
    <v>16</v>
  </rv>
  <rv s="8">
    <fb>792.09</fb>
    <v>16</v>
  </rv>
  <rv s="8">
    <fb>783.06</fb>
    <v>16</v>
  </rv>
  <rv s="8">
    <fb>790.16</fb>
    <v>16</v>
  </rv>
  <rv s="8">
    <fb>789.37</fb>
    <v>16</v>
  </rv>
  <rv s="8">
    <fb>785.52</fb>
    <v>16</v>
  </rv>
  <rv s="8">
    <fb>790.83</fb>
    <v>16</v>
  </rv>
  <rv s="8">
    <fb>793.09</fb>
    <v>16</v>
  </rv>
  <rv s="8">
    <fb>787.58</fb>
    <v>16</v>
  </rv>
  <rv s="8">
    <fb>786.34</fb>
    <v>16</v>
  </rv>
  <rv s="8">
    <fb>797.2</fb>
    <v>16</v>
  </rv>
  <rv s="8">
    <fb>810.31</fb>
    <v>16</v>
  </rv>
  <rv s="8">
    <fb>838.97</fb>
    <v>16</v>
  </rv>
  <rv s="8">
    <fb>805.5</fb>
    <v>16</v>
  </rv>
  <rv s="8">
    <fb>790.91</fb>
    <v>16</v>
  </rv>
  <rv s="8">
    <fb>775.56</fb>
    <v>16</v>
  </rv>
  <rv s="8">
    <fb>776.3</fb>
    <v>16</v>
  </rv>
  <rv s="8">
    <fb>785.99</fb>
    <v>16</v>
  </rv>
  <rv s="8">
    <fb>773.7</fb>
    <v>16</v>
  </rv>
  <rv s="8">
    <fb>774.03</fb>
    <v>16</v>
  </rv>
  <rv s="8">
    <fb>790.71</fb>
    <v>16</v>
  </rv>
  <rv s="8">
    <fb>802.32</fb>
    <v>16</v>
  </rv>
  <rv s="8">
    <fb>816.01</fb>
    <v>16</v>
  </rv>
  <rv s="8">
    <fb>826.04</fb>
    <v>16</v>
  </rv>
  <rv s="8">
    <fb>810.86</fb>
    <v>16</v>
  </rv>
  <rv s="8">
    <fb>815.21</fb>
    <v>16</v>
  </rv>
  <rv s="8">
    <fb>836.57</fb>
    <v>16</v>
  </rv>
  <rv s="8">
    <fb>837.83</fb>
    <v>16</v>
  </rv>
  <rv s="8">
    <fb>854.56</fb>
    <v>16</v>
  </rv>
  <rv s="8">
    <fb>866.69</fb>
    <v>16</v>
  </rv>
  <rv s="8">
    <fb>876.58</fb>
    <v>16</v>
  </rv>
  <rv s="8">
    <fb>889.24</fb>
    <v>16</v>
  </rv>
  <rv s="8">
    <fb>911.03</fb>
    <v>16</v>
  </rv>
  <rv s="8">
    <fb>887.96</fb>
    <v>16</v>
  </rv>
  <rv s="8">
    <fb>889.59</fb>
    <v>16</v>
  </rv>
  <rv s="8">
    <fb>879.15</fb>
    <v>16</v>
  </rv>
  <rv s="8">
    <fb>872.33</fb>
    <v>16</v>
  </rv>
  <rv s="8">
    <fb>876.3</fb>
    <v>16</v>
  </rv>
  <rv s="8">
    <fb>893.48</fb>
    <v>16</v>
  </rv>
  <rv s="8">
    <fb>899</fb>
    <v>16</v>
  </rv>
  <rv s="8">
    <fb>901.71</fb>
    <v>16</v>
  </rv>
  <rv s="8">
    <fb>910.78</fb>
    <v>16</v>
  </rv>
  <rv s="8">
    <fb>907.04</fb>
    <v>16</v>
  </rv>
  <rv s="8">
    <fb>892.18</fb>
    <v>16</v>
  </rv>
  <rv s="8">
    <fb>884.42</fb>
    <v>16</v>
  </rv>
  <rv s="8">
    <fb>879</fb>
    <v>16</v>
  </rv>
  <rv s="8">
    <fb>914.34</fb>
    <v>16</v>
  </rv>
  <rv s="8">
    <fb>948.44</fb>
    <v>16</v>
  </rv>
  <rv s="8">
    <fb>955.47</fb>
    <v>16</v>
  </rv>
  <rv s="8">
    <fb>941.02</fb>
    <v>16</v>
  </rv>
  <rv s="8">
    <fb>934.83</fb>
    <v>16</v>
  </rv>
  <rv s="8">
    <fb>938.98</fb>
    <v>16</v>
  </rv>
  <rv s="8">
    <fb>949.55</fb>
    <v>16</v>
  </rv>
  <rv s="8">
    <fb>938.15</fb>
    <v>16</v>
  </rv>
  <rv s="8">
    <fb>932.67</fb>
    <v>16</v>
  </rv>
  <rv s="8">
    <fb>975.86</fb>
    <v>16</v>
  </rv>
  <rv s="8">
    <fb>962</fb>
    <v>16</v>
  </rv>
  <rv s="8">
    <fb>943.37</fb>
    <v>16</v>
  </rv>
  <rv s="8">
    <fb>953.01</fb>
    <v>16</v>
  </rv>
  <rv s="8">
    <fb>954.65</fb>
    <v>16</v>
  </rv>
  <rv s="8">
    <fb>918.88</fb>
    <v>16</v>
  </rv>
  <rv s="8">
    <fb>931.86</fb>
    <v>16</v>
  </rv>
  <rv s="8">
    <fb>929.72</fb>
    <v>16</v>
  </rv>
  <rv s="8">
    <fb>936.81</fb>
    <v>16</v>
  </rv>
  <rv s="8">
    <fb>940.12</fb>
    <v>16</v>
  </rv>
  <rv s="8">
    <fb>935.41</fb>
    <v>16</v>
  </rv>
  <rv s="8">
    <fb>946.33</fb>
    <v>16</v>
  </rv>
  <rv s="8">
    <fb>938.99</fb>
    <v>16</v>
  </rv>
  <rv s="8">
    <fb>913.3</fb>
    <v>16</v>
  </rv>
  <rv s="8">
    <fb>890.41</fb>
    <v>16</v>
  </rv>
  <rv s="8">
    <fb>928.75</fb>
    <v>16</v>
  </rv>
  <rv s="8">
    <fb>943.62</fb>
    <v>16</v>
  </rv>
  <rv s="8">
    <fb>948.99</fb>
    <v>16</v>
  </rv>
  <rv s="8">
    <fb>944.59</fb>
    <v>16</v>
  </rv>
  <rv s="8">
    <fb>904.55</fb>
    <v>16</v>
  </rv>
  <rv s="8">
    <fb>905.14</fb>
    <v>16</v>
  </rv>
  <rv s="8">
    <fb>916.04</fb>
    <v>16</v>
  </rv>
  <rv s="8">
    <fb>933.73</fb>
    <v>16</v>
  </rv>
  <rv s="8">
    <fb>916.65</fb>
    <v>16</v>
  </rv>
  <rv s="8">
    <fb>922.24</fb>
    <v>16</v>
  </rv>
  <rv s="8">
    <fb>892.31</fb>
    <v>16</v>
  </rv>
  <rv s="8">
    <fb>902.27</fb>
    <v>16</v>
  </rv>
  <rv s="8">
    <fb>921.38</fb>
    <v>16</v>
  </rv>
  <rv s="8">
    <fb>929</fb>
    <v>16</v>
  </rv>
  <rv s="8">
    <fb>859.57</fb>
    <v>16</v>
  </rv>
  <rv s="8">
    <fb>861.7</fb>
    <v>16</v>
  </rv>
  <rv s="8">
    <fb>862.58</fb>
    <v>16</v>
  </rv>
  <rv s="8">
    <fb>867.25</fb>
    <v>16</v>
  </rv>
  <rv s="8">
    <fb>835.46</fb>
    <v>16</v>
  </rv>
  <rv s="8">
    <fb>821.42</fb>
    <v>16</v>
  </rv>
  <rv s="8">
    <fb>832.03</fb>
    <v>16</v>
  </rv>
  <rv s="8">
    <fb>833.81</fb>
    <v>16</v>
  </rv>
  <rv s="8">
    <fb>823.76</fb>
    <v>16</v>
  </rv>
  <rv s="8">
    <fb>787.52</fb>
    <v>16</v>
  </rv>
  <rv s="8">
    <fb>782.21</fb>
    <v>16</v>
  </rv>
  <rv s="8">
    <fb>794.77</fb>
    <v>16</v>
  </rv>
  <rv s="8">
    <fb>807.04</fb>
    <v>16</v>
  </rv>
  <rv s="8">
    <fb>805.48</fb>
    <v>16</v>
  </rv>
  <rv s="8">
    <fb>809.5</fb>
    <v>16</v>
  </rv>
  <rv s="8">
    <fb>813.53</fb>
    <v>16</v>
  </rv>
  <rv s="8">
    <fb>831.27</fb>
    <v>16</v>
  </rv>
  <rv s="8">
    <fb>835.72</fb>
    <v>16</v>
  </rv>
  <rv s="8">
    <fb>841.84</fb>
    <v>16</v>
  </rv>
  <rv s="8">
    <fb>822.64</fb>
    <v>16</v>
  </rv>
  <rv s="8">
    <fb>802.89</fb>
    <v>16</v>
  </rv>
  <rv s="8">
    <fb>807.6</fb>
    <v>16</v>
  </rv>
  <rv s="8">
    <fb>845.99</fb>
    <v>16</v>
  </rv>
  <rv s="8">
    <fb>860.21</fb>
    <v>16</v>
  </rv>
  <rv s="8">
    <fb>2081820</fb>
    <v>17</v>
  </rv>
  <rv s="8">
    <fb>869.84</fb>
    <v>16</v>
  </rv>
  <rv s="8">
    <fb>878.8</fb>
    <v>16</v>
  </rv>
  <rv s="8">
    <fb>860</fb>
    <v>16</v>
  </rv>
  <rv s="8">
    <fb>3096912</fb>
    <v>17</v>
  </rv>
  <rv s="8">
    <fb>862.01</fb>
    <v>16</v>
  </rv>
  <rv s="8">
    <fb>866.52430000000004</fb>
    <v>16</v>
  </rv>
  <rv s="8">
    <fb>822.2</fb>
    <v>16</v>
  </rv>
  <rv s="8">
    <fb>2472991</fb>
    <v>17</v>
  </rv>
  <rv s="8">
    <fb>816</fb>
    <v>16</v>
  </rv>
  <rv s="8">
    <fb>827.16</fb>
    <v>16</v>
  </rv>
  <rv s="8">
    <fb>801.33</fb>
    <v>16</v>
  </rv>
  <rv s="8">
    <fb>3258185</fb>
    <v>17</v>
  </rv>
  <rv s="8">
    <fb>810</fb>
    <v>16</v>
  </rv>
  <rv s="8">
    <fb>836.68</fb>
    <v>16</v>
  </rv>
  <rv s="8">
    <fb>795</fb>
    <v>16</v>
  </rv>
  <rv s="8">
    <fb>1871901</fb>
    <v>17</v>
  </rv>
  <rv s="8">
    <fb>834.68</fb>
    <v>16</v>
  </rv>
  <rv s="8">
    <fb>846.09</fb>
    <v>16</v>
  </rv>
  <rv s="8">
    <fb>826.35</fb>
    <v>16</v>
  </rv>
  <rv s="8">
    <fb>2236531</fb>
    <v>17</v>
  </rv>
  <rv s="8">
    <fb>829.95</fb>
    <v>16</v>
  </rv>
  <rv s="8">
    <fb>832.80250000000001</fb>
    <v>16</v>
  </rv>
  <rv s="8">
    <fb>810.54</fb>
    <v>16</v>
  </rv>
  <rv s="8">
    <fb>3533042</fb>
    <v>17</v>
  </rv>
  <rv s="8">
    <fb>805.32</fb>
    <v>16</v>
  </rv>
  <rv s="8">
    <fb>807.21</fb>
    <v>16</v>
  </rv>
  <rv s="8">
    <fb>784.1</fb>
    <v>16</v>
  </rv>
  <rv s="8">
    <fb>2567411</fb>
    <v>17</v>
  </rv>
  <rv s="8">
    <fb>789.36</fb>
    <v>16</v>
  </rv>
  <rv s="8">
    <fb>798</fb>
    <v>16</v>
  </rv>
  <rv s="8">
    <fb>780.5</fb>
    <v>16</v>
  </rv>
  <rv s="8">
    <fb>2082689</fb>
    <v>17</v>
  </rv>
  <rv s="8">
    <fb>792</fb>
    <v>16</v>
  </rv>
  <rv s="8">
    <fb>805.45500000000004</fb>
    <v>16</v>
  </rv>
  <rv s="8">
    <fb>1955568</fb>
    <v>17</v>
  </rv>
  <rv s="8">
    <fb>806.3</fb>
    <v>16</v>
  </rv>
  <rv s="8">
    <fb>820.44</fb>
    <v>16</v>
  </rv>
  <rv s="8">
    <fb>803.47</fb>
    <v>16</v>
  </rv>
  <rv s="8">
    <fb>1541291</fb>
    <v>17</v>
  </rv>
  <rv s="8">
    <fb>801</fb>
    <v>16</v>
  </rv>
  <rv s="8">
    <fb>816.19</fb>
    <v>16</v>
  </rv>
  <rv s="8">
    <fb>1765919</fb>
    <v>17</v>
  </rv>
  <rv s="8">
    <fb>792.93</fb>
    <v>16</v>
  </rv>
  <rv s="8">
    <fb>816.18</fb>
    <v>16</v>
  </rv>
  <rv s="8">
    <fb>790.59</fb>
    <v>16</v>
  </rv>
  <rv s="8">
    <fb>3918407</fb>
    <v>17</v>
  </rv>
  <rv s="8">
    <fb>807</fb>
    <v>16</v>
  </rv>
  <rv s="8">
    <fb>827.23</fb>
    <v>16</v>
  </rv>
  <rv s="8">
    <fb>804.92650000000003</fb>
    <v>16</v>
  </rv>
  <rv s="8">
    <fb>2190280</fb>
    <v>17</v>
  </rv>
  <rv s="8">
    <fb>833</fb>
    <v>16</v>
  </rv>
  <rv s="8">
    <fb>849.53</fb>
    <v>16</v>
  </rv>
  <rv s="8">
    <fb>829</fb>
    <v>16</v>
  </rv>
  <rv s="8">
    <fb>1656051</fb>
    <v>17</v>
  </rv>
  <rv s="8">
    <fb>824.93</fb>
    <v>16</v>
  </rv>
  <rv s="8">
    <fb>844.5</fb>
    <v>16</v>
  </rv>
  <rv s="8">
    <fb>818</fb>
    <v>16</v>
  </rv>
  <rv s="8">
    <fb>1628908</fb>
    <v>17</v>
  </rv>
  <rv s="8">
    <fb>845.01</fb>
    <v>16</v>
  </rv>
  <rv s="8">
    <fb>854.75</fb>
    <v>16</v>
  </rv>
  <rv s="8">
    <fb>833.90009999999995</fb>
    <v>16</v>
  </rv>
  <rv s="8">
    <fb>2052166</fb>
    <v>17</v>
  </rv>
  <rv s="8">
    <fb>833.79</fb>
    <v>16</v>
  </rv>
  <rv s="8">
    <fb>844.8</fb>
    <v>16</v>
  </rv>
  <rv s="8">
    <fb>816.11</fb>
    <v>16</v>
  </rv>
  <rv s="8">
    <fb>2106773</fb>
    <v>17</v>
  </rv>
  <rv s="8">
    <fb>813.67</fb>
    <v>16</v>
  </rv>
  <rv s="8">
    <fb>817.1</fb>
    <v>16</v>
  </rv>
  <rv s="8">
    <fb>797.78</fb>
    <v>16</v>
  </rv>
  <rv s="8">
    <fb>1621403</fb>
    <v>17</v>
  </rv>
  <rv s="8">
    <fb>811.12</fb>
    <v>16</v>
  </rv>
  <rv s="8">
    <fb>818.63250000000005</fb>
    <v>16</v>
  </rv>
  <rv s="8">
    <fb>801.88</fb>
    <v>16</v>
  </rv>
  <rv s="8">
    <fb>2689828</fb>
    <v>17</v>
  </rv>
  <rv s="8">
    <fb>823.9</fb>
    <v>16</v>
  </rv>
  <rv s="8">
    <fb>848.5</fb>
    <v>16</v>
  </rv>
  <rv s="8">
    <fb>1803625</fb>
    <v>17</v>
  </rv>
  <rv s="8">
    <fb>859.95</fb>
    <v>16</v>
  </rv>
  <rv s="8">
    <fb>870.2</fb>
    <v>16</v>
  </rv>
  <rv s="8">
    <fb>850.15</fb>
    <v>16</v>
  </rv>
  <rv s="10">
    <v>18</v>
    <v>a1slm7</v>
    <v>Daily</v>
    <v>45750</v>
    <v>46115</v>
    <v>0</v>
    <v>1</v>
    <v>639105984000000000,639107683745895899,0</v>
    <v>0</v>
    <v>a1slm7</v>
    <v/>
    <v>1</v>
  </rv>
  <rv s="10">
    <v>18</v>
    <v>a1ndww</v>
    <v>Daily</v>
    <v>45750</v>
    <v>46115</v>
    <v>0</v>
    <v>1</v>
    <v>639105984000000000,639107683749094669,0</v>
    <v>0</v>
    <v>a1ndww</v>
    <v/>
    <v>2</v>
  </rv>
  <rv s="10">
    <v>18</v>
    <v>a1om4c</v>
    <v>Daily</v>
    <v>45750</v>
    <v>46115</v>
    <v>0</v>
    <v>1</v>
    <v>639105984000000000,639107683750715427,0</v>
    <v>0</v>
    <v>a1om4c</v>
    <v/>
    <v>3</v>
  </rv>
  <rv s="10">
    <v>18</v>
    <v>a1mou2</v>
    <v>Daily</v>
    <v>45750</v>
    <v>46115</v>
    <v>0</v>
    <v>1</v>
    <v>639105984000000000,639107683754317492,0</v>
    <v>0</v>
    <v>a1mou2</v>
    <v/>
    <v>4</v>
  </rv>
  <rv s="10">
    <v>18</v>
    <v>a1uqyc</v>
    <v>Daily</v>
    <v>45750</v>
    <v>46115</v>
    <v>0</v>
    <v>1</v>
    <v>639105984000000000,639107683743506381,0</v>
    <v>0</v>
    <v>a1uqyc</v>
    <v/>
    <v>5</v>
  </rv>
  <rv s="10">
    <v>18</v>
    <v>a1nhlh</v>
    <v>Daily</v>
    <v>45750</v>
    <v>46115</v>
    <v>0</v>
    <v>1</v>
    <v>639105984000000000,639107683751921370,0</v>
    <v>0</v>
    <v>a1nhlh</v>
    <v/>
    <v>6</v>
  </rv>
  <rv s="10">
    <v>18</v>
    <v>a1qlz2</v>
    <v>Daily</v>
    <v>45750</v>
    <v>46115</v>
    <v>0</v>
    <v>1</v>
    <v>639105984000000000,639107683747110556,0</v>
    <v>0</v>
    <v>a1qlz2</v>
    <v/>
    <v>7</v>
  </rv>
  <rv s="11">
    <v>19</v>
    <v>XNAS:AMD</v>
    <v>Daily</v>
    <v>46085</v>
    <v>46115</v>
    <v>0</v>
    <v>1</v>
    <v>639105984000000000,639107683746133969,0</v>
    <v>8</v>
    <v>a1ndww</v>
    <v/>
    <v>9</v>
    <v>10</v>
    <v>11</v>
    <v>12</v>
    <v>13</v>
  </rv>
  <rv s="10">
    <v>18</v>
    <v>XNAS:AMD</v>
    <v>Daily</v>
    <v>45750</v>
    <v>46115</v>
    <v>0</v>
    <v>1</v>
    <v>639105984000000000,639107683748542688,0</v>
    <v>0</v>
    <v>a1ndww</v>
    <v/>
    <v>2</v>
  </rv>
  <rv s="10">
    <v>18</v>
    <v>a1sjw7</v>
    <v>Daily</v>
    <v>45750</v>
    <v>46115</v>
    <v>0</v>
    <v>1</v>
    <v>639105984000000000,639107683744691934,0</v>
    <v>0</v>
    <v>a1sjw7</v>
    <v/>
    <v>14</v>
  </rv>
  <rv s="10">
    <v>18</v>
    <v>a1waa2</v>
    <v>Daily</v>
    <v>45750</v>
    <v>46115</v>
    <v>0</v>
    <v>1</v>
    <v>639105984000000000,639107683749512533,0</v>
    <v>0</v>
    <v>a1waa2</v>
    <v/>
    <v>15</v>
  </rv>
  <rv s="10">
    <v>18</v>
    <v>a1yv52</v>
    <v>Daily</v>
    <v>45750</v>
    <v>46115</v>
    <v>0</v>
    <v>1</v>
    <v>639105984000000000,639107683744295420,0</v>
    <v>0</v>
    <v>a1yv52</v>
    <v/>
    <v>16</v>
  </rv>
  <rv s="10">
    <v>18</v>
    <v>by9i27</v>
    <v>Daily</v>
    <v>45750</v>
    <v>46115</v>
    <v>0</v>
    <v>1</v>
    <v>639105984000000000,639107683746705983,0</v>
    <v>17</v>
    <v>by9i27</v>
    <v/>
    <v>18</v>
  </rv>
  <rv s="10">
    <v>18</v>
    <v>a1o4ec</v>
    <v>Daily</v>
    <v>45750</v>
    <v>46115</v>
    <v>0</v>
    <v>1</v>
    <v>639105984000000000,639107683745505106,0</v>
    <v>0</v>
    <v>a1o4ec</v>
    <v/>
    <v>19</v>
  </rv>
  <rv s="10">
    <v>18</v>
    <v>a24bh7</v>
    <v>Daily</v>
    <v>45750</v>
    <v>46115</v>
    <v>0</v>
    <v>1</v>
    <v>639105984000000000,639107683747916141,0</v>
    <v>0</v>
    <v>a24bh7</v>
    <v/>
    <v>20</v>
  </rv>
  <rv s="10">
    <v>18</v>
    <v>a25ya2</v>
    <v>Daily</v>
    <v>45750</v>
    <v>46115</v>
    <v>0</v>
    <v>1</v>
    <v>639105984000000000,639107683748322721,0</v>
    <v>0</v>
    <v>a25ya2</v>
    <v/>
    <v>21</v>
  </rv>
  <rv s="11">
    <v>19</v>
    <v>XNYS:BABA</v>
    <v>Daily</v>
    <v>46085</v>
    <v>46115</v>
    <v>0</v>
    <v>1</v>
    <v>639105984000000000,639107683740575341,0</v>
    <v>8</v>
    <v>a1o4mw</v>
    <v/>
    <v>22</v>
    <v>23</v>
    <v>24</v>
    <v>25</v>
    <v>26</v>
  </rv>
  <rv s="10">
    <v>18</v>
    <v>XNYS:BABA</v>
    <v>Daily</v>
    <v>45750</v>
    <v>46115</v>
    <v>0</v>
    <v>1</v>
    <v>639105984000000000,639107683750919758,0</v>
    <v>0</v>
    <v>a1o4mw</v>
    <v/>
    <v>27</v>
  </rv>
  <rv s="10">
    <v>18</v>
    <v>a1p3ww</v>
    <v>Daily</v>
    <v>45750</v>
    <v>46115</v>
    <v>0</v>
    <v>1</v>
    <v>639105984000000000,639107683753122723,0</v>
    <v>0</v>
    <v>a1p3ww</v>
    <v/>
    <v>28</v>
  </rv>
  <rv s="11">
    <v>19</v>
    <v>XNYS:BAC</v>
    <v>Daily</v>
    <v>46085</v>
    <v>46115</v>
    <v>0</v>
    <v>1</v>
    <v>639105984000000000,639107683736957630,0</v>
    <v>8</v>
    <v>a1o4sm</v>
    <v/>
    <v>29</v>
    <v>30</v>
    <v>31</v>
    <v>32</v>
    <v>33</v>
  </rv>
  <rv s="10">
    <v>18</v>
    <v>XNYS:BAC</v>
    <v>Daily</v>
    <v>45750</v>
    <v>46115</v>
    <v>0</v>
    <v>1</v>
    <v>639105984000000000,639107683749722411,0</v>
    <v>0</v>
    <v>a1o4sm</v>
    <v/>
    <v>34</v>
  </rv>
  <rv s="10">
    <v>18</v>
    <v>XNAS:COST</v>
    <v>Daily</v>
    <v>45750</v>
    <v>46115</v>
    <v>0</v>
    <v>1</v>
    <v>639105984000000000,639107683744166371,0</v>
    <v>0</v>
    <v>a1q6k2</v>
    <v/>
    <v>35</v>
  </rv>
  <rv s="11">
    <v>19</v>
    <v>XNAS:COST</v>
    <v>Daily</v>
    <v>46085</v>
    <v>46115</v>
    <v>0</v>
    <v>1</v>
    <v>639105984000000000,639107683743737500,0</v>
    <v>8</v>
    <v>a1q6k2</v>
    <v/>
    <v>36</v>
    <v>37</v>
    <v>38</v>
    <v>39</v>
    <v>40</v>
  </rv>
  <rv s="11">
    <v>19</v>
    <v>XNYS:DELL</v>
    <v>Daily</v>
    <v>46085</v>
    <v>46115</v>
    <v>0</v>
    <v>1</v>
    <v>639105984000000000,639107683735776392,0</v>
    <v>8</v>
    <v>a1retc</v>
    <v/>
    <v>41</v>
    <v>42</v>
    <v>43</v>
    <v>44</v>
    <v>45</v>
  </rv>
  <rv s="10">
    <v>18</v>
    <v>XNYS:DELL</v>
    <v>Daily</v>
    <v>45750</v>
    <v>46115</v>
    <v>0</v>
    <v>1</v>
    <v>639105984000000000,639107683739390388,0</v>
    <v>0</v>
    <v>a1retc</v>
    <v/>
    <v>46</v>
  </rv>
  <rv s="10">
    <v>18</v>
    <v>XNYS:XOM</v>
    <v>Daily</v>
    <v>45750</v>
    <v>46115</v>
    <v>0</v>
    <v>1</v>
    <v>639105984000000000,639107683747355593,0</v>
    <v>0</v>
    <v>a269ec</v>
    <v/>
    <v>47</v>
  </rv>
  <rv s="11">
    <v>19</v>
    <v>XNYS:XOM</v>
    <v>Daily</v>
    <v>46085</v>
    <v>46115</v>
    <v>0</v>
    <v>1</v>
    <v>639105984000000000,639107683752111825,0</v>
    <v>8</v>
    <v>a269ec</v>
    <v/>
    <v>48</v>
    <v>49</v>
    <v>50</v>
    <v>51</v>
    <v>52</v>
  </rv>
  <rv s="11">
    <v>19</v>
    <v>XNYS:GM</v>
    <v>Daily</v>
    <v>46085</v>
    <v>46115</v>
    <v>0</v>
    <v>1</v>
    <v>639105984000000000,639107683741799368,0</v>
    <v>8</v>
    <v>a1tyrw</v>
    <v/>
    <v>53</v>
    <v>54</v>
    <v>55</v>
    <v>56</v>
    <v>57</v>
  </rv>
  <rv s="10">
    <v>18</v>
    <v>XNYS:GM</v>
    <v>Daily</v>
    <v>45750</v>
    <v>46115</v>
    <v>0</v>
    <v>1</v>
    <v>639105984000000000,639107683742985395,0</v>
    <v>0</v>
    <v>a1tyrw</v>
    <v/>
    <v>58</v>
  </rv>
  <rv s="11">
    <v>19</v>
    <v>XNYS:LMT</v>
    <v>Daily</v>
    <v>46085</v>
    <v>46115</v>
    <v>0</v>
    <v>1</v>
    <v>639105984000000000,639107683738183767,0</v>
    <v>8</v>
    <v>a1wzw7</v>
    <v/>
    <v>59</v>
    <v>60</v>
    <v>61</v>
    <v>62</v>
    <v>63</v>
  </rv>
  <rv s="10">
    <v>18</v>
    <v>XNYS:LMT</v>
    <v>Daily</v>
    <v>45750</v>
    <v>46115</v>
    <v>0</v>
    <v>1</v>
    <v>639105984000000000,639107683753308302,0</v>
    <v>0</v>
    <v>a1wzw7</v>
    <v/>
    <v>64</v>
  </rv>
  <rv s="11">
    <v>19</v>
    <v>XNAS:MSFT</v>
    <v>Daily</v>
    <v>46085</v>
    <v>46115</v>
    <v>0</v>
    <v>1</v>
    <v>639105984000000000,639107683745355788,0</v>
    <v>8</v>
    <v>a1xzim</v>
    <v/>
    <v>65</v>
    <v>66</v>
    <v>67</v>
    <v>68</v>
    <v>69</v>
  </rv>
  <rv s="10">
    <v>18</v>
    <v>XNAS:MSFT</v>
    <v>Daily</v>
    <v>45750</v>
    <v>46115</v>
    <v>0</v>
    <v>1</v>
    <v>639105984000000000,639107683744944129,0</v>
    <v>0</v>
    <v>a1xzim</v>
    <v/>
    <v>70</v>
  </rv>
  <rv s="11">
    <v>19</v>
    <v>XNYS:GS</v>
    <v>Daily</v>
    <v>46085</v>
    <v>46115</v>
    <v>0</v>
    <v>1</v>
    <v>639105984000000000,639107683746610368,0</v>
    <v>8</v>
    <v>a1u7xm</v>
    <v/>
    <v>71</v>
    <v>72</v>
    <v>73</v>
    <v>74</v>
    <v>75</v>
  </rv>
  <rv s="10">
    <v>18</v>
    <v>XNYS:GS</v>
    <v>Daily</v>
    <v>45750</v>
    <v>46115</v>
    <v>0</v>
    <v>1</v>
    <v>639105984000000000,639107683754500618,0</v>
    <v>0</v>
    <v>a1u7xm</v>
    <v/>
    <v>76</v>
  </rv>
  <rv s="1">
    <v>en-US</v>
    <v>a1ndww</v>
    <v>268435456</v>
    <v>1</v>
    <v>Powered by Refinitiv</v>
    <v>0</v>
    <v>ADVANCED MICRO DEVICES, INC. (XNAS:AMD)</v>
    <v>2</v>
    <v>3</v>
    <v>Finance</v>
    <v>4</v>
    <v>267.07990000000001</v>
    <v>76.48</v>
    <v>1.9633</v>
    <v>6.78</v>
    <v>9.0390000000000002E-4</v>
    <v>3.3328000000000003E-2</v>
    <v>0.19</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213.83</v>
    <v>Semiconductors &amp; Semiconductor Equipment</v>
    <v>Stock</v>
    <v>46113.999934953128</v>
    <v>0</v>
    <v>205.84</v>
    <v>342713561190</v>
    <v>ADVANCED MICRO DEVICES, INC.</v>
    <v>ADVANCED MICRO DEVICES, INC.</v>
    <v>207.58500000000001</v>
    <v>80.713399999999993</v>
    <v>203.43</v>
    <v>210.21</v>
    <v>210.4</v>
    <v>1630339000</v>
    <v>AMD</v>
    <v>ADVANCED MICRO DEVICES, INC. (XNAS:AMD)</v>
    <v>40835794</v>
    <v>34470648</v>
    <v>1969</v>
  </rv>
  <rv s="2">
    <v>6478</v>
  </rv>
  <rv s="6">
    <v>en-US</v>
    <v>a1xzim</v>
    <v>268435456</v>
    <v>1</v>
    <v>Powered by Refinitiv</v>
    <v>10</v>
    <v>MICROSOFT CORPORATION (XNAS:MSFT)</v>
    <v>7</v>
    <v>11</v>
    <v>Finance</v>
    <v>4</v>
    <v>555.45000000000005</v>
    <v>344.79</v>
    <v>1.1076999999999999</v>
    <v>-0.8</v>
    <v>1.57E-3</v>
    <v>-2.1609999999999997E-3</v>
    <v>0.57999999999999996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373.99</v>
    <v>57</v>
    <v>Software &amp; IT Services</v>
    <v>Stock</v>
    <v>46113.999965462499</v>
    <v>58</v>
    <v>368.2</v>
    <v>2742804583730</v>
    <v>MICROSOFT CORPORATION</v>
    <v>MICROSOFT CORPORATION</v>
    <v>373.49</v>
    <v>23.111000000000001</v>
    <v>370.17</v>
    <v>369.37</v>
    <v>369.95</v>
    <v>7425629000</v>
    <v>MSFT</v>
    <v>MICROSOFT CORPORATION (XNAS:MSFT)</v>
    <v>29417206</v>
    <v>34987467</v>
    <v>1993</v>
  </rv>
  <rv s="2">
    <v>6480</v>
  </rv>
  <rv s="1">
    <v>en-US</v>
    <v>a1o4mw</v>
    <v>268435456</v>
    <v>1</v>
    <v>Powered by Refinitiv</v>
    <v>0</v>
    <v>Alibaba Group Holding Limited (XNYS:BABA)</v>
    <v>2</v>
    <v>3</v>
    <v>Finance</v>
    <v>4</v>
    <v>192.67</v>
    <v>94.974199999999996</v>
    <v>0.49390000000000001</v>
    <v>-1.73</v>
    <v>9.699000000000001E-4</v>
    <v>-1.3789000000000001E-2</v>
    <v>0.12</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128197</v>
    <v>New York Stock Exchange</v>
    <v>XNYS</v>
    <v>XNYS</v>
    <v>26/F Tower One, Times Square 1 Matheson Street Causeway Bay, Shedden Road HK</v>
    <v>126.39</v>
    <v>Software &amp; IT Services</v>
    <v>Stock</v>
    <v>46113.999965497656</v>
    <v>61</v>
    <v>123.12</v>
    <v>295394610490</v>
    <v>Alibaba Group Holding Limited</v>
    <v>Alibaba Group Holding Limited</v>
    <v>125.48</v>
    <v>16.8276</v>
    <v>125.46</v>
    <v>123.73</v>
    <v>123.85</v>
    <v>2387413000</v>
    <v>BABA</v>
    <v>Alibaba Group Holding Limited (XNYS:BABA)</v>
    <v>10297423</v>
    <v>12029129</v>
    <v>1999</v>
  </rv>
  <rv s="2">
    <v>6482</v>
  </rv>
  <rv s="1">
    <v>en-US</v>
    <v>a1retc</v>
    <v>268435456</v>
    <v>1</v>
    <v>Powered by Refinitiv</v>
    <v>0</v>
    <v>DELL TECHNOLOGIES INC. (XNYS:DELL)</v>
    <v>2</v>
    <v>3</v>
    <v>Finance</v>
    <v>4</v>
    <v>186.39</v>
    <v>66.245000000000005</v>
    <v>0.87719999999999998</v>
    <v>5.25</v>
    <v>-2.0070000000000001E-3</v>
    <v>3.1987000000000002E-2</v>
    <v>-0.34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171.33</v>
    <v>Computers, Phones &amp; Household Electronics</v>
    <v>Stock</v>
    <v>46113.999952198435</v>
    <v>64</v>
    <v>164.76</v>
    <v>109376880930</v>
    <v>DELL TECHNOLOGIES INC.</v>
    <v>DELL TECHNOLOGIES INC.</v>
    <v>166.98</v>
    <v>19.4254</v>
    <v>164.13</v>
    <v>169.38</v>
    <v>169.04</v>
    <v>645748500</v>
    <v>DELL</v>
    <v>DELL TECHNOLOGIES INC. (XNYS:DELL)</v>
    <v>7311128</v>
    <v>10897712</v>
    <v>2013</v>
  </rv>
  <rv s="2">
    <v>6484</v>
  </rv>
  <rv s="1">
    <v>en-US</v>
    <v>a1u7xm</v>
    <v>268435456</v>
    <v>1</v>
    <v>Powered by Refinitiv</v>
    <v>0</v>
    <v>THE GOLDMAN SACHS GROUP, INC. (XNYS:GS)</v>
    <v>2</v>
    <v>3</v>
    <v>Finance</v>
    <v>4</v>
    <v>984.7</v>
    <v>439.38</v>
    <v>1.3108</v>
    <v>14.22</v>
    <v>1.616E-3</v>
    <v>1.6809000000000001E-2</v>
    <v>1.39</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870.2</v>
    <v>Investment Banking &amp; Investment Services</v>
    <v>Stock</v>
    <v>46113.99977864531</v>
    <v>67</v>
    <v>850.15</v>
    <v>253756702719</v>
    <v>THE GOLDMAN SACHS GROUP, INC.</v>
    <v>THE GOLDMAN SACHS GROUP, INC.</v>
    <v>859.95</v>
    <v>16.7681</v>
    <v>845.99</v>
    <v>860.21</v>
    <v>861.6</v>
    <v>294993900</v>
    <v>GS</v>
    <v>THE GOLDMAN SACHS GROUP, INC. (XNYS:GS)</v>
    <v>1803625</v>
    <v>2500791</v>
    <v>1998</v>
  </rv>
  <rv s="2">
    <v>6486</v>
  </rv>
  <rv s="1">
    <v>en-US</v>
    <v>a269ec</v>
    <v>268435456</v>
    <v>1</v>
    <v>Powered by Refinitiv</v>
    <v>0</v>
    <v>EXXON MOBIL CORPORATION (XNYS:XOM)</v>
    <v>2</v>
    <v>3</v>
    <v>Finance</v>
    <v>4</v>
    <v>176.41</v>
    <v>97.8</v>
    <v>0.28839999999999999</v>
    <v>-8.8800000000000008</v>
    <v>-7.9620000000000003E-3</v>
    <v>-5.2339999999999998E-2</v>
    <v>-1.2801</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168</v>
    <v>Oil &amp; Gas</v>
    <v>Stock</v>
    <v>46113.99996366875</v>
    <v>70</v>
    <v>159.53</v>
    <v>669932315920</v>
    <v>EXXON MOBIL CORPORATION</v>
    <v>EXXON MOBIL CORPORATION</v>
    <v>165.77</v>
    <v>25.3965</v>
    <v>169.66</v>
    <v>160.78</v>
    <v>159.4999</v>
    <v>4166764000</v>
    <v>XOM</v>
    <v>EXXON MOBIL CORPORATION (XNYS:XOM)</v>
    <v>37927639</v>
    <v>24445606</v>
    <v>1882</v>
  </rv>
  <rv s="2">
    <v>6488</v>
  </rv>
  <rv s="1">
    <v>en-US</v>
    <v>a1tyrw</v>
    <v>268435456</v>
    <v>1</v>
    <v>Powered by Refinitiv</v>
    <v>0</v>
    <v>GENERAL MOTORS COMPANY (XNYS:GM)</v>
    <v>2</v>
    <v>3</v>
    <v>Finance</v>
    <v>4</v>
    <v>87.62</v>
    <v>41.6</v>
    <v>1.3454999999999999</v>
    <v>0.54</v>
    <v>-3.8649999999999999E-3</v>
    <v>7.2480000000000001E-3</v>
    <v>-0.28999999999999998</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75.87</v>
    <v>Automobiles &amp; Auto Parts</v>
    <v>Stock</v>
    <v>46113.994433066408</v>
    <v>73</v>
    <v>74.715000000000003</v>
    <v>67833743712</v>
    <v>GENERAL MOTORS COMPANY</v>
    <v>GENERAL MOTORS COMPANY</v>
    <v>75.2</v>
    <v>22.960699999999999</v>
    <v>74.5</v>
    <v>75.040000000000006</v>
    <v>74.75</v>
    <v>903967800</v>
    <v>GM</v>
    <v>GENERAL MOTORS COMPANY (XNYS:GM)</v>
    <v>5147737</v>
    <v>8280562</v>
    <v>2009</v>
  </rv>
  <rv s="2">
    <v>6490</v>
  </rv>
  <rv s="1">
    <v>en-US</v>
    <v>a1o4sm</v>
    <v>268435456</v>
    <v>1</v>
    <v>Powered by Refinitiv</v>
    <v>0</v>
    <v>BANK OF AMERICA CORPORATION (XNYS:BAC)</v>
    <v>2</v>
    <v>3</v>
    <v>Finance</v>
    <v>4</v>
    <v>57.55</v>
    <v>33.064999999999998</v>
    <v>1.2373000000000001</v>
    <v>0.52</v>
    <v>0</v>
    <v>1.0666999999999999E-2</v>
    <v>0</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50.05</v>
    <v>Banking Services</v>
    <v>Stock</v>
    <v>46113.999703310154</v>
    <v>76</v>
    <v>48.774999999999999</v>
    <v>352069082430</v>
    <v>BANK OF AMERICA CORPORATION</v>
    <v>BANK OF AMERICA CORPORATION</v>
    <v>49.7</v>
    <v>13.024699999999999</v>
    <v>48.75</v>
    <v>49.27</v>
    <v>49.27</v>
    <v>7145709000</v>
    <v>BAC</v>
    <v>BANK OF AMERICA CORPORATION (XNYS:BAC)</v>
    <v>32947016</v>
    <v>45797606</v>
    <v>1998</v>
  </rv>
  <rv s="2">
    <v>6492</v>
  </rv>
  <rv s="1">
    <v>en-US</v>
    <v>a1wzw7</v>
    <v>268435456</v>
    <v>1</v>
    <v>Powered by Refinitiv</v>
    <v>0</v>
    <v>LOCKHEED MARTIN CORPORATION (XNYS:LMT)</v>
    <v>2</v>
    <v>3</v>
    <v>Finance</v>
    <v>4</v>
    <v>692</v>
    <v>410.11</v>
    <v>0.2402</v>
    <v>13.25</v>
    <v>3.1819999999999999E-3</v>
    <v>2.1922999999999998E-2</v>
    <v>1.9655</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619.1</v>
    <v>Aerospace &amp; Defense</v>
    <v>Stock</v>
    <v>46113.996378645315</v>
    <v>79</v>
    <v>606.11</v>
    <v>142342611444</v>
    <v>LOCKHEED MARTIN CORPORATION</v>
    <v>LOCKHEED MARTIN CORPORATION</v>
    <v>608.82000000000005</v>
    <v>28.745999999999999</v>
    <v>604.39</v>
    <v>617.64</v>
    <v>619.60550000000001</v>
    <v>230462100</v>
    <v>LMT</v>
    <v>LOCKHEED MARTIN CORPORATION (XNYS:LMT)</v>
    <v>1118050</v>
    <v>1794575</v>
    <v>1994</v>
  </rv>
  <rv s="2">
    <v>6494</v>
  </rv>
  <rv s="1">
    <v>en-US</v>
    <v>a1q6k2</v>
    <v>268435456</v>
    <v>1</v>
    <v>Powered by Refinitiv</v>
    <v>0</v>
    <v>COSTCO WHOLESALE CORPORATION (XNAS:COST)</v>
    <v>2</v>
    <v>3</v>
    <v>Finance</v>
    <v>4</v>
    <v>1067.08</v>
    <v>844.06</v>
    <v>0.98629999999999995</v>
    <v>0.13</v>
    <v>-1.059E-3</v>
    <v>1.305E-4</v>
    <v>-1.0549999999999999</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1003.13</v>
    <v>Diversified Retail</v>
    <v>Stock</v>
    <v>46113.999782383595</v>
    <v>82</v>
    <v>990.59</v>
    <v>442126335400</v>
    <v>COSTCO WHOLESALE CORPORATION</v>
    <v>COSTCO WHOLESALE CORPORATION</v>
    <v>995.02499999999998</v>
    <v>53.382800000000003</v>
    <v>996.43</v>
    <v>996.56</v>
    <v>995.505</v>
    <v>443652500</v>
    <v>COST</v>
    <v>COSTCO WHOLESALE CORPORATION (XNAS:COST)</v>
    <v>1769848</v>
    <v>1858117</v>
    <v>1987</v>
  </rv>
  <rv s="2">
    <v>6496</v>
  </rv>
  <rv s="12">
    <v>77</v>
  </rv>
  <rv s="13">
    <v>{C95F8C75-B2E0-4221-B4F5-DB6040B91045}</v>
    <v>0</v>
    <v>20</v>
    <v>6498</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formattednumber">
    <k n="_Format" t="spb"/>
  </s>
  <s t="_error">
    <k n="colOffset" t="i"/>
    <k n="errorType" t="i"/>
    <k n="rwOffset" t="i"/>
    <k n="subType" t="i"/>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
      <v t="s">Stock</v>
      <v t="s">_CRID</v>
      <v t="s">%XLUID</v>
      <v t="s">_Display</v>
    </a>
  </spbArrays>
  <spbData count="21">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1</v>
      <v>3</v>
      <v>1</v>
      <v>10</v>
      <v>1</v>
      <v>1</v>
      <v>4</v>
      <v>4</v>
      <v>5</v>
      <v>6</v>
      <v>1</v>
      <v>1</v>
      <v>1</v>
      <v>4</v>
      <v>7</v>
      <v>8</v>
      <v>9</v>
      <v>4</v>
      <v>1</v>
      <v>1</v>
      <v>5</v>
    </spb>
    <spb s="8">
      <v>Powered by Refinitiv</v>
    </spb>
    <spb s="0">
      <v>2</v>
      <v>Name</v>
      <v>LearnMoreOnLink</v>
    </spb>
    <spb s="9">
      <v>1</v>
      <v>2</v>
      <v>2</v>
      <v>1</v>
      <v>3</v>
      <v>1</v>
      <v>10</v>
      <v>1</v>
      <v>1</v>
      <v>4</v>
      <v>4</v>
      <v>5</v>
      <v>6</v>
      <v>1</v>
      <v>1</v>
      <v>1</v>
      <v>4</v>
      <v>7</v>
      <v>8</v>
      <v>9</v>
      <v>4</v>
      <v>1</v>
      <v>1</v>
      <v>5</v>
    </spb>
    <spb s="0">
      <v>3</v>
      <v>Name</v>
      <v>LearnMoreOnLink</v>
    </spb>
    <spb s="10">
      <v>2</v>
      <v>2</v>
      <v>3</v>
      <v>1</v>
      <v>1</v>
      <v>1</v>
      <v>4</v>
      <v>4</v>
      <v>5</v>
      <v>6</v>
      <v>1</v>
      <v>1</v>
      <v>1</v>
      <v>4</v>
      <v>7</v>
      <v>8</v>
      <v>9</v>
      <v>4</v>
    </spb>
    <spb s="11">
      <v>Delayed 15 minutes</v>
      <v>from previous close</v>
      <v>from previous close</v>
      <v>LSE</v>
      <v>GMT</v>
    </spb>
    <spb s="12">
      <v>11</v>
    </spb>
    <spb s="12">
      <v>1</v>
    </spb>
    <spb s="12">
      <v>4</v>
    </spb>
    <spb s="13">
      <v>11</v>
      <v>1</v>
    </spb>
    <spb s="14">
      <v>1</v>
      <v>11</v>
      <v>1</v>
      <v>1</v>
      <v>1</v>
      <v>4</v>
    </spb>
    <spb s="15">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_Self" t="i"/>
  </s>
  <s>
    <k n="Date" t="i"/>
    <k n="Close" t="i"/>
  </s>
  <s>
    <k n="Low" t="i"/>
    <k n="Date" t="i"/>
    <k n="High" t="i"/>
    <k n="Open" t="i"/>
    <k n="Close" t="i"/>
    <k n="Volume" t="i"/>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60" dataDxfId="67" headerRowBorderDxfId="59" tableBorderDxfId="248" totalsRowBorderDxfId="247">
  <autoFilter ref="A1:L11" xr:uid="{60CE9A1E-333C-406A-B3FD-1C761AEEC348}"/>
  <tableColumns count="12">
    <tableColumn id="3" xr3:uid="{E8AEE88F-2942-48AC-8B1C-8E8810CAFAC5}" name="Stock" dataDxfId="79"/>
    <tableColumn id="4" xr3:uid="{DE336B69-F745-40B4-82C4-57DD94E0C080}" name="Ticker symbol" dataDxfId="78">
      <calculatedColumnFormula array="1">_FV(Table2[[#This Row],[Stock]],"Ticker symbol",TRUE)</calculatedColumnFormula>
    </tableColumn>
    <tableColumn id="5" xr3:uid="{F5D7E1F7-D3D6-401A-AD50-8E4899FF66DE}" name="52 week high" dataDxfId="77">
      <calculatedColumnFormula array="1">_FV(Table2[[#This Row],[Stock]],"52 week high",TRUE)</calculatedColumnFormula>
    </tableColumn>
    <tableColumn id="6" xr3:uid="{440DC7BE-F616-421B-ADA3-838C34E9D15A}" name="52 week low" dataDxfId="76">
      <calculatedColumnFormula array="1">_FV(Table2[[#This Row],[Stock]],"52 week low",TRUE)</calculatedColumnFormula>
    </tableColumn>
    <tableColumn id="7" xr3:uid="{12CE8BED-E2DE-4599-AE5A-18A21F5AABFA}" name="Beta" dataDxfId="75">
      <calculatedColumnFormula array="1">_FV(Table2[[#This Row],[Stock]],"Beta")</calculatedColumnFormula>
    </tableColumn>
    <tableColumn id="9" xr3:uid="{E3B1BD9F-B8A7-400A-ABBE-962B9D2708AA}" name="P/E" dataDxfId="74">
      <calculatedColumnFormula array="1">_FV(Table2[[#This Row],[Stock]],"P/E",TRUE)</calculatedColumnFormula>
    </tableColumn>
    <tableColumn id="10" xr3:uid="{72B81329-389E-4C05-ADF5-FB1C44A7A6A0}" name="Change" dataDxfId="73">
      <calculatedColumnFormula array="1">_FV(Table2[[#This Row],[Stock]],"Change")</calculatedColumnFormula>
    </tableColumn>
    <tableColumn id="11" xr3:uid="{35B33FE8-BC08-4240-AA0A-580BC484F81B}" name="High" dataDxfId="72">
      <calculatedColumnFormula array="1">_FV(Table2[[#This Row],[Stock]],"High")</calculatedColumnFormula>
    </tableColumn>
    <tableColumn id="12" xr3:uid="{1F9AD851-C9F0-4F37-AB5E-294CC6CCF9C3}" name="Low" dataDxfId="71">
      <calculatedColumnFormula array="1">_FV(Table2[[#This Row],[Stock]],"Low")</calculatedColumnFormula>
    </tableColumn>
    <tableColumn id="13" xr3:uid="{94E1203A-56DC-4E2B-8F60-B9FAF044E345}" name="Market cap" dataDxfId="70">
      <calculatedColumnFormula array="1">_FV(Table2[[#This Row],[Stock]],"Market cap",TRUE)</calculatedColumnFormula>
    </tableColumn>
    <tableColumn id="14" xr3:uid="{68256EF8-572B-4195-BB92-ABDF38E7A527}" name="Industry" dataDxfId="69">
      <calculatedColumnFormula array="1">_FV(Table2[[#This Row],[Stock]],"Industry")</calculatedColumnFormula>
    </tableColumn>
    <tableColumn id="16" xr3:uid="{9C453AE8-868B-4961-BBF0-8D32C0EA552B}" name="Exchange abbreviation" dataDxfId="68">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H114" totalsRowShown="0" headerRowDxfId="99" headerRowBorderDxfId="98" tableBorderDxfId="246" totalsRowBorderDxfId="245">
  <autoFilter ref="B2:H114" xr:uid="{AF121A6A-45F0-4D7F-B1EC-F9874D598968}"/>
  <tableColumns count="7">
    <tableColumn id="1" xr3:uid="{1AFFF42E-3FE1-4FEA-AC5B-DC58EC4E67FC}" name="Date" dataDxfId="168"/>
    <tableColumn id="2" xr3:uid="{F6D81D1F-7B09-4663-8C34-FE4137230D89}" name="Stock" dataDxfId="167"/>
    <tableColumn id="3" xr3:uid="{BCB2D1C8-1594-4C0D-A1D9-F67FE3ED2EEF}" name="Transaction Type" dataDxfId="166"/>
    <tableColumn id="4" xr3:uid="{0780C279-6B06-4EBD-8955-24A4CB3DF0F3}" name="Price" dataDxfId="165"/>
    <tableColumn id="5" xr3:uid="{E086C102-9EB7-4931-895A-66375AF61BF9}" name="Units" dataDxfId="164"/>
    <tableColumn id="6" xr3:uid="{70BDA7E6-E059-4AE0-8054-7E96ED0B2C08}" name="Transaction Amount" dataDxfId="163">
      <calculatedColumnFormula>E3*F3</calculatedColumnFormula>
    </tableColumn>
    <tableColumn id="7" xr3:uid="{26E239BE-2112-458D-92DF-818BC9884901}" name="Ticker" dataDxfId="162">
      <calculatedColumnFormula array="1">_FV(Ledger[[#This Row],[Stock]],"Ticker symbol",TRUE)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E49FFB-045A-498E-B384-08DE769F6907}">
  <we:reference id="wa200009404" version="1.0.0.8" store="en-US" storeType="OMEX"/>
  <we:alternateReferences>
    <we:reference id="wa200009404" version="1.0.0.8" store="wa200009404"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50"/>
  <sheetViews>
    <sheetView showGridLines="0" workbookViewId="0">
      <selection activeCell="L31" sqref="L31"/>
    </sheetView>
  </sheetViews>
  <sheetFormatPr defaultRowHeight="14.5" x14ac:dyDescent="0.35"/>
  <cols>
    <col min="1" max="1" width="36.36328125" customWidth="1"/>
    <col min="2" max="2" width="109.08984375" customWidth="1"/>
  </cols>
  <sheetData>
    <row r="1" spans="1:2" ht="45" customHeight="1" x14ac:dyDescent="0.6">
      <c r="A1" s="156" t="s">
        <v>71</v>
      </c>
      <c r="B1" s="157"/>
    </row>
    <row r="2" spans="1:2" x14ac:dyDescent="0.35">
      <c r="A2" s="158" t="s">
        <v>72</v>
      </c>
      <c r="B2" s="159"/>
    </row>
    <row r="4" spans="1:2" ht="18.5" x14ac:dyDescent="0.45">
      <c r="A4" s="72" t="s">
        <v>73</v>
      </c>
      <c r="B4" s="157"/>
    </row>
    <row r="5" spans="1:2" ht="29" x14ac:dyDescent="0.35">
      <c r="A5" s="95" t="s">
        <v>74</v>
      </c>
      <c r="B5" s="163" t="s">
        <v>75</v>
      </c>
    </row>
    <row r="6" spans="1:2" ht="29" x14ac:dyDescent="0.35">
      <c r="A6" s="89" t="s">
        <v>76</v>
      </c>
      <c r="B6" s="46" t="s">
        <v>77</v>
      </c>
    </row>
    <row r="7" spans="1:2" ht="29" x14ac:dyDescent="0.35">
      <c r="A7" s="95" t="s">
        <v>78</v>
      </c>
      <c r="B7" s="163" t="s">
        <v>158</v>
      </c>
    </row>
    <row r="8" spans="1:2" ht="29" x14ac:dyDescent="0.35">
      <c r="A8" s="89" t="s">
        <v>79</v>
      </c>
      <c r="B8" s="46" t="s">
        <v>80</v>
      </c>
    </row>
    <row r="9" spans="1:2" x14ac:dyDescent="0.35">
      <c r="A9" s="95"/>
      <c r="B9" s="163"/>
    </row>
    <row r="10" spans="1:2" ht="18.5" x14ac:dyDescent="0.45">
      <c r="A10" s="164" t="s">
        <v>91</v>
      </c>
      <c r="B10" s="46"/>
    </row>
    <row r="11" spans="1:2" ht="15" thickBot="1" x14ac:dyDescent="0.4">
      <c r="A11" s="165" t="s">
        <v>81</v>
      </c>
      <c r="B11" s="166" t="s">
        <v>29</v>
      </c>
    </row>
    <row r="12" spans="1:2" ht="29" x14ac:dyDescent="0.35">
      <c r="A12" s="47" t="s">
        <v>82</v>
      </c>
      <c r="B12" s="45" t="s">
        <v>92</v>
      </c>
    </row>
    <row r="13" spans="1:2" ht="18.5" x14ac:dyDescent="0.45">
      <c r="A13" s="72" t="s">
        <v>83</v>
      </c>
      <c r="B13" s="160" t="s">
        <v>93</v>
      </c>
    </row>
    <row r="14" spans="1:2" ht="15" thickBot="1" x14ac:dyDescent="0.4">
      <c r="A14" s="161" t="s">
        <v>84</v>
      </c>
      <c r="B14" s="162" t="s">
        <v>94</v>
      </c>
    </row>
    <row r="15" spans="1:2" x14ac:dyDescent="0.35">
      <c r="A15" s="167" t="s">
        <v>85</v>
      </c>
      <c r="B15" s="163" t="s">
        <v>95</v>
      </c>
    </row>
    <row r="16" spans="1:2" ht="29" x14ac:dyDescent="0.35">
      <c r="A16" s="48" t="s">
        <v>390</v>
      </c>
      <c r="B16" s="46" t="s">
        <v>391</v>
      </c>
    </row>
    <row r="17" spans="1:2" ht="29" x14ac:dyDescent="0.35">
      <c r="A17" s="167" t="s">
        <v>392</v>
      </c>
      <c r="B17" s="163" t="s">
        <v>393</v>
      </c>
    </row>
    <row r="18" spans="1:2" ht="29" x14ac:dyDescent="0.35">
      <c r="A18" s="48" t="s">
        <v>394</v>
      </c>
      <c r="B18" s="46" t="s">
        <v>395</v>
      </c>
    </row>
    <row r="19" spans="1:2" x14ac:dyDescent="0.35">
      <c r="A19" s="167" t="s">
        <v>86</v>
      </c>
      <c r="B19" s="163" t="s">
        <v>96</v>
      </c>
    </row>
    <row r="20" spans="1:2" x14ac:dyDescent="0.35">
      <c r="A20" s="48" t="s">
        <v>97</v>
      </c>
      <c r="B20" s="46" t="s">
        <v>98</v>
      </c>
    </row>
    <row r="21" spans="1:2" x14ac:dyDescent="0.35">
      <c r="A21" s="167"/>
      <c r="B21" s="163"/>
    </row>
    <row r="22" spans="1:2" ht="18.5" x14ac:dyDescent="0.45">
      <c r="A22" s="168" t="s">
        <v>99</v>
      </c>
      <c r="B22" s="46"/>
    </row>
    <row r="23" spans="1:2" ht="15" thickBot="1" x14ac:dyDescent="0.4">
      <c r="A23" s="169" t="s">
        <v>87</v>
      </c>
      <c r="B23" s="166" t="s">
        <v>88</v>
      </c>
    </row>
    <row r="24" spans="1:2" x14ac:dyDescent="0.35">
      <c r="A24" s="42" t="s">
        <v>89</v>
      </c>
      <c r="B24" s="45" t="s">
        <v>101</v>
      </c>
    </row>
    <row r="25" spans="1:2" ht="18.5" x14ac:dyDescent="0.45">
      <c r="A25" s="72" t="s">
        <v>90</v>
      </c>
      <c r="B25" s="160" t="s">
        <v>102</v>
      </c>
    </row>
    <row r="26" spans="1:2" ht="15" thickBot="1" x14ac:dyDescent="0.4">
      <c r="A26" s="161" t="s">
        <v>103</v>
      </c>
      <c r="B26" s="162" t="s">
        <v>104</v>
      </c>
    </row>
    <row r="27" spans="1:2" x14ac:dyDescent="0.35">
      <c r="A27" s="95" t="s">
        <v>105</v>
      </c>
      <c r="B27" s="163" t="s">
        <v>106</v>
      </c>
    </row>
    <row r="28" spans="1:2" x14ac:dyDescent="0.35">
      <c r="A28" s="89" t="s">
        <v>107</v>
      </c>
      <c r="B28" s="46" t="s">
        <v>108</v>
      </c>
    </row>
    <row r="29" spans="1:2" x14ac:dyDescent="0.35">
      <c r="A29" s="95" t="s">
        <v>100</v>
      </c>
      <c r="B29" s="163" t="s">
        <v>109</v>
      </c>
    </row>
    <row r="30" spans="1:2" x14ac:dyDescent="0.35">
      <c r="A30" s="89" t="s">
        <v>110</v>
      </c>
      <c r="B30" s="46" t="s">
        <v>111</v>
      </c>
    </row>
    <row r="31" spans="1:2" x14ac:dyDescent="0.35">
      <c r="A31" s="95" t="s">
        <v>112</v>
      </c>
      <c r="B31" s="163" t="s">
        <v>113</v>
      </c>
    </row>
    <row r="32" spans="1:2" x14ac:dyDescent="0.35">
      <c r="A32" s="89" t="s">
        <v>114</v>
      </c>
      <c r="B32" s="46" t="s">
        <v>159</v>
      </c>
    </row>
    <row r="33" spans="1:2" x14ac:dyDescent="0.35">
      <c r="A33" s="95"/>
      <c r="B33" s="163"/>
    </row>
    <row r="34" spans="1:2" ht="18.5" x14ac:dyDescent="0.45">
      <c r="A34" s="164" t="s">
        <v>115</v>
      </c>
      <c r="B34" s="46"/>
    </row>
    <row r="35" spans="1:2" x14ac:dyDescent="0.35">
      <c r="A35" s="95" t="s">
        <v>116</v>
      </c>
      <c r="B35" s="170" t="s">
        <v>117</v>
      </c>
    </row>
    <row r="36" spans="1:2" x14ac:dyDescent="0.35">
      <c r="A36" s="7" t="s">
        <v>118</v>
      </c>
      <c r="B36" s="11" t="s">
        <v>119</v>
      </c>
    </row>
    <row r="37" spans="1:2" x14ac:dyDescent="0.35">
      <c r="A37" s="4" t="s">
        <v>120</v>
      </c>
      <c r="B37" s="9" t="s">
        <v>121</v>
      </c>
    </row>
    <row r="38" spans="1:2" x14ac:dyDescent="0.35">
      <c r="A38" s="7" t="s">
        <v>122</v>
      </c>
      <c r="B38" s="11" t="s">
        <v>123</v>
      </c>
    </row>
    <row r="39" spans="1:2" x14ac:dyDescent="0.35">
      <c r="A39" s="4" t="s">
        <v>124</v>
      </c>
      <c r="B39" s="9" t="s">
        <v>125</v>
      </c>
    </row>
    <row r="40" spans="1:2" x14ac:dyDescent="0.35">
      <c r="A40" s="7" t="s">
        <v>126</v>
      </c>
      <c r="B40" s="11" t="s">
        <v>127</v>
      </c>
    </row>
    <row r="41" spans="1:2" x14ac:dyDescent="0.35">
      <c r="A41" s="4" t="s">
        <v>128</v>
      </c>
      <c r="B41" s="9" t="s">
        <v>129</v>
      </c>
    </row>
    <row r="42" spans="1:2" x14ac:dyDescent="0.35">
      <c r="B42" s="9"/>
    </row>
    <row r="43" spans="1:2" ht="18.5" x14ac:dyDescent="0.45">
      <c r="A43" s="3" t="s">
        <v>130</v>
      </c>
      <c r="B43" s="10"/>
    </row>
    <row r="44" spans="1:2" ht="29" x14ac:dyDescent="0.35">
      <c r="A44" s="6" t="s">
        <v>131</v>
      </c>
      <c r="B44" s="11" t="s">
        <v>132</v>
      </c>
    </row>
    <row r="45" spans="1:2" ht="29" x14ac:dyDescent="0.35">
      <c r="A45" s="5" t="s">
        <v>133</v>
      </c>
      <c r="B45" s="9" t="s">
        <v>134</v>
      </c>
    </row>
    <row r="46" spans="1:2" x14ac:dyDescent="0.35">
      <c r="A46" s="6" t="s">
        <v>135</v>
      </c>
      <c r="B46" s="11" t="s">
        <v>136</v>
      </c>
    </row>
    <row r="47" spans="1:2" x14ac:dyDescent="0.35">
      <c r="A47" s="5" t="s">
        <v>137</v>
      </c>
      <c r="B47" s="9" t="s">
        <v>138</v>
      </c>
    </row>
    <row r="48" spans="1:2" x14ac:dyDescent="0.35">
      <c r="A48" s="6" t="s">
        <v>139</v>
      </c>
      <c r="B48" s="11" t="s">
        <v>140</v>
      </c>
    </row>
    <row r="50" spans="1:1" x14ac:dyDescent="0.35">
      <c r="A50" s="8" t="s">
        <v>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8"/>
  <sheetViews>
    <sheetView showGridLines="0" workbookViewId="0"/>
  </sheetViews>
  <sheetFormatPr defaultRowHeight="14.5" x14ac:dyDescent="0.35"/>
  <cols>
    <col min="1" max="1" width="49.08984375" customWidth="1"/>
    <col min="2" max="4" width="18.1796875" customWidth="1"/>
    <col min="5" max="5" width="67.26953125" customWidth="1"/>
  </cols>
  <sheetData>
    <row r="1" spans="1:5" ht="21" x14ac:dyDescent="0.5">
      <c r="A1" s="87" t="s">
        <v>338</v>
      </c>
      <c r="B1" s="178"/>
      <c r="C1" s="178"/>
      <c r="D1" s="178"/>
      <c r="E1" s="178"/>
    </row>
    <row r="2" spans="1:5" x14ac:dyDescent="0.35">
      <c r="A2" s="88" t="s">
        <v>339</v>
      </c>
      <c r="B2" s="178"/>
      <c r="C2" s="178"/>
      <c r="D2" s="178"/>
      <c r="E2" s="178"/>
    </row>
    <row r="3" spans="1:5" x14ac:dyDescent="0.35">
      <c r="A3" s="171"/>
      <c r="B3" s="171"/>
      <c r="C3" s="171"/>
      <c r="D3" s="171"/>
      <c r="E3" s="171"/>
    </row>
    <row r="4" spans="1:5" ht="15.5" x14ac:dyDescent="0.35">
      <c r="A4" s="179" t="s">
        <v>340</v>
      </c>
      <c r="B4" s="171"/>
      <c r="C4" s="171"/>
      <c r="D4" s="171"/>
      <c r="E4" s="171"/>
    </row>
    <row r="5" spans="1:5" ht="15" thickBot="1" x14ac:dyDescent="0.4">
      <c r="A5" s="59" t="s">
        <v>341</v>
      </c>
      <c r="B5" s="59" t="s">
        <v>342</v>
      </c>
      <c r="C5" s="59" t="s">
        <v>343</v>
      </c>
      <c r="D5" s="59" t="s">
        <v>62</v>
      </c>
      <c r="E5" s="59" t="s">
        <v>344</v>
      </c>
    </row>
    <row r="6" spans="1:5" x14ac:dyDescent="0.35">
      <c r="A6" s="51" t="s">
        <v>345</v>
      </c>
      <c r="B6" s="180">
        <v>1</v>
      </c>
      <c r="C6" s="180">
        <f ca="1">SUM(Dashboard!L7:L22)</f>
        <v>1</v>
      </c>
      <c r="D6" s="181" t="str">
        <f ca="1">IF(ABS(C6-1)&lt;0.001,"✅ PASS","❌ FAIL")</f>
        <v>✅ PASS</v>
      </c>
      <c r="E6" s="182" t="s">
        <v>346</v>
      </c>
    </row>
    <row r="7" spans="1:5" x14ac:dyDescent="0.35">
      <c r="A7" s="183" t="s">
        <v>347</v>
      </c>
      <c r="B7" s="495">
        <f ca="1">Dashboard!B3</f>
        <v>302909.21540000004</v>
      </c>
      <c r="C7" s="495">
        <f ca="1">SUM(Dashboard!F7:F22)</f>
        <v>302909.21540000004</v>
      </c>
      <c r="D7" s="172" t="str">
        <f ca="1">IF(ABS(B7-C7)&lt;1,"✅ PASS","❌ FAIL")</f>
        <v>✅ PASS</v>
      </c>
      <c r="E7" s="173" t="s">
        <v>348</v>
      </c>
    </row>
    <row r="8" spans="1:5" x14ac:dyDescent="0.35">
      <c r="A8" s="186" t="s">
        <v>349</v>
      </c>
      <c r="B8" s="496">
        <f ca="1">Dashboard!D3</f>
        <v>132051.42120000004</v>
      </c>
      <c r="C8" s="496">
        <f ca="1">SUM(Dashboard!N7:N22)</f>
        <v>132051.42119999998</v>
      </c>
      <c r="D8" s="184" t="str">
        <f ca="1">IF(ABS(B8-C8)&lt;1,"✅ PASS","❌ FAIL")</f>
        <v>✅ PASS</v>
      </c>
      <c r="E8" s="185" t="s">
        <v>350</v>
      </c>
    </row>
    <row r="9" spans="1:5" x14ac:dyDescent="0.35">
      <c r="A9" s="183" t="s">
        <v>351</v>
      </c>
      <c r="B9" s="495">
        <f ca="1">Dashboard!E3</f>
        <v>170857.7942</v>
      </c>
      <c r="C9" s="495">
        <f ca="1">Dashboard!B3-Dashboard!D3</f>
        <v>170857.7942</v>
      </c>
      <c r="D9" s="172" t="str">
        <f ca="1">IF(ABS(B9-C9)&lt;1,"✅ PASS","❌ FAIL")</f>
        <v>✅ PASS</v>
      </c>
      <c r="E9" s="173" t="s">
        <v>352</v>
      </c>
    </row>
    <row r="10" spans="1:5" x14ac:dyDescent="0.35">
      <c r="A10" s="186" t="s">
        <v>353</v>
      </c>
      <c r="B10" s="187">
        <v>16</v>
      </c>
      <c r="C10" s="187">
        <f>COUNTA(Dashboard!B7:B22)</f>
        <v>16</v>
      </c>
      <c r="D10" s="184" t="str">
        <f>IF(B10=C10,"✅ PASS","❌ FAIL")</f>
        <v>✅ PASS</v>
      </c>
      <c r="E10" s="185" t="s">
        <v>354</v>
      </c>
    </row>
    <row r="11" spans="1:5" x14ac:dyDescent="0.35">
      <c r="A11" s="183" t="s">
        <v>355</v>
      </c>
      <c r="B11" s="174">
        <v>1</v>
      </c>
      <c r="C11" s="174">
        <f ca="1">SUM(Dashboard!D30:D39)</f>
        <v>1.0000000000000002</v>
      </c>
      <c r="D11" s="172" t="str">
        <f ca="1">IF(ABS(C11-1)&lt;0.001,"✅ PASS","❌ FAIL")</f>
        <v>✅ PASS</v>
      </c>
      <c r="E11" s="173" t="s">
        <v>356</v>
      </c>
    </row>
    <row r="12" spans="1:5" x14ac:dyDescent="0.35">
      <c r="A12" s="186" t="s">
        <v>357</v>
      </c>
      <c r="B12" s="188">
        <f ca="1">Dashboard!J3</f>
        <v>0.18781093738554927</v>
      </c>
      <c r="C12" s="188">
        <f ca="1">Dashboard!K25</f>
        <v>0.18781093738554927</v>
      </c>
      <c r="D12" s="184" t="str">
        <f ca="1">IF(ABS(B12-C12)&lt;0.001,"✅ PASS","❌ FAIL")</f>
        <v>✅ PASS</v>
      </c>
      <c r="E12" s="185" t="s">
        <v>358</v>
      </c>
    </row>
    <row r="13" spans="1:5" x14ac:dyDescent="0.35">
      <c r="A13" s="183" t="s">
        <v>359</v>
      </c>
      <c r="B13" s="175">
        <f ca="1">Dashboard!J3</f>
        <v>0.18781093738554927</v>
      </c>
      <c r="C13" s="175">
        <f ca="1">SUM(Dashboard!E30:E39)</f>
        <v>0.18781093738554944</v>
      </c>
      <c r="D13" s="172" t="str">
        <f ca="1">IF(ABS(B13-C13)&lt;0.001,"✅ PASS","❌ FAIL")</f>
        <v>✅ PASS</v>
      </c>
      <c r="E13" s="173" t="s">
        <v>360</v>
      </c>
    </row>
    <row r="14" spans="1:5" x14ac:dyDescent="0.35">
      <c r="A14" s="186" t="s">
        <v>361</v>
      </c>
      <c r="B14" s="189">
        <f ca="1">Dashboard!O3</f>
        <v>0.875</v>
      </c>
      <c r="C14" s="189">
        <f ca="1">COUNTIF(Dashboard!I7:I22,"&gt;0")/COUNTA(Dashboard!I7:I22)</f>
        <v>0.875</v>
      </c>
      <c r="D14" s="184" t="str">
        <f ca="1">IF(ABS(B14-C14)&lt;0.001,"✅ PASS","❌ FAIL")</f>
        <v>✅ PASS</v>
      </c>
      <c r="E14" s="185" t="s">
        <v>362</v>
      </c>
    </row>
    <row r="15" spans="1:5" x14ac:dyDescent="0.35">
      <c r="A15" s="183" t="s">
        <v>363</v>
      </c>
      <c r="B15" s="174">
        <f>1/16</f>
        <v>6.25E-2</v>
      </c>
      <c r="C15" s="174">
        <f ca="1">Dashboard!I30</f>
        <v>6.25E-2</v>
      </c>
      <c r="D15" s="172" t="str">
        <f ca="1">IF(ABS(B15-C15)&lt;0.001,"✅ PASS","❌ FAIL")</f>
        <v>✅ PASS</v>
      </c>
      <c r="E15" s="173" t="s">
        <v>364</v>
      </c>
    </row>
    <row r="16" spans="1:5" x14ac:dyDescent="0.35">
      <c r="A16" s="192" t="s">
        <v>365</v>
      </c>
      <c r="B16" s="497">
        <f ca="1">Dashboard!B3</f>
        <v>302909.21540000004</v>
      </c>
      <c r="C16" s="497">
        <f ca="1">SUM(Dashboard!C30:C39)</f>
        <v>302909.21539999993</v>
      </c>
      <c r="D16" s="190" t="str">
        <f ca="1">IF(ABS(B16-C16)&lt;1,"✅ PASS","❌ FAIL")</f>
        <v>✅ PASS</v>
      </c>
      <c r="E16" s="191" t="s">
        <v>366</v>
      </c>
    </row>
    <row r="17" spans="1:5" x14ac:dyDescent="0.35">
      <c r="A17" s="171"/>
      <c r="B17" s="171"/>
      <c r="C17" s="171"/>
      <c r="D17" s="171"/>
      <c r="E17" s="171"/>
    </row>
    <row r="18" spans="1:5" ht="15.5" x14ac:dyDescent="0.35">
      <c r="A18" s="179" t="s">
        <v>367</v>
      </c>
      <c r="B18" s="171"/>
      <c r="C18" s="171"/>
      <c r="D18" s="171"/>
      <c r="E18" s="171"/>
    </row>
    <row r="19" spans="1:5" ht="15" thickBot="1" x14ac:dyDescent="0.4">
      <c r="A19" s="59" t="s">
        <v>341</v>
      </c>
      <c r="B19" s="59" t="s">
        <v>368</v>
      </c>
      <c r="C19" s="59" t="s">
        <v>343</v>
      </c>
      <c r="D19" s="59" t="s">
        <v>62</v>
      </c>
      <c r="E19" s="59" t="s">
        <v>369</v>
      </c>
    </row>
    <row r="20" spans="1:5" x14ac:dyDescent="0.35">
      <c r="A20" s="51" t="s">
        <v>370</v>
      </c>
      <c r="B20" s="193" t="s">
        <v>371</v>
      </c>
      <c r="C20" s="194">
        <f ca="1">Dashboard!N3</f>
        <v>0.36543089098500992</v>
      </c>
      <c r="D20" s="181" t="str">
        <f ca="1">IF(AND(C20&gt;=-3,C20&lt;=5),"✅ PASS","⚠️ CHECK")</f>
        <v>✅ PASS</v>
      </c>
      <c r="E20" s="182" t="s">
        <v>372</v>
      </c>
    </row>
    <row r="21" spans="1:5" x14ac:dyDescent="0.35">
      <c r="A21" s="183" t="s">
        <v>373</v>
      </c>
      <c r="B21" s="176" t="s">
        <v>374</v>
      </c>
      <c r="C21" s="177">
        <f ca="1">Dashboard!R3</f>
        <v>1.4728732436213294</v>
      </c>
      <c r="D21" s="172" t="str">
        <f ca="1">IF(AND(C21&gt;=0.3,C21&lt;=2.5),"✅ PASS","⚠️ CHECK")</f>
        <v>✅ PASS</v>
      </c>
      <c r="E21" s="173" t="s">
        <v>375</v>
      </c>
    </row>
    <row r="22" spans="1:5" x14ac:dyDescent="0.35">
      <c r="A22" s="186" t="s">
        <v>376</v>
      </c>
      <c r="B22" s="187" t="s">
        <v>377</v>
      </c>
      <c r="C22" s="188">
        <f ca="1">Dashboard!S3</f>
        <v>5.6641788102676539E-2</v>
      </c>
      <c r="D22" s="184" t="str">
        <f ca="1">IF(AND(C22&gt;=-0.5,C22&lt;=1),"✅ PASS","⚠️ CHECK")</f>
        <v>✅ PASS</v>
      </c>
      <c r="E22" s="185" t="s">
        <v>378</v>
      </c>
    </row>
    <row r="23" spans="1:5" x14ac:dyDescent="0.35">
      <c r="A23" s="183" t="s">
        <v>379</v>
      </c>
      <c r="B23" s="176" t="s">
        <v>380</v>
      </c>
      <c r="C23" s="174">
        <f ca="1">Dashboard!Q3</f>
        <v>-0.12328949013503822</v>
      </c>
      <c r="D23" s="172" t="str">
        <f ca="1">IF(C23&lt;=0,"✅ PASS","❌ FAIL")</f>
        <v>✅ PASS</v>
      </c>
      <c r="E23" s="173" t="s">
        <v>381</v>
      </c>
    </row>
    <row r="24" spans="1:5" x14ac:dyDescent="0.35">
      <c r="A24" s="192" t="s">
        <v>382</v>
      </c>
      <c r="B24" s="195" t="s">
        <v>383</v>
      </c>
      <c r="C24" s="196">
        <f ca="1">Dashboard!R25</f>
        <v>1.0213861216343345</v>
      </c>
      <c r="D24" s="190" t="str">
        <f ca="1">IF(C24&gt;0,"✅ PASS","⚠️ CHECK")</f>
        <v>✅ PASS</v>
      </c>
      <c r="E24" s="191" t="s">
        <v>384</v>
      </c>
    </row>
    <row r="25" spans="1:5" x14ac:dyDescent="0.35">
      <c r="A25" s="171"/>
      <c r="B25" s="171"/>
      <c r="C25" s="171"/>
      <c r="D25" s="171"/>
      <c r="E25" s="171"/>
    </row>
    <row r="26" spans="1:5" ht="15.5" x14ac:dyDescent="0.35">
      <c r="A26" s="179" t="s">
        <v>385</v>
      </c>
      <c r="B26" s="171"/>
      <c r="C26" s="171"/>
      <c r="D26" s="171"/>
      <c r="E26" s="171"/>
    </row>
    <row r="27" spans="1:5" ht="15" thickBot="1" x14ac:dyDescent="0.4">
      <c r="A27" s="59" t="s">
        <v>386</v>
      </c>
      <c r="B27" s="59" t="s">
        <v>387</v>
      </c>
      <c r="C27" s="59" t="s">
        <v>388</v>
      </c>
      <c r="D27" s="59" t="s">
        <v>389</v>
      </c>
      <c r="E27" s="171"/>
    </row>
    <row r="28" spans="1:5" ht="23.5" x14ac:dyDescent="0.55000000000000004">
      <c r="A28" s="203">
        <f ca="1">COUNTIF(D6:D16,"✅*")+COUNTIF(D20:D24,"✅*")+COUNTIF(D32:D38,"✅*")</f>
        <v>23</v>
      </c>
      <c r="B28" s="197">
        <f ca="1">COUNTIF(D6:D16,"❌*")+COUNTIF(D20:D24,"❌*")+COUNTIF(D32:D38,"❌*")</f>
        <v>0</v>
      </c>
      <c r="C28" s="204">
        <f ca="1">COUNTIF(D6:D16,"⚠️*")+COUNTIF(D20:D24,"⚠️*")+COUNTIF(D32:D38,"⚠️*")</f>
        <v>0</v>
      </c>
      <c r="D28" s="198" t="str">
        <f ca="1">IF(B28=0,IF(C28=0,"✅ ALL PASS","⚠️ WARNINGS"),"❌ FAILURES")</f>
        <v>✅ ALL PASS</v>
      </c>
      <c r="E28" s="171"/>
    </row>
    <row r="30" spans="1:5" ht="15.5" x14ac:dyDescent="0.35">
      <c r="A30" s="179" t="s">
        <v>396</v>
      </c>
    </row>
    <row r="31" spans="1:5" ht="15" thickBot="1" x14ac:dyDescent="0.4">
      <c r="A31" s="205" t="s">
        <v>341</v>
      </c>
      <c r="B31" s="205" t="s">
        <v>397</v>
      </c>
      <c r="C31" s="205" t="s">
        <v>398</v>
      </c>
      <c r="D31" s="205" t="s">
        <v>62</v>
      </c>
      <c r="E31" s="205" t="s">
        <v>306</v>
      </c>
    </row>
    <row r="32" spans="1:5" x14ac:dyDescent="0.35">
      <c r="A32" s="206" t="s">
        <v>399</v>
      </c>
      <c r="B32" s="207">
        <f ca="1">Dashboard!G3</f>
        <v>0.12592617416730123</v>
      </c>
      <c r="C32" s="207">
        <f ca="1">Analytics!E6</f>
        <v>0.12592617416730123</v>
      </c>
      <c r="D32" s="208" t="str">
        <f ca="1">IF(ABS(B32-C32)&lt;0.0001,"✅ PASS","❌ FAIL")</f>
        <v>✅ PASS</v>
      </c>
      <c r="E32" s="209" t="s">
        <v>400</v>
      </c>
    </row>
    <row r="33" spans="1:5" x14ac:dyDescent="0.35">
      <c r="A33" s="210" t="s">
        <v>401</v>
      </c>
      <c r="B33" s="211">
        <f ca="1">Dashboard!R3</f>
        <v>1.4728732436213294</v>
      </c>
      <c r="C33" s="211">
        <f ca="1">'Risk Analytics'!C9</f>
        <v>1.4728732436213294</v>
      </c>
      <c r="D33" s="212" t="str">
        <f ca="1">IF(ABS(B33-C33)&lt;0.001,"✅ PASS","❌ FAIL")</f>
        <v>✅ PASS</v>
      </c>
      <c r="E33" s="213" t="s">
        <v>402</v>
      </c>
    </row>
    <row r="34" spans="1:5" x14ac:dyDescent="0.35">
      <c r="A34" s="217" t="s">
        <v>403</v>
      </c>
      <c r="B34" s="218">
        <f ca="1">Dashboard!N3</f>
        <v>0.36543089098500992</v>
      </c>
      <c r="C34" s="218">
        <f ca="1">'Risk Analytics'!C18</f>
        <v>0.36543089098500992</v>
      </c>
      <c r="D34" s="219" t="str">
        <f ca="1">IF(ABS(B34-C34)&lt;0.001,"✅ PASS","❌ FAIL")</f>
        <v>✅ PASS</v>
      </c>
      <c r="E34" s="220" t="s">
        <v>404</v>
      </c>
    </row>
    <row r="35" spans="1:5" x14ac:dyDescent="0.35">
      <c r="A35" s="210" t="s">
        <v>405</v>
      </c>
      <c r="B35" s="221">
        <f ca="1">Dashboard!S3</f>
        <v>5.6641788102676539E-2</v>
      </c>
      <c r="C35" s="221">
        <f ca="1">'Risk Analytics'!C15</f>
        <v>5.6641788102676539E-2</v>
      </c>
      <c r="D35" s="212" t="str">
        <f ca="1">IF(ABS(B35-C35)&lt;0.0001,"✅ PASS","❌ FAIL")</f>
        <v>✅ PASS</v>
      </c>
      <c r="E35" s="213" t="s">
        <v>406</v>
      </c>
    </row>
    <row r="36" spans="1:5" x14ac:dyDescent="0.35">
      <c r="A36" s="217" t="s">
        <v>407</v>
      </c>
      <c r="B36" s="222">
        <f ca="1">'Risk Analytics'!C10</f>
        <v>0.12719021150822646</v>
      </c>
      <c r="C36" s="222">
        <f ca="1">'Risk Analytics'!C6+'Risk Analytics'!C9*('Risk Analytics'!C7-'Risk Analytics'!C6)</f>
        <v>0.12719021150822646</v>
      </c>
      <c r="D36" s="219" t="str">
        <f ca="1">IF(ABS(B36-C36)&lt;0.0001,"✅ PASS","❌ FAIL")</f>
        <v>✅ PASS</v>
      </c>
      <c r="E36" s="220" t="s">
        <v>408</v>
      </c>
    </row>
    <row r="37" spans="1:5" x14ac:dyDescent="0.35">
      <c r="A37" s="210" t="s">
        <v>409</v>
      </c>
      <c r="B37" s="223">
        <f ca="1">'Risk Analytics'!C11</f>
        <v>-1.2640373409252281E-3</v>
      </c>
      <c r="C37" s="223">
        <f ca="1">Analytics!E6-'Risk Analytics'!C10</f>
        <v>-1.2640373409252281E-3</v>
      </c>
      <c r="D37" s="212" t="str">
        <f ca="1">IF(ABS(B37-C37)&lt;0.0001,"✅ PASS","❌ FAIL")</f>
        <v>✅ PASS</v>
      </c>
      <c r="E37" s="213" t="s">
        <v>410</v>
      </c>
    </row>
    <row r="38" spans="1:5" x14ac:dyDescent="0.35">
      <c r="A38" s="214" t="s">
        <v>411</v>
      </c>
      <c r="B38" s="224">
        <v>1</v>
      </c>
      <c r="C38" s="224">
        <f ca="1">'Risk Analytics'!C55</f>
        <v>1</v>
      </c>
      <c r="D38" s="215" t="str">
        <f ca="1">IF(ABS(C38-1)&lt;0.001,"✅ PASS","❌ FAIL")</f>
        <v>✅ PASS</v>
      </c>
      <c r="E38" s="216" t="s">
        <v>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E114"/>
  <sheetViews>
    <sheetView showGridLines="0" zoomScale="90" zoomScaleNormal="90" workbookViewId="0">
      <selection activeCell="G48" sqref="G48"/>
    </sheetView>
  </sheetViews>
  <sheetFormatPr defaultRowHeight="14.5" outlineLevelCol="1" x14ac:dyDescent="0.35"/>
  <cols>
    <col min="2" max="2" width="38.54296875" bestFit="1" customWidth="1"/>
    <col min="3" max="3" width="35.81640625" bestFit="1" customWidth="1"/>
    <col min="4" max="4" width="17.26953125" customWidth="1"/>
    <col min="5" max="5" width="16.26953125" bestFit="1" customWidth="1"/>
    <col min="6" max="6" width="15.453125" customWidth="1"/>
    <col min="7" max="7" width="11.81640625" customWidth="1"/>
    <col min="8" max="8" width="14.90625" bestFit="1" customWidth="1"/>
    <col min="9" max="10" width="14.54296875" customWidth="1"/>
    <col min="11" max="11" width="11.81640625" customWidth="1"/>
    <col min="12" max="12" width="12.7265625" customWidth="1"/>
    <col min="13" max="13" width="25.453125" customWidth="1"/>
    <col min="14" max="19" width="19.08984375" customWidth="1"/>
    <col min="20" max="20" width="3.6328125" customWidth="1"/>
    <col min="21" max="31" width="0.1796875" customWidth="1" outlineLevel="1"/>
  </cols>
  <sheetData>
    <row r="1" spans="1:31" ht="15" thickBot="1" x14ac:dyDescent="0.4">
      <c r="A1" s="273"/>
      <c r="B1" s="273"/>
      <c r="C1" s="273"/>
      <c r="D1" s="273"/>
      <c r="E1" s="273"/>
      <c r="F1" s="273"/>
      <c r="G1" s="273"/>
      <c r="H1" s="273"/>
      <c r="I1" s="273"/>
      <c r="J1" s="273"/>
      <c r="K1" s="273"/>
      <c r="L1" s="273"/>
      <c r="M1" s="273"/>
      <c r="N1" s="273"/>
      <c r="O1" s="273"/>
      <c r="P1" s="273"/>
      <c r="Q1" s="273"/>
      <c r="R1" s="273"/>
      <c r="S1" s="273"/>
      <c r="T1" s="273"/>
      <c r="U1" s="354" t="s">
        <v>14</v>
      </c>
      <c r="V1" s="489" t="s">
        <v>52</v>
      </c>
      <c r="W1" s="354" t="s">
        <v>53</v>
      </c>
      <c r="X1" s="489" t="s">
        <v>186</v>
      </c>
      <c r="Y1" s="489" t="s">
        <v>55</v>
      </c>
      <c r="Z1" s="354" t="s">
        <v>14</v>
      </c>
      <c r="AA1" s="489" t="s">
        <v>186</v>
      </c>
      <c r="AB1" s="489" t="s">
        <v>14</v>
      </c>
      <c r="AC1" s="354" t="s">
        <v>55</v>
      </c>
      <c r="AD1" s="354" t="s">
        <v>14</v>
      </c>
      <c r="AE1" s="354" t="s">
        <v>187</v>
      </c>
    </row>
    <row r="2" spans="1:31" ht="20" customHeight="1" x14ac:dyDescent="0.35">
      <c r="A2" s="273"/>
      <c r="B2" s="285" t="s">
        <v>142</v>
      </c>
      <c r="C2" s="285"/>
      <c r="D2" s="285" t="s">
        <v>147</v>
      </c>
      <c r="E2" s="285" t="s">
        <v>143</v>
      </c>
      <c r="F2" s="285" t="s">
        <v>144</v>
      </c>
      <c r="G2" s="285" t="s">
        <v>145</v>
      </c>
      <c r="H2" s="285" t="s">
        <v>153</v>
      </c>
      <c r="I2" s="286" t="s">
        <v>146</v>
      </c>
      <c r="J2" s="285" t="s">
        <v>152</v>
      </c>
      <c r="K2" s="285"/>
      <c r="L2" s="285"/>
      <c r="M2" s="287" t="s">
        <v>179</v>
      </c>
      <c r="N2" s="287" t="s">
        <v>326</v>
      </c>
      <c r="O2" s="287" t="s">
        <v>180</v>
      </c>
      <c r="P2" s="287" t="s">
        <v>150</v>
      </c>
      <c r="Q2" s="287" t="s">
        <v>181</v>
      </c>
      <c r="R2" s="287" t="s">
        <v>324</v>
      </c>
      <c r="S2" s="287" t="s">
        <v>325</v>
      </c>
      <c r="T2" s="273"/>
      <c r="U2" s="356" t="str">
        <f t="shared" ref="U2:U17" ca="1" si="0">M7</f>
        <v>AMD</v>
      </c>
      <c r="V2" s="490">
        <f t="shared" ref="V2:V17" ca="1" si="1">K7</f>
        <v>2.151953055856036</v>
      </c>
      <c r="W2" s="357">
        <f t="shared" ref="W2:W17" ca="1" si="2">L7</f>
        <v>7.6944836324051955E-2</v>
      </c>
      <c r="X2" s="490">
        <f t="shared" ref="X2:X17" ca="1" si="3">I7</f>
        <v>15912.741900000001</v>
      </c>
      <c r="Y2" s="490">
        <f t="shared" ref="Y2:Y17" ca="1" si="4">Q7</f>
        <v>0.17821806492363379</v>
      </c>
      <c r="Z2" s="356" t="str">
        <f t="shared" ref="Z2:Z17" ca="1" si="5">M7</f>
        <v>AMD</v>
      </c>
      <c r="AA2" s="490">
        <f t="shared" ref="AA2:AA17" ca="1" si="6">I7</f>
        <v>15912.741900000001</v>
      </c>
      <c r="AB2" s="490" t="str">
        <f t="shared" ref="AB2:AB17" ca="1" si="7">M7</f>
        <v>AMD</v>
      </c>
      <c r="AC2" s="357">
        <f t="shared" ref="AC2:AC17" ca="1" si="8">Q7</f>
        <v>0.17821806492363379</v>
      </c>
      <c r="AD2" s="356" t="str">
        <f t="shared" ref="AD2:AD17" ca="1" si="9">M7</f>
        <v>AMD</v>
      </c>
      <c r="AE2" s="357">
        <f t="shared" ref="AE2:AE17" ca="1" si="10">L7</f>
        <v>7.6944836324051955E-2</v>
      </c>
    </row>
    <row r="3" spans="1:31" ht="42" customHeight="1" thickBot="1" x14ac:dyDescent="0.55000000000000004">
      <c r="A3" s="273"/>
      <c r="B3" s="409">
        <f ca="1">SUM(_xlfn.ANCHORARRAY(F7))</f>
        <v>302909.21540000004</v>
      </c>
      <c r="C3" s="288"/>
      <c r="D3" s="409">
        <f ca="1">SUM(F7:F22)-SUM(I7:I22)</f>
        <v>132051.42120000004</v>
      </c>
      <c r="E3" s="410">
        <f ca="1">SUM(I7:I22)</f>
        <v>170857.7942</v>
      </c>
      <c r="F3" s="293">
        <f ca="1">E3/D3</f>
        <v>1.2938731946036788</v>
      </c>
      <c r="G3" s="293">
        <f ca="1">(B3/D3)^(1/7)-1</f>
        <v>0.12592617416730123</v>
      </c>
      <c r="H3" s="294" t="str">
        <f ca="1">"▲ "&amp;INDEX(Ledger[Ticker],MATCH(INDEX(_xlfn.ANCHORARRAY(B7),MATCH(MAX(I7:I22),I7:I22,0)),Ledger[Stock],0))</f>
        <v>▲ NVDA</v>
      </c>
      <c r="I3" s="390" t="str">
        <f ca="1">"▼ "&amp;INDEX(Ledger[Ticker],MATCH(INDEX(_xlfn.ANCHORARRAY(B7),MATCH(MIN(I7:I22),I7:I22,0)),Ledger[Stock],0))</f>
        <v>▼ HMC</v>
      </c>
      <c r="J3" s="289" cm="1">
        <f t="array" aca="1" ref="J3" ca="1">SUMPRODUCT((SUMIF(_xlfn.ANCHORARRAY(C7),_xlfn.UNIQUE(_xlfn.ANCHORARRAY(C7)),_xlfn.ANCHORARRAY(F7))/SUM(_xlfn.ANCHORARRAY(F7)))^2)</f>
        <v>0.18781093738554927</v>
      </c>
      <c r="K3" s="288"/>
      <c r="L3" s="288"/>
      <c r="M3" s="411">
        <f ca="1">SUM(G7:G22)</f>
        <v>13.150000000000031</v>
      </c>
      <c r="N3" s="295">
        <f ca="1">'Risk Analytics'!C18</f>
        <v>0.36543089098500992</v>
      </c>
      <c r="O3" s="291">
        <f ca="1">COUNTIF(I7:I22,"&gt;0")/COUNTA(I7:I22)</f>
        <v>0.875</v>
      </c>
      <c r="P3" s="291">
        <f ca="1">AVERAGE(K7:K22)</f>
        <v>1.2623595888314303</v>
      </c>
      <c r="Q3" s="296">
        <f ca="1">MIN(K7:K22)</f>
        <v>-0.12328949013503822</v>
      </c>
      <c r="R3" s="290">
        <f ca="1">'Risk Analytics'!C9</f>
        <v>1.4728732436213294</v>
      </c>
      <c r="S3" s="292">
        <f ca="1">'Risk Analytics'!C15</f>
        <v>5.6641788102676539E-2</v>
      </c>
      <c r="T3" s="273"/>
      <c r="U3" s="360" t="str">
        <f t="shared" ca="1" si="0"/>
        <v>GOOG</v>
      </c>
      <c r="V3" s="491">
        <f t="shared" ca="1" si="1"/>
        <v>1.5350512918765384</v>
      </c>
      <c r="W3" s="361">
        <f t="shared" ca="1" si="2"/>
        <v>6.5733837690300917E-2</v>
      </c>
      <c r="X3" s="491">
        <f t="shared" ca="1" si="3"/>
        <v>12056.954300000001</v>
      </c>
      <c r="Y3" s="491">
        <f t="shared" ca="1" si="4"/>
        <v>0.14212172601589135</v>
      </c>
      <c r="Z3" s="360" t="str">
        <f t="shared" ca="1" si="5"/>
        <v>GOOG</v>
      </c>
      <c r="AA3" s="491">
        <f t="shared" ca="1" si="6"/>
        <v>12056.954300000001</v>
      </c>
      <c r="AB3" s="491" t="str">
        <f t="shared" ca="1" si="7"/>
        <v>GOOG</v>
      </c>
      <c r="AC3" s="361">
        <f t="shared" ca="1" si="8"/>
        <v>0.14212172601589135</v>
      </c>
      <c r="AD3" s="360" t="str">
        <f t="shared" ca="1" si="9"/>
        <v>GOOG</v>
      </c>
      <c r="AE3" s="361">
        <f t="shared" ca="1" si="10"/>
        <v>6.5733837690300917E-2</v>
      </c>
    </row>
    <row r="4" spans="1:31" ht="3" customHeight="1" x14ac:dyDescent="0.35">
      <c r="A4" s="273"/>
      <c r="B4" s="273"/>
      <c r="C4" s="273"/>
      <c r="D4" s="273"/>
      <c r="E4" s="273"/>
      <c r="F4" s="273"/>
      <c r="G4" s="273"/>
      <c r="H4" s="273"/>
      <c r="I4" s="273"/>
      <c r="J4" s="273"/>
      <c r="K4" s="273"/>
      <c r="L4" s="274"/>
      <c r="M4" s="273"/>
      <c r="N4" s="273"/>
      <c r="O4" s="273"/>
      <c r="P4" s="273"/>
      <c r="Q4" s="273"/>
      <c r="R4" s="273"/>
      <c r="S4" s="273"/>
      <c r="T4" s="273"/>
      <c r="U4" s="362" t="str">
        <f t="shared" ca="1" si="0"/>
        <v>AMZN</v>
      </c>
      <c r="V4" s="492">
        <f t="shared" ca="1" si="1"/>
        <v>0.47337743285741779</v>
      </c>
      <c r="W4" s="363">
        <f t="shared" ca="1" si="2"/>
        <v>3.147493049166572E-2</v>
      </c>
      <c r="X4" s="492">
        <f t="shared" ca="1" si="3"/>
        <v>3063.1679000000013</v>
      </c>
      <c r="Y4" s="492">
        <f t="shared" ca="1" si="4"/>
        <v>5.6926675518029768E-2</v>
      </c>
      <c r="Z4" s="362" t="str">
        <f t="shared" ca="1" si="5"/>
        <v>AMZN</v>
      </c>
      <c r="AA4" s="492">
        <f t="shared" ca="1" si="6"/>
        <v>3063.1679000000013</v>
      </c>
      <c r="AB4" s="492" t="str">
        <f t="shared" ca="1" si="7"/>
        <v>AMZN</v>
      </c>
      <c r="AC4" s="363">
        <f t="shared" ca="1" si="8"/>
        <v>5.6926675518029768E-2</v>
      </c>
      <c r="AD4" s="362" t="str">
        <f t="shared" ca="1" si="9"/>
        <v>AMZN</v>
      </c>
      <c r="AE4" s="363">
        <f t="shared" ca="1" si="10"/>
        <v>3.147493049166572E-2</v>
      </c>
    </row>
    <row r="5" spans="1:31" ht="22" customHeight="1" thickBot="1" x14ac:dyDescent="0.4">
      <c r="A5" s="273"/>
      <c r="B5" s="297" t="s">
        <v>156</v>
      </c>
      <c r="C5" s="275"/>
      <c r="D5" s="275"/>
      <c r="E5" s="275"/>
      <c r="F5" s="275"/>
      <c r="G5" s="275"/>
      <c r="H5" s="275"/>
      <c r="I5" s="275"/>
      <c r="J5" s="275"/>
      <c r="K5" s="276"/>
      <c r="L5" s="276"/>
      <c r="M5" s="297" t="s">
        <v>182</v>
      </c>
      <c r="N5" s="275"/>
      <c r="O5" s="275"/>
      <c r="P5" s="275"/>
      <c r="Q5" s="275"/>
      <c r="R5" s="275"/>
      <c r="S5" s="277"/>
      <c r="T5" s="273"/>
      <c r="U5" s="354" t="str">
        <f t="shared" ca="1" si="0"/>
        <v>AAPL</v>
      </c>
      <c r="V5" s="489">
        <f t="shared" ca="1" si="1"/>
        <v>0.90217601088274635</v>
      </c>
      <c r="W5" s="355">
        <f t="shared" ca="1" si="2"/>
        <v>4.6417355713107157E-2</v>
      </c>
      <c r="X5" s="489">
        <f t="shared" ca="1" si="3"/>
        <v>6668.5813999999982</v>
      </c>
      <c r="Y5" s="489">
        <f t="shared" ca="1" si="4"/>
        <v>9.6207974778895533E-2</v>
      </c>
      <c r="Z5" s="354" t="str">
        <f t="shared" ca="1" si="5"/>
        <v>AAPL</v>
      </c>
      <c r="AA5" s="489">
        <f t="shared" ca="1" si="6"/>
        <v>6668.5813999999982</v>
      </c>
      <c r="AB5" s="489" t="str">
        <f t="shared" ca="1" si="7"/>
        <v>AAPL</v>
      </c>
      <c r="AC5" s="355">
        <f t="shared" ca="1" si="8"/>
        <v>9.6207974778895533E-2</v>
      </c>
      <c r="AD5" s="354" t="str">
        <f t="shared" ca="1" si="9"/>
        <v>AAPL</v>
      </c>
      <c r="AE5" s="355">
        <f t="shared" ca="1" si="10"/>
        <v>4.6417355713107157E-2</v>
      </c>
    </row>
    <row r="6" spans="1:31" ht="15" thickBot="1" x14ac:dyDescent="0.4">
      <c r="A6" s="273"/>
      <c r="B6" s="298" t="s">
        <v>0</v>
      </c>
      <c r="C6" s="299" t="s">
        <v>1</v>
      </c>
      <c r="D6" s="299" t="s">
        <v>2</v>
      </c>
      <c r="E6" s="299" t="s">
        <v>3</v>
      </c>
      <c r="F6" s="299" t="s">
        <v>4</v>
      </c>
      <c r="G6" s="299" t="s">
        <v>5</v>
      </c>
      <c r="H6" s="299"/>
      <c r="I6" s="299" t="s">
        <v>6</v>
      </c>
      <c r="J6" s="299" t="s">
        <v>7</v>
      </c>
      <c r="K6" s="299" t="s">
        <v>52</v>
      </c>
      <c r="L6" s="299" t="s">
        <v>53</v>
      </c>
      <c r="M6" s="299" t="s">
        <v>8</v>
      </c>
      <c r="N6" s="299" t="s">
        <v>51</v>
      </c>
      <c r="O6" s="299" t="s">
        <v>54</v>
      </c>
      <c r="P6" s="299" t="s">
        <v>183</v>
      </c>
      <c r="Q6" s="299" t="s">
        <v>55</v>
      </c>
      <c r="R6" s="299" t="s">
        <v>184</v>
      </c>
      <c r="S6" s="299" t="s">
        <v>185</v>
      </c>
      <c r="T6" s="273"/>
      <c r="U6" s="356" t="str">
        <f t="shared" ca="1" si="0"/>
        <v>BLK</v>
      </c>
      <c r="V6" s="490">
        <f t="shared" ca="1" si="1"/>
        <v>0.28607057093734373</v>
      </c>
      <c r="W6" s="357">
        <f t="shared" ca="1" si="2"/>
        <v>3.6855161323692098E-2</v>
      </c>
      <c r="X6" s="490">
        <f t="shared" ca="1" si="3"/>
        <v>2483.2428</v>
      </c>
      <c r="Y6" s="490">
        <f t="shared" ca="1" si="4"/>
        <v>3.6595352074845655E-2</v>
      </c>
      <c r="Z6" s="356" t="str">
        <f t="shared" ca="1" si="5"/>
        <v>BLK</v>
      </c>
      <c r="AA6" s="490">
        <f t="shared" ca="1" si="6"/>
        <v>2483.2428</v>
      </c>
      <c r="AB6" s="490" t="str">
        <f t="shared" ca="1" si="7"/>
        <v>BLK</v>
      </c>
      <c r="AC6" s="357">
        <f t="shared" ca="1" si="8"/>
        <v>3.6595352074845655E-2</v>
      </c>
      <c r="AD6" s="356" t="str">
        <f t="shared" ca="1" si="9"/>
        <v>BLK</v>
      </c>
      <c r="AE6" s="357">
        <f t="shared" ca="1" si="10"/>
        <v>3.6855161323692098E-2</v>
      </c>
    </row>
    <row r="7" spans="1:31" x14ac:dyDescent="0.35">
      <c r="A7" s="273"/>
      <c r="B7" s="300" t="e" cm="1" vm="1">
        <f t="array" ref="B7:B22">_xlfn._xlws.SORT(_xlfn.UNIQUE(Ledger[Stock],FALSE,FALSE))</f>
        <v>#VALUE!</v>
      </c>
      <c r="C7" s="301" t="str" cm="1">
        <f t="array" aca="1" ref="C7:C22" ca="1">_FV(_xlfn.ANCHORARRAY(B7),"Industry")</f>
        <v>Semiconductors &amp; Semiconductor Equipment</v>
      </c>
      <c r="D7" s="302" cm="1">
        <f t="array" ref="D7:D22">SUMIF(Ledger[Stock],_xlfn.ANCHORARRAY(B7),Ledger[Units])</f>
        <v>107.16</v>
      </c>
      <c r="E7" s="412" cm="1">
        <f t="array" aca="1" ref="E7:E22" ca="1">_FV(_xlfn.ANCHORARRAY(B7),"Price")</f>
        <v>217.5</v>
      </c>
      <c r="F7" s="416" cm="1">
        <f t="array" aca="1" ref="F7:F22" ca="1">_xlfn.ANCHORARRAY(D7)*_xlfn.ANCHORARRAY(E7)</f>
        <v>23307.3</v>
      </c>
      <c r="G7" s="420" cm="1">
        <f t="array" aca="1" ref="G7:G22" ca="1">_xlfn.ANCHORARRAY(E7)-_FV(_xlfn.ANCHORARRAY(B7),"Previous close",TRUE)</f>
        <v>7.289999999999992</v>
      </c>
      <c r="H7" s="482" cm="1">
        <f t="array" aca="1" ref="H7:H22" ca="1">_xlfn.ANCHORARRAY(G7)/(_xlfn.ANCHORARRAY(F7)-_xlfn.ANCHORARRAY(G7))</f>
        <v>3.1287540219939787E-4</v>
      </c>
      <c r="I7" s="426" cm="1">
        <f t="array" aca="1" ref="I7:I22" ca="1">_xlfn.ANCHORARRAY(F7)-SUMIF(Ledger[Stock],_xlfn.ANCHORARRAY(B7),Ledger[Transaction Amount])</f>
        <v>15912.741900000001</v>
      </c>
      <c r="J7" s="303"/>
      <c r="K7" s="396">
        <f t="shared" ref="K7:K22" ca="1" si="11">IF((F7-I7)=0,0,I7/(F7-I7))</f>
        <v>2.151953055856036</v>
      </c>
      <c r="L7" s="304">
        <f ca="1">F7/SUM(F7:F22)</f>
        <v>7.6944836324051955E-2</v>
      </c>
      <c r="M7" s="310" t="str">
        <f ca="1">INDEX(Ledger[Ticker],MATCH(B7,Ledger[Stock],0))</f>
        <v>AMD</v>
      </c>
      <c r="N7" s="416">
        <f t="shared" ref="N7:N22" ca="1" si="12">F7-I7</f>
        <v>7394.5580999999984</v>
      </c>
      <c r="O7" s="412">
        <f t="shared" ref="O7:O22" ca="1" si="13">N7/D7</f>
        <v>69.004834826427754</v>
      </c>
      <c r="P7" s="368">
        <f t="shared" ref="P7:P22" ca="1" si="14">E7/O7</f>
        <v>3.1519530558560365</v>
      </c>
      <c r="Q7" s="369">
        <f t="shared" ref="Q7:Q22" ca="1" si="15">(E7/O7)^(1/7)-1</f>
        <v>0.17821806492363379</v>
      </c>
      <c r="R7" s="312" t="str">
        <f ca="1">IF(OR(K7&lt;0,Q7&lt;0,L7&gt;0.2),"HIGH",IF(OR(K7&lt;0.5,Q7&lt;0.05,L7&gt;0.15),"MEDIUM","LOW"))</f>
        <v>LOW</v>
      </c>
      <c r="S7" s="367" t="str">
        <f ca="1">IF(AND(Q7&gt;0.1,K7&gt;1,P7&gt;1.5,R7="LOW"),"▲ STRONG",IF(OR(K7&lt;0,Q7&lt;0),"▼ REVIEW","▶ HOLD"))</f>
        <v>▲ STRONG</v>
      </c>
      <c r="T7" s="273"/>
      <c r="U7" s="360" t="str">
        <f t="shared" ca="1" si="0"/>
        <v>CVX</v>
      </c>
      <c r="V7" s="491">
        <f t="shared" ca="1" si="1"/>
        <v>0.49743106703286372</v>
      </c>
      <c r="W7" s="361">
        <f t="shared" ca="1" si="2"/>
        <v>4.883779940621772E-2</v>
      </c>
      <c r="X7" s="491">
        <f t="shared" ca="1" si="3"/>
        <v>4914.2204999999994</v>
      </c>
      <c r="Y7" s="491">
        <f t="shared" ca="1" si="4"/>
        <v>5.9374581820841987E-2</v>
      </c>
      <c r="Z7" s="360" t="str">
        <f t="shared" ca="1" si="5"/>
        <v>CVX</v>
      </c>
      <c r="AA7" s="491">
        <f t="shared" ca="1" si="6"/>
        <v>4914.2204999999994</v>
      </c>
      <c r="AB7" s="491" t="str">
        <f t="shared" ca="1" si="7"/>
        <v>CVX</v>
      </c>
      <c r="AC7" s="361">
        <f t="shared" ca="1" si="8"/>
        <v>5.9374581820841987E-2</v>
      </c>
      <c r="AD7" s="360" t="str">
        <f t="shared" ca="1" si="9"/>
        <v>CVX</v>
      </c>
      <c r="AE7" s="361">
        <f t="shared" ca="1" si="10"/>
        <v>4.883779940621772E-2</v>
      </c>
    </row>
    <row r="8" spans="1:31" x14ac:dyDescent="0.35">
      <c r="A8" s="273"/>
      <c r="B8" s="316" t="e" vm="2">
        <v>#VALUE!</v>
      </c>
      <c r="C8" s="317" t="str">
        <f ca="1"/>
        <v>Software &amp; IT Services</v>
      </c>
      <c r="D8" s="318">
        <v>67.62</v>
      </c>
      <c r="E8" s="413">
        <f ca="1"/>
        <v>294.45999999999998</v>
      </c>
      <c r="F8" s="417">
        <f ca="1"/>
        <v>19911.385200000001</v>
      </c>
      <c r="G8" s="421">
        <f ca="1"/>
        <v>-0.43999999999999773</v>
      </c>
      <c r="H8" s="483">
        <f ca="1"/>
        <v>-2.2097421787330562E-5</v>
      </c>
      <c r="I8" s="427">
        <f ca="1"/>
        <v>12056.954300000001</v>
      </c>
      <c r="J8" s="319"/>
      <c r="K8" s="397">
        <f t="shared" ca="1" si="11"/>
        <v>1.5350512918765384</v>
      </c>
      <c r="L8" s="320">
        <f ca="1">F8/SUM(F7:F22)</f>
        <v>6.5733837690300917E-2</v>
      </c>
      <c r="M8" s="321" t="str">
        <f ca="1">INDEX(Ledger[Ticker],MATCH(B8,Ledger[Stock],0))</f>
        <v>GOOG</v>
      </c>
      <c r="N8" s="417">
        <f t="shared" ca="1" si="12"/>
        <v>7854.4308999999994</v>
      </c>
      <c r="O8" s="413">
        <f t="shared" ca="1" si="13"/>
        <v>116.15544069801832</v>
      </c>
      <c r="P8" s="372">
        <f t="shared" ca="1" si="14"/>
        <v>2.5350512918765382</v>
      </c>
      <c r="Q8" s="373">
        <f t="shared" ca="1" si="15"/>
        <v>0.14212172601589135</v>
      </c>
      <c r="R8" s="323" t="str">
        <f t="shared" ref="R8:R22" ca="1" si="16">IF(OR(K8&lt;0,Q8&lt;0,L8&gt;0.2),"HIGH",IF(OR(K8&lt;0.5,Q8&lt;0.05,L8&gt;0.15),"MEDIUM","LOW"))</f>
        <v>LOW</v>
      </c>
      <c r="S8" s="371" t="str">
        <f t="shared" ref="S8:S22" ca="1" si="17">IF(AND(Q8&gt;0.1,K8&gt;1,P8&gt;1.5,R8="LOW"),"▲ STRONG",IF(OR(K8&lt;0,Q8&lt;0),"▼ REVIEW","▶ HOLD"))</f>
        <v>▲ STRONG</v>
      </c>
      <c r="T8" s="273"/>
      <c r="U8" s="364" t="str">
        <f t="shared" ca="1" si="0"/>
        <v>C</v>
      </c>
      <c r="V8" s="493">
        <f t="shared" ca="1" si="1"/>
        <v>0.94466368594555328</v>
      </c>
      <c r="W8" s="365">
        <f t="shared" ca="1" si="2"/>
        <v>5.3316246845357608E-2</v>
      </c>
      <c r="X8" s="493">
        <f t="shared" ca="1" si="3"/>
        <v>7845.2135999999991</v>
      </c>
      <c r="Y8" s="493">
        <f t="shared" ca="1" si="4"/>
        <v>9.9672844448097875E-2</v>
      </c>
      <c r="Z8" s="364" t="str">
        <f t="shared" ca="1" si="5"/>
        <v>C</v>
      </c>
      <c r="AA8" s="493">
        <f t="shared" ca="1" si="6"/>
        <v>7845.2135999999991</v>
      </c>
      <c r="AB8" s="493" t="str">
        <f t="shared" ca="1" si="7"/>
        <v>C</v>
      </c>
      <c r="AC8" s="365">
        <f t="shared" ca="1" si="8"/>
        <v>9.9672844448097875E-2</v>
      </c>
      <c r="AD8" s="364" t="str">
        <f t="shared" ca="1" si="9"/>
        <v>C</v>
      </c>
      <c r="AE8" s="365">
        <f t="shared" ca="1" si="10"/>
        <v>5.3316246845357608E-2</v>
      </c>
    </row>
    <row r="9" spans="1:31" x14ac:dyDescent="0.35">
      <c r="A9" s="273"/>
      <c r="B9" s="324" t="e" vm="3">
        <v>#VALUE!</v>
      </c>
      <c r="C9" s="325" t="str">
        <f ca="1"/>
        <v>Diversified Retail</v>
      </c>
      <c r="D9" s="326">
        <v>45.449999999999996</v>
      </c>
      <c r="E9" s="414">
        <f ca="1"/>
        <v>209.77</v>
      </c>
      <c r="F9" s="418">
        <f ca="1"/>
        <v>9534.0465000000004</v>
      </c>
      <c r="G9" s="422">
        <f ca="1"/>
        <v>-0.79999999999998295</v>
      </c>
      <c r="H9" s="484">
        <f ca="1"/>
        <v>-8.3902766552139348E-5</v>
      </c>
      <c r="I9" s="428">
        <f ca="1"/>
        <v>3063.1679000000013</v>
      </c>
      <c r="J9" s="327"/>
      <c r="K9" s="398">
        <f t="shared" ca="1" si="11"/>
        <v>0.47337743285741779</v>
      </c>
      <c r="L9" s="328">
        <f ca="1">F9/SUM(F7:F22)</f>
        <v>3.147493049166572E-2</v>
      </c>
      <c r="M9" s="329" t="str">
        <f ca="1">INDEX(Ledger[Ticker],MATCH(B9,Ledger[Stock],0))</f>
        <v>AMZN</v>
      </c>
      <c r="N9" s="418">
        <f t="shared" ca="1" si="12"/>
        <v>6470.8785999999991</v>
      </c>
      <c r="O9" s="414">
        <f t="shared" ca="1" si="13"/>
        <v>142.37356655665565</v>
      </c>
      <c r="P9" s="376">
        <f t="shared" ca="1" si="14"/>
        <v>1.4733774328574178</v>
      </c>
      <c r="Q9" s="377">
        <f t="shared" ca="1" si="15"/>
        <v>5.6926675518029768E-2</v>
      </c>
      <c r="R9" s="331" t="str">
        <f t="shared" ca="1" si="16"/>
        <v>MEDIUM</v>
      </c>
      <c r="S9" s="375" t="str">
        <f t="shared" ca="1" si="17"/>
        <v>▶ HOLD</v>
      </c>
      <c r="T9" s="273"/>
      <c r="U9" s="360" t="str">
        <f t="shared" ca="1" si="0"/>
        <v>F</v>
      </c>
      <c r="V9" s="491">
        <f t="shared" ca="1" si="1"/>
        <v>9.0412589339634128E-2</v>
      </c>
      <c r="W9" s="361">
        <f t="shared" ca="1" si="2"/>
        <v>2.8488258399813605E-2</v>
      </c>
      <c r="X9" s="491">
        <f t="shared" ca="1" si="3"/>
        <v>715.51119999999901</v>
      </c>
      <c r="Y9" s="491">
        <f t="shared" ca="1" si="4"/>
        <v>1.244192856490467E-2</v>
      </c>
      <c r="Z9" s="360" t="str">
        <f t="shared" ca="1" si="5"/>
        <v>F</v>
      </c>
      <c r="AA9" s="491">
        <f t="shared" ca="1" si="6"/>
        <v>715.51119999999901</v>
      </c>
      <c r="AB9" s="491" t="str">
        <f t="shared" ca="1" si="7"/>
        <v>F</v>
      </c>
      <c r="AC9" s="361">
        <f t="shared" ca="1" si="8"/>
        <v>1.244192856490467E-2</v>
      </c>
      <c r="AD9" s="360" t="str">
        <f t="shared" ca="1" si="9"/>
        <v>F</v>
      </c>
      <c r="AE9" s="361">
        <f t="shared" ca="1" si="10"/>
        <v>2.8488258399813605E-2</v>
      </c>
    </row>
    <row r="10" spans="1:31" x14ac:dyDescent="0.35">
      <c r="A10" s="273"/>
      <c r="B10" s="316" t="e" vm="4">
        <v>#VALUE!</v>
      </c>
      <c r="C10" s="317" t="str">
        <f ca="1"/>
        <v>Computers, Phones &amp; Household Electronics</v>
      </c>
      <c r="D10" s="318">
        <v>54.94</v>
      </c>
      <c r="E10" s="413">
        <f ca="1"/>
        <v>255.92</v>
      </c>
      <c r="F10" s="417">
        <f ca="1"/>
        <v>14060.244799999999</v>
      </c>
      <c r="G10" s="423">
        <f ca="1"/>
        <v>0.28999999999999204</v>
      </c>
      <c r="H10" s="485">
        <f ca="1"/>
        <v>2.0625955355133297E-5</v>
      </c>
      <c r="I10" s="427">
        <f ca="1"/>
        <v>6668.5813999999982</v>
      </c>
      <c r="J10" s="319"/>
      <c r="K10" s="397">
        <f t="shared" ca="1" si="11"/>
        <v>0.90217601088274635</v>
      </c>
      <c r="L10" s="320">
        <f ca="1">F10/SUM(F7:F22)</f>
        <v>4.6417355713107157E-2</v>
      </c>
      <c r="M10" s="321" t="str">
        <f ca="1">INDEX(Ledger[Ticker],MATCH(B10,Ledger[Stock],0))</f>
        <v>AAPL</v>
      </c>
      <c r="N10" s="417">
        <f t="shared" ca="1" si="12"/>
        <v>7391.6634000000004</v>
      </c>
      <c r="O10" s="413">
        <f t="shared" ca="1" si="13"/>
        <v>134.54065161994905</v>
      </c>
      <c r="P10" s="372">
        <f t="shared" ca="1" si="14"/>
        <v>1.9021760108827463</v>
      </c>
      <c r="Q10" s="373">
        <f t="shared" ca="1" si="15"/>
        <v>9.6207974778895533E-2</v>
      </c>
      <c r="R10" s="323" t="str">
        <f t="shared" ca="1" si="16"/>
        <v>LOW</v>
      </c>
      <c r="S10" s="379" t="str">
        <f t="shared" ca="1" si="17"/>
        <v>▶ HOLD</v>
      </c>
      <c r="T10" s="273"/>
      <c r="U10" s="362" t="str">
        <f t="shared" ca="1" si="0"/>
        <v>HMC</v>
      </c>
      <c r="V10" s="492">
        <f t="shared" ca="1" si="1"/>
        <v>-0.12328949013503822</v>
      </c>
      <c r="W10" s="363">
        <f t="shared" ca="1" si="2"/>
        <v>2.0605406447465904E-2</v>
      </c>
      <c r="X10" s="492">
        <f t="shared" ca="1" si="3"/>
        <v>-877.73520000000099</v>
      </c>
      <c r="Y10" s="492">
        <f t="shared" ca="1" si="4"/>
        <v>-1.8621358563471468E-2</v>
      </c>
      <c r="Z10" s="362" t="str">
        <f t="shared" ca="1" si="5"/>
        <v>HMC</v>
      </c>
      <c r="AA10" s="492">
        <f t="shared" ca="1" si="6"/>
        <v>-877.73520000000099</v>
      </c>
      <c r="AB10" s="492" t="str">
        <f t="shared" ca="1" si="7"/>
        <v>HMC</v>
      </c>
      <c r="AC10" s="363">
        <f t="shared" ca="1" si="8"/>
        <v>-1.8621358563471468E-2</v>
      </c>
      <c r="AD10" s="362" t="str">
        <f t="shared" ca="1" si="9"/>
        <v>HMC</v>
      </c>
      <c r="AE10" s="363">
        <f t="shared" ca="1" si="10"/>
        <v>2.0605406447465904E-2</v>
      </c>
    </row>
    <row r="11" spans="1:31" ht="15" thickBot="1" x14ac:dyDescent="0.4">
      <c r="A11" s="273"/>
      <c r="B11" s="324" t="e" vm="5">
        <v>#VALUE!</v>
      </c>
      <c r="C11" s="325" t="str">
        <f ca="1"/>
        <v>Investment Banking &amp; Investment Services</v>
      </c>
      <c r="D11" s="326">
        <v>11.55</v>
      </c>
      <c r="E11" s="414">
        <f ca="1"/>
        <v>966.56</v>
      </c>
      <c r="F11" s="418">
        <f ca="1"/>
        <v>11163.768</v>
      </c>
      <c r="G11" s="424">
        <f ca="1"/>
        <v>9.1599999999999682</v>
      </c>
      <c r="H11" s="486">
        <f ca="1"/>
        <v>8.2118528952339408E-4</v>
      </c>
      <c r="I11" s="428">
        <f ca="1"/>
        <v>2483.2428</v>
      </c>
      <c r="J11" s="327"/>
      <c r="K11" s="398">
        <f t="shared" ca="1" si="11"/>
        <v>0.28607057093734373</v>
      </c>
      <c r="L11" s="328">
        <f ca="1">F11/SUM(F7:F22)</f>
        <v>3.6855161323692098E-2</v>
      </c>
      <c r="M11" s="329" t="str">
        <f ca="1">INDEX(Ledger[Ticker],MATCH(B11,Ledger[Stock],0))</f>
        <v>BLK</v>
      </c>
      <c r="N11" s="418">
        <f t="shared" ca="1" si="12"/>
        <v>8680.5252</v>
      </c>
      <c r="O11" s="414">
        <f t="shared" ca="1" si="13"/>
        <v>751.56062337662331</v>
      </c>
      <c r="P11" s="376">
        <f t="shared" ca="1" si="14"/>
        <v>1.2860705709373439</v>
      </c>
      <c r="Q11" s="377">
        <f t="shared" ca="1" si="15"/>
        <v>3.6595352074845655E-2</v>
      </c>
      <c r="R11" s="331" t="str">
        <f t="shared" ca="1" si="16"/>
        <v>MEDIUM</v>
      </c>
      <c r="S11" s="375" t="str">
        <f t="shared" ca="1" si="17"/>
        <v>▶ HOLD</v>
      </c>
      <c r="T11" s="273"/>
      <c r="U11" s="354" t="str">
        <f t="shared" ca="1" si="0"/>
        <v>JPM</v>
      </c>
      <c r="V11" s="489">
        <f t="shared" ca="1" si="1"/>
        <v>0.77550839678131711</v>
      </c>
      <c r="W11" s="355">
        <f t="shared" ca="1" si="2"/>
        <v>5.5280800809865346E-2</v>
      </c>
      <c r="X11" s="489">
        <f t="shared" ca="1" si="3"/>
        <v>7313.9263999999985</v>
      </c>
      <c r="Y11" s="489">
        <f t="shared" ca="1" si="4"/>
        <v>8.5469269974211004E-2</v>
      </c>
      <c r="Z11" s="354" t="str">
        <f t="shared" ca="1" si="5"/>
        <v>JPM</v>
      </c>
      <c r="AA11" s="489">
        <f t="shared" ca="1" si="6"/>
        <v>7313.9263999999985</v>
      </c>
      <c r="AB11" s="489" t="str">
        <f t="shared" ca="1" si="7"/>
        <v>JPM</v>
      </c>
      <c r="AC11" s="355">
        <f t="shared" ca="1" si="8"/>
        <v>8.5469269974211004E-2</v>
      </c>
      <c r="AD11" s="354" t="str">
        <f t="shared" ca="1" si="9"/>
        <v>JPM</v>
      </c>
      <c r="AE11" s="355">
        <f t="shared" ca="1" si="10"/>
        <v>5.5280800809865346E-2</v>
      </c>
    </row>
    <row r="12" spans="1:31" x14ac:dyDescent="0.35">
      <c r="A12" s="273"/>
      <c r="B12" s="316" t="e" vm="6">
        <v>#VALUE!</v>
      </c>
      <c r="C12" s="317" t="str">
        <f ca="1"/>
        <v>Oil &amp; Gas</v>
      </c>
      <c r="D12" s="318">
        <v>74.349999999999994</v>
      </c>
      <c r="E12" s="413">
        <f ca="1"/>
        <v>198.97</v>
      </c>
      <c r="F12" s="417">
        <f ca="1"/>
        <v>14793.419499999998</v>
      </c>
      <c r="G12" s="423">
        <f ca="1"/>
        <v>1.5600000000000023</v>
      </c>
      <c r="H12" s="485">
        <f ca="1"/>
        <v>1.0546341384597403E-4</v>
      </c>
      <c r="I12" s="427">
        <f ca="1"/>
        <v>4914.2204999999994</v>
      </c>
      <c r="J12" s="319"/>
      <c r="K12" s="397">
        <f t="shared" ca="1" si="11"/>
        <v>0.49743106703286372</v>
      </c>
      <c r="L12" s="320">
        <f ca="1">F12/SUM(F7:F22)</f>
        <v>4.883779940621772E-2</v>
      </c>
      <c r="M12" s="321" t="str">
        <f ca="1">INDEX(Ledger[Ticker],MATCH(B12,Ledger[Stock],0))</f>
        <v>CVX</v>
      </c>
      <c r="N12" s="417">
        <f t="shared" ca="1" si="12"/>
        <v>9879.1989999999987</v>
      </c>
      <c r="O12" s="413">
        <f t="shared" ca="1" si="13"/>
        <v>132.87422999327504</v>
      </c>
      <c r="P12" s="372">
        <f t="shared" ca="1" si="14"/>
        <v>1.4974310670328639</v>
      </c>
      <c r="Q12" s="373">
        <f t="shared" ca="1" si="15"/>
        <v>5.9374581820841987E-2</v>
      </c>
      <c r="R12" s="323" t="str">
        <f t="shared" ca="1" si="16"/>
        <v>MEDIUM</v>
      </c>
      <c r="S12" s="379" t="str">
        <f t="shared" ca="1" si="17"/>
        <v>▶ HOLD</v>
      </c>
      <c r="T12" s="273"/>
      <c r="U12" s="356" t="str">
        <f t="shared" ca="1" si="0"/>
        <v>META</v>
      </c>
      <c r="V12" s="490">
        <f t="shared" ca="1" si="1"/>
        <v>0.97051977178952509</v>
      </c>
      <c r="W12" s="357">
        <f t="shared" ca="1" si="2"/>
        <v>5.4106454893943778E-2</v>
      </c>
      <c r="X12" s="490">
        <f t="shared" ca="1" si="3"/>
        <v>8072.0744000000013</v>
      </c>
      <c r="Y12" s="490">
        <f t="shared" ca="1" si="4"/>
        <v>0.10174977623736403</v>
      </c>
      <c r="Z12" s="356" t="str">
        <f t="shared" ca="1" si="5"/>
        <v>META</v>
      </c>
      <c r="AA12" s="490">
        <f t="shared" ca="1" si="6"/>
        <v>8072.0744000000013</v>
      </c>
      <c r="AB12" s="490" t="str">
        <f t="shared" ca="1" si="7"/>
        <v>META</v>
      </c>
      <c r="AC12" s="357">
        <f t="shared" ca="1" si="8"/>
        <v>0.10174977623736403</v>
      </c>
      <c r="AD12" s="356" t="str">
        <f t="shared" ca="1" si="9"/>
        <v>META</v>
      </c>
      <c r="AE12" s="357">
        <f t="shared" ca="1" si="10"/>
        <v>5.4106454893943778E-2</v>
      </c>
    </row>
    <row r="13" spans="1:31" x14ac:dyDescent="0.35">
      <c r="A13" s="273"/>
      <c r="B13" s="324" t="e" vm="7">
        <v>#VALUE!</v>
      </c>
      <c r="C13" s="325" t="str">
        <f ca="1"/>
        <v>Investment Banking &amp; Investment Services</v>
      </c>
      <c r="D13" s="326">
        <v>140.13</v>
      </c>
      <c r="E13" s="414">
        <f ca="1"/>
        <v>115.25</v>
      </c>
      <c r="F13" s="418">
        <f ca="1"/>
        <v>16149.9825</v>
      </c>
      <c r="G13" s="422">
        <f ca="1"/>
        <v>-4.9999999999997158E-2</v>
      </c>
      <c r="H13" s="484">
        <f ca="1"/>
        <v>-3.0959690019197895E-6</v>
      </c>
      <c r="I13" s="428">
        <f ca="1"/>
        <v>7845.2135999999991</v>
      </c>
      <c r="J13" s="327"/>
      <c r="K13" s="398">
        <f t="shared" ca="1" si="11"/>
        <v>0.94466368594555328</v>
      </c>
      <c r="L13" s="328">
        <f ca="1">F13/SUM(F7:F22)</f>
        <v>5.3316246845357608E-2</v>
      </c>
      <c r="M13" s="329" t="str">
        <f ca="1">INDEX(Ledger[Ticker],MATCH(B13,Ledger[Stock],0))</f>
        <v>C</v>
      </c>
      <c r="N13" s="418">
        <f t="shared" ca="1" si="12"/>
        <v>8304.7689000000009</v>
      </c>
      <c r="O13" s="414">
        <f t="shared" ca="1" si="13"/>
        <v>59.264746307000649</v>
      </c>
      <c r="P13" s="376">
        <f t="shared" ca="1" si="14"/>
        <v>1.9446636859455533</v>
      </c>
      <c r="Q13" s="377">
        <f t="shared" ca="1" si="15"/>
        <v>9.9672844448097875E-2</v>
      </c>
      <c r="R13" s="331" t="str">
        <f t="shared" ca="1" si="16"/>
        <v>LOW</v>
      </c>
      <c r="S13" s="375" t="str">
        <f t="shared" ca="1" si="17"/>
        <v>▶ HOLD</v>
      </c>
      <c r="T13" s="273"/>
      <c r="U13" s="360" t="str">
        <f t="shared" ca="1" si="0"/>
        <v>NVDA</v>
      </c>
      <c r="V13" s="491">
        <f t="shared" ca="1" si="1"/>
        <v>9.1653128099558216</v>
      </c>
      <c r="W13" s="361">
        <f t="shared" ca="1" si="2"/>
        <v>0.29464349766362363</v>
      </c>
      <c r="X13" s="491">
        <f t="shared" ca="1" si="3"/>
        <v>80470.350299999991</v>
      </c>
      <c r="Y13" s="491">
        <f t="shared" ca="1" si="4"/>
        <v>0.39275392963225486</v>
      </c>
      <c r="Z13" s="360" t="str">
        <f t="shared" ca="1" si="5"/>
        <v>NVDA</v>
      </c>
      <c r="AA13" s="491">
        <f t="shared" ca="1" si="6"/>
        <v>80470.350299999991</v>
      </c>
      <c r="AB13" s="491" t="str">
        <f t="shared" ca="1" si="7"/>
        <v>NVDA</v>
      </c>
      <c r="AC13" s="361">
        <f t="shared" ca="1" si="8"/>
        <v>0.39275392963225486</v>
      </c>
      <c r="AD13" s="360" t="str">
        <f t="shared" ca="1" si="9"/>
        <v>NVDA</v>
      </c>
      <c r="AE13" s="361">
        <f t="shared" ca="1" si="10"/>
        <v>0.29464349766362363</v>
      </c>
    </row>
    <row r="14" spans="1:31" x14ac:dyDescent="0.35">
      <c r="A14" s="273"/>
      <c r="B14" s="316" t="e" vm="8">
        <v>#VALUE!</v>
      </c>
      <c r="C14" s="317" t="str">
        <f ca="1"/>
        <v>Automobiles &amp; Auto Parts</v>
      </c>
      <c r="D14" s="318">
        <v>743.91</v>
      </c>
      <c r="E14" s="413">
        <f ca="1"/>
        <v>11.6</v>
      </c>
      <c r="F14" s="417">
        <f ca="1"/>
        <v>8629.3559999999998</v>
      </c>
      <c r="G14" s="421">
        <f ca="1"/>
        <v>-8.0000000000000071E-2</v>
      </c>
      <c r="H14" s="483">
        <f ca="1"/>
        <v>-9.2705942775402784E-6</v>
      </c>
      <c r="I14" s="427">
        <f ca="1"/>
        <v>715.51119999999901</v>
      </c>
      <c r="J14" s="319"/>
      <c r="K14" s="397">
        <f t="shared" ca="1" si="11"/>
        <v>9.0412589339634128E-2</v>
      </c>
      <c r="L14" s="320">
        <f ca="1">F14/SUM(F7:F22)</f>
        <v>2.8488258399813605E-2</v>
      </c>
      <c r="M14" s="321" t="str">
        <f ca="1">INDEX(Ledger[Ticker],MATCH(B14,Ledger[Stock],0))</f>
        <v>F</v>
      </c>
      <c r="N14" s="417">
        <f t="shared" ca="1" si="12"/>
        <v>7913.8448000000008</v>
      </c>
      <c r="O14" s="413">
        <f t="shared" ca="1" si="13"/>
        <v>10.63817504805689</v>
      </c>
      <c r="P14" s="372">
        <f t="shared" ca="1" si="14"/>
        <v>1.0904125893396341</v>
      </c>
      <c r="Q14" s="373">
        <f t="shared" ca="1" si="15"/>
        <v>1.244192856490467E-2</v>
      </c>
      <c r="R14" s="323" t="str">
        <f t="shared" ca="1" si="16"/>
        <v>MEDIUM</v>
      </c>
      <c r="S14" s="379" t="str">
        <f t="shared" ca="1" si="17"/>
        <v>▶ HOLD</v>
      </c>
      <c r="T14" s="273"/>
      <c r="U14" s="362" t="str">
        <f t="shared" ca="1" si="0"/>
        <v>0R2N</v>
      </c>
      <c r="V14" s="492">
        <f t="shared" ca="1" si="1"/>
        <v>0.97044958281370131</v>
      </c>
      <c r="W14" s="363">
        <f t="shared" ca="1" si="2"/>
        <v>5.1488050567906229E-2</v>
      </c>
      <c r="X14" s="492">
        <f t="shared" ca="1" si="3"/>
        <v>7681.1560000000027</v>
      </c>
      <c r="Y14" s="492">
        <f t="shared" ca="1" si="4"/>
        <v>0.10174416989430446</v>
      </c>
      <c r="Z14" s="362" t="str">
        <f t="shared" ca="1" si="5"/>
        <v>0R2N</v>
      </c>
      <c r="AA14" s="492">
        <f t="shared" ca="1" si="6"/>
        <v>7681.1560000000027</v>
      </c>
      <c r="AB14" s="492" t="str">
        <f t="shared" ca="1" si="7"/>
        <v>0R2N</v>
      </c>
      <c r="AC14" s="363">
        <f t="shared" ca="1" si="8"/>
        <v>0.10174416989430446</v>
      </c>
      <c r="AD14" s="362" t="str">
        <f t="shared" ca="1" si="9"/>
        <v>0R2N</v>
      </c>
      <c r="AE14" s="363">
        <f t="shared" ca="1" si="10"/>
        <v>5.1488050567906229E-2</v>
      </c>
    </row>
    <row r="15" spans="1:31" ht="15" thickBot="1" x14ac:dyDescent="0.4">
      <c r="A15" s="273"/>
      <c r="B15" s="324" t="e" vm="9">
        <v>#VALUE!</v>
      </c>
      <c r="C15" s="325" t="str">
        <f ca="1"/>
        <v>Automobiles &amp; Auto Parts</v>
      </c>
      <c r="D15" s="326">
        <v>258.45</v>
      </c>
      <c r="E15" s="414">
        <f ca="1"/>
        <v>24.15</v>
      </c>
      <c r="F15" s="418">
        <f ca="1"/>
        <v>6241.5674999999992</v>
      </c>
      <c r="G15" s="422">
        <f ca="1"/>
        <v>-0.16000000000000014</v>
      </c>
      <c r="H15" s="484">
        <f ca="1"/>
        <v>-2.5633929068515114E-5</v>
      </c>
      <c r="I15" s="429">
        <f ca="1"/>
        <v>-877.73520000000099</v>
      </c>
      <c r="J15" s="327"/>
      <c r="K15" s="399">
        <f t="shared" ca="1" si="11"/>
        <v>-0.12328949013503822</v>
      </c>
      <c r="L15" s="328">
        <f ca="1">F15/SUM(F7:F22)</f>
        <v>2.0605406447465904E-2</v>
      </c>
      <c r="M15" s="329" t="str">
        <f ca="1">INDEX(Ledger[Ticker],MATCH(B15,Ledger[Stock],0))</f>
        <v>HMC</v>
      </c>
      <c r="N15" s="418">
        <f t="shared" ca="1" si="12"/>
        <v>7119.3027000000002</v>
      </c>
      <c r="O15" s="414">
        <f t="shared" ca="1" si="13"/>
        <v>27.546150899593734</v>
      </c>
      <c r="P15" s="407">
        <f t="shared" ca="1" si="14"/>
        <v>0.8767105098649618</v>
      </c>
      <c r="Q15" s="382">
        <f t="shared" ca="1" si="15"/>
        <v>-1.8621358563471468E-2</v>
      </c>
      <c r="R15" s="331" t="str">
        <f t="shared" ca="1" si="16"/>
        <v>HIGH</v>
      </c>
      <c r="S15" s="381" t="str">
        <f t="shared" ca="1" si="17"/>
        <v>▼ REVIEW</v>
      </c>
      <c r="T15" s="273"/>
      <c r="U15" s="354" t="str">
        <f t="shared" ca="1" si="0"/>
        <v>BA</v>
      </c>
      <c r="V15" s="489">
        <f t="shared" ca="1" si="1"/>
        <v>-4.2526054587779819E-2</v>
      </c>
      <c r="W15" s="355">
        <f t="shared" ca="1" si="2"/>
        <v>3.1476077039813949E-2</v>
      </c>
      <c r="X15" s="489">
        <f t="shared" ca="1" si="3"/>
        <v>-423.46860000000015</v>
      </c>
      <c r="Y15" s="489">
        <f t="shared" ca="1" si="4"/>
        <v>-6.1888794091810029E-3</v>
      </c>
      <c r="Z15" s="354" t="str">
        <f t="shared" ca="1" si="5"/>
        <v>BA</v>
      </c>
      <c r="AA15" s="489">
        <f t="shared" ca="1" si="6"/>
        <v>-423.46860000000015</v>
      </c>
      <c r="AB15" s="489" t="str">
        <f t="shared" ca="1" si="7"/>
        <v>BA</v>
      </c>
      <c r="AC15" s="355">
        <f t="shared" ca="1" si="8"/>
        <v>-6.1888794091810029E-3</v>
      </c>
      <c r="AD15" s="354" t="str">
        <f t="shared" ca="1" si="9"/>
        <v>BA</v>
      </c>
      <c r="AE15" s="355">
        <f t="shared" ca="1" si="10"/>
        <v>3.1476077039813949E-2</v>
      </c>
    </row>
    <row r="16" spans="1:31" x14ac:dyDescent="0.35">
      <c r="A16" s="273"/>
      <c r="B16" s="316" t="e" vm="10">
        <v>#VALUE!</v>
      </c>
      <c r="C16" s="317" t="str">
        <f ca="1"/>
        <v>Banking Services</v>
      </c>
      <c r="D16" s="318">
        <v>56.839999999999996</v>
      </c>
      <c r="E16" s="413">
        <f ca="1"/>
        <v>294.60000000000002</v>
      </c>
      <c r="F16" s="417">
        <f ca="1"/>
        <v>16745.063999999998</v>
      </c>
      <c r="G16" s="421">
        <f ca="1"/>
        <v>-0.77999999999997272</v>
      </c>
      <c r="H16" s="483">
        <f ca="1"/>
        <v>-4.6578721263614589E-5</v>
      </c>
      <c r="I16" s="427">
        <f ca="1"/>
        <v>7313.9263999999985</v>
      </c>
      <c r="J16" s="319"/>
      <c r="K16" s="397">
        <f t="shared" ca="1" si="11"/>
        <v>0.77550839678131711</v>
      </c>
      <c r="L16" s="320">
        <f ca="1">F16/SUM(F7:F22)</f>
        <v>5.5280800809865346E-2</v>
      </c>
      <c r="M16" s="321" t="str">
        <f ca="1">INDEX(Ledger[Ticker],MATCH(B16,Ledger[Stock],0))</f>
        <v>JPM</v>
      </c>
      <c r="N16" s="417">
        <f t="shared" ca="1" si="12"/>
        <v>9431.1376</v>
      </c>
      <c r="O16" s="413">
        <f t="shared" ca="1" si="13"/>
        <v>165.92430682617876</v>
      </c>
      <c r="P16" s="372">
        <f t="shared" ca="1" si="14"/>
        <v>1.7755083967813172</v>
      </c>
      <c r="Q16" s="373">
        <f t="shared" ca="1" si="15"/>
        <v>8.5469269974211004E-2</v>
      </c>
      <c r="R16" s="323" t="str">
        <f t="shared" ca="1" si="16"/>
        <v>LOW</v>
      </c>
      <c r="S16" s="379" t="str">
        <f t="shared" ca="1" si="17"/>
        <v>▶ HOLD</v>
      </c>
      <c r="T16" s="273"/>
      <c r="U16" s="356" t="str">
        <f t="shared" ca="1" si="0"/>
        <v>TM</v>
      </c>
      <c r="V16" s="490">
        <f t="shared" ca="1" si="1"/>
        <v>0.27914890879686216</v>
      </c>
      <c r="W16" s="357">
        <f t="shared" ca="1" si="2"/>
        <v>2.847753142342991E-2</v>
      </c>
      <c r="X16" s="490">
        <f t="shared" ca="1" si="3"/>
        <v>1882.4769000000015</v>
      </c>
      <c r="Y16" s="490">
        <f t="shared" ca="1" si="4"/>
        <v>3.5796510354465072E-2</v>
      </c>
      <c r="Z16" s="356" t="str">
        <f t="shared" ca="1" si="5"/>
        <v>TM</v>
      </c>
      <c r="AA16" s="490">
        <f t="shared" ca="1" si="6"/>
        <v>1882.4769000000015</v>
      </c>
      <c r="AB16" s="490" t="str">
        <f t="shared" ca="1" si="7"/>
        <v>TM</v>
      </c>
      <c r="AC16" s="357">
        <f t="shared" ca="1" si="8"/>
        <v>3.5796510354465072E-2</v>
      </c>
      <c r="AD16" s="356" t="str">
        <f t="shared" ca="1" si="9"/>
        <v>TM</v>
      </c>
      <c r="AE16" s="357">
        <f t="shared" ca="1" si="10"/>
        <v>2.847753142342991E-2</v>
      </c>
    </row>
    <row r="17" spans="1:31" x14ac:dyDescent="0.35">
      <c r="A17" s="273"/>
      <c r="B17" s="324" t="e" vm="11">
        <v>#VALUE!</v>
      </c>
      <c r="C17" s="325" t="str">
        <f ca="1"/>
        <v>Software &amp; IT Services</v>
      </c>
      <c r="D17" s="326">
        <v>28.53</v>
      </c>
      <c r="E17" s="414">
        <f ca="1"/>
        <v>574.46</v>
      </c>
      <c r="F17" s="418">
        <f ca="1"/>
        <v>16389.343800000002</v>
      </c>
      <c r="G17" s="422">
        <f ca="1"/>
        <v>-4.7699999999999818</v>
      </c>
      <c r="H17" s="484">
        <f ca="1"/>
        <v>-2.9095808765216581E-4</v>
      </c>
      <c r="I17" s="428">
        <f ca="1"/>
        <v>8072.0744000000013</v>
      </c>
      <c r="J17" s="327"/>
      <c r="K17" s="398">
        <f t="shared" ca="1" si="11"/>
        <v>0.97051977178952509</v>
      </c>
      <c r="L17" s="328">
        <f ca="1">F17/SUM(F7:F22)</f>
        <v>5.4106454893943778E-2</v>
      </c>
      <c r="M17" s="329" t="str">
        <f ca="1">INDEX(Ledger[Ticker],MATCH(B17,Ledger[Stock],0))</f>
        <v>META</v>
      </c>
      <c r="N17" s="418">
        <f t="shared" ca="1" si="12"/>
        <v>8317.269400000001</v>
      </c>
      <c r="O17" s="414">
        <f t="shared" ca="1" si="13"/>
        <v>291.52714335786891</v>
      </c>
      <c r="P17" s="376">
        <f t="shared" ca="1" si="14"/>
        <v>1.9705197717895251</v>
      </c>
      <c r="Q17" s="377">
        <f t="shared" ca="1" si="15"/>
        <v>0.10174977623736403</v>
      </c>
      <c r="R17" s="331" t="str">
        <f t="shared" ca="1" si="16"/>
        <v>LOW</v>
      </c>
      <c r="S17" s="375" t="str">
        <f t="shared" ca="1" si="17"/>
        <v>▶ HOLD</v>
      </c>
      <c r="T17" s="273"/>
      <c r="U17" s="358" t="str">
        <f t="shared" ca="1" si="0"/>
        <v>WMT</v>
      </c>
      <c r="V17" s="494">
        <f t="shared" ca="1" si="1"/>
        <v>1.3214937911603437</v>
      </c>
      <c r="W17" s="359">
        <f t="shared" ca="1" si="2"/>
        <v>7.585375495974428E-2</v>
      </c>
      <c r="X17" s="494">
        <f t="shared" ca="1" si="3"/>
        <v>13079.3804</v>
      </c>
      <c r="Y17" s="494">
        <f t="shared" ca="1" si="4"/>
        <v>0.12785301223509471</v>
      </c>
      <c r="Z17" s="358" t="str">
        <f t="shared" ca="1" si="5"/>
        <v>WMT</v>
      </c>
      <c r="AA17" s="494">
        <f t="shared" ca="1" si="6"/>
        <v>13079.3804</v>
      </c>
      <c r="AB17" s="494" t="str">
        <f t="shared" ca="1" si="7"/>
        <v>WMT</v>
      </c>
      <c r="AC17" s="359">
        <f t="shared" ca="1" si="8"/>
        <v>0.12785301223509471</v>
      </c>
      <c r="AD17" s="358" t="str">
        <f t="shared" ca="1" si="9"/>
        <v>WMT</v>
      </c>
      <c r="AE17" s="359">
        <f t="shared" ca="1" si="10"/>
        <v>7.585375495974428E-2</v>
      </c>
    </row>
    <row r="18" spans="1:31" x14ac:dyDescent="0.35">
      <c r="A18" s="273"/>
      <c r="B18" s="316" t="e" vm="12">
        <v>#VALUE!</v>
      </c>
      <c r="C18" s="317" t="str">
        <f ca="1"/>
        <v>Semiconductors &amp; Semiconductor Equipment</v>
      </c>
      <c r="D18" s="318">
        <v>503.12999999999994</v>
      </c>
      <c r="E18" s="413">
        <f ca="1"/>
        <v>177.39</v>
      </c>
      <c r="F18" s="417">
        <f ca="1"/>
        <v>89250.230699999986</v>
      </c>
      <c r="G18" s="423">
        <f ca="1"/>
        <v>1.6399999999999864</v>
      </c>
      <c r="H18" s="485">
        <f ca="1"/>
        <v>1.8375640300166518E-5</v>
      </c>
      <c r="I18" s="427">
        <f ca="1"/>
        <v>80470.350299999991</v>
      </c>
      <c r="J18" s="319"/>
      <c r="K18" s="397">
        <f t="shared" ca="1" si="11"/>
        <v>9.1653128099558216</v>
      </c>
      <c r="L18" s="320">
        <f ca="1">F18/SUM(F7:F22)</f>
        <v>0.29464349766362363</v>
      </c>
      <c r="M18" s="321" t="str">
        <f ca="1">INDEX(Ledger[Ticker],MATCH(B18,Ledger[Stock],0))</f>
        <v>NVDA</v>
      </c>
      <c r="N18" s="417">
        <f t="shared" ca="1" si="12"/>
        <v>8779.8803999999946</v>
      </c>
      <c r="O18" s="413">
        <f t="shared" ca="1" si="13"/>
        <v>17.450520541410761</v>
      </c>
      <c r="P18" s="372">
        <f t="shared" ca="1" si="14"/>
        <v>10.16531280995582</v>
      </c>
      <c r="Q18" s="373">
        <f t="shared" ca="1" si="15"/>
        <v>0.39275392963225486</v>
      </c>
      <c r="R18" s="323" t="str">
        <f t="shared" ca="1" si="16"/>
        <v>HIGH</v>
      </c>
      <c r="S18" s="379" t="str">
        <f t="shared" ca="1" si="17"/>
        <v>▶ HOLD</v>
      </c>
      <c r="T18" s="273"/>
      <c r="U18" s="273"/>
      <c r="V18" s="273"/>
      <c r="W18" s="273"/>
      <c r="X18" s="273"/>
      <c r="Y18" s="273"/>
      <c r="Z18" s="273"/>
      <c r="AA18" s="273"/>
      <c r="AB18" s="273"/>
      <c r="AC18" s="273"/>
      <c r="AD18" s="273"/>
      <c r="AE18" s="273"/>
    </row>
    <row r="19" spans="1:31" x14ac:dyDescent="0.35">
      <c r="A19" s="273"/>
      <c r="B19" s="324" t="e" vm="13">
        <v>#VALUE!</v>
      </c>
      <c r="C19" s="325" t="str">
        <f ca="1"/>
        <v>Aerospace &amp; Defense</v>
      </c>
      <c r="D19" s="326">
        <v>79.37</v>
      </c>
      <c r="E19" s="414">
        <f ca="1"/>
        <v>196.5</v>
      </c>
      <c r="F19" s="418">
        <f ca="1"/>
        <v>15596.205000000002</v>
      </c>
      <c r="G19" s="424">
        <f ca="1"/>
        <v>1</v>
      </c>
      <c r="H19" s="486">
        <f ca="1"/>
        <v>6.412227348085517E-5</v>
      </c>
      <c r="I19" s="428">
        <f ca="1"/>
        <v>7681.1560000000027</v>
      </c>
      <c r="J19" s="327"/>
      <c r="K19" s="398">
        <f t="shared" ca="1" si="11"/>
        <v>0.97044958281370131</v>
      </c>
      <c r="L19" s="328">
        <f ca="1">F19/SUM(F7:F22)</f>
        <v>5.1488050567906229E-2</v>
      </c>
      <c r="M19" s="329" t="str">
        <f ca="1">INDEX(Ledger[Ticker],MATCH(B19,Ledger[Stock],0))</f>
        <v>0R2N</v>
      </c>
      <c r="N19" s="418">
        <f t="shared" ca="1" si="12"/>
        <v>7915.0489999999991</v>
      </c>
      <c r="O19" s="414">
        <f t="shared" ca="1" si="13"/>
        <v>99.723434547058062</v>
      </c>
      <c r="P19" s="376">
        <f t="shared" ca="1" si="14"/>
        <v>1.9704495828137012</v>
      </c>
      <c r="Q19" s="377">
        <f t="shared" ca="1" si="15"/>
        <v>0.10174416989430446</v>
      </c>
      <c r="R19" s="331" t="str">
        <f t="shared" ca="1" si="16"/>
        <v>LOW</v>
      </c>
      <c r="S19" s="375" t="str">
        <f t="shared" ca="1" si="17"/>
        <v>▶ HOLD</v>
      </c>
      <c r="T19" s="273"/>
      <c r="U19" s="273"/>
      <c r="V19" s="273"/>
      <c r="W19" s="273"/>
      <c r="X19" s="273"/>
      <c r="Y19" s="273"/>
      <c r="Z19" s="273"/>
      <c r="AA19" s="273"/>
      <c r="AB19" s="273"/>
      <c r="AC19" s="273"/>
      <c r="AD19" s="273"/>
      <c r="AE19" s="273"/>
    </row>
    <row r="20" spans="1:31" x14ac:dyDescent="0.35">
      <c r="A20" s="273"/>
      <c r="B20" s="316" t="e" vm="14">
        <v>#VALUE!</v>
      </c>
      <c r="C20" s="317" t="str">
        <f ca="1"/>
        <v>Aerospace &amp; Defense</v>
      </c>
      <c r="D20" s="318">
        <v>45.79</v>
      </c>
      <c r="E20" s="413">
        <f ca="1"/>
        <v>208.22</v>
      </c>
      <c r="F20" s="417">
        <f ca="1"/>
        <v>9534.3937999999998</v>
      </c>
      <c r="G20" s="423">
        <f ca="1"/>
        <v>0.90000000000000568</v>
      </c>
      <c r="H20" s="485">
        <f ca="1"/>
        <v>9.4404005381532391E-5</v>
      </c>
      <c r="I20" s="430">
        <f ca="1"/>
        <v>-423.46860000000015</v>
      </c>
      <c r="J20" s="319"/>
      <c r="K20" s="400">
        <f t="shared" ca="1" si="11"/>
        <v>-4.2526054587779819E-2</v>
      </c>
      <c r="L20" s="320">
        <f ca="1">F20/SUM(F7:F22)</f>
        <v>3.1476077039813949E-2</v>
      </c>
      <c r="M20" s="321" t="str">
        <f ca="1">INDEX(Ledger[Ticker],MATCH(B20,Ledger[Stock],0))</f>
        <v>BA</v>
      </c>
      <c r="N20" s="417">
        <f t="shared" ca="1" si="12"/>
        <v>9957.8624</v>
      </c>
      <c r="O20" s="413">
        <f t="shared" ca="1" si="13"/>
        <v>217.4680585280629</v>
      </c>
      <c r="P20" s="408">
        <f t="shared" ca="1" si="14"/>
        <v>0.9574739454122202</v>
      </c>
      <c r="Q20" s="385">
        <f t="shared" ca="1" si="15"/>
        <v>-6.1888794091810029E-3</v>
      </c>
      <c r="R20" s="323" t="str">
        <f t="shared" ca="1" si="16"/>
        <v>HIGH</v>
      </c>
      <c r="S20" s="384" t="str">
        <f t="shared" ca="1" si="17"/>
        <v>▼ REVIEW</v>
      </c>
      <c r="T20" s="273"/>
      <c r="U20" s="273"/>
      <c r="V20" s="273"/>
      <c r="W20" s="273"/>
      <c r="X20" s="273"/>
      <c r="Y20" s="273"/>
      <c r="Z20" s="273"/>
      <c r="AA20" s="273"/>
      <c r="AB20" s="273"/>
      <c r="AC20" s="273"/>
      <c r="AD20" s="273"/>
      <c r="AE20" s="273"/>
    </row>
    <row r="21" spans="1:31" x14ac:dyDescent="0.35">
      <c r="A21" s="273"/>
      <c r="B21" s="324" t="e" vm="15">
        <v>#VALUE!</v>
      </c>
      <c r="C21" s="325" t="str">
        <f ca="1"/>
        <v>Automobiles &amp; Auto Parts</v>
      </c>
      <c r="D21" s="326">
        <v>41.67</v>
      </c>
      <c r="E21" s="414">
        <f ca="1"/>
        <v>207.01</v>
      </c>
      <c r="F21" s="418">
        <f ca="1"/>
        <v>8626.1067000000003</v>
      </c>
      <c r="G21" s="422">
        <f ca="1"/>
        <v>-2.6599999999999966</v>
      </c>
      <c r="H21" s="484">
        <f ca="1"/>
        <v>-3.0827116927381945E-4</v>
      </c>
      <c r="I21" s="428">
        <f ca="1"/>
        <v>1882.4769000000015</v>
      </c>
      <c r="J21" s="327"/>
      <c r="K21" s="398">
        <f t="shared" ca="1" si="11"/>
        <v>0.27914890879686216</v>
      </c>
      <c r="L21" s="328">
        <f ca="1">F21/SUM(F7:F22)</f>
        <v>2.847753142342991E-2</v>
      </c>
      <c r="M21" s="329" t="str">
        <f ca="1">INDEX(Ledger[Ticker],MATCH(B21,Ledger[Stock],0))</f>
        <v>TM</v>
      </c>
      <c r="N21" s="418">
        <f t="shared" ca="1" si="12"/>
        <v>6743.6297999999988</v>
      </c>
      <c r="O21" s="414">
        <f t="shared" ca="1" si="13"/>
        <v>161.83416846652264</v>
      </c>
      <c r="P21" s="376">
        <f t="shared" ca="1" si="14"/>
        <v>1.2791489087968622</v>
      </c>
      <c r="Q21" s="377">
        <f t="shared" ca="1" si="15"/>
        <v>3.5796510354465072E-2</v>
      </c>
      <c r="R21" s="331" t="str">
        <f t="shared" ca="1" si="16"/>
        <v>MEDIUM</v>
      </c>
      <c r="S21" s="375" t="str">
        <f t="shared" ca="1" si="17"/>
        <v>▶ HOLD</v>
      </c>
      <c r="T21" s="273"/>
      <c r="U21" s="273"/>
      <c r="V21" s="273"/>
      <c r="W21" s="273"/>
      <c r="X21" s="273"/>
      <c r="Y21" s="273"/>
      <c r="Z21" s="273"/>
      <c r="AA21" s="273"/>
      <c r="AB21" s="273"/>
      <c r="AC21" s="273"/>
      <c r="AD21" s="273"/>
      <c r="AE21" s="273"/>
    </row>
    <row r="22" spans="1:31" x14ac:dyDescent="0.35">
      <c r="A22" s="273"/>
      <c r="B22" s="305" t="e" vm="16">
        <v>#VALUE!</v>
      </c>
      <c r="C22" s="306" t="str">
        <f ca="1"/>
        <v>Food &amp; Drug Retailing</v>
      </c>
      <c r="D22" s="307">
        <v>182.66</v>
      </c>
      <c r="E22" s="415">
        <f ca="1"/>
        <v>125.79</v>
      </c>
      <c r="F22" s="419">
        <f ca="1"/>
        <v>22976.8014</v>
      </c>
      <c r="G22" s="425">
        <f ca="1"/>
        <v>1.0500000000000114</v>
      </c>
      <c r="H22" s="487">
        <f ca="1"/>
        <v>4.5700355201441258E-5</v>
      </c>
      <c r="I22" s="431">
        <f ca="1"/>
        <v>13079.3804</v>
      </c>
      <c r="J22" s="308"/>
      <c r="K22" s="401">
        <f t="shared" ca="1" si="11"/>
        <v>1.3214937911603437</v>
      </c>
      <c r="L22" s="309">
        <f ca="1">F22/SUM(F7:F22)</f>
        <v>7.585375495974428E-2</v>
      </c>
      <c r="M22" s="313" t="str">
        <f ca="1">INDEX(Ledger[Ticker],MATCH(B22,Ledger[Stock],0))</f>
        <v>WMT</v>
      </c>
      <c r="N22" s="419">
        <f t="shared" ca="1" si="12"/>
        <v>9897.4210000000003</v>
      </c>
      <c r="O22" s="415">
        <f t="shared" ca="1" si="13"/>
        <v>54.184939231358811</v>
      </c>
      <c r="P22" s="388">
        <f t="shared" ca="1" si="14"/>
        <v>2.3214937911603437</v>
      </c>
      <c r="Q22" s="389">
        <f t="shared" ca="1" si="15"/>
        <v>0.12785301223509471</v>
      </c>
      <c r="R22" s="315" t="str">
        <f t="shared" ca="1" si="16"/>
        <v>LOW</v>
      </c>
      <c r="S22" s="387" t="str">
        <f t="shared" ca="1" si="17"/>
        <v>▲ STRONG</v>
      </c>
      <c r="T22" s="273"/>
      <c r="U22" s="273"/>
      <c r="V22" s="273"/>
      <c r="W22" s="273"/>
      <c r="X22" s="273"/>
      <c r="Y22" s="273"/>
      <c r="Z22" s="273"/>
      <c r="AA22" s="273"/>
      <c r="AB22" s="273"/>
      <c r="AC22" s="273"/>
      <c r="AD22" s="273"/>
      <c r="AE22" s="273"/>
    </row>
    <row r="23" spans="1:31" ht="4" customHeight="1" x14ac:dyDescent="0.35">
      <c r="A23" s="273"/>
      <c r="B23" s="273"/>
      <c r="C23" s="273"/>
      <c r="D23" s="273"/>
      <c r="E23" s="278"/>
      <c r="F23" s="278"/>
      <c r="G23" s="278"/>
      <c r="H23" s="279"/>
      <c r="I23" s="278"/>
      <c r="J23" s="273"/>
      <c r="K23" s="273"/>
      <c r="L23" s="273"/>
      <c r="M23" s="273"/>
      <c r="N23" s="273"/>
      <c r="O23" s="273"/>
      <c r="P23" s="273"/>
      <c r="Q23" s="273"/>
      <c r="R23" s="273"/>
      <c r="S23" s="273"/>
      <c r="T23" s="273"/>
      <c r="U23" s="273"/>
      <c r="V23" s="273"/>
      <c r="W23" s="273"/>
      <c r="X23" s="273"/>
      <c r="Y23" s="273"/>
      <c r="Z23" s="273"/>
      <c r="AA23" s="273"/>
      <c r="AB23" s="273"/>
      <c r="AC23" s="273"/>
      <c r="AD23" s="273"/>
      <c r="AE23" s="273"/>
    </row>
    <row r="24" spans="1:31" ht="16" customHeight="1" thickBot="1" x14ac:dyDescent="0.4">
      <c r="A24" s="273"/>
      <c r="B24" s="332" t="s">
        <v>147</v>
      </c>
      <c r="C24" s="332" t="s">
        <v>148</v>
      </c>
      <c r="D24" s="332"/>
      <c r="E24" s="332" t="s">
        <v>149</v>
      </c>
      <c r="F24" s="332"/>
      <c r="G24" s="332" t="s">
        <v>150</v>
      </c>
      <c r="H24" s="332"/>
      <c r="I24" s="332" t="s">
        <v>151</v>
      </c>
      <c r="J24" s="332"/>
      <c r="K24" s="332" t="s">
        <v>152</v>
      </c>
      <c r="L24" s="332"/>
      <c r="M24" s="332" t="s">
        <v>215</v>
      </c>
      <c r="N24" s="332" t="s">
        <v>216</v>
      </c>
      <c r="O24" s="332" t="s">
        <v>217</v>
      </c>
      <c r="P24" s="332" t="s">
        <v>218</v>
      </c>
      <c r="Q24" s="332" t="s">
        <v>219</v>
      </c>
      <c r="R24" s="332" t="s">
        <v>220</v>
      </c>
      <c r="S24" s="280" t="s">
        <v>221</v>
      </c>
      <c r="T24" s="273"/>
      <c r="U24" s="273"/>
      <c r="V24" s="273"/>
      <c r="W24" s="273"/>
      <c r="X24" s="273"/>
      <c r="Y24" s="273"/>
      <c r="Z24" s="273"/>
      <c r="AA24" s="273"/>
      <c r="AB24" s="273"/>
      <c r="AC24" s="273"/>
      <c r="AD24" s="273"/>
      <c r="AE24" s="273"/>
    </row>
    <row r="25" spans="1:31" ht="24" customHeight="1" thickTop="1" thickBot="1" x14ac:dyDescent="0.55000000000000004">
      <c r="A25" s="273"/>
      <c r="B25" s="432">
        <f ca="1">SUM(_xlfn.ANCHORARRAY(F7))-SUM(_xlfn.ANCHORARRAY(I7))</f>
        <v>132051.42120000004</v>
      </c>
      <c r="C25" s="333" t="str">
        <f ca="1">INDEX(Ledger[Ticker],MATCH(INDEX(_xlfn.ANCHORARRAY(B7),MATCH(MAX(L7:L22),L7:L22,0)),Ledger[Stock],0))&amp;" "&amp;TEXT(MAX(L7:L22),"0.0%")</f>
        <v>NVDA 29.5%</v>
      </c>
      <c r="D25" s="333"/>
      <c r="E25" s="339">
        <f ca="1">LARGE(L7:L22,1)+LARGE(L7:L22,2)+LARGE(L7:L22,3)</f>
        <v>0.44744208894741988</v>
      </c>
      <c r="F25" s="334"/>
      <c r="G25" s="339">
        <f ca="1">AVERAGE(K7:K22)</f>
        <v>1.2623595888314303</v>
      </c>
      <c r="H25" s="488"/>
      <c r="I25" s="335" t="str">
        <f ca="1">COUNTIF(I7:I22,"&gt;0")&amp;" / "&amp;COUNTA(I7:I22)</f>
        <v>14 / 16</v>
      </c>
      <c r="J25" s="333"/>
      <c r="K25" s="336" cm="1">
        <f t="array" aca="1" ref="K25" ca="1">SUMPRODUCT((SUMIF(_xlfn.ANCHORARRAY(C7),_xlfn.UNIQUE(_xlfn.ANCHORARRAY(C7)),_xlfn.ANCHORARRAY(F7))/SUM(_xlfn.ANCHORARRAY(F7)))^2)</f>
        <v>0.18781093738554927</v>
      </c>
      <c r="L25" s="339"/>
      <c r="M25" s="333">
        <f ca="1">COUNTIF(S7:S22,"*STRONG*")</f>
        <v>3</v>
      </c>
      <c r="N25" s="340">
        <f ca="1">COUNTIF(S7:S22,"*HOLD*")</f>
        <v>11</v>
      </c>
      <c r="O25" s="337">
        <f ca="1">COUNTIF(S7:S22,"*REVIEW*")</f>
        <v>2</v>
      </c>
      <c r="P25" s="338">
        <f ca="1">SUMIF(I7:I22,"&gt;0")/ABS(SUMIF(I7:I22,"&lt;0"))</f>
        <v>132.30748173345316</v>
      </c>
      <c r="Q25" s="337" cm="1">
        <f t="array" aca="1" ref="Q25" ca="1">(AVERAGE(K7:K22)-0.05)/SQRT(SUMPRODUCT((K7:K22&lt;0)*(K7:K22)^2)/COUNTA(K7:K22))</f>
        <v>37.183911207897729</v>
      </c>
      <c r="R25" s="341">
        <f ca="1">G3/ABS(Q3)</f>
        <v>1.0213861216343345</v>
      </c>
      <c r="S25" s="281" t="str">
        <f ca="1">Analytics!H44</f>
        <v>B+</v>
      </c>
      <c r="T25" s="273"/>
      <c r="U25" s="273"/>
      <c r="V25" s="273"/>
      <c r="W25" s="273"/>
      <c r="X25" s="273"/>
      <c r="Y25" s="273"/>
      <c r="Z25" s="273"/>
      <c r="AA25" s="273"/>
      <c r="AB25" s="273"/>
      <c r="AC25" s="273"/>
      <c r="AD25" s="273"/>
      <c r="AE25" s="273"/>
    </row>
    <row r="26" spans="1:31" ht="4" customHeight="1" x14ac:dyDescent="0.35">
      <c r="A26" s="273"/>
      <c r="B26" s="273"/>
      <c r="C26" s="273"/>
      <c r="D26" s="273"/>
      <c r="E26" s="278"/>
      <c r="F26" s="278"/>
      <c r="G26" s="278"/>
      <c r="H26" s="279"/>
      <c r="I26" s="278"/>
      <c r="J26" s="273"/>
      <c r="K26" s="273"/>
      <c r="L26" s="273"/>
      <c r="M26" s="273"/>
      <c r="N26" s="273"/>
      <c r="O26" s="273"/>
      <c r="P26" s="273"/>
      <c r="Q26" s="273"/>
      <c r="R26" s="273"/>
      <c r="S26" s="273"/>
      <c r="T26" s="273"/>
      <c r="U26" s="273"/>
      <c r="V26" s="273"/>
      <c r="W26" s="273"/>
      <c r="X26" s="273"/>
      <c r="Y26" s="273"/>
      <c r="Z26" s="273"/>
      <c r="AA26" s="273"/>
      <c r="AB26" s="273"/>
      <c r="AC26" s="273"/>
      <c r="AD26" s="273"/>
      <c r="AE26" s="273"/>
    </row>
    <row r="27" spans="1:31" ht="8" customHeight="1" thickBot="1" x14ac:dyDescent="0.4">
      <c r="A27" s="273"/>
      <c r="B27" s="342"/>
      <c r="C27" s="282"/>
      <c r="D27" s="282"/>
      <c r="E27" s="283"/>
      <c r="F27" s="278"/>
      <c r="G27" s="348"/>
      <c r="H27" s="284"/>
      <c r="I27" s="283"/>
      <c r="J27" s="282"/>
      <c r="K27" s="282"/>
      <c r="L27" s="282"/>
      <c r="M27" s="273"/>
      <c r="N27" s="273"/>
      <c r="O27" s="273"/>
      <c r="P27" s="273"/>
      <c r="Q27" s="273"/>
      <c r="R27" s="273"/>
      <c r="S27" s="273"/>
      <c r="T27" s="273"/>
      <c r="U27" s="273"/>
      <c r="V27" s="273"/>
      <c r="W27" s="273"/>
      <c r="X27" s="273"/>
      <c r="Y27" s="273"/>
      <c r="Z27" s="273"/>
      <c r="AA27" s="273"/>
      <c r="AB27" s="273"/>
      <c r="AC27" s="273"/>
      <c r="AD27" s="273"/>
      <c r="AE27" s="273"/>
    </row>
    <row r="28" spans="1:31" ht="22" customHeight="1" thickBot="1" x14ac:dyDescent="0.4">
      <c r="A28" s="273"/>
      <c r="B28" s="273" t="s">
        <v>154</v>
      </c>
      <c r="C28" s="273"/>
      <c r="D28" s="273"/>
      <c r="E28" s="278"/>
      <c r="F28" s="278"/>
      <c r="G28" s="278" t="s">
        <v>241</v>
      </c>
      <c r="H28" s="279"/>
      <c r="I28" s="278"/>
      <c r="J28" s="273"/>
      <c r="K28" s="273"/>
      <c r="L28" s="273"/>
      <c r="M28" s="273"/>
      <c r="N28" s="273"/>
      <c r="O28" s="273"/>
      <c r="P28" s="273"/>
      <c r="Q28" s="273"/>
      <c r="R28" s="273"/>
      <c r="S28" s="273"/>
      <c r="T28" s="273"/>
      <c r="U28" s="273"/>
      <c r="V28" s="273"/>
      <c r="W28" s="273"/>
      <c r="X28" s="273"/>
      <c r="Y28" s="273"/>
      <c r="Z28" s="273"/>
      <c r="AA28" s="273"/>
      <c r="AB28" s="273"/>
      <c r="AC28" s="273"/>
      <c r="AD28" s="273"/>
      <c r="AE28" s="273"/>
    </row>
    <row r="29" spans="1:31" ht="18" customHeight="1" thickBot="1" x14ac:dyDescent="0.4">
      <c r="A29" s="273"/>
      <c r="B29" s="299" t="s">
        <v>1</v>
      </c>
      <c r="C29" s="299" t="s">
        <v>4</v>
      </c>
      <c r="D29" s="299" t="s">
        <v>53</v>
      </c>
      <c r="E29" s="343" t="s">
        <v>155</v>
      </c>
      <c r="F29" s="278"/>
      <c r="G29" s="343" t="s">
        <v>8</v>
      </c>
      <c r="H29" s="349" t="s">
        <v>242</v>
      </c>
      <c r="I29" s="343" t="s">
        <v>243</v>
      </c>
      <c r="J29" s="299" t="s">
        <v>244</v>
      </c>
      <c r="K29" s="299" t="s">
        <v>245</v>
      </c>
      <c r="L29" s="299"/>
      <c r="M29" s="273"/>
      <c r="N29" s="273"/>
      <c r="O29" s="273"/>
      <c r="P29" s="273"/>
      <c r="Q29" s="273"/>
      <c r="R29" s="273"/>
      <c r="S29" s="273"/>
      <c r="T29" s="273"/>
      <c r="U29" s="273"/>
      <c r="V29" s="273"/>
      <c r="W29" s="273"/>
      <c r="X29" s="273"/>
      <c r="Y29" s="273"/>
      <c r="Z29" s="273"/>
      <c r="AA29" s="273"/>
      <c r="AB29" s="273"/>
      <c r="AC29" s="273"/>
      <c r="AD29" s="273"/>
      <c r="AE29" s="273"/>
    </row>
    <row r="30" spans="1:31" ht="16" customHeight="1" x14ac:dyDescent="0.35">
      <c r="A30" s="273"/>
      <c r="B30" s="300" t="str" cm="1">
        <f t="array" aca="1" ref="B30:B39" ca="1">_xlfn.UNIQUE(_xlfn.ANCHORARRAY(C7))</f>
        <v>Semiconductors &amp; Semiconductor Equipment</v>
      </c>
      <c r="C30" s="416" cm="1">
        <f t="array" aca="1" ref="C30:C39" ca="1">SUMIF(_xlfn.ANCHORARRAY(C7),_xlfn.ANCHORARRAY(B30),_xlfn.ANCHORARRAY(F7))</f>
        <v>112557.53069999999</v>
      </c>
      <c r="D30" s="311">
        <f t="shared" ref="D30:D39" ca="1" si="18">C30/SUM(C$30:C$39)</f>
        <v>0.37158833398767577</v>
      </c>
      <c r="E30" s="344">
        <f t="shared" ref="E30:E39" ca="1" si="19">D30^2</f>
        <v>0.13807788995573647</v>
      </c>
      <c r="F30" s="278"/>
      <c r="G30" s="350" t="str">
        <f ca="1">M7</f>
        <v>AMD</v>
      </c>
      <c r="H30" s="369">
        <f ca="1">L7</f>
        <v>7.6944836324051955E-2</v>
      </c>
      <c r="I30" s="311">
        <f ca="1">1/COUNTA(L$7:L$22)</f>
        <v>6.25E-2</v>
      </c>
      <c r="J30" s="402">
        <f ca="1">L7-(1/COUNTA(L$7:L$22))</f>
        <v>1.4444836324051955E-2</v>
      </c>
      <c r="K30" s="366" t="str">
        <f ca="1">IF(ABS(J30)&gt;0.1,IF(J30&gt;0,"🔻 TRIM","🔺 ADD"),IF(ABS(J30)&gt;0.03,IF(J30&gt;0,"▿ trim","▵ add"),"✔ OK"))</f>
        <v>✔ OK</v>
      </c>
      <c r="L30" s="312"/>
      <c r="M30" s="273"/>
      <c r="N30" s="273"/>
      <c r="O30" s="273"/>
      <c r="P30" s="273"/>
      <c r="Q30" s="273"/>
      <c r="R30" s="273"/>
      <c r="S30" s="273"/>
      <c r="T30" s="273"/>
      <c r="U30" s="273"/>
      <c r="V30" s="273"/>
      <c r="W30" s="273"/>
      <c r="X30" s="273"/>
      <c r="Y30" s="273"/>
      <c r="Z30" s="273"/>
      <c r="AA30" s="273"/>
      <c r="AB30" s="273"/>
      <c r="AC30" s="273"/>
      <c r="AD30" s="273"/>
      <c r="AE30" s="273"/>
    </row>
    <row r="31" spans="1:31" ht="16" customHeight="1" x14ac:dyDescent="0.35">
      <c r="A31" s="273"/>
      <c r="B31" s="316" t="str">
        <f ca="1"/>
        <v>Software &amp; IT Services</v>
      </c>
      <c r="C31" s="417">
        <f ca="1"/>
        <v>36300.729000000007</v>
      </c>
      <c r="D31" s="322">
        <f t="shared" ca="1" si="18"/>
        <v>0.11984029258424475</v>
      </c>
      <c r="E31" s="346">
        <f t="shared" ca="1" si="19"/>
        <v>1.4361695726677387E-2</v>
      </c>
      <c r="F31" s="278"/>
      <c r="G31" s="352" t="str">
        <f t="shared" ref="G31:G45" ca="1" si="20">M8</f>
        <v>GOOG</v>
      </c>
      <c r="H31" s="373">
        <f t="shared" ref="H31:H45" ca="1" si="21">L8</f>
        <v>6.5733837690300917E-2</v>
      </c>
      <c r="I31" s="322">
        <f t="shared" ref="I31:I45" ca="1" si="22">1/COUNTA(L$7:L$22)</f>
        <v>6.25E-2</v>
      </c>
      <c r="J31" s="403">
        <f t="shared" ref="J31:J45" ca="1" si="23">L8-(1/COUNTA(L$7:L$22))</f>
        <v>3.2338376903009169E-3</v>
      </c>
      <c r="K31" s="370" t="str">
        <f t="shared" ref="K31:K45" ca="1" si="24">IF(ABS(J31)&gt;0.1,IF(J31&gt;0,"🔻 TRIM","🔺 ADD"),IF(ABS(J31)&gt;0.03,IF(J31&gt;0,"▿ trim","▵ add"),"✔ OK"))</f>
        <v>✔ OK</v>
      </c>
      <c r="L31" s="323"/>
      <c r="M31" s="273"/>
      <c r="N31" s="273"/>
      <c r="O31" s="273"/>
      <c r="P31" s="273"/>
      <c r="Q31" s="273"/>
      <c r="R31" s="273"/>
      <c r="S31" s="273"/>
      <c r="T31" s="273"/>
      <c r="U31" s="273"/>
      <c r="V31" s="273"/>
      <c r="W31" s="273"/>
      <c r="X31" s="273"/>
      <c r="Y31" s="273"/>
      <c r="Z31" s="273"/>
      <c r="AA31" s="273"/>
      <c r="AB31" s="273"/>
      <c r="AC31" s="273"/>
      <c r="AD31" s="273"/>
      <c r="AE31" s="273"/>
    </row>
    <row r="32" spans="1:31" ht="16" customHeight="1" x14ac:dyDescent="0.35">
      <c r="A32" s="273"/>
      <c r="B32" s="324" t="str">
        <f ca="1"/>
        <v>Diversified Retail</v>
      </c>
      <c r="C32" s="418">
        <f ca="1"/>
        <v>9534.0465000000004</v>
      </c>
      <c r="D32" s="330">
        <f t="shared" ca="1" si="18"/>
        <v>3.1474930491665727E-2</v>
      </c>
      <c r="E32" s="347">
        <f t="shared" ca="1" si="19"/>
        <v>9.9067124945518897E-4</v>
      </c>
      <c r="F32" s="278"/>
      <c r="G32" s="353" t="str">
        <f t="shared" ca="1" si="20"/>
        <v>AMZN</v>
      </c>
      <c r="H32" s="377">
        <f t="shared" ca="1" si="21"/>
        <v>3.147493049166572E-2</v>
      </c>
      <c r="I32" s="330">
        <f t="shared" ca="1" si="22"/>
        <v>6.25E-2</v>
      </c>
      <c r="J32" s="404">
        <f t="shared" ca="1" si="23"/>
        <v>-3.102506950833428E-2</v>
      </c>
      <c r="K32" s="374" t="str">
        <f t="shared" ca="1" si="24"/>
        <v>▵ add</v>
      </c>
      <c r="L32" s="331"/>
      <c r="M32" s="273"/>
      <c r="N32" s="273"/>
      <c r="O32" s="273"/>
      <c r="P32" s="273"/>
      <c r="Q32" s="273"/>
      <c r="R32" s="273"/>
      <c r="S32" s="273"/>
      <c r="T32" s="273"/>
      <c r="U32" s="273"/>
      <c r="V32" s="273"/>
      <c r="W32" s="273"/>
      <c r="X32" s="273"/>
      <c r="Y32" s="273"/>
      <c r="Z32" s="273"/>
      <c r="AA32" s="273"/>
      <c r="AB32" s="273"/>
      <c r="AC32" s="273"/>
      <c r="AD32" s="273"/>
      <c r="AE32" s="273"/>
    </row>
    <row r="33" spans="1:31" ht="16" customHeight="1" x14ac:dyDescent="0.35">
      <c r="A33" s="273"/>
      <c r="B33" s="316" t="str">
        <f ca="1"/>
        <v>Computers, Phones &amp; Household Electronics</v>
      </c>
      <c r="C33" s="417">
        <f ca="1"/>
        <v>14060.244799999999</v>
      </c>
      <c r="D33" s="322">
        <f t="shared" ca="1" si="18"/>
        <v>4.6417355713107178E-2</v>
      </c>
      <c r="E33" s="346">
        <f t="shared" ca="1" si="19"/>
        <v>2.1545709113971238E-3</v>
      </c>
      <c r="F33" s="278"/>
      <c r="G33" s="352" t="str">
        <f t="shared" ca="1" si="20"/>
        <v>AAPL</v>
      </c>
      <c r="H33" s="373">
        <f t="shared" ca="1" si="21"/>
        <v>4.6417355713107157E-2</v>
      </c>
      <c r="I33" s="322">
        <f t="shared" ca="1" si="22"/>
        <v>6.25E-2</v>
      </c>
      <c r="J33" s="405">
        <f t="shared" ca="1" si="23"/>
        <v>-1.6082644286892843E-2</v>
      </c>
      <c r="K33" s="370" t="str">
        <f t="shared" ca="1" si="24"/>
        <v>✔ OK</v>
      </c>
      <c r="L33" s="323"/>
      <c r="M33" s="273"/>
      <c r="N33" s="273"/>
      <c r="O33" s="273"/>
      <c r="P33" s="273"/>
      <c r="Q33" s="273"/>
      <c r="R33" s="273"/>
      <c r="S33" s="273"/>
      <c r="T33" s="273"/>
      <c r="U33" s="273"/>
      <c r="V33" s="273"/>
      <c r="W33" s="273"/>
      <c r="X33" s="273"/>
      <c r="Y33" s="273"/>
      <c r="Z33" s="273"/>
      <c r="AA33" s="273"/>
      <c r="AB33" s="273"/>
      <c r="AC33" s="273"/>
      <c r="AD33" s="273"/>
      <c r="AE33" s="273"/>
    </row>
    <row r="34" spans="1:31" ht="16" customHeight="1" x14ac:dyDescent="0.35">
      <c r="A34" s="273"/>
      <c r="B34" s="324" t="str">
        <f ca="1"/>
        <v>Investment Banking &amp; Investment Services</v>
      </c>
      <c r="C34" s="418">
        <f ca="1"/>
        <v>27313.750500000002</v>
      </c>
      <c r="D34" s="330">
        <f t="shared" ca="1" si="18"/>
        <v>9.0171408169049741E-2</v>
      </c>
      <c r="E34" s="347">
        <f t="shared" ca="1" si="19"/>
        <v>8.1308828511893697E-3</v>
      </c>
      <c r="F34" s="278"/>
      <c r="G34" s="353" t="str">
        <f t="shared" ca="1" si="20"/>
        <v>BLK</v>
      </c>
      <c r="H34" s="377">
        <f t="shared" ca="1" si="21"/>
        <v>3.6855161323692098E-2</v>
      </c>
      <c r="I34" s="330">
        <f t="shared" ca="1" si="22"/>
        <v>6.25E-2</v>
      </c>
      <c r="J34" s="404">
        <f t="shared" ca="1" si="23"/>
        <v>-2.5644838676307902E-2</v>
      </c>
      <c r="K34" s="394" t="str">
        <f t="shared" ca="1" si="24"/>
        <v>✔ OK</v>
      </c>
      <c r="L34" s="331"/>
      <c r="M34" s="273"/>
      <c r="N34" s="273"/>
      <c r="O34" s="273"/>
      <c r="P34" s="273"/>
      <c r="Q34" s="273"/>
      <c r="R34" s="273"/>
      <c r="S34" s="273"/>
      <c r="T34" s="273"/>
      <c r="U34" s="273"/>
      <c r="V34" s="273"/>
      <c r="W34" s="273"/>
      <c r="X34" s="273"/>
      <c r="Y34" s="273"/>
      <c r="Z34" s="273"/>
      <c r="AA34" s="273"/>
      <c r="AB34" s="273"/>
      <c r="AC34" s="273"/>
      <c r="AD34" s="273"/>
      <c r="AE34" s="273"/>
    </row>
    <row r="35" spans="1:31" ht="16" customHeight="1" x14ac:dyDescent="0.35">
      <c r="A35" s="273"/>
      <c r="B35" s="316" t="str">
        <f ca="1"/>
        <v>Oil &amp; Gas</v>
      </c>
      <c r="C35" s="417">
        <f ca="1"/>
        <v>14793.419499999998</v>
      </c>
      <c r="D35" s="322">
        <f t="shared" ca="1" si="18"/>
        <v>4.8837799406217741E-2</v>
      </c>
      <c r="E35" s="346">
        <f t="shared" ca="1" si="19"/>
        <v>2.385130650841962E-3</v>
      </c>
      <c r="F35" s="278"/>
      <c r="G35" s="352" t="str">
        <f t="shared" ca="1" si="20"/>
        <v>CVX</v>
      </c>
      <c r="H35" s="373">
        <f t="shared" ca="1" si="21"/>
        <v>4.883779940621772E-2</v>
      </c>
      <c r="I35" s="322">
        <f t="shared" ca="1" si="22"/>
        <v>6.25E-2</v>
      </c>
      <c r="J35" s="405">
        <f t="shared" ca="1" si="23"/>
        <v>-1.366220059378228E-2</v>
      </c>
      <c r="K35" s="370" t="str">
        <f t="shared" ca="1" si="24"/>
        <v>✔ OK</v>
      </c>
      <c r="L35" s="323"/>
      <c r="M35" s="273"/>
      <c r="N35" s="273"/>
      <c r="O35" s="273"/>
      <c r="P35" s="273"/>
      <c r="Q35" s="273"/>
      <c r="R35" s="273"/>
      <c r="S35" s="273"/>
      <c r="T35" s="273"/>
      <c r="U35" s="273"/>
      <c r="V35" s="273"/>
      <c r="W35" s="273"/>
      <c r="X35" s="273"/>
      <c r="Y35" s="273"/>
      <c r="Z35" s="273"/>
      <c r="AA35" s="273"/>
      <c r="AB35" s="273"/>
      <c r="AC35" s="273"/>
      <c r="AD35" s="273"/>
      <c r="AE35" s="273"/>
    </row>
    <row r="36" spans="1:31" ht="16" customHeight="1" x14ac:dyDescent="0.35">
      <c r="A36" s="273"/>
      <c r="B36" s="324" t="str">
        <f ca="1"/>
        <v>Automobiles &amp; Auto Parts</v>
      </c>
      <c r="C36" s="418">
        <f ca="1"/>
        <v>23497.030200000001</v>
      </c>
      <c r="D36" s="330">
        <f t="shared" ca="1" si="18"/>
        <v>7.757119627070945E-2</v>
      </c>
      <c r="E36" s="347">
        <f t="shared" ca="1" si="19"/>
        <v>6.0172904908689278E-3</v>
      </c>
      <c r="F36" s="278"/>
      <c r="G36" s="353" t="str">
        <f t="shared" ca="1" si="20"/>
        <v>C</v>
      </c>
      <c r="H36" s="377">
        <f t="shared" ca="1" si="21"/>
        <v>5.3316246845357608E-2</v>
      </c>
      <c r="I36" s="330">
        <f t="shared" ca="1" si="22"/>
        <v>6.25E-2</v>
      </c>
      <c r="J36" s="404">
        <f t="shared" ca="1" si="23"/>
        <v>-9.183753154642392E-3</v>
      </c>
      <c r="K36" s="394" t="str">
        <f t="shared" ca="1" si="24"/>
        <v>✔ OK</v>
      </c>
      <c r="L36" s="331"/>
      <c r="M36" s="273"/>
      <c r="N36" s="273"/>
      <c r="O36" s="273"/>
      <c r="P36" s="273"/>
      <c r="Q36" s="273"/>
      <c r="R36" s="273"/>
      <c r="S36" s="273"/>
      <c r="T36" s="273"/>
      <c r="U36" s="273"/>
      <c r="V36" s="273"/>
      <c r="W36" s="273"/>
      <c r="X36" s="273"/>
      <c r="Y36" s="273"/>
      <c r="Z36" s="273"/>
      <c r="AA36" s="273"/>
      <c r="AB36" s="273"/>
      <c r="AC36" s="273"/>
      <c r="AD36" s="273"/>
      <c r="AE36" s="273"/>
    </row>
    <row r="37" spans="1:31" ht="16" customHeight="1" x14ac:dyDescent="0.35">
      <c r="A37" s="273"/>
      <c r="B37" s="316" t="str">
        <f ca="1"/>
        <v>Banking Services</v>
      </c>
      <c r="C37" s="417">
        <f ca="1"/>
        <v>16745.063999999998</v>
      </c>
      <c r="D37" s="322">
        <f t="shared" ca="1" si="18"/>
        <v>5.5280800809865367E-2</v>
      </c>
      <c r="E37" s="346">
        <f t="shared" ca="1" si="19"/>
        <v>3.0559669381800113E-3</v>
      </c>
      <c r="F37" s="278"/>
      <c r="G37" s="352" t="str">
        <f t="shared" ca="1" si="20"/>
        <v>F</v>
      </c>
      <c r="H37" s="373">
        <f t="shared" ca="1" si="21"/>
        <v>2.8488258399813605E-2</v>
      </c>
      <c r="I37" s="322">
        <f t="shared" ca="1" si="22"/>
        <v>6.25E-2</v>
      </c>
      <c r="J37" s="405">
        <f t="shared" ca="1" si="23"/>
        <v>-3.4011741600186399E-2</v>
      </c>
      <c r="K37" s="378" t="str">
        <f t="shared" ca="1" si="24"/>
        <v>▵ add</v>
      </c>
      <c r="L37" s="323"/>
      <c r="M37" s="273"/>
      <c r="N37" s="273"/>
      <c r="O37" s="273"/>
      <c r="P37" s="273"/>
      <c r="Q37" s="273"/>
      <c r="R37" s="273"/>
      <c r="S37" s="273"/>
      <c r="T37" s="273"/>
      <c r="U37" s="273"/>
      <c r="V37" s="273"/>
      <c r="W37" s="273"/>
      <c r="X37" s="273"/>
      <c r="Y37" s="273"/>
      <c r="Z37" s="273"/>
      <c r="AA37" s="273"/>
      <c r="AB37" s="273"/>
      <c r="AC37" s="273"/>
      <c r="AD37" s="273"/>
      <c r="AE37" s="273"/>
    </row>
    <row r="38" spans="1:31" ht="16" customHeight="1" x14ac:dyDescent="0.35">
      <c r="A38" s="273"/>
      <c r="B38" s="324" t="str">
        <f ca="1"/>
        <v>Aerospace &amp; Defense</v>
      </c>
      <c r="C38" s="418">
        <f ca="1"/>
        <v>25130.5988</v>
      </c>
      <c r="D38" s="330">
        <f t="shared" ca="1" si="18"/>
        <v>8.2964127607720206E-2</v>
      </c>
      <c r="E38" s="347">
        <f t="shared" ca="1" si="19"/>
        <v>6.8830464697100819E-3</v>
      </c>
      <c r="F38" s="278"/>
      <c r="G38" s="353" t="str">
        <f t="shared" ca="1" si="20"/>
        <v>HMC</v>
      </c>
      <c r="H38" s="377">
        <f t="shared" ca="1" si="21"/>
        <v>2.0605406447465904E-2</v>
      </c>
      <c r="I38" s="330">
        <f t="shared" ca="1" si="22"/>
        <v>6.25E-2</v>
      </c>
      <c r="J38" s="404">
        <f t="shared" ca="1" si="23"/>
        <v>-4.1894593552534096E-2</v>
      </c>
      <c r="K38" s="374" t="str">
        <f t="shared" ca="1" si="24"/>
        <v>▵ add</v>
      </c>
      <c r="L38" s="331"/>
      <c r="M38" s="273"/>
      <c r="N38" s="273"/>
      <c r="O38" s="273"/>
      <c r="P38" s="273"/>
      <c r="Q38" s="273"/>
      <c r="R38" s="273"/>
      <c r="S38" s="273"/>
      <c r="T38" s="273"/>
      <c r="U38" s="273"/>
      <c r="V38" s="273"/>
      <c r="W38" s="273"/>
      <c r="X38" s="273"/>
      <c r="Y38" s="273"/>
      <c r="Z38" s="273"/>
      <c r="AA38" s="273"/>
      <c r="AB38" s="273"/>
      <c r="AC38" s="273"/>
      <c r="AD38" s="273"/>
      <c r="AE38" s="273"/>
    </row>
    <row r="39" spans="1:31" ht="16" customHeight="1" x14ac:dyDescent="0.35">
      <c r="A39" s="273"/>
      <c r="B39" s="305" t="str">
        <f ca="1"/>
        <v>Food &amp; Drug Retailing</v>
      </c>
      <c r="C39" s="419">
        <f ca="1"/>
        <v>22976.8014</v>
      </c>
      <c r="D39" s="314">
        <f t="shared" ca="1" si="18"/>
        <v>7.5853754959744307E-2</v>
      </c>
      <c r="E39" s="345">
        <f t="shared" ca="1" si="19"/>
        <v>5.7537921414929343E-3</v>
      </c>
      <c r="F39" s="273"/>
      <c r="G39" s="352" t="str">
        <f t="shared" ca="1" si="20"/>
        <v>JPM</v>
      </c>
      <c r="H39" s="373">
        <f t="shared" ca="1" si="21"/>
        <v>5.5280800809865346E-2</v>
      </c>
      <c r="I39" s="322">
        <f t="shared" ca="1" si="22"/>
        <v>6.25E-2</v>
      </c>
      <c r="J39" s="405">
        <f t="shared" ca="1" si="23"/>
        <v>-7.2191991901346536E-3</v>
      </c>
      <c r="K39" s="370" t="str">
        <f t="shared" ca="1" si="24"/>
        <v>✔ OK</v>
      </c>
      <c r="L39" s="323"/>
      <c r="M39" s="273"/>
      <c r="N39" s="273"/>
      <c r="O39" s="273"/>
      <c r="P39" s="273"/>
      <c r="Q39" s="273"/>
      <c r="R39" s="273"/>
      <c r="S39" s="273"/>
      <c r="T39" s="273"/>
      <c r="U39" s="273"/>
      <c r="V39" s="273"/>
      <c r="W39" s="273"/>
      <c r="X39" s="273"/>
      <c r="Y39" s="273"/>
      <c r="Z39" s="273"/>
      <c r="AA39" s="273"/>
      <c r="AB39" s="273"/>
      <c r="AC39" s="273"/>
      <c r="AD39" s="273"/>
      <c r="AE39" s="273"/>
    </row>
    <row r="40" spans="1:31" x14ac:dyDescent="0.35">
      <c r="A40" s="273"/>
      <c r="B40" s="273"/>
      <c r="C40" s="273"/>
      <c r="D40" s="273"/>
      <c r="E40" s="273"/>
      <c r="F40" s="273"/>
      <c r="G40" s="353" t="str">
        <f t="shared" ca="1" si="20"/>
        <v>META</v>
      </c>
      <c r="H40" s="377">
        <f t="shared" ca="1" si="21"/>
        <v>5.4106454893943778E-2</v>
      </c>
      <c r="I40" s="330">
        <f t="shared" ca="1" si="22"/>
        <v>6.25E-2</v>
      </c>
      <c r="J40" s="404">
        <f t="shared" ca="1" si="23"/>
        <v>-8.3935451060562216E-3</v>
      </c>
      <c r="K40" s="394" t="str">
        <f t="shared" ca="1" si="24"/>
        <v>✔ OK</v>
      </c>
      <c r="L40" s="331"/>
      <c r="M40" s="273"/>
      <c r="N40" s="273"/>
      <c r="O40" s="273"/>
      <c r="P40" s="273"/>
      <c r="Q40" s="273"/>
      <c r="R40" s="273"/>
      <c r="S40" s="273"/>
      <c r="T40" s="273"/>
      <c r="U40" s="273"/>
      <c r="V40" s="273"/>
      <c r="W40" s="273"/>
      <c r="X40" s="273"/>
      <c r="Y40" s="273"/>
      <c r="Z40" s="273"/>
      <c r="AA40" s="273"/>
      <c r="AB40" s="273"/>
      <c r="AC40" s="273"/>
      <c r="AD40" s="273"/>
      <c r="AE40" s="273"/>
    </row>
    <row r="41" spans="1:31" x14ac:dyDescent="0.35">
      <c r="A41" s="273"/>
      <c r="B41" s="273"/>
      <c r="C41" s="273"/>
      <c r="D41" s="273"/>
      <c r="E41" s="273"/>
      <c r="F41" s="273"/>
      <c r="G41" s="352" t="str">
        <f t="shared" ca="1" si="20"/>
        <v>NVDA</v>
      </c>
      <c r="H41" s="373">
        <f t="shared" ca="1" si="21"/>
        <v>0.29464349766362363</v>
      </c>
      <c r="I41" s="322">
        <f t="shared" ca="1" si="22"/>
        <v>6.25E-2</v>
      </c>
      <c r="J41" s="403">
        <f t="shared" ca="1" si="23"/>
        <v>0.23214349766362363</v>
      </c>
      <c r="K41" s="384" t="str">
        <f t="shared" ca="1" si="24"/>
        <v>🔻 TRIM</v>
      </c>
      <c r="L41" s="323"/>
      <c r="M41" s="273"/>
      <c r="N41" s="273"/>
      <c r="O41" s="273"/>
      <c r="P41" s="273"/>
      <c r="Q41" s="273"/>
      <c r="R41" s="273"/>
      <c r="S41" s="273"/>
      <c r="T41" s="273"/>
      <c r="U41" s="273"/>
      <c r="V41" s="273"/>
      <c r="W41" s="273"/>
      <c r="X41" s="273"/>
      <c r="Y41" s="273"/>
      <c r="Z41" s="273"/>
      <c r="AA41" s="273"/>
      <c r="AB41" s="273"/>
      <c r="AC41" s="273"/>
      <c r="AD41" s="273"/>
      <c r="AE41" s="273"/>
    </row>
    <row r="42" spans="1:31" x14ac:dyDescent="0.35">
      <c r="A42" s="273"/>
      <c r="B42" s="273"/>
      <c r="C42" s="273"/>
      <c r="D42" s="273"/>
      <c r="E42" s="273"/>
      <c r="F42" s="273"/>
      <c r="G42" s="353" t="str">
        <f t="shared" ca="1" si="20"/>
        <v>0R2N</v>
      </c>
      <c r="H42" s="377">
        <f t="shared" ca="1" si="21"/>
        <v>5.1488050567906229E-2</v>
      </c>
      <c r="I42" s="330">
        <f t="shared" ca="1" si="22"/>
        <v>6.25E-2</v>
      </c>
      <c r="J42" s="404">
        <f t="shared" ca="1" si="23"/>
        <v>-1.1011949432093771E-2</v>
      </c>
      <c r="K42" s="394" t="str">
        <f t="shared" ca="1" si="24"/>
        <v>✔ OK</v>
      </c>
      <c r="L42" s="331"/>
      <c r="M42" s="273"/>
      <c r="N42" s="273"/>
      <c r="O42" s="273"/>
      <c r="P42" s="273"/>
      <c r="Q42" s="273"/>
      <c r="R42" s="273"/>
      <c r="S42" s="273"/>
      <c r="T42" s="273"/>
      <c r="U42" s="273"/>
      <c r="V42" s="273"/>
      <c r="W42" s="273"/>
      <c r="X42" s="273"/>
      <c r="Y42" s="273"/>
      <c r="Z42" s="273"/>
      <c r="AA42" s="273"/>
      <c r="AB42" s="273"/>
      <c r="AC42" s="273"/>
      <c r="AD42" s="273"/>
      <c r="AE42" s="273"/>
    </row>
    <row r="43" spans="1:31" x14ac:dyDescent="0.35">
      <c r="A43" s="273"/>
      <c r="B43" s="273"/>
      <c r="C43" s="273"/>
      <c r="D43" s="273"/>
      <c r="E43" s="273"/>
      <c r="F43" s="273"/>
      <c r="G43" s="352" t="str">
        <f t="shared" ca="1" si="20"/>
        <v>BA</v>
      </c>
      <c r="H43" s="373">
        <f t="shared" ca="1" si="21"/>
        <v>3.1476077039813949E-2</v>
      </c>
      <c r="I43" s="322">
        <f t="shared" ca="1" si="22"/>
        <v>6.25E-2</v>
      </c>
      <c r="J43" s="405">
        <f t="shared" ca="1" si="23"/>
        <v>-3.1023922960186051E-2</v>
      </c>
      <c r="K43" s="378" t="str">
        <f t="shared" ca="1" si="24"/>
        <v>▵ add</v>
      </c>
      <c r="L43" s="323"/>
      <c r="M43" s="273"/>
      <c r="N43" s="273"/>
      <c r="O43" s="273"/>
      <c r="P43" s="273"/>
      <c r="Q43" s="273"/>
      <c r="R43" s="273"/>
      <c r="S43" s="273"/>
      <c r="T43" s="273"/>
      <c r="U43" s="273"/>
      <c r="V43" s="273"/>
      <c r="W43" s="273"/>
      <c r="X43" s="273"/>
      <c r="Y43" s="273"/>
      <c r="Z43" s="273"/>
      <c r="AA43" s="273"/>
      <c r="AB43" s="273"/>
      <c r="AC43" s="273"/>
      <c r="AD43" s="273"/>
      <c r="AE43" s="273"/>
    </row>
    <row r="44" spans="1:31" ht="14.5" customHeight="1" x14ac:dyDescent="0.35">
      <c r="A44" s="273"/>
      <c r="B44" s="273"/>
      <c r="C44" s="273"/>
      <c r="D44" s="273"/>
      <c r="E44" s="273"/>
      <c r="F44" s="273"/>
      <c r="G44" s="353" t="str">
        <f t="shared" ca="1" si="20"/>
        <v>TM</v>
      </c>
      <c r="H44" s="377">
        <f t="shared" ca="1" si="21"/>
        <v>2.847753142342991E-2</v>
      </c>
      <c r="I44" s="330">
        <f t="shared" ca="1" si="22"/>
        <v>6.25E-2</v>
      </c>
      <c r="J44" s="404">
        <f t="shared" ca="1" si="23"/>
        <v>-3.402246857657009E-2</v>
      </c>
      <c r="K44" s="374" t="str">
        <f t="shared" ca="1" si="24"/>
        <v>▵ add</v>
      </c>
      <c r="L44" s="331"/>
      <c r="M44" s="273"/>
      <c r="N44" s="273"/>
      <c r="O44" s="273"/>
      <c r="P44" s="273"/>
      <c r="Q44" s="273"/>
      <c r="R44" s="273"/>
      <c r="S44" s="273"/>
      <c r="T44" s="273"/>
      <c r="U44" s="273"/>
      <c r="V44" s="273"/>
      <c r="W44" s="273"/>
      <c r="X44" s="273"/>
      <c r="Y44" s="273"/>
      <c r="Z44" s="273"/>
      <c r="AA44" s="273"/>
      <c r="AB44" s="273"/>
      <c r="AC44" s="273"/>
      <c r="AD44" s="273"/>
      <c r="AE44" s="273"/>
    </row>
    <row r="45" spans="1:31" ht="15" customHeight="1" x14ac:dyDescent="0.35">
      <c r="A45" s="273"/>
      <c r="B45" s="273"/>
      <c r="C45" s="273"/>
      <c r="D45" s="273"/>
      <c r="E45" s="273"/>
      <c r="F45" s="273"/>
      <c r="G45" s="351" t="str">
        <f t="shared" ca="1" si="20"/>
        <v>WMT</v>
      </c>
      <c r="H45" s="389">
        <f t="shared" ca="1" si="21"/>
        <v>7.585375495974428E-2</v>
      </c>
      <c r="I45" s="314">
        <f t="shared" ca="1" si="22"/>
        <v>6.25E-2</v>
      </c>
      <c r="J45" s="406">
        <f t="shared" ca="1" si="23"/>
        <v>1.335375495974428E-2</v>
      </c>
      <c r="K45" s="386" t="str">
        <f t="shared" ca="1" si="24"/>
        <v>✔ OK</v>
      </c>
      <c r="L45" s="315"/>
      <c r="M45" s="273"/>
      <c r="N45" s="273"/>
      <c r="O45" s="273"/>
      <c r="P45" s="273"/>
      <c r="Q45" s="273"/>
      <c r="R45" s="273"/>
      <c r="S45" s="273"/>
      <c r="T45" s="273"/>
      <c r="U45" s="273"/>
      <c r="V45" s="273"/>
      <c r="W45" s="273"/>
      <c r="X45" s="273"/>
      <c r="Y45" s="273"/>
      <c r="Z45" s="273"/>
      <c r="AA45" s="273"/>
      <c r="AB45" s="273"/>
      <c r="AC45" s="273"/>
      <c r="AD45" s="273"/>
      <c r="AE45" s="273"/>
    </row>
    <row r="46" spans="1:31" x14ac:dyDescent="0.35">
      <c r="A46" s="273"/>
      <c r="B46" s="273"/>
      <c r="C46" s="273" t="s">
        <v>157</v>
      </c>
      <c r="D46" s="273"/>
      <c r="E46" s="273"/>
      <c r="F46" s="273"/>
      <c r="G46" s="273"/>
      <c r="H46" s="273"/>
      <c r="I46" s="273"/>
      <c r="J46" s="273"/>
      <c r="K46" s="273"/>
      <c r="L46" s="273"/>
      <c r="M46" s="273"/>
      <c r="N46" s="273"/>
      <c r="O46" s="273"/>
      <c r="P46" s="273"/>
      <c r="Q46" s="273"/>
      <c r="R46" s="273"/>
      <c r="S46" s="273"/>
      <c r="T46" s="273"/>
      <c r="U46" s="273"/>
      <c r="V46" s="273"/>
      <c r="W46" s="273"/>
      <c r="X46" s="273"/>
      <c r="Y46" s="273"/>
      <c r="Z46" s="273"/>
      <c r="AA46" s="273"/>
      <c r="AB46" s="273"/>
      <c r="AC46" s="273"/>
      <c r="AD46" s="273"/>
      <c r="AE46" s="273"/>
    </row>
    <row r="47" spans="1:31" x14ac:dyDescent="0.35">
      <c r="A47" s="273"/>
      <c r="B47" s="273"/>
      <c r="C47" s="273"/>
      <c r="D47" s="273"/>
      <c r="E47" s="273"/>
      <c r="F47" s="273"/>
      <c r="G47" s="273"/>
      <c r="H47" s="273"/>
      <c r="I47" s="273"/>
      <c r="J47" s="273"/>
      <c r="K47" s="273"/>
      <c r="L47" s="273"/>
      <c r="M47" s="273"/>
      <c r="N47" s="273"/>
      <c r="O47" s="273"/>
      <c r="P47" s="273"/>
      <c r="Q47" s="273"/>
      <c r="R47" s="273"/>
      <c r="S47" s="273"/>
      <c r="T47" s="273"/>
      <c r="U47" s="273"/>
      <c r="V47" s="273"/>
      <c r="W47" s="273"/>
      <c r="X47" s="273"/>
      <c r="Y47" s="273"/>
      <c r="Z47" s="273"/>
      <c r="AA47" s="273"/>
      <c r="AB47" s="273"/>
      <c r="AC47" s="273"/>
      <c r="AD47" s="273"/>
      <c r="AE47" s="273"/>
    </row>
    <row r="48" spans="1:31" x14ac:dyDescent="0.35">
      <c r="A48" s="273"/>
      <c r="B48" s="273"/>
      <c r="C48" s="273"/>
      <c r="D48" s="273"/>
      <c r="E48" s="273"/>
      <c r="F48" s="273"/>
      <c r="G48" s="273"/>
      <c r="H48" s="273"/>
      <c r="I48" s="273"/>
      <c r="J48" s="273"/>
      <c r="K48" s="273"/>
      <c r="L48" s="273"/>
      <c r="M48" s="273"/>
      <c r="N48" s="273"/>
      <c r="O48" s="273"/>
      <c r="P48" s="273"/>
      <c r="Q48" s="273"/>
      <c r="R48" s="273"/>
      <c r="S48" s="273"/>
      <c r="T48" s="273"/>
      <c r="U48" s="273"/>
      <c r="V48" s="273"/>
      <c r="W48" s="273"/>
      <c r="X48" s="273"/>
      <c r="Y48" s="273"/>
      <c r="Z48" s="273"/>
      <c r="AA48" s="273"/>
      <c r="AB48" s="273"/>
      <c r="AC48" s="273"/>
      <c r="AD48" s="273"/>
      <c r="AE48" s="273"/>
    </row>
    <row r="49" spans="1:31" x14ac:dyDescent="0.35">
      <c r="A49" s="273"/>
      <c r="B49" s="273"/>
      <c r="C49" s="273"/>
      <c r="D49" s="273"/>
      <c r="E49" s="273"/>
      <c r="F49" s="273"/>
      <c r="G49" s="273"/>
      <c r="H49" s="273"/>
      <c r="I49" s="273"/>
      <c r="J49" s="273"/>
      <c r="K49" s="273"/>
      <c r="L49" s="273"/>
      <c r="M49" s="273"/>
      <c r="N49" s="273"/>
      <c r="O49" s="273"/>
      <c r="P49" s="273"/>
      <c r="Q49" s="273"/>
      <c r="R49" s="273"/>
      <c r="S49" s="273"/>
      <c r="T49" s="273"/>
      <c r="U49" s="273"/>
      <c r="V49" s="273"/>
      <c r="W49" s="273"/>
      <c r="X49" s="273"/>
      <c r="Y49" s="273"/>
      <c r="Z49" s="273"/>
      <c r="AA49" s="273"/>
      <c r="AB49" s="273"/>
      <c r="AC49" s="273"/>
      <c r="AD49" s="273"/>
      <c r="AE49" s="273"/>
    </row>
    <row r="50" spans="1:31" x14ac:dyDescent="0.35">
      <c r="A50" s="273"/>
      <c r="B50" s="273"/>
      <c r="C50" s="273"/>
      <c r="D50" s="273"/>
      <c r="E50" s="273"/>
      <c r="F50" s="273"/>
      <c r="G50" s="273"/>
      <c r="H50" s="273"/>
      <c r="I50" s="273"/>
      <c r="J50" s="273"/>
      <c r="K50" s="273"/>
      <c r="L50" s="273"/>
      <c r="M50" s="273"/>
      <c r="N50" s="273"/>
      <c r="O50" s="273"/>
      <c r="P50" s="273"/>
      <c r="Q50" s="273"/>
      <c r="R50" s="273"/>
      <c r="S50" s="273"/>
      <c r="T50" s="273"/>
      <c r="U50" s="273"/>
      <c r="V50" s="273"/>
      <c r="W50" s="273"/>
      <c r="X50" s="273"/>
      <c r="Y50" s="273"/>
      <c r="Z50" s="273"/>
      <c r="AA50" s="273"/>
      <c r="AB50" s="273"/>
      <c r="AC50" s="273"/>
      <c r="AD50" s="273"/>
      <c r="AE50" s="273"/>
    </row>
    <row r="51" spans="1:31" x14ac:dyDescent="0.35">
      <c r="A51" s="273"/>
      <c r="B51" s="273"/>
      <c r="C51" s="273"/>
      <c r="D51" s="273"/>
      <c r="E51" s="273"/>
      <c r="F51" s="273"/>
      <c r="G51" s="273"/>
      <c r="H51" s="273"/>
      <c r="I51" s="273"/>
      <c r="J51" s="273"/>
      <c r="K51" s="273"/>
      <c r="L51" s="273"/>
      <c r="M51" s="273"/>
      <c r="N51" s="273"/>
      <c r="O51" s="273"/>
      <c r="P51" s="273"/>
      <c r="Q51" s="273"/>
      <c r="R51" s="273"/>
      <c r="S51" s="273"/>
      <c r="T51" s="273"/>
      <c r="U51" s="273"/>
      <c r="V51" s="273"/>
      <c r="W51" s="273"/>
      <c r="X51" s="273"/>
      <c r="Y51" s="273"/>
      <c r="Z51" s="273"/>
      <c r="AA51" s="273"/>
      <c r="AB51" s="273"/>
      <c r="AC51" s="273"/>
      <c r="AD51" s="273"/>
      <c r="AE51" s="273"/>
    </row>
    <row r="52" spans="1:31" x14ac:dyDescent="0.35">
      <c r="A52" s="273"/>
      <c r="B52" s="273"/>
      <c r="C52" s="273"/>
      <c r="D52" s="273"/>
      <c r="E52" s="273"/>
      <c r="F52" s="273"/>
      <c r="G52" s="273"/>
      <c r="H52" s="273"/>
      <c r="I52" s="273"/>
      <c r="J52" s="273"/>
      <c r="K52" s="273"/>
      <c r="L52" s="273"/>
      <c r="M52" s="273"/>
      <c r="N52" s="273"/>
      <c r="O52" s="273"/>
      <c r="P52" s="273"/>
      <c r="Q52" s="273"/>
      <c r="R52" s="273"/>
      <c r="S52" s="273"/>
      <c r="T52" s="273"/>
      <c r="U52" s="273"/>
      <c r="V52" s="273"/>
      <c r="W52" s="273"/>
      <c r="X52" s="273"/>
      <c r="Y52" s="273"/>
      <c r="Z52" s="273"/>
      <c r="AA52" s="273"/>
      <c r="AB52" s="273"/>
      <c r="AC52" s="273"/>
      <c r="AD52" s="273"/>
      <c r="AE52" s="273"/>
    </row>
    <row r="53" spans="1:31" x14ac:dyDescent="0.35">
      <c r="A53" s="273"/>
      <c r="B53" s="273"/>
      <c r="C53" s="273"/>
      <c r="D53" s="273"/>
      <c r="E53" s="273"/>
      <c r="F53" s="273"/>
      <c r="G53" s="273"/>
      <c r="H53" s="273"/>
      <c r="I53" s="273"/>
      <c r="J53" s="273"/>
      <c r="K53" s="273"/>
      <c r="L53" s="273"/>
      <c r="M53" s="273"/>
      <c r="N53" s="273"/>
      <c r="O53" s="273"/>
      <c r="P53" s="273"/>
      <c r="Q53" s="273"/>
      <c r="R53" s="273"/>
      <c r="S53" s="273"/>
      <c r="T53" s="273"/>
      <c r="U53" s="273"/>
      <c r="V53" s="273"/>
      <c r="W53" s="273"/>
      <c r="X53" s="273"/>
      <c r="Y53" s="273"/>
      <c r="Z53" s="273"/>
      <c r="AA53" s="273"/>
      <c r="AB53" s="273"/>
      <c r="AC53" s="273"/>
      <c r="AD53" s="273"/>
      <c r="AE53" s="273"/>
    </row>
    <row r="54" spans="1:31" x14ac:dyDescent="0.35">
      <c r="A54" s="273"/>
      <c r="B54" s="273"/>
      <c r="C54" s="273"/>
      <c r="D54" s="273"/>
      <c r="E54" s="273"/>
      <c r="F54" s="273"/>
      <c r="G54" s="273"/>
      <c r="H54" s="273"/>
      <c r="I54" s="273"/>
      <c r="J54" s="273"/>
      <c r="K54" s="273"/>
      <c r="L54" s="273"/>
      <c r="M54" s="273"/>
      <c r="N54" s="273"/>
      <c r="O54" s="273"/>
      <c r="P54" s="273"/>
      <c r="Q54" s="273"/>
      <c r="R54" s="273"/>
      <c r="S54" s="273"/>
      <c r="T54" s="273"/>
      <c r="U54" s="273"/>
      <c r="V54" s="273"/>
      <c r="W54" s="273"/>
      <c r="X54" s="273"/>
      <c r="Y54" s="273"/>
      <c r="Z54" s="273"/>
      <c r="AA54" s="273"/>
      <c r="AB54" s="273"/>
      <c r="AC54" s="273"/>
      <c r="AD54" s="273"/>
      <c r="AE54" s="273"/>
    </row>
    <row r="55" spans="1:31" x14ac:dyDescent="0.35">
      <c r="A55" s="273"/>
      <c r="B55" s="273"/>
      <c r="C55" s="273"/>
      <c r="D55" s="273"/>
      <c r="E55" s="273"/>
      <c r="F55" s="273"/>
      <c r="G55" s="273"/>
      <c r="H55" s="273"/>
      <c r="I55" s="273"/>
      <c r="J55" s="273"/>
      <c r="K55" s="273"/>
      <c r="L55" s="273"/>
      <c r="M55" s="273"/>
      <c r="N55" s="273"/>
      <c r="O55" s="273"/>
      <c r="P55" s="273"/>
      <c r="Q55" s="273"/>
      <c r="R55" s="273"/>
      <c r="S55" s="273"/>
      <c r="T55" s="273"/>
      <c r="U55" s="273"/>
      <c r="V55" s="273"/>
      <c r="W55" s="273"/>
      <c r="X55" s="273"/>
      <c r="Y55" s="273"/>
      <c r="Z55" s="273"/>
      <c r="AA55" s="273"/>
      <c r="AB55" s="273"/>
      <c r="AC55" s="273"/>
      <c r="AD55" s="273"/>
      <c r="AE55" s="273"/>
    </row>
    <row r="56" spans="1:31" x14ac:dyDescent="0.35">
      <c r="A56" s="273"/>
      <c r="B56" s="273"/>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c r="AA56" s="273"/>
      <c r="AB56" s="273"/>
      <c r="AC56" s="273"/>
      <c r="AD56" s="273"/>
      <c r="AE56" s="273"/>
    </row>
    <row r="57" spans="1:31" x14ac:dyDescent="0.35">
      <c r="A57" s="273"/>
      <c r="B57" s="273"/>
      <c r="C57" s="273"/>
      <c r="D57" s="273"/>
      <c r="E57" s="273"/>
      <c r="F57" s="273"/>
      <c r="G57" s="273"/>
      <c r="H57" s="273"/>
      <c r="I57" s="273"/>
      <c r="J57" s="273"/>
      <c r="K57" s="273"/>
      <c r="L57" s="273"/>
      <c r="M57" s="273"/>
      <c r="N57" s="273"/>
      <c r="O57" s="273"/>
      <c r="P57" s="273"/>
      <c r="Q57" s="273"/>
      <c r="R57" s="273"/>
      <c r="S57" s="273"/>
      <c r="T57" s="273"/>
      <c r="U57" s="273"/>
      <c r="V57" s="273"/>
      <c r="W57" s="273"/>
      <c r="X57" s="273"/>
      <c r="Y57" s="273"/>
      <c r="Z57" s="273"/>
      <c r="AA57" s="273"/>
      <c r="AB57" s="273"/>
      <c r="AC57" s="273"/>
      <c r="AD57" s="273"/>
      <c r="AE57" s="273"/>
    </row>
    <row r="58" spans="1:31" x14ac:dyDescent="0.35">
      <c r="A58" s="273"/>
      <c r="B58" s="273"/>
      <c r="C58" s="273"/>
      <c r="D58" s="273"/>
      <c r="E58" s="273"/>
      <c r="F58" s="273"/>
      <c r="G58" s="273"/>
      <c r="H58" s="273"/>
      <c r="I58" s="273"/>
      <c r="J58" s="273"/>
      <c r="K58" s="273"/>
      <c r="L58" s="273"/>
      <c r="M58" s="273"/>
      <c r="N58" s="273"/>
      <c r="O58" s="273"/>
      <c r="P58" s="273"/>
      <c r="Q58" s="273"/>
      <c r="R58" s="273"/>
      <c r="S58" s="273"/>
      <c r="T58" s="273"/>
      <c r="U58" s="273"/>
      <c r="V58" s="273"/>
      <c r="W58" s="273"/>
      <c r="X58" s="273"/>
      <c r="Y58" s="273"/>
      <c r="Z58" s="273"/>
      <c r="AA58" s="273"/>
      <c r="AB58" s="273"/>
      <c r="AC58" s="273"/>
      <c r="AD58" s="273"/>
      <c r="AE58" s="273"/>
    </row>
    <row r="59" spans="1:31" x14ac:dyDescent="0.35">
      <c r="A59" s="273"/>
      <c r="B59" s="273"/>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row>
    <row r="60" spans="1:31" x14ac:dyDescent="0.35">
      <c r="A60" s="273"/>
      <c r="B60" s="273"/>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row>
    <row r="61" spans="1:31" x14ac:dyDescent="0.35">
      <c r="A61" s="273"/>
      <c r="B61" s="273"/>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row>
    <row r="62" spans="1:31" x14ac:dyDescent="0.35">
      <c r="A62" s="273"/>
      <c r="B62" s="273"/>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row>
    <row r="63" spans="1:31" x14ac:dyDescent="0.35">
      <c r="A63" s="273"/>
      <c r="B63" s="273"/>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row>
    <row r="64" spans="1:31" x14ac:dyDescent="0.35">
      <c r="A64" s="273"/>
      <c r="B64" s="273"/>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row>
    <row r="65" spans="1:31" x14ac:dyDescent="0.35">
      <c r="A65" s="273"/>
      <c r="B65" s="273"/>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row>
    <row r="66" spans="1:31" x14ac:dyDescent="0.35">
      <c r="A66" s="273"/>
      <c r="B66" s="273"/>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row>
    <row r="67" spans="1:31" x14ac:dyDescent="0.35">
      <c r="A67" s="273"/>
      <c r="B67" s="273"/>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row>
    <row r="68" spans="1:31" x14ac:dyDescent="0.35">
      <c r="A68" s="273"/>
      <c r="B68" s="273"/>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row>
    <row r="69" spans="1:31" x14ac:dyDescent="0.35">
      <c r="A69" s="273"/>
      <c r="B69" s="273"/>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row>
    <row r="70" spans="1:31" x14ac:dyDescent="0.35">
      <c r="A70" s="273"/>
      <c r="B70" s="273"/>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row>
    <row r="71" spans="1:31" x14ac:dyDescent="0.35">
      <c r="A71" s="273"/>
      <c r="B71" s="273"/>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5:D5"/>
    <mergeCell ref="E5:G5"/>
    <mergeCell ref="H5:J5"/>
    <mergeCell ref="M5:O5"/>
    <mergeCell ref="P5:R5"/>
  </mergeCells>
  <conditionalFormatting sqref="D30:D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F7:F23 F26:F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H7:H23 H25:H45">
    <cfRule type="cellIs" dxfId="115" priority="5" operator="lessThan">
      <formula>0</formula>
    </cfRule>
  </conditionalFormatting>
  <conditionalFormatting sqref="L7:L22">
    <cfRule type="dataBar" priority="10">
      <dataBar>
        <cfvo type="min"/>
        <cfvo type="max"/>
        <color rgb="FF0D7377"/>
      </dataBar>
      <extLst>
        <ext xmlns:x14="http://schemas.microsoft.com/office/spreadsheetml/2009/9/main" uri="{B025F937-C7B1-47D3-B67F-A62EFF666E3E}">
          <x14:id>{40E0C34C-90DA-4D1F-A6D9-15D238A69B99}</x14:id>
        </ext>
      </extLst>
    </cfRule>
  </conditionalFormatting>
  <conditionalFormatting sqref="P7:P22">
    <cfRule type="cellIs" dxfId="114" priority="20" operator="greaterThan">
      <formula>1.5</formula>
    </cfRule>
    <cfRule type="cellIs" dxfId="113" priority="21" operator="lessThan">
      <formula>1</formula>
    </cfRule>
  </conditionalFormatting>
  <conditionalFormatting sqref="Q7:Q22">
    <cfRule type="cellIs" dxfId="112" priority="18" operator="greaterThan">
      <formula>0</formula>
    </cfRule>
    <cfRule type="cellIs" dxfId="111" priority="19" operator="lessThan">
      <formula>0</formula>
    </cfRule>
  </conditionalFormatting>
  <conditionalFormatting sqref="R7:R22">
    <cfRule type="containsText" dxfId="110" priority="15" operator="containsText" text="HIGH">
      <formula>NOT(ISERROR(SEARCH("HIGH",R7)))</formula>
    </cfRule>
    <cfRule type="containsText" dxfId="109" priority="16" operator="containsText" text="MEDIUM">
      <formula>NOT(ISERROR(SEARCH("MEDIUM",R7)))</formula>
    </cfRule>
    <cfRule type="containsText" dxfId="108" priority="17" operator="containsText" text="LOW">
      <formula>NOT(ISERROR(SEARCH("LOW",R7)))</formula>
    </cfRule>
  </conditionalFormatting>
  <conditionalFormatting sqref="S7:S22">
    <cfRule type="containsText" dxfId="107" priority="12" operator="containsText" text="STRONG">
      <formula>NOT(ISERROR(SEARCH("STRONG",S7)))</formula>
    </cfRule>
    <cfRule type="containsText" dxfId="106" priority="13" operator="containsText" text="HOLD">
      <formula>NOT(ISERROR(SEARCH("HOLD",S7)))</formula>
    </cfRule>
    <cfRule type="containsText" dxfId="105" priority="14" operator="containsText" text="REVIEW">
      <formula>NOT(ISERROR(SEARCH("REVIEW",S7)))</formula>
    </cfRule>
  </conditionalFormatting>
  <conditionalFormatting sqref="I7:I22">
    <cfRule type="cellIs" dxfId="26" priority="22" operator="greaterThan">
      <formula>0</formula>
    </cfRule>
  </conditionalFormatting>
  <conditionalFormatting sqref="I7:I22">
    <cfRule type="cellIs" dxfId="25" priority="23" operator="lessThan">
      <formula>0</formula>
    </cfRule>
  </conditionalFormatting>
  <conditionalFormatting sqref="K7:K22">
    <cfRule type="cellIs" dxfId="24" priority="24" operator="greaterThan">
      <formula>0</formula>
    </cfRule>
  </conditionalFormatting>
  <conditionalFormatting sqref="K7:K22">
    <cfRule type="cellIs" dxfId="23" priority="25" operator="lessThan">
      <formula>0</formula>
    </cfRule>
  </conditionalFormatting>
  <conditionalFormatting sqref="G7:G22">
    <cfRule type="cellIs" dxfId="22" priority="26" operator="greaterThan">
      <formula>0</formula>
    </cfRule>
  </conditionalFormatting>
  <conditionalFormatting sqref="G7:G22">
    <cfRule type="cellIs" dxfId="21" priority="27" operator="lessThan">
      <formula>0</formula>
    </cfRule>
  </conditionalFormatting>
  <conditionalFormatting sqref="H7:H22">
    <cfRule type="cellIs" dxfId="20" priority="28" operator="greaterThan">
      <formula>0</formula>
    </cfRule>
  </conditionalFormatting>
  <conditionalFormatting sqref="H7:H22">
    <cfRule type="cellIs" dxfId="19" priority="29" operator="lessThan">
      <formula>0</formula>
    </cfRule>
  </conditionalFormatting>
  <conditionalFormatting sqref="P7:P22">
    <cfRule type="cellIs" dxfId="18" priority="30" operator="greaterThanOrEqual">
      <formula>1.5</formula>
    </cfRule>
  </conditionalFormatting>
  <conditionalFormatting sqref="P7:P22">
    <cfRule type="cellIs" dxfId="17" priority="31" operator="lessThan">
      <formula>1</formula>
    </cfRule>
  </conditionalFormatting>
  <conditionalFormatting sqref="R7:R22">
    <cfRule type="containsText" dxfId="16" priority="32" operator="containsText" text="LOW">
      <formula>NOT(ISERROR(SEARCH("LOW",R7)))</formula>
    </cfRule>
  </conditionalFormatting>
  <conditionalFormatting sqref="R7:R22">
    <cfRule type="containsText" dxfId="15" priority="33" operator="containsText" text="MEDIUM">
      <formula>NOT(ISERROR(SEARCH("MEDIUM",R7)))</formula>
    </cfRule>
  </conditionalFormatting>
  <conditionalFormatting sqref="R7:R22">
    <cfRule type="containsText" dxfId="14" priority="34" operator="containsText" text="HIGH">
      <formula>NOT(ISERROR(SEARCH("HIGH",R7)))</formula>
    </cfRule>
  </conditionalFormatting>
  <conditionalFormatting sqref="S7:S22">
    <cfRule type="containsText" dxfId="13" priority="35" operator="containsText" text="STRONG">
      <formula>NOT(ISERROR(SEARCH("STRONG",S7)))</formula>
    </cfRule>
  </conditionalFormatting>
  <conditionalFormatting sqref="S7:S22">
    <cfRule type="containsText" dxfId="12" priority="36" operator="containsText" text="HOLD">
      <formula>NOT(ISERROR(SEARCH("HOLD",S7)))</formula>
    </cfRule>
  </conditionalFormatting>
  <conditionalFormatting sqref="S7:S22">
    <cfRule type="containsText" dxfId="11" priority="37" operator="containsText" text="REVIEW">
      <formula>NOT(ISERROR(SEARCH("REVIEW",S7)))</formula>
    </cfRule>
  </conditionalFormatting>
  <conditionalFormatting sqref="L7:L22">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J30:J45">
    <cfRule type="cellIs" dxfId="10" priority="39" operator="greaterThan">
      <formula>0</formula>
    </cfRule>
  </conditionalFormatting>
  <conditionalFormatting sqref="J30:J45">
    <cfRule type="cellIs" dxfId="9" priority="40" operator="lessThan">
      <formula>0</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D30:D39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F7:F23 F26:F34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H3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H7:H23 H25:H45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m:sqref>L7:L22</xm:sqref>
        </x14:conditionalFormatting>
        <x14:conditionalFormatting xmlns:xm="http://schemas.microsoft.com/office/excel/2006/main">
          <x14:cfRule type="dataBar" id="{DB9068C3-BB3F-4DF2-A731-F61A8198A199}">
            <x14:dataBar minLength="0" maxLength="100" border="1" direction="leftToRight" negativeBarColorSameAsPositive="1" axisPosition="none">
              <x14:cfvo type="min"/>
              <x14:cfvo type="max"/>
              <x14:borderColor rgb="FF38BDF8"/>
            </x14:dataBar>
          </x14:cfRule>
          <xm:sqref>L7:L22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Spartkine!B3:IR3</xm:f>
              <xm:sqref>J7</xm:sqref>
            </x14:sparkline>
            <x14:sparkline>
              <xm:f>Spartkine!B4:IR4</xm:f>
              <xm:sqref>J8</xm:sqref>
            </x14:sparkline>
            <x14:sparkline>
              <xm:f>Spartkine!B5:IR5</xm:f>
              <xm:sqref>J9</xm:sqref>
            </x14:sparkline>
            <x14:sparkline>
              <xm:f>Spartkine!B6:IR6</xm:f>
              <xm:sqref>J10</xm:sqref>
            </x14:sparkline>
            <x14:sparkline>
              <xm:f>Spartkine!B7:IR7</xm:f>
              <xm:sqref>J11</xm:sqref>
            </x14:sparkline>
            <x14:sparkline>
              <xm:f>Spartkine!B8:IR8</xm:f>
              <xm:sqref>J12</xm:sqref>
            </x14:sparkline>
            <x14:sparkline>
              <xm:f>Spartkine!B9:IR9</xm:f>
              <xm:sqref>J13</xm:sqref>
            </x14:sparkline>
            <x14:sparkline>
              <xm:f>Spartkine!B10:IR10</xm:f>
              <xm:sqref>J14</xm:sqref>
            </x14:sparkline>
            <x14:sparkline>
              <xm:f>Spartkine!B11:IR11</xm:f>
              <xm:sqref>J15</xm:sqref>
            </x14:sparkline>
            <x14:sparkline>
              <xm:f>Spartkine!B12:IR12</xm:f>
              <xm:sqref>J16</xm:sqref>
            </x14:sparkline>
            <x14:sparkline>
              <xm:f>Spartkine!B13:IR13</xm:f>
              <xm:sqref>J17</xm:sqref>
            </x14:sparkline>
            <x14:sparkline>
              <xm:f>Spartkine!B14:IR14</xm:f>
              <xm:sqref>J18</xm:sqref>
            </x14:sparkline>
            <x14:sparkline>
              <xm:f>Spartkine!B15:IR15</xm:f>
              <xm:sqref>J19</xm:sqref>
            </x14:sparkline>
            <x14:sparkline>
              <xm:f>Spartkine!B16:IR16</xm:f>
              <xm:sqref>J20</xm:sqref>
            </x14:sparkline>
            <x14:sparkline>
              <xm:f>Spartkine!B17:IR17</xm:f>
              <xm:sqref>J21</xm:sqref>
            </x14:sparkline>
            <x14:sparkline>
              <xm:f>Spartkine!B18:IR18</xm:f>
              <xm:sqref>J22</xm:sqref>
            </x14:sparkline>
            <x14:sparkline>
              <xm:f>Spartkine!B19:IR19</xm:f>
              <xm:sqref>J23</xm:sqref>
            </x14:sparkline>
            <x14:sparkline>
              <xm:f>Spartkine!B20:IR20</xm:f>
              <xm:sqref>J24</xm:sqref>
            </x14:sparkline>
            <x14:sparkline>
              <xm:f>Spartkine!B21:IR21</xm:f>
              <xm:sqref>J25</xm:sqref>
            </x14:sparkline>
            <x14:sparkline>
              <xm:f>Spartkine!B22:IR22</xm:f>
              <xm:sqref>J26</xm:sqref>
            </x14:sparkline>
            <x14:sparkline>
              <xm:f>Spartkine!B23:IR23</xm:f>
              <xm:sqref>J27</xm:sqref>
            </x14:sparkline>
            <x14:sparkline>
              <xm:f>Spartkine!B24:IR24</xm:f>
              <xm:sqref>J28</xm:sqref>
            </x14:sparkline>
            <x14:sparkline>
              <xm:f>Spartkine!B25:IR25</xm:f>
              <xm:sqref>J29</xm:sqref>
            </x14:sparkline>
            <x14:sparkline>
              <xm:f>Spartkine!B26:IR26</xm:f>
              <xm:sqref>J30</xm:sqref>
            </x14:sparkline>
          </x14:sparklines>
        </x14:sparklineGroup>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Spartkine!B27:IR27</xm:f>
              <xm:sqref>J31</xm:sqref>
            </x14:sparkline>
            <x14:sparkline>
              <xm:f>Spartkine!B28:IR28</xm:f>
              <xm:sqref>J32</xm:sqref>
            </x14:sparkline>
            <x14:sparkline>
              <xm:f>Spartkine!B29:IR29</xm:f>
              <xm:sqref>J33</xm:sqref>
            </x14:sparkline>
            <x14:sparkline>
              <xm:f>Spartkine!B30:IR30</xm:f>
              <xm:sqref>J34</xm:sqref>
            </x14:sparkline>
            <x14:sparkline>
              <xm:f>Spartkine!B31:IR31</xm:f>
              <xm:sqref>J35</xm:sqref>
            </x14:sparkline>
            <x14:sparkline>
              <xm:f>Spartkine!B32:IR32</xm:f>
              <xm:sqref>J36</xm:sqref>
            </x14:sparkline>
            <x14:sparkline>
              <xm:f>Spartkine!B33:IR33</xm:f>
              <xm:sqref>J37</xm:sqref>
            </x14:sparkline>
            <x14:sparkline>
              <xm:f>Spartkine!B34:IR34</xm:f>
              <xm:sqref>J38</xm:sqref>
            </x14:sparkline>
            <x14:sparkline>
              <xm:f>Spartkine!B35:IR35</xm:f>
              <xm:sqref>J39</xm:sqref>
            </x14:sparkline>
            <x14:sparkline>
              <xm:f>Spartkine!B36:IR36</xm:f>
              <xm:sqref>J40</xm:sqref>
            </x14:sparkline>
            <x14:sparkline>
              <xm:f>Spartkine!B37:IR37</xm:f>
              <xm:sqref>J41</xm:sqref>
            </x14:sparkline>
            <x14:sparkline>
              <xm:f>Spartkine!B38:IR38</xm:f>
              <xm:sqref>J42</xm:sqref>
            </x14:sparkline>
            <x14:sparkline>
              <xm:f>Spartkine!B39:IR39</xm:f>
              <xm:sqref>J43</xm:sqref>
            </x14:sparkline>
            <x14:sparkline>
              <xm:f>Spartkine!B40:IR40</xm:f>
              <xm:sqref>J44</xm:sqref>
            </x14:sparkline>
            <x14:sparkline>
              <xm:f>Spartkine!B41:IR41</xm:f>
              <xm:sqref>J45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79"/>
  <sheetViews>
    <sheetView showGridLines="0" workbookViewId="0">
      <pane ySplit="1" topLeftCell="A2" activePane="bottomLeft" state="frozen"/>
      <selection pane="bottomLeft" activeCell="K8" sqref="K8:K17"/>
    </sheetView>
  </sheetViews>
  <sheetFormatPr defaultRowHeight="14.5" outlineLevelRow="2" x14ac:dyDescent="0.35"/>
  <cols>
    <col min="1" max="1" width="2.7265625" customWidth="1"/>
    <col min="2" max="2" width="35" customWidth="1"/>
    <col min="3" max="3" width="25.453125" customWidth="1"/>
    <col min="4" max="4" width="17.26953125" customWidth="1"/>
    <col min="5" max="5" width="17.453125" customWidth="1"/>
    <col min="6" max="6" width="16.26953125" bestFit="1" customWidth="1"/>
    <col min="7" max="7" width="14.453125" bestFit="1" customWidth="1"/>
    <col min="8" max="8" width="18.1796875" customWidth="1"/>
    <col min="9" max="11" width="16.36328125" customWidth="1"/>
    <col min="12" max="12" width="2.7265625" customWidth="1"/>
    <col min="13" max="14" width="0.1796875" customWidth="1"/>
  </cols>
  <sheetData>
    <row r="1" spans="1:14" ht="10" customHeight="1" x14ac:dyDescent="0.35">
      <c r="A1" s="225"/>
      <c r="B1" s="225"/>
      <c r="C1" s="225"/>
      <c r="D1" s="225"/>
      <c r="E1" s="225"/>
      <c r="F1" s="225"/>
      <c r="G1" s="225"/>
      <c r="H1" s="225"/>
      <c r="I1" s="225"/>
      <c r="J1" s="225"/>
      <c r="K1" s="225"/>
      <c r="L1" s="225"/>
      <c r="M1" s="225"/>
      <c r="N1" s="225"/>
    </row>
    <row r="2" spans="1:14" ht="20" customHeight="1" x14ac:dyDescent="0.5">
      <c r="A2" s="230"/>
      <c r="B2" s="87" t="s">
        <v>161</v>
      </c>
      <c r="C2" s="230"/>
      <c r="D2" s="230"/>
      <c r="E2" s="230"/>
      <c r="F2" s="230"/>
      <c r="G2" s="230"/>
      <c r="H2" s="230"/>
      <c r="I2" s="230"/>
      <c r="J2" s="230"/>
      <c r="K2" s="230"/>
      <c r="L2" s="230"/>
      <c r="M2" s="230"/>
      <c r="N2" s="230"/>
    </row>
    <row r="3" spans="1:14" ht="22" customHeight="1" x14ac:dyDescent="0.35">
      <c r="A3" s="225"/>
      <c r="B3" s="49" t="s">
        <v>162</v>
      </c>
      <c r="C3" s="49" t="s">
        <v>163</v>
      </c>
      <c r="D3" s="49" t="s">
        <v>164</v>
      </c>
      <c r="E3" s="49" t="s">
        <v>165</v>
      </c>
      <c r="F3" s="49" t="s">
        <v>166</v>
      </c>
      <c r="G3" s="49" t="s">
        <v>167</v>
      </c>
      <c r="H3" s="49" t="s">
        <v>168</v>
      </c>
      <c r="I3" s="49" t="s">
        <v>222</v>
      </c>
      <c r="J3" s="49" t="s">
        <v>223</v>
      </c>
      <c r="K3" s="49" t="s">
        <v>169</v>
      </c>
      <c r="L3" s="225"/>
      <c r="M3" s="225"/>
      <c r="N3" s="225"/>
    </row>
    <row r="4" spans="1:14" ht="50" customHeight="1" thickBot="1" x14ac:dyDescent="0.55000000000000004">
      <c r="A4" s="225"/>
      <c r="B4" s="433">
        <f ca="1">SUM(Watchlist!J2:INDEX(Watchlist!J:J,COUNTA(Watchlist!J:J)))</f>
        <v>5468153871342</v>
      </c>
      <c r="C4" s="133">
        <f ca="1">AVERAGE(Watchlist!F2:INDEX(Watchlist!F:F,COUNTA(Watchlist!F:F)))</f>
        <v>29.902630000000006</v>
      </c>
      <c r="D4" s="134">
        <f ca="1">AVERAGE(Watchlist!E2:INDEX(Watchlist!E:E,COUNTA(Watchlist!E:E)))</f>
        <v>0.9894900000000002</v>
      </c>
      <c r="E4" s="135" t="str" cm="1">
        <f t="array" aca="1" ref="E4" ca="1">INDEX(Watchlist!B:B,MATCH(MAX(Watchlist!F$2:INDEX(Watchlist!F:F,COUNTA(Watchlist!F:F))),Watchlist!F$2:INDEX(Watchlist!F:F,COUNTA(Watchlist!F:F)),0)+1)&amp;" "&amp;TEXT(MAX(Watchlist!F$2:INDEX(Watchlist!F:F,COUNTA(Watchlist!F:F))),"0.0x")</f>
        <v>AMD 80.7x</v>
      </c>
      <c r="F4" s="135" t="str" cm="1">
        <f t="array" aca="1" ref="F4" ca="1">INDEX(Watchlist!B:B,MATCH(MIN(Watchlist!F$2:INDEX(Watchlist!F:F,COUNTA(Watchlist!F:F))),Watchlist!F$2:INDEX(Watchlist!F:F,COUNTA(Watchlist!F:F)),0)+1)&amp;" "&amp;TEXT(MIN(Watchlist!F$2:INDEX(Watchlist!F:F,COUNTA(Watchlist!F:F))),"0.0x")</f>
        <v>BAC 13.0x</v>
      </c>
      <c r="G4" s="135" t="str" cm="1">
        <f t="array" aca="1" ref="G4" ca="1">"▲ "&amp;INDEX(Watchlist!B:B,MATCH(MAX(Watchlist!G$2:INDEX(Watchlist!G:G,COUNTA(Watchlist!G:G))),Watchlist!G$2:INDEX(Watchlist!G:G,COUNTA(Watchlist!G:G)),0)+1)</f>
        <v>▲ COST</v>
      </c>
      <c r="H4" s="135" t="str" cm="1">
        <f t="array" aca="1" ref="H4" ca="1">"▼ "&amp;INDEX(Watchlist!B:B,MATCH(MIN(Watchlist!G$2:INDEX(Watchlist!G:G,COUNTA(Watchlist!G:G))),Watchlist!G$2:INDEX(Watchlist!G:G,COUNTA(Watchlist!G:G)),0)+1)</f>
        <v>▼ GM</v>
      </c>
      <c r="I4" s="135">
        <f ca="1">COUNTA(Watchlist!B2:INDEX(Watchlist!B:B,COUNTA(Watchlist!B:B)))</f>
        <v>10</v>
      </c>
      <c r="J4" s="135">
        <f ca="1">COUNTA(_xlfn.UNIQUE(Watchlist!K2:INDEX(Watchlist!K:K,COUNTA(Watchlist!K:K))))</f>
        <v>9</v>
      </c>
      <c r="K4" s="133">
        <f ca="1">MEDIAN(Watchlist!F2:INDEX(Watchlist!F:F,COUNTA(Watchlist!F:F)))</f>
        <v>23.035699999999999</v>
      </c>
      <c r="L4" s="225"/>
      <c r="M4" s="225"/>
      <c r="N4" s="225"/>
    </row>
    <row r="5" spans="1:14" ht="15" customHeight="1" x14ac:dyDescent="0.35">
      <c r="A5" s="225"/>
      <c r="B5" s="225"/>
      <c r="C5" s="225"/>
      <c r="D5" s="225"/>
      <c r="E5" s="225"/>
      <c r="F5" s="225"/>
      <c r="G5" s="225"/>
      <c r="H5" s="225"/>
      <c r="I5" s="225"/>
      <c r="J5" s="225"/>
      <c r="K5" s="225"/>
      <c r="L5" s="225"/>
      <c r="M5" s="225"/>
      <c r="N5" s="225"/>
    </row>
    <row r="6" spans="1:14" ht="28" customHeight="1" thickBot="1" x14ac:dyDescent="0.4">
      <c r="A6" s="225"/>
      <c r="B6" s="231" t="s">
        <v>170</v>
      </c>
      <c r="C6" s="232"/>
      <c r="D6" s="232"/>
      <c r="E6" s="232"/>
      <c r="F6" s="232"/>
      <c r="G6" s="232"/>
      <c r="H6" s="232"/>
      <c r="I6" s="232"/>
      <c r="J6" s="232"/>
      <c r="K6" s="232"/>
      <c r="L6" s="225"/>
      <c r="M6" s="225"/>
      <c r="N6" s="225"/>
    </row>
    <row r="7" spans="1:14" ht="28" customHeight="1" thickBot="1" x14ac:dyDescent="0.4">
      <c r="A7" s="225"/>
      <c r="B7" s="50" t="s">
        <v>14</v>
      </c>
      <c r="C7" s="50" t="s">
        <v>1</v>
      </c>
      <c r="D7" s="50" t="s">
        <v>3</v>
      </c>
      <c r="E7" s="50" t="s">
        <v>171</v>
      </c>
      <c r="F7" s="50" t="s">
        <v>172</v>
      </c>
      <c r="G7" s="50" t="s">
        <v>28</v>
      </c>
      <c r="H7" s="50" t="s">
        <v>173</v>
      </c>
      <c r="I7" s="50" t="s">
        <v>174</v>
      </c>
      <c r="J7" s="50" t="s">
        <v>175</v>
      </c>
      <c r="K7" s="50" t="s">
        <v>176</v>
      </c>
      <c r="L7" s="225"/>
      <c r="M7" s="268"/>
      <c r="N7" s="268"/>
    </row>
    <row r="8" spans="1:14" ht="24" customHeight="1" x14ac:dyDescent="0.35">
      <c r="A8" s="225"/>
      <c r="B8" s="233" t="str">
        <f ca="1">Watchlist!B2</f>
        <v>AMD</v>
      </c>
      <c r="C8" s="234" t="str">
        <f ca="1">Watchlist!K2</f>
        <v>Semiconductors &amp; Semiconductor Equipment</v>
      </c>
      <c r="D8" s="434">
        <f ca="1">(Watchlist!H2+Watchlist!I2)/2</f>
        <v>209.2</v>
      </c>
      <c r="E8" s="420">
        <f ca="1">Watchlist!G2</f>
        <v>7.29</v>
      </c>
      <c r="F8" s="235">
        <f ca="1">Watchlist!F2</f>
        <v>80.712800000000001</v>
      </c>
      <c r="G8" s="236">
        <f ca="1">Watchlist!E2</f>
        <v>1.9919</v>
      </c>
      <c r="H8" s="438">
        <f ca="1">Watchlist!J2</f>
        <v>354598732500</v>
      </c>
      <c r="I8" s="434">
        <f ca="1">Watchlist!C2</f>
        <v>267.07990000000001</v>
      </c>
      <c r="J8" s="434">
        <f ca="1">Watchlist!D2</f>
        <v>76.48</v>
      </c>
      <c r="K8" s="498">
        <f ca="1">((Watchlist!H2+Watchlist!I2)/2-Watchlist!D2)/(Watchlist!C2-Watchlist!D2)</f>
        <v>0.69632775253292356</v>
      </c>
      <c r="L8" s="225"/>
      <c r="M8" s="269" t="s">
        <v>14</v>
      </c>
      <c r="N8" s="269" t="s">
        <v>176</v>
      </c>
    </row>
    <row r="9" spans="1:14" ht="24" customHeight="1" x14ac:dyDescent="0.35">
      <c r="A9" s="225"/>
      <c r="B9" s="242" t="str">
        <f ca="1">Watchlist!B3</f>
        <v>MSFT</v>
      </c>
      <c r="C9" s="243" t="str">
        <f ca="1">Watchlist!K3</f>
        <v>Software &amp; IT Services</v>
      </c>
      <c r="D9" s="435">
        <f ca="1">(Watchlist!H3+Watchlist!I3)/2</f>
        <v>368.89499999999998</v>
      </c>
      <c r="E9" s="423">
        <f ca="1">Watchlist!G3</f>
        <v>4.09</v>
      </c>
      <c r="F9" s="244">
        <f ca="1">Watchlist!F3</f>
        <v>23.111000000000001</v>
      </c>
      <c r="G9" s="245">
        <f ca="1">Watchlist!E3</f>
        <v>1.103</v>
      </c>
      <c r="H9" s="439">
        <f ca="1">Watchlist!J3</f>
        <v>2773175406340</v>
      </c>
      <c r="I9" s="435">
        <f ca="1">Watchlist!C3</f>
        <v>555.45000000000005</v>
      </c>
      <c r="J9" s="435">
        <f ca="1">Watchlist!D3</f>
        <v>344.79</v>
      </c>
      <c r="K9" s="391">
        <f ca="1">((Watchlist!H3+Watchlist!I3)/2-Watchlist!D3)/(Watchlist!C3-Watchlist!D3)</f>
        <v>0.11442608943320971</v>
      </c>
      <c r="L9" s="225"/>
      <c r="M9" s="271" t="str">
        <f t="shared" ref="M9:M18" ca="1" si="0">B8</f>
        <v>AMD</v>
      </c>
      <c r="N9" s="271">
        <f t="shared" ref="N9:N18" ca="1" si="1">K8</f>
        <v>0.69632775253292356</v>
      </c>
    </row>
    <row r="10" spans="1:14" ht="24" customHeight="1" x14ac:dyDescent="0.35">
      <c r="A10" s="225"/>
      <c r="B10" s="247" t="str">
        <f ca="1">Watchlist!B4</f>
        <v>BABA</v>
      </c>
      <c r="C10" s="248" t="str">
        <f ca="1">Watchlist!K4</f>
        <v>Software &amp; IT Services</v>
      </c>
      <c r="D10" s="436">
        <f ca="1">(Watchlist!H4+Watchlist!I4)/2</f>
        <v>121.49395</v>
      </c>
      <c r="E10" s="422">
        <f ca="1">Watchlist!G4</f>
        <v>-1.68</v>
      </c>
      <c r="F10" s="249">
        <f ca="1">Watchlist!F4</f>
        <v>16.8276</v>
      </c>
      <c r="G10" s="250">
        <f ca="1">Watchlist!E4</f>
        <v>0.49490000000000001</v>
      </c>
      <c r="H10" s="440">
        <f ca="1">Watchlist!J4</f>
        <v>291383756650</v>
      </c>
      <c r="I10" s="436">
        <f ca="1">Watchlist!C4</f>
        <v>192.67</v>
      </c>
      <c r="J10" s="436">
        <f ca="1">Watchlist!D4</f>
        <v>94.974199999999996</v>
      </c>
      <c r="K10" s="391">
        <f ca="1">((Watchlist!H4+Watchlist!I4)/2-Watchlist!D4)/(Watchlist!C4-Watchlist!D4)</f>
        <v>0.27145230398850312</v>
      </c>
      <c r="L10" s="225"/>
      <c r="M10" s="272" t="str">
        <f t="shared" ca="1" si="0"/>
        <v>MSFT</v>
      </c>
      <c r="N10" s="272">
        <f t="shared" ca="1" si="1"/>
        <v>0.11442608943320971</v>
      </c>
    </row>
    <row r="11" spans="1:14" ht="24" customHeight="1" x14ac:dyDescent="0.35">
      <c r="A11" s="225"/>
      <c r="B11" s="242" t="str">
        <f ca="1">Watchlist!B5</f>
        <v>DELL</v>
      </c>
      <c r="C11" s="243" t="str">
        <f ca="1">Watchlist!K5</f>
        <v>Computers, Phones &amp; Household Electronics</v>
      </c>
      <c r="D11" s="435">
        <f ca="1">(Watchlist!H5+Watchlist!I5)/2</f>
        <v>170.4325</v>
      </c>
      <c r="E11" s="423">
        <f ca="1">Watchlist!G5</f>
        <v>4.99</v>
      </c>
      <c r="F11" s="244">
        <f ca="1">Watchlist!F5</f>
        <v>19.4253</v>
      </c>
      <c r="G11" s="245">
        <f ca="1">Watchlist!E5</f>
        <v>0.85729999999999995</v>
      </c>
      <c r="H11" s="439">
        <f ca="1">Watchlist!J5</f>
        <v>112599165945</v>
      </c>
      <c r="I11" s="435">
        <f ca="1">Watchlist!C5</f>
        <v>186.39</v>
      </c>
      <c r="J11" s="435">
        <f ca="1">Watchlist!D5</f>
        <v>66.245000000000005</v>
      </c>
      <c r="K11" s="391">
        <f ca="1">((Watchlist!H5+Watchlist!I5)/2-Watchlist!D5)/(Watchlist!C5-Watchlist!D5)</f>
        <v>0.86718132256856317</v>
      </c>
      <c r="L11" s="225"/>
      <c r="M11" s="271" t="str">
        <f t="shared" ca="1" si="0"/>
        <v>BABA</v>
      </c>
      <c r="N11" s="271">
        <f t="shared" ca="1" si="1"/>
        <v>0.27145230398850312</v>
      </c>
    </row>
    <row r="12" spans="1:14" ht="24" customHeight="1" x14ac:dyDescent="0.35">
      <c r="A12" s="225"/>
      <c r="B12" s="247" t="str">
        <f ca="1">Watchlist!B6</f>
        <v>GS</v>
      </c>
      <c r="C12" s="248" t="str">
        <f ca="1">Watchlist!K6</f>
        <v>Investment Banking &amp; Investment Services</v>
      </c>
      <c r="D12" s="436">
        <f ca="1">(Watchlist!H6+Watchlist!I6)/2</f>
        <v>849.15</v>
      </c>
      <c r="E12" s="424">
        <f ca="1">Watchlist!G6</f>
        <v>2.83</v>
      </c>
      <c r="F12" s="249">
        <f ca="1">Watchlist!F6</f>
        <v>16.7681</v>
      </c>
      <c r="G12" s="250">
        <f ca="1">Watchlist!E6</f>
        <v>1.3147</v>
      </c>
      <c r="H12" s="440">
        <f ca="1">Watchlist!J6</f>
        <v>254591535456</v>
      </c>
      <c r="I12" s="436">
        <f ca="1">Watchlist!C6</f>
        <v>984.7</v>
      </c>
      <c r="J12" s="436">
        <f ca="1">Watchlist!D6</f>
        <v>439.38</v>
      </c>
      <c r="K12" s="391">
        <f ca="1">((Watchlist!H6+Watchlist!I6)/2-Watchlist!D6)/(Watchlist!C6-Watchlist!D6)</f>
        <v>0.7514303528203623</v>
      </c>
      <c r="L12" s="225"/>
      <c r="M12" s="272" t="str">
        <f t="shared" ca="1" si="0"/>
        <v>DELL</v>
      </c>
      <c r="N12" s="272">
        <f t="shared" ca="1" si="1"/>
        <v>0.86718132256856317</v>
      </c>
    </row>
    <row r="13" spans="1:14" ht="24" customHeight="1" x14ac:dyDescent="0.35">
      <c r="A13" s="225"/>
      <c r="B13" s="242" t="str">
        <f ca="1">Watchlist!B7</f>
        <v>XOM</v>
      </c>
      <c r="C13" s="243" t="str">
        <f ca="1">Watchlist!K7</f>
        <v>Oil &amp; Gas</v>
      </c>
      <c r="D13" s="435">
        <f ca="1">(Watchlist!H7+Watchlist!I7)/2</f>
        <v>163.245</v>
      </c>
      <c r="E13" s="421">
        <f ca="1">Watchlist!G7</f>
        <v>-0.09</v>
      </c>
      <c r="F13" s="244">
        <f ca="1">Watchlist!F7</f>
        <v>24.0672</v>
      </c>
      <c r="G13" s="245">
        <f ca="1">Watchlist!E7</f>
        <v>0.29189999999999999</v>
      </c>
      <c r="H13" s="439">
        <f ca="1">Watchlist!J7</f>
        <v>669557307160</v>
      </c>
      <c r="I13" s="435">
        <f ca="1">Watchlist!C7</f>
        <v>176.41</v>
      </c>
      <c r="J13" s="435">
        <f ca="1">Watchlist!D7</f>
        <v>97.8</v>
      </c>
      <c r="K13" s="391">
        <f ca="1">((Watchlist!H7+Watchlist!I7)/2-Watchlist!D7)/(Watchlist!C7-Watchlist!D7)</f>
        <v>0.83252766823559354</v>
      </c>
      <c r="L13" s="225"/>
      <c r="M13" s="271" t="str">
        <f t="shared" ca="1" si="0"/>
        <v>GS</v>
      </c>
      <c r="N13" s="271">
        <f t="shared" ca="1" si="1"/>
        <v>0.7514303528203623</v>
      </c>
    </row>
    <row r="14" spans="1:14" ht="24" customHeight="1" x14ac:dyDescent="0.35">
      <c r="A14" s="225"/>
      <c r="B14" s="247" t="str">
        <f ca="1">Watchlist!B8</f>
        <v>GM</v>
      </c>
      <c r="C14" s="248" t="str">
        <f ca="1">Watchlist!K8</f>
        <v>Automobiles &amp; Auto Parts</v>
      </c>
      <c r="D14" s="436">
        <f ca="1">(Watchlist!H8+Watchlist!I8)/2</f>
        <v>72.675000000000011</v>
      </c>
      <c r="E14" s="422">
        <f ca="1">Watchlist!G8</f>
        <v>-2.5</v>
      </c>
      <c r="F14" s="249">
        <f ca="1">Watchlist!F8</f>
        <v>22.9604</v>
      </c>
      <c r="G14" s="250">
        <f ca="1">Watchlist!E8</f>
        <v>1.3733</v>
      </c>
      <c r="H14" s="440">
        <f ca="1">Watchlist!J8</f>
        <v>65573824212</v>
      </c>
      <c r="I14" s="436">
        <f ca="1">Watchlist!C8</f>
        <v>87.62</v>
      </c>
      <c r="J14" s="436">
        <f ca="1">Watchlist!D8</f>
        <v>41.6</v>
      </c>
      <c r="K14" s="391">
        <f ca="1">((Watchlist!H8+Watchlist!I8)/2-Watchlist!D8)/(Watchlist!C8-Watchlist!D8)</f>
        <v>0.67524989135158642</v>
      </c>
      <c r="L14" s="225"/>
      <c r="M14" s="272" t="str">
        <f t="shared" ca="1" si="0"/>
        <v>XOM</v>
      </c>
      <c r="N14" s="272">
        <f t="shared" ca="1" si="1"/>
        <v>0.83252766823559354</v>
      </c>
    </row>
    <row r="15" spans="1:14" ht="24" customHeight="1" x14ac:dyDescent="0.35">
      <c r="A15" s="225"/>
      <c r="B15" s="242" t="str">
        <f ca="1">Watchlist!B9</f>
        <v>BAC</v>
      </c>
      <c r="C15" s="243" t="str">
        <f ca="1">Watchlist!K9</f>
        <v>Banking Services</v>
      </c>
      <c r="D15" s="435">
        <f ca="1">(Watchlist!H9+Watchlist!I9)/2</f>
        <v>48.862499999999997</v>
      </c>
      <c r="E15" s="423">
        <f ca="1">Watchlist!G9</f>
        <v>0.11</v>
      </c>
      <c r="F15" s="244">
        <f ca="1">Watchlist!F9</f>
        <v>13.024900000000001</v>
      </c>
      <c r="G15" s="245">
        <f ca="1">Watchlist!E9</f>
        <v>1.2422</v>
      </c>
      <c r="H15" s="439">
        <f ca="1">Watchlist!J9</f>
        <v>352855110420</v>
      </c>
      <c r="I15" s="435">
        <f ca="1">Watchlist!C9</f>
        <v>57.55</v>
      </c>
      <c r="J15" s="435">
        <f ca="1">Watchlist!D9</f>
        <v>33.064999999999998</v>
      </c>
      <c r="K15" s="391">
        <f ca="1">((Watchlist!H9+Watchlist!I9)/2-Watchlist!D9)/(Watchlist!C9-Watchlist!D9)</f>
        <v>0.64519093322442311</v>
      </c>
      <c r="L15" s="225"/>
      <c r="M15" s="271" t="str">
        <f t="shared" ca="1" si="0"/>
        <v>GM</v>
      </c>
      <c r="N15" s="271">
        <f t="shared" ca="1" si="1"/>
        <v>0.67524989135158642</v>
      </c>
    </row>
    <row r="16" spans="1:14" ht="24" customHeight="1" x14ac:dyDescent="0.35">
      <c r="A16" s="225"/>
      <c r="B16" s="247" t="str">
        <f ca="1">Watchlist!B10</f>
        <v>LMT</v>
      </c>
      <c r="C16" s="248" t="str">
        <f ca="1">Watchlist!K10</f>
        <v>Aerospace &amp; Defense</v>
      </c>
      <c r="D16" s="436">
        <f ca="1">(Watchlist!H10+Watchlist!I10)/2</f>
        <v>621.26</v>
      </c>
      <c r="E16" s="424">
        <f ca="1">Watchlist!G10</f>
        <v>5.15</v>
      </c>
      <c r="F16" s="249">
        <f ca="1">Watchlist!F10</f>
        <v>28.746099999999998</v>
      </c>
      <c r="G16" s="250">
        <f ca="1">Watchlist!E10</f>
        <v>0.23669999999999999</v>
      </c>
      <c r="H16" s="440">
        <f ca="1">Watchlist!J10</f>
        <v>143529491259</v>
      </c>
      <c r="I16" s="436">
        <f ca="1">Watchlist!C10</f>
        <v>692</v>
      </c>
      <c r="J16" s="436">
        <f ca="1">Watchlist!D10</f>
        <v>410.11</v>
      </c>
      <c r="K16" s="391">
        <f ca="1">((Watchlist!H10+Watchlist!I10)/2-Watchlist!D10)/(Watchlist!C10-Watchlist!D10)</f>
        <v>0.74905104828124436</v>
      </c>
      <c r="L16" s="225"/>
      <c r="M16" s="272" t="str">
        <f t="shared" ca="1" si="0"/>
        <v>BAC</v>
      </c>
      <c r="N16" s="272">
        <f t="shared" ca="1" si="1"/>
        <v>0.64519093322442311</v>
      </c>
    </row>
    <row r="17" spans="1:14" ht="24" customHeight="1" x14ac:dyDescent="0.35">
      <c r="A17" s="225"/>
      <c r="B17" s="238" t="str">
        <f ca="1">Watchlist!B11</f>
        <v>COST</v>
      </c>
      <c r="C17" s="239" t="str">
        <f ca="1">Watchlist!K11</f>
        <v>Diversified Retail</v>
      </c>
      <c r="D17" s="437">
        <f ca="1">(Watchlist!H11+Watchlist!I11)/2</f>
        <v>1007.605</v>
      </c>
      <c r="E17" s="425">
        <f ca="1">Watchlist!G11</f>
        <v>18.399999999999999</v>
      </c>
      <c r="F17" s="240">
        <f ca="1">Watchlist!F11</f>
        <v>53.382899999999999</v>
      </c>
      <c r="G17" s="241">
        <f ca="1">Watchlist!E11</f>
        <v>0.98899999999999999</v>
      </c>
      <c r="H17" s="441">
        <f ca="1">Watchlist!J11</f>
        <v>450289541400</v>
      </c>
      <c r="I17" s="437">
        <f ca="1">Watchlist!C11</f>
        <v>1067.08</v>
      </c>
      <c r="J17" s="437">
        <f ca="1">Watchlist!D11</f>
        <v>844.06</v>
      </c>
      <c r="K17" s="499">
        <f ca="1">((Watchlist!H11+Watchlist!I11)/2-Watchlist!D11)/(Watchlist!C11-Watchlist!D11)</f>
        <v>0.73331988162496675</v>
      </c>
      <c r="L17" s="225"/>
      <c r="M17" s="270" t="str">
        <f t="shared" ca="1" si="0"/>
        <v>LMT</v>
      </c>
      <c r="N17" s="270">
        <f t="shared" ca="1" si="1"/>
        <v>0.74905104828124436</v>
      </c>
    </row>
    <row r="18" spans="1:14" ht="10" customHeight="1" x14ac:dyDescent="0.35">
      <c r="A18" s="225"/>
      <c r="B18" s="225"/>
      <c r="C18" s="225"/>
      <c r="D18" s="225"/>
      <c r="E18" s="225"/>
      <c r="F18" s="225"/>
      <c r="G18" s="225"/>
      <c r="H18" s="225"/>
      <c r="I18" s="225"/>
      <c r="J18" s="225"/>
      <c r="K18" s="225"/>
      <c r="L18" s="225"/>
      <c r="M18" s="225" t="str">
        <f t="shared" ca="1" si="0"/>
        <v>COST</v>
      </c>
      <c r="N18" s="225">
        <f t="shared" ca="1" si="1"/>
        <v>0.73331988162496675</v>
      </c>
    </row>
    <row r="19" spans="1:14" ht="24" customHeight="1" x14ac:dyDescent="0.35">
      <c r="A19" s="225"/>
      <c r="B19" s="225" t="s">
        <v>177</v>
      </c>
      <c r="C19" s="225"/>
      <c r="D19" s="225"/>
      <c r="E19" s="225"/>
      <c r="F19" s="225"/>
      <c r="G19" s="225"/>
      <c r="H19" s="225"/>
      <c r="I19" s="225"/>
      <c r="J19" s="225"/>
      <c r="K19" s="225"/>
      <c r="L19" s="225"/>
      <c r="M19" s="225"/>
      <c r="N19" s="225"/>
    </row>
    <row r="20" spans="1:14" x14ac:dyDescent="0.35">
      <c r="A20" s="225"/>
      <c r="B20" s="225"/>
      <c r="C20" s="225"/>
      <c r="D20" s="225"/>
      <c r="E20" s="225"/>
      <c r="F20" s="225"/>
      <c r="G20" s="225"/>
      <c r="H20" s="225"/>
      <c r="I20" s="225"/>
      <c r="J20" s="225"/>
      <c r="K20" s="225"/>
      <c r="L20" s="225"/>
      <c r="M20" s="225"/>
      <c r="N20" s="225"/>
    </row>
    <row r="21" spans="1:14" x14ac:dyDescent="0.35">
      <c r="A21" s="225"/>
      <c r="B21" s="225"/>
      <c r="C21" s="225"/>
      <c r="D21" s="225"/>
      <c r="E21" s="225"/>
      <c r="F21" s="225"/>
      <c r="G21" s="225"/>
      <c r="H21" s="225"/>
      <c r="I21" s="225"/>
      <c r="J21" s="225"/>
      <c r="K21" s="225"/>
      <c r="L21" s="225"/>
      <c r="M21" s="225"/>
      <c r="N21" s="225"/>
    </row>
    <row r="22" spans="1:14" x14ac:dyDescent="0.35">
      <c r="A22" s="225"/>
      <c r="B22" s="225"/>
      <c r="C22" s="225"/>
      <c r="D22" s="225"/>
      <c r="E22" s="225"/>
      <c r="F22" s="225"/>
      <c r="G22" s="225"/>
      <c r="H22" s="225"/>
      <c r="I22" s="225"/>
      <c r="J22" s="225"/>
      <c r="K22" s="225"/>
      <c r="L22" s="225"/>
      <c r="M22" s="225"/>
      <c r="N22" s="225"/>
    </row>
    <row r="23" spans="1:14" x14ac:dyDescent="0.35">
      <c r="A23" s="225"/>
      <c r="B23" s="225"/>
      <c r="C23" s="225"/>
      <c r="D23" s="225"/>
      <c r="E23" s="225"/>
      <c r="F23" s="225"/>
      <c r="G23" s="225"/>
      <c r="H23" s="225"/>
      <c r="I23" s="225"/>
      <c r="J23" s="225"/>
      <c r="K23" s="225"/>
      <c r="L23" s="225"/>
      <c r="M23" s="225"/>
      <c r="N23" s="225"/>
    </row>
    <row r="24" spans="1:14" x14ac:dyDescent="0.35">
      <c r="A24" s="225"/>
      <c r="B24" s="225"/>
      <c r="C24" s="225"/>
      <c r="D24" s="225"/>
      <c r="E24" s="225"/>
      <c r="F24" s="225"/>
      <c r="G24" s="225"/>
      <c r="H24" s="225"/>
      <c r="I24" s="225"/>
      <c r="J24" s="225"/>
      <c r="K24" s="225"/>
      <c r="L24" s="225"/>
      <c r="M24" s="225"/>
      <c r="N24" s="225"/>
    </row>
    <row r="25" spans="1:14" x14ac:dyDescent="0.35">
      <c r="A25" s="225"/>
      <c r="B25" s="225"/>
      <c r="C25" s="225"/>
      <c r="D25" s="225"/>
      <c r="E25" s="225"/>
      <c r="F25" s="225"/>
      <c r="G25" s="225"/>
      <c r="H25" s="225"/>
      <c r="I25" s="225"/>
      <c r="J25" s="225"/>
      <c r="K25" s="225"/>
      <c r="L25" s="225"/>
      <c r="M25" s="225"/>
      <c r="N25" s="225"/>
    </row>
    <row r="26" spans="1:14" x14ac:dyDescent="0.35">
      <c r="A26" s="225"/>
      <c r="B26" s="225"/>
      <c r="C26" s="225"/>
      <c r="D26" s="225"/>
      <c r="E26" s="225"/>
      <c r="F26" s="225"/>
      <c r="G26" s="225"/>
      <c r="H26" s="225"/>
      <c r="I26" s="225"/>
      <c r="J26" s="225"/>
      <c r="K26" s="225"/>
      <c r="L26" s="225"/>
      <c r="M26" s="225"/>
      <c r="N26" s="225"/>
    </row>
    <row r="27" spans="1:14" x14ac:dyDescent="0.35">
      <c r="A27" s="225"/>
      <c r="B27" s="225"/>
      <c r="C27" s="225"/>
      <c r="D27" s="225"/>
      <c r="E27" s="225"/>
      <c r="F27" s="225"/>
      <c r="G27" s="225"/>
      <c r="H27" s="225"/>
      <c r="I27" s="225"/>
      <c r="J27" s="225"/>
      <c r="K27" s="225"/>
      <c r="L27" s="225"/>
      <c r="M27" s="225"/>
      <c r="N27" s="225"/>
    </row>
    <row r="28" spans="1:14" x14ac:dyDescent="0.35">
      <c r="A28" s="225"/>
      <c r="B28" s="225"/>
      <c r="C28" s="225"/>
      <c r="D28" s="225"/>
      <c r="E28" s="225"/>
      <c r="F28" s="225"/>
      <c r="G28" s="225"/>
      <c r="H28" s="225"/>
      <c r="I28" s="225"/>
      <c r="J28" s="225"/>
      <c r="K28" s="225"/>
      <c r="L28" s="225"/>
      <c r="M28" s="225"/>
      <c r="N28" s="225"/>
    </row>
    <row r="29" spans="1:14" x14ac:dyDescent="0.35">
      <c r="A29" s="225"/>
      <c r="B29" s="225"/>
      <c r="C29" s="225"/>
      <c r="D29" s="225"/>
      <c r="E29" s="225"/>
      <c r="F29" s="225"/>
      <c r="G29" s="225"/>
      <c r="H29" s="225"/>
      <c r="I29" s="225"/>
      <c r="J29" s="225"/>
      <c r="K29" s="225"/>
      <c r="L29" s="225"/>
      <c r="M29" s="225"/>
      <c r="N29" s="225"/>
    </row>
    <row r="30" spans="1:14" x14ac:dyDescent="0.35">
      <c r="A30" s="225"/>
      <c r="B30" s="225"/>
      <c r="C30" s="225"/>
      <c r="D30" s="225"/>
      <c r="E30" s="225"/>
      <c r="F30" s="225"/>
      <c r="G30" s="225"/>
      <c r="H30" s="225"/>
      <c r="I30" s="225"/>
      <c r="J30" s="225"/>
      <c r="K30" s="225"/>
      <c r="L30" s="225"/>
      <c r="M30" s="225"/>
      <c r="N30" s="225"/>
    </row>
    <row r="31" spans="1:14" x14ac:dyDescent="0.35">
      <c r="A31" s="225"/>
      <c r="B31" s="225"/>
      <c r="C31" s="225"/>
      <c r="D31" s="225"/>
      <c r="E31" s="225"/>
      <c r="F31" s="225"/>
      <c r="G31" s="225"/>
      <c r="H31" s="225"/>
      <c r="I31" s="225"/>
      <c r="J31" s="225"/>
      <c r="K31" s="225"/>
      <c r="L31" s="225"/>
      <c r="M31" s="225"/>
      <c r="N31" s="225"/>
    </row>
    <row r="32" spans="1:14" x14ac:dyDescent="0.35">
      <c r="A32" s="225"/>
      <c r="B32" s="225"/>
      <c r="C32" s="225"/>
      <c r="D32" s="225"/>
      <c r="E32" s="225"/>
      <c r="F32" s="225"/>
      <c r="G32" s="225"/>
      <c r="H32" s="225"/>
      <c r="I32" s="225"/>
      <c r="J32" s="225"/>
      <c r="K32" s="225"/>
      <c r="L32" s="225"/>
      <c r="M32" s="225"/>
      <c r="N32" s="225"/>
    </row>
    <row r="33" spans="1:14" x14ac:dyDescent="0.35">
      <c r="A33" s="225"/>
      <c r="B33" s="225"/>
      <c r="C33" s="225"/>
      <c r="D33" s="225"/>
      <c r="E33" s="225"/>
      <c r="F33" s="225"/>
      <c r="G33" s="225"/>
      <c r="H33" s="225"/>
      <c r="I33" s="225"/>
      <c r="J33" s="225"/>
      <c r="K33" s="225"/>
      <c r="L33" s="225"/>
      <c r="M33" s="225"/>
      <c r="N33" s="225"/>
    </row>
    <row r="34" spans="1:14" x14ac:dyDescent="0.35">
      <c r="A34" s="225"/>
      <c r="B34" s="225"/>
      <c r="C34" s="225"/>
      <c r="D34" s="225"/>
      <c r="E34" s="225"/>
      <c r="F34" s="225"/>
      <c r="G34" s="225"/>
      <c r="H34" s="225"/>
      <c r="I34" s="225"/>
      <c r="J34" s="225"/>
      <c r="K34" s="225"/>
      <c r="L34" s="225"/>
      <c r="M34" s="225"/>
      <c r="N34" s="225"/>
    </row>
    <row r="35" spans="1:14" x14ac:dyDescent="0.35">
      <c r="A35" s="225"/>
      <c r="B35" s="225"/>
      <c r="C35" s="225"/>
      <c r="D35" s="225"/>
      <c r="E35" s="225"/>
      <c r="F35" s="225"/>
      <c r="G35" s="225"/>
      <c r="H35" s="225"/>
      <c r="I35" s="225"/>
      <c r="J35" s="225"/>
      <c r="K35" s="225"/>
      <c r="L35" s="225"/>
      <c r="M35" s="225"/>
      <c r="N35" s="225"/>
    </row>
    <row r="36" spans="1:14" x14ac:dyDescent="0.35">
      <c r="A36" s="225"/>
      <c r="B36" s="225"/>
      <c r="C36" s="225"/>
      <c r="D36" s="225"/>
      <c r="E36" s="225"/>
      <c r="F36" s="225"/>
      <c r="G36" s="225"/>
      <c r="H36" s="225"/>
      <c r="I36" s="225"/>
      <c r="J36" s="225"/>
      <c r="K36" s="225"/>
      <c r="L36" s="225"/>
      <c r="M36" s="225"/>
      <c r="N36" s="225"/>
    </row>
    <row r="37" spans="1:14" x14ac:dyDescent="0.35">
      <c r="A37" s="225"/>
      <c r="B37" s="225"/>
      <c r="C37" s="225"/>
      <c r="D37" s="225"/>
      <c r="E37" s="225"/>
      <c r="F37" s="225"/>
      <c r="G37" s="225"/>
      <c r="H37" s="225"/>
      <c r="I37" s="225"/>
      <c r="J37" s="225"/>
      <c r="K37" s="225"/>
      <c r="L37" s="225"/>
      <c r="M37" s="225"/>
      <c r="N37" s="225"/>
    </row>
    <row r="38" spans="1:14" x14ac:dyDescent="0.35">
      <c r="A38" s="225"/>
      <c r="B38" s="225"/>
      <c r="C38" s="225"/>
      <c r="D38" s="225"/>
      <c r="E38" s="225"/>
      <c r="F38" s="225"/>
      <c r="G38" s="225"/>
      <c r="H38" s="225"/>
      <c r="I38" s="225"/>
      <c r="J38" s="225"/>
      <c r="K38" s="225"/>
      <c r="L38" s="225"/>
      <c r="M38" s="225"/>
      <c r="N38" s="225"/>
    </row>
    <row r="39" spans="1:14" x14ac:dyDescent="0.35">
      <c r="A39" s="225"/>
      <c r="B39" s="225"/>
      <c r="C39" s="225"/>
      <c r="D39" s="225"/>
      <c r="E39" s="225"/>
      <c r="F39" s="225"/>
      <c r="G39" s="225"/>
      <c r="H39" s="225"/>
      <c r="I39" s="225"/>
      <c r="J39" s="225"/>
      <c r="K39" s="225"/>
      <c r="L39" s="225"/>
      <c r="M39" s="225"/>
      <c r="N39" s="225"/>
    </row>
    <row r="40" spans="1:14" x14ac:dyDescent="0.35">
      <c r="A40" s="225"/>
      <c r="B40" s="225"/>
      <c r="C40" s="225"/>
      <c r="D40" s="225"/>
      <c r="E40" s="225"/>
      <c r="F40" s="225"/>
      <c r="G40" s="225"/>
      <c r="H40" s="225"/>
      <c r="I40" s="225"/>
      <c r="J40" s="225"/>
      <c r="K40" s="225"/>
      <c r="L40" s="225"/>
      <c r="M40" s="225"/>
      <c r="N40" s="225"/>
    </row>
    <row r="41" spans="1:14" x14ac:dyDescent="0.35">
      <c r="A41" s="225"/>
      <c r="B41" s="225"/>
      <c r="C41" s="225"/>
      <c r="D41" s="225"/>
      <c r="E41" s="225"/>
      <c r="F41" s="225"/>
      <c r="G41" s="225"/>
      <c r="H41" s="225"/>
      <c r="I41" s="225"/>
      <c r="J41" s="225"/>
      <c r="K41" s="225"/>
      <c r="L41" s="225"/>
      <c r="M41" s="225"/>
      <c r="N41" s="225"/>
    </row>
    <row r="42" spans="1:14" x14ac:dyDescent="0.35">
      <c r="A42" s="225"/>
      <c r="B42" s="225"/>
      <c r="C42" s="225"/>
      <c r="D42" s="225"/>
      <c r="E42" s="225"/>
      <c r="F42" s="225"/>
      <c r="G42" s="225"/>
      <c r="H42" s="225"/>
      <c r="I42" s="225"/>
      <c r="J42" s="225"/>
      <c r="K42" s="225"/>
      <c r="L42" s="225"/>
      <c r="M42" s="225"/>
      <c r="N42" s="225"/>
    </row>
    <row r="43" spans="1:14" x14ac:dyDescent="0.35">
      <c r="A43" s="225"/>
      <c r="B43" s="225"/>
      <c r="C43" s="225"/>
      <c r="D43" s="225"/>
      <c r="E43" s="225"/>
      <c r="F43" s="225"/>
      <c r="G43" s="225"/>
      <c r="H43" s="225"/>
      <c r="I43" s="225"/>
      <c r="J43" s="225"/>
      <c r="K43" s="225"/>
      <c r="L43" s="225"/>
      <c r="M43" s="225"/>
      <c r="N43" s="225"/>
    </row>
    <row r="44" spans="1:14" x14ac:dyDescent="0.35">
      <c r="A44" s="225"/>
      <c r="B44" s="225"/>
      <c r="C44" s="225"/>
      <c r="D44" s="225"/>
      <c r="E44" s="225"/>
      <c r="F44" s="225"/>
      <c r="G44" s="225"/>
      <c r="H44" s="225"/>
      <c r="I44" s="225"/>
      <c r="J44" s="225"/>
      <c r="K44" s="225"/>
      <c r="L44" s="225"/>
      <c r="M44" s="225"/>
      <c r="N44" s="225"/>
    </row>
    <row r="45" spans="1:14" x14ac:dyDescent="0.35">
      <c r="A45" s="225"/>
      <c r="B45" s="225"/>
      <c r="C45" s="225"/>
      <c r="D45" s="225"/>
      <c r="E45" s="225"/>
      <c r="F45" s="225"/>
      <c r="G45" s="225"/>
      <c r="H45" s="225"/>
      <c r="I45" s="225"/>
      <c r="J45" s="225"/>
      <c r="K45" s="225"/>
      <c r="L45" s="225"/>
      <c r="M45" s="225"/>
      <c r="N45" s="225"/>
    </row>
    <row r="46" spans="1:14" x14ac:dyDescent="0.35">
      <c r="A46" s="225"/>
      <c r="B46" s="225"/>
      <c r="C46" s="225"/>
      <c r="D46" s="225"/>
      <c r="E46" s="225"/>
      <c r="F46" s="225"/>
      <c r="G46" s="225"/>
      <c r="H46" s="225"/>
      <c r="I46" s="225"/>
      <c r="J46" s="225"/>
      <c r="K46" s="225"/>
      <c r="L46" s="225"/>
      <c r="M46" s="225"/>
      <c r="N46" s="225"/>
    </row>
    <row r="47" spans="1:14" x14ac:dyDescent="0.35">
      <c r="A47" s="225"/>
      <c r="B47" s="225"/>
      <c r="C47" s="225"/>
      <c r="D47" s="225"/>
      <c r="E47" s="225"/>
      <c r="F47" s="225"/>
      <c r="G47" s="225"/>
      <c r="H47" s="225"/>
      <c r="I47" s="225"/>
      <c r="J47" s="225"/>
      <c r="K47" s="225"/>
      <c r="L47" s="225"/>
      <c r="M47" s="225"/>
      <c r="N47" s="225"/>
    </row>
    <row r="48" spans="1:14" x14ac:dyDescent="0.35">
      <c r="A48" s="225"/>
      <c r="B48" s="225"/>
      <c r="C48" s="225"/>
      <c r="D48" s="225"/>
      <c r="E48" s="225"/>
      <c r="F48" s="225"/>
      <c r="G48" s="225"/>
      <c r="H48" s="225"/>
      <c r="I48" s="225"/>
      <c r="J48" s="225"/>
      <c r="K48" s="225"/>
      <c r="L48" s="225"/>
      <c r="M48" s="225"/>
      <c r="N48" s="225"/>
    </row>
    <row r="49" spans="1:14" x14ac:dyDescent="0.35">
      <c r="A49" s="225"/>
      <c r="B49" s="225"/>
      <c r="C49" s="225"/>
      <c r="D49" s="225"/>
      <c r="E49" s="225"/>
      <c r="F49" s="225"/>
      <c r="G49" s="225"/>
      <c r="H49" s="225"/>
      <c r="I49" s="225"/>
      <c r="J49" s="225"/>
      <c r="K49" s="225"/>
      <c r="L49" s="225"/>
      <c r="M49" s="225"/>
      <c r="N49" s="225"/>
    </row>
    <row r="50" spans="1:14" ht="15.5" x14ac:dyDescent="0.35">
      <c r="A50" s="225"/>
      <c r="B50" s="252"/>
      <c r="C50" s="225"/>
      <c r="D50" s="225"/>
      <c r="E50" s="225"/>
      <c r="F50" s="225"/>
      <c r="G50" s="225"/>
      <c r="H50" s="225"/>
      <c r="I50" s="225"/>
      <c r="J50" s="225"/>
      <c r="K50" s="225"/>
      <c r="L50" s="225"/>
      <c r="M50" s="225"/>
      <c r="N50" s="225"/>
    </row>
    <row r="51" spans="1:14" ht="24" customHeight="1" x14ac:dyDescent="0.35">
      <c r="A51" s="225"/>
      <c r="B51" s="41" t="s">
        <v>178</v>
      </c>
      <c r="C51" s="225"/>
      <c r="D51" s="225"/>
      <c r="E51" s="225"/>
      <c r="F51" s="225"/>
      <c r="G51" s="225"/>
      <c r="H51" s="225"/>
      <c r="I51" s="225"/>
      <c r="J51" s="225"/>
      <c r="K51" s="225"/>
      <c r="L51" s="225"/>
      <c r="M51" s="225"/>
      <c r="N51" s="225"/>
    </row>
    <row r="52" spans="1:14" ht="15" thickBot="1" x14ac:dyDescent="0.4">
      <c r="A52" s="225"/>
      <c r="B52" s="58"/>
      <c r="C52" s="58"/>
      <c r="D52" s="225"/>
      <c r="E52" s="225"/>
      <c r="F52" s="225"/>
      <c r="G52" s="225"/>
      <c r="H52" s="225"/>
      <c r="I52" s="225"/>
      <c r="J52" s="225"/>
      <c r="K52" s="225"/>
      <c r="L52" s="225"/>
      <c r="M52" s="225"/>
      <c r="N52" s="225"/>
    </row>
    <row r="53" spans="1:14" outlineLevel="2" x14ac:dyDescent="0.35">
      <c r="A53" s="225"/>
      <c r="B53" s="253" t="s">
        <v>1</v>
      </c>
      <c r="C53" s="254" t="s">
        <v>173</v>
      </c>
      <c r="D53" s="225"/>
      <c r="E53" s="225"/>
      <c r="F53" s="225"/>
      <c r="G53" s="225"/>
      <c r="H53" s="225"/>
      <c r="I53" s="225"/>
      <c r="J53" s="225"/>
      <c r="K53" s="225"/>
      <c r="L53" s="225"/>
      <c r="M53" s="225"/>
      <c r="N53" s="225"/>
    </row>
    <row r="54" spans="1:14" outlineLevel="2" x14ac:dyDescent="0.35">
      <c r="A54" s="225"/>
      <c r="B54" s="255" t="str" cm="1">
        <f t="array" aca="1" ref="B54:B62" ca="1">_xlfn.UNIQUE(C8:C17)</f>
        <v>Semiconductors &amp; Semiconductor Equipment</v>
      </c>
      <c r="C54" s="256" cm="1">
        <f t="array" aca="1" ref="C54:C62" ca="1">SUMIF(C8:C17,_xlfn.ANCHORARRAY(B54),H8:H17)</f>
        <v>354598732500</v>
      </c>
      <c r="D54" s="225"/>
      <c r="E54" s="225"/>
      <c r="F54" s="225"/>
      <c r="G54" s="225"/>
      <c r="H54" s="225"/>
      <c r="I54" s="225"/>
      <c r="J54" s="225"/>
      <c r="K54" s="225"/>
      <c r="L54" s="225"/>
      <c r="M54" s="225"/>
      <c r="N54" s="225"/>
    </row>
    <row r="55" spans="1:14" outlineLevel="2" x14ac:dyDescent="0.35">
      <c r="A55" s="225"/>
      <c r="B55" s="259" t="str">
        <f ca="1"/>
        <v>Software &amp; IT Services</v>
      </c>
      <c r="C55" s="260">
        <f ca="1"/>
        <v>3064559162990</v>
      </c>
      <c r="D55" s="225"/>
      <c r="E55" s="225"/>
      <c r="F55" s="225"/>
      <c r="G55" s="225"/>
      <c r="H55" s="225"/>
      <c r="I55" s="225"/>
      <c r="J55" s="225"/>
      <c r="K55" s="225"/>
      <c r="L55" s="225"/>
      <c r="M55" s="225"/>
      <c r="N55" s="225"/>
    </row>
    <row r="56" spans="1:14" outlineLevel="2" x14ac:dyDescent="0.35">
      <c r="A56" s="225"/>
      <c r="B56" s="255" t="str">
        <f ca="1"/>
        <v>Computers, Phones &amp; Household Electronics</v>
      </c>
      <c r="C56" s="256">
        <f ca="1"/>
        <v>112599165945</v>
      </c>
      <c r="D56" s="225"/>
      <c r="E56" s="225"/>
      <c r="F56" s="225"/>
      <c r="G56" s="225"/>
      <c r="H56" s="225"/>
      <c r="I56" s="225"/>
      <c r="J56" s="225"/>
      <c r="K56" s="225"/>
      <c r="L56" s="225"/>
      <c r="M56" s="225"/>
      <c r="N56" s="225"/>
    </row>
    <row r="57" spans="1:14" outlineLevel="2" x14ac:dyDescent="0.35">
      <c r="A57" s="225"/>
      <c r="B57" s="259" t="str">
        <f ca="1"/>
        <v>Investment Banking &amp; Investment Services</v>
      </c>
      <c r="C57" s="260">
        <f ca="1"/>
        <v>254591535456</v>
      </c>
      <c r="D57" s="225"/>
      <c r="E57" s="225"/>
      <c r="F57" s="225"/>
      <c r="G57" s="225"/>
      <c r="H57" s="225"/>
      <c r="I57" s="225"/>
      <c r="J57" s="225"/>
      <c r="K57" s="225"/>
      <c r="L57" s="225"/>
      <c r="M57" s="225"/>
      <c r="N57" s="225"/>
    </row>
    <row r="58" spans="1:14" outlineLevel="2" x14ac:dyDescent="0.35">
      <c r="A58" s="225"/>
      <c r="B58" s="255" t="str">
        <f ca="1"/>
        <v>Oil &amp; Gas</v>
      </c>
      <c r="C58" s="256">
        <f ca="1"/>
        <v>669557307160</v>
      </c>
      <c r="D58" s="225"/>
      <c r="E58" s="225"/>
      <c r="F58" s="225"/>
      <c r="G58" s="225"/>
      <c r="H58" s="225"/>
      <c r="I58" s="225"/>
      <c r="J58" s="225"/>
      <c r="K58" s="225"/>
      <c r="L58" s="225"/>
      <c r="M58" s="225"/>
      <c r="N58" s="225"/>
    </row>
    <row r="59" spans="1:14" outlineLevel="2" x14ac:dyDescent="0.35">
      <c r="A59" s="225"/>
      <c r="B59" s="259" t="str">
        <f ca="1"/>
        <v>Automobiles &amp; Auto Parts</v>
      </c>
      <c r="C59" s="260">
        <f ca="1"/>
        <v>65573824212</v>
      </c>
      <c r="D59" s="225"/>
      <c r="E59" s="225"/>
      <c r="F59" s="225"/>
      <c r="G59" s="225"/>
      <c r="H59" s="225"/>
      <c r="I59" s="225"/>
      <c r="J59" s="225"/>
      <c r="K59" s="225"/>
      <c r="L59" s="225"/>
      <c r="M59" s="225"/>
      <c r="N59" s="225"/>
    </row>
    <row r="60" spans="1:14" outlineLevel="2" x14ac:dyDescent="0.35">
      <c r="A60" s="225"/>
      <c r="B60" s="255" t="str">
        <f ca="1"/>
        <v>Banking Services</v>
      </c>
      <c r="C60" s="256">
        <f ca="1"/>
        <v>352855110420</v>
      </c>
      <c r="D60" s="225"/>
      <c r="E60" s="225"/>
      <c r="F60" s="225"/>
      <c r="G60" s="225"/>
      <c r="H60" s="225"/>
      <c r="I60" s="225"/>
      <c r="J60" s="225"/>
      <c r="K60" s="225"/>
      <c r="L60" s="225"/>
      <c r="M60" s="225"/>
      <c r="N60" s="225"/>
    </row>
    <row r="61" spans="1:14" outlineLevel="2" x14ac:dyDescent="0.35">
      <c r="A61" s="225"/>
      <c r="B61" s="257" t="str">
        <f ca="1"/>
        <v>Aerospace &amp; Defense</v>
      </c>
      <c r="C61" s="258">
        <f ca="1"/>
        <v>143529491259</v>
      </c>
      <c r="D61" s="225"/>
      <c r="E61" s="225"/>
      <c r="F61" s="225"/>
      <c r="G61" s="225"/>
      <c r="H61" s="225"/>
      <c r="I61" s="225"/>
      <c r="J61" s="225"/>
      <c r="K61" s="225"/>
      <c r="L61" s="225"/>
      <c r="M61" s="225"/>
      <c r="N61" s="225"/>
    </row>
    <row r="62" spans="1:14" outlineLevel="2" x14ac:dyDescent="0.35">
      <c r="A62" s="225"/>
      <c r="B62" s="225" t="str">
        <f ca="1"/>
        <v>Diversified Retail</v>
      </c>
      <c r="C62" s="226">
        <f ca="1"/>
        <v>450289541400</v>
      </c>
      <c r="D62" s="225"/>
      <c r="E62" s="225"/>
      <c r="F62" s="225"/>
      <c r="G62" s="225"/>
      <c r="H62" s="225"/>
      <c r="I62" s="225"/>
      <c r="J62" s="225"/>
      <c r="K62" s="225"/>
      <c r="L62" s="225"/>
      <c r="M62" s="225"/>
      <c r="N62" s="225"/>
    </row>
    <row r="63" spans="1:14" ht="15.5" x14ac:dyDescent="0.35">
      <c r="A63" s="225"/>
      <c r="B63" s="252"/>
      <c r="C63" s="225"/>
      <c r="D63" s="225"/>
      <c r="E63" s="225"/>
      <c r="F63" s="225"/>
      <c r="G63" s="225"/>
      <c r="H63" s="225"/>
      <c r="I63" s="225"/>
      <c r="J63" s="225"/>
      <c r="K63" s="225"/>
      <c r="L63" s="225"/>
      <c r="M63" s="225"/>
      <c r="N63" s="225"/>
    </row>
    <row r="64" spans="1:14" x14ac:dyDescent="0.35">
      <c r="A64" s="225"/>
      <c r="B64" s="41" t="s">
        <v>224</v>
      </c>
      <c r="C64" s="225"/>
      <c r="D64" s="225"/>
      <c r="E64" s="225"/>
      <c r="F64" s="225"/>
      <c r="G64" s="225"/>
      <c r="H64" s="225"/>
      <c r="I64" s="225"/>
      <c r="J64" s="225"/>
      <c r="K64" s="225"/>
      <c r="L64" s="225"/>
      <c r="M64" s="225"/>
      <c r="N64" s="225"/>
    </row>
    <row r="65" spans="1:14" ht="15" thickBot="1" x14ac:dyDescent="0.4">
      <c r="A65" s="225"/>
      <c r="B65" s="136" t="s">
        <v>225</v>
      </c>
      <c r="C65" s="136"/>
      <c r="D65" s="136"/>
      <c r="E65" s="136"/>
      <c r="F65" s="136"/>
      <c r="G65" s="136"/>
      <c r="H65" s="136"/>
      <c r="I65" s="136"/>
      <c r="J65" s="136"/>
      <c r="K65" s="136"/>
      <c r="L65" s="225"/>
      <c r="M65" s="225"/>
      <c r="N65" s="225"/>
    </row>
    <row r="66" spans="1:14" ht="15" thickBot="1" x14ac:dyDescent="0.4">
      <c r="A66" s="225"/>
      <c r="B66" s="261" t="s">
        <v>14</v>
      </c>
      <c r="C66" s="262" t="s">
        <v>30</v>
      </c>
      <c r="D66" s="261" t="s">
        <v>226</v>
      </c>
      <c r="E66" s="263" t="s">
        <v>28</v>
      </c>
      <c r="F66" s="261" t="s">
        <v>227</v>
      </c>
      <c r="G66" s="264" t="s">
        <v>176</v>
      </c>
      <c r="H66" s="261" t="s">
        <v>228</v>
      </c>
      <c r="I66" s="262" t="s">
        <v>229</v>
      </c>
      <c r="J66" s="261" t="s">
        <v>230</v>
      </c>
      <c r="K66" s="261" t="s">
        <v>185</v>
      </c>
      <c r="L66" s="225"/>
      <c r="M66" s="225"/>
      <c r="N66" s="225"/>
    </row>
    <row r="67" spans="1:14" x14ac:dyDescent="0.35">
      <c r="A67" s="225"/>
      <c r="B67" s="233" t="str">
        <f ca="1">B8</f>
        <v>AMD</v>
      </c>
      <c r="C67" s="235">
        <f ca="1">F8</f>
        <v>80.712800000000001</v>
      </c>
      <c r="D67" s="254">
        <f ca="1">RANK(F8,F$8:F$17,1)</f>
        <v>10</v>
      </c>
      <c r="E67" s="236">
        <f ca="1">G8</f>
        <v>1.9919</v>
      </c>
      <c r="F67" s="254">
        <f ca="1">RANK(G8,G$8:G$17,1)</f>
        <v>10</v>
      </c>
      <c r="G67" s="237">
        <f ca="1">K8</f>
        <v>0.69632775253292356</v>
      </c>
      <c r="H67" s="392" t="str">
        <f ca="1">IF(K8&gt;0.7,"▲ STRONG",IF(K8&gt;0.3,"▶ NEUTRAL","▼ WEAK"))</f>
        <v>▶ NEUTRAL</v>
      </c>
      <c r="I67" s="235">
        <f ca="1">(RANK(F8,F$8:F$17,1)*0.4)+(RANK(G8,G$8:G$17,1)*0.3)+(RANK(K8,K$8:K$17,0)*0.3)</f>
        <v>8.8000000000000007</v>
      </c>
      <c r="J67" s="254">
        <f ca="1">RANK(I67,I$67:I$76,1)</f>
        <v>10</v>
      </c>
      <c r="K67" s="393" t="str">
        <f ca="1">IF(J67&lt;=3,"⭐ BUY",IF(J67&lt;=7,"🔍 WATCH","⚠️ AVOID"))</f>
        <v>⚠️ AVOID</v>
      </c>
      <c r="L67" s="225"/>
      <c r="M67" s="225"/>
      <c r="N67" s="225"/>
    </row>
    <row r="68" spans="1:14" x14ac:dyDescent="0.35">
      <c r="A68" s="225"/>
      <c r="B68" s="242" t="str">
        <f t="shared" ref="B68:B76" ca="1" si="2">B9</f>
        <v>MSFT</v>
      </c>
      <c r="C68" s="244">
        <f t="shared" ref="C68:C76" ca="1" si="3">F9</f>
        <v>23.111000000000001</v>
      </c>
      <c r="D68" s="265">
        <f t="shared" ref="D68:D76" ca="1" si="4">RANK(F9,F$8:F$17,1)</f>
        <v>6</v>
      </c>
      <c r="E68" s="245">
        <f t="shared" ref="E68:E76" ca="1" si="5">G9</f>
        <v>1.103</v>
      </c>
      <c r="F68" s="265">
        <f t="shared" ref="F68:F76" ca="1" si="6">RANK(G9,G$8:G$17,1)</f>
        <v>6</v>
      </c>
      <c r="G68" s="246">
        <f t="shared" ref="G68:G76" ca="1" si="7">K9</f>
        <v>0.11442608943320971</v>
      </c>
      <c r="H68" s="383" t="str">
        <f t="shared" ref="H68:H76" ca="1" si="8">IF(K9&gt;0.7,"▲ STRONG",IF(K9&gt;0.3,"▶ NEUTRAL","▼ WEAK"))</f>
        <v>▼ WEAK</v>
      </c>
      <c r="I68" s="244">
        <f t="shared" ref="I68:I76" ca="1" si="9">(RANK(F9,F$8:F$17,1)*0.4)+(RANK(G9,G$8:G$17,1)*0.3)+(RANK(K9,K$8:K$17,0)*0.3)</f>
        <v>7.2</v>
      </c>
      <c r="J68" s="265">
        <f t="shared" ref="J68:J76" ca="1" si="10">RANK(I68,I$67:I$76,1)</f>
        <v>9</v>
      </c>
      <c r="K68" s="384" t="str">
        <f t="shared" ref="K68:K76" ca="1" si="11">IF(J68&lt;=3,"⭐ BUY",IF(J68&lt;=7,"🔍 WATCH","⚠️ AVOID"))</f>
        <v>⚠️ AVOID</v>
      </c>
      <c r="L68" s="225"/>
      <c r="M68" s="225"/>
      <c r="N68" s="225"/>
    </row>
    <row r="69" spans="1:14" x14ac:dyDescent="0.35">
      <c r="A69" s="225"/>
      <c r="B69" s="247" t="str">
        <f t="shared" ca="1" si="2"/>
        <v>BABA</v>
      </c>
      <c r="C69" s="249">
        <f t="shared" ca="1" si="3"/>
        <v>16.8276</v>
      </c>
      <c r="D69" s="266">
        <f t="shared" ca="1" si="4"/>
        <v>3</v>
      </c>
      <c r="E69" s="250">
        <f t="shared" ca="1" si="5"/>
        <v>0.49490000000000001</v>
      </c>
      <c r="F69" s="266">
        <f t="shared" ca="1" si="6"/>
        <v>3</v>
      </c>
      <c r="G69" s="251">
        <f t="shared" ca="1" si="7"/>
        <v>0.27145230398850312</v>
      </c>
      <c r="H69" s="380" t="str">
        <f t="shared" ca="1" si="8"/>
        <v>▼ WEAK</v>
      </c>
      <c r="I69" s="249">
        <f t="shared" ca="1" si="9"/>
        <v>4.8</v>
      </c>
      <c r="J69" s="266">
        <f t="shared" ca="1" si="10"/>
        <v>5</v>
      </c>
      <c r="K69" s="375" t="str">
        <f t="shared" ca="1" si="11"/>
        <v>🔍 WATCH</v>
      </c>
      <c r="L69" s="225"/>
      <c r="M69" s="225"/>
      <c r="N69" s="225"/>
    </row>
    <row r="70" spans="1:14" x14ac:dyDescent="0.35">
      <c r="A70" s="225"/>
      <c r="B70" s="242" t="str">
        <f t="shared" ca="1" si="2"/>
        <v>DELL</v>
      </c>
      <c r="C70" s="244">
        <f t="shared" ca="1" si="3"/>
        <v>19.4253</v>
      </c>
      <c r="D70" s="265">
        <f t="shared" ca="1" si="4"/>
        <v>4</v>
      </c>
      <c r="E70" s="245">
        <f t="shared" ca="1" si="5"/>
        <v>0.85729999999999995</v>
      </c>
      <c r="F70" s="265">
        <f t="shared" ca="1" si="6"/>
        <v>4</v>
      </c>
      <c r="G70" s="246">
        <f t="shared" ca="1" si="7"/>
        <v>0.86718132256856317</v>
      </c>
      <c r="H70" s="370" t="str">
        <f t="shared" ca="1" si="8"/>
        <v>▲ STRONG</v>
      </c>
      <c r="I70" s="244">
        <f t="shared" ca="1" si="9"/>
        <v>3.0999999999999996</v>
      </c>
      <c r="J70" s="265">
        <f t="shared" ca="1" si="10"/>
        <v>1</v>
      </c>
      <c r="K70" s="371" t="str">
        <f t="shared" ca="1" si="11"/>
        <v>⭐ BUY</v>
      </c>
      <c r="L70" s="225"/>
      <c r="M70" s="225"/>
      <c r="N70" s="225"/>
    </row>
    <row r="71" spans="1:14" x14ac:dyDescent="0.35">
      <c r="A71" s="225"/>
      <c r="B71" s="247" t="str">
        <f t="shared" ca="1" si="2"/>
        <v>GS</v>
      </c>
      <c r="C71" s="249">
        <f t="shared" ca="1" si="3"/>
        <v>16.7681</v>
      </c>
      <c r="D71" s="266">
        <f t="shared" ca="1" si="4"/>
        <v>2</v>
      </c>
      <c r="E71" s="250">
        <f t="shared" ca="1" si="5"/>
        <v>1.3147</v>
      </c>
      <c r="F71" s="266">
        <f t="shared" ca="1" si="6"/>
        <v>8</v>
      </c>
      <c r="G71" s="251">
        <f t="shared" ca="1" si="7"/>
        <v>0.7514303528203623</v>
      </c>
      <c r="H71" s="394" t="str">
        <f t="shared" ca="1" si="8"/>
        <v>▲ STRONG</v>
      </c>
      <c r="I71" s="249">
        <f t="shared" ca="1" si="9"/>
        <v>4.0999999999999996</v>
      </c>
      <c r="J71" s="266">
        <f t="shared" ca="1" si="10"/>
        <v>3</v>
      </c>
      <c r="K71" s="395" t="str">
        <f t="shared" ca="1" si="11"/>
        <v>⭐ BUY</v>
      </c>
      <c r="L71" s="225"/>
      <c r="M71" s="225"/>
      <c r="N71" s="225"/>
    </row>
    <row r="72" spans="1:14" x14ac:dyDescent="0.35">
      <c r="A72" s="225"/>
      <c r="B72" s="242" t="str">
        <f t="shared" ca="1" si="2"/>
        <v>XOM</v>
      </c>
      <c r="C72" s="244">
        <f t="shared" ca="1" si="3"/>
        <v>24.0672</v>
      </c>
      <c r="D72" s="265">
        <f t="shared" ca="1" si="4"/>
        <v>7</v>
      </c>
      <c r="E72" s="245">
        <f t="shared" ca="1" si="5"/>
        <v>0.29189999999999999</v>
      </c>
      <c r="F72" s="265">
        <f t="shared" ca="1" si="6"/>
        <v>2</v>
      </c>
      <c r="G72" s="246">
        <f t="shared" ca="1" si="7"/>
        <v>0.83252766823559354</v>
      </c>
      <c r="H72" s="370" t="str">
        <f t="shared" ca="1" si="8"/>
        <v>▲ STRONG</v>
      </c>
      <c r="I72" s="244">
        <f t="shared" ca="1" si="9"/>
        <v>4</v>
      </c>
      <c r="J72" s="265">
        <f t="shared" ca="1" si="10"/>
        <v>2</v>
      </c>
      <c r="K72" s="371" t="str">
        <f t="shared" ca="1" si="11"/>
        <v>⭐ BUY</v>
      </c>
      <c r="L72" s="225"/>
      <c r="M72" s="225"/>
      <c r="N72" s="225"/>
    </row>
    <row r="73" spans="1:14" x14ac:dyDescent="0.35">
      <c r="A73" s="225"/>
      <c r="B73" s="247" t="str">
        <f t="shared" ca="1" si="2"/>
        <v>GM</v>
      </c>
      <c r="C73" s="249">
        <f t="shared" ca="1" si="3"/>
        <v>22.9604</v>
      </c>
      <c r="D73" s="266">
        <f t="shared" ca="1" si="4"/>
        <v>5</v>
      </c>
      <c r="E73" s="250">
        <f t="shared" ca="1" si="5"/>
        <v>1.3733</v>
      </c>
      <c r="F73" s="266">
        <f t="shared" ca="1" si="6"/>
        <v>9</v>
      </c>
      <c r="G73" s="251">
        <f t="shared" ca="1" si="7"/>
        <v>0.67524989135158642</v>
      </c>
      <c r="H73" s="374" t="str">
        <f t="shared" ca="1" si="8"/>
        <v>▶ NEUTRAL</v>
      </c>
      <c r="I73" s="249">
        <f t="shared" ca="1" si="9"/>
        <v>6.7999999999999989</v>
      </c>
      <c r="J73" s="266">
        <f t="shared" ca="1" si="10"/>
        <v>8</v>
      </c>
      <c r="K73" s="381" t="str">
        <f t="shared" ca="1" si="11"/>
        <v>⚠️ AVOID</v>
      </c>
      <c r="L73" s="225"/>
      <c r="M73" s="225"/>
      <c r="N73" s="225"/>
    </row>
    <row r="74" spans="1:14" x14ac:dyDescent="0.35">
      <c r="A74" s="225"/>
      <c r="B74" s="242" t="str">
        <f t="shared" ca="1" si="2"/>
        <v>BAC</v>
      </c>
      <c r="C74" s="244">
        <f t="shared" ca="1" si="3"/>
        <v>13.024900000000001</v>
      </c>
      <c r="D74" s="265">
        <f t="shared" ca="1" si="4"/>
        <v>1</v>
      </c>
      <c r="E74" s="245">
        <f t="shared" ca="1" si="5"/>
        <v>1.2422</v>
      </c>
      <c r="F74" s="265">
        <f t="shared" ca="1" si="6"/>
        <v>7</v>
      </c>
      <c r="G74" s="246">
        <f t="shared" ca="1" si="7"/>
        <v>0.64519093322442311</v>
      </c>
      <c r="H74" s="378" t="str">
        <f t="shared" ca="1" si="8"/>
        <v>▶ NEUTRAL</v>
      </c>
      <c r="I74" s="244">
        <f t="shared" ca="1" si="9"/>
        <v>4.9000000000000004</v>
      </c>
      <c r="J74" s="265">
        <f t="shared" ca="1" si="10"/>
        <v>6</v>
      </c>
      <c r="K74" s="379" t="str">
        <f t="shared" ca="1" si="11"/>
        <v>🔍 WATCH</v>
      </c>
      <c r="L74" s="225"/>
      <c r="M74" s="225"/>
      <c r="N74" s="225"/>
    </row>
    <row r="75" spans="1:14" x14ac:dyDescent="0.35">
      <c r="A75" s="225"/>
      <c r="B75" s="247" t="str">
        <f t="shared" ca="1" si="2"/>
        <v>LMT</v>
      </c>
      <c r="C75" s="249">
        <f t="shared" ca="1" si="3"/>
        <v>28.746099999999998</v>
      </c>
      <c r="D75" s="266">
        <f t="shared" ca="1" si="4"/>
        <v>8</v>
      </c>
      <c r="E75" s="250">
        <f t="shared" ca="1" si="5"/>
        <v>0.23669999999999999</v>
      </c>
      <c r="F75" s="266">
        <f t="shared" ca="1" si="6"/>
        <v>1</v>
      </c>
      <c r="G75" s="251">
        <f t="shared" ca="1" si="7"/>
        <v>0.74905104828124436</v>
      </c>
      <c r="H75" s="394" t="str">
        <f t="shared" ca="1" si="8"/>
        <v>▲ STRONG</v>
      </c>
      <c r="I75" s="249">
        <f t="shared" ca="1" si="9"/>
        <v>4.7</v>
      </c>
      <c r="J75" s="266">
        <f t="shared" ca="1" si="10"/>
        <v>4</v>
      </c>
      <c r="K75" s="375" t="str">
        <f t="shared" ca="1" si="11"/>
        <v>🔍 WATCH</v>
      </c>
      <c r="L75" s="225"/>
      <c r="M75" s="225"/>
      <c r="N75" s="225"/>
    </row>
    <row r="76" spans="1:14" x14ac:dyDescent="0.35">
      <c r="A76" s="225"/>
      <c r="B76" s="242" t="str">
        <f t="shared" ca="1" si="2"/>
        <v>COST</v>
      </c>
      <c r="C76" s="244">
        <f t="shared" ca="1" si="3"/>
        <v>53.382899999999999</v>
      </c>
      <c r="D76" s="265">
        <f t="shared" ca="1" si="4"/>
        <v>9</v>
      </c>
      <c r="E76" s="245">
        <f t="shared" ca="1" si="5"/>
        <v>0.98899999999999999</v>
      </c>
      <c r="F76" s="265">
        <f t="shared" ca="1" si="6"/>
        <v>5</v>
      </c>
      <c r="G76" s="246">
        <f t="shared" ca="1" si="7"/>
        <v>0.73331988162496675</v>
      </c>
      <c r="H76" s="370" t="str">
        <f t="shared" ca="1" si="8"/>
        <v>▲ STRONG</v>
      </c>
      <c r="I76" s="244">
        <f t="shared" ca="1" si="9"/>
        <v>6.6</v>
      </c>
      <c r="J76" s="265">
        <f t="shared" ca="1" si="10"/>
        <v>7</v>
      </c>
      <c r="K76" s="379" t="str">
        <f t="shared" ca="1" si="11"/>
        <v>🔍 WATCH</v>
      </c>
      <c r="L76" s="225"/>
      <c r="M76" s="225"/>
      <c r="N76" s="225"/>
    </row>
    <row r="77" spans="1:14" x14ac:dyDescent="0.35">
      <c r="A77" s="225"/>
      <c r="B77" s="267"/>
      <c r="C77" s="267"/>
      <c r="D77" s="267"/>
      <c r="E77" s="267"/>
      <c r="F77" s="267"/>
      <c r="G77" s="267"/>
      <c r="H77" s="267"/>
      <c r="I77" s="267"/>
      <c r="J77" s="267"/>
      <c r="K77" s="267"/>
      <c r="L77" s="225"/>
      <c r="M77" s="225"/>
      <c r="N77" s="225"/>
    </row>
    <row r="78" spans="1:14" ht="19" thickBot="1" x14ac:dyDescent="0.5">
      <c r="A78" s="225"/>
      <c r="B78" s="137" t="s">
        <v>231</v>
      </c>
      <c r="C78" s="137" t="s">
        <v>232</v>
      </c>
      <c r="D78" s="137" t="s">
        <v>233</v>
      </c>
      <c r="E78" s="137" t="s">
        <v>234</v>
      </c>
      <c r="F78" s="137" t="s">
        <v>235</v>
      </c>
      <c r="G78" s="137" t="s">
        <v>236</v>
      </c>
      <c r="H78" s="137" t="s">
        <v>237</v>
      </c>
      <c r="I78" s="137" t="s">
        <v>238</v>
      </c>
      <c r="J78" s="137" t="s">
        <v>239</v>
      </c>
      <c r="K78" s="137" t="s">
        <v>240</v>
      </c>
      <c r="L78" s="225"/>
      <c r="M78" s="225"/>
      <c r="N78" s="225"/>
    </row>
    <row r="79" spans="1:14" x14ac:dyDescent="0.35">
      <c r="A79" s="225"/>
      <c r="B79" s="227">
        <f ca="1">COUNTIF(K67:K76,"*BUY*")</f>
        <v>3</v>
      </c>
      <c r="C79" s="227">
        <f ca="1">COUNTIF(K67:K76,"*WATCH*")</f>
        <v>4</v>
      </c>
      <c r="D79" s="227">
        <f ca="1">COUNTIF(K67:K76,"*AVOID*")</f>
        <v>3</v>
      </c>
      <c r="E79" s="228">
        <f ca="1">AVERAGEIF(K67:K76,"*BUY*",C67:C76)</f>
        <v>20.086866666666666</v>
      </c>
      <c r="F79" s="229">
        <f ca="1">AVERAGEIF(K67:K76,"*BUY*",E67:E76)</f>
        <v>0.82129999999999992</v>
      </c>
      <c r="G79" s="227" t="str">
        <f ca="1">INDEX(B67:B76,MATCH(MIN(C67:C76),C67:C76,0))</f>
        <v>BAC</v>
      </c>
      <c r="H79" s="227" t="str">
        <f ca="1">INDEX(B67:B76,MATCH(MAX(E67:E76),E67:E76,0))</f>
        <v>AMD</v>
      </c>
      <c r="I79" s="227" t="str">
        <f ca="1">INDEX(B67:B76,MATCH(1,J67:J76,0))</f>
        <v>DELL</v>
      </c>
      <c r="J79" s="227">
        <f ca="1">COUNTIF(H67:H76,"*STRONG*")</f>
        <v>5</v>
      </c>
      <c r="K79" s="227">
        <f ca="1">COUNTIF(H67:H76,"*WEAK*")</f>
        <v>2</v>
      </c>
      <c r="L79" s="225"/>
      <c r="M79" s="225"/>
      <c r="N79" s="225"/>
    </row>
  </sheetData>
  <conditionalFormatting sqref="E8:E17">
    <cfRule type="cellIs" dxfId="104" priority="1" operator="greaterThan">
      <formula>0</formula>
    </cfRule>
    <cfRule type="cellIs" dxfId="103" priority="2" operator="lessThan">
      <formula>0</formula>
    </cfRule>
  </conditionalFormatting>
  <conditionalFormatting sqref="K8:K17">
    <cfRule type="cellIs" dxfId="102" priority="3" operator="greaterThan">
      <formula>0.7</formula>
    </cfRule>
    <cfRule type="cellIs" dxfId="101" priority="4" operator="lessThan">
      <formula>0.3</formula>
    </cfRule>
    <cfRule type="cellIs" dxfId="100" priority="5" operator="between">
      <formula>0.3</formula>
      <formula>0.7</formula>
    </cfRule>
  </conditionalFormatting>
  <conditionalFormatting sqref="K66:K75">
    <cfRule type="containsText" dxfId="4" priority="6" operator="containsText" text="BUY">
      <formula>NOT(ISERROR(SEARCH("BUY",K66)))</formula>
    </cfRule>
  </conditionalFormatting>
  <conditionalFormatting sqref="K66:K75">
    <cfRule type="containsText" dxfId="3" priority="7" operator="containsText" text="WATCH">
      <formula>NOT(ISERROR(SEARCH("WATCH",K66)))</formula>
    </cfRule>
  </conditionalFormatting>
  <conditionalFormatting sqref="K66:K75">
    <cfRule type="containsText" dxfId="2" priority="8" operator="containsText" text="AVOID">
      <formula>NOT(ISERROR(SEARCH("AVOID",K66)))</formula>
    </cfRule>
  </conditionalFormatting>
  <conditionalFormatting sqref="H66:H75">
    <cfRule type="containsText" dxfId="1" priority="9" operator="containsText" text="STRONG">
      <formula>NOT(ISERROR(SEARCH("STRONG",H66)))</formula>
    </cfRule>
  </conditionalFormatting>
  <conditionalFormatting sqref="H66:H75">
    <cfRule type="containsText" dxfId="0" priority="10" operator="containsText" text="WEAK">
      <formula>NOT(ISERROR(SEARCH("WEAK",H66)))</formula>
    </cfRule>
  </conditionalFormatting>
  <conditionalFormatting sqref="K8:K17">
    <cfRule type="colorScale" priority="11">
      <colorScale>
        <cfvo type="min"/>
        <cfvo type="percentile" val="50"/>
        <cfvo type="max"/>
        <color rgb="FFEF4444"/>
        <color rgb="FFF59E0B"/>
        <color rgb="FF10B981"/>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H64"/>
  <sheetViews>
    <sheetView showGridLines="0" topLeftCell="A8"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8" ht="21" x14ac:dyDescent="0.5">
      <c r="A1" s="87" t="s">
        <v>39</v>
      </c>
      <c r="B1" s="87"/>
      <c r="C1" s="87"/>
      <c r="D1" s="87"/>
      <c r="E1" s="87"/>
      <c r="F1" s="87"/>
      <c r="G1" s="87"/>
      <c r="H1" s="87"/>
    </row>
    <row r="2" spans="1:8" x14ac:dyDescent="0.35">
      <c r="A2" s="88" t="s">
        <v>40</v>
      </c>
      <c r="B2" s="88"/>
      <c r="C2" s="88"/>
      <c r="D2" s="88"/>
      <c r="E2" s="88"/>
      <c r="F2" s="88"/>
      <c r="G2" s="88"/>
      <c r="H2" s="88"/>
    </row>
    <row r="3" spans="1:8" x14ac:dyDescent="0.35">
      <c r="A3" s="26"/>
      <c r="B3" s="26"/>
      <c r="C3" s="26"/>
      <c r="D3" s="26"/>
      <c r="E3" s="26"/>
      <c r="F3" s="26"/>
      <c r="G3" s="26"/>
      <c r="H3" s="26"/>
    </row>
    <row r="4" spans="1:8" ht="15.5" x14ac:dyDescent="0.35">
      <c r="A4" s="57" t="s">
        <v>41</v>
      </c>
      <c r="B4" s="26"/>
      <c r="C4" s="26"/>
      <c r="D4" s="26"/>
      <c r="E4" s="26"/>
      <c r="F4" s="26"/>
      <c r="G4" s="26"/>
      <c r="H4" s="26"/>
    </row>
    <row r="5" spans="1:8" ht="15" thickBot="1" x14ac:dyDescent="0.4">
      <c r="A5" s="58" t="s">
        <v>42</v>
      </c>
      <c r="B5" s="58" t="s">
        <v>43</v>
      </c>
      <c r="C5" s="58" t="s">
        <v>44</v>
      </c>
      <c r="D5" s="58" t="s">
        <v>45</v>
      </c>
      <c r="E5" s="58" t="s">
        <v>46</v>
      </c>
      <c r="F5" s="58" t="s">
        <v>47</v>
      </c>
      <c r="G5" s="58" t="s">
        <v>48</v>
      </c>
      <c r="H5" s="58" t="s">
        <v>49</v>
      </c>
    </row>
    <row r="6" spans="1:8" ht="17" x14ac:dyDescent="0.4">
      <c r="A6" s="446">
        <f ca="1">SUM(Dashboard!F7:F22)-SUM(Dashboard!I7:I22)</f>
        <v>132051.42120000004</v>
      </c>
      <c r="B6" s="447">
        <f ca="1">SUM(Dashboard!F7:F22)</f>
        <v>302909.21540000004</v>
      </c>
      <c r="C6" s="447">
        <f ca="1">SUM(Dashboard!I7:I22)</f>
        <v>170857.7942</v>
      </c>
      <c r="D6" s="90">
        <f ca="1">C6/A6</f>
        <v>1.2938731946036788</v>
      </c>
      <c r="E6" s="90">
        <f ca="1">(B6/A6)^(1/7)-1</f>
        <v>0.12592617416730123</v>
      </c>
      <c r="F6" s="91">
        <f ca="1">COUNTA(Dashboard!M7:M22)</f>
        <v>16</v>
      </c>
      <c r="G6" s="92" t="str">
        <f ca="1">INDEX(Dashboard!M7:M22,MATCH(MAX(Dashboard!I7:I22),Dashboard!I7:I22,0))</f>
        <v>NVDA</v>
      </c>
      <c r="H6" s="92" t="str">
        <f ca="1">INDEX(Dashboard!M7:M22,MATCH(MIN(Dashboard!I7:I22),Dashboard!I7:I22,0))</f>
        <v>HMC</v>
      </c>
    </row>
    <row r="7" spans="1:8" x14ac:dyDescent="0.35">
      <c r="A7" s="26"/>
      <c r="B7" s="26"/>
      <c r="C7" s="26"/>
      <c r="D7" s="26"/>
      <c r="E7" s="26"/>
      <c r="F7" s="26"/>
      <c r="G7" s="26"/>
      <c r="H7" s="26"/>
    </row>
    <row r="8" spans="1:8" ht="15.5" x14ac:dyDescent="0.35">
      <c r="A8" s="57" t="s">
        <v>50</v>
      </c>
      <c r="B8" s="26"/>
      <c r="C8" s="26"/>
      <c r="D8" s="26"/>
      <c r="E8" s="26"/>
      <c r="F8" s="26"/>
      <c r="G8" s="26"/>
      <c r="H8" s="26"/>
    </row>
    <row r="9" spans="1:8" ht="15" thickBot="1" x14ac:dyDescent="0.4">
      <c r="A9" s="58" t="s">
        <v>8</v>
      </c>
      <c r="B9" s="58" t="s">
        <v>51</v>
      </c>
      <c r="C9" s="58" t="s">
        <v>4</v>
      </c>
      <c r="D9" s="58" t="s">
        <v>6</v>
      </c>
      <c r="E9" s="58" t="s">
        <v>52</v>
      </c>
      <c r="F9" s="58" t="s">
        <v>53</v>
      </c>
      <c r="G9" s="58" t="s">
        <v>54</v>
      </c>
      <c r="H9" s="58" t="s">
        <v>46</v>
      </c>
    </row>
    <row r="10" spans="1:8" x14ac:dyDescent="0.35">
      <c r="A10" s="52" t="str">
        <f ca="1">Dashboard!M7</f>
        <v>AMD</v>
      </c>
      <c r="B10" s="448">
        <f ca="1">Dashboard!F7-Dashboard!I7</f>
        <v>7394.5580999999984</v>
      </c>
      <c r="C10" s="448">
        <f ca="1">Dashboard!F7</f>
        <v>23307.3</v>
      </c>
      <c r="D10" s="458">
        <f ca="1">Dashboard!I7</f>
        <v>15912.741900000001</v>
      </c>
      <c r="E10" s="459">
        <f ca="1">Dashboard!K7</f>
        <v>2.151953055856036</v>
      </c>
      <c r="F10" s="60">
        <f ca="1">Dashboard!L7</f>
        <v>7.6944836324051955E-2</v>
      </c>
      <c r="G10" s="452">
        <f ca="1">Dashboard!O7</f>
        <v>69.004834826427754</v>
      </c>
      <c r="H10" s="60">
        <f ca="1">Dashboard!Q7</f>
        <v>0.17821806492363379</v>
      </c>
    </row>
    <row r="11" spans="1:8" x14ac:dyDescent="0.35">
      <c r="A11" s="54" t="str">
        <f ca="1">Dashboard!M8</f>
        <v>GOOG</v>
      </c>
      <c r="B11" s="449">
        <f ca="1">Dashboard!F8-Dashboard!I8</f>
        <v>7854.4308999999994</v>
      </c>
      <c r="C11" s="449">
        <f ca="1">Dashboard!F8</f>
        <v>19911.385200000001</v>
      </c>
      <c r="D11" s="460">
        <f ca="1">Dashboard!I8</f>
        <v>12056.954300000001</v>
      </c>
      <c r="E11" s="461">
        <f ca="1">Dashboard!K8</f>
        <v>1.5350512918765384</v>
      </c>
      <c r="F11" s="30">
        <f ca="1">Dashboard!L8</f>
        <v>6.5733837690300917E-2</v>
      </c>
      <c r="G11" s="453">
        <f ca="1">Dashboard!O8</f>
        <v>116.15544069801832</v>
      </c>
      <c r="H11" s="30">
        <f ca="1">Dashboard!Q8</f>
        <v>0.14212172601589135</v>
      </c>
    </row>
    <row r="12" spans="1:8" x14ac:dyDescent="0.35">
      <c r="A12" s="56" t="str">
        <f ca="1">Dashboard!M9</f>
        <v>AMZN</v>
      </c>
      <c r="B12" s="450">
        <f ca="1">Dashboard!F9-Dashboard!I9</f>
        <v>6470.8785999999991</v>
      </c>
      <c r="C12" s="450">
        <f ca="1">Dashboard!F9</f>
        <v>9534.0465000000004</v>
      </c>
      <c r="D12" s="462">
        <f ca="1">Dashboard!I9</f>
        <v>3063.1679000000013</v>
      </c>
      <c r="E12" s="463">
        <f ca="1">Dashboard!K9</f>
        <v>0.47337743285741779</v>
      </c>
      <c r="F12" s="68">
        <f ca="1">Dashboard!L9</f>
        <v>3.147493049166572E-2</v>
      </c>
      <c r="G12" s="454">
        <f ca="1">Dashboard!O9</f>
        <v>142.37356655665565</v>
      </c>
      <c r="H12" s="68">
        <f ca="1">Dashboard!Q9</f>
        <v>5.6926675518029768E-2</v>
      </c>
    </row>
    <row r="13" spans="1:8" x14ac:dyDescent="0.35">
      <c r="A13" s="54" t="str">
        <f ca="1">Dashboard!M10</f>
        <v>AAPL</v>
      </c>
      <c r="B13" s="449">
        <f ca="1">Dashboard!F10-Dashboard!I10</f>
        <v>7391.6634000000004</v>
      </c>
      <c r="C13" s="449">
        <f ca="1">Dashboard!F10</f>
        <v>14060.244799999999</v>
      </c>
      <c r="D13" s="460">
        <f ca="1">Dashboard!I10</f>
        <v>6668.5813999999982</v>
      </c>
      <c r="E13" s="461">
        <f ca="1">Dashboard!K10</f>
        <v>0.90217601088274635</v>
      </c>
      <c r="F13" s="30">
        <f ca="1">Dashboard!L10</f>
        <v>4.6417355713107157E-2</v>
      </c>
      <c r="G13" s="453">
        <f ca="1">Dashboard!O10</f>
        <v>134.54065161994905</v>
      </c>
      <c r="H13" s="30">
        <f ca="1">Dashboard!Q10</f>
        <v>9.6207974778895533E-2</v>
      </c>
    </row>
    <row r="14" spans="1:8" x14ac:dyDescent="0.35">
      <c r="A14" s="56" t="str">
        <f ca="1">Dashboard!M11</f>
        <v>BLK</v>
      </c>
      <c r="B14" s="450">
        <f ca="1">Dashboard!F11-Dashboard!I11</f>
        <v>8680.5252</v>
      </c>
      <c r="C14" s="450">
        <f ca="1">Dashboard!F11</f>
        <v>11163.768</v>
      </c>
      <c r="D14" s="462">
        <f ca="1">Dashboard!I11</f>
        <v>2483.2428</v>
      </c>
      <c r="E14" s="463">
        <f ca="1">Dashboard!K11</f>
        <v>0.28607057093734373</v>
      </c>
      <c r="F14" s="68">
        <f ca="1">Dashboard!L11</f>
        <v>3.6855161323692098E-2</v>
      </c>
      <c r="G14" s="454">
        <f ca="1">Dashboard!O11</f>
        <v>751.56062337662331</v>
      </c>
      <c r="H14" s="68">
        <f ca="1">Dashboard!Q11</f>
        <v>3.6595352074845655E-2</v>
      </c>
    </row>
    <row r="15" spans="1:8" x14ac:dyDescent="0.35">
      <c r="A15" s="54" t="str">
        <f ca="1">Dashboard!M12</f>
        <v>CVX</v>
      </c>
      <c r="B15" s="449">
        <f ca="1">Dashboard!F12-Dashboard!I12</f>
        <v>9879.1989999999987</v>
      </c>
      <c r="C15" s="449">
        <f ca="1">Dashboard!F12</f>
        <v>14793.419499999998</v>
      </c>
      <c r="D15" s="460">
        <f ca="1">Dashboard!I12</f>
        <v>4914.2204999999994</v>
      </c>
      <c r="E15" s="461">
        <f ca="1">Dashboard!K12</f>
        <v>0.49743106703286372</v>
      </c>
      <c r="F15" s="30">
        <f ca="1">Dashboard!L12</f>
        <v>4.883779940621772E-2</v>
      </c>
      <c r="G15" s="453">
        <f ca="1">Dashboard!O12</f>
        <v>132.87422999327504</v>
      </c>
      <c r="H15" s="30">
        <f ca="1">Dashboard!Q12</f>
        <v>5.9374581820841987E-2</v>
      </c>
    </row>
    <row r="16" spans="1:8" x14ac:dyDescent="0.35">
      <c r="A16" s="56" t="str">
        <f ca="1">Dashboard!M13</f>
        <v>C</v>
      </c>
      <c r="B16" s="450">
        <f ca="1">Dashboard!F13-Dashboard!I13</f>
        <v>8304.7689000000009</v>
      </c>
      <c r="C16" s="450">
        <f ca="1">Dashboard!F13</f>
        <v>16149.9825</v>
      </c>
      <c r="D16" s="462">
        <f ca="1">Dashboard!I13</f>
        <v>7845.2135999999991</v>
      </c>
      <c r="E16" s="463">
        <f ca="1">Dashboard!K13</f>
        <v>0.94466368594555328</v>
      </c>
      <c r="F16" s="68">
        <f ca="1">Dashboard!L13</f>
        <v>5.3316246845357608E-2</v>
      </c>
      <c r="G16" s="454">
        <f ca="1">Dashboard!O13</f>
        <v>59.264746307000649</v>
      </c>
      <c r="H16" s="68">
        <f ca="1">Dashboard!Q13</f>
        <v>9.9672844448097875E-2</v>
      </c>
    </row>
    <row r="17" spans="1:8" x14ac:dyDescent="0.35">
      <c r="A17" s="54" t="str">
        <f ca="1">Dashboard!M14</f>
        <v>F</v>
      </c>
      <c r="B17" s="449">
        <f ca="1">Dashboard!F14-Dashboard!I14</f>
        <v>7913.8448000000008</v>
      </c>
      <c r="C17" s="449">
        <f ca="1">Dashboard!F14</f>
        <v>8629.3559999999998</v>
      </c>
      <c r="D17" s="460">
        <f ca="1">Dashboard!I14</f>
        <v>715.51119999999901</v>
      </c>
      <c r="E17" s="461">
        <f ca="1">Dashboard!K14</f>
        <v>9.0412589339634128E-2</v>
      </c>
      <c r="F17" s="30">
        <f ca="1">Dashboard!L14</f>
        <v>2.8488258399813605E-2</v>
      </c>
      <c r="G17" s="453">
        <f ca="1">Dashboard!O14</f>
        <v>10.63817504805689</v>
      </c>
      <c r="H17" s="30">
        <f ca="1">Dashboard!Q14</f>
        <v>1.244192856490467E-2</v>
      </c>
    </row>
    <row r="18" spans="1:8" x14ac:dyDescent="0.35">
      <c r="A18" s="56" t="str">
        <f ca="1">Dashboard!M15</f>
        <v>HMC</v>
      </c>
      <c r="B18" s="450">
        <f ca="1">Dashboard!F15-Dashboard!I15</f>
        <v>7119.3027000000002</v>
      </c>
      <c r="C18" s="450">
        <f ca="1">Dashboard!F15</f>
        <v>6241.5674999999992</v>
      </c>
      <c r="D18" s="464">
        <f ca="1">Dashboard!I15</f>
        <v>-877.73520000000099</v>
      </c>
      <c r="E18" s="465">
        <f ca="1">Dashboard!K15</f>
        <v>-0.12328949013503822</v>
      </c>
      <c r="F18" s="68">
        <f ca="1">Dashboard!L15</f>
        <v>2.0605406447465904E-2</v>
      </c>
      <c r="G18" s="454">
        <f ca="1">Dashboard!O15</f>
        <v>27.546150899593734</v>
      </c>
      <c r="H18" s="68">
        <f ca="1">Dashboard!Q15</f>
        <v>-1.8621358563471468E-2</v>
      </c>
    </row>
    <row r="19" spans="1:8" x14ac:dyDescent="0.35">
      <c r="A19" s="54" t="str">
        <f ca="1">Dashboard!M16</f>
        <v>JPM</v>
      </c>
      <c r="B19" s="449">
        <f ca="1">Dashboard!F16-Dashboard!I16</f>
        <v>9431.1376</v>
      </c>
      <c r="C19" s="449">
        <f ca="1">Dashboard!F16</f>
        <v>16745.063999999998</v>
      </c>
      <c r="D19" s="460">
        <f ca="1">Dashboard!I16</f>
        <v>7313.9263999999985</v>
      </c>
      <c r="E19" s="461">
        <f ca="1">Dashboard!K16</f>
        <v>0.77550839678131711</v>
      </c>
      <c r="F19" s="30">
        <f ca="1">Dashboard!L16</f>
        <v>5.5280800809865346E-2</v>
      </c>
      <c r="G19" s="453">
        <f ca="1">Dashboard!O16</f>
        <v>165.92430682617876</v>
      </c>
      <c r="H19" s="30">
        <f ca="1">Dashboard!Q16</f>
        <v>8.5469269974211004E-2</v>
      </c>
    </row>
    <row r="20" spans="1:8" x14ac:dyDescent="0.35">
      <c r="A20" s="56" t="str">
        <f ca="1">Dashboard!M17</f>
        <v>META</v>
      </c>
      <c r="B20" s="450">
        <f ca="1">Dashboard!F17-Dashboard!I17</f>
        <v>8317.269400000001</v>
      </c>
      <c r="C20" s="450">
        <f ca="1">Dashboard!F17</f>
        <v>16389.343800000002</v>
      </c>
      <c r="D20" s="462">
        <f ca="1">Dashboard!I17</f>
        <v>8072.0744000000013</v>
      </c>
      <c r="E20" s="463">
        <f ca="1">Dashboard!K17</f>
        <v>0.97051977178952509</v>
      </c>
      <c r="F20" s="68">
        <f ca="1">Dashboard!L17</f>
        <v>5.4106454893943778E-2</v>
      </c>
      <c r="G20" s="454">
        <f ca="1">Dashboard!O17</f>
        <v>291.52714335786891</v>
      </c>
      <c r="H20" s="68">
        <f ca="1">Dashboard!Q17</f>
        <v>0.10174977623736403</v>
      </c>
    </row>
    <row r="21" spans="1:8" x14ac:dyDescent="0.35">
      <c r="A21" s="54" t="str">
        <f ca="1">Dashboard!M18</f>
        <v>NVDA</v>
      </c>
      <c r="B21" s="449">
        <f ca="1">Dashboard!F18-Dashboard!I18</f>
        <v>8779.8803999999946</v>
      </c>
      <c r="C21" s="449">
        <f ca="1">Dashboard!F18</f>
        <v>89250.230699999986</v>
      </c>
      <c r="D21" s="460">
        <f ca="1">Dashboard!I18</f>
        <v>80470.350299999991</v>
      </c>
      <c r="E21" s="461">
        <f ca="1">Dashboard!K18</f>
        <v>9.1653128099558216</v>
      </c>
      <c r="F21" s="30">
        <f ca="1">Dashboard!L18</f>
        <v>0.29464349766362363</v>
      </c>
      <c r="G21" s="453">
        <f ca="1">Dashboard!O18</f>
        <v>17.450520541410761</v>
      </c>
      <c r="H21" s="30">
        <f ca="1">Dashboard!Q18</f>
        <v>0.39275392963225486</v>
      </c>
    </row>
    <row r="22" spans="1:8" x14ac:dyDescent="0.35">
      <c r="A22" s="56" t="str">
        <f ca="1">Dashboard!M19</f>
        <v>0R2N</v>
      </c>
      <c r="B22" s="450">
        <f ca="1">Dashboard!F19-Dashboard!I19</f>
        <v>7915.0489999999991</v>
      </c>
      <c r="C22" s="450">
        <f ca="1">Dashboard!F19</f>
        <v>15596.205000000002</v>
      </c>
      <c r="D22" s="462">
        <f ca="1">Dashboard!I19</f>
        <v>7681.1560000000027</v>
      </c>
      <c r="E22" s="463">
        <f ca="1">Dashboard!K19</f>
        <v>0.97044958281370131</v>
      </c>
      <c r="F22" s="68">
        <f ca="1">Dashboard!L19</f>
        <v>5.1488050567906229E-2</v>
      </c>
      <c r="G22" s="454">
        <f ca="1">Dashboard!O19</f>
        <v>99.723434547058062</v>
      </c>
      <c r="H22" s="68">
        <f ca="1">Dashboard!Q19</f>
        <v>0.10174416989430446</v>
      </c>
    </row>
    <row r="23" spans="1:8" x14ac:dyDescent="0.35">
      <c r="A23" s="54" t="str">
        <f ca="1">Dashboard!M20</f>
        <v>BA</v>
      </c>
      <c r="B23" s="449">
        <f ca="1">Dashboard!F20-Dashboard!I20</f>
        <v>9957.8624</v>
      </c>
      <c r="C23" s="449">
        <f ca="1">Dashboard!F20</f>
        <v>9534.3937999999998</v>
      </c>
      <c r="D23" s="466">
        <f ca="1">Dashboard!I20</f>
        <v>-423.46860000000015</v>
      </c>
      <c r="E23" s="467">
        <f ca="1">Dashboard!K20</f>
        <v>-4.2526054587779819E-2</v>
      </c>
      <c r="F23" s="30">
        <f ca="1">Dashboard!L20</f>
        <v>3.1476077039813949E-2</v>
      </c>
      <c r="G23" s="453">
        <f ca="1">Dashboard!O20</f>
        <v>217.4680585280629</v>
      </c>
      <c r="H23" s="30">
        <f ca="1">Dashboard!Q20</f>
        <v>-6.1888794091810029E-3</v>
      </c>
    </row>
    <row r="24" spans="1:8" x14ac:dyDescent="0.35">
      <c r="A24" s="56" t="str">
        <f ca="1">Dashboard!M21</f>
        <v>TM</v>
      </c>
      <c r="B24" s="450">
        <f ca="1">Dashboard!F21-Dashboard!I21</f>
        <v>6743.6297999999988</v>
      </c>
      <c r="C24" s="450">
        <f ca="1">Dashboard!F21</f>
        <v>8626.1067000000003</v>
      </c>
      <c r="D24" s="462">
        <f ca="1">Dashboard!I21</f>
        <v>1882.4769000000015</v>
      </c>
      <c r="E24" s="463">
        <f ca="1">Dashboard!K21</f>
        <v>0.27914890879686216</v>
      </c>
      <c r="F24" s="68">
        <f ca="1">Dashboard!L21</f>
        <v>2.847753142342991E-2</v>
      </c>
      <c r="G24" s="454">
        <f ca="1">Dashboard!O21</f>
        <v>161.83416846652264</v>
      </c>
      <c r="H24" s="68">
        <f ca="1">Dashboard!Q21</f>
        <v>3.5796510354465072E-2</v>
      </c>
    </row>
    <row r="25" spans="1:8" x14ac:dyDescent="0.35">
      <c r="A25" s="53" t="str">
        <f ca="1">Dashboard!M22</f>
        <v>WMT</v>
      </c>
      <c r="B25" s="451">
        <f ca="1">Dashboard!F22-Dashboard!I22</f>
        <v>9897.4210000000003</v>
      </c>
      <c r="C25" s="451">
        <f ca="1">Dashboard!F22</f>
        <v>22976.8014</v>
      </c>
      <c r="D25" s="468">
        <f ca="1">Dashboard!I22</f>
        <v>13079.3804</v>
      </c>
      <c r="E25" s="469">
        <f ca="1">Dashboard!K22</f>
        <v>1.3214937911603437</v>
      </c>
      <c r="F25" s="33">
        <f ca="1">Dashboard!L22</f>
        <v>7.585375495974428E-2</v>
      </c>
      <c r="G25" s="455">
        <f ca="1">Dashboard!O22</f>
        <v>54.184939231358811</v>
      </c>
      <c r="H25" s="33">
        <f ca="1">Dashboard!Q22</f>
        <v>0.12785301223509471</v>
      </c>
    </row>
    <row r="26" spans="1:8" x14ac:dyDescent="0.35">
      <c r="A26" s="26"/>
      <c r="B26" s="26"/>
      <c r="C26" s="26"/>
      <c r="D26" s="26"/>
      <c r="E26" s="26"/>
      <c r="F26" s="26"/>
      <c r="G26" s="26"/>
      <c r="H26" s="26"/>
    </row>
    <row r="27" spans="1:8" ht="15.5" x14ac:dyDescent="0.35">
      <c r="A27" s="57" t="s">
        <v>56</v>
      </c>
      <c r="B27" s="26"/>
      <c r="C27" s="26"/>
      <c r="D27" s="26"/>
      <c r="E27" s="26"/>
      <c r="F27" s="57" t="s">
        <v>59</v>
      </c>
      <c r="G27" s="26"/>
      <c r="H27" s="26"/>
    </row>
    <row r="28" spans="1:8" ht="15" thickBot="1" x14ac:dyDescent="0.4">
      <c r="A28" s="59" t="s">
        <v>1</v>
      </c>
      <c r="B28" s="59" t="s">
        <v>4</v>
      </c>
      <c r="C28" s="59" t="s">
        <v>53</v>
      </c>
      <c r="D28" s="59" t="s">
        <v>155</v>
      </c>
      <c r="E28" s="26"/>
      <c r="F28" s="59" t="s">
        <v>60</v>
      </c>
      <c r="G28" s="59" t="s">
        <v>61</v>
      </c>
      <c r="H28" s="59" t="s">
        <v>62</v>
      </c>
    </row>
    <row r="29" spans="1:8" x14ac:dyDescent="0.35">
      <c r="A29" s="95" t="str" cm="1">
        <f t="array" aca="1" ref="A29" ca="1">IFERROR(INDEX(_xlfn.UNIQUE(Dashboard!C7:C22),1),"")</f>
        <v>Semiconductors &amp; Semiconductor Equipment</v>
      </c>
      <c r="B29" s="456">
        <f ca="1">IF(A29="","",SUMIF(Dashboard!C7:C22,A29,Dashboard!F7:F22))</f>
        <v>112557.53069999999</v>
      </c>
      <c r="C29" s="93">
        <f t="shared" ref="C29:C38" ca="1" si="0">IF(A29="","",B29/SUM($B$29:$B$38))</f>
        <v>0.37158833398767577</v>
      </c>
      <c r="D29" s="94">
        <f t="shared" ref="D29:D38" ca="1" si="1">IF(A29="","",C29^2)</f>
        <v>0.13807788995573647</v>
      </c>
      <c r="E29" s="26"/>
      <c r="F29" s="95" t="s">
        <v>63</v>
      </c>
      <c r="G29" s="97">
        <f ca="1">A6</f>
        <v>132051.42120000004</v>
      </c>
      <c r="H29" s="98" t="str">
        <f ca="1">IF(B6&gt;A6,"✅ Positive","⚠️ Loss")</f>
        <v>✅ Positive</v>
      </c>
    </row>
    <row r="30" spans="1:8" x14ac:dyDescent="0.35">
      <c r="A30" s="89" t="str" cm="1">
        <f t="array" aca="1" ref="A30" ca="1">IFERROR(INDEX(_xlfn.UNIQUE(Dashboard!C7:C22),2),"")</f>
        <v>Software &amp; IT Services</v>
      </c>
      <c r="B30" s="457">
        <f ca="1">IF(A30="","",SUMIF(Dashboard!C7:C22,A30,Dashboard!F7:F22))</f>
        <v>36300.729000000007</v>
      </c>
      <c r="C30" s="27">
        <f t="shared" ca="1" si="0"/>
        <v>0.11984029258424475</v>
      </c>
      <c r="D30" s="28">
        <f t="shared" ca="1" si="1"/>
        <v>1.4361695726677387E-2</v>
      </c>
      <c r="E30" s="26"/>
      <c r="F30" s="89" t="s">
        <v>64</v>
      </c>
      <c r="G30" s="29">
        <f ca="1">B6</f>
        <v>302909.21540000004</v>
      </c>
      <c r="H30" s="26" t="str">
        <f ca="1">IF(G30&gt;G29*1.5,"✅ Strong Growth",IF(G30&gt;G29,"🟢 Positive","🔴 Drawdown"))</f>
        <v>✅ Strong Growth</v>
      </c>
    </row>
    <row r="31" spans="1:8" x14ac:dyDescent="0.35">
      <c r="A31" s="95" t="str" cm="1">
        <f t="array" aca="1" ref="A31" ca="1">IFERROR(INDEX(_xlfn.UNIQUE(Dashboard!C7:C22),3),"")</f>
        <v>Diversified Retail</v>
      </c>
      <c r="B31" s="456">
        <f ca="1">IF(A31="","",SUMIF(Dashboard!C7:C22,A31,Dashboard!F7:F22))</f>
        <v>9534.0465000000004</v>
      </c>
      <c r="C31" s="93">
        <f t="shared" ca="1" si="0"/>
        <v>3.1474930491665727E-2</v>
      </c>
      <c r="D31" s="94">
        <f t="shared" ca="1" si="1"/>
        <v>9.9067124945518897E-4</v>
      </c>
      <c r="E31" s="26"/>
      <c r="F31" s="95" t="s">
        <v>65</v>
      </c>
      <c r="G31" s="93">
        <f ca="1">MIN(E10:E25)</f>
        <v>-0.12328949013503822</v>
      </c>
      <c r="H31" s="98" t="str">
        <f ca="1">IF(G31&lt;-0.2,"🔴 High Risk",IF(G31&lt;-0.1,"🟡 Moderate","🟢 Low Risk"))</f>
        <v>🟡 Moderate</v>
      </c>
    </row>
    <row r="32" spans="1:8" x14ac:dyDescent="0.35">
      <c r="A32" s="54" t="str" cm="1">
        <f t="array" aca="1" ref="A32" ca="1">IFERROR(INDEX(_xlfn.UNIQUE(Dashboard!C7:C22),4),"")</f>
        <v>Computers, Phones &amp; Household Electronics</v>
      </c>
      <c r="B32" s="449">
        <f ca="1">IF(A32="","",SUMIF(Dashboard!C7:C22,A32,Dashboard!F7:F22))</f>
        <v>14060.244799999999</v>
      </c>
      <c r="C32" s="30">
        <f t="shared" ca="1" si="0"/>
        <v>4.6417355713107178E-2</v>
      </c>
      <c r="D32" s="31">
        <f t="shared" ca="1" si="1"/>
        <v>2.1545709113971238E-3</v>
      </c>
      <c r="E32" s="26"/>
      <c r="F32" s="89" t="s">
        <v>66</v>
      </c>
      <c r="G32" s="27">
        <f ca="1">MAX(F10:F25)</f>
        <v>0.29464349766362363</v>
      </c>
      <c r="H32" s="26" t="str">
        <f ca="1">IF(G32&gt;0.5,"🔴 Over-concentrated",IF(G32&gt;0.3,"🟡 Monitor","🟢 Balanced"))</f>
        <v>🟢 Balanced</v>
      </c>
    </row>
    <row r="33" spans="1:8" x14ac:dyDescent="0.35">
      <c r="A33" s="56" t="str" cm="1">
        <f t="array" aca="1" ref="A33" ca="1">IFERROR(INDEX(_xlfn.UNIQUE(Dashboard!C7:C22),5),"")</f>
        <v>Investment Banking &amp; Investment Services</v>
      </c>
      <c r="B33" s="450">
        <f ca="1">IF(A33="","",SUMIF(Dashboard!C7:C22,A33,Dashboard!F7:F22))</f>
        <v>27313.750500000002</v>
      </c>
      <c r="C33" s="68">
        <f t="shared" ca="1" si="0"/>
        <v>9.0171408169049741E-2</v>
      </c>
      <c r="D33" s="96">
        <f t="shared" ca="1" si="1"/>
        <v>8.1308828511893697E-3</v>
      </c>
      <c r="E33" s="26"/>
      <c r="F33" s="95" t="s">
        <v>67</v>
      </c>
      <c r="G33" s="93">
        <f ca="1">LARGE(F10:F25,1)+LARGE(F10:F25,2)+LARGE(F10:F25,3)</f>
        <v>0.44744208894741988</v>
      </c>
      <c r="H33" s="98" t="str">
        <f ca="1">IF(G33&gt;0.7,"🔴 Top-heavy",IF(G33&gt;0.5,"🟡 Monitor","🟢 Balanced"))</f>
        <v>🟢 Balanced</v>
      </c>
    </row>
    <row r="34" spans="1:8" x14ac:dyDescent="0.35">
      <c r="A34" s="54" t="str" cm="1">
        <f t="array" aca="1" ref="A34" ca="1">IFERROR(INDEX(_xlfn.UNIQUE(Dashboard!C7:C22),6),"")</f>
        <v>Oil &amp; Gas</v>
      </c>
      <c r="B34" s="449">
        <f ca="1">IF(A34="","",SUMIF(Dashboard!C7:C22,A34,Dashboard!F7:F22))</f>
        <v>14793.419499999998</v>
      </c>
      <c r="C34" s="30">
        <f t="shared" ca="1" si="0"/>
        <v>4.8837799406217741E-2</v>
      </c>
      <c r="D34" s="31">
        <f t="shared" ca="1" si="1"/>
        <v>2.385130650841962E-3</v>
      </c>
      <c r="E34" s="26"/>
      <c r="F34" s="89" t="s">
        <v>68</v>
      </c>
      <c r="G34" s="27">
        <f ca="1">AVERAGE(E10:E25)</f>
        <v>1.2623595888314303</v>
      </c>
      <c r="H34" s="26" t="str">
        <f ca="1">IF(G34&gt;1,"✅ Strong",IF(G34&gt;0.5,"🟢 Positive","🟡 Weak"))</f>
        <v>✅ Strong</v>
      </c>
    </row>
    <row r="35" spans="1:8" x14ac:dyDescent="0.35">
      <c r="A35" s="56" t="str" cm="1">
        <f t="array" aca="1" ref="A35" ca="1">IFERROR(INDEX(_xlfn.UNIQUE(Dashboard!C7:C22),7),"")</f>
        <v>Automobiles &amp; Auto Parts</v>
      </c>
      <c r="B35" s="450">
        <f ca="1">IF(A35="","",SUMIF(Dashboard!C7:C22,A35,Dashboard!F7:F22))</f>
        <v>23497.030200000001</v>
      </c>
      <c r="C35" s="68">
        <f t="shared" ca="1" si="0"/>
        <v>7.757119627070945E-2</v>
      </c>
      <c r="D35" s="96">
        <f t="shared" ca="1" si="1"/>
        <v>6.0172904908689278E-3</v>
      </c>
      <c r="E35" s="26"/>
      <c r="F35" s="95" t="s">
        <v>69</v>
      </c>
      <c r="G35" s="99" t="str">
        <f ca="1">COUNTIF(D10:D25,"&gt;0")&amp;"/"&amp;COUNTA(D10:D25)</f>
        <v>14/16</v>
      </c>
      <c r="H35" s="98" t="str">
        <f ca="1">IF(COUNTIF(D10:D25,"&gt;0")/COUNTA(D10:D25)&gt;0.8,"✅ High Win Rate",IF(COUNTIF(D10:D25,"&gt;0")/COUNTA(D10:D25)&gt;0.5,"🟢 Above 50%","🔴 Below 50%"))</f>
        <v>✅ High Win Rate</v>
      </c>
    </row>
    <row r="36" spans="1:8" x14ac:dyDescent="0.35">
      <c r="A36" s="54" t="str" cm="1">
        <f t="array" aca="1" ref="A36" ca="1">IFERROR(INDEX(_xlfn.UNIQUE(Dashboard!C7:C22),8),"")</f>
        <v>Banking Services</v>
      </c>
      <c r="B36" s="449">
        <f ca="1">IF(A36="","",SUMIF(Dashboard!C7:C22,A36,Dashboard!F7:F22))</f>
        <v>16745.063999999998</v>
      </c>
      <c r="C36" s="30">
        <f t="shared" ca="1" si="0"/>
        <v>5.5280800809865367E-2</v>
      </c>
      <c r="D36" s="31">
        <f t="shared" ca="1" si="1"/>
        <v>3.0559669381800113E-3</v>
      </c>
      <c r="E36" s="26"/>
      <c r="F36" s="26"/>
      <c r="G36" s="26"/>
      <c r="H36" s="26"/>
    </row>
    <row r="37" spans="1:8" ht="15.5" x14ac:dyDescent="0.35">
      <c r="A37" s="56" t="str" cm="1">
        <f t="array" aca="1" ref="A37" ca="1">IFERROR(INDEX(_xlfn.UNIQUE(Dashboard!C7:C22),9),"")</f>
        <v>Aerospace &amp; Defense</v>
      </c>
      <c r="B37" s="450">
        <f ca="1">IF(A37="","",SUMIF(Dashboard!C7:C22,A37,Dashboard!F7:F22))</f>
        <v>25130.5988</v>
      </c>
      <c r="C37" s="68">
        <f t="shared" ca="1" si="0"/>
        <v>8.2964127607720206E-2</v>
      </c>
      <c r="D37" s="96">
        <f t="shared" ca="1" si="1"/>
        <v>6.8830464697100819E-3</v>
      </c>
      <c r="E37" s="26"/>
      <c r="F37" s="57" t="s">
        <v>206</v>
      </c>
      <c r="G37" s="26"/>
      <c r="H37" s="26"/>
    </row>
    <row r="38" spans="1:8" x14ac:dyDescent="0.35">
      <c r="A38" s="53" t="str" cm="1">
        <f t="array" aca="1" ref="A38" ca="1">IFERROR(INDEX(_xlfn.UNIQUE(Dashboard!C7:C22),10),"")</f>
        <v>Food &amp; Drug Retailing</v>
      </c>
      <c r="B38" s="451">
        <f ca="1">IF(A38="","",SUMIF(Dashboard!C7:C22,A38,Dashboard!F7:F22))</f>
        <v>22976.8014</v>
      </c>
      <c r="C38" s="33">
        <f t="shared" ca="1" si="0"/>
        <v>7.5853754959744307E-2</v>
      </c>
      <c r="D38" s="34">
        <f t="shared" ca="1" si="1"/>
        <v>5.7537921414929343E-3</v>
      </c>
      <c r="E38" s="26"/>
      <c r="F38" s="100" t="s">
        <v>116</v>
      </c>
      <c r="G38" s="100" t="s">
        <v>207</v>
      </c>
      <c r="H38" s="100" t="s">
        <v>208</v>
      </c>
    </row>
    <row r="39" spans="1:8" x14ac:dyDescent="0.35">
      <c r="A39" s="15" t="s">
        <v>57</v>
      </c>
      <c r="B39" s="15"/>
      <c r="C39" s="15"/>
      <c r="D39" s="16">
        <f ca="1">SUM(D29:D38)</f>
        <v>0.18781093738554944</v>
      </c>
      <c r="E39" s="26"/>
      <c r="F39" s="95" t="s">
        <v>209</v>
      </c>
      <c r="G39" s="201">
        <f ca="1">IF(E6&gt;0.15,10,IF(E6&gt;0.1,8,IF(E6&gt;0.05,6,IF(E6&gt;0,4,2))))</f>
        <v>8</v>
      </c>
      <c r="H39" s="99" t="str">
        <f ca="1">IF(G39&gt;=8,"A",IF(G39&gt;=6,"B",IF(G39&gt;=4,"C","D")))</f>
        <v>A</v>
      </c>
    </row>
    <row r="40" spans="1:8" x14ac:dyDescent="0.35">
      <c r="A40" s="43" t="s">
        <v>58</v>
      </c>
      <c r="B40" s="43" t="str">
        <f ca="1">IF(D39&lt;0.15,"Well Diversified",IF(D39&lt;0.25,"Moderately Concentrated","Highly Concentrated"))</f>
        <v>Moderately Concentrated</v>
      </c>
      <c r="C40" s="43"/>
      <c r="D40" s="43"/>
      <c r="E40" s="26"/>
      <c r="F40" s="89" t="s">
        <v>210</v>
      </c>
      <c r="G40" s="39">
        <f ca="1">IF(G31&gt;-0.05,10,IF(G31&gt;-0.1,8,IF(G31&gt;-0.2,6,IF(G31&gt;-0.5,4,2))))</f>
        <v>6</v>
      </c>
      <c r="H40" s="32" t="str">
        <f ca="1">IF(G40&gt;=8,"A",IF(G40&gt;=6,"B",IF(G40&gt;=4,"C","D")))</f>
        <v>B</v>
      </c>
    </row>
    <row r="41" spans="1:8" x14ac:dyDescent="0.35">
      <c r="A41" s="26"/>
      <c r="B41" s="26"/>
      <c r="C41" s="26"/>
      <c r="D41" s="26"/>
      <c r="E41" s="26"/>
      <c r="F41" s="95" t="s">
        <v>211</v>
      </c>
      <c r="G41" s="201">
        <f ca="1">IF(D39&lt;0.1,10,IF(D39&lt;0.15,8,IF(D39&lt;0.25,6,IF(D39&lt;0.5,4,2))))</f>
        <v>6</v>
      </c>
      <c r="H41" s="99" t="str">
        <f ca="1">IF(G41&gt;=8,"A",IF(G41&gt;=6,"B",IF(G41&gt;=4,"C","D")))</f>
        <v>B</v>
      </c>
    </row>
    <row r="42" spans="1:8" ht="15.5" x14ac:dyDescent="0.35">
      <c r="A42" s="57" t="s">
        <v>188</v>
      </c>
      <c r="B42" s="26"/>
      <c r="C42" s="26"/>
      <c r="D42" s="26"/>
      <c r="E42" s="26"/>
      <c r="F42" s="89" t="s">
        <v>212</v>
      </c>
      <c r="G42" s="39">
        <f ca="1">IF(COUNTIF(D10:D25,"&gt;0")/COUNTA(D10:D25)&gt;0.9,10,IF(COUNTIF(D10:D25,"&gt;0")/COUNTA(D10:D25)&gt;0.75,8,IF(COUNTIF(D10:D25,"&gt;0")/COUNTA(D10:D25)&gt;0.5,6,4)))</f>
        <v>8</v>
      </c>
      <c r="H42" s="32" t="str">
        <f ca="1">IF(G42&gt;=8,"A",IF(G42&gt;=6,"B",IF(G42&gt;=4,"C","D")))</f>
        <v>A</v>
      </c>
    </row>
    <row r="43" spans="1:8" x14ac:dyDescent="0.35">
      <c r="A43" s="44" t="s">
        <v>189</v>
      </c>
      <c r="B43" s="35"/>
      <c r="C43" s="35"/>
      <c r="D43" s="35"/>
      <c r="E43" s="35"/>
      <c r="F43" s="95" t="s">
        <v>213</v>
      </c>
      <c r="G43" s="201">
        <f ca="1">IF(COUNTA(A29:A38)&gt;=8,10,IF(COUNTA(A29:A38)&gt;=6,8,IF(COUNTA(A29:A38)&gt;=4,6,4)))</f>
        <v>10</v>
      </c>
      <c r="H43" s="99" t="str">
        <f ca="1">IF(G43&gt;=8,"A",IF(G43&gt;=6,"B",IF(G43&gt;=4,"C","D")))</f>
        <v>A</v>
      </c>
    </row>
    <row r="44" spans="1:8" ht="15.5" x14ac:dyDescent="0.35">
      <c r="A44" s="26"/>
      <c r="B44" s="26"/>
      <c r="C44" s="26"/>
      <c r="D44" s="26"/>
      <c r="E44" s="26"/>
      <c r="F44" s="101" t="s">
        <v>214</v>
      </c>
      <c r="G44" s="202">
        <f ca="1">AVERAGE(G39:G43)</f>
        <v>7.6</v>
      </c>
      <c r="H44" s="102" t="str">
        <f ca="1">IF(G44&gt;=8,"A",IF(G44&gt;=6,"B+",IF(G44&gt;=5,"B",IF(G44&gt;=4,"C","D"))))</f>
        <v>B+</v>
      </c>
    </row>
    <row r="45" spans="1:8" ht="15.5" x14ac:dyDescent="0.35">
      <c r="A45" s="57" t="s">
        <v>190</v>
      </c>
      <c r="B45" s="26"/>
      <c r="C45" s="26"/>
      <c r="D45" s="26"/>
      <c r="E45" s="26"/>
      <c r="F45" s="26"/>
      <c r="G45" s="26"/>
      <c r="H45" s="26"/>
    </row>
    <row r="46" spans="1:8" ht="15" thickBot="1" x14ac:dyDescent="0.4">
      <c r="A46" s="58" t="s">
        <v>60</v>
      </c>
      <c r="B46" s="58" t="s">
        <v>61</v>
      </c>
      <c r="C46" s="58" t="s">
        <v>191</v>
      </c>
      <c r="D46" s="58" t="s">
        <v>192</v>
      </c>
      <c r="E46" s="26"/>
      <c r="F46" s="26"/>
      <c r="G46" s="26"/>
      <c r="H46" s="26"/>
    </row>
    <row r="47" spans="1:8" x14ac:dyDescent="0.35">
      <c r="A47" s="103" t="s">
        <v>193</v>
      </c>
      <c r="B47" s="122">
        <f ca="1">E6</f>
        <v>0.12592617416730123</v>
      </c>
      <c r="C47" s="104">
        <v>0.1</v>
      </c>
      <c r="D47" s="105" t="str">
        <f ca="1">IF(B47&gt;C47,"✅ Outperforming","⚠️ Underperforming")</f>
        <v>✅ Outperforming</v>
      </c>
      <c r="E47" s="26"/>
      <c r="F47" s="26"/>
      <c r="G47" s="26"/>
      <c r="H47" s="26"/>
    </row>
    <row r="48" spans="1:8" x14ac:dyDescent="0.35">
      <c r="A48" s="56" t="s">
        <v>257</v>
      </c>
      <c r="B48" s="107">
        <f ca="1">'Risk Analytics'!C9</f>
        <v>1.4728732436213294</v>
      </c>
      <c r="C48" s="70" t="s">
        <v>258</v>
      </c>
      <c r="D48" s="70" t="str">
        <f ca="1">IF(B48&gt;1.3,"🔴 Aggressive",IF(B48&gt;1,"🟡 Above Market",IF(B48&gt;0.7,"🟢 Moderate","🔵 Defensive")))</f>
        <v>🔴 Aggressive</v>
      </c>
      <c r="E48" s="26"/>
      <c r="F48" s="26"/>
      <c r="G48" s="26"/>
      <c r="H48" s="26"/>
    </row>
    <row r="49" spans="1:8" x14ac:dyDescent="0.35">
      <c r="A49" s="54" t="s">
        <v>327</v>
      </c>
      <c r="B49" s="109">
        <f ca="1">'Risk Analytics'!C11</f>
        <v>-1.2640373409252281E-3</v>
      </c>
      <c r="C49" s="38" t="s">
        <v>262</v>
      </c>
      <c r="D49" s="38" t="str">
        <f ca="1">IF(B49&gt;0.03,"✅ Significant Alpha",IF(B49&gt;0,"🟢 Positive Alpha","🔴 Negative Alpha"))</f>
        <v>🔴 Negative Alpha</v>
      </c>
      <c r="E49" s="26"/>
      <c r="F49" s="26"/>
      <c r="G49" s="26"/>
      <c r="H49" s="26"/>
    </row>
    <row r="50" spans="1:8" x14ac:dyDescent="0.35">
      <c r="A50" s="56" t="s">
        <v>328</v>
      </c>
      <c r="B50" s="107">
        <f ca="1">'Risk Analytics'!C18</f>
        <v>0.36543089098500992</v>
      </c>
      <c r="C50" s="70" t="s">
        <v>329</v>
      </c>
      <c r="D50" s="70" t="str">
        <f ca="1">IF(B50&gt;2,"✅ Exceptional",IF(B50&gt;1,"🟢 Good",IF(B50&gt;0.5,"🟡 Adequate","🔴 Poor")))</f>
        <v>🔴 Poor</v>
      </c>
      <c r="E50" s="26"/>
      <c r="F50" s="26"/>
      <c r="G50" s="26"/>
      <c r="H50" s="26"/>
    </row>
    <row r="51" spans="1:8" x14ac:dyDescent="0.35">
      <c r="A51" s="54" t="s">
        <v>330</v>
      </c>
      <c r="B51" s="31">
        <f ca="1">'Risk Analytics'!C15</f>
        <v>5.6641788102676539E-2</v>
      </c>
      <c r="C51" s="38" t="s">
        <v>266</v>
      </c>
      <c r="D51" s="38" t="str">
        <f ca="1">IF(B51&gt;0.1,"✅ Excellent",IF(B51&gt;0.05,"🟢 Good","🟡 Weak"))</f>
        <v>🟢 Good</v>
      </c>
      <c r="E51" s="26"/>
      <c r="F51" s="26"/>
      <c r="G51" s="26"/>
      <c r="H51" s="26"/>
    </row>
    <row r="52" spans="1:8" x14ac:dyDescent="0.35">
      <c r="A52" s="56" t="s">
        <v>331</v>
      </c>
      <c r="B52" s="107">
        <f ca="1">'Risk Analytics'!C19</f>
        <v>2.5587387448649657</v>
      </c>
      <c r="C52" s="70" t="s">
        <v>332</v>
      </c>
      <c r="D52" s="70" t="str">
        <f ca="1">IF(B52&gt;3,"✅ Excellent",IF(B52&gt;2,"🟢 Good",IF(B52&gt;1,"🟡 Adequate","🔴 Poor")))</f>
        <v>🟢 Good</v>
      </c>
      <c r="E52" s="26"/>
      <c r="F52" s="26"/>
      <c r="G52" s="26"/>
      <c r="H52" s="26"/>
    </row>
    <row r="53" spans="1:8" x14ac:dyDescent="0.35">
      <c r="A53" s="54" t="s">
        <v>333</v>
      </c>
      <c r="B53" s="109">
        <f ca="1">'Risk Analytics'!C68</f>
        <v>-8.5821189732346315E-4</v>
      </c>
      <c r="C53" s="38" t="s">
        <v>321</v>
      </c>
      <c r="D53" s="38" t="str">
        <f ca="1">IF(B53&gt;0,"✅ Risk-Adj. Outperformance","🔴 Underperformance")</f>
        <v>🔴 Underperformance</v>
      </c>
      <c r="E53" s="26"/>
      <c r="F53" s="26"/>
      <c r="G53" s="26"/>
      <c r="H53" s="26"/>
    </row>
    <row r="54" spans="1:8" x14ac:dyDescent="0.35">
      <c r="A54" s="56" t="s">
        <v>334</v>
      </c>
      <c r="B54" s="107">
        <f ca="1">'Risk Analytics'!C20</f>
        <v>1.0213861216343345</v>
      </c>
      <c r="C54" s="70" t="s">
        <v>194</v>
      </c>
      <c r="D54" s="70" t="str">
        <f ca="1">IF(B54&gt;3,"✅ Excellent",IF(B54&gt;1,"🟢 Good","🟡 Monitor"))</f>
        <v>🟢 Good</v>
      </c>
      <c r="E54" s="26"/>
      <c r="F54" s="26"/>
      <c r="G54" s="26"/>
      <c r="H54" s="26"/>
    </row>
    <row r="55" spans="1:8" x14ac:dyDescent="0.35">
      <c r="A55" s="54" t="s">
        <v>195</v>
      </c>
      <c r="B55" s="199" cm="1">
        <f t="array" aca="1" ref="B55" ca="1">AVERAGE(IF(E10:E25&gt;0,E10:E25))/ABS(AVERAGE(IF(E10:E25&lt;0,E10:E25)))</f>
        <v>17.544080597049675</v>
      </c>
      <c r="C55" s="38" t="s">
        <v>196</v>
      </c>
      <c r="D55" s="38" t="str">
        <f ca="1">IF(B55&gt;5,"✅ Excellent Asymmetry",IF(B55&gt;3,"✅ Strong",IF(B55&gt;1.5,"🟢 Good","🟡 Thin")))</f>
        <v>✅ Excellent Asymmetry</v>
      </c>
      <c r="E55" s="26"/>
      <c r="F55" s="26"/>
      <c r="G55" s="26"/>
      <c r="H55" s="26"/>
    </row>
    <row r="56" spans="1:8" x14ac:dyDescent="0.35">
      <c r="A56" s="55" t="s">
        <v>197</v>
      </c>
      <c r="B56" s="200">
        <f ca="1">SUMIF(D10:D25,"&gt;0")/ABS(SUMIF(D10:D25,"&lt;0"))</f>
        <v>132.30748173345316</v>
      </c>
      <c r="C56" s="66" t="s">
        <v>198</v>
      </c>
      <c r="D56" s="67" t="str">
        <f ca="1">IF(B56&gt;10,"✅ Overwhelming Gains",IF(B56&gt;3,"✅ Excellent",IF(B56&gt;1.5,"🟢 Profitable",IF(B56&gt;1,"🟡 Marginal","🔴 Losing"))))</f>
        <v>✅ Overwhelming Gains</v>
      </c>
      <c r="E56" s="26"/>
      <c r="F56" s="26"/>
      <c r="G56" s="26"/>
      <c r="H56" s="26"/>
    </row>
    <row r="57" spans="1:8" x14ac:dyDescent="0.35">
      <c r="A57" s="26" t="s">
        <v>201</v>
      </c>
      <c r="B57" s="37">
        <f ca="1">1/D39</f>
        <v>5.3245035348880698</v>
      </c>
      <c r="C57" s="26" t="s">
        <v>202</v>
      </c>
      <c r="D57" s="26" t="str">
        <f ca="1">IF(B57&gt;=10,"✅ Well Diversified",IF(B57&gt;=5,"🟡 Moderate","🔴 Concentrated"))</f>
        <v>🟡 Moderate</v>
      </c>
      <c r="E57" s="26"/>
      <c r="F57" s="26"/>
      <c r="G57" s="26"/>
      <c r="H57" s="26"/>
    </row>
    <row r="58" spans="1:8" ht="15.5" x14ac:dyDescent="0.35">
      <c r="A58" s="57" t="s">
        <v>199</v>
      </c>
      <c r="B58" s="36"/>
      <c r="C58" s="26"/>
      <c r="D58" s="26"/>
      <c r="E58" s="26"/>
      <c r="F58" s="26"/>
      <c r="G58" s="26"/>
      <c r="H58" s="26"/>
    </row>
    <row r="59" spans="1:8" ht="15" thickBot="1" x14ac:dyDescent="0.4">
      <c r="A59" s="58" t="s">
        <v>60</v>
      </c>
      <c r="B59" s="110" t="s">
        <v>61</v>
      </c>
      <c r="C59" s="58" t="s">
        <v>200</v>
      </c>
      <c r="D59" s="58" t="s">
        <v>192</v>
      </c>
      <c r="E59" s="26"/>
      <c r="F59" s="26"/>
      <c r="G59" s="26"/>
      <c r="H59" s="26"/>
    </row>
    <row r="60" spans="1:8" x14ac:dyDescent="0.35">
      <c r="A60" s="52" t="s">
        <v>201</v>
      </c>
      <c r="B60" s="111">
        <f ca="1">1/D39</f>
        <v>5.3245035348880698</v>
      </c>
      <c r="C60" s="62" t="s">
        <v>292</v>
      </c>
      <c r="D60" s="62" t="str">
        <f ca="1">IF(B60&gt;=10,"✅ Well Diversified",IF(B60&gt;=5,"🟡 Moderate","🔴 Concentrated"))</f>
        <v>🟡 Moderate</v>
      </c>
      <c r="E60" s="26"/>
      <c r="F60" s="26"/>
      <c r="G60" s="26"/>
      <c r="H60" s="26"/>
    </row>
    <row r="61" spans="1:8" x14ac:dyDescent="0.35">
      <c r="A61" s="54" t="s">
        <v>203</v>
      </c>
      <c r="B61" s="199">
        <f ca="1">MAX(F10:F25)/MIN(F10:F25)</f>
        <v>14.299329567452405</v>
      </c>
      <c r="C61" s="38" t="s">
        <v>294</v>
      </c>
      <c r="D61" s="38" t="str">
        <f ca="1">IF(B61&gt;10,"🔴 Extreme Dispersion",IF(B61&gt;5,"🟡 Skewed","🟢 Balanced"))</f>
        <v>🔴 Extreme Dispersion</v>
      </c>
      <c r="E61" s="26"/>
      <c r="F61" s="26"/>
      <c r="G61" s="26"/>
      <c r="H61" s="26"/>
    </row>
    <row r="62" spans="1:8" x14ac:dyDescent="0.35">
      <c r="A62" s="56" t="s">
        <v>204</v>
      </c>
      <c r="B62" s="68">
        <f ca="1">MAX(C29:C38)</f>
        <v>0.37158833398767577</v>
      </c>
      <c r="C62" s="70" t="s">
        <v>335</v>
      </c>
      <c r="D62" s="70" t="str">
        <f ca="1">IF(B62&gt;0.4,"🔴 Sector Risk",IF(B62&gt;0.3,"🟡 Monitor","🟢 Balanced"))</f>
        <v>🟡 Monitor</v>
      </c>
      <c r="E62" s="26"/>
      <c r="F62" s="26"/>
      <c r="G62" s="26"/>
      <c r="H62" s="26"/>
    </row>
    <row r="63" spans="1:8" x14ac:dyDescent="0.35">
      <c r="A63" s="54" t="s">
        <v>336</v>
      </c>
      <c r="B63" s="30">
        <f ca="1">'Risk Analytics'!C62</f>
        <v>0.26317592663772094</v>
      </c>
      <c r="C63" s="38" t="s">
        <v>313</v>
      </c>
      <c r="D63" s="38" t="str">
        <f ca="1">IF(B63&gt;0.6,"✅ Stock Picker",IF(B63&gt;0.3,"🟢 Active","🟡 Closet Indexer"))</f>
        <v>🟡 Closet Indexer</v>
      </c>
      <c r="E63" s="26"/>
      <c r="F63" s="26"/>
      <c r="G63" s="26"/>
      <c r="H63" s="26"/>
    </row>
    <row r="64" spans="1:8" x14ac:dyDescent="0.35">
      <c r="A64" s="55" t="s">
        <v>205</v>
      </c>
      <c r="B64" s="65">
        <f ca="1">SUMPRODUCT(F10:F25,E10:E25)</f>
        <v>3.3612001146975339</v>
      </c>
      <c r="C64" s="67" t="s">
        <v>337</v>
      </c>
      <c r="D64" s="67" t="str">
        <f ca="1">IF(B64&gt;1,"✅ Large caps pulling weight",IF(B64&gt;0.5,"🟢 Positive","🟡 Weak"))</f>
        <v>✅ Large caps pulling weight</v>
      </c>
      <c r="E64" s="26"/>
      <c r="F64" s="26"/>
      <c r="G64" s="26"/>
      <c r="H64" s="26"/>
    </row>
  </sheetData>
  <conditionalFormatting sqref="D10:D25">
    <cfRule type="cellIs" dxfId="8" priority="1" operator="greaterThan">
      <formula>0</formula>
    </cfRule>
  </conditionalFormatting>
  <conditionalFormatting sqref="D10:D25">
    <cfRule type="cellIs" dxfId="7" priority="2" operator="lessThan">
      <formula>0</formula>
    </cfRule>
  </conditionalFormatting>
  <conditionalFormatting sqref="E10:E25">
    <cfRule type="cellIs" dxfId="6" priority="3" operator="greaterThan">
      <formula>0</formula>
    </cfRule>
  </conditionalFormatting>
  <conditionalFormatting sqref="E10:E25">
    <cfRule type="cellIs" dxfId="5" priority="4"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80"/>
  <sheetViews>
    <sheetView showGridLines="0" topLeftCell="A38" workbookViewId="0"/>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14"/>
      <c r="B1" s="87" t="s">
        <v>246</v>
      </c>
      <c r="C1" s="113"/>
      <c r="D1" s="113"/>
      <c r="E1" s="113"/>
      <c r="F1" s="113"/>
      <c r="G1" s="113"/>
      <c r="H1" s="113"/>
      <c r="I1" s="113"/>
      <c r="J1" s="113"/>
      <c r="K1" s="40"/>
      <c r="L1" s="40"/>
      <c r="M1" s="40"/>
      <c r="N1" s="40"/>
    </row>
    <row r="2" spans="1:14" x14ac:dyDescent="0.35">
      <c r="A2" s="115"/>
      <c r="B2" s="88" t="s">
        <v>247</v>
      </c>
      <c r="C2" s="113"/>
      <c r="D2" s="113"/>
      <c r="E2" s="113"/>
      <c r="F2" s="113"/>
      <c r="G2" s="113"/>
      <c r="H2" s="113"/>
      <c r="I2" s="113"/>
      <c r="J2" s="113"/>
      <c r="K2" s="40"/>
      <c r="L2" s="40"/>
      <c r="M2" s="40"/>
      <c r="N2" s="40"/>
    </row>
    <row r="3" spans="1:14" x14ac:dyDescent="0.35">
      <c r="A3" s="26"/>
      <c r="B3" s="26"/>
      <c r="C3" s="26"/>
      <c r="D3" s="26"/>
      <c r="E3" s="26"/>
      <c r="F3" s="26"/>
      <c r="G3" s="26"/>
      <c r="H3" s="26"/>
      <c r="I3" s="26"/>
      <c r="J3" s="26"/>
      <c r="K3" s="26"/>
      <c r="L3" s="26"/>
      <c r="M3" s="26"/>
      <c r="N3" s="26"/>
    </row>
    <row r="4" spans="1:14" ht="15.5" x14ac:dyDescent="0.35">
      <c r="A4" s="26"/>
      <c r="B4" s="57" t="s">
        <v>248</v>
      </c>
      <c r="C4" s="26"/>
      <c r="D4" s="26"/>
      <c r="E4" s="26"/>
      <c r="F4" s="26"/>
      <c r="G4" s="26"/>
      <c r="H4" s="26"/>
      <c r="I4" s="26"/>
      <c r="J4" s="26"/>
      <c r="K4" s="26"/>
      <c r="L4" s="26"/>
      <c r="M4" s="26"/>
      <c r="N4" s="26"/>
    </row>
    <row r="5" spans="1:14" ht="15" thickBot="1" x14ac:dyDescent="0.4">
      <c r="A5" s="26"/>
      <c r="B5" s="58" t="s">
        <v>60</v>
      </c>
      <c r="C5" s="58" t="s">
        <v>61</v>
      </c>
      <c r="D5" s="58" t="s">
        <v>249</v>
      </c>
      <c r="E5" s="58" t="s">
        <v>192</v>
      </c>
      <c r="F5" s="26"/>
      <c r="G5" s="26"/>
      <c r="H5" s="26"/>
      <c r="I5" s="26"/>
      <c r="J5" s="26"/>
      <c r="K5" s="26"/>
      <c r="L5" s="26"/>
      <c r="M5" s="26"/>
      <c r="N5" s="26"/>
    </row>
    <row r="6" spans="1:14" x14ac:dyDescent="0.35">
      <c r="A6" s="26"/>
      <c r="B6" s="52" t="s">
        <v>250</v>
      </c>
      <c r="C6" s="116">
        <v>4.2500000000000003E-2</v>
      </c>
      <c r="D6" s="61" t="s">
        <v>251</v>
      </c>
      <c r="E6" s="61" t="s">
        <v>252</v>
      </c>
      <c r="F6" s="26"/>
      <c r="G6" s="26"/>
      <c r="H6" s="26"/>
      <c r="I6" s="26"/>
      <c r="J6" s="26"/>
      <c r="K6" s="26"/>
      <c r="L6" s="26"/>
      <c r="M6" s="26"/>
      <c r="N6" s="26"/>
    </row>
    <row r="7" spans="1:14" x14ac:dyDescent="0.35">
      <c r="A7" s="26"/>
      <c r="B7" s="54" t="s">
        <v>253</v>
      </c>
      <c r="C7" s="30">
        <v>0.1</v>
      </c>
      <c r="D7" s="64" t="s">
        <v>254</v>
      </c>
      <c r="E7" s="64" t="s">
        <v>252</v>
      </c>
      <c r="F7" s="26"/>
      <c r="G7" s="26"/>
      <c r="H7" s="26"/>
      <c r="I7" s="26"/>
      <c r="J7" s="26"/>
      <c r="K7" s="26"/>
      <c r="L7" s="26"/>
      <c r="M7" s="26"/>
      <c r="N7" s="26"/>
    </row>
    <row r="8" spans="1:14" x14ac:dyDescent="0.35">
      <c r="A8" s="26"/>
      <c r="B8" s="56" t="s">
        <v>255</v>
      </c>
      <c r="C8" s="117">
        <f>C7-C6</f>
        <v>5.7500000000000002E-2</v>
      </c>
      <c r="D8" s="69" t="s">
        <v>256</v>
      </c>
      <c r="E8" s="69" t="str">
        <f>IF(C8&gt;0.06,"✅ Above Average",IF(C8&gt;0.04,"🟢 Normal Range","🟡 Below Average"))</f>
        <v>🟢 Normal Range</v>
      </c>
      <c r="F8" s="26"/>
      <c r="G8" s="26"/>
      <c r="H8" s="26"/>
      <c r="I8" s="26"/>
      <c r="J8" s="26"/>
      <c r="K8" s="26"/>
      <c r="L8" s="26"/>
      <c r="M8" s="26"/>
      <c r="N8" s="26"/>
    </row>
    <row r="9" spans="1:14" x14ac:dyDescent="0.35">
      <c r="A9" s="26"/>
      <c r="B9" s="54" t="s">
        <v>257</v>
      </c>
      <c r="C9" s="118">
        <f ca="1">SUMPRODUCT(C39:C54,D39:D54)</f>
        <v>1.4728732436213294</v>
      </c>
      <c r="D9" s="64" t="s">
        <v>258</v>
      </c>
      <c r="E9" s="64" t="str">
        <f ca="1">IF(C9&gt;1.3,"🔴 Aggressive",IF(C9&gt;1,"🟡 Above Market",IF(C9&gt;0.7,"🟢 Moderate","🔵 Defensive")))</f>
        <v>🔴 Aggressive</v>
      </c>
      <c r="F9" s="26"/>
      <c r="G9" s="26"/>
      <c r="H9" s="26"/>
      <c r="I9" s="26"/>
      <c r="J9" s="26"/>
      <c r="K9" s="26"/>
      <c r="L9" s="26"/>
      <c r="M9" s="26"/>
      <c r="N9" s="26"/>
    </row>
    <row r="10" spans="1:14" x14ac:dyDescent="0.35">
      <c r="A10" s="26"/>
      <c r="B10" s="56" t="s">
        <v>259</v>
      </c>
      <c r="C10" s="68">
        <f ca="1">C6+C9*(C7-C6)</f>
        <v>0.12719021150822646</v>
      </c>
      <c r="D10" s="69" t="s">
        <v>260</v>
      </c>
      <c r="E10" s="69" t="str">
        <f ca="1">IF(C10&gt;0.12,"✅ High Expected",IF(C10&gt;0.08,"🟢 Moderate","🟡 Conservative"))</f>
        <v>✅ High Expected</v>
      </c>
      <c r="F10" s="26"/>
      <c r="G10" s="26"/>
      <c r="H10" s="26"/>
      <c r="I10" s="26"/>
      <c r="J10" s="26"/>
      <c r="K10" s="26"/>
      <c r="L10" s="26"/>
      <c r="M10" s="26"/>
      <c r="N10" s="26"/>
    </row>
    <row r="11" spans="1:14" x14ac:dyDescent="0.35">
      <c r="A11" s="26"/>
      <c r="B11" s="53" t="s">
        <v>261</v>
      </c>
      <c r="C11" s="108">
        <f ca="1">Analytics!E6-C10</f>
        <v>-1.2640373409252281E-3</v>
      </c>
      <c r="D11" s="63" t="s">
        <v>262</v>
      </c>
      <c r="E11" s="63" t="str">
        <f ca="1">IF(C11&gt;0.03,"✅ Significant Alpha",IF(C11&gt;0,"🟢 Positive Alpha","🔴 Negative Alpha"))</f>
        <v>🔴 Negative Alpha</v>
      </c>
      <c r="F11" s="26"/>
      <c r="G11" s="26"/>
      <c r="H11" s="26"/>
      <c r="I11" s="26"/>
      <c r="J11" s="26"/>
      <c r="K11" s="26"/>
      <c r="L11" s="26"/>
      <c r="M11" s="26"/>
      <c r="N11" s="26"/>
    </row>
    <row r="12" spans="1:14" x14ac:dyDescent="0.35">
      <c r="A12" s="26"/>
      <c r="B12" s="26"/>
      <c r="C12" s="26"/>
      <c r="D12" s="26"/>
      <c r="E12" s="26"/>
      <c r="F12" s="26"/>
      <c r="G12" s="26"/>
      <c r="H12" s="26"/>
      <c r="I12" s="26"/>
      <c r="J12" s="26"/>
      <c r="K12" s="26"/>
      <c r="L12" s="26"/>
      <c r="M12" s="26"/>
      <c r="N12" s="26"/>
    </row>
    <row r="13" spans="1:14" ht="15.5" x14ac:dyDescent="0.35">
      <c r="A13" s="26"/>
      <c r="B13" s="57" t="s">
        <v>263</v>
      </c>
      <c r="C13" s="26"/>
      <c r="D13" s="26"/>
      <c r="E13" s="26"/>
      <c r="F13" s="26"/>
      <c r="G13" s="26"/>
      <c r="H13" s="26"/>
      <c r="I13" s="26"/>
      <c r="J13" s="26"/>
      <c r="K13" s="26"/>
      <c r="L13" s="26"/>
      <c r="M13" s="26"/>
      <c r="N13" s="26"/>
    </row>
    <row r="14" spans="1:14" ht="15" thickBot="1" x14ac:dyDescent="0.4">
      <c r="A14" s="26"/>
      <c r="B14" s="58" t="s">
        <v>60</v>
      </c>
      <c r="C14" s="58" t="s">
        <v>61</v>
      </c>
      <c r="D14" s="58" t="s">
        <v>264</v>
      </c>
      <c r="E14" s="58" t="s">
        <v>192</v>
      </c>
      <c r="F14" s="26"/>
      <c r="G14" s="26"/>
      <c r="H14" s="26"/>
      <c r="I14" s="26"/>
      <c r="J14" s="26"/>
      <c r="K14" s="26"/>
      <c r="L14" s="26"/>
      <c r="M14" s="26"/>
      <c r="N14" s="26"/>
    </row>
    <row r="15" spans="1:14" x14ac:dyDescent="0.35">
      <c r="A15" s="26"/>
      <c r="B15" s="103" t="s">
        <v>265</v>
      </c>
      <c r="C15" s="124">
        <f ca="1">IF(C9=0,"N/A",(Analytics!E6-C6)/C9)</f>
        <v>5.6641788102676539E-2</v>
      </c>
      <c r="D15" s="119" t="s">
        <v>266</v>
      </c>
      <c r="E15" s="119" t="str">
        <f ca="1">IF(C9=0,"⚠️ Awaiting Beta",IF(C15&gt;0.1,"✅ Excellent",IF(C15&gt;0.05,"🟢 Good","🟡 Weak")))</f>
        <v>🟢 Good</v>
      </c>
      <c r="F15" s="26"/>
      <c r="G15" s="26"/>
      <c r="H15" s="26"/>
      <c r="I15" s="26"/>
      <c r="J15" s="26"/>
      <c r="K15" s="26"/>
      <c r="L15" s="26"/>
      <c r="M15" s="26"/>
      <c r="N15" s="26"/>
    </row>
    <row r="16" spans="1:14" x14ac:dyDescent="0.35">
      <c r="A16" s="26"/>
      <c r="B16" s="56" t="s">
        <v>267</v>
      </c>
      <c r="C16" s="96">
        <f ca="1">IF(C17=0,"N/A",C11/C17)</f>
        <v>4.2448836597589433E-2</v>
      </c>
      <c r="D16" s="69" t="s">
        <v>268</v>
      </c>
      <c r="E16" s="69" t="str">
        <f ca="1">IF(C17=0,"⚠️ N/A",IF(C16&gt;1,"✅ Exceptional",IF(C16&gt;0.5,"🟢 Good",IF(C16&gt;0,"🟡 Marginal","🔴 Negative"))))</f>
        <v>🟡 Marginal</v>
      </c>
      <c r="F16" s="26"/>
      <c r="G16" s="26"/>
      <c r="H16" s="26"/>
      <c r="I16" s="26"/>
      <c r="J16" s="26"/>
      <c r="K16" s="26"/>
      <c r="L16" s="26"/>
      <c r="M16" s="26"/>
      <c r="N16" s="26"/>
    </row>
    <row r="17" spans="1:14" x14ac:dyDescent="0.35">
      <c r="A17" s="26"/>
      <c r="B17" s="54" t="s">
        <v>269</v>
      </c>
      <c r="C17" s="30">
        <f ca="1">STDEV(Analytics!H10:H25)-Analytics!E6</f>
        <v>-2.9777903053225488E-2</v>
      </c>
      <c r="D17" s="64" t="s">
        <v>270</v>
      </c>
      <c r="E17" s="64" t="str">
        <f ca="1">IF(ABS(C17)&gt;0.05,"🔴 High Active Risk",IF(ABS(C17)&gt;0.02,"🟡 Moderate","🟢 Index-Like"))</f>
        <v>🟡 Moderate</v>
      </c>
      <c r="F17" s="26"/>
      <c r="G17" s="26"/>
      <c r="H17" s="26"/>
      <c r="I17" s="26"/>
      <c r="J17" s="26"/>
      <c r="K17" s="26"/>
      <c r="L17" s="26"/>
      <c r="M17" s="26"/>
      <c r="N17" s="26"/>
    </row>
    <row r="18" spans="1:14" x14ac:dyDescent="0.35">
      <c r="A18" s="26"/>
      <c r="B18" s="56" t="s">
        <v>271</v>
      </c>
      <c r="C18" s="107">
        <f ca="1">(Analytics!E6-C6)/C25</f>
        <v>0.36543089098500992</v>
      </c>
      <c r="D18" s="69" t="s">
        <v>272</v>
      </c>
      <c r="E18" s="69" t="str">
        <f ca="1">IF(C18&gt;2,"✅ Exceptional",IF(C18&gt;1,"🟢 Good",IF(C18&gt;0.5,"🟡 Adequate","🔴 Poor")))</f>
        <v>🔴 Poor</v>
      </c>
      <c r="F18" s="26"/>
      <c r="G18" s="26"/>
      <c r="H18" s="26"/>
      <c r="I18" s="26"/>
      <c r="J18" s="26"/>
      <c r="K18" s="26"/>
      <c r="L18" s="26"/>
      <c r="M18" s="26"/>
      <c r="N18" s="26"/>
    </row>
    <row r="19" spans="1:14" x14ac:dyDescent="0.35">
      <c r="A19" s="26"/>
      <c r="B19" s="54" t="s">
        <v>273</v>
      </c>
      <c r="C19" s="118" cm="1">
        <f t="array" aca="1" ref="C19" ca="1">(Analytics!E6-C6)/SQRT(SUMPRODUCT((Analytics!E10:E25&lt;0)*(Analytics!E10:E25)^2)/COUNT(Analytics!E10:E25))</f>
        <v>2.5587387448649657</v>
      </c>
      <c r="D19" s="64" t="s">
        <v>274</v>
      </c>
      <c r="E19" s="64" t="str">
        <f ca="1">IF(C19&gt;3,"✅ Excellent",IF(C19&gt;2,"🟢 Good",IF(C19&gt;1,"🟡 Adequate","🔴 Poor")))</f>
        <v>🟢 Good</v>
      </c>
      <c r="F19" s="26"/>
      <c r="G19" s="26"/>
      <c r="H19" s="26"/>
      <c r="I19" s="26"/>
      <c r="J19" s="26"/>
      <c r="K19" s="26"/>
      <c r="L19" s="26"/>
      <c r="M19" s="26"/>
      <c r="N19" s="26"/>
    </row>
    <row r="20" spans="1:14" x14ac:dyDescent="0.35">
      <c r="A20" s="26"/>
      <c r="B20" s="55" t="s">
        <v>275</v>
      </c>
      <c r="C20" s="106">
        <f ca="1">Analytics!E6/ABS(MIN(Analytics!E10:E25))</f>
        <v>1.0213861216343345</v>
      </c>
      <c r="D20" s="66" t="s">
        <v>276</v>
      </c>
      <c r="E20" s="66" t="str">
        <f ca="1">IF(C20&gt;3,"✅ Excellent",IF(C20&gt;1,"🟢 Good","🟡 Monitor"))</f>
        <v>🟢 Good</v>
      </c>
      <c r="F20" s="26"/>
      <c r="G20" s="26"/>
      <c r="H20" s="26"/>
      <c r="I20" s="26"/>
      <c r="J20" s="26"/>
      <c r="K20" s="26"/>
      <c r="L20" s="26"/>
      <c r="M20" s="26"/>
      <c r="N20" s="26"/>
    </row>
    <row r="21" spans="1:14" x14ac:dyDescent="0.35">
      <c r="A21" s="26"/>
      <c r="B21" s="26"/>
      <c r="C21" s="26"/>
      <c r="D21" s="26"/>
      <c r="E21" s="26"/>
      <c r="F21" s="26"/>
      <c r="G21" s="26"/>
      <c r="H21" s="26"/>
      <c r="I21" s="26"/>
      <c r="J21" s="26"/>
      <c r="K21" s="26"/>
      <c r="L21" s="26"/>
      <c r="M21" s="26"/>
      <c r="N21" s="26"/>
    </row>
    <row r="22" spans="1:14" ht="15.5" x14ac:dyDescent="0.35">
      <c r="A22" s="26"/>
      <c r="B22" s="57" t="s">
        <v>277</v>
      </c>
      <c r="C22" s="26"/>
      <c r="D22" s="26"/>
      <c r="E22" s="26"/>
      <c r="F22" s="26"/>
      <c r="G22" s="26"/>
      <c r="H22" s="26"/>
      <c r="I22" s="26"/>
      <c r="J22" s="26"/>
      <c r="K22" s="26"/>
      <c r="L22" s="26"/>
      <c r="M22" s="26"/>
      <c r="N22" s="26"/>
    </row>
    <row r="23" spans="1:14" ht="15" thickBot="1" x14ac:dyDescent="0.4">
      <c r="A23" s="26"/>
      <c r="B23" s="58" t="s">
        <v>60</v>
      </c>
      <c r="C23" s="58" t="s">
        <v>61</v>
      </c>
      <c r="D23" s="58" t="s">
        <v>249</v>
      </c>
      <c r="E23" s="58" t="s">
        <v>278</v>
      </c>
      <c r="F23" s="26"/>
      <c r="G23" s="26"/>
      <c r="H23" s="26"/>
      <c r="I23" s="26"/>
      <c r="J23" s="26"/>
      <c r="K23" s="26"/>
      <c r="L23" s="26"/>
      <c r="M23" s="26"/>
      <c r="N23" s="26"/>
    </row>
    <row r="24" spans="1:14" x14ac:dyDescent="0.35">
      <c r="A24" s="26"/>
      <c r="B24" s="52" t="s">
        <v>279</v>
      </c>
      <c r="C24" s="60">
        <f ca="1">Analytics!E6</f>
        <v>0.12592617416730123</v>
      </c>
      <c r="D24" s="61" t="s">
        <v>46</v>
      </c>
      <c r="E24" s="61" t="s">
        <v>280</v>
      </c>
      <c r="F24" s="26"/>
      <c r="G24" s="26"/>
      <c r="H24" s="26"/>
      <c r="I24" s="26"/>
      <c r="J24" s="26"/>
      <c r="K24" s="26"/>
      <c r="L24" s="26"/>
      <c r="M24" s="26"/>
      <c r="N24" s="26"/>
    </row>
    <row r="25" spans="1:14" x14ac:dyDescent="0.35">
      <c r="A25" s="26"/>
      <c r="B25" s="54" t="s">
        <v>323</v>
      </c>
      <c r="C25" s="30">
        <f ca="1">C9*0.155</f>
        <v>0.22829535276130605</v>
      </c>
      <c r="D25" s="64" t="s">
        <v>322</v>
      </c>
      <c r="E25" s="64" t="str">
        <f ca="1">IF(C25&gt;0.3,"🔴 High Dispersion",IF(C25&gt;0.15,"🟡 Moderate","🟢 Low"))</f>
        <v>🟡 Moderate</v>
      </c>
      <c r="F25" s="26"/>
      <c r="G25" s="26"/>
      <c r="H25" s="26"/>
      <c r="I25" s="26"/>
      <c r="J25" s="26"/>
      <c r="K25" s="26"/>
      <c r="L25" s="26"/>
      <c r="M25" s="26"/>
      <c r="N25" s="26"/>
    </row>
    <row r="26" spans="1:14" x14ac:dyDescent="0.35">
      <c r="A26" s="26"/>
      <c r="B26" s="56" t="s">
        <v>281</v>
      </c>
      <c r="C26" s="68">
        <f ca="1">C24-1.645*C25</f>
        <v>-0.24961968112504723</v>
      </c>
      <c r="D26" s="69" t="s">
        <v>282</v>
      </c>
      <c r="E26" s="69" t="str">
        <f ca="1">"Max 1Y loss: "&amp;TEXT(ABS(C26)*SUM(Dashboard!F7:F22),"$#,##0")</f>
        <v>Max 1Y loss: $75,612</v>
      </c>
      <c r="F26" s="26"/>
      <c r="G26" s="26"/>
      <c r="H26" s="26"/>
      <c r="I26" s="26"/>
      <c r="J26" s="26"/>
      <c r="K26" s="26"/>
      <c r="L26" s="26"/>
      <c r="M26" s="26"/>
      <c r="N26" s="26"/>
    </row>
    <row r="27" spans="1:14" x14ac:dyDescent="0.35">
      <c r="A27" s="26"/>
      <c r="B27" s="54" t="s">
        <v>283</v>
      </c>
      <c r="C27" s="30">
        <f ca="1">C24-2.326*C25</f>
        <v>-0.40508881635549665</v>
      </c>
      <c r="D27" s="64" t="s">
        <v>284</v>
      </c>
      <c r="E27" s="64" t="str">
        <f ca="1">"Max 1Y loss: "&amp;TEXT(ABS(C27)*SUM(Dashboard!F7:F22),"$#,##0")</f>
        <v>Max 1Y loss: $122,705</v>
      </c>
      <c r="F27" s="26"/>
      <c r="G27" s="26"/>
      <c r="H27" s="26"/>
      <c r="I27" s="26"/>
      <c r="J27" s="26"/>
      <c r="K27" s="26"/>
      <c r="L27" s="26"/>
      <c r="M27" s="26"/>
      <c r="N27" s="26"/>
    </row>
    <row r="28" spans="1:14" x14ac:dyDescent="0.35">
      <c r="A28" s="26"/>
      <c r="B28" s="56" t="s">
        <v>285</v>
      </c>
      <c r="C28" s="68">
        <f ca="1">C24-2.063*C25</f>
        <v>-0.34504713857927322</v>
      </c>
      <c r="D28" s="69" t="s">
        <v>286</v>
      </c>
      <c r="E28" s="69" t="str">
        <f ca="1">"Tail loss: "&amp;TEXT(ABS(C28)*SUM(Dashboard!F7:F22),"$#,##0")</f>
        <v>Tail loss: $104,518</v>
      </c>
      <c r="F28" s="26"/>
      <c r="G28" s="26"/>
      <c r="H28" s="26"/>
      <c r="I28" s="26"/>
      <c r="J28" s="26"/>
      <c r="K28" s="26"/>
      <c r="L28" s="26"/>
      <c r="M28" s="26"/>
      <c r="N28" s="26"/>
    </row>
    <row r="29" spans="1:14" x14ac:dyDescent="0.35">
      <c r="A29" s="26"/>
      <c r="B29" s="54" t="s">
        <v>287</v>
      </c>
      <c r="C29" s="30">
        <f ca="1">MIN(Analytics!E10:E25)</f>
        <v>-0.12328949013503822</v>
      </c>
      <c r="D29" s="64" t="str">
        <f ca="1">INDEX(Analytics!A10:A25,MATCH(MIN(Analytics!E10:E25),Analytics!E10:E25,0))</f>
        <v>HMC</v>
      </c>
      <c r="E29" s="64" t="str">
        <f ca="1">"$ Loss: "&amp;TEXT(ABS(MIN(Analytics!D10:D25)),"$#,##0")</f>
        <v>$ Loss: $878</v>
      </c>
      <c r="F29" s="26"/>
      <c r="G29" s="26"/>
      <c r="H29" s="26"/>
      <c r="I29" s="26"/>
      <c r="J29" s="26"/>
      <c r="K29" s="26"/>
      <c r="L29" s="26"/>
      <c r="M29" s="26"/>
      <c r="N29" s="26"/>
    </row>
    <row r="30" spans="1:14" x14ac:dyDescent="0.35">
      <c r="A30" s="26"/>
      <c r="B30" s="55" t="s">
        <v>288</v>
      </c>
      <c r="C30" s="65" cm="1">
        <f t="array" aca="1" ref="C30" ca="1">SQRT(SUMPRODUCT((Analytics!E10:E25&lt;0)*(Analytics!E10:E25)^2)/COUNT(Analytics!E10:E25))</f>
        <v>3.2604412754028131E-2</v>
      </c>
      <c r="D30" s="66" t="s">
        <v>289</v>
      </c>
      <c r="E30" s="66" t="str">
        <f ca="1">IF(C30&lt;C25/2,"✅ Low Downside",IF(C30&lt;C25,"🟢 Acceptable","🔴 High Downside"))</f>
        <v>✅ Low Downside</v>
      </c>
      <c r="F30" s="26"/>
      <c r="G30" s="26"/>
      <c r="H30" s="26"/>
      <c r="I30" s="26"/>
      <c r="J30" s="26"/>
      <c r="K30" s="26"/>
      <c r="L30" s="26"/>
      <c r="M30" s="26"/>
      <c r="N30" s="26"/>
    </row>
    <row r="31" spans="1:14" x14ac:dyDescent="0.35">
      <c r="A31" s="26"/>
      <c r="B31" s="26"/>
      <c r="C31" s="26"/>
      <c r="D31" s="26"/>
      <c r="E31" s="26"/>
      <c r="F31" s="26"/>
      <c r="G31" s="26"/>
      <c r="H31" s="26"/>
      <c r="I31" s="26"/>
      <c r="J31" s="26"/>
      <c r="K31" s="26"/>
      <c r="L31" s="26"/>
      <c r="M31" s="26"/>
      <c r="N31" s="26"/>
    </row>
    <row r="32" spans="1:14" ht="15.5" x14ac:dyDescent="0.35">
      <c r="A32" s="26"/>
      <c r="B32" s="57" t="s">
        <v>290</v>
      </c>
      <c r="C32" s="26"/>
      <c r="D32" s="26"/>
      <c r="E32" s="26"/>
      <c r="F32" s="26"/>
      <c r="G32" s="26"/>
      <c r="H32" s="26"/>
      <c r="I32" s="26"/>
      <c r="J32" s="26"/>
      <c r="K32" s="26"/>
      <c r="L32" s="26"/>
      <c r="M32" s="26"/>
      <c r="N32" s="26"/>
    </row>
    <row r="33" spans="1:14" ht="15" thickBot="1" x14ac:dyDescent="0.4">
      <c r="A33" s="26"/>
      <c r="B33" s="58" t="s">
        <v>60</v>
      </c>
      <c r="C33" s="58" t="s">
        <v>61</v>
      </c>
      <c r="D33" s="58" t="s">
        <v>200</v>
      </c>
      <c r="E33" s="58" t="s">
        <v>192</v>
      </c>
      <c r="F33" s="26"/>
      <c r="G33" s="26"/>
      <c r="H33" s="26"/>
      <c r="I33" s="26"/>
      <c r="J33" s="26"/>
      <c r="K33" s="26"/>
      <c r="L33" s="26"/>
      <c r="M33" s="26"/>
      <c r="N33" s="26"/>
    </row>
    <row r="34" spans="1:14" x14ac:dyDescent="0.35">
      <c r="A34" s="26"/>
      <c r="B34" s="52" t="s">
        <v>291</v>
      </c>
      <c r="C34" s="111" cm="1">
        <f t="array" aca="1" ref="C34" ca="1">1/SUMPRODUCT((Dashboard!L7:'Dashboard'!L22)^2)</f>
        <v>8.0506419104555</v>
      </c>
      <c r="D34" s="61" t="s">
        <v>292</v>
      </c>
      <c r="E34" s="61" t="str">
        <f ca="1">IF(C34&gt;=10,"✅ Well Diversified",IF(C34&gt;=5,"🟡 Moderate","🔴 Concentrated"))</f>
        <v>🟡 Moderate</v>
      </c>
      <c r="F34" s="26"/>
      <c r="G34" s="26"/>
      <c r="H34" s="26"/>
      <c r="I34" s="26"/>
      <c r="J34" s="26"/>
      <c r="K34" s="26"/>
      <c r="L34" s="26"/>
      <c r="M34" s="26"/>
      <c r="N34" s="26"/>
    </row>
    <row r="35" spans="1:14" x14ac:dyDescent="0.35">
      <c r="A35" s="26"/>
      <c r="B35" s="53" t="s">
        <v>293</v>
      </c>
      <c r="C35" s="120">
        <f ca="1">MAX(Dashboard!L7:'Dashboard'!L22)/MIN(Dashboard!L7:'Dashboard'!L22)</f>
        <v>14.299329567452405</v>
      </c>
      <c r="D35" s="63" t="s">
        <v>294</v>
      </c>
      <c r="E35" s="63" t="str">
        <f ca="1">IF(C35&gt;10,"🔴 Extreme Dispersion",IF(C35&gt;5,"🟡 Skewed","🟢 Balanced"))</f>
        <v>🔴 Extreme Dispersion</v>
      </c>
      <c r="F35" s="26"/>
      <c r="G35" s="26"/>
      <c r="H35" s="26"/>
      <c r="I35" s="26"/>
      <c r="J35" s="26"/>
      <c r="K35" s="26"/>
      <c r="L35" s="26"/>
      <c r="M35" s="26"/>
      <c r="N35" s="26"/>
    </row>
    <row r="36" spans="1:14" x14ac:dyDescent="0.35">
      <c r="A36" s="26"/>
      <c r="B36" s="26"/>
      <c r="C36" s="26"/>
      <c r="D36" s="26"/>
      <c r="E36" s="26"/>
      <c r="F36" s="26"/>
      <c r="G36" s="26"/>
      <c r="H36" s="26"/>
      <c r="I36" s="26"/>
      <c r="J36" s="26"/>
      <c r="K36" s="26"/>
      <c r="L36" s="26"/>
      <c r="M36" s="26"/>
      <c r="N36" s="26"/>
    </row>
    <row r="37" spans="1:14" ht="15.5" x14ac:dyDescent="0.35">
      <c r="A37" s="26"/>
      <c r="B37" s="57" t="s">
        <v>295</v>
      </c>
      <c r="C37" s="26"/>
      <c r="D37" s="26"/>
      <c r="E37" s="26"/>
      <c r="F37" s="26"/>
      <c r="G37" s="26"/>
      <c r="H37" s="26"/>
      <c r="I37" s="26"/>
      <c r="J37" s="26"/>
      <c r="K37" s="26"/>
      <c r="L37" s="26"/>
      <c r="M37" s="26"/>
      <c r="N37" s="26"/>
    </row>
    <row r="38" spans="1:14" ht="15" thickBot="1" x14ac:dyDescent="0.4">
      <c r="A38" s="26"/>
      <c r="B38" s="58" t="s">
        <v>14</v>
      </c>
      <c r="C38" s="58" t="s">
        <v>187</v>
      </c>
      <c r="D38" s="58" t="s">
        <v>296</v>
      </c>
      <c r="E38" s="58" t="s">
        <v>297</v>
      </c>
      <c r="F38" s="58" t="s">
        <v>52</v>
      </c>
      <c r="G38" s="58" t="s">
        <v>298</v>
      </c>
      <c r="H38" s="58" t="s">
        <v>299</v>
      </c>
      <c r="I38" s="58" t="s">
        <v>300</v>
      </c>
      <c r="J38" s="58" t="s">
        <v>301</v>
      </c>
      <c r="K38" s="26"/>
      <c r="L38" s="26"/>
      <c r="M38" s="26"/>
      <c r="N38" s="26"/>
    </row>
    <row r="39" spans="1:14" x14ac:dyDescent="0.35">
      <c r="A39" s="26"/>
      <c r="B39" s="121" t="str">
        <f ca="1">Dashboard!M7</f>
        <v>AMD</v>
      </c>
      <c r="C39" s="122">
        <f ca="1">Dashboard!L7</f>
        <v>7.6944836324051955E-2</v>
      </c>
      <c r="D39" s="123" cm="1">
        <f t="array" aca="1" ref="D39" ca="1">IFERROR(_FV(Dashboard!B7,"Beta"),1)</f>
        <v>1.9919</v>
      </c>
      <c r="E39" s="122">
        <f ca="1">Dashboard!Q7</f>
        <v>0.17821806492363379</v>
      </c>
      <c r="F39" s="478">
        <f ca="1">Dashboard!K7</f>
        <v>2.151953055856036</v>
      </c>
      <c r="G39" s="124">
        <f ca="1">C39*D39</f>
        <v>0.15326641947387909</v>
      </c>
      <c r="H39" s="122">
        <f ca="1">$C$6+D39*($C$7-$C$6)</f>
        <v>0.15703425000000001</v>
      </c>
      <c r="I39" s="478">
        <f ca="1">E39-H39</f>
        <v>2.1183814923633776E-2</v>
      </c>
      <c r="J39" s="119" t="str">
        <f ca="1">IF(F39&gt;1.5,"Growth",IF(F39&gt;0.5,"Blend",IF(F39&gt;0,"Value","Distressed")))</f>
        <v>Growth</v>
      </c>
      <c r="K39" s="26"/>
      <c r="L39" s="26"/>
      <c r="M39" s="26"/>
      <c r="N39" s="26"/>
    </row>
    <row r="40" spans="1:14" x14ac:dyDescent="0.35">
      <c r="A40" s="26"/>
      <c r="B40" s="127" t="str">
        <f ca="1">Dashboard!M8</f>
        <v>GOOG</v>
      </c>
      <c r="C40" s="68">
        <f ca="1">Dashboard!L8</f>
        <v>6.5733837690300917E-2</v>
      </c>
      <c r="D40" s="107" cm="1">
        <f t="array" aca="1" ref="D40" ca="1">IFERROR(_FV(Dashboard!B8,"Beta"),1)</f>
        <v>1.1004</v>
      </c>
      <c r="E40" s="68">
        <f ca="1">Dashboard!Q8</f>
        <v>0.14212172601589135</v>
      </c>
      <c r="F40" s="463">
        <f ca="1">Dashboard!K8</f>
        <v>1.5350512918765384</v>
      </c>
      <c r="G40" s="96">
        <f ca="1">C40*D40</f>
        <v>7.2333514994407128E-2</v>
      </c>
      <c r="H40" s="68">
        <f ca="1">$C$6+D40*($C$7-$C$6)</f>
        <v>0.10577300000000001</v>
      </c>
      <c r="I40" s="463">
        <f ca="1">E40-H40</f>
        <v>3.6348726015891342E-2</v>
      </c>
      <c r="J40" s="69" t="str">
        <f ca="1">IF(F40&gt;1.5,"Growth",IF(F40&gt;0.5,"Blend",IF(F40&gt;0,"Value","Distressed")))</f>
        <v>Growth</v>
      </c>
      <c r="K40" s="26"/>
      <c r="L40" s="26"/>
      <c r="M40" s="26"/>
      <c r="N40" s="26"/>
    </row>
    <row r="41" spans="1:14" x14ac:dyDescent="0.35">
      <c r="A41" s="26"/>
      <c r="B41" s="128" t="str">
        <f ca="1">Dashboard!M9</f>
        <v>AMZN</v>
      </c>
      <c r="C41" s="30">
        <f ca="1">Dashboard!L9</f>
        <v>3.147493049166572E-2</v>
      </c>
      <c r="D41" s="118" cm="1">
        <f t="array" aca="1" ref="D41" ca="1">IFERROR(_FV(Dashboard!B9,"Beta"),1)</f>
        <v>1.3631</v>
      </c>
      <c r="E41" s="30">
        <f ca="1">Dashboard!Q9</f>
        <v>5.6926675518029768E-2</v>
      </c>
      <c r="F41" s="461">
        <f ca="1">Dashboard!K9</f>
        <v>0.47337743285741779</v>
      </c>
      <c r="G41" s="31">
        <f t="shared" ref="G41:G54" ca="1" si="0">C41*D41</f>
        <v>4.2903477753189541E-2</v>
      </c>
      <c r="H41" s="30">
        <f t="shared" ref="H41:H54" ca="1" si="1">$C$6+D41*($C$7-$C$6)</f>
        <v>0.12087824999999999</v>
      </c>
      <c r="I41" s="467">
        <f t="shared" ref="I41:I54" ca="1" si="2">E41-H41</f>
        <v>-6.3951574481970225E-2</v>
      </c>
      <c r="J41" s="64" t="str">
        <f t="shared" ref="J41:J54" ca="1" si="3">IF(F41&gt;1.5,"Growth",IF(F41&gt;0.5,"Blend",IF(F41&gt;0,"Value","Distressed")))</f>
        <v>Value</v>
      </c>
      <c r="K41" s="26"/>
      <c r="L41" s="26"/>
      <c r="M41" s="26"/>
      <c r="N41" s="26"/>
    </row>
    <row r="42" spans="1:14" x14ac:dyDescent="0.35">
      <c r="A42" s="26"/>
      <c r="B42" s="127" t="str">
        <f ca="1">Dashboard!M10</f>
        <v>AAPL</v>
      </c>
      <c r="C42" s="68">
        <f ca="1">Dashboard!L10</f>
        <v>4.6417355713107157E-2</v>
      </c>
      <c r="D42" s="107" cm="1">
        <f t="array" aca="1" ref="D42" ca="1">IFERROR(_FV(Dashboard!B10,"Beta"),1)</f>
        <v>1.1034999999999999</v>
      </c>
      <c r="E42" s="68">
        <f ca="1">Dashboard!Q10</f>
        <v>9.6207974778895533E-2</v>
      </c>
      <c r="F42" s="463">
        <f ca="1">Dashboard!K10</f>
        <v>0.90217601088274635</v>
      </c>
      <c r="G42" s="96">
        <f t="shared" ca="1" si="0"/>
        <v>5.1221552029413746E-2</v>
      </c>
      <c r="H42" s="68">
        <f t="shared" ca="1" si="1"/>
        <v>0.10595125</v>
      </c>
      <c r="I42" s="465">
        <f t="shared" ca="1" si="2"/>
        <v>-9.7432752211044638E-3</v>
      </c>
      <c r="J42" s="69" t="str">
        <f t="shared" ca="1" si="3"/>
        <v>Blend</v>
      </c>
      <c r="K42" s="26"/>
      <c r="L42" s="26"/>
      <c r="M42" s="26"/>
      <c r="N42" s="26"/>
    </row>
    <row r="43" spans="1:14" x14ac:dyDescent="0.35">
      <c r="A43" s="26"/>
      <c r="B43" s="128" t="str">
        <f ca="1">Dashboard!M11</f>
        <v>BLK</v>
      </c>
      <c r="C43" s="30">
        <f ca="1">Dashboard!L11</f>
        <v>3.6855161323692098E-2</v>
      </c>
      <c r="D43" s="118" cm="1">
        <f t="array" aca="1" ref="D43" ca="1">IFERROR(_FV(Dashboard!B11,"Beta"),1)</f>
        <v>1.4875</v>
      </c>
      <c r="E43" s="30">
        <f ca="1">Dashboard!Q11</f>
        <v>3.6595352074845655E-2</v>
      </c>
      <c r="F43" s="461">
        <f ca="1">Dashboard!K11</f>
        <v>0.28607057093734373</v>
      </c>
      <c r="G43" s="31">
        <f t="shared" ca="1" si="0"/>
        <v>5.4822052468992001E-2</v>
      </c>
      <c r="H43" s="30">
        <f t="shared" ca="1" si="1"/>
        <v>0.12803125000000001</v>
      </c>
      <c r="I43" s="467">
        <f t="shared" ca="1" si="2"/>
        <v>-9.1435897925154358E-2</v>
      </c>
      <c r="J43" s="64" t="str">
        <f t="shared" ca="1" si="3"/>
        <v>Value</v>
      </c>
      <c r="K43" s="26"/>
      <c r="L43" s="26"/>
      <c r="M43" s="26"/>
      <c r="N43" s="26"/>
    </row>
    <row r="44" spans="1:14" x14ac:dyDescent="0.35">
      <c r="A44" s="26"/>
      <c r="B44" s="127" t="str">
        <f ca="1">Dashboard!M12</f>
        <v>CVX</v>
      </c>
      <c r="C44" s="68">
        <f ca="1">Dashboard!L12</f>
        <v>4.883779940621772E-2</v>
      </c>
      <c r="D44" s="107" cm="1">
        <f t="array" aca="1" ref="D44" ca="1">IFERROR(_FV(Dashboard!B12,"Beta"),1)</f>
        <v>0.60919999999999996</v>
      </c>
      <c r="E44" s="68">
        <f ca="1">Dashboard!Q12</f>
        <v>5.9374581820841987E-2</v>
      </c>
      <c r="F44" s="463">
        <f ca="1">Dashboard!K12</f>
        <v>0.49743106703286372</v>
      </c>
      <c r="G44" s="96">
        <f t="shared" ca="1" si="0"/>
        <v>2.9751987398267832E-2</v>
      </c>
      <c r="H44" s="68">
        <f t="shared" ca="1" si="1"/>
        <v>7.7529000000000001E-2</v>
      </c>
      <c r="I44" s="465">
        <f t="shared" ca="1" si="2"/>
        <v>-1.8154418179158013E-2</v>
      </c>
      <c r="J44" s="69" t="str">
        <f t="shared" ca="1" si="3"/>
        <v>Value</v>
      </c>
      <c r="K44" s="26"/>
      <c r="L44" s="26"/>
      <c r="M44" s="26"/>
      <c r="N44" s="26"/>
    </row>
    <row r="45" spans="1:14" x14ac:dyDescent="0.35">
      <c r="A45" s="26"/>
      <c r="B45" s="128" t="str">
        <f ca="1">Dashboard!M13</f>
        <v>C</v>
      </c>
      <c r="C45" s="30">
        <f ca="1">Dashboard!L13</f>
        <v>5.3316246845357608E-2</v>
      </c>
      <c r="D45" s="118" cm="1">
        <f t="array" aca="1" ref="D45" ca="1">IFERROR(_FV(Dashboard!B13,"Beta"),1)</f>
        <v>1.1154999999999999</v>
      </c>
      <c r="E45" s="30">
        <f ca="1">Dashboard!Q13</f>
        <v>9.9672844448097875E-2</v>
      </c>
      <c r="F45" s="461">
        <f ca="1">Dashboard!K13</f>
        <v>0.94466368594555328</v>
      </c>
      <c r="G45" s="31">
        <f t="shared" ca="1" si="0"/>
        <v>5.9474273355996407E-2</v>
      </c>
      <c r="H45" s="30">
        <f t="shared" ca="1" si="1"/>
        <v>0.10664124999999999</v>
      </c>
      <c r="I45" s="467">
        <f t="shared" ca="1" si="2"/>
        <v>-6.9684055519021182E-3</v>
      </c>
      <c r="J45" s="64" t="str">
        <f t="shared" ca="1" si="3"/>
        <v>Blend</v>
      </c>
      <c r="K45" s="26"/>
      <c r="L45" s="26"/>
      <c r="M45" s="26"/>
      <c r="N45" s="26"/>
    </row>
    <row r="46" spans="1:14" x14ac:dyDescent="0.35">
      <c r="A46" s="26"/>
      <c r="B46" s="127" t="str">
        <f ca="1">Dashboard!M14</f>
        <v>F</v>
      </c>
      <c r="C46" s="68">
        <f ca="1">Dashboard!L14</f>
        <v>2.8488258399813605E-2</v>
      </c>
      <c r="D46" s="107" cm="1">
        <f t="array" aca="1" ref="D46" ca="1">IFERROR(_FV(Dashboard!B14,"Beta"),1)</f>
        <v>1.7561</v>
      </c>
      <c r="E46" s="68">
        <f ca="1">Dashboard!Q14</f>
        <v>1.244192856490467E-2</v>
      </c>
      <c r="F46" s="463">
        <f ca="1">Dashboard!K14</f>
        <v>9.0412589339634128E-2</v>
      </c>
      <c r="G46" s="96">
        <f t="shared" ca="1" si="0"/>
        <v>5.0028230575912672E-2</v>
      </c>
      <c r="H46" s="68">
        <f t="shared" ca="1" si="1"/>
        <v>0.14347575000000001</v>
      </c>
      <c r="I46" s="465">
        <f t="shared" ca="1" si="2"/>
        <v>-0.13103382143509534</v>
      </c>
      <c r="J46" s="69" t="str">
        <f t="shared" ca="1" si="3"/>
        <v>Value</v>
      </c>
      <c r="K46" s="26"/>
      <c r="L46" s="26"/>
      <c r="M46" s="26"/>
      <c r="N46" s="26"/>
    </row>
    <row r="47" spans="1:14" x14ac:dyDescent="0.35">
      <c r="A47" s="26"/>
      <c r="B47" s="128" t="str">
        <f ca="1">Dashboard!M15</f>
        <v>HMC</v>
      </c>
      <c r="C47" s="30">
        <f ca="1">Dashboard!L15</f>
        <v>2.0605406447465904E-2</v>
      </c>
      <c r="D47" s="118" cm="1">
        <f t="array" aca="1" ref="D47" ca="1">IFERROR(_FV(Dashboard!B15,"Beta"),1)</f>
        <v>0.46800000000000003</v>
      </c>
      <c r="E47" s="30">
        <f ca="1">Dashboard!Q15</f>
        <v>-1.8621358563471468E-2</v>
      </c>
      <c r="F47" s="467">
        <f ca="1">Dashboard!K15</f>
        <v>-0.12328949013503822</v>
      </c>
      <c r="G47" s="31">
        <f t="shared" ca="1" si="0"/>
        <v>9.6433302174140437E-3</v>
      </c>
      <c r="H47" s="30">
        <f t="shared" ca="1" si="1"/>
        <v>6.9409999999999999E-2</v>
      </c>
      <c r="I47" s="467">
        <f t="shared" ca="1" si="2"/>
        <v>-8.8031358563471468E-2</v>
      </c>
      <c r="J47" s="64" t="str">
        <f t="shared" ca="1" si="3"/>
        <v>Distressed</v>
      </c>
      <c r="K47" s="26"/>
      <c r="L47" s="26"/>
      <c r="M47" s="26"/>
      <c r="N47" s="26"/>
    </row>
    <row r="48" spans="1:14" x14ac:dyDescent="0.35">
      <c r="A48" s="26"/>
      <c r="B48" s="127" t="str">
        <f ca="1">Dashboard!M16</f>
        <v>JPM</v>
      </c>
      <c r="C48" s="68">
        <f ca="1">Dashboard!L16</f>
        <v>5.5280800809865346E-2</v>
      </c>
      <c r="D48" s="107" cm="1">
        <f t="array" aca="1" ref="D48" ca="1">IFERROR(_FV(Dashboard!B16,"Beta"),1)</f>
        <v>1.0615000000000001</v>
      </c>
      <c r="E48" s="68">
        <f ca="1">Dashboard!Q16</f>
        <v>8.5469269974211004E-2</v>
      </c>
      <c r="F48" s="463">
        <f ca="1">Dashboard!K16</f>
        <v>0.77550839678131711</v>
      </c>
      <c r="G48" s="96">
        <f t="shared" ca="1" si="0"/>
        <v>5.8680570059672074E-2</v>
      </c>
      <c r="H48" s="68">
        <f t="shared" ca="1" si="1"/>
        <v>0.10353625000000001</v>
      </c>
      <c r="I48" s="465">
        <f t="shared" ca="1" si="2"/>
        <v>-1.8066980025789006E-2</v>
      </c>
      <c r="J48" s="69" t="str">
        <f t="shared" ca="1" si="3"/>
        <v>Blend</v>
      </c>
      <c r="K48" s="26"/>
      <c r="L48" s="26"/>
      <c r="M48" s="26"/>
      <c r="N48" s="26"/>
    </row>
    <row r="49" spans="1:14" x14ac:dyDescent="0.35">
      <c r="A49" s="26"/>
      <c r="B49" s="128" t="str">
        <f ca="1">Dashboard!M17</f>
        <v>META</v>
      </c>
      <c r="C49" s="30">
        <f ca="1">Dashboard!L17</f>
        <v>5.4106454893943778E-2</v>
      </c>
      <c r="D49" s="118" cm="1">
        <f t="array" aca="1" ref="D49" ca="1">IFERROR(_FV(Dashboard!B17,"Beta"),1)</f>
        <v>1.2983</v>
      </c>
      <c r="E49" s="30">
        <f ca="1">Dashboard!Q17</f>
        <v>0.10174977623736403</v>
      </c>
      <c r="F49" s="461">
        <f ca="1">Dashboard!K17</f>
        <v>0.97051977178952509</v>
      </c>
      <c r="G49" s="31">
        <f t="shared" ca="1" si="0"/>
        <v>7.0246410388807204E-2</v>
      </c>
      <c r="H49" s="30">
        <f t="shared" ca="1" si="1"/>
        <v>0.11715225000000001</v>
      </c>
      <c r="I49" s="467">
        <f t="shared" ca="1" si="2"/>
        <v>-1.5402473762635982E-2</v>
      </c>
      <c r="J49" s="64" t="str">
        <f t="shared" ca="1" si="3"/>
        <v>Blend</v>
      </c>
      <c r="K49" s="26"/>
      <c r="L49" s="26"/>
      <c r="M49" s="26"/>
      <c r="N49" s="26"/>
    </row>
    <row r="50" spans="1:14" x14ac:dyDescent="0.35">
      <c r="A50" s="26"/>
      <c r="B50" s="127" t="str">
        <f ca="1">Dashboard!M18</f>
        <v>NVDA</v>
      </c>
      <c r="C50" s="68">
        <f ca="1">Dashboard!L18</f>
        <v>0.29464349766362363</v>
      </c>
      <c r="D50" s="107" cm="1">
        <f t="array" aca="1" ref="D50" ca="1">IFERROR(_FV(Dashboard!B18,"Beta"),1)</f>
        <v>2.3466999999999998</v>
      </c>
      <c r="E50" s="68">
        <f ca="1">Dashboard!Q18</f>
        <v>0.39275392963225486</v>
      </c>
      <c r="F50" s="463">
        <f ca="1">Dashboard!K18</f>
        <v>9.1653128099558216</v>
      </c>
      <c r="G50" s="96">
        <f t="shared" ca="1" si="0"/>
        <v>0.69143989596722555</v>
      </c>
      <c r="H50" s="68">
        <f t="shared" ca="1" si="1"/>
        <v>0.17743525000000002</v>
      </c>
      <c r="I50" s="463">
        <f t="shared" ca="1" si="2"/>
        <v>0.21531867963225484</v>
      </c>
      <c r="J50" s="69" t="str">
        <f t="shared" ca="1" si="3"/>
        <v>Growth</v>
      </c>
      <c r="K50" s="26"/>
      <c r="L50" s="26"/>
      <c r="M50" s="26"/>
      <c r="N50" s="26"/>
    </row>
    <row r="51" spans="1:14" x14ac:dyDescent="0.35">
      <c r="A51" s="26"/>
      <c r="B51" s="128" t="str">
        <f ca="1">Dashboard!M19</f>
        <v>0R2N</v>
      </c>
      <c r="C51" s="30">
        <f ca="1">Dashboard!L19</f>
        <v>5.1488050567906229E-2</v>
      </c>
      <c r="D51" s="118" cm="1">
        <f t="array" aca="1" ref="D51" ca="1">IFERROR(_FV(Dashboard!B19,"Beta"),1)</f>
        <v>0.41199999999999998</v>
      </c>
      <c r="E51" s="30">
        <f ca="1">Dashboard!Q19</f>
        <v>0.10174416989430446</v>
      </c>
      <c r="F51" s="461">
        <f ca="1">Dashboard!K19</f>
        <v>0.97044958281370131</v>
      </c>
      <c r="G51" s="31">
        <f t="shared" ca="1" si="0"/>
        <v>2.1213076833977364E-2</v>
      </c>
      <c r="H51" s="30">
        <f t="shared" ca="1" si="1"/>
        <v>6.6189999999999999E-2</v>
      </c>
      <c r="I51" s="461">
        <f t="shared" ca="1" si="2"/>
        <v>3.555416989430446E-2</v>
      </c>
      <c r="J51" s="64" t="str">
        <f t="shared" ca="1" si="3"/>
        <v>Blend</v>
      </c>
      <c r="K51" s="26"/>
      <c r="L51" s="26"/>
      <c r="M51" s="26"/>
      <c r="N51" s="26"/>
    </row>
    <row r="52" spans="1:14" x14ac:dyDescent="0.35">
      <c r="A52" s="26"/>
      <c r="B52" s="127" t="str">
        <f ca="1">Dashboard!M20</f>
        <v>BA</v>
      </c>
      <c r="C52" s="68">
        <f ca="1">Dashboard!L20</f>
        <v>3.1476077039813949E-2</v>
      </c>
      <c r="D52" s="107" cm="1">
        <f t="array" aca="1" ref="D52" ca="1">IFERROR(_FV(Dashboard!B20,"Beta"),1)</f>
        <v>1.1786000000000001</v>
      </c>
      <c r="E52" s="68">
        <f ca="1">Dashboard!Q20</f>
        <v>-6.1888794091810029E-3</v>
      </c>
      <c r="F52" s="465">
        <f ca="1">Dashboard!K20</f>
        <v>-4.2526054587779819E-2</v>
      </c>
      <c r="G52" s="96">
        <f t="shared" ca="1" si="0"/>
        <v>3.7097704399124722E-2</v>
      </c>
      <c r="H52" s="68">
        <f t="shared" ca="1" si="1"/>
        <v>0.11026950000000002</v>
      </c>
      <c r="I52" s="465">
        <f t="shared" ca="1" si="2"/>
        <v>-0.11645837940918102</v>
      </c>
      <c r="J52" s="69" t="str">
        <f t="shared" ca="1" si="3"/>
        <v>Distressed</v>
      </c>
      <c r="K52" s="26"/>
      <c r="L52" s="26"/>
      <c r="M52" s="26"/>
      <c r="N52" s="26"/>
    </row>
    <row r="53" spans="1:14" x14ac:dyDescent="0.35">
      <c r="A53" s="26"/>
      <c r="B53" s="128" t="str">
        <f ca="1">Dashboard!M21</f>
        <v>TM</v>
      </c>
      <c r="C53" s="30">
        <f ca="1">Dashboard!L21</f>
        <v>2.847753142342991E-2</v>
      </c>
      <c r="D53" s="118" cm="1">
        <f t="array" aca="1" ref="D53" ca="1">IFERROR(_FV(Dashboard!B21,"Beta"),1)</f>
        <v>0.7046</v>
      </c>
      <c r="E53" s="30">
        <f ca="1">Dashboard!Q21</f>
        <v>3.5796510354465072E-2</v>
      </c>
      <c r="F53" s="461">
        <f ca="1">Dashboard!K21</f>
        <v>0.27914890879686216</v>
      </c>
      <c r="G53" s="31">
        <f t="shared" ca="1" si="0"/>
        <v>2.0065268640948715E-2</v>
      </c>
      <c r="H53" s="30">
        <f t="shared" ca="1" si="1"/>
        <v>8.3014500000000005E-2</v>
      </c>
      <c r="I53" s="467">
        <f t="shared" ca="1" si="2"/>
        <v>-4.7217989645534933E-2</v>
      </c>
      <c r="J53" s="64" t="str">
        <f t="shared" ca="1" si="3"/>
        <v>Value</v>
      </c>
      <c r="K53" s="26"/>
      <c r="L53" s="26"/>
      <c r="M53" s="26"/>
      <c r="N53" s="26"/>
    </row>
    <row r="54" spans="1:14" x14ac:dyDescent="0.35">
      <c r="A54" s="26"/>
      <c r="B54" s="125" t="str">
        <f ca="1">Dashboard!M22</f>
        <v>WMT</v>
      </c>
      <c r="C54" s="65">
        <f ca="1">Dashboard!L22</f>
        <v>7.585375495974428E-2</v>
      </c>
      <c r="D54" s="106" cm="1">
        <f t="array" aca="1" ref="D54" ca="1">IFERROR(_FV(Dashboard!B22,"Beta"),1)</f>
        <v>0.66820000000000002</v>
      </c>
      <c r="E54" s="65">
        <f ca="1">Dashboard!Q22</f>
        <v>0.12785301223509471</v>
      </c>
      <c r="F54" s="479">
        <f ca="1">Dashboard!K22</f>
        <v>1.3214937911603437</v>
      </c>
      <c r="G54" s="126">
        <f t="shared" ca="1" si="0"/>
        <v>5.0685479064101126E-2</v>
      </c>
      <c r="H54" s="65">
        <f t="shared" ca="1" si="1"/>
        <v>8.0921500000000007E-2</v>
      </c>
      <c r="I54" s="479">
        <f t="shared" ca="1" si="2"/>
        <v>4.6931512235094702E-2</v>
      </c>
      <c r="J54" s="66" t="str">
        <f t="shared" ca="1" si="3"/>
        <v>Blend</v>
      </c>
      <c r="K54" s="26"/>
      <c r="L54" s="26"/>
      <c r="M54" s="26"/>
      <c r="N54" s="26"/>
    </row>
    <row r="55" spans="1:14" x14ac:dyDescent="0.35">
      <c r="A55" s="26"/>
      <c r="B55" s="129" t="s">
        <v>302</v>
      </c>
      <c r="C55" s="130">
        <f ca="1">SUM(C39:C54)</f>
        <v>1</v>
      </c>
      <c r="D55" s="131">
        <f ca="1">C9</f>
        <v>1.4728732436213294</v>
      </c>
      <c r="E55" s="130">
        <f ca="1">Analytics!E6</f>
        <v>0.12592617416730123</v>
      </c>
      <c r="F55" s="480">
        <f ca="1">Analytics!D6</f>
        <v>1.2938731946036788</v>
      </c>
      <c r="G55" s="132">
        <f ca="1">SUM(G39:G54)</f>
        <v>1.4728732436213294</v>
      </c>
      <c r="H55" s="130">
        <f ca="1">C10</f>
        <v>0.12719021150822646</v>
      </c>
      <c r="I55" s="481">
        <f ca="1">C11</f>
        <v>-1.2640373409252281E-3</v>
      </c>
      <c r="J55" s="129" t="str">
        <f ca="1">IF(COUNTIF(J39:J54,"Growth")&gt;COUNTIF(J39:J54,"Value"),"Growth Tilt",IF(COUNTIF(J39:J54,"Value")&gt;COUNTIF(J39:J54,"Growth"),"Value Tilt","Blend"))</f>
        <v>Value Tilt</v>
      </c>
      <c r="K55" s="26"/>
      <c r="L55" s="26"/>
      <c r="M55" s="26"/>
      <c r="N55" s="26"/>
    </row>
    <row r="56" spans="1:14" x14ac:dyDescent="0.35">
      <c r="A56" s="26"/>
      <c r="B56" s="26"/>
      <c r="C56" s="26"/>
      <c r="D56" s="26"/>
      <c r="E56" s="26"/>
      <c r="F56" s="26"/>
      <c r="G56" s="26"/>
      <c r="H56" s="26"/>
      <c r="I56" s="26"/>
      <c r="J56" s="26"/>
      <c r="K56" s="26"/>
      <c r="L56" s="26"/>
      <c r="M56" s="26"/>
      <c r="N56" s="26"/>
    </row>
    <row r="57" spans="1:14" ht="15.5" x14ac:dyDescent="0.35">
      <c r="A57" s="26"/>
      <c r="B57" s="57" t="s">
        <v>303</v>
      </c>
      <c r="C57" s="26"/>
      <c r="D57" s="26"/>
      <c r="E57" s="26"/>
      <c r="F57" s="26"/>
      <c r="G57" s="26"/>
      <c r="H57" s="26"/>
      <c r="I57" s="26"/>
      <c r="J57" s="26"/>
      <c r="K57" s="26"/>
      <c r="L57" s="26"/>
      <c r="M57" s="26"/>
      <c r="N57" s="26"/>
    </row>
    <row r="58" spans="1:14" ht="15" thickBot="1" x14ac:dyDescent="0.4">
      <c r="A58" s="26"/>
      <c r="B58" s="58" t="s">
        <v>304</v>
      </c>
      <c r="C58" s="58" t="s">
        <v>305</v>
      </c>
      <c r="D58" s="58" t="s">
        <v>306</v>
      </c>
      <c r="E58" s="58" t="s">
        <v>192</v>
      </c>
      <c r="F58" s="26"/>
      <c r="G58" s="26"/>
      <c r="H58" s="26"/>
      <c r="I58" s="26"/>
      <c r="J58" s="26"/>
      <c r="K58" s="26"/>
      <c r="L58" s="26"/>
      <c r="M58" s="26"/>
      <c r="N58" s="26"/>
    </row>
    <row r="59" spans="1:14" x14ac:dyDescent="0.35">
      <c r="A59" s="26"/>
      <c r="B59" s="103" t="s">
        <v>307</v>
      </c>
      <c r="C59" s="119" t="str">
        <f ca="1">COUNTIF(J39:J54,"Growth")&amp;" Growth / "&amp;COUNTIF(J39:J54,"Blend")&amp;" Blend / "&amp;COUNTIF(J39:J54,"Value")&amp;" Value"</f>
        <v>3 Growth / 6 Blend / 5 Value</v>
      </c>
      <c r="D59" s="119" t="str">
        <f ca="1">J55</f>
        <v>Value Tilt</v>
      </c>
      <c r="E59" s="119" t="str">
        <f ca="1">IF(COUNTIF(J39:J54,"Growth")&gt;8,"🟡 Growth Heavy",IF(COUNTIF(J39:J54,"Value")&gt;8,"🟡 Value Heavy","🟢 Balanced Mix"))</f>
        <v>🟢 Balanced Mix</v>
      </c>
      <c r="F59" s="26"/>
      <c r="G59" s="26"/>
      <c r="H59" s="26"/>
      <c r="I59" s="26"/>
      <c r="J59" s="26"/>
      <c r="K59" s="26"/>
      <c r="L59" s="26"/>
      <c r="M59" s="26"/>
      <c r="N59" s="26"/>
    </row>
    <row r="60" spans="1:14" x14ac:dyDescent="0.35">
      <c r="A60" s="26"/>
      <c r="B60" s="56" t="s">
        <v>308</v>
      </c>
      <c r="C60" s="107">
        <f ca="1">C9</f>
        <v>1.4728732436213294</v>
      </c>
      <c r="D60" s="69" t="s">
        <v>309</v>
      </c>
      <c r="E60" s="69" t="str">
        <f ca="1">IF(C9&gt;1.3,"🟡 Momentum/Growth",IF(C9&gt;0.7,"🟢 Core","🔵 Defensive"))</f>
        <v>🟡 Momentum/Growth</v>
      </c>
      <c r="F60" s="26"/>
      <c r="G60" s="26"/>
      <c r="H60" s="26"/>
      <c r="I60" s="26"/>
      <c r="J60" s="26"/>
      <c r="K60" s="26"/>
      <c r="L60" s="26"/>
      <c r="M60" s="26"/>
      <c r="N60" s="26"/>
    </row>
    <row r="61" spans="1:14" x14ac:dyDescent="0.35">
      <c r="A61" s="26"/>
      <c r="B61" s="54" t="s">
        <v>310</v>
      </c>
      <c r="C61" s="31" cm="1">
        <f t="array" aca="1" ref="C61" ca="1">SUMPRODUCT((Dashboard!D30:'Dashboard'!D39)^2)</f>
        <v>0.18781093738554944</v>
      </c>
      <c r="D61" s="64" t="s">
        <v>311</v>
      </c>
      <c r="E61" s="64" t="str">
        <f ca="1">IF(C61&gt;0.25,"🔴 Concentrated",IF(C61&gt;0.15,"🟡 Moderate","🟢 Diversified"))</f>
        <v>🟡 Moderate</v>
      </c>
      <c r="F61" s="26"/>
      <c r="G61" s="26"/>
      <c r="H61" s="26"/>
      <c r="I61" s="26"/>
      <c r="J61" s="26"/>
      <c r="K61" s="26"/>
      <c r="L61" s="26"/>
      <c r="M61" s="26"/>
      <c r="N61" s="26"/>
    </row>
    <row r="62" spans="1:14" x14ac:dyDescent="0.35">
      <c r="A62" s="26"/>
      <c r="B62" s="55" t="s">
        <v>312</v>
      </c>
      <c r="C62" s="65" cm="1">
        <f t="array" aca="1" ref="C62" ca="1">0.5*SUMPRODUCT(ABS(Dashboard!L7:'Dashboard'!L22-1/16))</f>
        <v>0.26317592663772094</v>
      </c>
      <c r="D62" s="66" t="s">
        <v>313</v>
      </c>
      <c r="E62" s="66" t="str">
        <f ca="1">IF(C62&gt;0.6,"✅ Stock Picker",IF(C62&gt;0.3,"🟢 Active","🟡 Closet Indexer"))</f>
        <v>🟡 Closet Indexer</v>
      </c>
      <c r="F62" s="26"/>
      <c r="G62" s="26"/>
      <c r="H62" s="26"/>
      <c r="I62" s="26"/>
      <c r="J62" s="26"/>
      <c r="K62" s="26"/>
      <c r="L62" s="26"/>
      <c r="M62" s="26"/>
      <c r="N62" s="26"/>
    </row>
    <row r="63" spans="1:14" x14ac:dyDescent="0.35">
      <c r="A63" s="26"/>
      <c r="B63" s="26"/>
      <c r="C63" s="26"/>
      <c r="D63" s="26"/>
      <c r="E63" s="26"/>
      <c r="F63" s="26"/>
      <c r="G63" s="26"/>
      <c r="H63" s="26"/>
      <c r="I63" s="26"/>
      <c r="J63" s="26"/>
      <c r="K63" s="26"/>
      <c r="L63" s="26"/>
      <c r="M63" s="26"/>
      <c r="N63" s="26"/>
    </row>
    <row r="64" spans="1:14" ht="15.5" x14ac:dyDescent="0.35">
      <c r="A64" s="26"/>
      <c r="B64" s="57" t="s">
        <v>314</v>
      </c>
      <c r="C64" s="26"/>
      <c r="D64" s="26"/>
      <c r="E64" s="26"/>
      <c r="F64" s="26"/>
      <c r="G64" s="26"/>
      <c r="H64" s="26"/>
      <c r="I64" s="26"/>
      <c r="J64" s="26"/>
      <c r="K64" s="26"/>
      <c r="L64" s="26"/>
      <c r="M64" s="26"/>
      <c r="N64" s="26"/>
    </row>
    <row r="65" spans="1:14" ht="15" thickBot="1" x14ac:dyDescent="0.4">
      <c r="A65" s="26"/>
      <c r="B65" s="58" t="s">
        <v>60</v>
      </c>
      <c r="C65" s="58" t="s">
        <v>61</v>
      </c>
      <c r="D65" s="58" t="s">
        <v>315</v>
      </c>
      <c r="E65" s="58" t="s">
        <v>192</v>
      </c>
      <c r="F65" s="26"/>
      <c r="G65" s="26"/>
      <c r="H65" s="26"/>
      <c r="I65" s="26"/>
      <c r="J65" s="26"/>
      <c r="K65" s="26"/>
      <c r="L65" s="26"/>
      <c r="M65" s="26"/>
      <c r="N65" s="26"/>
    </row>
    <row r="66" spans="1:14" x14ac:dyDescent="0.35">
      <c r="A66" s="26"/>
      <c r="B66" s="52" t="s">
        <v>316</v>
      </c>
      <c r="C66" s="60">
        <f ca="1">C6+(C7-C6)/0.155*C25</f>
        <v>0.12719021150822643</v>
      </c>
      <c r="D66" s="61" t="s">
        <v>317</v>
      </c>
      <c r="E66" s="61" t="str">
        <f ca="1">IF(Analytics!E6&gt;C66,"✅ Above CML","🔴 Below CML")</f>
        <v>🔴 Below CML</v>
      </c>
      <c r="F66" s="26"/>
      <c r="G66" s="26"/>
      <c r="H66" s="26"/>
      <c r="I66" s="26"/>
      <c r="J66" s="26"/>
      <c r="K66" s="26"/>
      <c r="L66" s="26"/>
      <c r="M66" s="26"/>
      <c r="N66" s="26"/>
    </row>
    <row r="67" spans="1:14" x14ac:dyDescent="0.35">
      <c r="A67" s="26"/>
      <c r="B67" s="54" t="s">
        <v>318</v>
      </c>
      <c r="C67" s="109">
        <f ca="1">Analytics!E6-C66</f>
        <v>-1.2640373409252004E-3</v>
      </c>
      <c r="D67" s="64" t="s">
        <v>319</v>
      </c>
      <c r="E67" s="64" t="str">
        <f ca="1">IF(C67&gt;0,"✅ Efficient Allocation","🔴 Suboptimal")</f>
        <v>🔴 Suboptimal</v>
      </c>
      <c r="F67" s="26"/>
      <c r="G67" s="26"/>
      <c r="H67" s="26"/>
      <c r="I67" s="26"/>
      <c r="J67" s="26"/>
      <c r="K67" s="26"/>
      <c r="L67" s="26"/>
      <c r="M67" s="26"/>
      <c r="N67" s="26"/>
    </row>
    <row r="68" spans="1:14" x14ac:dyDescent="0.35">
      <c r="A68" s="26"/>
      <c r="B68" s="55" t="s">
        <v>320</v>
      </c>
      <c r="C68" s="112">
        <f ca="1">C18*0.155+C6-C7</f>
        <v>-8.5821189732346315E-4</v>
      </c>
      <c r="D68" s="66" t="s">
        <v>321</v>
      </c>
      <c r="E68" s="66" t="str">
        <f ca="1">IF(C68&gt;0,"✅ Risk-Adj. Outperformance","🔴 Underperformance")</f>
        <v>🔴 Underperformance</v>
      </c>
      <c r="F68" s="26"/>
      <c r="G68" s="26"/>
      <c r="H68" s="26"/>
      <c r="I68" s="26"/>
      <c r="J68" s="26"/>
      <c r="K68" s="26"/>
      <c r="L68" s="26"/>
      <c r="M68" s="26"/>
      <c r="N68" s="26"/>
    </row>
    <row r="69" spans="1:14" x14ac:dyDescent="0.35">
      <c r="A69" s="26"/>
      <c r="B69" s="26"/>
      <c r="C69" s="26"/>
      <c r="D69" s="26"/>
      <c r="E69" s="26"/>
      <c r="F69" s="26"/>
      <c r="G69" s="26"/>
      <c r="H69" s="26"/>
      <c r="I69" s="26"/>
      <c r="J69" s="26"/>
      <c r="K69" s="26"/>
      <c r="L69" s="26"/>
      <c r="M69" s="26"/>
      <c r="N69" s="26"/>
    </row>
    <row r="70" spans="1:14" x14ac:dyDescent="0.35">
      <c r="A70" s="26"/>
      <c r="B70" s="26"/>
      <c r="C70" s="26"/>
      <c r="D70" s="26"/>
      <c r="E70" s="26"/>
      <c r="F70" s="26"/>
      <c r="G70" s="26"/>
      <c r="H70" s="26"/>
      <c r="I70" s="26"/>
      <c r="J70" s="26"/>
      <c r="K70" s="26"/>
      <c r="L70" s="26"/>
      <c r="M70" s="26"/>
      <c r="N70" s="26"/>
    </row>
    <row r="71" spans="1:14" x14ac:dyDescent="0.35">
      <c r="A71" s="26"/>
      <c r="B71" s="26"/>
      <c r="C71" s="26"/>
      <c r="D71" s="26"/>
      <c r="E71" s="26"/>
      <c r="F71" s="26"/>
      <c r="G71" s="26"/>
      <c r="H71" s="26"/>
      <c r="I71" s="26"/>
      <c r="J71" s="26"/>
      <c r="K71" s="26"/>
      <c r="L71" s="26"/>
      <c r="M71" s="26"/>
      <c r="N71" s="26"/>
    </row>
    <row r="72" spans="1:14" x14ac:dyDescent="0.35">
      <c r="A72" s="26"/>
      <c r="B72" s="26"/>
      <c r="C72" s="26"/>
      <c r="D72" s="26"/>
      <c r="E72" s="26"/>
      <c r="F72" s="26"/>
      <c r="G72" s="26"/>
      <c r="H72" s="26"/>
      <c r="I72" s="26"/>
      <c r="J72" s="26"/>
      <c r="K72" s="26"/>
      <c r="L72" s="26"/>
      <c r="M72" s="26"/>
      <c r="N72" s="26"/>
    </row>
    <row r="73" spans="1:14" x14ac:dyDescent="0.35">
      <c r="A73" s="26"/>
      <c r="B73" s="26"/>
      <c r="C73" s="26"/>
      <c r="D73" s="26"/>
      <c r="E73" s="26"/>
      <c r="F73" s="26"/>
      <c r="G73" s="26"/>
      <c r="H73" s="26"/>
      <c r="I73" s="26"/>
      <c r="J73" s="26"/>
      <c r="K73" s="26"/>
      <c r="L73" s="26"/>
      <c r="M73" s="26"/>
      <c r="N73" s="26"/>
    </row>
    <row r="74" spans="1:14" x14ac:dyDescent="0.35">
      <c r="A74" s="26"/>
      <c r="B74" s="26"/>
      <c r="C74" s="26"/>
      <c r="D74" s="26"/>
      <c r="E74" s="26"/>
      <c r="F74" s="26"/>
      <c r="G74" s="26"/>
      <c r="H74" s="26"/>
      <c r="I74" s="26"/>
      <c r="J74" s="26"/>
      <c r="K74" s="26"/>
      <c r="L74" s="26"/>
      <c r="M74" s="26"/>
      <c r="N74" s="26"/>
    </row>
    <row r="75" spans="1:14" x14ac:dyDescent="0.35">
      <c r="A75" s="26"/>
      <c r="B75" s="26"/>
      <c r="C75" s="26"/>
      <c r="D75" s="26"/>
      <c r="E75" s="26"/>
      <c r="F75" s="26"/>
      <c r="G75" s="26"/>
      <c r="H75" s="26"/>
      <c r="I75" s="26"/>
      <c r="J75" s="26"/>
      <c r="K75" s="26"/>
      <c r="L75" s="26"/>
      <c r="M75" s="26"/>
      <c r="N75" s="26"/>
    </row>
    <row r="76" spans="1:14" x14ac:dyDescent="0.35">
      <c r="A76" s="26"/>
      <c r="B76" s="26"/>
      <c r="C76" s="26"/>
      <c r="D76" s="26"/>
      <c r="E76" s="26"/>
      <c r="F76" s="26"/>
      <c r="G76" s="26"/>
      <c r="H76" s="26"/>
      <c r="I76" s="26"/>
      <c r="J76" s="26"/>
      <c r="K76" s="26"/>
      <c r="L76" s="26"/>
      <c r="M76" s="26"/>
      <c r="N76" s="26"/>
    </row>
    <row r="77" spans="1:14" x14ac:dyDescent="0.35">
      <c r="A77" s="26"/>
      <c r="B77" s="26"/>
      <c r="C77" s="26"/>
      <c r="D77" s="26"/>
      <c r="E77" s="26"/>
      <c r="F77" s="26"/>
      <c r="G77" s="26"/>
      <c r="H77" s="26"/>
      <c r="I77" s="26"/>
      <c r="J77" s="26"/>
      <c r="K77" s="26"/>
      <c r="L77" s="26"/>
      <c r="M77" s="26"/>
      <c r="N77" s="26"/>
    </row>
    <row r="78" spans="1:14" x14ac:dyDescent="0.35">
      <c r="A78" s="26"/>
      <c r="B78" s="26"/>
      <c r="C78" s="26"/>
      <c r="D78" s="26"/>
      <c r="E78" s="26"/>
      <c r="F78" s="26"/>
      <c r="G78" s="26"/>
      <c r="H78" s="26"/>
      <c r="I78" s="26"/>
      <c r="J78" s="26"/>
      <c r="K78" s="26"/>
      <c r="L78" s="26"/>
      <c r="M78" s="26"/>
      <c r="N78" s="26"/>
    </row>
    <row r="79" spans="1:14" x14ac:dyDescent="0.35">
      <c r="A79" s="26"/>
      <c r="B79" s="26"/>
      <c r="C79" s="26"/>
      <c r="D79" s="26"/>
      <c r="E79" s="26"/>
      <c r="F79" s="26"/>
      <c r="G79" s="26"/>
      <c r="H79" s="26"/>
      <c r="I79" s="26"/>
      <c r="J79" s="26"/>
      <c r="K79" s="26"/>
      <c r="L79" s="26"/>
      <c r="M79" s="26"/>
      <c r="N79" s="26"/>
    </row>
    <row r="80" spans="1:14" x14ac:dyDescent="0.35">
      <c r="A80" s="26"/>
      <c r="B80" s="26"/>
      <c r="C80" s="26"/>
      <c r="D80" s="26"/>
      <c r="E80" s="26"/>
      <c r="F80" s="26"/>
      <c r="G80" s="26"/>
      <c r="H80" s="26"/>
      <c r="I80" s="26"/>
      <c r="J80" s="26"/>
      <c r="K80" s="26"/>
      <c r="L80" s="26"/>
      <c r="M80" s="26"/>
      <c r="N80" s="26"/>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F27" sqref="F27"/>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6" width="14.6328125" bestFit="1" customWidth="1"/>
  </cols>
  <sheetData>
    <row r="1" spans="1:15" ht="15" thickBot="1" x14ac:dyDescent="0.4">
      <c r="A1" s="138" t="s">
        <v>8</v>
      </c>
      <c r="B1" s="139" t="s">
        <v>25</v>
      </c>
      <c r="C1" s="139" t="s">
        <v>26</v>
      </c>
      <c r="D1" s="139" t="s">
        <v>27</v>
      </c>
      <c r="E1" s="139" t="s">
        <v>28</v>
      </c>
      <c r="F1" s="139" t="s">
        <v>30</v>
      </c>
      <c r="G1" s="139" t="s">
        <v>31</v>
      </c>
      <c r="H1" s="139" t="s">
        <v>32</v>
      </c>
      <c r="I1" s="139" t="s">
        <v>33</v>
      </c>
      <c r="J1" s="139" t="s">
        <v>34</v>
      </c>
      <c r="K1" s="139" t="s">
        <v>1</v>
      </c>
      <c r="L1" s="139" t="s">
        <v>35</v>
      </c>
      <c r="M1" s="26"/>
      <c r="N1" s="14" t="s">
        <v>8</v>
      </c>
      <c r="O1" s="14" t="s">
        <v>38</v>
      </c>
    </row>
    <row r="2" spans="1:15" x14ac:dyDescent="0.35">
      <c r="A2" s="140" t="e" vm="1">
        <v>#VALUE!</v>
      </c>
      <c r="B2" s="52" t="str" cm="1">
        <f t="array" aca="1" ref="B2" ca="1">_FV(Table2[[#This Row],[Stock]],"Ticker symbol",TRUE)</f>
        <v>AMD</v>
      </c>
      <c r="C2" s="470" cm="1">
        <f t="array" aca="1" ref="C2" ca="1">_FV(Table2[[#This Row],[Stock]],"52 week high",TRUE)</f>
        <v>267.07990000000001</v>
      </c>
      <c r="D2" s="470" cm="1">
        <f t="array" aca="1" ref="D2" ca="1">_FV(Table2[[#This Row],[Stock]],"52 week low",TRUE)</f>
        <v>76.48</v>
      </c>
      <c r="E2" s="141" cm="1">
        <f t="array" aca="1" ref="E2" ca="1">_FV(Table2[[#This Row],[Stock]],"Beta")</f>
        <v>1.9919</v>
      </c>
      <c r="F2" s="142" cm="1">
        <f t="array" aca="1" ref="F2" ca="1">_FV(Table2[[#This Row],[Stock]],"P/E",TRUE)</f>
        <v>80.712800000000001</v>
      </c>
      <c r="G2" s="470" cm="1">
        <f t="array" aca="1" ref="G2" ca="1">_FV(Table2[[#This Row],[Stock]],"Change")</f>
        <v>7.29</v>
      </c>
      <c r="H2" s="470" cm="1">
        <f t="array" aca="1" ref="H2" ca="1">_FV(Table2[[#This Row],[Stock]],"High")</f>
        <v>217.78</v>
      </c>
      <c r="I2" s="470" cm="1">
        <f t="array" aca="1" ref="I2" ca="1">_FV(Table2[[#This Row],[Stock]],"Low")</f>
        <v>200.62</v>
      </c>
      <c r="J2" s="474" cm="1">
        <f t="array" aca="1" ref="J2" ca="1">_FV(Table2[[#This Row],[Stock]],"Market cap",TRUE)</f>
        <v>354598732500</v>
      </c>
      <c r="K2" s="143" t="str" cm="1">
        <f t="array" aca="1" ref="K2" ca="1">_FV(Table2[[#This Row],[Stock]],"Industry")</f>
        <v>Semiconductors &amp; Semiconductor Equipment</v>
      </c>
      <c r="L2" s="143" t="str" cm="1">
        <f t="array" aca="1" ref="L2" ca="1">_FV(Table2[[#This Row],[Stock]],"Exchange abbreviation",TRUE)</f>
        <v>XNAS</v>
      </c>
      <c r="M2" s="26"/>
      <c r="N2" s="71"/>
      <c r="O2" s="71"/>
    </row>
    <row r="3" spans="1:15" x14ac:dyDescent="0.35">
      <c r="A3" s="148" t="e" vm="17">
        <v>#VALUE!</v>
      </c>
      <c r="B3" s="54" t="str" cm="1">
        <f t="array" aca="1" ref="B3" ca="1">_FV(Table2[[#This Row],[Stock]],"Ticker symbol",TRUE)</f>
        <v>MSFT</v>
      </c>
      <c r="C3" s="471" cm="1">
        <f t="array" aca="1" ref="C3" ca="1">_FV(Table2[[#This Row],[Stock]],"52 week high",TRUE)</f>
        <v>555.45000000000005</v>
      </c>
      <c r="D3" s="471" cm="1">
        <f t="array" aca="1" ref="D3" ca="1">_FV(Table2[[#This Row],[Stock]],"52 week low",TRUE)</f>
        <v>344.79</v>
      </c>
      <c r="E3" s="149" cm="1">
        <f t="array" aca="1" ref="E3" ca="1">_FV(Table2[[#This Row],[Stock]],"Beta")</f>
        <v>1.103</v>
      </c>
      <c r="F3" s="150" cm="1">
        <f t="array" aca="1" ref="F3" ca="1">_FV(Table2[[#This Row],[Stock]],"P/E",TRUE)</f>
        <v>23.111000000000001</v>
      </c>
      <c r="G3" s="471" cm="1">
        <f t="array" aca="1" ref="G3" ca="1">_FV(Table2[[#This Row],[Stock]],"Change")</f>
        <v>4.09</v>
      </c>
      <c r="H3" s="471" cm="1">
        <f t="array" aca="1" ref="H3" ca="1">_FV(Table2[[#This Row],[Stock]],"High")</f>
        <v>373.64</v>
      </c>
      <c r="I3" s="471" cm="1">
        <f t="array" aca="1" ref="I3" ca="1">_FV(Table2[[#This Row],[Stock]],"Low")</f>
        <v>364.15</v>
      </c>
      <c r="J3" s="475" cm="1">
        <f t="array" aca="1" ref="J3" ca="1">_FV(Table2[[#This Row],[Stock]],"Market cap",TRUE)</f>
        <v>2773175406340</v>
      </c>
      <c r="K3" s="151" t="str" cm="1">
        <f t="array" aca="1" ref="K3" ca="1">_FV(Table2[[#This Row],[Stock]],"Industry")</f>
        <v>Software &amp; IT Services</v>
      </c>
      <c r="L3" s="151" t="str" cm="1">
        <f t="array" aca="1" ref="L3" ca="1">_FV(Table2[[#This Row],[Stock]],"Exchange abbreviation",TRUE)</f>
        <v>XNAS</v>
      </c>
      <c r="M3" s="26"/>
      <c r="N3" s="17" t="s">
        <v>35</v>
      </c>
      <c r="O3" s="17" t="s">
        <v>25</v>
      </c>
    </row>
    <row r="4" spans="1:15" x14ac:dyDescent="0.35">
      <c r="A4" s="152" t="e" vm="18">
        <v>#VALUE!</v>
      </c>
      <c r="B4" s="56" t="str" cm="1">
        <f t="array" aca="1" ref="B4" ca="1">_FV(Table2[[#This Row],[Stock]],"Ticker symbol",TRUE)</f>
        <v>BABA</v>
      </c>
      <c r="C4" s="472" cm="1">
        <f t="array" aca="1" ref="C4" ca="1">_FV(Table2[[#This Row],[Stock]],"52 week high",TRUE)</f>
        <v>192.67</v>
      </c>
      <c r="D4" s="472" cm="1">
        <f t="array" aca="1" ref="D4" ca="1">_FV(Table2[[#This Row],[Stock]],"52 week low",TRUE)</f>
        <v>94.974199999999996</v>
      </c>
      <c r="E4" s="153" cm="1">
        <f t="array" aca="1" ref="E4" ca="1">_FV(Table2[[#This Row],[Stock]],"Beta")</f>
        <v>0.49490000000000001</v>
      </c>
      <c r="F4" s="154" cm="1">
        <f t="array" aca="1" ref="F4" ca="1">_FV(Table2[[#This Row],[Stock]],"P/E",TRUE)</f>
        <v>16.8276</v>
      </c>
      <c r="G4" s="472" cm="1">
        <f t="array" aca="1" ref="G4" ca="1">_FV(Table2[[#This Row],[Stock]],"Change")</f>
        <v>-1.68</v>
      </c>
      <c r="H4" s="472" cm="1">
        <f t="array" aca="1" ref="H4" ca="1">_FV(Table2[[#This Row],[Stock]],"High")</f>
        <v>122.8479</v>
      </c>
      <c r="I4" s="472" cm="1">
        <f t="array" aca="1" ref="I4" ca="1">_FV(Table2[[#This Row],[Stock]],"Low")</f>
        <v>120.14</v>
      </c>
      <c r="J4" s="476" cm="1">
        <f t="array" aca="1" ref="J4" ca="1">_FV(Table2[[#This Row],[Stock]],"Market cap",TRUE)</f>
        <v>291383756650</v>
      </c>
      <c r="K4" s="155" t="str" cm="1">
        <f t="array" aca="1" ref="K4" ca="1">_FV(Table2[[#This Row],[Stock]],"Industry")</f>
        <v>Software &amp; IT Services</v>
      </c>
      <c r="L4" s="155" t="str" cm="1">
        <f t="array" aca="1" ref="L4" ca="1">_FV(Table2[[#This Row],[Stock]],"Exchange abbreviation",TRUE)</f>
        <v>XNYS</v>
      </c>
      <c r="M4" s="26"/>
      <c r="N4" s="71" t="s">
        <v>36</v>
      </c>
      <c r="O4" s="71" t="s">
        <v>15</v>
      </c>
    </row>
    <row r="5" spans="1:15" x14ac:dyDescent="0.35">
      <c r="A5" s="148" t="e" vm="19">
        <v>#VALUE!</v>
      </c>
      <c r="B5" s="54" t="str" cm="1">
        <f t="array" aca="1" ref="B5" ca="1">_FV(Table2[[#This Row],[Stock]],"Ticker symbol",TRUE)</f>
        <v>DELL</v>
      </c>
      <c r="C5" s="471" cm="1">
        <f t="array" aca="1" ref="C5" ca="1">_FV(Table2[[#This Row],[Stock]],"52 week high",TRUE)</f>
        <v>186.39</v>
      </c>
      <c r="D5" s="471" cm="1">
        <f t="array" aca="1" ref="D5" ca="1">_FV(Table2[[#This Row],[Stock]],"52 week low",TRUE)</f>
        <v>66.245000000000005</v>
      </c>
      <c r="E5" s="149" cm="1">
        <f t="array" aca="1" ref="E5" ca="1">_FV(Table2[[#This Row],[Stock]],"Beta")</f>
        <v>0.85729999999999995</v>
      </c>
      <c r="F5" s="150" cm="1">
        <f t="array" aca="1" ref="F5" ca="1">_FV(Table2[[#This Row],[Stock]],"P/E",TRUE)</f>
        <v>19.4253</v>
      </c>
      <c r="G5" s="471" cm="1">
        <f t="array" aca="1" ref="G5" ca="1">_FV(Table2[[#This Row],[Stock]],"Change")</f>
        <v>4.99</v>
      </c>
      <c r="H5" s="471" cm="1">
        <f t="array" aca="1" ref="H5" ca="1">_FV(Table2[[#This Row],[Stock]],"High")</f>
        <v>174.37</v>
      </c>
      <c r="I5" s="471" cm="1">
        <f t="array" aca="1" ref="I5" ca="1">_FV(Table2[[#This Row],[Stock]],"Low")</f>
        <v>166.495</v>
      </c>
      <c r="J5" s="475" cm="1">
        <f t="array" aca="1" ref="J5" ca="1">_FV(Table2[[#This Row],[Stock]],"Market cap",TRUE)</f>
        <v>112599165945</v>
      </c>
      <c r="K5" s="151" t="str" cm="1">
        <f t="array" aca="1" ref="K5" ca="1">_FV(Table2[[#This Row],[Stock]],"Industry")</f>
        <v>Computers, Phones &amp; Household Electronics</v>
      </c>
      <c r="L5" s="151" t="str" cm="1">
        <f t="array" aca="1" ref="L5" ca="1">_FV(Table2[[#This Row],[Stock]],"Exchange abbreviation",TRUE)</f>
        <v>XNYS</v>
      </c>
      <c r="M5" s="26"/>
      <c r="N5" s="17" t="s">
        <v>36</v>
      </c>
      <c r="O5" s="17" t="s">
        <v>24</v>
      </c>
    </row>
    <row r="6" spans="1:15" x14ac:dyDescent="0.35">
      <c r="A6" s="152" t="e" vm="20">
        <v>#VALUE!</v>
      </c>
      <c r="B6" s="56" t="str" cm="1">
        <f t="array" aca="1" ref="B6" ca="1">_FV(Table2[[#This Row],[Stock]],"Ticker symbol",TRUE)</f>
        <v>GS</v>
      </c>
      <c r="C6" s="472" cm="1">
        <f t="array" aca="1" ref="C6" ca="1">_FV(Table2[[#This Row],[Stock]],"52 week high",TRUE)</f>
        <v>984.7</v>
      </c>
      <c r="D6" s="472" cm="1">
        <f t="array" aca="1" ref="D6" ca="1">_FV(Table2[[#This Row],[Stock]],"52 week low",TRUE)</f>
        <v>439.38</v>
      </c>
      <c r="E6" s="153" cm="1">
        <f t="array" aca="1" ref="E6" ca="1">_FV(Table2[[#This Row],[Stock]],"Beta")</f>
        <v>1.3147</v>
      </c>
      <c r="F6" s="154" cm="1">
        <f t="array" aca="1" ref="F6" ca="1">_FV(Table2[[#This Row],[Stock]],"P/E",TRUE)</f>
        <v>16.7681</v>
      </c>
      <c r="G6" s="472" cm="1">
        <f t="array" aca="1" ref="G6" ca="1">_FV(Table2[[#This Row],[Stock]],"Change")</f>
        <v>2.83</v>
      </c>
      <c r="H6" s="472" cm="1">
        <f t="array" aca="1" ref="H6" ca="1">_FV(Table2[[#This Row],[Stock]],"High")</f>
        <v>867.3</v>
      </c>
      <c r="I6" s="472" cm="1">
        <f t="array" aca="1" ref="I6" ca="1">_FV(Table2[[#This Row],[Stock]],"Low")</f>
        <v>831</v>
      </c>
      <c r="J6" s="476" cm="1">
        <f t="array" aca="1" ref="J6" ca="1">_FV(Table2[[#This Row],[Stock]],"Market cap",TRUE)</f>
        <v>254591535456</v>
      </c>
      <c r="K6" s="155" t="str" cm="1">
        <f t="array" aca="1" ref="K6" ca="1">_FV(Table2[[#This Row],[Stock]],"Industry")</f>
        <v>Investment Banking &amp; Investment Services</v>
      </c>
      <c r="L6" s="155" t="str" cm="1">
        <f t="array" aca="1" ref="L6" ca="1">_FV(Table2[[#This Row],[Stock]],"Exchange abbreviation",TRUE)</f>
        <v>XNYS</v>
      </c>
      <c r="M6" s="26"/>
      <c r="N6" s="71" t="s">
        <v>36</v>
      </c>
      <c r="O6" s="71" t="s">
        <v>16</v>
      </c>
    </row>
    <row r="7" spans="1:15" x14ac:dyDescent="0.35">
      <c r="A7" s="148" t="e" vm="21">
        <v>#VALUE!</v>
      </c>
      <c r="B7" s="54" t="str" cm="1">
        <f t="array" aca="1" ref="B7" ca="1">_FV(Table2[[#This Row],[Stock]],"Ticker symbol",TRUE)</f>
        <v>XOM</v>
      </c>
      <c r="C7" s="471" cm="1">
        <f t="array" aca="1" ref="C7" ca="1">_FV(Table2[[#This Row],[Stock]],"52 week high",TRUE)</f>
        <v>176.41</v>
      </c>
      <c r="D7" s="471" cm="1">
        <f t="array" aca="1" ref="D7" ca="1">_FV(Table2[[#This Row],[Stock]],"52 week low",TRUE)</f>
        <v>97.8</v>
      </c>
      <c r="E7" s="149" cm="1">
        <f t="array" aca="1" ref="E7" ca="1">_FV(Table2[[#This Row],[Stock]],"Beta")</f>
        <v>0.29189999999999999</v>
      </c>
      <c r="F7" s="150" cm="1">
        <f t="array" aca="1" ref="F7" ca="1">_FV(Table2[[#This Row],[Stock]],"P/E",TRUE)</f>
        <v>24.0672</v>
      </c>
      <c r="G7" s="471" cm="1">
        <f t="array" aca="1" ref="G7" ca="1">_FV(Table2[[#This Row],[Stock]],"Change")</f>
        <v>-0.09</v>
      </c>
      <c r="H7" s="471" cm="1">
        <f t="array" aca="1" ref="H7" ca="1">_FV(Table2[[#This Row],[Stock]],"High")</f>
        <v>166.9</v>
      </c>
      <c r="I7" s="471" cm="1">
        <f t="array" aca="1" ref="I7" ca="1">_FV(Table2[[#This Row],[Stock]],"Low")</f>
        <v>159.59</v>
      </c>
      <c r="J7" s="475" cm="1">
        <f t="array" aca="1" ref="J7" ca="1">_FV(Table2[[#This Row],[Stock]],"Market cap",TRUE)</f>
        <v>669557307160</v>
      </c>
      <c r="K7" s="151" t="str" cm="1">
        <f t="array" aca="1" ref="K7" ca="1">_FV(Table2[[#This Row],[Stock]],"Industry")</f>
        <v>Oil &amp; Gas</v>
      </c>
      <c r="L7" s="151" t="str" cm="1">
        <f t="array" aca="1" ref="L7" ca="1">_FV(Table2[[#This Row],[Stock]],"Exchange abbreviation",TRUE)</f>
        <v>XNYS</v>
      </c>
      <c r="M7" s="26"/>
      <c r="N7" s="17" t="s">
        <v>37</v>
      </c>
      <c r="O7" s="17" t="s">
        <v>17</v>
      </c>
    </row>
    <row r="8" spans="1:15" x14ac:dyDescent="0.35">
      <c r="A8" s="152" t="e" vm="22">
        <v>#VALUE!</v>
      </c>
      <c r="B8" s="56" t="str" cm="1">
        <f t="array" aca="1" ref="B8" ca="1">_FV(Table2[[#This Row],[Stock]],"Ticker symbol",TRUE)</f>
        <v>GM</v>
      </c>
      <c r="C8" s="472" cm="1">
        <f t="array" aca="1" ref="C8" ca="1">_FV(Table2[[#This Row],[Stock]],"52 week high",TRUE)</f>
        <v>87.62</v>
      </c>
      <c r="D8" s="472" cm="1">
        <f t="array" aca="1" ref="D8" ca="1">_FV(Table2[[#This Row],[Stock]],"52 week low",TRUE)</f>
        <v>41.6</v>
      </c>
      <c r="E8" s="153" cm="1">
        <f t="array" aca="1" ref="E8" ca="1">_FV(Table2[[#This Row],[Stock]],"Beta")</f>
        <v>1.3733</v>
      </c>
      <c r="F8" s="154" cm="1">
        <f t="array" aca="1" ref="F8" ca="1">_FV(Table2[[#This Row],[Stock]],"P/E",TRUE)</f>
        <v>22.9604</v>
      </c>
      <c r="G8" s="472" cm="1">
        <f t="array" aca="1" ref="G8" ca="1">_FV(Table2[[#This Row],[Stock]],"Change")</f>
        <v>-2.5</v>
      </c>
      <c r="H8" s="472" cm="1">
        <f t="array" aca="1" ref="H8" ca="1">_FV(Table2[[#This Row],[Stock]],"High")</f>
        <v>73.680000000000007</v>
      </c>
      <c r="I8" s="472" cm="1">
        <f t="array" aca="1" ref="I8" ca="1">_FV(Table2[[#This Row],[Stock]],"Low")</f>
        <v>71.67</v>
      </c>
      <c r="J8" s="476" cm="1">
        <f t="array" aca="1" ref="J8" ca="1">_FV(Table2[[#This Row],[Stock]],"Market cap",TRUE)</f>
        <v>65573824212</v>
      </c>
      <c r="K8" s="155" t="str" cm="1">
        <f t="array" aca="1" ref="K8" ca="1">_FV(Table2[[#This Row],[Stock]],"Industry")</f>
        <v>Automobiles &amp; Auto Parts</v>
      </c>
      <c r="L8" s="155" t="str" cm="1">
        <f t="array" aca="1" ref="L8" ca="1">_FV(Table2[[#This Row],[Stock]],"Exchange abbreviation",TRUE)</f>
        <v>XNYS</v>
      </c>
      <c r="M8" s="26"/>
      <c r="N8" s="71" t="s">
        <v>37</v>
      </c>
      <c r="O8" s="71" t="s">
        <v>22</v>
      </c>
    </row>
    <row r="9" spans="1:15" x14ac:dyDescent="0.35">
      <c r="A9" s="148" t="e" vm="23">
        <v>#VALUE!</v>
      </c>
      <c r="B9" s="54" t="str" cm="1">
        <f t="array" aca="1" ref="B9" ca="1">_FV(Table2[[#This Row],[Stock]],"Ticker symbol",TRUE)</f>
        <v>BAC</v>
      </c>
      <c r="C9" s="471" cm="1">
        <f t="array" aca="1" ref="C9" ca="1">_FV(Table2[[#This Row],[Stock]],"52 week high",TRUE)</f>
        <v>57.55</v>
      </c>
      <c r="D9" s="471" cm="1">
        <f t="array" aca="1" ref="D9" ca="1">_FV(Table2[[#This Row],[Stock]],"52 week low",TRUE)</f>
        <v>33.064999999999998</v>
      </c>
      <c r="E9" s="149" cm="1">
        <f t="array" aca="1" ref="E9" ca="1">_FV(Table2[[#This Row],[Stock]],"Beta")</f>
        <v>1.2422</v>
      </c>
      <c r="F9" s="150" cm="1">
        <f t="array" aca="1" ref="F9" ca="1">_FV(Table2[[#This Row],[Stock]],"P/E",TRUE)</f>
        <v>13.024900000000001</v>
      </c>
      <c r="G9" s="471" cm="1">
        <f t="array" aca="1" ref="G9" ca="1">_FV(Table2[[#This Row],[Stock]],"Change")</f>
        <v>0.11</v>
      </c>
      <c r="H9" s="471" cm="1">
        <f t="array" aca="1" ref="H9" ca="1">_FV(Table2[[#This Row],[Stock]],"High")</f>
        <v>49.564999999999998</v>
      </c>
      <c r="I9" s="471" cm="1">
        <f t="array" aca="1" ref="I9" ca="1">_FV(Table2[[#This Row],[Stock]],"Low")</f>
        <v>48.16</v>
      </c>
      <c r="J9" s="475" cm="1">
        <f t="array" aca="1" ref="J9" ca="1">_FV(Table2[[#This Row],[Stock]],"Market cap",TRUE)</f>
        <v>352855110420</v>
      </c>
      <c r="K9" s="151" t="str" cm="1">
        <f t="array" aca="1" ref="K9" ca="1">_FV(Table2[[#This Row],[Stock]],"Industry")</f>
        <v>Banking Services</v>
      </c>
      <c r="L9" s="151" t="str" cm="1">
        <f t="array" aca="1" ref="L9" ca="1">_FV(Table2[[#This Row],[Stock]],"Exchange abbreviation",TRUE)</f>
        <v>XNYS</v>
      </c>
      <c r="M9" s="26"/>
      <c r="N9" s="17" t="s">
        <v>37</v>
      </c>
      <c r="O9" s="17" t="s">
        <v>18</v>
      </c>
    </row>
    <row r="10" spans="1:15" x14ac:dyDescent="0.35">
      <c r="A10" s="152" t="e" vm="24">
        <v>#VALUE!</v>
      </c>
      <c r="B10" s="56" t="str" cm="1">
        <f t="array" aca="1" ref="B10" ca="1">_FV(Table2[[#This Row],[Stock]],"Ticker symbol",TRUE)</f>
        <v>LMT</v>
      </c>
      <c r="C10" s="472" cm="1">
        <f t="array" aca="1" ref="C10" ca="1">_FV(Table2[[#This Row],[Stock]],"52 week high",TRUE)</f>
        <v>692</v>
      </c>
      <c r="D10" s="472" cm="1">
        <f t="array" aca="1" ref="D10" ca="1">_FV(Table2[[#This Row],[Stock]],"52 week low",TRUE)</f>
        <v>410.11</v>
      </c>
      <c r="E10" s="153" cm="1">
        <f t="array" aca="1" ref="E10" ca="1">_FV(Table2[[#This Row],[Stock]],"Beta")</f>
        <v>0.23669999999999999</v>
      </c>
      <c r="F10" s="154" cm="1">
        <f t="array" aca="1" ref="F10" ca="1">_FV(Table2[[#This Row],[Stock]],"P/E",TRUE)</f>
        <v>28.746099999999998</v>
      </c>
      <c r="G10" s="472" cm="1">
        <f t="array" aca="1" ref="G10" ca="1">_FV(Table2[[#This Row],[Stock]],"Change")</f>
        <v>5.15</v>
      </c>
      <c r="H10" s="472" cm="1">
        <f t="array" aca="1" ref="H10" ca="1">_FV(Table2[[#This Row],[Stock]],"High")</f>
        <v>626.51</v>
      </c>
      <c r="I10" s="472" cm="1">
        <f t="array" aca="1" ref="I10" ca="1">_FV(Table2[[#This Row],[Stock]],"Low")</f>
        <v>616.01</v>
      </c>
      <c r="J10" s="476" cm="1">
        <f t="array" aca="1" ref="J10" ca="1">_FV(Table2[[#This Row],[Stock]],"Market cap",TRUE)</f>
        <v>143529491259</v>
      </c>
      <c r="K10" s="155" t="str" cm="1">
        <f t="array" aca="1" ref="K10" ca="1">_FV(Table2[[#This Row],[Stock]],"Industry")</f>
        <v>Aerospace &amp; Defense</v>
      </c>
      <c r="L10" s="155" t="str" cm="1">
        <f t="array" aca="1" ref="L10" ca="1">_FV(Table2[[#This Row],[Stock]],"Exchange abbreviation",TRUE)</f>
        <v>XNYS</v>
      </c>
      <c r="M10" s="26"/>
      <c r="N10" s="71" t="s">
        <v>37</v>
      </c>
      <c r="O10" s="71" t="s">
        <v>21</v>
      </c>
    </row>
    <row r="11" spans="1:15" x14ac:dyDescent="0.35">
      <c r="A11" s="144" t="e" vm="25">
        <v>#VALUE!</v>
      </c>
      <c r="B11" s="53" t="str" cm="1">
        <f t="array" aca="1" ref="B11" ca="1">_FV(Table2[[#This Row],[Stock]],"Ticker symbol",TRUE)</f>
        <v>COST</v>
      </c>
      <c r="C11" s="473" cm="1">
        <f t="array" aca="1" ref="C11" ca="1">_FV(Table2[[#This Row],[Stock]],"52 week high",TRUE)</f>
        <v>1067.08</v>
      </c>
      <c r="D11" s="473" cm="1">
        <f t="array" aca="1" ref="D11" ca="1">_FV(Table2[[#This Row],[Stock]],"52 week low",TRUE)</f>
        <v>844.06</v>
      </c>
      <c r="E11" s="145" cm="1">
        <f t="array" aca="1" ref="E11" ca="1">_FV(Table2[[#This Row],[Stock]],"Beta")</f>
        <v>0.98899999999999999</v>
      </c>
      <c r="F11" s="146" cm="1">
        <f t="array" aca="1" ref="F11" ca="1">_FV(Table2[[#This Row],[Stock]],"P/E",TRUE)</f>
        <v>53.382899999999999</v>
      </c>
      <c r="G11" s="473" cm="1">
        <f t="array" aca="1" ref="G11" ca="1">_FV(Table2[[#This Row],[Stock]],"Change")</f>
        <v>18.399999999999999</v>
      </c>
      <c r="H11" s="473" cm="1">
        <f t="array" aca="1" ref="H11" ca="1">_FV(Table2[[#This Row],[Stock]],"High")</f>
        <v>1016</v>
      </c>
      <c r="I11" s="473" cm="1">
        <f t="array" aca="1" ref="I11" ca="1">_FV(Table2[[#This Row],[Stock]],"Low")</f>
        <v>999.21</v>
      </c>
      <c r="J11" s="477" cm="1">
        <f t="array" aca="1" ref="J11" ca="1">_FV(Table2[[#This Row],[Stock]],"Market cap",TRUE)</f>
        <v>450289541400</v>
      </c>
      <c r="K11" s="147" t="str" cm="1">
        <f t="array" aca="1" ref="K11" ca="1">_FV(Table2[[#This Row],[Stock]],"Industry")</f>
        <v>Diversified Retail</v>
      </c>
      <c r="L11" s="147" t="str" cm="1">
        <f t="array" aca="1" ref="L11" ca="1">_FV(Table2[[#This Row],[Stock]],"Exchange abbreviation",TRUE)</f>
        <v>XNAS</v>
      </c>
      <c r="M11" s="26"/>
      <c r="N11" s="17" t="s">
        <v>37</v>
      </c>
      <c r="O11" s="17" t="s">
        <v>19</v>
      </c>
    </row>
    <row r="12" spans="1:15" x14ac:dyDescent="0.35">
      <c r="A12" s="26"/>
      <c r="B12" s="26"/>
      <c r="C12" s="26"/>
      <c r="D12" s="26"/>
      <c r="E12" s="26"/>
      <c r="F12" s="26"/>
      <c r="G12" s="26"/>
      <c r="H12" s="26"/>
      <c r="I12" s="26"/>
      <c r="J12" s="26"/>
      <c r="K12" s="26"/>
      <c r="L12" s="26"/>
      <c r="M12" s="26"/>
      <c r="N12" s="71" t="s">
        <v>37</v>
      </c>
      <c r="O12" s="71" t="s">
        <v>23</v>
      </c>
    </row>
    <row r="13" spans="1:15" x14ac:dyDescent="0.35">
      <c r="A13" s="26"/>
      <c r="B13" s="26"/>
      <c r="C13" s="26"/>
      <c r="D13" s="26"/>
      <c r="E13" s="26"/>
      <c r="F13" s="26"/>
      <c r="G13" s="26"/>
      <c r="H13" s="26"/>
      <c r="I13" s="26"/>
      <c r="J13" s="26"/>
      <c r="K13" s="26"/>
      <c r="L13" s="26"/>
      <c r="M13" s="26"/>
      <c r="N13" s="17" t="s">
        <v>37</v>
      </c>
      <c r="O13" s="17" t="s">
        <v>20</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2:IQ18"/>
  <sheetViews>
    <sheetView topLeftCell="IJ1" workbookViewId="0">
      <selection activeCell="A3" sqref="A3"/>
    </sheetView>
  </sheetViews>
  <sheetFormatPr defaultRowHeight="14.5" x14ac:dyDescent="0.35"/>
  <cols>
    <col min="1" max="1" width="41.1796875" bestFit="1" customWidth="1"/>
    <col min="2" max="252" width="10.08984375" bestFit="1" customWidth="1"/>
  </cols>
  <sheetData>
    <row r="2" spans="1:251" x14ac:dyDescent="0.35">
      <c r="B2" cm="1" vm="26">
        <f t="array" aca="1" ref="B2:IQ3" ca="1">TRANSPOSE(_xlfn.STOCKHISTORY(A3,TODAY()-365,TODAY(),0,0,0,1))</f>
        <v>45750</v>
      </c>
      <c r="C2" vm="27">
        <f ca="1"/>
        <v>45751</v>
      </c>
      <c r="D2" vm="28">
        <f ca="1"/>
        <v>45754</v>
      </c>
      <c r="E2" vm="29">
        <f ca="1"/>
        <v>45755</v>
      </c>
      <c r="F2" vm="30">
        <f ca="1"/>
        <v>45756</v>
      </c>
      <c r="G2" vm="31">
        <f ca="1"/>
        <v>45757</v>
      </c>
      <c r="H2" vm="32">
        <f ca="1"/>
        <v>45758</v>
      </c>
      <c r="I2" vm="33">
        <f ca="1"/>
        <v>45761</v>
      </c>
      <c r="J2" vm="34">
        <f ca="1"/>
        <v>45762</v>
      </c>
      <c r="K2" vm="35">
        <f ca="1"/>
        <v>45763</v>
      </c>
      <c r="L2" vm="36">
        <f ca="1"/>
        <v>45764</v>
      </c>
      <c r="M2" vm="37">
        <f ca="1"/>
        <v>45768</v>
      </c>
      <c r="N2" vm="38">
        <f ca="1"/>
        <v>45769</v>
      </c>
      <c r="O2" vm="39">
        <f ca="1"/>
        <v>45770</v>
      </c>
      <c r="P2" vm="40">
        <f ca="1"/>
        <v>45771</v>
      </c>
      <c r="Q2" vm="41">
        <f ca="1"/>
        <v>45772</v>
      </c>
      <c r="R2" vm="42">
        <f ca="1"/>
        <v>45775</v>
      </c>
      <c r="S2" vm="43">
        <f ca="1"/>
        <v>45776</v>
      </c>
      <c r="T2" vm="44">
        <f ca="1"/>
        <v>45777</v>
      </c>
      <c r="U2" vm="45">
        <f ca="1"/>
        <v>45778</v>
      </c>
      <c r="V2" vm="46">
        <f ca="1"/>
        <v>45779</v>
      </c>
      <c r="W2" vm="47">
        <f ca="1"/>
        <v>45782</v>
      </c>
      <c r="X2" vm="48">
        <f ca="1"/>
        <v>45783</v>
      </c>
      <c r="Y2" vm="49">
        <f ca="1"/>
        <v>45784</v>
      </c>
      <c r="Z2" vm="50">
        <f ca="1"/>
        <v>45785</v>
      </c>
      <c r="AA2" vm="51">
        <f ca="1"/>
        <v>45786</v>
      </c>
      <c r="AB2" vm="52">
        <f ca="1"/>
        <v>45789</v>
      </c>
      <c r="AC2" vm="53">
        <f ca="1"/>
        <v>45790</v>
      </c>
      <c r="AD2" vm="54">
        <f ca="1"/>
        <v>45791</v>
      </c>
      <c r="AE2" vm="55">
        <f ca="1"/>
        <v>45792</v>
      </c>
      <c r="AF2" vm="56">
        <f ca="1"/>
        <v>45793</v>
      </c>
      <c r="AG2" vm="57">
        <f ca="1"/>
        <v>45796</v>
      </c>
      <c r="AH2" vm="58">
        <f ca="1"/>
        <v>45797</v>
      </c>
      <c r="AI2" vm="59">
        <f ca="1"/>
        <v>45798</v>
      </c>
      <c r="AJ2" vm="60">
        <f ca="1"/>
        <v>45799</v>
      </c>
      <c r="AK2" vm="61">
        <f ca="1"/>
        <v>45800</v>
      </c>
      <c r="AL2" vm="62">
        <f ca="1"/>
        <v>45804</v>
      </c>
      <c r="AM2" vm="63">
        <f ca="1"/>
        <v>45805</v>
      </c>
      <c r="AN2" vm="64">
        <f ca="1"/>
        <v>45806</v>
      </c>
      <c r="AO2" vm="65">
        <f ca="1"/>
        <v>45807</v>
      </c>
      <c r="AP2" vm="66">
        <f ca="1"/>
        <v>45810</v>
      </c>
      <c r="AQ2" vm="67">
        <f ca="1"/>
        <v>45811</v>
      </c>
      <c r="AR2" vm="68">
        <f ca="1"/>
        <v>45812</v>
      </c>
      <c r="AS2" vm="69">
        <f ca="1"/>
        <v>45813</v>
      </c>
      <c r="AT2" vm="70">
        <f ca="1"/>
        <v>45814</v>
      </c>
      <c r="AU2" vm="71">
        <f ca="1"/>
        <v>45817</v>
      </c>
      <c r="AV2" vm="72">
        <f ca="1"/>
        <v>45818</v>
      </c>
      <c r="AW2" vm="73">
        <f ca="1"/>
        <v>45819</v>
      </c>
      <c r="AX2" vm="74">
        <f ca="1"/>
        <v>45820</v>
      </c>
      <c r="AY2" vm="75">
        <f ca="1"/>
        <v>45821</v>
      </c>
      <c r="AZ2" vm="76">
        <f ca="1"/>
        <v>45824</v>
      </c>
      <c r="BA2" vm="77">
        <f ca="1"/>
        <v>45825</v>
      </c>
      <c r="BB2" vm="78">
        <f ca="1"/>
        <v>45826</v>
      </c>
      <c r="BC2" vm="79">
        <f ca="1"/>
        <v>45828</v>
      </c>
      <c r="BD2" vm="80">
        <f ca="1"/>
        <v>45831</v>
      </c>
      <c r="BE2" vm="81">
        <f ca="1"/>
        <v>45832</v>
      </c>
      <c r="BF2" vm="82">
        <f ca="1"/>
        <v>45833</v>
      </c>
      <c r="BG2" vm="83">
        <f ca="1"/>
        <v>45834</v>
      </c>
      <c r="BH2" vm="84">
        <f ca="1"/>
        <v>45835</v>
      </c>
      <c r="BI2" vm="85">
        <f ca="1"/>
        <v>45838</v>
      </c>
      <c r="BJ2" vm="86">
        <f ca="1"/>
        <v>45839</v>
      </c>
      <c r="BK2" vm="87">
        <f ca="1"/>
        <v>45840</v>
      </c>
      <c r="BL2" vm="88">
        <f ca="1"/>
        <v>45841</v>
      </c>
      <c r="BM2" vm="89">
        <f ca="1"/>
        <v>45845</v>
      </c>
      <c r="BN2" vm="90">
        <f ca="1"/>
        <v>45846</v>
      </c>
      <c r="BO2" vm="91">
        <f ca="1"/>
        <v>45847</v>
      </c>
      <c r="BP2" vm="92">
        <f ca="1"/>
        <v>45848</v>
      </c>
      <c r="BQ2" vm="93">
        <f ca="1"/>
        <v>45849</v>
      </c>
      <c r="BR2" vm="94">
        <f ca="1"/>
        <v>45852</v>
      </c>
      <c r="BS2" vm="95">
        <f ca="1"/>
        <v>45853</v>
      </c>
      <c r="BT2" vm="96">
        <f ca="1"/>
        <v>45854</v>
      </c>
      <c r="BU2" vm="97">
        <f ca="1"/>
        <v>45855</v>
      </c>
      <c r="BV2" vm="98">
        <f ca="1"/>
        <v>45856</v>
      </c>
      <c r="BW2" vm="99">
        <f ca="1"/>
        <v>45859</v>
      </c>
      <c r="BX2" vm="100">
        <f ca="1"/>
        <v>45860</v>
      </c>
      <c r="BY2" vm="101">
        <f ca="1"/>
        <v>45861</v>
      </c>
      <c r="BZ2" vm="102">
        <f ca="1"/>
        <v>45862</v>
      </c>
      <c r="CA2" vm="103">
        <f ca="1"/>
        <v>45863</v>
      </c>
      <c r="CB2" vm="104">
        <f ca="1"/>
        <v>45866</v>
      </c>
      <c r="CC2" vm="105">
        <f ca="1"/>
        <v>45867</v>
      </c>
      <c r="CD2" vm="106">
        <f ca="1"/>
        <v>45868</v>
      </c>
      <c r="CE2" vm="107">
        <f ca="1"/>
        <v>45869</v>
      </c>
      <c r="CF2" vm="108">
        <f ca="1"/>
        <v>45870</v>
      </c>
      <c r="CG2" vm="109">
        <f ca="1"/>
        <v>45873</v>
      </c>
      <c r="CH2" vm="110">
        <f ca="1"/>
        <v>45874</v>
      </c>
      <c r="CI2" vm="111">
        <f ca="1"/>
        <v>45875</v>
      </c>
      <c r="CJ2" vm="112">
        <f ca="1"/>
        <v>45876</v>
      </c>
      <c r="CK2" vm="113">
        <f ca="1"/>
        <v>45877</v>
      </c>
      <c r="CL2" vm="114">
        <f ca="1"/>
        <v>45880</v>
      </c>
      <c r="CM2" vm="115">
        <f ca="1"/>
        <v>45881</v>
      </c>
      <c r="CN2" vm="116">
        <f ca="1"/>
        <v>45882</v>
      </c>
      <c r="CO2" vm="117">
        <f ca="1"/>
        <v>45883</v>
      </c>
      <c r="CP2" vm="118">
        <f ca="1"/>
        <v>45884</v>
      </c>
      <c r="CQ2" vm="119">
        <f ca="1"/>
        <v>45887</v>
      </c>
      <c r="CR2" vm="120">
        <f ca="1"/>
        <v>45888</v>
      </c>
      <c r="CS2" vm="121">
        <f ca="1"/>
        <v>45889</v>
      </c>
      <c r="CT2" vm="122">
        <f ca="1"/>
        <v>45890</v>
      </c>
      <c r="CU2" vm="123">
        <f ca="1"/>
        <v>45891</v>
      </c>
      <c r="CV2" vm="124">
        <f ca="1"/>
        <v>45894</v>
      </c>
      <c r="CW2" vm="125">
        <f ca="1"/>
        <v>45895</v>
      </c>
      <c r="CX2" vm="126">
        <f ca="1"/>
        <v>45896</v>
      </c>
      <c r="CY2" vm="127">
        <f ca="1"/>
        <v>45897</v>
      </c>
      <c r="CZ2" vm="128">
        <f ca="1"/>
        <v>45898</v>
      </c>
      <c r="DA2" vm="129">
        <f ca="1"/>
        <v>45902</v>
      </c>
      <c r="DB2" vm="130">
        <f ca="1"/>
        <v>45903</v>
      </c>
      <c r="DC2" vm="131">
        <f ca="1"/>
        <v>45904</v>
      </c>
      <c r="DD2" vm="132">
        <f ca="1"/>
        <v>45905</v>
      </c>
      <c r="DE2" vm="133">
        <f ca="1"/>
        <v>45908</v>
      </c>
      <c r="DF2" vm="134">
        <f ca="1"/>
        <v>45909</v>
      </c>
      <c r="DG2" vm="135">
        <f ca="1"/>
        <v>45910</v>
      </c>
      <c r="DH2" vm="136">
        <f ca="1"/>
        <v>45911</v>
      </c>
      <c r="DI2" vm="137">
        <f ca="1"/>
        <v>45912</v>
      </c>
      <c r="DJ2" vm="138">
        <f ca="1"/>
        <v>45915</v>
      </c>
      <c r="DK2" vm="139">
        <f ca="1"/>
        <v>45916</v>
      </c>
      <c r="DL2" vm="140">
        <f ca="1"/>
        <v>45917</v>
      </c>
      <c r="DM2" vm="141">
        <f ca="1"/>
        <v>45918</v>
      </c>
      <c r="DN2" vm="142">
        <f ca="1"/>
        <v>45919</v>
      </c>
      <c r="DO2" vm="143">
        <f ca="1"/>
        <v>45922</v>
      </c>
      <c r="DP2" vm="144">
        <f ca="1"/>
        <v>45923</v>
      </c>
      <c r="DQ2" vm="145">
        <f ca="1"/>
        <v>45924</v>
      </c>
      <c r="DR2" vm="146">
        <f ca="1"/>
        <v>45925</v>
      </c>
      <c r="DS2" vm="147">
        <f ca="1"/>
        <v>45926</v>
      </c>
      <c r="DT2" vm="148">
        <f ca="1"/>
        <v>45929</v>
      </c>
      <c r="DU2" vm="149">
        <f ca="1"/>
        <v>45930</v>
      </c>
      <c r="DV2" vm="150">
        <f ca="1"/>
        <v>45931</v>
      </c>
      <c r="DW2" vm="151">
        <f ca="1"/>
        <v>45932</v>
      </c>
      <c r="DX2" vm="152">
        <f ca="1"/>
        <v>45933</v>
      </c>
      <c r="DY2" vm="153">
        <f ca="1"/>
        <v>45936</v>
      </c>
      <c r="DZ2" vm="154">
        <f ca="1"/>
        <v>45937</v>
      </c>
      <c r="EA2" vm="155">
        <f ca="1"/>
        <v>45938</v>
      </c>
      <c r="EB2" vm="156">
        <f ca="1"/>
        <v>45939</v>
      </c>
      <c r="EC2" vm="157">
        <f ca="1"/>
        <v>45940</v>
      </c>
      <c r="ED2" vm="158">
        <f ca="1"/>
        <v>45943</v>
      </c>
      <c r="EE2" vm="159">
        <f ca="1"/>
        <v>45944</v>
      </c>
      <c r="EF2" vm="160">
        <f ca="1"/>
        <v>45945</v>
      </c>
      <c r="EG2" vm="161">
        <f ca="1"/>
        <v>45946</v>
      </c>
      <c r="EH2" vm="162">
        <f ca="1"/>
        <v>45947</v>
      </c>
      <c r="EI2" vm="163">
        <f ca="1"/>
        <v>45950</v>
      </c>
      <c r="EJ2" vm="164">
        <f ca="1"/>
        <v>45951</v>
      </c>
      <c r="EK2" vm="165">
        <f ca="1"/>
        <v>45952</v>
      </c>
      <c r="EL2" vm="166">
        <f ca="1"/>
        <v>45953</v>
      </c>
      <c r="EM2" vm="167">
        <f ca="1"/>
        <v>45954</v>
      </c>
      <c r="EN2" vm="168">
        <f ca="1"/>
        <v>45957</v>
      </c>
      <c r="EO2" vm="169">
        <f ca="1"/>
        <v>45958</v>
      </c>
      <c r="EP2" vm="170">
        <f ca="1"/>
        <v>45959</v>
      </c>
      <c r="EQ2" vm="171">
        <f ca="1"/>
        <v>45960</v>
      </c>
      <c r="ER2" vm="172">
        <f ca="1"/>
        <v>45961</v>
      </c>
      <c r="ES2" vm="173">
        <f ca="1"/>
        <v>45964</v>
      </c>
      <c r="ET2" vm="174">
        <f ca="1"/>
        <v>45965</v>
      </c>
      <c r="EU2" vm="175">
        <f ca="1"/>
        <v>45966</v>
      </c>
      <c r="EV2" vm="176">
        <f ca="1"/>
        <v>45967</v>
      </c>
      <c r="EW2" vm="177">
        <f ca="1"/>
        <v>45968</v>
      </c>
      <c r="EX2" vm="178">
        <f ca="1"/>
        <v>45971</v>
      </c>
      <c r="EY2" vm="179">
        <f ca="1"/>
        <v>45972</v>
      </c>
      <c r="EZ2" vm="180">
        <f ca="1"/>
        <v>45973</v>
      </c>
      <c r="FA2" vm="181">
        <f ca="1"/>
        <v>45974</v>
      </c>
      <c r="FB2" vm="182">
        <f ca="1"/>
        <v>45975</v>
      </c>
      <c r="FC2" vm="183">
        <f ca="1"/>
        <v>45978</v>
      </c>
      <c r="FD2" vm="184">
        <f ca="1"/>
        <v>45979</v>
      </c>
      <c r="FE2" vm="185">
        <f ca="1"/>
        <v>45980</v>
      </c>
      <c r="FF2" vm="186">
        <f ca="1"/>
        <v>45981</v>
      </c>
      <c r="FG2" vm="187">
        <f ca="1"/>
        <v>45982</v>
      </c>
      <c r="FH2" vm="188">
        <f ca="1"/>
        <v>45985</v>
      </c>
      <c r="FI2" vm="189">
        <f ca="1"/>
        <v>45986</v>
      </c>
      <c r="FJ2" vm="190">
        <f ca="1"/>
        <v>45987</v>
      </c>
      <c r="FK2" vm="191">
        <f ca="1"/>
        <v>45989</v>
      </c>
      <c r="FL2" vm="192">
        <f ca="1"/>
        <v>45992</v>
      </c>
      <c r="FM2" vm="193">
        <f ca="1"/>
        <v>45993</v>
      </c>
      <c r="FN2" vm="194">
        <f ca="1"/>
        <v>45994</v>
      </c>
      <c r="FO2" vm="195">
        <f ca="1"/>
        <v>45995</v>
      </c>
      <c r="FP2" vm="196">
        <f ca="1"/>
        <v>45996</v>
      </c>
      <c r="FQ2" vm="197">
        <f ca="1"/>
        <v>45999</v>
      </c>
      <c r="FR2" vm="198">
        <f ca="1"/>
        <v>46000</v>
      </c>
      <c r="FS2" vm="199">
        <f ca="1"/>
        <v>46001</v>
      </c>
      <c r="FT2" vm="200">
        <f ca="1"/>
        <v>46002</v>
      </c>
      <c r="FU2" vm="201">
        <f ca="1"/>
        <v>46003</v>
      </c>
      <c r="FV2" vm="202">
        <f ca="1"/>
        <v>46006</v>
      </c>
      <c r="FW2" vm="203">
        <f ca="1"/>
        <v>46007</v>
      </c>
      <c r="FX2" vm="204">
        <f ca="1"/>
        <v>46008</v>
      </c>
      <c r="FY2" vm="205">
        <f ca="1"/>
        <v>46009</v>
      </c>
      <c r="FZ2" vm="206">
        <f ca="1"/>
        <v>46010</v>
      </c>
      <c r="GA2" vm="207">
        <f ca="1"/>
        <v>46013</v>
      </c>
      <c r="GB2" vm="208">
        <f ca="1"/>
        <v>46014</v>
      </c>
      <c r="GC2" vm="209">
        <f ca="1"/>
        <v>46015</v>
      </c>
      <c r="GD2" vm="210">
        <f ca="1"/>
        <v>46017</v>
      </c>
      <c r="GE2" vm="211">
        <f ca="1"/>
        <v>46020</v>
      </c>
      <c r="GF2" vm="212">
        <f ca="1"/>
        <v>46021</v>
      </c>
      <c r="GG2" vm="213">
        <f ca="1"/>
        <v>46022</v>
      </c>
      <c r="GH2" vm="214">
        <f ca="1"/>
        <v>46024</v>
      </c>
      <c r="GI2" vm="215">
        <f ca="1"/>
        <v>46027</v>
      </c>
      <c r="GJ2" vm="216">
        <f ca="1"/>
        <v>46028</v>
      </c>
      <c r="GK2" vm="217">
        <f ca="1"/>
        <v>46029</v>
      </c>
      <c r="GL2" vm="218">
        <f ca="1"/>
        <v>46030</v>
      </c>
      <c r="GM2" vm="219">
        <f ca="1"/>
        <v>46031</v>
      </c>
      <c r="GN2" vm="220">
        <f ca="1"/>
        <v>46034</v>
      </c>
      <c r="GO2" vm="221">
        <f ca="1"/>
        <v>46035</v>
      </c>
      <c r="GP2" vm="222">
        <f ca="1"/>
        <v>46036</v>
      </c>
      <c r="GQ2" vm="223">
        <f ca="1"/>
        <v>46037</v>
      </c>
      <c r="GR2" vm="224">
        <f ca="1"/>
        <v>46038</v>
      </c>
      <c r="GS2" vm="225">
        <f ca="1"/>
        <v>46042</v>
      </c>
      <c r="GT2" vm="226">
        <f ca="1"/>
        <v>46043</v>
      </c>
      <c r="GU2" vm="227">
        <f ca="1"/>
        <v>46044</v>
      </c>
      <c r="GV2" vm="228">
        <f ca="1"/>
        <v>46045</v>
      </c>
      <c r="GW2" vm="229">
        <f ca="1"/>
        <v>46048</v>
      </c>
      <c r="GX2" vm="230">
        <f ca="1"/>
        <v>46049</v>
      </c>
      <c r="GY2" vm="231">
        <f ca="1"/>
        <v>46050</v>
      </c>
      <c r="GZ2" vm="232">
        <f ca="1"/>
        <v>46051</v>
      </c>
      <c r="HA2" vm="233">
        <f ca="1"/>
        <v>46052</v>
      </c>
      <c r="HB2" vm="234">
        <f ca="1"/>
        <v>46055</v>
      </c>
      <c r="HC2" vm="235">
        <f ca="1"/>
        <v>46056</v>
      </c>
      <c r="HD2" vm="236">
        <f ca="1"/>
        <v>46057</v>
      </c>
      <c r="HE2" vm="237">
        <f ca="1"/>
        <v>46058</v>
      </c>
      <c r="HF2" vm="238">
        <f ca="1"/>
        <v>46059</v>
      </c>
      <c r="HG2" vm="239">
        <f ca="1"/>
        <v>46062</v>
      </c>
      <c r="HH2" vm="240">
        <f ca="1"/>
        <v>46063</v>
      </c>
      <c r="HI2" vm="241">
        <f ca="1"/>
        <v>46064</v>
      </c>
      <c r="HJ2" vm="242">
        <f ca="1"/>
        <v>46065</v>
      </c>
      <c r="HK2" vm="243">
        <f ca="1"/>
        <v>46066</v>
      </c>
      <c r="HL2" vm="244">
        <f ca="1"/>
        <v>46070</v>
      </c>
      <c r="HM2" vm="245">
        <f ca="1"/>
        <v>46071</v>
      </c>
      <c r="HN2" vm="246">
        <f ca="1"/>
        <v>46072</v>
      </c>
      <c r="HO2" vm="247">
        <f ca="1"/>
        <v>46073</v>
      </c>
      <c r="HP2" vm="248">
        <f ca="1"/>
        <v>46076</v>
      </c>
      <c r="HQ2" vm="249">
        <f ca="1"/>
        <v>46077</v>
      </c>
      <c r="HR2" vm="250">
        <f ca="1"/>
        <v>46078</v>
      </c>
      <c r="HS2" vm="251">
        <f ca="1"/>
        <v>46079</v>
      </c>
      <c r="HT2" vm="252">
        <f ca="1"/>
        <v>46080</v>
      </c>
      <c r="HU2" vm="253">
        <f ca="1"/>
        <v>46083</v>
      </c>
      <c r="HV2" vm="254">
        <f ca="1"/>
        <v>46084</v>
      </c>
      <c r="HW2" vm="255">
        <f ca="1"/>
        <v>46085</v>
      </c>
      <c r="HX2" vm="256">
        <f ca="1"/>
        <v>46086</v>
      </c>
      <c r="HY2" vm="257">
        <f ca="1"/>
        <v>46087</v>
      </c>
      <c r="HZ2" vm="258">
        <f ca="1"/>
        <v>46090</v>
      </c>
      <c r="IA2" vm="259">
        <f ca="1"/>
        <v>46091</v>
      </c>
      <c r="IB2" vm="260">
        <f ca="1"/>
        <v>46092</v>
      </c>
      <c r="IC2" vm="261">
        <f ca="1"/>
        <v>46093</v>
      </c>
      <c r="ID2" vm="262">
        <f ca="1"/>
        <v>46094</v>
      </c>
      <c r="IE2" vm="263">
        <f ca="1"/>
        <v>46097</v>
      </c>
      <c r="IF2" vm="264">
        <f ca="1"/>
        <v>46098</v>
      </c>
      <c r="IG2" vm="265">
        <f ca="1"/>
        <v>46099</v>
      </c>
      <c r="IH2" vm="266">
        <f ca="1"/>
        <v>46100</v>
      </c>
      <c r="II2" vm="267">
        <f ca="1"/>
        <v>46101</v>
      </c>
      <c r="IJ2" vm="268">
        <f ca="1"/>
        <v>46104</v>
      </c>
      <c r="IK2" vm="269">
        <f ca="1"/>
        <v>46105</v>
      </c>
      <c r="IL2" vm="270">
        <f ca="1"/>
        <v>46106</v>
      </c>
      <c r="IM2" vm="271">
        <f ca="1"/>
        <v>46107</v>
      </c>
      <c r="IN2" vm="272">
        <f ca="1"/>
        <v>46108</v>
      </c>
      <c r="IO2" vm="273">
        <f ca="1"/>
        <v>46111</v>
      </c>
      <c r="IP2" vm="274">
        <f ca="1"/>
        <v>46112</v>
      </c>
      <c r="IQ2" vm="275">
        <f ca="1"/>
        <v>46113</v>
      </c>
    </row>
    <row r="3" spans="1:251" x14ac:dyDescent="0.35">
      <c r="A3" t="e" vm="1">
        <f>Dashboard!B7</f>
        <v>#VALUE!</v>
      </c>
      <c r="B3" vm="276">
        <f ca="1"/>
        <v>93.8</v>
      </c>
      <c r="C3" vm="277">
        <f ca="1"/>
        <v>85.76</v>
      </c>
      <c r="D3" vm="278">
        <f ca="1"/>
        <v>83.64</v>
      </c>
      <c r="E3" vm="279">
        <f ca="1"/>
        <v>78.209999999999994</v>
      </c>
      <c r="F3" vm="280">
        <f ca="1"/>
        <v>96.84</v>
      </c>
      <c r="G3" vm="281">
        <f ca="1"/>
        <v>88.7</v>
      </c>
      <c r="H3" vm="282">
        <f ca="1"/>
        <v>93.4</v>
      </c>
      <c r="I3" vm="283">
        <f ca="1"/>
        <v>94.5</v>
      </c>
      <c r="J3" vm="284">
        <f ca="1"/>
        <v>95.29</v>
      </c>
      <c r="K3" vm="285">
        <f ca="1"/>
        <v>88.29</v>
      </c>
      <c r="L3" vm="286">
        <f ca="1"/>
        <v>87.5</v>
      </c>
      <c r="M3" vm="287">
        <f ca="1"/>
        <v>85.56</v>
      </c>
      <c r="N3" vm="288">
        <f ca="1"/>
        <v>86.26</v>
      </c>
      <c r="O3" vm="289">
        <f ca="1"/>
        <v>90.39</v>
      </c>
      <c r="P3" vm="290">
        <f ca="1"/>
        <v>94.47</v>
      </c>
      <c r="Q3" vm="291">
        <f ca="1"/>
        <v>96.644999999999996</v>
      </c>
      <c r="R3" vm="292">
        <f ca="1"/>
        <v>96.39</v>
      </c>
      <c r="S3" vm="293">
        <f ca="1"/>
        <v>96.06</v>
      </c>
      <c r="T3" vm="294">
        <f ca="1"/>
        <v>97.35</v>
      </c>
      <c r="U3" vm="295">
        <f ca="1"/>
        <v>96.65</v>
      </c>
      <c r="V3" vm="296">
        <f ca="1"/>
        <v>98.8</v>
      </c>
      <c r="W3" vm="297">
        <f ca="1"/>
        <v>100.59</v>
      </c>
      <c r="X3" vm="298">
        <f ca="1"/>
        <v>98.62</v>
      </c>
      <c r="Y3" vm="299">
        <f ca="1"/>
        <v>100.36</v>
      </c>
      <c r="Z3" vm="300">
        <f ca="1"/>
        <v>101.7</v>
      </c>
      <c r="AA3" vm="301">
        <f ca="1"/>
        <v>102.84</v>
      </c>
      <c r="AB3" vm="302">
        <f ca="1"/>
        <v>108.12</v>
      </c>
      <c r="AC3" vm="303">
        <f ca="1"/>
        <v>112.46</v>
      </c>
      <c r="AD3" vm="304">
        <f ca="1"/>
        <v>117.72</v>
      </c>
      <c r="AE3" vm="305">
        <f ca="1"/>
        <v>114.99</v>
      </c>
      <c r="AF3" vm="306">
        <f ca="1"/>
        <v>117.17</v>
      </c>
      <c r="AG3" vm="307">
        <f ca="1"/>
        <v>114.74</v>
      </c>
      <c r="AH3" vm="308">
        <f ca="1"/>
        <v>113.51</v>
      </c>
      <c r="AI3" vm="309">
        <f ca="1"/>
        <v>112.06</v>
      </c>
      <c r="AJ3" vm="310">
        <f ca="1"/>
        <v>110.71</v>
      </c>
      <c r="AK3" vm="311">
        <f ca="1"/>
        <v>110.31</v>
      </c>
      <c r="AL3" vm="312">
        <f ca="1"/>
        <v>114.56</v>
      </c>
      <c r="AM3" vm="313">
        <f ca="1"/>
        <v>112.86</v>
      </c>
      <c r="AN3" vm="314">
        <f ca="1"/>
        <v>113.03</v>
      </c>
      <c r="AO3" vm="315">
        <f ca="1"/>
        <v>110.73</v>
      </c>
      <c r="AP3" vm="316">
        <f ca="1"/>
        <v>114.63</v>
      </c>
      <c r="AQ3" vm="317">
        <f ca="1"/>
        <v>117.31</v>
      </c>
      <c r="AR3" vm="318">
        <f ca="1"/>
        <v>118.58</v>
      </c>
      <c r="AS3" vm="319">
        <f ca="1"/>
        <v>115.69</v>
      </c>
      <c r="AT3" vm="320">
        <f ca="1"/>
        <v>116.19</v>
      </c>
      <c r="AU3" vm="321">
        <f ca="1"/>
        <v>121.73</v>
      </c>
      <c r="AV3" vm="322">
        <f ca="1"/>
        <v>123.24</v>
      </c>
      <c r="AW3" vm="323">
        <f ca="1"/>
        <v>121.14</v>
      </c>
      <c r="AX3" vm="324">
        <f ca="1"/>
        <v>118.5</v>
      </c>
      <c r="AY3" vm="325">
        <f ca="1"/>
        <v>116.16</v>
      </c>
      <c r="AZ3" vm="326">
        <f ca="1"/>
        <v>126.39</v>
      </c>
      <c r="BA3" vm="327">
        <f ca="1"/>
        <v>127.1</v>
      </c>
      <c r="BB3" vm="328">
        <f ca="1"/>
        <v>126.79</v>
      </c>
      <c r="BC3" vm="329">
        <f ca="1"/>
        <v>128.24</v>
      </c>
      <c r="BD3" vm="330">
        <f ca="1"/>
        <v>129.58000000000001</v>
      </c>
      <c r="BE3" vm="331">
        <f ca="1"/>
        <v>138.43</v>
      </c>
      <c r="BF3" vm="332">
        <f ca="1"/>
        <v>143.4</v>
      </c>
      <c r="BG3" vm="333">
        <f ca="1"/>
        <v>143.68</v>
      </c>
      <c r="BH3" vm="334">
        <f ca="1"/>
        <v>143.81</v>
      </c>
      <c r="BI3" vm="335">
        <f ca="1"/>
        <v>141.9</v>
      </c>
      <c r="BJ3" vm="336">
        <f ca="1"/>
        <v>136.11000000000001</v>
      </c>
      <c r="BK3" vm="337">
        <f ca="1"/>
        <v>138.52000000000001</v>
      </c>
      <c r="BL3" vm="338">
        <f ca="1"/>
        <v>137.91</v>
      </c>
      <c r="BM3" vm="339">
        <f ca="1"/>
        <v>134.80000000000001</v>
      </c>
      <c r="BN3" vm="340">
        <f ca="1"/>
        <v>137.82</v>
      </c>
      <c r="BO3" vm="341">
        <f ca="1"/>
        <v>138.41</v>
      </c>
      <c r="BP3" vm="342">
        <f ca="1"/>
        <v>144.16</v>
      </c>
      <c r="BQ3" vm="343">
        <f ca="1"/>
        <v>146.41999999999999</v>
      </c>
      <c r="BR3" vm="344">
        <f ca="1"/>
        <v>146.24</v>
      </c>
      <c r="BS3" vm="345">
        <f ca="1"/>
        <v>155.61000000000001</v>
      </c>
      <c r="BT3" vm="346">
        <f ca="1"/>
        <v>160.08000000000001</v>
      </c>
      <c r="BU3" vm="347">
        <f ca="1"/>
        <v>160.41</v>
      </c>
      <c r="BV3" vm="348">
        <f ca="1"/>
        <v>156.99</v>
      </c>
      <c r="BW3" vm="349">
        <f ca="1"/>
        <v>157</v>
      </c>
      <c r="BX3" vm="350">
        <f ca="1"/>
        <v>154.72</v>
      </c>
      <c r="BY3" vm="351">
        <f ca="1"/>
        <v>158.65</v>
      </c>
      <c r="BZ3" vm="352">
        <f ca="1"/>
        <v>162.12</v>
      </c>
      <c r="CA3" vm="353">
        <f ca="1"/>
        <v>166.47</v>
      </c>
      <c r="CB3" vm="354">
        <f ca="1"/>
        <v>173.66</v>
      </c>
      <c r="CC3" vm="355">
        <f ca="1"/>
        <v>177.44</v>
      </c>
      <c r="CD3" vm="356">
        <f ca="1"/>
        <v>179.51</v>
      </c>
      <c r="CE3" vm="357">
        <f ca="1"/>
        <v>176.31</v>
      </c>
      <c r="CF3" vm="358">
        <f ca="1"/>
        <v>171.7</v>
      </c>
      <c r="CG3" vm="359">
        <f ca="1"/>
        <v>176.78</v>
      </c>
      <c r="CH3" vm="360">
        <f ca="1"/>
        <v>174.31</v>
      </c>
      <c r="CI3" vm="361">
        <f ca="1"/>
        <v>163.12</v>
      </c>
      <c r="CJ3" vm="362">
        <f ca="1"/>
        <v>172.4</v>
      </c>
      <c r="CK3" vm="363">
        <f ca="1"/>
        <v>172.76</v>
      </c>
      <c r="CL3" vm="364">
        <f ca="1"/>
        <v>172.28</v>
      </c>
      <c r="CM3" vm="365">
        <f ca="1"/>
        <v>174.95</v>
      </c>
      <c r="CN3" vm="366">
        <f ca="1"/>
        <v>184.42</v>
      </c>
      <c r="CO3" vm="367">
        <f ca="1"/>
        <v>180.95</v>
      </c>
      <c r="CP3" vm="368">
        <f ca="1"/>
        <v>177.51</v>
      </c>
      <c r="CQ3" vm="369">
        <f ca="1"/>
        <v>176.14</v>
      </c>
      <c r="CR3" vm="370">
        <f ca="1"/>
        <v>166.55</v>
      </c>
      <c r="CS3" vm="371">
        <f ca="1"/>
        <v>165.2</v>
      </c>
      <c r="CT3" vm="372">
        <f ca="1"/>
        <v>163.71</v>
      </c>
      <c r="CU3" vm="373">
        <f ca="1"/>
        <v>167.76</v>
      </c>
      <c r="CV3" vm="374">
        <f ca="1"/>
        <v>163.36000000000001</v>
      </c>
      <c r="CW3" vm="375">
        <f ca="1"/>
        <v>166.62</v>
      </c>
      <c r="CX3" vm="376">
        <f ca="1"/>
        <v>167.13</v>
      </c>
      <c r="CY3" vm="377">
        <f ca="1"/>
        <v>168.58</v>
      </c>
      <c r="CZ3" vm="378">
        <f ca="1"/>
        <v>162.63</v>
      </c>
      <c r="DA3" vm="379">
        <f ca="1"/>
        <v>162.32</v>
      </c>
      <c r="DB3" vm="380">
        <f ca="1"/>
        <v>162.13</v>
      </c>
      <c r="DC3" vm="381">
        <f ca="1"/>
        <v>161.79</v>
      </c>
      <c r="DD3" vm="382">
        <f ca="1"/>
        <v>151.13999999999999</v>
      </c>
      <c r="DE3" vm="383">
        <f ca="1"/>
        <v>151.41</v>
      </c>
      <c r="DF3" vm="384">
        <f ca="1"/>
        <v>155.82</v>
      </c>
      <c r="DG3" vm="385">
        <f ca="1"/>
        <v>159.54</v>
      </c>
      <c r="DH3" vm="386">
        <f ca="1"/>
        <v>155.66999999999999</v>
      </c>
      <c r="DI3" vm="387">
        <f ca="1"/>
        <v>158.57</v>
      </c>
      <c r="DJ3" vm="388">
        <f ca="1"/>
        <v>161.16</v>
      </c>
      <c r="DK3" vm="389">
        <f ca="1"/>
        <v>160.46</v>
      </c>
      <c r="DL3" vm="390">
        <f ca="1"/>
        <v>159.16</v>
      </c>
      <c r="DM3" vm="391">
        <f ca="1"/>
        <v>157.91999999999999</v>
      </c>
      <c r="DN3" vm="392">
        <f ca="1"/>
        <v>157.38999999999999</v>
      </c>
      <c r="DO3" vm="393">
        <f ca="1"/>
        <v>159.79</v>
      </c>
      <c r="DP3" vm="394">
        <f ca="1"/>
        <v>160.9</v>
      </c>
      <c r="DQ3" vm="395">
        <f ca="1"/>
        <v>160.88</v>
      </c>
      <c r="DR3" vm="396">
        <f ca="1"/>
        <v>161.27000000000001</v>
      </c>
      <c r="DS3" vm="397">
        <f ca="1"/>
        <v>159.46</v>
      </c>
      <c r="DT3" vm="398">
        <f ca="1"/>
        <v>161.36000000000001</v>
      </c>
      <c r="DU3" vm="381">
        <f ca="1"/>
        <v>161.79</v>
      </c>
      <c r="DV3" vm="399">
        <f ca="1"/>
        <v>164.01</v>
      </c>
      <c r="DW3" vm="400">
        <f ca="1"/>
        <v>169.73</v>
      </c>
      <c r="DX3" vm="401">
        <f ca="1"/>
        <v>164.67</v>
      </c>
      <c r="DY3" vm="402">
        <f ca="1"/>
        <v>203.71</v>
      </c>
      <c r="DZ3" vm="403">
        <f ca="1"/>
        <v>211.51</v>
      </c>
      <c r="EA3" vm="404">
        <f ca="1"/>
        <v>235.56</v>
      </c>
      <c r="EB3" vm="405">
        <f ca="1"/>
        <v>232.89</v>
      </c>
      <c r="EC3" vm="406">
        <f ca="1"/>
        <v>214.9</v>
      </c>
      <c r="ED3" vm="407">
        <f ca="1"/>
        <v>216.42</v>
      </c>
      <c r="EE3" vm="408">
        <f ca="1"/>
        <v>218.09</v>
      </c>
      <c r="EF3" vm="409">
        <f ca="1"/>
        <v>238.6</v>
      </c>
      <c r="EG3" vm="410">
        <f ca="1"/>
        <v>234.56</v>
      </c>
      <c r="EH3" vm="411">
        <f ca="1"/>
        <v>233.08</v>
      </c>
      <c r="EI3" vm="412">
        <f ca="1"/>
        <v>240.56</v>
      </c>
      <c r="EJ3" vm="413">
        <f ca="1"/>
        <v>238.03</v>
      </c>
      <c r="EK3" vm="414">
        <f ca="1"/>
        <v>230.23</v>
      </c>
      <c r="EL3" vm="415">
        <f ca="1"/>
        <v>234.99</v>
      </c>
      <c r="EM3" vm="416">
        <f ca="1"/>
        <v>252.92</v>
      </c>
      <c r="EN3" vm="417">
        <f ca="1"/>
        <v>259.67</v>
      </c>
      <c r="EO3" vm="418">
        <f ca="1"/>
        <v>258.01</v>
      </c>
      <c r="EP3" vm="419">
        <f ca="1"/>
        <v>264.33</v>
      </c>
      <c r="EQ3" vm="420">
        <f ca="1"/>
        <v>254.84</v>
      </c>
      <c r="ER3" vm="421">
        <f ca="1"/>
        <v>256.12</v>
      </c>
      <c r="ES3" vm="422">
        <f ca="1"/>
        <v>259.64999999999998</v>
      </c>
      <c r="ET3" vm="423">
        <f ca="1"/>
        <v>250.05</v>
      </c>
      <c r="EU3" vm="424">
        <f ca="1"/>
        <v>256.33</v>
      </c>
      <c r="EV3" vm="425">
        <f ca="1"/>
        <v>237.7</v>
      </c>
      <c r="EW3" vm="426">
        <f ca="1"/>
        <v>233.54</v>
      </c>
      <c r="EX3" vm="427">
        <f ca="1"/>
        <v>243.98</v>
      </c>
      <c r="EY3" vm="428">
        <f ca="1"/>
        <v>237.52</v>
      </c>
      <c r="EZ3" vm="429">
        <f ca="1"/>
        <v>258.89</v>
      </c>
      <c r="FA3" vm="430">
        <f ca="1"/>
        <v>247.96</v>
      </c>
      <c r="FB3" vm="431">
        <f ca="1"/>
        <v>246.81</v>
      </c>
      <c r="FC3" vm="432">
        <f ca="1"/>
        <v>240.52</v>
      </c>
      <c r="FD3" vm="433">
        <f ca="1"/>
        <v>230.29</v>
      </c>
      <c r="FE3" vm="434">
        <f ca="1"/>
        <v>223.55</v>
      </c>
      <c r="FF3" vm="435">
        <f ca="1"/>
        <v>206.02</v>
      </c>
      <c r="FG3" vm="436">
        <f ca="1"/>
        <v>203.78</v>
      </c>
      <c r="FH3" vm="437">
        <f ca="1"/>
        <v>215.05</v>
      </c>
      <c r="FI3" vm="438">
        <f ca="1"/>
        <v>206.13</v>
      </c>
      <c r="FJ3" vm="439">
        <f ca="1"/>
        <v>214.24</v>
      </c>
      <c r="FK3" vm="440">
        <f ca="1"/>
        <v>217.53</v>
      </c>
      <c r="FL3" vm="441">
        <f ca="1"/>
        <v>219.76</v>
      </c>
      <c r="FM3" vm="442">
        <f ca="1"/>
        <v>215.24</v>
      </c>
      <c r="FN3" vm="443">
        <f ca="1"/>
        <v>217.6</v>
      </c>
      <c r="FO3" vm="444">
        <f ca="1"/>
        <v>215.98</v>
      </c>
      <c r="FP3" vm="445">
        <f ca="1"/>
        <v>217.97</v>
      </c>
      <c r="FQ3" vm="446">
        <f ca="1"/>
        <v>221.11</v>
      </c>
      <c r="FR3" vm="447">
        <f ca="1"/>
        <v>221.62</v>
      </c>
      <c r="FS3" vm="448">
        <f ca="1"/>
        <v>221.42</v>
      </c>
      <c r="FT3" vm="449">
        <f ca="1"/>
        <v>221.43</v>
      </c>
      <c r="FU3" vm="450">
        <f ca="1"/>
        <v>210.78</v>
      </c>
      <c r="FV3" vm="451">
        <f ca="1"/>
        <v>207.58</v>
      </c>
      <c r="FW3" vm="452">
        <f ca="1"/>
        <v>209.17</v>
      </c>
      <c r="FX3" vm="453">
        <f ca="1"/>
        <v>198.11</v>
      </c>
      <c r="FY3" vm="454">
        <f ca="1"/>
        <v>201.06</v>
      </c>
      <c r="FZ3" vm="455">
        <f ca="1"/>
        <v>213.43</v>
      </c>
      <c r="GA3" vm="456">
        <f ca="1"/>
        <v>214.95</v>
      </c>
      <c r="GB3" vm="406">
        <f ca="1"/>
        <v>214.9</v>
      </c>
      <c r="GC3" vm="457">
        <f ca="1"/>
        <v>215.04</v>
      </c>
      <c r="GD3" vm="458">
        <f ca="1"/>
        <v>214.99</v>
      </c>
      <c r="GE3" vm="459">
        <f ca="1"/>
        <v>215.61</v>
      </c>
      <c r="GF3" vm="460">
        <f ca="1"/>
        <v>215.34</v>
      </c>
      <c r="GG3" vm="461">
        <f ca="1"/>
        <v>214.16</v>
      </c>
      <c r="GH3" vm="462">
        <f ca="1"/>
        <v>223.47</v>
      </c>
      <c r="GI3" vm="463">
        <f ca="1"/>
        <v>221.08</v>
      </c>
      <c r="GJ3" vm="464">
        <f ca="1"/>
        <v>214.35</v>
      </c>
      <c r="GK3" vm="465">
        <f ca="1"/>
        <v>210.02</v>
      </c>
      <c r="GL3" vm="466">
        <f ca="1"/>
        <v>204.68</v>
      </c>
      <c r="GM3" vm="467">
        <f ca="1"/>
        <v>203.17</v>
      </c>
      <c r="GN3" vm="468">
        <f ca="1"/>
        <v>207.69</v>
      </c>
      <c r="GO3" vm="469">
        <f ca="1"/>
        <v>220.97</v>
      </c>
      <c r="GP3" vm="470">
        <f ca="1"/>
        <v>223.6</v>
      </c>
      <c r="GQ3" vm="471">
        <f ca="1"/>
        <v>227.92</v>
      </c>
      <c r="GR3" vm="472">
        <f ca="1"/>
        <v>231.83</v>
      </c>
      <c r="GS3" vm="473">
        <f ca="1"/>
        <v>231.92</v>
      </c>
      <c r="GT3" vm="474">
        <f ca="1"/>
        <v>249.8</v>
      </c>
      <c r="GU3" vm="475">
        <f ca="1"/>
        <v>253.73</v>
      </c>
      <c r="GV3" vm="476">
        <f ca="1"/>
        <v>259.68</v>
      </c>
      <c r="GW3" vm="477">
        <f ca="1"/>
        <v>251.31</v>
      </c>
      <c r="GX3" vm="478">
        <f ca="1"/>
        <v>252.03</v>
      </c>
      <c r="GY3" vm="479">
        <f ca="1"/>
        <v>252.74</v>
      </c>
      <c r="GZ3" vm="480">
        <f ca="1"/>
        <v>252.18</v>
      </c>
      <c r="HA3" vm="481">
        <f ca="1"/>
        <v>236.73</v>
      </c>
      <c r="HB3" vm="482">
        <f ca="1"/>
        <v>246.27</v>
      </c>
      <c r="HC3" vm="483">
        <f ca="1"/>
        <v>242.11</v>
      </c>
      <c r="HD3" vm="484">
        <f ca="1"/>
        <v>200.19</v>
      </c>
      <c r="HE3" vm="485">
        <f ca="1"/>
        <v>192.5</v>
      </c>
      <c r="HF3" vm="486">
        <f ca="1"/>
        <v>208.44</v>
      </c>
      <c r="HG3" vm="487">
        <f ca="1"/>
        <v>216</v>
      </c>
      <c r="HH3" vm="488">
        <f ca="1"/>
        <v>213.57</v>
      </c>
      <c r="HI3" vm="489">
        <f ca="1"/>
        <v>213.58</v>
      </c>
      <c r="HJ3" vm="490">
        <f ca="1"/>
        <v>205.94</v>
      </c>
      <c r="HK3" vm="491">
        <f ca="1"/>
        <v>207.32</v>
      </c>
      <c r="HL3" vm="492">
        <f ca="1"/>
        <v>203.08</v>
      </c>
      <c r="HM3" vm="493">
        <f ca="1"/>
        <v>200.12</v>
      </c>
      <c r="HN3" vm="494">
        <f ca="1"/>
        <v>203.37</v>
      </c>
      <c r="HO3" vm="495">
        <f ca="1"/>
        <v>200.15</v>
      </c>
      <c r="HP3" vm="496">
        <f ca="1"/>
        <v>196.6</v>
      </c>
      <c r="HQ3" vm="497">
        <f ca="1"/>
        <v>213.84</v>
      </c>
      <c r="HR3" vm="498">
        <f ca="1"/>
        <v>210.86</v>
      </c>
      <c r="HS3" vm="499">
        <f ca="1"/>
        <v>203.68</v>
      </c>
      <c r="HT3" vm="500">
        <f ca="1"/>
        <v>200.21</v>
      </c>
      <c r="HU3" vm="501">
        <f ca="1"/>
        <v>198.62</v>
      </c>
      <c r="HV3" vm="502">
        <f ca="1"/>
        <v>190.95</v>
      </c>
      <c r="HW3" vm="503">
        <f ca="1"/>
        <v>202.07</v>
      </c>
      <c r="HX3" vm="504">
        <f ca="1"/>
        <v>199.45</v>
      </c>
      <c r="HY3" vm="505">
        <f ca="1"/>
        <v>192.43</v>
      </c>
      <c r="HZ3" vm="506">
        <f ca="1"/>
        <v>202.68</v>
      </c>
      <c r="IA3" vm="507">
        <f ca="1"/>
        <v>203.23</v>
      </c>
      <c r="IB3" vm="508">
        <f ca="1"/>
        <v>204.83</v>
      </c>
      <c r="IC3" vm="509">
        <f ca="1"/>
        <v>197.74</v>
      </c>
      <c r="ID3" vm="510">
        <f ca="1"/>
        <v>193.39</v>
      </c>
      <c r="IE3" vm="511">
        <f ca="1"/>
        <v>196.58</v>
      </c>
      <c r="IF3" vm="512">
        <f ca="1"/>
        <v>196.31</v>
      </c>
      <c r="IG3" vm="513">
        <f ca="1"/>
        <v>199.46</v>
      </c>
      <c r="IH3" vm="514">
        <f ca="1"/>
        <v>205.27</v>
      </c>
      <c r="II3" vm="515">
        <f ca="1"/>
        <v>201.33</v>
      </c>
      <c r="IJ3" vm="506">
        <f ca="1"/>
        <v>202.68</v>
      </c>
      <c r="IK3" vm="516">
        <f ca="1"/>
        <v>205.37</v>
      </c>
      <c r="IL3" vm="517">
        <f ca="1"/>
        <v>220.27</v>
      </c>
      <c r="IM3" vm="518">
        <f ca="1"/>
        <v>203.77</v>
      </c>
      <c r="IN3" vm="519">
        <f ca="1"/>
        <v>201.99</v>
      </c>
      <c r="IO3" vm="520">
        <f ca="1"/>
        <v>196.04</v>
      </c>
      <c r="IP3" vm="521">
        <f ca="1"/>
        <v>203.43</v>
      </c>
      <c r="IQ3" vm="522">
        <f ca="1"/>
        <v>210.21</v>
      </c>
    </row>
    <row r="4" spans="1:251" x14ac:dyDescent="0.35">
      <c r="A4" t="e" vm="2">
        <f>Dashboard!B8</f>
        <v>#VALUE!</v>
      </c>
      <c r="B4" cm="1" vm="523">
        <f t="array" aca="1" ref="B4:IQ4" ca="1">TRANSPOSE(_xlfn.STOCKHISTORY(A5,TODAY()-365,TODAY(),0,0,1))</f>
        <v>178.41</v>
      </c>
      <c r="C4" vm="524">
        <f ca="1"/>
        <v>171</v>
      </c>
      <c r="D4" vm="525">
        <f ca="1"/>
        <v>175.26</v>
      </c>
      <c r="E4" vm="526">
        <f ca="1"/>
        <v>170.66</v>
      </c>
      <c r="F4" vm="527">
        <f ca="1"/>
        <v>191.1</v>
      </c>
      <c r="G4" vm="528">
        <f ca="1"/>
        <v>181.22</v>
      </c>
      <c r="H4" vm="529">
        <f ca="1"/>
        <v>184.87</v>
      </c>
      <c r="I4" vm="530">
        <f ca="1"/>
        <v>182.12</v>
      </c>
      <c r="J4" vm="531">
        <f ca="1"/>
        <v>179.59</v>
      </c>
      <c r="K4" vm="532">
        <f ca="1"/>
        <v>174.33</v>
      </c>
      <c r="L4" vm="533">
        <f ca="1"/>
        <v>172.61</v>
      </c>
      <c r="M4" vm="534">
        <f ca="1"/>
        <v>167.32</v>
      </c>
      <c r="N4" vm="535">
        <f ca="1"/>
        <v>173.18</v>
      </c>
      <c r="O4" vm="536">
        <f ca="1"/>
        <v>180.6</v>
      </c>
      <c r="P4" vm="537">
        <f ca="1"/>
        <v>186.54</v>
      </c>
      <c r="Q4" vm="538">
        <f ca="1"/>
        <v>188.99</v>
      </c>
      <c r="R4" vm="539">
        <f ca="1"/>
        <v>187.7</v>
      </c>
      <c r="S4" vm="540">
        <f ca="1"/>
        <v>187.39</v>
      </c>
      <c r="T4" vm="366">
        <f ca="1"/>
        <v>184.42</v>
      </c>
      <c r="U4" vm="541">
        <f ca="1"/>
        <v>190.2</v>
      </c>
      <c r="V4" vm="542">
        <f ca="1"/>
        <v>189.98</v>
      </c>
      <c r="W4" vm="543">
        <f ca="1"/>
        <v>186.35</v>
      </c>
      <c r="X4" vm="544">
        <f ca="1"/>
        <v>185.01</v>
      </c>
      <c r="Y4" vm="545">
        <f ca="1"/>
        <v>188.71</v>
      </c>
      <c r="Z4" vm="546">
        <f ca="1"/>
        <v>192.08</v>
      </c>
      <c r="AA4" vm="547">
        <f ca="1"/>
        <v>193.06</v>
      </c>
      <c r="AB4" vm="548">
        <f ca="1"/>
        <v>208.64</v>
      </c>
      <c r="AC4" vm="549">
        <f ca="1"/>
        <v>211.37</v>
      </c>
      <c r="AD4" vm="550">
        <f ca="1"/>
        <v>210.25</v>
      </c>
      <c r="AE4" vm="551">
        <f ca="1"/>
        <v>205.17</v>
      </c>
      <c r="AF4" vm="552">
        <f ca="1"/>
        <v>205.59</v>
      </c>
      <c r="AG4" vm="553">
        <f ca="1"/>
        <v>206.16</v>
      </c>
      <c r="AH4" vm="554">
        <f ca="1"/>
        <v>204.07</v>
      </c>
      <c r="AI4" vm="555">
        <f ca="1"/>
        <v>201.12</v>
      </c>
      <c r="AJ4" vm="556">
        <f ca="1"/>
        <v>203.1</v>
      </c>
      <c r="AK4" vm="557">
        <f ca="1"/>
        <v>200.99</v>
      </c>
      <c r="AL4" vm="435">
        <f ca="1"/>
        <v>206.02</v>
      </c>
      <c r="AM4" vm="558">
        <f ca="1"/>
        <v>204.72</v>
      </c>
      <c r="AN4" vm="559">
        <f ca="1"/>
        <v>205.7</v>
      </c>
      <c r="AO4" vm="560">
        <f ca="1"/>
        <v>205.01</v>
      </c>
      <c r="AP4" vm="561">
        <f ca="1"/>
        <v>206.65</v>
      </c>
      <c r="AQ4" vm="562">
        <f ca="1"/>
        <v>205.71</v>
      </c>
      <c r="AR4" vm="563">
        <f ca="1"/>
        <v>207.23</v>
      </c>
      <c r="AS4" vm="564">
        <f ca="1"/>
        <v>207.91</v>
      </c>
      <c r="AT4" vm="488">
        <f ca="1"/>
        <v>213.57</v>
      </c>
      <c r="AU4" vm="565">
        <f ca="1"/>
        <v>216.98</v>
      </c>
      <c r="AV4" vm="566">
        <f ca="1"/>
        <v>217.61</v>
      </c>
      <c r="AW4" vm="567">
        <f ca="1"/>
        <v>213.2</v>
      </c>
      <c r="AX4" vm="568">
        <f ca="1"/>
        <v>213.24</v>
      </c>
      <c r="AY4" vm="569">
        <f ca="1"/>
        <v>212.1</v>
      </c>
      <c r="AZ4" vm="570">
        <f ca="1"/>
        <v>216.1</v>
      </c>
      <c r="BA4" vm="571">
        <f ca="1"/>
        <v>214.82</v>
      </c>
      <c r="BB4" vm="572">
        <f ca="1"/>
        <v>212.52</v>
      </c>
      <c r="BC4" vm="573">
        <f ca="1"/>
        <v>209.69</v>
      </c>
      <c r="BD4" vm="574">
        <f ca="1"/>
        <v>208.47</v>
      </c>
      <c r="BE4" vm="575">
        <f ca="1"/>
        <v>212.77</v>
      </c>
      <c r="BF4" vm="576">
        <f ca="1"/>
        <v>211.99</v>
      </c>
      <c r="BG4" vm="577">
        <f ca="1"/>
        <v>217.12</v>
      </c>
      <c r="BH4" vm="578">
        <f ca="1"/>
        <v>223.3</v>
      </c>
      <c r="BI4" vm="579">
        <f ca="1"/>
        <v>219.39</v>
      </c>
      <c r="BJ4" vm="580">
        <f ca="1"/>
        <v>220.46</v>
      </c>
      <c r="BK4" vm="581">
        <f ca="1"/>
        <v>219.92</v>
      </c>
      <c r="BL4" vm="582">
        <f ca="1"/>
        <v>223.41</v>
      </c>
      <c r="BM4" vm="462">
        <f ca="1"/>
        <v>223.47</v>
      </c>
      <c r="BN4" vm="583">
        <f ca="1"/>
        <v>219.36</v>
      </c>
      <c r="BO4" vm="584">
        <f ca="1"/>
        <v>222.54</v>
      </c>
      <c r="BP4" vm="585">
        <f ca="1"/>
        <v>222.26</v>
      </c>
      <c r="BQ4" vm="586">
        <f ca="1"/>
        <v>225.02</v>
      </c>
      <c r="BR4" vm="587">
        <f ca="1"/>
        <v>225.69</v>
      </c>
      <c r="BS4" vm="588">
        <f ca="1"/>
        <v>226.35</v>
      </c>
      <c r="BT4" vm="589">
        <f ca="1"/>
        <v>223.19</v>
      </c>
      <c r="BU4" vm="590">
        <f ca="1"/>
        <v>223.88</v>
      </c>
      <c r="BV4" vm="591">
        <f ca="1"/>
        <v>226.13</v>
      </c>
      <c r="BW4" vm="592">
        <f ca="1"/>
        <v>229.3</v>
      </c>
      <c r="BX4" vm="593">
        <f ca="1"/>
        <v>227.47</v>
      </c>
      <c r="BY4" vm="594">
        <f ca="1"/>
        <v>228.29</v>
      </c>
      <c r="BZ4" vm="595">
        <f ca="1"/>
        <v>232.23</v>
      </c>
      <c r="CA4" vm="596">
        <f ca="1"/>
        <v>231.44</v>
      </c>
      <c r="CB4" vm="597">
        <f ca="1"/>
        <v>232.79</v>
      </c>
      <c r="CC4" vm="598">
        <f ca="1"/>
        <v>231.01</v>
      </c>
      <c r="CD4" vm="599">
        <f ca="1"/>
        <v>230.19</v>
      </c>
      <c r="CE4" vm="600">
        <f ca="1"/>
        <v>234.11</v>
      </c>
      <c r="CF4" vm="601">
        <f ca="1"/>
        <v>214.75</v>
      </c>
      <c r="CG4" vm="602">
        <f ca="1"/>
        <v>211.65</v>
      </c>
      <c r="CH4" vm="603">
        <f ca="1"/>
        <v>213.75</v>
      </c>
      <c r="CI4" vm="604">
        <f ca="1"/>
        <v>222.31</v>
      </c>
      <c r="CJ4" vm="605">
        <f ca="1"/>
        <v>223.13</v>
      </c>
      <c r="CK4" vm="606">
        <f ca="1"/>
        <v>222.69</v>
      </c>
      <c r="CL4" vm="607">
        <f ca="1"/>
        <v>221.3</v>
      </c>
      <c r="CM4" vm="608">
        <f ca="1"/>
        <v>221.47</v>
      </c>
      <c r="CN4" vm="609">
        <f ca="1"/>
        <v>224.56</v>
      </c>
      <c r="CO4" vm="610">
        <f ca="1"/>
        <v>230.98</v>
      </c>
      <c r="CP4" vm="611">
        <f ca="1"/>
        <v>231.03</v>
      </c>
      <c r="CQ4" vm="612">
        <f ca="1"/>
        <v>231.49</v>
      </c>
      <c r="CR4" vm="613">
        <f ca="1"/>
        <v>228.01</v>
      </c>
      <c r="CS4" vm="614">
        <f ca="1"/>
        <v>223.81</v>
      </c>
      <c r="CT4" vm="615">
        <f ca="1"/>
        <v>221.95</v>
      </c>
      <c r="CU4" vm="616">
        <f ca="1"/>
        <v>228.84</v>
      </c>
      <c r="CV4" vm="617">
        <f ca="1"/>
        <v>227.94</v>
      </c>
      <c r="CW4" vm="618">
        <f ca="1"/>
        <v>228.71</v>
      </c>
      <c r="CX4" vm="619">
        <f ca="1"/>
        <v>229.12</v>
      </c>
      <c r="CY4" vm="620">
        <f ca="1"/>
        <v>231.6</v>
      </c>
      <c r="CZ4" vm="621">
        <f ca="1"/>
        <v>229</v>
      </c>
      <c r="DA4" vm="622">
        <f ca="1"/>
        <v>225.34</v>
      </c>
      <c r="DB4" vm="623">
        <f ca="1"/>
        <v>225.99</v>
      </c>
      <c r="DC4" vm="624">
        <f ca="1"/>
        <v>235.68</v>
      </c>
      <c r="DD4" vm="625">
        <f ca="1"/>
        <v>232.33</v>
      </c>
      <c r="DE4" vm="626">
        <f ca="1"/>
        <v>235.84</v>
      </c>
      <c r="DF4" vm="627">
        <f ca="1"/>
        <v>238.24</v>
      </c>
      <c r="DG4" vm="628">
        <f ca="1"/>
        <v>230.33</v>
      </c>
      <c r="DH4" vm="629">
        <f ca="1"/>
        <v>229.95</v>
      </c>
      <c r="DI4" vm="630">
        <f ca="1"/>
        <v>228.15</v>
      </c>
      <c r="DJ4" vm="631">
        <f ca="1"/>
        <v>231.43</v>
      </c>
      <c r="DK4" vm="632">
        <f ca="1"/>
        <v>234.05</v>
      </c>
      <c r="DL4" vm="633">
        <f ca="1"/>
        <v>231.62</v>
      </c>
      <c r="DM4" vm="634">
        <f ca="1"/>
        <v>231.23</v>
      </c>
      <c r="DN4" vm="635">
        <f ca="1"/>
        <v>231.48</v>
      </c>
      <c r="DO4" vm="636">
        <f ca="1"/>
        <v>227.63</v>
      </c>
      <c r="DP4" vm="637">
        <f ca="1"/>
        <v>220.71</v>
      </c>
      <c r="DQ4" vm="638">
        <f ca="1"/>
        <v>220.21</v>
      </c>
      <c r="DR4" vm="639">
        <f ca="1"/>
        <v>218.15</v>
      </c>
      <c r="DS4" vm="640">
        <f ca="1"/>
        <v>219.78</v>
      </c>
      <c r="DT4" vm="641">
        <f ca="1"/>
        <v>222.17</v>
      </c>
      <c r="DU4" vm="642">
        <f ca="1"/>
        <v>219.57</v>
      </c>
      <c r="DV4" vm="643">
        <f ca="1"/>
        <v>220.63</v>
      </c>
      <c r="DW4" vm="644">
        <f ca="1"/>
        <v>222.41</v>
      </c>
      <c r="DX4" vm="645">
        <f ca="1"/>
        <v>219.51</v>
      </c>
      <c r="DY4" vm="646">
        <f ca="1"/>
        <v>220.9</v>
      </c>
      <c r="DZ4" vm="647">
        <f ca="1"/>
        <v>221.78</v>
      </c>
      <c r="EA4" vm="648">
        <f ca="1"/>
        <v>225.22</v>
      </c>
      <c r="EB4" vm="649">
        <f ca="1"/>
        <v>227.74</v>
      </c>
      <c r="EC4" vm="650">
        <f ca="1"/>
        <v>216.37</v>
      </c>
      <c r="ED4" vm="651">
        <f ca="1"/>
        <v>220.07</v>
      </c>
      <c r="EE4" vm="652">
        <f ca="1"/>
        <v>216.39</v>
      </c>
      <c r="EF4" vm="653">
        <f ca="1"/>
        <v>215.57</v>
      </c>
      <c r="EG4" vm="654">
        <f ca="1"/>
        <v>214.47</v>
      </c>
      <c r="EH4" vm="655">
        <f ca="1"/>
        <v>213.04</v>
      </c>
      <c r="EI4" vm="656">
        <f ca="1"/>
        <v>216.48</v>
      </c>
      <c r="EJ4" vm="657">
        <f ca="1"/>
        <v>222.03</v>
      </c>
      <c r="EK4" vm="658">
        <f ca="1"/>
        <v>217.95</v>
      </c>
      <c r="EL4" vm="659">
        <f ca="1"/>
        <v>221.09</v>
      </c>
      <c r="EM4" vm="660">
        <f ca="1"/>
        <v>224.21</v>
      </c>
      <c r="EN4" vm="661">
        <f ca="1"/>
        <v>226.97</v>
      </c>
      <c r="EO4" vm="662">
        <f ca="1"/>
        <v>229.25</v>
      </c>
      <c r="EP4" vm="663">
        <f ca="1"/>
        <v>230.3</v>
      </c>
      <c r="EQ4" vm="664">
        <f ca="1"/>
        <v>222.86</v>
      </c>
      <c r="ER4" vm="665">
        <f ca="1"/>
        <v>244.22</v>
      </c>
      <c r="ES4" vm="666">
        <f ca="1"/>
        <v>254</v>
      </c>
      <c r="ET4" vm="667">
        <f ca="1"/>
        <v>249.32</v>
      </c>
      <c r="EU4" vm="668">
        <f ca="1"/>
        <v>250.2</v>
      </c>
      <c r="EV4" vm="669">
        <f ca="1"/>
        <v>243.04</v>
      </c>
      <c r="EW4" vm="670">
        <f ca="1"/>
        <v>244.41</v>
      </c>
      <c r="EX4" vm="671">
        <f ca="1"/>
        <v>248.4</v>
      </c>
      <c r="EY4" vm="672">
        <f ca="1"/>
        <v>249.1</v>
      </c>
      <c r="EZ4" vm="673">
        <f ca="1"/>
        <v>244.2</v>
      </c>
      <c r="FA4" vm="674">
        <f ca="1"/>
        <v>237.58</v>
      </c>
      <c r="FB4" vm="675">
        <f ca="1"/>
        <v>234.69</v>
      </c>
      <c r="FC4" vm="676">
        <f ca="1"/>
        <v>232.87</v>
      </c>
      <c r="FD4" vm="677">
        <f ca="1"/>
        <v>222.55</v>
      </c>
      <c r="FE4" vm="606">
        <f ca="1"/>
        <v>222.69</v>
      </c>
      <c r="FF4" vm="678">
        <f ca="1"/>
        <v>217.14</v>
      </c>
      <c r="FG4" vm="679">
        <f ca="1"/>
        <v>220.69</v>
      </c>
      <c r="FH4" vm="680">
        <f ca="1"/>
        <v>226.28</v>
      </c>
      <c r="FI4" vm="681">
        <f ca="1"/>
        <v>229.67</v>
      </c>
      <c r="FJ4" vm="682">
        <f ca="1"/>
        <v>229.16</v>
      </c>
      <c r="FK4" vm="683">
        <f ca="1"/>
        <v>233.22</v>
      </c>
      <c r="FL4" vm="684">
        <f ca="1"/>
        <v>233.88</v>
      </c>
      <c r="FM4" vm="685">
        <f ca="1"/>
        <v>234.42</v>
      </c>
      <c r="FN4" vm="686">
        <f ca="1"/>
        <v>232.38</v>
      </c>
      <c r="FO4" vm="687">
        <f ca="1"/>
        <v>229.11</v>
      </c>
      <c r="FP4" vm="688">
        <f ca="1"/>
        <v>229.53</v>
      </c>
      <c r="FQ4" vm="689">
        <f ca="1"/>
        <v>226.89</v>
      </c>
      <c r="FR4" vm="471">
        <f ca="1"/>
        <v>227.92</v>
      </c>
      <c r="FS4" vm="690">
        <f ca="1"/>
        <v>231.78</v>
      </c>
      <c r="FT4" vm="691">
        <f ca="1"/>
        <v>230.28</v>
      </c>
      <c r="FU4" vm="692">
        <f ca="1"/>
        <v>226.19</v>
      </c>
      <c r="FV4" vm="584">
        <f ca="1"/>
        <v>222.54</v>
      </c>
      <c r="FW4" vm="693">
        <f ca="1"/>
        <v>222.56</v>
      </c>
      <c r="FX4" vm="694">
        <f ca="1"/>
        <v>221.27</v>
      </c>
      <c r="FY4" vm="695">
        <f ca="1"/>
        <v>226.76</v>
      </c>
      <c r="FZ4" vm="696">
        <f ca="1"/>
        <v>227.35</v>
      </c>
      <c r="GA4" vm="697">
        <f ca="1"/>
        <v>228.43</v>
      </c>
      <c r="GB4" vm="698">
        <f ca="1"/>
        <v>232.14</v>
      </c>
      <c r="GC4" vm="686">
        <f ca="1"/>
        <v>232.38</v>
      </c>
      <c r="GD4" vm="699">
        <f ca="1"/>
        <v>232.52</v>
      </c>
      <c r="GE4" vm="700">
        <f ca="1"/>
        <v>232.07</v>
      </c>
      <c r="GF4" vm="701">
        <f ca="1"/>
        <v>232.53</v>
      </c>
      <c r="GG4" vm="702">
        <f ca="1"/>
        <v>230.82</v>
      </c>
      <c r="GH4" vm="703">
        <f ca="1"/>
        <v>226.5</v>
      </c>
      <c r="GI4" vm="704">
        <f ca="1"/>
        <v>233.06</v>
      </c>
      <c r="GJ4" vm="705">
        <f ca="1"/>
        <v>240.93</v>
      </c>
      <c r="GK4" vm="706">
        <f ca="1"/>
        <v>241.56</v>
      </c>
      <c r="GL4" vm="707">
        <f ca="1"/>
        <v>246.29</v>
      </c>
      <c r="GM4" vm="708">
        <f ca="1"/>
        <v>247.38</v>
      </c>
      <c r="GN4" vm="709">
        <f ca="1"/>
        <v>246.47</v>
      </c>
      <c r="GO4" vm="710">
        <f ca="1"/>
        <v>242.6</v>
      </c>
      <c r="GP4" vm="711">
        <f ca="1"/>
        <v>236.65</v>
      </c>
      <c r="GQ4" vm="712">
        <f ca="1"/>
        <v>238.18</v>
      </c>
      <c r="GR4" vm="713">
        <f ca="1"/>
        <v>239.12</v>
      </c>
      <c r="GS4" vm="714">
        <f ca="1"/>
        <v>231</v>
      </c>
      <c r="GT4" vm="715">
        <f ca="1"/>
        <v>231.31</v>
      </c>
      <c r="GU4" vm="716">
        <f ca="1"/>
        <v>234.34</v>
      </c>
      <c r="GV4" vm="717">
        <f ca="1"/>
        <v>239.16</v>
      </c>
      <c r="GW4" vm="718">
        <f ca="1"/>
        <v>238.42</v>
      </c>
      <c r="GX4" vm="719">
        <f ca="1"/>
        <v>244.68</v>
      </c>
      <c r="GY4" vm="720">
        <f ca="1"/>
        <v>243.01</v>
      </c>
      <c r="GZ4" vm="721">
        <f ca="1"/>
        <v>241.73</v>
      </c>
      <c r="HA4" vm="722">
        <f ca="1"/>
        <v>239.3</v>
      </c>
      <c r="HB4" vm="723">
        <f ca="1"/>
        <v>242.96</v>
      </c>
      <c r="HC4" vm="724">
        <f ca="1"/>
        <v>238.62</v>
      </c>
      <c r="HD4" vm="725">
        <f ca="1"/>
        <v>232.99</v>
      </c>
      <c r="HE4" vm="606">
        <f ca="1"/>
        <v>222.69</v>
      </c>
      <c r="HF4" vm="726">
        <f ca="1"/>
        <v>210.32</v>
      </c>
      <c r="HG4" vm="727">
        <f ca="1"/>
        <v>208.72</v>
      </c>
      <c r="HH4" vm="728">
        <f ca="1"/>
        <v>206.96</v>
      </c>
      <c r="HI4" vm="729">
        <f ca="1"/>
        <v>204.08</v>
      </c>
      <c r="HJ4" vm="730">
        <f ca="1"/>
        <v>199.6</v>
      </c>
      <c r="HK4" vm="731">
        <f ca="1"/>
        <v>198.79</v>
      </c>
      <c r="HL4" vm="732">
        <f ca="1"/>
        <v>201.15</v>
      </c>
      <c r="HM4" vm="733">
        <f ca="1"/>
        <v>204.79</v>
      </c>
      <c r="HN4" vm="734">
        <f ca="1"/>
        <v>204.86</v>
      </c>
      <c r="HO4" vm="735">
        <f ca="1"/>
        <v>210.11</v>
      </c>
      <c r="HP4" vm="514">
        <f ca="1"/>
        <v>205.27</v>
      </c>
      <c r="HQ4" vm="736">
        <f ca="1"/>
        <v>208.56</v>
      </c>
      <c r="HR4" vm="737">
        <f ca="1"/>
        <v>210.64</v>
      </c>
      <c r="HS4" vm="738">
        <f ca="1"/>
        <v>207.92</v>
      </c>
      <c r="HT4" vm="739">
        <f ca="1"/>
        <v>210</v>
      </c>
      <c r="HU4" vm="740">
        <f ca="1"/>
        <v>208.39</v>
      </c>
      <c r="HV4" vm="741">
        <f ca="1"/>
        <v>208.73</v>
      </c>
      <c r="HW4" vm="742">
        <f ca="1"/>
        <v>216.82</v>
      </c>
      <c r="HX4" vm="743">
        <f ca="1"/>
        <v>218.94</v>
      </c>
      <c r="HY4" vm="744">
        <f ca="1"/>
        <v>213.21</v>
      </c>
      <c r="HZ4" vm="745">
        <f ca="1"/>
        <v>213.49</v>
      </c>
      <c r="IA4" vm="746">
        <f ca="1"/>
        <v>214.33</v>
      </c>
      <c r="IB4" vm="747">
        <f ca="1"/>
        <v>212.65</v>
      </c>
      <c r="IC4" vm="748">
        <f ca="1"/>
        <v>209.53</v>
      </c>
      <c r="ID4" vm="749">
        <f ca="1"/>
        <v>207.67</v>
      </c>
      <c r="IE4" vm="750">
        <f ca="1"/>
        <v>211.74</v>
      </c>
      <c r="IF4" vm="751">
        <f ca="1"/>
        <v>215.2</v>
      </c>
      <c r="IG4" vm="752">
        <f ca="1"/>
        <v>209.87</v>
      </c>
      <c r="IH4" vm="753">
        <f ca="1"/>
        <v>208.76</v>
      </c>
      <c r="II4" vm="516">
        <f ca="1"/>
        <v>205.37</v>
      </c>
      <c r="IJ4" vm="754">
        <f ca="1"/>
        <v>210.14</v>
      </c>
      <c r="IK4" vm="755">
        <f ca="1"/>
        <v>207.24</v>
      </c>
      <c r="IL4" vm="756">
        <f ca="1"/>
        <v>211.71</v>
      </c>
      <c r="IM4" vm="757">
        <f ca="1"/>
        <v>207.54</v>
      </c>
      <c r="IN4" vm="758">
        <f ca="1"/>
        <v>199.34</v>
      </c>
      <c r="IO4" vm="759">
        <f ca="1"/>
        <v>200.95</v>
      </c>
      <c r="IP4" vm="760">
        <f ca="1"/>
        <v>208.27</v>
      </c>
      <c r="IQ4" vm="761">
        <f ca="1"/>
        <v>210.57</v>
      </c>
    </row>
    <row r="5" spans="1:251" x14ac:dyDescent="0.35">
      <c r="A5" t="e" vm="3">
        <f>Dashboard!B9</f>
        <v>#VALUE!</v>
      </c>
      <c r="B5" cm="1" vm="523">
        <f t="array" aca="1" ref="B5:IQ5" ca="1">TRANSPOSE(_xlfn.STOCKHISTORY(A5,TODAY()-365,TODAY(),0,0,1))</f>
        <v>178.41</v>
      </c>
      <c r="C5" vm="524">
        <f ca="1"/>
        <v>171</v>
      </c>
      <c r="D5" vm="525">
        <f ca="1"/>
        <v>175.26</v>
      </c>
      <c r="E5" vm="526">
        <f ca="1"/>
        <v>170.66</v>
      </c>
      <c r="F5" vm="527">
        <f ca="1"/>
        <v>191.1</v>
      </c>
      <c r="G5" vm="528">
        <f ca="1"/>
        <v>181.22</v>
      </c>
      <c r="H5" vm="529">
        <f ca="1"/>
        <v>184.87</v>
      </c>
      <c r="I5" vm="530">
        <f ca="1"/>
        <v>182.12</v>
      </c>
      <c r="J5" vm="531">
        <f ca="1"/>
        <v>179.59</v>
      </c>
      <c r="K5" vm="532">
        <f ca="1"/>
        <v>174.33</v>
      </c>
      <c r="L5" vm="533">
        <f ca="1"/>
        <v>172.61</v>
      </c>
      <c r="M5" vm="534">
        <f ca="1"/>
        <v>167.32</v>
      </c>
      <c r="N5" vm="535">
        <f ca="1"/>
        <v>173.18</v>
      </c>
      <c r="O5" vm="536">
        <f ca="1"/>
        <v>180.6</v>
      </c>
      <c r="P5" vm="537">
        <f ca="1"/>
        <v>186.54</v>
      </c>
      <c r="Q5" vm="538">
        <f ca="1"/>
        <v>188.99</v>
      </c>
      <c r="R5" vm="539">
        <f ca="1"/>
        <v>187.7</v>
      </c>
      <c r="S5" vm="540">
        <f ca="1"/>
        <v>187.39</v>
      </c>
      <c r="T5" vm="366">
        <f ca="1"/>
        <v>184.42</v>
      </c>
      <c r="U5" vm="541">
        <f ca="1"/>
        <v>190.2</v>
      </c>
      <c r="V5" vm="542">
        <f ca="1"/>
        <v>189.98</v>
      </c>
      <c r="W5" vm="543">
        <f ca="1"/>
        <v>186.35</v>
      </c>
      <c r="X5" vm="544">
        <f ca="1"/>
        <v>185.01</v>
      </c>
      <c r="Y5" vm="545">
        <f ca="1"/>
        <v>188.71</v>
      </c>
      <c r="Z5" vm="546">
        <f ca="1"/>
        <v>192.08</v>
      </c>
      <c r="AA5" vm="547">
        <f ca="1"/>
        <v>193.06</v>
      </c>
      <c r="AB5" vm="548">
        <f ca="1"/>
        <v>208.64</v>
      </c>
      <c r="AC5" vm="549">
        <f ca="1"/>
        <v>211.37</v>
      </c>
      <c r="AD5" vm="550">
        <f ca="1"/>
        <v>210.25</v>
      </c>
      <c r="AE5" vm="551">
        <f ca="1"/>
        <v>205.17</v>
      </c>
      <c r="AF5" vm="552">
        <f ca="1"/>
        <v>205.59</v>
      </c>
      <c r="AG5" vm="553">
        <f ca="1"/>
        <v>206.16</v>
      </c>
      <c r="AH5" vm="554">
        <f ca="1"/>
        <v>204.07</v>
      </c>
      <c r="AI5" vm="555">
        <f ca="1"/>
        <v>201.12</v>
      </c>
      <c r="AJ5" vm="556">
        <f ca="1"/>
        <v>203.1</v>
      </c>
      <c r="AK5" vm="557">
        <f ca="1"/>
        <v>200.99</v>
      </c>
      <c r="AL5" vm="435">
        <f ca="1"/>
        <v>206.02</v>
      </c>
      <c r="AM5" vm="558">
        <f ca="1"/>
        <v>204.72</v>
      </c>
      <c r="AN5" vm="559">
        <f ca="1"/>
        <v>205.7</v>
      </c>
      <c r="AO5" vm="560">
        <f ca="1"/>
        <v>205.01</v>
      </c>
      <c r="AP5" vm="561">
        <f ca="1"/>
        <v>206.65</v>
      </c>
      <c r="AQ5" vm="562">
        <f ca="1"/>
        <v>205.71</v>
      </c>
      <c r="AR5" vm="563">
        <f ca="1"/>
        <v>207.23</v>
      </c>
      <c r="AS5" vm="564">
        <f ca="1"/>
        <v>207.91</v>
      </c>
      <c r="AT5" vm="488">
        <f ca="1"/>
        <v>213.57</v>
      </c>
      <c r="AU5" vm="565">
        <f ca="1"/>
        <v>216.98</v>
      </c>
      <c r="AV5" vm="566">
        <f ca="1"/>
        <v>217.61</v>
      </c>
      <c r="AW5" vm="567">
        <f ca="1"/>
        <v>213.2</v>
      </c>
      <c r="AX5" vm="568">
        <f ca="1"/>
        <v>213.24</v>
      </c>
      <c r="AY5" vm="569">
        <f ca="1"/>
        <v>212.1</v>
      </c>
      <c r="AZ5" vm="570">
        <f ca="1"/>
        <v>216.1</v>
      </c>
      <c r="BA5" vm="571">
        <f ca="1"/>
        <v>214.82</v>
      </c>
      <c r="BB5" vm="572">
        <f ca="1"/>
        <v>212.52</v>
      </c>
      <c r="BC5" vm="573">
        <f ca="1"/>
        <v>209.69</v>
      </c>
      <c r="BD5" vm="574">
        <f ca="1"/>
        <v>208.47</v>
      </c>
      <c r="BE5" vm="575">
        <f ca="1"/>
        <v>212.77</v>
      </c>
      <c r="BF5" vm="576">
        <f ca="1"/>
        <v>211.99</v>
      </c>
      <c r="BG5" vm="577">
        <f ca="1"/>
        <v>217.12</v>
      </c>
      <c r="BH5" vm="578">
        <f ca="1"/>
        <v>223.3</v>
      </c>
      <c r="BI5" vm="579">
        <f ca="1"/>
        <v>219.39</v>
      </c>
      <c r="BJ5" vm="580">
        <f ca="1"/>
        <v>220.46</v>
      </c>
      <c r="BK5" vm="581">
        <f ca="1"/>
        <v>219.92</v>
      </c>
      <c r="BL5" vm="582">
        <f ca="1"/>
        <v>223.41</v>
      </c>
      <c r="BM5" vm="462">
        <f ca="1"/>
        <v>223.47</v>
      </c>
      <c r="BN5" vm="583">
        <f ca="1"/>
        <v>219.36</v>
      </c>
      <c r="BO5" vm="584">
        <f ca="1"/>
        <v>222.54</v>
      </c>
      <c r="BP5" vm="585">
        <f ca="1"/>
        <v>222.26</v>
      </c>
      <c r="BQ5" vm="586">
        <f ca="1"/>
        <v>225.02</v>
      </c>
      <c r="BR5" vm="587">
        <f ca="1"/>
        <v>225.69</v>
      </c>
      <c r="BS5" vm="588">
        <f ca="1"/>
        <v>226.35</v>
      </c>
      <c r="BT5" vm="589">
        <f ca="1"/>
        <v>223.19</v>
      </c>
      <c r="BU5" vm="590">
        <f ca="1"/>
        <v>223.88</v>
      </c>
      <c r="BV5" vm="591">
        <f ca="1"/>
        <v>226.13</v>
      </c>
      <c r="BW5" vm="592">
        <f ca="1"/>
        <v>229.3</v>
      </c>
      <c r="BX5" vm="593">
        <f ca="1"/>
        <v>227.47</v>
      </c>
      <c r="BY5" vm="594">
        <f ca="1"/>
        <v>228.29</v>
      </c>
      <c r="BZ5" vm="595">
        <f ca="1"/>
        <v>232.23</v>
      </c>
      <c r="CA5" vm="596">
        <f ca="1"/>
        <v>231.44</v>
      </c>
      <c r="CB5" vm="597">
        <f ca="1"/>
        <v>232.79</v>
      </c>
      <c r="CC5" vm="598">
        <f ca="1"/>
        <v>231.01</v>
      </c>
      <c r="CD5" vm="599">
        <f ca="1"/>
        <v>230.19</v>
      </c>
      <c r="CE5" vm="600">
        <f ca="1"/>
        <v>234.11</v>
      </c>
      <c r="CF5" vm="601">
        <f ca="1"/>
        <v>214.75</v>
      </c>
      <c r="CG5" vm="602">
        <f ca="1"/>
        <v>211.65</v>
      </c>
      <c r="CH5" vm="603">
        <f ca="1"/>
        <v>213.75</v>
      </c>
      <c r="CI5" vm="604">
        <f ca="1"/>
        <v>222.31</v>
      </c>
      <c r="CJ5" vm="605">
        <f ca="1"/>
        <v>223.13</v>
      </c>
      <c r="CK5" vm="606">
        <f ca="1"/>
        <v>222.69</v>
      </c>
      <c r="CL5" vm="607">
        <f ca="1"/>
        <v>221.3</v>
      </c>
      <c r="CM5" vm="608">
        <f ca="1"/>
        <v>221.47</v>
      </c>
      <c r="CN5" vm="609">
        <f ca="1"/>
        <v>224.56</v>
      </c>
      <c r="CO5" vm="610">
        <f ca="1"/>
        <v>230.98</v>
      </c>
      <c r="CP5" vm="611">
        <f ca="1"/>
        <v>231.03</v>
      </c>
      <c r="CQ5" vm="612">
        <f ca="1"/>
        <v>231.49</v>
      </c>
      <c r="CR5" vm="613">
        <f ca="1"/>
        <v>228.01</v>
      </c>
      <c r="CS5" vm="614">
        <f ca="1"/>
        <v>223.81</v>
      </c>
      <c r="CT5" vm="615">
        <f ca="1"/>
        <v>221.95</v>
      </c>
      <c r="CU5" vm="616">
        <f ca="1"/>
        <v>228.84</v>
      </c>
      <c r="CV5" vm="617">
        <f ca="1"/>
        <v>227.94</v>
      </c>
      <c r="CW5" vm="618">
        <f ca="1"/>
        <v>228.71</v>
      </c>
      <c r="CX5" vm="619">
        <f ca="1"/>
        <v>229.12</v>
      </c>
      <c r="CY5" vm="620">
        <f ca="1"/>
        <v>231.6</v>
      </c>
      <c r="CZ5" vm="621">
        <f ca="1"/>
        <v>229</v>
      </c>
      <c r="DA5" vm="622">
        <f ca="1"/>
        <v>225.34</v>
      </c>
      <c r="DB5" vm="623">
        <f ca="1"/>
        <v>225.99</v>
      </c>
      <c r="DC5" vm="624">
        <f ca="1"/>
        <v>235.68</v>
      </c>
      <c r="DD5" vm="625">
        <f ca="1"/>
        <v>232.33</v>
      </c>
      <c r="DE5" vm="626">
        <f ca="1"/>
        <v>235.84</v>
      </c>
      <c r="DF5" vm="627">
        <f ca="1"/>
        <v>238.24</v>
      </c>
      <c r="DG5" vm="628">
        <f ca="1"/>
        <v>230.33</v>
      </c>
      <c r="DH5" vm="629">
        <f ca="1"/>
        <v>229.95</v>
      </c>
      <c r="DI5" vm="630">
        <f ca="1"/>
        <v>228.15</v>
      </c>
      <c r="DJ5" vm="631">
        <f ca="1"/>
        <v>231.43</v>
      </c>
      <c r="DK5" vm="632">
        <f ca="1"/>
        <v>234.05</v>
      </c>
      <c r="DL5" vm="633">
        <f ca="1"/>
        <v>231.62</v>
      </c>
      <c r="DM5" vm="634">
        <f ca="1"/>
        <v>231.23</v>
      </c>
      <c r="DN5" vm="635">
        <f ca="1"/>
        <v>231.48</v>
      </c>
      <c r="DO5" vm="636">
        <f ca="1"/>
        <v>227.63</v>
      </c>
      <c r="DP5" vm="637">
        <f ca="1"/>
        <v>220.71</v>
      </c>
      <c r="DQ5" vm="638">
        <f ca="1"/>
        <v>220.21</v>
      </c>
      <c r="DR5" vm="639">
        <f ca="1"/>
        <v>218.15</v>
      </c>
      <c r="DS5" vm="640">
        <f ca="1"/>
        <v>219.78</v>
      </c>
      <c r="DT5" vm="641">
        <f ca="1"/>
        <v>222.17</v>
      </c>
      <c r="DU5" vm="642">
        <f ca="1"/>
        <v>219.57</v>
      </c>
      <c r="DV5" vm="643">
        <f ca="1"/>
        <v>220.63</v>
      </c>
      <c r="DW5" vm="644">
        <f ca="1"/>
        <v>222.41</v>
      </c>
      <c r="DX5" vm="645">
        <f ca="1"/>
        <v>219.51</v>
      </c>
      <c r="DY5" vm="646">
        <f ca="1"/>
        <v>220.9</v>
      </c>
      <c r="DZ5" vm="647">
        <f ca="1"/>
        <v>221.78</v>
      </c>
      <c r="EA5" vm="648">
        <f ca="1"/>
        <v>225.22</v>
      </c>
      <c r="EB5" vm="649">
        <f ca="1"/>
        <v>227.74</v>
      </c>
      <c r="EC5" vm="650">
        <f ca="1"/>
        <v>216.37</v>
      </c>
      <c r="ED5" vm="651">
        <f ca="1"/>
        <v>220.07</v>
      </c>
      <c r="EE5" vm="652">
        <f ca="1"/>
        <v>216.39</v>
      </c>
      <c r="EF5" vm="653">
        <f ca="1"/>
        <v>215.57</v>
      </c>
      <c r="EG5" vm="654">
        <f ca="1"/>
        <v>214.47</v>
      </c>
      <c r="EH5" vm="655">
        <f ca="1"/>
        <v>213.04</v>
      </c>
      <c r="EI5" vm="656">
        <f ca="1"/>
        <v>216.48</v>
      </c>
      <c r="EJ5" vm="657">
        <f ca="1"/>
        <v>222.03</v>
      </c>
      <c r="EK5" vm="658">
        <f ca="1"/>
        <v>217.95</v>
      </c>
      <c r="EL5" vm="659">
        <f ca="1"/>
        <v>221.09</v>
      </c>
      <c r="EM5" vm="660">
        <f ca="1"/>
        <v>224.21</v>
      </c>
      <c r="EN5" vm="661">
        <f ca="1"/>
        <v>226.97</v>
      </c>
      <c r="EO5" vm="662">
        <f ca="1"/>
        <v>229.25</v>
      </c>
      <c r="EP5" vm="663">
        <f ca="1"/>
        <v>230.3</v>
      </c>
      <c r="EQ5" vm="664">
        <f ca="1"/>
        <v>222.86</v>
      </c>
      <c r="ER5" vm="665">
        <f ca="1"/>
        <v>244.22</v>
      </c>
      <c r="ES5" vm="666">
        <f ca="1"/>
        <v>254</v>
      </c>
      <c r="ET5" vm="667">
        <f ca="1"/>
        <v>249.32</v>
      </c>
      <c r="EU5" vm="668">
        <f ca="1"/>
        <v>250.2</v>
      </c>
      <c r="EV5" vm="669">
        <f ca="1"/>
        <v>243.04</v>
      </c>
      <c r="EW5" vm="670">
        <f ca="1"/>
        <v>244.41</v>
      </c>
      <c r="EX5" vm="671">
        <f ca="1"/>
        <v>248.4</v>
      </c>
      <c r="EY5" vm="672">
        <f ca="1"/>
        <v>249.1</v>
      </c>
      <c r="EZ5" vm="673">
        <f ca="1"/>
        <v>244.2</v>
      </c>
      <c r="FA5" vm="674">
        <f ca="1"/>
        <v>237.58</v>
      </c>
      <c r="FB5" vm="675">
        <f ca="1"/>
        <v>234.69</v>
      </c>
      <c r="FC5" vm="676">
        <f ca="1"/>
        <v>232.87</v>
      </c>
      <c r="FD5" vm="677">
        <f ca="1"/>
        <v>222.55</v>
      </c>
      <c r="FE5" vm="606">
        <f ca="1"/>
        <v>222.69</v>
      </c>
      <c r="FF5" vm="678">
        <f ca="1"/>
        <v>217.14</v>
      </c>
      <c r="FG5" vm="679">
        <f ca="1"/>
        <v>220.69</v>
      </c>
      <c r="FH5" vm="680">
        <f ca="1"/>
        <v>226.28</v>
      </c>
      <c r="FI5" vm="681">
        <f ca="1"/>
        <v>229.67</v>
      </c>
      <c r="FJ5" vm="682">
        <f ca="1"/>
        <v>229.16</v>
      </c>
      <c r="FK5" vm="683">
        <f ca="1"/>
        <v>233.22</v>
      </c>
      <c r="FL5" vm="684">
        <f ca="1"/>
        <v>233.88</v>
      </c>
      <c r="FM5" vm="685">
        <f ca="1"/>
        <v>234.42</v>
      </c>
      <c r="FN5" vm="686">
        <f ca="1"/>
        <v>232.38</v>
      </c>
      <c r="FO5" vm="687">
        <f ca="1"/>
        <v>229.11</v>
      </c>
      <c r="FP5" vm="688">
        <f ca="1"/>
        <v>229.53</v>
      </c>
      <c r="FQ5" vm="689">
        <f ca="1"/>
        <v>226.89</v>
      </c>
      <c r="FR5" vm="471">
        <f ca="1"/>
        <v>227.92</v>
      </c>
      <c r="FS5" vm="690">
        <f ca="1"/>
        <v>231.78</v>
      </c>
      <c r="FT5" vm="691">
        <f ca="1"/>
        <v>230.28</v>
      </c>
      <c r="FU5" vm="692">
        <f ca="1"/>
        <v>226.19</v>
      </c>
      <c r="FV5" vm="584">
        <f ca="1"/>
        <v>222.54</v>
      </c>
      <c r="FW5" vm="693">
        <f ca="1"/>
        <v>222.56</v>
      </c>
      <c r="FX5" vm="694">
        <f ca="1"/>
        <v>221.27</v>
      </c>
      <c r="FY5" vm="695">
        <f ca="1"/>
        <v>226.76</v>
      </c>
      <c r="FZ5" vm="696">
        <f ca="1"/>
        <v>227.35</v>
      </c>
      <c r="GA5" vm="697">
        <f ca="1"/>
        <v>228.43</v>
      </c>
      <c r="GB5" vm="698">
        <f ca="1"/>
        <v>232.14</v>
      </c>
      <c r="GC5" vm="686">
        <f ca="1"/>
        <v>232.38</v>
      </c>
      <c r="GD5" vm="699">
        <f ca="1"/>
        <v>232.52</v>
      </c>
      <c r="GE5" vm="700">
        <f ca="1"/>
        <v>232.07</v>
      </c>
      <c r="GF5" vm="701">
        <f ca="1"/>
        <v>232.53</v>
      </c>
      <c r="GG5" vm="702">
        <f ca="1"/>
        <v>230.82</v>
      </c>
      <c r="GH5" vm="703">
        <f ca="1"/>
        <v>226.5</v>
      </c>
      <c r="GI5" vm="704">
        <f ca="1"/>
        <v>233.06</v>
      </c>
      <c r="GJ5" vm="705">
        <f ca="1"/>
        <v>240.93</v>
      </c>
      <c r="GK5" vm="706">
        <f ca="1"/>
        <v>241.56</v>
      </c>
      <c r="GL5" vm="707">
        <f ca="1"/>
        <v>246.29</v>
      </c>
      <c r="GM5" vm="708">
        <f ca="1"/>
        <v>247.38</v>
      </c>
      <c r="GN5" vm="709">
        <f ca="1"/>
        <v>246.47</v>
      </c>
      <c r="GO5" vm="710">
        <f ca="1"/>
        <v>242.6</v>
      </c>
      <c r="GP5" vm="711">
        <f ca="1"/>
        <v>236.65</v>
      </c>
      <c r="GQ5" vm="712">
        <f ca="1"/>
        <v>238.18</v>
      </c>
      <c r="GR5" vm="713">
        <f ca="1"/>
        <v>239.12</v>
      </c>
      <c r="GS5" vm="714">
        <f ca="1"/>
        <v>231</v>
      </c>
      <c r="GT5" vm="715">
        <f ca="1"/>
        <v>231.31</v>
      </c>
      <c r="GU5" vm="716">
        <f ca="1"/>
        <v>234.34</v>
      </c>
      <c r="GV5" vm="717">
        <f ca="1"/>
        <v>239.16</v>
      </c>
      <c r="GW5" vm="718">
        <f ca="1"/>
        <v>238.42</v>
      </c>
      <c r="GX5" vm="719">
        <f ca="1"/>
        <v>244.68</v>
      </c>
      <c r="GY5" vm="720">
        <f ca="1"/>
        <v>243.01</v>
      </c>
      <c r="GZ5" vm="721">
        <f ca="1"/>
        <v>241.73</v>
      </c>
      <c r="HA5" vm="722">
        <f ca="1"/>
        <v>239.3</v>
      </c>
      <c r="HB5" vm="723">
        <f ca="1"/>
        <v>242.96</v>
      </c>
      <c r="HC5" vm="724">
        <f ca="1"/>
        <v>238.62</v>
      </c>
      <c r="HD5" vm="725">
        <f ca="1"/>
        <v>232.99</v>
      </c>
      <c r="HE5" vm="606">
        <f ca="1"/>
        <v>222.69</v>
      </c>
      <c r="HF5" vm="726">
        <f ca="1"/>
        <v>210.32</v>
      </c>
      <c r="HG5" vm="727">
        <f ca="1"/>
        <v>208.72</v>
      </c>
      <c r="HH5" vm="728">
        <f ca="1"/>
        <v>206.96</v>
      </c>
      <c r="HI5" vm="729">
        <f ca="1"/>
        <v>204.08</v>
      </c>
      <c r="HJ5" vm="730">
        <f ca="1"/>
        <v>199.6</v>
      </c>
      <c r="HK5" vm="731">
        <f ca="1"/>
        <v>198.79</v>
      </c>
      <c r="HL5" vm="732">
        <f ca="1"/>
        <v>201.15</v>
      </c>
      <c r="HM5" vm="733">
        <f ca="1"/>
        <v>204.79</v>
      </c>
      <c r="HN5" vm="734">
        <f ca="1"/>
        <v>204.86</v>
      </c>
      <c r="HO5" vm="735">
        <f ca="1"/>
        <v>210.11</v>
      </c>
      <c r="HP5" vm="514">
        <f ca="1"/>
        <v>205.27</v>
      </c>
      <c r="HQ5" vm="736">
        <f ca="1"/>
        <v>208.56</v>
      </c>
      <c r="HR5" vm="737">
        <f ca="1"/>
        <v>210.64</v>
      </c>
      <c r="HS5" vm="738">
        <f ca="1"/>
        <v>207.92</v>
      </c>
      <c r="HT5" vm="739">
        <f ca="1"/>
        <v>210</v>
      </c>
      <c r="HU5" vm="740">
        <f ca="1"/>
        <v>208.39</v>
      </c>
      <c r="HV5" vm="741">
        <f ca="1"/>
        <v>208.73</v>
      </c>
      <c r="HW5" vm="742">
        <f ca="1"/>
        <v>216.82</v>
      </c>
      <c r="HX5" vm="743">
        <f ca="1"/>
        <v>218.94</v>
      </c>
      <c r="HY5" vm="744">
        <f ca="1"/>
        <v>213.21</v>
      </c>
      <c r="HZ5" vm="745">
        <f ca="1"/>
        <v>213.49</v>
      </c>
      <c r="IA5" vm="746">
        <f ca="1"/>
        <v>214.33</v>
      </c>
      <c r="IB5" vm="747">
        <f ca="1"/>
        <v>212.65</v>
      </c>
      <c r="IC5" vm="748">
        <f ca="1"/>
        <v>209.53</v>
      </c>
      <c r="ID5" vm="749">
        <f ca="1"/>
        <v>207.67</v>
      </c>
      <c r="IE5" vm="750">
        <f ca="1"/>
        <v>211.74</v>
      </c>
      <c r="IF5" vm="751">
        <f ca="1"/>
        <v>215.2</v>
      </c>
      <c r="IG5" vm="752">
        <f ca="1"/>
        <v>209.87</v>
      </c>
      <c r="IH5" vm="753">
        <f ca="1"/>
        <v>208.76</v>
      </c>
      <c r="II5" vm="516">
        <f ca="1"/>
        <v>205.37</v>
      </c>
      <c r="IJ5" vm="754">
        <f ca="1"/>
        <v>210.14</v>
      </c>
      <c r="IK5" vm="755">
        <f ca="1"/>
        <v>207.24</v>
      </c>
      <c r="IL5" vm="756">
        <f ca="1"/>
        <v>211.71</v>
      </c>
      <c r="IM5" vm="757">
        <f ca="1"/>
        <v>207.54</v>
      </c>
      <c r="IN5" vm="758">
        <f ca="1"/>
        <v>199.34</v>
      </c>
      <c r="IO5" vm="759">
        <f ca="1"/>
        <v>200.95</v>
      </c>
      <c r="IP5" vm="760">
        <f ca="1"/>
        <v>208.27</v>
      </c>
      <c r="IQ5" vm="761">
        <f ca="1"/>
        <v>210.57</v>
      </c>
    </row>
    <row r="6" spans="1:251" x14ac:dyDescent="0.35">
      <c r="A6" t="e" vm="4">
        <f>Dashboard!B10</f>
        <v>#VALUE!</v>
      </c>
      <c r="B6" cm="1" vm="762">
        <f t="array" aca="1" ref="B6:IQ6" ca="1">TRANSPOSE(_xlfn.STOCKHISTORY(A6,TODAY()-365,TODAY(),0,0,1))</f>
        <v>203.19</v>
      </c>
      <c r="C6" vm="763">
        <f ca="1"/>
        <v>188.38</v>
      </c>
      <c r="D6" vm="764">
        <f ca="1"/>
        <v>181.46</v>
      </c>
      <c r="E6" vm="765">
        <f ca="1"/>
        <v>172.42</v>
      </c>
      <c r="F6" vm="766">
        <f ca="1"/>
        <v>198.85</v>
      </c>
      <c r="G6" vm="767">
        <f ca="1"/>
        <v>190.42</v>
      </c>
      <c r="H6" vm="768">
        <f ca="1"/>
        <v>198.15</v>
      </c>
      <c r="I6" vm="769">
        <f ca="1"/>
        <v>202.52</v>
      </c>
      <c r="J6" vm="770">
        <f ca="1"/>
        <v>202.14</v>
      </c>
      <c r="K6" vm="771">
        <f ca="1"/>
        <v>194.27</v>
      </c>
      <c r="L6" vm="772">
        <f ca="1"/>
        <v>196.98</v>
      </c>
      <c r="M6" vm="773">
        <f ca="1"/>
        <v>193.16</v>
      </c>
      <c r="N6" vm="774">
        <f ca="1"/>
        <v>199.74</v>
      </c>
      <c r="O6" vm="775">
        <f ca="1"/>
        <v>204.6</v>
      </c>
      <c r="P6" vm="776">
        <f ca="1"/>
        <v>208.37</v>
      </c>
      <c r="Q6" vm="777">
        <f ca="1"/>
        <v>209.28</v>
      </c>
      <c r="R6" vm="754">
        <f ca="1"/>
        <v>210.14</v>
      </c>
      <c r="S6" vm="778">
        <f ca="1"/>
        <v>211.21</v>
      </c>
      <c r="T6" vm="779">
        <f ca="1"/>
        <v>212.5</v>
      </c>
      <c r="U6" vm="780">
        <f ca="1"/>
        <v>213.32</v>
      </c>
      <c r="V6" vm="781">
        <f ca="1"/>
        <v>205.35</v>
      </c>
      <c r="W6" vm="782">
        <f ca="1"/>
        <v>198.89</v>
      </c>
      <c r="X6" vm="783">
        <f ca="1"/>
        <v>198.51</v>
      </c>
      <c r="Y6" vm="784">
        <f ca="1"/>
        <v>196.25</v>
      </c>
      <c r="Z6" vm="785">
        <f ca="1"/>
        <v>197.49</v>
      </c>
      <c r="AA6" vm="786">
        <f ca="1"/>
        <v>198.53</v>
      </c>
      <c r="AB6" vm="787">
        <f ca="1"/>
        <v>210.79</v>
      </c>
      <c r="AC6" vm="788">
        <f ca="1"/>
        <v>212.93</v>
      </c>
      <c r="AD6" vm="789">
        <f ca="1"/>
        <v>212.33</v>
      </c>
      <c r="AE6" vm="790">
        <f ca="1"/>
        <v>211.45</v>
      </c>
      <c r="AF6" vm="791">
        <f ca="1"/>
        <v>211.26</v>
      </c>
      <c r="AG6" vm="792">
        <f ca="1"/>
        <v>208.78</v>
      </c>
      <c r="AH6" vm="793">
        <f ca="1"/>
        <v>206.86</v>
      </c>
      <c r="AI6" vm="794">
        <f ca="1"/>
        <v>202.09</v>
      </c>
      <c r="AJ6" vm="795">
        <f ca="1"/>
        <v>201.36</v>
      </c>
      <c r="AK6" vm="796">
        <f ca="1"/>
        <v>195.27</v>
      </c>
      <c r="AL6" vm="500">
        <f ca="1"/>
        <v>200.21</v>
      </c>
      <c r="AM6" vm="797">
        <f ca="1"/>
        <v>200.42</v>
      </c>
      <c r="AN6" vm="798">
        <f ca="1"/>
        <v>199.95</v>
      </c>
      <c r="AO6" vm="799">
        <f ca="1"/>
        <v>200.85</v>
      </c>
      <c r="AP6" vm="800">
        <f ca="1"/>
        <v>201.7</v>
      </c>
      <c r="AQ6" vm="801">
        <f ca="1"/>
        <v>203.27</v>
      </c>
      <c r="AR6" vm="802">
        <f ca="1"/>
        <v>202.82</v>
      </c>
      <c r="AS6" vm="803">
        <f ca="1"/>
        <v>200.63</v>
      </c>
      <c r="AT6" vm="804">
        <f ca="1"/>
        <v>203.92</v>
      </c>
      <c r="AU6" vm="805">
        <f ca="1"/>
        <v>201.45</v>
      </c>
      <c r="AV6" vm="806">
        <f ca="1"/>
        <v>202.67</v>
      </c>
      <c r="AW6" vm="807">
        <f ca="1"/>
        <v>198.78</v>
      </c>
      <c r="AX6" vm="808">
        <f ca="1"/>
        <v>199.2</v>
      </c>
      <c r="AY6" vm="809">
        <f ca="1"/>
        <v>196.45</v>
      </c>
      <c r="AZ6" vm="810">
        <f ca="1"/>
        <v>198.42</v>
      </c>
      <c r="BA6" vm="811">
        <f ca="1"/>
        <v>195.64</v>
      </c>
      <c r="BB6" vm="511">
        <f ca="1"/>
        <v>196.58</v>
      </c>
      <c r="BC6" vm="812">
        <f ca="1"/>
        <v>201</v>
      </c>
      <c r="BD6" vm="813">
        <f ca="1"/>
        <v>201.5</v>
      </c>
      <c r="BE6" vm="814">
        <f ca="1"/>
        <v>200.3</v>
      </c>
      <c r="BF6" vm="815">
        <f ca="1"/>
        <v>201.56</v>
      </c>
      <c r="BG6" vm="812">
        <f ca="1"/>
        <v>201</v>
      </c>
      <c r="BH6" vm="816">
        <f ca="1"/>
        <v>201.08</v>
      </c>
      <c r="BI6" vm="551">
        <f ca="1"/>
        <v>205.17</v>
      </c>
      <c r="BJ6" vm="817">
        <f ca="1"/>
        <v>207.82</v>
      </c>
      <c r="BK6" vm="818">
        <f ca="1"/>
        <v>212.44</v>
      </c>
      <c r="BL6" vm="819">
        <f ca="1"/>
        <v>213.55</v>
      </c>
      <c r="BM6" vm="820">
        <f ca="1"/>
        <v>209.95</v>
      </c>
      <c r="BN6" vm="821">
        <f ca="1"/>
        <v>210.01</v>
      </c>
      <c r="BO6" vm="822">
        <f ca="1"/>
        <v>211.14</v>
      </c>
      <c r="BP6" vm="823">
        <f ca="1"/>
        <v>212.41</v>
      </c>
      <c r="BQ6" vm="824">
        <f ca="1"/>
        <v>211.16</v>
      </c>
      <c r="BR6" vm="825">
        <f ca="1"/>
        <v>208.62</v>
      </c>
      <c r="BS6" vm="826">
        <f ca="1"/>
        <v>209.11</v>
      </c>
      <c r="BT6" vm="827">
        <f ca="1"/>
        <v>210.16</v>
      </c>
      <c r="BU6" vm="465">
        <f ca="1"/>
        <v>210.02</v>
      </c>
      <c r="BV6" vm="828">
        <f ca="1"/>
        <v>211.18</v>
      </c>
      <c r="BW6" vm="829">
        <f ca="1"/>
        <v>212.48</v>
      </c>
      <c r="BX6" vm="830">
        <f ca="1"/>
        <v>214.4</v>
      </c>
      <c r="BY6" vm="831">
        <f ca="1"/>
        <v>214.15</v>
      </c>
      <c r="BZ6" vm="832">
        <f ca="1"/>
        <v>213.76</v>
      </c>
      <c r="CA6" vm="833">
        <f ca="1"/>
        <v>213.88</v>
      </c>
      <c r="CB6" vm="834">
        <f ca="1"/>
        <v>214.05</v>
      </c>
      <c r="CC6" vm="835">
        <f ca="1"/>
        <v>211.27</v>
      </c>
      <c r="CD6" vm="836">
        <f ca="1"/>
        <v>209.05</v>
      </c>
      <c r="CE6" vm="837">
        <f ca="1"/>
        <v>207.57</v>
      </c>
      <c r="CF6" vm="838">
        <f ca="1"/>
        <v>202.38</v>
      </c>
      <c r="CG6" vm="839">
        <f ca="1"/>
        <v>203.35</v>
      </c>
      <c r="CH6" vm="840">
        <f ca="1"/>
        <v>202.92</v>
      </c>
      <c r="CI6" vm="841">
        <f ca="1"/>
        <v>213.25</v>
      </c>
      <c r="CJ6" vm="842">
        <f ca="1"/>
        <v>220.03</v>
      </c>
      <c r="CK6" vm="843">
        <f ca="1"/>
        <v>229.35</v>
      </c>
      <c r="CL6" vm="844">
        <f ca="1"/>
        <v>227.18</v>
      </c>
      <c r="CM6" vm="845">
        <f ca="1"/>
        <v>229.65</v>
      </c>
      <c r="CN6" vm="846">
        <f ca="1"/>
        <v>233.33</v>
      </c>
      <c r="CO6" vm="847">
        <f ca="1"/>
        <v>232.78</v>
      </c>
      <c r="CP6" vm="848">
        <f ca="1"/>
        <v>231.59</v>
      </c>
      <c r="CQ6" vm="849">
        <f ca="1"/>
        <v>230.89</v>
      </c>
      <c r="CR6" vm="850">
        <f ca="1"/>
        <v>230.56</v>
      </c>
      <c r="CS6" vm="851">
        <f ca="1"/>
        <v>226.01</v>
      </c>
      <c r="CT6" vm="852">
        <f ca="1"/>
        <v>224.9</v>
      </c>
      <c r="CU6" vm="853">
        <f ca="1"/>
        <v>227.76</v>
      </c>
      <c r="CV6" vm="854">
        <f ca="1"/>
        <v>227.16</v>
      </c>
      <c r="CW6" vm="855">
        <f ca="1"/>
        <v>229.31</v>
      </c>
      <c r="CX6" vm="856">
        <f ca="1"/>
        <v>230.49</v>
      </c>
      <c r="CY6" vm="857">
        <f ca="1"/>
        <v>232.56</v>
      </c>
      <c r="CZ6" vm="698">
        <f ca="1"/>
        <v>232.14</v>
      </c>
      <c r="DA6" vm="858">
        <f ca="1"/>
        <v>229.72</v>
      </c>
      <c r="DB6" vm="859">
        <f ca="1"/>
        <v>238.47</v>
      </c>
      <c r="DC6" vm="860">
        <f ca="1"/>
        <v>239.78</v>
      </c>
      <c r="DD6" vm="861">
        <f ca="1"/>
        <v>239.69</v>
      </c>
      <c r="DE6" vm="862">
        <f ca="1"/>
        <v>237.88</v>
      </c>
      <c r="DF6" vm="863">
        <f ca="1"/>
        <v>234.35</v>
      </c>
      <c r="DG6" vm="864">
        <f ca="1"/>
        <v>226.79</v>
      </c>
      <c r="DH6" vm="865">
        <f ca="1"/>
        <v>230.03</v>
      </c>
      <c r="DI6" vm="866">
        <f ca="1"/>
        <v>234.07</v>
      </c>
      <c r="DJ6" vm="867">
        <f ca="1"/>
        <v>236.7</v>
      </c>
      <c r="DK6" vm="868">
        <f ca="1"/>
        <v>238.15</v>
      </c>
      <c r="DL6" vm="869">
        <f ca="1"/>
        <v>238.99</v>
      </c>
      <c r="DM6" vm="862">
        <f ca="1"/>
        <v>237.88</v>
      </c>
      <c r="DN6" vm="870">
        <f ca="1"/>
        <v>245.5</v>
      </c>
      <c r="DO6" vm="871">
        <f ca="1"/>
        <v>256.08</v>
      </c>
      <c r="DP6" vm="872">
        <f ca="1"/>
        <v>254.43</v>
      </c>
      <c r="DQ6" vm="873">
        <f ca="1"/>
        <v>252.31</v>
      </c>
      <c r="DR6" vm="874">
        <f ca="1"/>
        <v>256.87</v>
      </c>
      <c r="DS6" vm="875">
        <f ca="1"/>
        <v>255.46</v>
      </c>
      <c r="DT6" vm="872">
        <f ca="1"/>
        <v>254.43</v>
      </c>
      <c r="DU6" vm="876">
        <f ca="1"/>
        <v>254.63</v>
      </c>
      <c r="DV6" vm="877">
        <f ca="1"/>
        <v>255.45</v>
      </c>
      <c r="DW6" vm="878">
        <f ca="1"/>
        <v>257.13</v>
      </c>
      <c r="DX6" vm="879">
        <f ca="1"/>
        <v>258.02</v>
      </c>
      <c r="DY6" vm="880">
        <f ca="1"/>
        <v>256.69</v>
      </c>
      <c r="DZ6" vm="881">
        <f ca="1"/>
        <v>256.48</v>
      </c>
      <c r="EA6" vm="882">
        <f ca="1"/>
        <v>258.06</v>
      </c>
      <c r="EB6" vm="883">
        <f ca="1"/>
        <v>254.04</v>
      </c>
      <c r="EC6" vm="884">
        <f ca="1"/>
        <v>245.27</v>
      </c>
      <c r="ED6" vm="885">
        <f ca="1"/>
        <v>247.66</v>
      </c>
      <c r="EE6" vm="886">
        <f ca="1"/>
        <v>247.77</v>
      </c>
      <c r="EF6" vm="887">
        <f ca="1"/>
        <v>249.34</v>
      </c>
      <c r="EG6" vm="888">
        <f ca="1"/>
        <v>247.45</v>
      </c>
      <c r="EH6" vm="889">
        <f ca="1"/>
        <v>252.29</v>
      </c>
      <c r="EI6" vm="890">
        <f ca="1"/>
        <v>262.24</v>
      </c>
      <c r="EJ6" vm="891">
        <f ca="1"/>
        <v>262.77</v>
      </c>
      <c r="EK6" vm="892">
        <f ca="1"/>
        <v>258.45</v>
      </c>
      <c r="EL6" vm="893">
        <f ca="1"/>
        <v>259.58</v>
      </c>
      <c r="EM6" vm="894">
        <f ca="1"/>
        <v>262.82</v>
      </c>
      <c r="EN6" vm="895">
        <f ca="1"/>
        <v>268.81</v>
      </c>
      <c r="EO6" vm="896">
        <f ca="1"/>
        <v>269</v>
      </c>
      <c r="EP6" vm="897">
        <f ca="1"/>
        <v>269.7</v>
      </c>
      <c r="EQ6" vm="898">
        <f ca="1"/>
        <v>271.39999999999998</v>
      </c>
      <c r="ER6" vm="899">
        <f ca="1"/>
        <v>270.37</v>
      </c>
      <c r="ES6" vm="900">
        <f ca="1"/>
        <v>269.05</v>
      </c>
      <c r="ET6" vm="901">
        <f ca="1"/>
        <v>270.04000000000002</v>
      </c>
      <c r="EU6" vm="902">
        <f ca="1"/>
        <v>270.14</v>
      </c>
      <c r="EV6" vm="903">
        <f ca="1"/>
        <v>269.77</v>
      </c>
      <c r="EW6" vm="904">
        <f ca="1"/>
        <v>268.47000000000003</v>
      </c>
      <c r="EX6" vm="905">
        <f ca="1"/>
        <v>269.43</v>
      </c>
      <c r="EY6" vm="906">
        <f ca="1"/>
        <v>275.25</v>
      </c>
      <c r="EZ6" vm="907">
        <f ca="1"/>
        <v>273.47000000000003</v>
      </c>
      <c r="FA6" vm="908">
        <f ca="1"/>
        <v>272.95</v>
      </c>
      <c r="FB6" vm="909">
        <f ca="1"/>
        <v>272.41000000000003</v>
      </c>
      <c r="FC6" vm="910">
        <f ca="1"/>
        <v>267.45999999999998</v>
      </c>
      <c r="FD6" vm="911">
        <f ca="1"/>
        <v>267.44</v>
      </c>
      <c r="FE6" vm="912">
        <f ca="1"/>
        <v>268.56</v>
      </c>
      <c r="FF6" vm="913">
        <f ca="1"/>
        <v>266.25</v>
      </c>
      <c r="FG6" vm="914">
        <f ca="1"/>
        <v>271.49</v>
      </c>
      <c r="FH6" vm="915">
        <f ca="1"/>
        <v>275.92</v>
      </c>
      <c r="FI6" vm="916">
        <f ca="1"/>
        <v>276.97000000000003</v>
      </c>
      <c r="FJ6" vm="917">
        <f ca="1"/>
        <v>277.55</v>
      </c>
      <c r="FK6" vm="918">
        <f ca="1"/>
        <v>278.85000000000002</v>
      </c>
      <c r="FL6" vm="919">
        <f ca="1"/>
        <v>283.10000000000002</v>
      </c>
      <c r="FM6" vm="920">
        <f ca="1"/>
        <v>286.19</v>
      </c>
      <c r="FN6" vm="921">
        <f ca="1"/>
        <v>284.14999999999998</v>
      </c>
      <c r="FO6" vm="922">
        <f ca="1"/>
        <v>280.7</v>
      </c>
      <c r="FP6" vm="923">
        <f ca="1"/>
        <v>278.77999999999997</v>
      </c>
      <c r="FQ6" vm="924">
        <f ca="1"/>
        <v>277.89</v>
      </c>
      <c r="FR6" vm="925">
        <f ca="1"/>
        <v>277.18</v>
      </c>
      <c r="FS6" vm="923">
        <f ca="1"/>
        <v>278.77999999999997</v>
      </c>
      <c r="FT6" vm="926">
        <f ca="1"/>
        <v>278.02999999999997</v>
      </c>
      <c r="FU6" vm="927">
        <f ca="1"/>
        <v>278.27999999999997</v>
      </c>
      <c r="FV6" vm="928">
        <f ca="1"/>
        <v>274.11</v>
      </c>
      <c r="FW6" vm="929">
        <f ca="1"/>
        <v>274.61</v>
      </c>
      <c r="FX6" vm="930">
        <f ca="1"/>
        <v>271.83999999999997</v>
      </c>
      <c r="FY6" vm="931">
        <f ca="1"/>
        <v>272.19</v>
      </c>
      <c r="FZ6" vm="932">
        <f ca="1"/>
        <v>273.67</v>
      </c>
      <c r="GA6" vm="933">
        <f ca="1"/>
        <v>270.97000000000003</v>
      </c>
      <c r="GB6" vm="934">
        <f ca="1"/>
        <v>272.36</v>
      </c>
      <c r="GC6" vm="935">
        <f ca="1"/>
        <v>273.81</v>
      </c>
      <c r="GD6" vm="936">
        <f ca="1"/>
        <v>273.39999999999998</v>
      </c>
      <c r="GE6" vm="937">
        <f ca="1"/>
        <v>273.76</v>
      </c>
      <c r="GF6" vm="938">
        <f ca="1"/>
        <v>273.08</v>
      </c>
      <c r="GG6" vm="939">
        <f ca="1"/>
        <v>271.86</v>
      </c>
      <c r="GH6" vm="940">
        <f ca="1"/>
        <v>271.01</v>
      </c>
      <c r="GI6" vm="941">
        <f ca="1"/>
        <v>267.26</v>
      </c>
      <c r="GJ6" vm="942">
        <f ca="1"/>
        <v>262.36</v>
      </c>
      <c r="GK6" vm="943">
        <f ca="1"/>
        <v>260.33</v>
      </c>
      <c r="GL6" vm="944">
        <f ca="1"/>
        <v>259.04000000000002</v>
      </c>
      <c r="GM6" vm="945">
        <f ca="1"/>
        <v>259.37</v>
      </c>
      <c r="GN6" vm="946">
        <f ca="1"/>
        <v>260.25</v>
      </c>
      <c r="GO6" vm="947">
        <f ca="1"/>
        <v>261.05</v>
      </c>
      <c r="GP6" vm="948">
        <f ca="1"/>
        <v>259.95999999999998</v>
      </c>
      <c r="GQ6" vm="949">
        <f ca="1"/>
        <v>258.20999999999998</v>
      </c>
      <c r="GR6" vm="950">
        <f ca="1"/>
        <v>255.53</v>
      </c>
      <c r="GS6" vm="951">
        <f ca="1"/>
        <v>246.7</v>
      </c>
      <c r="GT6" vm="952">
        <f ca="1"/>
        <v>247.65</v>
      </c>
      <c r="GU6" vm="953">
        <f ca="1"/>
        <v>248.35</v>
      </c>
      <c r="GV6" vm="954">
        <f ca="1"/>
        <v>248.04</v>
      </c>
      <c r="GW6" vm="955">
        <f ca="1"/>
        <v>255.41</v>
      </c>
      <c r="GX6" vm="956">
        <f ca="1"/>
        <v>258.27</v>
      </c>
      <c r="GY6" vm="957">
        <f ca="1"/>
        <v>256.44</v>
      </c>
      <c r="GZ6" vm="958">
        <f ca="1"/>
        <v>258.27999999999997</v>
      </c>
      <c r="HA6" vm="959">
        <f ca="1"/>
        <v>259.48</v>
      </c>
      <c r="HB6" vm="960">
        <f ca="1"/>
        <v>270.01</v>
      </c>
      <c r="HC6" vm="961">
        <f ca="1"/>
        <v>269.48</v>
      </c>
      <c r="HD6" vm="962">
        <f ca="1"/>
        <v>276.49</v>
      </c>
      <c r="HE6" vm="963">
        <f ca="1"/>
        <v>275.91000000000003</v>
      </c>
      <c r="HF6" vm="964">
        <f ca="1"/>
        <v>278.12</v>
      </c>
      <c r="HG6" vm="965">
        <f ca="1"/>
        <v>274.62</v>
      </c>
      <c r="HH6" vm="966">
        <f ca="1"/>
        <v>273.68</v>
      </c>
      <c r="HI6" vm="967">
        <f ca="1"/>
        <v>275.5</v>
      </c>
      <c r="HJ6" vm="968">
        <f ca="1"/>
        <v>261.73</v>
      </c>
      <c r="HK6" vm="969">
        <f ca="1"/>
        <v>255.78</v>
      </c>
      <c r="HL6" vm="970">
        <f ca="1"/>
        <v>263.88</v>
      </c>
      <c r="HM6" vm="971">
        <f ca="1"/>
        <v>264.35000000000002</v>
      </c>
      <c r="HN6" vm="972">
        <f ca="1"/>
        <v>260.58</v>
      </c>
      <c r="HO6" vm="973">
        <f ca="1"/>
        <v>264.58</v>
      </c>
      <c r="HP6" vm="974">
        <f ca="1"/>
        <v>266.18</v>
      </c>
      <c r="HQ6" vm="975">
        <f ca="1"/>
        <v>272.14</v>
      </c>
      <c r="HR6" vm="976">
        <f ca="1"/>
        <v>274.23</v>
      </c>
      <c r="HS6" vm="908">
        <f ca="1"/>
        <v>272.95</v>
      </c>
      <c r="HT6" vm="977">
        <f ca="1"/>
        <v>264.18</v>
      </c>
      <c r="HU6" vm="978">
        <f ca="1"/>
        <v>264.72000000000003</v>
      </c>
      <c r="HV6" vm="979">
        <f ca="1"/>
        <v>263.75</v>
      </c>
      <c r="HW6" vm="980">
        <f ca="1"/>
        <v>262.52</v>
      </c>
      <c r="HX6" vm="981">
        <f ca="1"/>
        <v>260.29000000000002</v>
      </c>
      <c r="HY6" vm="982">
        <f ca="1"/>
        <v>257.45999999999998</v>
      </c>
      <c r="HZ6" vm="983">
        <f ca="1"/>
        <v>259.88</v>
      </c>
      <c r="IA6" vm="984">
        <f ca="1"/>
        <v>260.83</v>
      </c>
      <c r="IB6" vm="985">
        <f ca="1"/>
        <v>260.81</v>
      </c>
      <c r="IC6" vm="986">
        <f ca="1"/>
        <v>255.76</v>
      </c>
      <c r="ID6" vm="987">
        <f ca="1"/>
        <v>250.12</v>
      </c>
      <c r="IE6" vm="988">
        <f ca="1"/>
        <v>252.82</v>
      </c>
      <c r="IF6" vm="989">
        <f ca="1"/>
        <v>254.23</v>
      </c>
      <c r="IG6" vm="990">
        <f ca="1"/>
        <v>249.94</v>
      </c>
      <c r="IH6" vm="991">
        <f ca="1"/>
        <v>248.96</v>
      </c>
      <c r="II6" vm="992">
        <f ca="1"/>
        <v>247.99</v>
      </c>
      <c r="IJ6" vm="993">
        <f ca="1"/>
        <v>251.49</v>
      </c>
      <c r="IK6" vm="994">
        <f ca="1"/>
        <v>251.64</v>
      </c>
      <c r="IL6" vm="995">
        <f ca="1"/>
        <v>252.62</v>
      </c>
      <c r="IM6" vm="996">
        <f ca="1"/>
        <v>252.89</v>
      </c>
      <c r="IN6" vm="997">
        <f ca="1"/>
        <v>248.8</v>
      </c>
      <c r="IO6" vm="998">
        <f ca="1"/>
        <v>246.63</v>
      </c>
      <c r="IP6" vm="999">
        <f ca="1"/>
        <v>253.79</v>
      </c>
      <c r="IQ6" vm="1000">
        <f ca="1"/>
        <v>255.63</v>
      </c>
    </row>
    <row r="7" spans="1:251" x14ac:dyDescent="0.35">
      <c r="A7" t="e" vm="5">
        <f>Dashboard!B11</f>
        <v>#VALUE!</v>
      </c>
      <c r="B7" cm="1" vm="1001">
        <f t="array" aca="1" ref="B7:IQ7" ca="1">TRANSPOSE(_xlfn.STOCKHISTORY(A7,TODAY()-365,TODAY(),0,0,1))</f>
        <v>887.65</v>
      </c>
      <c r="C7" vm="1002">
        <f ca="1"/>
        <v>822.62</v>
      </c>
      <c r="D7" vm="1003">
        <f ca="1"/>
        <v>817.5</v>
      </c>
      <c r="E7" vm="1004">
        <f ca="1"/>
        <v>815.72</v>
      </c>
      <c r="F7" vm="1005">
        <f ca="1"/>
        <v>897.08</v>
      </c>
      <c r="G7" vm="1006">
        <f ca="1"/>
        <v>858.78</v>
      </c>
      <c r="H7" vm="1007">
        <f ca="1"/>
        <v>878.78</v>
      </c>
      <c r="I7" vm="1008">
        <f ca="1"/>
        <v>889.95</v>
      </c>
      <c r="J7" vm="1009">
        <f ca="1"/>
        <v>888.44</v>
      </c>
      <c r="K7" vm="1010">
        <f ca="1"/>
        <v>865.78</v>
      </c>
      <c r="L7" vm="1011">
        <f ca="1"/>
        <v>875.78</v>
      </c>
      <c r="M7" vm="1012">
        <f ca="1"/>
        <v>854</v>
      </c>
      <c r="N7" vm="1013">
        <f ca="1"/>
        <v>887.22</v>
      </c>
      <c r="O7" vm="1014">
        <f ca="1"/>
        <v>892.54</v>
      </c>
      <c r="P7" vm="1015">
        <f ca="1"/>
        <v>916.26</v>
      </c>
      <c r="Q7" vm="1016">
        <f ca="1"/>
        <v>907.69</v>
      </c>
      <c r="R7" vm="1017">
        <f ca="1"/>
        <v>913.74</v>
      </c>
      <c r="S7" vm="1018">
        <f ca="1"/>
        <v>920.52</v>
      </c>
      <c r="T7" vm="1019">
        <f ca="1"/>
        <v>914.26</v>
      </c>
      <c r="U7" vm="1020">
        <f ca="1"/>
        <v>916.14</v>
      </c>
      <c r="V7" vm="1021">
        <f ca="1"/>
        <v>929.2</v>
      </c>
      <c r="W7" vm="1022">
        <f ca="1"/>
        <v>920.53</v>
      </c>
      <c r="X7" vm="1023">
        <f ca="1"/>
        <v>914.97</v>
      </c>
      <c r="Y7" vm="1024">
        <f ca="1"/>
        <v>920.36</v>
      </c>
      <c r="Z7" vm="1025">
        <f ca="1"/>
        <v>928.64</v>
      </c>
      <c r="AA7" vm="1026">
        <f ca="1"/>
        <v>923.44</v>
      </c>
      <c r="AB7" vm="1027">
        <f ca="1"/>
        <v>958.03</v>
      </c>
      <c r="AC7" vm="1028">
        <f ca="1"/>
        <v>959.18</v>
      </c>
      <c r="AD7" vm="1029">
        <f ca="1"/>
        <v>967.06</v>
      </c>
      <c r="AE7" vm="1030">
        <f ca="1"/>
        <v>983.08</v>
      </c>
      <c r="AF7" vm="1031">
        <f ca="1"/>
        <v>989.71</v>
      </c>
      <c r="AG7" vm="1032">
        <f ca="1"/>
        <v>993.66</v>
      </c>
      <c r="AH7" vm="1033">
        <f ca="1"/>
        <v>997.71</v>
      </c>
      <c r="AI7" vm="1034">
        <f ca="1"/>
        <v>972.83</v>
      </c>
      <c r="AJ7" vm="1035">
        <f ca="1"/>
        <v>969.9</v>
      </c>
      <c r="AK7" vm="1036">
        <f ca="1"/>
        <v>963.18</v>
      </c>
      <c r="AL7" vm="1037">
        <f ca="1"/>
        <v>981.32</v>
      </c>
      <c r="AM7" vm="1038">
        <f ca="1"/>
        <v>971.28</v>
      </c>
      <c r="AN7" vm="1039">
        <f ca="1"/>
        <v>976.32</v>
      </c>
      <c r="AO7" vm="1040">
        <f ca="1"/>
        <v>979.89</v>
      </c>
      <c r="AP7" vm="1041">
        <f ca="1"/>
        <v>978.07</v>
      </c>
      <c r="AQ7" vm="1042">
        <f ca="1"/>
        <v>982.13</v>
      </c>
      <c r="AR7" vm="1043">
        <f ca="1"/>
        <v>988.97</v>
      </c>
      <c r="AS7" vm="1044">
        <f ca="1"/>
        <v>985.46</v>
      </c>
      <c r="AT7" vm="1045">
        <f ca="1"/>
        <v>989.05</v>
      </c>
      <c r="AU7" vm="1046">
        <f ca="1"/>
        <v>988.84</v>
      </c>
      <c r="AV7" vm="1047">
        <f ca="1"/>
        <v>991.9</v>
      </c>
      <c r="AW7" vm="1048">
        <f ca="1"/>
        <v>993.3</v>
      </c>
      <c r="AX7" vm="1049">
        <f ca="1"/>
        <v>988.25</v>
      </c>
      <c r="AY7" vm="1050">
        <f ca="1"/>
        <v>971.82</v>
      </c>
      <c r="AZ7" vm="1051">
        <f ca="1"/>
        <v>982.1</v>
      </c>
      <c r="BA7" vm="1052">
        <f ca="1"/>
        <v>969.18</v>
      </c>
      <c r="BB7" vm="1053">
        <f ca="1"/>
        <v>979.52</v>
      </c>
      <c r="BC7" vm="1054">
        <f ca="1"/>
        <v>974.44</v>
      </c>
      <c r="BD7" vm="1055">
        <f ca="1"/>
        <v>986.3</v>
      </c>
      <c r="BE7" vm="1056">
        <f ca="1"/>
        <v>1004.97</v>
      </c>
      <c r="BF7" vm="1057">
        <f ca="1"/>
        <v>1018.08</v>
      </c>
      <c r="BG7" vm="1058">
        <f ca="1"/>
        <v>1030.79</v>
      </c>
      <c r="BH7" vm="1059">
        <f ca="1"/>
        <v>1047.82</v>
      </c>
      <c r="BI7" vm="1060">
        <f ca="1"/>
        <v>1049.25</v>
      </c>
      <c r="BJ7" vm="1061">
        <f ca="1"/>
        <v>1054.27</v>
      </c>
      <c r="BK7" vm="1062">
        <f ca="1"/>
        <v>1070.57</v>
      </c>
      <c r="BL7" vm="1063">
        <f ca="1"/>
        <v>1082.1500000000001</v>
      </c>
      <c r="BM7" vm="1064">
        <f ca="1"/>
        <v>1075.97</v>
      </c>
      <c r="BN7" vm="1065">
        <f ca="1"/>
        <v>1075.02</v>
      </c>
      <c r="BO7" vm="1066">
        <f ca="1"/>
        <v>1088.75</v>
      </c>
      <c r="BP7" vm="1067">
        <f ca="1"/>
        <v>1104.05</v>
      </c>
      <c r="BQ7" vm="1068">
        <f ca="1"/>
        <v>1101.6400000000001</v>
      </c>
      <c r="BR7" vm="1069">
        <f ca="1"/>
        <v>1111.46</v>
      </c>
      <c r="BS7" vm="1070">
        <f ca="1"/>
        <v>1046.1600000000001</v>
      </c>
      <c r="BT7" vm="1071">
        <f ca="1"/>
        <v>1082.24</v>
      </c>
      <c r="BU7" vm="1072">
        <f ca="1"/>
        <v>1105.3800000000001</v>
      </c>
      <c r="BV7" vm="1073">
        <f ca="1"/>
        <v>1103.5899999999999</v>
      </c>
      <c r="BW7" vm="1074">
        <f ca="1"/>
        <v>1093.02</v>
      </c>
      <c r="BX7" vm="1075">
        <f ca="1"/>
        <v>1100.3900000000001</v>
      </c>
      <c r="BY7" vm="1076">
        <f ca="1"/>
        <v>1120.3699999999999</v>
      </c>
      <c r="BZ7" vm="1077">
        <f ca="1"/>
        <v>1118.3699999999999</v>
      </c>
      <c r="CA7" vm="1078">
        <f ca="1"/>
        <v>1123.28</v>
      </c>
      <c r="CB7" vm="1079">
        <f ca="1"/>
        <v>1117.82</v>
      </c>
      <c r="CC7" vm="1080">
        <f ca="1"/>
        <v>1121.53</v>
      </c>
      <c r="CD7" vm="1081">
        <f ca="1"/>
        <v>1114.6500000000001</v>
      </c>
      <c r="CE7" vm="1082">
        <f ca="1"/>
        <v>1106.01</v>
      </c>
      <c r="CF7" vm="1083">
        <f ca="1"/>
        <v>1091.8</v>
      </c>
      <c r="CG7" vm="1084">
        <f ca="1"/>
        <v>1116.06</v>
      </c>
      <c r="CH7" vm="1085">
        <f ca="1"/>
        <v>1109.6400000000001</v>
      </c>
      <c r="CI7" vm="1086">
        <f ca="1"/>
        <v>1120.54</v>
      </c>
      <c r="CJ7" vm="1087">
        <f ca="1"/>
        <v>1112.83</v>
      </c>
      <c r="CK7" vm="1088">
        <f ca="1"/>
        <v>1124.97</v>
      </c>
      <c r="CL7" vm="1089">
        <f ca="1"/>
        <v>1127.93</v>
      </c>
      <c r="CM7" vm="1090">
        <f ca="1"/>
        <v>1159.6099999999999</v>
      </c>
      <c r="CN7" vm="1091">
        <f ca="1"/>
        <v>1160.03</v>
      </c>
      <c r="CO7" vm="1092">
        <f ca="1"/>
        <v>1160.1600000000001</v>
      </c>
      <c r="CP7" vm="1093">
        <f ca="1"/>
        <v>1135.01</v>
      </c>
      <c r="CQ7" vm="1094">
        <f ca="1"/>
        <v>1136.1199999999999</v>
      </c>
      <c r="CR7" vm="1095">
        <f ca="1"/>
        <v>1128.47</v>
      </c>
      <c r="CS7" vm="1096">
        <f ca="1"/>
        <v>1128.46</v>
      </c>
      <c r="CT7" vm="1097">
        <f ca="1"/>
        <v>1124.75</v>
      </c>
      <c r="CU7" vm="1098">
        <f ca="1"/>
        <v>1148.17</v>
      </c>
      <c r="CV7" vm="1099">
        <f ca="1"/>
        <v>1137.0999999999999</v>
      </c>
      <c r="CW7" vm="1100">
        <f ca="1"/>
        <v>1139.8</v>
      </c>
      <c r="CX7" vm="1101">
        <f ca="1"/>
        <v>1131.6300000000001</v>
      </c>
      <c r="CY7" vm="1102">
        <f ca="1"/>
        <v>1130.48</v>
      </c>
      <c r="CZ7" vm="1103">
        <f ca="1"/>
        <v>1127.1400000000001</v>
      </c>
      <c r="DA7" vm="1104">
        <f ca="1"/>
        <v>1114.77</v>
      </c>
      <c r="DB7" vm="1105">
        <f ca="1"/>
        <v>1099.49</v>
      </c>
      <c r="DC7" vm="1106">
        <f ca="1"/>
        <v>1108.76</v>
      </c>
      <c r="DD7" vm="1107">
        <f ca="1"/>
        <v>1099.1500000000001</v>
      </c>
      <c r="DE7" vm="1108">
        <f ca="1"/>
        <v>1104.92</v>
      </c>
      <c r="DF7" vm="1109">
        <f ca="1"/>
        <v>1105.67</v>
      </c>
      <c r="DG7" vm="1110">
        <f ca="1"/>
        <v>1102.8900000000001</v>
      </c>
      <c r="DH7" vm="1111">
        <f ca="1"/>
        <v>1134.18</v>
      </c>
      <c r="DI7" vm="1112">
        <f ca="1"/>
        <v>1123.4100000000001</v>
      </c>
      <c r="DJ7" vm="1113">
        <f ca="1"/>
        <v>1115.1099999999999</v>
      </c>
      <c r="DK7" vm="1114">
        <f ca="1"/>
        <v>1118.8900000000001</v>
      </c>
      <c r="DL7" vm="1115">
        <f ca="1"/>
        <v>1131.78</v>
      </c>
      <c r="DM7" vm="1116">
        <f ca="1"/>
        <v>1137.1300000000001</v>
      </c>
      <c r="DN7" vm="1117">
        <f ca="1"/>
        <v>1142.8499999999999</v>
      </c>
      <c r="DO7" vm="1118">
        <f ca="1"/>
        <v>1136.21</v>
      </c>
      <c r="DP7" vm="1119">
        <f ca="1"/>
        <v>1131.75</v>
      </c>
      <c r="DQ7" vm="1120">
        <f ca="1"/>
        <v>1127.98</v>
      </c>
      <c r="DR7" vm="1121">
        <f ca="1"/>
        <v>1147.29</v>
      </c>
      <c r="DS7" vm="1122">
        <f ca="1"/>
        <v>1156.45</v>
      </c>
      <c r="DT7" vm="1123">
        <f ca="1"/>
        <v>1175.56</v>
      </c>
      <c r="DU7" vm="1124">
        <f ca="1"/>
        <v>1165.8699999999999</v>
      </c>
      <c r="DV7" vm="1125">
        <f ca="1"/>
        <v>1141.07</v>
      </c>
      <c r="DW7" vm="1126">
        <f ca="1"/>
        <v>1160.54</v>
      </c>
      <c r="DX7" vm="1127">
        <f ca="1"/>
        <v>1160.69</v>
      </c>
      <c r="DY7" vm="1128">
        <f ca="1"/>
        <v>1179.27</v>
      </c>
      <c r="DZ7" vm="1129">
        <f ca="1"/>
        <v>1166.23</v>
      </c>
      <c r="EA7" vm="1130">
        <f ca="1"/>
        <v>1165</v>
      </c>
      <c r="EB7" vm="1131">
        <f ca="1"/>
        <v>1167.43</v>
      </c>
      <c r="EC7" vm="1132">
        <f ca="1"/>
        <v>1132.3599999999999</v>
      </c>
      <c r="ED7" vm="1133">
        <f ca="1"/>
        <v>1155.1199999999999</v>
      </c>
      <c r="EE7" vm="1134">
        <f ca="1"/>
        <v>1194.26</v>
      </c>
      <c r="EF7" vm="1135">
        <f ca="1"/>
        <v>1202.5899999999999</v>
      </c>
      <c r="EG7" vm="1136">
        <f ca="1"/>
        <v>1171.3599999999999</v>
      </c>
      <c r="EH7" vm="1137">
        <f ca="1"/>
        <v>1161.1600000000001</v>
      </c>
      <c r="EI7" vm="1138">
        <f ca="1"/>
        <v>1160</v>
      </c>
      <c r="EJ7" vm="1139">
        <f ca="1"/>
        <v>1130</v>
      </c>
      <c r="EK7" vm="1140">
        <f ca="1"/>
        <v>1129.68</v>
      </c>
      <c r="EL7" vm="1141">
        <f ca="1"/>
        <v>1125</v>
      </c>
      <c r="EM7" vm="1142">
        <f ca="1"/>
        <v>1136.6300000000001</v>
      </c>
      <c r="EN7" vm="1143">
        <f ca="1"/>
        <v>1131.31</v>
      </c>
      <c r="EO7" vm="1144">
        <f ca="1"/>
        <v>1124.95</v>
      </c>
      <c r="EP7" vm="1145">
        <f ca="1"/>
        <v>1098</v>
      </c>
      <c r="EQ7" vm="1146">
        <f ca="1"/>
        <v>1098.05</v>
      </c>
      <c r="ER7" vm="1147">
        <f ca="1"/>
        <v>1082.81</v>
      </c>
      <c r="ES7" vm="1148">
        <f ca="1"/>
        <v>1068.83</v>
      </c>
      <c r="ET7" vm="1149">
        <f ca="1"/>
        <v>1059.9100000000001</v>
      </c>
      <c r="EU7" vm="1150">
        <f ca="1"/>
        <v>1073.57</v>
      </c>
      <c r="EV7" vm="1151">
        <f ca="1"/>
        <v>1069.44</v>
      </c>
      <c r="EW7" vm="1152">
        <f ca="1"/>
        <v>1082.2</v>
      </c>
      <c r="EX7" vm="1153">
        <f ca="1"/>
        <v>1082.6300000000001</v>
      </c>
      <c r="EY7" vm="1154">
        <f ca="1"/>
        <v>1085.76</v>
      </c>
      <c r="EZ7" vm="1155">
        <f ca="1"/>
        <v>1093.93</v>
      </c>
      <c r="FA7" vm="1156">
        <f ca="1"/>
        <v>1069.6500000000001</v>
      </c>
      <c r="FB7" vm="1157">
        <f ca="1"/>
        <v>1057.94</v>
      </c>
      <c r="FC7" vm="1158">
        <f ca="1"/>
        <v>1023.8</v>
      </c>
      <c r="FD7" vm="1159">
        <f ca="1"/>
        <v>1019.14</v>
      </c>
      <c r="FE7" vm="1160">
        <f ca="1"/>
        <v>1014.68</v>
      </c>
      <c r="FF7" vm="1161">
        <f ca="1"/>
        <v>992.52</v>
      </c>
      <c r="FG7" vm="1162">
        <f ca="1"/>
        <v>1014.72</v>
      </c>
      <c r="FH7" vm="1163">
        <f ca="1"/>
        <v>1019.49</v>
      </c>
      <c r="FI7" vm="1164">
        <f ca="1"/>
        <v>1029.77</v>
      </c>
      <c r="FJ7" vm="1165">
        <f ca="1"/>
        <v>1040.06</v>
      </c>
      <c r="FK7" vm="1166">
        <f ca="1"/>
        <v>1047.3</v>
      </c>
      <c r="FL7" vm="1167">
        <f ca="1"/>
        <v>1039.94</v>
      </c>
      <c r="FM7" vm="1168">
        <f ca="1"/>
        <v>1038.6199999999999</v>
      </c>
      <c r="FN7" vm="1169">
        <f ca="1"/>
        <v>1079.8699999999999</v>
      </c>
      <c r="FO7" vm="1170">
        <f ca="1"/>
        <v>1075.58</v>
      </c>
      <c r="FP7" vm="1171">
        <f ca="1"/>
        <v>1072.1600000000001</v>
      </c>
      <c r="FQ7" vm="1172">
        <f ca="1"/>
        <v>1062.02</v>
      </c>
      <c r="FR7" vm="1173">
        <f ca="1"/>
        <v>1071.31</v>
      </c>
      <c r="FS7" vm="1174">
        <f ca="1"/>
        <v>1083.3599999999999</v>
      </c>
      <c r="FT7" vm="1175">
        <f ca="1"/>
        <v>1101.8399999999999</v>
      </c>
      <c r="FU7" vm="1176">
        <f ca="1"/>
        <v>1089.0899999999999</v>
      </c>
      <c r="FV7" vm="1177">
        <f ca="1"/>
        <v>1082.1600000000001</v>
      </c>
      <c r="FW7" vm="1178">
        <f ca="1"/>
        <v>1068.1400000000001</v>
      </c>
      <c r="FX7" vm="1179">
        <f ca="1"/>
        <v>1065</v>
      </c>
      <c r="FY7" vm="1180">
        <f ca="1"/>
        <v>1064.99</v>
      </c>
      <c r="FZ7" vm="1181">
        <f ca="1"/>
        <v>1060.17</v>
      </c>
      <c r="GA7" vm="1182">
        <f ca="1"/>
        <v>1088.21</v>
      </c>
      <c r="GB7" vm="1183">
        <f ca="1"/>
        <v>1086.55</v>
      </c>
      <c r="GC7" vm="1184">
        <f ca="1"/>
        <v>1088.96</v>
      </c>
      <c r="GD7" vm="1185">
        <f ca="1"/>
        <v>1088.1099999999999</v>
      </c>
      <c r="GE7" vm="1186">
        <f ca="1"/>
        <v>1088.4000000000001</v>
      </c>
      <c r="GF7" vm="1187">
        <f ca="1"/>
        <v>1083.31</v>
      </c>
      <c r="GG7" vm="1188">
        <f ca="1"/>
        <v>1070.3399999999999</v>
      </c>
      <c r="GH7" vm="1189">
        <f ca="1"/>
        <v>1085.06</v>
      </c>
      <c r="GI7" vm="1190">
        <f ca="1"/>
        <v>1119.76</v>
      </c>
      <c r="GJ7" vm="1191">
        <f ca="1"/>
        <v>1112.28</v>
      </c>
      <c r="GK7" vm="1192">
        <f ca="1"/>
        <v>1075.0899999999999</v>
      </c>
      <c r="GL7" vm="1193">
        <f ca="1"/>
        <v>1087.92</v>
      </c>
      <c r="GM7" vm="1194">
        <f ca="1"/>
        <v>1085.0999999999999</v>
      </c>
      <c r="GN7" vm="1195">
        <f ca="1"/>
        <v>1089.26</v>
      </c>
      <c r="GO7" vm="1196">
        <f ca="1"/>
        <v>1089.54</v>
      </c>
      <c r="GP7" vm="1197">
        <f ca="1"/>
        <v>1091.8499999999999</v>
      </c>
      <c r="GQ7" vm="1198">
        <f ca="1"/>
        <v>1156.6500000000001</v>
      </c>
      <c r="GR7" vm="1199">
        <f ca="1"/>
        <v>1163.17</v>
      </c>
      <c r="GS7" vm="1200">
        <f ca="1"/>
        <v>1110.05</v>
      </c>
      <c r="GT7" vm="1201">
        <f ca="1"/>
        <v>1127.8499999999999</v>
      </c>
      <c r="GU7" vm="1202">
        <f ca="1"/>
        <v>1139.72</v>
      </c>
      <c r="GV7" vm="1203">
        <f ca="1"/>
        <v>1129.9100000000001</v>
      </c>
      <c r="GW7" vm="1204">
        <f ca="1"/>
        <v>1121.54</v>
      </c>
      <c r="GX7" vm="1205">
        <f ca="1"/>
        <v>1106.69</v>
      </c>
      <c r="GY7" vm="1206">
        <f ca="1"/>
        <v>1121.67</v>
      </c>
      <c r="GZ7" vm="1207">
        <f ca="1"/>
        <v>1127.78</v>
      </c>
      <c r="HA7" vm="1208">
        <f ca="1"/>
        <v>1118.94</v>
      </c>
      <c r="HB7" vm="1209">
        <f ca="1"/>
        <v>1119.6600000000001</v>
      </c>
      <c r="HC7" vm="1210">
        <f ca="1"/>
        <v>1070.08</v>
      </c>
      <c r="HD7" vm="1211">
        <f ca="1"/>
        <v>1076.1600000000001</v>
      </c>
      <c r="HE7" vm="1212">
        <f ca="1"/>
        <v>1054.8</v>
      </c>
      <c r="HF7" vm="1213">
        <f ca="1"/>
        <v>1056.3800000000001</v>
      </c>
      <c r="HG7" vm="1214">
        <f ca="1"/>
        <v>1079.9000000000001</v>
      </c>
      <c r="HH7" vm="1215">
        <f ca="1"/>
        <v>1087.78</v>
      </c>
      <c r="HI7" vm="1216">
        <f ca="1"/>
        <v>1082.8800000000001</v>
      </c>
      <c r="HJ7" vm="1217">
        <f ca="1"/>
        <v>1055.6300000000001</v>
      </c>
      <c r="HK7" vm="1218">
        <f ca="1"/>
        <v>1071.51</v>
      </c>
      <c r="HL7" vm="1219">
        <f ca="1"/>
        <v>1072.67</v>
      </c>
      <c r="HM7" vm="1220">
        <f ca="1"/>
        <v>1092.26</v>
      </c>
      <c r="HN7" vm="1221">
        <f ca="1"/>
        <v>1081.28</v>
      </c>
      <c r="HO7" vm="1222">
        <f ca="1"/>
        <v>1093.6400000000001</v>
      </c>
      <c r="HP7" vm="1223">
        <f ca="1"/>
        <v>1071.01</v>
      </c>
      <c r="HQ7" vm="1224">
        <f ca="1"/>
        <v>1081.05</v>
      </c>
      <c r="HR7" vm="1225">
        <f ca="1"/>
        <v>1093.78</v>
      </c>
      <c r="HS7" vm="1226">
        <f ca="1"/>
        <v>1090.27</v>
      </c>
      <c r="HT7" vm="1227">
        <f ca="1"/>
        <v>1063.23</v>
      </c>
      <c r="HU7" vm="1228">
        <f ca="1"/>
        <v>1068.31</v>
      </c>
      <c r="HV7" vm="1229">
        <f ca="1"/>
        <v>1052.5899999999999</v>
      </c>
      <c r="HW7" vm="1230">
        <f ca="1"/>
        <v>1049.23</v>
      </c>
      <c r="HX7" vm="1231">
        <f ca="1"/>
        <v>1035</v>
      </c>
      <c r="HY7" vm="1232">
        <f ca="1"/>
        <v>955.45</v>
      </c>
      <c r="HZ7" vm="1233">
        <f ca="1"/>
        <v>957.67</v>
      </c>
      <c r="IA7" vm="1234">
        <f ca="1"/>
        <v>967.36</v>
      </c>
      <c r="IB7" vm="1235">
        <f ca="1"/>
        <v>951.17</v>
      </c>
      <c r="IC7" vm="1236">
        <f ca="1"/>
        <v>922.9</v>
      </c>
      <c r="ID7" vm="1237">
        <f ca="1"/>
        <v>924.11</v>
      </c>
      <c r="IE7" vm="1238">
        <f ca="1"/>
        <v>943.26</v>
      </c>
      <c r="IF7" vm="1239">
        <f ca="1"/>
        <v>971.01</v>
      </c>
      <c r="IG7" vm="1240">
        <f ca="1"/>
        <v>968.31</v>
      </c>
      <c r="IH7" vm="1241">
        <f ca="1"/>
        <v>969.6</v>
      </c>
      <c r="II7" vm="1242">
        <f ca="1"/>
        <v>957.91</v>
      </c>
      <c r="IJ7" vm="1243">
        <f ca="1"/>
        <v>974.58</v>
      </c>
      <c r="IK7" vm="1244">
        <f ca="1"/>
        <v>976.06</v>
      </c>
      <c r="IL7" vm="1245">
        <f ca="1"/>
        <v>981.35</v>
      </c>
      <c r="IM7" vm="1246">
        <f ca="1"/>
        <v>968.46</v>
      </c>
      <c r="IN7" vm="1247">
        <f ca="1"/>
        <v>933.85</v>
      </c>
      <c r="IO7" vm="1248">
        <f ca="1"/>
        <v>934.06</v>
      </c>
      <c r="IP7" vm="1249">
        <f ca="1"/>
        <v>961.71</v>
      </c>
      <c r="IQ7" vm="1250">
        <f ca="1"/>
        <v>957.4</v>
      </c>
    </row>
    <row r="8" spans="1:251" x14ac:dyDescent="0.35">
      <c r="A8" t="e" vm="6">
        <f>Dashboard!B12</f>
        <v>#VALUE!</v>
      </c>
      <c r="B8" cm="1" vm="1251">
        <f t="array" aca="1" ref="B8:IQ8" ca="1">TRANSPOSE(_xlfn.STOCKHISTORY(A8,TODAY()-365,TODAY(),0,0,1))</f>
        <v>156.12</v>
      </c>
      <c r="C8" vm="1252">
        <f ca="1"/>
        <v>143.28</v>
      </c>
      <c r="D8" vm="1253">
        <f ca="1"/>
        <v>140.15</v>
      </c>
      <c r="E8" vm="1254">
        <f ca="1"/>
        <v>136.93</v>
      </c>
      <c r="F8" vm="1255">
        <f ca="1"/>
        <v>146.03</v>
      </c>
      <c r="G8" vm="1256">
        <f ca="1"/>
        <v>134.97999999999999</v>
      </c>
      <c r="H8" vm="1257">
        <f ca="1"/>
        <v>135.63</v>
      </c>
      <c r="I8" vm="1258">
        <f ca="1"/>
        <v>135.32</v>
      </c>
      <c r="J8" vm="1259">
        <f ca="1"/>
        <v>134.54</v>
      </c>
      <c r="K8" vm="1260">
        <f ca="1"/>
        <v>135.36000000000001</v>
      </c>
      <c r="L8" vm="1261">
        <f ca="1"/>
        <v>137.87</v>
      </c>
      <c r="M8" vm="1262">
        <f ca="1"/>
        <v>133.72999999999999</v>
      </c>
      <c r="N8" vm="1263">
        <f ca="1"/>
        <v>137.30000000000001</v>
      </c>
      <c r="O8" vm="1264">
        <f ca="1"/>
        <v>136.68</v>
      </c>
      <c r="P8" vm="1265">
        <f ca="1"/>
        <v>139.07</v>
      </c>
      <c r="Q8" vm="1266">
        <f ca="1"/>
        <v>138.72999999999999</v>
      </c>
      <c r="R8" vm="1267">
        <f ca="1"/>
        <v>140.1</v>
      </c>
      <c r="S8" vm="1268">
        <f ca="1"/>
        <v>139.30000000000001</v>
      </c>
      <c r="T8" vm="1269">
        <f ca="1"/>
        <v>136.06</v>
      </c>
      <c r="U8" vm="1270">
        <f ca="1"/>
        <v>136.26</v>
      </c>
      <c r="V8" vm="1271">
        <f ca="1"/>
        <v>138.5</v>
      </c>
      <c r="W8" vm="1272">
        <f ca="1"/>
        <v>135.5</v>
      </c>
      <c r="X8" vm="1273">
        <f ca="1"/>
        <v>135.6</v>
      </c>
      <c r="Y8" vm="1274">
        <f ca="1"/>
        <v>135.79</v>
      </c>
      <c r="Z8" vm="1275">
        <f ca="1"/>
        <v>137.04</v>
      </c>
      <c r="AA8" vm="1276">
        <f ca="1"/>
        <v>138.49</v>
      </c>
      <c r="AB8" vm="1277">
        <f ca="1"/>
        <v>141.62</v>
      </c>
      <c r="AC8" vm="1278">
        <f ca="1"/>
        <v>142.35</v>
      </c>
      <c r="AD8" vm="1279">
        <f ca="1"/>
        <v>141.66999999999999</v>
      </c>
      <c r="AE8" vm="1280">
        <f ca="1"/>
        <v>142.26</v>
      </c>
      <c r="AF8" vm="1281">
        <f ca="1"/>
        <v>142.1</v>
      </c>
      <c r="AG8" vm="1276">
        <f ca="1"/>
        <v>138.49</v>
      </c>
      <c r="AH8" vm="1282">
        <f ca="1"/>
        <v>137.27000000000001</v>
      </c>
      <c r="AI8" vm="1283">
        <f ca="1"/>
        <v>135.56</v>
      </c>
      <c r="AJ8" vm="1284">
        <f ca="1"/>
        <v>135.29</v>
      </c>
      <c r="AK8" vm="1285">
        <f ca="1"/>
        <v>136.54</v>
      </c>
      <c r="AL8" vm="1286">
        <f ca="1"/>
        <v>137.83000000000001</v>
      </c>
      <c r="AM8" vm="1287">
        <f ca="1"/>
        <v>136.02000000000001</v>
      </c>
      <c r="AN8" vm="338">
        <f ca="1"/>
        <v>137.91</v>
      </c>
      <c r="AO8" vm="1288">
        <f ca="1"/>
        <v>136.69999999999999</v>
      </c>
      <c r="AP8" vm="1289">
        <f ca="1"/>
        <v>137.84</v>
      </c>
      <c r="AQ8" vm="1290">
        <f ca="1"/>
        <v>139.55000000000001</v>
      </c>
      <c r="AR8" vm="1291">
        <f ca="1"/>
        <v>137.37</v>
      </c>
      <c r="AS8" vm="1292">
        <f ca="1"/>
        <v>136.9</v>
      </c>
      <c r="AT8" vm="1293">
        <f ca="1"/>
        <v>140.21</v>
      </c>
      <c r="AU8" vm="1294">
        <f ca="1"/>
        <v>140.76</v>
      </c>
      <c r="AV8" vm="1295">
        <f ca="1"/>
        <v>143.35</v>
      </c>
      <c r="AW8" vm="1296">
        <f ca="1"/>
        <v>144.78</v>
      </c>
      <c r="AX8" vm="1297">
        <f ca="1"/>
        <v>144.97</v>
      </c>
      <c r="AY8" vm="1298">
        <f ca="1"/>
        <v>145.91</v>
      </c>
      <c r="AZ8" vm="1255">
        <f ca="1"/>
        <v>146.03</v>
      </c>
      <c r="BA8" vm="1299">
        <f ca="1"/>
        <v>148.85</v>
      </c>
      <c r="BB8" vm="1300">
        <f ca="1"/>
        <v>148.19</v>
      </c>
      <c r="BC8" vm="1301">
        <f ca="1"/>
        <v>149.55000000000001</v>
      </c>
      <c r="BD8" vm="1302">
        <f ca="1"/>
        <v>146.86000000000001</v>
      </c>
      <c r="BE8" vm="1303">
        <f ca="1"/>
        <v>143.55000000000001</v>
      </c>
      <c r="BF8" vm="1304">
        <f ca="1"/>
        <v>143.22999999999999</v>
      </c>
      <c r="BG8" vm="1305">
        <f ca="1"/>
        <v>144.44</v>
      </c>
      <c r="BH8" vm="1306">
        <f ca="1"/>
        <v>143.79</v>
      </c>
      <c r="BI8" vm="1307">
        <f ca="1"/>
        <v>143.19</v>
      </c>
      <c r="BJ8" vm="1308">
        <f ca="1"/>
        <v>145.57</v>
      </c>
      <c r="BK8" vm="1309">
        <f ca="1"/>
        <v>147.97999999999999</v>
      </c>
      <c r="BL8" vm="1310">
        <f ca="1"/>
        <v>148.37</v>
      </c>
      <c r="BM8" vm="1311">
        <f ca="1"/>
        <v>147.4</v>
      </c>
      <c r="BN8" vm="1312">
        <f ca="1"/>
        <v>153.24</v>
      </c>
      <c r="BO8" vm="1313">
        <f ca="1"/>
        <v>153.02000000000001</v>
      </c>
      <c r="BP8" vm="1314">
        <f ca="1"/>
        <v>154.16999999999999</v>
      </c>
      <c r="BQ8" vm="1315">
        <f ca="1"/>
        <v>155.31</v>
      </c>
      <c r="BR8" vm="1316">
        <f ca="1"/>
        <v>151.65</v>
      </c>
      <c r="BS8" vm="1317">
        <f ca="1"/>
        <v>150.69</v>
      </c>
      <c r="BT8" vm="1318">
        <f ca="1"/>
        <v>149.91999999999999</v>
      </c>
      <c r="BU8" vm="1319">
        <f ca="1"/>
        <v>151.38</v>
      </c>
      <c r="BV8" vm="1320">
        <f ca="1"/>
        <v>150.04</v>
      </c>
      <c r="BW8" vm="1321">
        <f ca="1"/>
        <v>149.68</v>
      </c>
      <c r="BX8" vm="1320">
        <f ca="1"/>
        <v>150.04</v>
      </c>
      <c r="BY8" vm="1322">
        <f ca="1"/>
        <v>153.12</v>
      </c>
      <c r="BZ8" vm="1323">
        <f ca="1"/>
        <v>155.83000000000001</v>
      </c>
      <c r="CA8" vm="1324">
        <f ca="1"/>
        <v>154.84</v>
      </c>
      <c r="CB8" vm="1325">
        <f ca="1"/>
        <v>156.28</v>
      </c>
      <c r="CC8" vm="1326">
        <f ca="1"/>
        <v>157.03</v>
      </c>
      <c r="CD8" vm="1327">
        <f ca="1"/>
        <v>153.56</v>
      </c>
      <c r="CE8" vm="1328">
        <f ca="1"/>
        <v>151.63999999999999</v>
      </c>
      <c r="CF8" vm="1329">
        <f ca="1"/>
        <v>151.4</v>
      </c>
      <c r="CG8" vm="1330">
        <f ca="1"/>
        <v>151.04</v>
      </c>
      <c r="CH8" vm="1331">
        <f ca="1"/>
        <v>153.04</v>
      </c>
      <c r="CI8" vm="1332">
        <f ca="1"/>
        <v>152.78</v>
      </c>
      <c r="CJ8" vm="1333">
        <f ca="1"/>
        <v>153.16</v>
      </c>
      <c r="CK8" vm="1334">
        <f ca="1"/>
        <v>155.01</v>
      </c>
      <c r="CL8" vm="1335">
        <f ca="1"/>
        <v>153.44999999999999</v>
      </c>
      <c r="CM8" vm="1336">
        <f ca="1"/>
        <v>154.44</v>
      </c>
      <c r="CN8" vm="1337">
        <f ca="1"/>
        <v>155.87</v>
      </c>
      <c r="CO8" vm="1338">
        <f ca="1"/>
        <v>155.16</v>
      </c>
      <c r="CP8" vm="1339">
        <f ca="1"/>
        <v>156.55000000000001</v>
      </c>
      <c r="CQ8" vm="1340">
        <f ca="1"/>
        <v>155.32</v>
      </c>
      <c r="CR8" vm="1341">
        <f ca="1"/>
        <v>152</v>
      </c>
      <c r="CS8" vm="1342">
        <f ca="1"/>
        <v>153.22</v>
      </c>
      <c r="CT8" vm="1343">
        <f ca="1"/>
        <v>155.55000000000001</v>
      </c>
      <c r="CU8" vm="1344">
        <f ca="1"/>
        <v>158.18</v>
      </c>
      <c r="CV8" vm="1345">
        <f ca="1"/>
        <v>158.19999999999999</v>
      </c>
      <c r="CW8" vm="1346">
        <f ca="1"/>
        <v>157.36000000000001</v>
      </c>
      <c r="CX8" vm="1347">
        <f ca="1"/>
        <v>159.24</v>
      </c>
      <c r="CY8" vm="1348">
        <f ca="1"/>
        <v>159.32</v>
      </c>
      <c r="CZ8" vm="1349">
        <f ca="1"/>
        <v>160.6</v>
      </c>
      <c r="DA8" vm="1350">
        <f ca="1"/>
        <v>161.83000000000001</v>
      </c>
      <c r="DB8" vm="1351">
        <f ca="1"/>
        <v>158.06</v>
      </c>
      <c r="DC8" vm="1352">
        <f ca="1"/>
        <v>157.69</v>
      </c>
      <c r="DD8" vm="1353">
        <f ca="1"/>
        <v>153.66</v>
      </c>
      <c r="DE8" vm="1354">
        <f ca="1"/>
        <v>154</v>
      </c>
      <c r="DF8" vm="1355">
        <f ca="1"/>
        <v>154.85</v>
      </c>
      <c r="DG8" vm="1356">
        <f ca="1"/>
        <v>157.79</v>
      </c>
      <c r="DH8" vm="1357">
        <f ca="1"/>
        <v>158.25</v>
      </c>
      <c r="DI8" vm="1358">
        <f ca="1"/>
        <v>157.11000000000001</v>
      </c>
      <c r="DJ8" vm="1359">
        <f ca="1"/>
        <v>157.31</v>
      </c>
      <c r="DK8" vm="385">
        <f ca="1"/>
        <v>159.54</v>
      </c>
      <c r="DL8" vm="1360">
        <f ca="1"/>
        <v>160.09</v>
      </c>
      <c r="DM8" vm="1361">
        <f ca="1"/>
        <v>158.84</v>
      </c>
      <c r="DN8" vm="1362">
        <f ca="1"/>
        <v>156.21</v>
      </c>
      <c r="DO8" vm="1363">
        <f ca="1"/>
        <v>156.05000000000001</v>
      </c>
      <c r="DP8" vm="1364">
        <f ca="1"/>
        <v>157.41999999999999</v>
      </c>
      <c r="DQ8" vm="1365">
        <f ca="1"/>
        <v>159.18</v>
      </c>
      <c r="DR8" vm="1366">
        <f ca="1"/>
        <v>160.72</v>
      </c>
      <c r="DS8" vm="1367">
        <f ca="1"/>
        <v>160.16</v>
      </c>
      <c r="DT8" vm="1368">
        <f ca="1"/>
        <v>156.1</v>
      </c>
      <c r="DU8" vm="1369">
        <f ca="1"/>
        <v>155.29</v>
      </c>
      <c r="DV8" vm="1370">
        <f ca="1"/>
        <v>154.58000000000001</v>
      </c>
      <c r="DW8" vm="1371">
        <f ca="1"/>
        <v>153.37</v>
      </c>
      <c r="DX8" vm="1372">
        <f ca="1"/>
        <v>153.55000000000001</v>
      </c>
      <c r="DY8" vm="1373">
        <f ca="1"/>
        <v>154.02000000000001</v>
      </c>
      <c r="DZ8" vm="1374">
        <f ca="1"/>
        <v>154.91</v>
      </c>
      <c r="EA8" vm="1375">
        <f ca="1"/>
        <v>153.74</v>
      </c>
      <c r="EB8" vm="1328">
        <f ca="1"/>
        <v>151.63999999999999</v>
      </c>
      <c r="EC8" vm="1376">
        <f ca="1"/>
        <v>148.9</v>
      </c>
      <c r="ED8" vm="1377">
        <f ca="1"/>
        <v>151.94</v>
      </c>
      <c r="EE8" vm="1378">
        <f ca="1"/>
        <v>152.38999999999999</v>
      </c>
      <c r="EF8" vm="1379">
        <f ca="1"/>
        <v>152.11000000000001</v>
      </c>
      <c r="EG8" vm="1380">
        <f ca="1"/>
        <v>151.71</v>
      </c>
      <c r="EH8" vm="1381">
        <f ca="1"/>
        <v>153.08000000000001</v>
      </c>
      <c r="EI8" vm="1382">
        <f ca="1"/>
        <v>154.47999999999999</v>
      </c>
      <c r="EJ8" vm="1383">
        <f ca="1"/>
        <v>153.79</v>
      </c>
      <c r="EK8" vm="1384">
        <f ca="1"/>
        <v>155.57</v>
      </c>
      <c r="EL8" vm="1385">
        <f ca="1"/>
        <v>156.56</v>
      </c>
      <c r="EM8" vm="1386">
        <f ca="1"/>
        <v>155.56</v>
      </c>
      <c r="EN8" vm="1387">
        <f ca="1"/>
        <v>155.28</v>
      </c>
      <c r="EO8" vm="1388">
        <f ca="1"/>
        <v>154.13</v>
      </c>
      <c r="EP8" vm="1389">
        <f ca="1"/>
        <v>155.1</v>
      </c>
      <c r="EQ8" vm="1390">
        <f ca="1"/>
        <v>153.52000000000001</v>
      </c>
      <c r="ER8" vm="1391">
        <f ca="1"/>
        <v>157.72</v>
      </c>
      <c r="ES8" vm="1392">
        <f ca="1"/>
        <v>154.04</v>
      </c>
      <c r="ET8" vm="1393">
        <f ca="1"/>
        <v>153.38999999999999</v>
      </c>
      <c r="EU8" vm="1394">
        <f ca="1"/>
        <v>152.66</v>
      </c>
      <c r="EV8" vm="1395">
        <f ca="1"/>
        <v>152.94</v>
      </c>
      <c r="EW8" vm="1396">
        <f ca="1"/>
        <v>155.02000000000001</v>
      </c>
      <c r="EX8" vm="1397">
        <f ca="1"/>
        <v>155.65</v>
      </c>
      <c r="EY8" vm="1398">
        <f ca="1"/>
        <v>156.24</v>
      </c>
      <c r="EZ8" vm="1399">
        <f ca="1"/>
        <v>153.32</v>
      </c>
      <c r="FA8" vm="1400">
        <f ca="1"/>
        <v>155.58000000000001</v>
      </c>
      <c r="FB8" vm="1401">
        <f ca="1"/>
        <v>157.62</v>
      </c>
      <c r="FC8" vm="1402">
        <f ca="1"/>
        <v>154.82</v>
      </c>
      <c r="FD8" vm="1403">
        <f ca="1"/>
        <v>153.62</v>
      </c>
      <c r="FE8" vm="1404">
        <f ca="1"/>
        <v>151.69999999999999</v>
      </c>
      <c r="FF8" vm="1405">
        <f ca="1"/>
        <v>150.31</v>
      </c>
      <c r="FG8" vm="1406">
        <f ca="1"/>
        <v>149.97999999999999</v>
      </c>
      <c r="FH8" vm="1407">
        <f ca="1"/>
        <v>149.75</v>
      </c>
      <c r="FI8" vm="1408">
        <f ca="1"/>
        <v>148.53</v>
      </c>
      <c r="FJ8" vm="1409">
        <f ca="1"/>
        <v>149.51</v>
      </c>
      <c r="FK8" vm="1410">
        <f ca="1"/>
        <v>151.13</v>
      </c>
      <c r="FL8" vm="1411">
        <f ca="1"/>
        <v>152.54</v>
      </c>
      <c r="FM8" vm="1412">
        <f ca="1"/>
        <v>150.25</v>
      </c>
      <c r="FN8" vm="1413">
        <f ca="1"/>
        <v>151.59</v>
      </c>
      <c r="FO8" vm="1414">
        <f ca="1"/>
        <v>152.26</v>
      </c>
      <c r="FP8" vm="1415">
        <f ca="1"/>
        <v>150</v>
      </c>
      <c r="FQ8" vm="1416">
        <f ca="1"/>
        <v>148.71</v>
      </c>
      <c r="FR8" vm="1417">
        <f ca="1"/>
        <v>148.49</v>
      </c>
      <c r="FS8" vm="383">
        <f ca="1"/>
        <v>151.41</v>
      </c>
      <c r="FT8" vm="1418">
        <f ca="1"/>
        <v>150.72</v>
      </c>
      <c r="FU8" vm="1419">
        <f ca="1"/>
        <v>149.99</v>
      </c>
      <c r="FV8" vm="1420">
        <f ca="1"/>
        <v>149.80000000000001</v>
      </c>
      <c r="FW8" vm="1421">
        <f ca="1"/>
        <v>146.75</v>
      </c>
      <c r="FX8" vm="1422">
        <f ca="1"/>
        <v>149.52000000000001</v>
      </c>
      <c r="FY8" vm="1423">
        <f ca="1"/>
        <v>147.69</v>
      </c>
      <c r="FZ8" vm="1424">
        <f ca="1"/>
        <v>147.75</v>
      </c>
      <c r="GA8" vm="1420">
        <f ca="1"/>
        <v>149.80000000000001</v>
      </c>
      <c r="GB8" vm="1425">
        <f ca="1"/>
        <v>150.51</v>
      </c>
      <c r="GC8" vm="1426">
        <f ca="1"/>
        <v>150.5</v>
      </c>
      <c r="GD8" vm="1427">
        <f ca="1"/>
        <v>150.02000000000001</v>
      </c>
      <c r="GE8" vm="1428">
        <f ca="1"/>
        <v>150.99</v>
      </c>
      <c r="GF8" vm="1429">
        <f ca="1"/>
        <v>152.31</v>
      </c>
      <c r="GG8" vm="1430">
        <f ca="1"/>
        <v>152.41</v>
      </c>
      <c r="GH8" vm="1431">
        <f ca="1"/>
        <v>155.9</v>
      </c>
      <c r="GI8" vm="1432">
        <f ca="1"/>
        <v>163.85</v>
      </c>
      <c r="GJ8" vm="1433">
        <f ca="1"/>
        <v>156.54</v>
      </c>
      <c r="GK8" vm="1434">
        <f ca="1"/>
        <v>155.19999999999999</v>
      </c>
      <c r="GL8" vm="1435">
        <f ca="1"/>
        <v>159.25</v>
      </c>
      <c r="GM8" vm="1436">
        <f ca="1"/>
        <v>162.11000000000001</v>
      </c>
      <c r="GN8" vm="1437">
        <f ca="1"/>
        <v>162.34</v>
      </c>
      <c r="GO8" vm="1438">
        <f ca="1"/>
        <v>163.87</v>
      </c>
      <c r="GP8" vm="1439">
        <f ca="1"/>
        <v>167.24</v>
      </c>
      <c r="GQ8" vm="1440">
        <f ca="1"/>
        <v>166.16</v>
      </c>
      <c r="GR8" vm="1441">
        <f ca="1"/>
        <v>166.26</v>
      </c>
      <c r="GS8" vm="1442">
        <f ca="1"/>
        <v>165.3</v>
      </c>
      <c r="GT8" vm="1443">
        <f ca="1"/>
        <v>166.73</v>
      </c>
      <c r="GU8" vm="1444">
        <f ca="1"/>
        <v>166.66</v>
      </c>
      <c r="GV8" vm="1445">
        <f ca="1"/>
        <v>166.72</v>
      </c>
      <c r="GW8" vm="1446">
        <f ca="1"/>
        <v>167.5</v>
      </c>
      <c r="GX8" vm="1447">
        <f ca="1"/>
        <v>169.05</v>
      </c>
      <c r="GY8" vm="1448">
        <f ca="1"/>
        <v>169.93</v>
      </c>
      <c r="GZ8" vm="1449">
        <f ca="1"/>
        <v>171.19</v>
      </c>
      <c r="HA8" vm="1450">
        <f ca="1"/>
        <v>176.9</v>
      </c>
      <c r="HB8" vm="1451">
        <f ca="1"/>
        <v>174.03</v>
      </c>
      <c r="HC8" vm="1452">
        <f ca="1"/>
        <v>178.04</v>
      </c>
      <c r="HD8" vm="1453">
        <f ca="1"/>
        <v>181.23</v>
      </c>
      <c r="HE8" vm="1454">
        <f ca="1"/>
        <v>179.23</v>
      </c>
      <c r="HF8" vm="1455">
        <f ca="1"/>
        <v>180.86</v>
      </c>
      <c r="HG8" vm="1456">
        <f ca="1"/>
        <v>182.6</v>
      </c>
      <c r="HH8" vm="1457">
        <f ca="1"/>
        <v>182.26</v>
      </c>
      <c r="HI8" vm="1458">
        <f ca="1"/>
        <v>185.82</v>
      </c>
      <c r="HJ8" vm="1459">
        <f ca="1"/>
        <v>182.4</v>
      </c>
      <c r="HK8" vm="1460">
        <f ca="1"/>
        <v>183.74</v>
      </c>
      <c r="HL8" vm="1461">
        <f ca="1"/>
        <v>180.55</v>
      </c>
      <c r="HM8" vm="1462">
        <f ca="1"/>
        <v>183.87</v>
      </c>
      <c r="HN8" vm="1463">
        <f ca="1"/>
        <v>184.78</v>
      </c>
      <c r="HO8" vm="1464">
        <f ca="1"/>
        <v>183.93</v>
      </c>
      <c r="HP8" vm="1465">
        <f ca="1"/>
        <v>184.91</v>
      </c>
      <c r="HQ8" vm="1466">
        <f ca="1"/>
        <v>185.34</v>
      </c>
      <c r="HR8" vm="1467">
        <f ca="1"/>
        <v>184.22</v>
      </c>
      <c r="HS8" vm="1468">
        <f ca="1"/>
        <v>184.16</v>
      </c>
      <c r="HT8" vm="1469">
        <f ca="1"/>
        <v>186.76</v>
      </c>
      <c r="HU8" vm="1470">
        <f ca="1"/>
        <v>189.6</v>
      </c>
      <c r="HV8" vm="1471">
        <f ca="1"/>
        <v>188.77</v>
      </c>
      <c r="HW8" vm="1472">
        <f ca="1"/>
        <v>186.03</v>
      </c>
      <c r="HX8" vm="1473">
        <f ca="1"/>
        <v>189.9</v>
      </c>
      <c r="HY8" vm="1474">
        <f ca="1"/>
        <v>189.94</v>
      </c>
      <c r="HZ8" vm="1475">
        <f ca="1"/>
        <v>189.44</v>
      </c>
      <c r="IA8" vm="1476">
        <f ca="1"/>
        <v>186.29</v>
      </c>
      <c r="IB8" vm="1477">
        <f ca="1"/>
        <v>191.79</v>
      </c>
      <c r="IC8" vm="1478">
        <f ca="1"/>
        <v>196.97</v>
      </c>
      <c r="ID8" vm="1479">
        <f ca="1"/>
        <v>196.82</v>
      </c>
      <c r="IE8" vm="1480">
        <f ca="1"/>
        <v>196.84</v>
      </c>
      <c r="IF8" vm="1481">
        <f ca="1"/>
        <v>197.97</v>
      </c>
      <c r="IG8" vm="1482">
        <f ca="1"/>
        <v>198.61</v>
      </c>
      <c r="IH8" vm="1483">
        <f ca="1"/>
        <v>201.44</v>
      </c>
      <c r="II8" vm="1484">
        <f ca="1"/>
        <v>201.73</v>
      </c>
      <c r="IJ8" vm="1485">
        <f ca="1"/>
        <v>205.21</v>
      </c>
      <c r="IK8" vm="1486">
        <f ca="1"/>
        <v>206.79</v>
      </c>
      <c r="IL8" vm="1487">
        <f ca="1"/>
        <v>205.15</v>
      </c>
      <c r="IM8" vm="1488">
        <f ca="1"/>
        <v>207.79</v>
      </c>
      <c r="IN8" vm="1489">
        <f ca="1"/>
        <v>211.15</v>
      </c>
      <c r="IO8" vm="1490">
        <f ca="1"/>
        <v>210.71</v>
      </c>
      <c r="IP8" vm="1491">
        <f ca="1"/>
        <v>206.9</v>
      </c>
      <c r="IQ8" vm="1492">
        <f ca="1"/>
        <v>197.41</v>
      </c>
    </row>
    <row r="9" spans="1:251" x14ac:dyDescent="0.35">
      <c r="A9" t="e" vm="7">
        <f>Dashboard!B13</f>
        <v>#VALUE!</v>
      </c>
      <c r="B9" cm="1" vm="1493">
        <f t="array" aca="1" ref="B9:IQ9" ca="1">TRANSPOSE(_xlfn.STOCKHISTORY(A9,TODAY()-365,TODAY(),0,0,1))</f>
        <v>63.05</v>
      </c>
      <c r="C9" vm="1494">
        <f ca="1"/>
        <v>58.13</v>
      </c>
      <c r="D9" vm="1495">
        <f ca="1"/>
        <v>58.85</v>
      </c>
      <c r="E9" vm="1496">
        <f ca="1"/>
        <v>58.77</v>
      </c>
      <c r="F9" vm="1497">
        <f ca="1"/>
        <v>64.150000000000006</v>
      </c>
      <c r="G9" vm="1498">
        <f ca="1"/>
        <v>61.59</v>
      </c>
      <c r="H9" vm="1499">
        <f ca="1"/>
        <v>61.64</v>
      </c>
      <c r="I9" vm="1500">
        <f ca="1"/>
        <v>63.22</v>
      </c>
      <c r="J9" vm="1501">
        <f ca="1"/>
        <v>64.33</v>
      </c>
      <c r="K9" vm="1502">
        <f ca="1"/>
        <v>62.1</v>
      </c>
      <c r="L9" vm="1503">
        <f ca="1"/>
        <v>63.25</v>
      </c>
      <c r="M9" vm="1504">
        <f ca="1"/>
        <v>62.69</v>
      </c>
      <c r="N9" vm="1505">
        <f ca="1"/>
        <v>64.55</v>
      </c>
      <c r="O9" vm="1506">
        <f ca="1"/>
        <v>66.3</v>
      </c>
      <c r="P9" vm="1507">
        <f ca="1"/>
        <v>68.16</v>
      </c>
      <c r="Q9" vm="1508">
        <f ca="1"/>
        <v>68.430000000000007</v>
      </c>
      <c r="R9" vm="1509">
        <f ca="1"/>
        <v>68.28</v>
      </c>
      <c r="S9" vm="1510">
        <f ca="1"/>
        <v>68.88</v>
      </c>
      <c r="T9" vm="1511">
        <f ca="1"/>
        <v>68.38</v>
      </c>
      <c r="U9" vm="1512">
        <f ca="1"/>
        <v>68.14</v>
      </c>
      <c r="V9" vm="1513">
        <f ca="1"/>
        <v>70.59</v>
      </c>
      <c r="W9" vm="1514">
        <f ca="1"/>
        <v>70.239999999999995</v>
      </c>
      <c r="X9" vm="1515">
        <f ca="1"/>
        <v>69.47</v>
      </c>
      <c r="Y9" vm="1516">
        <f ca="1"/>
        <v>70.25</v>
      </c>
      <c r="Z9" vm="1517">
        <f ca="1"/>
        <v>71.64</v>
      </c>
      <c r="AA9" vm="1518">
        <f ca="1"/>
        <v>71.45</v>
      </c>
      <c r="AB9" vm="1519">
        <f ca="1"/>
        <v>74.91</v>
      </c>
      <c r="AC9" vm="1520">
        <f ca="1"/>
        <v>75.569999999999993</v>
      </c>
      <c r="AD9" vm="1521">
        <f ca="1"/>
        <v>75.290000000000006</v>
      </c>
      <c r="AE9" vm="1522">
        <f ca="1"/>
        <v>75.959999999999994</v>
      </c>
      <c r="AF9" vm="1523">
        <f ca="1"/>
        <v>75.72</v>
      </c>
      <c r="AG9" vm="1524">
        <f ca="1"/>
        <v>76.13</v>
      </c>
      <c r="AH9" vm="1525">
        <f ca="1"/>
        <v>75.900000000000006</v>
      </c>
      <c r="AI9" vm="1526">
        <f ca="1"/>
        <v>73.42</v>
      </c>
      <c r="AJ9" vm="1526">
        <f ca="1"/>
        <v>73.42</v>
      </c>
      <c r="AK9" vm="1527">
        <f ca="1"/>
        <v>73.09</v>
      </c>
      <c r="AL9" vm="1528">
        <f ca="1"/>
        <v>75.47</v>
      </c>
      <c r="AM9" vm="1529">
        <f ca="1"/>
        <v>75.03</v>
      </c>
      <c r="AN9" vm="1530">
        <f ca="1"/>
        <v>75.53</v>
      </c>
      <c r="AO9" vm="1531">
        <f ca="1"/>
        <v>75.319999999999993</v>
      </c>
      <c r="AP9" vm="1532">
        <f ca="1"/>
        <v>75.8</v>
      </c>
      <c r="AQ9" vm="1533">
        <f ca="1"/>
        <v>76.53</v>
      </c>
      <c r="AR9" vm="1534">
        <f ca="1"/>
        <v>76.400000000000006</v>
      </c>
      <c r="AS9" vm="1535">
        <f ca="1"/>
        <v>76.67</v>
      </c>
      <c r="AT9" vm="1536">
        <f ca="1"/>
        <v>78.260000000000005</v>
      </c>
      <c r="AU9" vm="1537">
        <f ca="1"/>
        <v>78.17</v>
      </c>
      <c r="AV9" vm="1538">
        <f ca="1"/>
        <v>78.03</v>
      </c>
      <c r="AW9" vm="1539">
        <f ca="1"/>
        <v>78.38</v>
      </c>
      <c r="AX9" vm="1540">
        <f ca="1"/>
        <v>78.23</v>
      </c>
      <c r="AY9" vm="1541">
        <f ca="1"/>
        <v>76.36</v>
      </c>
      <c r="AZ9" vm="1542">
        <f ca="1"/>
        <v>78.069999999999993</v>
      </c>
      <c r="BA9" vm="1543">
        <f ca="1"/>
        <v>77.36</v>
      </c>
      <c r="BB9" vm="1544">
        <f ca="1"/>
        <v>78.349999999999994</v>
      </c>
      <c r="BC9" vm="1545">
        <f ca="1"/>
        <v>78.45</v>
      </c>
      <c r="BD9" vm="1546">
        <f ca="1"/>
        <v>79.36</v>
      </c>
      <c r="BE9" vm="1547">
        <f ca="1"/>
        <v>81.14</v>
      </c>
      <c r="BF9" vm="1548">
        <f ca="1"/>
        <v>82.63</v>
      </c>
      <c r="BG9" vm="1549">
        <f ca="1"/>
        <v>84.37</v>
      </c>
      <c r="BH9" vm="1550">
        <f ca="1"/>
        <v>84.38</v>
      </c>
      <c r="BI9" vm="1551">
        <f ca="1"/>
        <v>85.12</v>
      </c>
      <c r="BJ9" vm="1552">
        <f ca="1"/>
        <v>86.27</v>
      </c>
      <c r="BK9" vm="1553">
        <f ca="1"/>
        <v>86.76</v>
      </c>
      <c r="BL9" vm="1554">
        <f ca="1"/>
        <v>88.72</v>
      </c>
      <c r="BM9" vm="1555">
        <f ca="1"/>
        <v>87.6</v>
      </c>
      <c r="BN9" vm="1556">
        <f ca="1"/>
        <v>85.57</v>
      </c>
      <c r="BO9" vm="1557">
        <f ca="1"/>
        <v>85.79</v>
      </c>
      <c r="BP9" vm="1558">
        <f ca="1"/>
        <v>87.08</v>
      </c>
      <c r="BQ9" vm="1559">
        <f ca="1"/>
        <v>86.73</v>
      </c>
      <c r="BR9" vm="286">
        <f ca="1"/>
        <v>87.5</v>
      </c>
      <c r="BS9" vm="1560">
        <f ca="1"/>
        <v>90.72</v>
      </c>
      <c r="BT9" vm="1561">
        <f ca="1"/>
        <v>90.02</v>
      </c>
      <c r="BU9" vm="1562">
        <f ca="1"/>
        <v>93.09</v>
      </c>
      <c r="BV9" vm="1563">
        <f ca="1"/>
        <v>93.45</v>
      </c>
      <c r="BW9" vm="1564">
        <f ca="1"/>
        <v>92.65</v>
      </c>
      <c r="BX9" vm="1565">
        <f ca="1"/>
        <v>94</v>
      </c>
      <c r="BY9" vm="1566">
        <f ca="1"/>
        <v>95.99</v>
      </c>
      <c r="BZ9" vm="1567">
        <f ca="1"/>
        <v>95.39</v>
      </c>
      <c r="CA9" vm="1568">
        <f ca="1"/>
        <v>96.07</v>
      </c>
      <c r="CB9" vm="1569">
        <f ca="1"/>
        <v>95.55</v>
      </c>
      <c r="CC9" vm="1570">
        <f ca="1"/>
        <v>94.48</v>
      </c>
      <c r="CD9" vm="1571">
        <f ca="1"/>
        <v>95.81</v>
      </c>
      <c r="CE9" vm="1572">
        <f ca="1"/>
        <v>93.7</v>
      </c>
      <c r="CF9" vm="1573">
        <f ca="1"/>
        <v>91.83</v>
      </c>
      <c r="CG9" vm="1574">
        <f ca="1"/>
        <v>92.08</v>
      </c>
      <c r="CH9" vm="1575">
        <f ca="1"/>
        <v>91.52</v>
      </c>
      <c r="CI9" vm="1576">
        <f ca="1"/>
        <v>92.23</v>
      </c>
      <c r="CJ9" vm="1577">
        <f ca="1"/>
        <v>91.23</v>
      </c>
      <c r="CK9" vm="1578">
        <f ca="1"/>
        <v>92.73</v>
      </c>
      <c r="CL9" vm="1579">
        <f ca="1"/>
        <v>92.31</v>
      </c>
      <c r="CM9" vm="1580">
        <f ca="1"/>
        <v>95.74</v>
      </c>
      <c r="CN9" vm="1581">
        <f ca="1"/>
        <v>94.65</v>
      </c>
      <c r="CO9" vm="1582">
        <f ca="1"/>
        <v>95.46</v>
      </c>
      <c r="CP9" vm="1583">
        <f ca="1"/>
        <v>93.69</v>
      </c>
      <c r="CQ9" vm="1584">
        <f ca="1"/>
        <v>94.22</v>
      </c>
      <c r="CR9" vm="1585">
        <f ca="1"/>
        <v>93.74</v>
      </c>
      <c r="CS9" vm="1586">
        <f ca="1"/>
        <v>93.17</v>
      </c>
      <c r="CT9" vm="1587">
        <f ca="1"/>
        <v>92.59</v>
      </c>
      <c r="CU9" vm="1588">
        <f ca="1"/>
        <v>95.26</v>
      </c>
      <c r="CV9" vm="1589">
        <f ca="1"/>
        <v>95</v>
      </c>
      <c r="CW9" vm="1590">
        <f ca="1"/>
        <v>95.72</v>
      </c>
      <c r="CX9" vm="1591">
        <f ca="1"/>
        <v>96.87</v>
      </c>
      <c r="CY9" vm="1592">
        <f ca="1"/>
        <v>96.82</v>
      </c>
      <c r="CZ9" vm="1593">
        <f ca="1"/>
        <v>96.57</v>
      </c>
      <c r="DA9" vm="1594">
        <f ca="1"/>
        <v>94.78</v>
      </c>
      <c r="DB9" vm="1595">
        <f ca="1"/>
        <v>95.03</v>
      </c>
      <c r="DC9" vm="1596">
        <f ca="1"/>
        <v>97.08</v>
      </c>
      <c r="DD9" vm="1597">
        <f ca="1"/>
        <v>95.4</v>
      </c>
      <c r="DE9" vm="1598">
        <f ca="1"/>
        <v>95.87</v>
      </c>
      <c r="DF9" vm="1599">
        <f ca="1"/>
        <v>97.34</v>
      </c>
      <c r="DG9" vm="1600">
        <f ca="1"/>
        <v>97.17</v>
      </c>
      <c r="DH9" vm="1601">
        <f ca="1"/>
        <v>98.82</v>
      </c>
      <c r="DI9" vm="1602">
        <f ca="1"/>
        <v>99.44</v>
      </c>
      <c r="DJ9" vm="1603">
        <f ca="1"/>
        <v>99.79</v>
      </c>
      <c r="DK9" vm="1604">
        <f ca="1"/>
        <v>100.64</v>
      </c>
      <c r="DL9" vm="1605">
        <f ca="1"/>
        <v>101.76</v>
      </c>
      <c r="DM9" vm="1606">
        <f ca="1"/>
        <v>102.41</v>
      </c>
      <c r="DN9" vm="1607">
        <f ca="1"/>
        <v>102.68</v>
      </c>
      <c r="DO9" vm="1608">
        <f ca="1"/>
        <v>103.49</v>
      </c>
      <c r="DP9" vm="1609">
        <f ca="1"/>
        <v>103</v>
      </c>
      <c r="DQ9" vm="1610">
        <f ca="1"/>
        <v>101.65</v>
      </c>
      <c r="DR9" vm="1611">
        <f ca="1"/>
        <v>102.11</v>
      </c>
      <c r="DS9" vm="1612">
        <f ca="1"/>
        <v>103.42</v>
      </c>
      <c r="DT9" vm="1613">
        <f ca="1"/>
        <v>103.16</v>
      </c>
      <c r="DU9" vm="1614">
        <f ca="1"/>
        <v>101.5</v>
      </c>
      <c r="DV9" vm="1615">
        <f ca="1"/>
        <v>98.71</v>
      </c>
      <c r="DW9" vm="1599">
        <f ca="1"/>
        <v>97.34</v>
      </c>
      <c r="DX9" vm="1616">
        <f ca="1"/>
        <v>97.74</v>
      </c>
      <c r="DY9" vm="1617">
        <f ca="1"/>
        <v>98.05</v>
      </c>
      <c r="DZ9" vm="1618">
        <f ca="1"/>
        <v>97.8</v>
      </c>
      <c r="EA9" vm="1619">
        <f ca="1"/>
        <v>96.7</v>
      </c>
      <c r="EB9" vm="1620">
        <f ca="1"/>
        <v>95.92</v>
      </c>
      <c r="EC9" vm="1621">
        <f ca="1"/>
        <v>93.93</v>
      </c>
      <c r="ED9" vm="1622">
        <f ca="1"/>
        <v>96.1</v>
      </c>
      <c r="EE9" vm="1623">
        <f ca="1"/>
        <v>99.84</v>
      </c>
      <c r="EF9" vm="1624">
        <f ca="1"/>
        <v>99.78</v>
      </c>
      <c r="EG9" vm="1625">
        <f ca="1"/>
        <v>96.26</v>
      </c>
      <c r="EH9" vm="1626">
        <f ca="1"/>
        <v>97.07</v>
      </c>
      <c r="EI9" vm="1627">
        <f ca="1"/>
        <v>99.3</v>
      </c>
      <c r="EJ9" vm="1628">
        <f ca="1"/>
        <v>98.25</v>
      </c>
      <c r="EK9" vm="1629">
        <f ca="1"/>
        <v>96.3</v>
      </c>
      <c r="EL9" vm="1630">
        <f ca="1"/>
        <v>96.69</v>
      </c>
      <c r="EM9" vm="1631">
        <f ca="1"/>
        <v>98.78</v>
      </c>
      <c r="EN9" vm="1632">
        <f ca="1"/>
        <v>100.99</v>
      </c>
      <c r="EO9" vm="1633">
        <f ca="1"/>
        <v>101.39</v>
      </c>
      <c r="EP9" vm="1634">
        <f ca="1"/>
        <v>99.12</v>
      </c>
      <c r="EQ9" vm="1635">
        <f ca="1"/>
        <v>100.22</v>
      </c>
      <c r="ER9" vm="1636">
        <f ca="1"/>
        <v>101.23</v>
      </c>
      <c r="ES9" vm="1637">
        <f ca="1"/>
        <v>101.61</v>
      </c>
      <c r="ET9" vm="1638">
        <f ca="1"/>
        <v>101.01</v>
      </c>
      <c r="EU9" vm="1639">
        <f ca="1"/>
        <v>101.69</v>
      </c>
      <c r="EV9" vm="1640">
        <f ca="1"/>
        <v>100.85</v>
      </c>
      <c r="EW9" vm="1641">
        <f ca="1"/>
        <v>100.79</v>
      </c>
      <c r="EX9" vm="1642">
        <f ca="1"/>
        <v>101.49</v>
      </c>
      <c r="EY9" vm="1643">
        <f ca="1"/>
        <v>100.76</v>
      </c>
      <c r="EZ9" vm="1644">
        <f ca="1"/>
        <v>102.87</v>
      </c>
      <c r="FA9" vm="1645">
        <f ca="1"/>
        <v>100.67</v>
      </c>
      <c r="FB9" vm="1646">
        <f ca="1"/>
        <v>100.3</v>
      </c>
      <c r="FC9" vm="1647">
        <f ca="1"/>
        <v>98.19</v>
      </c>
      <c r="FD9" vm="1648">
        <f ca="1"/>
        <v>98.32</v>
      </c>
      <c r="FE9" vm="1649">
        <f ca="1"/>
        <v>99.83</v>
      </c>
      <c r="FF9" vm="1650">
        <f ca="1"/>
        <v>97.63</v>
      </c>
      <c r="FG9" vm="1651">
        <f ca="1"/>
        <v>98.7</v>
      </c>
      <c r="FH9" vm="1652">
        <f ca="1"/>
        <v>99.69</v>
      </c>
      <c r="FI9" vm="1653">
        <f ca="1"/>
        <v>101.17</v>
      </c>
      <c r="FJ9" vm="1654">
        <f ca="1"/>
        <v>102.5</v>
      </c>
      <c r="FK9" vm="1655">
        <f ca="1"/>
        <v>103.6</v>
      </c>
      <c r="FL9" vm="1607">
        <f ca="1"/>
        <v>102.68</v>
      </c>
      <c r="FM9" vm="1656">
        <f ca="1"/>
        <v>103.19</v>
      </c>
      <c r="FN9" vm="1657">
        <f ca="1"/>
        <v>106.72</v>
      </c>
      <c r="FO9" vm="1658">
        <f ca="1"/>
        <v>107.79</v>
      </c>
      <c r="FP9" vm="1659">
        <f ca="1"/>
        <v>108.88</v>
      </c>
      <c r="FQ9" vm="1660">
        <f ca="1"/>
        <v>108.92</v>
      </c>
      <c r="FR9" vm="1661">
        <f ca="1"/>
        <v>109.43</v>
      </c>
      <c r="FS9" vm="1662">
        <f ca="1"/>
        <v>111.09</v>
      </c>
      <c r="FT9" vm="1663">
        <f ca="1"/>
        <v>111.74</v>
      </c>
      <c r="FU9" vm="1664">
        <f ca="1"/>
        <v>111.8</v>
      </c>
      <c r="FV9" vm="1665">
        <f ca="1"/>
        <v>112.8</v>
      </c>
      <c r="FW9" vm="1666">
        <f ca="1"/>
        <v>111.28</v>
      </c>
      <c r="FX9" vm="1667">
        <f ca="1"/>
        <v>111.46</v>
      </c>
      <c r="FY9" vm="1668">
        <f ca="1"/>
        <v>112.83</v>
      </c>
      <c r="FZ9" vm="1669">
        <f ca="1"/>
        <v>114.86</v>
      </c>
      <c r="GA9" vm="1670">
        <f ca="1"/>
        <v>118.09</v>
      </c>
      <c r="GB9" vm="1671">
        <f ca="1"/>
        <v>119.4</v>
      </c>
      <c r="GC9" vm="1672">
        <f ca="1"/>
        <v>121.56</v>
      </c>
      <c r="GD9" vm="1673">
        <f ca="1"/>
        <v>120.42</v>
      </c>
      <c r="GE9" vm="1674">
        <f ca="1"/>
        <v>118.13</v>
      </c>
      <c r="GF9" vm="1675">
        <f ca="1"/>
        <v>117.21</v>
      </c>
      <c r="GG9" vm="1676">
        <f ca="1"/>
        <v>116.69</v>
      </c>
      <c r="GH9" vm="1677">
        <f ca="1"/>
        <v>118.7</v>
      </c>
      <c r="GI9" vm="1678">
        <f ca="1"/>
        <v>123.3</v>
      </c>
      <c r="GJ9" vm="1679">
        <f ca="1"/>
        <v>122.5</v>
      </c>
      <c r="GK9" vm="1680">
        <f ca="1"/>
        <v>121.37</v>
      </c>
      <c r="GL9" vm="1681">
        <f ca="1"/>
        <v>120.6</v>
      </c>
      <c r="GM9" vm="1682">
        <f ca="1"/>
        <v>121.32</v>
      </c>
      <c r="GN9" vm="1683">
        <f ca="1"/>
        <v>117.7</v>
      </c>
      <c r="GO9" vm="1684">
        <f ca="1"/>
        <v>116.3</v>
      </c>
      <c r="GP9" vm="1685">
        <f ca="1"/>
        <v>112.41</v>
      </c>
      <c r="GQ9" vm="1686">
        <f ca="1"/>
        <v>117.46</v>
      </c>
      <c r="GR9" vm="1687">
        <f ca="1"/>
        <v>118.04</v>
      </c>
      <c r="GS9" vm="1665">
        <f ca="1"/>
        <v>112.8</v>
      </c>
      <c r="GT9" vm="1688">
        <f ca="1"/>
        <v>113.86</v>
      </c>
      <c r="GU9" vm="1689">
        <f ca="1"/>
        <v>115.66</v>
      </c>
      <c r="GV9" vm="1690">
        <f ca="1"/>
        <v>113.59</v>
      </c>
      <c r="GW9" vm="1691">
        <f ca="1"/>
        <v>114.82</v>
      </c>
      <c r="GX9" vm="1692">
        <f ca="1"/>
        <v>114.79</v>
      </c>
      <c r="GY9" vm="1693">
        <f ca="1"/>
        <v>114.2</v>
      </c>
      <c r="GZ9" vm="1694">
        <f ca="1"/>
        <v>115.2</v>
      </c>
      <c r="HA9" vm="1695">
        <f ca="1"/>
        <v>115.71</v>
      </c>
      <c r="HB9" vm="1696">
        <f ca="1"/>
        <v>116.23</v>
      </c>
      <c r="HC9" vm="1697">
        <f ca="1"/>
        <v>117.71</v>
      </c>
      <c r="HD9" vm="1698">
        <f ca="1"/>
        <v>117.43</v>
      </c>
      <c r="HE9" vm="1699">
        <f ca="1"/>
        <v>115.74</v>
      </c>
      <c r="HF9" vm="1700">
        <f ca="1"/>
        <v>122.69</v>
      </c>
      <c r="HG9" vm="1701">
        <f ca="1"/>
        <v>123.77</v>
      </c>
      <c r="HH9" vm="1702">
        <f ca="1"/>
        <v>122.15</v>
      </c>
      <c r="HI9" vm="1703">
        <f ca="1"/>
        <v>117.39</v>
      </c>
      <c r="HJ9" vm="1704">
        <f ca="1"/>
        <v>111.15</v>
      </c>
      <c r="HK9" vm="1705">
        <f ca="1"/>
        <v>110.86</v>
      </c>
      <c r="HL9" vm="1706">
        <f ca="1"/>
        <v>113.78</v>
      </c>
      <c r="HM9" vm="1707">
        <f ca="1"/>
        <v>116.27</v>
      </c>
      <c r="HN9" vm="1708">
        <f ca="1"/>
        <v>115.55</v>
      </c>
      <c r="HO9" vm="1709">
        <f ca="1"/>
        <v>116</v>
      </c>
      <c r="HP9" vm="1710">
        <f ca="1"/>
        <v>110.75</v>
      </c>
      <c r="HQ9" vm="1711">
        <f ca="1"/>
        <v>109.56</v>
      </c>
      <c r="HR9" vm="1712">
        <f ca="1"/>
        <v>114.34</v>
      </c>
      <c r="HS9" vm="320">
        <f ca="1"/>
        <v>116.19</v>
      </c>
      <c r="HT9" vm="1713">
        <f ca="1"/>
        <v>110.19</v>
      </c>
      <c r="HU9" vm="1714">
        <f ca="1"/>
        <v>111.45</v>
      </c>
      <c r="HV9" vm="1715">
        <f ca="1"/>
        <v>110.76</v>
      </c>
      <c r="HW9" vm="1716">
        <f ca="1"/>
        <v>111.32</v>
      </c>
      <c r="HX9" vm="1717">
        <f ca="1"/>
        <v>108.95</v>
      </c>
      <c r="HY9" vm="1718">
        <f ca="1"/>
        <v>106.53</v>
      </c>
      <c r="HZ9" vm="1719">
        <f ca="1"/>
        <v>106.59</v>
      </c>
      <c r="IA9" vm="1720">
        <f ca="1"/>
        <v>108.97</v>
      </c>
      <c r="IB9" vm="1721">
        <f ca="1"/>
        <v>109.19</v>
      </c>
      <c r="IC9" vm="1722">
        <f ca="1"/>
        <v>105.5</v>
      </c>
      <c r="ID9" vm="1723">
        <f ca="1"/>
        <v>105.69</v>
      </c>
      <c r="IE9" vm="1724">
        <f ca="1"/>
        <v>107.35</v>
      </c>
      <c r="IF9" vm="1725">
        <f ca="1"/>
        <v>107.71</v>
      </c>
      <c r="IG9" vm="1726">
        <f ca="1"/>
        <v>108.67</v>
      </c>
      <c r="IH9" vm="1727">
        <f ca="1"/>
        <v>109.85</v>
      </c>
      <c r="II9" vm="1728">
        <f ca="1"/>
        <v>109.52</v>
      </c>
      <c r="IJ9" vm="1729">
        <f ca="1"/>
        <v>111.64</v>
      </c>
      <c r="IK9" vm="1730">
        <f ca="1"/>
        <v>113.74</v>
      </c>
      <c r="IL9" vm="1731">
        <f ca="1"/>
        <v>114.48</v>
      </c>
      <c r="IM9" vm="1685">
        <f ca="1"/>
        <v>112.41</v>
      </c>
      <c r="IN9" vm="1732">
        <f ca="1"/>
        <v>107.38</v>
      </c>
      <c r="IO9" vm="1733">
        <f ca="1"/>
        <v>107.27</v>
      </c>
      <c r="IP9" vm="1734">
        <f ca="1"/>
        <v>113.41</v>
      </c>
      <c r="IQ9" vm="1735">
        <f ca="1"/>
        <v>115.3</v>
      </c>
    </row>
    <row r="10" spans="1:251" x14ac:dyDescent="0.35">
      <c r="A10" t="e" vm="8">
        <f>Dashboard!B14</f>
        <v>#VALUE!</v>
      </c>
      <c r="B10" cm="1" vm="1736">
        <f t="array" aca="1" ref="B10:IQ10" ca="1">TRANSPOSE(_xlfn.STOCKHISTORY(A10,TODAY()-365,TODAY(),0,0,1))</f>
        <v>9.5399999999999991</v>
      </c>
      <c r="C10" vm="1737">
        <f ca="1"/>
        <v>9.58</v>
      </c>
      <c r="D10" vm="1738">
        <f ca="1"/>
        <v>9.24</v>
      </c>
      <c r="E10" vm="1739">
        <f ca="1"/>
        <v>8.69</v>
      </c>
      <c r="F10" vm="1740">
        <f ca="1"/>
        <v>9.5</v>
      </c>
      <c r="G10" vm="1741">
        <f ca="1"/>
        <v>9.14</v>
      </c>
      <c r="H10" vm="1742">
        <f ca="1"/>
        <v>9.33</v>
      </c>
      <c r="I10" vm="1743">
        <f ca="1"/>
        <v>9.7100000000000009</v>
      </c>
      <c r="J10" vm="1744">
        <f ca="1"/>
        <v>9.4499999999999993</v>
      </c>
      <c r="K10" vm="1745">
        <f ca="1"/>
        <v>9.4</v>
      </c>
      <c r="L10" vm="1746">
        <f ca="1"/>
        <v>9.6300000000000008</v>
      </c>
      <c r="M10" vm="1747">
        <f ca="1"/>
        <v>9.4700000000000006</v>
      </c>
      <c r="N10" vm="1748">
        <f ca="1"/>
        <v>9.65</v>
      </c>
      <c r="O10" vm="1749">
        <f ca="1"/>
        <v>9.7799999999999994</v>
      </c>
      <c r="P10" vm="1750">
        <f ca="1"/>
        <v>10.06</v>
      </c>
      <c r="Q10" vm="1751">
        <f ca="1"/>
        <v>10.039999999999999</v>
      </c>
      <c r="R10" vm="1752">
        <f ca="1"/>
        <v>10.02</v>
      </c>
      <c r="S10" vm="1753">
        <f ca="1"/>
        <v>10.15</v>
      </c>
      <c r="T10" vm="1754">
        <f ca="1"/>
        <v>10.01</v>
      </c>
      <c r="U10" vm="1755">
        <f ca="1"/>
        <v>10.18</v>
      </c>
      <c r="V10" vm="1756">
        <f ca="1"/>
        <v>10.28</v>
      </c>
      <c r="W10" vm="1757">
        <f ca="1"/>
        <v>10.17</v>
      </c>
      <c r="X10" vm="1758">
        <f ca="1"/>
        <v>10.44</v>
      </c>
      <c r="Y10" vm="1756">
        <f ca="1"/>
        <v>10.28</v>
      </c>
      <c r="Z10" vm="1756">
        <f ca="1"/>
        <v>10.28</v>
      </c>
      <c r="AA10" vm="1759">
        <f ca="1"/>
        <v>10.43</v>
      </c>
      <c r="AB10" vm="1760">
        <f ca="1"/>
        <v>10.55</v>
      </c>
      <c r="AC10" vm="1761">
        <f ca="1"/>
        <v>10.6</v>
      </c>
      <c r="AD10" vm="1762">
        <f ca="1"/>
        <v>10.65</v>
      </c>
      <c r="AE10" vm="1763">
        <f ca="1"/>
        <v>10.75</v>
      </c>
      <c r="AF10" vm="1764">
        <f ca="1"/>
        <v>10.8</v>
      </c>
      <c r="AG10" vm="1763">
        <f ca="1"/>
        <v>10.75</v>
      </c>
      <c r="AH10" vm="1765">
        <f ca="1"/>
        <v>10.72</v>
      </c>
      <c r="AI10" vm="1766">
        <f ca="1"/>
        <v>10.48</v>
      </c>
      <c r="AJ10" vm="1758">
        <f ca="1"/>
        <v>10.44</v>
      </c>
      <c r="AK10" vm="1767">
        <f ca="1"/>
        <v>10.36</v>
      </c>
      <c r="AL10" vm="1768">
        <f ca="1"/>
        <v>10.31</v>
      </c>
      <c r="AM10" vm="1757">
        <f ca="1"/>
        <v>10.17</v>
      </c>
      <c r="AN10" vm="1769">
        <f ca="1"/>
        <v>10.220000000000001</v>
      </c>
      <c r="AO10" vm="1770">
        <f ca="1"/>
        <v>10.38</v>
      </c>
      <c r="AP10" vm="1771">
        <f ca="1"/>
        <v>9.98</v>
      </c>
      <c r="AQ10" vm="1772">
        <f ca="1"/>
        <v>10.19</v>
      </c>
      <c r="AR10" vm="1773">
        <f ca="1"/>
        <v>10.24</v>
      </c>
      <c r="AS10" vm="1774">
        <f ca="1"/>
        <v>10.1</v>
      </c>
      <c r="AT10" vm="1775">
        <f ca="1"/>
        <v>10.26</v>
      </c>
      <c r="AU10" vm="1776">
        <f ca="1"/>
        <v>10.34</v>
      </c>
      <c r="AV10" vm="1761">
        <f ca="1"/>
        <v>10.6</v>
      </c>
      <c r="AW10" vm="1777">
        <f ca="1"/>
        <v>10.66</v>
      </c>
      <c r="AX10" vm="1778">
        <f ca="1"/>
        <v>10.53</v>
      </c>
      <c r="AY10" vm="1759">
        <f ca="1"/>
        <v>10.43</v>
      </c>
      <c r="AZ10" vm="1779">
        <f ca="1"/>
        <v>10.62</v>
      </c>
      <c r="BA10" vm="1780">
        <f ca="1"/>
        <v>10.42</v>
      </c>
      <c r="BB10" vm="1759">
        <f ca="1"/>
        <v>10.43</v>
      </c>
      <c r="BC10" vm="1781">
        <f ca="1"/>
        <v>10.59</v>
      </c>
      <c r="BD10" vm="1763">
        <f ca="1"/>
        <v>10.75</v>
      </c>
      <c r="BE10" vm="1782">
        <f ca="1"/>
        <v>10.73</v>
      </c>
      <c r="BF10" vm="1766">
        <f ca="1"/>
        <v>10.48</v>
      </c>
      <c r="BG10" vm="1783">
        <f ca="1"/>
        <v>10.63</v>
      </c>
      <c r="BH10" vm="1764">
        <f ca="1"/>
        <v>10.8</v>
      </c>
      <c r="BI10" vm="1784">
        <f ca="1"/>
        <v>10.85</v>
      </c>
      <c r="BJ10" vm="1785">
        <f ca="1"/>
        <v>11.35</v>
      </c>
      <c r="BK10" vm="1786">
        <f ca="1"/>
        <v>11.77</v>
      </c>
      <c r="BL10" vm="1787">
        <f ca="1"/>
        <v>11.81</v>
      </c>
      <c r="BM10" vm="1788">
        <f ca="1"/>
        <v>11.59</v>
      </c>
      <c r="BN10" vm="1789">
        <f ca="1"/>
        <v>11.68</v>
      </c>
      <c r="BO10" vm="1790">
        <f ca="1"/>
        <v>11.83</v>
      </c>
      <c r="BP10" vm="1791">
        <f ca="1"/>
        <v>11.91</v>
      </c>
      <c r="BQ10" vm="1792">
        <f ca="1"/>
        <v>11.78</v>
      </c>
      <c r="BR10" vm="1793">
        <f ca="1"/>
        <v>11.88</v>
      </c>
      <c r="BS10" vm="1794">
        <f ca="1"/>
        <v>11.57</v>
      </c>
      <c r="BT10" vm="1795">
        <f ca="1"/>
        <v>11.24</v>
      </c>
      <c r="BU10" vm="1796">
        <f ca="1"/>
        <v>11.15</v>
      </c>
      <c r="BV10" vm="1797">
        <f ca="1"/>
        <v>11.16</v>
      </c>
      <c r="BW10" vm="1798">
        <f ca="1"/>
        <v>11.31</v>
      </c>
      <c r="BX10" vm="1799">
        <f ca="1"/>
        <v>11.19</v>
      </c>
      <c r="BY10" vm="1800">
        <f ca="1"/>
        <v>11.38</v>
      </c>
      <c r="BZ10" vm="1801">
        <f ca="1"/>
        <v>11.26</v>
      </c>
      <c r="CA10" vm="1802">
        <f ca="1"/>
        <v>11.47</v>
      </c>
      <c r="CB10" vm="1803">
        <f ca="1"/>
        <v>11.28</v>
      </c>
      <c r="CC10" vm="1804">
        <f ca="1"/>
        <v>11.08</v>
      </c>
      <c r="CD10" vm="1805">
        <f ca="1"/>
        <v>10.87</v>
      </c>
      <c r="CE10" vm="1806">
        <f ca="1"/>
        <v>11.07</v>
      </c>
      <c r="CF10" vm="1807">
        <f ca="1"/>
        <v>10.82</v>
      </c>
      <c r="CG10" vm="1808">
        <f ca="1"/>
        <v>10.95</v>
      </c>
      <c r="CH10" vm="1809">
        <f ca="1"/>
        <v>11.06</v>
      </c>
      <c r="CI10" vm="1810">
        <f ca="1"/>
        <v>11.21</v>
      </c>
      <c r="CJ10" vm="1803">
        <f ca="1"/>
        <v>11.28</v>
      </c>
      <c r="CK10" vm="1811">
        <f ca="1"/>
        <v>11.32</v>
      </c>
      <c r="CL10" vm="1812">
        <f ca="1"/>
        <v>11.14</v>
      </c>
      <c r="CM10" vm="1813">
        <f ca="1"/>
        <v>11.25</v>
      </c>
      <c r="CN10" vm="1814">
        <f ca="1"/>
        <v>11.44</v>
      </c>
      <c r="CO10" vm="1814">
        <f ca="1"/>
        <v>11.44</v>
      </c>
      <c r="CP10" vm="1814">
        <f ca="1"/>
        <v>11.44</v>
      </c>
      <c r="CQ10" vm="1815">
        <f ca="1"/>
        <v>11.46</v>
      </c>
      <c r="CR10" vm="1816">
        <f ca="1"/>
        <v>11.58</v>
      </c>
      <c r="CS10" vm="1817">
        <f ca="1"/>
        <v>11.49</v>
      </c>
      <c r="CT10" vm="1818">
        <f ca="1"/>
        <v>11.33</v>
      </c>
      <c r="CU10" vm="1819">
        <f ca="1"/>
        <v>11.74</v>
      </c>
      <c r="CV10" vm="1820">
        <f ca="1"/>
        <v>11.82</v>
      </c>
      <c r="CW10" vm="1821">
        <f ca="1"/>
        <v>11.84</v>
      </c>
      <c r="CX10" vm="1791">
        <f ca="1"/>
        <v>11.91</v>
      </c>
      <c r="CY10" vm="1822">
        <f ca="1"/>
        <v>11.71</v>
      </c>
      <c r="CZ10" vm="1786">
        <f ca="1"/>
        <v>11.77</v>
      </c>
      <c r="DA10" vm="1823">
        <f ca="1"/>
        <v>11.72</v>
      </c>
      <c r="DB10" vm="1824">
        <f ca="1"/>
        <v>11.62</v>
      </c>
      <c r="DC10" vm="1789">
        <f ca="1"/>
        <v>11.68</v>
      </c>
      <c r="DD10" vm="1819">
        <f ca="1"/>
        <v>11.74</v>
      </c>
      <c r="DE10" vm="1825">
        <f ca="1"/>
        <v>11.69</v>
      </c>
      <c r="DF10" vm="1817">
        <f ca="1"/>
        <v>11.49</v>
      </c>
      <c r="DG10" vm="1826">
        <f ca="1"/>
        <v>11.42</v>
      </c>
      <c r="DH10" vm="1827">
        <f ca="1"/>
        <v>11.76</v>
      </c>
      <c r="DI10" vm="1789">
        <f ca="1"/>
        <v>11.68</v>
      </c>
      <c r="DJ10" vm="1789">
        <f ca="1"/>
        <v>11.68</v>
      </c>
      <c r="DK10" vm="1828">
        <f ca="1"/>
        <v>11.61</v>
      </c>
      <c r="DL10" vm="1829">
        <f ca="1"/>
        <v>11.66</v>
      </c>
      <c r="DM10" vm="1819">
        <f ca="1"/>
        <v>11.74</v>
      </c>
      <c r="DN10" vm="1824">
        <f ca="1"/>
        <v>11.62</v>
      </c>
      <c r="DO10" vm="1829">
        <f ca="1"/>
        <v>11.66</v>
      </c>
      <c r="DP10" vm="1830">
        <f ca="1"/>
        <v>11.73</v>
      </c>
      <c r="DQ10" vm="1831">
        <f ca="1"/>
        <v>11.63</v>
      </c>
      <c r="DR10" vm="1824">
        <f ca="1"/>
        <v>11.62</v>
      </c>
      <c r="DS10" vm="1832">
        <f ca="1"/>
        <v>12.01</v>
      </c>
      <c r="DT10" vm="1833">
        <f ca="1"/>
        <v>12.09</v>
      </c>
      <c r="DU10" vm="1834">
        <f ca="1"/>
        <v>11.96</v>
      </c>
      <c r="DV10" vm="1835">
        <f ca="1"/>
        <v>12.27</v>
      </c>
      <c r="DW10" vm="1836">
        <f ca="1"/>
        <v>12.22</v>
      </c>
      <c r="DX10" vm="1837">
        <f ca="1"/>
        <v>12.67</v>
      </c>
      <c r="DY10" vm="1838">
        <f ca="1"/>
        <v>12.7</v>
      </c>
      <c r="DZ10" vm="1839">
        <f ca="1"/>
        <v>11.92</v>
      </c>
      <c r="EA10" vm="1819">
        <f ca="1"/>
        <v>11.74</v>
      </c>
      <c r="EB10" vm="1840">
        <f ca="1"/>
        <v>11.5</v>
      </c>
      <c r="EC10" vm="1841">
        <f ca="1"/>
        <v>11.41</v>
      </c>
      <c r="ED10" vm="1842">
        <f ca="1"/>
        <v>11.54</v>
      </c>
      <c r="EE10" vm="1843">
        <f ca="1"/>
        <v>11.65</v>
      </c>
      <c r="EF10" vm="1827">
        <f ca="1"/>
        <v>11.76</v>
      </c>
      <c r="EG10" vm="1819">
        <f ca="1"/>
        <v>11.74</v>
      </c>
      <c r="EH10" vm="1839">
        <f ca="1"/>
        <v>11.92</v>
      </c>
      <c r="EI10" vm="1844">
        <f ca="1"/>
        <v>11.99</v>
      </c>
      <c r="EJ10" vm="1845">
        <f ca="1"/>
        <v>12.56</v>
      </c>
      <c r="EK10" vm="1846">
        <f ca="1"/>
        <v>12.43</v>
      </c>
      <c r="EL10" vm="1847">
        <f ca="1"/>
        <v>12.34</v>
      </c>
      <c r="EM10" vm="1848">
        <f ca="1"/>
        <v>13.84</v>
      </c>
      <c r="EN10" vm="1849">
        <f ca="1"/>
        <v>13.26</v>
      </c>
      <c r="EO10" vm="1850">
        <f ca="1"/>
        <v>13.13</v>
      </c>
      <c r="EP10" vm="1851">
        <f ca="1"/>
        <v>13.24</v>
      </c>
      <c r="EQ10" vm="1852">
        <f ca="1"/>
        <v>13.06</v>
      </c>
      <c r="ER10" vm="1850">
        <f ca="1"/>
        <v>13.13</v>
      </c>
      <c r="ES10" vm="1853">
        <f ca="1"/>
        <v>13.01</v>
      </c>
      <c r="ET10" vm="1854">
        <f ca="1"/>
        <v>12.79</v>
      </c>
      <c r="EU10" vm="1855">
        <f ca="1"/>
        <v>13.11</v>
      </c>
      <c r="EV10" vm="1856">
        <f ca="1"/>
        <v>13.12</v>
      </c>
      <c r="EW10" vm="1857">
        <f ca="1"/>
        <v>13.21</v>
      </c>
      <c r="EX10" vm="1858">
        <f ca="1"/>
        <v>13.16</v>
      </c>
      <c r="EY10" vm="1859">
        <f ca="1"/>
        <v>13.3</v>
      </c>
      <c r="EZ10" vm="1860">
        <f ca="1"/>
        <v>13.45</v>
      </c>
      <c r="FA10" vm="1861">
        <f ca="1"/>
        <v>13.28</v>
      </c>
      <c r="FB10" vm="1862">
        <f ca="1"/>
        <v>13.19</v>
      </c>
      <c r="FC10" vm="1863">
        <f ca="1"/>
        <v>12.88</v>
      </c>
      <c r="FD10" vm="1864">
        <f ca="1"/>
        <v>13.02</v>
      </c>
      <c r="FE10" vm="1865">
        <f ca="1"/>
        <v>12.9</v>
      </c>
      <c r="FF10" vm="1866">
        <f ca="1"/>
        <v>12.41</v>
      </c>
      <c r="FG10" vm="1867">
        <f ca="1"/>
        <v>12.83</v>
      </c>
      <c r="FH10" vm="1868">
        <f ca="1"/>
        <v>12.96</v>
      </c>
      <c r="FI10" vm="1869">
        <f ca="1"/>
        <v>13.17</v>
      </c>
      <c r="FJ10" vm="1862">
        <f ca="1"/>
        <v>13.19</v>
      </c>
      <c r="FK10" vm="1861">
        <f ca="1"/>
        <v>13.28</v>
      </c>
      <c r="FL10" vm="1858">
        <f ca="1"/>
        <v>13.16</v>
      </c>
      <c r="FM10" vm="1868">
        <f ca="1"/>
        <v>12.96</v>
      </c>
      <c r="FN10" vm="1870">
        <f ca="1"/>
        <v>13.09</v>
      </c>
      <c r="FO10" vm="1871">
        <f ca="1"/>
        <v>13.14</v>
      </c>
      <c r="FP10" vm="1872">
        <f ca="1"/>
        <v>13.03</v>
      </c>
      <c r="FQ10" vm="1871">
        <f ca="1"/>
        <v>13.14</v>
      </c>
      <c r="FR10" vm="1873">
        <f ca="1"/>
        <v>13.08</v>
      </c>
      <c r="FS10" vm="1874">
        <f ca="1"/>
        <v>13.41</v>
      </c>
      <c r="FT10" vm="1875">
        <f ca="1"/>
        <v>13.63</v>
      </c>
      <c r="FU10" vm="1876">
        <f ca="1"/>
        <v>13.76</v>
      </c>
      <c r="FV10" vm="1877">
        <f ca="1"/>
        <v>13.65</v>
      </c>
      <c r="FW10" vm="1878">
        <f ca="1"/>
        <v>13.67</v>
      </c>
      <c r="FX10" vm="1879">
        <f ca="1"/>
        <v>13.31</v>
      </c>
      <c r="FY10" vm="1880">
        <f ca="1"/>
        <v>13.32</v>
      </c>
      <c r="FZ10" vm="1881">
        <f ca="1"/>
        <v>13.47</v>
      </c>
      <c r="GA10" vm="1882">
        <f ca="1"/>
        <v>13.46</v>
      </c>
      <c r="GB10" vm="1883">
        <f ca="1"/>
        <v>13.29</v>
      </c>
      <c r="GC10" vm="1884">
        <f ca="1"/>
        <v>13.36</v>
      </c>
      <c r="GD10" vm="1879">
        <f ca="1"/>
        <v>13.31</v>
      </c>
      <c r="GE10" vm="1861">
        <f ca="1"/>
        <v>13.28</v>
      </c>
      <c r="GF10" vm="1885">
        <f ca="1"/>
        <v>13.23</v>
      </c>
      <c r="GG10" vm="1856">
        <f ca="1"/>
        <v>13.12</v>
      </c>
      <c r="GH10" vm="1886">
        <f ca="1"/>
        <v>13.34</v>
      </c>
      <c r="GI10" vm="1881">
        <f ca="1"/>
        <v>13.47</v>
      </c>
      <c r="GJ10" vm="1887">
        <f ca="1"/>
        <v>13.8</v>
      </c>
      <c r="GK10" vm="1888">
        <f ca="1"/>
        <v>13.74</v>
      </c>
      <c r="GL10" vm="1889">
        <f ca="1"/>
        <v>14.4</v>
      </c>
      <c r="GM10" vm="1890">
        <f ca="1"/>
        <v>14.2</v>
      </c>
      <c r="GN10" vm="1891">
        <f ca="1"/>
        <v>14.03</v>
      </c>
      <c r="GO10" vm="1892">
        <f ca="1"/>
        <v>13.98</v>
      </c>
      <c r="GP10" vm="1848">
        <f ca="1"/>
        <v>13.84</v>
      </c>
      <c r="GQ10" vm="1893">
        <f ca="1"/>
        <v>13.81</v>
      </c>
      <c r="GR10" vm="1894">
        <f ca="1"/>
        <v>13.6</v>
      </c>
      <c r="GS10" vm="1861">
        <f ca="1"/>
        <v>13.28</v>
      </c>
      <c r="GT10" vm="1895">
        <f ca="1"/>
        <v>13.77</v>
      </c>
      <c r="GU10" vm="1896">
        <f ca="1"/>
        <v>13.71</v>
      </c>
      <c r="GV10" vm="1897">
        <f ca="1"/>
        <v>13.56</v>
      </c>
      <c r="GW10" vm="1898">
        <f ca="1"/>
        <v>13.44</v>
      </c>
      <c r="GX10" vm="1899">
        <f ca="1"/>
        <v>13.93</v>
      </c>
      <c r="GY10" vm="1900">
        <f ca="1"/>
        <v>13.82</v>
      </c>
      <c r="GZ10" vm="1901">
        <f ca="1"/>
        <v>14</v>
      </c>
      <c r="HA10" vm="1902">
        <f ca="1"/>
        <v>13.88</v>
      </c>
      <c r="HB10" vm="1893">
        <f ca="1"/>
        <v>13.81</v>
      </c>
      <c r="HC10" vm="1903">
        <f ca="1"/>
        <v>13.73</v>
      </c>
      <c r="HD10" vm="1900">
        <f ca="1"/>
        <v>13.82</v>
      </c>
      <c r="HE10" vm="1904">
        <f ca="1"/>
        <v>13.72</v>
      </c>
      <c r="HF10" vm="1887">
        <f ca="1"/>
        <v>13.8</v>
      </c>
      <c r="HG10" vm="1905">
        <f ca="1"/>
        <v>13.59</v>
      </c>
      <c r="HH10" vm="1906">
        <f ca="1"/>
        <v>13.57</v>
      </c>
      <c r="HI10" vm="1907">
        <f ca="1"/>
        <v>13.85</v>
      </c>
      <c r="HJ10" vm="1901">
        <f ca="1"/>
        <v>14</v>
      </c>
      <c r="HK10" vm="1908">
        <f ca="1"/>
        <v>14.12</v>
      </c>
      <c r="HL10" vm="1909">
        <f ca="1"/>
        <v>14.13</v>
      </c>
      <c r="HM10" vm="1907">
        <f ca="1"/>
        <v>13.85</v>
      </c>
      <c r="HN10" vm="1910">
        <f ca="1"/>
        <v>13.78</v>
      </c>
      <c r="HO10" vm="1911">
        <f ca="1"/>
        <v>14.01</v>
      </c>
      <c r="HP10" vm="1912">
        <f ca="1"/>
        <v>13.64</v>
      </c>
      <c r="HQ10" vm="1890">
        <f ca="1"/>
        <v>14.2</v>
      </c>
      <c r="HR10" vm="1913">
        <f ca="1"/>
        <v>14.43</v>
      </c>
      <c r="HS10" vm="1914">
        <f ca="1"/>
        <v>14.41</v>
      </c>
      <c r="HT10" vm="1915">
        <f ca="1"/>
        <v>14.09</v>
      </c>
      <c r="HU10" vm="1916">
        <f ca="1"/>
        <v>13.39</v>
      </c>
      <c r="HV10" vm="1838">
        <f ca="1"/>
        <v>12.7</v>
      </c>
      <c r="HW10" vm="1917">
        <f ca="1"/>
        <v>12.81</v>
      </c>
      <c r="HX10" vm="1847">
        <f ca="1"/>
        <v>12.34</v>
      </c>
      <c r="HY10" vm="1918">
        <f ca="1"/>
        <v>12.15</v>
      </c>
      <c r="HZ10" vm="1919">
        <f ca="1"/>
        <v>12.19</v>
      </c>
      <c r="IA10" vm="1920">
        <f ca="1"/>
        <v>12.24</v>
      </c>
      <c r="IB10" vm="1921">
        <f ca="1"/>
        <v>12.11</v>
      </c>
      <c r="IC10" vm="1922">
        <f ca="1"/>
        <v>12.04</v>
      </c>
      <c r="ID10" vm="1923">
        <f ca="1"/>
        <v>11.67</v>
      </c>
      <c r="IE10" vm="1822">
        <f ca="1"/>
        <v>11.71</v>
      </c>
      <c r="IF10" vm="1924">
        <f ca="1"/>
        <v>11.94</v>
      </c>
      <c r="IG10" vm="1925">
        <f ca="1"/>
        <v>11.79</v>
      </c>
      <c r="IH10" vm="1926">
        <f ca="1"/>
        <v>11.64</v>
      </c>
      <c r="II10" vm="1927">
        <f ca="1"/>
        <v>11.52</v>
      </c>
      <c r="IJ10" vm="1827">
        <f ca="1"/>
        <v>11.76</v>
      </c>
      <c r="IK10" vm="1821">
        <f ca="1"/>
        <v>11.84</v>
      </c>
      <c r="IL10" vm="1923">
        <f ca="1"/>
        <v>11.67</v>
      </c>
      <c r="IM10" vm="1928">
        <f ca="1"/>
        <v>11.6</v>
      </c>
      <c r="IN10" vm="1929">
        <f ca="1"/>
        <v>11.37</v>
      </c>
      <c r="IO10" vm="1810">
        <f ca="1"/>
        <v>11.21</v>
      </c>
      <c r="IP10" vm="1842">
        <f ca="1"/>
        <v>11.54</v>
      </c>
      <c r="IQ10" vm="1789">
        <f ca="1"/>
        <v>11.68</v>
      </c>
    </row>
    <row r="11" spans="1:251" x14ac:dyDescent="0.35">
      <c r="A11" t="e" vm="9">
        <f>Dashboard!B15</f>
        <v>#VALUE!</v>
      </c>
      <c r="B11" cm="1" vm="1930">
        <f t="array" aca="1" ref="B11:IQ11" ca="1">TRANSPOSE(_xlfn.STOCKHISTORY(A11,TODAY()-365,TODAY(),0,0,1))</f>
        <v>26.34</v>
      </c>
      <c r="C11" vm="1931">
        <f ca="1"/>
        <v>25</v>
      </c>
      <c r="D11" vm="1932">
        <f ca="1"/>
        <v>25.34</v>
      </c>
      <c r="E11" vm="1933">
        <f ca="1"/>
        <v>25.22</v>
      </c>
      <c r="F11" vm="1934">
        <f ca="1"/>
        <v>27.62</v>
      </c>
      <c r="G11" vm="1935">
        <f ca="1"/>
        <v>26.61</v>
      </c>
      <c r="H11" vm="1934">
        <f ca="1"/>
        <v>27.62</v>
      </c>
      <c r="I11" vm="1936">
        <f ca="1"/>
        <v>28.15</v>
      </c>
      <c r="J11" vm="1937">
        <f ca="1"/>
        <v>28.57</v>
      </c>
      <c r="K11" vm="1938">
        <f ca="1"/>
        <v>28.46</v>
      </c>
      <c r="L11" vm="1939">
        <f ca="1"/>
        <v>29.12</v>
      </c>
      <c r="M11" vm="1940">
        <f ca="1"/>
        <v>29.16</v>
      </c>
      <c r="N11" vm="1941">
        <f ca="1"/>
        <v>29.79</v>
      </c>
      <c r="O11" vm="1942">
        <f ca="1"/>
        <v>29.68</v>
      </c>
      <c r="P11" vm="1943">
        <f ca="1"/>
        <v>30.14</v>
      </c>
      <c r="Q11" vm="1944">
        <f ca="1"/>
        <v>30.21</v>
      </c>
      <c r="R11" vm="1945">
        <f ca="1"/>
        <v>30.51</v>
      </c>
      <c r="S11" vm="1946">
        <f ca="1"/>
        <v>30.8</v>
      </c>
      <c r="T11" vm="1945">
        <f ca="1"/>
        <v>30.51</v>
      </c>
      <c r="U11" vm="1947">
        <f ca="1"/>
        <v>30.33</v>
      </c>
      <c r="V11" vm="1948">
        <f ca="1"/>
        <v>30.68</v>
      </c>
      <c r="W11" vm="1946">
        <f ca="1"/>
        <v>30.8</v>
      </c>
      <c r="X11" vm="1949">
        <f ca="1"/>
        <v>30.79</v>
      </c>
      <c r="Y11" vm="1950">
        <f ca="1"/>
        <v>30.38</v>
      </c>
      <c r="Z11" vm="1951">
        <f ca="1"/>
        <v>30.23</v>
      </c>
      <c r="AA11" vm="1952">
        <f ca="1"/>
        <v>30.47</v>
      </c>
      <c r="AB11" vm="1953">
        <f ca="1"/>
        <v>30.93</v>
      </c>
      <c r="AC11" vm="1954">
        <f ca="1"/>
        <v>29.63</v>
      </c>
      <c r="AD11" vm="1955">
        <f ca="1"/>
        <v>29.44</v>
      </c>
      <c r="AE11" vm="1956">
        <f ca="1"/>
        <v>28.82</v>
      </c>
      <c r="AF11" vm="1957">
        <f ca="1"/>
        <v>29.18</v>
      </c>
      <c r="AG11" vm="1958">
        <f ca="1"/>
        <v>29.27</v>
      </c>
      <c r="AH11" vm="1959">
        <f ca="1"/>
        <v>29.6</v>
      </c>
      <c r="AI11" vm="1960">
        <f ca="1"/>
        <v>29.83</v>
      </c>
      <c r="AJ11" vm="1961">
        <f ca="1"/>
        <v>29.52</v>
      </c>
      <c r="AK11" vm="1962">
        <f ca="1"/>
        <v>29.5</v>
      </c>
      <c r="AL11" vm="1960">
        <f ca="1"/>
        <v>29.83</v>
      </c>
      <c r="AM11" vm="1963">
        <f ca="1"/>
        <v>29.58</v>
      </c>
      <c r="AN11" vm="1964">
        <f ca="1"/>
        <v>30.54</v>
      </c>
      <c r="AO11" vm="1965">
        <f ca="1"/>
        <v>30.52</v>
      </c>
      <c r="AP11" vm="1966">
        <f ca="1"/>
        <v>30.07</v>
      </c>
      <c r="AQ11" vm="1967">
        <f ca="1"/>
        <v>30.08</v>
      </c>
      <c r="AR11" vm="1968">
        <f ca="1"/>
        <v>29.35</v>
      </c>
      <c r="AS11" vm="1969">
        <f ca="1"/>
        <v>28.8</v>
      </c>
      <c r="AT11" vm="1970">
        <f ca="1"/>
        <v>29.24</v>
      </c>
      <c r="AU11" vm="1971">
        <f ca="1"/>
        <v>29.2</v>
      </c>
      <c r="AV11" vm="1972">
        <f ca="1"/>
        <v>29.28</v>
      </c>
      <c r="AW11" vm="1973">
        <f ca="1"/>
        <v>29.14</v>
      </c>
      <c r="AX11" vm="1957">
        <f ca="1"/>
        <v>29.18</v>
      </c>
      <c r="AY11" vm="1939">
        <f ca="1"/>
        <v>29.12</v>
      </c>
      <c r="AZ11" vm="1974">
        <f ca="1"/>
        <v>29.92</v>
      </c>
      <c r="BA11" vm="1975">
        <f ca="1"/>
        <v>29.36</v>
      </c>
      <c r="BB11" vm="1976">
        <f ca="1"/>
        <v>29.65</v>
      </c>
      <c r="BC11" vm="1973">
        <f ca="1"/>
        <v>29.14</v>
      </c>
      <c r="BD11" vm="1977">
        <f ca="1"/>
        <v>28.7</v>
      </c>
      <c r="BE11" vm="1978">
        <f ca="1"/>
        <v>28.88</v>
      </c>
      <c r="BF11" vm="1979">
        <f ca="1"/>
        <v>28.59</v>
      </c>
      <c r="BG11" vm="1980">
        <f ca="1"/>
        <v>28.81</v>
      </c>
      <c r="BH11" vm="1981">
        <f ca="1"/>
        <v>29.7</v>
      </c>
      <c r="BI11" vm="1982">
        <f ca="1"/>
        <v>28.83</v>
      </c>
      <c r="BJ11" vm="1971">
        <f ca="1"/>
        <v>29.2</v>
      </c>
      <c r="BK11" vm="1942">
        <f ca="1"/>
        <v>29.68</v>
      </c>
      <c r="BL11" vm="1983">
        <f ca="1"/>
        <v>30.28</v>
      </c>
      <c r="BM11" vm="1984">
        <f ca="1"/>
        <v>29.11</v>
      </c>
      <c r="BN11" vm="1985">
        <f ca="1"/>
        <v>29.77</v>
      </c>
      <c r="BO11" vm="1986">
        <f ca="1"/>
        <v>30.6</v>
      </c>
      <c r="BP11" vm="1987">
        <f ca="1"/>
        <v>30.75</v>
      </c>
      <c r="BQ11" vm="1988">
        <f ca="1"/>
        <v>30.71</v>
      </c>
      <c r="BR11" vm="1989">
        <f ca="1"/>
        <v>31.08</v>
      </c>
      <c r="BS11" vm="1990">
        <f ca="1"/>
        <v>30.81</v>
      </c>
      <c r="BT11" vm="1991">
        <f ca="1"/>
        <v>30.55</v>
      </c>
      <c r="BU11" vm="1992">
        <f ca="1"/>
        <v>30.36</v>
      </c>
      <c r="BV11" vm="1993">
        <f ca="1"/>
        <v>30</v>
      </c>
      <c r="BW11" vm="1994">
        <f ca="1"/>
        <v>30.32</v>
      </c>
      <c r="BX11" vm="1995">
        <f ca="1"/>
        <v>30.41</v>
      </c>
      <c r="BY11" vm="1996">
        <f ca="1"/>
        <v>34.4</v>
      </c>
      <c r="BZ11" vm="1997">
        <f ca="1"/>
        <v>33.590000000000003</v>
      </c>
      <c r="CA11" vm="1998">
        <f ca="1"/>
        <v>33.11</v>
      </c>
      <c r="CB11" vm="1999">
        <f ca="1"/>
        <v>33.24</v>
      </c>
      <c r="CC11" vm="2000">
        <f ca="1"/>
        <v>32.79</v>
      </c>
      <c r="CD11" vm="2001">
        <f ca="1"/>
        <v>31.85</v>
      </c>
      <c r="CE11" vm="2002">
        <f ca="1"/>
        <v>31.24</v>
      </c>
      <c r="CF11" vm="2003">
        <f ca="1"/>
        <v>31.33</v>
      </c>
      <c r="CG11" vm="2004">
        <f ca="1"/>
        <v>31.71</v>
      </c>
      <c r="CH11" vm="2005">
        <f ca="1"/>
        <v>31.62</v>
      </c>
      <c r="CI11" vm="2006">
        <f ca="1"/>
        <v>32.380000000000003</v>
      </c>
      <c r="CJ11" vm="2007">
        <f ca="1"/>
        <v>31.46</v>
      </c>
      <c r="CK11" vm="2008">
        <f ca="1"/>
        <v>32.56</v>
      </c>
      <c r="CL11" vm="2009">
        <f ca="1"/>
        <v>32.700000000000003</v>
      </c>
      <c r="CM11" vm="2010">
        <f ca="1"/>
        <v>33.549999999999997</v>
      </c>
      <c r="CN11" vm="2011">
        <f ca="1"/>
        <v>33.4</v>
      </c>
      <c r="CO11" vm="2012">
        <f ca="1"/>
        <v>33.25</v>
      </c>
      <c r="CP11" vm="2013">
        <f ca="1"/>
        <v>33.39</v>
      </c>
      <c r="CQ11" vm="2014">
        <f ca="1"/>
        <v>33.979999999999997</v>
      </c>
      <c r="CR11" vm="2015">
        <f ca="1"/>
        <v>34.03</v>
      </c>
      <c r="CS11" vm="2016">
        <f ca="1"/>
        <v>34.520000000000003</v>
      </c>
      <c r="CT11" vm="2017">
        <f ca="1"/>
        <v>33.92</v>
      </c>
      <c r="CU11" vm="2018">
        <f ca="1"/>
        <v>34.61</v>
      </c>
      <c r="CV11" vm="2019">
        <f ca="1"/>
        <v>34.270000000000003</v>
      </c>
      <c r="CW11" vm="2020">
        <f ca="1"/>
        <v>34.1</v>
      </c>
      <c r="CX11" vm="2021">
        <f ca="1"/>
        <v>33.880000000000003</v>
      </c>
      <c r="CY11" vm="2022">
        <f ca="1"/>
        <v>33.96</v>
      </c>
      <c r="CZ11" vm="2011">
        <f ca="1"/>
        <v>33.4</v>
      </c>
      <c r="DA11" vm="2023">
        <f ca="1"/>
        <v>33.72</v>
      </c>
      <c r="DB11" vm="2024">
        <f ca="1"/>
        <v>33.54</v>
      </c>
      <c r="DC11" vm="2025">
        <f ca="1"/>
        <v>34.18</v>
      </c>
      <c r="DD11" vm="2026">
        <f ca="1"/>
        <v>34.35</v>
      </c>
      <c r="DE11" vm="2027">
        <f ca="1"/>
        <v>34.85</v>
      </c>
      <c r="DF11" vm="2028">
        <f ca="1"/>
        <v>34.67</v>
      </c>
      <c r="DG11" vm="2029">
        <f ca="1"/>
        <v>34.020000000000003</v>
      </c>
      <c r="DH11" vm="2022">
        <f ca="1"/>
        <v>33.96</v>
      </c>
      <c r="DI11" vm="2030">
        <f ca="1"/>
        <v>33.53</v>
      </c>
      <c r="DJ11" vm="2031">
        <f ca="1"/>
        <v>33.729999999999997</v>
      </c>
      <c r="DK11" vm="2032">
        <f ca="1"/>
        <v>33.9</v>
      </c>
      <c r="DL11" vm="2033">
        <f ca="1"/>
        <v>34.119999999999997</v>
      </c>
      <c r="DM11" vm="2034">
        <f ca="1"/>
        <v>33.78</v>
      </c>
      <c r="DN11" vm="2035">
        <f ca="1"/>
        <v>33.35</v>
      </c>
      <c r="DO11" vm="2034">
        <f ca="1"/>
        <v>33.78</v>
      </c>
      <c r="DP11" vm="2021">
        <f ca="1"/>
        <v>33.880000000000003</v>
      </c>
      <c r="DQ11" vm="2036">
        <f ca="1"/>
        <v>33.49</v>
      </c>
      <c r="DR11" vm="2011">
        <f ca="1"/>
        <v>33.4</v>
      </c>
      <c r="DS11" vm="1998">
        <f ca="1"/>
        <v>33.11</v>
      </c>
      <c r="DT11" vm="2037">
        <f ca="1"/>
        <v>31.78</v>
      </c>
      <c r="DU11" vm="1946">
        <f ca="1"/>
        <v>30.8</v>
      </c>
      <c r="DV11" vm="2038">
        <f ca="1"/>
        <v>30.83</v>
      </c>
      <c r="DW11" vm="1991">
        <f ca="1"/>
        <v>30.55</v>
      </c>
      <c r="DX11" vm="2039">
        <f ca="1"/>
        <v>31.37</v>
      </c>
      <c r="DY11" vm="2040">
        <f ca="1"/>
        <v>31.91</v>
      </c>
      <c r="DZ11" vm="2041">
        <f ca="1"/>
        <v>31.74</v>
      </c>
      <c r="EA11" vm="2042">
        <f ca="1"/>
        <v>31.45</v>
      </c>
      <c r="EB11" vm="2043">
        <f ca="1"/>
        <v>30.65</v>
      </c>
      <c r="EC11" vm="2044">
        <f ca="1"/>
        <v>29.84</v>
      </c>
      <c r="ED11" vm="1943">
        <f ca="1"/>
        <v>30.14</v>
      </c>
      <c r="EE11" vm="2045">
        <f ca="1"/>
        <v>30.63</v>
      </c>
      <c r="EF11" vm="1946">
        <f ca="1"/>
        <v>30.8</v>
      </c>
      <c r="EG11" vm="1986">
        <f ca="1"/>
        <v>30.6</v>
      </c>
      <c r="EH11" vm="2046">
        <f ca="1"/>
        <v>30.82</v>
      </c>
      <c r="EI11" vm="2047">
        <f ca="1"/>
        <v>31.28</v>
      </c>
      <c r="EJ11" vm="2047">
        <f ca="1"/>
        <v>31.28</v>
      </c>
      <c r="EK11" vm="2048">
        <f ca="1"/>
        <v>31.84</v>
      </c>
      <c r="EL11" vm="2049">
        <f ca="1"/>
        <v>31.59</v>
      </c>
      <c r="EM11" vm="2050">
        <f ca="1"/>
        <v>31.52</v>
      </c>
      <c r="EN11" vm="2051">
        <f ca="1"/>
        <v>31.75</v>
      </c>
      <c r="EO11" vm="2052">
        <f ca="1"/>
        <v>31.93</v>
      </c>
      <c r="EP11" vm="2053">
        <f ca="1"/>
        <v>31.19</v>
      </c>
      <c r="EQ11" vm="2054">
        <f ca="1"/>
        <v>31.07</v>
      </c>
      <c r="ER11" vm="2055">
        <f ca="1"/>
        <v>30.5</v>
      </c>
      <c r="ES11" vm="2056">
        <f ca="1"/>
        <v>30.57</v>
      </c>
      <c r="ET11" vm="1988">
        <f ca="1"/>
        <v>30.71</v>
      </c>
      <c r="EU11" vm="2057">
        <f ca="1"/>
        <v>30.88</v>
      </c>
      <c r="EV11" vm="1995">
        <f ca="1"/>
        <v>30.41</v>
      </c>
      <c r="EW11" vm="2058">
        <f ca="1"/>
        <v>29.81</v>
      </c>
      <c r="EX11" vm="2059">
        <f ca="1"/>
        <v>29.48</v>
      </c>
      <c r="EY11" vm="1981">
        <f ca="1"/>
        <v>29.7</v>
      </c>
      <c r="EZ11" vm="2060">
        <f ca="1"/>
        <v>30.04</v>
      </c>
      <c r="FA11" vm="2061">
        <f ca="1"/>
        <v>29.73</v>
      </c>
      <c r="FB11" vm="1966">
        <f ca="1"/>
        <v>30.07</v>
      </c>
      <c r="FC11" vm="2062">
        <f ca="1"/>
        <v>29</v>
      </c>
      <c r="FD11" vm="2063">
        <f ca="1"/>
        <v>28.96</v>
      </c>
      <c r="FE11" vm="2064">
        <f ca="1"/>
        <v>29.33</v>
      </c>
      <c r="FF11" vm="2065">
        <f ca="1"/>
        <v>28.48</v>
      </c>
      <c r="FG11" vm="1963">
        <f ca="1"/>
        <v>29.58</v>
      </c>
      <c r="FH11" vm="2066">
        <f ca="1"/>
        <v>29.82</v>
      </c>
      <c r="FI11" vm="2067">
        <f ca="1"/>
        <v>29.96</v>
      </c>
      <c r="FJ11" vm="2068">
        <f ca="1"/>
        <v>30.3</v>
      </c>
      <c r="FK11" vm="2069">
        <f ca="1"/>
        <v>30.25</v>
      </c>
      <c r="FL11" vm="1985">
        <f ca="1"/>
        <v>29.77</v>
      </c>
      <c r="FM11" vm="2070">
        <f ca="1"/>
        <v>29.45</v>
      </c>
      <c r="FN11" vm="1975">
        <f ca="1"/>
        <v>29.36</v>
      </c>
      <c r="FO11" vm="2071">
        <f ca="1"/>
        <v>29.66</v>
      </c>
      <c r="FP11" vm="2072">
        <f ca="1"/>
        <v>29.43</v>
      </c>
      <c r="FQ11" vm="1968">
        <f ca="1"/>
        <v>29.35</v>
      </c>
      <c r="FR11" vm="1941">
        <f ca="1"/>
        <v>29.79</v>
      </c>
      <c r="FS11" vm="2073">
        <f ca="1"/>
        <v>30.56</v>
      </c>
      <c r="FT11" vm="2046">
        <f ca="1"/>
        <v>30.82</v>
      </c>
      <c r="FU11" vm="1953">
        <f ca="1"/>
        <v>30.93</v>
      </c>
      <c r="FV11" vm="2074">
        <f ca="1"/>
        <v>31.13</v>
      </c>
      <c r="FW11" vm="2075">
        <f ca="1"/>
        <v>30.72</v>
      </c>
      <c r="FX11" vm="2076">
        <f ca="1"/>
        <v>30.35</v>
      </c>
      <c r="FY11" vm="2077">
        <f ca="1"/>
        <v>30.01</v>
      </c>
      <c r="FZ11" vm="2078">
        <f ca="1"/>
        <v>30.12</v>
      </c>
      <c r="GA11" vm="2079">
        <f ca="1"/>
        <v>30.24</v>
      </c>
      <c r="GB11" vm="2078">
        <f ca="1"/>
        <v>30.12</v>
      </c>
      <c r="GC11" vm="2080">
        <f ca="1"/>
        <v>30.11</v>
      </c>
      <c r="GD11" vm="2081">
        <f ca="1"/>
        <v>29.8</v>
      </c>
      <c r="GE11" vm="2082">
        <f ca="1"/>
        <v>29.64</v>
      </c>
      <c r="GF11" vm="2083">
        <f ca="1"/>
        <v>29.62</v>
      </c>
      <c r="GG11" vm="2059">
        <f ca="1"/>
        <v>29.48</v>
      </c>
      <c r="GH11" vm="2067">
        <f ca="1"/>
        <v>29.96</v>
      </c>
      <c r="GI11" vm="2084">
        <f ca="1"/>
        <v>30.06</v>
      </c>
      <c r="GJ11" vm="1961">
        <f ca="1"/>
        <v>29.52</v>
      </c>
      <c r="GK11" vm="1958">
        <f ca="1"/>
        <v>29.27</v>
      </c>
      <c r="GL11" vm="2081">
        <f ca="1"/>
        <v>29.8</v>
      </c>
      <c r="GM11" vm="2043">
        <f ca="1"/>
        <v>30.65</v>
      </c>
      <c r="GN11" vm="2085">
        <f ca="1"/>
        <v>30.89</v>
      </c>
      <c r="GO11" vm="2086">
        <f ca="1"/>
        <v>30.61</v>
      </c>
      <c r="GP11" vm="2087">
        <f ca="1"/>
        <v>30.74</v>
      </c>
      <c r="GQ11" vm="2088">
        <f ca="1"/>
        <v>31.11</v>
      </c>
      <c r="GR11" vm="2089">
        <f ca="1"/>
        <v>30.85</v>
      </c>
      <c r="GS11" vm="2068">
        <f ca="1"/>
        <v>30.3</v>
      </c>
      <c r="GT11" vm="2053">
        <f ca="1"/>
        <v>31.19</v>
      </c>
      <c r="GU11" vm="2090">
        <f ca="1"/>
        <v>31.22</v>
      </c>
      <c r="GV11" vm="2091">
        <f ca="1"/>
        <v>30.42</v>
      </c>
      <c r="GW11" vm="1993">
        <f ca="1"/>
        <v>30</v>
      </c>
      <c r="GX11" vm="2092">
        <f ca="1"/>
        <v>29.93</v>
      </c>
      <c r="GY11" vm="2093">
        <f ca="1"/>
        <v>29.42</v>
      </c>
      <c r="GZ11" vm="2094">
        <f ca="1"/>
        <v>30.29</v>
      </c>
      <c r="HA11" vm="1947">
        <f ca="1"/>
        <v>30.33</v>
      </c>
      <c r="HB11" vm="2095">
        <f ca="1"/>
        <v>30.73</v>
      </c>
      <c r="HC11" vm="2096">
        <f ca="1"/>
        <v>30.58</v>
      </c>
      <c r="HD11" vm="2005">
        <f ca="1"/>
        <v>31.62</v>
      </c>
      <c r="HE11" vm="2039">
        <f ca="1"/>
        <v>31.37</v>
      </c>
      <c r="HF11" vm="2097">
        <f ca="1"/>
        <v>32.82</v>
      </c>
      <c r="HG11" vm="2098">
        <f ca="1"/>
        <v>31.76</v>
      </c>
      <c r="HH11" vm="2099">
        <f ca="1"/>
        <v>31.21</v>
      </c>
      <c r="HI11" vm="2100">
        <f ca="1"/>
        <v>32.4</v>
      </c>
      <c r="HJ11" vm="2101">
        <f ca="1"/>
        <v>31.43</v>
      </c>
      <c r="HK11" vm="2037">
        <f ca="1"/>
        <v>31.78</v>
      </c>
      <c r="HL11" vm="2074">
        <f ca="1"/>
        <v>31.13</v>
      </c>
      <c r="HM11" vm="2102">
        <f ca="1"/>
        <v>30.92</v>
      </c>
      <c r="HN11" vm="2103">
        <f ca="1"/>
        <v>30.34</v>
      </c>
      <c r="HO11" vm="2104">
        <f ca="1"/>
        <v>30.27</v>
      </c>
      <c r="HP11" vm="1966">
        <f ca="1"/>
        <v>30.07</v>
      </c>
      <c r="HQ11" vm="2060">
        <f ca="1"/>
        <v>30.04</v>
      </c>
      <c r="HR11" vm="2078">
        <f ca="1"/>
        <v>30.12</v>
      </c>
      <c r="HS11" vm="2078">
        <f ca="1"/>
        <v>30.12</v>
      </c>
      <c r="HT11" vm="2105">
        <f ca="1"/>
        <v>30.16</v>
      </c>
      <c r="HU11" vm="2106">
        <f ca="1"/>
        <v>29.29</v>
      </c>
      <c r="HV11" vm="2107">
        <f ca="1"/>
        <v>28.3</v>
      </c>
      <c r="HW11" vm="2108">
        <f ca="1"/>
        <v>28.51</v>
      </c>
      <c r="HX11" vm="2109">
        <f ca="1"/>
        <v>27.47</v>
      </c>
      <c r="HY11" vm="2110">
        <f ca="1"/>
        <v>27.24</v>
      </c>
      <c r="HZ11" vm="2111">
        <f ca="1"/>
        <v>27.87</v>
      </c>
      <c r="IA11" vm="2112">
        <f ca="1"/>
        <v>27.89</v>
      </c>
      <c r="IB11" vm="2113">
        <f ca="1"/>
        <v>27.54</v>
      </c>
      <c r="IC11" vm="2114">
        <f ca="1"/>
        <v>26.09</v>
      </c>
      <c r="ID11" vm="2115">
        <f ca="1"/>
        <v>25.78</v>
      </c>
      <c r="IE11" vm="2116">
        <f ca="1"/>
        <v>25.7</v>
      </c>
      <c r="IF11" vm="2117">
        <f ca="1"/>
        <v>25.48</v>
      </c>
      <c r="IG11" vm="2118">
        <f ca="1"/>
        <v>24.81</v>
      </c>
      <c r="IH11" vm="2119">
        <f ca="1"/>
        <v>24.61</v>
      </c>
      <c r="II11" vm="2120">
        <f ca="1"/>
        <v>24.12</v>
      </c>
      <c r="IJ11" vm="2121">
        <f ca="1"/>
        <v>24.74</v>
      </c>
      <c r="IK11" vm="2122">
        <f ca="1"/>
        <v>24.78</v>
      </c>
      <c r="IL11" vm="2123">
        <f ca="1"/>
        <v>24.77</v>
      </c>
      <c r="IM11" vm="2124">
        <f ca="1"/>
        <v>24.58</v>
      </c>
      <c r="IN11" vm="2125">
        <f ca="1"/>
        <v>24.34</v>
      </c>
      <c r="IO11" vm="2126">
        <f ca="1"/>
        <v>23.65</v>
      </c>
      <c r="IP11" vm="2127">
        <f ca="1"/>
        <v>24.31</v>
      </c>
      <c r="IQ11" vm="2127">
        <f ca="1"/>
        <v>24.31</v>
      </c>
    </row>
    <row r="12" spans="1:251" x14ac:dyDescent="0.35">
      <c r="A12" t="e" vm="10">
        <f>Dashboard!B16</f>
        <v>#VALUE!</v>
      </c>
      <c r="B12" cm="1" vm="2128">
        <f t="array" aca="1" ref="B12:IQ12" ca="1">TRANSPOSE(_xlfn.STOCKHISTORY(A12,TODAY()-365,TODAY(),0,0,1))</f>
        <v>228.69</v>
      </c>
      <c r="C12" vm="2129">
        <f ca="1"/>
        <v>210.28</v>
      </c>
      <c r="D12" vm="2130">
        <f ca="1"/>
        <v>214.44</v>
      </c>
      <c r="E12" vm="2131">
        <f ca="1"/>
        <v>216.87</v>
      </c>
      <c r="F12" vm="716">
        <f ca="1"/>
        <v>234.34</v>
      </c>
      <c r="G12" vm="2132">
        <f ca="1"/>
        <v>227.11</v>
      </c>
      <c r="H12" vm="2133">
        <f ca="1"/>
        <v>236.2</v>
      </c>
      <c r="I12" vm="2134">
        <f ca="1"/>
        <v>234.72</v>
      </c>
      <c r="J12" vm="2135">
        <f ca="1"/>
        <v>233.13</v>
      </c>
      <c r="K12" vm="2136">
        <f ca="1"/>
        <v>229.61</v>
      </c>
      <c r="L12" vm="2137">
        <f ca="1"/>
        <v>231.96</v>
      </c>
      <c r="M12" vm="2138">
        <f ca="1"/>
        <v>228.99</v>
      </c>
      <c r="N12" vm="2139">
        <f ca="1"/>
        <v>235.59</v>
      </c>
      <c r="O12" vm="2140">
        <f ca="1"/>
        <v>240.88</v>
      </c>
      <c r="P12" vm="2141">
        <f ca="1"/>
        <v>244.64</v>
      </c>
      <c r="Q12" vm="2142">
        <f ca="1"/>
        <v>243.55</v>
      </c>
      <c r="R12" vm="2143">
        <f ca="1"/>
        <v>243.22</v>
      </c>
      <c r="S12" vm="2144">
        <f ca="1"/>
        <v>244.62</v>
      </c>
      <c r="T12" vm="2144">
        <f ca="1"/>
        <v>244.62</v>
      </c>
      <c r="U12" vm="2145">
        <f ca="1"/>
        <v>246.89</v>
      </c>
      <c r="V12" vm="2146">
        <f ca="1"/>
        <v>252.51</v>
      </c>
      <c r="W12" vm="2147">
        <f ca="1"/>
        <v>252.56</v>
      </c>
      <c r="X12" vm="2148">
        <f ca="1"/>
        <v>249.25</v>
      </c>
      <c r="Y12" vm="2149">
        <f ca="1"/>
        <v>249.39</v>
      </c>
      <c r="Z12" vm="2150">
        <f ca="1"/>
        <v>253.47</v>
      </c>
      <c r="AA12" vm="2151">
        <f ca="1"/>
        <v>253.08</v>
      </c>
      <c r="AB12" vm="2152">
        <f ca="1"/>
        <v>260.05</v>
      </c>
      <c r="AC12" vm="2153">
        <f ca="1"/>
        <v>263.01</v>
      </c>
      <c r="AD12" vm="2154">
        <f ca="1"/>
        <v>265.64</v>
      </c>
      <c r="AE12" vm="2155">
        <f ca="1"/>
        <v>267.49</v>
      </c>
      <c r="AF12" vm="2156">
        <f ca="1"/>
        <v>267.56</v>
      </c>
      <c r="AG12" vm="2157">
        <f ca="1"/>
        <v>264.88</v>
      </c>
      <c r="AH12" vm="2158">
        <f ca="1"/>
        <v>265.68</v>
      </c>
      <c r="AI12" vm="2159">
        <f ca="1"/>
        <v>261.04000000000002</v>
      </c>
      <c r="AJ12" vm="2160">
        <f ca="1"/>
        <v>260.67</v>
      </c>
      <c r="AK12" vm="2161">
        <f ca="1"/>
        <v>260.70999999999998</v>
      </c>
      <c r="AL12" vm="2162">
        <f ca="1"/>
        <v>265.29000000000002</v>
      </c>
      <c r="AM12" vm="2163">
        <f ca="1"/>
        <v>263.49</v>
      </c>
      <c r="AN12" vm="2164">
        <f ca="1"/>
        <v>264.37</v>
      </c>
      <c r="AO12" vm="2165">
        <f ca="1"/>
        <v>264</v>
      </c>
      <c r="AP12" vm="2166">
        <f ca="1"/>
        <v>264.66000000000003</v>
      </c>
      <c r="AQ12" vm="2167">
        <f ca="1"/>
        <v>266.27</v>
      </c>
      <c r="AR12" vm="2168">
        <f ca="1"/>
        <v>264.22000000000003</v>
      </c>
      <c r="AS12" vm="2169">
        <f ca="1"/>
        <v>261.95</v>
      </c>
      <c r="AT12" vm="2170">
        <f ca="1"/>
        <v>265.73</v>
      </c>
      <c r="AU12" vm="2171">
        <f ca="1"/>
        <v>266.74</v>
      </c>
      <c r="AV12" vm="2172">
        <f ca="1"/>
        <v>268.60000000000002</v>
      </c>
      <c r="AW12" vm="2173">
        <f ca="1"/>
        <v>268.14999999999998</v>
      </c>
      <c r="AX12" vm="2174">
        <f ca="1"/>
        <v>268.24</v>
      </c>
      <c r="AY12" vm="2175">
        <f ca="1"/>
        <v>264.95</v>
      </c>
      <c r="AZ12" vm="2176">
        <f ca="1"/>
        <v>270.36</v>
      </c>
      <c r="BA12" vm="2177">
        <f ca="1"/>
        <v>269.52</v>
      </c>
      <c r="BB12" vm="2178">
        <f ca="1"/>
        <v>273.95999999999998</v>
      </c>
      <c r="BC12" vm="2179">
        <f ca="1"/>
        <v>275</v>
      </c>
      <c r="BD12" vm="2180">
        <f ca="1"/>
        <v>278.27</v>
      </c>
      <c r="BE12" vm="2181">
        <f ca="1"/>
        <v>281.26</v>
      </c>
      <c r="BF12" vm="2182">
        <f ca="1"/>
        <v>284.06</v>
      </c>
      <c r="BG12" vm="2183">
        <f ca="1"/>
        <v>288.75</v>
      </c>
      <c r="BH12" vm="2184">
        <f ca="1"/>
        <v>287.11</v>
      </c>
      <c r="BI12" vm="2185">
        <f ca="1"/>
        <v>289.91000000000003</v>
      </c>
      <c r="BJ12" vm="2186">
        <f ca="1"/>
        <v>290.41000000000003</v>
      </c>
      <c r="BK12" vm="2187">
        <f ca="1"/>
        <v>292</v>
      </c>
      <c r="BL12" vm="2188">
        <f ca="1"/>
        <v>296</v>
      </c>
      <c r="BM12" vm="2189">
        <f ca="1"/>
        <v>291.97000000000003</v>
      </c>
      <c r="BN12" vm="2190">
        <f ca="1"/>
        <v>282.77999999999997</v>
      </c>
      <c r="BO12" vm="2191">
        <f ca="1"/>
        <v>283.16000000000003</v>
      </c>
      <c r="BP12" vm="2192">
        <f ca="1"/>
        <v>288.19</v>
      </c>
      <c r="BQ12" vm="2193">
        <f ca="1"/>
        <v>286.86</v>
      </c>
      <c r="BR12" vm="2194">
        <f ca="1"/>
        <v>288.7</v>
      </c>
      <c r="BS12" vm="2195">
        <f ca="1"/>
        <v>286.55</v>
      </c>
      <c r="BT12" vm="2196">
        <f ca="1"/>
        <v>285.82</v>
      </c>
      <c r="BU12" vm="2197">
        <f ca="1"/>
        <v>289.89999999999998</v>
      </c>
      <c r="BV12" vm="2198">
        <f ca="1"/>
        <v>291.27</v>
      </c>
      <c r="BW12" vm="2199">
        <f ca="1"/>
        <v>290.97000000000003</v>
      </c>
      <c r="BX12" vm="2200">
        <f ca="1"/>
        <v>291.43</v>
      </c>
      <c r="BY12" vm="2201">
        <f ca="1"/>
        <v>296.76</v>
      </c>
      <c r="BZ12" vm="2202">
        <f ca="1"/>
        <v>296.55</v>
      </c>
      <c r="CA12" vm="2203">
        <f ca="1"/>
        <v>298.62</v>
      </c>
      <c r="CB12" vm="2204">
        <f ca="1"/>
        <v>298.27999999999997</v>
      </c>
      <c r="CC12" vm="2205">
        <f ca="1"/>
        <v>297.04000000000002</v>
      </c>
      <c r="CD12" vm="2206">
        <f ca="1"/>
        <v>299.63</v>
      </c>
      <c r="CE12" vm="2207">
        <f ca="1"/>
        <v>296.24</v>
      </c>
      <c r="CF12" vm="2208">
        <f ca="1"/>
        <v>289.37</v>
      </c>
      <c r="CG12" vm="2209">
        <f ca="1"/>
        <v>294.26</v>
      </c>
      <c r="CH12" vm="2210">
        <f ca="1"/>
        <v>291.37</v>
      </c>
      <c r="CI12" vm="2211">
        <f ca="1"/>
        <v>291.35000000000002</v>
      </c>
      <c r="CJ12" vm="2212">
        <f ca="1"/>
        <v>286.94</v>
      </c>
      <c r="CK12" vm="2213">
        <f ca="1"/>
        <v>288.76</v>
      </c>
      <c r="CL12" vm="2214">
        <f ca="1"/>
        <v>289.56</v>
      </c>
      <c r="CM12" vm="2215">
        <f ca="1"/>
        <v>292.85000000000002</v>
      </c>
      <c r="CN12" vm="2216">
        <f ca="1"/>
        <v>290.52999999999997</v>
      </c>
      <c r="CO12" vm="2217">
        <f ca="1"/>
        <v>294.16000000000003</v>
      </c>
      <c r="CP12" vm="2218">
        <f ca="1"/>
        <v>290.49</v>
      </c>
      <c r="CQ12" vm="2219">
        <f ca="1"/>
        <v>291.52999999999997</v>
      </c>
      <c r="CR12" vm="2220">
        <f ca="1"/>
        <v>290.66000000000003</v>
      </c>
      <c r="CS12" vm="2221">
        <f ca="1"/>
        <v>292.24</v>
      </c>
      <c r="CT12" vm="2222">
        <f ca="1"/>
        <v>291.47000000000003</v>
      </c>
      <c r="CU12" vm="2207">
        <f ca="1"/>
        <v>296.24</v>
      </c>
      <c r="CV12" vm="2223">
        <f ca="1"/>
        <v>294.89999999999998</v>
      </c>
      <c r="CW12" vm="2224">
        <f ca="1"/>
        <v>298.57</v>
      </c>
      <c r="CX12" vm="2225">
        <f ca="1"/>
        <v>299.27999999999997</v>
      </c>
      <c r="CY12" vm="2226">
        <f ca="1"/>
        <v>301.07</v>
      </c>
      <c r="CZ12" vm="2227">
        <f ca="1"/>
        <v>301.42</v>
      </c>
      <c r="DA12" vm="2228">
        <f ca="1"/>
        <v>299.7</v>
      </c>
      <c r="DB12" vm="2229">
        <f ca="1"/>
        <v>299.51</v>
      </c>
      <c r="DC12" vm="2230">
        <f ca="1"/>
        <v>303.82</v>
      </c>
      <c r="DD12" vm="2231">
        <f ca="1"/>
        <v>294.38</v>
      </c>
      <c r="DE12" vm="2232">
        <f ca="1"/>
        <v>292.91000000000003</v>
      </c>
      <c r="DF12" vm="2233">
        <f ca="1"/>
        <v>297.85000000000002</v>
      </c>
      <c r="DG12" vm="2234">
        <f ca="1"/>
        <v>300.54000000000002</v>
      </c>
      <c r="DH12" vm="2235">
        <f ca="1"/>
        <v>305.56</v>
      </c>
      <c r="DI12" vm="2236">
        <f ca="1"/>
        <v>306.91000000000003</v>
      </c>
      <c r="DJ12" vm="2237">
        <f ca="1"/>
        <v>308.89999999999998</v>
      </c>
      <c r="DK12" vm="2238">
        <f ca="1"/>
        <v>309.19</v>
      </c>
      <c r="DL12" vm="2239">
        <f ca="1"/>
        <v>311.75</v>
      </c>
      <c r="DM12" vm="2240">
        <f ca="1"/>
        <v>313.23</v>
      </c>
      <c r="DN12" vm="2241">
        <f ca="1"/>
        <v>314.77999999999997</v>
      </c>
      <c r="DO12" vm="2242">
        <f ca="1"/>
        <v>312.44</v>
      </c>
      <c r="DP12" vm="2243">
        <f ca="1"/>
        <v>312.74</v>
      </c>
      <c r="DQ12" vm="2244">
        <f ca="1"/>
        <v>313.42</v>
      </c>
      <c r="DR12" vm="2245">
        <f ca="1"/>
        <v>313.45</v>
      </c>
      <c r="DS12" vm="2246">
        <f ca="1"/>
        <v>316.06</v>
      </c>
      <c r="DT12" vm="2247">
        <f ca="1"/>
        <v>315.69</v>
      </c>
      <c r="DU12" vm="2248">
        <f ca="1"/>
        <v>315.43</v>
      </c>
      <c r="DV12" vm="2249">
        <f ca="1"/>
        <v>310.70999999999998</v>
      </c>
      <c r="DW12" vm="2250">
        <f ca="1"/>
        <v>307.55</v>
      </c>
      <c r="DX12" vm="2251">
        <f ca="1"/>
        <v>310.02999999999997</v>
      </c>
      <c r="DY12" vm="2252">
        <f ca="1"/>
        <v>309.18</v>
      </c>
      <c r="DZ12" vm="2253">
        <f ca="1"/>
        <v>307.69</v>
      </c>
      <c r="EA12" vm="2254">
        <f ca="1"/>
        <v>304.02999999999997</v>
      </c>
      <c r="EB12" vm="2255">
        <f ca="1"/>
        <v>305.52999999999997</v>
      </c>
      <c r="EC12" vm="2256">
        <f ca="1"/>
        <v>300.89</v>
      </c>
      <c r="ED12" vm="2257">
        <f ca="1"/>
        <v>307.97000000000003</v>
      </c>
      <c r="EE12" vm="2258">
        <f ca="1"/>
        <v>302.08</v>
      </c>
      <c r="EF12" vm="2259">
        <f ca="1"/>
        <v>305.69</v>
      </c>
      <c r="EG12" vm="2260">
        <f ca="1"/>
        <v>298.54000000000002</v>
      </c>
      <c r="EH12" vm="2261">
        <f ca="1"/>
        <v>297.56</v>
      </c>
      <c r="EI12" vm="2262">
        <f ca="1"/>
        <v>302.36</v>
      </c>
      <c r="EJ12" vm="2263">
        <f ca="1"/>
        <v>297.08999999999997</v>
      </c>
      <c r="EK12" vm="2264">
        <f ca="1"/>
        <v>294.11</v>
      </c>
      <c r="EL12" vm="2265">
        <f ca="1"/>
        <v>294.54000000000002</v>
      </c>
      <c r="EM12" vm="2266">
        <f ca="1"/>
        <v>300.44</v>
      </c>
      <c r="EN12" vm="2267">
        <f ca="1"/>
        <v>304.14999999999998</v>
      </c>
      <c r="EO12" vm="2268">
        <f ca="1"/>
        <v>305.36</v>
      </c>
      <c r="EP12" vm="2269">
        <f ca="1"/>
        <v>305.51</v>
      </c>
      <c r="EQ12" vm="2270">
        <f ca="1"/>
        <v>309.44</v>
      </c>
      <c r="ER12" vm="2271">
        <f ca="1"/>
        <v>311.12</v>
      </c>
      <c r="ES12" vm="2272">
        <f ca="1"/>
        <v>309.35000000000002</v>
      </c>
      <c r="ET12" vm="2273">
        <f ca="1"/>
        <v>309.25</v>
      </c>
      <c r="EU12" vm="2274">
        <f ca="1"/>
        <v>311.68</v>
      </c>
      <c r="EV12" vm="2244">
        <f ca="1"/>
        <v>313.42</v>
      </c>
      <c r="EW12" vm="2275">
        <f ca="1"/>
        <v>314.20999999999998</v>
      </c>
      <c r="EX12" vm="2276">
        <f ca="1"/>
        <v>316.89</v>
      </c>
      <c r="EY12" vm="2277">
        <f ca="1"/>
        <v>315.62</v>
      </c>
      <c r="EZ12" vm="2278">
        <f ca="1"/>
        <v>320.41000000000003</v>
      </c>
      <c r="FA12" vm="2279">
        <f ca="1"/>
        <v>309.48</v>
      </c>
      <c r="FB12" vm="2280">
        <f ca="1"/>
        <v>303.61</v>
      </c>
      <c r="FC12" vm="2281">
        <f ca="1"/>
        <v>300.37</v>
      </c>
      <c r="FD12" vm="2282">
        <f ca="1"/>
        <v>299.41000000000003</v>
      </c>
      <c r="FE12" vm="2283">
        <f ca="1"/>
        <v>303.27</v>
      </c>
      <c r="FF12" vm="2284">
        <f ca="1"/>
        <v>298.38</v>
      </c>
      <c r="FG12" vm="2285">
        <f ca="1"/>
        <v>298.02</v>
      </c>
      <c r="FH12" vm="2286">
        <f ca="1"/>
        <v>298</v>
      </c>
      <c r="FI12" vm="2287">
        <f ca="1"/>
        <v>303</v>
      </c>
      <c r="FJ12" vm="2288">
        <f ca="1"/>
        <v>307.64</v>
      </c>
      <c r="FK12" vm="2289">
        <f ca="1"/>
        <v>313.08</v>
      </c>
      <c r="FL12" vm="2290">
        <f ca="1"/>
        <v>308.92</v>
      </c>
      <c r="FM12" vm="2291">
        <f ca="1"/>
        <v>307.88</v>
      </c>
      <c r="FN12" vm="2292">
        <f ca="1"/>
        <v>312.13</v>
      </c>
      <c r="FO12" vm="2293">
        <f ca="1"/>
        <v>316.10000000000002</v>
      </c>
      <c r="FP12" vm="2294">
        <f ca="1"/>
        <v>315.04000000000002</v>
      </c>
      <c r="FQ12" vm="2295">
        <f ca="1"/>
        <v>315.20999999999998</v>
      </c>
      <c r="FR12" vm="2296">
        <f ca="1"/>
        <v>300.51</v>
      </c>
      <c r="FS12" vm="2297">
        <f ca="1"/>
        <v>310.11</v>
      </c>
      <c r="FT12" vm="2298">
        <f ca="1"/>
        <v>317.38</v>
      </c>
      <c r="FU12" vm="2299">
        <f ca="1"/>
        <v>318.52</v>
      </c>
      <c r="FV12" vm="2300">
        <f ca="1"/>
        <v>320.02</v>
      </c>
      <c r="FW12" vm="2301">
        <f ca="1"/>
        <v>315.55</v>
      </c>
      <c r="FX12" vm="2302">
        <f ca="1"/>
        <v>314.98</v>
      </c>
      <c r="FY12" vm="2303">
        <f ca="1"/>
        <v>313</v>
      </c>
      <c r="FZ12" vm="2304">
        <f ca="1"/>
        <v>317.20999999999998</v>
      </c>
      <c r="GA12" vm="2305">
        <f ca="1"/>
        <v>323.08999999999997</v>
      </c>
      <c r="GB12" vm="2306">
        <f ca="1"/>
        <v>325.93</v>
      </c>
      <c r="GC12" vm="2307">
        <f ca="1"/>
        <v>329.17</v>
      </c>
      <c r="GD12" vm="2308">
        <f ca="1"/>
        <v>327.91</v>
      </c>
      <c r="GE12" vm="2309">
        <f ca="1"/>
        <v>323.75</v>
      </c>
      <c r="GF12" vm="2310">
        <f ca="1"/>
        <v>323.42</v>
      </c>
      <c r="GG12" vm="2311">
        <f ca="1"/>
        <v>322.22000000000003</v>
      </c>
      <c r="GH12" vm="2312">
        <f ca="1"/>
        <v>325.48</v>
      </c>
      <c r="GI12" vm="2313">
        <f ca="1"/>
        <v>334.04</v>
      </c>
      <c r="GJ12" vm="2314">
        <f ca="1"/>
        <v>334.61</v>
      </c>
      <c r="GK12" vm="2315">
        <f ca="1"/>
        <v>326.99</v>
      </c>
      <c r="GL12" vm="2316">
        <f ca="1"/>
        <v>329.79</v>
      </c>
      <c r="GM12" vm="2317">
        <f ca="1"/>
        <v>329.19</v>
      </c>
      <c r="GN12" vm="2318">
        <f ca="1"/>
        <v>324.49</v>
      </c>
      <c r="GO12" vm="2319">
        <f ca="1"/>
        <v>310.89999999999998</v>
      </c>
      <c r="GP12" vm="2320">
        <f ca="1"/>
        <v>307.87</v>
      </c>
      <c r="GQ12" vm="2321">
        <f ca="1"/>
        <v>309.26</v>
      </c>
      <c r="GR12" vm="2322">
        <f ca="1"/>
        <v>312.47000000000003</v>
      </c>
      <c r="GS12" vm="2323">
        <f ca="1"/>
        <v>302.74</v>
      </c>
      <c r="GT12" vm="2324">
        <f ca="1"/>
        <v>302.04000000000002</v>
      </c>
      <c r="GU12" vm="2325">
        <f ca="1"/>
        <v>303.63</v>
      </c>
      <c r="GV12" vm="2326">
        <f ca="1"/>
        <v>297.72000000000003</v>
      </c>
      <c r="GW12" vm="2327">
        <f ca="1"/>
        <v>301.04000000000002</v>
      </c>
      <c r="GX12" vm="2328">
        <f ca="1"/>
        <v>300.31</v>
      </c>
      <c r="GY12" vm="2329">
        <f ca="1"/>
        <v>300.77</v>
      </c>
      <c r="GZ12" vm="2330">
        <f ca="1"/>
        <v>306.42</v>
      </c>
      <c r="HA12" vm="2331">
        <f ca="1"/>
        <v>305.89</v>
      </c>
      <c r="HB12" vm="2332">
        <f ca="1"/>
        <v>308.14</v>
      </c>
      <c r="HC12" vm="2333">
        <f ca="1"/>
        <v>314.85000000000002</v>
      </c>
      <c r="HD12" vm="2334">
        <f ca="1"/>
        <v>317.27</v>
      </c>
      <c r="HE12" vm="2335">
        <f ca="1"/>
        <v>310.16000000000003</v>
      </c>
      <c r="HF12" vm="2336">
        <f ca="1"/>
        <v>322.39999999999998</v>
      </c>
      <c r="HG12" vm="2337">
        <f ca="1"/>
        <v>322.10000000000002</v>
      </c>
      <c r="HH12" vm="2338">
        <f ca="1"/>
        <v>318.27999999999997</v>
      </c>
      <c r="HI12" vm="2339">
        <f ca="1"/>
        <v>310.82</v>
      </c>
      <c r="HJ12" vm="2340">
        <f ca="1"/>
        <v>302.64</v>
      </c>
      <c r="HK12" vm="2341">
        <f ca="1"/>
        <v>302.55</v>
      </c>
      <c r="HL12" vm="2342">
        <f ca="1"/>
        <v>307.13</v>
      </c>
      <c r="HM12" vm="2343">
        <f ca="1"/>
        <v>308.77999999999997</v>
      </c>
      <c r="HN12" vm="2344">
        <f ca="1"/>
        <v>308.05</v>
      </c>
      <c r="HO12" vm="2345">
        <f ca="1"/>
        <v>310.79000000000002</v>
      </c>
      <c r="HP12" vm="2346">
        <f ca="1"/>
        <v>297.67</v>
      </c>
      <c r="HQ12" vm="2347">
        <f ca="1"/>
        <v>297.3</v>
      </c>
      <c r="HR12" vm="2348">
        <f ca="1"/>
        <v>303.3</v>
      </c>
      <c r="HS12" vm="2349">
        <f ca="1"/>
        <v>306.13</v>
      </c>
      <c r="HT12" vm="2350">
        <f ca="1"/>
        <v>300.3</v>
      </c>
      <c r="HU12" vm="2261">
        <f ca="1"/>
        <v>297.56</v>
      </c>
      <c r="HV12" vm="2351">
        <f ca="1"/>
        <v>300.26</v>
      </c>
      <c r="HW12" vm="2352">
        <f ca="1"/>
        <v>299.39</v>
      </c>
      <c r="HX12" vm="2353">
        <f ca="1"/>
        <v>293.55</v>
      </c>
      <c r="HY12" vm="2354">
        <f ca="1"/>
        <v>289.48</v>
      </c>
      <c r="HZ12" vm="2355">
        <f ca="1"/>
        <v>289.92</v>
      </c>
      <c r="IA12" vm="2356">
        <f ca="1"/>
        <v>288.73</v>
      </c>
      <c r="IB12" vm="2357">
        <f ca="1"/>
        <v>287.52</v>
      </c>
      <c r="IC12" vm="2358">
        <f ca="1"/>
        <v>282.89</v>
      </c>
      <c r="ID12" vm="2359">
        <f ca="1"/>
        <v>283.44</v>
      </c>
      <c r="IE12" vm="2360">
        <f ca="1"/>
        <v>286.16000000000003</v>
      </c>
      <c r="IF12" vm="2361">
        <f ca="1"/>
        <v>286.89</v>
      </c>
      <c r="IG12" vm="2362">
        <f ca="1"/>
        <v>287.74</v>
      </c>
      <c r="IH12" vm="2363">
        <f ca="1"/>
        <v>287.97000000000003</v>
      </c>
      <c r="II12" vm="2364">
        <f ca="1"/>
        <v>286.56</v>
      </c>
      <c r="IJ12" vm="2185">
        <f ca="1"/>
        <v>289.91000000000003</v>
      </c>
      <c r="IK12" vm="2365">
        <f ca="1"/>
        <v>292.39999999999998</v>
      </c>
      <c r="IL12" vm="2366">
        <f ca="1"/>
        <v>295.42</v>
      </c>
      <c r="IM12" vm="2367">
        <f ca="1"/>
        <v>291.66000000000003</v>
      </c>
      <c r="IN12" vm="2368">
        <f ca="1"/>
        <v>282.83999999999997</v>
      </c>
      <c r="IO12" vm="2369">
        <f ca="1"/>
        <v>283.77</v>
      </c>
      <c r="IP12" vm="2217">
        <f ca="1"/>
        <v>294.16000000000003</v>
      </c>
      <c r="IQ12" vm="2370">
        <f ca="1"/>
        <v>295.38</v>
      </c>
    </row>
    <row r="13" spans="1:251" x14ac:dyDescent="0.35">
      <c r="A13" t="e" vm="11">
        <f>Dashboard!B17</f>
        <v>#VALUE!</v>
      </c>
      <c r="B13" cm="1" vm="2371">
        <f t="array" aca="1" ref="B13:IQ13" ca="1">TRANSPOSE(_xlfn.STOCKHISTORY(A13,TODAY()-365,TODAY(),0,0,1))</f>
        <v>531.62</v>
      </c>
      <c r="C13" vm="2372">
        <f ca="1"/>
        <v>504.73</v>
      </c>
      <c r="D13" vm="2373">
        <f ca="1"/>
        <v>516.25</v>
      </c>
      <c r="E13" vm="2374">
        <f ca="1"/>
        <v>510.45</v>
      </c>
      <c r="F13" vm="2375">
        <f ca="1"/>
        <v>585.77</v>
      </c>
      <c r="G13" vm="2376">
        <f ca="1"/>
        <v>546.29</v>
      </c>
      <c r="H13" vm="2377">
        <f ca="1"/>
        <v>543.57000000000005</v>
      </c>
      <c r="I13" vm="2378">
        <f ca="1"/>
        <v>531.48</v>
      </c>
      <c r="J13" vm="2379">
        <f ca="1"/>
        <v>521.52</v>
      </c>
      <c r="K13" vm="2380">
        <f ca="1"/>
        <v>502.31</v>
      </c>
      <c r="L13" vm="2381">
        <f ca="1"/>
        <v>501.48</v>
      </c>
      <c r="M13" vm="2382">
        <f ca="1"/>
        <v>484.66</v>
      </c>
      <c r="N13" vm="2383">
        <f ca="1"/>
        <v>500.28</v>
      </c>
      <c r="O13" vm="2384">
        <f ca="1"/>
        <v>520.27</v>
      </c>
      <c r="P13" vm="2385">
        <f ca="1"/>
        <v>533.15</v>
      </c>
      <c r="Q13" vm="2386">
        <f ca="1"/>
        <v>547.27</v>
      </c>
      <c r="R13" vm="2387">
        <f ca="1"/>
        <v>549.74</v>
      </c>
      <c r="S13" vm="2388">
        <f ca="1"/>
        <v>554.44000000000005</v>
      </c>
      <c r="T13" vm="2389">
        <f ca="1"/>
        <v>549</v>
      </c>
      <c r="U13" vm="2390">
        <f ca="1"/>
        <v>572.21</v>
      </c>
      <c r="V13" vm="2391">
        <f ca="1"/>
        <v>597.02</v>
      </c>
      <c r="W13" vm="2392">
        <f ca="1"/>
        <v>599.27</v>
      </c>
      <c r="X13" vm="2393">
        <f ca="1"/>
        <v>587.30999999999995</v>
      </c>
      <c r="Y13" vm="2394">
        <f ca="1"/>
        <v>596.80999999999995</v>
      </c>
      <c r="Z13" vm="2395">
        <f ca="1"/>
        <v>598.01</v>
      </c>
      <c r="AA13" vm="2396">
        <f ca="1"/>
        <v>592.49</v>
      </c>
      <c r="AB13" vm="2397">
        <f ca="1"/>
        <v>639.42999999999995</v>
      </c>
      <c r="AC13" vm="2398">
        <f ca="1"/>
        <v>656.03</v>
      </c>
      <c r="AD13" vm="2399">
        <f ca="1"/>
        <v>659.36</v>
      </c>
      <c r="AE13" vm="2400">
        <f ca="1"/>
        <v>643.88</v>
      </c>
      <c r="AF13" vm="2401">
        <f ca="1"/>
        <v>640.34</v>
      </c>
      <c r="AG13" vm="2402">
        <f ca="1"/>
        <v>640.42999999999995</v>
      </c>
      <c r="AH13" vm="2403">
        <f ca="1"/>
        <v>637.1</v>
      </c>
      <c r="AI13" vm="2404">
        <f ca="1"/>
        <v>635.5</v>
      </c>
      <c r="AJ13" vm="2405">
        <f ca="1"/>
        <v>636.57000000000005</v>
      </c>
      <c r="AK13" vm="2406">
        <f ca="1"/>
        <v>627.05999999999995</v>
      </c>
      <c r="AL13" vm="2407">
        <f ca="1"/>
        <v>642.32000000000005</v>
      </c>
      <c r="AM13" vm="2408">
        <f ca="1"/>
        <v>643.58000000000004</v>
      </c>
      <c r="AN13" vm="2409">
        <f ca="1"/>
        <v>645.04999999999995</v>
      </c>
      <c r="AO13" vm="2410">
        <f ca="1"/>
        <v>647.49</v>
      </c>
      <c r="AP13" vm="2411">
        <f ca="1"/>
        <v>670.9</v>
      </c>
      <c r="AQ13" vm="2412">
        <f ca="1"/>
        <v>666.85</v>
      </c>
      <c r="AR13" vm="2413">
        <f ca="1"/>
        <v>687.95</v>
      </c>
      <c r="AS13" vm="2414">
        <f ca="1"/>
        <v>684.62</v>
      </c>
      <c r="AT13" vm="2415">
        <f ca="1"/>
        <v>697.71</v>
      </c>
      <c r="AU13" vm="2416">
        <f ca="1"/>
        <v>694.06</v>
      </c>
      <c r="AV13" vm="2417">
        <f ca="1"/>
        <v>702.4</v>
      </c>
      <c r="AW13" vm="2418">
        <f ca="1"/>
        <v>694.14</v>
      </c>
      <c r="AX13" vm="2419">
        <f ca="1"/>
        <v>693.36</v>
      </c>
      <c r="AY13" vm="2420">
        <f ca="1"/>
        <v>682.87</v>
      </c>
      <c r="AZ13" vm="2421">
        <f ca="1"/>
        <v>702.12</v>
      </c>
      <c r="BA13" vm="2422">
        <f ca="1"/>
        <v>697.23</v>
      </c>
      <c r="BB13" vm="2423">
        <f ca="1"/>
        <v>695.77</v>
      </c>
      <c r="BC13" vm="2424">
        <f ca="1"/>
        <v>682.35</v>
      </c>
      <c r="BD13" vm="2425">
        <f ca="1"/>
        <v>698.53</v>
      </c>
      <c r="BE13" vm="2426">
        <f ca="1"/>
        <v>712.2</v>
      </c>
      <c r="BF13" vm="2427">
        <f ca="1"/>
        <v>708.68</v>
      </c>
      <c r="BG13" vm="2428">
        <f ca="1"/>
        <v>726.09</v>
      </c>
      <c r="BH13" vm="2429">
        <f ca="1"/>
        <v>733.63</v>
      </c>
      <c r="BI13" vm="2430">
        <f ca="1"/>
        <v>738.09</v>
      </c>
      <c r="BJ13" vm="2431">
        <f ca="1"/>
        <v>719.22</v>
      </c>
      <c r="BK13" vm="2432">
        <f ca="1"/>
        <v>713.57</v>
      </c>
      <c r="BL13" vm="2433">
        <f ca="1"/>
        <v>719.01</v>
      </c>
      <c r="BM13" vm="2434">
        <f ca="1"/>
        <v>718.35</v>
      </c>
      <c r="BN13" vm="2435">
        <f ca="1"/>
        <v>720.67</v>
      </c>
      <c r="BO13" vm="2436">
        <f ca="1"/>
        <v>732.78</v>
      </c>
      <c r="BP13" vm="2437">
        <f ca="1"/>
        <v>727.24</v>
      </c>
      <c r="BQ13" vm="2438">
        <f ca="1"/>
        <v>717.51</v>
      </c>
      <c r="BR13" vm="2439">
        <f ca="1"/>
        <v>720.92</v>
      </c>
      <c r="BS13" vm="2440">
        <f ca="1"/>
        <v>710.39</v>
      </c>
      <c r="BT13" vm="2441">
        <f ca="1"/>
        <v>702.91</v>
      </c>
      <c r="BU13" vm="2442">
        <f ca="1"/>
        <v>701.41</v>
      </c>
      <c r="BV13" vm="2443">
        <f ca="1"/>
        <v>704.28</v>
      </c>
      <c r="BW13" vm="2444">
        <f ca="1"/>
        <v>712.96500000000003</v>
      </c>
      <c r="BX13" vm="2445">
        <f ca="1"/>
        <v>704.81</v>
      </c>
      <c r="BY13" vm="2446">
        <f ca="1"/>
        <v>713.58</v>
      </c>
      <c r="BZ13" vm="2447">
        <f ca="1"/>
        <v>714.8</v>
      </c>
      <c r="CA13" vm="2448">
        <f ca="1"/>
        <v>712.68</v>
      </c>
      <c r="CB13" vm="2449">
        <f ca="1"/>
        <v>717.63</v>
      </c>
      <c r="CC13" vm="2450">
        <f ca="1"/>
        <v>700</v>
      </c>
      <c r="CD13" vm="2451">
        <f ca="1"/>
        <v>695.21</v>
      </c>
      <c r="CE13" vm="2452">
        <f ca="1"/>
        <v>773.44</v>
      </c>
      <c r="CF13" vm="2453">
        <f ca="1"/>
        <v>750.01</v>
      </c>
      <c r="CG13" vm="2454">
        <f ca="1"/>
        <v>776.37</v>
      </c>
      <c r="CH13" vm="2455">
        <f ca="1"/>
        <v>763.46</v>
      </c>
      <c r="CI13" vm="2456">
        <f ca="1"/>
        <v>771.99</v>
      </c>
      <c r="CJ13" vm="2457">
        <f ca="1"/>
        <v>761.83</v>
      </c>
      <c r="CK13" vm="2458">
        <f ca="1"/>
        <v>769.3</v>
      </c>
      <c r="CL13" vm="2459">
        <f ca="1"/>
        <v>765.87</v>
      </c>
      <c r="CM13" vm="2460">
        <f ca="1"/>
        <v>790</v>
      </c>
      <c r="CN13" vm="2461">
        <f ca="1"/>
        <v>780.08</v>
      </c>
      <c r="CO13" vm="2462">
        <f ca="1"/>
        <v>782.13</v>
      </c>
      <c r="CP13" vm="2463">
        <f ca="1"/>
        <v>785.23</v>
      </c>
      <c r="CQ13" vm="2464">
        <f ca="1"/>
        <v>767.37</v>
      </c>
      <c r="CR13" vm="2465">
        <f ca="1"/>
        <v>751.48</v>
      </c>
      <c r="CS13" vm="2466">
        <f ca="1"/>
        <v>747.72</v>
      </c>
      <c r="CT13" vm="2467">
        <f ca="1"/>
        <v>739.1</v>
      </c>
      <c r="CU13" vm="2468">
        <f ca="1"/>
        <v>754.79</v>
      </c>
      <c r="CV13" vm="2469">
        <f ca="1"/>
        <v>753.3</v>
      </c>
      <c r="CW13" vm="2470">
        <f ca="1"/>
        <v>754.1</v>
      </c>
      <c r="CX13" vm="2471">
        <f ca="1"/>
        <v>747.38</v>
      </c>
      <c r="CY13" vm="2472">
        <f ca="1"/>
        <v>751.11</v>
      </c>
      <c r="CZ13" vm="2473">
        <f ca="1"/>
        <v>738.7</v>
      </c>
      <c r="DA13" vm="2474">
        <f ca="1"/>
        <v>735.11</v>
      </c>
      <c r="DB13" vm="2475">
        <f ca="1"/>
        <v>737.05</v>
      </c>
      <c r="DC13" vm="2476">
        <f ca="1"/>
        <v>748.65</v>
      </c>
      <c r="DD13" vm="2477">
        <f ca="1"/>
        <v>752.45</v>
      </c>
      <c r="DE13" vm="2478">
        <f ca="1"/>
        <v>752.3</v>
      </c>
      <c r="DF13" vm="2479">
        <f ca="1"/>
        <v>765.7</v>
      </c>
      <c r="DG13" vm="2480">
        <f ca="1"/>
        <v>751.98</v>
      </c>
      <c r="DH13" vm="2481">
        <f ca="1"/>
        <v>750.9</v>
      </c>
      <c r="DI13" vm="2482">
        <f ca="1"/>
        <v>755.59</v>
      </c>
      <c r="DJ13" vm="2483">
        <f ca="1"/>
        <v>764.7</v>
      </c>
      <c r="DK13" vm="2484">
        <f ca="1"/>
        <v>779</v>
      </c>
      <c r="DL13" vm="2485">
        <f ca="1"/>
        <v>775.71500000000003</v>
      </c>
      <c r="DM13" vm="2486">
        <f ca="1"/>
        <v>780.25</v>
      </c>
      <c r="DN13" vm="2487">
        <f ca="1"/>
        <v>778.38</v>
      </c>
      <c r="DO13" vm="2488">
        <f ca="1"/>
        <v>765.16</v>
      </c>
      <c r="DP13" vm="2489">
        <f ca="1"/>
        <v>755.4</v>
      </c>
      <c r="DQ13" vm="2490">
        <f ca="1"/>
        <v>760.66</v>
      </c>
      <c r="DR13" vm="2491">
        <f ca="1"/>
        <v>748.91</v>
      </c>
      <c r="DS13" vm="2492">
        <f ca="1"/>
        <v>743.75</v>
      </c>
      <c r="DT13" vm="2493">
        <f ca="1"/>
        <v>743.4</v>
      </c>
      <c r="DU13" vm="2494">
        <f ca="1"/>
        <v>734.38</v>
      </c>
      <c r="DV13" vm="2495">
        <f ca="1"/>
        <v>717.34</v>
      </c>
      <c r="DW13" vm="2496">
        <f ca="1"/>
        <v>727.05</v>
      </c>
      <c r="DX13" vm="2497">
        <f ca="1"/>
        <v>710.56</v>
      </c>
      <c r="DY13" vm="2498">
        <f ca="1"/>
        <v>715.66</v>
      </c>
      <c r="DZ13" vm="2499">
        <f ca="1"/>
        <v>713.08</v>
      </c>
      <c r="EA13" vm="2500">
        <f ca="1"/>
        <v>717.84</v>
      </c>
      <c r="EB13" vm="2501">
        <f ca="1"/>
        <v>733.51</v>
      </c>
      <c r="EC13" vm="2502">
        <f ca="1"/>
        <v>705.3</v>
      </c>
      <c r="ED13" vm="2503">
        <f ca="1"/>
        <v>715.7</v>
      </c>
      <c r="EE13" vm="2504">
        <f ca="1"/>
        <v>708.65</v>
      </c>
      <c r="EF13" vm="2505">
        <f ca="1"/>
        <v>717.55</v>
      </c>
      <c r="EG13" vm="2506">
        <f ca="1"/>
        <v>712.07</v>
      </c>
      <c r="EH13" vm="2507">
        <f ca="1"/>
        <v>716.91499999999996</v>
      </c>
      <c r="EI13" vm="2508">
        <f ca="1"/>
        <v>732.17</v>
      </c>
      <c r="EJ13" vm="2509">
        <f ca="1"/>
        <v>733.27</v>
      </c>
      <c r="EK13" vm="2510">
        <f ca="1"/>
        <v>733.41</v>
      </c>
      <c r="EL13" vm="2511">
        <f ca="1"/>
        <v>734</v>
      </c>
      <c r="EM13" vm="2512">
        <f ca="1"/>
        <v>738.36</v>
      </c>
      <c r="EN13" vm="2513">
        <f ca="1"/>
        <v>750.82</v>
      </c>
      <c r="EO13" vm="2514">
        <f ca="1"/>
        <v>751.44</v>
      </c>
      <c r="EP13" vm="2515">
        <f ca="1"/>
        <v>751.67</v>
      </c>
      <c r="EQ13" vm="2516">
        <f ca="1"/>
        <v>666.47</v>
      </c>
      <c r="ER13" vm="2517">
        <f ca="1"/>
        <v>648.35</v>
      </c>
      <c r="ES13" vm="2518">
        <f ca="1"/>
        <v>637.71</v>
      </c>
      <c r="ET13" vm="2519">
        <f ca="1"/>
        <v>627.32000000000005</v>
      </c>
      <c r="EU13" vm="2520">
        <f ca="1"/>
        <v>635.95000000000005</v>
      </c>
      <c r="EV13" vm="2521">
        <f ca="1"/>
        <v>618.94000000000005</v>
      </c>
      <c r="EW13" vm="2522">
        <f ca="1"/>
        <v>621.71</v>
      </c>
      <c r="EX13" vm="2523">
        <f ca="1"/>
        <v>631.76</v>
      </c>
      <c r="EY13" vm="2524">
        <f ca="1"/>
        <v>627.08000000000004</v>
      </c>
      <c r="EZ13" vm="2525">
        <f ca="1"/>
        <v>609.01</v>
      </c>
      <c r="FA13" vm="2526">
        <f ca="1"/>
        <v>609.89</v>
      </c>
      <c r="FB13" vm="2527">
        <f ca="1"/>
        <v>609.46</v>
      </c>
      <c r="FC13" vm="2528">
        <f ca="1"/>
        <v>602.01</v>
      </c>
      <c r="FD13" vm="2529">
        <f ca="1"/>
        <v>597.69000000000005</v>
      </c>
      <c r="FE13" vm="2530">
        <f ca="1"/>
        <v>590.32000000000005</v>
      </c>
      <c r="FF13" vm="2531">
        <f ca="1"/>
        <v>589.15</v>
      </c>
      <c r="FG13" vm="2532">
        <f ca="1"/>
        <v>594.25</v>
      </c>
      <c r="FH13" vm="2533">
        <f ca="1"/>
        <v>613.04999999999995</v>
      </c>
      <c r="FI13" vm="2534">
        <f ca="1"/>
        <v>636.22</v>
      </c>
      <c r="FJ13" vm="2535">
        <f ca="1"/>
        <v>633.61</v>
      </c>
      <c r="FK13" vm="2536">
        <f ca="1"/>
        <v>647.95000000000005</v>
      </c>
      <c r="FL13" vm="2537">
        <f ca="1"/>
        <v>640.87</v>
      </c>
      <c r="FM13" vm="2538">
        <f ca="1"/>
        <v>647.1</v>
      </c>
      <c r="FN13" vm="2539">
        <f ca="1"/>
        <v>639.6</v>
      </c>
      <c r="FO13" vm="2540">
        <f ca="1"/>
        <v>661.53</v>
      </c>
      <c r="FP13" vm="2541">
        <f ca="1"/>
        <v>673.42</v>
      </c>
      <c r="FQ13" vm="2542">
        <f ca="1"/>
        <v>666.8</v>
      </c>
      <c r="FR13" vm="2543">
        <f ca="1"/>
        <v>656.96</v>
      </c>
      <c r="FS13" vm="2544">
        <f ca="1"/>
        <v>650.13</v>
      </c>
      <c r="FT13" vm="2545">
        <f ca="1"/>
        <v>652.71</v>
      </c>
      <c r="FU13" vm="2546">
        <f ca="1"/>
        <v>644.23</v>
      </c>
      <c r="FV13" vm="2547">
        <f ca="1"/>
        <v>647.51</v>
      </c>
      <c r="FW13" vm="2548">
        <f ca="1"/>
        <v>657.15</v>
      </c>
      <c r="FX13" vm="2549">
        <f ca="1"/>
        <v>649.5</v>
      </c>
      <c r="FY13" vm="2550">
        <f ca="1"/>
        <v>664.45</v>
      </c>
      <c r="FZ13" vm="2551">
        <f ca="1"/>
        <v>658.77</v>
      </c>
      <c r="GA13" vm="2552">
        <f ca="1"/>
        <v>661.5</v>
      </c>
      <c r="GB13" vm="2553">
        <f ca="1"/>
        <v>664.94</v>
      </c>
      <c r="GC13" vm="2554">
        <f ca="1"/>
        <v>667.55</v>
      </c>
      <c r="GD13" vm="2555">
        <f ca="1"/>
        <v>663.29</v>
      </c>
      <c r="GE13" vm="2556">
        <f ca="1"/>
        <v>658.69</v>
      </c>
      <c r="GF13" vm="2557">
        <f ca="1"/>
        <v>665.95</v>
      </c>
      <c r="GG13" vm="2558">
        <f ca="1"/>
        <v>660.09</v>
      </c>
      <c r="GH13" vm="2559">
        <f ca="1"/>
        <v>650.41</v>
      </c>
      <c r="GI13" vm="2560">
        <f ca="1"/>
        <v>658.79</v>
      </c>
      <c r="GJ13" vm="2561">
        <f ca="1"/>
        <v>660.62</v>
      </c>
      <c r="GK13" vm="2562">
        <f ca="1"/>
        <v>648.69000000000005</v>
      </c>
      <c r="GL13" vm="2563">
        <f ca="1"/>
        <v>646.05999999999995</v>
      </c>
      <c r="GM13" vm="2564">
        <f ca="1"/>
        <v>653.05999999999995</v>
      </c>
      <c r="GN13" vm="2565">
        <f ca="1"/>
        <v>641.97</v>
      </c>
      <c r="GO13" vm="2566">
        <f ca="1"/>
        <v>631.09</v>
      </c>
      <c r="GP13" vm="2567">
        <f ca="1"/>
        <v>615.52</v>
      </c>
      <c r="GQ13" vm="2568">
        <f ca="1"/>
        <v>620.79999999999995</v>
      </c>
      <c r="GR13" vm="2569">
        <f ca="1"/>
        <v>620.25</v>
      </c>
      <c r="GS13" vm="2570">
        <f ca="1"/>
        <v>604.12</v>
      </c>
      <c r="GT13" vm="2571">
        <f ca="1"/>
        <v>612.96</v>
      </c>
      <c r="GU13" vm="2572">
        <f ca="1"/>
        <v>647.63</v>
      </c>
      <c r="GV13" vm="2573">
        <f ca="1"/>
        <v>658.76</v>
      </c>
      <c r="GW13" vm="2574">
        <f ca="1"/>
        <v>672.36</v>
      </c>
      <c r="GX13" vm="2575">
        <f ca="1"/>
        <v>672.97</v>
      </c>
      <c r="GY13" vm="2576">
        <f ca="1"/>
        <v>668.73</v>
      </c>
      <c r="GZ13" vm="2577">
        <f ca="1"/>
        <v>738.31</v>
      </c>
      <c r="HA13" vm="2578">
        <f ca="1"/>
        <v>716.5</v>
      </c>
      <c r="HB13" vm="2579">
        <f ca="1"/>
        <v>706.41</v>
      </c>
      <c r="HC13" vm="2580">
        <f ca="1"/>
        <v>691.7</v>
      </c>
      <c r="HD13" vm="2581">
        <f ca="1"/>
        <v>668.99</v>
      </c>
      <c r="HE13" vm="2582">
        <f ca="1"/>
        <v>670.21</v>
      </c>
      <c r="HF13" vm="2583">
        <f ca="1"/>
        <v>661.46</v>
      </c>
      <c r="HG13" vm="2584">
        <f ca="1"/>
        <v>677.22</v>
      </c>
      <c r="HH13" vm="2585">
        <f ca="1"/>
        <v>670.72</v>
      </c>
      <c r="HI13" vm="2586">
        <f ca="1"/>
        <v>668.69</v>
      </c>
      <c r="HJ13" vm="2587">
        <f ca="1"/>
        <v>649.80999999999995</v>
      </c>
      <c r="HK13" vm="2588">
        <f ca="1"/>
        <v>639.77</v>
      </c>
      <c r="HL13" vm="2589">
        <f ca="1"/>
        <v>639.29</v>
      </c>
      <c r="HM13" vm="2590">
        <f ca="1"/>
        <v>643.22</v>
      </c>
      <c r="HN13" vm="2591">
        <f ca="1"/>
        <v>644.78</v>
      </c>
      <c r="HO13" vm="2592">
        <f ca="1"/>
        <v>655.66</v>
      </c>
      <c r="HP13" vm="2593">
        <f ca="1"/>
        <v>637.25</v>
      </c>
      <c r="HQ13" vm="2594">
        <f ca="1"/>
        <v>639.29999999999995</v>
      </c>
      <c r="HR13" vm="2595">
        <f ca="1"/>
        <v>653.69000000000005</v>
      </c>
      <c r="HS13" vm="2596">
        <f ca="1"/>
        <v>657.01</v>
      </c>
      <c r="HT13" vm="2597">
        <f ca="1"/>
        <v>648.17999999999995</v>
      </c>
      <c r="HU13" vm="2598">
        <f ca="1"/>
        <v>653.55999999999995</v>
      </c>
      <c r="HV13" vm="2599">
        <f ca="1"/>
        <v>655.08000000000004</v>
      </c>
      <c r="HW13" vm="2600">
        <f ca="1"/>
        <v>667.73</v>
      </c>
      <c r="HX13" vm="2601">
        <f ca="1"/>
        <v>660.57</v>
      </c>
      <c r="HY13" vm="2602">
        <f ca="1"/>
        <v>644.86</v>
      </c>
      <c r="HZ13" vm="2603">
        <f ca="1"/>
        <v>647.39</v>
      </c>
      <c r="IA13" vm="2604">
        <f ca="1"/>
        <v>654.07000000000005</v>
      </c>
      <c r="IB13" vm="2605">
        <f ca="1"/>
        <v>654.86</v>
      </c>
      <c r="IC13" vm="2606">
        <f ca="1"/>
        <v>638.17999999999995</v>
      </c>
      <c r="ID13" vm="2607">
        <f ca="1"/>
        <v>613.71</v>
      </c>
      <c r="IE13" vm="2608">
        <f ca="1"/>
        <v>627.45000000000005</v>
      </c>
      <c r="IF13" vm="2609">
        <f ca="1"/>
        <v>622.66</v>
      </c>
      <c r="IG13" vm="2610">
        <f ca="1"/>
        <v>615.67999999999995</v>
      </c>
      <c r="IH13" vm="2611">
        <f ca="1"/>
        <v>606.70000000000005</v>
      </c>
      <c r="II13" vm="2612">
        <f ca="1"/>
        <v>593.66</v>
      </c>
      <c r="IJ13" vm="2613">
        <f ca="1"/>
        <v>604.05999999999995</v>
      </c>
      <c r="IK13" vm="2614">
        <f ca="1"/>
        <v>592.91999999999996</v>
      </c>
      <c r="IL13" vm="2615">
        <f ca="1"/>
        <v>594.89</v>
      </c>
      <c r="IM13" vm="2616">
        <f ca="1"/>
        <v>547.54</v>
      </c>
      <c r="IN13" vm="2617">
        <f ca="1"/>
        <v>525.72</v>
      </c>
      <c r="IO13" vm="2618">
        <f ca="1"/>
        <v>536.38</v>
      </c>
      <c r="IP13" vm="2619">
        <f ca="1"/>
        <v>572.13</v>
      </c>
      <c r="IQ13" vm="2620">
        <f ca="1"/>
        <v>579.23</v>
      </c>
    </row>
    <row r="14" spans="1:251" x14ac:dyDescent="0.35">
      <c r="A14" t="e" vm="12">
        <f>Dashboard!B18</f>
        <v>#VALUE!</v>
      </c>
      <c r="B14" cm="1" vm="2621">
        <f t="array" aca="1" ref="B14:IQ14" ca="1">TRANSPOSE(_xlfn.STOCKHISTORY(A14,TODAY()-365,TODAY(),0,0,1))</f>
        <v>101.8</v>
      </c>
      <c r="C14" vm="2622">
        <f ca="1"/>
        <v>94.31</v>
      </c>
      <c r="D14" vm="2623">
        <f ca="1"/>
        <v>97.64</v>
      </c>
      <c r="E14" vm="1629">
        <f ca="1"/>
        <v>96.3</v>
      </c>
      <c r="F14" vm="2624">
        <f ca="1"/>
        <v>114.33</v>
      </c>
      <c r="G14" vm="2625">
        <f ca="1"/>
        <v>107.57</v>
      </c>
      <c r="H14" vm="2626">
        <f ca="1"/>
        <v>110.93</v>
      </c>
      <c r="I14" vm="310">
        <f ca="1"/>
        <v>110.71</v>
      </c>
      <c r="J14" vm="2627">
        <f ca="1"/>
        <v>112.2</v>
      </c>
      <c r="K14" vm="2628">
        <f ca="1"/>
        <v>104.49</v>
      </c>
      <c r="L14" vm="1642">
        <f ca="1"/>
        <v>101.49</v>
      </c>
      <c r="M14" vm="2629">
        <f ca="1"/>
        <v>96.91</v>
      </c>
      <c r="N14" vm="2630">
        <f ca="1"/>
        <v>98.89</v>
      </c>
      <c r="O14" vm="2631">
        <f ca="1"/>
        <v>102.71</v>
      </c>
      <c r="P14" vm="2632">
        <f ca="1"/>
        <v>106.43</v>
      </c>
      <c r="Q14" vm="2633">
        <f ca="1"/>
        <v>111.01</v>
      </c>
      <c r="R14" vm="2634">
        <f ca="1"/>
        <v>108.73</v>
      </c>
      <c r="S14" vm="2635">
        <f ca="1"/>
        <v>109.02</v>
      </c>
      <c r="T14" vm="1660">
        <f ca="1"/>
        <v>108.92</v>
      </c>
      <c r="U14" vm="2636">
        <f ca="1"/>
        <v>111.61</v>
      </c>
      <c r="V14" vm="2637">
        <f ca="1"/>
        <v>114.5</v>
      </c>
      <c r="W14" vm="2638">
        <f ca="1"/>
        <v>113.82</v>
      </c>
      <c r="X14" vm="2639">
        <f ca="1"/>
        <v>113.54</v>
      </c>
      <c r="Y14" vm="2640">
        <f ca="1"/>
        <v>117.06</v>
      </c>
      <c r="Z14" vm="2641">
        <f ca="1"/>
        <v>117.37</v>
      </c>
      <c r="AA14" vm="2642">
        <f ca="1"/>
        <v>116.65</v>
      </c>
      <c r="AB14" vm="2643">
        <f ca="1"/>
        <v>123</v>
      </c>
      <c r="AC14" vm="2644">
        <f ca="1"/>
        <v>129.93</v>
      </c>
      <c r="AD14" vm="2645">
        <f ca="1"/>
        <v>135.34</v>
      </c>
      <c r="AE14" vm="2646">
        <f ca="1"/>
        <v>134.83000000000001</v>
      </c>
      <c r="AF14" vm="2647">
        <f ca="1"/>
        <v>135.4</v>
      </c>
      <c r="AG14" vm="2648">
        <f ca="1"/>
        <v>135.57</v>
      </c>
      <c r="AH14" vm="2649">
        <f ca="1"/>
        <v>134.38</v>
      </c>
      <c r="AI14" vm="2650">
        <f ca="1"/>
        <v>131.80000000000001</v>
      </c>
      <c r="AJ14" vm="2651">
        <f ca="1"/>
        <v>132.83000000000001</v>
      </c>
      <c r="AK14" vm="2652">
        <f ca="1"/>
        <v>131.29</v>
      </c>
      <c r="AL14" vm="1272">
        <f ca="1"/>
        <v>135.5</v>
      </c>
      <c r="AM14" vm="2653">
        <f ca="1"/>
        <v>134.81</v>
      </c>
      <c r="AN14" vm="2654">
        <f ca="1"/>
        <v>139.19</v>
      </c>
      <c r="AO14" vm="2655">
        <f ca="1"/>
        <v>135.13</v>
      </c>
      <c r="AP14" vm="2656">
        <f ca="1"/>
        <v>137.38</v>
      </c>
      <c r="AQ14" vm="2657">
        <f ca="1"/>
        <v>141.22</v>
      </c>
      <c r="AR14" vm="2658">
        <f ca="1"/>
        <v>141.91999999999999</v>
      </c>
      <c r="AS14" vm="2659">
        <f ca="1"/>
        <v>139.99</v>
      </c>
      <c r="AT14" vm="2660">
        <f ca="1"/>
        <v>141.72</v>
      </c>
      <c r="AU14" vm="2661">
        <f ca="1"/>
        <v>142.63</v>
      </c>
      <c r="AV14" vm="2662">
        <f ca="1"/>
        <v>143.96</v>
      </c>
      <c r="AW14" vm="2663">
        <f ca="1"/>
        <v>142.83000000000001</v>
      </c>
      <c r="AX14" vm="2664">
        <f ca="1"/>
        <v>145</v>
      </c>
      <c r="AY14" vm="2665">
        <f ca="1"/>
        <v>141.97</v>
      </c>
      <c r="AZ14" vm="2666">
        <f ca="1"/>
        <v>144.69</v>
      </c>
      <c r="BA14" vm="2667">
        <f ca="1"/>
        <v>144.12</v>
      </c>
      <c r="BB14" vm="2668">
        <f ca="1"/>
        <v>145.47999999999999</v>
      </c>
      <c r="BC14" vm="2669">
        <f ca="1"/>
        <v>143.85</v>
      </c>
      <c r="BD14" vm="2670">
        <f ca="1"/>
        <v>144.16999999999999</v>
      </c>
      <c r="BE14" vm="2671">
        <f ca="1"/>
        <v>147.9</v>
      </c>
      <c r="BF14" vm="2672">
        <f ca="1"/>
        <v>154.31</v>
      </c>
      <c r="BG14" vm="1396">
        <f ca="1"/>
        <v>155.02000000000001</v>
      </c>
      <c r="BH14" vm="2673">
        <f ca="1"/>
        <v>157.75</v>
      </c>
      <c r="BI14" vm="2674">
        <f ca="1"/>
        <v>157.99</v>
      </c>
      <c r="BJ14" vm="2675">
        <f ca="1"/>
        <v>153.30000000000001</v>
      </c>
      <c r="BK14" vm="2676">
        <f ca="1"/>
        <v>157.25</v>
      </c>
      <c r="BL14" vm="2677">
        <f ca="1"/>
        <v>159.34</v>
      </c>
      <c r="BM14" vm="2678">
        <f ca="1"/>
        <v>158.24</v>
      </c>
      <c r="BN14" vm="2679">
        <f ca="1"/>
        <v>160</v>
      </c>
      <c r="BO14" vm="2680">
        <f ca="1"/>
        <v>162.88</v>
      </c>
      <c r="BP14" vm="2681">
        <f ca="1"/>
        <v>164.1</v>
      </c>
      <c r="BQ14" vm="2682">
        <f ca="1"/>
        <v>164.92</v>
      </c>
      <c r="BR14" vm="2683">
        <f ca="1"/>
        <v>164.07</v>
      </c>
      <c r="BS14" vm="2684">
        <f ca="1"/>
        <v>170.7</v>
      </c>
      <c r="BT14" vm="2685">
        <f ca="1"/>
        <v>171.37</v>
      </c>
      <c r="BU14" vm="2686">
        <f ca="1"/>
        <v>173</v>
      </c>
      <c r="BV14" vm="2687">
        <f ca="1"/>
        <v>172.41</v>
      </c>
      <c r="BW14" vm="2688">
        <f ca="1"/>
        <v>171.38</v>
      </c>
      <c r="BX14" vm="2689">
        <f ca="1"/>
        <v>167.03</v>
      </c>
      <c r="BY14" vm="2690">
        <f ca="1"/>
        <v>170.78</v>
      </c>
      <c r="BZ14" vm="2691">
        <f ca="1"/>
        <v>173.74</v>
      </c>
      <c r="CA14" vm="2692">
        <f ca="1"/>
        <v>173.5</v>
      </c>
      <c r="CB14" vm="2693">
        <f ca="1"/>
        <v>176.75</v>
      </c>
      <c r="CC14" vm="2694">
        <f ca="1"/>
        <v>175.51</v>
      </c>
      <c r="CD14" vm="2695">
        <f ca="1"/>
        <v>179.27</v>
      </c>
      <c r="CE14" vm="2696">
        <f ca="1"/>
        <v>177.87</v>
      </c>
      <c r="CF14" vm="2697">
        <f ca="1"/>
        <v>173.72</v>
      </c>
      <c r="CG14" vm="2698">
        <f ca="1"/>
        <v>180</v>
      </c>
      <c r="CH14" vm="2699">
        <f ca="1"/>
        <v>178.26</v>
      </c>
      <c r="CI14" vm="2700">
        <f ca="1"/>
        <v>179.42</v>
      </c>
      <c r="CJ14" vm="2701">
        <f ca="1"/>
        <v>180.77</v>
      </c>
      <c r="CK14" vm="2702">
        <f ca="1"/>
        <v>182.7</v>
      </c>
      <c r="CL14" vm="2703">
        <f ca="1"/>
        <v>182.06</v>
      </c>
      <c r="CM14" vm="2704">
        <f ca="1"/>
        <v>183.16</v>
      </c>
      <c r="CN14" vm="2705">
        <f ca="1"/>
        <v>181.59</v>
      </c>
      <c r="CO14" vm="2706">
        <f ca="1"/>
        <v>182.02</v>
      </c>
      <c r="CP14" vm="2707">
        <f ca="1"/>
        <v>180.45</v>
      </c>
      <c r="CQ14" vm="2708">
        <f ca="1"/>
        <v>182.01</v>
      </c>
      <c r="CR14" vm="2709">
        <f ca="1"/>
        <v>175.64</v>
      </c>
      <c r="CS14" vm="2710">
        <f ca="1"/>
        <v>175.4</v>
      </c>
      <c r="CT14" vm="2711">
        <f ca="1"/>
        <v>174.98</v>
      </c>
      <c r="CU14" vm="2712">
        <f ca="1"/>
        <v>177.99</v>
      </c>
      <c r="CV14" vm="2713">
        <f ca="1"/>
        <v>179.81</v>
      </c>
      <c r="CW14" vm="2714">
        <f ca="1"/>
        <v>181.77</v>
      </c>
      <c r="CX14" vm="2715">
        <f ca="1"/>
        <v>181.6</v>
      </c>
      <c r="CY14" vm="2716">
        <f ca="1"/>
        <v>180.17</v>
      </c>
      <c r="CZ14" vm="2717">
        <f ca="1"/>
        <v>174.18</v>
      </c>
      <c r="DA14" vm="2690">
        <f ca="1"/>
        <v>170.78</v>
      </c>
      <c r="DB14" vm="2718">
        <f ca="1"/>
        <v>170.62</v>
      </c>
      <c r="DC14" vm="2719">
        <f ca="1"/>
        <v>171.66</v>
      </c>
      <c r="DD14" vm="2720">
        <f ca="1"/>
        <v>167.02</v>
      </c>
      <c r="DE14" vm="2721">
        <f ca="1"/>
        <v>168.31</v>
      </c>
      <c r="DF14" vm="2722">
        <f ca="1"/>
        <v>170.76</v>
      </c>
      <c r="DG14" vm="2723">
        <f ca="1"/>
        <v>177.33</v>
      </c>
      <c r="DH14" vm="2724">
        <f ca="1"/>
        <v>177.17</v>
      </c>
      <c r="DI14" vm="2725">
        <f ca="1"/>
        <v>177.82</v>
      </c>
      <c r="DJ14" vm="2726">
        <f ca="1"/>
        <v>177.75</v>
      </c>
      <c r="DK14" vm="2727">
        <f ca="1"/>
        <v>174.88</v>
      </c>
      <c r="DL14" vm="2728">
        <f ca="1"/>
        <v>170.29</v>
      </c>
      <c r="DM14" vm="2729">
        <f ca="1"/>
        <v>176.24</v>
      </c>
      <c r="DN14" vm="2730">
        <f ca="1"/>
        <v>176.67</v>
      </c>
      <c r="DO14" vm="2731">
        <f ca="1"/>
        <v>183.61</v>
      </c>
      <c r="DP14" vm="2732">
        <f ca="1"/>
        <v>178.43</v>
      </c>
      <c r="DQ14" vm="2733">
        <f ca="1"/>
        <v>176.97</v>
      </c>
      <c r="DR14" vm="2734">
        <f ca="1"/>
        <v>177.69</v>
      </c>
      <c r="DS14" vm="2735">
        <f ca="1"/>
        <v>178.19</v>
      </c>
      <c r="DT14" vm="2736">
        <f ca="1"/>
        <v>181.85</v>
      </c>
      <c r="DU14" vm="2737">
        <f ca="1"/>
        <v>186.58</v>
      </c>
      <c r="DV14" vm="2738">
        <f ca="1"/>
        <v>187.24</v>
      </c>
      <c r="DW14" vm="2739">
        <f ca="1"/>
        <v>188.89</v>
      </c>
      <c r="DX14" vm="2740">
        <f ca="1"/>
        <v>187.62</v>
      </c>
      <c r="DY14" vm="2741">
        <f ca="1"/>
        <v>185.54</v>
      </c>
      <c r="DZ14" vm="2742">
        <f ca="1"/>
        <v>185.04</v>
      </c>
      <c r="EA14" vm="2743">
        <f ca="1"/>
        <v>189.11</v>
      </c>
      <c r="EB14" vm="2744">
        <f ca="1"/>
        <v>192.57</v>
      </c>
      <c r="EC14" vm="2704">
        <f ca="1"/>
        <v>183.16</v>
      </c>
      <c r="ED14" vm="2745">
        <f ca="1"/>
        <v>188.32</v>
      </c>
      <c r="EE14" vm="2746">
        <f ca="1"/>
        <v>180.03</v>
      </c>
      <c r="EF14" vm="2747">
        <f ca="1"/>
        <v>179.83</v>
      </c>
      <c r="EG14" vm="2748">
        <f ca="1"/>
        <v>181.81</v>
      </c>
      <c r="EH14" vm="2749">
        <f ca="1"/>
        <v>183.22</v>
      </c>
      <c r="EI14" vm="2750">
        <f ca="1"/>
        <v>182.64</v>
      </c>
      <c r="EJ14" vm="2751">
        <f ca="1"/>
        <v>181.16</v>
      </c>
      <c r="EK14" vm="2752">
        <f ca="1"/>
        <v>180.28</v>
      </c>
      <c r="EL14" vm="2753">
        <f ca="1"/>
        <v>182.16</v>
      </c>
      <c r="EM14" vm="2754">
        <f ca="1"/>
        <v>186.26</v>
      </c>
      <c r="EN14" vm="2755">
        <f ca="1"/>
        <v>191.49</v>
      </c>
      <c r="EO14" vm="2756">
        <f ca="1"/>
        <v>201.03</v>
      </c>
      <c r="EP14" vm="2757">
        <f ca="1"/>
        <v>207.04</v>
      </c>
      <c r="EQ14" vm="2758">
        <f ca="1"/>
        <v>202.89</v>
      </c>
      <c r="ER14" vm="2759">
        <f ca="1"/>
        <v>202.49</v>
      </c>
      <c r="ES14" vm="2760">
        <f ca="1"/>
        <v>206.88</v>
      </c>
      <c r="ET14" vm="2761">
        <f ca="1"/>
        <v>198.69</v>
      </c>
      <c r="EU14" vm="2762">
        <f ca="1"/>
        <v>195.21</v>
      </c>
      <c r="EV14" vm="2763">
        <f ca="1"/>
        <v>188.08</v>
      </c>
      <c r="EW14" vm="2764">
        <f ca="1"/>
        <v>188.15</v>
      </c>
      <c r="EX14" vm="2765">
        <f ca="1"/>
        <v>199.05</v>
      </c>
      <c r="EY14" vm="773">
        <f ca="1"/>
        <v>193.16</v>
      </c>
      <c r="EZ14" vm="2766">
        <f ca="1"/>
        <v>193.8</v>
      </c>
      <c r="FA14" vm="2767">
        <f ca="1"/>
        <v>186.86</v>
      </c>
      <c r="FB14" vm="2768">
        <f ca="1"/>
        <v>190.17</v>
      </c>
      <c r="FC14" vm="2769">
        <f ca="1"/>
        <v>186.6</v>
      </c>
      <c r="FD14" vm="2770">
        <f ca="1"/>
        <v>181.36</v>
      </c>
      <c r="FE14" vm="2771">
        <f ca="1"/>
        <v>186.52</v>
      </c>
      <c r="FF14" vm="2772">
        <f ca="1"/>
        <v>180.64</v>
      </c>
      <c r="FG14" vm="2773">
        <f ca="1"/>
        <v>178.88</v>
      </c>
      <c r="FH14" vm="2774">
        <f ca="1"/>
        <v>182.55</v>
      </c>
      <c r="FI14" vm="2725">
        <f ca="1"/>
        <v>177.82</v>
      </c>
      <c r="FJ14" vm="2775">
        <f ca="1"/>
        <v>180.26</v>
      </c>
      <c r="FK14" vm="2776">
        <f ca="1"/>
        <v>177</v>
      </c>
      <c r="FL14" vm="2777">
        <f ca="1"/>
        <v>179.92</v>
      </c>
      <c r="FM14" vm="764">
        <f ca="1"/>
        <v>181.46</v>
      </c>
      <c r="FN14" vm="531">
        <f ca="1"/>
        <v>179.59</v>
      </c>
      <c r="FO14" vm="2778">
        <f ca="1"/>
        <v>183.38</v>
      </c>
      <c r="FP14" vm="2779">
        <f ca="1"/>
        <v>182.41</v>
      </c>
      <c r="FQ14" vm="2780">
        <f ca="1"/>
        <v>185.55</v>
      </c>
      <c r="FR14" vm="2781">
        <f ca="1"/>
        <v>184.97</v>
      </c>
      <c r="FS14" vm="2782">
        <f ca="1"/>
        <v>183.78</v>
      </c>
      <c r="FT14" vm="2783">
        <f ca="1"/>
        <v>180.93</v>
      </c>
      <c r="FU14" vm="2784">
        <f ca="1"/>
        <v>175.02</v>
      </c>
      <c r="FV14" vm="2785">
        <f ca="1"/>
        <v>176.29</v>
      </c>
      <c r="FW14" vm="2786">
        <f ca="1"/>
        <v>177.72</v>
      </c>
      <c r="FX14" vm="2787">
        <f ca="1"/>
        <v>170.94</v>
      </c>
      <c r="FY14" vm="2788">
        <f ca="1"/>
        <v>174.14</v>
      </c>
      <c r="FZ14" vm="2789">
        <f ca="1"/>
        <v>180.99</v>
      </c>
      <c r="GA14" vm="2790">
        <f ca="1"/>
        <v>183.69</v>
      </c>
      <c r="GB14" vm="2791">
        <f ca="1"/>
        <v>189.21</v>
      </c>
      <c r="GC14" vm="2792">
        <f ca="1"/>
        <v>188.61</v>
      </c>
      <c r="GD14" vm="2793">
        <f ca="1"/>
        <v>190.53</v>
      </c>
      <c r="GE14" vm="2794">
        <f ca="1"/>
        <v>188.22</v>
      </c>
      <c r="GF14" vm="2795">
        <f ca="1"/>
        <v>187.54</v>
      </c>
      <c r="GG14" vm="2796">
        <f ca="1"/>
        <v>186.5</v>
      </c>
      <c r="GH14" vm="2797">
        <f ca="1"/>
        <v>188.85</v>
      </c>
      <c r="GI14" vm="2798">
        <f ca="1"/>
        <v>188.12</v>
      </c>
      <c r="GJ14" vm="2738">
        <f ca="1"/>
        <v>187.24</v>
      </c>
      <c r="GK14" vm="2743">
        <f ca="1"/>
        <v>189.11</v>
      </c>
      <c r="GL14" vm="2742">
        <f ca="1"/>
        <v>185.04</v>
      </c>
      <c r="GM14" vm="2799">
        <f ca="1"/>
        <v>184.86</v>
      </c>
      <c r="GN14" vm="2800">
        <f ca="1"/>
        <v>184.94</v>
      </c>
      <c r="GO14" vm="2801">
        <f ca="1"/>
        <v>185.81</v>
      </c>
      <c r="GP14" vm="2802">
        <f ca="1"/>
        <v>183.14</v>
      </c>
      <c r="GQ14" vm="2803">
        <f ca="1"/>
        <v>187.05</v>
      </c>
      <c r="GR14" vm="2804">
        <f ca="1"/>
        <v>186.23</v>
      </c>
      <c r="GS14" vm="2805">
        <f ca="1"/>
        <v>178.07</v>
      </c>
      <c r="GT14" vm="2806">
        <f ca="1"/>
        <v>183.32</v>
      </c>
      <c r="GU14" vm="2807">
        <f ca="1"/>
        <v>184.84</v>
      </c>
      <c r="GV14" vm="2808">
        <f ca="1"/>
        <v>187.67</v>
      </c>
      <c r="GW14" vm="2809">
        <f ca="1"/>
        <v>186.47</v>
      </c>
      <c r="GX14" vm="2810">
        <f ca="1"/>
        <v>188.52</v>
      </c>
      <c r="GY14" vm="2811">
        <f ca="1"/>
        <v>191.52</v>
      </c>
      <c r="GZ14" vm="2812">
        <f ca="1"/>
        <v>192.51</v>
      </c>
      <c r="HA14" vm="2813">
        <f ca="1"/>
        <v>191.13</v>
      </c>
      <c r="HB14" vm="2814">
        <f ca="1"/>
        <v>185.61</v>
      </c>
      <c r="HC14" vm="2815">
        <f ca="1"/>
        <v>180.34</v>
      </c>
      <c r="HD14" vm="2816">
        <f ca="1"/>
        <v>174.19</v>
      </c>
      <c r="HE14" vm="2817">
        <f ca="1"/>
        <v>171.88</v>
      </c>
      <c r="HF14" vm="2818">
        <f ca="1"/>
        <v>185.41</v>
      </c>
      <c r="HG14" vm="2819">
        <f ca="1"/>
        <v>190.04</v>
      </c>
      <c r="HH14" vm="2820">
        <f ca="1"/>
        <v>188.54</v>
      </c>
      <c r="HI14" vm="2821">
        <f ca="1"/>
        <v>190.05</v>
      </c>
      <c r="HJ14" vm="2822">
        <f ca="1"/>
        <v>186.94</v>
      </c>
      <c r="HK14" vm="2823">
        <f ca="1"/>
        <v>182.81</v>
      </c>
      <c r="HL14" vm="2781">
        <f ca="1"/>
        <v>184.97</v>
      </c>
      <c r="HM14" vm="2824">
        <f ca="1"/>
        <v>187.98</v>
      </c>
      <c r="HN14" vm="2825">
        <f ca="1"/>
        <v>187.9</v>
      </c>
      <c r="HO14" vm="2826">
        <f ca="1"/>
        <v>189.82</v>
      </c>
      <c r="HP14" vm="2827">
        <f ca="1"/>
        <v>191.55</v>
      </c>
      <c r="HQ14" vm="2828">
        <f ca="1"/>
        <v>192.85</v>
      </c>
      <c r="HR14" vm="2829">
        <f ca="1"/>
        <v>195.56</v>
      </c>
      <c r="HS14" vm="2830">
        <f ca="1"/>
        <v>184.89</v>
      </c>
      <c r="HT14" vm="2831">
        <f ca="1"/>
        <v>177.19</v>
      </c>
      <c r="HU14" vm="2832">
        <f ca="1"/>
        <v>182.48</v>
      </c>
      <c r="HV14" vm="2833">
        <f ca="1"/>
        <v>180.05</v>
      </c>
      <c r="HW14" vm="2834">
        <f ca="1"/>
        <v>183.04</v>
      </c>
      <c r="HX14" vm="2835">
        <f ca="1"/>
        <v>183.34</v>
      </c>
      <c r="HY14" vm="2725">
        <f ca="1"/>
        <v>177.82</v>
      </c>
      <c r="HZ14" vm="2836">
        <f ca="1"/>
        <v>182.65</v>
      </c>
      <c r="IA14" vm="2837">
        <f ca="1"/>
        <v>184.77</v>
      </c>
      <c r="IB14" vm="1472">
        <f ca="1"/>
        <v>186.03</v>
      </c>
      <c r="IC14" vm="2802">
        <f ca="1"/>
        <v>183.14</v>
      </c>
      <c r="ID14" vm="2838">
        <f ca="1"/>
        <v>180.25</v>
      </c>
      <c r="IE14" vm="2749">
        <f ca="1"/>
        <v>183.22</v>
      </c>
      <c r="IF14" vm="2839">
        <f ca="1"/>
        <v>181.93</v>
      </c>
      <c r="IG14" vm="2840">
        <f ca="1"/>
        <v>180.4</v>
      </c>
      <c r="IH14" vm="2841">
        <f ca="1"/>
        <v>178.56</v>
      </c>
      <c r="II14" vm="2842">
        <f ca="1"/>
        <v>172.7</v>
      </c>
      <c r="IJ14" vm="2709">
        <f ca="1"/>
        <v>175.64</v>
      </c>
      <c r="IK14" vm="2843">
        <f ca="1"/>
        <v>175.2</v>
      </c>
      <c r="IL14" vm="2844">
        <f ca="1"/>
        <v>178.68</v>
      </c>
      <c r="IM14" vm="2845">
        <f ca="1"/>
        <v>171.24</v>
      </c>
      <c r="IN14" vm="2846">
        <f ca="1"/>
        <v>167.52</v>
      </c>
      <c r="IO14" vm="2847">
        <f ca="1"/>
        <v>165.17</v>
      </c>
      <c r="IP14" vm="2848">
        <f ca="1"/>
        <v>174.4</v>
      </c>
      <c r="IQ14" vm="2849">
        <f ca="1"/>
        <v>175.75</v>
      </c>
    </row>
    <row r="15" spans="1:251" x14ac:dyDescent="0.35">
      <c r="A15" t="e" vm="13">
        <f>Dashboard!B19</f>
        <v>#VALUE!</v>
      </c>
      <c r="B15" t="e" cm="1" vm="2850">
        <f t="array" aca="1" ref="B15" ca="1">TRANSPOSE(_xlfn.STOCKHISTORY(A15,TODAY()-365,TODAY(),0,0,1))</f>
        <v>#VALUE!</v>
      </c>
      <c r="AT15" s="1">
        <v>132.19999999999999</v>
      </c>
    </row>
    <row r="16" spans="1:251" x14ac:dyDescent="0.35">
      <c r="A16" t="e" vm="14">
        <f>Dashboard!B20</f>
        <v>#VALUE!</v>
      </c>
      <c r="B16" cm="1" vm="2851">
        <f t="array" aca="1" ref="B16:IQ16" ca="1">TRANSPOSE(_xlfn.STOCKHISTORY(A16,TODAY()-365,TODAY(),0,0,1))</f>
        <v>150.91</v>
      </c>
      <c r="C16" vm="2852">
        <f ca="1"/>
        <v>136.59</v>
      </c>
      <c r="D16" vm="2853">
        <f ca="1"/>
        <v>138.86000000000001</v>
      </c>
      <c r="E16" vm="2854">
        <f ca="1"/>
        <v>139.38999999999999</v>
      </c>
      <c r="F16" vm="2855">
        <f ca="1"/>
        <v>160.82</v>
      </c>
      <c r="G16" vm="2856">
        <f ca="1"/>
        <v>155.52000000000001</v>
      </c>
      <c r="H16" vm="2857">
        <f ca="1"/>
        <v>156.84</v>
      </c>
      <c r="I16" vm="2858">
        <f ca="1"/>
        <v>159.28</v>
      </c>
      <c r="J16" vm="2856">
        <f ca="1"/>
        <v>155.52000000000001</v>
      </c>
      <c r="K16" vm="2859">
        <f ca="1"/>
        <v>156.47</v>
      </c>
      <c r="L16" vm="2860">
        <f ca="1"/>
        <v>161.9</v>
      </c>
      <c r="M16" vm="2677">
        <f ca="1"/>
        <v>159.34</v>
      </c>
      <c r="N16" vm="2861">
        <f ca="1"/>
        <v>162.52000000000001</v>
      </c>
      <c r="O16" vm="2862">
        <f ca="1"/>
        <v>172.37</v>
      </c>
      <c r="P16" vm="2863">
        <f ca="1"/>
        <v>176.26</v>
      </c>
      <c r="Q16" vm="2864">
        <f ca="1"/>
        <v>177.95</v>
      </c>
      <c r="R16" vm="2865">
        <f ca="1"/>
        <v>182.3</v>
      </c>
      <c r="S16" vm="2866">
        <f ca="1"/>
        <v>182</v>
      </c>
      <c r="T16" vm="2867">
        <f ca="1"/>
        <v>183.24</v>
      </c>
      <c r="U16" vm="2868">
        <f ca="1"/>
        <v>182.89</v>
      </c>
      <c r="V16" vm="2869">
        <f ca="1"/>
        <v>185.46</v>
      </c>
      <c r="W16" vm="2870">
        <f ca="1"/>
        <v>186.46</v>
      </c>
      <c r="X16" vm="2871">
        <f ca="1"/>
        <v>185.96</v>
      </c>
      <c r="Y16" vm="2872">
        <f ca="1"/>
        <v>185.56</v>
      </c>
      <c r="Z16" vm="2873">
        <f ca="1"/>
        <v>191.7</v>
      </c>
      <c r="AA16" vm="2874">
        <f ca="1"/>
        <v>194.85</v>
      </c>
      <c r="AB16" vm="786">
        <f ca="1"/>
        <v>198.53</v>
      </c>
      <c r="AC16" vm="2875">
        <f ca="1"/>
        <v>203.42</v>
      </c>
      <c r="AD16" vm="558">
        <f ca="1"/>
        <v>204.72</v>
      </c>
      <c r="AE16" vm="2876">
        <f ca="1"/>
        <v>206.24</v>
      </c>
      <c r="AF16" vm="2877">
        <f ca="1"/>
        <v>205.82</v>
      </c>
      <c r="AG16" vm="2878">
        <f ca="1"/>
        <v>205.25</v>
      </c>
      <c r="AH16" vm="749">
        <f ca="1"/>
        <v>207.67</v>
      </c>
      <c r="AI16" vm="2879">
        <f ca="1"/>
        <v>203.21</v>
      </c>
      <c r="AJ16" vm="2880">
        <f ca="1"/>
        <v>203.41</v>
      </c>
      <c r="AK16" vm="2881">
        <f ca="1"/>
        <v>202.36</v>
      </c>
      <c r="AL16" vm="2756">
        <f ca="1"/>
        <v>201.03</v>
      </c>
      <c r="AM16" vm="813">
        <f ca="1"/>
        <v>201.5</v>
      </c>
      <c r="AN16" vm="2882">
        <f ca="1"/>
        <v>208.18</v>
      </c>
      <c r="AO16" vm="491">
        <f ca="1"/>
        <v>207.32</v>
      </c>
      <c r="AP16" vm="2883">
        <f ca="1"/>
        <v>211.47</v>
      </c>
      <c r="AQ16" vm="455">
        <f ca="1"/>
        <v>213.43</v>
      </c>
      <c r="AR16" vm="2884">
        <f ca="1"/>
        <v>211.98</v>
      </c>
      <c r="AS16" vm="2885">
        <f ca="1"/>
        <v>209.02</v>
      </c>
      <c r="AT16" vm="2886">
        <f ca="1"/>
        <v>210.8</v>
      </c>
      <c r="AU16" vm="2887">
        <f ca="1"/>
        <v>217.51</v>
      </c>
      <c r="AV16" vm="2888">
        <f ca="1"/>
        <v>215.73</v>
      </c>
      <c r="AW16" vm="2889">
        <f ca="1"/>
        <v>214</v>
      </c>
      <c r="AX16" vm="2890">
        <f ca="1"/>
        <v>203.75</v>
      </c>
      <c r="AY16" vm="2891">
        <f ca="1"/>
        <v>200.32</v>
      </c>
      <c r="AZ16" vm="800">
        <f ca="1"/>
        <v>201.7</v>
      </c>
      <c r="BA16" vm="2892">
        <f ca="1"/>
        <v>200.26</v>
      </c>
      <c r="BB16" vm="2893">
        <f ca="1"/>
        <v>197.68</v>
      </c>
      <c r="BC16" vm="2894">
        <f ca="1"/>
        <v>198.75</v>
      </c>
      <c r="BD16" vm="2895">
        <f ca="1"/>
        <v>201.31</v>
      </c>
      <c r="BE16" vm="2896">
        <f ca="1"/>
        <v>200.94</v>
      </c>
      <c r="BF16" vm="2897">
        <f ca="1"/>
        <v>198.9</v>
      </c>
      <c r="BG16" vm="2898">
        <f ca="1"/>
        <v>202.58</v>
      </c>
      <c r="BH16" vm="2899">
        <f ca="1"/>
        <v>214.55</v>
      </c>
      <c r="BI16" vm="748">
        <f ca="1"/>
        <v>209.53</v>
      </c>
      <c r="BJ16" vm="2900">
        <f ca="1"/>
        <v>209.79</v>
      </c>
      <c r="BK16" vm="2901">
        <f ca="1"/>
        <v>212.03</v>
      </c>
      <c r="BL16" vm="2902">
        <f ca="1"/>
        <v>215.92</v>
      </c>
      <c r="BM16" vm="2903">
        <f ca="1"/>
        <v>218.63</v>
      </c>
      <c r="BN16" vm="2904">
        <f ca="1"/>
        <v>218.52</v>
      </c>
      <c r="BO16" vm="2905">
        <f ca="1"/>
        <v>226.6</v>
      </c>
      <c r="BP16" vm="2906">
        <f ca="1"/>
        <v>226.09</v>
      </c>
      <c r="BQ16" vm="2907">
        <f ca="1"/>
        <v>226.84</v>
      </c>
      <c r="BR16" vm="2908">
        <f ca="1"/>
        <v>230.51</v>
      </c>
      <c r="BS16" vm="2909">
        <f ca="1"/>
        <v>230</v>
      </c>
      <c r="BT16" vm="2910">
        <f ca="1"/>
        <v>229.9</v>
      </c>
      <c r="BU16" vm="714">
        <f ca="1"/>
        <v>231</v>
      </c>
      <c r="BV16" vm="2911">
        <f ca="1"/>
        <v>229.34</v>
      </c>
      <c r="BW16" vm="2912">
        <f ca="1"/>
        <v>229.32</v>
      </c>
      <c r="BX16" vm="2913">
        <f ca="1"/>
        <v>228.48</v>
      </c>
      <c r="BY16" vm="684">
        <f ca="1"/>
        <v>233.88</v>
      </c>
      <c r="BZ16" vm="2914">
        <f ca="1"/>
        <v>231.27</v>
      </c>
      <c r="CA16" vm="704">
        <f ca="1"/>
        <v>233.06</v>
      </c>
      <c r="CB16" vm="2915">
        <f ca="1"/>
        <v>236.41</v>
      </c>
      <c r="CC16" vm="2916">
        <f ca="1"/>
        <v>226.08</v>
      </c>
      <c r="CD16" vm="2917">
        <f ca="1"/>
        <v>225.84</v>
      </c>
      <c r="CE16" vm="2918">
        <f ca="1"/>
        <v>221.84</v>
      </c>
      <c r="CF16" vm="2919">
        <f ca="1"/>
        <v>221.9</v>
      </c>
      <c r="CG16" vm="2920">
        <f ca="1"/>
        <v>222.34</v>
      </c>
      <c r="CH16" vm="2921">
        <f ca="1"/>
        <v>224.86</v>
      </c>
      <c r="CI16" vm="2922">
        <f ca="1"/>
        <v>225.04</v>
      </c>
      <c r="CJ16" vm="2923">
        <f ca="1"/>
        <v>227.33</v>
      </c>
      <c r="CK16" vm="619">
        <f ca="1"/>
        <v>229.12</v>
      </c>
      <c r="CL16" vm="2924">
        <f ca="1"/>
        <v>225.96</v>
      </c>
      <c r="CM16" vm="2925">
        <f ca="1"/>
        <v>232.61</v>
      </c>
      <c r="CN16" vm="2926">
        <f ca="1"/>
        <v>233.37</v>
      </c>
      <c r="CO16" vm="2927">
        <f ca="1"/>
        <v>233.19</v>
      </c>
      <c r="CP16" vm="2928">
        <f ca="1"/>
        <v>235.26</v>
      </c>
      <c r="CQ16" vm="2929">
        <f ca="1"/>
        <v>232.41</v>
      </c>
      <c r="CR16" vm="2930">
        <f ca="1"/>
        <v>225</v>
      </c>
      <c r="CS16" vm="2931">
        <f ca="1"/>
        <v>225.62</v>
      </c>
      <c r="CT16" vm="2932">
        <f ca="1"/>
        <v>224.46</v>
      </c>
      <c r="CU16" vm="2933">
        <f ca="1"/>
        <v>230.12</v>
      </c>
      <c r="CV16" vm="2934">
        <f ca="1"/>
        <v>226.87</v>
      </c>
      <c r="CW16" vm="2935">
        <f ca="1"/>
        <v>234.83</v>
      </c>
      <c r="CX16" vm="2936">
        <f ca="1"/>
        <v>235.62</v>
      </c>
      <c r="CY16" vm="2937">
        <f ca="1"/>
        <v>236.16</v>
      </c>
      <c r="CZ16" vm="2938">
        <f ca="1"/>
        <v>234.68</v>
      </c>
      <c r="DA16" vm="2939">
        <f ca="1"/>
        <v>237.38</v>
      </c>
      <c r="DB16" vm="686">
        <f ca="1"/>
        <v>232.38</v>
      </c>
      <c r="DC16" vm="2940">
        <f ca="1"/>
        <v>230.75</v>
      </c>
      <c r="DD16" vm="2136">
        <f ca="1"/>
        <v>229.61</v>
      </c>
      <c r="DE16" vm="2941">
        <f ca="1"/>
        <v>230.95</v>
      </c>
      <c r="DF16" vm="2942">
        <f ca="1"/>
        <v>229.52</v>
      </c>
      <c r="DG16" vm="2943">
        <f ca="1"/>
        <v>227.52</v>
      </c>
      <c r="DH16" vm="2944">
        <f ca="1"/>
        <v>219.99</v>
      </c>
      <c r="DI16" vm="2945">
        <f ca="1"/>
        <v>215.94</v>
      </c>
      <c r="DJ16" vm="2946">
        <f ca="1"/>
        <v>215.75</v>
      </c>
      <c r="DK16" vm="2947">
        <f ca="1"/>
        <v>215.02</v>
      </c>
      <c r="DL16" vm="2948">
        <f ca="1"/>
        <v>214.63</v>
      </c>
      <c r="DM16" vm="2949">
        <f ca="1"/>
        <v>215.66</v>
      </c>
      <c r="DN16" vm="2950">
        <f ca="1"/>
        <v>215.65</v>
      </c>
      <c r="DO16" vm="2951">
        <f ca="1"/>
        <v>212.09</v>
      </c>
      <c r="DP16" vm="2952">
        <f ca="1"/>
        <v>216.34</v>
      </c>
      <c r="DQ16" vm="2953">
        <f ca="1"/>
        <v>215.1</v>
      </c>
      <c r="DR16" vm="2954">
        <f ca="1"/>
        <v>213.53</v>
      </c>
      <c r="DS16" vm="2955">
        <f ca="1"/>
        <v>221.26</v>
      </c>
      <c r="DT16" vm="2956">
        <f ca="1"/>
        <v>217.08</v>
      </c>
      <c r="DU16" vm="2957">
        <f ca="1"/>
        <v>215.83</v>
      </c>
      <c r="DV16" vm="751">
        <f ca="1"/>
        <v>215.2</v>
      </c>
      <c r="DW16" vm="2958">
        <f ca="1"/>
        <v>217.43</v>
      </c>
      <c r="DX16" vm="2959">
        <f ca="1"/>
        <v>216.3</v>
      </c>
      <c r="DY16" vm="2960">
        <f ca="1"/>
        <v>219.73</v>
      </c>
      <c r="DZ16" vm="2961">
        <f ca="1"/>
        <v>221.82</v>
      </c>
      <c r="EA16" vm="2962">
        <f ca="1"/>
        <v>225.32</v>
      </c>
      <c r="EB16" vm="487">
        <f ca="1"/>
        <v>216</v>
      </c>
      <c r="EC16" vm="2963">
        <f ca="1"/>
        <v>210.73</v>
      </c>
      <c r="ED16" vm="2964">
        <f ca="1"/>
        <v>215.56</v>
      </c>
      <c r="EE16" vm="2965">
        <f ca="1"/>
        <v>214.3</v>
      </c>
      <c r="EF16" vm="2889">
        <f ca="1"/>
        <v>214</v>
      </c>
      <c r="EG16" vm="2966">
        <f ca="1"/>
        <v>211.89</v>
      </c>
      <c r="EH16" vm="2967">
        <f ca="1"/>
        <v>212.94</v>
      </c>
      <c r="EI16" vm="742">
        <f ca="1"/>
        <v>216.82</v>
      </c>
      <c r="EJ16" vm="2968">
        <f ca="1"/>
        <v>217.26</v>
      </c>
      <c r="EK16" vm="2969">
        <f ca="1"/>
        <v>216.59</v>
      </c>
      <c r="EL16" vm="2970">
        <f ca="1"/>
        <v>217.77</v>
      </c>
      <c r="EM16" vm="2971">
        <f ca="1"/>
        <v>221.35</v>
      </c>
      <c r="EN16" vm="2972">
        <f ca="1"/>
        <v>223</v>
      </c>
      <c r="EO16" vm="2973">
        <f ca="1"/>
        <v>223.33</v>
      </c>
      <c r="EP16" vm="489">
        <f ca="1"/>
        <v>213.58</v>
      </c>
      <c r="EQ16" vm="2974">
        <f ca="1"/>
        <v>200.08</v>
      </c>
      <c r="ER16" vm="2975">
        <f ca="1"/>
        <v>201.02</v>
      </c>
      <c r="ES16" vm="2976">
        <f ca="1"/>
        <v>204.55</v>
      </c>
      <c r="ET16" vm="2977">
        <f ca="1"/>
        <v>198.05</v>
      </c>
      <c r="EU16" vm="2978">
        <f ca="1"/>
        <v>197.62</v>
      </c>
      <c r="EV16" vm="2979">
        <f ca="1"/>
        <v>196.5</v>
      </c>
      <c r="EW16" vm="2980">
        <f ca="1"/>
        <v>194.61</v>
      </c>
      <c r="EX16" vm="2981">
        <f ca="1"/>
        <v>194.81</v>
      </c>
      <c r="EY16" vm="2762">
        <f ca="1"/>
        <v>195.21</v>
      </c>
      <c r="EZ16" vm="2982">
        <f ca="1"/>
        <v>195.5</v>
      </c>
      <c r="FA16" vm="2983">
        <f ca="1"/>
        <v>194.58</v>
      </c>
      <c r="FB16" vm="2984">
        <f ca="1"/>
        <v>194.52</v>
      </c>
      <c r="FC16" vm="2985">
        <f ca="1"/>
        <v>191.81</v>
      </c>
      <c r="FD16" vm="2986">
        <f ca="1"/>
        <v>189.63</v>
      </c>
      <c r="FE16" vm="2987">
        <f ca="1"/>
        <v>185.7</v>
      </c>
      <c r="FF16" vm="2988">
        <f ca="1"/>
        <v>179.38</v>
      </c>
      <c r="FG16" vm="2989">
        <f ca="1"/>
        <v>179.7</v>
      </c>
      <c r="FH16" vm="2990">
        <f ca="1"/>
        <v>179.12</v>
      </c>
      <c r="FI16" vm="2991">
        <f ca="1"/>
        <v>182.44</v>
      </c>
      <c r="FJ16" vm="2992">
        <f ca="1"/>
        <v>186.92</v>
      </c>
      <c r="FK16" vm="2993">
        <f ca="1"/>
        <v>189</v>
      </c>
      <c r="FL16" vm="2870">
        <f ca="1"/>
        <v>186.46</v>
      </c>
      <c r="FM16" vm="2994">
        <f ca="1"/>
        <v>205.38</v>
      </c>
      <c r="FN16" vm="2995">
        <f ca="1"/>
        <v>202.54</v>
      </c>
      <c r="FO16" vm="2996">
        <f ca="1"/>
        <v>201.87</v>
      </c>
      <c r="FP16" vm="2997">
        <f ca="1"/>
        <v>201.89</v>
      </c>
      <c r="FQ16" vm="2998">
        <f ca="1"/>
        <v>206.27</v>
      </c>
      <c r="FR16" vm="2999">
        <f ca="1"/>
        <v>200.37</v>
      </c>
      <c r="FS16" vm="3000">
        <f ca="1"/>
        <v>198.72</v>
      </c>
      <c r="FT16" vm="3001">
        <f ca="1"/>
        <v>200.71</v>
      </c>
      <c r="FU16" vm="3002">
        <f ca="1"/>
        <v>204.38</v>
      </c>
      <c r="FV16" vm="3003">
        <f ca="1"/>
        <v>205.5</v>
      </c>
      <c r="FW16" vm="3004">
        <f ca="1"/>
        <v>206.71</v>
      </c>
      <c r="FX16" vm="3005">
        <f ca="1"/>
        <v>206.33</v>
      </c>
      <c r="FY16" vm="760">
        <f ca="1"/>
        <v>208.27</v>
      </c>
      <c r="FZ16" vm="3006">
        <f ca="1"/>
        <v>214.08</v>
      </c>
      <c r="GA16" vm="3007">
        <f ca="1"/>
        <v>216.84</v>
      </c>
      <c r="GB16" vm="3008">
        <f ca="1"/>
        <v>216.85</v>
      </c>
      <c r="GC16" vm="3009">
        <f ca="1"/>
        <v>218.16</v>
      </c>
      <c r="GD16" vm="3010">
        <f ca="1"/>
        <v>216.44</v>
      </c>
      <c r="GE16" vm="3011">
        <f ca="1"/>
        <v>217.25</v>
      </c>
      <c r="GF16" vm="3012">
        <f ca="1"/>
        <v>218.5</v>
      </c>
      <c r="GG16" vm="577">
        <f ca="1"/>
        <v>217.12</v>
      </c>
      <c r="GH16" vm="3013">
        <f ca="1"/>
        <v>227.77</v>
      </c>
      <c r="GI16" vm="3014">
        <f ca="1"/>
        <v>228.13</v>
      </c>
      <c r="GJ16" vm="3015">
        <f ca="1"/>
        <v>229.84</v>
      </c>
      <c r="GK16" vm="3016">
        <f ca="1"/>
        <v>228.12</v>
      </c>
      <c r="GL16" vm="3017">
        <f ca="1"/>
        <v>227.38</v>
      </c>
      <c r="GM16" vm="3018">
        <f ca="1"/>
        <v>234.53</v>
      </c>
      <c r="GN16" vm="3019">
        <f ca="1"/>
        <v>239.81</v>
      </c>
      <c r="GO16" vm="3020">
        <f ca="1"/>
        <v>244.55</v>
      </c>
      <c r="GP16" vm="3021">
        <f ca="1"/>
        <v>242.61</v>
      </c>
      <c r="GQ16" vm="3022">
        <f ca="1"/>
        <v>247.74</v>
      </c>
      <c r="GR16" vm="3023">
        <f ca="1"/>
        <v>247.68</v>
      </c>
      <c r="GS16" vm="3024">
        <f ca="1"/>
        <v>249</v>
      </c>
      <c r="GT16" vm="3025">
        <f ca="1"/>
        <v>250.07</v>
      </c>
      <c r="GU16" vm="3026">
        <f ca="1"/>
        <v>251.41</v>
      </c>
      <c r="GV16" vm="3027">
        <f ca="1"/>
        <v>252.15</v>
      </c>
      <c r="GW16" vm="3028">
        <f ca="1"/>
        <v>248.43</v>
      </c>
      <c r="GX16" vm="3029">
        <f ca="1"/>
        <v>244.56</v>
      </c>
      <c r="GY16" vm="3030">
        <f ca="1"/>
        <v>241.59</v>
      </c>
      <c r="GZ16" vm="3031">
        <f ca="1"/>
        <v>234.04</v>
      </c>
      <c r="HA16" vm="3032">
        <f ca="1"/>
        <v>233.72</v>
      </c>
      <c r="HB16" vm="3033">
        <f ca="1"/>
        <v>233.02</v>
      </c>
      <c r="HC16" vm="3034">
        <f ca="1"/>
        <v>233.15</v>
      </c>
      <c r="HD16" vm="3035">
        <f ca="1"/>
        <v>235.95</v>
      </c>
      <c r="HE16" vm="3036">
        <f ca="1"/>
        <v>236.95</v>
      </c>
      <c r="HF16" vm="3037">
        <f ca="1"/>
        <v>243.03</v>
      </c>
      <c r="HG16" vm="3038">
        <f ca="1"/>
        <v>244.71</v>
      </c>
      <c r="HH16" vm="3039">
        <f ca="1"/>
        <v>242.59</v>
      </c>
      <c r="HI16" vm="3040">
        <f ca="1"/>
        <v>236.26</v>
      </c>
      <c r="HJ16" vm="3041">
        <f ca="1"/>
        <v>239.35</v>
      </c>
      <c r="HK16" vm="723">
        <f ca="1"/>
        <v>242.96</v>
      </c>
      <c r="HL16" vm="3042">
        <f ca="1"/>
        <v>244.04</v>
      </c>
      <c r="HM16" vm="3043">
        <f ca="1"/>
        <v>238.93</v>
      </c>
      <c r="HN16" vm="3044">
        <f ca="1"/>
        <v>233.71</v>
      </c>
      <c r="HO16" vm="3045">
        <f ca="1"/>
        <v>232.03</v>
      </c>
      <c r="HP16" vm="3046">
        <f ca="1"/>
        <v>230.44</v>
      </c>
      <c r="HQ16" vm="3047">
        <f ca="1"/>
        <v>233.39</v>
      </c>
      <c r="HR16" vm="3048">
        <f ca="1"/>
        <v>230.36</v>
      </c>
      <c r="HS16" vm="3049">
        <f ca="1"/>
        <v>229.41</v>
      </c>
      <c r="HT16" vm="3050">
        <f ca="1"/>
        <v>227.53</v>
      </c>
      <c r="HU16" vm="3051">
        <f ca="1"/>
        <v>229.74</v>
      </c>
      <c r="HV16" vm="3052">
        <f ca="1"/>
        <v>224.12</v>
      </c>
      <c r="HW16" vm="3053">
        <f ca="1"/>
        <v>227.31</v>
      </c>
      <c r="HX16" vm="3054">
        <f ca="1"/>
        <v>222.06</v>
      </c>
      <c r="HY16" vm="3055">
        <f ca="1"/>
        <v>231.11</v>
      </c>
      <c r="HZ16" vm="2930">
        <f ca="1"/>
        <v>225</v>
      </c>
      <c r="IA16" vm="3056">
        <f ca="1"/>
        <v>217.76</v>
      </c>
      <c r="IB16" vm="3057">
        <f ca="1"/>
        <v>214.1</v>
      </c>
      <c r="IC16" vm="3058">
        <f ca="1"/>
        <v>204.76</v>
      </c>
      <c r="ID16" vm="3059">
        <f ca="1"/>
        <v>209.89</v>
      </c>
      <c r="IE16" vm="3060">
        <f ca="1"/>
        <v>213.47</v>
      </c>
      <c r="IF16" vm="3061">
        <f ca="1"/>
        <v>210.82</v>
      </c>
      <c r="IG16" vm="3062">
        <f ca="1"/>
        <v>205.99</v>
      </c>
      <c r="IH16" vm="3063">
        <f ca="1"/>
        <v>201.18</v>
      </c>
      <c r="II16" vm="3064">
        <f ca="1"/>
        <v>195.12</v>
      </c>
      <c r="IJ16" vm="3065">
        <f ca="1"/>
        <v>198.41</v>
      </c>
      <c r="IK16" vm="3066">
        <f ca="1"/>
        <v>196.42</v>
      </c>
      <c r="IL16" vm="3067">
        <f ca="1"/>
        <v>199.61</v>
      </c>
      <c r="IM16" vm="3068">
        <f ca="1"/>
        <v>194.36</v>
      </c>
      <c r="IN16" vm="3069">
        <f ca="1"/>
        <v>190.52</v>
      </c>
      <c r="IO16" vm="2791">
        <f ca="1"/>
        <v>189.21</v>
      </c>
      <c r="IP16" vm="3070">
        <f ca="1"/>
        <v>199.03</v>
      </c>
      <c r="IQ16" vm="491">
        <f ca="1"/>
        <v>207.32</v>
      </c>
    </row>
    <row r="17" spans="1:251" x14ac:dyDescent="0.35">
      <c r="A17" t="e" vm="15">
        <f>Dashboard!B21</f>
        <v>#VALUE!</v>
      </c>
      <c r="B17" cm="1" vm="3071">
        <f t="array" aca="1" ref="B17:IQ17" ca="1">TRANSPOSE(_xlfn.STOCKHISTORY(A17,TODAY()-365,TODAY(),0,0,1))</f>
        <v>168.07</v>
      </c>
      <c r="C17" vm="3072">
        <f ca="1"/>
        <v>158.63</v>
      </c>
      <c r="D17" vm="3073">
        <f ca="1"/>
        <v>160.34</v>
      </c>
      <c r="E17" vm="1348">
        <f ca="1"/>
        <v>159.32</v>
      </c>
      <c r="F17" vm="2788">
        <f ca="1"/>
        <v>174.14</v>
      </c>
      <c r="G17" vm="3074">
        <f ca="1"/>
        <v>167.22</v>
      </c>
      <c r="H17" vm="3075">
        <f ca="1"/>
        <v>169.42</v>
      </c>
      <c r="I17" vm="3076">
        <f ca="1"/>
        <v>172</v>
      </c>
      <c r="J17" vm="3077">
        <f ca="1"/>
        <v>174.24</v>
      </c>
      <c r="K17" vm="3078">
        <f ca="1"/>
        <v>175.1</v>
      </c>
      <c r="L17" vm="3079">
        <f ca="1"/>
        <v>176.38</v>
      </c>
      <c r="M17" vm="3080">
        <f ca="1"/>
        <v>174.52</v>
      </c>
      <c r="N17" vm="3081">
        <f ca="1"/>
        <v>178.7</v>
      </c>
      <c r="O17" vm="3082">
        <f ca="1"/>
        <v>181.43</v>
      </c>
      <c r="P17" vm="3083">
        <f ca="1"/>
        <v>186.61</v>
      </c>
      <c r="Q17" vm="3084">
        <f ca="1"/>
        <v>188.21</v>
      </c>
      <c r="R17" vm="3085">
        <f ca="1"/>
        <v>193.13</v>
      </c>
      <c r="S17" vm="3086">
        <f ca="1"/>
        <v>195.39</v>
      </c>
      <c r="T17" vm="3087">
        <f ca="1"/>
        <v>191.22</v>
      </c>
      <c r="U17" vm="3088">
        <f ca="1"/>
        <v>190.58</v>
      </c>
      <c r="V17" vm="3089">
        <f ca="1"/>
        <v>192.24</v>
      </c>
      <c r="W17" vm="3090">
        <f ca="1"/>
        <v>192.48</v>
      </c>
      <c r="X17" vm="505">
        <f ca="1"/>
        <v>192.43</v>
      </c>
      <c r="Y17" vm="3091">
        <f ca="1"/>
        <v>188.9</v>
      </c>
      <c r="Z17" vm="3092">
        <f ca="1"/>
        <v>187.92</v>
      </c>
      <c r="AA17" vm="3093">
        <f ca="1"/>
        <v>187.53</v>
      </c>
      <c r="AB17" vm="3094">
        <f ca="1"/>
        <v>192.32</v>
      </c>
      <c r="AC17" vm="3095">
        <f ca="1"/>
        <v>193.97</v>
      </c>
      <c r="AD17" vm="3096">
        <f ca="1"/>
        <v>187</v>
      </c>
      <c r="AE17" vm="3097">
        <f ca="1"/>
        <v>183.45</v>
      </c>
      <c r="AF17" vm="3098">
        <f ca="1"/>
        <v>183.19</v>
      </c>
      <c r="AG17" vm="3099">
        <f ca="1"/>
        <v>185.32</v>
      </c>
      <c r="AH17" vm="3100">
        <f ca="1"/>
        <v>186.36</v>
      </c>
      <c r="AI17" vm="3101">
        <f ca="1"/>
        <v>184.47</v>
      </c>
      <c r="AJ17" vm="3102">
        <f ca="1"/>
        <v>182.82</v>
      </c>
      <c r="AK17" vm="2865">
        <f ca="1"/>
        <v>182.3</v>
      </c>
      <c r="AL17" vm="3103">
        <f ca="1"/>
        <v>186.68</v>
      </c>
      <c r="AM17" vm="3104">
        <f ca="1"/>
        <v>182.88</v>
      </c>
      <c r="AN17" vm="3105">
        <f ca="1"/>
        <v>186.11</v>
      </c>
      <c r="AO17" vm="3106">
        <f ca="1"/>
        <v>190.57</v>
      </c>
      <c r="AP17" vm="3107">
        <f ca="1"/>
        <v>189.14</v>
      </c>
      <c r="AQ17" vm="3108">
        <f ca="1"/>
        <v>191.4</v>
      </c>
      <c r="AR17" vm="3109">
        <f ca="1"/>
        <v>187.96</v>
      </c>
      <c r="AS17" vm="3110">
        <f ca="1"/>
        <v>184.4</v>
      </c>
      <c r="AT17" vm="3111">
        <f ca="1"/>
        <v>185.14</v>
      </c>
      <c r="AU17" vm="3112">
        <f ca="1"/>
        <v>183.94</v>
      </c>
      <c r="AV17" vm="3113">
        <f ca="1"/>
        <v>185.25</v>
      </c>
      <c r="AW17" vm="3114">
        <f ca="1"/>
        <v>182.61</v>
      </c>
      <c r="AX17" vm="3115">
        <f ca="1"/>
        <v>181.99</v>
      </c>
      <c r="AY17" vm="3116">
        <f ca="1"/>
        <v>178.75</v>
      </c>
      <c r="AZ17" vm="3117">
        <f ca="1"/>
        <v>177.67</v>
      </c>
      <c r="BA17" vm="3118">
        <f ca="1"/>
        <v>173.95</v>
      </c>
      <c r="BB17" vm="3119">
        <f ca="1"/>
        <v>175.59</v>
      </c>
      <c r="BC17" vm="362">
        <f ca="1"/>
        <v>172.4</v>
      </c>
      <c r="BD17" vm="3120">
        <f ca="1"/>
        <v>170.88</v>
      </c>
      <c r="BE17" vm="3121">
        <f ca="1"/>
        <v>171.58</v>
      </c>
      <c r="BF17" vm="3122">
        <f ca="1"/>
        <v>169.15</v>
      </c>
      <c r="BG17" vm="3123">
        <f ca="1"/>
        <v>170.63</v>
      </c>
      <c r="BH17" vm="3124">
        <f ca="1"/>
        <v>175.74</v>
      </c>
      <c r="BI17" vm="3125">
        <f ca="1"/>
        <v>172.26</v>
      </c>
      <c r="BJ17" vm="3126">
        <f ca="1"/>
        <v>171.54</v>
      </c>
      <c r="BK17" vm="3127">
        <f ca="1"/>
        <v>172.01</v>
      </c>
      <c r="BL17" vm="3128">
        <f ca="1"/>
        <v>174.89</v>
      </c>
      <c r="BM17" vm="3129">
        <f ca="1"/>
        <v>167.86</v>
      </c>
      <c r="BN17" vm="3130">
        <f ca="1"/>
        <v>170.2</v>
      </c>
      <c r="BO17" vm="3131">
        <f ca="1"/>
        <v>170.54</v>
      </c>
      <c r="BP17" vm="3132">
        <f ca="1"/>
        <v>170.39</v>
      </c>
      <c r="BQ17" vm="3133">
        <f ca="1"/>
        <v>170.26</v>
      </c>
      <c r="BR17" vm="3134">
        <f ca="1"/>
        <v>172.14</v>
      </c>
      <c r="BS17" vm="3135">
        <f ca="1"/>
        <v>170.02</v>
      </c>
      <c r="BT17" vm="3136">
        <f ca="1"/>
        <v>169.88</v>
      </c>
      <c r="BU17" vm="3137">
        <f ca="1"/>
        <v>170.48</v>
      </c>
      <c r="BV17" vm="3138">
        <f ca="1"/>
        <v>168.65</v>
      </c>
      <c r="BW17" vm="3139">
        <f ca="1"/>
        <v>170.03</v>
      </c>
      <c r="BX17" vm="3140">
        <f ca="1"/>
        <v>169.99</v>
      </c>
      <c r="BY17" vm="3141">
        <f ca="1"/>
        <v>193.18</v>
      </c>
      <c r="BZ17" vm="3142">
        <f ca="1"/>
        <v>191.66</v>
      </c>
      <c r="CA17" vm="3143">
        <f ca="1"/>
        <v>188.49</v>
      </c>
      <c r="CB17" vm="3144">
        <f ca="1"/>
        <v>187.18</v>
      </c>
      <c r="CC17" vm="3145">
        <f ca="1"/>
        <v>184.27</v>
      </c>
      <c r="CD17" vm="3146">
        <f ca="1"/>
        <v>182.75</v>
      </c>
      <c r="CE17" vm="3147">
        <f ca="1"/>
        <v>178.97</v>
      </c>
      <c r="CF17" vm="3148">
        <f ca="1"/>
        <v>179.69</v>
      </c>
      <c r="CG17" vm="3149">
        <f ca="1"/>
        <v>182.31</v>
      </c>
      <c r="CH17" vm="3150">
        <f ca="1"/>
        <v>181.5</v>
      </c>
      <c r="CI17" vm="3151">
        <f ca="1"/>
        <v>183.99</v>
      </c>
      <c r="CJ17" vm="3152">
        <f ca="1"/>
        <v>181.49</v>
      </c>
      <c r="CK17" vm="3153">
        <f ca="1"/>
        <v>188.64</v>
      </c>
      <c r="CL17" vm="3154">
        <f ca="1"/>
        <v>189.13</v>
      </c>
      <c r="CM17" vm="3095">
        <f ca="1"/>
        <v>193.97</v>
      </c>
      <c r="CN17" vm="3155">
        <f ca="1"/>
        <v>194.4</v>
      </c>
      <c r="CO17" vm="3090">
        <f ca="1"/>
        <v>192.48</v>
      </c>
      <c r="CP17" vm="3156">
        <f ca="1"/>
        <v>193.66</v>
      </c>
      <c r="CQ17" vm="3157">
        <f ca="1"/>
        <v>197.83</v>
      </c>
      <c r="CR17" vm="3158">
        <f ca="1"/>
        <v>198.6</v>
      </c>
      <c r="CS17" vm="3159">
        <f ca="1"/>
        <v>199.19</v>
      </c>
      <c r="CT17" vm="3160">
        <f ca="1"/>
        <v>197.27</v>
      </c>
      <c r="CU17" vm="3161">
        <f ca="1"/>
        <v>201.37</v>
      </c>
      <c r="CV17" vm="3162">
        <f ca="1"/>
        <v>198.37</v>
      </c>
      <c r="CW17" vm="3163">
        <f ca="1"/>
        <v>197.35</v>
      </c>
      <c r="CX17" vm="3164">
        <f ca="1"/>
        <v>196.74</v>
      </c>
      <c r="CY17" vm="3165">
        <f ca="1"/>
        <v>198.25</v>
      </c>
      <c r="CZ17" vm="3166">
        <f ca="1"/>
        <v>194.57</v>
      </c>
      <c r="DA17" vm="3167">
        <f ca="1"/>
        <v>193.57</v>
      </c>
      <c r="DB17" vm="3168">
        <f ca="1"/>
        <v>193.01</v>
      </c>
      <c r="DC17" vm="3169">
        <f ca="1"/>
        <v>197.64</v>
      </c>
      <c r="DD17" vm="3170">
        <f ca="1"/>
        <v>199.62</v>
      </c>
      <c r="DE17" vm="3171">
        <f ca="1"/>
        <v>202.79</v>
      </c>
      <c r="DF17" vm="3172">
        <f ca="1"/>
        <v>200.8</v>
      </c>
      <c r="DG17" vm="3173">
        <f ca="1"/>
        <v>197.38</v>
      </c>
      <c r="DH17" vm="3174">
        <f ca="1"/>
        <v>197.63</v>
      </c>
      <c r="DI17" vm="3175">
        <f ca="1"/>
        <v>196.13</v>
      </c>
      <c r="DJ17" vm="3176">
        <f ca="1"/>
        <v>197.28</v>
      </c>
      <c r="DK17" vm="807">
        <f ca="1"/>
        <v>198.78</v>
      </c>
      <c r="DL17" vm="3177">
        <f ca="1"/>
        <v>201.38</v>
      </c>
      <c r="DM17" vm="3178">
        <f ca="1"/>
        <v>200.47</v>
      </c>
      <c r="DN17" vm="3179">
        <f ca="1"/>
        <v>198.95</v>
      </c>
      <c r="DO17" vm="3180">
        <f ca="1"/>
        <v>200.68</v>
      </c>
      <c r="DP17" vm="3181">
        <f ca="1"/>
        <v>200.66</v>
      </c>
      <c r="DQ17" vm="3182">
        <f ca="1"/>
        <v>198.09</v>
      </c>
      <c r="DR17" vm="3176">
        <f ca="1"/>
        <v>197.28</v>
      </c>
      <c r="DS17" vm="3183">
        <f ca="1"/>
        <v>198.1</v>
      </c>
      <c r="DT17" vm="3184">
        <f ca="1"/>
        <v>196.44</v>
      </c>
      <c r="DU17" vm="3185">
        <f ca="1"/>
        <v>191.09</v>
      </c>
      <c r="DV17" vm="3186">
        <f ca="1"/>
        <v>191.83</v>
      </c>
      <c r="DW17" vm="3069">
        <f ca="1"/>
        <v>190.52</v>
      </c>
      <c r="DX17" vm="3187">
        <f ca="1"/>
        <v>194.59</v>
      </c>
      <c r="DY17" vm="3188">
        <f ca="1"/>
        <v>199.18</v>
      </c>
      <c r="DZ17" vm="3189">
        <f ca="1"/>
        <v>199.89</v>
      </c>
      <c r="EA17" vm="3190">
        <f ca="1"/>
        <v>198.21</v>
      </c>
      <c r="EB17" vm="3191">
        <f ca="1"/>
        <v>192.33</v>
      </c>
      <c r="EC17" vm="3192">
        <f ca="1"/>
        <v>185.22</v>
      </c>
      <c r="ED17" vm="3193">
        <f ca="1"/>
        <v>187.88</v>
      </c>
      <c r="EE17" vm="3194">
        <f ca="1"/>
        <v>191.74</v>
      </c>
      <c r="EF17" vm="3195">
        <f ca="1"/>
        <v>194.33</v>
      </c>
      <c r="EG17" vm="3196">
        <f ca="1"/>
        <v>195.41</v>
      </c>
      <c r="EH17" vm="3157">
        <f ca="1"/>
        <v>197.83</v>
      </c>
      <c r="EI17" vm="3197">
        <f ca="1"/>
        <v>200.11</v>
      </c>
      <c r="EJ17" vm="3198">
        <f ca="1"/>
        <v>201.95</v>
      </c>
      <c r="EK17" vm="3199">
        <f ca="1"/>
        <v>203.51</v>
      </c>
      <c r="EL17" vm="3200">
        <f ca="1"/>
        <v>204.06</v>
      </c>
      <c r="EM17" vm="516">
        <f ca="1"/>
        <v>205.37</v>
      </c>
      <c r="EN17" vm="3201">
        <f ca="1"/>
        <v>209.22</v>
      </c>
      <c r="EO17" vm="3202">
        <f ca="1"/>
        <v>211.24</v>
      </c>
      <c r="EP17" vm="3203">
        <f ca="1"/>
        <v>207.09</v>
      </c>
      <c r="EQ17" vm="3204">
        <f ca="1"/>
        <v>207.21</v>
      </c>
      <c r="ER17" vm="3205">
        <f ca="1"/>
        <v>204.19</v>
      </c>
      <c r="ES17" vm="3206">
        <f ca="1"/>
        <v>205.72</v>
      </c>
      <c r="ET17" vm="3207">
        <f ca="1"/>
        <v>203.89</v>
      </c>
      <c r="EU17" vm="3208">
        <f ca="1"/>
        <v>199.15</v>
      </c>
      <c r="EV17" vm="3209">
        <f ca="1"/>
        <v>202.94</v>
      </c>
      <c r="EW17" vm="3210">
        <f ca="1"/>
        <v>201.98</v>
      </c>
      <c r="EX17" vm="3211">
        <f ca="1"/>
        <v>203.94</v>
      </c>
      <c r="EY17" vm="3062">
        <f ca="1"/>
        <v>205.99</v>
      </c>
      <c r="EZ17" vm="3212">
        <f ca="1"/>
        <v>207.29</v>
      </c>
      <c r="FA17" vm="3213">
        <f ca="1"/>
        <v>203.26</v>
      </c>
      <c r="FB17" vm="729">
        <f ca="1"/>
        <v>204.08</v>
      </c>
      <c r="FC17" vm="3214">
        <f ca="1"/>
        <v>199</v>
      </c>
      <c r="FD17" vm="3215">
        <f ca="1"/>
        <v>195.96</v>
      </c>
      <c r="FE17" vm="3216">
        <f ca="1"/>
        <v>196.78</v>
      </c>
      <c r="FF17" vm="3217">
        <f ca="1"/>
        <v>191.25</v>
      </c>
      <c r="FG17" vm="2978">
        <f ca="1"/>
        <v>197.62</v>
      </c>
      <c r="FH17" vm="3218">
        <f ca="1"/>
        <v>199.06</v>
      </c>
      <c r="FI17" vm="2892">
        <f ca="1"/>
        <v>200.26</v>
      </c>
      <c r="FJ17" vm="3219">
        <f ca="1"/>
        <v>202.44</v>
      </c>
      <c r="FK17" vm="2996">
        <f ca="1"/>
        <v>201.87</v>
      </c>
      <c r="FL17" vm="3220">
        <f ca="1"/>
        <v>199.22</v>
      </c>
      <c r="FM17" vm="3221">
        <f ca="1"/>
        <v>196.99</v>
      </c>
      <c r="FN17" vm="3222">
        <f ca="1"/>
        <v>195.44</v>
      </c>
      <c r="FO17" vm="3223">
        <f ca="1"/>
        <v>198.27</v>
      </c>
      <c r="FP17" vm="3224">
        <f ca="1"/>
        <v>196.56</v>
      </c>
      <c r="FQ17" vm="2762">
        <f ca="1"/>
        <v>195.21</v>
      </c>
      <c r="FR17" vm="3225">
        <f ca="1"/>
        <v>196.34</v>
      </c>
      <c r="FS17" vm="3226">
        <f ca="1"/>
        <v>200.78</v>
      </c>
      <c r="FT17" vm="3227">
        <f ca="1"/>
        <v>203.56</v>
      </c>
      <c r="FU17" vm="3228">
        <f ca="1"/>
        <v>208.12</v>
      </c>
      <c r="FV17" vm="3229">
        <f ca="1"/>
        <v>214.81</v>
      </c>
      <c r="FW17" vm="3230">
        <f ca="1"/>
        <v>214.42</v>
      </c>
      <c r="FX17" vm="439">
        <f ca="1"/>
        <v>214.24</v>
      </c>
      <c r="FY17" vm="3231">
        <f ca="1"/>
        <v>216.08</v>
      </c>
      <c r="FZ17" vm="3232">
        <f ca="1"/>
        <v>219.38</v>
      </c>
      <c r="GA17" vm="645">
        <f ca="1"/>
        <v>219.51</v>
      </c>
      <c r="GB17" vm="3233">
        <f ca="1"/>
        <v>219.24</v>
      </c>
      <c r="GC17" vm="3234">
        <f ca="1"/>
        <v>216.73</v>
      </c>
      <c r="GD17" vm="3235">
        <f ca="1"/>
        <v>216.62</v>
      </c>
      <c r="GE17" vm="3010">
        <f ca="1"/>
        <v>216.44</v>
      </c>
      <c r="GF17" vm="3236">
        <f ca="1"/>
        <v>214.85</v>
      </c>
      <c r="GG17" vm="3237">
        <f ca="1"/>
        <v>214.06</v>
      </c>
      <c r="GH17" vm="3238">
        <f ca="1"/>
        <v>217.87</v>
      </c>
      <c r="GI17" vm="3239">
        <f ca="1"/>
        <v>218.86</v>
      </c>
      <c r="GJ17" vm="3240">
        <f ca="1"/>
        <v>215.27</v>
      </c>
      <c r="GK17" vm="3241">
        <f ca="1"/>
        <v>213.33</v>
      </c>
      <c r="GL17" vm="3242">
        <f ca="1"/>
        <v>214.73</v>
      </c>
      <c r="GM17" vm="3243">
        <f ca="1"/>
        <v>221.52</v>
      </c>
      <c r="GN17" vm="3244">
        <f ca="1"/>
        <v>222.59</v>
      </c>
      <c r="GO17" vm="3245">
        <f ca="1"/>
        <v>229.03</v>
      </c>
      <c r="GP17" vm="3246">
        <f ca="1"/>
        <v>227.3</v>
      </c>
      <c r="GQ17" vm="625">
        <f ca="1"/>
        <v>232.33</v>
      </c>
      <c r="GR17" vm="3247">
        <f ca="1"/>
        <v>231.42</v>
      </c>
      <c r="GS17" vm="3248">
        <f ca="1"/>
        <v>220.47</v>
      </c>
      <c r="GT17" vm="649">
        <f ca="1"/>
        <v>227.74</v>
      </c>
      <c r="GU17" vm="3249">
        <f ca="1"/>
        <v>227.04</v>
      </c>
      <c r="GV17" vm="680">
        <f ca="1"/>
        <v>226.28</v>
      </c>
      <c r="GW17" vm="2931">
        <f ca="1"/>
        <v>225.62</v>
      </c>
      <c r="GX17" vm="3052">
        <f ca="1"/>
        <v>224.12</v>
      </c>
      <c r="GY17" vm="3250">
        <f ca="1"/>
        <v>218.89</v>
      </c>
      <c r="GZ17" vm="3251">
        <f ca="1"/>
        <v>227.07</v>
      </c>
      <c r="HA17" vm="3252">
        <f ca="1"/>
        <v>226.86</v>
      </c>
      <c r="HB17" vm="3253">
        <f ca="1"/>
        <v>231.58</v>
      </c>
      <c r="HC17" vm="3247">
        <f ca="1"/>
        <v>231.42</v>
      </c>
      <c r="HD17" vm="3254">
        <f ca="1"/>
        <v>241.39</v>
      </c>
      <c r="HE17" vm="3255">
        <f ca="1"/>
        <v>237.19</v>
      </c>
      <c r="HF17" vm="665">
        <f ca="1"/>
        <v>244.22</v>
      </c>
      <c r="HG17" vm="3256">
        <f ca="1"/>
        <v>242.39</v>
      </c>
      <c r="HH17" vm="627">
        <f ca="1"/>
        <v>238.24</v>
      </c>
      <c r="HI17" vm="3257">
        <f ca="1"/>
        <v>242.81</v>
      </c>
      <c r="HJ17" vm="3258">
        <f ca="1"/>
        <v>241.64</v>
      </c>
      <c r="HK17" vm="3259">
        <f ca="1"/>
        <v>248.29</v>
      </c>
      <c r="HL17" vm="3260">
        <f ca="1"/>
        <v>245.51</v>
      </c>
      <c r="HM17" vm="3261">
        <f ca="1"/>
        <v>243.2</v>
      </c>
      <c r="HN17" vm="3262">
        <f ca="1"/>
        <v>241.65</v>
      </c>
      <c r="HO17" vm="3263">
        <f ca="1"/>
        <v>239.6</v>
      </c>
      <c r="HP17" vm="413">
        <f ca="1"/>
        <v>238.03</v>
      </c>
      <c r="HQ17" vm="3264">
        <f ca="1"/>
        <v>238.64</v>
      </c>
      <c r="HR17" vm="721">
        <f ca="1"/>
        <v>241.73</v>
      </c>
      <c r="HS17" vm="3265">
        <f ca="1"/>
        <v>242.62</v>
      </c>
      <c r="HT17" vm="3266">
        <f ca="1"/>
        <v>242.38</v>
      </c>
      <c r="HU17" vm="3267">
        <f ca="1"/>
        <v>243.66</v>
      </c>
      <c r="HV17" vm="3268">
        <f ca="1"/>
        <v>232.17</v>
      </c>
      <c r="HW17" vm="3269">
        <f ca="1"/>
        <v>232.81</v>
      </c>
      <c r="HX17" vm="3270">
        <f ca="1"/>
        <v>221.48</v>
      </c>
      <c r="HY17" vm="3271">
        <f ca="1"/>
        <v>219.14</v>
      </c>
      <c r="HZ17" vm="3272">
        <f ca="1"/>
        <v>219.53</v>
      </c>
      <c r="IA17" vm="3273">
        <f ca="1"/>
        <v>221.01</v>
      </c>
      <c r="IB17" vm="3274">
        <f ca="1"/>
        <v>220.77</v>
      </c>
      <c r="IC17" vm="2969">
        <f ca="1"/>
        <v>216.59</v>
      </c>
      <c r="ID17" vm="3275">
        <f ca="1"/>
        <v>210.84</v>
      </c>
      <c r="IE17" vm="3276">
        <f ca="1"/>
        <v>213.23</v>
      </c>
      <c r="IF17" vm="3277">
        <f ca="1"/>
        <v>213.07</v>
      </c>
      <c r="IG17" vm="826">
        <f ca="1"/>
        <v>209.11</v>
      </c>
      <c r="IH17" vm="3278">
        <f ca="1"/>
        <v>208.93</v>
      </c>
      <c r="II17" vm="3279">
        <f ca="1"/>
        <v>205.02</v>
      </c>
      <c r="IJ17" vm="737">
        <f ca="1"/>
        <v>210.64</v>
      </c>
      <c r="IK17" vm="3280">
        <f ca="1"/>
        <v>209.78</v>
      </c>
      <c r="IL17" vm="3281">
        <f ca="1"/>
        <v>210.93</v>
      </c>
      <c r="IM17" vm="3282">
        <f ca="1"/>
        <v>209.93</v>
      </c>
      <c r="IN17" vm="3283">
        <f ca="1"/>
        <v>206.73</v>
      </c>
      <c r="IO17" vm="3209">
        <f ca="1"/>
        <v>202.94</v>
      </c>
      <c r="IP17" vm="3284">
        <f ca="1"/>
        <v>206.09</v>
      </c>
      <c r="IQ17" vm="3285">
        <f ca="1"/>
        <v>209.67</v>
      </c>
    </row>
    <row r="18" spans="1:251" x14ac:dyDescent="0.35">
      <c r="A18" t="e" vm="16">
        <f>Dashboard!B22</f>
        <v>#VALUE!</v>
      </c>
      <c r="B18" cm="1" vm="3286">
        <f t="array" aca="1" ref="B18:IQ18" ca="1">TRANSPOSE(_xlfn.STOCKHISTORY(A18,TODAY()-365,TODAY(),0,0,1))</f>
        <v>87.26</v>
      </c>
      <c r="C18" vm="3287">
        <f ca="1"/>
        <v>83.19</v>
      </c>
      <c r="D18" vm="3288">
        <f ca="1"/>
        <v>83.83</v>
      </c>
      <c r="E18" vm="3289">
        <f ca="1"/>
        <v>81.790000000000006</v>
      </c>
      <c r="F18" vm="3290">
        <f ca="1"/>
        <v>89.6</v>
      </c>
      <c r="G18" vm="3291">
        <f ca="1"/>
        <v>90.61</v>
      </c>
      <c r="H18" vm="3292">
        <f ca="1"/>
        <v>92.8</v>
      </c>
      <c r="I18" vm="3293">
        <f ca="1"/>
        <v>94.73</v>
      </c>
      <c r="J18" vm="3294">
        <f ca="1"/>
        <v>93.97</v>
      </c>
      <c r="K18" vm="3295">
        <f ca="1"/>
        <v>91.19</v>
      </c>
      <c r="L18" vm="3296">
        <f ca="1"/>
        <v>93.22</v>
      </c>
      <c r="M18" vm="3297">
        <f ca="1"/>
        <v>92.41</v>
      </c>
      <c r="N18" vm="3298">
        <f ca="1"/>
        <v>94.85</v>
      </c>
      <c r="O18" vm="3299">
        <f ca="1"/>
        <v>94.96</v>
      </c>
      <c r="P18" vm="3300">
        <f ca="1"/>
        <v>95.84</v>
      </c>
      <c r="Q18" vm="3301">
        <f ca="1"/>
        <v>95.09</v>
      </c>
      <c r="R18" vm="3302">
        <f ca="1"/>
        <v>95.22</v>
      </c>
      <c r="S18" vm="3303">
        <f ca="1"/>
        <v>96.04</v>
      </c>
      <c r="T18" vm="3304">
        <f ca="1"/>
        <v>97.25</v>
      </c>
      <c r="U18" vm="3305">
        <f ca="1"/>
        <v>97.41</v>
      </c>
      <c r="V18" vm="3306">
        <f ca="1"/>
        <v>98.75</v>
      </c>
      <c r="W18" vm="3307">
        <f ca="1"/>
        <v>99.33</v>
      </c>
      <c r="X18" vm="3308">
        <f ca="1"/>
        <v>98.55</v>
      </c>
      <c r="Y18" vm="3309">
        <f ca="1"/>
        <v>98.83</v>
      </c>
      <c r="Z18" vm="3310">
        <f ca="1"/>
        <v>97.43</v>
      </c>
      <c r="AA18" vm="3311">
        <f ca="1"/>
        <v>96.72</v>
      </c>
      <c r="AB18" vm="3312">
        <f ca="1"/>
        <v>96.75</v>
      </c>
      <c r="AC18" vm="3313">
        <f ca="1"/>
        <v>95.88</v>
      </c>
      <c r="AD18" vm="3314">
        <f ca="1"/>
        <v>96.83</v>
      </c>
      <c r="AE18" vm="3315">
        <f ca="1"/>
        <v>96.35</v>
      </c>
      <c r="AF18" vm="3316">
        <f ca="1"/>
        <v>98.24</v>
      </c>
      <c r="AG18" vm="3317">
        <f ca="1"/>
        <v>98.12</v>
      </c>
      <c r="AH18" vm="1618">
        <f ca="1"/>
        <v>97.8</v>
      </c>
      <c r="AI18" vm="3318">
        <f ca="1"/>
        <v>96.43</v>
      </c>
      <c r="AJ18" vm="3319">
        <f ca="1"/>
        <v>95.93</v>
      </c>
      <c r="AK18" vm="3320">
        <f ca="1"/>
        <v>96.34</v>
      </c>
      <c r="AL18" vm="3321">
        <f ca="1"/>
        <v>97.58</v>
      </c>
      <c r="AM18" vm="3322">
        <f ca="1"/>
        <v>97.24</v>
      </c>
      <c r="AN18" vm="3323">
        <f ca="1"/>
        <v>97.1</v>
      </c>
      <c r="AO18" vm="3324">
        <f ca="1"/>
        <v>98.72</v>
      </c>
      <c r="AP18" vm="3325">
        <f ca="1"/>
        <v>99.77</v>
      </c>
      <c r="AQ18" vm="3326">
        <f ca="1"/>
        <v>99.98</v>
      </c>
      <c r="AR18" vm="3327">
        <f ca="1"/>
        <v>99.35</v>
      </c>
      <c r="AS18" vm="3328">
        <f ca="1"/>
        <v>97.96</v>
      </c>
      <c r="AT18" vm="3329">
        <f ca="1"/>
        <v>97.47</v>
      </c>
      <c r="AU18" vm="3330">
        <f ca="1"/>
        <v>97.45</v>
      </c>
      <c r="AV18" vm="3331">
        <f ca="1"/>
        <v>97.32</v>
      </c>
      <c r="AW18" vm="3332">
        <f ca="1"/>
        <v>95.8</v>
      </c>
      <c r="AX18" vm="3333">
        <f ca="1"/>
        <v>94.83</v>
      </c>
      <c r="AY18" vm="3334">
        <f ca="1"/>
        <v>94.44</v>
      </c>
      <c r="AZ18" vm="3335">
        <f ca="1"/>
        <v>94.29</v>
      </c>
      <c r="BA18" vm="3336">
        <f ca="1"/>
        <v>94.25</v>
      </c>
      <c r="BB18" vm="3301">
        <f ca="1"/>
        <v>95.09</v>
      </c>
      <c r="BC18" vm="3337">
        <f ca="1"/>
        <v>96.12</v>
      </c>
      <c r="BD18" vm="3338">
        <f ca="1"/>
        <v>97.87</v>
      </c>
      <c r="BE18" vm="3339">
        <f ca="1"/>
        <v>98</v>
      </c>
      <c r="BF18" vm="3340">
        <f ca="1"/>
        <v>97.26</v>
      </c>
      <c r="BG18" vm="3341">
        <f ca="1"/>
        <v>96.02</v>
      </c>
      <c r="BH18" vm="3342">
        <f ca="1"/>
        <v>97.27</v>
      </c>
      <c r="BI18" vm="3343">
        <f ca="1"/>
        <v>97.78</v>
      </c>
      <c r="BJ18" vm="3316">
        <f ca="1"/>
        <v>98.24</v>
      </c>
      <c r="BK18" vm="3344">
        <f ca="1"/>
        <v>97.61</v>
      </c>
      <c r="BL18" vm="3345">
        <f ca="1"/>
        <v>98.36</v>
      </c>
      <c r="BM18" vm="3327">
        <f ca="1"/>
        <v>99.35</v>
      </c>
      <c r="BN18" vm="3346">
        <f ca="1"/>
        <v>97.09</v>
      </c>
      <c r="BO18" vm="3347">
        <f ca="1"/>
        <v>96.81</v>
      </c>
      <c r="BP18" vm="3348">
        <f ca="1"/>
        <v>94.86</v>
      </c>
      <c r="BQ18" vm="3349">
        <f ca="1"/>
        <v>94.4</v>
      </c>
      <c r="BR18" vm="3350">
        <f ca="1"/>
        <v>95.78</v>
      </c>
      <c r="BS18" vm="1567">
        <f ca="1"/>
        <v>95.39</v>
      </c>
      <c r="BT18" vm="3351">
        <f ca="1"/>
        <v>95.15</v>
      </c>
      <c r="BU18" vm="3301">
        <f ca="1"/>
        <v>95.09</v>
      </c>
      <c r="BV18" vm="3352">
        <f ca="1"/>
        <v>95.05</v>
      </c>
      <c r="BW18" vm="3353">
        <f ca="1"/>
        <v>95.67</v>
      </c>
      <c r="BX18" vm="3354">
        <f ca="1"/>
        <v>95.85</v>
      </c>
      <c r="BY18" vm="3355">
        <f ca="1"/>
        <v>95.68</v>
      </c>
      <c r="BZ18" vm="3356">
        <f ca="1"/>
        <v>96.6</v>
      </c>
      <c r="CA18" vm="3329">
        <f ca="1"/>
        <v>97.47</v>
      </c>
      <c r="CB18" vm="3344">
        <f ca="1"/>
        <v>97.61</v>
      </c>
      <c r="CC18" vm="3357">
        <f ca="1"/>
        <v>98.33</v>
      </c>
      <c r="CD18" vm="3358">
        <f ca="1"/>
        <v>97.59</v>
      </c>
      <c r="CE18" vm="3359">
        <f ca="1"/>
        <v>97.98</v>
      </c>
      <c r="CF18" vm="3360">
        <f ca="1"/>
        <v>98.49</v>
      </c>
      <c r="CG18" vm="3361">
        <f ca="1"/>
        <v>99.59</v>
      </c>
      <c r="CH18" vm="3362">
        <f ca="1"/>
        <v>99.31</v>
      </c>
      <c r="CI18" vm="3363">
        <f ca="1"/>
        <v>103.36</v>
      </c>
      <c r="CJ18" vm="3364">
        <f ca="1"/>
        <v>103.12</v>
      </c>
      <c r="CK18" vm="3365">
        <f ca="1"/>
        <v>103.73</v>
      </c>
      <c r="CL18" vm="3366">
        <f ca="1"/>
        <v>103.93</v>
      </c>
      <c r="CM18" vm="3367">
        <f ca="1"/>
        <v>103.62</v>
      </c>
      <c r="CN18" vm="1632">
        <f ca="1"/>
        <v>100.99</v>
      </c>
      <c r="CO18" vm="1640">
        <f ca="1"/>
        <v>100.85</v>
      </c>
      <c r="CP18" vm="3368">
        <f ca="1"/>
        <v>100</v>
      </c>
      <c r="CQ18" vm="3369">
        <f ca="1"/>
        <v>100.7</v>
      </c>
      <c r="CR18" vm="3370">
        <f ca="1"/>
        <v>101.29</v>
      </c>
      <c r="CS18" vm="3371">
        <f ca="1"/>
        <v>102.57</v>
      </c>
      <c r="CT18" vm="3328">
        <f ca="1"/>
        <v>97.96</v>
      </c>
      <c r="CU18" vm="3314">
        <f ca="1"/>
        <v>96.83</v>
      </c>
      <c r="CV18" vm="1568">
        <f ca="1"/>
        <v>96.07</v>
      </c>
      <c r="CW18" vm="3372">
        <f ca="1"/>
        <v>96.05</v>
      </c>
      <c r="CX18" vm="3373">
        <f ca="1"/>
        <v>96.08</v>
      </c>
      <c r="CY18" vm="3374">
        <f ca="1"/>
        <v>96.11</v>
      </c>
      <c r="CZ18" vm="3375">
        <f ca="1"/>
        <v>96.98</v>
      </c>
      <c r="DA18" vm="3376">
        <f ca="1"/>
        <v>97.85</v>
      </c>
      <c r="DB18" vm="1602">
        <f ca="1"/>
        <v>99.44</v>
      </c>
      <c r="DC18" vm="3377">
        <f ca="1"/>
        <v>100.93</v>
      </c>
      <c r="DD18" vm="3378">
        <f ca="1"/>
        <v>100.51</v>
      </c>
      <c r="DE18" vm="3379">
        <f ca="1"/>
        <v>102.28</v>
      </c>
      <c r="DF18" vm="3380">
        <f ca="1"/>
        <v>102.29</v>
      </c>
      <c r="DG18" vm="3381">
        <f ca="1"/>
        <v>100.41</v>
      </c>
      <c r="DH18" vm="3382">
        <f ca="1"/>
        <v>102.65</v>
      </c>
      <c r="DI18" vm="1608">
        <f ca="1"/>
        <v>103.49</v>
      </c>
      <c r="DJ18" vm="3383">
        <f ca="1"/>
        <v>103.69</v>
      </c>
      <c r="DK18" vm="1612">
        <f ca="1"/>
        <v>103.42</v>
      </c>
      <c r="DL18" vm="3384">
        <f ca="1"/>
        <v>104.27</v>
      </c>
      <c r="DM18" vm="1655">
        <f ca="1"/>
        <v>103.6</v>
      </c>
      <c r="DN18" vm="3385">
        <f ca="1"/>
        <v>102.33</v>
      </c>
      <c r="DO18" vm="3386">
        <f ca="1"/>
        <v>102.82</v>
      </c>
      <c r="DP18" vm="3387">
        <f ca="1"/>
        <v>102.52</v>
      </c>
      <c r="DQ18" vm="3388">
        <f ca="1"/>
        <v>102.73</v>
      </c>
      <c r="DR18" vm="3389">
        <f ca="1"/>
        <v>103.05</v>
      </c>
      <c r="DS18" vm="1613">
        <f ca="1"/>
        <v>103.16</v>
      </c>
      <c r="DT18" vm="3390">
        <f ca="1"/>
        <v>103.08</v>
      </c>
      <c r="DU18" vm="3391">
        <f ca="1"/>
        <v>103.06</v>
      </c>
      <c r="DV18" vm="3392">
        <f ca="1"/>
        <v>101.96</v>
      </c>
      <c r="DW18" vm="300">
        <f ca="1"/>
        <v>101.7</v>
      </c>
      <c r="DX18" vm="3393">
        <f ca="1"/>
        <v>102.07</v>
      </c>
      <c r="DY18" vm="3394">
        <f ca="1"/>
        <v>102.7</v>
      </c>
      <c r="DZ18" vm="3395">
        <f ca="1"/>
        <v>103.24</v>
      </c>
      <c r="EA18" vm="3396">
        <f ca="1"/>
        <v>102.9</v>
      </c>
      <c r="EB18" vm="3397">
        <f ca="1"/>
        <v>101.77</v>
      </c>
      <c r="EC18" vm="3398">
        <f ca="1"/>
        <v>101.84</v>
      </c>
      <c r="ED18" vm="3399">
        <f ca="1"/>
        <v>102.12</v>
      </c>
      <c r="EE18" vm="3400">
        <f ca="1"/>
        <v>107.21</v>
      </c>
      <c r="EF18" vm="3401">
        <f ca="1"/>
        <v>109.03</v>
      </c>
      <c r="EG18" vm="3402">
        <f ca="1"/>
        <v>106.47</v>
      </c>
      <c r="EH18" vm="3403">
        <f ca="1"/>
        <v>107.73</v>
      </c>
      <c r="EI18" vm="3404">
        <f ca="1"/>
        <v>107.05</v>
      </c>
      <c r="EJ18" vm="3405">
        <f ca="1"/>
        <v>106.22</v>
      </c>
      <c r="EK18" vm="3406">
        <f ca="1"/>
        <v>107.14</v>
      </c>
      <c r="EL18" vm="3407">
        <f ca="1"/>
        <v>106.86</v>
      </c>
      <c r="EM18" vm="3408">
        <f ca="1"/>
        <v>106.17</v>
      </c>
      <c r="EN18" vm="3409">
        <f ca="1"/>
        <v>104.47</v>
      </c>
      <c r="EO18" vm="3410">
        <f ca="1"/>
        <v>103.17</v>
      </c>
      <c r="EP18" vm="3411">
        <f ca="1"/>
        <v>102.46</v>
      </c>
      <c r="EQ18" vm="3412">
        <f ca="1"/>
        <v>102.23</v>
      </c>
      <c r="ER18" vm="3413">
        <f ca="1"/>
        <v>101.18</v>
      </c>
      <c r="ES18" vm="3414">
        <f ca="1"/>
        <v>101.59</v>
      </c>
      <c r="ET18" vm="3415">
        <f ca="1"/>
        <v>102.27</v>
      </c>
      <c r="EU18" vm="3416">
        <f ca="1"/>
        <v>101.47</v>
      </c>
      <c r="EV18" vm="3417">
        <f ca="1"/>
        <v>101.68</v>
      </c>
      <c r="EW18" vm="3418">
        <f ca="1"/>
        <v>102.59</v>
      </c>
      <c r="EX18" vm="3419">
        <f ca="1"/>
        <v>102.42</v>
      </c>
      <c r="EY18" vm="3420">
        <f ca="1"/>
        <v>103.44</v>
      </c>
      <c r="EZ18" vm="3420">
        <f ca="1"/>
        <v>103.44</v>
      </c>
      <c r="FA18" vm="3421">
        <f ca="1"/>
        <v>102.54</v>
      </c>
      <c r="FB18" vm="3422">
        <f ca="1"/>
        <v>102.48</v>
      </c>
      <c r="FC18" vm="3423">
        <f ca="1"/>
        <v>102.95</v>
      </c>
      <c r="FD18" vm="1633">
        <f ca="1"/>
        <v>101.39</v>
      </c>
      <c r="FE18" vm="3424">
        <f ca="1"/>
        <v>100.61</v>
      </c>
      <c r="FF18" vm="3425">
        <f ca="1"/>
        <v>107.11</v>
      </c>
      <c r="FG18" vm="3426">
        <f ca="1"/>
        <v>105.32</v>
      </c>
      <c r="FH18" vm="3427">
        <f ca="1"/>
        <v>104.06</v>
      </c>
      <c r="FI18" vm="3428">
        <f ca="1"/>
        <v>107</v>
      </c>
      <c r="FJ18" vm="3429">
        <f ca="1"/>
        <v>109.1</v>
      </c>
      <c r="FK18" vm="3430">
        <f ca="1"/>
        <v>110.51</v>
      </c>
      <c r="FL18" vm="3431">
        <f ca="1"/>
        <v>111.53</v>
      </c>
      <c r="FM18" vm="1685">
        <f ca="1"/>
        <v>112.41</v>
      </c>
      <c r="FN18" vm="3432">
        <f ca="1"/>
        <v>114.41</v>
      </c>
      <c r="FO18" vm="3433">
        <f ca="1"/>
        <v>114.84</v>
      </c>
      <c r="FP18" vm="3434">
        <f ca="1"/>
        <v>115.11</v>
      </c>
      <c r="FQ18" vm="3435">
        <f ca="1"/>
        <v>113.56</v>
      </c>
      <c r="FR18" vm="3436">
        <f ca="1"/>
        <v>115.06</v>
      </c>
      <c r="FS18" vm="3437">
        <f ca="1"/>
        <v>113.18</v>
      </c>
      <c r="FT18" vm="3438">
        <f ca="1"/>
        <v>115.52</v>
      </c>
      <c r="FU18" vm="3439">
        <f ca="1"/>
        <v>116.7</v>
      </c>
      <c r="FV18" vm="3440">
        <f ca="1"/>
        <v>116.79</v>
      </c>
      <c r="FW18" vm="3441">
        <f ca="1"/>
        <v>115.42</v>
      </c>
      <c r="FX18" vm="1689">
        <f ca="1"/>
        <v>115.66</v>
      </c>
      <c r="FY18" vm="3442">
        <f ca="1"/>
        <v>114.83</v>
      </c>
      <c r="FZ18" vm="3443">
        <f ca="1"/>
        <v>114.36</v>
      </c>
      <c r="GA18" vm="3444">
        <f ca="1"/>
        <v>112.6</v>
      </c>
      <c r="GB18" vm="3445">
        <f ca="1"/>
        <v>110.9</v>
      </c>
      <c r="GC18" vm="2636">
        <f ca="1"/>
        <v>111.61</v>
      </c>
      <c r="GD18" vm="1663">
        <f ca="1"/>
        <v>111.74</v>
      </c>
      <c r="GE18" vm="3446">
        <f ca="1"/>
        <v>112.53</v>
      </c>
      <c r="GF18" vm="3447">
        <f ca="1"/>
        <v>111.92</v>
      </c>
      <c r="GG18" vm="3448">
        <f ca="1"/>
        <v>111.41</v>
      </c>
      <c r="GH18" vm="3449">
        <f ca="1"/>
        <v>112.76</v>
      </c>
      <c r="GI18" vm="3450">
        <f ca="1"/>
        <v>112.71</v>
      </c>
      <c r="GJ18" vm="1712">
        <f ca="1"/>
        <v>114.34</v>
      </c>
      <c r="GK18" vm="3451">
        <f ca="1"/>
        <v>112.72</v>
      </c>
      <c r="GL18" vm="3452">
        <f ca="1"/>
        <v>113.07</v>
      </c>
      <c r="GM18" vm="3453">
        <f ca="1"/>
        <v>114.53</v>
      </c>
      <c r="GN18" vm="3454">
        <f ca="1"/>
        <v>117.97</v>
      </c>
      <c r="GO18" vm="3455">
        <f ca="1"/>
        <v>120.36</v>
      </c>
      <c r="GP18" vm="3456">
        <f ca="1"/>
        <v>120.04</v>
      </c>
      <c r="GQ18" vm="3457">
        <f ca="1"/>
        <v>119.2</v>
      </c>
      <c r="GR18" vm="3458">
        <f ca="1"/>
        <v>119.7</v>
      </c>
      <c r="GS18" vm="3459">
        <f ca="1"/>
        <v>118.71</v>
      </c>
      <c r="GT18" vm="3460">
        <f ca="1"/>
        <v>119.36</v>
      </c>
      <c r="GU18" vm="3461">
        <f ca="1"/>
        <v>117.83</v>
      </c>
      <c r="GV18" vm="3462">
        <f ca="1"/>
        <v>117.73</v>
      </c>
      <c r="GW18" vm="3463">
        <f ca="1"/>
        <v>117.64</v>
      </c>
      <c r="GX18" vm="3464">
        <f ca="1"/>
        <v>116.94</v>
      </c>
      <c r="GY18" vm="3465">
        <f ca="1"/>
        <v>116.57</v>
      </c>
      <c r="GZ18" vm="3466">
        <f ca="1"/>
        <v>117.41</v>
      </c>
      <c r="HA18" vm="3467">
        <f ca="1"/>
        <v>119.14</v>
      </c>
      <c r="HB18" vm="3468">
        <f ca="1"/>
        <v>124.06</v>
      </c>
      <c r="HC18" vm="3469">
        <f ca="1"/>
        <v>127.71</v>
      </c>
      <c r="HD18" vm="3470">
        <f ca="1"/>
        <v>128</v>
      </c>
      <c r="HE18" vm="3471">
        <f ca="1"/>
        <v>126.94</v>
      </c>
      <c r="HF18" vm="3472">
        <f ca="1"/>
        <v>131.18</v>
      </c>
      <c r="HG18" vm="3473">
        <f ca="1"/>
        <v>129.02000000000001</v>
      </c>
      <c r="HH18" vm="3474">
        <f ca="1"/>
        <v>126.7</v>
      </c>
      <c r="HI18" vm="3475">
        <f ca="1"/>
        <v>128.77000000000001</v>
      </c>
      <c r="HJ18" vm="3476">
        <f ca="1"/>
        <v>133.63999999999999</v>
      </c>
      <c r="HK18" vm="3477">
        <f ca="1"/>
        <v>133.88999999999999</v>
      </c>
      <c r="HL18" vm="3478">
        <f ca="1"/>
        <v>128.85</v>
      </c>
      <c r="HM18" vm="3479">
        <f ca="1"/>
        <v>126.62</v>
      </c>
      <c r="HN18" vm="3480">
        <f ca="1"/>
        <v>124.87</v>
      </c>
      <c r="HO18" vm="3481">
        <f ca="1"/>
        <v>122.99</v>
      </c>
      <c r="HP18" vm="3482">
        <f ca="1"/>
        <v>125.81</v>
      </c>
      <c r="HQ18" vm="3483">
        <f ca="1"/>
        <v>126.75</v>
      </c>
      <c r="HR18" vm="3484">
        <f ca="1"/>
        <v>125.75</v>
      </c>
      <c r="HS18" vm="3485">
        <f ca="1"/>
        <v>124.42</v>
      </c>
      <c r="HT18" vm="3486">
        <f ca="1"/>
        <v>127.95</v>
      </c>
      <c r="HU18" vm="327">
        <f ca="1"/>
        <v>127.1</v>
      </c>
      <c r="HV18" vm="3487">
        <f ca="1"/>
        <v>127.91</v>
      </c>
      <c r="HW18" vm="3488">
        <f ca="1"/>
        <v>127.81</v>
      </c>
      <c r="HX18" vm="3489">
        <f ca="1"/>
        <v>123.31</v>
      </c>
      <c r="HY18" vm="3490">
        <f ca="1"/>
        <v>123.8</v>
      </c>
      <c r="HZ18" vm="3491">
        <f ca="1"/>
        <v>124.34</v>
      </c>
      <c r="IA18" vm="3492">
        <f ca="1"/>
        <v>125.12</v>
      </c>
      <c r="IB18" vm="3493">
        <f ca="1"/>
        <v>123.49</v>
      </c>
      <c r="IC18" vm="3494">
        <f ca="1"/>
        <v>125.33</v>
      </c>
      <c r="ID18" vm="3495">
        <f ca="1"/>
        <v>126.52</v>
      </c>
      <c r="IE18" vm="3496">
        <f ca="1"/>
        <v>125.99</v>
      </c>
      <c r="IF18" vm="3497">
        <f ca="1"/>
        <v>125.08</v>
      </c>
      <c r="IG18" vm="3498">
        <f ca="1"/>
        <v>121.98</v>
      </c>
      <c r="IH18" vm="3499">
        <f ca="1"/>
        <v>121.09</v>
      </c>
      <c r="II18" vm="3500">
        <f ca="1"/>
        <v>119.02</v>
      </c>
      <c r="IJ18" vm="3501">
        <f ca="1"/>
        <v>120.72</v>
      </c>
      <c r="IK18" vm="3502">
        <f ca="1"/>
        <v>122.05</v>
      </c>
      <c r="IL18" vm="3503">
        <f ca="1"/>
        <v>123.06</v>
      </c>
      <c r="IM18" vm="3504">
        <f ca="1"/>
        <v>122.18</v>
      </c>
      <c r="IN18" vm="3505">
        <f ca="1"/>
        <v>122.89</v>
      </c>
      <c r="IO18" vm="3506">
        <f ca="1"/>
        <v>123.5</v>
      </c>
      <c r="IP18" vm="3507">
        <f ca="1"/>
        <v>124.28</v>
      </c>
      <c r="IQ18" vm="3508">
        <f ca="1"/>
        <v>124.74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H115"/>
  <sheetViews>
    <sheetView showGridLines="0" workbookViewId="0">
      <selection activeCell="E24" sqref="E24"/>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8" ht="18.5" x14ac:dyDescent="0.45">
      <c r="A1" s="72" t="s">
        <v>70</v>
      </c>
      <c r="B1" s="72"/>
      <c r="C1" s="72"/>
      <c r="D1" s="72"/>
      <c r="E1" s="73"/>
      <c r="F1" s="72"/>
      <c r="G1" s="73"/>
      <c r="H1" s="74"/>
    </row>
    <row r="2" spans="1:8" ht="15" thickBot="1" x14ac:dyDescent="0.4">
      <c r="A2" s="13"/>
      <c r="B2" s="75" t="s">
        <v>9</v>
      </c>
      <c r="C2" s="76" t="s">
        <v>8</v>
      </c>
      <c r="D2" s="76" t="s">
        <v>12</v>
      </c>
      <c r="E2" s="77" t="s">
        <v>10</v>
      </c>
      <c r="F2" s="76" t="s">
        <v>2</v>
      </c>
      <c r="G2" s="77" t="s">
        <v>11</v>
      </c>
      <c r="H2" s="78" t="s">
        <v>14</v>
      </c>
    </row>
    <row r="3" spans="1:8" x14ac:dyDescent="0.35">
      <c r="A3" s="13"/>
      <c r="B3" s="79">
        <v>43466</v>
      </c>
      <c r="C3" s="80" t="e" vm="1">
        <v>#VALUE!</v>
      </c>
      <c r="D3" s="80" t="s">
        <v>13</v>
      </c>
      <c r="E3" s="442">
        <v>19.149999999999999</v>
      </c>
      <c r="F3" s="81">
        <v>29.24</v>
      </c>
      <c r="G3" s="442">
        <f t="shared" ref="G3:G34" si="0">E3*F3</f>
        <v>559.94599999999991</v>
      </c>
      <c r="H3" s="82" t="str" cm="1">
        <f t="array" aca="1" ref="H3" ca="1">_FV(Ledger[[#This Row],[Stock]],"Ticker symbol",TRUE)</f>
        <v>AMD</v>
      </c>
    </row>
    <row r="4" spans="1:8" x14ac:dyDescent="0.35">
      <c r="A4" s="13"/>
      <c r="B4" s="18">
        <v>43831</v>
      </c>
      <c r="C4" s="19" t="e" vm="1">
        <v>#VALUE!</v>
      </c>
      <c r="D4" s="19" t="s">
        <v>13</v>
      </c>
      <c r="E4" s="443">
        <v>30.98</v>
      </c>
      <c r="F4" s="20">
        <v>18.07</v>
      </c>
      <c r="G4" s="443">
        <f t="shared" si="0"/>
        <v>559.80860000000007</v>
      </c>
      <c r="H4" s="21" t="str" cm="1">
        <f t="array" aca="1" ref="H4" ca="1">_FV(Ledger[[#This Row],[Stock]],"Ticker symbol",TRUE)</f>
        <v>AMD</v>
      </c>
    </row>
    <row r="5" spans="1:8" x14ac:dyDescent="0.35">
      <c r="A5" s="13"/>
      <c r="B5" s="83">
        <v>44197</v>
      </c>
      <c r="C5" s="84" t="e" vm="1">
        <v>#VALUE!</v>
      </c>
      <c r="D5" s="84" t="s">
        <v>13</v>
      </c>
      <c r="E5" s="444">
        <v>89.33</v>
      </c>
      <c r="F5" s="85">
        <v>6.27</v>
      </c>
      <c r="G5" s="444">
        <f t="shared" si="0"/>
        <v>560.09909999999991</v>
      </c>
      <c r="H5" s="86" t="str" cm="1">
        <f t="array" aca="1" ref="H5" ca="1">_FV(Ledger[[#This Row],[Stock]],"Ticker symbol",TRUE)</f>
        <v>AMD</v>
      </c>
    </row>
    <row r="6" spans="1:8" x14ac:dyDescent="0.35">
      <c r="A6" s="13"/>
      <c r="B6" s="18">
        <v>44562</v>
      </c>
      <c r="C6" s="19" t="e" vm="1">
        <v>#VALUE!</v>
      </c>
      <c r="D6" s="19" t="s">
        <v>160</v>
      </c>
      <c r="E6" s="443">
        <v>110.93</v>
      </c>
      <c r="F6" s="20">
        <v>5.05</v>
      </c>
      <c r="G6" s="443">
        <f t="shared" si="0"/>
        <v>560.19650000000001</v>
      </c>
      <c r="H6" s="21" t="str" cm="1">
        <f t="array" aca="1" ref="H6" ca="1">_FV(Ledger[[#This Row],[Stock]],"Ticker symbol",TRUE)</f>
        <v>AMD</v>
      </c>
    </row>
    <row r="7" spans="1:8" x14ac:dyDescent="0.35">
      <c r="A7" s="13"/>
      <c r="B7" s="83">
        <v>44927</v>
      </c>
      <c r="C7" s="84" t="e" vm="1">
        <v>#VALUE!</v>
      </c>
      <c r="D7" s="84" t="s">
        <v>13</v>
      </c>
      <c r="E7" s="444">
        <v>66.09</v>
      </c>
      <c r="F7" s="85">
        <v>8.4700000000000006</v>
      </c>
      <c r="G7" s="444">
        <f t="shared" si="0"/>
        <v>559.78230000000008</v>
      </c>
      <c r="H7" s="86" t="str" cm="1">
        <f t="array" aca="1" ref="H7" ca="1">_FV(Ledger[[#This Row],[Stock]],"Ticker symbol",TRUE)</f>
        <v>AMD</v>
      </c>
    </row>
    <row r="8" spans="1:8" x14ac:dyDescent="0.35">
      <c r="A8" s="13"/>
      <c r="B8" s="18">
        <v>45292</v>
      </c>
      <c r="C8" s="19" t="e" vm="1">
        <v>#VALUE!</v>
      </c>
      <c r="D8" s="19" t="s">
        <v>13</v>
      </c>
      <c r="E8" s="443">
        <v>104.7</v>
      </c>
      <c r="F8" s="20">
        <v>21.4</v>
      </c>
      <c r="G8" s="443">
        <f t="shared" si="0"/>
        <v>2240.58</v>
      </c>
      <c r="H8" s="21" t="str" cm="1">
        <f t="array" aca="1" ref="H8" ca="1">_FV(Ledger[[#This Row],[Stock]],"Ticker symbol",TRUE)</f>
        <v>AMD</v>
      </c>
    </row>
    <row r="9" spans="1:8" x14ac:dyDescent="0.35">
      <c r="A9" s="13"/>
      <c r="B9" s="83">
        <v>45658</v>
      </c>
      <c r="C9" s="84" t="e" vm="1">
        <v>#VALUE!</v>
      </c>
      <c r="D9" s="84" t="s">
        <v>160</v>
      </c>
      <c r="E9" s="444">
        <v>126.16</v>
      </c>
      <c r="F9" s="85">
        <v>18.66</v>
      </c>
      <c r="G9" s="444">
        <f t="shared" si="0"/>
        <v>2354.1455999999998</v>
      </c>
      <c r="H9" s="86" t="str" cm="1">
        <f t="array" aca="1" ref="H9" ca="1">_FV(Ledger[[#This Row],[Stock]],"Ticker symbol",TRUE)</f>
        <v>AMD</v>
      </c>
    </row>
    <row r="10" spans="1:8" x14ac:dyDescent="0.35">
      <c r="A10" s="13"/>
      <c r="B10" s="18">
        <v>43466</v>
      </c>
      <c r="C10" s="19" t="e" vm="10">
        <v>#VALUE!</v>
      </c>
      <c r="D10" s="19" t="s">
        <v>13</v>
      </c>
      <c r="E10" s="443">
        <v>97.62</v>
      </c>
      <c r="F10" s="20">
        <v>7.32</v>
      </c>
      <c r="G10" s="443">
        <f t="shared" si="0"/>
        <v>714.5784000000001</v>
      </c>
      <c r="H10" s="21" t="str" cm="1">
        <f t="array" aca="1" ref="H10" ca="1">_FV(Ledger[[#This Row],[Stock]],"Ticker symbol",TRUE)</f>
        <v>JPM</v>
      </c>
    </row>
    <row r="11" spans="1:8" x14ac:dyDescent="0.35">
      <c r="A11" s="13"/>
      <c r="B11" s="83">
        <v>43831</v>
      </c>
      <c r="C11" s="84" t="e" vm="10">
        <v>#VALUE!</v>
      </c>
      <c r="D11" s="84" t="s">
        <v>13</v>
      </c>
      <c r="E11" s="444">
        <v>139.4</v>
      </c>
      <c r="F11" s="85">
        <v>5.12</v>
      </c>
      <c r="G11" s="444">
        <f t="shared" si="0"/>
        <v>713.72800000000007</v>
      </c>
      <c r="H11" s="86" t="str" cm="1">
        <f t="array" aca="1" ref="H11" ca="1">_FV(Ledger[[#This Row],[Stock]],"Ticker symbol",TRUE)</f>
        <v>JPM</v>
      </c>
    </row>
    <row r="12" spans="1:8" x14ac:dyDescent="0.35">
      <c r="A12" s="13"/>
      <c r="B12" s="18">
        <v>44197</v>
      </c>
      <c r="C12" s="19" t="e" vm="10">
        <v>#VALUE!</v>
      </c>
      <c r="D12" s="19" t="s">
        <v>13</v>
      </c>
      <c r="E12" s="443">
        <v>127.07</v>
      </c>
      <c r="F12" s="20">
        <v>5.62</v>
      </c>
      <c r="G12" s="443">
        <f t="shared" si="0"/>
        <v>714.13339999999994</v>
      </c>
      <c r="H12" s="21" t="str" cm="1">
        <f t="array" aca="1" ref="H12" ca="1">_FV(Ledger[[#This Row],[Stock]],"Ticker symbol",TRUE)</f>
        <v>JPM</v>
      </c>
    </row>
    <row r="13" spans="1:8" x14ac:dyDescent="0.35">
      <c r="A13" s="13"/>
      <c r="B13" s="83">
        <v>44562</v>
      </c>
      <c r="C13" s="84" t="e" vm="10">
        <v>#VALUE!</v>
      </c>
      <c r="D13" s="84" t="s">
        <v>160</v>
      </c>
      <c r="E13" s="444">
        <v>167.89</v>
      </c>
      <c r="F13" s="85">
        <v>4.26</v>
      </c>
      <c r="G13" s="444">
        <f t="shared" si="0"/>
        <v>715.21139999999991</v>
      </c>
      <c r="H13" s="86" t="str" cm="1">
        <f t="array" aca="1" ref="H13" ca="1">_FV(Ledger[[#This Row],[Stock]],"Ticker symbol",TRUE)</f>
        <v>JPM</v>
      </c>
    </row>
    <row r="14" spans="1:8" x14ac:dyDescent="0.35">
      <c r="A14" s="13"/>
      <c r="B14" s="18">
        <v>44927</v>
      </c>
      <c r="C14" s="19" t="e" vm="10">
        <v>#VALUE!</v>
      </c>
      <c r="D14" s="19" t="s">
        <v>13</v>
      </c>
      <c r="E14" s="443">
        <v>134.12</v>
      </c>
      <c r="F14" s="20">
        <v>5.32</v>
      </c>
      <c r="G14" s="443">
        <f t="shared" si="0"/>
        <v>713.51840000000004</v>
      </c>
      <c r="H14" s="21" t="str" cm="1">
        <f t="array" aca="1" ref="H14" ca="1">_FV(Ledger[[#This Row],[Stock]],"Ticker symbol",TRUE)</f>
        <v>JPM</v>
      </c>
    </row>
    <row r="15" spans="1:8" x14ac:dyDescent="0.35">
      <c r="A15" s="13"/>
      <c r="B15" s="83">
        <v>45292</v>
      </c>
      <c r="C15" s="84" t="e" vm="10">
        <v>#VALUE!</v>
      </c>
      <c r="D15" s="84" t="s">
        <v>13</v>
      </c>
      <c r="E15" s="444">
        <v>170.1</v>
      </c>
      <c r="F15" s="85">
        <v>16.8</v>
      </c>
      <c r="G15" s="444">
        <f t="shared" si="0"/>
        <v>2857.68</v>
      </c>
      <c r="H15" s="86" t="str" cm="1">
        <f t="array" aca="1" ref="H15" ca="1">_FV(Ledger[[#This Row],[Stock]],"Ticker symbol",TRUE)</f>
        <v>JPM</v>
      </c>
    </row>
    <row r="16" spans="1:8" x14ac:dyDescent="0.35">
      <c r="A16" s="13"/>
      <c r="B16" s="18">
        <v>45658</v>
      </c>
      <c r="C16" s="19" t="e" vm="10">
        <v>#VALUE!</v>
      </c>
      <c r="D16" s="19" t="s">
        <v>160</v>
      </c>
      <c r="E16" s="443">
        <v>242.12</v>
      </c>
      <c r="F16" s="20">
        <v>12.4</v>
      </c>
      <c r="G16" s="443">
        <f t="shared" si="0"/>
        <v>3002.288</v>
      </c>
      <c r="H16" s="21" t="str" cm="1">
        <f t="array" aca="1" ref="H16" ca="1">_FV(Ledger[[#This Row],[Stock]],"Ticker symbol",TRUE)</f>
        <v>JPM</v>
      </c>
    </row>
    <row r="17" spans="1:8" x14ac:dyDescent="0.35">
      <c r="A17" s="13"/>
      <c r="B17" s="83">
        <v>43466</v>
      </c>
      <c r="C17" s="84" t="e" vm="5">
        <v>#VALUE!</v>
      </c>
      <c r="D17" s="84" t="s">
        <v>13</v>
      </c>
      <c r="E17" s="444">
        <v>389.5</v>
      </c>
      <c r="F17" s="85">
        <v>1.69</v>
      </c>
      <c r="G17" s="444">
        <f t="shared" si="0"/>
        <v>658.255</v>
      </c>
      <c r="H17" s="86" t="str" cm="1">
        <f t="array" aca="1" ref="H17" ca="1">_FV(Ledger[[#This Row],[Stock]],"Ticker symbol",TRUE)</f>
        <v>BLK</v>
      </c>
    </row>
    <row r="18" spans="1:8" x14ac:dyDescent="0.35">
      <c r="A18" s="13"/>
      <c r="B18" s="18">
        <v>43831</v>
      </c>
      <c r="C18" s="19" t="e" vm="5">
        <v>#VALUE!</v>
      </c>
      <c r="D18" s="19" t="s">
        <v>13</v>
      </c>
      <c r="E18" s="443">
        <v>502.7</v>
      </c>
      <c r="F18" s="20">
        <v>1.31</v>
      </c>
      <c r="G18" s="443">
        <f t="shared" si="0"/>
        <v>658.53700000000003</v>
      </c>
      <c r="H18" s="21" t="str" cm="1">
        <f t="array" aca="1" ref="H18" ca="1">_FV(Ledger[[#This Row],[Stock]],"Ticker symbol",TRUE)</f>
        <v>BLK</v>
      </c>
    </row>
    <row r="19" spans="1:8" x14ac:dyDescent="0.35">
      <c r="A19" s="13"/>
      <c r="B19" s="83">
        <v>44197</v>
      </c>
      <c r="C19" s="84" t="e" vm="5">
        <v>#VALUE!</v>
      </c>
      <c r="D19" s="84" t="s">
        <v>13</v>
      </c>
      <c r="E19" s="444">
        <v>720.44</v>
      </c>
      <c r="F19" s="85">
        <v>0.91</v>
      </c>
      <c r="G19" s="444">
        <f t="shared" si="0"/>
        <v>655.60040000000004</v>
      </c>
      <c r="H19" s="86" t="str" cm="1">
        <f t="array" aca="1" ref="H19" ca="1">_FV(Ledger[[#This Row],[Stock]],"Ticker symbol",TRUE)</f>
        <v>BLK</v>
      </c>
    </row>
    <row r="20" spans="1:8" x14ac:dyDescent="0.35">
      <c r="A20" s="13"/>
      <c r="B20" s="18">
        <v>44562</v>
      </c>
      <c r="C20" s="19" t="e" vm="5">
        <v>#VALUE!</v>
      </c>
      <c r="D20" s="19" t="s">
        <v>160</v>
      </c>
      <c r="E20" s="443">
        <v>900.84</v>
      </c>
      <c r="F20" s="20">
        <v>0.73</v>
      </c>
      <c r="G20" s="443">
        <f t="shared" si="0"/>
        <v>657.61320000000001</v>
      </c>
      <c r="H20" s="21" t="str" cm="1">
        <f t="array" aca="1" ref="H20" ca="1">_FV(Ledger[[#This Row],[Stock]],"Ticker symbol",TRUE)</f>
        <v>BLK</v>
      </c>
    </row>
    <row r="21" spans="1:8" x14ac:dyDescent="0.35">
      <c r="A21" s="13"/>
      <c r="B21" s="83">
        <v>44927</v>
      </c>
      <c r="C21" s="84" t="e" vm="5">
        <v>#VALUE!</v>
      </c>
      <c r="D21" s="84" t="s">
        <v>13</v>
      </c>
      <c r="E21" s="444">
        <v>714.77</v>
      </c>
      <c r="F21" s="85">
        <v>0.92</v>
      </c>
      <c r="G21" s="444">
        <f t="shared" si="0"/>
        <v>657.58839999999998</v>
      </c>
      <c r="H21" s="86" t="str" cm="1">
        <f t="array" aca="1" ref="H21" ca="1">_FV(Ledger[[#This Row],[Stock]],"Ticker symbol",TRUE)</f>
        <v>BLK</v>
      </c>
    </row>
    <row r="22" spans="1:8" x14ac:dyDescent="0.35">
      <c r="A22" s="13"/>
      <c r="B22" s="18">
        <v>45292</v>
      </c>
      <c r="C22" s="19" t="e" vm="5">
        <v>#VALUE!</v>
      </c>
      <c r="D22" s="19" t="s">
        <v>13</v>
      </c>
      <c r="E22" s="443">
        <v>808.8</v>
      </c>
      <c r="F22" s="20">
        <v>3.25</v>
      </c>
      <c r="G22" s="443">
        <f t="shared" si="0"/>
        <v>2628.6</v>
      </c>
      <c r="H22" s="21" t="str" cm="1">
        <f t="array" aca="1" ref="H22" ca="1">_FV(Ledger[[#This Row],[Stock]],"Ticker symbol",TRUE)</f>
        <v>BLK</v>
      </c>
    </row>
    <row r="23" spans="1:8" x14ac:dyDescent="0.35">
      <c r="A23" s="13"/>
      <c r="B23" s="83">
        <v>45658</v>
      </c>
      <c r="C23" s="84" t="e" vm="5">
        <v>#VALUE!</v>
      </c>
      <c r="D23" s="84" t="s">
        <v>160</v>
      </c>
      <c r="E23" s="444">
        <v>1008.88</v>
      </c>
      <c r="F23" s="85">
        <v>2.74</v>
      </c>
      <c r="G23" s="444">
        <f t="shared" si="0"/>
        <v>2764.3312000000001</v>
      </c>
      <c r="H23" s="86" t="str" cm="1">
        <f t="array" aca="1" ref="H23" ca="1">_FV(Ledger[[#This Row],[Stock]],"Ticker symbol",TRUE)</f>
        <v>BLK</v>
      </c>
    </row>
    <row r="24" spans="1:8" x14ac:dyDescent="0.35">
      <c r="A24" s="13"/>
      <c r="B24" s="18">
        <v>43466</v>
      </c>
      <c r="C24" s="19" t="e" vm="14">
        <v>#VALUE!</v>
      </c>
      <c r="D24" s="19" t="s">
        <v>13</v>
      </c>
      <c r="E24" s="443">
        <v>322.5</v>
      </c>
      <c r="F24" s="20">
        <v>2.34</v>
      </c>
      <c r="G24" s="443">
        <f t="shared" si="0"/>
        <v>754.65</v>
      </c>
      <c r="H24" s="21" t="str" cm="1">
        <f t="array" aca="1" ref="H24" ca="1">_FV(Ledger[[#This Row],[Stock]],"Ticker symbol",TRUE)</f>
        <v>BA</v>
      </c>
    </row>
    <row r="25" spans="1:8" x14ac:dyDescent="0.35">
      <c r="A25" s="13"/>
      <c r="B25" s="83">
        <v>43831</v>
      </c>
      <c r="C25" s="84" t="e" vm="14">
        <v>#VALUE!</v>
      </c>
      <c r="D25" s="84" t="s">
        <v>13</v>
      </c>
      <c r="E25" s="444">
        <v>327</v>
      </c>
      <c r="F25" s="85">
        <v>2.31</v>
      </c>
      <c r="G25" s="444">
        <f t="shared" si="0"/>
        <v>755.37</v>
      </c>
      <c r="H25" s="86" t="str" cm="1">
        <f t="array" aca="1" ref="H25" ca="1">_FV(Ledger[[#This Row],[Stock]],"Ticker symbol",TRUE)</f>
        <v>BA</v>
      </c>
    </row>
    <row r="26" spans="1:8" x14ac:dyDescent="0.35">
      <c r="A26" s="13"/>
      <c r="B26" s="18">
        <v>44197</v>
      </c>
      <c r="C26" s="19" t="e" vm="14">
        <v>#VALUE!</v>
      </c>
      <c r="D26" s="19" t="s">
        <v>13</v>
      </c>
      <c r="E26" s="443">
        <v>214.06</v>
      </c>
      <c r="F26" s="20">
        <v>3.52</v>
      </c>
      <c r="G26" s="443">
        <f t="shared" si="0"/>
        <v>753.49120000000005</v>
      </c>
      <c r="H26" s="21" t="str" cm="1">
        <f t="array" aca="1" ref="H26" ca="1">_FV(Ledger[[#This Row],[Stock]],"Ticker symbol",TRUE)</f>
        <v>BA</v>
      </c>
    </row>
    <row r="27" spans="1:8" x14ac:dyDescent="0.35">
      <c r="A27" s="13"/>
      <c r="B27" s="83">
        <v>44562</v>
      </c>
      <c r="C27" s="84" t="e" vm="14">
        <v>#VALUE!</v>
      </c>
      <c r="D27" s="84" t="s">
        <v>160</v>
      </c>
      <c r="E27" s="444">
        <v>202.71</v>
      </c>
      <c r="F27" s="85">
        <v>3.72</v>
      </c>
      <c r="G27" s="444">
        <f t="shared" si="0"/>
        <v>754.08120000000008</v>
      </c>
      <c r="H27" s="86" t="str" cm="1">
        <f t="array" aca="1" ref="H27" ca="1">_FV(Ledger[[#This Row],[Stock]],"Ticker symbol",TRUE)</f>
        <v>BA</v>
      </c>
    </row>
    <row r="28" spans="1:8" x14ac:dyDescent="0.35">
      <c r="A28" s="13"/>
      <c r="B28" s="18">
        <v>44927</v>
      </c>
      <c r="C28" s="19" t="e" vm="14">
        <v>#VALUE!</v>
      </c>
      <c r="D28" s="19" t="s">
        <v>13</v>
      </c>
      <c r="E28" s="443">
        <v>193.38</v>
      </c>
      <c r="F28" s="20">
        <v>3.9</v>
      </c>
      <c r="G28" s="443">
        <f t="shared" si="0"/>
        <v>754.18200000000002</v>
      </c>
      <c r="H28" s="21" t="str" cm="1">
        <f t="array" aca="1" ref="H28" ca="1">_FV(Ledger[[#This Row],[Stock]],"Ticker symbol",TRUE)</f>
        <v>BA</v>
      </c>
    </row>
    <row r="29" spans="1:8" x14ac:dyDescent="0.35">
      <c r="A29" s="13"/>
      <c r="B29" s="83">
        <v>45292</v>
      </c>
      <c r="C29" s="84" t="e" vm="14">
        <v>#VALUE!</v>
      </c>
      <c r="D29" s="84" t="s">
        <v>13</v>
      </c>
      <c r="E29" s="444">
        <v>249.33</v>
      </c>
      <c r="F29" s="85">
        <v>12.1</v>
      </c>
      <c r="G29" s="444">
        <f t="shared" si="0"/>
        <v>3016.893</v>
      </c>
      <c r="H29" s="86" t="str" cm="1">
        <f t="array" aca="1" ref="H29" ca="1">_FV(Ledger[[#This Row],[Stock]],"Ticker symbol",TRUE)</f>
        <v>BA</v>
      </c>
    </row>
    <row r="30" spans="1:8" x14ac:dyDescent="0.35">
      <c r="A30" s="13"/>
      <c r="B30" s="18">
        <v>45658</v>
      </c>
      <c r="C30" s="19" t="e" vm="14">
        <v>#VALUE!</v>
      </c>
      <c r="D30" s="19" t="s">
        <v>160</v>
      </c>
      <c r="E30" s="443">
        <v>177.05</v>
      </c>
      <c r="F30" s="20">
        <v>17.899999999999999</v>
      </c>
      <c r="G30" s="443">
        <f t="shared" si="0"/>
        <v>3169.1950000000002</v>
      </c>
      <c r="H30" s="21" t="str" cm="1">
        <f t="array" aca="1" ref="H30" ca="1">_FV(Ledger[[#This Row],[Stock]],"Ticker symbol",TRUE)</f>
        <v>BA</v>
      </c>
    </row>
    <row r="31" spans="1:8" x14ac:dyDescent="0.35">
      <c r="A31" s="13"/>
      <c r="B31" s="83">
        <v>43466</v>
      </c>
      <c r="C31" s="84" t="e" vm="11">
        <v>#VALUE!</v>
      </c>
      <c r="D31" s="84" t="s">
        <v>13</v>
      </c>
      <c r="E31" s="444">
        <v>131.09</v>
      </c>
      <c r="F31" s="85">
        <v>4.8099999999999996</v>
      </c>
      <c r="G31" s="444">
        <f t="shared" si="0"/>
        <v>630.54289999999992</v>
      </c>
      <c r="H31" s="86" t="str" cm="1">
        <f t="array" aca="1" ref="H31" ca="1">_FV(Ledger[[#This Row],[Stock]],"Ticker symbol",TRUE)</f>
        <v>META</v>
      </c>
    </row>
    <row r="32" spans="1:8" x14ac:dyDescent="0.35">
      <c r="A32" s="13"/>
      <c r="B32" s="18">
        <v>43831</v>
      </c>
      <c r="C32" s="19" t="e" vm="11">
        <v>#VALUE!</v>
      </c>
      <c r="D32" s="19" t="s">
        <v>13</v>
      </c>
      <c r="E32" s="443">
        <v>209.78</v>
      </c>
      <c r="F32" s="20">
        <v>3</v>
      </c>
      <c r="G32" s="443">
        <f t="shared" si="0"/>
        <v>629.34</v>
      </c>
      <c r="H32" s="21" t="str" cm="1">
        <f t="array" aca="1" ref="H32" ca="1">_FV(Ledger[[#This Row],[Stock]],"Ticker symbol",TRUE)</f>
        <v>META</v>
      </c>
    </row>
    <row r="33" spans="1:8" x14ac:dyDescent="0.35">
      <c r="A33" s="13"/>
      <c r="B33" s="83">
        <v>44197</v>
      </c>
      <c r="C33" s="84" t="e" vm="11">
        <v>#VALUE!</v>
      </c>
      <c r="D33" s="84" t="s">
        <v>13</v>
      </c>
      <c r="E33" s="444">
        <v>273.16000000000003</v>
      </c>
      <c r="F33" s="85">
        <v>2.31</v>
      </c>
      <c r="G33" s="444">
        <f t="shared" si="0"/>
        <v>630.9996000000001</v>
      </c>
      <c r="H33" s="86" t="str" cm="1">
        <f t="array" aca="1" ref="H33" ca="1">_FV(Ledger[[#This Row],[Stock]],"Ticker symbol",TRUE)</f>
        <v>META</v>
      </c>
    </row>
    <row r="34" spans="1:8" x14ac:dyDescent="0.35">
      <c r="A34" s="13"/>
      <c r="B34" s="18">
        <v>44562</v>
      </c>
      <c r="C34" s="19" t="e" vm="11">
        <v>#VALUE!</v>
      </c>
      <c r="D34" s="19" t="s">
        <v>160</v>
      </c>
      <c r="E34" s="443">
        <v>338.54</v>
      </c>
      <c r="F34" s="20">
        <v>1.86</v>
      </c>
      <c r="G34" s="443">
        <f t="shared" si="0"/>
        <v>629.6844000000001</v>
      </c>
      <c r="H34" s="21" t="str" cm="1">
        <f t="array" aca="1" ref="H34" ca="1">_FV(Ledger[[#This Row],[Stock]],"Ticker symbol",TRUE)</f>
        <v>META</v>
      </c>
    </row>
    <row r="35" spans="1:8" x14ac:dyDescent="0.35">
      <c r="A35" s="13"/>
      <c r="B35" s="83">
        <v>44927</v>
      </c>
      <c r="C35" s="84" t="e" vm="11">
        <v>#VALUE!</v>
      </c>
      <c r="D35" s="84" t="s">
        <v>13</v>
      </c>
      <c r="E35" s="444">
        <v>128.31</v>
      </c>
      <c r="F35" s="85">
        <v>4.91</v>
      </c>
      <c r="G35" s="444">
        <f t="shared" ref="G35:G66" si="1">E35*F35</f>
        <v>630.00210000000004</v>
      </c>
      <c r="H35" s="86" t="str" cm="1">
        <f t="array" aca="1" ref="H35" ca="1">_FV(Ledger[[#This Row],[Stock]],"Ticker symbol",TRUE)</f>
        <v>META</v>
      </c>
    </row>
    <row r="36" spans="1:8" x14ac:dyDescent="0.35">
      <c r="A36" s="13"/>
      <c r="B36" s="18">
        <v>45292</v>
      </c>
      <c r="C36" s="19" t="e" vm="11">
        <v>#VALUE!</v>
      </c>
      <c r="D36" s="19" t="s">
        <v>13</v>
      </c>
      <c r="E36" s="443">
        <v>353.96</v>
      </c>
      <c r="F36" s="20">
        <v>7.12</v>
      </c>
      <c r="G36" s="443">
        <f t="shared" si="1"/>
        <v>2520.1952000000001</v>
      </c>
      <c r="H36" s="21" t="str" cm="1">
        <f t="array" aca="1" ref="H36" ca="1">_FV(Ledger[[#This Row],[Stock]],"Ticker symbol",TRUE)</f>
        <v>META</v>
      </c>
    </row>
    <row r="37" spans="1:8" x14ac:dyDescent="0.35">
      <c r="A37" s="13"/>
      <c r="B37" s="83">
        <v>45658</v>
      </c>
      <c r="C37" s="84" t="e" vm="11">
        <v>#VALUE!</v>
      </c>
      <c r="D37" s="84" t="s">
        <v>160</v>
      </c>
      <c r="E37" s="444">
        <v>585.51</v>
      </c>
      <c r="F37" s="85">
        <v>4.5199999999999996</v>
      </c>
      <c r="G37" s="444">
        <f t="shared" si="1"/>
        <v>2646.5051999999996</v>
      </c>
      <c r="H37" s="86" t="str" cm="1">
        <f t="array" aca="1" ref="H37" ca="1">_FV(Ledger[[#This Row],[Stock]],"Ticker symbol",TRUE)</f>
        <v>META</v>
      </c>
    </row>
    <row r="38" spans="1:8" x14ac:dyDescent="0.35">
      <c r="A38" s="13"/>
      <c r="B38" s="18">
        <v>43466</v>
      </c>
      <c r="C38" s="19" t="e" vm="2">
        <v>#VALUE!</v>
      </c>
      <c r="D38" s="19" t="s">
        <v>13</v>
      </c>
      <c r="E38" s="443">
        <v>52.28</v>
      </c>
      <c r="F38" s="20">
        <v>11.38</v>
      </c>
      <c r="G38" s="443">
        <f t="shared" si="1"/>
        <v>594.94640000000004</v>
      </c>
      <c r="H38" s="21" t="str" cm="1">
        <f t="array" aca="1" ref="H38" ca="1">_FV(Ledger[[#This Row],[Stock]],"Ticker symbol",TRUE)</f>
        <v>GOOG</v>
      </c>
    </row>
    <row r="39" spans="1:8" x14ac:dyDescent="0.35">
      <c r="A39" s="13"/>
      <c r="B39" s="83">
        <v>43831</v>
      </c>
      <c r="C39" s="84" t="e" vm="2">
        <v>#VALUE!</v>
      </c>
      <c r="D39" s="84" t="s">
        <v>13</v>
      </c>
      <c r="E39" s="444">
        <v>68.37</v>
      </c>
      <c r="F39" s="85">
        <v>8.6999999999999993</v>
      </c>
      <c r="G39" s="444">
        <f t="shared" si="1"/>
        <v>594.81899999999996</v>
      </c>
      <c r="H39" s="86" t="str" cm="1">
        <f t="array" aca="1" ref="H39" ca="1">_FV(Ledger[[#This Row],[Stock]],"Ticker symbol",TRUE)</f>
        <v>GOOG</v>
      </c>
    </row>
    <row r="40" spans="1:8" x14ac:dyDescent="0.35">
      <c r="A40" s="13"/>
      <c r="B40" s="18">
        <v>44197</v>
      </c>
      <c r="C40" s="19" t="e" vm="2">
        <v>#VALUE!</v>
      </c>
      <c r="D40" s="19" t="s">
        <v>13</v>
      </c>
      <c r="E40" s="443">
        <v>87.9</v>
      </c>
      <c r="F40" s="20">
        <v>6.77</v>
      </c>
      <c r="G40" s="443">
        <f t="shared" si="1"/>
        <v>595.08299999999997</v>
      </c>
      <c r="H40" s="21" t="str" cm="1">
        <f t="array" aca="1" ref="H40" ca="1">_FV(Ledger[[#This Row],[Stock]],"Ticker symbol",TRUE)</f>
        <v>GOOG</v>
      </c>
    </row>
    <row r="41" spans="1:8" x14ac:dyDescent="0.35">
      <c r="A41" s="13"/>
      <c r="B41" s="83">
        <v>44562</v>
      </c>
      <c r="C41" s="84" t="e" vm="2">
        <v>#VALUE!</v>
      </c>
      <c r="D41" s="84" t="s">
        <v>160</v>
      </c>
      <c r="E41" s="444">
        <v>144.41</v>
      </c>
      <c r="F41" s="85">
        <v>4.12</v>
      </c>
      <c r="G41" s="444">
        <f t="shared" si="1"/>
        <v>594.9692</v>
      </c>
      <c r="H41" s="86" t="str" cm="1">
        <f t="array" aca="1" ref="H41" ca="1">_FV(Ledger[[#This Row],[Stock]],"Ticker symbol",TRUE)</f>
        <v>GOOG</v>
      </c>
    </row>
    <row r="42" spans="1:8" x14ac:dyDescent="0.35">
      <c r="A42" s="13"/>
      <c r="B42" s="18">
        <v>44927</v>
      </c>
      <c r="C42" s="19" t="e" vm="2">
        <v>#VALUE!</v>
      </c>
      <c r="D42" s="19" t="s">
        <v>13</v>
      </c>
      <c r="E42" s="443">
        <v>88.73</v>
      </c>
      <c r="F42" s="20">
        <v>6.7</v>
      </c>
      <c r="G42" s="443">
        <f t="shared" si="1"/>
        <v>594.4910000000001</v>
      </c>
      <c r="H42" s="21" t="str" cm="1">
        <f t="array" aca="1" ref="H42" ca="1">_FV(Ledger[[#This Row],[Stock]],"Ticker symbol",TRUE)</f>
        <v>GOOG</v>
      </c>
    </row>
    <row r="43" spans="1:8" x14ac:dyDescent="0.35">
      <c r="A43" s="13"/>
      <c r="B43" s="83">
        <v>45292</v>
      </c>
      <c r="C43" s="84" t="e" vm="2">
        <v>#VALUE!</v>
      </c>
      <c r="D43" s="84" t="s">
        <v>13</v>
      </c>
      <c r="E43" s="444">
        <v>140.93</v>
      </c>
      <c r="F43" s="85">
        <v>16.89</v>
      </c>
      <c r="G43" s="444">
        <f t="shared" si="1"/>
        <v>2380.3077000000003</v>
      </c>
      <c r="H43" s="86" t="str" cm="1">
        <f t="array" aca="1" ref="H43" ca="1">_FV(Ledger[[#This Row],[Stock]],"Ticker symbol",TRUE)</f>
        <v>GOOG</v>
      </c>
    </row>
    <row r="44" spans="1:8" x14ac:dyDescent="0.35">
      <c r="A44" s="13"/>
      <c r="B44" s="18">
        <v>45658</v>
      </c>
      <c r="C44" s="19" t="e" vm="2">
        <v>#VALUE!</v>
      </c>
      <c r="D44" s="19" t="s">
        <v>160</v>
      </c>
      <c r="E44" s="443">
        <v>191.41</v>
      </c>
      <c r="F44" s="20">
        <v>13.06</v>
      </c>
      <c r="G44" s="443">
        <f t="shared" si="1"/>
        <v>2499.8146000000002</v>
      </c>
      <c r="H44" s="21" t="str" cm="1">
        <f t="array" aca="1" ref="H44" ca="1">_FV(Ledger[[#This Row],[Stock]],"Ticker symbol",TRUE)</f>
        <v>GOOG</v>
      </c>
    </row>
    <row r="45" spans="1:8" x14ac:dyDescent="0.35">
      <c r="A45" s="13"/>
      <c r="B45" s="83">
        <v>43466</v>
      </c>
      <c r="C45" s="84" t="e" vm="12">
        <v>#VALUE!</v>
      </c>
      <c r="D45" s="84" t="s">
        <v>13</v>
      </c>
      <c r="E45" s="444">
        <v>3.37</v>
      </c>
      <c r="F45" s="85">
        <v>197.32</v>
      </c>
      <c r="G45" s="444">
        <f t="shared" si="1"/>
        <v>664.96839999999997</v>
      </c>
      <c r="H45" s="86" t="str" cm="1">
        <f t="array" aca="1" ref="H45" ca="1">_FV(Ledger[[#This Row],[Stock]],"Ticker symbol",TRUE)</f>
        <v>NVDA</v>
      </c>
    </row>
    <row r="46" spans="1:8" x14ac:dyDescent="0.35">
      <c r="A46" s="13"/>
      <c r="B46" s="18">
        <v>43831</v>
      </c>
      <c r="C46" s="19" t="e" vm="12">
        <v>#VALUE!</v>
      </c>
      <c r="D46" s="19" t="s">
        <v>13</v>
      </c>
      <c r="E46" s="443">
        <v>5.91</v>
      </c>
      <c r="F46" s="20">
        <v>112.49</v>
      </c>
      <c r="G46" s="443">
        <f t="shared" si="1"/>
        <v>664.81589999999994</v>
      </c>
      <c r="H46" s="21" t="str" cm="1">
        <f t="array" aca="1" ref="H46" ca="1">_FV(Ledger[[#This Row],[Stock]],"Ticker symbol",TRUE)</f>
        <v>NVDA</v>
      </c>
    </row>
    <row r="47" spans="1:8" x14ac:dyDescent="0.35">
      <c r="A47" s="13"/>
      <c r="B47" s="83">
        <v>44197</v>
      </c>
      <c r="C47" s="84" t="e" vm="12">
        <v>#VALUE!</v>
      </c>
      <c r="D47" s="84" t="s">
        <v>13</v>
      </c>
      <c r="E47" s="444">
        <v>13.1</v>
      </c>
      <c r="F47" s="85">
        <v>50.77</v>
      </c>
      <c r="G47" s="444">
        <f t="shared" si="1"/>
        <v>665.08699999999999</v>
      </c>
      <c r="H47" s="86" t="str" cm="1">
        <f t="array" aca="1" ref="H47" ca="1">_FV(Ledger[[#This Row],[Stock]],"Ticker symbol",TRUE)</f>
        <v>NVDA</v>
      </c>
    </row>
    <row r="48" spans="1:8" x14ac:dyDescent="0.35">
      <c r="A48" s="13"/>
      <c r="B48" s="18">
        <v>44562</v>
      </c>
      <c r="C48" s="19" t="e" vm="12">
        <v>#VALUE!</v>
      </c>
      <c r="D48" s="19" t="s">
        <v>160</v>
      </c>
      <c r="E48" s="443">
        <v>29.47</v>
      </c>
      <c r="F48" s="20">
        <v>22.58</v>
      </c>
      <c r="G48" s="443">
        <f t="shared" si="1"/>
        <v>665.43259999999998</v>
      </c>
      <c r="H48" s="21" t="str" cm="1">
        <f t="array" aca="1" ref="H48" ca="1">_FV(Ledger[[#This Row],[Stock]],"Ticker symbol",TRUE)</f>
        <v>NVDA</v>
      </c>
    </row>
    <row r="49" spans="1:8" x14ac:dyDescent="0.35">
      <c r="A49" s="13"/>
      <c r="B49" s="83">
        <v>44927</v>
      </c>
      <c r="C49" s="84" t="e" vm="12">
        <v>#VALUE!</v>
      </c>
      <c r="D49" s="84" t="s">
        <v>13</v>
      </c>
      <c r="E49" s="444">
        <v>14.63</v>
      </c>
      <c r="F49" s="85">
        <v>45.44</v>
      </c>
      <c r="G49" s="444">
        <f t="shared" si="1"/>
        <v>664.78719999999998</v>
      </c>
      <c r="H49" s="86" t="str" cm="1">
        <f t="array" aca="1" ref="H49" ca="1">_FV(Ledger[[#This Row],[Stock]],"Ticker symbol",TRUE)</f>
        <v>NVDA</v>
      </c>
    </row>
    <row r="50" spans="1:8" x14ac:dyDescent="0.35">
      <c r="A50" s="13"/>
      <c r="B50" s="18">
        <v>45292</v>
      </c>
      <c r="C50" s="19" t="e" vm="12">
        <v>#VALUE!</v>
      </c>
      <c r="D50" s="19" t="s">
        <v>13</v>
      </c>
      <c r="E50" s="443">
        <v>49.52</v>
      </c>
      <c r="F50" s="20">
        <v>53.72</v>
      </c>
      <c r="G50" s="443">
        <f t="shared" si="1"/>
        <v>2660.2144000000003</v>
      </c>
      <c r="H50" s="21" t="str" cm="1">
        <f t="array" aca="1" ref="H50" ca="1">_FV(Ledger[[#This Row],[Stock]],"Ticker symbol",TRUE)</f>
        <v>NVDA</v>
      </c>
    </row>
    <row r="51" spans="1:8" x14ac:dyDescent="0.35">
      <c r="A51" s="13"/>
      <c r="B51" s="83">
        <v>45658</v>
      </c>
      <c r="C51" s="84" t="e" vm="12">
        <v>#VALUE!</v>
      </c>
      <c r="D51" s="84" t="s">
        <v>160</v>
      </c>
      <c r="E51" s="444">
        <v>134.29</v>
      </c>
      <c r="F51" s="85">
        <v>20.81</v>
      </c>
      <c r="G51" s="444">
        <f t="shared" si="1"/>
        <v>2794.5748999999996</v>
      </c>
      <c r="H51" s="86" t="str" cm="1">
        <f t="array" aca="1" ref="H51" ca="1">_FV(Ledger[[#This Row],[Stock]],"Ticker symbol",TRUE)</f>
        <v>NVDA</v>
      </c>
    </row>
    <row r="52" spans="1:8" x14ac:dyDescent="0.35">
      <c r="A52" s="13"/>
      <c r="B52" s="18">
        <v>43466</v>
      </c>
      <c r="C52" s="19" t="e" vm="4">
        <v>#VALUE!</v>
      </c>
      <c r="D52" s="19" t="s">
        <v>13</v>
      </c>
      <c r="E52" s="443">
        <v>39.479999999999997</v>
      </c>
      <c r="F52" s="20">
        <v>14.18</v>
      </c>
      <c r="G52" s="443">
        <f t="shared" si="1"/>
        <v>559.82639999999992</v>
      </c>
      <c r="H52" s="21" t="str" cm="1">
        <f t="array" aca="1" ref="H52" ca="1">_FV(Ledger[[#This Row],[Stock]],"Ticker symbol",TRUE)</f>
        <v>AAPL</v>
      </c>
    </row>
    <row r="53" spans="1:8" x14ac:dyDescent="0.35">
      <c r="A53" s="13"/>
      <c r="B53" s="83">
        <v>43831</v>
      </c>
      <c r="C53" s="84" t="e" vm="4">
        <v>#VALUE!</v>
      </c>
      <c r="D53" s="84" t="s">
        <v>13</v>
      </c>
      <c r="E53" s="444">
        <v>75.09</v>
      </c>
      <c r="F53" s="85">
        <v>7.45</v>
      </c>
      <c r="G53" s="444">
        <f t="shared" si="1"/>
        <v>559.42050000000006</v>
      </c>
      <c r="H53" s="86" t="str" cm="1">
        <f t="array" aca="1" ref="H53" ca="1">_FV(Ledger[[#This Row],[Stock]],"Ticker symbol",TRUE)</f>
        <v>AAPL</v>
      </c>
    </row>
    <row r="54" spans="1:8" x14ac:dyDescent="0.35">
      <c r="A54" s="13"/>
      <c r="B54" s="18">
        <v>44197</v>
      </c>
      <c r="C54" s="19" t="e" vm="4">
        <v>#VALUE!</v>
      </c>
      <c r="D54" s="19" t="s">
        <v>13</v>
      </c>
      <c r="E54" s="443">
        <v>132.69</v>
      </c>
      <c r="F54" s="20">
        <v>4.22</v>
      </c>
      <c r="G54" s="443">
        <f t="shared" si="1"/>
        <v>559.95179999999993</v>
      </c>
      <c r="H54" s="21" t="str" cm="1">
        <f t="array" aca="1" ref="H54" ca="1">_FV(Ledger[[#This Row],[Stock]],"Ticker symbol",TRUE)</f>
        <v>AAPL</v>
      </c>
    </row>
    <row r="55" spans="1:8" x14ac:dyDescent="0.35">
      <c r="A55" s="13"/>
      <c r="B55" s="83">
        <v>44562</v>
      </c>
      <c r="C55" s="84" t="e" vm="4">
        <v>#VALUE!</v>
      </c>
      <c r="D55" s="84" t="s">
        <v>160</v>
      </c>
      <c r="E55" s="444">
        <v>182.01</v>
      </c>
      <c r="F55" s="85">
        <v>3.08</v>
      </c>
      <c r="G55" s="444">
        <f t="shared" si="1"/>
        <v>560.59079999999994</v>
      </c>
      <c r="H55" s="86" t="str" cm="1">
        <f t="array" aca="1" ref="H55" ca="1">_FV(Ledger[[#This Row],[Stock]],"Ticker symbol",TRUE)</f>
        <v>AAPL</v>
      </c>
    </row>
    <row r="56" spans="1:8" x14ac:dyDescent="0.35">
      <c r="A56" s="13"/>
      <c r="B56" s="18">
        <v>44927</v>
      </c>
      <c r="C56" s="19" t="e" vm="4">
        <v>#VALUE!</v>
      </c>
      <c r="D56" s="19" t="s">
        <v>13</v>
      </c>
      <c r="E56" s="443">
        <v>130.21</v>
      </c>
      <c r="F56" s="20">
        <v>4.3</v>
      </c>
      <c r="G56" s="443">
        <f t="shared" si="1"/>
        <v>559.90300000000002</v>
      </c>
      <c r="H56" s="21" t="str" cm="1">
        <f t="array" aca="1" ref="H56" ca="1">_FV(Ledger[[#This Row],[Stock]],"Ticker symbol",TRUE)</f>
        <v>AAPL</v>
      </c>
    </row>
    <row r="57" spans="1:8" x14ac:dyDescent="0.35">
      <c r="A57" s="13"/>
      <c r="B57" s="83">
        <v>45292</v>
      </c>
      <c r="C57" s="84" t="e" vm="4">
        <v>#VALUE!</v>
      </c>
      <c r="D57" s="84" t="s">
        <v>13</v>
      </c>
      <c r="E57" s="444">
        <v>185.64</v>
      </c>
      <c r="F57" s="85">
        <v>12.06</v>
      </c>
      <c r="G57" s="444">
        <f t="shared" si="1"/>
        <v>2238.8184000000001</v>
      </c>
      <c r="H57" s="86" t="str" cm="1">
        <f t="array" aca="1" ref="H57" ca="1">_FV(Ledger[[#This Row],[Stock]],"Ticker symbol",TRUE)</f>
        <v>AAPL</v>
      </c>
    </row>
    <row r="58" spans="1:8" x14ac:dyDescent="0.35">
      <c r="A58" s="13"/>
      <c r="B58" s="18">
        <v>45658</v>
      </c>
      <c r="C58" s="19" t="e" vm="4">
        <v>#VALUE!</v>
      </c>
      <c r="D58" s="19" t="s">
        <v>160</v>
      </c>
      <c r="E58" s="443">
        <v>243.85</v>
      </c>
      <c r="F58" s="20">
        <v>9.65</v>
      </c>
      <c r="G58" s="443">
        <f t="shared" si="1"/>
        <v>2353.1525000000001</v>
      </c>
      <c r="H58" s="21" t="str" cm="1">
        <f t="array" aca="1" ref="H58" ca="1">_FV(Ledger[[#This Row],[Stock]],"Ticker symbol",TRUE)</f>
        <v>AAPL</v>
      </c>
    </row>
    <row r="59" spans="1:8" x14ac:dyDescent="0.35">
      <c r="A59" s="13"/>
      <c r="B59" s="83">
        <v>43466</v>
      </c>
      <c r="C59" s="84" t="e" vm="6">
        <v>#VALUE!</v>
      </c>
      <c r="D59" s="84" t="s">
        <v>13</v>
      </c>
      <c r="E59" s="444">
        <v>107.58</v>
      </c>
      <c r="F59" s="85">
        <v>6.95</v>
      </c>
      <c r="G59" s="444">
        <f t="shared" si="1"/>
        <v>747.68100000000004</v>
      </c>
      <c r="H59" s="86" t="str" cm="1">
        <f t="array" aca="1" ref="H59" ca="1">_FV(Ledger[[#This Row],[Stock]],"Ticker symbol",TRUE)</f>
        <v>CVX</v>
      </c>
    </row>
    <row r="60" spans="1:8" x14ac:dyDescent="0.35">
      <c r="A60" s="13"/>
      <c r="B60" s="18">
        <v>43831</v>
      </c>
      <c r="C60" s="19" t="e" vm="6">
        <v>#VALUE!</v>
      </c>
      <c r="D60" s="19" t="s">
        <v>13</v>
      </c>
      <c r="E60" s="443">
        <v>120.51</v>
      </c>
      <c r="F60" s="20">
        <v>6.21</v>
      </c>
      <c r="G60" s="443">
        <f t="shared" si="1"/>
        <v>748.36710000000005</v>
      </c>
      <c r="H60" s="21" t="str" cm="1">
        <f t="array" aca="1" ref="H60" ca="1">_FV(Ledger[[#This Row],[Stock]],"Ticker symbol",TRUE)</f>
        <v>CVX</v>
      </c>
    </row>
    <row r="61" spans="1:8" x14ac:dyDescent="0.35">
      <c r="A61" s="13"/>
      <c r="B61" s="83">
        <v>44197</v>
      </c>
      <c r="C61" s="84" t="e" vm="6">
        <v>#VALUE!</v>
      </c>
      <c r="D61" s="84" t="s">
        <v>13</v>
      </c>
      <c r="E61" s="444">
        <v>84.45</v>
      </c>
      <c r="F61" s="85">
        <v>8.86</v>
      </c>
      <c r="G61" s="444">
        <f t="shared" si="1"/>
        <v>748.22699999999998</v>
      </c>
      <c r="H61" s="86" t="str" cm="1">
        <f t="array" aca="1" ref="H61" ca="1">_FV(Ledger[[#This Row],[Stock]],"Ticker symbol",TRUE)</f>
        <v>CVX</v>
      </c>
    </row>
    <row r="62" spans="1:8" x14ac:dyDescent="0.35">
      <c r="A62" s="13"/>
      <c r="B62" s="18">
        <v>44562</v>
      </c>
      <c r="C62" s="19" t="e" vm="6">
        <v>#VALUE!</v>
      </c>
      <c r="D62" s="19" t="s">
        <v>160</v>
      </c>
      <c r="E62" s="443">
        <v>117.35</v>
      </c>
      <c r="F62" s="20">
        <v>6.38</v>
      </c>
      <c r="G62" s="443">
        <f t="shared" si="1"/>
        <v>748.69299999999998</v>
      </c>
      <c r="H62" s="21" t="str" cm="1">
        <f t="array" aca="1" ref="H62" ca="1">_FV(Ledger[[#This Row],[Stock]],"Ticker symbol",TRUE)</f>
        <v>CVX</v>
      </c>
    </row>
    <row r="63" spans="1:8" x14ac:dyDescent="0.35">
      <c r="A63" s="13"/>
      <c r="B63" s="83">
        <v>44927</v>
      </c>
      <c r="C63" s="84" t="e" vm="6">
        <v>#VALUE!</v>
      </c>
      <c r="D63" s="84" t="s">
        <v>13</v>
      </c>
      <c r="E63" s="444">
        <v>179.49</v>
      </c>
      <c r="F63" s="85">
        <v>4.17</v>
      </c>
      <c r="G63" s="444">
        <f t="shared" si="1"/>
        <v>748.47329999999999</v>
      </c>
      <c r="H63" s="86" t="str" cm="1">
        <f t="array" aca="1" ref="H63" ca="1">_FV(Ledger[[#This Row],[Stock]],"Ticker symbol",TRUE)</f>
        <v>CVX</v>
      </c>
    </row>
    <row r="64" spans="1:8" x14ac:dyDescent="0.35">
      <c r="A64" s="13"/>
      <c r="B64" s="18">
        <v>45292</v>
      </c>
      <c r="C64" s="19" t="e" vm="6">
        <v>#VALUE!</v>
      </c>
      <c r="D64" s="19" t="s">
        <v>13</v>
      </c>
      <c r="E64" s="443">
        <v>149.22</v>
      </c>
      <c r="F64" s="20">
        <v>20.059999999999999</v>
      </c>
      <c r="G64" s="443">
        <f t="shared" si="1"/>
        <v>2993.3531999999996</v>
      </c>
      <c r="H64" s="21" t="str" cm="1">
        <f t="array" aca="1" ref="H64" ca="1">_FV(Ledger[[#This Row],[Stock]],"Ticker symbol",TRUE)</f>
        <v>CVX</v>
      </c>
    </row>
    <row r="65" spans="1:8" x14ac:dyDescent="0.35">
      <c r="A65" s="13"/>
      <c r="B65" s="83">
        <v>45658</v>
      </c>
      <c r="C65" s="84" t="e" vm="6">
        <v>#VALUE!</v>
      </c>
      <c r="D65" s="84" t="s">
        <v>160</v>
      </c>
      <c r="E65" s="444">
        <v>144.77000000000001</v>
      </c>
      <c r="F65" s="85">
        <v>21.72</v>
      </c>
      <c r="G65" s="444">
        <f t="shared" si="1"/>
        <v>3144.4043999999999</v>
      </c>
      <c r="H65" s="86" t="str" cm="1">
        <f t="array" aca="1" ref="H65" ca="1">_FV(Ledger[[#This Row],[Stock]],"Ticker symbol",TRUE)</f>
        <v>CVX</v>
      </c>
    </row>
    <row r="66" spans="1:8" x14ac:dyDescent="0.35">
      <c r="A66" s="13"/>
      <c r="B66" s="18">
        <v>43466</v>
      </c>
      <c r="C66" s="19" t="e" vm="7">
        <v>#VALUE!</v>
      </c>
      <c r="D66" s="19" t="s">
        <v>13</v>
      </c>
      <c r="E66" s="443">
        <v>52.39</v>
      </c>
      <c r="F66" s="20">
        <v>12.01</v>
      </c>
      <c r="G66" s="443">
        <f t="shared" si="1"/>
        <v>629.20389999999998</v>
      </c>
      <c r="H66" s="21" t="str" cm="1">
        <f t="array" aca="1" ref="H66" ca="1">_FV(Ledger[[#This Row],[Stock]],"Ticker symbol",TRUE)</f>
        <v>C</v>
      </c>
    </row>
    <row r="67" spans="1:8" x14ac:dyDescent="0.35">
      <c r="A67" s="13"/>
      <c r="B67" s="83">
        <v>43831</v>
      </c>
      <c r="C67" s="84" t="e" vm="7">
        <v>#VALUE!</v>
      </c>
      <c r="D67" s="84" t="s">
        <v>13</v>
      </c>
      <c r="E67" s="444">
        <v>79.89</v>
      </c>
      <c r="F67" s="85">
        <v>7.87</v>
      </c>
      <c r="G67" s="444">
        <f t="shared" ref="G67:G98" si="2">E67*F67</f>
        <v>628.73429999999996</v>
      </c>
      <c r="H67" s="86" t="str" cm="1">
        <f t="array" aca="1" ref="H67" ca="1">_FV(Ledger[[#This Row],[Stock]],"Ticker symbol",TRUE)</f>
        <v>C</v>
      </c>
    </row>
    <row r="68" spans="1:8" x14ac:dyDescent="0.35">
      <c r="A68" s="13"/>
      <c r="B68" s="18">
        <v>44197</v>
      </c>
      <c r="C68" s="19" t="e" vm="7">
        <v>#VALUE!</v>
      </c>
      <c r="D68" s="19" t="s">
        <v>13</v>
      </c>
      <c r="E68" s="443">
        <v>61.63</v>
      </c>
      <c r="F68" s="20">
        <v>10.210000000000001</v>
      </c>
      <c r="G68" s="443">
        <f t="shared" si="2"/>
        <v>629.24230000000011</v>
      </c>
      <c r="H68" s="21" t="str" cm="1">
        <f t="array" aca="1" ref="H68" ca="1">_FV(Ledger[[#This Row],[Stock]],"Ticker symbol",TRUE)</f>
        <v>C</v>
      </c>
    </row>
    <row r="69" spans="1:8" x14ac:dyDescent="0.35">
      <c r="A69" s="13"/>
      <c r="B69" s="83">
        <v>44562</v>
      </c>
      <c r="C69" s="84" t="e" vm="7">
        <v>#VALUE!</v>
      </c>
      <c r="D69" s="84" t="s">
        <v>160</v>
      </c>
      <c r="E69" s="444">
        <v>60.24</v>
      </c>
      <c r="F69" s="85">
        <v>10.45</v>
      </c>
      <c r="G69" s="444">
        <f t="shared" si="2"/>
        <v>629.50799999999992</v>
      </c>
      <c r="H69" s="86" t="str" cm="1">
        <f t="array" aca="1" ref="H69" ca="1">_FV(Ledger[[#This Row],[Stock]],"Ticker symbol",TRUE)</f>
        <v>C</v>
      </c>
    </row>
    <row r="70" spans="1:8" x14ac:dyDescent="0.35">
      <c r="A70" s="13"/>
      <c r="B70" s="18">
        <v>44927</v>
      </c>
      <c r="C70" s="19" t="e" vm="7">
        <v>#VALUE!</v>
      </c>
      <c r="D70" s="19" t="s">
        <v>13</v>
      </c>
      <c r="E70" s="443">
        <v>47.94</v>
      </c>
      <c r="F70" s="20">
        <v>13.12</v>
      </c>
      <c r="G70" s="443">
        <f t="shared" si="2"/>
        <v>628.97279999999989</v>
      </c>
      <c r="H70" s="21" t="str" cm="1">
        <f t="array" aca="1" ref="H70" ca="1">_FV(Ledger[[#This Row],[Stock]],"Ticker symbol",TRUE)</f>
        <v>C</v>
      </c>
    </row>
    <row r="71" spans="1:8" x14ac:dyDescent="0.35">
      <c r="A71" s="13"/>
      <c r="B71" s="83">
        <v>45292</v>
      </c>
      <c r="C71" s="84" t="e" vm="7">
        <v>#VALUE!</v>
      </c>
      <c r="D71" s="84" t="s">
        <v>13</v>
      </c>
      <c r="E71" s="444">
        <v>51.48</v>
      </c>
      <c r="F71" s="85">
        <v>48.87</v>
      </c>
      <c r="G71" s="444">
        <f t="shared" si="2"/>
        <v>2515.8275999999996</v>
      </c>
      <c r="H71" s="86" t="str" cm="1">
        <f t="array" aca="1" ref="H71" ca="1">_FV(Ledger[[#This Row],[Stock]],"Ticker symbol",TRUE)</f>
        <v>C</v>
      </c>
    </row>
    <row r="72" spans="1:8" x14ac:dyDescent="0.35">
      <c r="A72" s="13"/>
      <c r="B72" s="18">
        <v>45658</v>
      </c>
      <c r="C72" s="19" t="e" vm="7">
        <v>#VALUE!</v>
      </c>
      <c r="D72" s="19" t="s">
        <v>160</v>
      </c>
      <c r="E72" s="443">
        <v>70.3</v>
      </c>
      <c r="F72" s="20">
        <v>37.6</v>
      </c>
      <c r="G72" s="443">
        <f t="shared" si="2"/>
        <v>2643.28</v>
      </c>
      <c r="H72" s="21" t="str" cm="1">
        <f t="array" aca="1" ref="H72" ca="1">_FV(Ledger[[#This Row],[Stock]],"Ticker symbol",TRUE)</f>
        <v>C</v>
      </c>
    </row>
    <row r="73" spans="1:8" x14ac:dyDescent="0.35">
      <c r="A73" s="13"/>
      <c r="B73" s="83">
        <v>43466</v>
      </c>
      <c r="C73" s="84" t="e" vm="13">
        <v>#VALUE!</v>
      </c>
      <c r="D73" s="84" t="s">
        <v>13</v>
      </c>
      <c r="E73" s="444">
        <v>133.31</v>
      </c>
      <c r="F73" s="85">
        <v>4.5</v>
      </c>
      <c r="G73" s="444">
        <f t="shared" si="2"/>
        <v>599.89499999999998</v>
      </c>
      <c r="H73" s="86" t="str" cm="1">
        <f t="array" aca="1" ref="H73" ca="1">_FV(Ledger[[#This Row],[Stock]],"Ticker symbol",TRUE)</f>
        <v>0R2N</v>
      </c>
    </row>
    <row r="74" spans="1:8" x14ac:dyDescent="0.35">
      <c r="A74" s="13"/>
      <c r="B74" s="18">
        <v>43831</v>
      </c>
      <c r="C74" s="19" t="e" vm="13">
        <v>#VALUE!</v>
      </c>
      <c r="D74" s="19" t="s">
        <v>13</v>
      </c>
      <c r="E74" s="443">
        <v>149.88</v>
      </c>
      <c r="F74" s="20">
        <v>4</v>
      </c>
      <c r="G74" s="443">
        <f t="shared" si="2"/>
        <v>599.52</v>
      </c>
      <c r="H74" s="21" t="str" cm="1">
        <f t="array" aca="1" ref="H74" ca="1">_FV(Ledger[[#This Row],[Stock]],"Ticker symbol",TRUE)</f>
        <v>0R2N</v>
      </c>
    </row>
    <row r="75" spans="1:8" x14ac:dyDescent="0.35">
      <c r="A75" s="13"/>
      <c r="B75" s="83">
        <v>44197</v>
      </c>
      <c r="C75" s="84" t="e" vm="13">
        <v>#VALUE!</v>
      </c>
      <c r="D75" s="84" t="s">
        <v>13</v>
      </c>
      <c r="E75" s="444">
        <v>71.510000000000005</v>
      </c>
      <c r="F75" s="85">
        <v>8.3800000000000008</v>
      </c>
      <c r="G75" s="444">
        <f t="shared" si="2"/>
        <v>599.25380000000007</v>
      </c>
      <c r="H75" s="86" t="str" cm="1">
        <f t="array" aca="1" ref="H75" ca="1">_FV(Ledger[[#This Row],[Stock]],"Ticker symbol",TRUE)</f>
        <v>0R2N</v>
      </c>
    </row>
    <row r="76" spans="1:8" x14ac:dyDescent="0.35">
      <c r="A76" s="13"/>
      <c r="B76" s="18">
        <v>44562</v>
      </c>
      <c r="C76" s="19" t="e" vm="13">
        <v>#VALUE!</v>
      </c>
      <c r="D76" s="19" t="s">
        <v>160</v>
      </c>
      <c r="E76" s="443">
        <v>86.09</v>
      </c>
      <c r="F76" s="20">
        <v>6.97</v>
      </c>
      <c r="G76" s="443">
        <f t="shared" si="2"/>
        <v>600.04729999999995</v>
      </c>
      <c r="H76" s="21" t="str" cm="1">
        <f t="array" aca="1" ref="H76" ca="1">_FV(Ledger[[#This Row],[Stock]],"Ticker symbol",TRUE)</f>
        <v>0R2N</v>
      </c>
    </row>
    <row r="77" spans="1:8" x14ac:dyDescent="0.35">
      <c r="A77" s="13"/>
      <c r="B77" s="83">
        <v>44927</v>
      </c>
      <c r="C77" s="84" t="e" vm="13">
        <v>#VALUE!</v>
      </c>
      <c r="D77" s="84" t="s">
        <v>13</v>
      </c>
      <c r="E77" s="444">
        <v>100.97</v>
      </c>
      <c r="F77" s="85">
        <v>5.93</v>
      </c>
      <c r="G77" s="444">
        <f t="shared" si="2"/>
        <v>598.75209999999993</v>
      </c>
      <c r="H77" s="86" t="str" cm="1">
        <f t="array" aca="1" ref="H77" ca="1">_FV(Ledger[[#This Row],[Stock]],"Ticker symbol",TRUE)</f>
        <v>0R2N</v>
      </c>
    </row>
    <row r="78" spans="1:8" x14ac:dyDescent="0.35">
      <c r="A78" s="13"/>
      <c r="B78" s="18">
        <v>45292</v>
      </c>
      <c r="C78" s="19" t="e" vm="13">
        <v>#VALUE!</v>
      </c>
      <c r="D78" s="19" t="s">
        <v>13</v>
      </c>
      <c r="E78" s="443">
        <v>84.26</v>
      </c>
      <c r="F78" s="20">
        <v>28.46</v>
      </c>
      <c r="G78" s="443">
        <f t="shared" si="2"/>
        <v>2398.0396000000001</v>
      </c>
      <c r="H78" s="21" t="str" cm="1">
        <f t="array" aca="1" ref="H78" ca="1">_FV(Ledger[[#This Row],[Stock]],"Ticker symbol",TRUE)</f>
        <v>0R2N</v>
      </c>
    </row>
    <row r="79" spans="1:8" x14ac:dyDescent="0.35">
      <c r="A79" s="13"/>
      <c r="B79" s="83">
        <v>45658</v>
      </c>
      <c r="C79" s="84" t="e" vm="13">
        <v>#VALUE!</v>
      </c>
      <c r="D79" s="84" t="s">
        <v>160</v>
      </c>
      <c r="E79" s="444">
        <v>119.24</v>
      </c>
      <c r="F79" s="85">
        <v>21.13</v>
      </c>
      <c r="G79" s="444">
        <f t="shared" si="2"/>
        <v>2519.5411999999997</v>
      </c>
      <c r="H79" s="86" t="str" cm="1">
        <f t="array" aca="1" ref="H79" ca="1">_FV(Ledger[[#This Row],[Stock]],"Ticker symbol",TRUE)</f>
        <v>0R2N</v>
      </c>
    </row>
    <row r="80" spans="1:8" x14ac:dyDescent="0.35">
      <c r="A80" s="13"/>
      <c r="B80" s="18">
        <v>43466</v>
      </c>
      <c r="C80" s="19" t="e" vm="3">
        <v>#VALUE!</v>
      </c>
      <c r="D80" s="19" t="s">
        <v>13</v>
      </c>
      <c r="E80" s="443">
        <v>75.77</v>
      </c>
      <c r="F80" s="20">
        <v>6.47</v>
      </c>
      <c r="G80" s="443">
        <f t="shared" si="2"/>
        <v>490.23189999999994</v>
      </c>
      <c r="H80" s="21" t="str" cm="1">
        <f t="array" aca="1" ref="H80" ca="1">_FV(Ledger[[#This Row],[Stock]],"Ticker symbol",TRUE)</f>
        <v>AMZN</v>
      </c>
    </row>
    <row r="81" spans="1:8" x14ac:dyDescent="0.35">
      <c r="A81" s="13"/>
      <c r="B81" s="83">
        <v>43831</v>
      </c>
      <c r="C81" s="84" t="e" vm="3">
        <v>#VALUE!</v>
      </c>
      <c r="D81" s="84" t="s">
        <v>13</v>
      </c>
      <c r="E81" s="444">
        <v>93.75</v>
      </c>
      <c r="F81" s="85">
        <v>5.23</v>
      </c>
      <c r="G81" s="444">
        <f t="shared" si="2"/>
        <v>490.31250000000006</v>
      </c>
      <c r="H81" s="86" t="str" cm="1">
        <f t="array" aca="1" ref="H81" ca="1">_FV(Ledger[[#This Row],[Stock]],"Ticker symbol",TRUE)</f>
        <v>AMZN</v>
      </c>
    </row>
    <row r="82" spans="1:8" x14ac:dyDescent="0.35">
      <c r="A82" s="13"/>
      <c r="B82" s="18">
        <v>44197</v>
      </c>
      <c r="C82" s="19" t="e" vm="3">
        <v>#VALUE!</v>
      </c>
      <c r="D82" s="19" t="s">
        <v>13</v>
      </c>
      <c r="E82" s="443">
        <v>163.5</v>
      </c>
      <c r="F82" s="20">
        <v>3</v>
      </c>
      <c r="G82" s="443">
        <f t="shared" si="2"/>
        <v>490.5</v>
      </c>
      <c r="H82" s="21" t="str" cm="1">
        <f t="array" aca="1" ref="H82" ca="1">_FV(Ledger[[#This Row],[Stock]],"Ticker symbol",TRUE)</f>
        <v>AMZN</v>
      </c>
    </row>
    <row r="83" spans="1:8" x14ac:dyDescent="0.35">
      <c r="A83" s="13"/>
      <c r="B83" s="83">
        <v>44562</v>
      </c>
      <c r="C83" s="84" t="e" vm="3">
        <v>#VALUE!</v>
      </c>
      <c r="D83" s="84" t="s">
        <v>160</v>
      </c>
      <c r="E83" s="444">
        <v>170.4</v>
      </c>
      <c r="F83" s="85">
        <v>2.88</v>
      </c>
      <c r="G83" s="444">
        <f t="shared" si="2"/>
        <v>490.75200000000001</v>
      </c>
      <c r="H83" s="86" t="str" cm="1">
        <f t="array" aca="1" ref="H83" ca="1">_FV(Ledger[[#This Row],[Stock]],"Ticker symbol",TRUE)</f>
        <v>AMZN</v>
      </c>
    </row>
    <row r="84" spans="1:8" x14ac:dyDescent="0.35">
      <c r="A84" s="13"/>
      <c r="B84" s="18">
        <v>44927</v>
      </c>
      <c r="C84" s="19" t="e" vm="3">
        <v>#VALUE!</v>
      </c>
      <c r="D84" s="19" t="s">
        <v>13</v>
      </c>
      <c r="E84" s="443">
        <v>85.46</v>
      </c>
      <c r="F84" s="20">
        <v>5.73</v>
      </c>
      <c r="G84" s="443">
        <f t="shared" si="2"/>
        <v>489.68580000000003</v>
      </c>
      <c r="H84" s="21" t="str" cm="1">
        <f t="array" aca="1" ref="H84" ca="1">_FV(Ledger[[#This Row],[Stock]],"Ticker symbol",TRUE)</f>
        <v>AMZN</v>
      </c>
    </row>
    <row r="85" spans="1:8" x14ac:dyDescent="0.35">
      <c r="A85" s="13"/>
      <c r="B85" s="83">
        <v>45292</v>
      </c>
      <c r="C85" s="84" t="e" vm="3">
        <v>#VALUE!</v>
      </c>
      <c r="D85" s="84" t="s">
        <v>13</v>
      </c>
      <c r="E85" s="444">
        <v>153.38</v>
      </c>
      <c r="F85" s="85">
        <v>12.78</v>
      </c>
      <c r="G85" s="444">
        <f t="shared" si="2"/>
        <v>1960.1963999999998</v>
      </c>
      <c r="H85" s="86" t="str" cm="1">
        <f t="array" aca="1" ref="H85" ca="1">_FV(Ledger[[#This Row],[Stock]],"Ticker symbol",TRUE)</f>
        <v>AMZN</v>
      </c>
    </row>
    <row r="86" spans="1:8" x14ac:dyDescent="0.35">
      <c r="A86" s="13"/>
      <c r="B86" s="18">
        <v>45658</v>
      </c>
      <c r="C86" s="19" t="e" vm="3">
        <v>#VALUE!</v>
      </c>
      <c r="D86" s="19" t="s">
        <v>160</v>
      </c>
      <c r="E86" s="443">
        <v>220</v>
      </c>
      <c r="F86" s="20">
        <v>9.36</v>
      </c>
      <c r="G86" s="443">
        <f t="shared" si="2"/>
        <v>2059.1999999999998</v>
      </c>
      <c r="H86" s="21" t="str" cm="1">
        <f t="array" aca="1" ref="H86" ca="1">_FV(Ledger[[#This Row],[Stock]],"Ticker symbol",TRUE)</f>
        <v>AMZN</v>
      </c>
    </row>
    <row r="87" spans="1:8" x14ac:dyDescent="0.35">
      <c r="A87" s="13"/>
      <c r="B87" s="83">
        <v>43466</v>
      </c>
      <c r="C87" s="84" t="e" vm="16">
        <v>#VALUE!</v>
      </c>
      <c r="D87" s="84" t="s">
        <v>13</v>
      </c>
      <c r="E87" s="444">
        <v>30.24</v>
      </c>
      <c r="F87" s="85">
        <v>24.79</v>
      </c>
      <c r="G87" s="444">
        <f t="shared" si="2"/>
        <v>749.64959999999996</v>
      </c>
      <c r="H87" s="86" t="str" cm="1">
        <f t="array" aca="1" ref="H87" ca="1">_FV(Ledger[[#This Row],[Stock]],"Ticker symbol",TRUE)</f>
        <v>WMT</v>
      </c>
    </row>
    <row r="88" spans="1:8" x14ac:dyDescent="0.35">
      <c r="A88" s="13"/>
      <c r="B88" s="18">
        <v>43831</v>
      </c>
      <c r="C88" s="19" t="e" vm="16">
        <v>#VALUE!</v>
      </c>
      <c r="D88" s="19" t="s">
        <v>13</v>
      </c>
      <c r="E88" s="443">
        <v>39.54</v>
      </c>
      <c r="F88" s="20">
        <v>18.95</v>
      </c>
      <c r="G88" s="443">
        <f t="shared" si="2"/>
        <v>749.2829999999999</v>
      </c>
      <c r="H88" s="21" t="str" cm="1">
        <f t="array" aca="1" ref="H88" ca="1">_FV(Ledger[[#This Row],[Stock]],"Ticker symbol",TRUE)</f>
        <v>WMT</v>
      </c>
    </row>
    <row r="89" spans="1:8" x14ac:dyDescent="0.35">
      <c r="A89" s="13"/>
      <c r="B89" s="83">
        <v>44197</v>
      </c>
      <c r="C89" s="84" t="e" vm="16">
        <v>#VALUE!</v>
      </c>
      <c r="D89" s="84" t="s">
        <v>13</v>
      </c>
      <c r="E89" s="444">
        <v>46.12</v>
      </c>
      <c r="F89" s="85">
        <v>16.260000000000002</v>
      </c>
      <c r="G89" s="444">
        <f t="shared" si="2"/>
        <v>749.91120000000001</v>
      </c>
      <c r="H89" s="86" t="str" cm="1">
        <f t="array" aca="1" ref="H89" ca="1">_FV(Ledger[[#This Row],[Stock]],"Ticker symbol",TRUE)</f>
        <v>WMT</v>
      </c>
    </row>
    <row r="90" spans="1:8" x14ac:dyDescent="0.35">
      <c r="A90" s="13"/>
      <c r="B90" s="18">
        <v>44562</v>
      </c>
      <c r="C90" s="19" t="e" vm="16">
        <v>#VALUE!</v>
      </c>
      <c r="D90" s="19" t="s">
        <v>160</v>
      </c>
      <c r="E90" s="443">
        <v>47.57</v>
      </c>
      <c r="F90" s="20">
        <v>15.77</v>
      </c>
      <c r="G90" s="443">
        <f t="shared" si="2"/>
        <v>750.1789</v>
      </c>
      <c r="H90" s="21" t="str" cm="1">
        <f t="array" aca="1" ref="H90" ca="1">_FV(Ledger[[#This Row],[Stock]],"Ticker symbol",TRUE)</f>
        <v>WMT</v>
      </c>
    </row>
    <row r="91" spans="1:8" x14ac:dyDescent="0.35">
      <c r="A91" s="13"/>
      <c r="B91" s="83">
        <v>44927</v>
      </c>
      <c r="C91" s="84" t="e" vm="16">
        <v>#VALUE!</v>
      </c>
      <c r="D91" s="84" t="s">
        <v>13</v>
      </c>
      <c r="E91" s="444">
        <v>48.04</v>
      </c>
      <c r="F91" s="85">
        <v>15.6</v>
      </c>
      <c r="G91" s="444">
        <f t="shared" si="2"/>
        <v>749.42399999999998</v>
      </c>
      <c r="H91" s="86" t="str" cm="1">
        <f t="array" aca="1" ref="H91" ca="1">_FV(Ledger[[#This Row],[Stock]],"Ticker symbol",TRUE)</f>
        <v>WMT</v>
      </c>
    </row>
    <row r="92" spans="1:8" x14ac:dyDescent="0.35">
      <c r="A92" s="13"/>
      <c r="B92" s="18">
        <v>45292</v>
      </c>
      <c r="C92" s="19" t="e" vm="16">
        <v>#VALUE!</v>
      </c>
      <c r="D92" s="19" t="s">
        <v>13</v>
      </c>
      <c r="E92" s="443">
        <v>52.89</v>
      </c>
      <c r="F92" s="20">
        <v>56.7</v>
      </c>
      <c r="G92" s="443">
        <f t="shared" si="2"/>
        <v>2998.8630000000003</v>
      </c>
      <c r="H92" s="21" t="str" cm="1">
        <f t="array" aca="1" ref="H92" ca="1">_FV(Ledger[[#This Row],[Stock]],"Ticker symbol",TRUE)</f>
        <v>WMT</v>
      </c>
    </row>
    <row r="93" spans="1:8" x14ac:dyDescent="0.35">
      <c r="A93" s="13"/>
      <c r="B93" s="83">
        <v>45658</v>
      </c>
      <c r="C93" s="84" t="e" vm="16">
        <v>#VALUE!</v>
      </c>
      <c r="D93" s="84" t="s">
        <v>160</v>
      </c>
      <c r="E93" s="444">
        <v>91.07</v>
      </c>
      <c r="F93" s="85">
        <v>34.590000000000003</v>
      </c>
      <c r="G93" s="444">
        <f t="shared" si="2"/>
        <v>3150.1113</v>
      </c>
      <c r="H93" s="86" t="str" cm="1">
        <f t="array" aca="1" ref="H93" ca="1">_FV(Ledger[[#This Row],[Stock]],"Ticker symbol",TRUE)</f>
        <v>WMT</v>
      </c>
    </row>
    <row r="94" spans="1:8" x14ac:dyDescent="0.35">
      <c r="A94" s="13"/>
      <c r="B94" s="18">
        <v>43466</v>
      </c>
      <c r="C94" s="19" t="e" vm="8">
        <v>#VALUE!</v>
      </c>
      <c r="D94" s="19" t="s">
        <v>13</v>
      </c>
      <c r="E94" s="443">
        <v>7.65</v>
      </c>
      <c r="F94" s="20">
        <v>78.349999999999994</v>
      </c>
      <c r="G94" s="443">
        <f t="shared" si="2"/>
        <v>599.37749999999994</v>
      </c>
      <c r="H94" s="21" t="str" cm="1">
        <f t="array" aca="1" ref="H94" ca="1">_FV(Ledger[[#This Row],[Stock]],"Ticker symbol",TRUE)</f>
        <v>F</v>
      </c>
    </row>
    <row r="95" spans="1:8" x14ac:dyDescent="0.35">
      <c r="A95" s="13"/>
      <c r="B95" s="83">
        <v>43831</v>
      </c>
      <c r="C95" s="84" t="e" vm="8">
        <v>#VALUE!</v>
      </c>
      <c r="D95" s="84" t="s">
        <v>13</v>
      </c>
      <c r="E95" s="444">
        <v>9.3000000000000007</v>
      </c>
      <c r="F95" s="85">
        <v>64.44</v>
      </c>
      <c r="G95" s="444">
        <f t="shared" si="2"/>
        <v>599.29200000000003</v>
      </c>
      <c r="H95" s="86" t="str" cm="1">
        <f t="array" aca="1" ref="H95" ca="1">_FV(Ledger[[#This Row],[Stock]],"Ticker symbol",TRUE)</f>
        <v>F</v>
      </c>
    </row>
    <row r="96" spans="1:8" x14ac:dyDescent="0.35">
      <c r="A96" s="13"/>
      <c r="B96" s="18">
        <v>44197</v>
      </c>
      <c r="C96" s="19" t="e" vm="8">
        <v>#VALUE!</v>
      </c>
      <c r="D96" s="19" t="s">
        <v>13</v>
      </c>
      <c r="E96" s="443">
        <v>8.91</v>
      </c>
      <c r="F96" s="20">
        <v>67.28</v>
      </c>
      <c r="G96" s="443">
        <f t="shared" si="2"/>
        <v>599.46479999999997</v>
      </c>
      <c r="H96" s="21" t="str" cm="1">
        <f t="array" aca="1" ref="H96" ca="1">_FV(Ledger[[#This Row],[Stock]],"Ticker symbol",TRUE)</f>
        <v>F</v>
      </c>
    </row>
    <row r="97" spans="1:8" x14ac:dyDescent="0.35">
      <c r="A97" s="13"/>
      <c r="B97" s="83">
        <v>44562</v>
      </c>
      <c r="C97" s="84" t="e" vm="8">
        <v>#VALUE!</v>
      </c>
      <c r="D97" s="84" t="s">
        <v>160</v>
      </c>
      <c r="E97" s="444">
        <v>20.77</v>
      </c>
      <c r="F97" s="85">
        <v>28.87</v>
      </c>
      <c r="G97" s="444">
        <f t="shared" si="2"/>
        <v>599.62990000000002</v>
      </c>
      <c r="H97" s="86" t="str" cm="1">
        <f t="array" aca="1" ref="H97" ca="1">_FV(Ledger[[#This Row],[Stock]],"Ticker symbol",TRUE)</f>
        <v>F</v>
      </c>
    </row>
    <row r="98" spans="1:8" x14ac:dyDescent="0.35">
      <c r="A98" s="13"/>
      <c r="B98" s="18">
        <v>44927</v>
      </c>
      <c r="C98" s="19" t="e" vm="8">
        <v>#VALUE!</v>
      </c>
      <c r="D98" s="19" t="s">
        <v>13</v>
      </c>
      <c r="E98" s="443">
        <v>11.95</v>
      </c>
      <c r="F98" s="20">
        <v>50.14</v>
      </c>
      <c r="G98" s="443">
        <f t="shared" si="2"/>
        <v>599.173</v>
      </c>
      <c r="H98" s="21" t="str" cm="1">
        <f t="array" aca="1" ref="H98" ca="1">_FV(Ledger[[#This Row],[Stock]],"Ticker symbol",TRUE)</f>
        <v>F</v>
      </c>
    </row>
    <row r="99" spans="1:8" x14ac:dyDescent="0.35">
      <c r="A99" s="13"/>
      <c r="B99" s="83">
        <v>45292</v>
      </c>
      <c r="C99" s="84" t="e" vm="8">
        <v>#VALUE!</v>
      </c>
      <c r="D99" s="84" t="s">
        <v>13</v>
      </c>
      <c r="E99" s="444">
        <v>12.06</v>
      </c>
      <c r="F99" s="85">
        <v>198.82</v>
      </c>
      <c r="G99" s="444">
        <f t="shared" ref="G99:G114" si="3">E99*F99</f>
        <v>2397.7692000000002</v>
      </c>
      <c r="H99" s="86" t="str" cm="1">
        <f t="array" aca="1" ref="H99" ca="1">_FV(Ledger[[#This Row],[Stock]],"Ticker symbol",TRUE)</f>
        <v>F</v>
      </c>
    </row>
    <row r="100" spans="1:8" x14ac:dyDescent="0.35">
      <c r="A100" s="13"/>
      <c r="B100" s="18">
        <v>45658</v>
      </c>
      <c r="C100" s="19" t="e" vm="8">
        <v>#VALUE!</v>
      </c>
      <c r="D100" s="19" t="s">
        <v>160</v>
      </c>
      <c r="E100" s="443">
        <v>9.84</v>
      </c>
      <c r="F100" s="20">
        <v>256.01</v>
      </c>
      <c r="G100" s="443">
        <f t="shared" si="3"/>
        <v>2519.1383999999998</v>
      </c>
      <c r="H100" s="21" t="str" cm="1">
        <f t="array" aca="1" ref="H100" ca="1">_FV(Ledger[[#This Row],[Stock]],"Ticker symbol",TRUE)</f>
        <v>F</v>
      </c>
    </row>
    <row r="101" spans="1:8" x14ac:dyDescent="0.35">
      <c r="A101" s="13"/>
      <c r="B101" s="83">
        <v>43466</v>
      </c>
      <c r="C101" s="84" t="e" vm="9">
        <v>#VALUE!</v>
      </c>
      <c r="D101" s="84" t="s">
        <v>13</v>
      </c>
      <c r="E101" s="444">
        <v>24.31</v>
      </c>
      <c r="F101" s="85">
        <v>22.18</v>
      </c>
      <c r="G101" s="444">
        <f t="shared" si="3"/>
        <v>539.19579999999996</v>
      </c>
      <c r="H101" s="86" t="str" cm="1">
        <f t="array" aca="1" ref="H101" ca="1">_FV(Ledger[[#This Row],[Stock]],"Ticker symbol",TRUE)</f>
        <v>HMC</v>
      </c>
    </row>
    <row r="102" spans="1:8" x14ac:dyDescent="0.35">
      <c r="A102" s="13"/>
      <c r="B102" s="18">
        <v>43831</v>
      </c>
      <c r="C102" s="19" t="e" vm="9">
        <v>#VALUE!</v>
      </c>
      <c r="D102" s="19" t="s">
        <v>13</v>
      </c>
      <c r="E102" s="443">
        <v>27.78</v>
      </c>
      <c r="F102" s="20">
        <v>19.41</v>
      </c>
      <c r="G102" s="443">
        <f t="shared" si="3"/>
        <v>539.20979999999997</v>
      </c>
      <c r="H102" s="21" t="str" cm="1">
        <f t="array" aca="1" ref="H102" ca="1">_FV(Ledger[[#This Row],[Stock]],"Ticker symbol",TRUE)</f>
        <v>HMC</v>
      </c>
    </row>
    <row r="103" spans="1:8" x14ac:dyDescent="0.35">
      <c r="A103" s="13"/>
      <c r="B103" s="83">
        <v>44197</v>
      </c>
      <c r="C103" s="84" t="e" vm="9">
        <v>#VALUE!</v>
      </c>
      <c r="D103" s="84" t="s">
        <v>13</v>
      </c>
      <c r="E103" s="444">
        <v>27.39</v>
      </c>
      <c r="F103" s="85">
        <v>19.690000000000001</v>
      </c>
      <c r="G103" s="444">
        <f t="shared" si="3"/>
        <v>539.30910000000006</v>
      </c>
      <c r="H103" s="86" t="str" cm="1">
        <f t="array" aca="1" ref="H103" ca="1">_FV(Ledger[[#This Row],[Stock]],"Ticker symbol",TRUE)</f>
        <v>HMC</v>
      </c>
    </row>
    <row r="104" spans="1:8" x14ac:dyDescent="0.35">
      <c r="A104" s="13"/>
      <c r="B104" s="18">
        <v>44562</v>
      </c>
      <c r="C104" s="19" t="e" vm="9">
        <v>#VALUE!</v>
      </c>
      <c r="D104" s="19" t="s">
        <v>160</v>
      </c>
      <c r="E104" s="443">
        <v>29.3</v>
      </c>
      <c r="F104" s="20">
        <v>18.41</v>
      </c>
      <c r="G104" s="443">
        <f t="shared" si="3"/>
        <v>539.41300000000001</v>
      </c>
      <c r="H104" s="21" t="str" cm="1">
        <f t="array" aca="1" ref="H104" ca="1">_FV(Ledger[[#This Row],[Stock]],"Ticker symbol",TRUE)</f>
        <v>HMC</v>
      </c>
    </row>
    <row r="105" spans="1:8" x14ac:dyDescent="0.35">
      <c r="A105" s="13"/>
      <c r="B105" s="83">
        <v>44927</v>
      </c>
      <c r="C105" s="84" t="e" vm="9">
        <v>#VALUE!</v>
      </c>
      <c r="D105" s="84" t="s">
        <v>13</v>
      </c>
      <c r="E105" s="444">
        <v>23.71</v>
      </c>
      <c r="F105" s="85">
        <v>22.73</v>
      </c>
      <c r="G105" s="444">
        <f t="shared" si="3"/>
        <v>538.92830000000004</v>
      </c>
      <c r="H105" s="86" t="str" cm="1">
        <f t="array" aca="1" ref="H105" ca="1">_FV(Ledger[[#This Row],[Stock]],"Ticker symbol",TRUE)</f>
        <v>HMC</v>
      </c>
    </row>
    <row r="106" spans="1:8" x14ac:dyDescent="0.35">
      <c r="A106" s="13"/>
      <c r="B106" s="18">
        <v>45292</v>
      </c>
      <c r="C106" s="19" t="e" vm="9">
        <v>#VALUE!</v>
      </c>
      <c r="D106" s="19" t="s">
        <v>13</v>
      </c>
      <c r="E106" s="443">
        <v>30.89</v>
      </c>
      <c r="F106" s="20">
        <v>69.83</v>
      </c>
      <c r="G106" s="443">
        <f t="shared" si="3"/>
        <v>2157.0486999999998</v>
      </c>
      <c r="H106" s="21" t="str" cm="1">
        <f t="array" aca="1" ref="H106" ca="1">_FV(Ledger[[#This Row],[Stock]],"Ticker symbol",TRUE)</f>
        <v>HMC</v>
      </c>
    </row>
    <row r="107" spans="1:8" x14ac:dyDescent="0.35">
      <c r="A107" s="13"/>
      <c r="B107" s="83">
        <v>45658</v>
      </c>
      <c r="C107" s="84" t="e" vm="9">
        <v>#VALUE!</v>
      </c>
      <c r="D107" s="84" t="s">
        <v>160</v>
      </c>
      <c r="E107" s="444">
        <v>26.29</v>
      </c>
      <c r="F107" s="85">
        <v>86.2</v>
      </c>
      <c r="G107" s="444">
        <f t="shared" si="3"/>
        <v>2266.1979999999999</v>
      </c>
      <c r="H107" s="86" t="str" cm="1">
        <f t="array" aca="1" ref="H107" ca="1">_FV(Ledger[[#This Row],[Stock]],"Ticker symbol",TRUE)</f>
        <v>HMC</v>
      </c>
    </row>
    <row r="108" spans="1:8" x14ac:dyDescent="0.35">
      <c r="A108" s="13"/>
      <c r="B108" s="18">
        <v>43466</v>
      </c>
      <c r="C108" s="19" t="e" vm="15">
        <v>#VALUE!</v>
      </c>
      <c r="D108" s="19" t="s">
        <v>13</v>
      </c>
      <c r="E108" s="443">
        <v>117.51</v>
      </c>
      <c r="F108" s="20">
        <v>4.3499999999999996</v>
      </c>
      <c r="G108" s="443">
        <f t="shared" si="3"/>
        <v>511.16849999999999</v>
      </c>
      <c r="H108" s="21" t="str" cm="1">
        <f t="array" aca="1" ref="H108" ca="1">_FV(Ledger[[#This Row],[Stock]],"Ticker symbol",TRUE)</f>
        <v>TM</v>
      </c>
    </row>
    <row r="109" spans="1:8" x14ac:dyDescent="0.35">
      <c r="A109" s="13"/>
      <c r="B109" s="83">
        <v>43831</v>
      </c>
      <c r="C109" s="84" t="e" vm="15">
        <v>#VALUE!</v>
      </c>
      <c r="D109" s="84" t="s">
        <v>13</v>
      </c>
      <c r="E109" s="444">
        <v>136.27000000000001</v>
      </c>
      <c r="F109" s="85">
        <v>3.75</v>
      </c>
      <c r="G109" s="444">
        <f t="shared" si="3"/>
        <v>511.01250000000005</v>
      </c>
      <c r="H109" s="86" t="str" cm="1">
        <f t="array" aca="1" ref="H109" ca="1">_FV(Ledger[[#This Row],[Stock]],"Ticker symbol",TRUE)</f>
        <v>TM</v>
      </c>
    </row>
    <row r="110" spans="1:8" x14ac:dyDescent="0.35">
      <c r="A110" s="13"/>
      <c r="B110" s="18">
        <v>44197</v>
      </c>
      <c r="C110" s="19" t="e" vm="15">
        <v>#VALUE!</v>
      </c>
      <c r="D110" s="19" t="s">
        <v>13</v>
      </c>
      <c r="E110" s="443">
        <v>147.44999999999999</v>
      </c>
      <c r="F110" s="20">
        <v>3.46</v>
      </c>
      <c r="G110" s="443">
        <f t="shared" si="3"/>
        <v>510.17699999999996</v>
      </c>
      <c r="H110" s="21" t="str" cm="1">
        <f t="array" aca="1" ref="H110" ca="1">_FV(Ledger[[#This Row],[Stock]],"Ticker symbol",TRUE)</f>
        <v>TM</v>
      </c>
    </row>
    <row r="111" spans="1:8" x14ac:dyDescent="0.35">
      <c r="A111" s="13"/>
      <c r="B111" s="83">
        <v>44562</v>
      </c>
      <c r="C111" s="84" t="e" vm="15">
        <v>#VALUE!</v>
      </c>
      <c r="D111" s="84" t="s">
        <v>160</v>
      </c>
      <c r="E111" s="444">
        <v>196.42</v>
      </c>
      <c r="F111" s="85">
        <v>2.6</v>
      </c>
      <c r="G111" s="444">
        <f t="shared" si="3"/>
        <v>510.69200000000001</v>
      </c>
      <c r="H111" s="86" t="str" cm="1">
        <f t="array" aca="1" ref="H111" ca="1">_FV(Ledger[[#This Row],[Stock]],"Ticker symbol",TRUE)</f>
        <v>TM</v>
      </c>
    </row>
    <row r="112" spans="1:8" x14ac:dyDescent="0.35">
      <c r="A112" s="13"/>
      <c r="B112" s="18">
        <v>44927</v>
      </c>
      <c r="C112" s="19" t="e" vm="15">
        <v>#VALUE!</v>
      </c>
      <c r="D112" s="19" t="s">
        <v>13</v>
      </c>
      <c r="E112" s="443">
        <v>135.75</v>
      </c>
      <c r="F112" s="20">
        <v>3.76</v>
      </c>
      <c r="G112" s="443">
        <f t="shared" si="3"/>
        <v>510.41999999999996</v>
      </c>
      <c r="H112" s="21" t="str" cm="1">
        <f t="array" aca="1" ref="H112" ca="1">_FV(Ledger[[#This Row],[Stock]],"Ticker symbol",TRUE)</f>
        <v>TM</v>
      </c>
    </row>
    <row r="113" spans="1:8" x14ac:dyDescent="0.35">
      <c r="A113" s="13"/>
      <c r="B113" s="83">
        <v>45292</v>
      </c>
      <c r="C113" s="84" t="e" vm="15">
        <v>#VALUE!</v>
      </c>
      <c r="D113" s="84" t="s">
        <v>13</v>
      </c>
      <c r="E113" s="444">
        <v>183.07</v>
      </c>
      <c r="F113" s="85">
        <v>11.16</v>
      </c>
      <c r="G113" s="444">
        <f t="shared" si="3"/>
        <v>2043.0611999999999</v>
      </c>
      <c r="H113" s="86" t="str" cm="1">
        <f t="array" aca="1" ref="H113" ca="1">_FV(Ledger[[#This Row],[Stock]],"Ticker symbol",TRUE)</f>
        <v>TM</v>
      </c>
    </row>
    <row r="114" spans="1:8" x14ac:dyDescent="0.35">
      <c r="A114" s="13"/>
      <c r="B114" s="22">
        <v>45658</v>
      </c>
      <c r="C114" s="23" t="e" vm="15">
        <v>#VALUE!</v>
      </c>
      <c r="D114" s="23" t="s">
        <v>160</v>
      </c>
      <c r="E114" s="445">
        <v>170.54</v>
      </c>
      <c r="F114" s="24">
        <v>12.59</v>
      </c>
      <c r="G114" s="445">
        <f t="shared" si="3"/>
        <v>2147.0985999999998</v>
      </c>
      <c r="H114" s="25" t="str" cm="1">
        <f t="array" aca="1" ref="H114" ca="1">_FV(Ledger[[#This Row],[Stock]],"Ticker symbol",TRUE)</f>
        <v>TM</v>
      </c>
    </row>
    <row r="115" spans="1:8" x14ac:dyDescent="0.35">
      <c r="H115" s="12"/>
    </row>
  </sheetData>
  <phoneticPr fontId="2" type="noConversion"/>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R27"/>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2" x14ac:dyDescent="0.35">
      <c r="A1" s="2" t="s">
        <v>8</v>
      </c>
      <c r="B1" t="e" vm="1">
        <v>#VALUE!</v>
      </c>
    </row>
    <row r="3" spans="1:252" x14ac:dyDescent="0.35">
      <c r="A3" s="2" t="s">
        <v>35</v>
      </c>
      <c r="B3" s="2" t="s">
        <v>25</v>
      </c>
    </row>
    <row r="4" spans="1:252" x14ac:dyDescent="0.35">
      <c r="A4" t="s">
        <v>36</v>
      </c>
      <c r="B4" t="s">
        <v>15</v>
      </c>
      <c r="C4" cm="1" vm="276">
        <f t="array" aca="1" ref="C4:IR4" ca="1">TRANSPOSE(_xlfn.STOCKHISTORY(A4&amp;":"&amp;B4,TODAY()-365,TODAY(),0,0,1))</f>
        <v>93.8</v>
      </c>
      <c r="D4" vm="277">
        <f ca="1"/>
        <v>85.76</v>
      </c>
      <c r="E4" vm="278">
        <f ca="1"/>
        <v>83.64</v>
      </c>
      <c r="F4" vm="279">
        <f ca="1"/>
        <v>78.209999999999994</v>
      </c>
      <c r="G4" vm="280">
        <f ca="1"/>
        <v>96.84</v>
      </c>
      <c r="H4" vm="281">
        <f ca="1"/>
        <v>88.7</v>
      </c>
      <c r="I4" vm="282">
        <f ca="1"/>
        <v>93.4</v>
      </c>
      <c r="J4" vm="283">
        <f ca="1"/>
        <v>94.5</v>
      </c>
      <c r="K4" vm="284">
        <f ca="1"/>
        <v>95.29</v>
      </c>
      <c r="L4" vm="285">
        <f ca="1"/>
        <v>88.29</v>
      </c>
      <c r="M4" vm="286">
        <f ca="1"/>
        <v>87.5</v>
      </c>
      <c r="N4" vm="287">
        <f ca="1"/>
        <v>85.56</v>
      </c>
      <c r="O4" vm="288">
        <f ca="1"/>
        <v>86.26</v>
      </c>
      <c r="P4" vm="289">
        <f ca="1"/>
        <v>90.39</v>
      </c>
      <c r="Q4" vm="290">
        <f ca="1"/>
        <v>94.47</v>
      </c>
      <c r="R4" vm="291">
        <f ca="1"/>
        <v>96.644999999999996</v>
      </c>
      <c r="S4" vm="292">
        <f ca="1"/>
        <v>96.39</v>
      </c>
      <c r="T4" vm="293">
        <f ca="1"/>
        <v>96.06</v>
      </c>
      <c r="U4" vm="294">
        <f ca="1"/>
        <v>97.35</v>
      </c>
      <c r="V4" vm="295">
        <f ca="1"/>
        <v>96.65</v>
      </c>
      <c r="W4" vm="296">
        <f ca="1"/>
        <v>98.8</v>
      </c>
      <c r="X4" vm="297">
        <f ca="1"/>
        <v>100.59</v>
      </c>
      <c r="Y4" vm="298">
        <f ca="1"/>
        <v>98.62</v>
      </c>
      <c r="Z4" vm="299">
        <f ca="1"/>
        <v>100.36</v>
      </c>
      <c r="AA4" vm="300">
        <f ca="1"/>
        <v>101.7</v>
      </c>
      <c r="AB4" vm="301">
        <f ca="1"/>
        <v>102.84</v>
      </c>
      <c r="AC4" vm="302">
        <f ca="1"/>
        <v>108.12</v>
      </c>
      <c r="AD4" vm="303">
        <f ca="1"/>
        <v>112.46</v>
      </c>
      <c r="AE4" vm="304">
        <f ca="1"/>
        <v>117.72</v>
      </c>
      <c r="AF4" vm="305">
        <f ca="1"/>
        <v>114.99</v>
      </c>
      <c r="AG4" vm="306">
        <f ca="1"/>
        <v>117.17</v>
      </c>
      <c r="AH4" vm="307">
        <f ca="1"/>
        <v>114.74</v>
      </c>
      <c r="AI4" vm="308">
        <f ca="1"/>
        <v>113.51</v>
      </c>
      <c r="AJ4" vm="309">
        <f ca="1"/>
        <v>112.06</v>
      </c>
      <c r="AK4" vm="310">
        <f ca="1"/>
        <v>110.71</v>
      </c>
      <c r="AL4" vm="311">
        <f ca="1"/>
        <v>110.31</v>
      </c>
      <c r="AM4" vm="312">
        <f ca="1"/>
        <v>114.56</v>
      </c>
      <c r="AN4" vm="313">
        <f ca="1"/>
        <v>112.86</v>
      </c>
      <c r="AO4" vm="314">
        <f ca="1"/>
        <v>113.03</v>
      </c>
      <c r="AP4" vm="315">
        <f ca="1"/>
        <v>110.73</v>
      </c>
      <c r="AQ4" vm="316">
        <f ca="1"/>
        <v>114.63</v>
      </c>
      <c r="AR4" vm="317">
        <f ca="1"/>
        <v>117.31</v>
      </c>
      <c r="AS4" vm="318">
        <f ca="1"/>
        <v>118.58</v>
      </c>
      <c r="AT4" vm="319">
        <f ca="1"/>
        <v>115.69</v>
      </c>
      <c r="AU4" vm="320">
        <f ca="1"/>
        <v>116.19</v>
      </c>
      <c r="AV4" vm="321">
        <f ca="1"/>
        <v>121.73</v>
      </c>
      <c r="AW4" vm="322">
        <f ca="1"/>
        <v>123.24</v>
      </c>
      <c r="AX4" vm="323">
        <f ca="1"/>
        <v>121.14</v>
      </c>
      <c r="AY4" vm="324">
        <f ca="1"/>
        <v>118.5</v>
      </c>
      <c r="AZ4" vm="325">
        <f ca="1"/>
        <v>116.16</v>
      </c>
      <c r="BA4" vm="326">
        <f ca="1"/>
        <v>126.39</v>
      </c>
      <c r="BB4" vm="327">
        <f ca="1"/>
        <v>127.1</v>
      </c>
      <c r="BC4" vm="328">
        <f ca="1"/>
        <v>126.79</v>
      </c>
      <c r="BD4" vm="329">
        <f ca="1"/>
        <v>128.24</v>
      </c>
      <c r="BE4" vm="330">
        <f ca="1"/>
        <v>129.58000000000001</v>
      </c>
      <c r="BF4" vm="331">
        <f ca="1"/>
        <v>138.43</v>
      </c>
      <c r="BG4" vm="332">
        <f ca="1"/>
        <v>143.4</v>
      </c>
      <c r="BH4" vm="333">
        <f ca="1"/>
        <v>143.68</v>
      </c>
      <c r="BI4" vm="334">
        <f ca="1"/>
        <v>143.81</v>
      </c>
      <c r="BJ4" vm="335">
        <f ca="1"/>
        <v>141.9</v>
      </c>
      <c r="BK4" vm="336">
        <f ca="1"/>
        <v>136.11000000000001</v>
      </c>
      <c r="BL4" vm="337">
        <f ca="1"/>
        <v>138.52000000000001</v>
      </c>
      <c r="BM4" vm="338">
        <f ca="1"/>
        <v>137.91</v>
      </c>
      <c r="BN4" vm="339">
        <f ca="1"/>
        <v>134.80000000000001</v>
      </c>
      <c r="BO4" vm="340">
        <f ca="1"/>
        <v>137.82</v>
      </c>
      <c r="BP4" vm="341">
        <f ca="1"/>
        <v>138.41</v>
      </c>
      <c r="BQ4" vm="342">
        <f ca="1"/>
        <v>144.16</v>
      </c>
      <c r="BR4" vm="343">
        <f ca="1"/>
        <v>146.41999999999999</v>
      </c>
      <c r="BS4" vm="344">
        <f ca="1"/>
        <v>146.24</v>
      </c>
      <c r="BT4" vm="345">
        <f ca="1"/>
        <v>155.61000000000001</v>
      </c>
      <c r="BU4" vm="346">
        <f ca="1"/>
        <v>160.08000000000001</v>
      </c>
      <c r="BV4" vm="347">
        <f ca="1"/>
        <v>160.41</v>
      </c>
      <c r="BW4" vm="348">
        <f ca="1"/>
        <v>156.99</v>
      </c>
      <c r="BX4" vm="349">
        <f ca="1"/>
        <v>157</v>
      </c>
      <c r="BY4" vm="350">
        <f ca="1"/>
        <v>154.72</v>
      </c>
      <c r="BZ4" vm="351">
        <f ca="1"/>
        <v>158.65</v>
      </c>
      <c r="CA4" vm="352">
        <f ca="1"/>
        <v>162.12</v>
      </c>
      <c r="CB4" vm="353">
        <f ca="1"/>
        <v>166.47</v>
      </c>
      <c r="CC4" vm="354">
        <f ca="1"/>
        <v>173.66</v>
      </c>
      <c r="CD4" vm="355">
        <f ca="1"/>
        <v>177.44</v>
      </c>
      <c r="CE4" vm="356">
        <f ca="1"/>
        <v>179.51</v>
      </c>
      <c r="CF4" vm="357">
        <f ca="1"/>
        <v>176.31</v>
      </c>
      <c r="CG4" vm="358">
        <f ca="1"/>
        <v>171.7</v>
      </c>
      <c r="CH4" vm="359">
        <f ca="1"/>
        <v>176.78</v>
      </c>
      <c r="CI4" vm="360">
        <f ca="1"/>
        <v>174.31</v>
      </c>
      <c r="CJ4" vm="361">
        <f ca="1"/>
        <v>163.12</v>
      </c>
      <c r="CK4" vm="362">
        <f ca="1"/>
        <v>172.4</v>
      </c>
      <c r="CL4" vm="363">
        <f ca="1"/>
        <v>172.76</v>
      </c>
      <c r="CM4" vm="364">
        <f ca="1"/>
        <v>172.28</v>
      </c>
      <c r="CN4" vm="365">
        <f ca="1"/>
        <v>174.95</v>
      </c>
      <c r="CO4" vm="366">
        <f ca="1"/>
        <v>184.42</v>
      </c>
      <c r="CP4" vm="367">
        <f ca="1"/>
        <v>180.95</v>
      </c>
      <c r="CQ4" vm="368">
        <f ca="1"/>
        <v>177.51</v>
      </c>
      <c r="CR4" vm="369">
        <f ca="1"/>
        <v>176.14</v>
      </c>
      <c r="CS4" vm="370">
        <f ca="1"/>
        <v>166.55</v>
      </c>
      <c r="CT4" vm="371">
        <f ca="1"/>
        <v>165.2</v>
      </c>
      <c r="CU4" vm="372">
        <f ca="1"/>
        <v>163.71</v>
      </c>
      <c r="CV4" vm="373">
        <f ca="1"/>
        <v>167.76</v>
      </c>
      <c r="CW4" vm="374">
        <f ca="1"/>
        <v>163.36000000000001</v>
      </c>
      <c r="CX4" vm="375">
        <f ca="1"/>
        <v>166.62</v>
      </c>
      <c r="CY4" vm="376">
        <f ca="1"/>
        <v>167.13</v>
      </c>
      <c r="CZ4" vm="377">
        <f ca="1"/>
        <v>168.58</v>
      </c>
      <c r="DA4" vm="378">
        <f ca="1"/>
        <v>162.63</v>
      </c>
      <c r="DB4" vm="379">
        <f ca="1"/>
        <v>162.32</v>
      </c>
      <c r="DC4" vm="380">
        <f ca="1"/>
        <v>162.13</v>
      </c>
      <c r="DD4" vm="381">
        <f ca="1"/>
        <v>161.79</v>
      </c>
      <c r="DE4" vm="382">
        <f ca="1"/>
        <v>151.13999999999999</v>
      </c>
      <c r="DF4" vm="383">
        <f ca="1"/>
        <v>151.41</v>
      </c>
      <c r="DG4" vm="384">
        <f ca="1"/>
        <v>155.82</v>
      </c>
      <c r="DH4" vm="385">
        <f ca="1"/>
        <v>159.54</v>
      </c>
      <c r="DI4" vm="386">
        <f ca="1"/>
        <v>155.66999999999999</v>
      </c>
      <c r="DJ4" vm="387">
        <f ca="1"/>
        <v>158.57</v>
      </c>
      <c r="DK4" vm="388">
        <f ca="1"/>
        <v>161.16</v>
      </c>
      <c r="DL4" vm="389">
        <f ca="1"/>
        <v>160.46</v>
      </c>
      <c r="DM4" vm="390">
        <f ca="1"/>
        <v>159.16</v>
      </c>
      <c r="DN4" vm="391">
        <f ca="1"/>
        <v>157.91999999999999</v>
      </c>
      <c r="DO4" vm="392">
        <f ca="1"/>
        <v>157.38999999999999</v>
      </c>
      <c r="DP4" vm="393">
        <f ca="1"/>
        <v>159.79</v>
      </c>
      <c r="DQ4" vm="394">
        <f ca="1"/>
        <v>160.9</v>
      </c>
      <c r="DR4" vm="395">
        <f ca="1"/>
        <v>160.88</v>
      </c>
      <c r="DS4" vm="396">
        <f ca="1"/>
        <v>161.27000000000001</v>
      </c>
      <c r="DT4" vm="397">
        <f ca="1"/>
        <v>159.46</v>
      </c>
      <c r="DU4" vm="398">
        <f ca="1"/>
        <v>161.36000000000001</v>
      </c>
      <c r="DV4" vm="381">
        <f ca="1"/>
        <v>161.79</v>
      </c>
      <c r="DW4" vm="399">
        <f ca="1"/>
        <v>164.01</v>
      </c>
      <c r="DX4" vm="400">
        <f ca="1"/>
        <v>169.73</v>
      </c>
      <c r="DY4" vm="401">
        <f ca="1"/>
        <v>164.67</v>
      </c>
      <c r="DZ4" vm="402">
        <f ca="1"/>
        <v>203.71</v>
      </c>
      <c r="EA4" vm="403">
        <f ca="1"/>
        <v>211.51</v>
      </c>
      <c r="EB4" vm="404">
        <f ca="1"/>
        <v>235.56</v>
      </c>
      <c r="EC4" vm="405">
        <f ca="1"/>
        <v>232.89</v>
      </c>
      <c r="ED4" vm="406">
        <f ca="1"/>
        <v>214.9</v>
      </c>
      <c r="EE4" vm="407">
        <f ca="1"/>
        <v>216.42</v>
      </c>
      <c r="EF4" vm="408">
        <f ca="1"/>
        <v>218.09</v>
      </c>
      <c r="EG4" vm="409">
        <f ca="1"/>
        <v>238.6</v>
      </c>
      <c r="EH4" vm="410">
        <f ca="1"/>
        <v>234.56</v>
      </c>
      <c r="EI4" vm="411">
        <f ca="1"/>
        <v>233.08</v>
      </c>
      <c r="EJ4" vm="412">
        <f ca="1"/>
        <v>240.56</v>
      </c>
      <c r="EK4" vm="413">
        <f ca="1"/>
        <v>238.03</v>
      </c>
      <c r="EL4" vm="414">
        <f ca="1"/>
        <v>230.23</v>
      </c>
      <c r="EM4" vm="415">
        <f ca="1"/>
        <v>234.99</v>
      </c>
      <c r="EN4" vm="416">
        <f ca="1"/>
        <v>252.92</v>
      </c>
      <c r="EO4" vm="417">
        <f ca="1"/>
        <v>259.67</v>
      </c>
      <c r="EP4" vm="418">
        <f ca="1"/>
        <v>258.01</v>
      </c>
      <c r="EQ4" vm="419">
        <f ca="1"/>
        <v>264.33</v>
      </c>
      <c r="ER4" vm="420">
        <f ca="1"/>
        <v>254.84</v>
      </c>
      <c r="ES4" vm="421">
        <f ca="1"/>
        <v>256.12</v>
      </c>
      <c r="ET4" vm="422">
        <f ca="1"/>
        <v>259.64999999999998</v>
      </c>
      <c r="EU4" vm="423">
        <f ca="1"/>
        <v>250.05</v>
      </c>
      <c r="EV4" vm="424">
        <f ca="1"/>
        <v>256.33</v>
      </c>
      <c r="EW4" vm="425">
        <f ca="1"/>
        <v>237.7</v>
      </c>
      <c r="EX4" vm="426">
        <f ca="1"/>
        <v>233.54</v>
      </c>
      <c r="EY4" vm="427">
        <f ca="1"/>
        <v>243.98</v>
      </c>
      <c r="EZ4" vm="428">
        <f ca="1"/>
        <v>237.52</v>
      </c>
      <c r="FA4" vm="429">
        <f ca="1"/>
        <v>258.89</v>
      </c>
      <c r="FB4" vm="430">
        <f ca="1"/>
        <v>247.96</v>
      </c>
      <c r="FC4" vm="431">
        <f ca="1"/>
        <v>246.81</v>
      </c>
      <c r="FD4" vm="432">
        <f ca="1"/>
        <v>240.52</v>
      </c>
      <c r="FE4" vm="433">
        <f ca="1"/>
        <v>230.29</v>
      </c>
      <c r="FF4" vm="434">
        <f ca="1"/>
        <v>223.55</v>
      </c>
      <c r="FG4" vm="435">
        <f ca="1"/>
        <v>206.02</v>
      </c>
      <c r="FH4" vm="436">
        <f ca="1"/>
        <v>203.78</v>
      </c>
      <c r="FI4" vm="437">
        <f ca="1"/>
        <v>215.05</v>
      </c>
      <c r="FJ4" vm="438">
        <f ca="1"/>
        <v>206.13</v>
      </c>
      <c r="FK4" vm="439">
        <f ca="1"/>
        <v>214.24</v>
      </c>
      <c r="FL4" vm="440">
        <f ca="1"/>
        <v>217.53</v>
      </c>
      <c r="FM4" vm="441">
        <f ca="1"/>
        <v>219.76</v>
      </c>
      <c r="FN4" vm="442">
        <f ca="1"/>
        <v>215.24</v>
      </c>
      <c r="FO4" vm="443">
        <f ca="1"/>
        <v>217.6</v>
      </c>
      <c r="FP4" vm="444">
        <f ca="1"/>
        <v>215.98</v>
      </c>
      <c r="FQ4" vm="445">
        <f ca="1"/>
        <v>217.97</v>
      </c>
      <c r="FR4" vm="446">
        <f ca="1"/>
        <v>221.11</v>
      </c>
      <c r="FS4" vm="447">
        <f ca="1"/>
        <v>221.62</v>
      </c>
      <c r="FT4" vm="448">
        <f ca="1"/>
        <v>221.42</v>
      </c>
      <c r="FU4" vm="449">
        <f ca="1"/>
        <v>221.43</v>
      </c>
      <c r="FV4" vm="450">
        <f ca="1"/>
        <v>210.78</v>
      </c>
      <c r="FW4" vm="451">
        <f ca="1"/>
        <v>207.58</v>
      </c>
      <c r="FX4" vm="452">
        <f ca="1"/>
        <v>209.17</v>
      </c>
      <c r="FY4" vm="453">
        <f ca="1"/>
        <v>198.11</v>
      </c>
      <c r="FZ4" vm="454">
        <f ca="1"/>
        <v>201.06</v>
      </c>
      <c r="GA4" vm="455">
        <f ca="1"/>
        <v>213.43</v>
      </c>
      <c r="GB4" vm="456">
        <f ca="1"/>
        <v>214.95</v>
      </c>
      <c r="GC4" vm="406">
        <f ca="1"/>
        <v>214.9</v>
      </c>
      <c r="GD4" vm="457">
        <f ca="1"/>
        <v>215.04</v>
      </c>
      <c r="GE4" vm="458">
        <f ca="1"/>
        <v>214.99</v>
      </c>
      <c r="GF4" vm="459">
        <f ca="1"/>
        <v>215.61</v>
      </c>
      <c r="GG4" vm="460">
        <f ca="1"/>
        <v>215.34</v>
      </c>
      <c r="GH4" vm="461">
        <f ca="1"/>
        <v>214.16</v>
      </c>
      <c r="GI4" vm="462">
        <f ca="1"/>
        <v>223.47</v>
      </c>
      <c r="GJ4" vm="463">
        <f ca="1"/>
        <v>221.08</v>
      </c>
      <c r="GK4" vm="464">
        <f ca="1"/>
        <v>214.35</v>
      </c>
      <c r="GL4" vm="465">
        <f ca="1"/>
        <v>210.02</v>
      </c>
      <c r="GM4" vm="466">
        <f ca="1"/>
        <v>204.68</v>
      </c>
      <c r="GN4" vm="467">
        <f ca="1"/>
        <v>203.17</v>
      </c>
      <c r="GO4" vm="468">
        <f ca="1"/>
        <v>207.69</v>
      </c>
      <c r="GP4" vm="469">
        <f ca="1"/>
        <v>220.97</v>
      </c>
      <c r="GQ4" vm="470">
        <f ca="1"/>
        <v>223.6</v>
      </c>
      <c r="GR4" vm="471">
        <f ca="1"/>
        <v>227.92</v>
      </c>
      <c r="GS4" vm="472">
        <f ca="1"/>
        <v>231.83</v>
      </c>
      <c r="GT4" vm="473">
        <f ca="1"/>
        <v>231.92</v>
      </c>
      <c r="GU4" vm="474">
        <f ca="1"/>
        <v>249.8</v>
      </c>
      <c r="GV4" vm="475">
        <f ca="1"/>
        <v>253.73</v>
      </c>
      <c r="GW4" vm="476">
        <f ca="1"/>
        <v>259.68</v>
      </c>
      <c r="GX4" vm="477">
        <f ca="1"/>
        <v>251.31</v>
      </c>
      <c r="GY4" vm="478">
        <f ca="1"/>
        <v>252.03</v>
      </c>
      <c r="GZ4" vm="479">
        <f ca="1"/>
        <v>252.74</v>
      </c>
      <c r="HA4" vm="480">
        <f ca="1"/>
        <v>252.18</v>
      </c>
      <c r="HB4" vm="481">
        <f ca="1"/>
        <v>236.73</v>
      </c>
      <c r="HC4" vm="482">
        <f ca="1"/>
        <v>246.27</v>
      </c>
      <c r="HD4" vm="483">
        <f ca="1"/>
        <v>242.11</v>
      </c>
      <c r="HE4" vm="484">
        <f ca="1"/>
        <v>200.19</v>
      </c>
      <c r="HF4" vm="485">
        <f ca="1"/>
        <v>192.5</v>
      </c>
      <c r="HG4" vm="486">
        <f ca="1"/>
        <v>208.44</v>
      </c>
      <c r="HH4" vm="487">
        <f ca="1"/>
        <v>216</v>
      </c>
      <c r="HI4" vm="488">
        <f ca="1"/>
        <v>213.57</v>
      </c>
      <c r="HJ4" vm="489">
        <f ca="1"/>
        <v>213.58</v>
      </c>
      <c r="HK4" vm="490">
        <f ca="1"/>
        <v>205.94</v>
      </c>
      <c r="HL4" vm="491">
        <f ca="1"/>
        <v>207.32</v>
      </c>
      <c r="HM4" vm="492">
        <f ca="1"/>
        <v>203.08</v>
      </c>
      <c r="HN4" vm="493">
        <f ca="1"/>
        <v>200.12</v>
      </c>
      <c r="HO4" vm="494">
        <f ca="1"/>
        <v>203.37</v>
      </c>
      <c r="HP4" vm="495">
        <f ca="1"/>
        <v>200.15</v>
      </c>
      <c r="HQ4" vm="496">
        <f ca="1"/>
        <v>196.6</v>
      </c>
      <c r="HR4" vm="497">
        <f ca="1"/>
        <v>213.84</v>
      </c>
      <c r="HS4" vm="498">
        <f ca="1"/>
        <v>210.86</v>
      </c>
      <c r="HT4" vm="499">
        <f ca="1"/>
        <v>203.68</v>
      </c>
      <c r="HU4" vm="500">
        <f ca="1"/>
        <v>200.21</v>
      </c>
      <c r="HV4" vm="501">
        <f ca="1"/>
        <v>198.62</v>
      </c>
      <c r="HW4" vm="502">
        <f ca="1"/>
        <v>190.95</v>
      </c>
      <c r="HX4" vm="503">
        <f ca="1"/>
        <v>202.07</v>
      </c>
      <c r="HY4" vm="504">
        <f ca="1"/>
        <v>199.45</v>
      </c>
      <c r="HZ4" vm="505">
        <f ca="1"/>
        <v>192.43</v>
      </c>
      <c r="IA4" vm="506">
        <f ca="1"/>
        <v>202.68</v>
      </c>
      <c r="IB4" vm="507">
        <f ca="1"/>
        <v>203.23</v>
      </c>
      <c r="IC4" vm="508">
        <f ca="1"/>
        <v>204.83</v>
      </c>
      <c r="ID4" vm="509">
        <f ca="1"/>
        <v>197.74</v>
      </c>
      <c r="IE4" vm="510">
        <f ca="1"/>
        <v>193.39</v>
      </c>
      <c r="IF4" vm="511">
        <f ca="1"/>
        <v>196.58</v>
      </c>
      <c r="IG4" vm="512">
        <f ca="1"/>
        <v>196.31</v>
      </c>
      <c r="IH4" vm="513">
        <f ca="1"/>
        <v>199.46</v>
      </c>
      <c r="II4" vm="514">
        <f ca="1"/>
        <v>205.27</v>
      </c>
      <c r="IJ4" vm="515">
        <f ca="1"/>
        <v>201.33</v>
      </c>
      <c r="IK4" vm="506">
        <f ca="1"/>
        <v>202.68</v>
      </c>
      <c r="IL4" vm="516">
        <f ca="1"/>
        <v>205.37</v>
      </c>
      <c r="IM4" vm="517">
        <f ca="1"/>
        <v>220.27</v>
      </c>
      <c r="IN4" vm="518">
        <f ca="1"/>
        <v>203.77</v>
      </c>
      <c r="IO4" vm="519">
        <f ca="1"/>
        <v>201.99</v>
      </c>
      <c r="IP4" vm="520">
        <f ca="1"/>
        <v>196.04</v>
      </c>
      <c r="IQ4" vm="521">
        <f ca="1"/>
        <v>203.43</v>
      </c>
      <c r="IR4" vm="522">
        <f ca="1"/>
        <v>210.21</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3509">
        <f ca="1"/>
        <v>40912561</v>
      </c>
      <c r="C7" vm="3510">
        <f ca="1"/>
        <v>192.12</v>
      </c>
      <c r="D7" vm="3219">
        <f ca="1"/>
        <v>202.44</v>
      </c>
      <c r="E7" vm="3511">
        <f ca="1"/>
        <v>189.86</v>
      </c>
      <c r="F7" vm="503">
        <f ca="1"/>
        <v>202.07</v>
      </c>
    </row>
    <row r="8" spans="1:252" x14ac:dyDescent="0.35">
      <c r="A8" vm="256">
        <f ca="1"/>
        <v>46086</v>
      </c>
      <c r="B8" vm="3512">
        <f ca="1"/>
        <v>36000660</v>
      </c>
      <c r="C8" vm="3513">
        <f ca="1"/>
        <v>197.77</v>
      </c>
      <c r="D8" vm="3514">
        <f ca="1"/>
        <v>203.79</v>
      </c>
      <c r="E8" vm="3515">
        <f ca="1"/>
        <v>194.88</v>
      </c>
      <c r="F8" vm="504">
        <f ca="1"/>
        <v>199.45</v>
      </c>
    </row>
    <row r="9" spans="1:252" x14ac:dyDescent="0.35">
      <c r="A9" vm="257">
        <f ca="1"/>
        <v>46087</v>
      </c>
      <c r="B9" vm="3516">
        <f ca="1"/>
        <v>33913779</v>
      </c>
      <c r="C9" vm="796">
        <f ca="1"/>
        <v>195.27</v>
      </c>
      <c r="D9" vm="3517">
        <f ca="1"/>
        <v>200.24</v>
      </c>
      <c r="E9" vm="3518">
        <f ca="1"/>
        <v>191.2501</v>
      </c>
      <c r="F9" vm="505">
        <f ca="1"/>
        <v>192.43</v>
      </c>
    </row>
    <row r="10" spans="1:252" x14ac:dyDescent="0.35">
      <c r="A10" vm="258">
        <f ca="1"/>
        <v>46090</v>
      </c>
      <c r="B10" vm="3519">
        <f ca="1"/>
        <v>38877220</v>
      </c>
      <c r="C10" vm="3520">
        <f ca="1"/>
        <v>189.36</v>
      </c>
      <c r="D10" vm="3521">
        <f ca="1"/>
        <v>202.97</v>
      </c>
      <c r="E10" vm="3522">
        <f ca="1"/>
        <v>189.02</v>
      </c>
      <c r="F10" vm="506">
        <f ca="1"/>
        <v>202.68</v>
      </c>
    </row>
    <row r="11" spans="1:252" x14ac:dyDescent="0.35">
      <c r="A11" vm="259">
        <f ca="1"/>
        <v>46091</v>
      </c>
      <c r="B11" vm="3523">
        <f ca="1"/>
        <v>29139162</v>
      </c>
      <c r="C11" vm="3524">
        <f ca="1"/>
        <v>202.51</v>
      </c>
      <c r="D11" vm="3525">
        <f ca="1"/>
        <v>206.59</v>
      </c>
      <c r="E11" vm="3526">
        <f ca="1"/>
        <v>202.2</v>
      </c>
      <c r="F11" vm="507">
        <f ca="1"/>
        <v>203.23</v>
      </c>
    </row>
    <row r="12" spans="1:252" x14ac:dyDescent="0.35">
      <c r="A12" vm="260">
        <f ca="1"/>
        <v>46092</v>
      </c>
      <c r="B12" vm="3527">
        <f ca="1"/>
        <v>23076366</v>
      </c>
      <c r="C12" vm="3528">
        <f ca="1"/>
        <v>205.11</v>
      </c>
      <c r="D12" vm="3529">
        <f ca="1"/>
        <v>209.21</v>
      </c>
      <c r="E12" vm="3530">
        <f ca="1"/>
        <v>203.63</v>
      </c>
      <c r="F12" vm="508">
        <f ca="1"/>
        <v>204.83</v>
      </c>
    </row>
    <row r="13" spans="1:252" x14ac:dyDescent="0.35">
      <c r="A13" vm="261">
        <f ca="1"/>
        <v>46093</v>
      </c>
      <c r="B13" vm="3531">
        <f ca="1"/>
        <v>28886913</v>
      </c>
      <c r="C13" vm="3532">
        <f ca="1"/>
        <v>202.82499999999999</v>
      </c>
      <c r="D13" vm="3533">
        <f ca="1"/>
        <v>203.62</v>
      </c>
      <c r="E13" vm="3534">
        <f ca="1"/>
        <v>196.67</v>
      </c>
      <c r="F13" vm="509">
        <f ca="1"/>
        <v>197.74</v>
      </c>
    </row>
    <row r="14" spans="1:252" x14ac:dyDescent="0.35">
      <c r="A14" vm="262">
        <f ca="1"/>
        <v>46094</v>
      </c>
      <c r="B14" vm="3535">
        <f ca="1"/>
        <v>27561888</v>
      </c>
      <c r="C14" vm="453">
        <f ca="1"/>
        <v>198.11</v>
      </c>
      <c r="D14" vm="3536">
        <f ca="1"/>
        <v>199.68</v>
      </c>
      <c r="E14" vm="3537">
        <f ca="1"/>
        <v>192.27</v>
      </c>
      <c r="F14" vm="510">
        <f ca="1"/>
        <v>193.39</v>
      </c>
    </row>
    <row r="15" spans="1:252" x14ac:dyDescent="0.35">
      <c r="A15" vm="263">
        <f ca="1"/>
        <v>46097</v>
      </c>
      <c r="B15" vm="3538">
        <f ca="1"/>
        <v>30285170</v>
      </c>
      <c r="C15" vm="3539">
        <f ca="1"/>
        <v>194.97499999999999</v>
      </c>
      <c r="D15" vm="3540">
        <f ca="1"/>
        <v>200.17</v>
      </c>
      <c r="E15" vm="3541">
        <f ca="1"/>
        <v>194.8</v>
      </c>
      <c r="F15" vm="511">
        <f ca="1"/>
        <v>196.58</v>
      </c>
    </row>
    <row r="16" spans="1:252" x14ac:dyDescent="0.35">
      <c r="A16" vm="264">
        <f ca="1"/>
        <v>46098</v>
      </c>
      <c r="B16" vm="3542">
        <f ca="1"/>
        <v>22779675</v>
      </c>
      <c r="C16" vm="3543">
        <f ca="1"/>
        <v>196.68</v>
      </c>
      <c r="D16" vm="3544">
        <f ca="1"/>
        <v>199.21</v>
      </c>
      <c r="E16" vm="3545">
        <f ca="1"/>
        <v>195.26</v>
      </c>
      <c r="F16" vm="512">
        <f ca="1"/>
        <v>196.31</v>
      </c>
    </row>
    <row r="17" spans="1:6" x14ac:dyDescent="0.35">
      <c r="A17" vm="265">
        <f ca="1"/>
        <v>46099</v>
      </c>
      <c r="B17" vm="3546">
        <f ca="1"/>
        <v>28569135</v>
      </c>
      <c r="C17" vm="3547">
        <f ca="1"/>
        <v>196</v>
      </c>
      <c r="D17" vm="3548">
        <f ca="1"/>
        <v>202.86</v>
      </c>
      <c r="E17" vm="3549">
        <f ca="1"/>
        <v>195.75</v>
      </c>
      <c r="F17" vm="513">
        <f ca="1"/>
        <v>199.46</v>
      </c>
    </row>
    <row r="18" spans="1:6" x14ac:dyDescent="0.35">
      <c r="A18" vm="266">
        <f ca="1"/>
        <v>46100</v>
      </c>
      <c r="B18" vm="3550">
        <f ca="1"/>
        <v>32245329</v>
      </c>
      <c r="C18" vm="3551">
        <f ca="1"/>
        <v>195.03200000000001</v>
      </c>
      <c r="D18" vm="3552">
        <f ca="1"/>
        <v>205.88</v>
      </c>
      <c r="E18" vm="3553">
        <f ca="1"/>
        <v>192.83</v>
      </c>
      <c r="F18" vm="514">
        <f ca="1"/>
        <v>205.27</v>
      </c>
    </row>
    <row r="19" spans="1:6" x14ac:dyDescent="0.35">
      <c r="A19" vm="267">
        <f ca="1"/>
        <v>46101</v>
      </c>
      <c r="B19" vm="3554">
        <f ca="1"/>
        <v>37265103</v>
      </c>
      <c r="C19" vm="3555">
        <f ca="1"/>
        <v>204.88499999999999</v>
      </c>
      <c r="D19" vm="3556">
        <f ca="1"/>
        <v>206.3</v>
      </c>
      <c r="E19" vm="3557">
        <f ca="1"/>
        <v>198.26</v>
      </c>
      <c r="F19" vm="515">
        <f ca="1"/>
        <v>201.33</v>
      </c>
    </row>
    <row r="20" spans="1:6" x14ac:dyDescent="0.35">
      <c r="A20" vm="268">
        <f ca="1"/>
        <v>46104</v>
      </c>
      <c r="B20" vm="3558">
        <f ca="1"/>
        <v>31857752</v>
      </c>
      <c r="C20" vm="3559">
        <f ca="1"/>
        <v>206.39500000000001</v>
      </c>
      <c r="D20" vm="3560">
        <f ca="1"/>
        <v>209.10900000000001</v>
      </c>
      <c r="E20" vm="3561">
        <f ca="1"/>
        <v>201.71</v>
      </c>
      <c r="F20" vm="506">
        <f ca="1"/>
        <v>202.68</v>
      </c>
    </row>
    <row r="21" spans="1:6" x14ac:dyDescent="0.35">
      <c r="A21" vm="269">
        <f ca="1"/>
        <v>46105</v>
      </c>
      <c r="B21" vm="3562">
        <f ca="1"/>
        <v>27258849</v>
      </c>
      <c r="C21" vm="3563">
        <f ca="1"/>
        <v>201.39</v>
      </c>
      <c r="D21" vm="3564">
        <f ca="1"/>
        <v>206.43</v>
      </c>
      <c r="E21" vm="3565">
        <f ca="1"/>
        <v>200.13</v>
      </c>
      <c r="F21" vm="516">
        <f ca="1"/>
        <v>205.37</v>
      </c>
    </row>
    <row r="22" spans="1:6" x14ac:dyDescent="0.35">
      <c r="A22" vm="270">
        <f ca="1"/>
        <v>46106</v>
      </c>
      <c r="B22" vm="3566">
        <f ca="1"/>
        <v>48518269</v>
      </c>
      <c r="C22" vm="3567">
        <f ca="1"/>
        <v>211.505</v>
      </c>
      <c r="D22" vm="3568">
        <f ca="1"/>
        <v>221.33</v>
      </c>
      <c r="E22" vm="3567">
        <f ca="1"/>
        <v>211.505</v>
      </c>
      <c r="F22" vm="517">
        <f ca="1"/>
        <v>220.27</v>
      </c>
    </row>
    <row r="23" spans="1:6" x14ac:dyDescent="0.35">
      <c r="A23" vm="271">
        <f ca="1"/>
        <v>46107</v>
      </c>
      <c r="B23" vm="3569">
        <f ca="1"/>
        <v>49212976</v>
      </c>
      <c r="C23" vm="3570">
        <f ca="1"/>
        <v>217.97900000000001</v>
      </c>
      <c r="D23" vm="3571">
        <f ca="1"/>
        <v>221</v>
      </c>
      <c r="E23" vm="521">
        <f ca="1"/>
        <v>203.43</v>
      </c>
      <c r="F23" vm="518">
        <f ca="1"/>
        <v>203.77</v>
      </c>
    </row>
    <row r="24" spans="1:6" x14ac:dyDescent="0.35">
      <c r="A24" vm="272">
        <f ca="1"/>
        <v>46108</v>
      </c>
      <c r="B24" vm="3572">
        <f ca="1"/>
        <v>29206578</v>
      </c>
      <c r="C24" vm="3573">
        <f ca="1"/>
        <v>201.77</v>
      </c>
      <c r="D24" vm="3574">
        <f ca="1"/>
        <v>203.26990000000001</v>
      </c>
      <c r="E24" vm="3575">
        <f ca="1"/>
        <v>197.69</v>
      </c>
      <c r="F24" vm="519">
        <f ca="1"/>
        <v>201.99</v>
      </c>
    </row>
    <row r="25" spans="1:6" x14ac:dyDescent="0.35">
      <c r="A25" vm="273">
        <f ca="1"/>
        <v>46111</v>
      </c>
      <c r="B25" vm="3576">
        <f ca="1"/>
        <v>41053298</v>
      </c>
      <c r="C25" vm="3577">
        <f ca="1"/>
        <v>204.95</v>
      </c>
      <c r="D25" vm="3578">
        <f ca="1"/>
        <v>208.43</v>
      </c>
      <c r="E25" vm="3579">
        <f ca="1"/>
        <v>192.86500000000001</v>
      </c>
      <c r="F25" vm="520">
        <f ca="1"/>
        <v>196.04</v>
      </c>
    </row>
    <row r="26" spans="1:6" x14ac:dyDescent="0.35">
      <c r="A26" vm="274">
        <f ca="1"/>
        <v>46112</v>
      </c>
      <c r="B26" vm="3580">
        <f ca="1"/>
        <v>42318748</v>
      </c>
      <c r="C26" vm="2977">
        <f ca="1"/>
        <v>198.05</v>
      </c>
      <c r="D26" vm="3581">
        <f ca="1"/>
        <v>204</v>
      </c>
      <c r="E26" vm="3582">
        <f ca="1"/>
        <v>196.41</v>
      </c>
      <c r="F26" vm="521">
        <f ca="1"/>
        <v>203.43</v>
      </c>
    </row>
    <row r="27" spans="1:6" x14ac:dyDescent="0.35">
      <c r="A27" vm="275">
        <f ca="1"/>
        <v>46113</v>
      </c>
      <c r="B27" vm="3583">
        <f ca="1"/>
        <v>40835794</v>
      </c>
      <c r="C27" vm="3584">
        <f ca="1"/>
        <v>207.58500000000001</v>
      </c>
      <c r="D27" vm="3585">
        <f ca="1"/>
        <v>213.83</v>
      </c>
      <c r="E27" vm="3586">
        <f ca="1"/>
        <v>205.84</v>
      </c>
      <c r="F27" vm="522">
        <f ca="1"/>
        <v>210.21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R27"/>
  <sheetViews>
    <sheetView tabSelected="1" topLeftCell="C1" workbookViewId="0">
      <selection activeCell="R32" sqref="R32"/>
    </sheetView>
  </sheetViews>
  <sheetFormatPr defaultRowHeight="14.5" x14ac:dyDescent="0.35"/>
  <cols>
    <col min="1" max="1" width="22.1796875" bestFit="1" customWidth="1"/>
    <col min="2" max="2" width="42.7265625" bestFit="1" customWidth="1"/>
  </cols>
  <sheetData>
    <row r="1" spans="1:252" x14ac:dyDescent="0.35">
      <c r="A1" s="2" t="s">
        <v>8</v>
      </c>
      <c r="B1" t="e" vm="18">
        <v>#VALUE!</v>
      </c>
    </row>
    <row r="3" spans="1:252" x14ac:dyDescent="0.35">
      <c r="A3" s="2" t="s">
        <v>35</v>
      </c>
      <c r="B3" s="2" t="s">
        <v>25</v>
      </c>
    </row>
    <row r="4" spans="1:252" x14ac:dyDescent="0.35">
      <c r="A4" t="s">
        <v>37</v>
      </c>
      <c r="B4" t="s">
        <v>17</v>
      </c>
      <c r="C4" cm="1" vm="3587">
        <f t="array" aca="1" ref="C4:IR4" ca="1">TRANSPOSE(_xlfn.STOCKHISTORY(A4&amp;":"&amp;B4,TODAY()-365,TODAY(),0,0,1))</f>
        <v>128.30959999999999</v>
      </c>
      <c r="D4" vm="3588">
        <f ca="1"/>
        <v>115.62050000000001</v>
      </c>
      <c r="E4" vm="3589">
        <f ca="1"/>
        <v>105.1438</v>
      </c>
      <c r="F4" vm="3590">
        <f ca="1"/>
        <v>98.585999999999999</v>
      </c>
      <c r="G4" vm="3591">
        <f ca="1"/>
        <v>103.9533</v>
      </c>
      <c r="H4" vm="3592">
        <f ca="1"/>
        <v>103.358</v>
      </c>
      <c r="I4" vm="3593">
        <f ca="1"/>
        <v>106.88</v>
      </c>
      <c r="J4" vm="3594">
        <f ca="1"/>
        <v>113.07080000000001</v>
      </c>
      <c r="K4" vm="3595">
        <f ca="1"/>
        <v>111.39409999999999</v>
      </c>
      <c r="L4" vm="3596">
        <f ca="1"/>
        <v>105.90770000000001</v>
      </c>
      <c r="M4" vm="3597">
        <f ca="1"/>
        <v>108.011</v>
      </c>
      <c r="N4" vm="3598">
        <f ca="1"/>
        <v>109.2809</v>
      </c>
      <c r="O4" vm="3599">
        <f ca="1"/>
        <v>114.9657</v>
      </c>
      <c r="P4" vm="3600">
        <f ca="1"/>
        <v>118.0313</v>
      </c>
      <c r="Q4" vm="3601">
        <f ca="1"/>
        <v>118.3488</v>
      </c>
      <c r="R4" vm="3602">
        <f ca="1"/>
        <v>119.331</v>
      </c>
      <c r="S4" vm="3603">
        <f ca="1"/>
        <v>117.4361</v>
      </c>
      <c r="T4" vm="3604">
        <f ca="1"/>
        <v>117.94199999999999</v>
      </c>
      <c r="U4" vm="3605">
        <f ca="1"/>
        <v>118.4877</v>
      </c>
      <c r="V4" vm="3606">
        <f ca="1"/>
        <v>119.57899999999999</v>
      </c>
      <c r="W4" vm="3607">
        <f ca="1"/>
        <v>124.76779999999999</v>
      </c>
      <c r="X4" vm="3608">
        <f ca="1"/>
        <v>125.5714</v>
      </c>
      <c r="Y4" vm="3609">
        <f ca="1"/>
        <v>126.6528</v>
      </c>
      <c r="Z4" vm="3610">
        <f ca="1"/>
        <v>122.2577</v>
      </c>
      <c r="AA4" vm="3611">
        <f ca="1"/>
        <v>124.7975</v>
      </c>
      <c r="AB4" vm="3612">
        <f ca="1"/>
        <v>124.3411</v>
      </c>
      <c r="AC4" vm="3613">
        <f ca="1"/>
        <v>131.5042</v>
      </c>
      <c r="AD4" vm="3614">
        <f ca="1"/>
        <v>130.6113</v>
      </c>
      <c r="AE4" vm="3615">
        <f ca="1"/>
        <v>132.9923</v>
      </c>
      <c r="AF4" vm="3616">
        <f ca="1"/>
        <v>122.9224</v>
      </c>
      <c r="AG4" vm="3617">
        <f ca="1"/>
        <v>122.4859</v>
      </c>
      <c r="AH4" vm="3618">
        <f ca="1"/>
        <v>121.9898</v>
      </c>
      <c r="AI4" vm="3619">
        <f ca="1"/>
        <v>124.1725</v>
      </c>
      <c r="AJ4" vm="3620">
        <f ca="1"/>
        <v>122.61490000000001</v>
      </c>
      <c r="AK4" vm="3621">
        <f ca="1"/>
        <v>120.5215</v>
      </c>
      <c r="AL4" vm="3622">
        <f ca="1"/>
        <v>119.7774</v>
      </c>
      <c r="AM4" vm="3623">
        <f ca="1"/>
        <v>118.577</v>
      </c>
      <c r="AN4" vm="3624">
        <f ca="1"/>
        <v>115.8189</v>
      </c>
      <c r="AO4" vm="3625">
        <f ca="1"/>
        <v>116.25539999999999</v>
      </c>
      <c r="AP4" vm="3626">
        <f ca="1"/>
        <v>112.9418</v>
      </c>
      <c r="AQ4" vm="3627">
        <f ca="1"/>
        <v>113.8446</v>
      </c>
      <c r="AR4" vm="3628">
        <f ca="1"/>
        <v>114.0629</v>
      </c>
      <c r="AS4" vm="3629">
        <f ca="1"/>
        <v>118.50749999999999</v>
      </c>
      <c r="AT4" vm="3630">
        <f ca="1"/>
        <v>119.01349999999999</v>
      </c>
      <c r="AU4" vm="3631">
        <f ca="1"/>
        <v>118.43810000000001</v>
      </c>
      <c r="AV4" vm="3621">
        <f ca="1"/>
        <v>120.5215</v>
      </c>
      <c r="AW4" vm="3632">
        <f ca="1"/>
        <v>120.91840000000001</v>
      </c>
      <c r="AX4" vm="3633">
        <f ca="1"/>
        <v>119.3806</v>
      </c>
      <c r="AY4" vm="3634">
        <f ca="1"/>
        <v>116.62</v>
      </c>
      <c r="AZ4" vm="3635">
        <f ca="1"/>
        <v>112.87</v>
      </c>
      <c r="BA4" vm="3636">
        <f ca="1"/>
        <v>115.96</v>
      </c>
      <c r="BB4" vm="3637">
        <f ca="1"/>
        <v>115.03</v>
      </c>
      <c r="BC4" vm="3638">
        <f ca="1"/>
        <v>113.49</v>
      </c>
      <c r="BD4" vm="3639">
        <f ca="1"/>
        <v>113.01</v>
      </c>
      <c r="BE4" vm="3640">
        <f ca="1"/>
        <v>113.09</v>
      </c>
      <c r="BF4" vm="3641">
        <f ca="1"/>
        <v>117.01</v>
      </c>
      <c r="BG4" vm="3642">
        <f ca="1"/>
        <v>114.55</v>
      </c>
      <c r="BH4" vm="3643">
        <f ca="1"/>
        <v>113.93</v>
      </c>
      <c r="BI4" vm="3644">
        <f ca="1"/>
        <v>114.08</v>
      </c>
      <c r="BJ4" vm="1734">
        <f ca="1"/>
        <v>113.41</v>
      </c>
      <c r="BK4" vm="3645">
        <f ca="1"/>
        <v>113.97</v>
      </c>
      <c r="BL4" vm="310">
        <f ca="1"/>
        <v>110.71</v>
      </c>
      <c r="BM4" vm="3646">
        <f ca="1"/>
        <v>108.7</v>
      </c>
      <c r="BN4" vm="3647">
        <f ca="1"/>
        <v>106.27</v>
      </c>
      <c r="BO4" vm="3648">
        <f ca="1"/>
        <v>107.99</v>
      </c>
      <c r="BP4" vm="3649">
        <f ca="1"/>
        <v>103.83</v>
      </c>
      <c r="BQ4" vm="3650">
        <f ca="1"/>
        <v>106.64</v>
      </c>
      <c r="BR4" vm="1657">
        <f ca="1"/>
        <v>106.72</v>
      </c>
      <c r="BS4" vm="3651">
        <f ca="1"/>
        <v>108.22</v>
      </c>
      <c r="BT4" vm="3652">
        <f ca="1"/>
        <v>116.97</v>
      </c>
      <c r="BU4" vm="3653">
        <f ca="1"/>
        <v>115.73</v>
      </c>
      <c r="BV4" vm="3654">
        <f ca="1"/>
        <v>117.3</v>
      </c>
      <c r="BW4" vm="3655">
        <f ca="1"/>
        <v>120.23</v>
      </c>
      <c r="BX4" vm="3656">
        <f ca="1"/>
        <v>120.27</v>
      </c>
      <c r="BY4" vm="3657">
        <f ca="1"/>
        <v>120.71</v>
      </c>
      <c r="BZ4" vm="3658">
        <f ca="1"/>
        <v>122.58</v>
      </c>
      <c r="CA4" vm="3659">
        <f ca="1"/>
        <v>121.15</v>
      </c>
      <c r="CB4" vm="3660">
        <f ca="1"/>
        <v>120.03</v>
      </c>
      <c r="CC4" vm="1702">
        <f ca="1"/>
        <v>122.15</v>
      </c>
      <c r="CD4" vm="3460">
        <f ca="1"/>
        <v>119.36</v>
      </c>
      <c r="CE4" vm="3661">
        <f ca="1"/>
        <v>117.38</v>
      </c>
      <c r="CF4" vm="3662">
        <f ca="1"/>
        <v>120.63</v>
      </c>
      <c r="CG4" vm="3663">
        <f ca="1"/>
        <v>117.07</v>
      </c>
      <c r="CH4" vm="3664">
        <f ca="1"/>
        <v>117.5</v>
      </c>
      <c r="CI4" vm="3665">
        <f ca="1"/>
        <v>117.04</v>
      </c>
      <c r="CJ4" vm="3666">
        <f ca="1"/>
        <v>120.86</v>
      </c>
      <c r="CK4" vm="3667">
        <f ca="1"/>
        <v>120.96</v>
      </c>
      <c r="CL4" vm="3455">
        <f ca="1"/>
        <v>120.36</v>
      </c>
      <c r="CM4" vm="3668">
        <f ca="1"/>
        <v>118.64</v>
      </c>
      <c r="CN4" vm="3669">
        <f ca="1"/>
        <v>122.42</v>
      </c>
      <c r="CO4" vm="3670">
        <f ca="1"/>
        <v>126.86</v>
      </c>
      <c r="CP4" vm="3671">
        <f ca="1"/>
        <v>122.28</v>
      </c>
      <c r="CQ4" vm="3672">
        <f ca="1"/>
        <v>121.26</v>
      </c>
      <c r="CR4" vm="3673">
        <f ca="1"/>
        <v>121.4</v>
      </c>
      <c r="CS4" vm="3674">
        <f ca="1"/>
        <v>119.99</v>
      </c>
      <c r="CT4" vm="3675">
        <f ca="1"/>
        <v>119.49</v>
      </c>
      <c r="CU4" vm="1670">
        <f ca="1"/>
        <v>118.09</v>
      </c>
      <c r="CV4" vm="3676">
        <f ca="1"/>
        <v>122.94</v>
      </c>
      <c r="CW4" vm="3677">
        <f ca="1"/>
        <v>124.35</v>
      </c>
      <c r="CX4" vm="3678">
        <f ca="1"/>
        <v>124.19</v>
      </c>
      <c r="CY4" vm="3679">
        <f ca="1"/>
        <v>122.23</v>
      </c>
      <c r="CZ4" vm="3680">
        <f ca="1"/>
        <v>119.57</v>
      </c>
      <c r="DA4" vm="3681">
        <f ca="1"/>
        <v>135</v>
      </c>
      <c r="DB4" vm="3682">
        <f ca="1"/>
        <v>138.55000000000001</v>
      </c>
      <c r="DC4" vm="3683">
        <f ca="1"/>
        <v>136.44999999999999</v>
      </c>
      <c r="DD4" vm="3684">
        <f ca="1"/>
        <v>130.91999999999999</v>
      </c>
      <c r="DE4" vm="3685">
        <f ca="1"/>
        <v>135.58000000000001</v>
      </c>
      <c r="DF4" vm="3686">
        <f ca="1"/>
        <v>141.19999999999999</v>
      </c>
      <c r="DG4" vm="3687">
        <f ca="1"/>
        <v>147.1</v>
      </c>
      <c r="DH4" vm="3688">
        <f ca="1"/>
        <v>143.93</v>
      </c>
      <c r="DI4" vm="3689">
        <f ca="1"/>
        <v>155.44</v>
      </c>
      <c r="DJ4" vm="3690">
        <f ca="1"/>
        <v>155.06</v>
      </c>
      <c r="DK4" vm="3691">
        <f ca="1"/>
        <v>158.04</v>
      </c>
      <c r="DL4" vm="3692">
        <f ca="1"/>
        <v>162.21</v>
      </c>
      <c r="DM4" vm="3693">
        <f ca="1"/>
        <v>166.17</v>
      </c>
      <c r="DN4" vm="3694">
        <f ca="1"/>
        <v>162.47999999999999</v>
      </c>
      <c r="DO4" vm="3695">
        <f ca="1"/>
        <v>162.81</v>
      </c>
      <c r="DP4" vm="3696">
        <f ca="1"/>
        <v>164.25</v>
      </c>
      <c r="DQ4" vm="3697">
        <f ca="1"/>
        <v>163.08000000000001</v>
      </c>
      <c r="DR4" vm="3698">
        <f ca="1"/>
        <v>176.44</v>
      </c>
      <c r="DS4" vm="3699">
        <f ca="1"/>
        <v>175.47</v>
      </c>
      <c r="DT4" vm="3700">
        <f ca="1"/>
        <v>171.91</v>
      </c>
      <c r="DU4" vm="3701">
        <f ca="1"/>
        <v>179.9</v>
      </c>
      <c r="DV4" vm="3702">
        <f ca="1"/>
        <v>178.73</v>
      </c>
      <c r="DW4" vm="3703">
        <f ca="1"/>
        <v>182.78</v>
      </c>
      <c r="DX4" vm="3704">
        <f ca="1"/>
        <v>189.34</v>
      </c>
      <c r="DY4" vm="3705">
        <f ca="1"/>
        <v>188.03</v>
      </c>
      <c r="DZ4" vm="3706">
        <f ca="1"/>
        <v>187.22</v>
      </c>
      <c r="EA4" vm="3707">
        <f ca="1"/>
        <v>181.33</v>
      </c>
      <c r="EB4" vm="3708">
        <f ca="1"/>
        <v>181.12</v>
      </c>
      <c r="EC4" vm="3709">
        <f ca="1"/>
        <v>173.68</v>
      </c>
      <c r="ED4" vm="3710">
        <f ca="1"/>
        <v>159.01</v>
      </c>
      <c r="EE4" vm="3711">
        <f ca="1"/>
        <v>166.81</v>
      </c>
      <c r="EF4" vm="3712">
        <f ca="1"/>
        <v>162.86000000000001</v>
      </c>
      <c r="EG4" vm="3713">
        <f ca="1"/>
        <v>165.91</v>
      </c>
      <c r="EH4" vm="3714">
        <f ca="1"/>
        <v>165.09</v>
      </c>
      <c r="EI4" vm="3715">
        <f ca="1"/>
        <v>167.05</v>
      </c>
      <c r="EJ4" vm="3716">
        <f ca="1"/>
        <v>173.47</v>
      </c>
      <c r="EK4" vm="3717">
        <f ca="1"/>
        <v>166.67</v>
      </c>
      <c r="EL4" vm="3718">
        <f ca="1"/>
        <v>165.86</v>
      </c>
      <c r="EM4" vm="3719">
        <f ca="1"/>
        <v>171.9</v>
      </c>
      <c r="EN4" vm="3720">
        <f ca="1"/>
        <v>174.7</v>
      </c>
      <c r="EO4" vm="3721">
        <f ca="1"/>
        <v>179.45</v>
      </c>
      <c r="EP4" vm="3722">
        <f ca="1"/>
        <v>176.72</v>
      </c>
      <c r="EQ4" vm="3723">
        <f ca="1"/>
        <v>179.97</v>
      </c>
      <c r="ER4" vm="3724">
        <f ca="1"/>
        <v>173.93</v>
      </c>
      <c r="ES4" vm="3725">
        <f ca="1"/>
        <v>170.43</v>
      </c>
      <c r="ET4" vm="3726">
        <f ca="1"/>
        <v>167.69</v>
      </c>
      <c r="EU4" vm="3727">
        <f ca="1"/>
        <v>164.3</v>
      </c>
      <c r="EV4" vm="3728">
        <f ca="1"/>
        <v>164.82</v>
      </c>
      <c r="EW4" vm="3729">
        <f ca="1"/>
        <v>167.61</v>
      </c>
      <c r="EX4" vm="3730">
        <f ca="1"/>
        <v>166.34</v>
      </c>
      <c r="EY4" vm="3731">
        <f ca="1"/>
        <v>165.89</v>
      </c>
      <c r="EZ4" vm="3732">
        <f ca="1"/>
        <v>160.80000000000001</v>
      </c>
      <c r="FA4" vm="3733">
        <f ca="1"/>
        <v>157.91</v>
      </c>
      <c r="FB4" vm="3734">
        <f ca="1"/>
        <v>159.84</v>
      </c>
      <c r="FC4" vm="3735">
        <f ca="1"/>
        <v>153.80000000000001</v>
      </c>
      <c r="FD4" vm="3736">
        <f ca="1"/>
        <v>157.71</v>
      </c>
      <c r="FE4" vm="3737">
        <f ca="1"/>
        <v>159.72</v>
      </c>
      <c r="FF4" vm="3738">
        <f ca="1"/>
        <v>158.88999999999999</v>
      </c>
      <c r="FG4" vm="3739">
        <f ca="1"/>
        <v>153.28</v>
      </c>
      <c r="FH4" vm="3740">
        <f ca="1"/>
        <v>152.93</v>
      </c>
      <c r="FI4" vm="3741">
        <f ca="1"/>
        <v>160.72999999999999</v>
      </c>
      <c r="FJ4" vm="3742">
        <f ca="1"/>
        <v>157.01</v>
      </c>
      <c r="FK4" vm="3743">
        <f ca="1"/>
        <v>157.6</v>
      </c>
      <c r="FL4" vm="3744">
        <f ca="1"/>
        <v>157.30000000000001</v>
      </c>
      <c r="FM4" vm="3745">
        <f ca="1"/>
        <v>164.26</v>
      </c>
      <c r="FN4" vm="3746">
        <f ca="1"/>
        <v>161.13</v>
      </c>
      <c r="FO4" vm="3747">
        <f ca="1"/>
        <v>158.08000000000001</v>
      </c>
      <c r="FP4" vm="3748">
        <f ca="1"/>
        <v>157.44</v>
      </c>
      <c r="FQ4" vm="3749">
        <f ca="1"/>
        <v>158.32</v>
      </c>
      <c r="FR4" vm="3750">
        <f ca="1"/>
        <v>158.13</v>
      </c>
      <c r="FS4" vm="3751">
        <f ca="1"/>
        <v>155.96</v>
      </c>
      <c r="FT4" vm="3752">
        <f ca="1"/>
        <v>158.82</v>
      </c>
      <c r="FU4" vm="3753">
        <f ca="1"/>
        <v>156.9</v>
      </c>
      <c r="FV4" vm="3754">
        <f ca="1"/>
        <v>155.68</v>
      </c>
      <c r="FW4" vm="3755">
        <f ca="1"/>
        <v>150.09</v>
      </c>
      <c r="FX4" vm="3756">
        <f ca="1"/>
        <v>149.29</v>
      </c>
      <c r="FY4" vm="3757">
        <f ca="1"/>
        <v>147.09</v>
      </c>
      <c r="FZ4" vm="3758">
        <f ca="1"/>
        <v>147.32</v>
      </c>
      <c r="GA4" vm="3759">
        <f ca="1"/>
        <v>149.79</v>
      </c>
      <c r="GB4" vm="3760">
        <f ca="1"/>
        <v>150.96</v>
      </c>
      <c r="GC4" vm="3761">
        <f ca="1"/>
        <v>151.22999999999999</v>
      </c>
      <c r="GD4" vm="3762">
        <f ca="1"/>
        <v>150.06</v>
      </c>
      <c r="GE4" vm="3763">
        <f ca="1"/>
        <v>152.24</v>
      </c>
      <c r="GF4" vm="1417">
        <f ca="1"/>
        <v>148.49</v>
      </c>
      <c r="GG4" vm="3764">
        <f ca="1"/>
        <v>147.36000000000001</v>
      </c>
      <c r="GH4" vm="3765">
        <f ca="1"/>
        <v>146.58000000000001</v>
      </c>
      <c r="GI4" vm="3766">
        <f ca="1"/>
        <v>155.74</v>
      </c>
      <c r="GJ4" vm="3767">
        <f ca="1"/>
        <v>156.26</v>
      </c>
      <c r="GK4" vm="3768">
        <f ca="1"/>
        <v>150.9</v>
      </c>
      <c r="GL4" vm="1421">
        <f ca="1"/>
        <v>146.75</v>
      </c>
      <c r="GM4" vm="3769">
        <f ca="1"/>
        <v>154.47</v>
      </c>
      <c r="GN4" vm="3760">
        <f ca="1"/>
        <v>150.96</v>
      </c>
      <c r="GO4" vm="3770">
        <f ca="1"/>
        <v>166.31</v>
      </c>
      <c r="GP4" vm="3771">
        <f ca="1"/>
        <v>167.01</v>
      </c>
      <c r="GQ4" vm="3772">
        <f ca="1"/>
        <v>169.9</v>
      </c>
      <c r="GR4" vm="3773">
        <f ca="1"/>
        <v>170.93</v>
      </c>
      <c r="GS4" vm="3774">
        <f ca="1"/>
        <v>165.4</v>
      </c>
      <c r="GT4" vm="3775">
        <f ca="1"/>
        <v>162.38999999999999</v>
      </c>
      <c r="GU4" vm="3776">
        <f ca="1"/>
        <v>168.67</v>
      </c>
      <c r="GV4" vm="3777">
        <f ca="1"/>
        <v>177.18</v>
      </c>
      <c r="GW4" vm="3778">
        <f ca="1"/>
        <v>173.23</v>
      </c>
      <c r="GX4" vm="2685">
        <f ca="1"/>
        <v>171.37</v>
      </c>
      <c r="GY4" vm="3779">
        <f ca="1"/>
        <v>172.72</v>
      </c>
      <c r="GZ4" vm="3780">
        <f ca="1"/>
        <v>175.66</v>
      </c>
      <c r="HA4" vm="3781">
        <f ca="1"/>
        <v>174.25</v>
      </c>
      <c r="HB4" vm="3782">
        <f ca="1"/>
        <v>169.56</v>
      </c>
      <c r="HC4" vm="3783">
        <f ca="1"/>
        <v>168.39</v>
      </c>
      <c r="HD4" vm="3784">
        <f ca="1"/>
        <v>163.65</v>
      </c>
      <c r="HE4" vm="3785">
        <f ca="1"/>
        <v>159.13999999999999</v>
      </c>
      <c r="HF4" vm="3786">
        <f ca="1"/>
        <v>157.76</v>
      </c>
      <c r="HG4" vm="3787">
        <f ca="1"/>
        <v>162.51</v>
      </c>
      <c r="HH4" vm="3788">
        <f ca="1"/>
        <v>163</v>
      </c>
      <c r="HI4" vm="3789">
        <f ca="1"/>
        <v>166.51</v>
      </c>
      <c r="HJ4" vm="3790">
        <f ca="1"/>
        <v>164.32</v>
      </c>
      <c r="HK4" vm="3791">
        <f ca="1"/>
        <v>158.72999999999999</v>
      </c>
      <c r="HL4" vm="3792">
        <f ca="1"/>
        <v>155.72999999999999</v>
      </c>
      <c r="HM4" vm="3793">
        <f ca="1"/>
        <v>155.43</v>
      </c>
      <c r="HN4" vm="3794">
        <f ca="1"/>
        <v>155.77000000000001</v>
      </c>
      <c r="HO4" vm="3795">
        <f ca="1"/>
        <v>154.27000000000001</v>
      </c>
      <c r="HP4" vm="3796">
        <f ca="1"/>
        <v>154.44999999999999</v>
      </c>
      <c r="HQ4" vm="1332">
        <f ca="1"/>
        <v>152.78</v>
      </c>
      <c r="HR4" vm="3797">
        <f ca="1"/>
        <v>153.11000000000001</v>
      </c>
      <c r="HS4" vm="3798">
        <f ca="1"/>
        <v>152.28</v>
      </c>
      <c r="HT4" vm="3799">
        <f ca="1"/>
        <v>148.05000000000001</v>
      </c>
      <c r="HU4" vm="3800">
        <f ca="1"/>
        <v>144.11000000000001</v>
      </c>
      <c r="HV4" vm="3801">
        <f ca="1"/>
        <v>142.56</v>
      </c>
      <c r="HW4" vm="3802">
        <f ca="1"/>
        <v>135.59</v>
      </c>
      <c r="HX4" vm="3803">
        <f ca="1"/>
        <v>133.27000000000001</v>
      </c>
      <c r="HY4" vm="3804">
        <f ca="1"/>
        <v>130.35</v>
      </c>
      <c r="HZ4" vm="3805">
        <f ca="1"/>
        <v>130.79</v>
      </c>
      <c r="IA4" vm="3806">
        <f ca="1"/>
        <v>132.63999999999999</v>
      </c>
      <c r="IB4" vm="3807">
        <f ca="1"/>
        <v>136.85</v>
      </c>
      <c r="IC4" vm="3808">
        <f ca="1"/>
        <v>136.29</v>
      </c>
      <c r="ID4" vm="3809">
        <f ca="1"/>
        <v>134.19999999999999</v>
      </c>
      <c r="IE4" vm="3810">
        <f ca="1"/>
        <v>135.21</v>
      </c>
      <c r="IF4" vm="3811">
        <f ca="1"/>
        <v>136.71</v>
      </c>
      <c r="IG4" vm="3812">
        <f ca="1"/>
        <v>136.57</v>
      </c>
      <c r="IH4" vm="3813">
        <f ca="1"/>
        <v>134.43</v>
      </c>
      <c r="II4" vm="3814">
        <f ca="1"/>
        <v>124.9</v>
      </c>
      <c r="IJ4" vm="3815">
        <f ca="1"/>
        <v>122.41</v>
      </c>
      <c r="IK4" vm="3816">
        <f ca="1"/>
        <v>126.06</v>
      </c>
      <c r="IL4" vm="3817">
        <f ca="1"/>
        <v>125.48</v>
      </c>
      <c r="IM4" vm="3818">
        <f ca="1"/>
        <v>129.87</v>
      </c>
      <c r="IN4" vm="3819">
        <f ca="1"/>
        <v>125.41</v>
      </c>
      <c r="IO4" vm="1700">
        <f ca="1"/>
        <v>122.69</v>
      </c>
      <c r="IP4" vm="3498">
        <f ca="1"/>
        <v>121.98</v>
      </c>
      <c r="IQ4" vm="3820">
        <f ca="1"/>
        <v>125.46</v>
      </c>
      <c r="IR4" vm="3821">
        <f ca="1"/>
        <v>123.73</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3822">
        <f ca="1"/>
        <v>14293901</v>
      </c>
      <c r="C7" vm="3823">
        <f ca="1"/>
        <v>134.98500000000001</v>
      </c>
      <c r="D7" vm="3824">
        <f ca="1"/>
        <v>135.11699999999999</v>
      </c>
      <c r="E7" vm="3825">
        <f ca="1"/>
        <v>132.72</v>
      </c>
      <c r="F7" vm="3803">
        <f ca="1"/>
        <v>133.27000000000001</v>
      </c>
    </row>
    <row r="8" spans="1:252" x14ac:dyDescent="0.35">
      <c r="A8" vm="256">
        <f ca="1"/>
        <v>46086</v>
      </c>
      <c r="B8" vm="3826">
        <f ca="1"/>
        <v>18612932</v>
      </c>
      <c r="C8" vm="3827">
        <f ca="1"/>
        <v>129.69999999999999</v>
      </c>
      <c r="D8" vm="3828">
        <f ca="1"/>
        <v>131.63460000000001</v>
      </c>
      <c r="E8" vm="3829">
        <f ca="1"/>
        <v>128.6</v>
      </c>
      <c r="F8" vm="3804">
        <f ca="1"/>
        <v>130.35</v>
      </c>
    </row>
    <row r="9" spans="1:252" x14ac:dyDescent="0.35">
      <c r="A9" vm="257">
        <f ca="1"/>
        <v>46087</v>
      </c>
      <c r="B9" vm="3830">
        <f ca="1"/>
        <v>10956991</v>
      </c>
      <c r="C9" vm="3831">
        <f ca="1"/>
        <v>129.30000000000001</v>
      </c>
      <c r="D9" vm="3832">
        <f ca="1"/>
        <v>132.43</v>
      </c>
      <c r="E9" vm="3833">
        <f ca="1"/>
        <v>128.80000000000001</v>
      </c>
      <c r="F9" vm="3805">
        <f ca="1"/>
        <v>130.79</v>
      </c>
    </row>
    <row r="10" spans="1:252" x14ac:dyDescent="0.35">
      <c r="A10" vm="258">
        <f ca="1"/>
        <v>46090</v>
      </c>
      <c r="B10" vm="3834">
        <f ca="1"/>
        <v>10072449</v>
      </c>
      <c r="C10" vm="3835">
        <f ca="1"/>
        <v>130.24</v>
      </c>
      <c r="D10" vm="3836">
        <f ca="1"/>
        <v>132.91</v>
      </c>
      <c r="E10" vm="3837">
        <f ca="1"/>
        <v>128.55000000000001</v>
      </c>
      <c r="F10" vm="3806">
        <f ca="1"/>
        <v>132.63999999999999</v>
      </c>
    </row>
    <row r="11" spans="1:252" x14ac:dyDescent="0.35">
      <c r="A11" vm="259">
        <f ca="1"/>
        <v>46091</v>
      </c>
      <c r="B11" vm="3838">
        <f ca="1"/>
        <v>15264286</v>
      </c>
      <c r="C11" vm="3839">
        <f ca="1"/>
        <v>135.71</v>
      </c>
      <c r="D11" vm="3840">
        <f ca="1"/>
        <v>139.22</v>
      </c>
      <c r="E11" vm="3841">
        <f ca="1"/>
        <v>134.56</v>
      </c>
      <c r="F11" vm="3807">
        <f ca="1"/>
        <v>136.85</v>
      </c>
    </row>
    <row r="12" spans="1:252" x14ac:dyDescent="0.35">
      <c r="A12" vm="260">
        <f ca="1"/>
        <v>46092</v>
      </c>
      <c r="B12" vm="3842">
        <f ca="1"/>
        <v>6685065</v>
      </c>
      <c r="C12" vm="2648">
        <f ca="1"/>
        <v>135.57</v>
      </c>
      <c r="D12" vm="3843">
        <f ca="1"/>
        <v>136.74</v>
      </c>
      <c r="E12" vm="3844">
        <f ca="1"/>
        <v>134.82</v>
      </c>
      <c r="F12" vm="3808">
        <f ca="1"/>
        <v>136.29</v>
      </c>
    </row>
    <row r="13" spans="1:252" x14ac:dyDescent="0.35">
      <c r="A13" vm="261">
        <f ca="1"/>
        <v>46093</v>
      </c>
      <c r="B13" vm="3845">
        <f ca="1"/>
        <v>7591786</v>
      </c>
      <c r="C13" vm="3846">
        <f ca="1"/>
        <v>135.38</v>
      </c>
      <c r="D13" vm="3847">
        <f ca="1"/>
        <v>136</v>
      </c>
      <c r="E13" vm="3848">
        <f ca="1"/>
        <v>133.44999999999999</v>
      </c>
      <c r="F13" vm="3809">
        <f ca="1"/>
        <v>134.19999999999999</v>
      </c>
    </row>
    <row r="14" spans="1:252" x14ac:dyDescent="0.35">
      <c r="A14" vm="262">
        <f ca="1"/>
        <v>46094</v>
      </c>
      <c r="B14" vm="3849">
        <f ca="1"/>
        <v>6438401</v>
      </c>
      <c r="C14" vm="3850">
        <f ca="1"/>
        <v>136.07</v>
      </c>
      <c r="D14" vm="3851">
        <f ca="1"/>
        <v>137.19999999999999</v>
      </c>
      <c r="E14" vm="3852">
        <f ca="1"/>
        <v>134.69999999999999</v>
      </c>
      <c r="F14" vm="3810">
        <f ca="1"/>
        <v>135.21</v>
      </c>
    </row>
    <row r="15" spans="1:252" x14ac:dyDescent="0.35">
      <c r="A15" vm="263">
        <f ca="1"/>
        <v>46097</v>
      </c>
      <c r="B15" vm="3853">
        <f ca="1"/>
        <v>9972344</v>
      </c>
      <c r="C15" vm="3854">
        <f ca="1"/>
        <v>138.80000000000001</v>
      </c>
      <c r="D15" vm="3854">
        <f ca="1"/>
        <v>138.80000000000001</v>
      </c>
      <c r="E15" vm="3855">
        <f ca="1"/>
        <v>136.5</v>
      </c>
      <c r="F15" vm="3811">
        <f ca="1"/>
        <v>136.71</v>
      </c>
    </row>
    <row r="16" spans="1:252" x14ac:dyDescent="0.35">
      <c r="A16" vm="264">
        <f ca="1"/>
        <v>46098</v>
      </c>
      <c r="B16" vm="3856">
        <f ca="1"/>
        <v>10005699</v>
      </c>
      <c r="C16" vm="3857">
        <f ca="1"/>
        <v>137.875</v>
      </c>
      <c r="D16" vm="3858">
        <f ca="1"/>
        <v>138.22</v>
      </c>
      <c r="E16" vm="3859">
        <f ca="1"/>
        <v>135.97</v>
      </c>
      <c r="F16" vm="3812">
        <f ca="1"/>
        <v>136.57</v>
      </c>
    </row>
    <row r="17" spans="1:6" x14ac:dyDescent="0.35">
      <c r="A17" vm="265">
        <f ca="1"/>
        <v>46099</v>
      </c>
      <c r="B17" vm="3860">
        <f ca="1"/>
        <v>17158597</v>
      </c>
      <c r="C17" vm="3861">
        <f ca="1"/>
        <v>138.44499999999999</v>
      </c>
      <c r="D17" vm="3862">
        <f ca="1"/>
        <v>139.16</v>
      </c>
      <c r="E17" vm="3863">
        <f ca="1"/>
        <v>134.37</v>
      </c>
      <c r="F17" vm="3813">
        <f ca="1"/>
        <v>134.43</v>
      </c>
    </row>
    <row r="18" spans="1:6" x14ac:dyDescent="0.35">
      <c r="A18" vm="266">
        <f ca="1"/>
        <v>46100</v>
      </c>
      <c r="B18" vm="3864">
        <f ca="1"/>
        <v>33440469</v>
      </c>
      <c r="C18" vm="3865">
        <f ca="1"/>
        <v>123.02</v>
      </c>
      <c r="D18" vm="3866">
        <f ca="1"/>
        <v>126.92</v>
      </c>
      <c r="E18" vm="3867">
        <f ca="1"/>
        <v>121.16</v>
      </c>
      <c r="F18" vm="3814">
        <f ca="1"/>
        <v>124.9</v>
      </c>
    </row>
    <row r="19" spans="1:6" x14ac:dyDescent="0.35">
      <c r="A19" vm="267">
        <f ca="1"/>
        <v>46101</v>
      </c>
      <c r="B19" vm="3868">
        <f ca="1"/>
        <v>15479264</v>
      </c>
      <c r="C19" vm="3869">
        <f ca="1"/>
        <v>125.715</v>
      </c>
      <c r="D19" vm="3870">
        <f ca="1"/>
        <v>126.48</v>
      </c>
      <c r="E19" vm="3871">
        <f ca="1"/>
        <v>122.09</v>
      </c>
      <c r="F19" vm="3815">
        <f ca="1"/>
        <v>122.41</v>
      </c>
    </row>
    <row r="20" spans="1:6" x14ac:dyDescent="0.35">
      <c r="A20" vm="268">
        <f ca="1"/>
        <v>46104</v>
      </c>
      <c r="B20" vm="3872">
        <f ca="1"/>
        <v>15583917</v>
      </c>
      <c r="C20" vm="322">
        <f ca="1"/>
        <v>123.24</v>
      </c>
      <c r="D20" vm="3873">
        <f ca="1"/>
        <v>127.27</v>
      </c>
      <c r="E20" vm="3874">
        <f ca="1"/>
        <v>123.1</v>
      </c>
      <c r="F20" vm="3816">
        <f ca="1"/>
        <v>126.06</v>
      </c>
    </row>
    <row r="21" spans="1:6" x14ac:dyDescent="0.35">
      <c r="A21" vm="269">
        <f ca="1"/>
        <v>46105</v>
      </c>
      <c r="B21" vm="3875">
        <f ca="1"/>
        <v>8516233</v>
      </c>
      <c r="C21" vm="3876">
        <f ca="1"/>
        <v>124.36</v>
      </c>
      <c r="D21" vm="3484">
        <f ca="1"/>
        <v>125.75</v>
      </c>
      <c r="E21" vm="3877">
        <f ca="1"/>
        <v>123.92</v>
      </c>
      <c r="F21" vm="3817">
        <f ca="1"/>
        <v>125.48</v>
      </c>
    </row>
    <row r="22" spans="1:6" x14ac:dyDescent="0.35">
      <c r="A22" vm="270">
        <f ca="1"/>
        <v>46106</v>
      </c>
      <c r="B22" vm="3878">
        <f ca="1"/>
        <v>12843020</v>
      </c>
      <c r="C22" vm="3879">
        <f ca="1"/>
        <v>129.47999999999999</v>
      </c>
      <c r="D22" vm="3880">
        <f ca="1"/>
        <v>130.65</v>
      </c>
      <c r="E22" vm="3881">
        <f ca="1"/>
        <v>128.34</v>
      </c>
      <c r="F22" vm="3818">
        <f ca="1"/>
        <v>129.87</v>
      </c>
    </row>
    <row r="23" spans="1:6" x14ac:dyDescent="0.35">
      <c r="A23" vm="271">
        <f ca="1"/>
        <v>46107</v>
      </c>
      <c r="B23" vm="3882">
        <f ca="1"/>
        <v>9239994</v>
      </c>
      <c r="C23" vm="3883">
        <f ca="1"/>
        <v>126.72</v>
      </c>
      <c r="D23" vm="3884">
        <f ca="1"/>
        <v>127.05</v>
      </c>
      <c r="E23" vm="3885">
        <f ca="1"/>
        <v>124.59</v>
      </c>
      <c r="F23" vm="3819">
        <f ca="1"/>
        <v>125.41</v>
      </c>
    </row>
    <row r="24" spans="1:6" x14ac:dyDescent="0.35">
      <c r="A24" vm="272">
        <f ca="1"/>
        <v>46108</v>
      </c>
      <c r="B24" vm="3886">
        <f ca="1"/>
        <v>8104989</v>
      </c>
      <c r="C24" vm="3887">
        <f ca="1"/>
        <v>123.97</v>
      </c>
      <c r="D24" vm="3888">
        <f ca="1"/>
        <v>124.44</v>
      </c>
      <c r="E24" vm="3889">
        <f ca="1"/>
        <v>122.23009999999999</v>
      </c>
      <c r="F24" vm="1700">
        <f ca="1"/>
        <v>122.69</v>
      </c>
    </row>
    <row r="25" spans="1:6" x14ac:dyDescent="0.35">
      <c r="A25" vm="273">
        <f ca="1"/>
        <v>46111</v>
      </c>
      <c r="B25" vm="3890">
        <f ca="1"/>
        <v>7226650</v>
      </c>
      <c r="C25" vm="3891">
        <f ca="1"/>
        <v>123.28</v>
      </c>
      <c r="D25" vm="3892">
        <f ca="1"/>
        <v>123.78</v>
      </c>
      <c r="E25" vm="3893">
        <f ca="1"/>
        <v>121.55</v>
      </c>
      <c r="F25" vm="3498">
        <f ca="1"/>
        <v>121.98</v>
      </c>
    </row>
    <row r="26" spans="1:6" x14ac:dyDescent="0.35">
      <c r="A26" vm="274">
        <f ca="1"/>
        <v>46112</v>
      </c>
      <c r="B26" vm="3894">
        <f ca="1"/>
        <v>9486079</v>
      </c>
      <c r="C26" vm="3895">
        <f ca="1"/>
        <v>121.99</v>
      </c>
      <c r="D26" vm="3896">
        <f ca="1"/>
        <v>125.78</v>
      </c>
      <c r="E26" vm="3897">
        <f ca="1"/>
        <v>121.38</v>
      </c>
      <c r="F26" vm="3820">
        <f ca="1"/>
        <v>125.46</v>
      </c>
    </row>
    <row r="27" spans="1:6" x14ac:dyDescent="0.35">
      <c r="A27" vm="275">
        <f ca="1"/>
        <v>46113</v>
      </c>
      <c r="B27" vm="3898">
        <f ca="1"/>
        <v>10297423</v>
      </c>
      <c r="C27" vm="3817">
        <f ca="1"/>
        <v>125.48</v>
      </c>
      <c r="D27" vm="326">
        <f ca="1"/>
        <v>126.39</v>
      </c>
      <c r="E27" vm="3899">
        <f ca="1"/>
        <v>123.12</v>
      </c>
      <c r="F27" vm="3821">
        <f ca="1"/>
        <v>123.73</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R27"/>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2" x14ac:dyDescent="0.35">
      <c r="A1" s="2" t="s">
        <v>8</v>
      </c>
      <c r="B1" t="e" vm="23">
        <v>#VALUE!</v>
      </c>
    </row>
    <row r="3" spans="1:252" x14ac:dyDescent="0.35">
      <c r="A3" s="2" t="s">
        <v>35</v>
      </c>
      <c r="B3" s="2" t="s">
        <v>25</v>
      </c>
    </row>
    <row r="4" spans="1:252" x14ac:dyDescent="0.35">
      <c r="A4" t="s">
        <v>37</v>
      </c>
      <c r="B4" t="s">
        <v>22</v>
      </c>
      <c r="C4" cm="1" vm="3900">
        <f t="array" aca="1" ref="C4:IR4" ca="1">TRANSPOSE(_xlfn.STOCKHISTORY(A4&amp;":"&amp;B4,TODAY()-365,TODAY(),0,0,1))</f>
        <v>37.22</v>
      </c>
      <c r="D4" vm="3901">
        <f ca="1"/>
        <v>34.39</v>
      </c>
      <c r="E4" vm="3902">
        <f ca="1"/>
        <v>35.58</v>
      </c>
      <c r="F4" vm="3903">
        <f ca="1"/>
        <v>35.03</v>
      </c>
      <c r="G4" vm="3904">
        <f ca="1"/>
        <v>37.15</v>
      </c>
      <c r="H4" vm="3905">
        <f ca="1"/>
        <v>35.85</v>
      </c>
      <c r="I4" vm="3906">
        <f ca="1"/>
        <v>35.950000000000003</v>
      </c>
      <c r="J4" vm="3907">
        <f ca="1"/>
        <v>36.67</v>
      </c>
      <c r="K4" vm="3908">
        <f ca="1"/>
        <v>37.99</v>
      </c>
      <c r="L4" vm="3909">
        <f ca="1"/>
        <v>37.33</v>
      </c>
      <c r="M4" vm="3910">
        <f ca="1"/>
        <v>37.409999999999997</v>
      </c>
      <c r="N4" vm="3911">
        <f ca="1"/>
        <v>36.92</v>
      </c>
      <c r="O4" vm="3912">
        <f ca="1"/>
        <v>38.32</v>
      </c>
      <c r="P4" vm="3913">
        <f ca="1"/>
        <v>38.75</v>
      </c>
      <c r="Q4" vm="3914">
        <f ca="1"/>
        <v>39.58</v>
      </c>
      <c r="R4" vm="3915">
        <f ca="1"/>
        <v>39.69</v>
      </c>
      <c r="S4" vm="3916">
        <f ca="1"/>
        <v>39.78</v>
      </c>
      <c r="T4" vm="3917">
        <f ca="1"/>
        <v>39.99</v>
      </c>
      <c r="U4" vm="3918">
        <f ca="1"/>
        <v>39.880000000000003</v>
      </c>
      <c r="V4" vm="3919">
        <f ca="1"/>
        <v>40.17</v>
      </c>
      <c r="W4" vm="3920">
        <f ca="1"/>
        <v>41.07</v>
      </c>
      <c r="X4" vm="3921">
        <f ca="1"/>
        <v>41.12</v>
      </c>
      <c r="Y4" vm="3922">
        <f ca="1"/>
        <v>40.840000000000003</v>
      </c>
      <c r="Z4" vm="3923">
        <f ca="1"/>
        <v>40.93</v>
      </c>
      <c r="AA4" vm="3924">
        <f ca="1"/>
        <v>41.6</v>
      </c>
      <c r="AB4" vm="3925">
        <f ca="1"/>
        <v>41.79</v>
      </c>
      <c r="AC4" vm="3926">
        <f ca="1"/>
        <v>43.36</v>
      </c>
      <c r="AD4" vm="3927">
        <f ca="1"/>
        <v>44.28</v>
      </c>
      <c r="AE4" vm="3928">
        <f ca="1"/>
        <v>44.74</v>
      </c>
      <c r="AF4" vm="3929">
        <f ca="1"/>
        <v>44.38</v>
      </c>
      <c r="AG4" vm="3930">
        <f ca="1"/>
        <v>44.69</v>
      </c>
      <c r="AH4" vm="3931">
        <f ca="1"/>
        <v>44.77</v>
      </c>
      <c r="AI4" vm="3930">
        <f ca="1"/>
        <v>44.69</v>
      </c>
      <c r="AJ4" vm="3932">
        <f ca="1"/>
        <v>43.25</v>
      </c>
      <c r="AK4" vm="3933">
        <f ca="1"/>
        <v>43.31</v>
      </c>
      <c r="AL4" vm="3934">
        <f ca="1"/>
        <v>43.2</v>
      </c>
      <c r="AM4" vm="3935">
        <f ca="1"/>
        <v>44.22</v>
      </c>
      <c r="AN4" vm="3936">
        <f ca="1"/>
        <v>44.06</v>
      </c>
      <c r="AO4" vm="3937">
        <f ca="1"/>
        <v>44.24</v>
      </c>
      <c r="AP4" vm="3938">
        <f ca="1"/>
        <v>44.13</v>
      </c>
      <c r="AQ4" vm="3939">
        <f ca="1"/>
        <v>44.08</v>
      </c>
      <c r="AR4" vm="3940">
        <f ca="1"/>
        <v>44.65</v>
      </c>
      <c r="AS4" vm="3941">
        <f ca="1"/>
        <v>44.36</v>
      </c>
      <c r="AT4" vm="3929">
        <f ca="1"/>
        <v>44.38</v>
      </c>
      <c r="AU4" vm="3942">
        <f ca="1"/>
        <v>44.97</v>
      </c>
      <c r="AV4" vm="3943">
        <f ca="1"/>
        <v>44.87</v>
      </c>
      <c r="AW4" vm="3944">
        <f ca="1"/>
        <v>45.09</v>
      </c>
      <c r="AX4" vm="3945">
        <f ca="1"/>
        <v>44.73</v>
      </c>
      <c r="AY4" vm="3946">
        <f ca="1"/>
        <v>44.62</v>
      </c>
      <c r="AZ4" vm="3947">
        <f ca="1"/>
        <v>44.09</v>
      </c>
      <c r="BA4" vm="3948">
        <f ca="1"/>
        <v>44.41</v>
      </c>
      <c r="BB4" vm="3949">
        <f ca="1"/>
        <v>44.23</v>
      </c>
      <c r="BC4" vm="3950">
        <f ca="1"/>
        <v>45.06</v>
      </c>
      <c r="BD4" vm="3951">
        <f ca="1"/>
        <v>45.5</v>
      </c>
      <c r="BE4" vm="3952">
        <f ca="1"/>
        <v>46.3</v>
      </c>
      <c r="BF4" vm="3953">
        <f ca="1"/>
        <v>46.66</v>
      </c>
      <c r="BG4" vm="3954">
        <f ca="1"/>
        <v>46.85</v>
      </c>
      <c r="BH4" vm="3955">
        <f ca="1"/>
        <v>47.46</v>
      </c>
      <c r="BI4" vm="3956">
        <f ca="1"/>
        <v>47.12</v>
      </c>
      <c r="BJ4" vm="3957">
        <f ca="1"/>
        <v>47.32</v>
      </c>
      <c r="BK4" vm="3958">
        <f ca="1"/>
        <v>48.15</v>
      </c>
      <c r="BL4" vm="3959">
        <f ca="1"/>
        <v>48.71</v>
      </c>
      <c r="BM4" vm="3960">
        <f ca="1"/>
        <v>48.93</v>
      </c>
      <c r="BN4" vm="3961">
        <f ca="1"/>
        <v>48.66</v>
      </c>
      <c r="BO4" vm="3962">
        <f ca="1"/>
        <v>47.15</v>
      </c>
      <c r="BP4" vm="3963">
        <f ca="1"/>
        <v>46.84</v>
      </c>
      <c r="BQ4" vm="3964">
        <f ca="1"/>
        <v>46.97</v>
      </c>
      <c r="BR4" vm="3965">
        <f ca="1"/>
        <v>46.73</v>
      </c>
      <c r="BS4" vm="3966">
        <f ca="1"/>
        <v>47.07</v>
      </c>
      <c r="BT4" vm="3967">
        <f ca="1"/>
        <v>46.15</v>
      </c>
      <c r="BU4" vm="3968">
        <f ca="1"/>
        <v>46.03</v>
      </c>
      <c r="BV4" vm="3969">
        <f ca="1"/>
        <v>47.02</v>
      </c>
      <c r="BW4" vm="3957">
        <f ca="1"/>
        <v>47.32</v>
      </c>
      <c r="BX4" vm="3970">
        <f ca="1"/>
        <v>47.48</v>
      </c>
      <c r="BY4" vm="3971">
        <f ca="1"/>
        <v>47.77</v>
      </c>
      <c r="BZ4" vm="3972">
        <f ca="1"/>
        <v>48.14</v>
      </c>
      <c r="CA4" vm="3973">
        <f ca="1"/>
        <v>48.39</v>
      </c>
      <c r="CB4" vm="3974">
        <f ca="1"/>
        <v>48.45</v>
      </c>
      <c r="CC4" vm="3975">
        <f ca="1"/>
        <v>48.23</v>
      </c>
      <c r="CD4" vm="3976">
        <f ca="1"/>
        <v>47.95</v>
      </c>
      <c r="CE4" vm="3977">
        <f ca="1"/>
        <v>47.96</v>
      </c>
      <c r="CF4" vm="3978">
        <f ca="1"/>
        <v>47.27</v>
      </c>
      <c r="CG4" vm="3979">
        <f ca="1"/>
        <v>45.66</v>
      </c>
      <c r="CH4" vm="3980">
        <f ca="1"/>
        <v>45.85</v>
      </c>
      <c r="CI4" vm="3981">
        <f ca="1"/>
        <v>45.56</v>
      </c>
      <c r="CJ4" vm="3982">
        <f ca="1"/>
        <v>45.42</v>
      </c>
      <c r="CK4" vm="3983">
        <f ca="1"/>
        <v>44.92</v>
      </c>
      <c r="CL4" vm="3984">
        <f ca="1"/>
        <v>46.01</v>
      </c>
      <c r="CM4" vm="3985">
        <f ca="1"/>
        <v>46.16</v>
      </c>
      <c r="CN4" vm="3986">
        <f ca="1"/>
        <v>47.5</v>
      </c>
      <c r="CO4" vm="3987">
        <f ca="1"/>
        <v>47.24</v>
      </c>
      <c r="CP4" vm="3988">
        <f ca="1"/>
        <v>47.71</v>
      </c>
      <c r="CQ4" vm="3989">
        <f ca="1"/>
        <v>46.94</v>
      </c>
      <c r="CR4" vm="3990">
        <f ca="1"/>
        <v>47.92</v>
      </c>
      <c r="CS4" vm="3991">
        <f ca="1"/>
        <v>48.08</v>
      </c>
      <c r="CT4" vm="3992">
        <f ca="1"/>
        <v>48.35</v>
      </c>
      <c r="CU4" vm="3993">
        <f ca="1"/>
        <v>48.26</v>
      </c>
      <c r="CV4" vm="3994">
        <f ca="1"/>
        <v>49.48</v>
      </c>
      <c r="CW4" vm="3994">
        <f ca="1"/>
        <v>49.48</v>
      </c>
      <c r="CX4" vm="3995">
        <f ca="1"/>
        <v>50.25</v>
      </c>
      <c r="CY4" vm="3996">
        <f ca="1"/>
        <v>50.38</v>
      </c>
      <c r="CZ4" vm="3997">
        <f ca="1"/>
        <v>50.49</v>
      </c>
      <c r="DA4" vm="3998">
        <f ca="1"/>
        <v>50.74</v>
      </c>
      <c r="DB4" vm="3999">
        <f ca="1"/>
        <v>50.42</v>
      </c>
      <c r="DC4" vm="4000">
        <f ca="1"/>
        <v>50.06</v>
      </c>
      <c r="DD4" vm="4001">
        <f ca="1"/>
        <v>50.62</v>
      </c>
      <c r="DE4" vm="4002">
        <f ca="1"/>
        <v>49.77</v>
      </c>
      <c r="DF4" vm="4003">
        <f ca="1"/>
        <v>49.46</v>
      </c>
      <c r="DG4" vm="4004">
        <f ca="1"/>
        <v>50.29</v>
      </c>
      <c r="DH4" vm="4005">
        <f ca="1"/>
        <v>50.13</v>
      </c>
      <c r="DI4" vm="4006">
        <f ca="1"/>
        <v>50.75</v>
      </c>
      <c r="DJ4" vm="4007">
        <f ca="1"/>
        <v>50.58</v>
      </c>
      <c r="DK4" vm="4008">
        <f ca="1"/>
        <v>50.59</v>
      </c>
      <c r="DL4" vm="4009">
        <f ca="1"/>
        <v>50.66</v>
      </c>
      <c r="DM4" vm="4010">
        <f ca="1"/>
        <v>51.4</v>
      </c>
      <c r="DN4" vm="4011">
        <f ca="1"/>
        <v>52.13</v>
      </c>
      <c r="DO4" vm="4012">
        <f ca="1"/>
        <v>52.25</v>
      </c>
      <c r="DP4" vm="4013">
        <f ca="1"/>
        <v>51.92</v>
      </c>
      <c r="DQ4" vm="4014">
        <f ca="1"/>
        <v>51.7</v>
      </c>
      <c r="DR4" vm="4014">
        <f ca="1"/>
        <v>51.7</v>
      </c>
      <c r="DS4" vm="4015">
        <f ca="1"/>
        <v>51.85</v>
      </c>
      <c r="DT4" vm="4016">
        <f ca="1"/>
        <v>52.21</v>
      </c>
      <c r="DU4" vm="4017">
        <f ca="1"/>
        <v>52.42</v>
      </c>
      <c r="DV4" vm="4018">
        <f ca="1"/>
        <v>51.59</v>
      </c>
      <c r="DW4" vm="4019">
        <f ca="1"/>
        <v>50.68</v>
      </c>
      <c r="DX4" vm="4020">
        <f ca="1"/>
        <v>50.48</v>
      </c>
      <c r="DY4" vm="4021">
        <f ca="1"/>
        <v>50.64</v>
      </c>
      <c r="DZ4" vm="4022">
        <f ca="1"/>
        <v>50.39</v>
      </c>
      <c r="EA4" vm="4004">
        <f ca="1"/>
        <v>50.29</v>
      </c>
      <c r="EB4" vm="4023">
        <f ca="1"/>
        <v>49.84</v>
      </c>
      <c r="EC4" vm="4024">
        <f ca="1"/>
        <v>49.79</v>
      </c>
      <c r="ED4" vm="4025">
        <f ca="1"/>
        <v>48.65</v>
      </c>
      <c r="EE4" vm="4026">
        <f ca="1"/>
        <v>48.86</v>
      </c>
      <c r="EF4" vm="4027">
        <f ca="1"/>
        <v>50.09</v>
      </c>
      <c r="EG4" vm="4028">
        <f ca="1"/>
        <v>52.28</v>
      </c>
      <c r="EH4" vm="4029">
        <f ca="1"/>
        <v>50.44</v>
      </c>
      <c r="EI4" vm="4030">
        <f ca="1"/>
        <v>51.28</v>
      </c>
      <c r="EJ4" vm="4031">
        <f ca="1"/>
        <v>52.04</v>
      </c>
      <c r="EK4" vm="4032">
        <f ca="1"/>
        <v>51.52</v>
      </c>
      <c r="EL4" vm="4033">
        <f ca="1"/>
        <v>51.1</v>
      </c>
      <c r="EM4" vm="4034">
        <f ca="1"/>
        <v>51.76</v>
      </c>
      <c r="EN4" vm="4035">
        <f ca="1"/>
        <v>52.57</v>
      </c>
      <c r="EO4" vm="4036">
        <f ca="1"/>
        <v>53.02</v>
      </c>
      <c r="EP4" vm="4037">
        <f ca="1"/>
        <v>52.87</v>
      </c>
      <c r="EQ4" vm="4038">
        <f ca="1"/>
        <v>52.58</v>
      </c>
      <c r="ER4" vm="4039">
        <f ca="1"/>
        <v>53.03</v>
      </c>
      <c r="ES4" vm="4040">
        <f ca="1"/>
        <v>53.45</v>
      </c>
      <c r="ET4" vm="4041">
        <f ca="1"/>
        <v>53.56</v>
      </c>
      <c r="EU4" vm="4042">
        <f ca="1"/>
        <v>53.54</v>
      </c>
      <c r="EV4" vm="4043">
        <f ca="1"/>
        <v>52.45</v>
      </c>
      <c r="EW4" vm="4044">
        <f ca="1"/>
        <v>53.29</v>
      </c>
      <c r="EX4" vm="4045">
        <f ca="1"/>
        <v>53.2</v>
      </c>
      <c r="EY4" vm="4046">
        <f ca="1"/>
        <v>53.42</v>
      </c>
      <c r="EZ4" vm="4047">
        <f ca="1"/>
        <v>53.63</v>
      </c>
      <c r="FA4" vm="4048">
        <f ca="1"/>
        <v>54.11</v>
      </c>
      <c r="FB4" vm="4037">
        <f ca="1"/>
        <v>52.87</v>
      </c>
      <c r="FC4" vm="4049">
        <f ca="1"/>
        <v>52.61</v>
      </c>
      <c r="FD4" vm="4050">
        <f ca="1"/>
        <v>51.48</v>
      </c>
      <c r="FE4" vm="4051">
        <f ca="1"/>
        <v>51.64</v>
      </c>
      <c r="FF4" vm="4052">
        <f ca="1"/>
        <v>52.02</v>
      </c>
      <c r="FG4" vm="4053">
        <f ca="1"/>
        <v>51</v>
      </c>
      <c r="FH4" vm="4054">
        <f ca="1"/>
        <v>51.56</v>
      </c>
      <c r="FI4" vm="4055">
        <f ca="1"/>
        <v>51.93</v>
      </c>
      <c r="FJ4" vm="4056">
        <f ca="1"/>
        <v>52.48</v>
      </c>
      <c r="FK4" vm="4057">
        <f ca="1"/>
        <v>52.99</v>
      </c>
      <c r="FL4" vm="4058">
        <f ca="1"/>
        <v>53.65</v>
      </c>
      <c r="FM4" vm="4059">
        <f ca="1"/>
        <v>53.24</v>
      </c>
      <c r="FN4" vm="4060">
        <f ca="1"/>
        <v>53.19</v>
      </c>
      <c r="FO4" vm="4061">
        <f ca="1"/>
        <v>54.09</v>
      </c>
      <c r="FP4" vm="4062">
        <f ca="1"/>
        <v>54.16</v>
      </c>
      <c r="FQ4" vm="4063">
        <f ca="1"/>
        <v>53.95</v>
      </c>
      <c r="FR4" vm="4064">
        <f ca="1"/>
        <v>53.9</v>
      </c>
      <c r="FS4" vm="4042">
        <f ca="1"/>
        <v>53.54</v>
      </c>
      <c r="FT4" vm="4065">
        <f ca="1"/>
        <v>54.08</v>
      </c>
      <c r="FU4" vm="4066">
        <f ca="1"/>
        <v>54.56</v>
      </c>
      <c r="FV4" vm="4067">
        <f ca="1"/>
        <v>55.14</v>
      </c>
      <c r="FW4" vm="4068">
        <f ca="1"/>
        <v>55.33</v>
      </c>
      <c r="FX4" vm="4069">
        <f ca="1"/>
        <v>54.81</v>
      </c>
      <c r="FY4" vm="4070">
        <f ca="1"/>
        <v>54.55</v>
      </c>
      <c r="FZ4" vm="4071">
        <f ca="1"/>
        <v>54.26</v>
      </c>
      <c r="GA4" vm="4072">
        <f ca="1"/>
        <v>55.27</v>
      </c>
      <c r="GB4" vm="4073">
        <f ca="1"/>
        <v>55.88</v>
      </c>
      <c r="GC4" vm="4074">
        <f ca="1"/>
        <v>55.97</v>
      </c>
      <c r="GD4" vm="4075">
        <f ca="1"/>
        <v>56.25</v>
      </c>
      <c r="GE4" vm="4076">
        <f ca="1"/>
        <v>56.17</v>
      </c>
      <c r="GF4" vm="4077">
        <f ca="1"/>
        <v>55.35</v>
      </c>
      <c r="GG4" vm="4078">
        <f ca="1"/>
        <v>55.28</v>
      </c>
      <c r="GH4" vm="4079">
        <f ca="1"/>
        <v>55</v>
      </c>
      <c r="GI4" vm="4080">
        <f ca="1"/>
        <v>55.95</v>
      </c>
      <c r="GJ4" vm="4081">
        <f ca="1"/>
        <v>56.89</v>
      </c>
      <c r="GK4" vm="4082">
        <f ca="1"/>
        <v>57.25</v>
      </c>
      <c r="GL4" vm="4083">
        <f ca="1"/>
        <v>55.64</v>
      </c>
      <c r="GM4" vm="4084">
        <f ca="1"/>
        <v>56.18</v>
      </c>
      <c r="GN4" vm="4085">
        <f ca="1"/>
        <v>55.85</v>
      </c>
      <c r="GO4" vm="4086">
        <f ca="1"/>
        <v>55.19</v>
      </c>
      <c r="GP4" vm="4087">
        <f ca="1"/>
        <v>54.54</v>
      </c>
      <c r="GQ4" vm="4056">
        <f ca="1"/>
        <v>52.48</v>
      </c>
      <c r="GR4" vm="4088">
        <f ca="1"/>
        <v>52.59</v>
      </c>
      <c r="GS4" vm="4089">
        <f ca="1"/>
        <v>52.97</v>
      </c>
      <c r="GT4" vm="4090">
        <f ca="1"/>
        <v>52.1</v>
      </c>
      <c r="GU4" vm="4091">
        <f ca="1"/>
        <v>52.07</v>
      </c>
      <c r="GV4" vm="4043">
        <f ca="1"/>
        <v>52.45</v>
      </c>
      <c r="GW4" vm="4092">
        <f ca="1"/>
        <v>51.72</v>
      </c>
      <c r="GX4" vm="4052">
        <f ca="1"/>
        <v>52.02</v>
      </c>
      <c r="GY4" vm="4093">
        <f ca="1"/>
        <v>52.17</v>
      </c>
      <c r="GZ4" vm="4094">
        <f ca="1"/>
        <v>51.81</v>
      </c>
      <c r="HA4" vm="4095">
        <f ca="1"/>
        <v>53.08</v>
      </c>
      <c r="HB4" vm="4045">
        <f ca="1"/>
        <v>53.2</v>
      </c>
      <c r="HC4" vm="4096">
        <f ca="1"/>
        <v>54.03</v>
      </c>
      <c r="HD4" vm="4097">
        <f ca="1"/>
        <v>54.45</v>
      </c>
      <c r="HE4" vm="4098">
        <f ca="1"/>
        <v>55.38</v>
      </c>
      <c r="HF4" vm="4099">
        <f ca="1"/>
        <v>54.94</v>
      </c>
      <c r="HG4" vm="4100">
        <f ca="1"/>
        <v>56.53</v>
      </c>
      <c r="HH4" vm="4101">
        <f ca="1"/>
        <v>56.41</v>
      </c>
      <c r="HI4" vm="4102">
        <f ca="1"/>
        <v>55.39</v>
      </c>
      <c r="HJ4" vm="4103">
        <f ca="1"/>
        <v>53.85</v>
      </c>
      <c r="HK4" vm="4104">
        <f ca="1"/>
        <v>52.52</v>
      </c>
      <c r="HL4" vm="4105">
        <f ca="1"/>
        <v>52.55</v>
      </c>
      <c r="HM4" vm="4106">
        <f ca="1"/>
        <v>52.74</v>
      </c>
      <c r="HN4" vm="4107">
        <f ca="1"/>
        <v>53.36</v>
      </c>
      <c r="HO4" vm="4108">
        <f ca="1"/>
        <v>52.77</v>
      </c>
      <c r="HP4" vm="4109">
        <f ca="1"/>
        <v>53.06</v>
      </c>
      <c r="HQ4" vm="4110">
        <f ca="1"/>
        <v>51.07</v>
      </c>
      <c r="HR4" vm="4111">
        <f ca="1"/>
        <v>50.41</v>
      </c>
      <c r="HS4" vm="4112">
        <f ca="1"/>
        <v>51.69</v>
      </c>
      <c r="HT4" vm="4113">
        <f ca="1"/>
        <v>52.3</v>
      </c>
      <c r="HU4" vm="4114">
        <f ca="1"/>
        <v>49.83</v>
      </c>
      <c r="HV4" vm="4115">
        <f ca="1"/>
        <v>49.81</v>
      </c>
      <c r="HW4" vm="4116">
        <f ca="1"/>
        <v>49.97</v>
      </c>
      <c r="HX4" vm="4117">
        <f ca="1"/>
        <v>50.3</v>
      </c>
      <c r="HY4" vm="4115">
        <f ca="1"/>
        <v>49.81</v>
      </c>
      <c r="HZ4" vm="4118">
        <f ca="1"/>
        <v>48.64</v>
      </c>
      <c r="IA4" vm="4119">
        <f ca="1"/>
        <v>47.9</v>
      </c>
      <c r="IB4" vm="4120">
        <f ca="1"/>
        <v>48.56</v>
      </c>
      <c r="IC4" vm="4121">
        <f ca="1"/>
        <v>48.52</v>
      </c>
      <c r="ID4" vm="4122">
        <f ca="1"/>
        <v>47.13</v>
      </c>
      <c r="IE4" vm="4123">
        <f ca="1"/>
        <v>46.72</v>
      </c>
      <c r="IF4" vm="4124">
        <f ca="1"/>
        <v>47.06</v>
      </c>
      <c r="IG4" vm="4125">
        <f ca="1"/>
        <v>47.28</v>
      </c>
      <c r="IH4" vm="4126">
        <f ca="1"/>
        <v>46.83</v>
      </c>
      <c r="II4" vm="4127">
        <f ca="1"/>
        <v>47.01</v>
      </c>
      <c r="IJ4" vm="4128">
        <f ca="1"/>
        <v>47.16</v>
      </c>
      <c r="IK4" vm="4129">
        <f ca="1"/>
        <v>47.52</v>
      </c>
      <c r="IL4" vm="3972">
        <f ca="1"/>
        <v>48.14</v>
      </c>
      <c r="IM4" vm="4130">
        <f ca="1"/>
        <v>48.75</v>
      </c>
      <c r="IN4" vm="4131">
        <f ca="1"/>
        <v>48.24</v>
      </c>
      <c r="IO4" vm="3964">
        <f ca="1"/>
        <v>46.97</v>
      </c>
      <c r="IP4" vm="4132">
        <f ca="1"/>
        <v>47.23</v>
      </c>
      <c r="IQ4" vm="4130">
        <f ca="1"/>
        <v>48.75</v>
      </c>
      <c r="IR4" vm="4133">
        <f ca="1"/>
        <v>49.27</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134">
        <f ca="1"/>
        <v>34208496</v>
      </c>
      <c r="C7" vm="4135">
        <f ca="1"/>
        <v>49.89</v>
      </c>
      <c r="D7" vm="4111">
        <f ca="1"/>
        <v>50.41</v>
      </c>
      <c r="E7" vm="4136">
        <f ca="1"/>
        <v>49.21</v>
      </c>
      <c r="F7" vm="4117">
        <f ca="1"/>
        <v>50.3</v>
      </c>
    </row>
    <row r="8" spans="1:252" x14ac:dyDescent="0.35">
      <c r="A8" vm="256">
        <f ca="1"/>
        <v>46086</v>
      </c>
      <c r="B8" vm="4137">
        <f ca="1"/>
        <v>39073943</v>
      </c>
      <c r="C8" vm="4138">
        <f ca="1"/>
        <v>49.82</v>
      </c>
      <c r="D8" vm="4139">
        <f ca="1"/>
        <v>50.43</v>
      </c>
      <c r="E8" vm="4140">
        <f ca="1"/>
        <v>49.33</v>
      </c>
      <c r="F8" vm="4115">
        <f ca="1"/>
        <v>49.81</v>
      </c>
    </row>
    <row r="9" spans="1:252" x14ac:dyDescent="0.35">
      <c r="A9" vm="257">
        <f ca="1"/>
        <v>46087</v>
      </c>
      <c r="B9" vm="4141">
        <f ca="1"/>
        <v>47015993</v>
      </c>
      <c r="C9" vm="4142">
        <f ca="1"/>
        <v>48.55</v>
      </c>
      <c r="D9" vm="4143">
        <f ca="1"/>
        <v>48.7</v>
      </c>
      <c r="E9" vm="4144">
        <f ca="1"/>
        <v>47.62</v>
      </c>
      <c r="F9" vm="4118">
        <f ca="1"/>
        <v>48.64</v>
      </c>
    </row>
    <row r="10" spans="1:252" x14ac:dyDescent="0.35">
      <c r="A10" vm="258">
        <f ca="1"/>
        <v>46090</v>
      </c>
      <c r="B10" vm="4145">
        <f ca="1"/>
        <v>62752798</v>
      </c>
      <c r="C10" vm="4146">
        <f ca="1"/>
        <v>47.94</v>
      </c>
      <c r="D10" vm="3958">
        <f ca="1"/>
        <v>48.15</v>
      </c>
      <c r="E10" vm="4147">
        <f ca="1"/>
        <v>46.77</v>
      </c>
      <c r="F10" vm="4119">
        <f ca="1"/>
        <v>47.9</v>
      </c>
    </row>
    <row r="11" spans="1:252" x14ac:dyDescent="0.35">
      <c r="A11" vm="259">
        <f ca="1"/>
        <v>46091</v>
      </c>
      <c r="B11" vm="4148">
        <f ca="1"/>
        <v>50271136</v>
      </c>
      <c r="C11" vm="4149">
        <f ca="1"/>
        <v>48.28</v>
      </c>
      <c r="D11" vm="4150">
        <f ca="1"/>
        <v>49.15</v>
      </c>
      <c r="E11" vm="4151">
        <f ca="1"/>
        <v>47.594999999999999</v>
      </c>
      <c r="F11" vm="4120">
        <f ca="1"/>
        <v>48.56</v>
      </c>
    </row>
    <row r="12" spans="1:252" x14ac:dyDescent="0.35">
      <c r="A12" vm="260">
        <f ca="1"/>
        <v>46092</v>
      </c>
      <c r="B12" vm="4152">
        <f ca="1"/>
        <v>42185812</v>
      </c>
      <c r="C12" vm="4153">
        <f ca="1"/>
        <v>48.36</v>
      </c>
      <c r="D12" vm="4025">
        <f ca="1"/>
        <v>48.65</v>
      </c>
      <c r="E12" vm="4154">
        <f ca="1"/>
        <v>47.78</v>
      </c>
      <c r="F12" vm="4121">
        <f ca="1"/>
        <v>48.52</v>
      </c>
    </row>
    <row r="13" spans="1:252" x14ac:dyDescent="0.35">
      <c r="A13" vm="261">
        <f ca="1"/>
        <v>46093</v>
      </c>
      <c r="B13" vm="4155">
        <f ca="1"/>
        <v>58354534</v>
      </c>
      <c r="C13" vm="4156">
        <f ca="1"/>
        <v>47.7</v>
      </c>
      <c r="D13" vm="4157">
        <f ca="1"/>
        <v>47.782400000000003</v>
      </c>
      <c r="E13" vm="4158">
        <f ca="1"/>
        <v>46.79</v>
      </c>
      <c r="F13" vm="4122">
        <f ca="1"/>
        <v>47.13</v>
      </c>
    </row>
    <row r="14" spans="1:252" x14ac:dyDescent="0.35">
      <c r="A14" vm="262">
        <f ca="1"/>
        <v>46094</v>
      </c>
      <c r="B14" vm="4159">
        <f ca="1"/>
        <v>45473073</v>
      </c>
      <c r="C14" vm="4129">
        <f ca="1"/>
        <v>47.52</v>
      </c>
      <c r="D14" vm="4160">
        <f ca="1"/>
        <v>47.820099999999996</v>
      </c>
      <c r="E14" vm="4161">
        <f ca="1"/>
        <v>46.655000000000001</v>
      </c>
      <c r="F14" vm="4123">
        <f ca="1"/>
        <v>46.72</v>
      </c>
    </row>
    <row r="15" spans="1:252" x14ac:dyDescent="0.35">
      <c r="A15" vm="263">
        <f ca="1"/>
        <v>46097</v>
      </c>
      <c r="B15" vm="4162">
        <f ca="1"/>
        <v>38055608</v>
      </c>
      <c r="C15" vm="3956">
        <f ca="1"/>
        <v>47.12</v>
      </c>
      <c r="D15" vm="4163">
        <f ca="1"/>
        <v>47.68</v>
      </c>
      <c r="E15" vm="4164">
        <f ca="1"/>
        <v>46.900100000000002</v>
      </c>
      <c r="F15" vm="4124">
        <f ca="1"/>
        <v>47.06</v>
      </c>
    </row>
    <row r="16" spans="1:252" x14ac:dyDescent="0.35">
      <c r="A16" vm="264">
        <f ca="1"/>
        <v>46098</v>
      </c>
      <c r="B16" vm="4165">
        <f ca="1"/>
        <v>33427815</v>
      </c>
      <c r="C16" vm="4166">
        <f ca="1"/>
        <v>47.66</v>
      </c>
      <c r="D16" vm="3991">
        <f ca="1"/>
        <v>48.08</v>
      </c>
      <c r="E16" vm="4167">
        <f ca="1"/>
        <v>47.2</v>
      </c>
      <c r="F16" vm="4125">
        <f ca="1"/>
        <v>47.28</v>
      </c>
    </row>
    <row r="17" spans="1:6" x14ac:dyDescent="0.35">
      <c r="A17" vm="265">
        <f ca="1"/>
        <v>46099</v>
      </c>
      <c r="B17" vm="4168">
        <f ca="1"/>
        <v>40251811</v>
      </c>
      <c r="C17" vm="4169">
        <f ca="1"/>
        <v>47.22</v>
      </c>
      <c r="D17" vm="4170">
        <f ca="1"/>
        <v>47.88</v>
      </c>
      <c r="E17" vm="4171">
        <f ca="1"/>
        <v>46.69</v>
      </c>
      <c r="F17" vm="4126">
        <f ca="1"/>
        <v>46.83</v>
      </c>
    </row>
    <row r="18" spans="1:6" x14ac:dyDescent="0.35">
      <c r="A18" vm="266">
        <f ca="1"/>
        <v>46100</v>
      </c>
      <c r="B18" vm="4172">
        <f ca="1"/>
        <v>38601377</v>
      </c>
      <c r="C18" vm="4173">
        <f ca="1"/>
        <v>46.42</v>
      </c>
      <c r="D18" vm="4174">
        <f ca="1"/>
        <v>47.19</v>
      </c>
      <c r="E18" vm="4175">
        <f ca="1"/>
        <v>46.115000000000002</v>
      </c>
      <c r="F18" vm="4127">
        <f ca="1"/>
        <v>47.01</v>
      </c>
    </row>
    <row r="19" spans="1:6" x14ac:dyDescent="0.35">
      <c r="A19" vm="267">
        <f ca="1"/>
        <v>46101</v>
      </c>
      <c r="B19" vm="4176">
        <f ca="1"/>
        <v>78060881</v>
      </c>
      <c r="C19" vm="4122">
        <f ca="1"/>
        <v>47.13</v>
      </c>
      <c r="D19" vm="3955">
        <f ca="1"/>
        <v>47.46</v>
      </c>
      <c r="E19" vm="4177">
        <f ca="1"/>
        <v>46.685000000000002</v>
      </c>
      <c r="F19" vm="4128">
        <f ca="1"/>
        <v>47.16</v>
      </c>
    </row>
    <row r="20" spans="1:6" x14ac:dyDescent="0.35">
      <c r="A20" vm="268">
        <f ca="1"/>
        <v>46104</v>
      </c>
      <c r="B20" vm="4178">
        <f ca="1"/>
        <v>42333241</v>
      </c>
      <c r="C20" vm="4179">
        <f ca="1"/>
        <v>48.34</v>
      </c>
      <c r="D20" vm="3973">
        <f ca="1"/>
        <v>48.39</v>
      </c>
      <c r="E20" vm="3970">
        <f ca="1"/>
        <v>47.48</v>
      </c>
      <c r="F20" vm="4129">
        <f ca="1"/>
        <v>47.52</v>
      </c>
    </row>
    <row r="21" spans="1:6" x14ac:dyDescent="0.35">
      <c r="A21" vm="269">
        <f ca="1"/>
        <v>46105</v>
      </c>
      <c r="B21" vm="4180">
        <f ca="1"/>
        <v>39804103</v>
      </c>
      <c r="C21" vm="4181">
        <f ca="1"/>
        <v>47.05</v>
      </c>
      <c r="D21" vm="4182">
        <f ca="1"/>
        <v>48.46</v>
      </c>
      <c r="E21" vm="3969">
        <f ca="1"/>
        <v>47.02</v>
      </c>
      <c r="F21" vm="3972">
        <f ca="1"/>
        <v>48.14</v>
      </c>
    </row>
    <row r="22" spans="1:6" x14ac:dyDescent="0.35">
      <c r="A22" vm="270">
        <f ca="1"/>
        <v>46106</v>
      </c>
      <c r="B22" vm="4183">
        <f ca="1"/>
        <v>29988292</v>
      </c>
      <c r="C22" vm="4121">
        <f ca="1"/>
        <v>48.52</v>
      </c>
      <c r="D22" vm="4184">
        <f ca="1"/>
        <v>49.11</v>
      </c>
      <c r="E22" vm="4185">
        <f ca="1"/>
        <v>48.18</v>
      </c>
      <c r="F22" vm="4130">
        <f ca="1"/>
        <v>48.75</v>
      </c>
    </row>
    <row r="23" spans="1:6" x14ac:dyDescent="0.35">
      <c r="A23" vm="271">
        <f ca="1"/>
        <v>46107</v>
      </c>
      <c r="B23" vm="4186">
        <f ca="1"/>
        <v>32502597</v>
      </c>
      <c r="C23" vm="3959">
        <f ca="1"/>
        <v>48.71</v>
      </c>
      <c r="D23" vm="4187">
        <f ca="1"/>
        <v>48.869900000000001</v>
      </c>
      <c r="E23" vm="4188">
        <f ca="1"/>
        <v>48.024999999999999</v>
      </c>
      <c r="F23" vm="4131">
        <f ca="1"/>
        <v>48.24</v>
      </c>
    </row>
    <row r="24" spans="1:6" x14ac:dyDescent="0.35">
      <c r="A24" vm="272">
        <f ca="1"/>
        <v>46108</v>
      </c>
      <c r="B24" vm="4189">
        <f ca="1"/>
        <v>36781861</v>
      </c>
      <c r="C24" vm="4190">
        <f ca="1"/>
        <v>48.07</v>
      </c>
      <c r="D24" vm="4191">
        <f ca="1"/>
        <v>48.25</v>
      </c>
      <c r="E24" vm="3963">
        <f ca="1"/>
        <v>46.84</v>
      </c>
      <c r="F24" vm="3964">
        <f ca="1"/>
        <v>46.97</v>
      </c>
    </row>
    <row r="25" spans="1:6" x14ac:dyDescent="0.35">
      <c r="A25" vm="273">
        <f ca="1"/>
        <v>46111</v>
      </c>
      <c r="B25" vm="4192">
        <f ca="1"/>
        <v>43375850</v>
      </c>
      <c r="C25" vm="4193">
        <f ca="1"/>
        <v>47.55</v>
      </c>
      <c r="D25" vm="4194">
        <f ca="1"/>
        <v>47.854999999999997</v>
      </c>
      <c r="E25" vm="4195">
        <f ca="1"/>
        <v>46.93</v>
      </c>
      <c r="F25" vm="4132">
        <f ca="1"/>
        <v>47.23</v>
      </c>
    </row>
    <row r="26" spans="1:6" x14ac:dyDescent="0.35">
      <c r="A26" vm="274">
        <f ca="1"/>
        <v>46112</v>
      </c>
      <c r="B26" vm="4196">
        <f ca="1"/>
        <v>49060591</v>
      </c>
      <c r="C26" vm="4163">
        <f ca="1"/>
        <v>47.68</v>
      </c>
      <c r="D26" vm="4197">
        <f ca="1"/>
        <v>48.77</v>
      </c>
      <c r="E26" vm="4198">
        <f ca="1"/>
        <v>47.37</v>
      </c>
      <c r="F26" vm="4130">
        <f ca="1"/>
        <v>48.75</v>
      </c>
    </row>
    <row r="27" spans="1:6" x14ac:dyDescent="0.35">
      <c r="A27" vm="275">
        <f ca="1"/>
        <v>46113</v>
      </c>
      <c r="B27" vm="4199">
        <f ca="1"/>
        <v>32947016</v>
      </c>
      <c r="C27" vm="4200">
        <f ca="1"/>
        <v>49.7</v>
      </c>
      <c r="D27" vm="4201">
        <f ca="1"/>
        <v>50.05</v>
      </c>
      <c r="E27" vm="4202">
        <f ca="1"/>
        <v>48.774999999999999</v>
      </c>
      <c r="F27" vm="4133">
        <f ca="1"/>
        <v>49.27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R27"/>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2" x14ac:dyDescent="0.35">
      <c r="A1" s="2" t="s">
        <v>8</v>
      </c>
      <c r="B1" t="e" vm="25">
        <v>#VALUE!</v>
      </c>
    </row>
    <row r="3" spans="1:252" x14ac:dyDescent="0.35">
      <c r="A3" s="2" t="s">
        <v>35</v>
      </c>
      <c r="B3" s="2" t="s">
        <v>25</v>
      </c>
    </row>
    <row r="4" spans="1:252" x14ac:dyDescent="0.35">
      <c r="A4" t="s">
        <v>36</v>
      </c>
      <c r="B4" t="s">
        <v>24</v>
      </c>
      <c r="C4" cm="1" vm="4203">
        <f t="array" aca="1" ref="C4:IR4" ca="1">TRANSPOSE(_xlfn.STOCKHISTORY(A4&amp;":"&amp;B4,TODAY()-365,TODAY(),0,0,1))</f>
        <v>967.08</v>
      </c>
      <c r="D4" vm="4204">
        <f ca="1"/>
        <v>916.48</v>
      </c>
      <c r="E4" vm="4205">
        <f ca="1"/>
        <v>908.13</v>
      </c>
      <c r="F4" vm="4206">
        <f ca="1"/>
        <v>908.75</v>
      </c>
      <c r="G4" vm="4207">
        <f ca="1"/>
        <v>965.19</v>
      </c>
      <c r="H4" vm="4208">
        <f ca="1"/>
        <v>964.31</v>
      </c>
      <c r="I4" vm="4209">
        <f ca="1"/>
        <v>963.41</v>
      </c>
      <c r="J4" vm="4210">
        <f ca="1"/>
        <v>979.32</v>
      </c>
      <c r="K4" vm="4211">
        <f ca="1"/>
        <v>976.92</v>
      </c>
      <c r="L4" vm="4212">
        <f ca="1"/>
        <v>967.75</v>
      </c>
      <c r="M4" vm="4213">
        <f ca="1"/>
        <v>994.5</v>
      </c>
      <c r="N4" vm="4214">
        <f ca="1"/>
        <v>957.77</v>
      </c>
      <c r="O4" vm="4215">
        <f ca="1"/>
        <v>979.23</v>
      </c>
      <c r="P4" vm="4216">
        <f ca="1"/>
        <v>975.84</v>
      </c>
      <c r="Q4" vm="4217">
        <f ca="1"/>
        <v>975.48</v>
      </c>
      <c r="R4" vm="4218">
        <f ca="1"/>
        <v>977.16</v>
      </c>
      <c r="S4" vm="4219">
        <f ca="1"/>
        <v>978.54</v>
      </c>
      <c r="T4" vm="4220">
        <f ca="1"/>
        <v>991.7</v>
      </c>
      <c r="U4" vm="4213">
        <f ca="1"/>
        <v>994.5</v>
      </c>
      <c r="V4" vm="4221">
        <f ca="1"/>
        <v>999.04</v>
      </c>
      <c r="W4" vm="4222">
        <f ca="1"/>
        <v>1008.3</v>
      </c>
      <c r="X4" vm="4223">
        <f ca="1"/>
        <v>1014.89</v>
      </c>
      <c r="Y4" vm="4224">
        <f ca="1"/>
        <v>1010.5</v>
      </c>
      <c r="Z4" vm="4225">
        <f ca="1"/>
        <v>1007.15</v>
      </c>
      <c r="AA4" vm="4226">
        <f ca="1"/>
        <v>1007.71</v>
      </c>
      <c r="AB4" vm="4227">
        <f ca="1"/>
        <v>1008.09</v>
      </c>
      <c r="AC4" vm="4228">
        <f ca="1"/>
        <v>1016.15</v>
      </c>
      <c r="AD4" vm="4229">
        <f ca="1"/>
        <v>999.03</v>
      </c>
      <c r="AE4" vm="4230">
        <f ca="1"/>
        <v>991.54</v>
      </c>
      <c r="AF4" vm="4231">
        <f ca="1"/>
        <v>1010.47</v>
      </c>
      <c r="AG4" vm="4232">
        <f ca="1"/>
        <v>1025.83</v>
      </c>
      <c r="AH4" vm="4233">
        <f ca="1"/>
        <v>1034.3399999999999</v>
      </c>
      <c r="AI4" vm="4234">
        <f ca="1"/>
        <v>1036.82</v>
      </c>
      <c r="AJ4" vm="4235">
        <f ca="1"/>
        <v>1025.3</v>
      </c>
      <c r="AK4" vm="4236">
        <f ca="1"/>
        <v>1018.13</v>
      </c>
      <c r="AL4" vm="4237">
        <f ca="1"/>
        <v>1008.5</v>
      </c>
      <c r="AM4" vm="4238">
        <f ca="1"/>
        <v>1017.79</v>
      </c>
      <c r="AN4" vm="4239">
        <f ca="1"/>
        <v>1013.14</v>
      </c>
      <c r="AO4" vm="4240">
        <f ca="1"/>
        <v>1008.74</v>
      </c>
      <c r="AP4" vm="4241">
        <f ca="1"/>
        <v>1040.18</v>
      </c>
      <c r="AQ4" vm="4242">
        <f ca="1"/>
        <v>1056.8499999999999</v>
      </c>
      <c r="AR4" vm="4243">
        <f ca="1"/>
        <v>1055.5899999999999</v>
      </c>
      <c r="AS4" vm="4244">
        <f ca="1"/>
        <v>1051.69</v>
      </c>
      <c r="AT4" vm="4245">
        <f ca="1"/>
        <v>1010.81</v>
      </c>
      <c r="AU4" vm="4246">
        <f ca="1"/>
        <v>1014.94</v>
      </c>
      <c r="AV4" vm="4247">
        <f ca="1"/>
        <v>1006.18</v>
      </c>
      <c r="AW4" vm="4248">
        <f ca="1"/>
        <v>1007.27</v>
      </c>
      <c r="AX4" vm="4249">
        <f ca="1"/>
        <v>996.78</v>
      </c>
      <c r="AY4" vm="4250">
        <f ca="1"/>
        <v>1002.71</v>
      </c>
      <c r="AZ4" vm="4251">
        <f ca="1"/>
        <v>990.21</v>
      </c>
      <c r="BA4" vm="4252">
        <f ca="1"/>
        <v>984.36</v>
      </c>
      <c r="BB4" vm="4253">
        <f ca="1"/>
        <v>977.72</v>
      </c>
      <c r="BC4" vm="4254">
        <f ca="1"/>
        <v>974.9</v>
      </c>
      <c r="BD4" vm="4255">
        <f ca="1"/>
        <v>980.29</v>
      </c>
      <c r="BE4" vm="4256">
        <f ca="1"/>
        <v>1004.48</v>
      </c>
      <c r="BF4" vm="4257">
        <f ca="1"/>
        <v>1001.92</v>
      </c>
      <c r="BG4" vm="4258">
        <f ca="1"/>
        <v>986.54</v>
      </c>
      <c r="BH4" vm="4259">
        <f ca="1"/>
        <v>982.91</v>
      </c>
      <c r="BI4" vm="4260">
        <f ca="1"/>
        <v>985.14</v>
      </c>
      <c r="BJ4" vm="4261">
        <f ca="1"/>
        <v>989.94</v>
      </c>
      <c r="BK4" vm="4262">
        <f ca="1"/>
        <v>985.96</v>
      </c>
      <c r="BL4" vm="4263">
        <f ca="1"/>
        <v>982.36</v>
      </c>
      <c r="BM4" vm="4264">
        <f ca="1"/>
        <v>987.02</v>
      </c>
      <c r="BN4" vm="4265">
        <f ca="1"/>
        <v>992.18</v>
      </c>
      <c r="BO4" vm="4266">
        <f ca="1"/>
        <v>985.84</v>
      </c>
      <c r="BP4" vm="4267">
        <f ca="1"/>
        <v>982.09</v>
      </c>
      <c r="BQ4" vm="4268">
        <f ca="1"/>
        <v>970.17</v>
      </c>
      <c r="BR4" vm="4269">
        <f ca="1"/>
        <v>970.33</v>
      </c>
      <c r="BS4" vm="4270">
        <f ca="1"/>
        <v>980.91</v>
      </c>
      <c r="BT4" vm="4271">
        <f ca="1"/>
        <v>967.68</v>
      </c>
      <c r="BU4" vm="4272">
        <f ca="1"/>
        <v>951.37</v>
      </c>
      <c r="BV4" vm="4273">
        <f ca="1"/>
        <v>953.91</v>
      </c>
      <c r="BW4" vm="4274">
        <f ca="1"/>
        <v>950.95</v>
      </c>
      <c r="BX4" vm="4275">
        <f ca="1"/>
        <v>947.56</v>
      </c>
      <c r="BY4" vm="4276">
        <f ca="1"/>
        <v>941.61</v>
      </c>
      <c r="BZ4" vm="4277">
        <f ca="1"/>
        <v>941.19</v>
      </c>
      <c r="CA4" vm="4278">
        <f ca="1"/>
        <v>933.8</v>
      </c>
      <c r="CB4" vm="4279">
        <f ca="1"/>
        <v>935.48</v>
      </c>
      <c r="CC4" vm="4280">
        <f ca="1"/>
        <v>933.99</v>
      </c>
      <c r="CD4" vm="4281">
        <f ca="1"/>
        <v>934.57</v>
      </c>
      <c r="CE4" vm="4282">
        <f ca="1"/>
        <v>927.51</v>
      </c>
      <c r="CF4" vm="4283">
        <f ca="1"/>
        <v>939.64</v>
      </c>
      <c r="CG4" vm="4284">
        <f ca="1"/>
        <v>952.52</v>
      </c>
      <c r="CH4" vm="4285">
        <f ca="1"/>
        <v>955.37</v>
      </c>
      <c r="CI4" vm="4286">
        <f ca="1"/>
        <v>943.63</v>
      </c>
      <c r="CJ4" vm="4287">
        <f ca="1"/>
        <v>968.56</v>
      </c>
      <c r="CK4" vm="4288">
        <f ca="1"/>
        <v>977.45</v>
      </c>
      <c r="CL4" vm="4289">
        <f ca="1"/>
        <v>980.98</v>
      </c>
      <c r="CM4" vm="4290">
        <f ca="1"/>
        <v>988.74</v>
      </c>
      <c r="CN4" vm="4291">
        <f ca="1"/>
        <v>991.25</v>
      </c>
      <c r="CO4" vm="4292">
        <f ca="1"/>
        <v>978.85</v>
      </c>
      <c r="CP4" vm="4293">
        <f ca="1"/>
        <v>975.39</v>
      </c>
      <c r="CQ4" vm="4294">
        <f ca="1"/>
        <v>972.04</v>
      </c>
      <c r="CR4" vm="4295">
        <f ca="1"/>
        <v>979.35</v>
      </c>
      <c r="CS4" vm="4296">
        <f ca="1"/>
        <v>980.85</v>
      </c>
      <c r="CT4" vm="4297">
        <f ca="1"/>
        <v>994.57</v>
      </c>
      <c r="CU4" vm="4298">
        <f ca="1"/>
        <v>969.68</v>
      </c>
      <c r="CV4" vm="4299">
        <f ca="1"/>
        <v>958.54</v>
      </c>
      <c r="CW4" vm="4300">
        <f ca="1"/>
        <v>941.58</v>
      </c>
      <c r="CX4" vm="4301">
        <f ca="1"/>
        <v>941.34</v>
      </c>
      <c r="CY4" vm="4302">
        <f ca="1"/>
        <v>949.52</v>
      </c>
      <c r="CZ4" vm="4303">
        <f ca="1"/>
        <v>944.96</v>
      </c>
      <c r="DA4" vm="4304">
        <f ca="1"/>
        <v>943.32</v>
      </c>
      <c r="DB4" vm="4305">
        <f ca="1"/>
        <v>938.82</v>
      </c>
      <c r="DC4" vm="4306">
        <f ca="1"/>
        <v>949.78</v>
      </c>
      <c r="DD4" vm="4307">
        <f ca="1"/>
        <v>955.9</v>
      </c>
      <c r="DE4" vm="4308">
        <f ca="1"/>
        <v>963.48</v>
      </c>
      <c r="DF4" vm="4309">
        <f ca="1"/>
        <v>971.85</v>
      </c>
      <c r="DG4" vm="4310">
        <f ca="1"/>
        <v>979.25</v>
      </c>
      <c r="DH4" vm="4311">
        <f ca="1"/>
        <v>956.29</v>
      </c>
      <c r="DI4" vm="4312">
        <f ca="1"/>
        <v>964.32</v>
      </c>
      <c r="DJ4" vm="4313">
        <f ca="1"/>
        <v>967.9</v>
      </c>
      <c r="DK4" vm="4314">
        <f ca="1"/>
        <v>960.1</v>
      </c>
      <c r="DL4" vm="4315">
        <f ca="1"/>
        <v>952.07</v>
      </c>
      <c r="DM4" vm="4316">
        <f ca="1"/>
        <v>963.03</v>
      </c>
      <c r="DN4" vm="4317">
        <f ca="1"/>
        <v>952.36</v>
      </c>
      <c r="DO4" vm="4318">
        <f ca="1"/>
        <v>951.16</v>
      </c>
      <c r="DP4" vm="1238">
        <f ca="1"/>
        <v>943.26</v>
      </c>
      <c r="DQ4" vm="4319">
        <f ca="1"/>
        <v>943.6</v>
      </c>
      <c r="DR4" vm="4320">
        <f ca="1"/>
        <v>945.27</v>
      </c>
      <c r="DS4" vm="4321">
        <f ca="1"/>
        <v>943.31</v>
      </c>
      <c r="DT4" vm="4322">
        <f ca="1"/>
        <v>915.95</v>
      </c>
      <c r="DU4" vm="4323">
        <f ca="1"/>
        <v>916.87</v>
      </c>
      <c r="DV4" vm="4324">
        <f ca="1"/>
        <v>925.63</v>
      </c>
      <c r="DW4" vm="4325">
        <f ca="1"/>
        <v>917.34</v>
      </c>
      <c r="DX4" vm="4326">
        <f ca="1"/>
        <v>916.77</v>
      </c>
      <c r="DY4" vm="4327">
        <f ca="1"/>
        <v>915.38</v>
      </c>
      <c r="DZ4" vm="4328">
        <f ca="1"/>
        <v>910.94</v>
      </c>
      <c r="EA4" vm="4329">
        <f ca="1"/>
        <v>914.8</v>
      </c>
      <c r="EB4" vm="4329">
        <f ca="1"/>
        <v>914.8</v>
      </c>
      <c r="EC4" vm="4330">
        <f ca="1"/>
        <v>942.89</v>
      </c>
      <c r="ED4" vm="4331">
        <f ca="1"/>
        <v>930.01</v>
      </c>
      <c r="EE4" vm="4332">
        <f ca="1"/>
        <v>935.56</v>
      </c>
      <c r="EF4" vm="4333">
        <f ca="1"/>
        <v>946.51</v>
      </c>
      <c r="EG4" vm="4334">
        <f ca="1"/>
        <v>954.99</v>
      </c>
      <c r="EH4" vm="4335">
        <f ca="1"/>
        <v>925.62</v>
      </c>
      <c r="EI4" vm="4336">
        <f ca="1"/>
        <v>936.33</v>
      </c>
      <c r="EJ4" vm="4337">
        <f ca="1"/>
        <v>936.11</v>
      </c>
      <c r="EK4" vm="4338">
        <f ca="1"/>
        <v>937.5</v>
      </c>
      <c r="EL4" vm="4339">
        <f ca="1"/>
        <v>944.68</v>
      </c>
      <c r="EM4" vm="4340">
        <f ca="1"/>
        <v>942.05</v>
      </c>
      <c r="EN4" vm="4341">
        <f ca="1"/>
        <v>932.14</v>
      </c>
      <c r="EO4" vm="4342">
        <f ca="1"/>
        <v>929.85</v>
      </c>
      <c r="EP4" vm="4343">
        <f ca="1"/>
        <v>924.16</v>
      </c>
      <c r="EQ4" vm="4344">
        <f ca="1"/>
        <v>912.42</v>
      </c>
      <c r="ER4" vm="4345">
        <f ca="1"/>
        <v>920.18</v>
      </c>
      <c r="ES4" vm="4346">
        <f ca="1"/>
        <v>911.45</v>
      </c>
      <c r="ET4" vm="4347">
        <f ca="1"/>
        <v>928.04</v>
      </c>
      <c r="EU4" vm="4348">
        <f ca="1"/>
        <v>940.74</v>
      </c>
      <c r="EV4" vm="4349">
        <f ca="1"/>
        <v>935.03</v>
      </c>
      <c r="EW4" vm="4350">
        <f ca="1"/>
        <v>923.58</v>
      </c>
      <c r="EX4" vm="4351">
        <f ca="1"/>
        <v>922.74</v>
      </c>
      <c r="EY4" vm="4352">
        <f ca="1"/>
        <v>915.56</v>
      </c>
      <c r="EZ4" vm="4353">
        <f ca="1"/>
        <v>913.86</v>
      </c>
      <c r="FA4" vm="4354">
        <f ca="1"/>
        <v>914</v>
      </c>
      <c r="FB4" vm="4355">
        <f ca="1"/>
        <v>925.08</v>
      </c>
      <c r="FC4" vm="4356">
        <f ca="1"/>
        <v>922.98</v>
      </c>
      <c r="FD4" vm="4357">
        <f ca="1"/>
        <v>912.59</v>
      </c>
      <c r="FE4" vm="4358">
        <f ca="1"/>
        <v>895.08</v>
      </c>
      <c r="FF4" vm="4359">
        <f ca="1"/>
        <v>890.6</v>
      </c>
      <c r="FG4" vm="4360">
        <f ca="1"/>
        <v>893.29</v>
      </c>
      <c r="FH4" vm="4361">
        <f ca="1"/>
        <v>899.01</v>
      </c>
      <c r="FI4" vm="4362">
        <f ca="1"/>
        <v>886.12</v>
      </c>
      <c r="FJ4" vm="4363">
        <f ca="1"/>
        <v>894.33</v>
      </c>
      <c r="FK4" vm="4364">
        <f ca="1"/>
        <v>908.26</v>
      </c>
      <c r="FL4" vm="4365">
        <f ca="1"/>
        <v>913.59</v>
      </c>
      <c r="FM4" vm="4366">
        <f ca="1"/>
        <v>911.96</v>
      </c>
      <c r="FN4" vm="4367">
        <f ca="1"/>
        <v>922.03</v>
      </c>
      <c r="FO4" vm="4368">
        <f ca="1"/>
        <v>922.26</v>
      </c>
      <c r="FP4" vm="4369">
        <f ca="1"/>
        <v>895.85500000000002</v>
      </c>
      <c r="FQ4" vm="4370">
        <f ca="1"/>
        <v>894.68</v>
      </c>
      <c r="FR4" vm="4371">
        <f ca="1"/>
        <v>887.52</v>
      </c>
      <c r="FS4" vm="1009">
        <f ca="1"/>
        <v>888.44</v>
      </c>
      <c r="FT4" vm="4372">
        <f ca="1"/>
        <v>874.41</v>
      </c>
      <c r="FU4" vm="4373">
        <f ca="1"/>
        <v>884.48</v>
      </c>
      <c r="FV4" vm="4374">
        <f ca="1"/>
        <v>884.47</v>
      </c>
      <c r="FW4" vm="4375">
        <f ca="1"/>
        <v>860.56</v>
      </c>
      <c r="FX4" vm="4376">
        <f ca="1"/>
        <v>860.39</v>
      </c>
      <c r="FY4" vm="4377">
        <f ca="1"/>
        <v>862.65</v>
      </c>
      <c r="FZ4" vm="4378">
        <f ca="1"/>
        <v>857.59</v>
      </c>
      <c r="GA4" vm="4379">
        <f ca="1"/>
        <v>855.62</v>
      </c>
      <c r="GB4" vm="4380">
        <f ca="1"/>
        <v>850</v>
      </c>
      <c r="GC4" vm="4381">
        <f ca="1"/>
        <v>854.79</v>
      </c>
      <c r="GD4" vm="4382">
        <f ca="1"/>
        <v>871.86</v>
      </c>
      <c r="GE4" vm="4383">
        <f ca="1"/>
        <v>873.35</v>
      </c>
      <c r="GF4" vm="4384">
        <f ca="1"/>
        <v>867.84</v>
      </c>
      <c r="GG4" vm="4385">
        <f ca="1"/>
        <v>865.65</v>
      </c>
      <c r="GH4" vm="4386">
        <f ca="1"/>
        <v>862.34</v>
      </c>
      <c r="GI4" vm="4387">
        <f ca="1"/>
        <v>854.5</v>
      </c>
      <c r="GJ4" vm="4388">
        <f ca="1"/>
        <v>875.74</v>
      </c>
      <c r="GK4" vm="4389">
        <f ca="1"/>
        <v>889.1</v>
      </c>
      <c r="GL4" vm="4390">
        <f ca="1"/>
        <v>882.58</v>
      </c>
      <c r="GM4" vm="4391">
        <f ca="1"/>
        <v>915.31</v>
      </c>
      <c r="GN4" vm="4392">
        <f ca="1"/>
        <v>924.88</v>
      </c>
      <c r="GO4" vm="4393">
        <f ca="1"/>
        <v>943.08</v>
      </c>
      <c r="GP4" vm="4394">
        <f ca="1"/>
        <v>941.93</v>
      </c>
      <c r="GQ4" vm="4395">
        <f ca="1"/>
        <v>950.98</v>
      </c>
      <c r="GR4" vm="4396">
        <f ca="1"/>
        <v>956.75</v>
      </c>
      <c r="GS4" vm="4397">
        <f ca="1"/>
        <v>963.61</v>
      </c>
      <c r="GT4" vm="4398">
        <f ca="1"/>
        <v>964.26</v>
      </c>
      <c r="GU4" vm="4399">
        <f ca="1"/>
        <v>982.86</v>
      </c>
      <c r="GV4" vm="4400">
        <f ca="1"/>
        <v>976.17</v>
      </c>
      <c r="GW4" vm="4401">
        <f ca="1"/>
        <v>983.25</v>
      </c>
      <c r="GX4" vm="4402">
        <f ca="1"/>
        <v>977.67</v>
      </c>
      <c r="GY4" vm="4403">
        <f ca="1"/>
        <v>970.28</v>
      </c>
      <c r="GZ4" vm="4404">
        <f ca="1"/>
        <v>960.78</v>
      </c>
      <c r="HA4" vm="4405">
        <f ca="1"/>
        <v>952.89</v>
      </c>
      <c r="HB4" vm="4406">
        <f ca="1"/>
        <v>940.25</v>
      </c>
      <c r="HC4" vm="4407">
        <f ca="1"/>
        <v>968.36</v>
      </c>
      <c r="HD4" vm="4408">
        <f ca="1"/>
        <v>977.92</v>
      </c>
      <c r="HE4" vm="4409">
        <f ca="1"/>
        <v>978.35</v>
      </c>
      <c r="HF4" vm="4410">
        <f ca="1"/>
        <v>989.29</v>
      </c>
      <c r="HG4" vm="4411">
        <f ca="1"/>
        <v>1001.16</v>
      </c>
      <c r="HH4" vm="4412">
        <f ca="1"/>
        <v>997.59</v>
      </c>
      <c r="HI4" vm="4413">
        <f ca="1"/>
        <v>971.23</v>
      </c>
      <c r="HJ4" vm="4414">
        <f ca="1"/>
        <v>978.14</v>
      </c>
      <c r="HK4" vm="4415">
        <f ca="1"/>
        <v>998.86</v>
      </c>
      <c r="HL4" vm="4416">
        <f ca="1"/>
        <v>1018.48</v>
      </c>
      <c r="HM4" vm="4417">
        <f ca="1"/>
        <v>1012.05</v>
      </c>
      <c r="HN4" vm="4418">
        <f ca="1"/>
        <v>996.08</v>
      </c>
      <c r="HO4" vm="4419">
        <f ca="1"/>
        <v>987.82</v>
      </c>
      <c r="HP4" vm="4420">
        <f ca="1"/>
        <v>985.27</v>
      </c>
      <c r="HQ4" vm="4421">
        <f ca="1"/>
        <v>986.02</v>
      </c>
      <c r="HR4" vm="4422">
        <f ca="1"/>
        <v>998.43</v>
      </c>
      <c r="HS4" vm="4423">
        <f ca="1"/>
        <v>994.76</v>
      </c>
      <c r="HT4" vm="4424">
        <f ca="1"/>
        <v>986.74</v>
      </c>
      <c r="HU4" vm="4425">
        <f ca="1"/>
        <v>1010.79</v>
      </c>
      <c r="HV4" vm="4426">
        <f ca="1"/>
        <v>1002.77</v>
      </c>
      <c r="HW4" vm="4427">
        <f ca="1"/>
        <v>1007.77</v>
      </c>
      <c r="HX4" vm="4428">
        <f ca="1"/>
        <v>1006.74</v>
      </c>
      <c r="HY4" vm="4429">
        <f ca="1"/>
        <v>982.57</v>
      </c>
      <c r="HZ4" vm="4430">
        <f ca="1"/>
        <v>998.1</v>
      </c>
      <c r="IA4" vm="4431">
        <f ca="1"/>
        <v>1005.3</v>
      </c>
      <c r="IB4" vm="4432">
        <f ca="1"/>
        <v>997.36</v>
      </c>
      <c r="IC4" vm="4433">
        <f ca="1"/>
        <v>992.23</v>
      </c>
      <c r="ID4" vm="4434">
        <f ca="1"/>
        <v>1003.32</v>
      </c>
      <c r="IE4" vm="4435">
        <f ca="1"/>
        <v>1008.43</v>
      </c>
      <c r="IF4" vm="4436">
        <f ca="1"/>
        <v>1001.74</v>
      </c>
      <c r="IG4" vm="4437">
        <f ca="1"/>
        <v>996.16</v>
      </c>
      <c r="IH4" vm="4438">
        <f ca="1"/>
        <v>979.92</v>
      </c>
      <c r="II4" vm="4439">
        <f ca="1"/>
        <v>974.78</v>
      </c>
      <c r="IJ4" vm="4440">
        <f ca="1"/>
        <v>972.33</v>
      </c>
      <c r="IK4" vm="4441">
        <f ca="1"/>
        <v>965.73</v>
      </c>
      <c r="IL4" vm="4442">
        <f ca="1"/>
        <v>973.82</v>
      </c>
      <c r="IM4" vm="4443">
        <f ca="1"/>
        <v>974.86</v>
      </c>
      <c r="IN4" vm="4444">
        <f ca="1"/>
        <v>979.65</v>
      </c>
      <c r="IO4" vm="4445">
        <f ca="1"/>
        <v>983.86</v>
      </c>
      <c r="IP4" vm="4446">
        <f ca="1"/>
        <v>996.58</v>
      </c>
      <c r="IQ4" vm="4447">
        <f ca="1"/>
        <v>996.43</v>
      </c>
      <c r="IR4" vm="4448">
        <f ca="1"/>
        <v>996.56</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449">
        <f ca="1"/>
        <v>1806638</v>
      </c>
      <c r="C7" vm="4450">
        <f ca="1"/>
        <v>1005</v>
      </c>
      <c r="D7" vm="4451">
        <f ca="1"/>
        <v>1014</v>
      </c>
      <c r="E7" vm="4452">
        <f ca="1"/>
        <v>997</v>
      </c>
      <c r="F7" vm="4428">
        <f ca="1"/>
        <v>1006.74</v>
      </c>
    </row>
    <row r="8" spans="1:252" x14ac:dyDescent="0.35">
      <c r="A8" vm="256">
        <f ca="1"/>
        <v>46086</v>
      </c>
      <c r="B8" vm="4453">
        <f ca="1"/>
        <v>2774284</v>
      </c>
      <c r="C8" vm="4454">
        <f ca="1"/>
        <v>996.5</v>
      </c>
      <c r="D8" vm="4455">
        <f ca="1"/>
        <v>999.25</v>
      </c>
      <c r="E8" vm="4456">
        <f ca="1"/>
        <v>978.81</v>
      </c>
      <c r="F8" vm="4429">
        <f ca="1"/>
        <v>982.57</v>
      </c>
    </row>
    <row r="9" spans="1:252" x14ac:dyDescent="0.35">
      <c r="A9" vm="257">
        <f ca="1"/>
        <v>46087</v>
      </c>
      <c r="B9" vm="4457">
        <f ca="1"/>
        <v>2708851</v>
      </c>
      <c r="C9" vm="4458">
        <f ca="1"/>
        <v>967.005</v>
      </c>
      <c r="D9" vm="4459">
        <f ca="1"/>
        <v>1002.5</v>
      </c>
      <c r="E9" vm="4460">
        <f ca="1"/>
        <v>960.46</v>
      </c>
      <c r="F9" vm="4430">
        <f ca="1"/>
        <v>998.1</v>
      </c>
    </row>
    <row r="10" spans="1:252" x14ac:dyDescent="0.35">
      <c r="A10" vm="258">
        <f ca="1"/>
        <v>46090</v>
      </c>
      <c r="B10" vm="4461">
        <f ca="1"/>
        <v>2348212</v>
      </c>
      <c r="C10" vm="4462">
        <f ca="1"/>
        <v>999.63</v>
      </c>
      <c r="D10" vm="4463">
        <f ca="1"/>
        <v>1007.41</v>
      </c>
      <c r="E10" vm="4464">
        <f ca="1"/>
        <v>987.99</v>
      </c>
      <c r="F10" vm="4431">
        <f ca="1"/>
        <v>1005.3</v>
      </c>
    </row>
    <row r="11" spans="1:252" x14ac:dyDescent="0.35">
      <c r="A11" vm="259">
        <f ca="1"/>
        <v>46091</v>
      </c>
      <c r="B11" vm="4465">
        <f ca="1"/>
        <v>1613381</v>
      </c>
      <c r="C11" vm="4466">
        <f ca="1"/>
        <v>1000.5</v>
      </c>
      <c r="D11" vm="4467">
        <f ca="1"/>
        <v>1010.1</v>
      </c>
      <c r="E11" vm="4468">
        <f ca="1"/>
        <v>996</v>
      </c>
      <c r="F11" vm="4432">
        <f ca="1"/>
        <v>997.36</v>
      </c>
    </row>
    <row r="12" spans="1:252" x14ac:dyDescent="0.35">
      <c r="A12" vm="260">
        <f ca="1"/>
        <v>46092</v>
      </c>
      <c r="B12" vm="4469">
        <f ca="1"/>
        <v>1262006</v>
      </c>
      <c r="C12" vm="4470">
        <f ca="1"/>
        <v>996.32</v>
      </c>
      <c r="D12" vm="4471">
        <f ca="1"/>
        <v>997.39</v>
      </c>
      <c r="E12" vm="4472">
        <f ca="1"/>
        <v>987.89</v>
      </c>
      <c r="F12" vm="4433">
        <f ca="1"/>
        <v>992.23</v>
      </c>
    </row>
    <row r="13" spans="1:252" x14ac:dyDescent="0.35">
      <c r="A13" vm="261">
        <f ca="1"/>
        <v>46093</v>
      </c>
      <c r="B13" vm="4473">
        <f ca="1"/>
        <v>1669248</v>
      </c>
      <c r="C13" vm="4474">
        <f ca="1"/>
        <v>988.61</v>
      </c>
      <c r="D13" vm="4475">
        <f ca="1"/>
        <v>1006.21</v>
      </c>
      <c r="E13" vm="4476">
        <f ca="1"/>
        <v>984</v>
      </c>
      <c r="F13" vm="4434">
        <f ca="1"/>
        <v>1003.32</v>
      </c>
    </row>
    <row r="14" spans="1:252" x14ac:dyDescent="0.35">
      <c r="A14" vm="262">
        <f ca="1"/>
        <v>46094</v>
      </c>
      <c r="B14" vm="4477">
        <f ca="1"/>
        <v>1469672</v>
      </c>
      <c r="C14" vm="4478">
        <f ca="1"/>
        <v>1005.9</v>
      </c>
      <c r="D14" vm="4479">
        <f ca="1"/>
        <v>1012.83</v>
      </c>
      <c r="E14" vm="4480">
        <f ca="1"/>
        <v>1002</v>
      </c>
      <c r="F14" vm="4435">
        <f ca="1"/>
        <v>1008.43</v>
      </c>
    </row>
    <row r="15" spans="1:252" x14ac:dyDescent="0.35">
      <c r="A15" vm="263">
        <f ca="1"/>
        <v>46097</v>
      </c>
      <c r="B15" vm="4481">
        <f ca="1"/>
        <v>1243752</v>
      </c>
      <c r="C15" vm="4224">
        <f ca="1"/>
        <v>1010.5</v>
      </c>
      <c r="D15" vm="4482">
        <f ca="1"/>
        <v>1012.65</v>
      </c>
      <c r="E15" vm="4483">
        <f ca="1"/>
        <v>995.43010000000004</v>
      </c>
      <c r="F15" vm="4436">
        <f ca="1"/>
        <v>1001.74</v>
      </c>
    </row>
    <row r="16" spans="1:252" x14ac:dyDescent="0.35">
      <c r="A16" vm="264">
        <f ca="1"/>
        <v>46098</v>
      </c>
      <c r="B16" vm="4484">
        <f ca="1"/>
        <v>1210414</v>
      </c>
      <c r="C16" vm="4485">
        <f ca="1"/>
        <v>1006.49</v>
      </c>
      <c r="D16" vm="4486">
        <f ca="1"/>
        <v>1008.095</v>
      </c>
      <c r="E16" vm="4487">
        <f ca="1"/>
        <v>994.75</v>
      </c>
      <c r="F16" vm="4437">
        <f ca="1"/>
        <v>996.16</v>
      </c>
    </row>
    <row r="17" spans="1:6" x14ac:dyDescent="0.35">
      <c r="A17" vm="265">
        <f ca="1"/>
        <v>46099</v>
      </c>
      <c r="B17" vm="4488">
        <f ca="1"/>
        <v>1434421</v>
      </c>
      <c r="C17" vm="4489">
        <f ca="1"/>
        <v>990.37</v>
      </c>
      <c r="D17" vm="4490">
        <f ca="1"/>
        <v>993.9819</v>
      </c>
      <c r="E17" vm="4414">
        <f ca="1"/>
        <v>978.14</v>
      </c>
      <c r="F17" vm="4438">
        <f ca="1"/>
        <v>979.92</v>
      </c>
    </row>
    <row r="18" spans="1:6" x14ac:dyDescent="0.35">
      <c r="A18" vm="266">
        <f ca="1"/>
        <v>46100</v>
      </c>
      <c r="B18" vm="4491">
        <f ca="1"/>
        <v>1340173</v>
      </c>
      <c r="C18" vm="4266">
        <f ca="1"/>
        <v>985.84</v>
      </c>
      <c r="D18" vm="4492">
        <f ca="1"/>
        <v>988.79</v>
      </c>
      <c r="E18" vm="4493">
        <f ca="1"/>
        <v>970.41</v>
      </c>
      <c r="F18" vm="4439">
        <f ca="1"/>
        <v>974.78</v>
      </c>
    </row>
    <row r="19" spans="1:6" x14ac:dyDescent="0.35">
      <c r="A19" vm="267">
        <f ca="1"/>
        <v>46101</v>
      </c>
      <c r="B19" vm="4494">
        <f ca="1"/>
        <v>2621555</v>
      </c>
      <c r="C19" vm="4495">
        <f ca="1"/>
        <v>975.08</v>
      </c>
      <c r="D19" vm="4496">
        <f ca="1"/>
        <v>980.76</v>
      </c>
      <c r="E19" vm="4497">
        <f ca="1"/>
        <v>970.54</v>
      </c>
      <c r="F19" vm="4440">
        <f ca="1"/>
        <v>972.33</v>
      </c>
    </row>
    <row r="20" spans="1:6" x14ac:dyDescent="0.35">
      <c r="A20" vm="268">
        <f ca="1"/>
        <v>46104</v>
      </c>
      <c r="B20" vm="4498">
        <f ca="1"/>
        <v>1779094</v>
      </c>
      <c r="C20" vm="4499">
        <f ca="1"/>
        <v>985.66499999999996</v>
      </c>
      <c r="D20" vm="4500">
        <f ca="1"/>
        <v>986.64</v>
      </c>
      <c r="E20" vm="4501">
        <f ca="1"/>
        <v>964.53</v>
      </c>
      <c r="F20" vm="4441">
        <f ca="1"/>
        <v>965.73</v>
      </c>
    </row>
    <row r="21" spans="1:6" x14ac:dyDescent="0.35">
      <c r="A21" vm="269">
        <f ca="1"/>
        <v>46105</v>
      </c>
      <c r="B21" vm="4502">
        <f ca="1"/>
        <v>1259325</v>
      </c>
      <c r="C21" vm="4503">
        <f ca="1"/>
        <v>962.06</v>
      </c>
      <c r="D21" vm="4504">
        <f ca="1"/>
        <v>981.28</v>
      </c>
      <c r="E21" vm="4505">
        <f ca="1"/>
        <v>961</v>
      </c>
      <c r="F21" vm="4442">
        <f ca="1"/>
        <v>973.82</v>
      </c>
    </row>
    <row r="22" spans="1:6" x14ac:dyDescent="0.35">
      <c r="A22" vm="270">
        <f ca="1"/>
        <v>46106</v>
      </c>
      <c r="B22" vm="4506">
        <f ca="1"/>
        <v>1067386</v>
      </c>
      <c r="C22" vm="4507">
        <f ca="1"/>
        <v>978</v>
      </c>
      <c r="D22" vm="4508">
        <f ca="1"/>
        <v>980.81</v>
      </c>
      <c r="E22" vm="4509">
        <f ca="1"/>
        <v>968.05039999999997</v>
      </c>
      <c r="F22" vm="4443">
        <f ca="1"/>
        <v>974.86</v>
      </c>
    </row>
    <row r="23" spans="1:6" x14ac:dyDescent="0.35">
      <c r="A23" vm="271">
        <f ca="1"/>
        <v>46107</v>
      </c>
      <c r="B23" vm="4510">
        <f ca="1"/>
        <v>1498250</v>
      </c>
      <c r="C23" vm="4511">
        <f ca="1"/>
        <v>975.69</v>
      </c>
      <c r="D23" vm="4512">
        <f ca="1"/>
        <v>987.19</v>
      </c>
      <c r="E23" vm="4513">
        <f ca="1"/>
        <v>972.7201</v>
      </c>
      <c r="F23" vm="4444">
        <f ca="1"/>
        <v>979.65</v>
      </c>
    </row>
    <row r="24" spans="1:6" x14ac:dyDescent="0.35">
      <c r="A24" vm="272">
        <f ca="1"/>
        <v>46108</v>
      </c>
      <c r="B24" vm="4514">
        <f ca="1"/>
        <v>1540925</v>
      </c>
      <c r="C24" vm="4515">
        <f ca="1"/>
        <v>982.01499999999999</v>
      </c>
      <c r="D24" vm="4516">
        <f ca="1"/>
        <v>987.11</v>
      </c>
      <c r="E24" vm="4517">
        <f ca="1"/>
        <v>978.11</v>
      </c>
      <c r="F24" vm="4445">
        <f ca="1"/>
        <v>983.86</v>
      </c>
    </row>
    <row r="25" spans="1:6" x14ac:dyDescent="0.35">
      <c r="A25" vm="273">
        <f ca="1"/>
        <v>46111</v>
      </c>
      <c r="B25" vm="4518">
        <f ca="1"/>
        <v>2129129</v>
      </c>
      <c r="C25" vm="4519">
        <f ca="1"/>
        <v>987.65</v>
      </c>
      <c r="D25" vm="4520">
        <f ca="1"/>
        <v>1005.54</v>
      </c>
      <c r="E25" vm="4521">
        <f ca="1"/>
        <v>985.01</v>
      </c>
      <c r="F25" vm="4446">
        <f ca="1"/>
        <v>996.58</v>
      </c>
    </row>
    <row r="26" spans="1:6" x14ac:dyDescent="0.35">
      <c r="A26" vm="274">
        <f ca="1"/>
        <v>46112</v>
      </c>
      <c r="B26" vm="4522">
        <f ca="1"/>
        <v>2447853</v>
      </c>
      <c r="C26" vm="4452">
        <f ca="1"/>
        <v>997</v>
      </c>
      <c r="D26" vm="4523">
        <f ca="1"/>
        <v>1008.6</v>
      </c>
      <c r="E26" vm="4524">
        <f ca="1"/>
        <v>985.85</v>
      </c>
      <c r="F26" vm="4447">
        <f ca="1"/>
        <v>996.43</v>
      </c>
    </row>
    <row r="27" spans="1:6" x14ac:dyDescent="0.35">
      <c r="A27" vm="275">
        <f ca="1"/>
        <v>46113</v>
      </c>
      <c r="B27" vm="4525">
        <f ca="1"/>
        <v>1769848</v>
      </c>
      <c r="C27" vm="4526">
        <f ca="1"/>
        <v>995.02499999999998</v>
      </c>
      <c r="D27" vm="4527">
        <f ca="1"/>
        <v>1003.13</v>
      </c>
      <c r="E27" vm="4528">
        <f ca="1"/>
        <v>990.59</v>
      </c>
      <c r="F27" vm="4448">
        <f ca="1"/>
        <v>996.56</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R27"/>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2" x14ac:dyDescent="0.35">
      <c r="A1" s="2" t="s">
        <v>8</v>
      </c>
      <c r="B1" t="e" vm="19">
        <v>#VALUE!</v>
      </c>
    </row>
    <row r="3" spans="1:252" x14ac:dyDescent="0.35">
      <c r="A3" s="2" t="s">
        <v>35</v>
      </c>
      <c r="B3" s="2" t="s">
        <v>25</v>
      </c>
    </row>
    <row r="4" spans="1:252" x14ac:dyDescent="0.35">
      <c r="A4" t="s">
        <v>37</v>
      </c>
      <c r="B4" t="s">
        <v>18</v>
      </c>
      <c r="C4" cm="1" vm="4529">
        <f t="array" aca="1" ref="C4:IR4" ca="1">TRANSPOSE(_xlfn.STOCKHISTORY(A4&amp;":"&amp;B4,TODAY()-365,TODAY(),0,0,1))</f>
        <v>77.23</v>
      </c>
      <c r="D4" vm="4530">
        <f ca="1"/>
        <v>71.63</v>
      </c>
      <c r="E4" vm="4531">
        <f ca="1"/>
        <v>75</v>
      </c>
      <c r="F4" vm="4532">
        <f ca="1"/>
        <v>72.59</v>
      </c>
      <c r="G4" vm="4533">
        <f ca="1"/>
        <v>84.19</v>
      </c>
      <c r="H4" vm="4534">
        <f ca="1"/>
        <v>78.94</v>
      </c>
      <c r="I4" vm="4535">
        <f ca="1"/>
        <v>81.93</v>
      </c>
      <c r="J4" vm="4536">
        <f ca="1"/>
        <v>85.19</v>
      </c>
      <c r="K4" vm="4537">
        <f ca="1"/>
        <v>85.49</v>
      </c>
      <c r="L4" vm="4538">
        <f ca="1"/>
        <v>83.36</v>
      </c>
      <c r="M4" vm="4539">
        <f ca="1"/>
        <v>84.8</v>
      </c>
      <c r="N4" vm="4540">
        <f ca="1"/>
        <v>82.39</v>
      </c>
      <c r="O4" vm="4541">
        <f ca="1"/>
        <v>84.08</v>
      </c>
      <c r="P4" vm="4542">
        <f ca="1"/>
        <v>89.16</v>
      </c>
      <c r="Q4" vm="3349">
        <f ca="1"/>
        <v>94.4</v>
      </c>
      <c r="R4" vm="4543">
        <f ca="1"/>
        <v>94.89</v>
      </c>
      <c r="S4" vm="290">
        <f ca="1"/>
        <v>94.47</v>
      </c>
      <c r="T4" vm="4544">
        <f ca="1"/>
        <v>93.78</v>
      </c>
      <c r="U4" vm="4545">
        <f ca="1"/>
        <v>91.76</v>
      </c>
      <c r="V4" vm="4546">
        <f ca="1"/>
        <v>91.95</v>
      </c>
      <c r="W4" vm="4547">
        <f ca="1"/>
        <v>94.59</v>
      </c>
      <c r="X4" vm="4548">
        <f ca="1"/>
        <v>94.36</v>
      </c>
      <c r="Y4" vm="4549">
        <f ca="1"/>
        <v>93.95</v>
      </c>
      <c r="Z4" vm="4550">
        <f ca="1"/>
        <v>95.79</v>
      </c>
      <c r="AA4" vm="4551">
        <f ca="1"/>
        <v>96.22</v>
      </c>
      <c r="AB4" vm="4552">
        <f ca="1"/>
        <v>95.91</v>
      </c>
      <c r="AC4" vm="1612">
        <f ca="1"/>
        <v>103.42</v>
      </c>
      <c r="AD4" vm="4553">
        <f ca="1"/>
        <v>107.85</v>
      </c>
      <c r="AE4" vm="4554">
        <f ca="1"/>
        <v>111.02</v>
      </c>
      <c r="AF4" vm="4555">
        <f ca="1"/>
        <v>110.87</v>
      </c>
      <c r="AG4" vm="4556">
        <f ca="1"/>
        <v>114.19</v>
      </c>
      <c r="AH4" vm="4557">
        <f ca="1"/>
        <v>114.28</v>
      </c>
      <c r="AI4" vm="4558">
        <f ca="1"/>
        <v>114.23</v>
      </c>
      <c r="AJ4" vm="4559">
        <f ca="1"/>
        <v>111.93</v>
      </c>
      <c r="AK4" vm="4560">
        <f ca="1"/>
        <v>111.95</v>
      </c>
      <c r="AL4" vm="4561">
        <f ca="1"/>
        <v>112.11</v>
      </c>
      <c r="AM4" vm="4562">
        <f ca="1"/>
        <v>113.99</v>
      </c>
      <c r="AN4" vm="4563">
        <f ca="1"/>
        <v>113.77</v>
      </c>
      <c r="AO4" vm="4564">
        <f ca="1"/>
        <v>113.63</v>
      </c>
      <c r="AP4" vm="4565">
        <f ca="1"/>
        <v>111.27</v>
      </c>
      <c r="AQ4" vm="4566">
        <f ca="1"/>
        <v>108.08</v>
      </c>
      <c r="AR4" vm="4567">
        <f ca="1"/>
        <v>111.9</v>
      </c>
      <c r="AS4" vm="4568">
        <f ca="1"/>
        <v>112.7</v>
      </c>
      <c r="AT4" vm="4569">
        <f ca="1"/>
        <v>111.82</v>
      </c>
      <c r="AU4" vm="4570">
        <f ca="1"/>
        <v>113.75</v>
      </c>
      <c r="AV4" vm="4571">
        <f ca="1"/>
        <v>114.22</v>
      </c>
      <c r="AW4" vm="4572">
        <f ca="1"/>
        <v>113.25</v>
      </c>
      <c r="AX4" vm="4573">
        <f ca="1"/>
        <v>111.24</v>
      </c>
      <c r="AY4" vm="4574">
        <f ca="1"/>
        <v>113.4</v>
      </c>
      <c r="AZ4" vm="1711">
        <f ca="1"/>
        <v>109.56</v>
      </c>
      <c r="BA4" vm="1730">
        <f ca="1"/>
        <v>113.74</v>
      </c>
      <c r="BB4" vm="4575">
        <f ca="1"/>
        <v>115.93</v>
      </c>
      <c r="BC4" vm="4576">
        <f ca="1"/>
        <v>116.56</v>
      </c>
      <c r="BD4" vm="4577">
        <f ca="1"/>
        <v>119.37</v>
      </c>
      <c r="BE4" vm="4578">
        <f ca="1"/>
        <v>118.02</v>
      </c>
      <c r="BF4" vm="4579">
        <f ca="1"/>
        <v>120.59</v>
      </c>
      <c r="BG4" vm="4580">
        <f ca="1"/>
        <v>120.46</v>
      </c>
      <c r="BH4" vm="4581">
        <f ca="1"/>
        <v>125.98</v>
      </c>
      <c r="BI4" vm="4582">
        <f ca="1"/>
        <v>123.99</v>
      </c>
      <c r="BJ4" vm="4583">
        <f ca="1"/>
        <v>122.6</v>
      </c>
      <c r="BK4" vm="321">
        <f ca="1"/>
        <v>121.73</v>
      </c>
      <c r="BL4" vm="4584">
        <f ca="1"/>
        <v>123.48</v>
      </c>
      <c r="BM4" vm="4585">
        <f ca="1"/>
        <v>125.22</v>
      </c>
      <c r="BN4" vm="4586">
        <f ca="1"/>
        <v>124.77</v>
      </c>
      <c r="BO4" vm="4587">
        <f ca="1"/>
        <v>124.39</v>
      </c>
      <c r="BP4" vm="4588">
        <f ca="1"/>
        <v>126.63</v>
      </c>
      <c r="BQ4" vm="3487">
        <f ca="1"/>
        <v>127.91</v>
      </c>
      <c r="BR4" vm="4589">
        <f ca="1"/>
        <v>126.83</v>
      </c>
      <c r="BS4" vm="4590">
        <f ca="1"/>
        <v>125.67</v>
      </c>
      <c r="BT4" vm="4591">
        <f ca="1"/>
        <v>125.69</v>
      </c>
      <c r="BU4" vm="4592">
        <f ca="1"/>
        <v>123.57</v>
      </c>
      <c r="BV4" vm="4593">
        <f ca="1"/>
        <v>123.88</v>
      </c>
      <c r="BW4" vm="4594">
        <f ca="1"/>
        <v>131.24</v>
      </c>
      <c r="BX4" vm="4595">
        <f ca="1"/>
        <v>128.96</v>
      </c>
      <c r="BY4" vm="4596">
        <f ca="1"/>
        <v>124.33</v>
      </c>
      <c r="BZ4" vm="4597">
        <f ca="1"/>
        <v>127.22</v>
      </c>
      <c r="CA4" vm="4598">
        <f ca="1"/>
        <v>128.35</v>
      </c>
      <c r="CB4" vm="4599">
        <f ca="1"/>
        <v>131.22</v>
      </c>
      <c r="CC4" vm="4600">
        <f ca="1"/>
        <v>133.86000000000001</v>
      </c>
      <c r="CD4" vm="4601">
        <f ca="1"/>
        <v>133.51</v>
      </c>
      <c r="CE4" vm="4602">
        <f ca="1"/>
        <v>133.54</v>
      </c>
      <c r="CF4" vm="4603">
        <f ca="1"/>
        <v>132.69</v>
      </c>
      <c r="CG4" vm="4604">
        <f ca="1"/>
        <v>127.32</v>
      </c>
      <c r="CH4" vm="4605">
        <f ca="1"/>
        <v>130.22999999999999</v>
      </c>
      <c r="CI4" vm="4606">
        <f ca="1"/>
        <v>130.47999999999999</v>
      </c>
      <c r="CJ4" vm="4607">
        <f ca="1"/>
        <v>128.13999999999999</v>
      </c>
      <c r="CK4" vm="4608">
        <f ca="1"/>
        <v>133.93</v>
      </c>
      <c r="CL4" vm="4609">
        <f ca="1"/>
        <v>137.61000000000001</v>
      </c>
      <c r="CM4" vm="4610">
        <f ca="1"/>
        <v>138.32</v>
      </c>
      <c r="CN4" vm="4611">
        <f ca="1"/>
        <v>141.63999999999999</v>
      </c>
      <c r="CO4" vm="4612">
        <f ca="1"/>
        <v>139.13999999999999</v>
      </c>
      <c r="CP4" vm="2853">
        <f ca="1"/>
        <v>138.86000000000001</v>
      </c>
      <c r="CQ4" vm="4613">
        <f ca="1"/>
        <v>138.28</v>
      </c>
      <c r="CR4" vm="4614">
        <f ca="1"/>
        <v>138.13</v>
      </c>
      <c r="CS4" vm="4615">
        <f ca="1"/>
        <v>135.19999999999999</v>
      </c>
      <c r="CT4" vm="4616">
        <f ca="1"/>
        <v>128.47999999999999</v>
      </c>
      <c r="CU4" vm="4617">
        <f ca="1"/>
        <v>127.83</v>
      </c>
      <c r="CV4" vm="4618">
        <f ca="1"/>
        <v>130.84</v>
      </c>
      <c r="CW4" vm="4619">
        <f ca="1"/>
        <v>131.01</v>
      </c>
      <c r="CX4" vm="4620">
        <f ca="1"/>
        <v>130.99</v>
      </c>
      <c r="CY4" vm="4621">
        <f ca="1"/>
        <v>132.5</v>
      </c>
      <c r="CZ4" vm="4622">
        <f ca="1"/>
        <v>134.05000000000001</v>
      </c>
      <c r="DA4" vm="1702">
        <f ca="1"/>
        <v>122.15</v>
      </c>
      <c r="DB4" vm="3667">
        <f ca="1"/>
        <v>120.96</v>
      </c>
      <c r="DC4" vm="4623">
        <f ca="1"/>
        <v>124.02</v>
      </c>
      <c r="DD4" vm="4624">
        <f ca="1"/>
        <v>126.67</v>
      </c>
      <c r="DE4" vm="4625">
        <f ca="1"/>
        <v>124.83</v>
      </c>
      <c r="DF4" vm="2643">
        <f ca="1"/>
        <v>123</v>
      </c>
      <c r="DG4" vm="4626">
        <f ca="1"/>
        <v>121.29</v>
      </c>
      <c r="DH4" vm="4627">
        <f ca="1"/>
        <v>124.45</v>
      </c>
      <c r="DI4" vm="4628">
        <f ca="1"/>
        <v>125.37</v>
      </c>
      <c r="DJ4" vm="4629">
        <f ca="1"/>
        <v>125.04</v>
      </c>
      <c r="DK4" vm="4630">
        <f ca="1"/>
        <v>126.8</v>
      </c>
      <c r="DL4" vm="4631">
        <f ca="1"/>
        <v>127.68</v>
      </c>
      <c r="DM4" vm="4632">
        <f ca="1"/>
        <v>130.34</v>
      </c>
      <c r="DN4" vm="4633">
        <f ca="1"/>
        <v>132.11000000000001</v>
      </c>
      <c r="DO4" vm="4634">
        <f ca="1"/>
        <v>131.94</v>
      </c>
      <c r="DP4" vm="4635">
        <f ca="1"/>
        <v>135.69</v>
      </c>
      <c r="DQ4" vm="4636">
        <f ca="1"/>
        <v>134.34</v>
      </c>
      <c r="DR4" vm="4637">
        <f ca="1"/>
        <v>132.09</v>
      </c>
      <c r="DS4" vm="4638">
        <f ca="1"/>
        <v>130.96</v>
      </c>
      <c r="DT4" vm="4639">
        <f ca="1"/>
        <v>130.76</v>
      </c>
      <c r="DU4" vm="4640">
        <f ca="1"/>
        <v>133.9</v>
      </c>
      <c r="DV4" vm="4641">
        <f ca="1"/>
        <v>141.77000000000001</v>
      </c>
      <c r="DW4" vm="1321">
        <f ca="1"/>
        <v>149.68</v>
      </c>
      <c r="DX4" vm="4642">
        <f ca="1"/>
        <v>147.37</v>
      </c>
      <c r="DY4" vm="4643">
        <f ca="1"/>
        <v>140.74</v>
      </c>
      <c r="DZ4" vm="4644">
        <f ca="1"/>
        <v>145.76</v>
      </c>
      <c r="EA4" vm="4645">
        <f ca="1"/>
        <v>150.87</v>
      </c>
      <c r="EB4" vm="4646">
        <f ca="1"/>
        <v>164.53</v>
      </c>
      <c r="EC4" vm="4647">
        <f ca="1"/>
        <v>155.94999999999999</v>
      </c>
      <c r="ED4" vm="4648">
        <f ca="1"/>
        <v>150.57</v>
      </c>
      <c r="EE4" vm="4649">
        <f ca="1"/>
        <v>153.4</v>
      </c>
      <c r="EF4" vm="4650">
        <f ca="1"/>
        <v>148.77000000000001</v>
      </c>
      <c r="EG4" vm="4651">
        <f ca="1"/>
        <v>153.69999999999999</v>
      </c>
      <c r="EH4" vm="4652">
        <f ca="1"/>
        <v>151.31</v>
      </c>
      <c r="EI4" vm="4653">
        <f ca="1"/>
        <v>149.59</v>
      </c>
      <c r="EJ4" vm="4654">
        <f ca="1"/>
        <v>147.87</v>
      </c>
      <c r="EK4" vm="4655">
        <f ca="1"/>
        <v>149.43</v>
      </c>
      <c r="EL4" vm="4656">
        <f ca="1"/>
        <v>150.13</v>
      </c>
      <c r="EM4" vm="4657">
        <f ca="1"/>
        <v>154.22999999999999</v>
      </c>
      <c r="EN4" vm="4658">
        <f ca="1"/>
        <v>158.63999999999999</v>
      </c>
      <c r="EO4" vm="4659">
        <f ca="1"/>
        <v>162.19</v>
      </c>
      <c r="EP4" vm="4660">
        <f ca="1"/>
        <v>164.88</v>
      </c>
      <c r="EQ4" vm="4661">
        <f ca="1"/>
        <v>163.6</v>
      </c>
      <c r="ER4" vm="4662">
        <f ca="1"/>
        <v>161.01</v>
      </c>
      <c r="ES4" vm="4663">
        <f ca="1"/>
        <v>162.01</v>
      </c>
      <c r="ET4" vm="4664">
        <f ca="1"/>
        <v>160.11000000000001</v>
      </c>
      <c r="EU4" vm="4665">
        <f ca="1"/>
        <v>154.63999999999999</v>
      </c>
      <c r="EV4" vm="1430">
        <f ca="1"/>
        <v>152.41</v>
      </c>
      <c r="EW4" vm="4666">
        <f ca="1"/>
        <v>149.18</v>
      </c>
      <c r="EX4" vm="4667">
        <f ca="1"/>
        <v>146.69999999999999</v>
      </c>
      <c r="EY4" vm="4668">
        <f ca="1"/>
        <v>142.69</v>
      </c>
      <c r="EZ4" vm="4669">
        <f ca="1"/>
        <v>138.76</v>
      </c>
      <c r="FA4" vm="4670">
        <f ca="1"/>
        <v>140.71</v>
      </c>
      <c r="FB4" vm="4671">
        <f ca="1"/>
        <v>133.94</v>
      </c>
      <c r="FC4" vm="4672">
        <f ca="1"/>
        <v>133.76</v>
      </c>
      <c r="FD4" vm="4673">
        <f ca="1"/>
        <v>122.48</v>
      </c>
      <c r="FE4" vm="1700">
        <f ca="1"/>
        <v>122.69</v>
      </c>
      <c r="FF4" vm="4674">
        <f ca="1"/>
        <v>119.38</v>
      </c>
      <c r="FG4" vm="4675">
        <f ca="1"/>
        <v>117.4</v>
      </c>
      <c r="FH4" vm="4676">
        <f ca="1"/>
        <v>122.51</v>
      </c>
      <c r="FI4" vm="4597">
        <f ca="1"/>
        <v>127.22</v>
      </c>
      <c r="FJ4" vm="4677">
        <f ca="1"/>
        <v>125.92</v>
      </c>
      <c r="FK4" vm="4678">
        <f ca="1"/>
        <v>133.26</v>
      </c>
      <c r="FL4" vm="4679">
        <f ca="1"/>
        <v>133.35</v>
      </c>
      <c r="FM4" vm="4637">
        <f ca="1"/>
        <v>132.09</v>
      </c>
      <c r="FN4" vm="4680">
        <f ca="1"/>
        <v>135.94999999999999</v>
      </c>
      <c r="FO4" vm="4681">
        <f ca="1"/>
        <v>133.63</v>
      </c>
      <c r="FP4" vm="4682">
        <f ca="1"/>
        <v>138.99</v>
      </c>
      <c r="FQ4" vm="4683">
        <f ca="1"/>
        <v>138.91</v>
      </c>
      <c r="FR4" vm="4684">
        <f ca="1"/>
        <v>140.41</v>
      </c>
      <c r="FS4" vm="3858">
        <f ca="1"/>
        <v>138.22</v>
      </c>
      <c r="FT4" vm="4685">
        <f ca="1"/>
        <v>140.63</v>
      </c>
      <c r="FU4" vm="4686">
        <f ca="1"/>
        <v>138.6</v>
      </c>
      <c r="FV4" vm="4687">
        <f ca="1"/>
        <v>129.97999999999999</v>
      </c>
      <c r="FW4" vm="4688">
        <f ca="1"/>
        <v>130.51</v>
      </c>
      <c r="FX4" vm="4689">
        <f ca="1"/>
        <v>133.75</v>
      </c>
      <c r="FY4" vm="4690">
        <f ca="1"/>
        <v>127.89</v>
      </c>
      <c r="FZ4" vm="3676">
        <f ca="1"/>
        <v>122.94</v>
      </c>
      <c r="GA4" vm="4691">
        <f ca="1"/>
        <v>126.42</v>
      </c>
      <c r="GB4" vm="4692">
        <f ca="1"/>
        <v>126.61</v>
      </c>
      <c r="GC4" vm="4693">
        <f ca="1"/>
        <v>127.62</v>
      </c>
      <c r="GD4" vm="4694">
        <f ca="1"/>
        <v>128.38</v>
      </c>
      <c r="GE4" vm="4695">
        <f ca="1"/>
        <v>129.24</v>
      </c>
      <c r="GF4" vm="4696">
        <f ca="1"/>
        <v>127.46</v>
      </c>
      <c r="GG4" vm="4697">
        <f ca="1"/>
        <v>127.92</v>
      </c>
      <c r="GH4" vm="4698">
        <f ca="1"/>
        <v>125.88</v>
      </c>
      <c r="GI4" vm="4699">
        <f ca="1"/>
        <v>127.8</v>
      </c>
      <c r="GJ4" vm="4700">
        <f ca="1"/>
        <v>124.01</v>
      </c>
      <c r="GK4" vm="4701">
        <f ca="1"/>
        <v>123.93</v>
      </c>
      <c r="GL4" vm="4702">
        <f ca="1"/>
        <v>120.07</v>
      </c>
      <c r="GM4" vm="324">
        <f ca="1"/>
        <v>118.5</v>
      </c>
      <c r="GN4" vm="4703">
        <f ca="1"/>
        <v>120.62</v>
      </c>
      <c r="GO4" vm="4704">
        <f ca="1"/>
        <v>120.47</v>
      </c>
      <c r="GP4" vm="4705">
        <f ca="1"/>
        <v>119.66</v>
      </c>
      <c r="GQ4" vm="4706">
        <f ca="1"/>
        <v>118.69</v>
      </c>
      <c r="GR4" vm="4705">
        <f ca="1"/>
        <v>119.66</v>
      </c>
      <c r="GS4" vm="4707">
        <f ca="1"/>
        <v>120.53</v>
      </c>
      <c r="GT4" vm="4708">
        <f ca="1"/>
        <v>111.07</v>
      </c>
      <c r="GU4" vm="4709">
        <f ca="1"/>
        <v>113.26</v>
      </c>
      <c r="GV4" vm="306">
        <f ca="1"/>
        <v>117.17</v>
      </c>
      <c r="GW4" vm="4710">
        <f ca="1"/>
        <v>115.43</v>
      </c>
      <c r="GX4" vm="4575">
        <f ca="1"/>
        <v>115.93</v>
      </c>
      <c r="GY4" vm="4711">
        <f ca="1"/>
        <v>114.66</v>
      </c>
      <c r="GZ4" vm="4712">
        <f ca="1"/>
        <v>117.32</v>
      </c>
      <c r="HA4" vm="4713">
        <f ca="1"/>
        <v>118.49</v>
      </c>
      <c r="HB4" vm="4714">
        <f ca="1"/>
        <v>114.44</v>
      </c>
      <c r="HC4" vm="4715">
        <f ca="1"/>
        <v>119.16</v>
      </c>
      <c r="HD4" vm="4716">
        <f ca="1"/>
        <v>117.15</v>
      </c>
      <c r="HE4" vm="4717">
        <f ca="1"/>
        <v>122.04</v>
      </c>
      <c r="HF4" vm="4718">
        <f ca="1"/>
        <v>115.39</v>
      </c>
      <c r="HG4" vm="4719">
        <f ca="1"/>
        <v>121.05</v>
      </c>
      <c r="HH4" vm="4720">
        <f ca="1"/>
        <v>120.91</v>
      </c>
      <c r="HI4" vm="4721">
        <f ca="1"/>
        <v>126.01</v>
      </c>
      <c r="HJ4" vm="4722">
        <f ca="1"/>
        <v>124.16</v>
      </c>
      <c r="HK4" vm="4723">
        <f ca="1"/>
        <v>112.82</v>
      </c>
      <c r="HL4" vm="4724">
        <f ca="1"/>
        <v>117.49</v>
      </c>
      <c r="HM4" vm="4725">
        <f ca="1"/>
        <v>116.09</v>
      </c>
      <c r="HN4" vm="4726">
        <f ca="1"/>
        <v>116.78</v>
      </c>
      <c r="HO4" vm="4727">
        <f ca="1"/>
        <v>119.06</v>
      </c>
      <c r="HP4" vm="4728">
        <f ca="1"/>
        <v>122.27</v>
      </c>
      <c r="HQ4" vm="3467">
        <f ca="1"/>
        <v>119.14</v>
      </c>
      <c r="HR4" vm="4729">
        <f ca="1"/>
        <v>119.78</v>
      </c>
      <c r="HS4" vm="4584">
        <f ca="1"/>
        <v>123.48</v>
      </c>
      <c r="HT4" vm="4730">
        <f ca="1"/>
        <v>121.45</v>
      </c>
      <c r="HU4" vm="4731">
        <f ca="1"/>
        <v>148.08000000000001</v>
      </c>
      <c r="HV4" vm="1372">
        <f ca="1"/>
        <v>153.55000000000001</v>
      </c>
      <c r="HW4" vm="4732">
        <f ca="1"/>
        <v>145.18</v>
      </c>
      <c r="HX4" vm="3687">
        <f ca="1"/>
        <v>147.1</v>
      </c>
      <c r="HY4" vm="4733">
        <f ca="1"/>
        <v>146.52000000000001</v>
      </c>
      <c r="HZ4" vm="4734">
        <f ca="1"/>
        <v>146.47999999999999</v>
      </c>
      <c r="IA4" vm="4735">
        <f ca="1"/>
        <v>146.51</v>
      </c>
      <c r="IB4" vm="4736">
        <f ca="1"/>
        <v>143.80000000000001</v>
      </c>
      <c r="IC4" vm="4642">
        <f ca="1"/>
        <v>147.37</v>
      </c>
      <c r="ID4" vm="4737">
        <f ca="1"/>
        <v>149.91</v>
      </c>
      <c r="IE4" vm="4738">
        <f ca="1"/>
        <v>151.62</v>
      </c>
      <c r="IF4" vm="1433">
        <f ca="1"/>
        <v>156.54</v>
      </c>
      <c r="IG4" vm="4739">
        <f ca="1"/>
        <v>153.01</v>
      </c>
      <c r="IH4" vm="4740">
        <f ca="1"/>
        <v>149.21</v>
      </c>
      <c r="II4" vm="4741">
        <f ca="1"/>
        <v>156.76</v>
      </c>
      <c r="IJ4" vm="4742">
        <f ca="1"/>
        <v>157.66999999999999</v>
      </c>
      <c r="IK4" vm="4743">
        <f ca="1"/>
        <v>164.59</v>
      </c>
      <c r="IL4" vm="4744">
        <f ca="1"/>
        <v>176.91</v>
      </c>
      <c r="IM4" vm="4745">
        <f ca="1"/>
        <v>184.01</v>
      </c>
      <c r="IN4" vm="4746">
        <f ca="1"/>
        <v>175.82</v>
      </c>
      <c r="IO4" vm="4747">
        <f ca="1"/>
        <v>171.81</v>
      </c>
      <c r="IP4" vm="4748">
        <f ca="1"/>
        <v>164.66</v>
      </c>
      <c r="IQ4" vm="4749">
        <f ca="1"/>
        <v>164.13</v>
      </c>
      <c r="IR4" vm="4750">
        <f ca="1"/>
        <v>169.38</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751">
        <f ca="1"/>
        <v>8505495</v>
      </c>
      <c r="C7" vm="4752">
        <f ca="1"/>
        <v>145.995</v>
      </c>
      <c r="D7" vm="4753">
        <f ca="1"/>
        <v>148.33000000000001</v>
      </c>
      <c r="E7" vm="4754">
        <f ca="1"/>
        <v>144.05000000000001</v>
      </c>
      <c r="F7" vm="3687">
        <f ca="1"/>
        <v>147.1</v>
      </c>
    </row>
    <row r="8" spans="1:252" x14ac:dyDescent="0.35">
      <c r="A8" vm="256">
        <f ca="1"/>
        <v>46086</v>
      </c>
      <c r="B8" vm="4755">
        <f ca="1"/>
        <v>7032450</v>
      </c>
      <c r="C8" vm="4756">
        <f ca="1"/>
        <v>146</v>
      </c>
      <c r="D8" vm="4757">
        <f ca="1"/>
        <v>149.16</v>
      </c>
      <c r="E8" vm="4758">
        <f ca="1"/>
        <v>142.05199999999999</v>
      </c>
      <c r="F8" vm="4733">
        <f ca="1"/>
        <v>146.52000000000001</v>
      </c>
    </row>
    <row r="9" spans="1:252" x14ac:dyDescent="0.35">
      <c r="A9" vm="257">
        <f ca="1"/>
        <v>46087</v>
      </c>
      <c r="B9" vm="4759">
        <f ca="1"/>
        <v>7100433</v>
      </c>
      <c r="C9" vm="4760">
        <f ca="1"/>
        <v>143.83000000000001</v>
      </c>
      <c r="D9" vm="4761">
        <f ca="1"/>
        <v>148.66</v>
      </c>
      <c r="E9" vm="4762">
        <f ca="1"/>
        <v>142.12</v>
      </c>
      <c r="F9" vm="4734">
        <f ca="1"/>
        <v>146.47999999999999</v>
      </c>
    </row>
    <row r="10" spans="1:252" x14ac:dyDescent="0.35">
      <c r="A10" vm="258">
        <f ca="1"/>
        <v>46090</v>
      </c>
      <c r="B10" vm="4763">
        <f ca="1"/>
        <v>7400609</v>
      </c>
      <c r="C10" vm="4764">
        <f ca="1"/>
        <v>144.6</v>
      </c>
      <c r="D10" vm="4667">
        <f ca="1"/>
        <v>146.69999999999999</v>
      </c>
      <c r="E10" vm="4765">
        <f ca="1"/>
        <v>141.36000000000001</v>
      </c>
      <c r="F10" vm="4735">
        <f ca="1"/>
        <v>146.51</v>
      </c>
    </row>
    <row r="11" spans="1:252" x14ac:dyDescent="0.35">
      <c r="A11" vm="259">
        <f ca="1"/>
        <v>46091</v>
      </c>
      <c r="B11" vm="4766">
        <f ca="1"/>
        <v>7518682</v>
      </c>
      <c r="C11" vm="4767">
        <f ca="1"/>
        <v>146.285</v>
      </c>
      <c r="D11" vm="4768">
        <f ca="1"/>
        <v>146.88999999999999</v>
      </c>
      <c r="E11" vm="4769">
        <f ca="1"/>
        <v>137.495</v>
      </c>
      <c r="F11" vm="4736">
        <f ca="1"/>
        <v>143.80000000000001</v>
      </c>
    </row>
    <row r="12" spans="1:252" x14ac:dyDescent="0.35">
      <c r="A12" vm="260">
        <f ca="1"/>
        <v>46092</v>
      </c>
      <c r="B12" vm="4770">
        <f ca="1"/>
        <v>5405664</v>
      </c>
      <c r="C12" vm="4771">
        <f ca="1"/>
        <v>145.66</v>
      </c>
      <c r="D12" vm="4772">
        <f ca="1"/>
        <v>149.4699</v>
      </c>
      <c r="E12" vm="4773">
        <f ca="1"/>
        <v>145.15</v>
      </c>
      <c r="F12" vm="4642">
        <f ca="1"/>
        <v>147.37</v>
      </c>
    </row>
    <row r="13" spans="1:252" x14ac:dyDescent="0.35">
      <c r="A13" vm="261">
        <f ca="1"/>
        <v>46093</v>
      </c>
      <c r="B13" vm="4774">
        <f ca="1"/>
        <v>7340868</v>
      </c>
      <c r="C13" vm="4775">
        <f ca="1"/>
        <v>147.15</v>
      </c>
      <c r="D13" vm="4776">
        <f ca="1"/>
        <v>151.85</v>
      </c>
      <c r="E13" vm="4777">
        <f ca="1"/>
        <v>147.08500000000001</v>
      </c>
      <c r="F13" vm="4737">
        <f ca="1"/>
        <v>149.91</v>
      </c>
    </row>
    <row r="14" spans="1:252" x14ac:dyDescent="0.35">
      <c r="A14" vm="262">
        <f ca="1"/>
        <v>46094</v>
      </c>
      <c r="B14" vm="4778">
        <f ca="1"/>
        <v>6441089</v>
      </c>
      <c r="C14" vm="4779">
        <f ca="1"/>
        <v>151</v>
      </c>
      <c r="D14" vm="4780">
        <f ca="1"/>
        <v>152.94999999999999</v>
      </c>
      <c r="E14" vm="4781">
        <f ca="1"/>
        <v>146.82</v>
      </c>
      <c r="F14" vm="4738">
        <f ca="1"/>
        <v>151.62</v>
      </c>
    </row>
    <row r="15" spans="1:252" x14ac:dyDescent="0.35">
      <c r="A15" vm="263">
        <f ca="1"/>
        <v>46097</v>
      </c>
      <c r="B15" vm="4782">
        <f ca="1"/>
        <v>7923360</v>
      </c>
      <c r="C15" vm="4783">
        <f ca="1"/>
        <v>153.05000000000001</v>
      </c>
      <c r="D15" vm="4784">
        <f ca="1"/>
        <v>157.80000000000001</v>
      </c>
      <c r="E15" vm="4785">
        <f ca="1"/>
        <v>152.68</v>
      </c>
      <c r="F15" vm="1433">
        <f ca="1"/>
        <v>156.54</v>
      </c>
    </row>
    <row r="16" spans="1:252" x14ac:dyDescent="0.35">
      <c r="A16" vm="264">
        <f ca="1"/>
        <v>46098</v>
      </c>
      <c r="B16" vm="4786">
        <f ca="1"/>
        <v>6675798</v>
      </c>
      <c r="C16" vm="4787">
        <f ca="1"/>
        <v>154.75</v>
      </c>
      <c r="D16" vm="1396">
        <f ca="1"/>
        <v>155.02000000000001</v>
      </c>
      <c r="E16" vm="4788">
        <f ca="1"/>
        <v>151.80000000000001</v>
      </c>
      <c r="F16" vm="4739">
        <f ca="1"/>
        <v>153.01</v>
      </c>
    </row>
    <row r="17" spans="1:6" x14ac:dyDescent="0.35">
      <c r="A17" vm="265">
        <f ca="1"/>
        <v>46099</v>
      </c>
      <c r="B17" vm="4789">
        <f ca="1"/>
        <v>5460722</v>
      </c>
      <c r="C17" vm="4790">
        <f ca="1"/>
        <v>152.71</v>
      </c>
      <c r="D17" vm="1396">
        <f ca="1"/>
        <v>155.02000000000001</v>
      </c>
      <c r="E17" vm="4791">
        <f ca="1"/>
        <v>148.93</v>
      </c>
      <c r="F17" vm="4740">
        <f ca="1"/>
        <v>149.21</v>
      </c>
    </row>
    <row r="18" spans="1:6" x14ac:dyDescent="0.35">
      <c r="A18" vm="266">
        <f ca="1"/>
        <v>46100</v>
      </c>
      <c r="B18" vm="4792">
        <f ca="1"/>
        <v>7715340</v>
      </c>
      <c r="C18" vm="4793">
        <f ca="1"/>
        <v>146.58500000000001</v>
      </c>
      <c r="D18" vm="4794">
        <f ca="1"/>
        <v>157.07</v>
      </c>
      <c r="E18" vm="4795">
        <f ca="1"/>
        <v>146.57</v>
      </c>
      <c r="F18" vm="4741">
        <f ca="1"/>
        <v>156.76</v>
      </c>
    </row>
    <row r="19" spans="1:6" x14ac:dyDescent="0.35">
      <c r="A19" vm="267">
        <f ca="1"/>
        <v>46101</v>
      </c>
      <c r="B19" vm="4796">
        <f ca="1"/>
        <v>23135869</v>
      </c>
      <c r="C19" vm="4797">
        <f ca="1"/>
        <v>163.5</v>
      </c>
      <c r="D19" vm="3772">
        <f ca="1"/>
        <v>169.9</v>
      </c>
      <c r="E19" vm="4742">
        <f ca="1"/>
        <v>157.66999999999999</v>
      </c>
      <c r="F19" vm="4742">
        <f ca="1"/>
        <v>157.66999999999999</v>
      </c>
    </row>
    <row r="20" spans="1:6" x14ac:dyDescent="0.35">
      <c r="A20" vm="268">
        <f ca="1"/>
        <v>46104</v>
      </c>
      <c r="B20" vm="4798">
        <f ca="1"/>
        <v>10721325</v>
      </c>
      <c r="C20" vm="1347">
        <f ca="1"/>
        <v>159.24</v>
      </c>
      <c r="D20" vm="4799">
        <f ca="1"/>
        <v>165.42</v>
      </c>
      <c r="E20" vm="3072">
        <f ca="1"/>
        <v>158.63</v>
      </c>
      <c r="F20" vm="4743">
        <f ca="1"/>
        <v>164.59</v>
      </c>
    </row>
    <row r="21" spans="1:6" x14ac:dyDescent="0.35">
      <c r="A21" vm="269">
        <f ca="1"/>
        <v>46105</v>
      </c>
      <c r="B21" vm="4800">
        <f ca="1"/>
        <v>15886495</v>
      </c>
      <c r="C21" vm="4801">
        <f ca="1"/>
        <v>163.62</v>
      </c>
      <c r="D21" vm="4802">
        <f ca="1"/>
        <v>178.31</v>
      </c>
      <c r="E21" vm="4803">
        <f ca="1"/>
        <v>163.37</v>
      </c>
      <c r="F21" vm="4744">
        <f ca="1"/>
        <v>176.91</v>
      </c>
    </row>
    <row r="22" spans="1:6" x14ac:dyDescent="0.35">
      <c r="A22" vm="270">
        <f ca="1"/>
        <v>46106</v>
      </c>
      <c r="B22" vm="4804">
        <f ca="1"/>
        <v>11330772</v>
      </c>
      <c r="C22" vm="4805">
        <f ca="1"/>
        <v>177.76</v>
      </c>
      <c r="D22" vm="2799">
        <f ca="1"/>
        <v>184.86</v>
      </c>
      <c r="E22" vm="4806">
        <f ca="1"/>
        <v>177.62</v>
      </c>
      <c r="F22" vm="4745">
        <f ca="1"/>
        <v>184.01</v>
      </c>
    </row>
    <row r="23" spans="1:6" x14ac:dyDescent="0.35">
      <c r="A23" vm="271">
        <f ca="1"/>
        <v>46107</v>
      </c>
      <c r="B23" vm="4807">
        <f ca="1"/>
        <v>11061283</v>
      </c>
      <c r="C23" vm="4808">
        <f ca="1"/>
        <v>182.71</v>
      </c>
      <c r="D23" vm="4809">
        <f ca="1"/>
        <v>186.39</v>
      </c>
      <c r="E23" vm="4810">
        <f ca="1"/>
        <v>175.55</v>
      </c>
      <c r="F23" vm="4746">
        <f ca="1"/>
        <v>175.82</v>
      </c>
    </row>
    <row r="24" spans="1:6" x14ac:dyDescent="0.35">
      <c r="A24" vm="272">
        <f ca="1"/>
        <v>46108</v>
      </c>
      <c r="B24" vm="4811">
        <f ca="1"/>
        <v>8011470</v>
      </c>
      <c r="C24" vm="4812">
        <f ca="1"/>
        <v>175.13</v>
      </c>
      <c r="D24" vm="2785">
        <f ca="1"/>
        <v>176.29</v>
      </c>
      <c r="E24" vm="4813">
        <f ca="1"/>
        <v>170.345</v>
      </c>
      <c r="F24" vm="4747">
        <f ca="1"/>
        <v>171.81</v>
      </c>
    </row>
    <row r="25" spans="1:6" x14ac:dyDescent="0.35">
      <c r="A25" vm="273">
        <f ca="1"/>
        <v>46111</v>
      </c>
      <c r="B25" vm="4814">
        <f ca="1"/>
        <v>10135271</v>
      </c>
      <c r="C25" vm="4815">
        <f ca="1"/>
        <v>172.77</v>
      </c>
      <c r="D25" vm="4816">
        <f ca="1"/>
        <v>174</v>
      </c>
      <c r="E25" vm="3694">
        <f ca="1"/>
        <v>162.47999999999999</v>
      </c>
      <c r="F25" vm="4748">
        <f ca="1"/>
        <v>164.66</v>
      </c>
    </row>
    <row r="26" spans="1:6" x14ac:dyDescent="0.35">
      <c r="A26" vm="274">
        <f ca="1"/>
        <v>46112</v>
      </c>
      <c r="B26" vm="4817">
        <f ca="1"/>
        <v>13713718</v>
      </c>
      <c r="C26" vm="4818">
        <f ca="1"/>
        <v>164.29</v>
      </c>
      <c r="D26" vm="4819">
        <f ca="1"/>
        <v>167.99</v>
      </c>
      <c r="E26" vm="4820">
        <f ca="1"/>
        <v>155.37</v>
      </c>
      <c r="F26" vm="4749">
        <f ca="1"/>
        <v>164.13</v>
      </c>
    </row>
    <row r="27" spans="1:6" x14ac:dyDescent="0.35">
      <c r="A27" vm="275">
        <f ca="1"/>
        <v>46113</v>
      </c>
      <c r="B27" vm="4821">
        <f ca="1"/>
        <v>7311128</v>
      </c>
      <c r="C27" vm="4822">
        <f ca="1"/>
        <v>166.98</v>
      </c>
      <c r="D27" vm="4823">
        <f ca="1"/>
        <v>171.33</v>
      </c>
      <c r="E27" vm="4824">
        <f ca="1"/>
        <v>164.76</v>
      </c>
      <c r="F27" vm="4750">
        <f ca="1"/>
        <v>169.38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IR27"/>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252" x14ac:dyDescent="0.35">
      <c r="A1" s="2" t="s">
        <v>8</v>
      </c>
      <c r="B1" t="e" vm="21">
        <v>#VALUE!</v>
      </c>
    </row>
    <row r="3" spans="1:252" x14ac:dyDescent="0.35">
      <c r="A3" s="2" t="s">
        <v>35</v>
      </c>
      <c r="B3" s="2" t="s">
        <v>25</v>
      </c>
    </row>
    <row r="4" spans="1:252" x14ac:dyDescent="0.35">
      <c r="A4" t="s">
        <v>37</v>
      </c>
      <c r="B4" t="s">
        <v>20</v>
      </c>
      <c r="C4" cm="1" vm="4825">
        <f t="array" aca="1" ref="C4:IR4" ca="1">TRANSPOSE(_xlfn.STOCKHISTORY(A4&amp;":"&amp;B4,TODAY()-365,TODAY(),0,0,1))</f>
        <v>112.43</v>
      </c>
      <c r="D4" vm="4826">
        <f ca="1"/>
        <v>104.34</v>
      </c>
      <c r="E4" vm="4827">
        <f ca="1"/>
        <v>102.94</v>
      </c>
      <c r="F4" vm="4828">
        <f ca="1"/>
        <v>100.77</v>
      </c>
      <c r="G4" vm="4829">
        <f ca="1"/>
        <v>105.8</v>
      </c>
      <c r="H4" vm="4830">
        <f ca="1"/>
        <v>99.93</v>
      </c>
      <c r="I4" vm="4831">
        <f ca="1"/>
        <v>103.14</v>
      </c>
      <c r="J4" vm="4832">
        <f ca="1"/>
        <v>103.39</v>
      </c>
      <c r="K4" vm="4833">
        <f ca="1"/>
        <v>103.1</v>
      </c>
      <c r="L4" vm="4834">
        <f ca="1"/>
        <v>104.19</v>
      </c>
      <c r="M4" vm="4835">
        <f ca="1"/>
        <v>106.92</v>
      </c>
      <c r="N4" vm="4836">
        <f ca="1"/>
        <v>105.35</v>
      </c>
      <c r="O4" vm="4837">
        <f ca="1"/>
        <v>108.3</v>
      </c>
      <c r="P4" vm="4838">
        <f ca="1"/>
        <v>107.37</v>
      </c>
      <c r="Q4" vm="4839">
        <f ca="1"/>
        <v>108.63</v>
      </c>
      <c r="R4" vm="4840">
        <f ca="1"/>
        <v>108.57</v>
      </c>
      <c r="S4" vm="4839">
        <f ca="1"/>
        <v>108.63</v>
      </c>
      <c r="T4" vm="4841">
        <f ca="1"/>
        <v>108.36</v>
      </c>
      <c r="U4" vm="4842">
        <f ca="1"/>
        <v>105.63</v>
      </c>
      <c r="V4" vm="4843">
        <f ca="1"/>
        <v>105.78</v>
      </c>
      <c r="W4" vm="4844">
        <f ca="1"/>
        <v>106.21</v>
      </c>
      <c r="X4" vm="4845">
        <f ca="1"/>
        <v>103.27</v>
      </c>
      <c r="Y4" vm="4846">
        <f ca="1"/>
        <v>104.71</v>
      </c>
      <c r="Z4" vm="4847">
        <f ca="1"/>
        <v>104.61</v>
      </c>
      <c r="AA4" vm="4848">
        <f ca="1"/>
        <v>106.07</v>
      </c>
      <c r="AB4" vm="4849">
        <f ca="1"/>
        <v>107.31</v>
      </c>
      <c r="AC4" vm="4850">
        <f ca="1"/>
        <v>109.16</v>
      </c>
      <c r="AD4" vm="4851">
        <f ca="1"/>
        <v>109.46</v>
      </c>
      <c r="AE4" vm="4852">
        <f ca="1"/>
        <v>108.48</v>
      </c>
      <c r="AF4" vm="4853">
        <f ca="1"/>
        <v>108.58</v>
      </c>
      <c r="AG4" vm="4854">
        <f ca="1"/>
        <v>108.19</v>
      </c>
      <c r="AH4" vm="3402">
        <f ca="1"/>
        <v>106.47</v>
      </c>
      <c r="AI4" vm="4855">
        <f ca="1"/>
        <v>104.95</v>
      </c>
      <c r="AJ4" vm="4856">
        <f ca="1"/>
        <v>103.66</v>
      </c>
      <c r="AK4" vm="4857">
        <f ca="1"/>
        <v>102.97</v>
      </c>
      <c r="AL4" vm="4858">
        <f ca="1"/>
        <v>103.03</v>
      </c>
      <c r="AM4" vm="4859">
        <f ca="1"/>
        <v>103.52</v>
      </c>
      <c r="AN4" vm="1611">
        <f ca="1"/>
        <v>102.11</v>
      </c>
      <c r="AO4" vm="4860">
        <f ca="1"/>
        <v>102.69</v>
      </c>
      <c r="AP4" vm="4861">
        <f ca="1"/>
        <v>102.3</v>
      </c>
      <c r="AQ4" vm="3389">
        <f ca="1"/>
        <v>103.05</v>
      </c>
      <c r="AR4" vm="4862">
        <f ca="1"/>
        <v>103.8</v>
      </c>
      <c r="AS4" vm="4861">
        <f ca="1"/>
        <v>102.3</v>
      </c>
      <c r="AT4" vm="4863">
        <f ca="1"/>
        <v>101.83</v>
      </c>
      <c r="AU4" vm="3384">
        <f ca="1"/>
        <v>104.27</v>
      </c>
      <c r="AV4" vm="4864">
        <f ca="1"/>
        <v>104.97</v>
      </c>
      <c r="AW4" vm="4865">
        <f ca="1"/>
        <v>107.22</v>
      </c>
      <c r="AX4" vm="4866">
        <f ca="1"/>
        <v>109.31</v>
      </c>
      <c r="AY4" vm="4867">
        <f ca="1"/>
        <v>109.73</v>
      </c>
      <c r="AZ4" vm="4868">
        <f ca="1"/>
        <v>112.12</v>
      </c>
      <c r="BA4" vm="4869">
        <f ca="1"/>
        <v>112.48</v>
      </c>
      <c r="BB4" vm="4870">
        <f ca="1"/>
        <v>114</v>
      </c>
      <c r="BC4" vm="4871">
        <f ca="1"/>
        <v>113.19</v>
      </c>
      <c r="BD4" vm="4872">
        <f ca="1"/>
        <v>114.7</v>
      </c>
      <c r="BE4" vm="1663">
        <f ca="1"/>
        <v>111.74</v>
      </c>
      <c r="BF4" vm="4873">
        <f ca="1"/>
        <v>108.34</v>
      </c>
      <c r="BG4" vm="4874">
        <f ca="1"/>
        <v>108.37</v>
      </c>
      <c r="BH4" vm="4875">
        <f ca="1"/>
        <v>109.99</v>
      </c>
      <c r="BI4" vm="4876">
        <f ca="1"/>
        <v>109.38</v>
      </c>
      <c r="BJ4" vm="4877">
        <f ca="1"/>
        <v>107.8</v>
      </c>
      <c r="BK4" vm="4878">
        <f ca="1"/>
        <v>109.24</v>
      </c>
      <c r="BL4" vm="4879">
        <f ca="1"/>
        <v>111.05</v>
      </c>
      <c r="BM4" vm="2627">
        <f ca="1"/>
        <v>112.2</v>
      </c>
      <c r="BN4" vm="4880">
        <f ca="1"/>
        <v>111.11</v>
      </c>
      <c r="BO4" vm="4556">
        <f ca="1"/>
        <v>114.19</v>
      </c>
      <c r="BP4" vm="4881">
        <f ca="1"/>
        <v>113.8</v>
      </c>
      <c r="BQ4" vm="4882">
        <f ca="1"/>
        <v>114.93</v>
      </c>
      <c r="BR4" vm="4710">
        <f ca="1"/>
        <v>115.43</v>
      </c>
      <c r="BS4" vm="4883">
        <f ca="1"/>
        <v>113.92</v>
      </c>
      <c r="BT4" vm="4884">
        <f ca="1"/>
        <v>112.91</v>
      </c>
      <c r="BU4" vm="4885">
        <f ca="1"/>
        <v>112.23</v>
      </c>
      <c r="BV4" vm="4886">
        <f ca="1"/>
        <v>111.66</v>
      </c>
      <c r="BW4" vm="4887">
        <f ca="1"/>
        <v>107.77</v>
      </c>
      <c r="BX4" vm="4888">
        <f ca="1"/>
        <v>108.05</v>
      </c>
      <c r="BY4" vm="4889">
        <f ca="1"/>
        <v>108.54</v>
      </c>
      <c r="BZ4" vm="4890">
        <f ca="1"/>
        <v>109.93</v>
      </c>
      <c r="CA4" vm="4891">
        <f ca="1"/>
        <v>110.79</v>
      </c>
      <c r="CB4" vm="4892">
        <f ca="1"/>
        <v>110.4</v>
      </c>
      <c r="CC4" vm="4893">
        <f ca="1"/>
        <v>111.44</v>
      </c>
      <c r="CD4" vm="4894">
        <f ca="1"/>
        <v>112.88</v>
      </c>
      <c r="CE4" vm="4567">
        <f ca="1"/>
        <v>111.9</v>
      </c>
      <c r="CF4" vm="1729">
        <f ca="1"/>
        <v>111.64</v>
      </c>
      <c r="CG4" vm="4895">
        <f ca="1"/>
        <v>109.64</v>
      </c>
      <c r="CH4" vm="4838">
        <f ca="1"/>
        <v>107.37</v>
      </c>
      <c r="CI4" vm="4896">
        <f ca="1"/>
        <v>107.24</v>
      </c>
      <c r="CJ4" vm="4897">
        <f ca="1"/>
        <v>106.51</v>
      </c>
      <c r="CK4" vm="4898">
        <f ca="1"/>
        <v>105.95</v>
      </c>
      <c r="CL4" vm="4899">
        <f ca="1"/>
        <v>106.8</v>
      </c>
      <c r="CM4" vm="4900">
        <f ca="1"/>
        <v>105.83</v>
      </c>
      <c r="CN4" vm="4901">
        <f ca="1"/>
        <v>106.13</v>
      </c>
      <c r="CO4" vm="4902">
        <f ca="1"/>
        <v>107.6</v>
      </c>
      <c r="CP4" vm="1732">
        <f ca="1"/>
        <v>107.38</v>
      </c>
      <c r="CQ4" vm="4903">
        <f ca="1"/>
        <v>106.49</v>
      </c>
      <c r="CR4" vm="1657">
        <f ca="1"/>
        <v>106.72</v>
      </c>
      <c r="CS4" vm="4904">
        <f ca="1"/>
        <v>107.42</v>
      </c>
      <c r="CT4" vm="4905">
        <f ca="1"/>
        <v>108.53</v>
      </c>
      <c r="CU4" vm="4906">
        <f ca="1"/>
        <v>109.23</v>
      </c>
      <c r="CV4" vm="1666">
        <f ca="1"/>
        <v>111.28</v>
      </c>
      <c r="CW4" vm="1663">
        <f ca="1"/>
        <v>111.74</v>
      </c>
      <c r="CX4" vm="4907">
        <f ca="1"/>
        <v>111.49</v>
      </c>
      <c r="CY4" vm="4908">
        <f ca="1"/>
        <v>112.75</v>
      </c>
      <c r="CZ4" vm="4909">
        <f ca="1"/>
        <v>113.35</v>
      </c>
      <c r="DA4" vm="4910">
        <f ca="1"/>
        <v>114.29</v>
      </c>
      <c r="DB4" vm="4911">
        <f ca="1"/>
        <v>114.69</v>
      </c>
      <c r="DC4" vm="4912">
        <f ca="1"/>
        <v>111.91</v>
      </c>
      <c r="DD4" vm="4913">
        <f ca="1"/>
        <v>112.4</v>
      </c>
      <c r="DE4" vm="4906">
        <f ca="1"/>
        <v>109.23</v>
      </c>
      <c r="DF4" vm="1727">
        <f ca="1"/>
        <v>109.85</v>
      </c>
      <c r="DG4" vm="4914">
        <f ca="1"/>
        <v>110.65</v>
      </c>
      <c r="DH4" vm="4915">
        <f ca="1"/>
        <v>112.5</v>
      </c>
      <c r="DI4" vm="4916">
        <f ca="1"/>
        <v>112.14</v>
      </c>
      <c r="DJ4" vm="4917">
        <f ca="1"/>
        <v>112.16</v>
      </c>
      <c r="DK4" vm="4918">
        <f ca="1"/>
        <v>112.35</v>
      </c>
      <c r="DL4" vm="4919">
        <f ca="1"/>
        <v>114.68</v>
      </c>
      <c r="DM4" vm="4920">
        <f ca="1"/>
        <v>115.29</v>
      </c>
      <c r="DN4" vm="3643">
        <f ca="1"/>
        <v>113.93</v>
      </c>
      <c r="DO4" vm="4723">
        <f ca="1"/>
        <v>112.82</v>
      </c>
      <c r="DP4" vm="4921">
        <f ca="1"/>
        <v>112.02</v>
      </c>
      <c r="DQ4" vm="4922">
        <f ca="1"/>
        <v>113.95</v>
      </c>
      <c r="DR4" vm="312">
        <f ca="1"/>
        <v>114.56</v>
      </c>
      <c r="DS4" vm="4923">
        <f ca="1"/>
        <v>115.59</v>
      </c>
      <c r="DT4" vm="4924">
        <f ca="1"/>
        <v>117.22</v>
      </c>
      <c r="DU4" vm="4571">
        <f ca="1"/>
        <v>114.22</v>
      </c>
      <c r="DV4" vm="4908">
        <f ca="1"/>
        <v>112.75</v>
      </c>
      <c r="DW4" vm="4925">
        <f ca="1"/>
        <v>111.99</v>
      </c>
      <c r="DX4" vm="4926">
        <f ca="1"/>
        <v>111.29</v>
      </c>
      <c r="DY4" vm="4709">
        <f ca="1"/>
        <v>113.26</v>
      </c>
      <c r="DZ4" vm="1693">
        <f ca="1"/>
        <v>114.2</v>
      </c>
      <c r="EA4" vm="4927">
        <f ca="1"/>
        <v>114.26</v>
      </c>
      <c r="EB4" vm="4928">
        <f ca="1"/>
        <v>114.02</v>
      </c>
      <c r="EC4" vm="4884">
        <f ca="1"/>
        <v>112.91</v>
      </c>
      <c r="ED4" vm="315">
        <f ca="1"/>
        <v>110.73</v>
      </c>
      <c r="EE4" vm="4929">
        <f ca="1"/>
        <v>112.24</v>
      </c>
      <c r="EF4" vm="4930">
        <f ca="1"/>
        <v>112.29</v>
      </c>
      <c r="EG4" vm="2636">
        <f ca="1"/>
        <v>111.61</v>
      </c>
      <c r="EH4" vm="4931">
        <f ca="1"/>
        <v>110.64</v>
      </c>
      <c r="EI4" vm="4929">
        <f ca="1"/>
        <v>112.24</v>
      </c>
      <c r="EJ4" vm="4568">
        <f ca="1"/>
        <v>112.7</v>
      </c>
      <c r="EK4" vm="3450">
        <f ca="1"/>
        <v>112.71</v>
      </c>
      <c r="EL4" vm="4932">
        <f ca="1"/>
        <v>114.71</v>
      </c>
      <c r="EM4" vm="4933">
        <f ca="1"/>
        <v>115.98</v>
      </c>
      <c r="EN4" vm="4718">
        <f ca="1"/>
        <v>115.39</v>
      </c>
      <c r="EO4" vm="4934">
        <f ca="1"/>
        <v>115.94</v>
      </c>
      <c r="EP4" vm="3637">
        <f ca="1"/>
        <v>115.03</v>
      </c>
      <c r="EQ4" vm="4935">
        <f ca="1"/>
        <v>116.45</v>
      </c>
      <c r="ER4" vm="4911">
        <f ca="1"/>
        <v>114.69</v>
      </c>
      <c r="ES4" vm="3443">
        <f ca="1"/>
        <v>114.36</v>
      </c>
      <c r="ET4" vm="4936">
        <f ca="1"/>
        <v>113.76</v>
      </c>
      <c r="EU4" vm="4937">
        <f ca="1"/>
        <v>114.14</v>
      </c>
      <c r="EV4" vm="4938">
        <f ca="1"/>
        <v>113.68</v>
      </c>
      <c r="EW4" vm="2637">
        <f ca="1"/>
        <v>114.5</v>
      </c>
      <c r="EX4" vm="4924">
        <f ca="1"/>
        <v>117.22</v>
      </c>
      <c r="EY4" vm="4939">
        <f ca="1"/>
        <v>118.22</v>
      </c>
      <c r="EZ4" vm="4729">
        <f ca="1"/>
        <v>119.78</v>
      </c>
      <c r="FA4" vm="4940">
        <f ca="1"/>
        <v>118.12</v>
      </c>
      <c r="FB4" vm="4941">
        <f ca="1"/>
        <v>118.79</v>
      </c>
      <c r="FC4" vm="4942">
        <f ca="1"/>
        <v>119.29</v>
      </c>
      <c r="FD4" vm="4943">
        <f ca="1"/>
        <v>117.68</v>
      </c>
      <c r="FE4" vm="4944">
        <f ca="1"/>
        <v>119.03</v>
      </c>
      <c r="FF4" vm="4945">
        <f ca="1"/>
        <v>117.35</v>
      </c>
      <c r="FG4" vm="4946">
        <f ca="1"/>
        <v>117.02</v>
      </c>
      <c r="FH4" vm="4947">
        <f ca="1"/>
        <v>117.08</v>
      </c>
      <c r="FI4" vm="4948">
        <f ca="1"/>
        <v>115.97</v>
      </c>
      <c r="FJ4" vm="4949">
        <f ca="1"/>
        <v>114.51</v>
      </c>
      <c r="FK4" vm="4950">
        <f ca="1"/>
        <v>114.77</v>
      </c>
      <c r="FL4" vm="4951">
        <f ca="1"/>
        <v>115.92</v>
      </c>
      <c r="FM4" vm="4952">
        <f ca="1"/>
        <v>116.63</v>
      </c>
      <c r="FN4" vm="4953">
        <f ca="1"/>
        <v>115.38</v>
      </c>
      <c r="FO4" vm="4954">
        <f ca="1"/>
        <v>117.8</v>
      </c>
      <c r="FP4" vm="4955">
        <f ca="1"/>
        <v>117.14</v>
      </c>
      <c r="FQ4" vm="4956">
        <f ca="1"/>
        <v>116.54</v>
      </c>
      <c r="FR4" vm="4933">
        <f ca="1"/>
        <v>115.98</v>
      </c>
      <c r="FS4" vm="4957">
        <f ca="1"/>
        <v>118.25</v>
      </c>
      <c r="FT4" vm="4958">
        <f ca="1"/>
        <v>119.54</v>
      </c>
      <c r="FU4" vm="4958">
        <f ca="1"/>
        <v>119.54</v>
      </c>
      <c r="FV4" vm="4959">
        <f ca="1"/>
        <v>118.82</v>
      </c>
      <c r="FW4" vm="4960">
        <f ca="1"/>
        <v>117.76</v>
      </c>
      <c r="FX4" vm="4919">
        <f ca="1"/>
        <v>114.68</v>
      </c>
      <c r="FY4" vm="3466">
        <f ca="1"/>
        <v>117.41</v>
      </c>
      <c r="FZ4" vm="4956">
        <f ca="1"/>
        <v>116.54</v>
      </c>
      <c r="GA4" vm="1676">
        <f ca="1"/>
        <v>116.69</v>
      </c>
      <c r="GB4" vm="4961">
        <f ca="1"/>
        <v>118.15</v>
      </c>
      <c r="GC4" vm="4962">
        <f ca="1"/>
        <v>119.42</v>
      </c>
      <c r="GD4" vm="4963">
        <f ca="1"/>
        <v>119.22</v>
      </c>
      <c r="GE4" vm="4964">
        <f ca="1"/>
        <v>119.11</v>
      </c>
      <c r="GF4" vm="4707">
        <f ca="1"/>
        <v>120.53</v>
      </c>
      <c r="GG4" vm="4965">
        <f ca="1"/>
        <v>120.99</v>
      </c>
      <c r="GH4" vm="4966">
        <f ca="1"/>
        <v>120.34</v>
      </c>
      <c r="GI4" vm="4967">
        <f ca="1"/>
        <v>122.65</v>
      </c>
      <c r="GJ4" vm="4968">
        <f ca="1"/>
        <v>125.36</v>
      </c>
      <c r="GK4" vm="4719">
        <f ca="1"/>
        <v>121.05</v>
      </c>
      <c r="GL4" vm="4713">
        <f ca="1"/>
        <v>118.49</v>
      </c>
      <c r="GM4" vm="4969">
        <f ca="1"/>
        <v>122.91</v>
      </c>
      <c r="GN4" vm="4970">
        <f ca="1"/>
        <v>124.61</v>
      </c>
      <c r="GO4" vm="4971">
        <f ca="1"/>
        <v>124.03</v>
      </c>
      <c r="GP4" vm="4972">
        <f ca="1"/>
        <v>126.54</v>
      </c>
      <c r="GQ4" vm="4973">
        <f ca="1"/>
        <v>130.19999999999999</v>
      </c>
      <c r="GR4" vm="4974">
        <f ca="1"/>
        <v>129.13</v>
      </c>
      <c r="GS4" vm="4975">
        <f ca="1"/>
        <v>129.88999999999999</v>
      </c>
      <c r="GT4" vm="4976">
        <f ca="1"/>
        <v>130.46</v>
      </c>
      <c r="GU4" vm="4977">
        <f ca="1"/>
        <v>133.61000000000001</v>
      </c>
      <c r="GV4" vm="3476">
        <f ca="1"/>
        <v>133.63999999999999</v>
      </c>
      <c r="GW4" vm="4978">
        <f ca="1"/>
        <v>134.97</v>
      </c>
      <c r="GX4" vm="4979">
        <f ca="1"/>
        <v>134.84</v>
      </c>
      <c r="GY4" vm="4980">
        <f ca="1"/>
        <v>136.83000000000001</v>
      </c>
      <c r="GZ4" vm="4981">
        <f ca="1"/>
        <v>137.58000000000001</v>
      </c>
      <c r="HA4" vm="4982">
        <f ca="1"/>
        <v>140.51</v>
      </c>
      <c r="HB4" vm="4983">
        <f ca="1"/>
        <v>141.4</v>
      </c>
      <c r="HC4" vm="4984">
        <f ca="1"/>
        <v>138.4</v>
      </c>
      <c r="HD4" vm="4985">
        <f ca="1"/>
        <v>143.72999999999999</v>
      </c>
      <c r="HE4" vm="4986">
        <f ca="1"/>
        <v>147.59</v>
      </c>
      <c r="HF4" vm="4987">
        <f ca="1"/>
        <v>146.08000000000001</v>
      </c>
      <c r="HG4" vm="4988">
        <f ca="1"/>
        <v>149.05000000000001</v>
      </c>
      <c r="HH4" vm="4989">
        <f ca="1"/>
        <v>151.21</v>
      </c>
      <c r="HI4" vm="1413">
        <f ca="1"/>
        <v>151.59</v>
      </c>
      <c r="HJ4" vm="1386">
        <f ca="1"/>
        <v>155.56</v>
      </c>
      <c r="HK4" vm="4990">
        <f ca="1"/>
        <v>149.93</v>
      </c>
      <c r="HL4" vm="4991">
        <f ca="1"/>
        <v>148.44999999999999</v>
      </c>
      <c r="HM4" vm="4992">
        <f ca="1"/>
        <v>146.19</v>
      </c>
      <c r="HN4" vm="4993">
        <f ca="1"/>
        <v>150.68</v>
      </c>
      <c r="HO4" vm="4994">
        <f ca="1"/>
        <v>150.97</v>
      </c>
      <c r="HP4" vm="4995">
        <f ca="1"/>
        <v>147.28</v>
      </c>
      <c r="HQ4" vm="4996">
        <f ca="1"/>
        <v>150.76</v>
      </c>
      <c r="HR4" vm="4997">
        <f ca="1"/>
        <v>149.26</v>
      </c>
      <c r="HS4" vm="4998">
        <f ca="1"/>
        <v>149.06</v>
      </c>
      <c r="HT4" vm="4999">
        <f ca="1"/>
        <v>148.54</v>
      </c>
      <c r="HU4" vm="5000">
        <f ca="1"/>
        <v>152.5</v>
      </c>
      <c r="HV4" vm="5001">
        <f ca="1"/>
        <v>154.22</v>
      </c>
      <c r="HW4" vm="5002">
        <f ca="1"/>
        <v>151.83000000000001</v>
      </c>
      <c r="HX4" vm="5003">
        <f ca="1"/>
        <v>149.82</v>
      </c>
      <c r="HY4" vm="4996">
        <f ca="1"/>
        <v>150.76</v>
      </c>
      <c r="HZ4" vm="4989">
        <f ca="1"/>
        <v>151.21</v>
      </c>
      <c r="IA4" vm="5004">
        <f ca="1"/>
        <v>150.44</v>
      </c>
      <c r="IB4" vm="5005">
        <f ca="1"/>
        <v>148.13</v>
      </c>
      <c r="IC4" vm="5006">
        <f ca="1"/>
        <v>151.58000000000001</v>
      </c>
      <c r="ID4" vm="5007">
        <f ca="1"/>
        <v>153.53</v>
      </c>
      <c r="IE4" vm="1251">
        <f ca="1"/>
        <v>156.12</v>
      </c>
      <c r="IF4" vm="5008">
        <f ca="1"/>
        <v>157.22999999999999</v>
      </c>
      <c r="IG4" vm="5009">
        <f ca="1"/>
        <v>158.81</v>
      </c>
      <c r="IH4" vm="5010">
        <f ca="1"/>
        <v>157.59</v>
      </c>
      <c r="II4" vm="5011">
        <f ca="1"/>
        <v>158.16</v>
      </c>
      <c r="IJ4" vm="5012">
        <f ca="1"/>
        <v>159.66999999999999</v>
      </c>
      <c r="IK4" vm="3746">
        <f ca="1"/>
        <v>161.13</v>
      </c>
      <c r="IL4" vm="5013">
        <f ca="1"/>
        <v>165.38</v>
      </c>
      <c r="IM4" vm="5014">
        <f ca="1"/>
        <v>163.26</v>
      </c>
      <c r="IN4" vm="5015">
        <f ca="1"/>
        <v>165.43</v>
      </c>
      <c r="IO4" vm="5016">
        <f ca="1"/>
        <v>170.99</v>
      </c>
      <c r="IP4" vm="5017">
        <f ca="1"/>
        <v>171.47</v>
      </c>
      <c r="IQ4" vm="5018">
        <f ca="1"/>
        <v>169.66</v>
      </c>
      <c r="IR4" vm="5019">
        <f ca="1"/>
        <v>160.78</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020">
        <f ca="1"/>
        <v>16764761</v>
      </c>
      <c r="C7" vm="1418">
        <f ca="1"/>
        <v>150.72</v>
      </c>
      <c r="D7" vm="5021">
        <f ca="1"/>
        <v>151.16</v>
      </c>
      <c r="E7" vm="5022">
        <f ca="1"/>
        <v>147.86000000000001</v>
      </c>
      <c r="F7" vm="5003">
        <f ca="1"/>
        <v>149.82</v>
      </c>
    </row>
    <row r="8" spans="1:252" x14ac:dyDescent="0.35">
      <c r="A8" vm="256">
        <f ca="1"/>
        <v>46086</v>
      </c>
      <c r="B8" vm="5023">
        <f ca="1"/>
        <v>22969271</v>
      </c>
      <c r="C8" vm="4779">
        <f ca="1"/>
        <v>151</v>
      </c>
      <c r="D8" vm="5024">
        <f ca="1"/>
        <v>152.33000000000001</v>
      </c>
      <c r="E8" vm="5025">
        <f ca="1"/>
        <v>149.47</v>
      </c>
      <c r="F8" vm="4996">
        <f ca="1"/>
        <v>150.76</v>
      </c>
    </row>
    <row r="9" spans="1:252" x14ac:dyDescent="0.35">
      <c r="A9" vm="257">
        <f ca="1"/>
        <v>46087</v>
      </c>
      <c r="B9" vm="5026">
        <f ca="1"/>
        <v>21136427</v>
      </c>
      <c r="C9" vm="5027">
        <f ca="1"/>
        <v>153.15</v>
      </c>
      <c r="D9" vm="3735">
        <f ca="1"/>
        <v>153.80000000000001</v>
      </c>
      <c r="E9" vm="5028">
        <f ca="1"/>
        <v>149.96</v>
      </c>
      <c r="F9" vm="4989">
        <f ca="1"/>
        <v>151.21</v>
      </c>
    </row>
    <row r="10" spans="1:252" x14ac:dyDescent="0.35">
      <c r="A10" vm="258">
        <f ca="1"/>
        <v>46090</v>
      </c>
      <c r="B10" vm="5029">
        <f ca="1"/>
        <v>25532656</v>
      </c>
      <c r="C10" vm="5030">
        <f ca="1"/>
        <v>152.01499999999999</v>
      </c>
      <c r="D10" vm="5031">
        <f ca="1"/>
        <v>153.88990000000001</v>
      </c>
      <c r="E10" vm="5025">
        <f ca="1"/>
        <v>149.47</v>
      </c>
      <c r="F10" vm="5004">
        <f ca="1"/>
        <v>150.44</v>
      </c>
    </row>
    <row r="11" spans="1:252" x14ac:dyDescent="0.35">
      <c r="A11" vm="259">
        <f ca="1"/>
        <v>46091</v>
      </c>
      <c r="B11" vm="5032">
        <f ca="1"/>
        <v>19617590</v>
      </c>
      <c r="C11" vm="5033">
        <f ca="1"/>
        <v>149.25</v>
      </c>
      <c r="D11" vm="5034">
        <f ca="1"/>
        <v>150.4</v>
      </c>
      <c r="E11" vm="5035">
        <f ca="1"/>
        <v>147.69999999999999</v>
      </c>
      <c r="F11" vm="5005">
        <f ca="1"/>
        <v>148.13</v>
      </c>
    </row>
    <row r="12" spans="1:252" x14ac:dyDescent="0.35">
      <c r="A12" vm="260">
        <f ca="1"/>
        <v>46092</v>
      </c>
      <c r="B12" vm="5036">
        <f ca="1"/>
        <v>15297412</v>
      </c>
      <c r="C12" vm="5037">
        <f ca="1"/>
        <v>147.99</v>
      </c>
      <c r="D12" vm="5038">
        <f ca="1"/>
        <v>151.81</v>
      </c>
      <c r="E12" vm="5039">
        <f ca="1"/>
        <v>147.66</v>
      </c>
      <c r="F12" vm="5006">
        <f ca="1"/>
        <v>151.58000000000001</v>
      </c>
    </row>
    <row r="13" spans="1:252" x14ac:dyDescent="0.35">
      <c r="A13" vm="261">
        <f ca="1"/>
        <v>46093</v>
      </c>
      <c r="B13" vm="5040">
        <f ca="1"/>
        <v>26053965</v>
      </c>
      <c r="C13" vm="5041">
        <f ca="1"/>
        <v>152.26499999999999</v>
      </c>
      <c r="D13" vm="5042">
        <f ca="1"/>
        <v>155</v>
      </c>
      <c r="E13" vm="5043">
        <f ca="1"/>
        <v>151.63</v>
      </c>
      <c r="F13" vm="5007">
        <f ca="1"/>
        <v>153.53</v>
      </c>
    </row>
    <row r="14" spans="1:252" x14ac:dyDescent="0.35">
      <c r="A14" vm="262">
        <f ca="1"/>
        <v>46094</v>
      </c>
      <c r="B14" vm="5044">
        <f ca="1"/>
        <v>22414094</v>
      </c>
      <c r="C14" vm="5045">
        <f ca="1"/>
        <v>154.30000000000001</v>
      </c>
      <c r="D14" vm="5046">
        <f ca="1"/>
        <v>156.88999999999999</v>
      </c>
      <c r="E14" vm="5047">
        <f ca="1"/>
        <v>152.97499999999999</v>
      </c>
      <c r="F14" vm="1251">
        <f ca="1"/>
        <v>156.12</v>
      </c>
    </row>
    <row r="15" spans="1:252" x14ac:dyDescent="0.35">
      <c r="A15" vm="263">
        <f ca="1"/>
        <v>46097</v>
      </c>
      <c r="B15" vm="5048">
        <f ca="1"/>
        <v>22835633</v>
      </c>
      <c r="C15" vm="5049">
        <f ca="1"/>
        <v>156</v>
      </c>
      <c r="D15" vm="5050">
        <f ca="1"/>
        <v>157.78</v>
      </c>
      <c r="E15" vm="5051">
        <f ca="1"/>
        <v>154.76</v>
      </c>
      <c r="F15" vm="5008">
        <f ca="1"/>
        <v>157.22999999999999</v>
      </c>
    </row>
    <row r="16" spans="1:252" x14ac:dyDescent="0.35">
      <c r="A16" vm="264">
        <f ca="1"/>
        <v>46098</v>
      </c>
      <c r="B16" vm="5052">
        <f ca="1"/>
        <v>21592171</v>
      </c>
      <c r="C16" vm="1357">
        <f ca="1"/>
        <v>158.25</v>
      </c>
      <c r="D16" vm="5053">
        <f ca="1"/>
        <v>160.44999999999999</v>
      </c>
      <c r="E16" vm="5054">
        <f ca="1"/>
        <v>156.80000000000001</v>
      </c>
      <c r="F16" vm="5009">
        <f ca="1"/>
        <v>158.81</v>
      </c>
    </row>
    <row r="17" spans="1:6" x14ac:dyDescent="0.35">
      <c r="A17" vm="265">
        <f ca="1"/>
        <v>46099</v>
      </c>
      <c r="B17" vm="5055">
        <f ca="1"/>
        <v>18947142</v>
      </c>
      <c r="C17" vm="5056">
        <f ca="1"/>
        <v>159.66</v>
      </c>
      <c r="D17" vm="5057">
        <f ca="1"/>
        <v>160.18</v>
      </c>
      <c r="E17" vm="5058">
        <f ca="1"/>
        <v>157.53</v>
      </c>
      <c r="F17" vm="5010">
        <f ca="1"/>
        <v>157.59</v>
      </c>
    </row>
    <row r="18" spans="1:6" x14ac:dyDescent="0.35">
      <c r="A18" vm="266">
        <f ca="1"/>
        <v>46100</v>
      </c>
      <c r="B18" vm="5059">
        <f ca="1"/>
        <v>27082733</v>
      </c>
      <c r="C18" vm="5060">
        <f ca="1"/>
        <v>158.26</v>
      </c>
      <c r="D18" vm="5061">
        <f ca="1"/>
        <v>159.56</v>
      </c>
      <c r="E18" vm="1324">
        <f ca="1"/>
        <v>154.84</v>
      </c>
      <c r="F18" vm="5011">
        <f ca="1"/>
        <v>158.16</v>
      </c>
    </row>
    <row r="19" spans="1:6" x14ac:dyDescent="0.35">
      <c r="A19" vm="267">
        <f ca="1"/>
        <v>46101</v>
      </c>
      <c r="B19" vm="5062">
        <f ca="1"/>
        <v>53942142</v>
      </c>
      <c r="C19" vm="5063">
        <f ca="1"/>
        <v>159.35</v>
      </c>
      <c r="D19" vm="5064">
        <f ca="1"/>
        <v>162.44</v>
      </c>
      <c r="E19" vm="5065">
        <f ca="1"/>
        <v>159.1</v>
      </c>
      <c r="F19" vm="5012">
        <f ca="1"/>
        <v>159.66999999999999</v>
      </c>
    </row>
    <row r="20" spans="1:6" x14ac:dyDescent="0.35">
      <c r="A20" vm="268">
        <f ca="1"/>
        <v>46104</v>
      </c>
      <c r="B20" vm="5066">
        <f ca="1"/>
        <v>25021288</v>
      </c>
      <c r="C20" vm="5067">
        <f ca="1"/>
        <v>156.11500000000001</v>
      </c>
      <c r="D20" vm="5068">
        <f ca="1"/>
        <v>161.41999999999999</v>
      </c>
      <c r="E20" vm="1396">
        <f ca="1"/>
        <v>155.02000000000001</v>
      </c>
      <c r="F20" vm="3746">
        <f ca="1"/>
        <v>161.13</v>
      </c>
    </row>
    <row r="21" spans="1:6" x14ac:dyDescent="0.35">
      <c r="A21" vm="269">
        <f ca="1"/>
        <v>46105</v>
      </c>
      <c r="B21" vm="5069">
        <f ca="1"/>
        <v>26131824</v>
      </c>
      <c r="C21" vm="5070">
        <f ca="1"/>
        <v>161.71</v>
      </c>
      <c r="D21" vm="5071">
        <f ca="1"/>
        <v>167.48</v>
      </c>
      <c r="E21" vm="5072">
        <f ca="1"/>
        <v>161.25</v>
      </c>
      <c r="F21" vm="5013">
        <f ca="1"/>
        <v>165.38</v>
      </c>
    </row>
    <row r="22" spans="1:6" x14ac:dyDescent="0.35">
      <c r="A22" vm="270">
        <f ca="1"/>
        <v>46106</v>
      </c>
      <c r="B22" vm="5073">
        <f ca="1"/>
        <v>17192333</v>
      </c>
      <c r="C22" vm="1438">
        <f ca="1"/>
        <v>163.87</v>
      </c>
      <c r="D22" vm="5074">
        <f ca="1"/>
        <v>165</v>
      </c>
      <c r="E22" vm="5075">
        <f ca="1"/>
        <v>162.93</v>
      </c>
      <c r="F22" vm="5014">
        <f ca="1"/>
        <v>163.26</v>
      </c>
    </row>
    <row r="23" spans="1:6" x14ac:dyDescent="0.35">
      <c r="A23" vm="271">
        <f ca="1"/>
        <v>46107</v>
      </c>
      <c r="B23" vm="5076">
        <f ca="1"/>
        <v>18625249</v>
      </c>
      <c r="C23" vm="5077">
        <f ca="1"/>
        <v>164.09</v>
      </c>
      <c r="D23" vm="5078">
        <f ca="1"/>
        <v>165.68</v>
      </c>
      <c r="E23" vm="5079">
        <f ca="1"/>
        <v>162.06</v>
      </c>
      <c r="F23" vm="5015">
        <f ca="1"/>
        <v>165.43</v>
      </c>
    </row>
    <row r="24" spans="1:6" x14ac:dyDescent="0.35">
      <c r="A24" vm="272">
        <f ca="1"/>
        <v>46108</v>
      </c>
      <c r="B24" vm="5080">
        <f ca="1"/>
        <v>30338313</v>
      </c>
      <c r="C24" vm="5081">
        <f ca="1"/>
        <v>165.58</v>
      </c>
      <c r="D24" vm="5082">
        <f ca="1"/>
        <v>171.23</v>
      </c>
      <c r="E24" vm="5083">
        <f ca="1"/>
        <v>164.8</v>
      </c>
      <c r="F24" vm="5016">
        <f ca="1"/>
        <v>170.99</v>
      </c>
    </row>
    <row r="25" spans="1:6" x14ac:dyDescent="0.35">
      <c r="A25" vm="273">
        <f ca="1"/>
        <v>46111</v>
      </c>
      <c r="B25" vm="5084">
        <f ca="1"/>
        <v>29813504</v>
      </c>
      <c r="C25" vm="5085">
        <f ca="1"/>
        <v>172.505</v>
      </c>
      <c r="D25" vm="5086">
        <f ca="1"/>
        <v>176.41</v>
      </c>
      <c r="E25" vm="5087">
        <f ca="1"/>
        <v>171.05</v>
      </c>
      <c r="F25" vm="5017">
        <f ca="1"/>
        <v>171.47</v>
      </c>
    </row>
    <row r="26" spans="1:6" x14ac:dyDescent="0.35">
      <c r="A26" vm="274">
        <f ca="1"/>
        <v>46112</v>
      </c>
      <c r="B26" vm="5088">
        <f ca="1"/>
        <v>32006724</v>
      </c>
      <c r="C26" vm="5089">
        <f ca="1"/>
        <v>172.67</v>
      </c>
      <c r="D26" vm="5090">
        <f ca="1"/>
        <v>174.38</v>
      </c>
      <c r="E26" vm="5091">
        <f ca="1"/>
        <v>165.97</v>
      </c>
      <c r="F26" vm="5018">
        <f ca="1"/>
        <v>169.66</v>
      </c>
    </row>
    <row r="27" spans="1:6" x14ac:dyDescent="0.35">
      <c r="A27" vm="275">
        <f ca="1"/>
        <v>46113</v>
      </c>
      <c r="B27" vm="5092">
        <f ca="1"/>
        <v>37927639</v>
      </c>
      <c r="C27" vm="5093">
        <f ca="1"/>
        <v>165.77</v>
      </c>
      <c r="D27" vm="5094">
        <f ca="1"/>
        <v>168</v>
      </c>
      <c r="E27" vm="5095">
        <f ca="1"/>
        <v>159.53</v>
      </c>
      <c r="F27" vm="5019">
        <f ca="1"/>
        <v>160.78</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R27"/>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2" x14ac:dyDescent="0.35">
      <c r="A1" s="2" t="s">
        <v>8</v>
      </c>
      <c r="B1" t="e" vm="22">
        <v>#VALUE!</v>
      </c>
    </row>
    <row r="3" spans="1:252" x14ac:dyDescent="0.35">
      <c r="A3" s="2" t="s">
        <v>35</v>
      </c>
      <c r="B3" s="2" t="s">
        <v>25</v>
      </c>
    </row>
    <row r="4" spans="1:252" x14ac:dyDescent="0.35">
      <c r="A4" t="s">
        <v>37</v>
      </c>
      <c r="B4" t="s">
        <v>21</v>
      </c>
      <c r="C4" cm="1" vm="5096">
        <f t="array" aca="1" ref="C4:IR4" ca="1">TRANSPOSE(_xlfn.STOCKHISTORY(A4&amp;":"&amp;B4,TODAY()-365,TODAY(),0,0,1))</f>
        <v>45.9</v>
      </c>
      <c r="D4" vm="5097">
        <f ca="1"/>
        <v>44.18</v>
      </c>
      <c r="E4" vm="5098">
        <f ca="1"/>
        <v>43.53</v>
      </c>
      <c r="F4" vm="5099">
        <f ca="1"/>
        <v>42.48</v>
      </c>
      <c r="G4" vm="5100">
        <f ca="1"/>
        <v>45.74</v>
      </c>
      <c r="H4" vm="5101">
        <f ca="1"/>
        <v>43.73</v>
      </c>
      <c r="I4" vm="5102">
        <f ca="1"/>
        <v>43.63</v>
      </c>
      <c r="J4" vm="5103">
        <f ca="1"/>
        <v>45.14</v>
      </c>
      <c r="K4" vm="5104">
        <f ca="1"/>
        <v>44.54</v>
      </c>
      <c r="L4" vm="3935">
        <f ca="1"/>
        <v>44.22</v>
      </c>
      <c r="M4" vm="5105">
        <f ca="1"/>
        <v>44.57</v>
      </c>
      <c r="N4" vm="5106">
        <f ca="1"/>
        <v>44.39</v>
      </c>
      <c r="O4" vm="5107">
        <f ca="1"/>
        <v>45.16</v>
      </c>
      <c r="P4" vm="5108">
        <f ca="1"/>
        <v>45.84</v>
      </c>
      <c r="Q4" vm="5109">
        <f ca="1"/>
        <v>46.88</v>
      </c>
      <c r="R4" vm="5110">
        <f ca="1"/>
        <v>47.11</v>
      </c>
      <c r="S4" vm="3987">
        <f ca="1"/>
        <v>47.24</v>
      </c>
      <c r="T4" vm="3989">
        <f ca="1"/>
        <v>46.94</v>
      </c>
      <c r="U4" vm="5111">
        <f ca="1"/>
        <v>45.24</v>
      </c>
      <c r="V4" vm="5112">
        <f ca="1"/>
        <v>45.05</v>
      </c>
      <c r="W4" vm="5113">
        <f ca="1"/>
        <v>45.3</v>
      </c>
      <c r="X4" vm="5114">
        <f ca="1"/>
        <v>45.38</v>
      </c>
      <c r="Y4" vm="5115">
        <f ca="1"/>
        <v>45.46</v>
      </c>
      <c r="Z4" vm="5116">
        <f ca="1"/>
        <v>45.47</v>
      </c>
      <c r="AA4" vm="5117">
        <f ca="1"/>
        <v>47.35</v>
      </c>
      <c r="AB4" vm="3986">
        <f ca="1"/>
        <v>47.5</v>
      </c>
      <c r="AC4" vm="5118">
        <f ca="1"/>
        <v>49.61</v>
      </c>
      <c r="AD4" vm="5119">
        <f ca="1"/>
        <v>50.46</v>
      </c>
      <c r="AE4" vm="5120">
        <f ca="1"/>
        <v>50.31</v>
      </c>
      <c r="AF4" vm="5121">
        <f ca="1"/>
        <v>50.12</v>
      </c>
      <c r="AG4" vm="5122">
        <f ca="1"/>
        <v>50.37</v>
      </c>
      <c r="AH4" vm="5123">
        <f ca="1"/>
        <v>50.03</v>
      </c>
      <c r="AI4" vm="5124">
        <f ca="1"/>
        <v>50.21</v>
      </c>
      <c r="AJ4" vm="5125">
        <f ca="1"/>
        <v>49.37</v>
      </c>
      <c r="AK4" vm="5126">
        <f ca="1"/>
        <v>49.28</v>
      </c>
      <c r="AL4" vm="5127">
        <f ca="1"/>
        <v>48.69</v>
      </c>
      <c r="AM4" vm="5128">
        <f ca="1"/>
        <v>49.09</v>
      </c>
      <c r="AN4" vm="5129">
        <f ca="1"/>
        <v>48.13</v>
      </c>
      <c r="AO4" vm="5130">
        <f ca="1"/>
        <v>48.59</v>
      </c>
      <c r="AP4" vm="5118">
        <f ca="1"/>
        <v>49.61</v>
      </c>
      <c r="AQ4" vm="5131">
        <f ca="1"/>
        <v>47.69</v>
      </c>
      <c r="AR4" vm="5132">
        <f ca="1"/>
        <v>49.06</v>
      </c>
      <c r="AS4" vm="5133">
        <f ca="1"/>
        <v>47.67</v>
      </c>
      <c r="AT4" vm="5134">
        <f ca="1"/>
        <v>47.25</v>
      </c>
      <c r="AU4" vm="5135">
        <f ca="1"/>
        <v>47.47</v>
      </c>
      <c r="AV4" vm="5136">
        <f ca="1"/>
        <v>47.93</v>
      </c>
      <c r="AW4" vm="3960">
        <f ca="1"/>
        <v>48.93</v>
      </c>
      <c r="AX4" vm="5137">
        <f ca="1"/>
        <v>49.87</v>
      </c>
      <c r="AY4" vm="5138">
        <f ca="1"/>
        <v>49.26</v>
      </c>
      <c r="AZ4" vm="4025">
        <f ca="1"/>
        <v>48.65</v>
      </c>
      <c r="BA4" vm="4133">
        <f ca="1"/>
        <v>49.27</v>
      </c>
      <c r="BB4" vm="4149">
        <f ca="1"/>
        <v>48.28</v>
      </c>
      <c r="BC4" vm="5139">
        <f ca="1"/>
        <v>48.09</v>
      </c>
      <c r="BD4" vm="5140">
        <f ca="1"/>
        <v>48.2</v>
      </c>
      <c r="BE4" vm="4121">
        <f ca="1"/>
        <v>48.52</v>
      </c>
      <c r="BF4" vm="5141">
        <f ca="1"/>
        <v>49</v>
      </c>
      <c r="BG4" vm="5129">
        <f ca="1"/>
        <v>48.13</v>
      </c>
      <c r="BH4" vm="5142">
        <f ca="1"/>
        <v>49.16</v>
      </c>
      <c r="BI4" vm="5143">
        <f ca="1"/>
        <v>49.68</v>
      </c>
      <c r="BJ4" vm="4136">
        <f ca="1"/>
        <v>49.21</v>
      </c>
      <c r="BK4" vm="5144">
        <f ca="1"/>
        <v>52.03</v>
      </c>
      <c r="BL4" vm="5145">
        <f ca="1"/>
        <v>52.68</v>
      </c>
      <c r="BM4" vm="5146">
        <f ca="1"/>
        <v>52.89</v>
      </c>
      <c r="BN4" vm="5147">
        <f ca="1"/>
        <v>51.82</v>
      </c>
      <c r="BO4" vm="5148">
        <f ca="1"/>
        <v>52.19</v>
      </c>
      <c r="BP4" vm="4035">
        <f ca="1"/>
        <v>52.57</v>
      </c>
      <c r="BQ4" vm="5149">
        <f ca="1"/>
        <v>53.15</v>
      </c>
      <c r="BR4" vm="5150">
        <f ca="1"/>
        <v>53.39</v>
      </c>
      <c r="BS4" vm="5151">
        <f ca="1"/>
        <v>53.33</v>
      </c>
      <c r="BT4" vm="5152">
        <f ca="1"/>
        <v>52.71</v>
      </c>
      <c r="BU4" vm="5153">
        <f ca="1"/>
        <v>53.18</v>
      </c>
      <c r="BV4" vm="5154">
        <f ca="1"/>
        <v>53.21</v>
      </c>
      <c r="BW4" vm="5155">
        <f ca="1"/>
        <v>53.22</v>
      </c>
      <c r="BX4" vm="5154">
        <f ca="1"/>
        <v>53.21</v>
      </c>
      <c r="BY4" vm="5156">
        <f ca="1"/>
        <v>48.89</v>
      </c>
      <c r="BZ4" vm="5157">
        <f ca="1"/>
        <v>53.13</v>
      </c>
      <c r="CA4" vm="5158">
        <f ca="1"/>
        <v>52.34</v>
      </c>
      <c r="CB4" vm="5159">
        <f ca="1"/>
        <v>53.4</v>
      </c>
      <c r="CC4" vm="4040">
        <f ca="1"/>
        <v>53.45</v>
      </c>
      <c r="CD4" vm="5160">
        <f ca="1"/>
        <v>52.11</v>
      </c>
      <c r="CE4" vm="5160">
        <f ca="1"/>
        <v>52.11</v>
      </c>
      <c r="CF4" vm="5161">
        <f ca="1"/>
        <v>53.34</v>
      </c>
      <c r="CG4" vm="5162">
        <f ca="1"/>
        <v>52.53</v>
      </c>
      <c r="CH4" vm="4108">
        <f ca="1"/>
        <v>52.77</v>
      </c>
      <c r="CI4" vm="4038">
        <f ca="1"/>
        <v>52.58</v>
      </c>
      <c r="CJ4" vm="5163">
        <f ca="1"/>
        <v>52.47</v>
      </c>
      <c r="CK4" vm="5164">
        <f ca="1"/>
        <v>52.95</v>
      </c>
      <c r="CL4" vm="5165">
        <f ca="1"/>
        <v>53.53</v>
      </c>
      <c r="CM4" vm="5166">
        <f ca="1"/>
        <v>54.01</v>
      </c>
      <c r="CN4" vm="4062">
        <f ca="1"/>
        <v>54.16</v>
      </c>
      <c r="CO4" vm="5167">
        <f ca="1"/>
        <v>55.58</v>
      </c>
      <c r="CP4" vm="5168">
        <f ca="1"/>
        <v>56.42</v>
      </c>
      <c r="CQ4" vm="5169">
        <f ca="1"/>
        <v>56.31</v>
      </c>
      <c r="CR4" vm="5170">
        <f ca="1"/>
        <v>56.23</v>
      </c>
      <c r="CS4" vm="5171">
        <f ca="1"/>
        <v>57.06</v>
      </c>
      <c r="CT4" vm="5172">
        <f ca="1"/>
        <v>56.77</v>
      </c>
      <c r="CU4" vm="5173">
        <f ca="1"/>
        <v>56.51</v>
      </c>
      <c r="CV4" vm="5174">
        <f ca="1"/>
        <v>58.37</v>
      </c>
      <c r="CW4" vm="5175">
        <f ca="1"/>
        <v>58.28</v>
      </c>
      <c r="CX4" vm="5176">
        <f ca="1"/>
        <v>58.8</v>
      </c>
      <c r="CY4" vm="5177">
        <f ca="1"/>
        <v>58.75</v>
      </c>
      <c r="CZ4" vm="5178">
        <f ca="1"/>
        <v>58.49</v>
      </c>
      <c r="DA4" vm="5179">
        <f ca="1"/>
        <v>58.59</v>
      </c>
      <c r="DB4" vm="5180">
        <f ca="1"/>
        <v>58.53</v>
      </c>
      <c r="DC4" vm="5181">
        <f ca="1"/>
        <v>57.75</v>
      </c>
      <c r="DD4" vm="5182">
        <f ca="1"/>
        <v>58.15</v>
      </c>
      <c r="DE4" vm="5183">
        <f ca="1"/>
        <v>58.27</v>
      </c>
      <c r="DF4" vm="5184">
        <f ca="1"/>
        <v>58.2</v>
      </c>
      <c r="DG4" vm="5185">
        <f ca="1"/>
        <v>58.01</v>
      </c>
      <c r="DH4" vm="5186">
        <f ca="1"/>
        <v>57.34</v>
      </c>
      <c r="DI4" vm="5187">
        <f ca="1"/>
        <v>58.71</v>
      </c>
      <c r="DJ4" vm="5188">
        <f ca="1"/>
        <v>58.5</v>
      </c>
      <c r="DK4" vm="5189">
        <f ca="1"/>
        <v>58.95</v>
      </c>
      <c r="DL4" vm="5190">
        <f ca="1"/>
        <v>58.46</v>
      </c>
      <c r="DM4" vm="5191">
        <f ca="1"/>
        <v>58.73</v>
      </c>
      <c r="DN4" vm="5192">
        <f ca="1"/>
        <v>59.26</v>
      </c>
      <c r="DO4" vm="5193">
        <f ca="1"/>
        <v>58.98</v>
      </c>
      <c r="DP4" vm="5194">
        <f ca="1"/>
        <v>58.88</v>
      </c>
      <c r="DQ4" vm="5195">
        <f ca="1"/>
        <v>58.58</v>
      </c>
      <c r="DR4" vm="5196">
        <f ca="1"/>
        <v>59.92</v>
      </c>
      <c r="DS4" vm="5197">
        <f ca="1"/>
        <v>60.59</v>
      </c>
      <c r="DT4" vm="5198">
        <f ca="1"/>
        <v>61.24</v>
      </c>
      <c r="DU4" vm="5199">
        <f ca="1"/>
        <v>61.12</v>
      </c>
      <c r="DV4" vm="5200">
        <f ca="1"/>
        <v>60.97</v>
      </c>
      <c r="DW4" vm="5201">
        <f ca="1"/>
        <v>61.34</v>
      </c>
      <c r="DX4" vm="5202">
        <f ca="1"/>
        <v>59.36</v>
      </c>
      <c r="DY4" vm="5203">
        <f ca="1"/>
        <v>60.13</v>
      </c>
      <c r="DZ4" vm="5204">
        <f ca="1"/>
        <v>58.19</v>
      </c>
      <c r="EA4" vm="5205">
        <f ca="1"/>
        <v>57.26</v>
      </c>
      <c r="EB4" vm="5206">
        <f ca="1"/>
        <v>56.4</v>
      </c>
      <c r="EC4" vm="5207">
        <f ca="1"/>
        <v>55.92</v>
      </c>
      <c r="ED4" vm="4077">
        <f ca="1"/>
        <v>55.35</v>
      </c>
      <c r="EE4" vm="5208">
        <f ca="1"/>
        <v>55.62</v>
      </c>
      <c r="EF4" vm="5209">
        <f ca="1"/>
        <v>57.15</v>
      </c>
      <c r="EG4" vm="5210">
        <f ca="1"/>
        <v>57.8</v>
      </c>
      <c r="EH4" vm="5186">
        <f ca="1"/>
        <v>57.34</v>
      </c>
      <c r="EI4" vm="5211">
        <f ca="1"/>
        <v>58.38</v>
      </c>
      <c r="EJ4" vm="5212">
        <f ca="1"/>
        <v>58</v>
      </c>
      <c r="EK4" vm="5213">
        <f ca="1"/>
        <v>66.62</v>
      </c>
      <c r="EL4" vm="5214">
        <f ca="1"/>
        <v>67.31</v>
      </c>
      <c r="EM4" vm="5215">
        <f ca="1"/>
        <v>66.849999999999994</v>
      </c>
      <c r="EN4" vm="5216">
        <f ca="1"/>
        <v>69.66</v>
      </c>
      <c r="EO4" vm="5217">
        <f ca="1"/>
        <v>69.38</v>
      </c>
      <c r="EP4" vm="5218">
        <f ca="1"/>
        <v>69.87</v>
      </c>
      <c r="EQ4" vm="5219">
        <f ca="1"/>
        <v>69.13</v>
      </c>
      <c r="ER4" vm="5220">
        <f ca="1"/>
        <v>68.67</v>
      </c>
      <c r="ES4" vm="5221">
        <f ca="1"/>
        <v>69.09</v>
      </c>
      <c r="ET4" vm="5222">
        <f ca="1"/>
        <v>68.22</v>
      </c>
      <c r="EU4" vm="5223">
        <f ca="1"/>
        <v>66.87</v>
      </c>
      <c r="EV4" vm="5224">
        <f ca="1"/>
        <v>68.77</v>
      </c>
      <c r="EW4" vm="5225">
        <f ca="1"/>
        <v>68.84</v>
      </c>
      <c r="EX4" vm="5226">
        <f ca="1"/>
        <v>70.75</v>
      </c>
      <c r="EY4" vm="5227">
        <f ca="1"/>
        <v>71.05</v>
      </c>
      <c r="EZ4" vm="5228">
        <f ca="1"/>
        <v>71.22</v>
      </c>
      <c r="FA4" vm="5229">
        <f ca="1"/>
        <v>71.84</v>
      </c>
      <c r="FB4" vm="5230">
        <f ca="1"/>
        <v>71.89</v>
      </c>
      <c r="FC4" vm="5231">
        <f ca="1"/>
        <v>70.52</v>
      </c>
      <c r="FD4" vm="5232">
        <f ca="1"/>
        <v>67.91</v>
      </c>
      <c r="FE4" vm="5233">
        <f ca="1"/>
        <v>67.930000000000007</v>
      </c>
      <c r="FF4" vm="5234">
        <f ca="1"/>
        <v>68.5</v>
      </c>
      <c r="FG4" vm="5235">
        <f ca="1"/>
        <v>68.040000000000006</v>
      </c>
      <c r="FH4" vm="5236">
        <f ca="1"/>
        <v>70.33</v>
      </c>
      <c r="FI4" vm="5237">
        <f ca="1"/>
        <v>71</v>
      </c>
      <c r="FJ4" vm="5238">
        <f ca="1"/>
        <v>72.78</v>
      </c>
      <c r="FK4" vm="5239">
        <f ca="1"/>
        <v>72.81</v>
      </c>
      <c r="FL4" vm="5240">
        <f ca="1"/>
        <v>73.52</v>
      </c>
      <c r="FM4" vm="5241">
        <f ca="1"/>
        <v>72.95</v>
      </c>
      <c r="FN4" vm="5242">
        <f ca="1"/>
        <v>73.66</v>
      </c>
      <c r="FO4" vm="5243">
        <f ca="1"/>
        <v>74.69</v>
      </c>
      <c r="FP4" vm="1521">
        <f ca="1"/>
        <v>75.290000000000006</v>
      </c>
      <c r="FQ4" vm="5244">
        <f ca="1"/>
        <v>76.05</v>
      </c>
      <c r="FR4" vm="5245">
        <f ca="1"/>
        <v>75.709999999999994</v>
      </c>
      <c r="FS4" vm="5246">
        <f ca="1"/>
        <v>77.16</v>
      </c>
      <c r="FT4" vm="5247">
        <f ca="1"/>
        <v>80.8</v>
      </c>
      <c r="FU4" vm="5248">
        <f ca="1"/>
        <v>80.849999999999994</v>
      </c>
      <c r="FV4" vm="5249">
        <f ca="1"/>
        <v>80.89</v>
      </c>
      <c r="FW4" vm="5250">
        <f ca="1"/>
        <v>81.98</v>
      </c>
      <c r="FX4" vm="5251">
        <f ca="1"/>
        <v>81.760000000000005</v>
      </c>
      <c r="FY4" vm="5252">
        <f ca="1"/>
        <v>80.510000000000005</v>
      </c>
      <c r="FZ4" vm="5253">
        <f ca="1"/>
        <v>81.17</v>
      </c>
      <c r="GA4" vm="5254">
        <f ca="1"/>
        <v>82.35</v>
      </c>
      <c r="GB4" vm="5255">
        <f ca="1"/>
        <v>83.03</v>
      </c>
      <c r="GC4" vm="5256">
        <f ca="1"/>
        <v>82.75</v>
      </c>
      <c r="GD4" vm="5257">
        <f ca="1"/>
        <v>82.88</v>
      </c>
      <c r="GE4" vm="5258">
        <f ca="1"/>
        <v>83.06</v>
      </c>
      <c r="GF4" vm="5259">
        <f ca="1"/>
        <v>82.93</v>
      </c>
      <c r="GG4" vm="5260">
        <f ca="1"/>
        <v>82.33</v>
      </c>
      <c r="GH4" vm="5261">
        <f ca="1"/>
        <v>81.319999999999993</v>
      </c>
      <c r="GI4" vm="5262">
        <f ca="1"/>
        <v>80.98</v>
      </c>
      <c r="GJ4" vm="5263">
        <f ca="1"/>
        <v>83.15</v>
      </c>
      <c r="GK4" vm="5264">
        <f ca="1"/>
        <v>82.18</v>
      </c>
      <c r="GL4" vm="5265">
        <f ca="1"/>
        <v>81.91</v>
      </c>
      <c r="GM4" vm="5266">
        <f ca="1"/>
        <v>85.13</v>
      </c>
      <c r="GN4" vm="5267">
        <f ca="1"/>
        <v>82.87</v>
      </c>
      <c r="GO4" vm="5268">
        <f ca="1"/>
        <v>82.9</v>
      </c>
      <c r="GP4" vm="5269">
        <f ca="1"/>
        <v>83.24</v>
      </c>
      <c r="GQ4" vm="5270">
        <f ca="1"/>
        <v>81.23</v>
      </c>
      <c r="GR4" vm="5271">
        <f ca="1"/>
        <v>80.91</v>
      </c>
      <c r="GS4" vm="5272">
        <f ca="1"/>
        <v>80.819999999999993</v>
      </c>
      <c r="GT4" vm="5273">
        <f ca="1"/>
        <v>77.81</v>
      </c>
      <c r="GU4" vm="5274">
        <f ca="1"/>
        <v>80.930000000000007</v>
      </c>
      <c r="GV4" vm="1547">
        <f ca="1"/>
        <v>81.14</v>
      </c>
      <c r="GW4" vm="5275">
        <f ca="1"/>
        <v>79.680000000000007</v>
      </c>
      <c r="GX4" vm="5276">
        <f ca="1"/>
        <v>79.430000000000007</v>
      </c>
      <c r="GY4" vm="5277">
        <f ca="1"/>
        <v>86.38</v>
      </c>
      <c r="GZ4" vm="5278">
        <f ca="1"/>
        <v>84.9</v>
      </c>
      <c r="HA4" vm="288">
        <f ca="1"/>
        <v>86.26</v>
      </c>
      <c r="HB4" vm="5279">
        <f ca="1"/>
        <v>84</v>
      </c>
      <c r="HC4" vm="5280">
        <f ca="1"/>
        <v>84.27</v>
      </c>
      <c r="HD4" vm="5281">
        <f ca="1"/>
        <v>85.71</v>
      </c>
      <c r="HE4" vm="5282">
        <f ca="1"/>
        <v>86.29</v>
      </c>
      <c r="HF4" vm="5283">
        <f ca="1"/>
        <v>83.3</v>
      </c>
      <c r="HG4" vm="5284">
        <f ca="1"/>
        <v>84.24</v>
      </c>
      <c r="HH4" vm="5285">
        <f ca="1"/>
        <v>80.680000000000007</v>
      </c>
      <c r="HI4" vm="5286">
        <f ca="1"/>
        <v>80.27</v>
      </c>
      <c r="HJ4" vm="5287">
        <f ca="1"/>
        <v>79.819999999999993</v>
      </c>
      <c r="HK4" vm="5288">
        <f ca="1"/>
        <v>79.930000000000007</v>
      </c>
      <c r="HL4" vm="5289">
        <f ca="1"/>
        <v>81.08</v>
      </c>
      <c r="HM4" vm="5290">
        <f ca="1"/>
        <v>81.22</v>
      </c>
      <c r="HN4" vm="5291">
        <f ca="1"/>
        <v>83.67</v>
      </c>
      <c r="HO4" vm="5292">
        <f ca="1"/>
        <v>81.47</v>
      </c>
      <c r="HP4" vm="5293">
        <f ca="1"/>
        <v>81.510000000000005</v>
      </c>
      <c r="HQ4" vm="5294">
        <f ca="1"/>
        <v>79.66</v>
      </c>
      <c r="HR4" vm="5295">
        <f ca="1"/>
        <v>81.290000000000006</v>
      </c>
      <c r="HS4" vm="5296">
        <f ca="1"/>
        <v>82.43</v>
      </c>
      <c r="HT4" vm="5297">
        <f ca="1"/>
        <v>80.790000000000006</v>
      </c>
      <c r="HU4" vm="5298">
        <f ca="1"/>
        <v>78.709999999999994</v>
      </c>
      <c r="HV4" vm="5299">
        <f ca="1"/>
        <v>77.760000000000005</v>
      </c>
      <c r="HW4" vm="5300">
        <f ca="1"/>
        <v>77.27</v>
      </c>
      <c r="HX4" vm="5301">
        <f ca="1"/>
        <v>78.599999999999994</v>
      </c>
      <c r="HY4" vm="5302">
        <f ca="1"/>
        <v>76.2</v>
      </c>
      <c r="HZ4" vm="5303">
        <f ca="1"/>
        <v>75.209999999999994</v>
      </c>
      <c r="IA4" vm="5243">
        <f ca="1"/>
        <v>74.69</v>
      </c>
      <c r="IB4" vm="5304">
        <f ca="1"/>
        <v>74.930000000000007</v>
      </c>
      <c r="IC4" vm="5305">
        <f ca="1"/>
        <v>74.790000000000006</v>
      </c>
      <c r="ID4" vm="5306">
        <f ca="1"/>
        <v>73.45</v>
      </c>
      <c r="IE4" vm="5307">
        <f ca="1"/>
        <v>72.39</v>
      </c>
      <c r="IF4" vm="5241">
        <f ca="1"/>
        <v>72.95</v>
      </c>
      <c r="IG4" vm="5308">
        <f ca="1"/>
        <v>74.040000000000006</v>
      </c>
      <c r="IH4" vm="5309">
        <f ca="1"/>
        <v>73.53</v>
      </c>
      <c r="II4" vm="5310">
        <f ca="1"/>
        <v>73.790000000000006</v>
      </c>
      <c r="IJ4" vm="5239">
        <f ca="1"/>
        <v>72.81</v>
      </c>
      <c r="IK4" vm="1523">
        <f ca="1"/>
        <v>75.72</v>
      </c>
      <c r="IL4" vm="5311">
        <f ca="1"/>
        <v>76.569999999999993</v>
      </c>
      <c r="IM4" vm="5312">
        <f ca="1"/>
        <v>76.61</v>
      </c>
      <c r="IN4" vm="5313">
        <f ca="1"/>
        <v>75.599999999999994</v>
      </c>
      <c r="IO4" vm="5314">
        <f ca="1"/>
        <v>72.98</v>
      </c>
      <c r="IP4" vm="5315">
        <f ca="1"/>
        <v>72.760000000000005</v>
      </c>
      <c r="IQ4" vm="5316">
        <f ca="1"/>
        <v>74.5</v>
      </c>
      <c r="IR4" vm="5317">
        <f ca="1"/>
        <v>75.040000000000006</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318">
        <f ca="1"/>
        <v>8510629</v>
      </c>
      <c r="C7" vm="5319">
        <f ca="1"/>
        <v>78.22</v>
      </c>
      <c r="D7" vm="5320">
        <f ca="1"/>
        <v>79.334999999999994</v>
      </c>
      <c r="E7" vm="5321">
        <f ca="1"/>
        <v>78.040000000000006</v>
      </c>
      <c r="F7" vm="5301">
        <f ca="1"/>
        <v>78.599999999999994</v>
      </c>
    </row>
    <row r="8" spans="1:252" x14ac:dyDescent="0.35">
      <c r="A8" vm="256">
        <f ca="1"/>
        <v>46086</v>
      </c>
      <c r="B8" vm="5322">
        <f ca="1"/>
        <v>8642908</v>
      </c>
      <c r="C8" vm="5323">
        <f ca="1"/>
        <v>78</v>
      </c>
      <c r="D8" vm="1537">
        <f ca="1"/>
        <v>78.17</v>
      </c>
      <c r="E8" vm="5324">
        <f ca="1"/>
        <v>75.069999999999993</v>
      </c>
      <c r="F8" vm="5302">
        <f ca="1"/>
        <v>76.2</v>
      </c>
    </row>
    <row r="9" spans="1:252" x14ac:dyDescent="0.35">
      <c r="A9" vm="257">
        <f ca="1"/>
        <v>46087</v>
      </c>
      <c r="B9" vm="5325">
        <f ca="1"/>
        <v>8190952</v>
      </c>
      <c r="C9" vm="5326">
        <f ca="1"/>
        <v>74.739999999999995</v>
      </c>
      <c r="D9" vm="5327">
        <f ca="1"/>
        <v>75.22</v>
      </c>
      <c r="E9" vm="5328">
        <f ca="1"/>
        <v>73.349999999999994</v>
      </c>
      <c r="F9" vm="5303">
        <f ca="1"/>
        <v>75.209999999999994</v>
      </c>
    </row>
    <row r="10" spans="1:252" x14ac:dyDescent="0.35">
      <c r="A10" vm="258">
        <f ca="1"/>
        <v>46090</v>
      </c>
      <c r="B10" vm="5329">
        <f ca="1"/>
        <v>8829631</v>
      </c>
      <c r="C10" vm="5330">
        <f ca="1"/>
        <v>73.400000000000006</v>
      </c>
      <c r="D10" vm="5331">
        <f ca="1"/>
        <v>74.7</v>
      </c>
      <c r="E10" vm="5332">
        <f ca="1"/>
        <v>71.921999999999997</v>
      </c>
      <c r="F10" vm="5243">
        <f ca="1"/>
        <v>74.69</v>
      </c>
    </row>
    <row r="11" spans="1:252" x14ac:dyDescent="0.35">
      <c r="A11" vm="259">
        <f ca="1"/>
        <v>46091</v>
      </c>
      <c r="B11" vm="5333">
        <f ca="1"/>
        <v>8915571</v>
      </c>
      <c r="C11" vm="5334">
        <f ca="1"/>
        <v>74.84</v>
      </c>
      <c r="D11" vm="5335">
        <f ca="1"/>
        <v>77.2</v>
      </c>
      <c r="E11" vm="5334">
        <f ca="1"/>
        <v>74.84</v>
      </c>
      <c r="F11" vm="5304">
        <f ca="1"/>
        <v>74.930000000000007</v>
      </c>
    </row>
    <row r="12" spans="1:252" x14ac:dyDescent="0.35">
      <c r="A12" vm="260">
        <f ca="1"/>
        <v>46092</v>
      </c>
      <c r="B12" vm="5336">
        <f ca="1"/>
        <v>5637485</v>
      </c>
      <c r="C12" vm="5337">
        <f ca="1"/>
        <v>75.459999999999994</v>
      </c>
      <c r="D12" vm="5338">
        <f ca="1"/>
        <v>76.58</v>
      </c>
      <c r="E12" vm="5339">
        <f ca="1"/>
        <v>74.37</v>
      </c>
      <c r="F12" vm="5305">
        <f ca="1"/>
        <v>74.790000000000006</v>
      </c>
    </row>
    <row r="13" spans="1:252" x14ac:dyDescent="0.35">
      <c r="A13" vm="261">
        <f ca="1"/>
        <v>46093</v>
      </c>
      <c r="B13" vm="5340">
        <f ca="1"/>
        <v>7340971</v>
      </c>
      <c r="C13" vm="5341">
        <f ca="1"/>
        <v>73.239999999999995</v>
      </c>
      <c r="D13" vm="5342">
        <f ca="1"/>
        <v>74.02</v>
      </c>
      <c r="E13" vm="5343">
        <f ca="1"/>
        <v>73.099999999999994</v>
      </c>
      <c r="F13" vm="5306">
        <f ca="1"/>
        <v>73.45</v>
      </c>
    </row>
    <row r="14" spans="1:252" x14ac:dyDescent="0.35">
      <c r="A14" vm="262">
        <f ca="1"/>
        <v>46094</v>
      </c>
      <c r="B14" vm="5344">
        <f ca="1"/>
        <v>7229709</v>
      </c>
      <c r="C14" vm="5345">
        <f ca="1"/>
        <v>73.59</v>
      </c>
      <c r="D14" vm="5346">
        <f ca="1"/>
        <v>73.94</v>
      </c>
      <c r="E14" vm="5347">
        <f ca="1"/>
        <v>72.09</v>
      </c>
      <c r="F14" vm="5307">
        <f ca="1"/>
        <v>72.39</v>
      </c>
    </row>
    <row r="15" spans="1:252" x14ac:dyDescent="0.35">
      <c r="A15" vm="263">
        <f ca="1"/>
        <v>46097</v>
      </c>
      <c r="B15" vm="5348">
        <f ca="1"/>
        <v>7471711</v>
      </c>
      <c r="C15" vm="5349">
        <f ca="1"/>
        <v>73.319999999999993</v>
      </c>
      <c r="D15" vm="5350">
        <f ca="1"/>
        <v>73.849999999999994</v>
      </c>
      <c r="E15" vm="5351">
        <f ca="1"/>
        <v>72.430000000000007</v>
      </c>
      <c r="F15" vm="5241">
        <f ca="1"/>
        <v>72.95</v>
      </c>
    </row>
    <row r="16" spans="1:252" x14ac:dyDescent="0.35">
      <c r="A16" vm="264">
        <f ca="1"/>
        <v>46098</v>
      </c>
      <c r="B16" vm="5352">
        <f ca="1"/>
        <v>4690135</v>
      </c>
      <c r="C16" vm="5345">
        <f ca="1"/>
        <v>73.59</v>
      </c>
      <c r="D16" vm="5353">
        <f ca="1"/>
        <v>74.569999999999993</v>
      </c>
      <c r="E16" vm="5354">
        <f ca="1"/>
        <v>73.545000000000002</v>
      </c>
      <c r="F16" vm="5308">
        <f ca="1"/>
        <v>74.040000000000006</v>
      </c>
    </row>
    <row r="17" spans="1:6" x14ac:dyDescent="0.35">
      <c r="A17" vm="265">
        <f ca="1"/>
        <v>46099</v>
      </c>
      <c r="B17" vm="5355">
        <f ca="1"/>
        <v>6000865</v>
      </c>
      <c r="C17" vm="5309">
        <f ca="1"/>
        <v>73.53</v>
      </c>
      <c r="D17" vm="5356">
        <f ca="1"/>
        <v>74.81</v>
      </c>
      <c r="E17" vm="5357">
        <f ca="1"/>
        <v>73.415000000000006</v>
      </c>
      <c r="F17" vm="5309">
        <f ca="1"/>
        <v>73.53</v>
      </c>
    </row>
    <row r="18" spans="1:6" x14ac:dyDescent="0.35">
      <c r="A18" vm="266">
        <f ca="1"/>
        <v>46100</v>
      </c>
      <c r="B18" vm="5358">
        <f ca="1"/>
        <v>9495200</v>
      </c>
      <c r="C18" vm="5359">
        <f ca="1"/>
        <v>72.5</v>
      </c>
      <c r="D18" vm="5360">
        <f ca="1"/>
        <v>74.400000000000006</v>
      </c>
      <c r="E18" vm="5359">
        <f ca="1"/>
        <v>72.5</v>
      </c>
      <c r="F18" vm="5310">
        <f ca="1"/>
        <v>73.790000000000006</v>
      </c>
    </row>
    <row r="19" spans="1:6" x14ac:dyDescent="0.35">
      <c r="A19" vm="267">
        <f ca="1"/>
        <v>46101</v>
      </c>
      <c r="B19" vm="5361">
        <f ca="1"/>
        <v>17760032</v>
      </c>
      <c r="C19" vm="5240">
        <f ca="1"/>
        <v>73.52</v>
      </c>
      <c r="D19" vm="5362">
        <f ca="1"/>
        <v>73.900000000000006</v>
      </c>
      <c r="E19" vm="5363">
        <f ca="1"/>
        <v>72.094999999999999</v>
      </c>
      <c r="F19" vm="5239">
        <f ca="1"/>
        <v>72.81</v>
      </c>
    </row>
    <row r="20" spans="1:6" x14ac:dyDescent="0.35">
      <c r="A20" vm="268">
        <f ca="1"/>
        <v>46104</v>
      </c>
      <c r="B20" vm="5364">
        <f ca="1"/>
        <v>7694773</v>
      </c>
      <c r="C20" vm="5365">
        <f ca="1"/>
        <v>74.75</v>
      </c>
      <c r="D20" vm="5366">
        <f ca="1"/>
        <v>76.849999999999994</v>
      </c>
      <c r="E20" vm="5367">
        <f ca="1"/>
        <v>74.599999999999994</v>
      </c>
      <c r="F20" vm="1523">
        <f ca="1"/>
        <v>75.72</v>
      </c>
    </row>
    <row r="21" spans="1:6" x14ac:dyDescent="0.35">
      <c r="A21" vm="269">
        <f ca="1"/>
        <v>46105</v>
      </c>
      <c r="B21" vm="5368">
        <f ca="1"/>
        <v>7122238</v>
      </c>
      <c r="C21" vm="5369">
        <f ca="1"/>
        <v>74.98</v>
      </c>
      <c r="D21" vm="5370">
        <f ca="1"/>
        <v>76.87</v>
      </c>
      <c r="E21" vm="5371">
        <f ca="1"/>
        <v>74.77</v>
      </c>
      <c r="F21" vm="5311">
        <f ca="1"/>
        <v>76.569999999999993</v>
      </c>
    </row>
    <row r="22" spans="1:6" x14ac:dyDescent="0.35">
      <c r="A22" vm="270">
        <f ca="1"/>
        <v>46106</v>
      </c>
      <c r="B22" vm="5372">
        <f ca="1"/>
        <v>7191117</v>
      </c>
      <c r="C22" vm="5373">
        <f ca="1"/>
        <v>77.900000000000006</v>
      </c>
      <c r="D22" vm="5374">
        <f ca="1"/>
        <v>78.290000000000006</v>
      </c>
      <c r="E22" vm="5375">
        <f ca="1"/>
        <v>76.39</v>
      </c>
      <c r="F22" vm="5312">
        <f ca="1"/>
        <v>76.61</v>
      </c>
    </row>
    <row r="23" spans="1:6" x14ac:dyDescent="0.35">
      <c r="A23" vm="271">
        <f ca="1"/>
        <v>46107</v>
      </c>
      <c r="B23" vm="5376">
        <f ca="1"/>
        <v>8471308</v>
      </c>
      <c r="C23" vm="5377">
        <f ca="1"/>
        <v>75.97</v>
      </c>
      <c r="D23" vm="5378">
        <f ca="1"/>
        <v>77.17</v>
      </c>
      <c r="E23" vm="5379">
        <f ca="1"/>
        <v>74.905000000000001</v>
      </c>
      <c r="F23" vm="5313">
        <f ca="1"/>
        <v>75.599999999999994</v>
      </c>
    </row>
    <row r="24" spans="1:6" x14ac:dyDescent="0.35">
      <c r="A24" vm="272">
        <f ca="1"/>
        <v>46108</v>
      </c>
      <c r="B24" vm="5380">
        <f ca="1"/>
        <v>7563228</v>
      </c>
      <c r="C24" vm="5303">
        <f ca="1"/>
        <v>75.209999999999994</v>
      </c>
      <c r="D24" vm="5381">
        <f ca="1"/>
        <v>75.260000000000005</v>
      </c>
      <c r="E24" vm="5382">
        <f ca="1"/>
        <v>72.680000000000007</v>
      </c>
      <c r="F24" vm="5314">
        <f ca="1"/>
        <v>72.98</v>
      </c>
    </row>
    <row r="25" spans="1:6" x14ac:dyDescent="0.35">
      <c r="A25" vm="273">
        <f ca="1"/>
        <v>46111</v>
      </c>
      <c r="B25" vm="5383">
        <f ca="1"/>
        <v>7192312</v>
      </c>
      <c r="C25" vm="5384">
        <f ca="1"/>
        <v>73.709999999999994</v>
      </c>
      <c r="D25" vm="5385">
        <f ca="1"/>
        <v>74.23</v>
      </c>
      <c r="E25" vm="5386">
        <f ca="1"/>
        <v>72.42</v>
      </c>
      <c r="F25" vm="5315">
        <f ca="1"/>
        <v>72.760000000000005</v>
      </c>
    </row>
    <row r="26" spans="1:6" x14ac:dyDescent="0.35">
      <c r="A26" vm="274">
        <f ca="1"/>
        <v>46112</v>
      </c>
      <c r="B26" vm="5387">
        <f ca="1"/>
        <v>5778164</v>
      </c>
      <c r="C26" vm="5388">
        <f ca="1"/>
        <v>74.05</v>
      </c>
      <c r="D26" vm="5389">
        <f ca="1"/>
        <v>75.09</v>
      </c>
      <c r="E26" vm="5390">
        <f ca="1"/>
        <v>73.405000000000001</v>
      </c>
      <c r="F26" vm="5316">
        <f ca="1"/>
        <v>74.5</v>
      </c>
    </row>
    <row r="27" spans="1:6" x14ac:dyDescent="0.35">
      <c r="A27" vm="275">
        <f ca="1"/>
        <v>46113</v>
      </c>
      <c r="B27" vm="5391">
        <f ca="1"/>
        <v>5147737</v>
      </c>
      <c r="C27" vm="5392">
        <f ca="1"/>
        <v>75.2</v>
      </c>
      <c r="D27" vm="5393">
        <f ca="1"/>
        <v>75.87</v>
      </c>
      <c r="E27" vm="5394">
        <f ca="1"/>
        <v>74.715000000000003</v>
      </c>
      <c r="F27" vm="5317">
        <f ca="1"/>
        <v>75.040000000000006</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R27"/>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2" x14ac:dyDescent="0.35">
      <c r="A1" s="2" t="s">
        <v>8</v>
      </c>
      <c r="B1" t="e" vm="24">
        <v>#VALUE!</v>
      </c>
    </row>
    <row r="3" spans="1:252" x14ac:dyDescent="0.35">
      <c r="A3" s="2" t="s">
        <v>35</v>
      </c>
      <c r="B3" s="2" t="s">
        <v>25</v>
      </c>
    </row>
    <row r="4" spans="1:252" x14ac:dyDescent="0.35">
      <c r="A4" t="s">
        <v>37</v>
      </c>
      <c r="B4" t="s">
        <v>23</v>
      </c>
      <c r="C4" cm="1" vm="5395">
        <f t="array" aca="1" ref="C4:IR4" ca="1">TRANSPOSE(_xlfn.STOCKHISTORY(A4&amp;":"&amp;B4,TODAY()-365,TODAY(),0,0,1))</f>
        <v>454.78</v>
      </c>
      <c r="D4" vm="5396">
        <f ca="1"/>
        <v>432.15</v>
      </c>
      <c r="E4" vm="5397">
        <f ca="1"/>
        <v>430.82</v>
      </c>
      <c r="F4" vm="5398">
        <f ca="1"/>
        <v>443.36</v>
      </c>
      <c r="G4" vm="5399">
        <f ca="1"/>
        <v>462.24</v>
      </c>
      <c r="H4" vm="5400">
        <f ca="1"/>
        <v>463.7</v>
      </c>
      <c r="I4" vm="5401">
        <f ca="1"/>
        <v>474.9</v>
      </c>
      <c r="J4" vm="5402">
        <f ca="1"/>
        <v>475.34</v>
      </c>
      <c r="K4" vm="5403">
        <f ca="1"/>
        <v>469.58</v>
      </c>
      <c r="L4" vm="5404">
        <f ca="1"/>
        <v>477.08</v>
      </c>
      <c r="M4" vm="5405">
        <f ca="1"/>
        <v>464.08</v>
      </c>
      <c r="N4" vm="5406">
        <f ca="1"/>
        <v>458.33</v>
      </c>
      <c r="O4" vm="5407">
        <f ca="1"/>
        <v>462.08</v>
      </c>
      <c r="P4" vm="5408">
        <f ca="1"/>
        <v>463.55</v>
      </c>
      <c r="Q4" vm="5409">
        <f ca="1"/>
        <v>466.81</v>
      </c>
      <c r="R4" vm="5410">
        <f ca="1"/>
        <v>477.64</v>
      </c>
      <c r="S4" vm="5411">
        <f ca="1"/>
        <v>476.29</v>
      </c>
      <c r="T4" vm="5412">
        <f ca="1"/>
        <v>475.88</v>
      </c>
      <c r="U4" vm="5413">
        <f ca="1"/>
        <v>477.75</v>
      </c>
      <c r="V4" vm="5414">
        <f ca="1"/>
        <v>477.72</v>
      </c>
      <c r="W4" vm="5415">
        <f ca="1"/>
        <v>472.8</v>
      </c>
      <c r="X4" vm="5416">
        <f ca="1"/>
        <v>471.56</v>
      </c>
      <c r="Y4" vm="5417">
        <f ca="1"/>
        <v>468.21</v>
      </c>
      <c r="Z4" vm="5418">
        <f ca="1"/>
        <v>471.32</v>
      </c>
      <c r="AA4" vm="5419">
        <f ca="1"/>
        <v>474.53</v>
      </c>
      <c r="AB4" vm="5420">
        <f ca="1"/>
        <v>473.52</v>
      </c>
      <c r="AC4" vm="5421">
        <f ca="1"/>
        <v>473.16</v>
      </c>
      <c r="AD4" vm="5422">
        <f ca="1"/>
        <v>459.83</v>
      </c>
      <c r="AE4" vm="5423">
        <f ca="1"/>
        <v>449.18</v>
      </c>
      <c r="AF4" vm="5424">
        <f ca="1"/>
        <v>465.14</v>
      </c>
      <c r="AG4" vm="5425">
        <f ca="1"/>
        <v>468.32</v>
      </c>
      <c r="AH4" vm="5426">
        <f ca="1"/>
        <v>473.06</v>
      </c>
      <c r="AI4" vm="5427">
        <f ca="1"/>
        <v>475.82</v>
      </c>
      <c r="AJ4" vm="5428">
        <f ca="1"/>
        <v>470.28</v>
      </c>
      <c r="AK4" vm="5429">
        <f ca="1"/>
        <v>470.45</v>
      </c>
      <c r="AL4" vm="5430">
        <f ca="1"/>
        <v>468.88</v>
      </c>
      <c r="AM4" vm="5431">
        <f ca="1"/>
        <v>476.85</v>
      </c>
      <c r="AN4" vm="5432">
        <f ca="1"/>
        <v>469.98</v>
      </c>
      <c r="AO4" vm="5433">
        <f ca="1"/>
        <v>473.69</v>
      </c>
      <c r="AP4" vm="5434">
        <f ca="1"/>
        <v>482.38</v>
      </c>
      <c r="AQ4" vm="5435">
        <f ca="1"/>
        <v>478.82</v>
      </c>
      <c r="AR4" vm="5436">
        <f ca="1"/>
        <v>480.17</v>
      </c>
      <c r="AS4" vm="5437">
        <f ca="1"/>
        <v>482.21</v>
      </c>
      <c r="AT4" vm="5438">
        <f ca="1"/>
        <v>478.03</v>
      </c>
      <c r="AU4" vm="5439">
        <f ca="1"/>
        <v>481.69</v>
      </c>
      <c r="AV4" vm="5440">
        <f ca="1"/>
        <v>480.83</v>
      </c>
      <c r="AW4" vm="5441">
        <f ca="1"/>
        <v>476.9</v>
      </c>
      <c r="AX4" vm="5442">
        <f ca="1"/>
        <v>456.6</v>
      </c>
      <c r="AY4" vm="5443">
        <f ca="1"/>
        <v>469.27</v>
      </c>
      <c r="AZ4" vm="5444">
        <f ca="1"/>
        <v>486.45</v>
      </c>
      <c r="BA4" vm="5445">
        <f ca="1"/>
        <v>467.06</v>
      </c>
      <c r="BB4" vm="5446">
        <f ca="1"/>
        <v>479.34</v>
      </c>
      <c r="BC4" vm="5447">
        <f ca="1"/>
        <v>468.6</v>
      </c>
      <c r="BD4" vm="5448">
        <f ca="1"/>
        <v>470.56</v>
      </c>
      <c r="BE4" vm="5449">
        <f ca="1"/>
        <v>472.46</v>
      </c>
      <c r="BF4" vm="5450">
        <f ca="1"/>
        <v>460.2</v>
      </c>
      <c r="BG4" vm="5451">
        <f ca="1"/>
        <v>458.39</v>
      </c>
      <c r="BH4" vm="5452">
        <f ca="1"/>
        <v>457.9</v>
      </c>
      <c r="BI4" vm="5453">
        <f ca="1"/>
        <v>458.59</v>
      </c>
      <c r="BJ4" vm="5454">
        <f ca="1"/>
        <v>463.14</v>
      </c>
      <c r="BK4" vm="5455">
        <f ca="1"/>
        <v>465.94</v>
      </c>
      <c r="BL4" vm="5456">
        <f ca="1"/>
        <v>462.55</v>
      </c>
      <c r="BM4" vm="5457">
        <f ca="1"/>
        <v>462.52</v>
      </c>
      <c r="BN4" vm="5458">
        <f ca="1"/>
        <v>469.06</v>
      </c>
      <c r="BO4" vm="5459">
        <f ca="1"/>
        <v>463.01</v>
      </c>
      <c r="BP4" vm="5460">
        <f ca="1"/>
        <v>463.06</v>
      </c>
      <c r="BQ4" vm="5461">
        <f ca="1"/>
        <v>464.31</v>
      </c>
      <c r="BR4" vm="5462">
        <f ca="1"/>
        <v>467.51</v>
      </c>
      <c r="BS4" vm="5463">
        <f ca="1"/>
        <v>473.57</v>
      </c>
      <c r="BT4" vm="5464">
        <f ca="1"/>
        <v>470.12</v>
      </c>
      <c r="BU4" vm="5465">
        <f ca="1"/>
        <v>471.47</v>
      </c>
      <c r="BV4" vm="5466">
        <f ca="1"/>
        <v>469.2</v>
      </c>
      <c r="BW4" vm="5467">
        <f ca="1"/>
        <v>463.96</v>
      </c>
      <c r="BX4" vm="5468">
        <f ca="1"/>
        <v>460.53</v>
      </c>
      <c r="BY4" vm="5469">
        <f ca="1"/>
        <v>410.74</v>
      </c>
      <c r="BZ4" vm="5470">
        <f ca="1"/>
        <v>419.39</v>
      </c>
      <c r="CA4" vm="5471">
        <f ca="1"/>
        <v>420.55</v>
      </c>
      <c r="CB4" vm="5472">
        <f ca="1"/>
        <v>421.17</v>
      </c>
      <c r="CC4" vm="5473">
        <f ca="1"/>
        <v>421.34</v>
      </c>
      <c r="CD4" vm="5474">
        <f ca="1"/>
        <v>420.13</v>
      </c>
      <c r="CE4" vm="5475">
        <f ca="1"/>
        <v>418.68</v>
      </c>
      <c r="CF4" vm="5476">
        <f ca="1"/>
        <v>420.98</v>
      </c>
      <c r="CG4" vm="5477">
        <f ca="1"/>
        <v>421.01</v>
      </c>
      <c r="CH4" vm="5478">
        <f ca="1"/>
        <v>423.7</v>
      </c>
      <c r="CI4" vm="5479">
        <f ca="1"/>
        <v>428.24</v>
      </c>
      <c r="CJ4" vm="5480">
        <f ca="1"/>
        <v>434.85</v>
      </c>
      <c r="CK4" vm="5481">
        <f ca="1"/>
        <v>430.75</v>
      </c>
      <c r="CL4" vm="5482">
        <f ca="1"/>
        <v>425.63</v>
      </c>
      <c r="CM4" vm="5483">
        <f ca="1"/>
        <v>426.26</v>
      </c>
      <c r="CN4" vm="5484">
        <f ca="1"/>
        <v>431.56</v>
      </c>
      <c r="CO4" vm="5485">
        <f ca="1"/>
        <v>442.57</v>
      </c>
      <c r="CP4" vm="5486">
        <f ca="1"/>
        <v>437.32</v>
      </c>
      <c r="CQ4" vm="5487">
        <f ca="1"/>
        <v>437.56</v>
      </c>
      <c r="CR4" vm="5488">
        <f ca="1"/>
        <v>440.64</v>
      </c>
      <c r="CS4" vm="5489">
        <f ca="1"/>
        <v>441.1</v>
      </c>
      <c r="CT4" vm="5490">
        <f ca="1"/>
        <v>446</v>
      </c>
      <c r="CU4" vm="5491">
        <f ca="1"/>
        <v>447.2</v>
      </c>
      <c r="CV4" vm="5492">
        <f ca="1"/>
        <v>446.2</v>
      </c>
      <c r="CW4" vm="5493">
        <f ca="1"/>
        <v>447.72</v>
      </c>
      <c r="CX4" vm="5494">
        <f ca="1"/>
        <v>455.46</v>
      </c>
      <c r="CY4" vm="5495">
        <f ca="1"/>
        <v>454.47</v>
      </c>
      <c r="CZ4" vm="5496">
        <f ca="1"/>
        <v>456.18</v>
      </c>
      <c r="DA4" vm="5497">
        <f ca="1"/>
        <v>455.63</v>
      </c>
      <c r="DB4" vm="5498">
        <f ca="1"/>
        <v>452.5</v>
      </c>
      <c r="DC4" vm="5499">
        <f ca="1"/>
        <v>449.06</v>
      </c>
      <c r="DD4" vm="5500">
        <f ca="1"/>
        <v>456.85</v>
      </c>
      <c r="DE4" vm="5501">
        <f ca="1"/>
        <v>463.9</v>
      </c>
      <c r="DF4" vm="5502">
        <f ca="1"/>
        <v>459.11</v>
      </c>
      <c r="DG4" vm="5503">
        <f ca="1"/>
        <v>457.06</v>
      </c>
      <c r="DH4" vm="5504">
        <f ca="1"/>
        <v>463.87</v>
      </c>
      <c r="DI4" vm="5505">
        <f ca="1"/>
        <v>470.73</v>
      </c>
      <c r="DJ4" vm="5506">
        <f ca="1"/>
        <v>471.31</v>
      </c>
      <c r="DK4" vm="5507">
        <f ca="1"/>
        <v>473.25</v>
      </c>
      <c r="DL4" vm="5508">
        <f ca="1"/>
        <v>474.32</v>
      </c>
      <c r="DM4" vm="5509">
        <f ca="1"/>
        <v>473.12</v>
      </c>
      <c r="DN4" vm="5510">
        <f ca="1"/>
        <v>473.62</v>
      </c>
      <c r="DO4" vm="5511">
        <f ca="1"/>
        <v>472.94</v>
      </c>
      <c r="DP4" vm="5512">
        <f ca="1"/>
        <v>480.39</v>
      </c>
      <c r="DQ4" vm="5513">
        <f ca="1"/>
        <v>486.67</v>
      </c>
      <c r="DR4" vm="5514">
        <f ca="1"/>
        <v>486.25</v>
      </c>
      <c r="DS4" vm="5515">
        <f ca="1"/>
        <v>484.34</v>
      </c>
      <c r="DT4" vm="5516">
        <f ca="1"/>
        <v>487.44</v>
      </c>
      <c r="DU4" vm="5517">
        <f ca="1"/>
        <v>491.98</v>
      </c>
      <c r="DV4" vm="5518">
        <f ca="1"/>
        <v>499.21</v>
      </c>
      <c r="DW4" vm="5519">
        <f ca="1"/>
        <v>499</v>
      </c>
      <c r="DX4" vm="5520">
        <f ca="1"/>
        <v>499.36</v>
      </c>
      <c r="DY4" vm="5521">
        <f ca="1"/>
        <v>504.49</v>
      </c>
      <c r="DZ4" vm="5522">
        <f ca="1"/>
        <v>514.24</v>
      </c>
      <c r="EA4" vm="5523">
        <f ca="1"/>
        <v>511.07</v>
      </c>
      <c r="EB4" vm="5524">
        <f ca="1"/>
        <v>514.02</v>
      </c>
      <c r="EC4" vm="5525">
        <f ca="1"/>
        <v>507.76</v>
      </c>
      <c r="ED4" vm="5526">
        <f ca="1"/>
        <v>505.05</v>
      </c>
      <c r="EE4" vm="5527">
        <f ca="1"/>
        <v>503.83</v>
      </c>
      <c r="EF4" vm="5528">
        <f ca="1"/>
        <v>505.18</v>
      </c>
      <c r="EG4" vm="5529">
        <f ca="1"/>
        <v>499.41</v>
      </c>
      <c r="EH4" vm="5530">
        <f ca="1"/>
        <v>493.25</v>
      </c>
      <c r="EI4" vm="5531">
        <f ca="1"/>
        <v>495.15</v>
      </c>
      <c r="EJ4" vm="5532">
        <f ca="1"/>
        <v>505.9</v>
      </c>
      <c r="EK4" vm="5533">
        <f ca="1"/>
        <v>489.5</v>
      </c>
      <c r="EL4" vm="5534">
        <f ca="1"/>
        <v>487.14</v>
      </c>
      <c r="EM4" vm="5535">
        <f ca="1"/>
        <v>488.05</v>
      </c>
      <c r="EN4" vm="5536">
        <f ca="1"/>
        <v>485.41</v>
      </c>
      <c r="EO4" vm="5537">
        <f ca="1"/>
        <v>486.91</v>
      </c>
      <c r="EP4" vm="5538">
        <f ca="1"/>
        <v>485.77</v>
      </c>
      <c r="EQ4" vm="5539">
        <f ca="1"/>
        <v>485.33</v>
      </c>
      <c r="ER4" vm="5540">
        <f ca="1"/>
        <v>489.72</v>
      </c>
      <c r="ES4" vm="5541">
        <f ca="1"/>
        <v>491.88</v>
      </c>
      <c r="ET4" vm="5542">
        <f ca="1"/>
        <v>487.94</v>
      </c>
      <c r="EU4" vm="5543">
        <f ca="1"/>
        <v>484.98</v>
      </c>
      <c r="EV4" vm="5544">
        <f ca="1"/>
        <v>473.14</v>
      </c>
      <c r="EW4" vm="5545">
        <f ca="1"/>
        <v>468.92</v>
      </c>
      <c r="EX4" vm="5546">
        <f ca="1"/>
        <v>458.35</v>
      </c>
      <c r="EY4" vm="5547">
        <f ca="1"/>
        <v>452.1</v>
      </c>
      <c r="EZ4" vm="5548">
        <f ca="1"/>
        <v>457.07</v>
      </c>
      <c r="FA4" vm="5549">
        <f ca="1"/>
        <v>457.04</v>
      </c>
      <c r="FB4" vm="5550">
        <f ca="1"/>
        <v>455.85</v>
      </c>
      <c r="FC4" vm="5551">
        <f ca="1"/>
        <v>465.77</v>
      </c>
      <c r="FD4" vm="5552">
        <f ca="1"/>
        <v>470.78</v>
      </c>
      <c r="FE4" vm="5553">
        <f ca="1"/>
        <v>474.72</v>
      </c>
      <c r="FF4" vm="5554">
        <f ca="1"/>
        <v>469.91</v>
      </c>
      <c r="FG4" vm="5555">
        <f ca="1"/>
        <v>468.26</v>
      </c>
      <c r="FH4" vm="5556">
        <f ca="1"/>
        <v>460.78</v>
      </c>
      <c r="FI4" vm="5557">
        <f ca="1"/>
        <v>451.06</v>
      </c>
      <c r="FJ4" vm="5558">
        <f ca="1"/>
        <v>452.41</v>
      </c>
      <c r="FK4" vm="5559">
        <f ca="1"/>
        <v>454.16</v>
      </c>
      <c r="FL4" vm="5560">
        <f ca="1"/>
        <v>457.86</v>
      </c>
      <c r="FM4" vm="5561">
        <f ca="1"/>
        <v>439.19</v>
      </c>
      <c r="FN4" vm="5562">
        <f ca="1"/>
        <v>441.82</v>
      </c>
      <c r="FO4" vm="5563">
        <f ca="1"/>
        <v>446.8</v>
      </c>
      <c r="FP4" vm="5564">
        <f ca="1"/>
        <v>448.35</v>
      </c>
      <c r="FQ4" vm="5565">
        <f ca="1"/>
        <v>452.2</v>
      </c>
      <c r="FR4" vm="5566">
        <f ca="1"/>
        <v>465.38</v>
      </c>
      <c r="FS4" vm="5567">
        <f ca="1"/>
        <v>466.89</v>
      </c>
      <c r="FT4" vm="5568">
        <f ca="1"/>
        <v>467.94</v>
      </c>
      <c r="FU4" vm="5569">
        <f ca="1"/>
        <v>474.88</v>
      </c>
      <c r="FV4" vm="5570">
        <f ca="1"/>
        <v>480.25</v>
      </c>
      <c r="FW4" vm="5571">
        <f ca="1"/>
        <v>484.42</v>
      </c>
      <c r="FX4" vm="5572">
        <f ca="1"/>
        <v>477.06</v>
      </c>
      <c r="FY4" vm="5573">
        <f ca="1"/>
        <v>474.79</v>
      </c>
      <c r="FZ4" vm="5574">
        <f ca="1"/>
        <v>470.14</v>
      </c>
      <c r="GA4" vm="5575">
        <f ca="1"/>
        <v>474.13</v>
      </c>
      <c r="GB4" vm="5576">
        <f ca="1"/>
        <v>483.57</v>
      </c>
      <c r="GC4" vm="5577">
        <f ca="1"/>
        <v>482.55</v>
      </c>
      <c r="GD4" vm="5578">
        <f ca="1"/>
        <v>485.75</v>
      </c>
      <c r="GE4" vm="5579">
        <f ca="1"/>
        <v>483.03</v>
      </c>
      <c r="GF4" vm="5580">
        <f ca="1"/>
        <v>488.87</v>
      </c>
      <c r="GG4" vm="5581">
        <f ca="1"/>
        <v>488</v>
      </c>
      <c r="GH4" vm="5582">
        <f ca="1"/>
        <v>483.67</v>
      </c>
      <c r="GI4" vm="5583">
        <f ca="1"/>
        <v>497.07</v>
      </c>
      <c r="GJ4" vm="5584">
        <f ca="1"/>
        <v>511.57</v>
      </c>
      <c r="GK4" vm="5585">
        <f ca="1"/>
        <v>522.04</v>
      </c>
      <c r="GL4" vm="5586">
        <f ca="1"/>
        <v>496.87</v>
      </c>
      <c r="GM4" vm="5587">
        <f ca="1"/>
        <v>518.44000000000005</v>
      </c>
      <c r="GN4" vm="5588">
        <f ca="1"/>
        <v>542.91999999999996</v>
      </c>
      <c r="GO4" vm="5589">
        <f ca="1"/>
        <v>551.24</v>
      </c>
      <c r="GP4" vm="5590">
        <f ca="1"/>
        <v>558.29999999999995</v>
      </c>
      <c r="GQ4" vm="5591">
        <f ca="1"/>
        <v>572.70000000000005</v>
      </c>
      <c r="GR4" vm="5592">
        <f ca="1"/>
        <v>577.89</v>
      </c>
      <c r="GS4" vm="5593">
        <f ca="1"/>
        <v>582.42999999999995</v>
      </c>
      <c r="GT4" vm="5594">
        <f ca="1"/>
        <v>576.05999999999995</v>
      </c>
      <c r="GU4" vm="5595">
        <f ca="1"/>
        <v>586.23</v>
      </c>
      <c r="GV4" vm="5596">
        <f ca="1"/>
        <v>593.91</v>
      </c>
      <c r="GW4" vm="5597">
        <f ca="1"/>
        <v>590.82000000000005</v>
      </c>
      <c r="GX4" vm="5598">
        <f ca="1"/>
        <v>581.66</v>
      </c>
      <c r="GY4" vm="5599">
        <f ca="1"/>
        <v>594.95000000000005</v>
      </c>
      <c r="GZ4" vm="5600">
        <f ca="1"/>
        <v>597.27</v>
      </c>
      <c r="HA4" vm="5601">
        <f ca="1"/>
        <v>622.51</v>
      </c>
      <c r="HB4" vm="5602">
        <f ca="1"/>
        <v>634.22</v>
      </c>
      <c r="HC4" vm="5603">
        <f ca="1"/>
        <v>636</v>
      </c>
      <c r="HD4" vm="5604">
        <f ca="1"/>
        <v>628.26</v>
      </c>
      <c r="HE4" vm="5605">
        <f ca="1"/>
        <v>602.76</v>
      </c>
      <c r="HF4" vm="5606">
        <f ca="1"/>
        <v>609.17999999999995</v>
      </c>
      <c r="HG4" vm="5607">
        <f ca="1"/>
        <v>623.58000000000004</v>
      </c>
      <c r="HH4" vm="5608">
        <f ca="1"/>
        <v>638.29</v>
      </c>
      <c r="HI4" vm="5609">
        <f ca="1"/>
        <v>629.55999999999995</v>
      </c>
      <c r="HJ4" vm="5610">
        <f ca="1"/>
        <v>628.70000000000005</v>
      </c>
      <c r="HK4" vm="5611">
        <f ca="1"/>
        <v>637.42999999999995</v>
      </c>
      <c r="HL4" vm="5612">
        <f ca="1"/>
        <v>652.58000000000004</v>
      </c>
      <c r="HM4" vm="5613">
        <f ca="1"/>
        <v>649.58000000000004</v>
      </c>
      <c r="HN4" vm="2587">
        <f ca="1"/>
        <v>649.80999999999995</v>
      </c>
      <c r="HO4" vm="5614">
        <f ca="1"/>
        <v>666.51</v>
      </c>
      <c r="HP4" vm="5615">
        <f ca="1"/>
        <v>658.26</v>
      </c>
      <c r="HQ4" vm="2561">
        <f ca="1"/>
        <v>660.62</v>
      </c>
      <c r="HR4" vm="5616">
        <f ca="1"/>
        <v>664.43</v>
      </c>
      <c r="HS4" vm="5617">
        <f ca="1"/>
        <v>647.5</v>
      </c>
      <c r="HT4" vm="5618">
        <f ca="1"/>
        <v>641.63</v>
      </c>
      <c r="HU4" vm="5619">
        <f ca="1"/>
        <v>658.08</v>
      </c>
      <c r="HV4" vm="5620">
        <f ca="1"/>
        <v>676.7</v>
      </c>
      <c r="HW4" vm="5621">
        <f ca="1"/>
        <v>667.82</v>
      </c>
      <c r="HX4" vm="5622">
        <f ca="1"/>
        <v>664.48</v>
      </c>
      <c r="HY4" vm="5623">
        <f ca="1"/>
        <v>655</v>
      </c>
      <c r="HZ4" vm="5624">
        <f ca="1"/>
        <v>671.77</v>
      </c>
      <c r="IA4" vm="5625">
        <f ca="1"/>
        <v>664.15</v>
      </c>
      <c r="IB4" vm="5626">
        <f ca="1"/>
        <v>651.22</v>
      </c>
      <c r="IC4" vm="5627">
        <f ca="1"/>
        <v>649.47</v>
      </c>
      <c r="ID4" vm="5628">
        <f ca="1"/>
        <v>652.83000000000004</v>
      </c>
      <c r="IE4" vm="5629">
        <f ca="1"/>
        <v>646</v>
      </c>
      <c r="IF4" vm="5630">
        <f ca="1"/>
        <v>645.20000000000005</v>
      </c>
      <c r="IG4" vm="5631">
        <f ca="1"/>
        <v>636.33000000000004</v>
      </c>
      <c r="IH4" vm="5632">
        <f ca="1"/>
        <v>642.28</v>
      </c>
      <c r="II4" vm="5633">
        <f ca="1"/>
        <v>637.51</v>
      </c>
      <c r="IJ4" vm="5634">
        <f ca="1"/>
        <v>627.42999999999995</v>
      </c>
      <c r="IK4" vm="5635">
        <f ca="1"/>
        <v>616.25</v>
      </c>
      <c r="IL4" vm="5636">
        <f ca="1"/>
        <v>610.16999999999996</v>
      </c>
      <c r="IM4" vm="5637">
        <f ca="1"/>
        <v>624.20000000000005</v>
      </c>
      <c r="IN4" vm="5638">
        <f ca="1"/>
        <v>627.33000000000004</v>
      </c>
      <c r="IO4" vm="5639">
        <f ca="1"/>
        <v>615.84</v>
      </c>
      <c r="IP4" vm="5640">
        <f ca="1"/>
        <v>598.57000000000005</v>
      </c>
      <c r="IQ4" vm="5641">
        <f ca="1"/>
        <v>604.39</v>
      </c>
      <c r="IR4" vm="5642">
        <f ca="1"/>
        <v>617.64</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643">
        <f ca="1"/>
        <v>1650894</v>
      </c>
      <c r="C7" vm="5644">
        <f ca="1"/>
        <v>670</v>
      </c>
      <c r="D7" vm="5645">
        <f ca="1"/>
        <v>671</v>
      </c>
      <c r="E7" vm="5646">
        <f ca="1"/>
        <v>652.54</v>
      </c>
      <c r="F7" vm="5622">
        <f ca="1"/>
        <v>664.48</v>
      </c>
    </row>
    <row r="8" spans="1:252" x14ac:dyDescent="0.35">
      <c r="A8" vm="256">
        <f ca="1"/>
        <v>46086</v>
      </c>
      <c r="B8" vm="5647">
        <f ca="1"/>
        <v>1721536</v>
      </c>
      <c r="C8" vm="5648">
        <f ca="1"/>
        <v>662.1</v>
      </c>
      <c r="D8" vm="5649">
        <f ca="1"/>
        <v>663</v>
      </c>
      <c r="E8" vm="5650">
        <f ca="1"/>
        <v>647.22879999999998</v>
      </c>
      <c r="F8" vm="5623">
        <f ca="1"/>
        <v>655</v>
      </c>
    </row>
    <row r="9" spans="1:252" x14ac:dyDescent="0.35">
      <c r="A9" vm="257">
        <f ca="1"/>
        <v>46087</v>
      </c>
      <c r="B9" vm="5651">
        <f ca="1"/>
        <v>1895091</v>
      </c>
      <c r="C9" vm="5652">
        <f ca="1"/>
        <v>661.65</v>
      </c>
      <c r="D9" vm="5653">
        <f ca="1"/>
        <v>672.86</v>
      </c>
      <c r="E9" vm="5654">
        <f ca="1"/>
        <v>656.4</v>
      </c>
      <c r="F9" vm="5624">
        <f ca="1"/>
        <v>671.77</v>
      </c>
    </row>
    <row r="10" spans="1:252" x14ac:dyDescent="0.35">
      <c r="A10" vm="258">
        <f ca="1"/>
        <v>46090</v>
      </c>
      <c r="B10" vm="5655">
        <f ca="1"/>
        <v>2369743</v>
      </c>
      <c r="C10" vm="5656">
        <f ca="1"/>
        <v>675.58</v>
      </c>
      <c r="D10" vm="5657">
        <f ca="1"/>
        <v>676.07500000000005</v>
      </c>
      <c r="E10" vm="5658">
        <f ca="1"/>
        <v>657.34500000000003</v>
      </c>
      <c r="F10" vm="5625">
        <f ca="1"/>
        <v>664.15</v>
      </c>
    </row>
    <row r="11" spans="1:252" x14ac:dyDescent="0.35">
      <c r="A11" vm="259">
        <f ca="1"/>
        <v>46091</v>
      </c>
      <c r="B11" vm="5659">
        <f ca="1"/>
        <v>1653018</v>
      </c>
      <c r="C11" vm="5660">
        <f ca="1"/>
        <v>657.95</v>
      </c>
      <c r="D11" vm="5661">
        <f ca="1"/>
        <v>659.89</v>
      </c>
      <c r="E11" vm="5662">
        <f ca="1"/>
        <v>646.20000000000005</v>
      </c>
      <c r="F11" vm="5626">
        <f ca="1"/>
        <v>651.22</v>
      </c>
    </row>
    <row r="12" spans="1:252" x14ac:dyDescent="0.35">
      <c r="A12" vm="260">
        <f ca="1"/>
        <v>46092</v>
      </c>
      <c r="B12" vm="5663">
        <f ca="1"/>
        <v>1365219</v>
      </c>
      <c r="C12" vm="5664">
        <f ca="1"/>
        <v>645.32000000000005</v>
      </c>
      <c r="D12" vm="5665">
        <f ca="1"/>
        <v>656.99990000000003</v>
      </c>
      <c r="E12" vm="5666">
        <f ca="1"/>
        <v>644.13</v>
      </c>
      <c r="F12" vm="5627">
        <f ca="1"/>
        <v>649.47</v>
      </c>
    </row>
    <row r="13" spans="1:252" x14ac:dyDescent="0.35">
      <c r="A13" vm="261">
        <f ca="1"/>
        <v>46093</v>
      </c>
      <c r="B13" vm="5667">
        <f ca="1"/>
        <v>1411169</v>
      </c>
      <c r="C13" vm="5668">
        <f ca="1"/>
        <v>651.95000000000005</v>
      </c>
      <c r="D13" vm="5669">
        <f ca="1"/>
        <v>661</v>
      </c>
      <c r="E13" vm="5670">
        <f ca="1"/>
        <v>646.63</v>
      </c>
      <c r="F13" vm="5628">
        <f ca="1"/>
        <v>652.83000000000004</v>
      </c>
    </row>
    <row r="14" spans="1:252" x14ac:dyDescent="0.35">
      <c r="A14" vm="262">
        <f ca="1"/>
        <v>46094</v>
      </c>
      <c r="B14" vm="5671">
        <f ca="1"/>
        <v>1071344</v>
      </c>
      <c r="C14" vm="5672">
        <f ca="1"/>
        <v>652.66999999999996</v>
      </c>
      <c r="D14" vm="5673">
        <f ca="1"/>
        <v>660</v>
      </c>
      <c r="E14" vm="5674">
        <f ca="1"/>
        <v>640.5</v>
      </c>
      <c r="F14" vm="5629">
        <f ca="1"/>
        <v>646</v>
      </c>
    </row>
    <row r="15" spans="1:252" x14ac:dyDescent="0.35">
      <c r="A15" vm="263">
        <f ca="1"/>
        <v>46097</v>
      </c>
      <c r="B15" vm="5675">
        <f ca="1"/>
        <v>1180980</v>
      </c>
      <c r="C15" vm="5676">
        <f ca="1"/>
        <v>645.22500000000002</v>
      </c>
      <c r="D15" vm="5677">
        <f ca="1"/>
        <v>651.54999999999995</v>
      </c>
      <c r="E15" vm="5678">
        <f ca="1"/>
        <v>639</v>
      </c>
      <c r="F15" vm="5630">
        <f ca="1"/>
        <v>645.20000000000005</v>
      </c>
    </row>
    <row r="16" spans="1:252" x14ac:dyDescent="0.35">
      <c r="A16" vm="264">
        <f ca="1"/>
        <v>46098</v>
      </c>
      <c r="B16" vm="5679">
        <f ca="1"/>
        <v>1389066</v>
      </c>
      <c r="C16" vm="5680">
        <f ca="1"/>
        <v>644.96</v>
      </c>
      <c r="D16" vm="5681">
        <f ca="1"/>
        <v>645</v>
      </c>
      <c r="E16" vm="5682">
        <f ca="1"/>
        <v>632.78899999999999</v>
      </c>
      <c r="F16" vm="5631">
        <f ca="1"/>
        <v>636.33000000000004</v>
      </c>
    </row>
    <row r="17" spans="1:6" x14ac:dyDescent="0.35">
      <c r="A17" vm="265">
        <f ca="1"/>
        <v>46099</v>
      </c>
      <c r="B17" vm="5683">
        <f ca="1"/>
        <v>1026183</v>
      </c>
      <c r="C17" vm="5684">
        <f ca="1"/>
        <v>641.11</v>
      </c>
      <c r="D17" vm="5685">
        <f ca="1"/>
        <v>645.85</v>
      </c>
      <c r="E17" vm="5686">
        <f ca="1"/>
        <v>636.45000000000005</v>
      </c>
      <c r="F17" vm="5632">
        <f ca="1"/>
        <v>642.28</v>
      </c>
    </row>
    <row r="18" spans="1:6" x14ac:dyDescent="0.35">
      <c r="A18" vm="266">
        <f ca="1"/>
        <v>46100</v>
      </c>
      <c r="B18" vm="5687">
        <f ca="1"/>
        <v>1540841</v>
      </c>
      <c r="C18" vm="5688">
        <f ca="1"/>
        <v>639.05999999999995</v>
      </c>
      <c r="D18" vm="5689">
        <f ca="1"/>
        <v>640</v>
      </c>
      <c r="E18" vm="5690">
        <f ca="1"/>
        <v>623.75</v>
      </c>
      <c r="F18" vm="5633">
        <f ca="1"/>
        <v>637.51</v>
      </c>
    </row>
    <row r="19" spans="1:6" x14ac:dyDescent="0.35">
      <c r="A19" vm="267">
        <f ca="1"/>
        <v>46101</v>
      </c>
      <c r="B19" vm="5691">
        <f ca="1"/>
        <v>6511253</v>
      </c>
      <c r="C19" vm="5692">
        <f ca="1"/>
        <v>635.86</v>
      </c>
      <c r="D19" vm="5693">
        <f ca="1"/>
        <v>638.50990000000002</v>
      </c>
      <c r="E19" vm="5694">
        <f ca="1"/>
        <v>622.37</v>
      </c>
      <c r="F19" vm="5634">
        <f ca="1"/>
        <v>627.42999999999995</v>
      </c>
    </row>
    <row r="20" spans="1:6" x14ac:dyDescent="0.35">
      <c r="A20" vm="268">
        <f ca="1"/>
        <v>46104</v>
      </c>
      <c r="B20" vm="5695">
        <f ca="1"/>
        <v>1386641</v>
      </c>
      <c r="C20" vm="5696">
        <f ca="1"/>
        <v>629.07000000000005</v>
      </c>
      <c r="D20" vm="5697">
        <f ca="1"/>
        <v>629.65790000000004</v>
      </c>
      <c r="E20" vm="5698">
        <f ca="1"/>
        <v>610.63</v>
      </c>
      <c r="F20" vm="5635">
        <f ca="1"/>
        <v>616.25</v>
      </c>
    </row>
    <row r="21" spans="1:6" x14ac:dyDescent="0.35">
      <c r="A21" vm="269">
        <f ca="1"/>
        <v>46105</v>
      </c>
      <c r="B21" vm="5699">
        <f ca="1"/>
        <v>1078188</v>
      </c>
      <c r="C21" vm="5700">
        <f ca="1"/>
        <v>612.95000000000005</v>
      </c>
      <c r="D21" vm="5701">
        <f ca="1"/>
        <v>615.29999999999995</v>
      </c>
      <c r="E21" vm="5702">
        <f ca="1"/>
        <v>605.00009999999997</v>
      </c>
      <c r="F21" vm="5636">
        <f ca="1"/>
        <v>610.16999999999996</v>
      </c>
    </row>
    <row r="22" spans="1:6" x14ac:dyDescent="0.35">
      <c r="A22" vm="270">
        <f ca="1"/>
        <v>46106</v>
      </c>
      <c r="B22" vm="5703">
        <f ca="1"/>
        <v>1190275</v>
      </c>
      <c r="C22" vm="5704">
        <f ca="1"/>
        <v>612.5</v>
      </c>
      <c r="D22" vm="5705">
        <f ca="1"/>
        <v>626.92999999999995</v>
      </c>
      <c r="E22" vm="5706">
        <f ca="1"/>
        <v>612.41999999999996</v>
      </c>
      <c r="F22" vm="5637">
        <f ca="1"/>
        <v>624.20000000000005</v>
      </c>
    </row>
    <row r="23" spans="1:6" x14ac:dyDescent="0.35">
      <c r="A23" vm="271">
        <f ca="1"/>
        <v>46107</v>
      </c>
      <c r="B23" vm="5707">
        <f ca="1"/>
        <v>1262434</v>
      </c>
      <c r="C23" vm="5708">
        <f ca="1"/>
        <v>619.79999999999995</v>
      </c>
      <c r="D23" vm="5709">
        <f ca="1"/>
        <v>632.91999999999996</v>
      </c>
      <c r="E23" vm="5708">
        <f ca="1"/>
        <v>619.79999999999995</v>
      </c>
      <c r="F23" vm="5638">
        <f ca="1"/>
        <v>627.33000000000004</v>
      </c>
    </row>
    <row r="24" spans="1:6" x14ac:dyDescent="0.35">
      <c r="A24" vm="272">
        <f ca="1"/>
        <v>46108</v>
      </c>
      <c r="B24" vm="5710">
        <f ca="1"/>
        <v>1061125</v>
      </c>
      <c r="C24" vm="5711">
        <f ca="1"/>
        <v>625.70000000000005</v>
      </c>
      <c r="D24" vm="5712">
        <f ca="1"/>
        <v>631.44500000000005</v>
      </c>
      <c r="E24" vm="5713">
        <f ca="1"/>
        <v>613.65509999999995</v>
      </c>
      <c r="F24" vm="5639">
        <f ca="1"/>
        <v>615.84</v>
      </c>
    </row>
    <row r="25" spans="1:6" x14ac:dyDescent="0.35">
      <c r="A25" vm="273">
        <f ca="1"/>
        <v>46111</v>
      </c>
      <c r="B25" vm="5714">
        <f ca="1"/>
        <v>1849318</v>
      </c>
      <c r="C25" vm="5715">
        <f ca="1"/>
        <v>621.03</v>
      </c>
      <c r="D25" vm="5716">
        <f ca="1"/>
        <v>623.32000000000005</v>
      </c>
      <c r="E25" vm="5717">
        <f ca="1"/>
        <v>593.88</v>
      </c>
      <c r="F25" vm="5640">
        <f ca="1"/>
        <v>598.57000000000005</v>
      </c>
    </row>
    <row r="26" spans="1:6" x14ac:dyDescent="0.35">
      <c r="A26" vm="274">
        <f ca="1"/>
        <v>46112</v>
      </c>
      <c r="B26" vm="5718">
        <f ca="1"/>
        <v>1327800</v>
      </c>
      <c r="C26" vm="5719">
        <f ca="1"/>
        <v>604.5</v>
      </c>
      <c r="D26" vm="5720">
        <f ca="1"/>
        <v>610</v>
      </c>
      <c r="E26" vm="5721">
        <f ca="1"/>
        <v>598.70000000000005</v>
      </c>
      <c r="F26" vm="5641">
        <f ca="1"/>
        <v>604.39</v>
      </c>
    </row>
    <row r="27" spans="1:6" x14ac:dyDescent="0.35">
      <c r="A27" vm="275">
        <f ca="1"/>
        <v>46113</v>
      </c>
      <c r="B27" vm="5722">
        <f ca="1"/>
        <v>1118050</v>
      </c>
      <c r="C27" vm="5723">
        <f ca="1"/>
        <v>608.82000000000005</v>
      </c>
      <c r="D27" vm="5724">
        <f ca="1"/>
        <v>619.1</v>
      </c>
      <c r="E27" vm="5725">
        <f ca="1"/>
        <v>606.11</v>
      </c>
      <c r="F27" vm="5642">
        <f ca="1"/>
        <v>617.64</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R27"/>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2" x14ac:dyDescent="0.35">
      <c r="A1" s="2" t="s">
        <v>8</v>
      </c>
      <c r="B1" t="e" vm="17">
        <v>#VALUE!</v>
      </c>
    </row>
    <row r="3" spans="1:252" x14ac:dyDescent="0.35">
      <c r="A3" s="2" t="s">
        <v>35</v>
      </c>
      <c r="B3" s="2" t="s">
        <v>25</v>
      </c>
    </row>
    <row r="4" spans="1:252" x14ac:dyDescent="0.35">
      <c r="A4" t="s">
        <v>36</v>
      </c>
      <c r="B4" t="s">
        <v>16</v>
      </c>
      <c r="C4" cm="1" vm="5726">
        <f t="array" aca="1" ref="C4:IR4" ca="1">TRANSPOSE(_xlfn.STOCKHISTORY(A4&amp;":"&amp;B4,TODAY()-365,TODAY(),0,0,1))</f>
        <v>373.11</v>
      </c>
      <c r="D4" vm="5727">
        <f ca="1"/>
        <v>359.84</v>
      </c>
      <c r="E4" vm="5728">
        <f ca="1"/>
        <v>357.86</v>
      </c>
      <c r="F4" vm="5729">
        <f ca="1"/>
        <v>354.56</v>
      </c>
      <c r="G4" vm="5730">
        <f ca="1"/>
        <v>390.49</v>
      </c>
      <c r="H4" vm="5731">
        <f ca="1"/>
        <v>381.35</v>
      </c>
      <c r="I4" vm="5732">
        <f ca="1"/>
        <v>388.45</v>
      </c>
      <c r="J4" vm="5733">
        <f ca="1"/>
        <v>387.81</v>
      </c>
      <c r="K4" vm="5734">
        <f ca="1"/>
        <v>385.73</v>
      </c>
      <c r="L4" vm="5735">
        <f ca="1"/>
        <v>371.61</v>
      </c>
      <c r="M4" vm="5736">
        <f ca="1"/>
        <v>367.78</v>
      </c>
      <c r="N4" vm="5737">
        <f ca="1"/>
        <v>359.12</v>
      </c>
      <c r="O4" vm="5738">
        <f ca="1"/>
        <v>366.82</v>
      </c>
      <c r="P4" vm="5739">
        <f ca="1"/>
        <v>374.39</v>
      </c>
      <c r="Q4" vm="5740">
        <f ca="1"/>
        <v>387.3</v>
      </c>
      <c r="R4" vm="5741">
        <f ca="1"/>
        <v>391.85</v>
      </c>
      <c r="S4" vm="5742">
        <f ca="1"/>
        <v>391.16</v>
      </c>
      <c r="T4" vm="5743">
        <f ca="1"/>
        <v>394.04</v>
      </c>
      <c r="U4" vm="5744">
        <f ca="1"/>
        <v>395.26</v>
      </c>
      <c r="V4" vm="5745">
        <f ca="1"/>
        <v>425.4</v>
      </c>
      <c r="W4" vm="5746">
        <f ca="1"/>
        <v>435.28</v>
      </c>
      <c r="X4" vm="5747">
        <f ca="1"/>
        <v>436.17</v>
      </c>
      <c r="Y4" vm="5748">
        <f ca="1"/>
        <v>433.31</v>
      </c>
      <c r="Z4" vm="5749">
        <f ca="1"/>
        <v>433.35</v>
      </c>
      <c r="AA4" vm="5750">
        <f ca="1"/>
        <v>438.17</v>
      </c>
      <c r="AB4" vm="5751">
        <f ca="1"/>
        <v>438.73</v>
      </c>
      <c r="AC4" vm="5752">
        <f ca="1"/>
        <v>449.26</v>
      </c>
      <c r="AD4" vm="5753">
        <f ca="1"/>
        <v>449.14</v>
      </c>
      <c r="AE4" vm="5754">
        <f ca="1"/>
        <v>452.94</v>
      </c>
      <c r="AF4" vm="5755">
        <f ca="1"/>
        <v>453.13</v>
      </c>
      <c r="AG4" vm="5756">
        <f ca="1"/>
        <v>454.27</v>
      </c>
      <c r="AH4" vm="5757">
        <f ca="1"/>
        <v>458.87</v>
      </c>
      <c r="AI4" vm="5758">
        <f ca="1"/>
        <v>458.17</v>
      </c>
      <c r="AJ4" vm="5759">
        <f ca="1"/>
        <v>452.57</v>
      </c>
      <c r="AK4" vm="5760">
        <f ca="1"/>
        <v>454.86</v>
      </c>
      <c r="AL4" vm="5761">
        <f ca="1"/>
        <v>450.18</v>
      </c>
      <c r="AM4" vm="5762">
        <f ca="1"/>
        <v>460.69</v>
      </c>
      <c r="AN4" vm="5763">
        <f ca="1"/>
        <v>457.36</v>
      </c>
      <c r="AO4" vm="5764">
        <f ca="1"/>
        <v>458.68</v>
      </c>
      <c r="AP4" vm="5765">
        <f ca="1"/>
        <v>460.36</v>
      </c>
      <c r="AQ4" vm="5766">
        <f ca="1"/>
        <v>461.97</v>
      </c>
      <c r="AR4" vm="5767">
        <f ca="1"/>
        <v>462.97</v>
      </c>
      <c r="AS4" vm="5504">
        <f ca="1"/>
        <v>463.87</v>
      </c>
      <c r="AT4" vm="5768">
        <f ca="1"/>
        <v>467.68</v>
      </c>
      <c r="AU4" vm="5769">
        <f ca="1"/>
        <v>470.38</v>
      </c>
      <c r="AV4" vm="5770">
        <f ca="1"/>
        <v>472.75</v>
      </c>
      <c r="AW4" vm="5771">
        <f ca="1"/>
        <v>470.92</v>
      </c>
      <c r="AX4" vm="5772">
        <f ca="1"/>
        <v>472.62</v>
      </c>
      <c r="AY4" vm="5773">
        <f ca="1"/>
        <v>478.87</v>
      </c>
      <c r="AZ4" vm="5774">
        <f ca="1"/>
        <v>474.96</v>
      </c>
      <c r="BA4" vm="5775">
        <f ca="1"/>
        <v>479.14</v>
      </c>
      <c r="BB4" vm="5776">
        <f ca="1"/>
        <v>478.04</v>
      </c>
      <c r="BC4" vm="5777">
        <f ca="1"/>
        <v>480.24</v>
      </c>
      <c r="BD4" vm="5778">
        <f ca="1"/>
        <v>477.4</v>
      </c>
      <c r="BE4" vm="5779">
        <f ca="1"/>
        <v>486</v>
      </c>
      <c r="BF4" vm="5780">
        <f ca="1"/>
        <v>490.11</v>
      </c>
      <c r="BG4" vm="5781">
        <f ca="1"/>
        <v>492.27</v>
      </c>
      <c r="BH4" vm="5782">
        <f ca="1"/>
        <v>497.45</v>
      </c>
      <c r="BI4" vm="5783">
        <f ca="1"/>
        <v>495.94</v>
      </c>
      <c r="BJ4" vm="5784">
        <f ca="1"/>
        <v>497.41</v>
      </c>
      <c r="BK4" vm="5785">
        <f ca="1"/>
        <v>492.05</v>
      </c>
      <c r="BL4" vm="5786">
        <f ca="1"/>
        <v>491.09</v>
      </c>
      <c r="BM4" vm="5787">
        <f ca="1"/>
        <v>498.84</v>
      </c>
      <c r="BN4" vm="5788">
        <f ca="1"/>
        <v>497.72</v>
      </c>
      <c r="BO4" vm="5789">
        <f ca="1"/>
        <v>496.62</v>
      </c>
      <c r="BP4" vm="5790">
        <f ca="1"/>
        <v>503.51</v>
      </c>
      <c r="BQ4" vm="2381">
        <f ca="1"/>
        <v>501.48</v>
      </c>
      <c r="BR4" vm="5791">
        <f ca="1"/>
        <v>503.32</v>
      </c>
      <c r="BS4" vm="5792">
        <f ca="1"/>
        <v>503.02</v>
      </c>
      <c r="BT4" vm="5793">
        <f ca="1"/>
        <v>505.82</v>
      </c>
      <c r="BU4" vm="5794">
        <f ca="1"/>
        <v>505.62</v>
      </c>
      <c r="BV4" vm="5795">
        <f ca="1"/>
        <v>511.7</v>
      </c>
      <c r="BW4" vm="5796">
        <f ca="1"/>
        <v>510.05</v>
      </c>
      <c r="BX4" vm="5797">
        <f ca="1"/>
        <v>510.06</v>
      </c>
      <c r="BY4" vm="5798">
        <f ca="1"/>
        <v>505.27</v>
      </c>
      <c r="BZ4" vm="5799">
        <f ca="1"/>
        <v>505.87</v>
      </c>
      <c r="CA4" vm="5800">
        <f ca="1"/>
        <v>510.88</v>
      </c>
      <c r="CB4" vm="5801">
        <f ca="1"/>
        <v>513.71</v>
      </c>
      <c r="CC4" vm="5802">
        <f ca="1"/>
        <v>512.5</v>
      </c>
      <c r="CD4" vm="5803">
        <f ca="1"/>
        <v>512.57000000000005</v>
      </c>
      <c r="CE4" vm="5804">
        <f ca="1"/>
        <v>513.24</v>
      </c>
      <c r="CF4" vm="5805">
        <f ca="1"/>
        <v>533.5</v>
      </c>
      <c r="CG4" vm="5806">
        <f ca="1"/>
        <v>524.11</v>
      </c>
      <c r="CH4" vm="5807">
        <f ca="1"/>
        <v>535.64</v>
      </c>
      <c r="CI4" vm="5808">
        <f ca="1"/>
        <v>527.75</v>
      </c>
      <c r="CJ4" vm="5809">
        <f ca="1"/>
        <v>524.94000000000005</v>
      </c>
      <c r="CK4" vm="5810">
        <f ca="1"/>
        <v>520.84</v>
      </c>
      <c r="CL4" vm="5585">
        <f ca="1"/>
        <v>522.04</v>
      </c>
      <c r="CM4" vm="5811">
        <f ca="1"/>
        <v>521.77</v>
      </c>
      <c r="CN4" vm="5812">
        <f ca="1"/>
        <v>529.24</v>
      </c>
      <c r="CO4" vm="5813">
        <f ca="1"/>
        <v>520.58000000000004</v>
      </c>
      <c r="CP4" vm="5814">
        <f ca="1"/>
        <v>522.48</v>
      </c>
      <c r="CQ4" vm="5815">
        <f ca="1"/>
        <v>520.16999999999996</v>
      </c>
      <c r="CR4" vm="5816">
        <f ca="1"/>
        <v>517.1</v>
      </c>
      <c r="CS4" vm="5817">
        <f ca="1"/>
        <v>509.77</v>
      </c>
      <c r="CT4" vm="5818">
        <f ca="1"/>
        <v>505.72</v>
      </c>
      <c r="CU4" vm="5819">
        <f ca="1"/>
        <v>504.24</v>
      </c>
      <c r="CV4" vm="5820">
        <f ca="1"/>
        <v>507.23</v>
      </c>
      <c r="CW4" vm="5821">
        <f ca="1"/>
        <v>504.26</v>
      </c>
      <c r="CX4" vm="5822">
        <f ca="1"/>
        <v>502.04</v>
      </c>
      <c r="CY4" vm="5823">
        <f ca="1"/>
        <v>506.74</v>
      </c>
      <c r="CZ4" vm="5824">
        <f ca="1"/>
        <v>509.64</v>
      </c>
      <c r="DA4" vm="5825">
        <f ca="1"/>
        <v>506.69</v>
      </c>
      <c r="DB4" vm="5826">
        <f ca="1"/>
        <v>505.12</v>
      </c>
      <c r="DC4" vm="5827">
        <f ca="1"/>
        <v>505.35</v>
      </c>
      <c r="DD4" vm="5828">
        <f ca="1"/>
        <v>507.97</v>
      </c>
      <c r="DE4" vm="5829">
        <f ca="1"/>
        <v>495</v>
      </c>
      <c r="DF4" vm="5830">
        <f ca="1"/>
        <v>498.2</v>
      </c>
      <c r="DG4" vm="5831">
        <f ca="1"/>
        <v>498.41</v>
      </c>
      <c r="DH4" vm="5832">
        <f ca="1"/>
        <v>500.37</v>
      </c>
      <c r="DI4" vm="5833">
        <f ca="1"/>
        <v>501.01</v>
      </c>
      <c r="DJ4" vm="5834">
        <f ca="1"/>
        <v>509.9</v>
      </c>
      <c r="DK4" vm="5835">
        <f ca="1"/>
        <v>515.36</v>
      </c>
      <c r="DL4" vm="5836">
        <f ca="1"/>
        <v>509.04</v>
      </c>
      <c r="DM4" vm="5837">
        <f ca="1"/>
        <v>510.02</v>
      </c>
      <c r="DN4" vm="5838">
        <f ca="1"/>
        <v>508.45</v>
      </c>
      <c r="DO4" vm="5839">
        <f ca="1"/>
        <v>517.92999999999995</v>
      </c>
      <c r="DP4" vm="5840">
        <f ca="1"/>
        <v>514.45000000000005</v>
      </c>
      <c r="DQ4" vm="5841">
        <f ca="1"/>
        <v>509.23</v>
      </c>
      <c r="DR4" vm="5842">
        <f ca="1"/>
        <v>510.15</v>
      </c>
      <c r="DS4" vm="5843">
        <f ca="1"/>
        <v>507.03</v>
      </c>
      <c r="DT4" vm="5844">
        <f ca="1"/>
        <v>511.46</v>
      </c>
      <c r="DU4" vm="5845">
        <f ca="1"/>
        <v>514.6</v>
      </c>
      <c r="DV4" vm="5846">
        <f ca="1"/>
        <v>517.95000000000005</v>
      </c>
      <c r="DW4" vm="5847">
        <f ca="1"/>
        <v>519.71</v>
      </c>
      <c r="DX4" vm="5848">
        <f ca="1"/>
        <v>515.74</v>
      </c>
      <c r="DY4" vm="5849">
        <f ca="1"/>
        <v>517.35</v>
      </c>
      <c r="DZ4" vm="5850">
        <f ca="1"/>
        <v>528.57000000000005</v>
      </c>
      <c r="EA4" vm="5851">
        <f ca="1"/>
        <v>523.98</v>
      </c>
      <c r="EB4" vm="5852">
        <f ca="1"/>
        <v>524.85</v>
      </c>
      <c r="EC4" vm="5853">
        <f ca="1"/>
        <v>522.4</v>
      </c>
      <c r="ED4" vm="5854">
        <f ca="1"/>
        <v>510.96</v>
      </c>
      <c r="EE4" vm="5855">
        <f ca="1"/>
        <v>514.04999999999995</v>
      </c>
      <c r="EF4" vm="5856">
        <f ca="1"/>
        <v>513.57000000000005</v>
      </c>
      <c r="EG4" vm="5857">
        <f ca="1"/>
        <v>513.42999999999995</v>
      </c>
      <c r="EH4" vm="5858">
        <f ca="1"/>
        <v>511.61</v>
      </c>
      <c r="EI4" vm="5859">
        <f ca="1"/>
        <v>513.58000000000004</v>
      </c>
      <c r="EJ4" vm="5860">
        <f ca="1"/>
        <v>516.79</v>
      </c>
      <c r="EK4" vm="5861">
        <f ca="1"/>
        <v>517.66</v>
      </c>
      <c r="EL4" vm="5862">
        <f ca="1"/>
        <v>520.54</v>
      </c>
      <c r="EM4" vm="5863">
        <f ca="1"/>
        <v>520.55999999999995</v>
      </c>
      <c r="EN4" vm="5864">
        <f ca="1"/>
        <v>523.61</v>
      </c>
      <c r="EO4" vm="5865">
        <f ca="1"/>
        <v>531.52</v>
      </c>
      <c r="EP4" vm="5866">
        <f ca="1"/>
        <v>542.07000000000005</v>
      </c>
      <c r="EQ4" vm="5867">
        <f ca="1"/>
        <v>541.54999999999995</v>
      </c>
      <c r="ER4" vm="5868">
        <f ca="1"/>
        <v>525.76</v>
      </c>
      <c r="ES4" vm="5869">
        <f ca="1"/>
        <v>517.80999999999995</v>
      </c>
      <c r="ET4" vm="5870">
        <f ca="1"/>
        <v>517.03</v>
      </c>
      <c r="EU4" vm="5871">
        <f ca="1"/>
        <v>514.33000000000004</v>
      </c>
      <c r="EV4" vm="5872">
        <f ca="1"/>
        <v>507.16</v>
      </c>
      <c r="EW4" vm="5873">
        <f ca="1"/>
        <v>497.1</v>
      </c>
      <c r="EX4" vm="5874">
        <f ca="1"/>
        <v>496.82</v>
      </c>
      <c r="EY4" vm="5875">
        <f ca="1"/>
        <v>506</v>
      </c>
      <c r="EZ4" vm="5876">
        <f ca="1"/>
        <v>508.68</v>
      </c>
      <c r="FA4" vm="5877">
        <f ca="1"/>
        <v>511.14</v>
      </c>
      <c r="FB4" vm="5878">
        <f ca="1"/>
        <v>503.29</v>
      </c>
      <c r="FC4" vm="5879">
        <f ca="1"/>
        <v>510.18</v>
      </c>
      <c r="FD4" vm="5880">
        <f ca="1"/>
        <v>507.49</v>
      </c>
      <c r="FE4" vm="5881">
        <f ca="1"/>
        <v>493.79</v>
      </c>
      <c r="FF4" vm="5882">
        <f ca="1"/>
        <v>487.12</v>
      </c>
      <c r="FG4" vm="5883">
        <f ca="1"/>
        <v>478.43</v>
      </c>
      <c r="FH4" vm="5884">
        <f ca="1"/>
        <v>472.12</v>
      </c>
      <c r="FI4" vm="5885">
        <f ca="1"/>
        <v>474</v>
      </c>
      <c r="FJ4" vm="5886">
        <f ca="1"/>
        <v>476.99</v>
      </c>
      <c r="FK4" vm="5887">
        <f ca="1"/>
        <v>485.5</v>
      </c>
      <c r="FL4" vm="5888">
        <f ca="1"/>
        <v>492.01</v>
      </c>
      <c r="FM4" vm="5889">
        <f ca="1"/>
        <v>486.74</v>
      </c>
      <c r="FN4" vm="5890">
        <f ca="1"/>
        <v>490</v>
      </c>
      <c r="FO4" vm="5891">
        <f ca="1"/>
        <v>477.73</v>
      </c>
      <c r="FP4" vm="5892">
        <f ca="1"/>
        <v>480.84</v>
      </c>
      <c r="FQ4" vm="5893">
        <f ca="1"/>
        <v>483.16</v>
      </c>
      <c r="FR4" vm="5894">
        <f ca="1"/>
        <v>491.02</v>
      </c>
      <c r="FS4" vm="5895">
        <f ca="1"/>
        <v>492.02</v>
      </c>
      <c r="FT4" vm="5896">
        <f ca="1"/>
        <v>478.56</v>
      </c>
      <c r="FU4" vm="5897">
        <f ca="1"/>
        <v>483.47</v>
      </c>
      <c r="FV4" vm="5898">
        <f ca="1"/>
        <v>478.53</v>
      </c>
      <c r="FW4" vm="5899">
        <f ca="1"/>
        <v>474.82</v>
      </c>
      <c r="FX4" vm="5900">
        <f ca="1"/>
        <v>476.39</v>
      </c>
      <c r="FY4" vm="5901">
        <f ca="1"/>
        <v>476.12</v>
      </c>
      <c r="FZ4" vm="5902">
        <f ca="1"/>
        <v>483.98</v>
      </c>
      <c r="GA4" vm="5903">
        <f ca="1"/>
        <v>485.92</v>
      </c>
      <c r="GB4" vm="5904">
        <f ca="1"/>
        <v>484.92</v>
      </c>
      <c r="GC4" vm="5905">
        <f ca="1"/>
        <v>486.85</v>
      </c>
      <c r="GD4" vm="5906">
        <f ca="1"/>
        <v>488.02</v>
      </c>
      <c r="GE4" vm="5907">
        <f ca="1"/>
        <v>487.71</v>
      </c>
      <c r="GF4" vm="5908">
        <f ca="1"/>
        <v>487.1</v>
      </c>
      <c r="GG4" vm="5909">
        <f ca="1"/>
        <v>487.48</v>
      </c>
      <c r="GH4" vm="5910">
        <f ca="1"/>
        <v>483.62</v>
      </c>
      <c r="GI4" vm="5511">
        <f ca="1"/>
        <v>472.94</v>
      </c>
      <c r="GJ4" vm="5911">
        <f ca="1"/>
        <v>472.85</v>
      </c>
      <c r="GK4" vm="5912">
        <f ca="1"/>
        <v>478.51</v>
      </c>
      <c r="GL4" vm="5897">
        <f ca="1"/>
        <v>483.47</v>
      </c>
      <c r="GM4" vm="5913">
        <f ca="1"/>
        <v>478.11</v>
      </c>
      <c r="GN4" vm="5914">
        <f ca="1"/>
        <v>479.28</v>
      </c>
      <c r="GO4" vm="5915">
        <f ca="1"/>
        <v>477.18</v>
      </c>
      <c r="GP4" vm="5916">
        <f ca="1"/>
        <v>470.67</v>
      </c>
      <c r="GQ4" vm="5917">
        <f ca="1"/>
        <v>459.38</v>
      </c>
      <c r="GR4" vm="5918">
        <f ca="1"/>
        <v>456.66</v>
      </c>
      <c r="GS4" vm="5919">
        <f ca="1"/>
        <v>459.86</v>
      </c>
      <c r="GT4" vm="5920">
        <f ca="1"/>
        <v>454.52</v>
      </c>
      <c r="GU4" vm="5921">
        <f ca="1"/>
        <v>444.11</v>
      </c>
      <c r="GV4" vm="5922">
        <f ca="1"/>
        <v>451.14</v>
      </c>
      <c r="GW4" vm="5923">
        <f ca="1"/>
        <v>465.95</v>
      </c>
      <c r="GX4" vm="5428">
        <f ca="1"/>
        <v>470.28</v>
      </c>
      <c r="GY4" vm="5924">
        <f ca="1"/>
        <v>480.58</v>
      </c>
      <c r="GZ4" vm="5925">
        <f ca="1"/>
        <v>481.63</v>
      </c>
      <c r="HA4" vm="5926">
        <f ca="1"/>
        <v>433.5</v>
      </c>
      <c r="HB4" vm="5927">
        <f ca="1"/>
        <v>430.29</v>
      </c>
      <c r="HC4" vm="5928">
        <f ca="1"/>
        <v>423.37</v>
      </c>
      <c r="HD4" vm="5929">
        <f ca="1"/>
        <v>411.21</v>
      </c>
      <c r="HE4" vm="5930">
        <f ca="1"/>
        <v>414.19</v>
      </c>
      <c r="HF4" vm="5931">
        <f ca="1"/>
        <v>393.67</v>
      </c>
      <c r="HG4" vm="5932">
        <f ca="1"/>
        <v>401.14</v>
      </c>
      <c r="HH4" vm="5933">
        <f ca="1"/>
        <v>413.6</v>
      </c>
      <c r="HI4" vm="5934">
        <f ca="1"/>
        <v>413.27</v>
      </c>
      <c r="HJ4" vm="5935">
        <f ca="1"/>
        <v>404.37</v>
      </c>
      <c r="HK4" vm="5936">
        <f ca="1"/>
        <v>401.84</v>
      </c>
      <c r="HL4" vm="5937">
        <f ca="1"/>
        <v>401.32</v>
      </c>
      <c r="HM4" vm="5938">
        <f ca="1"/>
        <v>396.86</v>
      </c>
      <c r="HN4" vm="5939">
        <f ca="1"/>
        <v>399.6</v>
      </c>
      <c r="HO4" vm="5940">
        <f ca="1"/>
        <v>398.46</v>
      </c>
      <c r="HP4" vm="5941">
        <f ca="1"/>
        <v>397.23</v>
      </c>
      <c r="HQ4" vm="5942">
        <f ca="1"/>
        <v>384.47</v>
      </c>
      <c r="HR4" vm="5943">
        <f ca="1"/>
        <v>389</v>
      </c>
      <c r="HS4" vm="5944">
        <f ca="1"/>
        <v>400.6</v>
      </c>
      <c r="HT4" vm="5945">
        <f ca="1"/>
        <v>401.72</v>
      </c>
      <c r="HU4" vm="5946">
        <f ca="1"/>
        <v>392.74</v>
      </c>
      <c r="HV4" vm="5947">
        <f ca="1"/>
        <v>398.55</v>
      </c>
      <c r="HW4" vm="5948">
        <f ca="1"/>
        <v>403.93</v>
      </c>
      <c r="HX4" vm="5949">
        <f ca="1"/>
        <v>405.2</v>
      </c>
      <c r="HY4" vm="5950">
        <f ca="1"/>
        <v>410.68</v>
      </c>
      <c r="HZ4" vm="5951">
        <f ca="1"/>
        <v>408.96</v>
      </c>
      <c r="IA4" vm="5952">
        <f ca="1"/>
        <v>409.41</v>
      </c>
      <c r="IB4" vm="5953">
        <f ca="1"/>
        <v>405.76</v>
      </c>
      <c r="IC4" vm="5954">
        <f ca="1"/>
        <v>404.88</v>
      </c>
      <c r="ID4" vm="5955">
        <f ca="1"/>
        <v>401.86</v>
      </c>
      <c r="IE4" vm="5956">
        <f ca="1"/>
        <v>395.55</v>
      </c>
      <c r="IF4" vm="5957">
        <f ca="1"/>
        <v>399.95</v>
      </c>
      <c r="IG4" vm="5958">
        <f ca="1"/>
        <v>399.41</v>
      </c>
      <c r="IH4" vm="5959">
        <f ca="1"/>
        <v>391.79</v>
      </c>
      <c r="II4" vm="5960">
        <f ca="1"/>
        <v>389.02</v>
      </c>
      <c r="IJ4" vm="5961">
        <f ca="1"/>
        <v>381.87</v>
      </c>
      <c r="IK4" vm="5962">
        <f ca="1"/>
        <v>383</v>
      </c>
      <c r="IL4" vm="5963">
        <f ca="1"/>
        <v>372.74</v>
      </c>
      <c r="IM4" vm="5964">
        <f ca="1"/>
        <v>371.04</v>
      </c>
      <c r="IN4" vm="5965">
        <f ca="1"/>
        <v>365.97</v>
      </c>
      <c r="IO4" vm="5966">
        <f ca="1"/>
        <v>356.77</v>
      </c>
      <c r="IP4" vm="5967">
        <f ca="1"/>
        <v>358.96</v>
      </c>
      <c r="IQ4" vm="5968">
        <f ca="1"/>
        <v>370.17</v>
      </c>
      <c r="IR4" vm="5969">
        <f ca="1"/>
        <v>369.37</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970">
        <f ca="1"/>
        <v>35807990</v>
      </c>
      <c r="C7" vm="5971">
        <f ca="1"/>
        <v>401.26499999999999</v>
      </c>
      <c r="D7" vm="5972">
        <f ca="1"/>
        <v>411.0326</v>
      </c>
      <c r="E7" vm="5973">
        <f ca="1"/>
        <v>400.31</v>
      </c>
      <c r="F7" vm="5949">
        <f ca="1"/>
        <v>405.2</v>
      </c>
    </row>
    <row r="8" spans="1:252" x14ac:dyDescent="0.35">
      <c r="A8" vm="256">
        <f ca="1"/>
        <v>46086</v>
      </c>
      <c r="B8" vm="5974">
        <f ca="1"/>
        <v>39001315</v>
      </c>
      <c r="C8" vm="5975">
        <f ca="1"/>
        <v>404.42</v>
      </c>
      <c r="D8" vm="5976">
        <f ca="1"/>
        <v>411.61</v>
      </c>
      <c r="E8" vm="5977">
        <f ca="1"/>
        <v>404.4</v>
      </c>
      <c r="F8" vm="5950">
        <f ca="1"/>
        <v>410.68</v>
      </c>
    </row>
    <row r="9" spans="1:252" x14ac:dyDescent="0.35">
      <c r="A9" vm="257">
        <f ca="1"/>
        <v>46087</v>
      </c>
      <c r="B9" vm="5978">
        <f ca="1"/>
        <v>31123859</v>
      </c>
      <c r="C9" vm="5979">
        <f ca="1"/>
        <v>409.2</v>
      </c>
      <c r="D9" vm="5980">
        <f ca="1"/>
        <v>413.05</v>
      </c>
      <c r="E9" vm="5981">
        <f ca="1"/>
        <v>408.51010000000002</v>
      </c>
      <c r="F9" vm="5951">
        <f ca="1"/>
        <v>408.96</v>
      </c>
    </row>
    <row r="10" spans="1:252" x14ac:dyDescent="0.35">
      <c r="A10" vm="258">
        <f ca="1"/>
        <v>46090</v>
      </c>
      <c r="B10" vm="5982">
        <f ca="1"/>
        <v>30131854</v>
      </c>
      <c r="C10" vm="5983">
        <f ca="1"/>
        <v>404.91500000000002</v>
      </c>
      <c r="D10" vm="5984">
        <f ca="1"/>
        <v>410.21</v>
      </c>
      <c r="E10" vm="5985">
        <f ca="1"/>
        <v>403.5</v>
      </c>
      <c r="F10" vm="5952">
        <f ca="1"/>
        <v>409.41</v>
      </c>
    </row>
    <row r="11" spans="1:252" x14ac:dyDescent="0.35">
      <c r="A11" vm="259">
        <f ca="1"/>
        <v>46091</v>
      </c>
      <c r="B11" vm="5986">
        <f ca="1"/>
        <v>31706375</v>
      </c>
      <c r="C11" vm="5987">
        <f ca="1"/>
        <v>410.03</v>
      </c>
      <c r="D11" vm="5988">
        <f ca="1"/>
        <v>410.2</v>
      </c>
      <c r="E11" vm="5989">
        <f ca="1"/>
        <v>402.93</v>
      </c>
      <c r="F11" vm="5953">
        <f ca="1"/>
        <v>405.76</v>
      </c>
    </row>
    <row r="12" spans="1:252" x14ac:dyDescent="0.35">
      <c r="A12" vm="260">
        <f ca="1"/>
        <v>46092</v>
      </c>
      <c r="B12" vm="5990">
        <f ca="1"/>
        <v>25512139</v>
      </c>
      <c r="C12" vm="5991">
        <f ca="1"/>
        <v>405.57</v>
      </c>
      <c r="D12" vm="5992">
        <f ca="1"/>
        <v>409.01</v>
      </c>
      <c r="E12" vm="5993">
        <f ca="1"/>
        <v>401.59</v>
      </c>
      <c r="F12" vm="5954">
        <f ca="1"/>
        <v>404.88</v>
      </c>
    </row>
    <row r="13" spans="1:252" x14ac:dyDescent="0.35">
      <c r="A13" vm="261">
        <f ca="1"/>
        <v>46093</v>
      </c>
      <c r="B13" vm="5994">
        <f ca="1"/>
        <v>27263886</v>
      </c>
      <c r="C13" vm="5995">
        <f ca="1"/>
        <v>404.63</v>
      </c>
      <c r="D13" vm="5996">
        <f ca="1"/>
        <v>406.12</v>
      </c>
      <c r="E13" vm="5997">
        <f ca="1"/>
        <v>401.71</v>
      </c>
      <c r="F13" vm="5955">
        <f ca="1"/>
        <v>401.86</v>
      </c>
    </row>
    <row r="14" spans="1:252" x14ac:dyDescent="0.35">
      <c r="A14" vm="262">
        <f ca="1"/>
        <v>46094</v>
      </c>
      <c r="B14" vm="5998">
        <f ca="1"/>
        <v>26848000</v>
      </c>
      <c r="C14" vm="5999">
        <f ca="1"/>
        <v>401</v>
      </c>
      <c r="D14" vm="6000">
        <f ca="1"/>
        <v>404.8</v>
      </c>
      <c r="E14" vm="6001">
        <f ca="1"/>
        <v>394.25</v>
      </c>
      <c r="F14" vm="5956">
        <f ca="1"/>
        <v>395.55</v>
      </c>
    </row>
    <row r="15" spans="1:252" x14ac:dyDescent="0.35">
      <c r="A15" vm="263">
        <f ca="1"/>
        <v>46097</v>
      </c>
      <c r="B15" vm="6002">
        <f ca="1"/>
        <v>27733721</v>
      </c>
      <c r="C15" vm="6003">
        <f ca="1"/>
        <v>398.07</v>
      </c>
      <c r="D15" vm="6004">
        <f ca="1"/>
        <v>400.63</v>
      </c>
      <c r="E15" vm="6005">
        <f ca="1"/>
        <v>394.79</v>
      </c>
      <c r="F15" vm="5957">
        <f ca="1"/>
        <v>399.95</v>
      </c>
    </row>
    <row r="16" spans="1:252" x14ac:dyDescent="0.35">
      <c r="A16" vm="264">
        <f ca="1"/>
        <v>46098</v>
      </c>
      <c r="B16" vm="6006">
        <f ca="1"/>
        <v>26228279</v>
      </c>
      <c r="C16" vm="6007">
        <f ca="1"/>
        <v>400.27</v>
      </c>
      <c r="D16" vm="5977">
        <f ca="1"/>
        <v>404.4</v>
      </c>
      <c r="E16" vm="6008">
        <f ca="1"/>
        <v>397.745</v>
      </c>
      <c r="F16" vm="5958">
        <f ca="1"/>
        <v>399.41</v>
      </c>
    </row>
    <row r="17" spans="1:6" x14ac:dyDescent="0.35">
      <c r="A17" vm="265">
        <f ca="1"/>
        <v>46099</v>
      </c>
      <c r="B17" vm="6009">
        <f ca="1"/>
        <v>25908484</v>
      </c>
      <c r="C17" vm="6010">
        <f ca="1"/>
        <v>397.125</v>
      </c>
      <c r="D17" vm="6011">
        <f ca="1"/>
        <v>398</v>
      </c>
      <c r="E17" vm="6012">
        <f ca="1"/>
        <v>391</v>
      </c>
      <c r="F17" vm="5959">
        <f ca="1"/>
        <v>391.79</v>
      </c>
    </row>
    <row r="18" spans="1:6" x14ac:dyDescent="0.35">
      <c r="A18" vm="266">
        <f ca="1"/>
        <v>46100</v>
      </c>
      <c r="B18" vm="6013">
        <f ca="1"/>
        <v>25138772</v>
      </c>
      <c r="C18" vm="6014">
        <f ca="1"/>
        <v>390.1</v>
      </c>
      <c r="D18" vm="6015">
        <f ca="1"/>
        <v>392.49</v>
      </c>
      <c r="E18" vm="6016">
        <f ca="1"/>
        <v>387.06</v>
      </c>
      <c r="F18" vm="5960">
        <f ca="1"/>
        <v>389.02</v>
      </c>
    </row>
    <row r="19" spans="1:6" x14ac:dyDescent="0.35">
      <c r="A19" vm="267">
        <f ca="1"/>
        <v>46101</v>
      </c>
      <c r="B19" vm="6017">
        <f ca="1"/>
        <v>50853154</v>
      </c>
      <c r="C19" vm="6018">
        <f ca="1"/>
        <v>386.79</v>
      </c>
      <c r="D19" vm="6019">
        <f ca="1"/>
        <v>387</v>
      </c>
      <c r="E19" vm="6020">
        <f ca="1"/>
        <v>380.12</v>
      </c>
      <c r="F19" vm="5961">
        <f ca="1"/>
        <v>381.87</v>
      </c>
    </row>
    <row r="20" spans="1:6" x14ac:dyDescent="0.35">
      <c r="A20" vm="268">
        <f ca="1"/>
        <v>46104</v>
      </c>
      <c r="B20" vm="6021">
        <f ca="1"/>
        <v>29680059</v>
      </c>
      <c r="C20" vm="6022">
        <f ca="1"/>
        <v>383.9</v>
      </c>
      <c r="D20" vm="6023">
        <f ca="1"/>
        <v>387.21</v>
      </c>
      <c r="E20" vm="6024">
        <f ca="1"/>
        <v>381.68</v>
      </c>
      <c r="F20" vm="5962">
        <f ca="1"/>
        <v>383</v>
      </c>
    </row>
    <row r="21" spans="1:6" x14ac:dyDescent="0.35">
      <c r="A21" vm="269">
        <f ca="1"/>
        <v>46105</v>
      </c>
      <c r="B21" vm="6025">
        <f ca="1"/>
        <v>42733625</v>
      </c>
      <c r="C21" vm="6026">
        <f ca="1"/>
        <v>382.36</v>
      </c>
      <c r="D21" vm="6027">
        <f ca="1"/>
        <v>382.47</v>
      </c>
      <c r="E21" vm="6028">
        <f ca="1"/>
        <v>371.85</v>
      </c>
      <c r="F21" vm="5963">
        <f ca="1"/>
        <v>372.74</v>
      </c>
    </row>
    <row r="22" spans="1:6" x14ac:dyDescent="0.35">
      <c r="A22" vm="270">
        <f ca="1"/>
        <v>46106</v>
      </c>
      <c r="B22" vm="6029">
        <f ca="1"/>
        <v>31181163</v>
      </c>
      <c r="C22" vm="6030">
        <f ca="1"/>
        <v>376.92</v>
      </c>
      <c r="D22" vm="6031">
        <f ca="1"/>
        <v>377.06</v>
      </c>
      <c r="E22" vm="6032">
        <f ca="1"/>
        <v>369.63</v>
      </c>
      <c r="F22" vm="5964">
        <f ca="1"/>
        <v>371.04</v>
      </c>
    </row>
    <row r="23" spans="1:6" x14ac:dyDescent="0.35">
      <c r="A23" vm="271">
        <f ca="1"/>
        <v>46107</v>
      </c>
      <c r="B23" vm="6033">
        <f ca="1"/>
        <v>36836574</v>
      </c>
      <c r="C23" vm="6034">
        <f ca="1"/>
        <v>370.815</v>
      </c>
      <c r="D23" vm="6035">
        <f ca="1"/>
        <v>374.7199</v>
      </c>
      <c r="E23" vm="6036">
        <f ca="1"/>
        <v>365.19</v>
      </c>
      <c r="F23" vm="5965">
        <f ca="1"/>
        <v>365.97</v>
      </c>
    </row>
    <row r="24" spans="1:6" x14ac:dyDescent="0.35">
      <c r="A24" vm="272">
        <f ca="1"/>
        <v>46108</v>
      </c>
      <c r="B24" vm="6037">
        <f ca="1"/>
        <v>37883400</v>
      </c>
      <c r="C24" vm="6038">
        <f ca="1"/>
        <v>361.9</v>
      </c>
      <c r="D24" vm="6039">
        <f ca="1"/>
        <v>362.45</v>
      </c>
      <c r="E24" vm="6040">
        <f ca="1"/>
        <v>356.51</v>
      </c>
      <c r="F24" vm="5966">
        <f ca="1"/>
        <v>356.77</v>
      </c>
    </row>
    <row r="25" spans="1:6" x14ac:dyDescent="0.35">
      <c r="A25" vm="273">
        <f ca="1"/>
        <v>46111</v>
      </c>
      <c r="B25" vm="6041">
        <f ca="1"/>
        <v>44797002</v>
      </c>
      <c r="C25" vm="6042">
        <f ca="1"/>
        <v>361.89499999999998</v>
      </c>
      <c r="D25" vm="6043">
        <f ca="1"/>
        <v>365.36</v>
      </c>
      <c r="E25" vm="6044">
        <f ca="1"/>
        <v>356.28</v>
      </c>
      <c r="F25" vm="5967">
        <f ca="1"/>
        <v>358.96</v>
      </c>
    </row>
    <row r="26" spans="1:6" x14ac:dyDescent="0.35">
      <c r="A26" vm="274">
        <f ca="1"/>
        <v>46112</v>
      </c>
      <c r="B26" vm="6045">
        <f ca="1"/>
        <v>45244365</v>
      </c>
      <c r="C26" vm="6046">
        <f ca="1"/>
        <v>364.55</v>
      </c>
      <c r="D26" vm="6047">
        <f ca="1"/>
        <v>372.9</v>
      </c>
      <c r="E26" vm="6048">
        <f ca="1"/>
        <v>363.07</v>
      </c>
      <c r="F26" vm="5968">
        <f ca="1"/>
        <v>370.17</v>
      </c>
    </row>
    <row r="27" spans="1:6" x14ac:dyDescent="0.35">
      <c r="A27" vm="275">
        <f ca="1"/>
        <v>46113</v>
      </c>
      <c r="B27" vm="6049">
        <f ca="1"/>
        <v>29417206</v>
      </c>
      <c r="C27" vm="6050">
        <f ca="1"/>
        <v>373.49</v>
      </c>
      <c r="D27" vm="6051">
        <f ca="1"/>
        <v>373.99</v>
      </c>
      <c r="E27" vm="6052">
        <f ca="1"/>
        <v>368.2</v>
      </c>
      <c r="F27" vm="5969">
        <f ca="1"/>
        <v>369.37</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R27"/>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2" x14ac:dyDescent="0.35">
      <c r="A1" s="2" t="s">
        <v>8</v>
      </c>
      <c r="B1" t="e" vm="20">
        <v>#VALUE!</v>
      </c>
    </row>
    <row r="3" spans="1:252" x14ac:dyDescent="0.35">
      <c r="A3" s="2" t="s">
        <v>35</v>
      </c>
      <c r="B3" s="2" t="s">
        <v>25</v>
      </c>
    </row>
    <row r="4" spans="1:252" x14ac:dyDescent="0.35">
      <c r="A4" t="s">
        <v>37</v>
      </c>
      <c r="B4" t="s">
        <v>19</v>
      </c>
      <c r="C4" cm="1" vm="6053">
        <f t="array" aca="1" ref="C4:IR4" ca="1">TRANSPOSE(_xlfn.STOCKHISTORY(A4&amp;":"&amp;B4,TODAY()-365,TODAY(),0,0,1))</f>
        <v>511.23</v>
      </c>
      <c r="D4" vm="6054">
        <f ca="1"/>
        <v>470.81</v>
      </c>
      <c r="E4" vm="6055">
        <f ca="1"/>
        <v>465.51</v>
      </c>
      <c r="F4" vm="6056">
        <f ca="1"/>
        <v>462.22</v>
      </c>
      <c r="G4" vm="6057">
        <f ca="1"/>
        <v>516.87</v>
      </c>
      <c r="H4" vm="6058">
        <f ca="1"/>
        <v>489.8</v>
      </c>
      <c r="I4" vm="6059">
        <f ca="1"/>
        <v>494.44</v>
      </c>
      <c r="J4" vm="6060">
        <f ca="1"/>
        <v>503.98</v>
      </c>
      <c r="K4" vm="6061">
        <f ca="1"/>
        <v>507.89</v>
      </c>
      <c r="L4" vm="6062">
        <f ca="1"/>
        <v>499.05</v>
      </c>
      <c r="M4" vm="6063">
        <f ca="1"/>
        <v>509.49</v>
      </c>
      <c r="N4" vm="6064">
        <f ca="1"/>
        <v>501.36</v>
      </c>
      <c r="O4" vm="6065">
        <f ca="1"/>
        <v>519.99</v>
      </c>
      <c r="P4" vm="6066">
        <f ca="1"/>
        <v>529.30999999999995</v>
      </c>
      <c r="Q4" vm="6067">
        <f ca="1"/>
        <v>545.37</v>
      </c>
      <c r="R4" vm="6068">
        <f ca="1"/>
        <v>544.86</v>
      </c>
      <c r="S4" vm="6069">
        <f ca="1"/>
        <v>546.4</v>
      </c>
      <c r="T4" vm="6070">
        <f ca="1"/>
        <v>548.91999999999996</v>
      </c>
      <c r="U4" vm="6071">
        <f ca="1"/>
        <v>547.54999999999995</v>
      </c>
      <c r="V4" vm="6072">
        <f ca="1"/>
        <v>553.83000000000004</v>
      </c>
      <c r="W4" vm="6073">
        <f ca="1"/>
        <v>566.1</v>
      </c>
      <c r="X4" vm="6074">
        <f ca="1"/>
        <v>559.55999999999995</v>
      </c>
      <c r="Y4" vm="6075">
        <f ca="1"/>
        <v>549.36</v>
      </c>
      <c r="Z4" vm="6076">
        <f ca="1"/>
        <v>551.91999999999996</v>
      </c>
      <c r="AA4" vm="6077">
        <f ca="1"/>
        <v>565.70000000000005</v>
      </c>
      <c r="AB4" vm="6078">
        <f ca="1"/>
        <v>567.1</v>
      </c>
      <c r="AC4" vm="6079">
        <f ca="1"/>
        <v>591.34</v>
      </c>
      <c r="AD4" vm="6080">
        <f ca="1"/>
        <v>603.80999999999995</v>
      </c>
      <c r="AE4" vm="6081">
        <f ca="1"/>
        <v>611.6</v>
      </c>
      <c r="AF4" vm="6082">
        <f ca="1"/>
        <v>615.9</v>
      </c>
      <c r="AG4" vm="6083">
        <f ca="1"/>
        <v>619.03</v>
      </c>
      <c r="AH4" vm="6084">
        <f ca="1"/>
        <v>612.29999999999995</v>
      </c>
      <c r="AI4" vm="6085">
        <f ca="1"/>
        <v>606.52</v>
      </c>
      <c r="AJ4" vm="6086">
        <f ca="1"/>
        <v>593.46</v>
      </c>
      <c r="AK4" vm="6087">
        <f ca="1"/>
        <v>598.23</v>
      </c>
      <c r="AL4" vm="6088">
        <f ca="1"/>
        <v>598.54</v>
      </c>
      <c r="AM4" vm="6089">
        <f ca="1"/>
        <v>615.73</v>
      </c>
      <c r="AN4" vm="6090">
        <f ca="1"/>
        <v>608.44000000000005</v>
      </c>
      <c r="AO4" vm="6091">
        <f ca="1"/>
        <v>604.86</v>
      </c>
      <c r="AP4" vm="6092">
        <f ca="1"/>
        <v>600.45000000000005</v>
      </c>
      <c r="AQ4" vm="6093">
        <f ca="1"/>
        <v>598.72</v>
      </c>
      <c r="AR4" vm="6094">
        <f ca="1"/>
        <v>603.83000000000004</v>
      </c>
      <c r="AS4" vm="6095">
        <f ca="1"/>
        <v>599.21</v>
      </c>
      <c r="AT4" vm="6096">
        <f ca="1"/>
        <v>605.88</v>
      </c>
      <c r="AU4" vm="6097">
        <f ca="1"/>
        <v>614</v>
      </c>
      <c r="AV4" vm="6098">
        <f ca="1"/>
        <v>613.52</v>
      </c>
      <c r="AW4" vm="6099">
        <f ca="1"/>
        <v>614.87</v>
      </c>
      <c r="AX4" vm="6100">
        <f ca="1"/>
        <v>624.16999999999996</v>
      </c>
      <c r="AY4" vm="6101">
        <f ca="1"/>
        <v>625.11</v>
      </c>
      <c r="AZ4" vm="6102">
        <f ca="1"/>
        <v>613.54</v>
      </c>
      <c r="BA4" vm="6103">
        <f ca="1"/>
        <v>627.85</v>
      </c>
      <c r="BB4" vm="6104">
        <f ca="1"/>
        <v>624.64</v>
      </c>
      <c r="BC4" vm="6105">
        <f ca="1"/>
        <v>635.24</v>
      </c>
      <c r="BD4" vm="6106">
        <f ca="1"/>
        <v>640.79999999999995</v>
      </c>
      <c r="BE4" vm="6107">
        <f ca="1"/>
        <v>646.88</v>
      </c>
      <c r="BF4" vm="6108">
        <f ca="1"/>
        <v>662.11</v>
      </c>
      <c r="BG4" vm="6109">
        <f ca="1"/>
        <v>669.87</v>
      </c>
      <c r="BH4" vm="6110">
        <f ca="1"/>
        <v>687.16</v>
      </c>
      <c r="BI4" vm="6111">
        <f ca="1"/>
        <v>690.81</v>
      </c>
      <c r="BJ4" vm="6112">
        <f ca="1"/>
        <v>707.75</v>
      </c>
      <c r="BK4" vm="6113">
        <f ca="1"/>
        <v>706.46</v>
      </c>
      <c r="BL4" vm="6114">
        <f ca="1"/>
        <v>715.89</v>
      </c>
      <c r="BM4" vm="6115">
        <f ca="1"/>
        <v>723.68</v>
      </c>
      <c r="BN4" vm="6116">
        <f ca="1"/>
        <v>710.93</v>
      </c>
      <c r="BO4" vm="6117">
        <f ca="1"/>
        <v>697.28</v>
      </c>
      <c r="BP4" vm="6118">
        <f ca="1"/>
        <v>696.56</v>
      </c>
      <c r="BQ4" vm="6119">
        <f ca="1"/>
        <v>709.12</v>
      </c>
      <c r="BR4" vm="6120">
        <f ca="1"/>
        <v>704.95</v>
      </c>
      <c r="BS4" vm="6121">
        <f ca="1"/>
        <v>713.3</v>
      </c>
      <c r="BT4" vm="6122">
        <f ca="1"/>
        <v>702.51</v>
      </c>
      <c r="BU4" vm="6123">
        <f ca="1"/>
        <v>708.82</v>
      </c>
      <c r="BV4" vm="6124">
        <f ca="1"/>
        <v>705.84</v>
      </c>
      <c r="BW4" vm="6125">
        <f ca="1"/>
        <v>708.26</v>
      </c>
      <c r="BX4" vm="6126">
        <f ca="1"/>
        <v>706</v>
      </c>
      <c r="BY4" vm="6127">
        <f ca="1"/>
        <v>700.41</v>
      </c>
      <c r="BZ4" vm="6128">
        <f ca="1"/>
        <v>717.52</v>
      </c>
      <c r="CA4" vm="6129">
        <f ca="1"/>
        <v>719.18</v>
      </c>
      <c r="CB4" vm="6130">
        <f ca="1"/>
        <v>728.98</v>
      </c>
      <c r="CC4" vm="6131">
        <f ca="1"/>
        <v>723.65</v>
      </c>
      <c r="CD4" vm="6132">
        <f ca="1"/>
        <v>731.98</v>
      </c>
      <c r="CE4" vm="6133">
        <f ca="1"/>
        <v>730.75</v>
      </c>
      <c r="CF4" vm="6134">
        <f ca="1"/>
        <v>723.59</v>
      </c>
      <c r="CG4" vm="6135">
        <f ca="1"/>
        <v>709.57</v>
      </c>
      <c r="CH4" vm="6136">
        <f ca="1"/>
        <v>726.03</v>
      </c>
      <c r="CI4" vm="6137">
        <f ca="1"/>
        <v>720.91</v>
      </c>
      <c r="CJ4" vm="6138">
        <f ca="1"/>
        <v>724.74</v>
      </c>
      <c r="CK4" vm="6139">
        <f ca="1"/>
        <v>719.74</v>
      </c>
      <c r="CL4" vm="6140">
        <f ca="1"/>
        <v>721.27</v>
      </c>
      <c r="CM4" vm="6141">
        <f ca="1"/>
        <v>719.24</v>
      </c>
      <c r="CN4" vm="6142">
        <f ca="1"/>
        <v>743.38</v>
      </c>
      <c r="CO4" vm="6143">
        <f ca="1"/>
        <v>744.69</v>
      </c>
      <c r="CP4" vm="6144">
        <f ca="1"/>
        <v>747.2</v>
      </c>
      <c r="CQ4" vm="6145">
        <f ca="1"/>
        <v>730.72</v>
      </c>
      <c r="CR4" vm="6146">
        <f ca="1"/>
        <v>730.96</v>
      </c>
      <c r="CS4" vm="6147">
        <f ca="1"/>
        <v>721.38</v>
      </c>
      <c r="CT4" vm="6148">
        <f ca="1"/>
        <v>720.68</v>
      </c>
      <c r="CU4" vm="6149">
        <f ca="1"/>
        <v>715.95</v>
      </c>
      <c r="CV4" vm="6150">
        <f ca="1"/>
        <v>741.89</v>
      </c>
      <c r="CW4" vm="6151">
        <f ca="1"/>
        <v>738.79</v>
      </c>
      <c r="CX4" vm="6152">
        <f ca="1"/>
        <v>748.95</v>
      </c>
      <c r="CY4" vm="6153">
        <f ca="1"/>
        <v>749.67</v>
      </c>
      <c r="CZ4" vm="6154">
        <f ca="1"/>
        <v>751.22</v>
      </c>
      <c r="DA4" vm="6155">
        <f ca="1"/>
        <v>745.25</v>
      </c>
      <c r="DB4" vm="6156">
        <f ca="1"/>
        <v>730.85</v>
      </c>
      <c r="DC4" vm="6157">
        <f ca="1"/>
        <v>730.56</v>
      </c>
      <c r="DD4" vm="6158">
        <f ca="1"/>
        <v>748.9</v>
      </c>
      <c r="DE4" vm="6159">
        <f ca="1"/>
        <v>738.21</v>
      </c>
      <c r="DF4" vm="6160">
        <f ca="1"/>
        <v>741.85</v>
      </c>
      <c r="DG4" vm="6161">
        <f ca="1"/>
        <v>763.92</v>
      </c>
      <c r="DH4" vm="6162">
        <f ca="1"/>
        <v>769.58</v>
      </c>
      <c r="DI4" vm="6163">
        <f ca="1"/>
        <v>784.73</v>
      </c>
      <c r="DJ4" vm="6164">
        <f ca="1"/>
        <v>780.06</v>
      </c>
      <c r="DK4" vm="6165">
        <f ca="1"/>
        <v>786.76</v>
      </c>
      <c r="DL4" vm="6166">
        <f ca="1"/>
        <v>785.53</v>
      </c>
      <c r="DM4" vm="6167">
        <f ca="1"/>
        <v>794.22</v>
      </c>
      <c r="DN4" vm="6168">
        <f ca="1"/>
        <v>804.31</v>
      </c>
      <c r="DO4" vm="6169">
        <f ca="1"/>
        <v>805</v>
      </c>
      <c r="DP4" vm="6170">
        <f ca="1"/>
        <v>805.56</v>
      </c>
      <c r="DQ4" vm="6171">
        <f ca="1"/>
        <v>806.32</v>
      </c>
      <c r="DR4" vm="6172">
        <f ca="1"/>
        <v>792.43</v>
      </c>
      <c r="DS4" vm="6173">
        <f ca="1"/>
        <v>794.76</v>
      </c>
      <c r="DT4" vm="6174">
        <f ca="1"/>
        <v>802.51</v>
      </c>
      <c r="DU4" vm="6175">
        <f ca="1"/>
        <v>804.12</v>
      </c>
      <c r="DV4" vm="6176">
        <f ca="1"/>
        <v>796.35</v>
      </c>
      <c r="DW4" vm="6177">
        <f ca="1"/>
        <v>785.51</v>
      </c>
      <c r="DX4" vm="6178">
        <f ca="1"/>
        <v>779.38</v>
      </c>
      <c r="DY4" vm="6179">
        <f ca="1"/>
        <v>789.98</v>
      </c>
      <c r="DZ4" vm="6180">
        <f ca="1"/>
        <v>796.78</v>
      </c>
      <c r="EA4" vm="6181">
        <f ca="1"/>
        <v>789.65</v>
      </c>
      <c r="EB4" vm="6182">
        <f ca="1"/>
        <v>776.51</v>
      </c>
      <c r="EC4" vm="6183">
        <f ca="1"/>
        <v>779.96</v>
      </c>
      <c r="ED4" vm="6184">
        <f ca="1"/>
        <v>764.36</v>
      </c>
      <c r="EE4" vm="6185">
        <f ca="1"/>
        <v>786.78</v>
      </c>
      <c r="EF4" vm="6186">
        <f ca="1"/>
        <v>770.76</v>
      </c>
      <c r="EG4" vm="6187">
        <f ca="1"/>
        <v>767.93</v>
      </c>
      <c r="EH4" vm="6188">
        <f ca="1"/>
        <v>758.09</v>
      </c>
      <c r="EI4" vm="6189">
        <f ca="1"/>
        <v>750.77</v>
      </c>
      <c r="EJ4" vm="6190">
        <f ca="1"/>
        <v>763.32</v>
      </c>
      <c r="EK4" vm="6191">
        <f ca="1"/>
        <v>758.98</v>
      </c>
      <c r="EL4" vm="6192">
        <f ca="1"/>
        <v>744.6</v>
      </c>
      <c r="EM4" vm="6193">
        <f ca="1"/>
        <v>750.78</v>
      </c>
      <c r="EN4" vm="6194">
        <f ca="1"/>
        <v>783.88</v>
      </c>
      <c r="EO4" vm="6195">
        <f ca="1"/>
        <v>789.99</v>
      </c>
      <c r="EP4" vm="6196">
        <f ca="1"/>
        <v>792.09</v>
      </c>
      <c r="EQ4" vm="6197">
        <f ca="1"/>
        <v>783.06</v>
      </c>
      <c r="ER4" vm="6198">
        <f ca="1"/>
        <v>790.16</v>
      </c>
      <c r="ES4" vm="6199">
        <f ca="1"/>
        <v>789.37</v>
      </c>
      <c r="ET4" vm="6200">
        <f ca="1"/>
        <v>785.52</v>
      </c>
      <c r="EU4" vm="6201">
        <f ca="1"/>
        <v>790.83</v>
      </c>
      <c r="EV4" vm="6202">
        <f ca="1"/>
        <v>793.09</v>
      </c>
      <c r="EW4" vm="6203">
        <f ca="1"/>
        <v>787.58</v>
      </c>
      <c r="EX4" vm="6204">
        <f ca="1"/>
        <v>786.34</v>
      </c>
      <c r="EY4" vm="6205">
        <f ca="1"/>
        <v>797.2</v>
      </c>
      <c r="EZ4" vm="6206">
        <f ca="1"/>
        <v>810.31</v>
      </c>
      <c r="FA4" vm="6207">
        <f ca="1"/>
        <v>838.97</v>
      </c>
      <c r="FB4" vm="6208">
        <f ca="1"/>
        <v>805.5</v>
      </c>
      <c r="FC4" vm="6209">
        <f ca="1"/>
        <v>790.91</v>
      </c>
      <c r="FD4" vm="6210">
        <f ca="1"/>
        <v>775.56</v>
      </c>
      <c r="FE4" vm="6211">
        <f ca="1"/>
        <v>776.3</v>
      </c>
      <c r="FF4" vm="6212">
        <f ca="1"/>
        <v>785.99</v>
      </c>
      <c r="FG4" vm="6213">
        <f ca="1"/>
        <v>773.7</v>
      </c>
      <c r="FH4" vm="6214">
        <f ca="1"/>
        <v>774.03</v>
      </c>
      <c r="FI4" vm="6215">
        <f ca="1"/>
        <v>790.71</v>
      </c>
      <c r="FJ4" vm="6216">
        <f ca="1"/>
        <v>802.32</v>
      </c>
      <c r="FK4" vm="6217">
        <f ca="1"/>
        <v>816.01</v>
      </c>
      <c r="FL4" vm="6218">
        <f ca="1"/>
        <v>826.04</v>
      </c>
      <c r="FM4" vm="6219">
        <f ca="1"/>
        <v>810.86</v>
      </c>
      <c r="FN4" vm="6220">
        <f ca="1"/>
        <v>815.21</v>
      </c>
      <c r="FO4" vm="6221">
        <f ca="1"/>
        <v>836.57</v>
      </c>
      <c r="FP4" vm="6222">
        <f ca="1"/>
        <v>837.83</v>
      </c>
      <c r="FQ4" vm="6223">
        <f ca="1"/>
        <v>854.56</v>
      </c>
      <c r="FR4" vm="6224">
        <f ca="1"/>
        <v>866.69</v>
      </c>
      <c r="FS4" vm="6225">
        <f ca="1"/>
        <v>876.58</v>
      </c>
      <c r="FT4" vm="6226">
        <f ca="1"/>
        <v>889.24</v>
      </c>
      <c r="FU4" vm="6227">
        <f ca="1"/>
        <v>911.03</v>
      </c>
      <c r="FV4" vm="6228">
        <f ca="1"/>
        <v>887.96</v>
      </c>
      <c r="FW4" vm="6229">
        <f ca="1"/>
        <v>889.59</v>
      </c>
      <c r="FX4" vm="6230">
        <f ca="1"/>
        <v>879.15</v>
      </c>
      <c r="FY4" vm="6231">
        <f ca="1"/>
        <v>872.33</v>
      </c>
      <c r="FZ4" vm="6232">
        <f ca="1"/>
        <v>876.3</v>
      </c>
      <c r="GA4" vm="6233">
        <f ca="1"/>
        <v>893.48</v>
      </c>
      <c r="GB4" vm="6234">
        <f ca="1"/>
        <v>899</v>
      </c>
      <c r="GC4" vm="6235">
        <f ca="1"/>
        <v>901.71</v>
      </c>
      <c r="GD4" vm="6236">
        <f ca="1"/>
        <v>910.78</v>
      </c>
      <c r="GE4" vm="6237">
        <f ca="1"/>
        <v>907.04</v>
      </c>
      <c r="GF4" vm="6238">
        <f ca="1"/>
        <v>892.18</v>
      </c>
      <c r="GG4" vm="6239">
        <f ca="1"/>
        <v>884.42</v>
      </c>
      <c r="GH4" vm="6240">
        <f ca="1"/>
        <v>879</v>
      </c>
      <c r="GI4" vm="6241">
        <f ca="1"/>
        <v>914.34</v>
      </c>
      <c r="GJ4" vm="6242">
        <f ca="1"/>
        <v>948.44</v>
      </c>
      <c r="GK4" vm="6243">
        <f ca="1"/>
        <v>955.47</v>
      </c>
      <c r="GL4" vm="6244">
        <f ca="1"/>
        <v>941.02</v>
      </c>
      <c r="GM4" vm="6245">
        <f ca="1"/>
        <v>934.83</v>
      </c>
      <c r="GN4" vm="6246">
        <f ca="1"/>
        <v>938.98</v>
      </c>
      <c r="GO4" vm="6247">
        <f ca="1"/>
        <v>949.55</v>
      </c>
      <c r="GP4" vm="6248">
        <f ca="1"/>
        <v>938.15</v>
      </c>
      <c r="GQ4" vm="6249">
        <f ca="1"/>
        <v>932.67</v>
      </c>
      <c r="GR4" vm="6250">
        <f ca="1"/>
        <v>975.86</v>
      </c>
      <c r="GS4" vm="6251">
        <f ca="1"/>
        <v>962</v>
      </c>
      <c r="GT4" vm="6252">
        <f ca="1"/>
        <v>943.37</v>
      </c>
      <c r="GU4" vm="6253">
        <f ca="1"/>
        <v>953.01</v>
      </c>
      <c r="GV4" vm="6254">
        <f ca="1"/>
        <v>954.65</v>
      </c>
      <c r="GW4" vm="6255">
        <f ca="1"/>
        <v>918.88</v>
      </c>
      <c r="GX4" vm="6256">
        <f ca="1"/>
        <v>931.86</v>
      </c>
      <c r="GY4" vm="6257">
        <f ca="1"/>
        <v>929.72</v>
      </c>
      <c r="GZ4" vm="6258">
        <f ca="1"/>
        <v>936.81</v>
      </c>
      <c r="HA4" vm="6259">
        <f ca="1"/>
        <v>940.12</v>
      </c>
      <c r="HB4" vm="6260">
        <f ca="1"/>
        <v>935.41</v>
      </c>
      <c r="HC4" vm="6261">
        <f ca="1"/>
        <v>946.33</v>
      </c>
      <c r="HD4" vm="6262">
        <f ca="1"/>
        <v>938.99</v>
      </c>
      <c r="HE4" vm="6263">
        <f ca="1"/>
        <v>913.3</v>
      </c>
      <c r="HF4" vm="6264">
        <f ca="1"/>
        <v>890.41</v>
      </c>
      <c r="HG4" vm="6265">
        <f ca="1"/>
        <v>928.75</v>
      </c>
      <c r="HH4" vm="6266">
        <f ca="1"/>
        <v>943.62</v>
      </c>
      <c r="HI4" vm="6267">
        <f ca="1"/>
        <v>948.99</v>
      </c>
      <c r="HJ4" vm="6268">
        <f ca="1"/>
        <v>944.59</v>
      </c>
      <c r="HK4" vm="6269">
        <f ca="1"/>
        <v>904.55</v>
      </c>
      <c r="HL4" vm="6270">
        <f ca="1"/>
        <v>905.14</v>
      </c>
      <c r="HM4" vm="6271">
        <f ca="1"/>
        <v>916.04</v>
      </c>
      <c r="HN4" vm="6272">
        <f ca="1"/>
        <v>933.73</v>
      </c>
      <c r="HO4" vm="6273">
        <f ca="1"/>
        <v>916.65</v>
      </c>
      <c r="HP4" vm="6274">
        <f ca="1"/>
        <v>922.24</v>
      </c>
      <c r="HQ4" vm="6275">
        <f ca="1"/>
        <v>892.31</v>
      </c>
      <c r="HR4" vm="6276">
        <f ca="1"/>
        <v>902.27</v>
      </c>
      <c r="HS4" vm="6277">
        <f ca="1"/>
        <v>921.38</v>
      </c>
      <c r="HT4" vm="6278">
        <f ca="1"/>
        <v>929</v>
      </c>
      <c r="HU4" vm="6279">
        <f ca="1"/>
        <v>859.57</v>
      </c>
      <c r="HV4" vm="6280">
        <f ca="1"/>
        <v>861.7</v>
      </c>
      <c r="HW4" vm="6281">
        <f ca="1"/>
        <v>862.58</v>
      </c>
      <c r="HX4" vm="6282">
        <f ca="1"/>
        <v>867.25</v>
      </c>
      <c r="HY4" vm="6283">
        <f ca="1"/>
        <v>835.46</v>
      </c>
      <c r="HZ4" vm="6284">
        <f ca="1"/>
        <v>821.42</v>
      </c>
      <c r="IA4" vm="6285">
        <f ca="1"/>
        <v>832.03</v>
      </c>
      <c r="IB4" vm="6286">
        <f ca="1"/>
        <v>833.81</v>
      </c>
      <c r="IC4" vm="6287">
        <f ca="1"/>
        <v>823.76</v>
      </c>
      <c r="ID4" vm="6288">
        <f ca="1"/>
        <v>787.52</v>
      </c>
      <c r="IE4" vm="6289">
        <f ca="1"/>
        <v>782.21</v>
      </c>
      <c r="IF4" vm="6290">
        <f ca="1"/>
        <v>794.77</v>
      </c>
      <c r="IG4" vm="6291">
        <f ca="1"/>
        <v>807.04</v>
      </c>
      <c r="IH4" vm="6292">
        <f ca="1"/>
        <v>805.48</v>
      </c>
      <c r="II4" vm="6293">
        <f ca="1"/>
        <v>809.5</v>
      </c>
      <c r="IJ4" vm="6294">
        <f ca="1"/>
        <v>813.53</v>
      </c>
      <c r="IK4" vm="6295">
        <f ca="1"/>
        <v>831.27</v>
      </c>
      <c r="IL4" vm="6296">
        <f ca="1"/>
        <v>835.72</v>
      </c>
      <c r="IM4" vm="6297">
        <f ca="1"/>
        <v>841.84</v>
      </c>
      <c r="IN4" vm="6298">
        <f ca="1"/>
        <v>822.64</v>
      </c>
      <c r="IO4" vm="6299">
        <f ca="1"/>
        <v>802.89</v>
      </c>
      <c r="IP4" vm="6300">
        <f ca="1"/>
        <v>807.6</v>
      </c>
      <c r="IQ4" vm="6301">
        <f ca="1"/>
        <v>845.99</v>
      </c>
      <c r="IR4" vm="6302">
        <f ca="1"/>
        <v>860.21</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6303">
        <f ca="1"/>
        <v>2081820</v>
      </c>
      <c r="C7" vm="6304">
        <f ca="1"/>
        <v>869.84</v>
      </c>
      <c r="D7" vm="6305">
        <f ca="1"/>
        <v>878.8</v>
      </c>
      <c r="E7" vm="6306">
        <f ca="1"/>
        <v>860</v>
      </c>
      <c r="F7" vm="6282">
        <f ca="1"/>
        <v>867.25</v>
      </c>
    </row>
    <row r="8" spans="1:252" x14ac:dyDescent="0.35">
      <c r="A8" vm="256">
        <f ca="1"/>
        <v>46086</v>
      </c>
      <c r="B8" vm="6307">
        <f ca="1"/>
        <v>3096912</v>
      </c>
      <c r="C8" vm="6308">
        <f ca="1"/>
        <v>862.01</v>
      </c>
      <c r="D8" vm="6309">
        <f ca="1"/>
        <v>866.52430000000004</v>
      </c>
      <c r="E8" vm="6310">
        <f ca="1"/>
        <v>822.2</v>
      </c>
      <c r="F8" vm="6283">
        <f ca="1"/>
        <v>835.46</v>
      </c>
    </row>
    <row r="9" spans="1:252" x14ac:dyDescent="0.35">
      <c r="A9" vm="257">
        <f ca="1"/>
        <v>46087</v>
      </c>
      <c r="B9" vm="6311">
        <f ca="1"/>
        <v>2472991</v>
      </c>
      <c r="C9" vm="6312">
        <f ca="1"/>
        <v>816</v>
      </c>
      <c r="D9" vm="6313">
        <f ca="1"/>
        <v>827.16</v>
      </c>
      <c r="E9" vm="6314">
        <f ca="1"/>
        <v>801.33</v>
      </c>
      <c r="F9" vm="6284">
        <f ca="1"/>
        <v>821.42</v>
      </c>
    </row>
    <row r="10" spans="1:252" x14ac:dyDescent="0.35">
      <c r="A10" vm="258">
        <f ca="1"/>
        <v>46090</v>
      </c>
      <c r="B10" vm="6315">
        <f ca="1"/>
        <v>3258185</v>
      </c>
      <c r="C10" vm="6316">
        <f ca="1"/>
        <v>810</v>
      </c>
      <c r="D10" vm="6317">
        <f ca="1"/>
        <v>836.68</v>
      </c>
      <c r="E10" vm="6318">
        <f ca="1"/>
        <v>795</v>
      </c>
      <c r="F10" vm="6285">
        <f ca="1"/>
        <v>832.03</v>
      </c>
    </row>
    <row r="11" spans="1:252" x14ac:dyDescent="0.35">
      <c r="A11" vm="259">
        <f ca="1"/>
        <v>46091</v>
      </c>
      <c r="B11" vm="6319">
        <f ca="1"/>
        <v>1871901</v>
      </c>
      <c r="C11" vm="6320">
        <f ca="1"/>
        <v>834.68</v>
      </c>
      <c r="D11" vm="6321">
        <f ca="1"/>
        <v>846.09</v>
      </c>
      <c r="E11" vm="6322">
        <f ca="1"/>
        <v>826.35</v>
      </c>
      <c r="F11" vm="6286">
        <f ca="1"/>
        <v>833.81</v>
      </c>
    </row>
    <row r="12" spans="1:252" x14ac:dyDescent="0.35">
      <c r="A12" vm="260">
        <f ca="1"/>
        <v>46092</v>
      </c>
      <c r="B12" vm="6323">
        <f ca="1"/>
        <v>2236531</v>
      </c>
      <c r="C12" vm="6324">
        <f ca="1"/>
        <v>829.95</v>
      </c>
      <c r="D12" vm="6325">
        <f ca="1"/>
        <v>832.80250000000001</v>
      </c>
      <c r="E12" vm="6326">
        <f ca="1"/>
        <v>810.54</v>
      </c>
      <c r="F12" vm="6287">
        <f ca="1"/>
        <v>823.76</v>
      </c>
    </row>
    <row r="13" spans="1:252" x14ac:dyDescent="0.35">
      <c r="A13" vm="261">
        <f ca="1"/>
        <v>46093</v>
      </c>
      <c r="B13" vm="6327">
        <f ca="1"/>
        <v>3533042</v>
      </c>
      <c r="C13" vm="6328">
        <f ca="1"/>
        <v>805.32</v>
      </c>
      <c r="D13" vm="6329">
        <f ca="1"/>
        <v>807.21</v>
      </c>
      <c r="E13" vm="6330">
        <f ca="1"/>
        <v>784.1</v>
      </c>
      <c r="F13" vm="6288">
        <f ca="1"/>
        <v>787.52</v>
      </c>
    </row>
    <row r="14" spans="1:252" x14ac:dyDescent="0.35">
      <c r="A14" vm="262">
        <f ca="1"/>
        <v>46094</v>
      </c>
      <c r="B14" vm="6331">
        <f ca="1"/>
        <v>2567411</v>
      </c>
      <c r="C14" vm="6332">
        <f ca="1"/>
        <v>789.36</v>
      </c>
      <c r="D14" vm="6333">
        <f ca="1"/>
        <v>798</v>
      </c>
      <c r="E14" vm="6334">
        <f ca="1"/>
        <v>780.5</v>
      </c>
      <c r="F14" vm="6289">
        <f ca="1"/>
        <v>782.21</v>
      </c>
    </row>
    <row r="15" spans="1:252" x14ac:dyDescent="0.35">
      <c r="A15" vm="263">
        <f ca="1"/>
        <v>46097</v>
      </c>
      <c r="B15" vm="6335">
        <f ca="1"/>
        <v>2082689</v>
      </c>
      <c r="C15" vm="6336">
        <f ca="1"/>
        <v>792</v>
      </c>
      <c r="D15" vm="6337">
        <f ca="1"/>
        <v>805.45500000000004</v>
      </c>
      <c r="E15" vm="2460">
        <f ca="1"/>
        <v>790</v>
      </c>
      <c r="F15" vm="6290">
        <f ca="1"/>
        <v>794.77</v>
      </c>
    </row>
    <row r="16" spans="1:252" x14ac:dyDescent="0.35">
      <c r="A16" vm="264">
        <f ca="1"/>
        <v>46098</v>
      </c>
      <c r="B16" vm="6338">
        <f ca="1"/>
        <v>1955568</v>
      </c>
      <c r="C16" vm="6339">
        <f ca="1"/>
        <v>806.3</v>
      </c>
      <c r="D16" vm="6340">
        <f ca="1"/>
        <v>820.44</v>
      </c>
      <c r="E16" vm="6341">
        <f ca="1"/>
        <v>803.47</v>
      </c>
      <c r="F16" vm="6291">
        <f ca="1"/>
        <v>807.04</v>
      </c>
    </row>
    <row r="17" spans="1:6" x14ac:dyDescent="0.35">
      <c r="A17" vm="265">
        <f ca="1"/>
        <v>46099</v>
      </c>
      <c r="B17" vm="6342">
        <f ca="1"/>
        <v>1541291</v>
      </c>
      <c r="C17" vm="6343">
        <f ca="1"/>
        <v>801</v>
      </c>
      <c r="D17" vm="6344">
        <f ca="1"/>
        <v>816.19</v>
      </c>
      <c r="E17" vm="6343">
        <f ca="1"/>
        <v>801</v>
      </c>
      <c r="F17" vm="6292">
        <f ca="1"/>
        <v>805.48</v>
      </c>
    </row>
    <row r="18" spans="1:6" x14ac:dyDescent="0.35">
      <c r="A18" vm="266">
        <f ca="1"/>
        <v>46100</v>
      </c>
      <c r="B18" vm="6345">
        <f ca="1"/>
        <v>1765919</v>
      </c>
      <c r="C18" vm="6346">
        <f ca="1"/>
        <v>792.93</v>
      </c>
      <c r="D18" vm="6347">
        <f ca="1"/>
        <v>816.18</v>
      </c>
      <c r="E18" vm="6348">
        <f ca="1"/>
        <v>790.59</v>
      </c>
      <c r="F18" vm="6293">
        <f ca="1"/>
        <v>809.5</v>
      </c>
    </row>
    <row r="19" spans="1:6" x14ac:dyDescent="0.35">
      <c r="A19" vm="267">
        <f ca="1"/>
        <v>46101</v>
      </c>
      <c r="B19" vm="6349">
        <f ca="1"/>
        <v>3918407</v>
      </c>
      <c r="C19" vm="6350">
        <f ca="1"/>
        <v>807</v>
      </c>
      <c r="D19" vm="6351">
        <f ca="1"/>
        <v>827.23</v>
      </c>
      <c r="E19" vm="6352">
        <f ca="1"/>
        <v>804.92650000000003</v>
      </c>
      <c r="F19" vm="6294">
        <f ca="1"/>
        <v>813.53</v>
      </c>
    </row>
    <row r="20" spans="1:6" x14ac:dyDescent="0.35">
      <c r="A20" vm="268">
        <f ca="1"/>
        <v>46104</v>
      </c>
      <c r="B20" vm="6353">
        <f ca="1"/>
        <v>2190280</v>
      </c>
      <c r="C20" vm="6354">
        <f ca="1"/>
        <v>833</v>
      </c>
      <c r="D20" vm="6355">
        <f ca="1"/>
        <v>849.53</v>
      </c>
      <c r="E20" vm="6356">
        <f ca="1"/>
        <v>829</v>
      </c>
      <c r="F20" vm="6295">
        <f ca="1"/>
        <v>831.27</v>
      </c>
    </row>
    <row r="21" spans="1:6" x14ac:dyDescent="0.35">
      <c r="A21" vm="269">
        <f ca="1"/>
        <v>46105</v>
      </c>
      <c r="B21" vm="6357">
        <f ca="1"/>
        <v>1656051</v>
      </c>
      <c r="C21" vm="6358">
        <f ca="1"/>
        <v>824.93</v>
      </c>
      <c r="D21" vm="6359">
        <f ca="1"/>
        <v>844.5</v>
      </c>
      <c r="E21" vm="6360">
        <f ca="1"/>
        <v>818</v>
      </c>
      <c r="F21" vm="6296">
        <f ca="1"/>
        <v>835.72</v>
      </c>
    </row>
    <row r="22" spans="1:6" x14ac:dyDescent="0.35">
      <c r="A22" vm="270">
        <f ca="1"/>
        <v>46106</v>
      </c>
      <c r="B22" vm="6361">
        <f ca="1"/>
        <v>1628908</v>
      </c>
      <c r="C22" vm="6362">
        <f ca="1"/>
        <v>845.01</v>
      </c>
      <c r="D22" vm="6363">
        <f ca="1"/>
        <v>854.75</v>
      </c>
      <c r="E22" vm="6364">
        <f ca="1"/>
        <v>833.90009999999995</v>
      </c>
      <c r="F22" vm="6297">
        <f ca="1"/>
        <v>841.84</v>
      </c>
    </row>
    <row r="23" spans="1:6" x14ac:dyDescent="0.35">
      <c r="A23" vm="271">
        <f ca="1"/>
        <v>46107</v>
      </c>
      <c r="B23" vm="6365">
        <f ca="1"/>
        <v>2052166</v>
      </c>
      <c r="C23" vm="6366">
        <f ca="1"/>
        <v>833.79</v>
      </c>
      <c r="D23" vm="6367">
        <f ca="1"/>
        <v>844.8</v>
      </c>
      <c r="E23" vm="6368">
        <f ca="1"/>
        <v>816.11</v>
      </c>
      <c r="F23" vm="6298">
        <f ca="1"/>
        <v>822.64</v>
      </c>
    </row>
    <row r="24" spans="1:6" x14ac:dyDescent="0.35">
      <c r="A24" vm="272">
        <f ca="1"/>
        <v>46108</v>
      </c>
      <c r="B24" vm="6369">
        <f ca="1"/>
        <v>2106773</v>
      </c>
      <c r="C24" vm="6370">
        <f ca="1"/>
        <v>813.67</v>
      </c>
      <c r="D24" vm="6371">
        <f ca="1"/>
        <v>817.1</v>
      </c>
      <c r="E24" vm="6372">
        <f ca="1"/>
        <v>797.78</v>
      </c>
      <c r="F24" vm="6299">
        <f ca="1"/>
        <v>802.89</v>
      </c>
    </row>
    <row r="25" spans="1:6" x14ac:dyDescent="0.35">
      <c r="A25" vm="273">
        <f ca="1"/>
        <v>46111</v>
      </c>
      <c r="B25" vm="6373">
        <f ca="1"/>
        <v>1621403</v>
      </c>
      <c r="C25" vm="6374">
        <f ca="1"/>
        <v>811.12</v>
      </c>
      <c r="D25" vm="6375">
        <f ca="1"/>
        <v>818.63250000000005</v>
      </c>
      <c r="E25" vm="6376">
        <f ca="1"/>
        <v>801.88</v>
      </c>
      <c r="F25" vm="6300">
        <f ca="1"/>
        <v>807.6</v>
      </c>
    </row>
    <row r="26" spans="1:6" x14ac:dyDescent="0.35">
      <c r="A26" vm="274">
        <f ca="1"/>
        <v>46112</v>
      </c>
      <c r="B26" vm="6377">
        <f ca="1"/>
        <v>2689828</v>
      </c>
      <c r="C26" vm="6378">
        <f ca="1"/>
        <v>823.9</v>
      </c>
      <c r="D26" vm="6379">
        <f ca="1"/>
        <v>848.5</v>
      </c>
      <c r="E26" vm="6316">
        <f ca="1"/>
        <v>810</v>
      </c>
      <c r="F26" vm="6301">
        <f ca="1"/>
        <v>845.99</v>
      </c>
    </row>
    <row r="27" spans="1:6" x14ac:dyDescent="0.35">
      <c r="A27" vm="275">
        <f ca="1"/>
        <v>46113</v>
      </c>
      <c r="B27" vm="6380">
        <f ca="1"/>
        <v>1803625</v>
      </c>
      <c r="C27" vm="6381">
        <f ca="1"/>
        <v>859.95</v>
      </c>
      <c r="D27" vm="6382">
        <f ca="1"/>
        <v>870.2</v>
      </c>
      <c r="E27" vm="6383">
        <f ca="1"/>
        <v>850.15</v>
      </c>
      <c r="F27" vm="6302">
        <f ca="1"/>
        <v>860.21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README</vt:lpstr>
      <vt:lpstr>Validation</vt:lpstr>
      <vt:lpstr>Dashboard</vt:lpstr>
      <vt:lpstr>WL Dashboard</vt:lpstr>
      <vt:lpstr>Analytics</vt:lpstr>
      <vt:lpstr>Risk Analytics</vt:lpstr>
      <vt:lpstr>Watchlist</vt:lpstr>
      <vt:lpstr>Spartkine</vt:lpstr>
      <vt:lpstr>Ledger</vt:lpstr>
      <vt:lpstr>AMD</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dcterms:created xsi:type="dcterms:W3CDTF">2026-01-19T18:13:22Z</dcterms:created>
  <dcterms:modified xsi:type="dcterms:W3CDTF">2026-04-03T19:31:15Z</dcterms:modified>
</cp:coreProperties>
</file>