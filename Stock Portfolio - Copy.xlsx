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omments7.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Desktop\Desktop\Desktop\Desktop\Finance Analyst\Practise\"/>
    </mc:Choice>
  </mc:AlternateContent>
  <xr:revisionPtr revIDLastSave="0" documentId="13_ncr:1_{6920E6D1-9491-481F-A2B2-C2D4AD87B188}" xr6:coauthVersionLast="47" xr6:coauthVersionMax="47" xr10:uidLastSave="{00000000-0000-0000-0000-000000000000}"/>
  <bookViews>
    <workbookView xWindow="-38510" yWindow="-2590" windowWidth="38620" windowHeight="21100" firstSheet="1" activeTab="5" xr2:uid="{C75A8AFE-6EF5-48AA-A1FC-E8A34D32F127}"/>
  </bookViews>
  <sheets>
    <sheet name="Skills Matrix" sheetId="25" r:id="rId1"/>
    <sheet name="README" sheetId="19" r:id="rId2"/>
    <sheet name="Validation" sheetId="23" r:id="rId3"/>
    <sheet name="Optimization" sheetId="24" r:id="rId4"/>
    <sheet name="Dashboard" sheetId="1" r:id="rId5"/>
    <sheet name="WL Dashboard" sheetId="20" r:id="rId6"/>
    <sheet name="Analytics" sheetId="21" r:id="rId7"/>
    <sheet name="Risk Analytics" sheetId="22" r:id="rId8"/>
    <sheet name="Watchlist" sheetId="4" r:id="rId9"/>
    <sheet name="Sparkline" sheetId="15" r:id="rId10"/>
    <sheet name="Ledger" sheetId="2" r:id="rId11"/>
    <sheet name="AMD" sheetId="14" r:id="rId12"/>
    <sheet name="BABA" sheetId="13" r:id="rId13"/>
    <sheet name="BAC" sheetId="12" r:id="rId14"/>
    <sheet name="COST" sheetId="11" r:id="rId15"/>
    <sheet name="DELL" sheetId="10" r:id="rId16"/>
    <sheet name="XOM" sheetId="9" r:id="rId17"/>
    <sheet name="GM" sheetId="8" r:id="rId18"/>
    <sheet name="LMT" sheetId="7" r:id="rId19"/>
    <sheet name="MSFT" sheetId="6" r:id="rId20"/>
    <sheet name="GS" sheetId="5" r:id="rId21"/>
  </sheets>
  <calcPr calcId="191029"/>
  <pivotCaches>
    <pivotCache cacheId="7"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22" l="1"/>
  <c r="D17" i="20" a="1"/>
  <c r="D17" i="20" s="1"/>
  <c r="H2" i="1"/>
  <c r="H9" i="21"/>
  <c r="D16" i="20" a="1"/>
  <c r="D16" i="20" s="1"/>
  <c r="D15" i="20" a="1"/>
  <c r="D15" i="20" s="1"/>
  <c r="D14" i="20" a="1"/>
  <c r="D14" i="20" s="1"/>
  <c r="D13" i="20" a="1"/>
  <c r="D13" i="20" s="1"/>
  <c r="D12" i="20" a="1"/>
  <c r="D12" i="20" s="1"/>
  <c r="D11" i="20" a="1"/>
  <c r="D11" i="20" s="1"/>
  <c r="D10" i="20" a="1"/>
  <c r="D10" i="20" s="1"/>
  <c r="D9" i="20" a="1"/>
  <c r="D9" i="20" s="1"/>
  <c r="D8" i="20" a="1"/>
  <c r="D8" i="20" s="1"/>
  <c r="B6" i="24" l="1"/>
  <c r="I113" i="2"/>
  <c r="J113" i="2" s="1"/>
  <c r="I112" i="2"/>
  <c r="J112" i="2" s="1"/>
  <c r="I110" i="2"/>
  <c r="J110" i="2" s="1"/>
  <c r="I109" i="2"/>
  <c r="J109" i="2" s="1"/>
  <c r="I108" i="2"/>
  <c r="I106" i="2"/>
  <c r="J106" i="2" s="1"/>
  <c r="I105" i="2"/>
  <c r="J105" i="2" s="1"/>
  <c r="I103" i="2"/>
  <c r="J103" i="2" s="1"/>
  <c r="I102" i="2"/>
  <c r="J102" i="2" s="1"/>
  <c r="I101" i="2"/>
  <c r="I99" i="2"/>
  <c r="J99" i="2" s="1"/>
  <c r="I98" i="2"/>
  <c r="J98" i="2" s="1"/>
  <c r="I96" i="2"/>
  <c r="J96" i="2" s="1"/>
  <c r="I95" i="2"/>
  <c r="J95" i="2" s="1"/>
  <c r="I94" i="2"/>
  <c r="I92" i="2"/>
  <c r="J92" i="2" s="1"/>
  <c r="I91" i="2"/>
  <c r="J91" i="2" s="1"/>
  <c r="I89" i="2"/>
  <c r="J89" i="2" s="1"/>
  <c r="I88" i="2"/>
  <c r="J88" i="2" s="1"/>
  <c r="I87" i="2"/>
  <c r="I85" i="2"/>
  <c r="J85" i="2" s="1"/>
  <c r="I84" i="2"/>
  <c r="J84" i="2" s="1"/>
  <c r="I82" i="2"/>
  <c r="J82" i="2" s="1"/>
  <c r="I81" i="2"/>
  <c r="J81" i="2" s="1"/>
  <c r="I80" i="2"/>
  <c r="I78" i="2"/>
  <c r="J78" i="2" s="1"/>
  <c r="I77" i="2"/>
  <c r="J77" i="2" s="1"/>
  <c r="I75" i="2"/>
  <c r="J75" i="2" s="1"/>
  <c r="I74" i="2"/>
  <c r="J74" i="2" s="1"/>
  <c r="I73" i="2"/>
  <c r="J73" i="2" s="1"/>
  <c r="I71" i="2"/>
  <c r="J71" i="2" s="1"/>
  <c r="I70" i="2"/>
  <c r="J70" i="2" s="1"/>
  <c r="I68" i="2"/>
  <c r="J68" i="2" s="1"/>
  <c r="I67" i="2"/>
  <c r="J67" i="2" s="1"/>
  <c r="I66" i="2"/>
  <c r="I64" i="2"/>
  <c r="J64" i="2" s="1"/>
  <c r="I63" i="2"/>
  <c r="J63" i="2" s="1"/>
  <c r="I61" i="2"/>
  <c r="J61" i="2" s="1"/>
  <c r="I60" i="2"/>
  <c r="J60" i="2" s="1"/>
  <c r="I59" i="2"/>
  <c r="I57" i="2"/>
  <c r="J57" i="2" s="1"/>
  <c r="I56" i="2"/>
  <c r="J56" i="2" s="1"/>
  <c r="I54" i="2"/>
  <c r="J54" i="2" s="1"/>
  <c r="I53" i="2"/>
  <c r="J53" i="2" s="1"/>
  <c r="I52" i="2"/>
  <c r="J52" i="2" s="1"/>
  <c r="I50" i="2"/>
  <c r="J50" i="2" s="1"/>
  <c r="I49" i="2"/>
  <c r="J49" i="2" s="1"/>
  <c r="I47" i="2"/>
  <c r="J47" i="2" s="1"/>
  <c r="I46" i="2"/>
  <c r="J46" i="2" s="1"/>
  <c r="I45" i="2"/>
  <c r="I43" i="2"/>
  <c r="J43" i="2" s="1"/>
  <c r="I42" i="2"/>
  <c r="J42" i="2" s="1"/>
  <c r="I40" i="2"/>
  <c r="J40" i="2" s="1"/>
  <c r="I39" i="2"/>
  <c r="J39" i="2" s="1"/>
  <c r="I38" i="2"/>
  <c r="I36" i="2"/>
  <c r="J36" i="2" s="1"/>
  <c r="I35" i="2"/>
  <c r="J35" i="2" s="1"/>
  <c r="I33" i="2"/>
  <c r="J33" i="2" s="1"/>
  <c r="I32" i="2"/>
  <c r="J32" i="2" s="1"/>
  <c r="I31" i="2"/>
  <c r="I29" i="2"/>
  <c r="J29" i="2" s="1"/>
  <c r="I28" i="2"/>
  <c r="J28" i="2" s="1"/>
  <c r="I26" i="2"/>
  <c r="J26" i="2" s="1"/>
  <c r="I25" i="2"/>
  <c r="J25" i="2" s="1"/>
  <c r="I24" i="2"/>
  <c r="I22" i="2"/>
  <c r="J22" i="2" s="1"/>
  <c r="I21" i="2"/>
  <c r="J21" i="2" s="1"/>
  <c r="I19" i="2"/>
  <c r="J19" i="2" s="1"/>
  <c r="I18" i="2"/>
  <c r="J18" i="2" s="1"/>
  <c r="I17" i="2"/>
  <c r="I15" i="2"/>
  <c r="J15" i="2" s="1"/>
  <c r="I14" i="2"/>
  <c r="J14" i="2" s="1"/>
  <c r="I12" i="2"/>
  <c r="J12" i="2" s="1"/>
  <c r="I11" i="2"/>
  <c r="J11" i="2" s="1"/>
  <c r="I10" i="2"/>
  <c r="I8" i="2"/>
  <c r="J8" i="2" s="1"/>
  <c r="I7" i="2"/>
  <c r="J7" i="2" s="1"/>
  <c r="I5" i="2"/>
  <c r="J5" i="2" s="1"/>
  <c r="I4" i="2"/>
  <c r="J4" i="2" s="1"/>
  <c r="I3" i="2"/>
  <c r="J3" i="2" s="1"/>
  <c r="B15" i="23"/>
  <c r="E8" i="22"/>
  <c r="C8" i="22"/>
  <c r="L2" i="4" a="1"/>
  <c r="L2" i="4" s="1"/>
  <c r="L3" i="4" a="1"/>
  <c r="L3" i="4" s="1"/>
  <c r="L4" i="4" a="1"/>
  <c r="L4" i="4" s="1"/>
  <c r="L5" i="4" a="1"/>
  <c r="L5" i="4" s="1"/>
  <c r="L6" i="4" a="1"/>
  <c r="L6" i="4" s="1"/>
  <c r="L7" i="4" a="1"/>
  <c r="L7" i="4" s="1"/>
  <c r="L8" i="4" a="1"/>
  <c r="L8" i="4" s="1"/>
  <c r="L9" i="4" a="1"/>
  <c r="L9" i="4" s="1"/>
  <c r="L10" i="4" a="1"/>
  <c r="L10" i="4" s="1"/>
  <c r="L11" i="4" a="1"/>
  <c r="L11" i="4" s="1"/>
  <c r="K2" i="4" a="1"/>
  <c r="K2" i="4" s="1"/>
  <c r="C17" i="20" s="1"/>
  <c r="K3" i="4" a="1"/>
  <c r="K3" i="4" s="1"/>
  <c r="C8" i="20" s="1"/>
  <c r="K4" i="4" a="1"/>
  <c r="K4" i="4" s="1"/>
  <c r="C9" i="20" s="1"/>
  <c r="K5" i="4" a="1"/>
  <c r="K5" i="4" s="1"/>
  <c r="C10" i="20" s="1"/>
  <c r="K6" i="4" a="1"/>
  <c r="K6" i="4" s="1"/>
  <c r="C11" i="20" s="1"/>
  <c r="K7" i="4" a="1"/>
  <c r="K7" i="4" s="1"/>
  <c r="C12" i="20" s="1"/>
  <c r="K8" i="4" a="1"/>
  <c r="K8" i="4" s="1"/>
  <c r="C13" i="20" s="1"/>
  <c r="K9" i="4" a="1"/>
  <c r="K9" i="4" s="1"/>
  <c r="C14" i="20" s="1"/>
  <c r="K10" i="4" a="1"/>
  <c r="K10" i="4" s="1"/>
  <c r="C15" i="20" s="1"/>
  <c r="K11" i="4" a="1"/>
  <c r="K11" i="4" s="1"/>
  <c r="C16" i="20" s="1"/>
  <c r="J2" i="4" a="1"/>
  <c r="J2" i="4" s="1"/>
  <c r="H17" i="20" s="1"/>
  <c r="J3" i="4" a="1"/>
  <c r="J3" i="4" s="1"/>
  <c r="H8" i="20" s="1"/>
  <c r="J4" i="4" a="1"/>
  <c r="J4" i="4" s="1"/>
  <c r="H9" i="20" s="1"/>
  <c r="J5" i="4" a="1"/>
  <c r="J5" i="4" s="1"/>
  <c r="J6" i="4" a="1"/>
  <c r="J6" i="4" s="1"/>
  <c r="H11" i="20" s="1"/>
  <c r="J7" i="4" a="1"/>
  <c r="J7" i="4" s="1"/>
  <c r="H12" i="20" s="1"/>
  <c r="J8" i="4" a="1"/>
  <c r="J8" i="4" s="1"/>
  <c r="H13" i="20" s="1"/>
  <c r="J9" i="4" a="1"/>
  <c r="J9" i="4" s="1"/>
  <c r="H14" i="20" s="1"/>
  <c r="J10" i="4" a="1"/>
  <c r="J10" i="4" s="1"/>
  <c r="H15" i="20" s="1"/>
  <c r="J11" i="4" a="1"/>
  <c r="J11" i="4" s="1"/>
  <c r="H16" i="20" s="1"/>
  <c r="I2" i="4" a="1"/>
  <c r="I2" i="4" s="1"/>
  <c r="I3" i="4" a="1"/>
  <c r="I3" i="4" s="1"/>
  <c r="I4" i="4" a="1"/>
  <c r="I4" i="4" s="1"/>
  <c r="I5" i="4" a="1"/>
  <c r="I5" i="4" s="1"/>
  <c r="I6" i="4" a="1"/>
  <c r="I6" i="4" s="1"/>
  <c r="I7" i="4" a="1"/>
  <c r="I7" i="4" s="1"/>
  <c r="I8" i="4" a="1"/>
  <c r="I8" i="4" s="1"/>
  <c r="I9" i="4" a="1"/>
  <c r="I9" i="4" s="1"/>
  <c r="I10" i="4" a="1"/>
  <c r="I10" i="4" s="1"/>
  <c r="I11" i="4" a="1"/>
  <c r="I11" i="4" s="1"/>
  <c r="H2" i="4" a="1"/>
  <c r="H2" i="4" s="1"/>
  <c r="H3" i="4" a="1"/>
  <c r="H3" i="4" s="1"/>
  <c r="H4" i="4" a="1"/>
  <c r="H4" i="4" s="1"/>
  <c r="H5" i="4" a="1"/>
  <c r="H5" i="4" s="1"/>
  <c r="H6" i="4" a="1"/>
  <c r="H6" i="4" s="1"/>
  <c r="H7" i="4" a="1"/>
  <c r="H7" i="4" s="1"/>
  <c r="H8" i="4" a="1"/>
  <c r="H8" i="4" s="1"/>
  <c r="H9" i="4" a="1"/>
  <c r="H9" i="4" s="1"/>
  <c r="H10" i="4" a="1"/>
  <c r="H10" i="4" s="1"/>
  <c r="H11" i="4" a="1"/>
  <c r="H11" i="4" s="1"/>
  <c r="G2" i="4" a="1"/>
  <c r="G2" i="4" s="1"/>
  <c r="E17" i="20" s="1"/>
  <c r="G3" i="4" a="1"/>
  <c r="G3" i="4" s="1"/>
  <c r="E8" i="20" s="1"/>
  <c r="G4" i="4" a="1"/>
  <c r="G4" i="4" s="1"/>
  <c r="E9" i="20" s="1"/>
  <c r="G5" i="4" a="1"/>
  <c r="G5" i="4" s="1"/>
  <c r="E10" i="20" s="1"/>
  <c r="G6" i="4" a="1"/>
  <c r="G6" i="4" s="1"/>
  <c r="E11" i="20" s="1"/>
  <c r="G7" i="4" a="1"/>
  <c r="G7" i="4" s="1"/>
  <c r="E12" i="20" s="1"/>
  <c r="G8" i="4" a="1"/>
  <c r="G8" i="4" s="1"/>
  <c r="E13" i="20" s="1"/>
  <c r="G9" i="4" a="1"/>
  <c r="G9" i="4" s="1"/>
  <c r="E14" i="20" s="1"/>
  <c r="G10" i="4" a="1"/>
  <c r="G10" i="4" s="1"/>
  <c r="E15" i="20" s="1"/>
  <c r="G11" i="4" a="1"/>
  <c r="G11" i="4" s="1"/>
  <c r="E16" i="20" s="1"/>
  <c r="F2" i="4" a="1"/>
  <c r="F2" i="4" s="1"/>
  <c r="F17" i="20" s="1"/>
  <c r="F3" i="4" a="1"/>
  <c r="F3" i="4" s="1"/>
  <c r="F8" i="20" s="1"/>
  <c r="F4" i="4" a="1"/>
  <c r="F4" i="4" s="1"/>
  <c r="F9" i="20" s="1"/>
  <c r="F5" i="4" a="1"/>
  <c r="F5" i="4" s="1"/>
  <c r="F10" i="20" s="1"/>
  <c r="F6" i="4" a="1"/>
  <c r="F6" i="4" s="1"/>
  <c r="F11" i="20" s="1"/>
  <c r="F7" i="4" a="1"/>
  <c r="F7" i="4" s="1"/>
  <c r="F12" i="20" s="1"/>
  <c r="F8" i="4" a="1"/>
  <c r="F8" i="4" s="1"/>
  <c r="F13" i="20" s="1"/>
  <c r="F9" i="4" a="1"/>
  <c r="F9" i="4" s="1"/>
  <c r="F14" i="20" s="1"/>
  <c r="F10" i="4" a="1"/>
  <c r="F10" i="4" s="1"/>
  <c r="F15" i="20" s="1"/>
  <c r="F11" i="4" a="1"/>
  <c r="F11" i="4" s="1"/>
  <c r="F16" i="20" s="1"/>
  <c r="E2" i="4" a="1"/>
  <c r="E2" i="4" s="1"/>
  <c r="G17" i="20" s="1"/>
  <c r="E3" i="4" a="1"/>
  <c r="E3" i="4" s="1"/>
  <c r="G8" i="20" s="1"/>
  <c r="E4" i="4" a="1"/>
  <c r="E4" i="4" s="1"/>
  <c r="G9" i="20" s="1"/>
  <c r="E5" i="4" a="1"/>
  <c r="E5" i="4" s="1"/>
  <c r="G10" i="20" s="1"/>
  <c r="E6" i="4" a="1"/>
  <c r="E6" i="4" s="1"/>
  <c r="G11" i="20" s="1"/>
  <c r="E7" i="4" a="1"/>
  <c r="E7" i="4" s="1"/>
  <c r="G12" i="20" s="1"/>
  <c r="E8" i="4" a="1"/>
  <c r="E8" i="4" s="1"/>
  <c r="G13" i="20" s="1"/>
  <c r="E9" i="4" a="1"/>
  <c r="E9" i="4" s="1"/>
  <c r="G14" i="20" s="1"/>
  <c r="E10" i="4" a="1"/>
  <c r="E10" i="4" s="1"/>
  <c r="G15" i="20" s="1"/>
  <c r="E11" i="4" a="1"/>
  <c r="E11" i="4" s="1"/>
  <c r="G16" i="20" s="1"/>
  <c r="D2" i="4" a="1"/>
  <c r="D2" i="4" s="1"/>
  <c r="D3" i="4" a="1"/>
  <c r="D3" i="4" s="1"/>
  <c r="D4" i="4" a="1"/>
  <c r="D4" i="4" s="1"/>
  <c r="D5" i="4" a="1"/>
  <c r="D5" i="4" s="1"/>
  <c r="D6" i="4" a="1"/>
  <c r="D6" i="4" s="1"/>
  <c r="D7" i="4" a="1"/>
  <c r="D7" i="4" s="1"/>
  <c r="D8" i="4" a="1"/>
  <c r="D8" i="4" s="1"/>
  <c r="D9" i="4" a="1"/>
  <c r="D9" i="4" s="1"/>
  <c r="D10" i="4" a="1"/>
  <c r="D10" i="4" s="1"/>
  <c r="D11" i="4" a="1"/>
  <c r="D11" i="4" s="1"/>
  <c r="C2" i="4" a="1"/>
  <c r="C2" i="4" s="1"/>
  <c r="I17" i="20" s="1"/>
  <c r="C3" i="4" a="1"/>
  <c r="C3" i="4" s="1"/>
  <c r="I8" i="20" s="1"/>
  <c r="C4" i="4" a="1"/>
  <c r="C4" i="4" s="1"/>
  <c r="I9" i="20" s="1"/>
  <c r="C5" i="4" a="1"/>
  <c r="C5" i="4" s="1"/>
  <c r="I10" i="20" s="1"/>
  <c r="C6" i="4" a="1"/>
  <c r="C6" i="4" s="1"/>
  <c r="I11" i="20" s="1"/>
  <c r="C7" i="4" a="1"/>
  <c r="C7" i="4" s="1"/>
  <c r="I12" i="20" s="1"/>
  <c r="C8" i="4" a="1"/>
  <c r="C8" i="4" s="1"/>
  <c r="C9" i="4" a="1"/>
  <c r="C9" i="4" s="1"/>
  <c r="I14" i="20" s="1"/>
  <c r="C10" i="4" a="1"/>
  <c r="C10" i="4" s="1"/>
  <c r="I15" i="20" s="1"/>
  <c r="C11" i="4" a="1"/>
  <c r="C11" i="4" s="1"/>
  <c r="I16" i="20" s="1"/>
  <c r="B2" i="4" a="1"/>
  <c r="B2" i="4" s="1"/>
  <c r="B17" i="20" s="1"/>
  <c r="B3" i="4" a="1"/>
  <c r="B3" i="4" s="1"/>
  <c r="B8" i="20" s="1"/>
  <c r="B66" i="20" s="1"/>
  <c r="B4" i="4" a="1"/>
  <c r="B4" i="4" s="1"/>
  <c r="B9" i="20" s="1"/>
  <c r="B67" i="20" s="1"/>
  <c r="B5" i="4" a="1"/>
  <c r="B5" i="4" s="1"/>
  <c r="B10" i="20" s="1"/>
  <c r="B68" i="20" s="1"/>
  <c r="B6" i="4" a="1"/>
  <c r="B6" i="4" s="1"/>
  <c r="B11" i="20" s="1"/>
  <c r="B69" i="20" s="1"/>
  <c r="B7" i="4" a="1"/>
  <c r="B7" i="4" s="1"/>
  <c r="B12" i="20" s="1"/>
  <c r="B70" i="20" s="1"/>
  <c r="B8" i="4" a="1"/>
  <c r="B8" i="4" s="1"/>
  <c r="B13" i="20" s="1"/>
  <c r="B71" i="20" s="1"/>
  <c r="B9" i="4" a="1"/>
  <c r="B9" i="4" s="1"/>
  <c r="B14" i="20" s="1"/>
  <c r="B72" i="20" s="1"/>
  <c r="B10" i="4" a="1"/>
  <c r="B10" i="4" s="1"/>
  <c r="B15" i="20" s="1"/>
  <c r="B73" i="20" s="1"/>
  <c r="B11" i="4" a="1"/>
  <c r="B11" i="4" s="1"/>
  <c r="B16" i="20" s="1"/>
  <c r="B74" i="20" s="1"/>
  <c r="C4" i="6" a="1"/>
  <c r="A6" i="5" a="1"/>
  <c r="C4" i="12" a="1"/>
  <c r="A6" i="12" a="1"/>
  <c r="A6" i="11" a="1"/>
  <c r="C4" i="7" a="1"/>
  <c r="C4" i="14" a="1"/>
  <c r="A6" i="14" a="1"/>
  <c r="C4" i="8" a="1"/>
  <c r="A6" i="6" a="1"/>
  <c r="A6" i="8" a="1"/>
  <c r="C4" i="13" a="1"/>
  <c r="A6" i="9" a="1"/>
  <c r="A6" i="13" a="1"/>
  <c r="C4" i="9" a="1"/>
  <c r="A6" i="7" a="1"/>
  <c r="A6" i="10" a="1"/>
  <c r="C4" i="11" a="1"/>
  <c r="C4" i="10" a="1"/>
  <c r="C4" i="5" a="1"/>
  <c r="E68" i="20" l="1"/>
  <c r="F68" i="20"/>
  <c r="D70" i="20"/>
  <c r="C70" i="20"/>
  <c r="E74" i="20"/>
  <c r="F74" i="20"/>
  <c r="E66" i="20"/>
  <c r="F66" i="20"/>
  <c r="D68" i="20"/>
  <c r="C68" i="20"/>
  <c r="D69" i="20"/>
  <c r="C69" i="20"/>
  <c r="E73" i="20"/>
  <c r="F73" i="20"/>
  <c r="E75" i="20"/>
  <c r="F75" i="20"/>
  <c r="D67" i="20"/>
  <c r="C67" i="20"/>
  <c r="E72" i="20"/>
  <c r="F72" i="20"/>
  <c r="D74" i="20"/>
  <c r="C74" i="20"/>
  <c r="D66" i="20"/>
  <c r="C66" i="20"/>
  <c r="K17" i="20" a="1"/>
  <c r="K17" i="20" s="1"/>
  <c r="J17" i="20"/>
  <c r="M17" i="20"/>
  <c r="B75" i="20"/>
  <c r="E71" i="20"/>
  <c r="F71" i="20"/>
  <c r="D73" i="20"/>
  <c r="C73" i="20"/>
  <c r="D75" i="20"/>
  <c r="C75" i="20"/>
  <c r="E67" i="20"/>
  <c r="F67" i="20"/>
  <c r="E70" i="20"/>
  <c r="F70" i="20"/>
  <c r="D72" i="20"/>
  <c r="C72" i="20"/>
  <c r="E69" i="20"/>
  <c r="F69" i="20"/>
  <c r="D71" i="20"/>
  <c r="C71" i="20"/>
  <c r="B6" i="20"/>
  <c r="M12" i="20"/>
  <c r="J16" i="20"/>
  <c r="K16" i="20" a="1"/>
  <c r="K16" i="20" s="1"/>
  <c r="J8" i="20"/>
  <c r="K8" i="20" a="1"/>
  <c r="K8" i="20" s="1"/>
  <c r="M10" i="20"/>
  <c r="J14" i="20"/>
  <c r="K14" i="20" a="1"/>
  <c r="K14" i="20" s="1"/>
  <c r="M11" i="20"/>
  <c r="M9" i="20"/>
  <c r="J13" i="20"/>
  <c r="K13" i="20" a="1"/>
  <c r="K13" i="20" s="1"/>
  <c r="M16" i="20"/>
  <c r="M8" i="20"/>
  <c r="J12" i="20"/>
  <c r="K12" i="20" a="1"/>
  <c r="K12" i="20" s="1"/>
  <c r="J15" i="20"/>
  <c r="K15" i="20" a="1"/>
  <c r="K15" i="20" s="1"/>
  <c r="M15" i="20"/>
  <c r="J11" i="20"/>
  <c r="K11" i="20" a="1"/>
  <c r="K11" i="20" s="1"/>
  <c r="M14" i="20"/>
  <c r="J10" i="20"/>
  <c r="K10" i="20" a="1"/>
  <c r="K10" i="20" s="1"/>
  <c r="M13" i="20"/>
  <c r="J9" i="20"/>
  <c r="K9" i="20" a="1"/>
  <c r="K9" i="20" s="1"/>
  <c r="J87" i="2"/>
  <c r="J108" i="2"/>
  <c r="J45" i="2"/>
  <c r="J31" i="2"/>
  <c r="J10" i="2"/>
  <c r="J101" i="2"/>
  <c r="J38" i="2"/>
  <c r="J94" i="2"/>
  <c r="J59" i="2"/>
  <c r="J66" i="2"/>
  <c r="J17" i="2"/>
  <c r="J24" i="2"/>
  <c r="J80" i="2"/>
  <c r="K4" i="20"/>
  <c r="B4" i="20"/>
  <c r="C4" i="20"/>
  <c r="I4" i="20"/>
  <c r="J4" i="20"/>
  <c r="D4" i="20"/>
  <c r="H4" i="20" a="1"/>
  <c r="H4" i="20" s="1"/>
  <c r="F4" i="20" a="1"/>
  <c r="F4" i="20" s="1"/>
  <c r="E4" i="20" a="1"/>
  <c r="E4" i="20" s="1"/>
  <c r="G4" i="20" a="1"/>
  <c r="G4" i="20" s="1"/>
  <c r="B53" i="20" a="1"/>
  <c r="B53" i="20" s="1"/>
  <c r="I13" i="20"/>
  <c r="H10" i="20"/>
  <c r="A6" i="5"/>
  <c r="A6" i="6"/>
  <c r="A6" i="7"/>
  <c r="A6" i="8"/>
  <c r="A6" i="9"/>
  <c r="A6" i="10"/>
  <c r="A6" i="11"/>
  <c r="A6" i="12"/>
  <c r="A6" i="13"/>
  <c r="C4" i="5"/>
  <c r="C4" i="6"/>
  <c r="C4" i="7"/>
  <c r="C4" i="8"/>
  <c r="C4" i="9"/>
  <c r="C4" i="10"/>
  <c r="C4" i="11"/>
  <c r="C4" i="12"/>
  <c r="C4" i="13"/>
  <c r="A6" i="14"/>
  <c r="C4" i="14"/>
  <c r="I67" i="20" l="1"/>
  <c r="I73" i="20"/>
  <c r="I71" i="20"/>
  <c r="H70" i="20"/>
  <c r="G70" i="20"/>
  <c r="H72" i="20"/>
  <c r="G72" i="20"/>
  <c r="H68" i="20"/>
  <c r="G68" i="20"/>
  <c r="N17" i="20"/>
  <c r="H75" i="20"/>
  <c r="G75" i="20"/>
  <c r="H69" i="20"/>
  <c r="G69" i="20"/>
  <c r="H66" i="20"/>
  <c r="G66" i="20"/>
  <c r="I69" i="20"/>
  <c r="H71" i="20"/>
  <c r="G71" i="20"/>
  <c r="I66" i="20"/>
  <c r="H67" i="20"/>
  <c r="G67" i="20"/>
  <c r="H74" i="20"/>
  <c r="G74" i="20"/>
  <c r="I74" i="20"/>
  <c r="I70" i="20"/>
  <c r="H73" i="20"/>
  <c r="G73" i="20"/>
  <c r="I72" i="20"/>
  <c r="I68" i="20"/>
  <c r="I75" i="20"/>
  <c r="N13" i="20"/>
  <c r="N15" i="20"/>
  <c r="G78" i="20"/>
  <c r="N11" i="20"/>
  <c r="N8" i="20"/>
  <c r="H78" i="20"/>
  <c r="N10" i="20"/>
  <c r="N16" i="20"/>
  <c r="N9" i="20"/>
  <c r="N14" i="20"/>
  <c r="N12" i="20"/>
  <c r="C53" i="20" a="1"/>
  <c r="C53" i="20"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3" i="2" a="1"/>
  <c r="H3"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J75" i="20" l="1"/>
  <c r="K75" i="20" s="1"/>
  <c r="J68" i="20"/>
  <c r="K68" i="20" s="1"/>
  <c r="J72" i="20"/>
  <c r="K72" i="20" s="1"/>
  <c r="J66" i="20"/>
  <c r="K66" i="20" s="1"/>
  <c r="L17" i="20"/>
  <c r="J71" i="20"/>
  <c r="K71" i="20" s="1"/>
  <c r="J70" i="20"/>
  <c r="K70" i="20" s="1"/>
  <c r="J73" i="20"/>
  <c r="K73" i="20" s="1"/>
  <c r="J74" i="20"/>
  <c r="K74" i="20" s="1"/>
  <c r="J69" i="20"/>
  <c r="K69" i="20" s="1"/>
  <c r="J67" i="20"/>
  <c r="K67" i="20" s="1"/>
  <c r="L12" i="20"/>
  <c r="L14" i="20"/>
  <c r="L11" i="20"/>
  <c r="L16" i="20"/>
  <c r="L15" i="20"/>
  <c r="L9" i="20"/>
  <c r="L8" i="20"/>
  <c r="L13" i="20"/>
  <c r="L10" i="20"/>
  <c r="I55" i="2"/>
  <c r="J55" i="2" s="1"/>
  <c r="I111" i="2"/>
  <c r="J111" i="2" s="1"/>
  <c r="I79" i="2"/>
  <c r="J79" i="2" s="1"/>
  <c r="I86" i="2"/>
  <c r="J86" i="2" s="1"/>
  <c r="I6" i="2"/>
  <c r="J6" i="2" s="1"/>
  <c r="I93" i="2"/>
  <c r="J93" i="2" s="1"/>
  <c r="I13" i="2"/>
  <c r="J13" i="2" s="1"/>
  <c r="I100" i="2"/>
  <c r="J100" i="2" s="1"/>
  <c r="I44" i="2"/>
  <c r="J44" i="2" s="1"/>
  <c r="I20" i="2"/>
  <c r="J20" i="2" s="1"/>
  <c r="I107" i="2"/>
  <c r="J107" i="2" s="1"/>
  <c r="I83" i="2"/>
  <c r="J83" i="2" s="1"/>
  <c r="I51" i="2"/>
  <c r="J51" i="2" s="1"/>
  <c r="I27" i="2"/>
  <c r="J27" i="2" s="1"/>
  <c r="I90" i="2"/>
  <c r="J90" i="2" s="1"/>
  <c r="I58" i="2"/>
  <c r="J58" i="2" s="1"/>
  <c r="I34" i="2"/>
  <c r="J34" i="2" s="1"/>
  <c r="I23" i="2"/>
  <c r="J23" i="2" s="1"/>
  <c r="I30" i="2"/>
  <c r="J30" i="2" s="1"/>
  <c r="I69" i="2"/>
  <c r="J69" i="2" s="1"/>
  <c r="I76" i="2"/>
  <c r="J76" i="2" s="1"/>
  <c r="I114" i="2"/>
  <c r="J114" i="2" s="1"/>
  <c r="I97" i="2"/>
  <c r="J97" i="2" s="1"/>
  <c r="I65" i="2"/>
  <c r="J65" i="2" s="1"/>
  <c r="I41" i="2"/>
  <c r="J41" i="2" s="1"/>
  <c r="I9" i="2"/>
  <c r="J9" i="2" s="1"/>
  <c r="I62" i="2"/>
  <c r="J62" i="2" s="1"/>
  <c r="I37" i="2"/>
  <c r="J37" i="2" s="1"/>
  <c r="I104" i="2"/>
  <c r="J104" i="2" s="1"/>
  <c r="I72" i="2"/>
  <c r="J72" i="2" s="1"/>
  <c r="I48" i="2"/>
  <c r="J48" i="2" s="1"/>
  <c r="I16" i="2"/>
  <c r="J16" i="2" s="1"/>
  <c r="B7" i="1" a="1"/>
  <c r="K78" i="20"/>
  <c r="J78" i="20"/>
  <c r="A9" i="15" l="1"/>
  <c r="A5" i="15"/>
  <c r="A6" i="15"/>
  <c r="A17" i="15"/>
  <c r="A12" i="15"/>
  <c r="A8" i="15"/>
  <c r="A4" i="15"/>
  <c r="B7" i="1"/>
  <c r="A13" i="15"/>
  <c r="A16" i="15"/>
  <c r="A15" i="15"/>
  <c r="A10" i="15"/>
  <c r="A11" i="15"/>
  <c r="A7" i="15"/>
  <c r="A18" i="15"/>
  <c r="A14" i="15"/>
  <c r="I78" i="20"/>
  <c r="F78" i="20"/>
  <c r="D78" i="20"/>
  <c r="E78" i="20"/>
  <c r="C78" i="20"/>
  <c r="B78" i="20"/>
  <c r="B13" i="15" a="1"/>
  <c r="B14" i="15" a="1"/>
  <c r="B5" i="15" a="1"/>
  <c r="B17" i="15" a="1"/>
  <c r="B10" i="15" a="1"/>
  <c r="B12" i="15" a="1"/>
  <c r="B6" i="15" a="1"/>
  <c r="B9" i="15" a="1"/>
  <c r="B15" i="15" a="1"/>
  <c r="B11" i="15" a="1"/>
  <c r="B16" i="15" a="1"/>
  <c r="B8" i="15" a="1"/>
  <c r="B18" i="15" a="1"/>
  <c r="B7" i="15" a="1"/>
  <c r="B4" i="15" a="1"/>
  <c r="B16" i="15" l="1"/>
  <c r="C10" i="23"/>
  <c r="D10" i="23" s="1"/>
  <c r="C7" i="1" a="1"/>
  <c r="C7" i="1" s="1"/>
  <c r="B4" i="15"/>
  <c r="B15" i="15"/>
  <c r="B5" i="15"/>
  <c r="A3" i="15"/>
  <c r="E7" i="1" a="1"/>
  <c r="E7" i="1" s="1"/>
  <c r="N7" i="1" a="1"/>
  <c r="H45" i="1" s="1"/>
  <c r="B11" i="15"/>
  <c r="B14" i="15"/>
  <c r="B17" i="15"/>
  <c r="B7" i="15"/>
  <c r="B13" i="15"/>
  <c r="B6" i="15"/>
  <c r="B8" i="15"/>
  <c r="B10" i="15"/>
  <c r="B9" i="15"/>
  <c r="B18" i="15"/>
  <c r="B12" i="15"/>
  <c r="F7" i="1" a="1"/>
  <c r="D7" i="1" a="1"/>
  <c r="D7" i="1" s="1"/>
  <c r="B5" i="1" s="1"/>
  <c r="B3" i="15" a="1"/>
  <c r="B3" i="15" l="1"/>
  <c r="B53" i="22"/>
  <c r="D53" i="22" s="1" a="1"/>
  <c r="D53" i="22" s="1"/>
  <c r="H53" i="22" s="1"/>
  <c r="D26" i="24" s="1"/>
  <c r="V10" i="1"/>
  <c r="B46" i="22"/>
  <c r="D46" i="22" s="1" a="1"/>
  <c r="D46" i="22" s="1"/>
  <c r="H44" i="1"/>
  <c r="A14" i="21"/>
  <c r="V17" i="1"/>
  <c r="V12" i="1"/>
  <c r="A35" i="21" a="1"/>
  <c r="A35" i="21" s="1"/>
  <c r="V16" i="1"/>
  <c r="A16" i="24"/>
  <c r="A43" i="24" s="1"/>
  <c r="A18" i="24"/>
  <c r="A45" i="24" s="1"/>
  <c r="A13" i="24"/>
  <c r="A40" i="24" s="1"/>
  <c r="A15" i="24"/>
  <c r="A42" i="24" s="1"/>
  <c r="A20" i="24"/>
  <c r="A47" i="24" s="1"/>
  <c r="A25" i="24"/>
  <c r="A52" i="24" s="1"/>
  <c r="A17" i="24"/>
  <c r="A44" i="24" s="1"/>
  <c r="A27" i="24"/>
  <c r="A54" i="24" s="1"/>
  <c r="A21" i="24"/>
  <c r="A48" i="24" s="1"/>
  <c r="A23" i="24"/>
  <c r="A50" i="24" s="1"/>
  <c r="A19" i="24"/>
  <c r="A46" i="24" s="1"/>
  <c r="A22" i="24"/>
  <c r="A49" i="24" s="1"/>
  <c r="A14" i="24"/>
  <c r="A41" i="24" s="1"/>
  <c r="A24" i="24"/>
  <c r="A51" i="24" s="1"/>
  <c r="A26" i="24"/>
  <c r="A53" i="24" s="1"/>
  <c r="B44" i="22"/>
  <c r="D44" i="22" s="1" a="1"/>
  <c r="D44" i="22" s="1"/>
  <c r="H37" i="1"/>
  <c r="AA11" i="1"/>
  <c r="B54" i="22"/>
  <c r="D54" i="22" s="1" a="1"/>
  <c r="D54" i="22" s="1"/>
  <c r="AA14" i="1"/>
  <c r="AA13" i="1"/>
  <c r="B40" i="22"/>
  <c r="D40" i="22" s="1" a="1"/>
  <c r="D40" i="22" s="1"/>
  <c r="B45" i="22"/>
  <c r="D45" i="22" s="1" a="1"/>
  <c r="D45" i="22" s="1"/>
  <c r="H33" i="1"/>
  <c r="AE17" i="1"/>
  <c r="B42" i="22"/>
  <c r="D42" i="22" s="1" a="1"/>
  <c r="D42" i="22" s="1"/>
  <c r="AA4" i="1"/>
  <c r="B49" i="22"/>
  <c r="D49" i="22" s="1" a="1"/>
  <c r="D49" i="22" s="1"/>
  <c r="AE6" i="1"/>
  <c r="A17" i="21"/>
  <c r="B41" i="22"/>
  <c r="D41" i="22" s="1" a="1"/>
  <c r="D41" i="22" s="1"/>
  <c r="A13" i="21"/>
  <c r="A25" i="21"/>
  <c r="AE4" i="1"/>
  <c r="B43" i="22"/>
  <c r="D43" i="22" s="1" a="1"/>
  <c r="D43" i="22" s="1"/>
  <c r="H34" i="1"/>
  <c r="AC6" i="1"/>
  <c r="AC5" i="1"/>
  <c r="B47" i="22"/>
  <c r="D47" i="22" s="1" a="1"/>
  <c r="D47" i="22" s="1"/>
  <c r="B48" i="22"/>
  <c r="D48" i="22" s="1" a="1"/>
  <c r="D48" i="22" s="1"/>
  <c r="H36" i="1"/>
  <c r="H43" i="1"/>
  <c r="AE11" i="1"/>
  <c r="A22" i="21"/>
  <c r="V9" i="1"/>
  <c r="AE5" i="1"/>
  <c r="AC3" i="1"/>
  <c r="AE12" i="1"/>
  <c r="AA5" i="1"/>
  <c r="B52" i="22"/>
  <c r="D52" i="22" s="1" a="1"/>
  <c r="D52" i="22" s="1"/>
  <c r="N7" i="1"/>
  <c r="AA2" i="1" s="1"/>
  <c r="A12" i="21"/>
  <c r="A11" i="21"/>
  <c r="AE13" i="1"/>
  <c r="A15" i="21"/>
  <c r="AA7" i="1"/>
  <c r="AE10" i="1"/>
  <c r="AA3" i="1"/>
  <c r="AA16" i="1"/>
  <c r="AC12" i="1"/>
  <c r="A19" i="21"/>
  <c r="A23" i="21"/>
  <c r="AA9" i="1"/>
  <c r="A16" i="21"/>
  <c r="V14" i="1"/>
  <c r="V11" i="1"/>
  <c r="AA15" i="1"/>
  <c r="V8" i="1"/>
  <c r="AE16" i="1"/>
  <c r="AC8" i="1"/>
  <c r="A24" i="21"/>
  <c r="AA12" i="1"/>
  <c r="A20" i="21"/>
  <c r="H41" i="1"/>
  <c r="AA6" i="1"/>
  <c r="AC14" i="1"/>
  <c r="AE7" i="1"/>
  <c r="AA10" i="1"/>
  <c r="AC16" i="1"/>
  <c r="H35" i="1"/>
  <c r="V7" i="1"/>
  <c r="AC11" i="1"/>
  <c r="H42" i="1"/>
  <c r="V13" i="1"/>
  <c r="V5" i="1"/>
  <c r="A21" i="21"/>
  <c r="V6" i="1"/>
  <c r="H32" i="1"/>
  <c r="AC9" i="1"/>
  <c r="AA17" i="1"/>
  <c r="AC17" i="1"/>
  <c r="AA8" i="1"/>
  <c r="H39" i="1"/>
  <c r="AE8" i="1"/>
  <c r="V3" i="1"/>
  <c r="AE3" i="1"/>
  <c r="V4" i="1"/>
  <c r="V15" i="1"/>
  <c r="AC4" i="1"/>
  <c r="AE15" i="1"/>
  <c r="AC15" i="1"/>
  <c r="B50" i="22"/>
  <c r="D50" i="22" s="1" a="1"/>
  <c r="D50" i="22" s="1"/>
  <c r="B51" i="22"/>
  <c r="D51" i="22" s="1" a="1"/>
  <c r="D51" i="22" s="1"/>
  <c r="H38" i="1"/>
  <c r="H31" i="1"/>
  <c r="H40" i="1"/>
  <c r="A18" i="21"/>
  <c r="AC13" i="1"/>
  <c r="AE9" i="1"/>
  <c r="AE14" i="1"/>
  <c r="AC10" i="1"/>
  <c r="AC7" i="1"/>
  <c r="F7" i="1"/>
  <c r="A37" i="21" a="1"/>
  <c r="A37" i="21" s="1"/>
  <c r="F6" i="21"/>
  <c r="A38" i="21" a="1"/>
  <c r="A38" i="21" s="1"/>
  <c r="A32" i="21" a="1"/>
  <c r="A32" i="21" s="1"/>
  <c r="A36" i="21" a="1"/>
  <c r="A36" i="21" s="1"/>
  <c r="A30" i="21" a="1"/>
  <c r="A30" i="21" s="1"/>
  <c r="A34" i="21" a="1"/>
  <c r="A34" i="21" s="1"/>
  <c r="G7" i="1" a="1"/>
  <c r="C20" i="21" s="1"/>
  <c r="A31" i="21" a="1"/>
  <c r="A31" i="21" s="1"/>
  <c r="V2" i="1"/>
  <c r="A29" i="21" a="1"/>
  <c r="A29" i="21" s="1"/>
  <c r="A33" i="21" a="1"/>
  <c r="A33" i="21" s="1"/>
  <c r="B30" i="1" a="1"/>
  <c r="B30" i="1" s="1"/>
  <c r="H7" i="1" l="1" a="1"/>
  <c r="H7" i="1" s="1"/>
  <c r="N3" i="1" s="1"/>
  <c r="A10" i="21"/>
  <c r="C26" i="24"/>
  <c r="E26" i="24" s="1"/>
  <c r="C23" i="24"/>
  <c r="E23" i="24" s="1"/>
  <c r="H50" i="22"/>
  <c r="D23" i="24" s="1"/>
  <c r="H44" i="22"/>
  <c r="D17" i="24" s="1"/>
  <c r="C17" i="24"/>
  <c r="E17" i="24" s="1"/>
  <c r="H43" i="22"/>
  <c r="D16" i="24" s="1"/>
  <c r="C16" i="24"/>
  <c r="E16" i="24" s="1"/>
  <c r="H49" i="22"/>
  <c r="D22" i="24" s="1"/>
  <c r="C22" i="24"/>
  <c r="E22" i="24" s="1"/>
  <c r="H52" i="22"/>
  <c r="D25" i="24" s="1"/>
  <c r="C25" i="24"/>
  <c r="E25" i="24" s="1"/>
  <c r="H42" i="22"/>
  <c r="D15" i="24" s="1"/>
  <c r="C15" i="24"/>
  <c r="E15" i="24" s="1"/>
  <c r="C27" i="24"/>
  <c r="E27" i="24" s="1"/>
  <c r="H54" i="22"/>
  <c r="D27" i="24" s="1"/>
  <c r="H40" i="22"/>
  <c r="D13" i="24" s="1"/>
  <c r="C13" i="24"/>
  <c r="E13" i="24" s="1"/>
  <c r="B34" i="21"/>
  <c r="AE2" i="1"/>
  <c r="H48" i="22"/>
  <c r="D21" i="24" s="1"/>
  <c r="C21" i="24"/>
  <c r="E21" i="24" s="1"/>
  <c r="H46" i="22"/>
  <c r="D19" i="24" s="1"/>
  <c r="C19" i="24"/>
  <c r="E19" i="24" s="1"/>
  <c r="H51" i="22"/>
  <c r="D24" i="24" s="1"/>
  <c r="C24" i="24"/>
  <c r="E24" i="24" s="1"/>
  <c r="C20" i="24"/>
  <c r="E20" i="24" s="1"/>
  <c r="H47" i="22"/>
  <c r="D20" i="24" s="1"/>
  <c r="H41" i="22"/>
  <c r="D14" i="24" s="1"/>
  <c r="C14" i="24"/>
  <c r="E14" i="24" s="1"/>
  <c r="H45" i="22"/>
  <c r="D18" i="24" s="1"/>
  <c r="C18" i="24"/>
  <c r="E18" i="24" s="1"/>
  <c r="B39" i="22"/>
  <c r="M40" i="1" s="1"/>
  <c r="A12" i="24"/>
  <c r="A39" i="24" s="1"/>
  <c r="AC2" i="1"/>
  <c r="H30" i="1"/>
  <c r="B38" i="21"/>
  <c r="B31" i="21"/>
  <c r="C25" i="21"/>
  <c r="B33" i="21"/>
  <c r="B36" i="21"/>
  <c r="B35" i="21"/>
  <c r="C16" i="21"/>
  <c r="B32" i="21"/>
  <c r="C17" i="21"/>
  <c r="G43" i="21"/>
  <c r="H43" i="21" s="1"/>
  <c r="C18" i="21"/>
  <c r="C24" i="21"/>
  <c r="C11" i="21"/>
  <c r="C19" i="21"/>
  <c r="G7" i="1"/>
  <c r="C7" i="23" s="1"/>
  <c r="C12" i="21"/>
  <c r="C13" i="21"/>
  <c r="C21" i="21"/>
  <c r="B30" i="21"/>
  <c r="C14" i="21"/>
  <c r="C22" i="21"/>
  <c r="B37" i="21"/>
  <c r="C15" i="21"/>
  <c r="C23" i="21"/>
  <c r="M39" i="1" l="1"/>
  <c r="M33" i="1"/>
  <c r="M38" i="1"/>
  <c r="M42" i="1"/>
  <c r="M43" i="1"/>
  <c r="M41" i="1"/>
  <c r="D39" i="22" a="1"/>
  <c r="D39" i="22" s="1"/>
  <c r="C12" i="24" s="1"/>
  <c r="E12" i="24" s="1"/>
  <c r="M45" i="1"/>
  <c r="M44" i="1"/>
  <c r="M37" i="1"/>
  <c r="M34" i="1"/>
  <c r="M36" i="1"/>
  <c r="M35" i="1"/>
  <c r="M14" i="1"/>
  <c r="B19" i="24" s="1"/>
  <c r="M9" i="1"/>
  <c r="X4" i="1" s="1"/>
  <c r="L25" i="1" a="1"/>
  <c r="L25" i="1" s="1"/>
  <c r="C12" i="23" s="1"/>
  <c r="K3" i="1" a="1"/>
  <c r="K3" i="1" s="1"/>
  <c r="B13" i="23" s="1"/>
  <c r="M12" i="1"/>
  <c r="B17" i="24" s="1"/>
  <c r="B44" i="24" s="1"/>
  <c r="M15" i="1"/>
  <c r="B20" i="24" s="1"/>
  <c r="I7" i="1" a="1"/>
  <c r="I7" i="1" s="1"/>
  <c r="M8" i="1"/>
  <c r="B13" i="24" s="1"/>
  <c r="B29" i="21"/>
  <c r="C33" i="21" s="1"/>
  <c r="D33" i="21" s="1"/>
  <c r="M11" i="1"/>
  <c r="B16" i="24" s="1"/>
  <c r="M31" i="1"/>
  <c r="M32" i="1"/>
  <c r="M7" i="1"/>
  <c r="AF2" i="1" s="1"/>
  <c r="J7" i="1" a="1"/>
  <c r="J7" i="1" s="1"/>
  <c r="J3" i="1" s="1"/>
  <c r="M17" i="1"/>
  <c r="B22" i="24" s="1"/>
  <c r="B49" i="24" s="1"/>
  <c r="B3" i="1"/>
  <c r="M18" i="1"/>
  <c r="B23" i="24" s="1"/>
  <c r="B50" i="24" s="1"/>
  <c r="M20" i="1"/>
  <c r="I43" i="1" s="1"/>
  <c r="M21" i="1"/>
  <c r="B26" i="24" s="1"/>
  <c r="B53" i="24" s="1"/>
  <c r="D30" i="1" a="1"/>
  <c r="D30" i="1" s="1"/>
  <c r="C16" i="23" s="1"/>
  <c r="M13" i="1"/>
  <c r="AF8" i="1" s="1"/>
  <c r="M16" i="1"/>
  <c r="M19" i="1"/>
  <c r="C51" i="22" s="1"/>
  <c r="G51" i="22" s="1"/>
  <c r="M10" i="1"/>
  <c r="B15" i="24" s="1"/>
  <c r="B42" i="24" s="1"/>
  <c r="M22" i="1"/>
  <c r="B27" i="24" s="1"/>
  <c r="B54" i="24" s="1"/>
  <c r="C10" i="21"/>
  <c r="B6" i="21"/>
  <c r="C40" i="22"/>
  <c r="G40" i="22" s="1"/>
  <c r="I31" i="1"/>
  <c r="AF3" i="1"/>
  <c r="C39" i="22" l="1"/>
  <c r="G30" i="21"/>
  <c r="B16" i="23"/>
  <c r="C47" i="22"/>
  <c r="G47" i="22" s="1"/>
  <c r="F17" i="24"/>
  <c r="G17" i="24" s="1"/>
  <c r="H39" i="22"/>
  <c r="D12" i="24" s="1"/>
  <c r="M30" i="1"/>
  <c r="F16" i="24"/>
  <c r="G16" i="24" s="1"/>
  <c r="B43" i="24"/>
  <c r="F13" i="24"/>
  <c r="G13" i="24" s="1"/>
  <c r="B40" i="24"/>
  <c r="F20" i="24"/>
  <c r="G20" i="24" s="1"/>
  <c r="B47" i="24"/>
  <c r="F19" i="24"/>
  <c r="B46" i="24"/>
  <c r="C46" i="22"/>
  <c r="G46" i="22" s="1"/>
  <c r="AF9" i="1"/>
  <c r="AF4" i="1"/>
  <c r="C38" i="21"/>
  <c r="D38" i="21" s="1"/>
  <c r="I32" i="1"/>
  <c r="I38" i="1"/>
  <c r="AF10" i="1"/>
  <c r="X9" i="1"/>
  <c r="I37" i="1"/>
  <c r="F17" i="21"/>
  <c r="C41" i="22"/>
  <c r="G41" i="22" s="1"/>
  <c r="AF6" i="1"/>
  <c r="C29" i="21"/>
  <c r="D29" i="21" s="1"/>
  <c r="C37" i="21"/>
  <c r="D37" i="21" s="1"/>
  <c r="X10" i="1"/>
  <c r="F18" i="21"/>
  <c r="X7" i="1"/>
  <c r="X2" i="1"/>
  <c r="I41" i="1"/>
  <c r="F12" i="21"/>
  <c r="B14" i="24"/>
  <c r="F15" i="21"/>
  <c r="B12" i="23"/>
  <c r="D12" i="23" s="1"/>
  <c r="AF7" i="1"/>
  <c r="C44" i="22"/>
  <c r="G44" i="22" s="1"/>
  <c r="X3" i="1"/>
  <c r="F11" i="21"/>
  <c r="I35" i="1"/>
  <c r="F10" i="21"/>
  <c r="X6" i="1"/>
  <c r="C32" i="21"/>
  <c r="D32" i="21" s="1"/>
  <c r="C31" i="21"/>
  <c r="D31" i="21" s="1"/>
  <c r="C43" i="22"/>
  <c r="G43" i="22" s="1"/>
  <c r="F14" i="21"/>
  <c r="C36" i="21"/>
  <c r="D36" i="21" s="1"/>
  <c r="C34" i="21"/>
  <c r="D34" i="21" s="1"/>
  <c r="C35" i="21"/>
  <c r="D35" i="21" s="1"/>
  <c r="I34" i="1"/>
  <c r="C30" i="21"/>
  <c r="D30" i="21" s="1"/>
  <c r="F13" i="21"/>
  <c r="C50" i="22"/>
  <c r="G50" i="22" s="1"/>
  <c r="X17" i="1"/>
  <c r="B12" i="24"/>
  <c r="B39" i="24" s="1"/>
  <c r="D25" i="1"/>
  <c r="F25" i="21"/>
  <c r="AF13" i="1"/>
  <c r="X16" i="1"/>
  <c r="I45" i="1"/>
  <c r="X13" i="1"/>
  <c r="I30" i="1"/>
  <c r="AF15" i="1"/>
  <c r="X15" i="1"/>
  <c r="B7" i="23"/>
  <c r="D7" i="23" s="1"/>
  <c r="AF17" i="1"/>
  <c r="X14" i="1"/>
  <c r="AF12" i="1"/>
  <c r="K33" i="1"/>
  <c r="F24" i="21"/>
  <c r="I33" i="1"/>
  <c r="C42" i="22"/>
  <c r="G42" i="22" s="1"/>
  <c r="G19" i="24"/>
  <c r="AF16" i="1"/>
  <c r="I42" i="1"/>
  <c r="C53" i="22"/>
  <c r="G53" i="22" s="1"/>
  <c r="F16" i="21"/>
  <c r="B18" i="24"/>
  <c r="B45" i="24" s="1"/>
  <c r="X12" i="1"/>
  <c r="F19" i="21"/>
  <c r="B21" i="24"/>
  <c r="B48" i="24" s="1"/>
  <c r="E35" i="1"/>
  <c r="F35" i="1" s="1"/>
  <c r="E30" i="1"/>
  <c r="F30" i="1" s="1"/>
  <c r="E39" i="1"/>
  <c r="F39" i="1" s="1"/>
  <c r="J30" i="1"/>
  <c r="C15" i="23" s="1"/>
  <c r="D15" i="23" s="1"/>
  <c r="C54" i="22"/>
  <c r="G54" i="22" s="1"/>
  <c r="F20" i="21"/>
  <c r="F23" i="21"/>
  <c r="B25" i="24"/>
  <c r="B52" i="24" s="1"/>
  <c r="F22" i="21"/>
  <c r="B24" i="24"/>
  <c r="B51" i="24" s="1"/>
  <c r="F22" i="24"/>
  <c r="C49" i="22"/>
  <c r="G49" i="22" s="1"/>
  <c r="F26" i="24"/>
  <c r="F27" i="24"/>
  <c r="D94" i="22"/>
  <c r="E36" i="1"/>
  <c r="F36" i="1" s="1"/>
  <c r="I40" i="1"/>
  <c r="F23" i="24"/>
  <c r="AF14" i="1"/>
  <c r="I44" i="1"/>
  <c r="F21" i="21"/>
  <c r="F15" i="24"/>
  <c r="B17" i="21"/>
  <c r="D16" i="21"/>
  <c r="L14" i="1"/>
  <c r="W9" i="1" s="1"/>
  <c r="Y7" i="1"/>
  <c r="K37" i="1"/>
  <c r="B16" i="21"/>
  <c r="D24" i="21"/>
  <c r="J41" i="1"/>
  <c r="D17" i="21"/>
  <c r="I3" i="1"/>
  <c r="O13" i="1"/>
  <c r="P13" i="1" s="1"/>
  <c r="AB13" i="1"/>
  <c r="K42" i="1"/>
  <c r="J42" i="1"/>
  <c r="B15" i="21"/>
  <c r="B19" i="21"/>
  <c r="L15" i="1"/>
  <c r="E18" i="21" s="1"/>
  <c r="L20" i="1"/>
  <c r="E23" i="21" s="1"/>
  <c r="E33" i="1"/>
  <c r="F33" i="1" s="1"/>
  <c r="O16" i="1"/>
  <c r="P16" i="1" s="1"/>
  <c r="O14" i="1"/>
  <c r="P14" i="1" s="1"/>
  <c r="AB3" i="1"/>
  <c r="Y15" i="1"/>
  <c r="Y17" i="1"/>
  <c r="AB17" i="1"/>
  <c r="I39" i="1"/>
  <c r="J40" i="1"/>
  <c r="K30" i="1"/>
  <c r="B23" i="21"/>
  <c r="D11" i="21"/>
  <c r="D19" i="21"/>
  <c r="L11" i="1"/>
  <c r="W6" i="1" s="1"/>
  <c r="AB14" i="1"/>
  <c r="K38" i="1"/>
  <c r="B21" i="21"/>
  <c r="Y9" i="1"/>
  <c r="O11" i="1"/>
  <c r="P11" i="1" s="1"/>
  <c r="AB7" i="1"/>
  <c r="Y4" i="1"/>
  <c r="Y3" i="1"/>
  <c r="K39" i="1"/>
  <c r="J31" i="1"/>
  <c r="J43" i="1"/>
  <c r="B20" i="21"/>
  <c r="B22" i="21"/>
  <c r="D12" i="21"/>
  <c r="D20" i="21"/>
  <c r="C48" i="22"/>
  <c r="G48" i="22" s="1"/>
  <c r="L13" i="1"/>
  <c r="E16" i="21" s="1"/>
  <c r="O15" i="1"/>
  <c r="P15" i="1" s="1"/>
  <c r="Y8" i="1"/>
  <c r="AB12" i="1"/>
  <c r="L22" i="1"/>
  <c r="F54" i="22" s="1"/>
  <c r="J54" i="22" s="1"/>
  <c r="O22" i="1"/>
  <c r="P22" i="1" s="1"/>
  <c r="AB16" i="1"/>
  <c r="AB9" i="1"/>
  <c r="K32" i="1"/>
  <c r="B24" i="21"/>
  <c r="D25" i="21"/>
  <c r="Y10" i="1"/>
  <c r="F25" i="1"/>
  <c r="E32" i="1"/>
  <c r="F32" i="1" s="1"/>
  <c r="O21" i="1"/>
  <c r="P21" i="1" s="1"/>
  <c r="O12" i="1"/>
  <c r="P12" i="1" s="1"/>
  <c r="AB11" i="1"/>
  <c r="Y12" i="1"/>
  <c r="Y11" i="1"/>
  <c r="K36" i="1"/>
  <c r="J44" i="1"/>
  <c r="B12" i="21"/>
  <c r="B25" i="21"/>
  <c r="D13" i="21"/>
  <c r="D21" i="21"/>
  <c r="C52" i="22"/>
  <c r="G52" i="22" s="1"/>
  <c r="O8" i="1"/>
  <c r="P8" i="1" s="1"/>
  <c r="C14" i="23"/>
  <c r="O19" i="1"/>
  <c r="P19" i="1" s="1"/>
  <c r="L8" i="1"/>
  <c r="F40" i="22" s="1"/>
  <c r="J40" i="22" s="1"/>
  <c r="L12" i="1"/>
  <c r="F44" i="22" s="1"/>
  <c r="J44" i="22" s="1"/>
  <c r="L21" i="1"/>
  <c r="F53" i="22" s="1"/>
  <c r="J53" i="22" s="1"/>
  <c r="E34" i="1"/>
  <c r="F34" i="1" s="1"/>
  <c r="E38" i="1"/>
  <c r="F38" i="1" s="1"/>
  <c r="O17" i="1"/>
  <c r="P17" i="1" s="1"/>
  <c r="Y5" i="1"/>
  <c r="AB15" i="1"/>
  <c r="AB4" i="1"/>
  <c r="Y6" i="1"/>
  <c r="AF11" i="1"/>
  <c r="K45" i="1"/>
  <c r="J33" i="1"/>
  <c r="K40" i="1"/>
  <c r="B11" i="21"/>
  <c r="B13" i="21"/>
  <c r="D14" i="21"/>
  <c r="D22" i="21"/>
  <c r="C62" i="22" a="1"/>
  <c r="C62" i="22" s="1"/>
  <c r="K41" i="1"/>
  <c r="O10" i="1"/>
  <c r="P10" i="1" s="1"/>
  <c r="AB6" i="1"/>
  <c r="AB5" i="1"/>
  <c r="L9" i="1"/>
  <c r="F41" i="22" s="1"/>
  <c r="J41" i="22" s="1"/>
  <c r="O9" i="1"/>
  <c r="P9" i="1" s="1"/>
  <c r="AB10" i="1"/>
  <c r="L10" i="1"/>
  <c r="F42" i="22" s="1"/>
  <c r="J42" i="22" s="1"/>
  <c r="D18" i="21"/>
  <c r="L17" i="1"/>
  <c r="W12" i="1" s="1"/>
  <c r="E37" i="1"/>
  <c r="F37" i="1" s="1"/>
  <c r="L16" i="1"/>
  <c r="E19" i="21" s="1"/>
  <c r="L18" i="1"/>
  <c r="E21" i="21" s="1"/>
  <c r="L19" i="1"/>
  <c r="E22" i="21" s="1"/>
  <c r="E31" i="1"/>
  <c r="F31" i="1" s="1"/>
  <c r="O20" i="1"/>
  <c r="P20" i="1" s="1"/>
  <c r="O18" i="1"/>
  <c r="P18" i="1" s="1"/>
  <c r="Y13" i="1"/>
  <c r="Y16" i="1"/>
  <c r="AB8" i="1"/>
  <c r="Y14" i="1"/>
  <c r="X11" i="1"/>
  <c r="K34" i="1"/>
  <c r="K44" i="1"/>
  <c r="B18" i="21"/>
  <c r="B14" i="21"/>
  <c r="D15" i="21"/>
  <c r="D23" i="21"/>
  <c r="X8" i="1"/>
  <c r="I36" i="1"/>
  <c r="K43" i="1"/>
  <c r="J35" i="1"/>
  <c r="J45" i="1"/>
  <c r="C45" i="22"/>
  <c r="G45" i="22" s="1"/>
  <c r="C34" i="22" a="1"/>
  <c r="C34" i="22" s="1"/>
  <c r="E34" i="22" s="1"/>
  <c r="AF5" i="1"/>
  <c r="K31" i="1"/>
  <c r="J36" i="1"/>
  <c r="J37" i="1"/>
  <c r="J32" i="1"/>
  <c r="C35" i="22"/>
  <c r="E35" i="22" s="1"/>
  <c r="C6" i="23"/>
  <c r="D6" i="23" s="1"/>
  <c r="X5" i="1"/>
  <c r="K35" i="1"/>
  <c r="J38" i="1"/>
  <c r="J39" i="1"/>
  <c r="J34" i="1"/>
  <c r="D16" i="23"/>
  <c r="G39" i="22"/>
  <c r="H6" i="21"/>
  <c r="G6" i="21"/>
  <c r="D10" i="21"/>
  <c r="C6" i="21"/>
  <c r="A6" i="21"/>
  <c r="E6" i="21" s="1"/>
  <c r="B10" i="21"/>
  <c r="Q25" i="1"/>
  <c r="P3" i="1"/>
  <c r="B14" i="23" s="1"/>
  <c r="AB2" i="1"/>
  <c r="Y2" i="1"/>
  <c r="O7" i="1"/>
  <c r="F3" i="1"/>
  <c r="B9" i="23" s="1"/>
  <c r="E3" i="1"/>
  <c r="H3" i="1" s="1"/>
  <c r="J25" i="1"/>
  <c r="L7" i="1"/>
  <c r="B25" i="1"/>
  <c r="O30" i="1" l="1"/>
  <c r="G13" i="21"/>
  <c r="R10" i="1"/>
  <c r="E42" i="22" s="1"/>
  <c r="I42" i="22" s="1"/>
  <c r="G18" i="21"/>
  <c r="R15" i="1"/>
  <c r="G21" i="21"/>
  <c r="R18" i="1"/>
  <c r="E50" i="22" s="1"/>
  <c r="I50" i="22" s="1"/>
  <c r="G24" i="21"/>
  <c r="R21" i="1"/>
  <c r="E53" i="22" s="1"/>
  <c r="I53" i="22" s="1"/>
  <c r="G14" i="21"/>
  <c r="R11" i="1"/>
  <c r="E43" i="22" s="1"/>
  <c r="I43" i="22" s="1"/>
  <c r="G23" i="21"/>
  <c r="R20" i="1"/>
  <c r="G15" i="21"/>
  <c r="R12" i="1"/>
  <c r="E44" i="22" s="1"/>
  <c r="I44" i="22" s="1"/>
  <c r="G25" i="21"/>
  <c r="R22" i="1"/>
  <c r="E54" i="22" s="1"/>
  <c r="I54" i="22" s="1"/>
  <c r="G22" i="21"/>
  <c r="R19" i="1"/>
  <c r="AD14" i="1" s="1"/>
  <c r="G19" i="21"/>
  <c r="R16" i="1"/>
  <c r="AD11" i="1" s="1"/>
  <c r="G12" i="21"/>
  <c r="R9" i="1"/>
  <c r="E41" i="22" s="1"/>
  <c r="I41" i="22" s="1"/>
  <c r="G17" i="21"/>
  <c r="R14" i="1"/>
  <c r="E46" i="22" s="1"/>
  <c r="I46" i="22" s="1"/>
  <c r="G20" i="21"/>
  <c r="R17" i="1"/>
  <c r="E49" i="22" s="1"/>
  <c r="I49" i="22" s="1"/>
  <c r="G11" i="21"/>
  <c r="R8" i="1"/>
  <c r="E40" i="22" s="1"/>
  <c r="I40" i="22" s="1"/>
  <c r="G16" i="21"/>
  <c r="R13" i="1"/>
  <c r="E45" i="22" s="1"/>
  <c r="I45" i="22" s="1"/>
  <c r="L44" i="1"/>
  <c r="N44" i="1" s="1"/>
  <c r="O44" i="1"/>
  <c r="L43" i="1"/>
  <c r="N43" i="1" s="1"/>
  <c r="O43" i="1"/>
  <c r="L34" i="1"/>
  <c r="N34" i="1" s="1"/>
  <c r="O34" i="1"/>
  <c r="L42" i="1"/>
  <c r="N42" i="1" s="1"/>
  <c r="O42" i="1"/>
  <c r="L37" i="1"/>
  <c r="N37" i="1" s="1"/>
  <c r="O37" i="1"/>
  <c r="L40" i="1"/>
  <c r="N40" i="1" s="1"/>
  <c r="O40" i="1"/>
  <c r="L35" i="1"/>
  <c r="N35" i="1" s="1"/>
  <c r="O35" i="1"/>
  <c r="L38" i="1"/>
  <c r="N38" i="1" s="1"/>
  <c r="O38" i="1"/>
  <c r="L33" i="1"/>
  <c r="N33" i="1" s="1"/>
  <c r="O33" i="1"/>
  <c r="L41" i="1"/>
  <c r="N41" i="1" s="1"/>
  <c r="O41" i="1"/>
  <c r="L45" i="1"/>
  <c r="N45" i="1" s="1"/>
  <c r="O45" i="1"/>
  <c r="L39" i="1"/>
  <c r="N39" i="1" s="1"/>
  <c r="O39" i="1"/>
  <c r="L36" i="1"/>
  <c r="N36" i="1" s="1"/>
  <c r="O36" i="1"/>
  <c r="F14" i="24"/>
  <c r="G14" i="24" s="1"/>
  <c r="B41" i="24"/>
  <c r="F46" i="22"/>
  <c r="J46" i="22" s="1"/>
  <c r="D39" i="21"/>
  <c r="B40" i="21" s="1"/>
  <c r="B62" i="21"/>
  <c r="D62" i="21" s="1"/>
  <c r="F48" i="22"/>
  <c r="J48" i="22" s="1"/>
  <c r="E15" i="21"/>
  <c r="F12" i="24"/>
  <c r="G12" i="24" s="1"/>
  <c r="Q21" i="1"/>
  <c r="F49" i="22"/>
  <c r="J49" i="22" s="1"/>
  <c r="W4" i="1"/>
  <c r="W8" i="1"/>
  <c r="F45" i="22"/>
  <c r="J45" i="22" s="1"/>
  <c r="F52" i="22"/>
  <c r="J52" i="22" s="1"/>
  <c r="E25" i="21"/>
  <c r="E62" i="22"/>
  <c r="H4" i="1"/>
  <c r="W17" i="1"/>
  <c r="F50" i="22"/>
  <c r="J50" i="22" s="1"/>
  <c r="E12" i="21"/>
  <c r="Q20" i="1"/>
  <c r="L31" i="1"/>
  <c r="N31" i="1" s="1"/>
  <c r="O31" i="1"/>
  <c r="Q14" i="1"/>
  <c r="W13" i="1"/>
  <c r="L32" i="1"/>
  <c r="N32" i="1" s="1"/>
  <c r="O32" i="1"/>
  <c r="Q11" i="1"/>
  <c r="G32" i="21"/>
  <c r="H32" i="21" s="1"/>
  <c r="W10" i="1"/>
  <c r="W7" i="1"/>
  <c r="F43" i="22"/>
  <c r="J43" i="22" s="1"/>
  <c r="E24" i="21"/>
  <c r="D14" i="23"/>
  <c r="E14" i="21"/>
  <c r="C11" i="23"/>
  <c r="D11" i="23" s="1"/>
  <c r="W5" i="1"/>
  <c r="F51" i="22"/>
  <c r="J51" i="22" s="1"/>
  <c r="L30" i="1"/>
  <c r="N30" i="1" s="1"/>
  <c r="E94" i="22"/>
  <c r="F94" i="22"/>
  <c r="G22" i="24"/>
  <c r="F18" i="24"/>
  <c r="H23" i="21"/>
  <c r="C9" i="22"/>
  <c r="D93" i="22" s="1"/>
  <c r="G33" i="21"/>
  <c r="H33" i="21" s="1"/>
  <c r="E20" i="21"/>
  <c r="F21" i="24"/>
  <c r="Q15" i="1"/>
  <c r="E13" i="21"/>
  <c r="B61" i="21"/>
  <c r="D61" i="21" s="1"/>
  <c r="C13" i="23"/>
  <c r="D13" i="23" s="1"/>
  <c r="G27" i="24"/>
  <c r="F25" i="24"/>
  <c r="Q17" i="1"/>
  <c r="Q10" i="1"/>
  <c r="C55" i="22"/>
  <c r="C38" i="23" s="1"/>
  <c r="D38" i="23" s="1"/>
  <c r="G55" i="22"/>
  <c r="E17" i="21"/>
  <c r="G23" i="24"/>
  <c r="Q13" i="1"/>
  <c r="Q12" i="1"/>
  <c r="F47" i="22"/>
  <c r="J47" i="22" s="1"/>
  <c r="B63" i="21"/>
  <c r="D63" i="21" s="1"/>
  <c r="F24" i="24"/>
  <c r="Q8" i="1"/>
  <c r="E47" i="22"/>
  <c r="I47" i="22" s="1"/>
  <c r="W16" i="1"/>
  <c r="Q16" i="1"/>
  <c r="G15" i="24"/>
  <c r="G26" i="24"/>
  <c r="W14" i="1"/>
  <c r="W3" i="1"/>
  <c r="Q22" i="1"/>
  <c r="W15" i="1"/>
  <c r="Q19" i="1"/>
  <c r="Q18" i="1"/>
  <c r="W11" i="1"/>
  <c r="E11" i="21"/>
  <c r="Q9" i="1"/>
  <c r="C61" i="22" a="1"/>
  <c r="C61" i="22" s="1"/>
  <c r="E61" i="22" s="1"/>
  <c r="P7" i="1"/>
  <c r="C8" i="23"/>
  <c r="B8" i="23"/>
  <c r="C9" i="23"/>
  <c r="D9" i="23" s="1"/>
  <c r="E29" i="22"/>
  <c r="B56" i="21"/>
  <c r="D56" i="21" s="1"/>
  <c r="E10" i="21"/>
  <c r="F39" i="22"/>
  <c r="D6" i="21"/>
  <c r="F55" i="22" s="1"/>
  <c r="G29" i="21"/>
  <c r="H30" i="21" s="1"/>
  <c r="H29" i="21"/>
  <c r="H35" i="21"/>
  <c r="G42" i="21"/>
  <c r="H42" i="21" s="1"/>
  <c r="G35" i="21"/>
  <c r="R25" i="1" a="1"/>
  <c r="R25" i="1" s="1"/>
  <c r="W2" i="1"/>
  <c r="H25" i="1"/>
  <c r="R3" i="1"/>
  <c r="C23" i="23" s="1"/>
  <c r="D23" i="23" s="1"/>
  <c r="Q3" i="1"/>
  <c r="B32" i="23"/>
  <c r="G3" i="1"/>
  <c r="E51" i="22" l="1"/>
  <c r="I51" i="22" s="1"/>
  <c r="G10" i="21"/>
  <c r="R7" i="1"/>
  <c r="E39" i="22" s="1"/>
  <c r="AD9" i="1"/>
  <c r="Z14" i="1"/>
  <c r="B57" i="21"/>
  <c r="D57" i="21" s="1"/>
  <c r="Z16" i="1"/>
  <c r="B60" i="21"/>
  <c r="D60" i="21" s="1"/>
  <c r="H24" i="21"/>
  <c r="S14" i="1"/>
  <c r="T14" i="1" s="1"/>
  <c r="G41" i="21"/>
  <c r="H41" i="21" s="1"/>
  <c r="AD16" i="1"/>
  <c r="Z9" i="1"/>
  <c r="H17" i="21"/>
  <c r="Z10" i="1"/>
  <c r="Z12" i="1"/>
  <c r="AD6" i="1"/>
  <c r="AD12" i="1"/>
  <c r="S21" i="1"/>
  <c r="T21" i="1" s="1"/>
  <c r="S18" i="1"/>
  <c r="T18" i="1" s="1"/>
  <c r="H21" i="21"/>
  <c r="Z13" i="1"/>
  <c r="AD13" i="1"/>
  <c r="S15" i="1"/>
  <c r="T15" i="1" s="1"/>
  <c r="Z17" i="1"/>
  <c r="S22" i="1"/>
  <c r="T22" i="1" s="1"/>
  <c r="AD5" i="1"/>
  <c r="H12" i="21"/>
  <c r="E48" i="22"/>
  <c r="I48" i="22" s="1"/>
  <c r="H20" i="21"/>
  <c r="Z6" i="1"/>
  <c r="Z15" i="1"/>
  <c r="Z7" i="1"/>
  <c r="H14" i="21"/>
  <c r="S11" i="1"/>
  <c r="T11" i="1" s="1"/>
  <c r="S19" i="1"/>
  <c r="T19" i="1" s="1"/>
  <c r="H22" i="21"/>
  <c r="C43" i="24"/>
  <c r="AD8" i="1"/>
  <c r="Z5" i="1"/>
  <c r="S13" i="1"/>
  <c r="T13" i="1" s="1"/>
  <c r="C53" i="24"/>
  <c r="S20" i="1"/>
  <c r="T20" i="1" s="1"/>
  <c r="B48" i="21"/>
  <c r="D48" i="21" s="1"/>
  <c r="Z4" i="1"/>
  <c r="S10" i="1"/>
  <c r="T10" i="1" s="1"/>
  <c r="H18" i="21"/>
  <c r="AD17" i="1"/>
  <c r="C10" i="22"/>
  <c r="B36" i="23" s="1"/>
  <c r="S3" i="1"/>
  <c r="C21" i="23" s="1"/>
  <c r="D21" i="23" s="1"/>
  <c r="C33" i="23"/>
  <c r="AD4" i="1"/>
  <c r="S16" i="1"/>
  <c r="T16" i="1" s="1"/>
  <c r="S9" i="1"/>
  <c r="T9" i="1" s="1"/>
  <c r="S17" i="1"/>
  <c r="T17" i="1" s="1"/>
  <c r="AD10" i="1"/>
  <c r="H13" i="21"/>
  <c r="E60" i="22"/>
  <c r="C36" i="23"/>
  <c r="G18" i="24"/>
  <c r="C45" i="24"/>
  <c r="C44" i="24"/>
  <c r="H11" i="21"/>
  <c r="C46" i="24"/>
  <c r="E93" i="22"/>
  <c r="F93" i="22"/>
  <c r="AD3" i="1"/>
  <c r="C42" i="24"/>
  <c r="C49" i="24"/>
  <c r="S8" i="1"/>
  <c r="T8" i="1" s="1"/>
  <c r="H19" i="21"/>
  <c r="C40" i="24"/>
  <c r="G24" i="24"/>
  <c r="C51" i="24"/>
  <c r="C50" i="24"/>
  <c r="C52" i="24"/>
  <c r="G25" i="24"/>
  <c r="J39" i="22"/>
  <c r="D95" i="22" s="1" a="1"/>
  <c r="D95" i="22" s="1"/>
  <c r="C73" i="22" a="1"/>
  <c r="C73" i="22" s="1"/>
  <c r="E73" i="22" s="1"/>
  <c r="C72" i="22" a="1"/>
  <c r="C72" i="22" s="1"/>
  <c r="E9" i="22"/>
  <c r="G31" i="21"/>
  <c r="H31" i="21" s="1"/>
  <c r="C47" i="24"/>
  <c r="C54" i="24"/>
  <c r="G21" i="24"/>
  <c r="C48" i="24"/>
  <c r="Z3" i="1"/>
  <c r="AD15" i="1"/>
  <c r="H15" i="21"/>
  <c r="D55" i="22"/>
  <c r="E52" i="22"/>
  <c r="I52" i="22" s="1"/>
  <c r="Z11" i="1"/>
  <c r="S12" i="1"/>
  <c r="T12" i="1" s="1"/>
  <c r="C60" i="22"/>
  <c r="Z8" i="1"/>
  <c r="AD7" i="1"/>
  <c r="H25" i="21"/>
  <c r="H16" i="21"/>
  <c r="C25" i="22"/>
  <c r="C18" i="22" s="1"/>
  <c r="C34" i="23" s="1"/>
  <c r="C41" i="24"/>
  <c r="C39" i="24"/>
  <c r="C15" i="22"/>
  <c r="C32" i="23"/>
  <c r="D32" i="23" s="1"/>
  <c r="Q7" i="1"/>
  <c r="D8" i="23"/>
  <c r="G34" i="21"/>
  <c r="H34" i="21" s="1"/>
  <c r="B55" i="21" a="1"/>
  <c r="B55" i="21" s="1"/>
  <c r="D55" i="21" s="1"/>
  <c r="B64" i="21"/>
  <c r="D64" i="21" s="1"/>
  <c r="C29" i="22"/>
  <c r="C30" i="22" a="1"/>
  <c r="C30" i="22" s="1"/>
  <c r="D29" i="22"/>
  <c r="C19" i="22" a="1"/>
  <c r="C19" i="22" s="1"/>
  <c r="D4" i="1" s="1"/>
  <c r="E55" i="22"/>
  <c r="C24" i="22"/>
  <c r="C20" i="22"/>
  <c r="Q4" i="1" s="1"/>
  <c r="G39" i="21"/>
  <c r="B47" i="21"/>
  <c r="S25" i="1"/>
  <c r="C24" i="23" s="1"/>
  <c r="D24" i="23" s="1"/>
  <c r="D39" i="24" l="1"/>
  <c r="E39" i="24" s="1"/>
  <c r="F39" i="24" s="1"/>
  <c r="D41" i="24"/>
  <c r="E41" i="24" s="1"/>
  <c r="F41" i="24" s="1"/>
  <c r="D48" i="24"/>
  <c r="E48" i="24" s="1"/>
  <c r="F48" i="24" s="1"/>
  <c r="D54" i="24"/>
  <c r="E54" i="24" s="1"/>
  <c r="F54" i="24" s="1"/>
  <c r="D47" i="24"/>
  <c r="E47" i="24" s="1"/>
  <c r="F47" i="24" s="1"/>
  <c r="D52" i="24"/>
  <c r="E52" i="24" s="1"/>
  <c r="F52" i="24" s="1"/>
  <c r="D50" i="24"/>
  <c r="E50" i="24" s="1"/>
  <c r="F50" i="24" s="1"/>
  <c r="D51" i="24"/>
  <c r="E51" i="24" s="1"/>
  <c r="F51" i="24" s="1"/>
  <c r="D40" i="24"/>
  <c r="E40" i="24" s="1"/>
  <c r="F40" i="24" s="1"/>
  <c r="D49" i="24"/>
  <c r="E49" i="24" s="1"/>
  <c r="F49" i="24" s="1"/>
  <c r="D42" i="24"/>
  <c r="E42" i="24" s="1"/>
  <c r="F42" i="24" s="1"/>
  <c r="D46" i="24"/>
  <c r="E46" i="24" s="1"/>
  <c r="F46" i="24" s="1"/>
  <c r="D44" i="24"/>
  <c r="E44" i="24" s="1"/>
  <c r="F44" i="24" s="1"/>
  <c r="D45" i="24"/>
  <c r="E45" i="24" s="1"/>
  <c r="F45" i="24" s="1"/>
  <c r="D53" i="24"/>
  <c r="E53" i="24" s="1"/>
  <c r="F53" i="24" s="1"/>
  <c r="D43" i="24"/>
  <c r="E43" i="24" s="1"/>
  <c r="F43" i="24" s="1"/>
  <c r="E30" i="22"/>
  <c r="H55" i="22"/>
  <c r="C66" i="22"/>
  <c r="C67" i="22" s="1"/>
  <c r="E67" i="22" s="1"/>
  <c r="D36" i="23"/>
  <c r="E25" i="22"/>
  <c r="C35" i="23"/>
  <c r="O4" i="1"/>
  <c r="J55" i="22"/>
  <c r="D59" i="22" s="1"/>
  <c r="C59" i="22"/>
  <c r="E59" i="22"/>
  <c r="B33" i="23"/>
  <c r="D33" i="23" s="1"/>
  <c r="E10" i="22"/>
  <c r="G40" i="21"/>
  <c r="H40" i="21" s="1"/>
  <c r="C11" i="22"/>
  <c r="J4" i="1" s="1"/>
  <c r="C37" i="23"/>
  <c r="F95" i="22"/>
  <c r="E95" i="22"/>
  <c r="C28" i="22"/>
  <c r="E28" i="22" s="1"/>
  <c r="C88" i="22"/>
  <c r="E88" i="22" s="1"/>
  <c r="C76" i="22"/>
  <c r="E76" i="22" s="1"/>
  <c r="C74" i="22"/>
  <c r="E72" i="22"/>
  <c r="I39" i="22"/>
  <c r="C87" i="22"/>
  <c r="E87" i="22" s="1"/>
  <c r="D86" i="22"/>
  <c r="C81" i="22"/>
  <c r="E81" i="22" s="1"/>
  <c r="C86" i="22"/>
  <c r="E86" i="22" s="1"/>
  <c r="C89" i="22" a="1"/>
  <c r="C89" i="22" s="1"/>
  <c r="E89" i="22" s="1"/>
  <c r="C80" i="22"/>
  <c r="B51" i="21"/>
  <c r="D51" i="21" s="1"/>
  <c r="T3" i="1"/>
  <c r="C22" i="23" s="1"/>
  <c r="D22" i="23" s="1"/>
  <c r="E15" i="22"/>
  <c r="H10" i="21"/>
  <c r="AD2" i="1"/>
  <c r="Z2" i="1"/>
  <c r="S7" i="1"/>
  <c r="T7" i="1" s="1"/>
  <c r="N25" i="1" s="1"/>
  <c r="E19" i="22"/>
  <c r="B52" i="21"/>
  <c r="D52" i="21" s="1"/>
  <c r="O3" i="1"/>
  <c r="B50" i="21"/>
  <c r="D50" i="21" s="1"/>
  <c r="E20" i="22"/>
  <c r="B54" i="21"/>
  <c r="D54" i="21" s="1"/>
  <c r="C27" i="22"/>
  <c r="E27" i="22" s="1"/>
  <c r="C26" i="22"/>
  <c r="E26" i="22" s="1"/>
  <c r="E18" i="22"/>
  <c r="C68" i="22"/>
  <c r="L4" i="1" s="1"/>
  <c r="D47" i="21"/>
  <c r="H39" i="21"/>
  <c r="C17" i="22" l="1" a="1"/>
  <c r="C17" i="22" s="1"/>
  <c r="E17" i="22" s="1"/>
  <c r="E66" i="22"/>
  <c r="G44" i="21"/>
  <c r="H44" i="21" s="1"/>
  <c r="T25" i="1" s="1"/>
  <c r="E11" i="22"/>
  <c r="B49" i="21"/>
  <c r="D49" i="21" s="1"/>
  <c r="I55" i="22"/>
  <c r="B37" i="23"/>
  <c r="D37" i="23" s="1"/>
  <c r="C75" i="22"/>
  <c r="E74" i="22"/>
  <c r="E80" i="22"/>
  <c r="C82" i="22"/>
  <c r="E82" i="22" s="1"/>
  <c r="B35" i="23"/>
  <c r="D35" i="23" s="1"/>
  <c r="O25" i="1"/>
  <c r="C20" i="23"/>
  <c r="D20" i="23" s="1"/>
  <c r="B34" i="23"/>
  <c r="D34" i="23" s="1"/>
  <c r="P25" i="1"/>
  <c r="E68" i="22"/>
  <c r="B53" i="21"/>
  <c r="D53" i="21" s="1"/>
  <c r="C16" i="22" l="1"/>
  <c r="E16" i="22" s="1"/>
  <c r="E75" i="22"/>
  <c r="S4" i="1"/>
  <c r="B41" i="1" s="1"/>
  <c r="C28" i="23"/>
  <c r="B28" i="23"/>
  <c r="A28" i="23"/>
  <c r="F4" i="1" l="1"/>
  <c r="D28"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8" authorId="0" shapeId="0" xr:uid="{84D2C060-5F06-4648-BEBF-AC49F2A8BA0B}">
      <text>
        <r>
          <rPr>
            <b/>
            <sz val="9"/>
            <color indexed="81"/>
            <rFont val="Tahoma"/>
            <charset val="1"/>
          </rPr>
          <t>ADMIN:</t>
        </r>
        <r>
          <rPr>
            <sz val="9"/>
            <color indexed="81"/>
            <rFont val="Tahoma"/>
            <charset val="1"/>
          </rPr>
          <t xml:space="preserve">
Paste this into VBA Editor (Alt+F11 → Insert → Module). Refreshes all linked data types and formulas across all sheets.</t>
        </r>
      </text>
    </comment>
    <comment ref="A50" authorId="0" shapeId="0" xr:uid="{194250F3-413D-438F-85E1-2515BC4086CC}">
      <text>
        <r>
          <rPr>
            <b/>
            <sz val="9"/>
            <color indexed="81"/>
            <rFont val="Tahoma"/>
            <charset val="1"/>
          </rPr>
          <t>ADMIN:</t>
        </r>
        <r>
          <rPr>
            <sz val="9"/>
            <color indexed="81"/>
            <rFont val="Tahoma"/>
            <charset val="1"/>
          </rPr>
          <t xml:space="preserve">
Exports the Dashboard tab as a PDF. Paste into VBA Editor and run.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1" authorId="0" shapeId="0" xr:uid="{E1CBF58B-A8D1-42EB-918C-00BBF5E56336}">
      <text>
        <r>
          <rPr>
            <b/>
            <sz val="9"/>
            <color indexed="81"/>
            <rFont val="Tahoma"/>
            <charset val="1"/>
          </rPr>
          <t>ADMIN:</t>
        </r>
        <r>
          <rPr>
            <sz val="9"/>
            <color indexed="81"/>
            <rFont val="Tahoma"/>
            <charset val="1"/>
          </rPr>
          <t xml:space="preserve">
Black &amp; Litterman (1992), 'Global Portfolio Optimization', Financial Analysts Journal. Extended by He &amp; Litterman (1999), Goldman Sachs Asset Management. The canonical Bayesian framework for blending equilibrium priors with subjective views.</t>
        </r>
      </text>
    </comment>
    <comment ref="B7" authorId="0" shapeId="0" xr:uid="{9A9E74A1-CAE7-45D3-9EBF-1556F01144C0}">
      <text>
        <r>
          <rPr>
            <b/>
            <sz val="9"/>
            <color indexed="81"/>
            <rFont val="Tahoma"/>
            <charset val="1"/>
          </rPr>
          <t>ADMIN:</t>
        </r>
        <r>
          <rPr>
            <sz val="9"/>
            <color indexed="81"/>
            <rFont val="Tahoma"/>
            <charset val="1"/>
          </rPr>
          <t xml:space="preserve">
Risk aversion coefficient δ = (E(Rm)-Rf)/σ²m. He &amp; Litterman (1999) estimate δ ≈ 2.5 for global equity markets. Higher δ = more risk-averse, lower BL weights on volatile assets.</t>
        </r>
      </text>
    </comment>
    <comment ref="B8" authorId="0" shapeId="0" xr:uid="{5EB39360-2272-4BFD-AFB5-36C802952ABF}">
      <text>
        <r>
          <rPr>
            <b/>
            <sz val="9"/>
            <color indexed="81"/>
            <rFont val="Tahoma"/>
            <charset val="1"/>
          </rPr>
          <t>ADMIN:</t>
        </r>
        <r>
          <rPr>
            <sz val="9"/>
            <color indexed="81"/>
            <rFont val="Tahoma"/>
            <charset val="1"/>
          </rPr>
          <t xml:space="preserve">
Tau (τ) scales the uncertainty in the prior (equilibrium) distribution. Typical range 0.01–0.10. τ → 0 means complete confidence in equilibrium; τ → 1 means views dominate. Per Meucci (2010), Risk &amp; Asset Allocation.</t>
        </r>
      </text>
    </comment>
    <comment ref="E12" authorId="0" shapeId="0" xr:uid="{138C8BE0-1D48-441D-A905-63796E2B4FFB}">
      <text>
        <r>
          <rPr>
            <b/>
            <sz val="9"/>
            <color indexed="81"/>
            <rFont val="Tahoma"/>
            <charset val="1"/>
          </rPr>
          <t>ADMIN:</t>
        </r>
        <r>
          <rPr>
            <sz val="9"/>
            <color indexed="81"/>
            <rFont val="Tahoma"/>
            <charset val="1"/>
          </rPr>
          <t xml:space="preserve">
Implied equilibrium return: π = Rf + δ·β·σ²m. Per Black &amp; Litterman (1992), this is the reverse-optimized expected return consistent with observed market-cap weights.</t>
        </r>
      </text>
    </comment>
    <comment ref="F12" authorId="0" shapeId="0" xr:uid="{62979B40-F492-45FA-AB61-04390618CE87}">
      <text>
        <r>
          <rPr>
            <b/>
            <sz val="9"/>
            <color indexed="81"/>
            <rFont val="Tahoma"/>
            <charset val="1"/>
          </rPr>
          <t>ADMIN:</t>
        </r>
        <r>
          <rPr>
            <sz val="9"/>
            <color indexed="81"/>
            <rFont val="Tahoma"/>
            <charset val="1"/>
          </rPr>
          <t xml:space="preserve">
Simplified BL posterior weight. Full model: w_BL = w_eq + τΣP'(PτΣP'+Ω)⁻¹(Q-Pπ). This approximation adjusts weights by alpha (CAPM excess return) scaled by conviction. Per Walters (2014), The Black-Litterman Model in Detail.</t>
        </r>
      </text>
    </comment>
    <comment ref="A29" authorId="0" shapeId="0" xr:uid="{B029CA58-114D-4D4E-BE36-F82375DCCC1B}">
      <text>
        <r>
          <rPr>
            <b/>
            <sz val="9"/>
            <color indexed="81"/>
            <rFont val="Tahoma"/>
            <charset val="1"/>
          </rPr>
          <t>ADMIN:</t>
        </r>
        <r>
          <rPr>
            <sz val="9"/>
            <color indexed="81"/>
            <rFont val="Tahoma"/>
            <charset val="1"/>
          </rPr>
          <t xml:space="preserve">
User views follow the P-Q framework: P is the pick matrix, Q is the expected outperformance vector. Confidence maps to Ω (view uncertainty). Higher confidence → lower Ω → more influence on posterior weights.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O3" authorId="0" shapeId="0" xr:uid="{4D6689E6-DE66-400D-B2FD-BCB46708B018}">
      <text>
        <r>
          <rPr>
            <b/>
            <sz val="9"/>
            <color indexed="81"/>
            <rFont val="Tahoma"/>
            <charset val="1"/>
          </rPr>
          <t>ADMIN:</t>
        </r>
        <r>
          <rPr>
            <sz val="9"/>
            <color indexed="81"/>
            <rFont val="Tahoma"/>
            <charset val="1"/>
          </rPr>
          <t xml:space="preserve">
Sharpe Ratio = (Rp − Rf) / σp. CFA Level I — excess return per unit of total risk. Rf = 4.25% (US 10Y), σp estimated via βp × σm.</t>
        </r>
      </text>
    </comment>
    <comment ref="S3" authorId="0" shapeId="0" xr:uid="{F8C8876F-F122-4EEE-8013-1173DB6B9233}">
      <text>
        <r>
          <rPr>
            <b/>
            <sz val="9"/>
            <color indexed="81"/>
            <rFont val="Tahoma"/>
            <charset val="1"/>
          </rPr>
          <t>ADMIN:</t>
        </r>
        <r>
          <rPr>
            <sz val="9"/>
            <color indexed="81"/>
            <rFont val="Tahoma"/>
            <charset val="1"/>
          </rPr>
          <t xml:space="preserve">
Portfolio Beta = Σ(wi × βi). Weighted-average systematic risk from Risk Analytics sheet. β &gt; 1 = more volatile than market.</t>
        </r>
      </text>
    </comment>
    <comment ref="T3" authorId="0" shapeId="0" xr:uid="{E3817B4F-A131-4D8D-8DB3-7498FD87FFAD}">
      <text>
        <r>
          <rPr>
            <b/>
            <sz val="9"/>
            <color indexed="81"/>
            <rFont val="Tahoma"/>
            <charset val="1"/>
          </rPr>
          <t>ADMIN:</t>
        </r>
        <r>
          <rPr>
            <sz val="9"/>
            <color indexed="81"/>
            <rFont val="Tahoma"/>
            <charset val="1"/>
          </rPr>
          <t xml:space="preserve">
Treynor Ratio = (Rp − Rf) / βp. Excess return per unit of systematic risk. CFA Level II metric — measures risk-adjusted performance using beta, not total volatility.</t>
        </r>
      </text>
    </comment>
    <comment ref="D4" authorId="0" shapeId="0" xr:uid="{90CAABB4-F9C8-4269-BA52-A08C1D98C984}">
      <text>
        <r>
          <rPr>
            <b/>
            <sz val="9"/>
            <color indexed="81"/>
            <rFont val="Tahoma"/>
            <charset val="1"/>
          </rPr>
          <t>ADMIN:</t>
        </r>
        <r>
          <rPr>
            <sz val="9"/>
            <color indexed="81"/>
            <rFont val="Tahoma"/>
            <charset val="1"/>
          </rPr>
          <t xml:space="preserve">
CFA Level II: Sortino = (Rp-Rf) / Downside σ. Penalises harmful volatility only.</t>
        </r>
      </text>
    </comment>
    <comment ref="F4" authorId="0" shapeId="0" xr:uid="{6A7FE95F-9ED3-4EE4-BC99-502FA47FF7EE}">
      <text>
        <r>
          <rPr>
            <b/>
            <sz val="9"/>
            <color indexed="81"/>
            <rFont val="Tahoma"/>
            <charset val="1"/>
          </rPr>
          <t>ADMIN:</t>
        </r>
        <r>
          <rPr>
            <sz val="9"/>
            <color indexed="81"/>
            <rFont val="Tahoma"/>
            <charset val="1"/>
          </rPr>
          <t xml:space="preserve">
CFA Level III: IR = α / Tracking Error. &gt;0.5 Good, &gt;1.0 Elite.</t>
        </r>
      </text>
    </comment>
    <comment ref="H4" authorId="0" shapeId="0" xr:uid="{66CA01A0-337C-4015-8F85-E808F101F509}">
      <text>
        <r>
          <rPr>
            <b/>
            <sz val="9"/>
            <color indexed="81"/>
            <rFont val="Tahoma"/>
            <charset val="1"/>
          </rPr>
          <t>ADMIN:</t>
        </r>
        <r>
          <rPr>
            <sz val="9"/>
            <color indexed="81"/>
            <rFont val="Tahoma"/>
            <charset val="1"/>
          </rPr>
          <t xml:space="preserve">
CFA Level III: ½×Σ|wi-wbench|. &gt;60% = stock picker.</t>
        </r>
      </text>
    </comment>
    <comment ref="J4" authorId="0" shapeId="0" xr:uid="{0EA8EC31-12CE-4669-8DD6-6F7BF27989EE}">
      <text>
        <r>
          <rPr>
            <b/>
            <sz val="9"/>
            <color indexed="81"/>
            <rFont val="Tahoma"/>
            <charset val="1"/>
          </rPr>
          <t>ADMIN:</t>
        </r>
        <r>
          <rPr>
            <sz val="9"/>
            <color indexed="81"/>
            <rFont val="Tahoma"/>
            <charset val="1"/>
          </rPr>
          <t xml:space="preserve">
Jensen's Alpha = Rp - [Rf + β(Rm-Rf)]. CFA Level I.</t>
        </r>
      </text>
    </comment>
    <comment ref="L4" authorId="0" shapeId="0" xr:uid="{51136A85-49B5-43BD-A257-741C96D5E77D}">
      <text>
        <r>
          <rPr>
            <b/>
            <sz val="9"/>
            <color indexed="81"/>
            <rFont val="Tahoma"/>
            <charset val="1"/>
          </rPr>
          <t>ADMIN:</t>
        </r>
        <r>
          <rPr>
            <sz val="9"/>
            <color indexed="81"/>
            <rFont val="Tahoma"/>
            <charset val="1"/>
          </rPr>
          <t xml:space="preserve">
Modigliani-Modigliani: Risk-adjusted return vs market. &gt;0 = outperform on risk-adjusted basis.</t>
        </r>
      </text>
    </comment>
    <comment ref="O4" authorId="0" shapeId="0" xr:uid="{F56A48E2-DCB7-4D8D-9956-5898FD92E996}">
      <text>
        <r>
          <rPr>
            <b/>
            <sz val="9"/>
            <color indexed="81"/>
            <rFont val="Tahoma"/>
            <charset val="1"/>
          </rPr>
          <t>ADMIN:</t>
        </r>
        <r>
          <rPr>
            <sz val="9"/>
            <color indexed="81"/>
            <rFont val="Tahoma"/>
            <charset val="1"/>
          </rPr>
          <t xml:space="preserve">
CFA Level II: Treynor = (Rp-Rf)/β. Excess return per unit systematic risk.</t>
        </r>
      </text>
    </comment>
    <comment ref="Q4" authorId="0" shapeId="0" xr:uid="{D5501A0B-D516-45A5-9A44-67CAAA7A7F9E}">
      <text>
        <r>
          <rPr>
            <b/>
            <sz val="9"/>
            <color indexed="81"/>
            <rFont val="Tahoma"/>
            <charset val="1"/>
          </rPr>
          <t>ADMIN:</t>
        </r>
        <r>
          <rPr>
            <sz val="9"/>
            <color indexed="81"/>
            <rFont val="Tahoma"/>
            <charset val="1"/>
          </rPr>
          <t xml:space="preserve">
Calmar = CAGR / |Max Drawdown|. &gt;1.0 Good, &gt;3.0 Excellent.</t>
        </r>
      </text>
    </comment>
    <comment ref="S4" authorId="0" shapeId="0" xr:uid="{EAA5DBFB-BF8C-4E37-AE26-635019F4C12F}">
      <text>
        <r>
          <rPr>
            <b/>
            <sz val="9"/>
            <color indexed="81"/>
            <rFont val="Tahoma"/>
            <charset val="1"/>
          </rPr>
          <t>ADMIN:</t>
        </r>
        <r>
          <rPr>
            <sz val="9"/>
            <color indexed="81"/>
            <rFont val="Tahoma"/>
            <charset val="1"/>
          </rPr>
          <t xml:space="preserve">
Cornish-Fisher VaR: Skewness &amp; kurtosis adjusted. Jorion (2007).</t>
        </r>
      </text>
    </comment>
    <comment ref="B7" authorId="0" shapeId="0" xr:uid="{81F59D05-A293-45C9-B0B4-002112770599}">
      <text>
        <r>
          <rPr>
            <b/>
            <sz val="9"/>
            <color indexed="81"/>
            <rFont val="Tahoma"/>
            <charset val="1"/>
          </rPr>
          <t>Replaced broken SORT(UNIQUE(Ledger[Stock])) which failed on Linked Data Types. Uses Ticker (text) column for stable dynamic array output. CFA Level I data integrity — Bodie, Kane &amp; Marcus, Investments, Ch. 3.</t>
        </r>
      </text>
    </comment>
    <comment ref="S7" authorId="0" shapeId="0" xr:uid="{5581BAEE-7226-47C8-9EC3-3FE5E5A71E2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7" authorId="0" shapeId="0" xr:uid="{BE60C3FA-B9CD-4071-928A-3817A9C716C4}">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8" authorId="0" shapeId="0" xr:uid="{CC64C833-0281-4930-8F82-CF581FFA8415}">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8" authorId="0" shapeId="0" xr:uid="{65490494-1210-463A-9DE8-D720BD8DB4D7}">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9" authorId="0" shapeId="0" xr:uid="{04695A09-92B4-4B08-968F-24F67489B20E}">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9" authorId="0" shapeId="0" xr:uid="{460E9846-2D65-4DD4-92C0-CDB4333F8C95}">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0" authorId="0" shapeId="0" xr:uid="{B0B71A0C-1B51-496C-B373-70DE72819A8A}">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0" authorId="0" shapeId="0" xr:uid="{CE6746A7-4DC0-456C-A54F-1C09D86430B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1" authorId="0" shapeId="0" xr:uid="{37A4BF5B-4723-446E-A3CB-7E6606F2F6B2}">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1" authorId="0" shapeId="0" xr:uid="{5233627F-55CA-4ADC-92FA-63838A8CB276}">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2" authorId="0" shapeId="0" xr:uid="{8B9DA295-344B-431C-B819-2ED75D4DAB5E}">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2" authorId="0" shapeId="0" xr:uid="{3513CFC1-7FB5-4539-B61E-865B7A21DB0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3" authorId="0" shapeId="0" xr:uid="{ACB0E3CB-505C-4409-8AF9-AFB31B5B8EA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3" authorId="0" shapeId="0" xr:uid="{D547384D-E907-421D-9AA0-CC55E447F28A}">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4" authorId="0" shapeId="0" xr:uid="{45827600-2A23-4A2D-B648-C27BC7388CAB}">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4" authorId="0" shapeId="0" xr:uid="{1511816C-BBA8-4DF0-AFCC-27806F3276D7}">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5" authorId="0" shapeId="0" xr:uid="{5173A804-0FA2-4CF1-AED9-822F8D433D1A}">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5" authorId="0" shapeId="0" xr:uid="{13218928-075E-4CB6-892C-E064F153102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6" authorId="0" shapeId="0" xr:uid="{C1DB6EE5-888C-432B-9F73-2E3B5660C1E4}">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6" authorId="0" shapeId="0" xr:uid="{9120CD33-1967-4FFD-8463-7D45DDD29D64}">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7" authorId="0" shapeId="0" xr:uid="{449356AD-5FED-456D-B5B4-983B43B11EB8}">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7" authorId="0" shapeId="0" xr:uid="{E82CC4FB-9DE7-438D-891A-2A211E017A62}">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8" authorId="0" shapeId="0" xr:uid="{ED6F4210-8D09-404C-AB55-EB43E6DCB953}">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8" authorId="0" shapeId="0" xr:uid="{B4EA5D5D-9665-411E-A41D-6AC2D8786F41}">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19" authorId="0" shapeId="0" xr:uid="{1248F6EC-4290-4780-9DE1-08B312438721}">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19" authorId="0" shapeId="0" xr:uid="{12EABA6B-8DAF-4F1A-A09C-C5F869E88CB3}">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20" authorId="0" shapeId="0" xr:uid="{A9E2E2D8-F2C2-4984-A10A-34D2E52C4AD6}">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20" authorId="0" shapeId="0" xr:uid="{E4032D69-1189-445A-88D6-610FE2338D4F}">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21" authorId="0" shapeId="0" xr:uid="{F3E6E584-B29E-48A1-88D7-1C040FE7D830}">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21" authorId="0" shapeId="0" xr:uid="{215DD00F-6E51-492E-85E3-C18D38DC307C}">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S22" authorId="0" shapeId="0" xr:uid="{187B1807-1F3E-4205-A415-0B24BBDE0813}">
      <text>
        <r>
          <rPr>
            <b/>
            <sz val="9"/>
            <color indexed="81"/>
            <rFont val="Tahoma"/>
            <charset val="1"/>
          </rPr>
          <t>ADMIN:</t>
        </r>
        <r>
          <rPr>
            <sz val="9"/>
            <color indexed="81"/>
            <rFont val="Tahoma"/>
            <charset val="1"/>
          </rPr>
          <t xml:space="preserve">
Multi-factor risk: HIGH if negative return OR negative CAGR OR weight &gt;20%. MEDIUM if return &lt;50% OR CAGR &lt;5% OR weight &gt;15%. LOW = stable position.</t>
        </r>
      </text>
    </comment>
    <comment ref="T22" authorId="0" shapeId="0" xr:uid="{04E7B6A4-CF90-4435-8F31-1F59ADE8D77E}">
      <text>
        <r>
          <rPr>
            <b/>
            <sz val="9"/>
            <color indexed="81"/>
            <rFont val="Tahoma"/>
            <charset val="1"/>
          </rPr>
          <t>ADMIN:</t>
        </r>
        <r>
          <rPr>
            <sz val="9"/>
            <color indexed="81"/>
            <rFont val="Tahoma"/>
            <charset val="1"/>
          </rPr>
          <t xml:space="preserve">
Multi-factor signal: STRONG requires CAGR&gt;10% AND Return&gt;100% AND Price/Cost&gt;1.5x AND LOW risk. REVIEW if negative return or CAGR. HOLD = everything else.</t>
        </r>
      </text>
    </comment>
    <comment ref="Q25" authorId="0" shapeId="0" xr:uid="{17F9B9CF-38FF-48F4-BD69-71383B18ED44}">
      <text>
        <r>
          <rPr>
            <b/>
            <sz val="9"/>
            <color indexed="81"/>
            <rFont val="Tahoma"/>
            <charset val="1"/>
          </rPr>
          <t>ADMIN:</t>
        </r>
        <r>
          <rPr>
            <sz val="9"/>
            <color indexed="81"/>
            <rFont val="Tahoma"/>
            <charset val="1"/>
          </rPr>
          <t xml:space="preserve">
Profit Factor: Total $ gains / Total $ losses. &gt;3 = excellent. Measures overall portfolio profitability efficiency.</t>
        </r>
      </text>
    </comment>
    <comment ref="R25" authorId="0" shapeId="0" xr:uid="{3B7F0EA7-1A7E-416F-A12C-D6211F132BDB}">
      <text>
        <r>
          <rPr>
            <b/>
            <sz val="9"/>
            <color indexed="81"/>
            <rFont val="Tahoma"/>
            <charset val="1"/>
          </rPr>
          <t>ADMIN:</t>
        </r>
        <r>
          <rPr>
            <sz val="9"/>
            <color indexed="81"/>
            <rFont val="Tahoma"/>
            <charset val="1"/>
          </rPr>
          <t xml:space="preserve">
Sortino Ratio: (Avg Return - Rf) / Downside Deviation. Rf=5%. Penalises downside vol only, unlike Sharpe.</t>
        </r>
      </text>
    </comment>
    <comment ref="S25" authorId="0" shapeId="0" xr:uid="{6A32B06E-A7A0-4BD4-8FC1-FC29B8073DC3}">
      <text>
        <r>
          <rPr>
            <b/>
            <sz val="9"/>
            <color indexed="81"/>
            <rFont val="Tahoma"/>
            <charset val="1"/>
          </rPr>
          <t>ADMIN:</t>
        </r>
        <r>
          <rPr>
            <sz val="9"/>
            <color indexed="81"/>
            <rFont val="Tahoma"/>
            <charset val="1"/>
          </rPr>
          <t xml:space="preserve">
Calmar Ratio: CAGR / Max Drawdown. Measures return per unit of worst-case pain. &gt;3 = excellent.</t>
        </r>
      </text>
    </comment>
    <comment ref="M29" authorId="0" shapeId="0" xr:uid="{7018DD8D-1386-461F-A566-915971FC9D7F}">
      <text>
        <r>
          <rPr>
            <b/>
            <sz val="9"/>
            <color indexed="81"/>
            <rFont val="Tahoma"/>
            <charset val="1"/>
          </rPr>
          <t>Dynamic volatility-scaled rebalancing threshold. Per Kritzman &amp; Page (2009), Journal of Portfolio Management.</t>
        </r>
      </text>
    </comment>
    <comment ref="N29" authorId="0" shapeId="0" xr:uid="{9407A972-78A5-420B-9660-AC75883F4898}">
      <text>
        <r>
          <rPr>
            <b/>
            <sz val="9"/>
            <color indexed="81"/>
            <rFont val="Tahoma"/>
            <charset val="1"/>
          </rPr>
          <t>ADMIN:</t>
        </r>
        <r>
          <rPr>
            <sz val="9"/>
            <color indexed="81"/>
            <rFont val="Tahoma"/>
            <charset val="1"/>
          </rPr>
          <t xml:space="preserve">
IRS §1222: Positions held &lt;1 year taxed at ordinary income rates (up to 37%). Positions &gt;1 year qualify for LTCG rates (0/15/20%). Flags SELL actions on short-term positions. Per CFA Level I, Tax &amp; Estate Planning.</t>
        </r>
      </text>
    </comment>
    <comment ref="J30" authorId="0" shapeId="0" xr:uid="{993ED973-4B4C-4A2B-85DD-23C980C8EC20}">
      <text>
        <r>
          <rPr>
            <b/>
            <sz val="9"/>
            <color indexed="81"/>
            <rFont val="Tahoma"/>
            <charset val="1"/>
          </rPr>
          <t>ADMIN:</t>
        </r>
        <r>
          <rPr>
            <sz val="9"/>
            <color indexed="81"/>
            <rFont val="Tahoma"/>
            <charset val="1"/>
          </rPr>
          <t xml:space="preserve">
Equal weight = 1/N where N is total number of holdings</t>
        </r>
      </text>
    </comment>
    <comment ref="K30" authorId="0" shapeId="0" xr:uid="{14593ECA-4A1E-4A55-8E5F-87ACFB1A5E3C}">
      <text>
        <r>
          <rPr>
            <b/>
            <sz val="9"/>
            <color indexed="81"/>
            <rFont val="Tahoma"/>
            <charset val="1"/>
          </rPr>
          <t>ADMIN:</t>
        </r>
        <r>
          <rPr>
            <sz val="9"/>
            <color indexed="81"/>
            <rFont val="Tahoma"/>
            <charset val="1"/>
          </rPr>
          <t xml:space="preserve">
Deviation from equal weight. Positive = overweight, Negative = underweight</t>
        </r>
      </text>
    </comment>
    <comment ref="L30" authorId="0" shapeId="0" xr:uid="{FBD8816B-D3DE-4F20-82AC-BF59CBEDDEF8}">
      <text>
        <r>
          <rPr>
            <b/>
            <sz val="9"/>
            <color indexed="81"/>
            <rFont val="Tahoma"/>
            <charset val="1"/>
          </rPr>
          <t>ADMIN:</t>
        </r>
        <r>
          <rPr>
            <sz val="9"/>
            <color indexed="81"/>
            <rFont val="Tahoma"/>
            <charset val="1"/>
          </rPr>
          <t xml:space="preserve">
Rebalancing: &gt;10% deviation = strong action (TRIM/ADD), 3-10% = mild action, &lt;3% = within tolerance</t>
        </r>
      </text>
    </comment>
    <comment ref="M30" authorId="0" shapeId="0" xr:uid="{90CB5C91-40E1-41BD-8463-92198D078244}">
      <text>
        <r>
          <rPr>
            <b/>
            <sz val="9"/>
            <color indexed="81"/>
            <rFont val="Tahoma"/>
            <charset val="1"/>
          </rPr>
          <t>ADMIN:</t>
        </r>
        <r>
          <rPr>
            <sz val="9"/>
            <color indexed="81"/>
            <rFont val="Tahoma"/>
            <charset val="1"/>
          </rPr>
          <t xml:space="preserve">
Vol Band = 0.5 × βi × σm (annualized). Higher volatility stocks get wider rebalancing tolerance. Prevents unnecessary trading in volatile names — per Kritzman &amp; Page (2009).</t>
        </r>
      </text>
    </comment>
    <comment ref="J31" authorId="0" shapeId="0" xr:uid="{96B5B0E0-F9FB-4CA8-A8A5-CAC3C79743C3}">
      <text>
        <r>
          <rPr>
            <b/>
            <sz val="9"/>
            <color indexed="81"/>
            <rFont val="Tahoma"/>
            <charset val="1"/>
          </rPr>
          <t>ADMIN:</t>
        </r>
        <r>
          <rPr>
            <sz val="9"/>
            <color indexed="81"/>
            <rFont val="Tahoma"/>
            <charset val="1"/>
          </rPr>
          <t xml:space="preserve">
Equal weight = 1/N where N is total number of holdings</t>
        </r>
      </text>
    </comment>
    <comment ref="K31" authorId="0" shapeId="0" xr:uid="{9ACA1625-E717-47FD-A258-159BC5555508}">
      <text>
        <r>
          <rPr>
            <b/>
            <sz val="9"/>
            <color indexed="81"/>
            <rFont val="Tahoma"/>
            <charset val="1"/>
          </rPr>
          <t>ADMIN:</t>
        </r>
        <r>
          <rPr>
            <sz val="9"/>
            <color indexed="81"/>
            <rFont val="Tahoma"/>
            <charset val="1"/>
          </rPr>
          <t xml:space="preserve">
Deviation from equal weight. Positive = overweight, Negative = underweight</t>
        </r>
      </text>
    </comment>
    <comment ref="L31" authorId="0" shapeId="0" xr:uid="{F51176AE-5AB4-4484-B894-CCC462075F23}">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2" authorId="0" shapeId="0" xr:uid="{7F8ED243-F716-4D49-992E-3223C48DA7F9}">
      <text>
        <r>
          <rPr>
            <b/>
            <sz val="9"/>
            <color indexed="81"/>
            <rFont val="Tahoma"/>
            <charset val="1"/>
          </rPr>
          <t>ADMIN:</t>
        </r>
        <r>
          <rPr>
            <sz val="9"/>
            <color indexed="81"/>
            <rFont val="Tahoma"/>
            <charset val="1"/>
          </rPr>
          <t xml:space="preserve">
Equal weight = 1/N where N is total number of holdings</t>
        </r>
      </text>
    </comment>
    <comment ref="K32" authorId="0" shapeId="0" xr:uid="{348FF3FD-E60C-4B0D-B289-74BD2A4781BA}">
      <text>
        <r>
          <rPr>
            <b/>
            <sz val="9"/>
            <color indexed="81"/>
            <rFont val="Tahoma"/>
            <charset val="1"/>
          </rPr>
          <t>ADMIN:</t>
        </r>
        <r>
          <rPr>
            <sz val="9"/>
            <color indexed="81"/>
            <rFont val="Tahoma"/>
            <charset val="1"/>
          </rPr>
          <t xml:space="preserve">
Deviation from equal weight. Positive = overweight, Negative = underweight</t>
        </r>
      </text>
    </comment>
    <comment ref="L32" authorId="0" shapeId="0" xr:uid="{808AB392-51FF-4F84-8FCB-EDE7EA662B8C}">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3" authorId="0" shapeId="0" xr:uid="{79386DF2-BCA6-42D3-8313-9CE9A62836F1}">
      <text>
        <r>
          <rPr>
            <b/>
            <sz val="9"/>
            <color indexed="81"/>
            <rFont val="Tahoma"/>
            <charset val="1"/>
          </rPr>
          <t>ADMIN:</t>
        </r>
        <r>
          <rPr>
            <sz val="9"/>
            <color indexed="81"/>
            <rFont val="Tahoma"/>
            <charset val="1"/>
          </rPr>
          <t xml:space="preserve">
Equal weight = 1/N where N is total number of holdings</t>
        </r>
      </text>
    </comment>
    <comment ref="K33" authorId="0" shapeId="0" xr:uid="{92AE1BEF-3311-466A-9C50-175D7BB0759A}">
      <text>
        <r>
          <rPr>
            <b/>
            <sz val="9"/>
            <color indexed="81"/>
            <rFont val="Tahoma"/>
            <charset val="1"/>
          </rPr>
          <t>ADMIN:</t>
        </r>
        <r>
          <rPr>
            <sz val="9"/>
            <color indexed="81"/>
            <rFont val="Tahoma"/>
            <charset val="1"/>
          </rPr>
          <t xml:space="preserve">
Deviation from equal weight. Positive = overweight, Negative = underweight</t>
        </r>
      </text>
    </comment>
    <comment ref="L33" authorId="0" shapeId="0" xr:uid="{F8B80FF5-C2AE-45A2-B415-90450E17FF37}">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4" authorId="0" shapeId="0" xr:uid="{659542B8-6B0C-40AA-9CD6-AA28F6BDA3FE}">
      <text>
        <r>
          <rPr>
            <b/>
            <sz val="9"/>
            <color indexed="81"/>
            <rFont val="Tahoma"/>
            <charset val="1"/>
          </rPr>
          <t>ADMIN:</t>
        </r>
        <r>
          <rPr>
            <sz val="9"/>
            <color indexed="81"/>
            <rFont val="Tahoma"/>
            <charset val="1"/>
          </rPr>
          <t xml:space="preserve">
Equal weight = 1/N where N is total number of holdings</t>
        </r>
      </text>
    </comment>
    <comment ref="K34" authorId="0" shapeId="0" xr:uid="{1B9C54E0-89C1-4208-B6FF-25B767805EC0}">
      <text>
        <r>
          <rPr>
            <b/>
            <sz val="9"/>
            <color indexed="81"/>
            <rFont val="Tahoma"/>
            <charset val="1"/>
          </rPr>
          <t>ADMIN:</t>
        </r>
        <r>
          <rPr>
            <sz val="9"/>
            <color indexed="81"/>
            <rFont val="Tahoma"/>
            <charset val="1"/>
          </rPr>
          <t xml:space="preserve">
Deviation from equal weight. Positive = overweight, Negative = underweight</t>
        </r>
      </text>
    </comment>
    <comment ref="L34" authorId="0" shapeId="0" xr:uid="{1004B7C5-A64D-4D74-BE30-1EC58A05CA25}">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5" authorId="0" shapeId="0" xr:uid="{6737A640-FFF7-4FA7-AA38-6AA7FD402AC0}">
      <text>
        <r>
          <rPr>
            <b/>
            <sz val="9"/>
            <color indexed="81"/>
            <rFont val="Tahoma"/>
            <charset val="1"/>
          </rPr>
          <t>ADMIN:</t>
        </r>
        <r>
          <rPr>
            <sz val="9"/>
            <color indexed="81"/>
            <rFont val="Tahoma"/>
            <charset val="1"/>
          </rPr>
          <t xml:space="preserve">
Equal weight = 1/N where N is total number of holdings</t>
        </r>
      </text>
    </comment>
    <comment ref="K35" authorId="0" shapeId="0" xr:uid="{55F95BB7-CB4F-41EC-9516-29DC28E99811}">
      <text>
        <r>
          <rPr>
            <b/>
            <sz val="9"/>
            <color indexed="81"/>
            <rFont val="Tahoma"/>
            <charset val="1"/>
          </rPr>
          <t>ADMIN:</t>
        </r>
        <r>
          <rPr>
            <sz val="9"/>
            <color indexed="81"/>
            <rFont val="Tahoma"/>
            <charset val="1"/>
          </rPr>
          <t xml:space="preserve">
Deviation from equal weight. Positive = overweight, Negative = underweight</t>
        </r>
      </text>
    </comment>
    <comment ref="L35" authorId="0" shapeId="0" xr:uid="{D9B6CA23-C6F4-47A4-8F11-127E4CEA296F}">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6" authorId="0" shapeId="0" xr:uid="{95AF88F1-8B82-4F42-99E6-7D2453A5C662}">
      <text>
        <r>
          <rPr>
            <b/>
            <sz val="9"/>
            <color indexed="81"/>
            <rFont val="Tahoma"/>
            <charset val="1"/>
          </rPr>
          <t>ADMIN:</t>
        </r>
        <r>
          <rPr>
            <sz val="9"/>
            <color indexed="81"/>
            <rFont val="Tahoma"/>
            <charset val="1"/>
          </rPr>
          <t xml:space="preserve">
Equal weight = 1/N where N is total number of holdings</t>
        </r>
      </text>
    </comment>
    <comment ref="K36" authorId="0" shapeId="0" xr:uid="{E00C0619-85D4-40F4-BB55-C42BF3AD66E7}">
      <text>
        <r>
          <rPr>
            <b/>
            <sz val="9"/>
            <color indexed="81"/>
            <rFont val="Tahoma"/>
            <charset val="1"/>
          </rPr>
          <t>ADMIN:</t>
        </r>
        <r>
          <rPr>
            <sz val="9"/>
            <color indexed="81"/>
            <rFont val="Tahoma"/>
            <charset val="1"/>
          </rPr>
          <t xml:space="preserve">
Deviation from equal weight. Positive = overweight, Negative = underweight</t>
        </r>
      </text>
    </comment>
    <comment ref="L36" authorId="0" shapeId="0" xr:uid="{F6D854EE-07A0-4B3F-B695-CCCD563B2C52}">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7" authorId="0" shapeId="0" xr:uid="{0D5A2284-ACF5-4A5F-9654-A45355C65843}">
      <text>
        <r>
          <rPr>
            <b/>
            <sz val="9"/>
            <color indexed="81"/>
            <rFont val="Tahoma"/>
            <charset val="1"/>
          </rPr>
          <t>ADMIN:</t>
        </r>
        <r>
          <rPr>
            <sz val="9"/>
            <color indexed="81"/>
            <rFont val="Tahoma"/>
            <charset val="1"/>
          </rPr>
          <t xml:space="preserve">
Equal weight = 1/N where N is total number of holdings</t>
        </r>
      </text>
    </comment>
    <comment ref="K37" authorId="0" shapeId="0" xr:uid="{5EDE6EFE-A849-440C-89F9-B9D92CB89E48}">
      <text>
        <r>
          <rPr>
            <b/>
            <sz val="9"/>
            <color indexed="81"/>
            <rFont val="Tahoma"/>
            <charset val="1"/>
          </rPr>
          <t>ADMIN:</t>
        </r>
        <r>
          <rPr>
            <sz val="9"/>
            <color indexed="81"/>
            <rFont val="Tahoma"/>
            <charset val="1"/>
          </rPr>
          <t xml:space="preserve">
Deviation from equal weight. Positive = overweight, Negative = underweight</t>
        </r>
      </text>
    </comment>
    <comment ref="L37" authorId="0" shapeId="0" xr:uid="{6A0BA8D3-3156-43AB-A626-E1D7029BA2F7}">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8" authorId="0" shapeId="0" xr:uid="{830929FD-423E-4657-90EE-336BE122CDAA}">
      <text>
        <r>
          <rPr>
            <b/>
            <sz val="9"/>
            <color indexed="81"/>
            <rFont val="Tahoma"/>
            <charset val="1"/>
          </rPr>
          <t>ADMIN:</t>
        </r>
        <r>
          <rPr>
            <sz val="9"/>
            <color indexed="81"/>
            <rFont val="Tahoma"/>
            <charset val="1"/>
          </rPr>
          <t xml:space="preserve">
Equal weight = 1/N where N is total number of holdings</t>
        </r>
      </text>
    </comment>
    <comment ref="K38" authorId="0" shapeId="0" xr:uid="{90F7D811-6AED-4E6A-9F2B-35FA1D7A26BE}">
      <text>
        <r>
          <rPr>
            <b/>
            <sz val="9"/>
            <color indexed="81"/>
            <rFont val="Tahoma"/>
            <charset val="1"/>
          </rPr>
          <t>ADMIN:</t>
        </r>
        <r>
          <rPr>
            <sz val="9"/>
            <color indexed="81"/>
            <rFont val="Tahoma"/>
            <charset val="1"/>
          </rPr>
          <t xml:space="preserve">
Deviation from equal weight. Positive = overweight, Negative = underweight</t>
        </r>
      </text>
    </comment>
    <comment ref="L38" authorId="0" shapeId="0" xr:uid="{33E313F4-D4C8-43C8-BCF6-FE03509ABE09}">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39" authorId="0" shapeId="0" xr:uid="{094203DB-2396-48CC-8F93-C3AF14F60798}">
      <text>
        <r>
          <rPr>
            <b/>
            <sz val="9"/>
            <color indexed="81"/>
            <rFont val="Tahoma"/>
            <charset val="1"/>
          </rPr>
          <t>ADMIN:</t>
        </r>
        <r>
          <rPr>
            <sz val="9"/>
            <color indexed="81"/>
            <rFont val="Tahoma"/>
            <charset val="1"/>
          </rPr>
          <t xml:space="preserve">
Equal weight = 1/N where N is total number of holdings</t>
        </r>
      </text>
    </comment>
    <comment ref="K39" authorId="0" shapeId="0" xr:uid="{E5136CB9-89F9-41D0-8125-6B7BB174E336}">
      <text>
        <r>
          <rPr>
            <b/>
            <sz val="9"/>
            <color indexed="81"/>
            <rFont val="Tahoma"/>
            <charset val="1"/>
          </rPr>
          <t>ADMIN:</t>
        </r>
        <r>
          <rPr>
            <sz val="9"/>
            <color indexed="81"/>
            <rFont val="Tahoma"/>
            <charset val="1"/>
          </rPr>
          <t xml:space="preserve">
Deviation from equal weight. Positive = overweight, Negative = underweight</t>
        </r>
      </text>
    </comment>
    <comment ref="L39" authorId="0" shapeId="0" xr:uid="{E07F7764-283E-483E-A8F9-BC861874DCB5}">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40" authorId="0" shapeId="0" xr:uid="{9A2B6311-1ECF-4908-A075-0CD640ADC38A}">
      <text>
        <r>
          <rPr>
            <b/>
            <sz val="9"/>
            <color indexed="81"/>
            <rFont val="Tahoma"/>
            <charset val="1"/>
          </rPr>
          <t>ADMIN:</t>
        </r>
        <r>
          <rPr>
            <sz val="9"/>
            <color indexed="81"/>
            <rFont val="Tahoma"/>
            <charset val="1"/>
          </rPr>
          <t xml:space="preserve">
Equal weight = 1/N where N is total number of holdings</t>
        </r>
      </text>
    </comment>
    <comment ref="K40" authorId="0" shapeId="0" xr:uid="{8990E957-756E-481E-8536-3571289A8456}">
      <text>
        <r>
          <rPr>
            <b/>
            <sz val="9"/>
            <color indexed="81"/>
            <rFont val="Tahoma"/>
            <charset val="1"/>
          </rPr>
          <t>ADMIN:</t>
        </r>
        <r>
          <rPr>
            <sz val="9"/>
            <color indexed="81"/>
            <rFont val="Tahoma"/>
            <charset val="1"/>
          </rPr>
          <t xml:space="preserve">
Deviation from equal weight. Positive = overweight, Negative = underweight</t>
        </r>
      </text>
    </comment>
    <comment ref="L40" authorId="0" shapeId="0" xr:uid="{D4C38F27-884C-4E9A-96CA-E7C3EFB36B0A}">
      <text>
        <r>
          <rPr>
            <b/>
            <sz val="9"/>
            <color indexed="81"/>
            <rFont val="Tahoma"/>
            <charset val="1"/>
          </rPr>
          <t>ADMIN:</t>
        </r>
        <r>
          <rPr>
            <sz val="9"/>
            <color indexed="81"/>
            <rFont val="Tahoma"/>
            <charset val="1"/>
          </rPr>
          <t xml:space="preserve">
Rebalancing: &gt;10% deviation = strong action (TRIM/ADD), 3-10% = mild action, &lt;3% = within tolerance</t>
        </r>
      </text>
    </comment>
    <comment ref="B41" authorId="0" shapeId="0" xr:uid="{E10BC7EE-A330-4B07-B53A-56FBE1FC0DF5}">
      <text>
        <r>
          <rPr>
            <b/>
            <sz val="9"/>
            <color indexed="81"/>
            <rFont val="Tahoma"/>
            <charset val="1"/>
          </rPr>
          <t>ADMIN:</t>
        </r>
        <r>
          <rPr>
            <sz val="9"/>
            <color indexed="81"/>
            <rFont val="Tahoma"/>
            <charset val="1"/>
          </rPr>
          <t xml:space="preserve">
Dynamic narrative summary refreshes automatically. Combines portfolio return, risk ratios, signal counts, and alpha assessment into a single-line executive summary.</t>
        </r>
      </text>
    </comment>
    <comment ref="J41" authorId="0" shapeId="0" xr:uid="{5B6F890D-C142-49D1-9920-FDD3B2BA3F56}">
      <text>
        <r>
          <rPr>
            <b/>
            <sz val="9"/>
            <color indexed="81"/>
            <rFont val="Tahoma"/>
            <charset val="1"/>
          </rPr>
          <t>ADMIN:</t>
        </r>
        <r>
          <rPr>
            <sz val="9"/>
            <color indexed="81"/>
            <rFont val="Tahoma"/>
            <charset val="1"/>
          </rPr>
          <t xml:space="preserve">
Equal weight = 1/N where N is total number of holdings</t>
        </r>
      </text>
    </comment>
    <comment ref="K41" authorId="0" shapeId="0" xr:uid="{DCCC14F5-905E-4625-B224-5B0D9C7E78D6}">
      <text>
        <r>
          <rPr>
            <b/>
            <sz val="9"/>
            <color indexed="81"/>
            <rFont val="Tahoma"/>
            <charset val="1"/>
          </rPr>
          <t>ADMIN:</t>
        </r>
        <r>
          <rPr>
            <sz val="9"/>
            <color indexed="81"/>
            <rFont val="Tahoma"/>
            <charset val="1"/>
          </rPr>
          <t xml:space="preserve">
Deviation from equal weight. Positive = overweight, Negative = underweight</t>
        </r>
      </text>
    </comment>
    <comment ref="L41" authorId="0" shapeId="0" xr:uid="{E354B54C-2A0C-4284-B0F5-3FE6C465FE09}">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42" authorId="0" shapeId="0" xr:uid="{9257CDAF-451B-40C7-B783-E5BB29B3ABB5}">
      <text>
        <r>
          <rPr>
            <b/>
            <sz val="9"/>
            <color indexed="81"/>
            <rFont val="Tahoma"/>
            <charset val="1"/>
          </rPr>
          <t>ADMIN:</t>
        </r>
        <r>
          <rPr>
            <sz val="9"/>
            <color indexed="81"/>
            <rFont val="Tahoma"/>
            <charset val="1"/>
          </rPr>
          <t xml:space="preserve">
Equal weight = 1/N where N is total number of holdings</t>
        </r>
      </text>
    </comment>
    <comment ref="K42" authorId="0" shapeId="0" xr:uid="{321C662A-56BA-4D3C-ABE2-F8A42DFD4783}">
      <text>
        <r>
          <rPr>
            <b/>
            <sz val="9"/>
            <color indexed="81"/>
            <rFont val="Tahoma"/>
            <charset val="1"/>
          </rPr>
          <t>ADMIN:</t>
        </r>
        <r>
          <rPr>
            <sz val="9"/>
            <color indexed="81"/>
            <rFont val="Tahoma"/>
            <charset val="1"/>
          </rPr>
          <t xml:space="preserve">
Deviation from equal weight. Positive = overweight, Negative = underweight</t>
        </r>
      </text>
    </comment>
    <comment ref="L42" authorId="0" shapeId="0" xr:uid="{54D468A9-B146-49DD-92A8-B82B29DC25DB}">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43" authorId="0" shapeId="0" xr:uid="{9683DB19-4FC4-4ACE-B2E3-DB156BB4E2C0}">
      <text>
        <r>
          <rPr>
            <b/>
            <sz val="9"/>
            <color indexed="81"/>
            <rFont val="Tahoma"/>
            <charset val="1"/>
          </rPr>
          <t>ADMIN:</t>
        </r>
        <r>
          <rPr>
            <sz val="9"/>
            <color indexed="81"/>
            <rFont val="Tahoma"/>
            <charset val="1"/>
          </rPr>
          <t xml:space="preserve">
Equal weight = 1/N where N is total number of holdings</t>
        </r>
      </text>
    </comment>
    <comment ref="K43" authorId="0" shapeId="0" xr:uid="{1A1AB0B6-F7C3-4843-82AE-7A5F39C552B7}">
      <text>
        <r>
          <rPr>
            <b/>
            <sz val="9"/>
            <color indexed="81"/>
            <rFont val="Tahoma"/>
            <charset val="1"/>
          </rPr>
          <t>ADMIN:</t>
        </r>
        <r>
          <rPr>
            <sz val="9"/>
            <color indexed="81"/>
            <rFont val="Tahoma"/>
            <charset val="1"/>
          </rPr>
          <t xml:space="preserve">
Deviation from equal weight. Positive = overweight, Negative = underweight</t>
        </r>
      </text>
    </comment>
    <comment ref="L43" authorId="0" shapeId="0" xr:uid="{19E692BF-D79D-40FC-B3BA-56B74A2C4C5D}">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44" authorId="0" shapeId="0" xr:uid="{0B6E595D-6BAD-4545-8182-0B94A3862706}">
      <text>
        <r>
          <rPr>
            <b/>
            <sz val="9"/>
            <color indexed="81"/>
            <rFont val="Tahoma"/>
            <charset val="1"/>
          </rPr>
          <t>ADMIN:</t>
        </r>
        <r>
          <rPr>
            <sz val="9"/>
            <color indexed="81"/>
            <rFont val="Tahoma"/>
            <charset val="1"/>
          </rPr>
          <t xml:space="preserve">
Equal weight = 1/N where N is total number of holdings</t>
        </r>
      </text>
    </comment>
    <comment ref="K44" authorId="0" shapeId="0" xr:uid="{FBEC9406-5117-48E5-9A00-2C38B3F32578}">
      <text>
        <r>
          <rPr>
            <b/>
            <sz val="9"/>
            <color indexed="81"/>
            <rFont val="Tahoma"/>
            <charset val="1"/>
          </rPr>
          <t>ADMIN:</t>
        </r>
        <r>
          <rPr>
            <sz val="9"/>
            <color indexed="81"/>
            <rFont val="Tahoma"/>
            <charset val="1"/>
          </rPr>
          <t xml:space="preserve">
Deviation from equal weight. Positive = overweight, Negative = underweight</t>
        </r>
      </text>
    </comment>
    <comment ref="L44" authorId="0" shapeId="0" xr:uid="{AB6968DA-20D7-4392-BEDE-19DDB0EFC092}">
      <text>
        <r>
          <rPr>
            <b/>
            <sz val="9"/>
            <color indexed="81"/>
            <rFont val="Tahoma"/>
            <charset val="1"/>
          </rPr>
          <t>ADMIN:</t>
        </r>
        <r>
          <rPr>
            <sz val="9"/>
            <color indexed="81"/>
            <rFont val="Tahoma"/>
            <charset val="1"/>
          </rPr>
          <t xml:space="preserve">
Rebalancing: &gt;10% deviation = strong action (TRIM/ADD), 3-10% = mild action, &lt;3% = within tolerance</t>
        </r>
      </text>
    </comment>
    <comment ref="J45" authorId="0" shapeId="0" xr:uid="{E95703AD-E351-4ED5-8F6A-D80243F16D42}">
      <text>
        <r>
          <rPr>
            <b/>
            <sz val="9"/>
            <color indexed="81"/>
            <rFont val="Tahoma"/>
            <charset val="1"/>
          </rPr>
          <t>ADMIN:</t>
        </r>
        <r>
          <rPr>
            <sz val="9"/>
            <color indexed="81"/>
            <rFont val="Tahoma"/>
            <charset val="1"/>
          </rPr>
          <t xml:space="preserve">
Equal weight = 1/N where N is total number of holdings</t>
        </r>
      </text>
    </comment>
    <comment ref="K45" authorId="0" shapeId="0" xr:uid="{C4829BB4-84C6-417B-A5C0-B2926841D822}">
      <text>
        <r>
          <rPr>
            <b/>
            <sz val="9"/>
            <color indexed="81"/>
            <rFont val="Tahoma"/>
            <charset val="1"/>
          </rPr>
          <t>ADMIN:</t>
        </r>
        <r>
          <rPr>
            <sz val="9"/>
            <color indexed="81"/>
            <rFont val="Tahoma"/>
            <charset val="1"/>
          </rPr>
          <t xml:space="preserve">
Deviation from equal weight. Positive = overweight, Negative = underweight</t>
        </r>
      </text>
    </comment>
    <comment ref="L45" authorId="0" shapeId="0" xr:uid="{334B9D01-84DC-44FA-96CA-1A9EAEAC0B17}">
      <text>
        <r>
          <rPr>
            <b/>
            <sz val="9"/>
            <color indexed="81"/>
            <rFont val="Tahoma"/>
            <charset val="1"/>
          </rPr>
          <t>ADMIN:</t>
        </r>
        <r>
          <rPr>
            <sz val="9"/>
            <color indexed="81"/>
            <rFont val="Tahoma"/>
            <charset val="1"/>
          </rPr>
          <t xml:space="preserve">
Rebalancing: &gt;10% deviation = strong action (TRIM/ADD), 3-10% = mild action, &lt;3% = within tolerance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66" authorId="0" shapeId="0" xr:uid="{87C0F481-8431-4DC2-AE1F-52E5C0625E9C}">
      <text>
        <r>
          <rPr>
            <b/>
            <sz val="9"/>
            <color indexed="81"/>
            <rFont val="Tahoma"/>
            <family val="2"/>
          </rPr>
          <t>ADMIN:
Lower P/E = better value = higher rank (ascending)</t>
        </r>
      </text>
    </comment>
    <comment ref="F66" authorId="0" shapeId="0" xr:uid="{6EF5CAE9-5B9D-408D-9186-70DCC4C19BEF}">
      <text>
        <r>
          <rPr>
            <b/>
            <sz val="9"/>
            <color indexed="81"/>
            <rFont val="Tahoma"/>
            <family val="2"/>
          </rPr>
          <t>ADMIN:
Lower Beta = lower risk = higher rank (ascending)</t>
        </r>
      </text>
    </comment>
    <comment ref="H66" authorId="0" shapeId="0" xr:uid="{1DC4066F-C81A-43CD-ADC3-3728D0F9D81F}">
      <text>
        <r>
          <rPr>
            <b/>
            <sz val="9"/>
            <color indexed="81"/>
            <rFont val="Tahoma"/>
            <family val="2"/>
          </rPr>
          <t>ADMIN:
Momentum based on 52W range position: &gt;70% = near highs, &lt;30% = near lows</t>
        </r>
      </text>
    </comment>
    <comment ref="I66" authorId="0" shapeId="0" xr:uid="{38C689E0-F830-42BB-BA23-7E73C6B8AC1E}">
      <text>
        <r>
          <rPr>
            <b/>
            <sz val="9"/>
            <color indexed="81"/>
            <rFont val="Tahoma"/>
            <family val="2"/>
          </rPr>
          <t>ADMIN:
Composite Value Score: 40% P/E rank + 30% Beta rank + 30% Momentum rank. Lower = better overall value-risk-momentum profile.</t>
        </r>
      </text>
    </comment>
    <comment ref="J66" authorId="0" shapeId="0" xr:uid="{808DD0CB-C158-4241-B5F1-71A9C0FD7F6C}">
      <text>
        <r>
          <rPr>
            <b/>
            <sz val="9"/>
            <color indexed="81"/>
            <rFont val="Tahoma"/>
            <family val="2"/>
          </rPr>
          <t>ADMIN:
Final composite ranking: #1 = best combination of value, low risk, and momentum</t>
        </r>
      </text>
    </comment>
    <comment ref="K66" authorId="0" shapeId="0" xr:uid="{C4B1C791-C77D-4206-847C-646EB84BB7D0}">
      <text>
        <r>
          <rPr>
            <b/>
            <sz val="9"/>
            <color indexed="81"/>
            <rFont val="Tahoma"/>
            <family val="2"/>
          </rPr>
          <t>ADMIN:
Top 3 = Buy signal, 4-7 = Watch, 8-10 = Avoid based on multi-factor model</t>
        </r>
      </text>
    </comment>
    <comment ref="D67" authorId="0" shapeId="0" xr:uid="{144D08E5-EB02-4CBF-96AC-C640D2EA6AC5}">
      <text>
        <r>
          <rPr>
            <b/>
            <sz val="9"/>
            <color indexed="81"/>
            <rFont val="Tahoma"/>
            <family val="2"/>
          </rPr>
          <t>ADMIN:</t>
        </r>
        <r>
          <rPr>
            <sz val="9"/>
            <color indexed="81"/>
            <rFont val="Tahoma"/>
            <family val="2"/>
          </rPr>
          <t xml:space="preserve">
Lower P/E = better value = higher rank (ascending)</t>
        </r>
      </text>
    </comment>
    <comment ref="F67" authorId="0" shapeId="0" xr:uid="{9AC88936-7F5B-427B-9E4E-6B443E0E7C16}">
      <text>
        <r>
          <rPr>
            <b/>
            <sz val="9"/>
            <color indexed="81"/>
            <rFont val="Tahoma"/>
            <family val="2"/>
          </rPr>
          <t>ADMIN:</t>
        </r>
        <r>
          <rPr>
            <sz val="9"/>
            <color indexed="81"/>
            <rFont val="Tahoma"/>
            <family val="2"/>
          </rPr>
          <t xml:space="preserve">
Lower Beta = lower risk = higher rank (ascending)</t>
        </r>
      </text>
    </comment>
    <comment ref="H67" authorId="0" shapeId="0" xr:uid="{5D806301-2D04-4B28-B532-BF32BF9A2092}">
      <text>
        <r>
          <rPr>
            <b/>
            <sz val="9"/>
            <color indexed="81"/>
            <rFont val="Tahoma"/>
            <family val="2"/>
          </rPr>
          <t>ADMIN:</t>
        </r>
        <r>
          <rPr>
            <sz val="9"/>
            <color indexed="81"/>
            <rFont val="Tahoma"/>
            <family val="2"/>
          </rPr>
          <t xml:space="preserve">
Momentum based on 52W range position: &gt;70% = near highs, &lt;30% = near lows</t>
        </r>
      </text>
    </comment>
    <comment ref="I67" authorId="0" shapeId="0" xr:uid="{B4C9501C-9D87-4AB9-8C63-23757B62BC2A}">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7" authorId="0" shapeId="0" xr:uid="{B6EE23DC-DE2F-4608-9C27-87AF6751B7C4}">
      <text>
        <r>
          <rPr>
            <b/>
            <sz val="9"/>
            <color indexed="81"/>
            <rFont val="Tahoma"/>
            <family val="2"/>
          </rPr>
          <t>ADMIN:</t>
        </r>
        <r>
          <rPr>
            <sz val="9"/>
            <color indexed="81"/>
            <rFont val="Tahoma"/>
            <family val="2"/>
          </rPr>
          <t xml:space="preserve">
Final composite ranking: #1 = best combination of value, low risk, and momentum</t>
        </r>
      </text>
    </comment>
    <comment ref="K67" authorId="0" shapeId="0" xr:uid="{FB152FFA-5EE2-417D-ADBF-1C12C416BFF7}">
      <text>
        <r>
          <rPr>
            <b/>
            <sz val="9"/>
            <color indexed="81"/>
            <rFont val="Tahoma"/>
            <family val="2"/>
          </rPr>
          <t>ADMIN:</t>
        </r>
        <r>
          <rPr>
            <sz val="9"/>
            <color indexed="81"/>
            <rFont val="Tahoma"/>
            <family val="2"/>
          </rPr>
          <t xml:space="preserve">
Top 3 = Buy signal, 4-7 = Watch, 8-10 = Avoid based on multi-factor model</t>
        </r>
      </text>
    </comment>
    <comment ref="D68" authorId="0" shapeId="0" xr:uid="{9C6F4D75-1B73-4235-9988-27344A17DE33}">
      <text>
        <r>
          <rPr>
            <b/>
            <sz val="9"/>
            <color indexed="81"/>
            <rFont val="Tahoma"/>
            <family val="2"/>
          </rPr>
          <t>ADMIN:</t>
        </r>
        <r>
          <rPr>
            <sz val="9"/>
            <color indexed="81"/>
            <rFont val="Tahoma"/>
            <family val="2"/>
          </rPr>
          <t xml:space="preserve">
Lower P/E = better value = higher rank (ascending)</t>
        </r>
      </text>
    </comment>
    <comment ref="F68" authorId="0" shapeId="0" xr:uid="{145082E9-2520-4634-AD4E-A3E05051CF62}">
      <text>
        <r>
          <rPr>
            <b/>
            <sz val="9"/>
            <color indexed="81"/>
            <rFont val="Tahoma"/>
            <family val="2"/>
          </rPr>
          <t>ADMIN:</t>
        </r>
        <r>
          <rPr>
            <sz val="9"/>
            <color indexed="81"/>
            <rFont val="Tahoma"/>
            <family val="2"/>
          </rPr>
          <t xml:space="preserve">
Lower Beta = lower risk = higher rank (ascending)</t>
        </r>
      </text>
    </comment>
    <comment ref="H68" authorId="0" shapeId="0" xr:uid="{3B076122-833B-44D8-889E-287F38F1E037}">
      <text>
        <r>
          <rPr>
            <b/>
            <sz val="9"/>
            <color indexed="81"/>
            <rFont val="Tahoma"/>
            <family val="2"/>
          </rPr>
          <t>ADMIN:</t>
        </r>
        <r>
          <rPr>
            <sz val="9"/>
            <color indexed="81"/>
            <rFont val="Tahoma"/>
            <family val="2"/>
          </rPr>
          <t xml:space="preserve">
Momentum based on 52W range position: &gt;70% = near highs, &lt;30% = near lows</t>
        </r>
      </text>
    </comment>
    <comment ref="I68" authorId="0" shapeId="0" xr:uid="{819EEF51-DB93-439E-A693-1840C3D519F1}">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8" authorId="0" shapeId="0" xr:uid="{B9898058-6D33-467E-976B-9FA289BFD048}">
      <text>
        <r>
          <rPr>
            <b/>
            <sz val="9"/>
            <color indexed="81"/>
            <rFont val="Tahoma"/>
            <family val="2"/>
          </rPr>
          <t>ADMIN:</t>
        </r>
        <r>
          <rPr>
            <sz val="9"/>
            <color indexed="81"/>
            <rFont val="Tahoma"/>
            <family val="2"/>
          </rPr>
          <t xml:space="preserve">
Final composite ranking: #1 = best combination of value, low risk, and momentum</t>
        </r>
      </text>
    </comment>
    <comment ref="K68" authorId="0" shapeId="0" xr:uid="{EC4F5CAD-F39C-42DF-BFBB-8CE6D3AC90CF}">
      <text>
        <r>
          <rPr>
            <b/>
            <sz val="9"/>
            <color indexed="81"/>
            <rFont val="Tahoma"/>
            <family val="2"/>
          </rPr>
          <t>ADMIN:</t>
        </r>
        <r>
          <rPr>
            <sz val="9"/>
            <color indexed="81"/>
            <rFont val="Tahoma"/>
            <family val="2"/>
          </rPr>
          <t xml:space="preserve">
Top 3 = Buy signal, 4-7 = Watch, 8-10 = Avoid based on multi-factor model</t>
        </r>
      </text>
    </comment>
    <comment ref="D69" authorId="0" shapeId="0" xr:uid="{FA13A2E0-0C8B-437B-A83C-EDCA30118EEE}">
      <text>
        <r>
          <rPr>
            <b/>
            <sz val="9"/>
            <color indexed="81"/>
            <rFont val="Tahoma"/>
            <family val="2"/>
          </rPr>
          <t>ADMIN:</t>
        </r>
        <r>
          <rPr>
            <sz val="9"/>
            <color indexed="81"/>
            <rFont val="Tahoma"/>
            <family val="2"/>
          </rPr>
          <t xml:space="preserve">
Lower P/E = better value = higher rank (ascending)</t>
        </r>
      </text>
    </comment>
    <comment ref="F69" authorId="0" shapeId="0" xr:uid="{637ACD47-A867-449B-9226-64FE9DC37A3C}">
      <text>
        <r>
          <rPr>
            <b/>
            <sz val="9"/>
            <color indexed="81"/>
            <rFont val="Tahoma"/>
            <family val="2"/>
          </rPr>
          <t>ADMIN:</t>
        </r>
        <r>
          <rPr>
            <sz val="9"/>
            <color indexed="81"/>
            <rFont val="Tahoma"/>
            <family val="2"/>
          </rPr>
          <t xml:space="preserve">
Lower Beta = lower risk = higher rank (ascending)</t>
        </r>
      </text>
    </comment>
    <comment ref="H69" authorId="0" shapeId="0" xr:uid="{657F66B5-565C-4571-80DB-2D09F6EDA063}">
      <text>
        <r>
          <rPr>
            <b/>
            <sz val="9"/>
            <color indexed="81"/>
            <rFont val="Tahoma"/>
            <family val="2"/>
          </rPr>
          <t>ADMIN:</t>
        </r>
        <r>
          <rPr>
            <sz val="9"/>
            <color indexed="81"/>
            <rFont val="Tahoma"/>
            <family val="2"/>
          </rPr>
          <t xml:space="preserve">
Momentum based on 52W range position: &gt;70% = near highs, &lt;30% = near lows</t>
        </r>
      </text>
    </comment>
    <comment ref="I69" authorId="0" shapeId="0" xr:uid="{6702BC48-44E8-4C06-B4F2-4128D8CCE47E}">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69" authorId="0" shapeId="0" xr:uid="{C786CB44-33A6-485F-AAF8-8EFD8AA7A99A}">
      <text>
        <r>
          <rPr>
            <b/>
            <sz val="9"/>
            <color indexed="81"/>
            <rFont val="Tahoma"/>
            <family val="2"/>
          </rPr>
          <t>ADMIN:</t>
        </r>
        <r>
          <rPr>
            <sz val="9"/>
            <color indexed="81"/>
            <rFont val="Tahoma"/>
            <family val="2"/>
          </rPr>
          <t xml:space="preserve">
Final composite ranking: #1 = best combination of value, low risk, and momentum</t>
        </r>
      </text>
    </comment>
    <comment ref="K69" authorId="0" shapeId="0" xr:uid="{B228B96C-794E-4604-B9D7-967E3CA1D843}">
      <text>
        <r>
          <rPr>
            <b/>
            <sz val="9"/>
            <color indexed="81"/>
            <rFont val="Tahoma"/>
            <family val="2"/>
          </rPr>
          <t>ADMIN:</t>
        </r>
        <r>
          <rPr>
            <sz val="9"/>
            <color indexed="81"/>
            <rFont val="Tahoma"/>
            <family val="2"/>
          </rPr>
          <t xml:space="preserve">
Top 3 = Buy signal, 4-7 = Watch, 8-10 = Avoid based on multi-factor model</t>
        </r>
      </text>
    </comment>
    <comment ref="D70" authorId="0" shapeId="0" xr:uid="{A05A1E44-7D02-4128-9003-6CDCB793BF01}">
      <text>
        <r>
          <rPr>
            <b/>
            <sz val="9"/>
            <color indexed="81"/>
            <rFont val="Tahoma"/>
            <family val="2"/>
          </rPr>
          <t>ADMIN:</t>
        </r>
        <r>
          <rPr>
            <sz val="9"/>
            <color indexed="81"/>
            <rFont val="Tahoma"/>
            <family val="2"/>
          </rPr>
          <t xml:space="preserve">
Lower P/E = better value = higher rank (ascending)</t>
        </r>
      </text>
    </comment>
    <comment ref="F70" authorId="0" shapeId="0" xr:uid="{07C0B4FB-3F20-4A43-9523-C92814247BE8}">
      <text>
        <r>
          <rPr>
            <b/>
            <sz val="9"/>
            <color indexed="81"/>
            <rFont val="Tahoma"/>
            <family val="2"/>
          </rPr>
          <t>ADMIN:</t>
        </r>
        <r>
          <rPr>
            <sz val="9"/>
            <color indexed="81"/>
            <rFont val="Tahoma"/>
            <family val="2"/>
          </rPr>
          <t xml:space="preserve">
Lower Beta = lower risk = higher rank (ascending)</t>
        </r>
      </text>
    </comment>
    <comment ref="H70" authorId="0" shapeId="0" xr:uid="{EF828EEB-D572-4E74-B1AE-460C99F6D823}">
      <text>
        <r>
          <rPr>
            <b/>
            <sz val="9"/>
            <color indexed="81"/>
            <rFont val="Tahoma"/>
            <family val="2"/>
          </rPr>
          <t>ADMIN:</t>
        </r>
        <r>
          <rPr>
            <sz val="9"/>
            <color indexed="81"/>
            <rFont val="Tahoma"/>
            <family val="2"/>
          </rPr>
          <t xml:space="preserve">
Momentum based on 52W range position: &gt;70% = near highs, &lt;30% = near lows</t>
        </r>
      </text>
    </comment>
    <comment ref="I70" authorId="0" shapeId="0" xr:uid="{F73560D8-6E22-45AD-AA66-ED999CA06EED}">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0" authorId="0" shapeId="0" xr:uid="{6C19A3D9-97B0-4DEC-8DBF-33BCC7B96F49}">
      <text>
        <r>
          <rPr>
            <b/>
            <sz val="9"/>
            <color indexed="81"/>
            <rFont val="Tahoma"/>
            <family val="2"/>
          </rPr>
          <t>ADMIN:</t>
        </r>
        <r>
          <rPr>
            <sz val="9"/>
            <color indexed="81"/>
            <rFont val="Tahoma"/>
            <family val="2"/>
          </rPr>
          <t xml:space="preserve">
Final composite ranking: #1 = best combination of value, low risk, and momentum</t>
        </r>
      </text>
    </comment>
    <comment ref="K70" authorId="0" shapeId="0" xr:uid="{3A0AD059-9F67-405B-AF73-74C982F078EC}">
      <text>
        <r>
          <rPr>
            <b/>
            <sz val="9"/>
            <color indexed="81"/>
            <rFont val="Tahoma"/>
            <family val="2"/>
          </rPr>
          <t>ADMIN:</t>
        </r>
        <r>
          <rPr>
            <sz val="9"/>
            <color indexed="81"/>
            <rFont val="Tahoma"/>
            <family val="2"/>
          </rPr>
          <t xml:space="preserve">
Top 3 = Buy signal, 4-7 = Watch, 8-10 = Avoid based on multi-factor model</t>
        </r>
      </text>
    </comment>
    <comment ref="D71" authorId="0" shapeId="0" xr:uid="{D9BA88FD-68DF-4A40-8EBB-8E8852DD087D}">
      <text>
        <r>
          <rPr>
            <b/>
            <sz val="9"/>
            <color indexed="81"/>
            <rFont val="Tahoma"/>
            <family val="2"/>
          </rPr>
          <t>ADMIN:</t>
        </r>
        <r>
          <rPr>
            <sz val="9"/>
            <color indexed="81"/>
            <rFont val="Tahoma"/>
            <family val="2"/>
          </rPr>
          <t xml:space="preserve">
Lower P/E = better value = higher rank (ascending)</t>
        </r>
      </text>
    </comment>
    <comment ref="F71" authorId="0" shapeId="0" xr:uid="{E87146CE-8775-4C14-B7D8-9E6FEB607513}">
      <text>
        <r>
          <rPr>
            <b/>
            <sz val="9"/>
            <color indexed="81"/>
            <rFont val="Tahoma"/>
            <family val="2"/>
          </rPr>
          <t>ADMIN:</t>
        </r>
        <r>
          <rPr>
            <sz val="9"/>
            <color indexed="81"/>
            <rFont val="Tahoma"/>
            <family val="2"/>
          </rPr>
          <t xml:space="preserve">
Lower Beta = lower risk = higher rank (ascending)</t>
        </r>
      </text>
    </comment>
    <comment ref="H71" authorId="0" shapeId="0" xr:uid="{A549EB54-04F1-45E5-B0D0-671DA4C6F5A5}">
      <text>
        <r>
          <rPr>
            <b/>
            <sz val="9"/>
            <color indexed="81"/>
            <rFont val="Tahoma"/>
            <family val="2"/>
          </rPr>
          <t>ADMIN:</t>
        </r>
        <r>
          <rPr>
            <sz val="9"/>
            <color indexed="81"/>
            <rFont val="Tahoma"/>
            <family val="2"/>
          </rPr>
          <t xml:space="preserve">
Momentum based on 52W range position: &gt;70% = near highs, &lt;30% = near lows</t>
        </r>
      </text>
    </comment>
    <comment ref="I71" authorId="0" shapeId="0" xr:uid="{035F45C7-3DAC-4057-81BA-983E6379D9A1}">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1" authorId="0" shapeId="0" xr:uid="{CB02EB42-7F6C-4097-80E7-5126E40CC57D}">
      <text>
        <r>
          <rPr>
            <b/>
            <sz val="9"/>
            <color indexed="81"/>
            <rFont val="Tahoma"/>
            <family val="2"/>
          </rPr>
          <t>ADMIN:</t>
        </r>
        <r>
          <rPr>
            <sz val="9"/>
            <color indexed="81"/>
            <rFont val="Tahoma"/>
            <family val="2"/>
          </rPr>
          <t xml:space="preserve">
Final composite ranking: #1 = best combination of value, low risk, and momentum</t>
        </r>
      </text>
    </comment>
    <comment ref="K71" authorId="0" shapeId="0" xr:uid="{9DCE5F8E-5C19-4F3E-AA28-D3174FB4BD52}">
      <text>
        <r>
          <rPr>
            <b/>
            <sz val="9"/>
            <color indexed="81"/>
            <rFont val="Tahoma"/>
            <family val="2"/>
          </rPr>
          <t>ADMIN:</t>
        </r>
        <r>
          <rPr>
            <sz val="9"/>
            <color indexed="81"/>
            <rFont val="Tahoma"/>
            <family val="2"/>
          </rPr>
          <t xml:space="preserve">
Top 3 = Buy signal, 4-7 = Watch, 8-10 = Avoid based on multi-factor model</t>
        </r>
      </text>
    </comment>
    <comment ref="D72" authorId="0" shapeId="0" xr:uid="{EE5FDBA5-9746-45BD-BA5F-0DE6345048BA}">
      <text>
        <r>
          <rPr>
            <b/>
            <sz val="9"/>
            <color indexed="81"/>
            <rFont val="Tahoma"/>
            <family val="2"/>
          </rPr>
          <t>ADMIN:</t>
        </r>
        <r>
          <rPr>
            <sz val="9"/>
            <color indexed="81"/>
            <rFont val="Tahoma"/>
            <family val="2"/>
          </rPr>
          <t xml:space="preserve">
Lower P/E = better value = higher rank (ascending)</t>
        </r>
      </text>
    </comment>
    <comment ref="F72" authorId="0" shapeId="0" xr:uid="{93FA79E6-38C6-499F-8D52-C118D8F45CF2}">
      <text>
        <r>
          <rPr>
            <b/>
            <sz val="9"/>
            <color indexed="81"/>
            <rFont val="Tahoma"/>
            <family val="2"/>
          </rPr>
          <t>ADMIN:</t>
        </r>
        <r>
          <rPr>
            <sz val="9"/>
            <color indexed="81"/>
            <rFont val="Tahoma"/>
            <family val="2"/>
          </rPr>
          <t xml:space="preserve">
Lower Beta = lower risk = higher rank (ascending)</t>
        </r>
      </text>
    </comment>
    <comment ref="H72" authorId="0" shapeId="0" xr:uid="{C0A2EB6A-2D0C-4EDD-A793-7837334367D3}">
      <text>
        <r>
          <rPr>
            <b/>
            <sz val="9"/>
            <color indexed="81"/>
            <rFont val="Tahoma"/>
            <family val="2"/>
          </rPr>
          <t>ADMIN:</t>
        </r>
        <r>
          <rPr>
            <sz val="9"/>
            <color indexed="81"/>
            <rFont val="Tahoma"/>
            <family val="2"/>
          </rPr>
          <t xml:space="preserve">
Momentum based on 52W range position: &gt;70% = near highs, &lt;30% = near lows</t>
        </r>
      </text>
    </comment>
    <comment ref="I72" authorId="0" shapeId="0" xr:uid="{395FDE96-5B5A-4270-A722-312EEF5E33C0}">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2" authorId="0" shapeId="0" xr:uid="{F97B7189-DF46-4FA5-A441-226D46A6CA08}">
      <text>
        <r>
          <rPr>
            <b/>
            <sz val="9"/>
            <color indexed="81"/>
            <rFont val="Tahoma"/>
            <family val="2"/>
          </rPr>
          <t>ADMIN:</t>
        </r>
        <r>
          <rPr>
            <sz val="9"/>
            <color indexed="81"/>
            <rFont val="Tahoma"/>
            <family val="2"/>
          </rPr>
          <t xml:space="preserve">
Final composite ranking: #1 = best combination of value, low risk, and momentum</t>
        </r>
      </text>
    </comment>
    <comment ref="K72" authorId="0" shapeId="0" xr:uid="{467C7171-4CDA-42B0-9D07-C96ACD258112}">
      <text>
        <r>
          <rPr>
            <b/>
            <sz val="9"/>
            <color indexed="81"/>
            <rFont val="Tahoma"/>
            <family val="2"/>
          </rPr>
          <t>ADMIN:</t>
        </r>
        <r>
          <rPr>
            <sz val="9"/>
            <color indexed="81"/>
            <rFont val="Tahoma"/>
            <family val="2"/>
          </rPr>
          <t xml:space="preserve">
Top 3 = Buy signal, 4-7 = Watch, 8-10 = Avoid based on multi-factor model</t>
        </r>
      </text>
    </comment>
    <comment ref="D73" authorId="0" shapeId="0" xr:uid="{E48104D6-B487-4FF1-AC08-1B439054D83D}">
      <text>
        <r>
          <rPr>
            <b/>
            <sz val="9"/>
            <color indexed="81"/>
            <rFont val="Tahoma"/>
            <family val="2"/>
          </rPr>
          <t>ADMIN:</t>
        </r>
        <r>
          <rPr>
            <sz val="9"/>
            <color indexed="81"/>
            <rFont val="Tahoma"/>
            <family val="2"/>
          </rPr>
          <t xml:space="preserve">
Lower P/E = better value = higher rank (ascending)</t>
        </r>
      </text>
    </comment>
    <comment ref="F73" authorId="0" shapeId="0" xr:uid="{0B8CFD06-5D91-4EB1-94A1-6491F4F3A5D6}">
      <text>
        <r>
          <rPr>
            <b/>
            <sz val="9"/>
            <color indexed="81"/>
            <rFont val="Tahoma"/>
            <family val="2"/>
          </rPr>
          <t>ADMIN:</t>
        </r>
        <r>
          <rPr>
            <sz val="9"/>
            <color indexed="81"/>
            <rFont val="Tahoma"/>
            <family val="2"/>
          </rPr>
          <t xml:space="preserve">
Lower Beta = lower risk = higher rank (ascending)</t>
        </r>
      </text>
    </comment>
    <comment ref="H73" authorId="0" shapeId="0" xr:uid="{94240B88-427B-4F84-8D26-43CE0D20F1C6}">
      <text>
        <r>
          <rPr>
            <b/>
            <sz val="9"/>
            <color indexed="81"/>
            <rFont val="Tahoma"/>
            <family val="2"/>
          </rPr>
          <t>ADMIN:</t>
        </r>
        <r>
          <rPr>
            <sz val="9"/>
            <color indexed="81"/>
            <rFont val="Tahoma"/>
            <family val="2"/>
          </rPr>
          <t xml:space="preserve">
Momentum based on 52W range position: &gt;70% = near highs, &lt;30% = near lows</t>
        </r>
      </text>
    </comment>
    <comment ref="I73" authorId="0" shapeId="0" xr:uid="{FAA50476-EDBC-4629-81F1-655E62EE48CF}">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3" authorId="0" shapeId="0" xr:uid="{D362607C-F81C-4C55-BE44-DDC339A0F7F8}">
      <text>
        <r>
          <rPr>
            <b/>
            <sz val="9"/>
            <color indexed="81"/>
            <rFont val="Tahoma"/>
            <family val="2"/>
          </rPr>
          <t>ADMIN:</t>
        </r>
        <r>
          <rPr>
            <sz val="9"/>
            <color indexed="81"/>
            <rFont val="Tahoma"/>
            <family val="2"/>
          </rPr>
          <t xml:space="preserve">
Final composite ranking: #1 = best combination of value, low risk, and momentum</t>
        </r>
      </text>
    </comment>
    <comment ref="K73" authorId="0" shapeId="0" xr:uid="{3F58CB12-776E-4304-AF9E-886AAB84C5CD}">
      <text>
        <r>
          <rPr>
            <b/>
            <sz val="9"/>
            <color indexed="81"/>
            <rFont val="Tahoma"/>
            <family val="2"/>
          </rPr>
          <t>ADMIN:</t>
        </r>
        <r>
          <rPr>
            <sz val="9"/>
            <color indexed="81"/>
            <rFont val="Tahoma"/>
            <family val="2"/>
          </rPr>
          <t xml:space="preserve">
Top 3 = Buy signal, 4-7 = Watch, 8-10 = Avoid based on multi-factor model</t>
        </r>
      </text>
    </comment>
    <comment ref="D74" authorId="0" shapeId="0" xr:uid="{6BC95B32-2EA8-421E-8271-AEA0DAC46A21}">
      <text>
        <r>
          <rPr>
            <b/>
            <sz val="9"/>
            <color indexed="81"/>
            <rFont val="Tahoma"/>
            <family val="2"/>
          </rPr>
          <t>ADMIN:</t>
        </r>
        <r>
          <rPr>
            <sz val="9"/>
            <color indexed="81"/>
            <rFont val="Tahoma"/>
            <family val="2"/>
          </rPr>
          <t xml:space="preserve">
Lower P/E = better value = higher rank (ascending)</t>
        </r>
      </text>
    </comment>
    <comment ref="F74" authorId="0" shapeId="0" xr:uid="{A5F6A941-42F4-43EB-8C33-C134A8B78957}">
      <text>
        <r>
          <rPr>
            <b/>
            <sz val="9"/>
            <color indexed="81"/>
            <rFont val="Tahoma"/>
            <family val="2"/>
          </rPr>
          <t>ADMIN:</t>
        </r>
        <r>
          <rPr>
            <sz val="9"/>
            <color indexed="81"/>
            <rFont val="Tahoma"/>
            <family val="2"/>
          </rPr>
          <t xml:space="preserve">
Lower Beta = lower risk = higher rank (ascending)</t>
        </r>
      </text>
    </comment>
    <comment ref="H74" authorId="0" shapeId="0" xr:uid="{611F0E32-E9E1-4148-B8A6-CB28FFD64153}">
      <text>
        <r>
          <rPr>
            <b/>
            <sz val="9"/>
            <color indexed="81"/>
            <rFont val="Tahoma"/>
            <family val="2"/>
          </rPr>
          <t>ADMIN:</t>
        </r>
        <r>
          <rPr>
            <sz val="9"/>
            <color indexed="81"/>
            <rFont val="Tahoma"/>
            <family val="2"/>
          </rPr>
          <t xml:space="preserve">
Momentum based on 52W range position: &gt;70% = near highs, &lt;30% = near lows</t>
        </r>
      </text>
    </comment>
    <comment ref="I74" authorId="0" shapeId="0" xr:uid="{343CBDEC-9A05-46F5-9218-C6FE0A1109B4}">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4" authorId="0" shapeId="0" xr:uid="{464682F3-D40C-4D0D-A5CA-2FB7A5154514}">
      <text>
        <r>
          <rPr>
            <b/>
            <sz val="9"/>
            <color indexed="81"/>
            <rFont val="Tahoma"/>
            <family val="2"/>
          </rPr>
          <t>ADMIN:</t>
        </r>
        <r>
          <rPr>
            <sz val="9"/>
            <color indexed="81"/>
            <rFont val="Tahoma"/>
            <family val="2"/>
          </rPr>
          <t xml:space="preserve">
Final composite ranking: #1 = best combination of value, low risk, and momentum</t>
        </r>
      </text>
    </comment>
    <comment ref="K74" authorId="0" shapeId="0" xr:uid="{520D4366-BE45-496A-BC7F-AD6AC78FB702}">
      <text>
        <r>
          <rPr>
            <b/>
            <sz val="9"/>
            <color indexed="81"/>
            <rFont val="Tahoma"/>
            <family val="2"/>
          </rPr>
          <t>ADMIN:</t>
        </r>
        <r>
          <rPr>
            <sz val="9"/>
            <color indexed="81"/>
            <rFont val="Tahoma"/>
            <family val="2"/>
          </rPr>
          <t xml:space="preserve">
Top 3 = Buy signal, 4-7 = Watch, 8-10 = Avoid based on multi-factor model</t>
        </r>
      </text>
    </comment>
    <comment ref="D75" authorId="0" shapeId="0" xr:uid="{46CF3CE6-1B01-4D42-919D-23D8DA3BDFED}">
      <text>
        <r>
          <rPr>
            <b/>
            <sz val="9"/>
            <color indexed="81"/>
            <rFont val="Tahoma"/>
            <family val="2"/>
          </rPr>
          <t>ADMIN:</t>
        </r>
        <r>
          <rPr>
            <sz val="9"/>
            <color indexed="81"/>
            <rFont val="Tahoma"/>
            <family val="2"/>
          </rPr>
          <t xml:space="preserve">
Lower P/E = better value = higher rank (ascending)</t>
        </r>
      </text>
    </comment>
    <comment ref="F75" authorId="0" shapeId="0" xr:uid="{9686FDC9-203D-4881-BD0A-2767F351E6E1}">
      <text>
        <r>
          <rPr>
            <b/>
            <sz val="9"/>
            <color indexed="81"/>
            <rFont val="Tahoma"/>
            <family val="2"/>
          </rPr>
          <t>ADMIN:</t>
        </r>
        <r>
          <rPr>
            <sz val="9"/>
            <color indexed="81"/>
            <rFont val="Tahoma"/>
            <family val="2"/>
          </rPr>
          <t xml:space="preserve">
Lower Beta = lower risk = higher rank (ascending)</t>
        </r>
      </text>
    </comment>
    <comment ref="H75" authorId="0" shapeId="0" xr:uid="{B4B797F0-D5F3-4D35-B1FA-67FCEB8CC730}">
      <text>
        <r>
          <rPr>
            <b/>
            <sz val="9"/>
            <color indexed="81"/>
            <rFont val="Tahoma"/>
            <family val="2"/>
          </rPr>
          <t>ADMIN:</t>
        </r>
        <r>
          <rPr>
            <sz val="9"/>
            <color indexed="81"/>
            <rFont val="Tahoma"/>
            <family val="2"/>
          </rPr>
          <t xml:space="preserve">
Momentum based on 52W range position: &gt;70% = near highs, &lt;30% = near lows</t>
        </r>
      </text>
    </comment>
    <comment ref="I75" authorId="0" shapeId="0" xr:uid="{11BEA430-0CA1-401C-BFD5-651D504C9EDC}">
      <text>
        <r>
          <rPr>
            <b/>
            <sz val="9"/>
            <color indexed="81"/>
            <rFont val="Tahoma"/>
            <family val="2"/>
          </rPr>
          <t>ADMIN:</t>
        </r>
        <r>
          <rPr>
            <sz val="9"/>
            <color indexed="81"/>
            <rFont val="Tahoma"/>
            <family val="2"/>
          </rPr>
          <t xml:space="preserve">
Composite Value Score: 40% P/E rank + 30% Beta rank + 30% Momentum rank. Lower = better overall value-risk-momentum profile.</t>
        </r>
      </text>
    </comment>
    <comment ref="J75" authorId="0" shapeId="0" xr:uid="{01A29CED-C17C-4DE4-A4BE-B117F6F39E72}">
      <text>
        <r>
          <rPr>
            <b/>
            <sz val="9"/>
            <color indexed="81"/>
            <rFont val="Tahoma"/>
            <family val="2"/>
          </rPr>
          <t>ADMIN:</t>
        </r>
        <r>
          <rPr>
            <sz val="9"/>
            <color indexed="81"/>
            <rFont val="Tahoma"/>
            <family val="2"/>
          </rPr>
          <t xml:space="preserve">
Final composite ranking: #1 = best combination of value, low risk, and momentum</t>
        </r>
      </text>
    </comment>
    <comment ref="K75" authorId="0" shapeId="0" xr:uid="{591087DC-4406-4EE3-9672-01118464BE39}">
      <text>
        <r>
          <rPr>
            <b/>
            <sz val="9"/>
            <color indexed="81"/>
            <rFont val="Tahoma"/>
            <family val="2"/>
          </rPr>
          <t>ADMIN:</t>
        </r>
        <r>
          <rPr>
            <sz val="9"/>
            <color indexed="81"/>
            <rFont val="Tahoma"/>
            <family val="2"/>
          </rPr>
          <t xml:space="preserve">
Top 3 = Buy signal, 4-7 = Watch, 8-10 = Avoid based on multi-factor model</t>
        </r>
      </text>
    </comment>
    <comment ref="E78" authorId="0" shapeId="0" xr:uid="{1BD9ED5A-E1B5-41AA-AEA6-784AE6B62924}">
      <text>
        <r>
          <rPr>
            <b/>
            <sz val="9"/>
            <color indexed="81"/>
            <rFont val="Tahoma"/>
            <charset val="1"/>
          </rPr>
          <t>ADMIN:</t>
        </r>
        <r>
          <rPr>
            <sz val="9"/>
            <color indexed="81"/>
            <rFont val="Tahoma"/>
            <charset val="1"/>
          </rPr>
          <t xml:space="preserve">
Average P/E of stocks with BUY signal</t>
        </r>
      </text>
    </comment>
    <comment ref="F78" authorId="0" shapeId="0" xr:uid="{354F9C62-517D-4F19-921B-04B257E64C02}">
      <text>
        <r>
          <rPr>
            <b/>
            <sz val="9"/>
            <color indexed="81"/>
            <rFont val="Tahoma"/>
            <charset val="1"/>
          </rPr>
          <t>ADMIN:</t>
        </r>
        <r>
          <rPr>
            <sz val="9"/>
            <color indexed="81"/>
            <rFont val="Tahoma"/>
            <charset val="1"/>
          </rPr>
          <t xml:space="preserve">
Average Beta of stocks with BUY signal</t>
        </r>
      </text>
    </comment>
    <comment ref="G78" authorId="0" shapeId="0" xr:uid="{67996C81-62DC-45B2-BC9C-A3133C28C657}">
      <text>
        <r>
          <rPr>
            <b/>
            <sz val="9"/>
            <color indexed="81"/>
            <rFont val="Tahoma"/>
            <charset val="1"/>
          </rPr>
          <t>ADMIN:</t>
        </r>
        <r>
          <rPr>
            <sz val="9"/>
            <color indexed="81"/>
            <rFont val="Tahoma"/>
            <charset val="1"/>
          </rPr>
          <t xml:space="preserve">
Lowest P/E = cheapest valuation</t>
        </r>
      </text>
    </comment>
    <comment ref="H78" authorId="0" shapeId="0" xr:uid="{2D1DE8BC-FC63-4E23-B793-F85917D42080}">
      <text>
        <r>
          <rPr>
            <b/>
            <sz val="9"/>
            <color indexed="81"/>
            <rFont val="Tahoma"/>
            <charset val="1"/>
          </rPr>
          <t>ADMIN:</t>
        </r>
        <r>
          <rPr>
            <sz val="9"/>
            <color indexed="81"/>
            <rFont val="Tahoma"/>
            <charset val="1"/>
          </rPr>
          <t xml:space="preserve">
Highest Beta = most volatile/risky</t>
        </r>
      </text>
    </comment>
    <comment ref="I78" authorId="0" shapeId="0" xr:uid="{A7403E6F-AA66-467C-BE36-7DA2AACF1682}">
      <text>
        <r>
          <rPr>
            <b/>
            <sz val="9"/>
            <color indexed="81"/>
            <rFont val="Tahoma"/>
            <charset val="1"/>
          </rPr>
          <t>ADMIN:</t>
        </r>
        <r>
          <rPr>
            <sz val="9"/>
            <color indexed="81"/>
            <rFont val="Tahoma"/>
            <charset val="1"/>
          </rPr>
          <t xml:space="preserve">
Rank #1 composite = best combined value, risk, and momentum profile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39" authorId="0" shapeId="0" xr:uid="{96E20A98-EC9A-4D66-AC4C-93BCEA050099}">
      <text>
        <r>
          <rPr>
            <b/>
            <sz val="9"/>
            <color indexed="81"/>
            <rFont val="Tahoma"/>
            <charset val="1"/>
          </rPr>
          <t>ADMIN:</t>
        </r>
        <r>
          <rPr>
            <sz val="9"/>
            <color indexed="81"/>
            <rFont val="Tahoma"/>
            <charset val="1"/>
          </rPr>
          <t xml:space="preserve">
CAGR scoring: &gt;15%=10, &gt;10%=8, &gt;5%=6, &gt;0%=4, else=2</t>
        </r>
      </text>
    </comment>
    <comment ref="G40" authorId="0" shapeId="0" xr:uid="{2AC3108F-D102-494A-92A1-AE9D8F4F4C9E}">
      <text>
        <r>
          <rPr>
            <b/>
            <sz val="9"/>
            <color indexed="81"/>
            <rFont val="Tahoma"/>
            <charset val="1"/>
          </rPr>
          <t>ADMIN:</t>
        </r>
        <r>
          <rPr>
            <sz val="9"/>
            <color indexed="81"/>
            <rFont val="Tahoma"/>
            <charset val="1"/>
          </rPr>
          <t xml:space="preserve">
Max loss scoring: &gt;-5%=10, &gt;-10%=8, &gt;-20%=6, &gt;-50%=4, else=2</t>
        </r>
      </text>
    </comment>
    <comment ref="C47" authorId="0" shapeId="0" xr:uid="{1E6A89D5-1453-4915-9E3C-E628EE85FA4D}">
      <text>
        <r>
          <rPr>
            <b/>
            <sz val="9"/>
            <color indexed="81"/>
            <rFont val="Tahoma"/>
            <charset val="1"/>
          </rPr>
          <t>ADMIN:</t>
        </r>
        <r>
          <rPr>
            <sz val="9"/>
            <color indexed="81"/>
            <rFont val="Tahoma"/>
            <charset val="1"/>
          </rPr>
          <t xml:space="preserve">
S&amp;P 500 long-term avg CAGR ~10%</t>
        </r>
      </text>
    </comment>
    <comment ref="A49" authorId="0" shapeId="0" xr:uid="{1B5603C4-798A-4330-9103-3C63BE5AF245}">
      <text>
        <r>
          <rPr>
            <b/>
            <sz val="9"/>
            <color indexed="81"/>
            <rFont val="Tahoma"/>
            <charset val="1"/>
          </rPr>
          <t>ADMIN:</t>
        </r>
        <r>
          <rPr>
            <sz val="9"/>
            <color indexed="81"/>
            <rFont val="Tahoma"/>
            <charset val="1"/>
          </rPr>
          <t xml:space="preserve">
CFA Level II: αp = Rp − [Rf + βp(Rm − Rf)]. Measures risk-adjusted excess return above CAPM prediction.</t>
        </r>
      </text>
    </comment>
    <comment ref="B49" authorId="0" shapeId="0" xr:uid="{02EE274A-0A60-4E5C-BD53-7ED6E1B82643}">
      <text>
        <r>
          <rPr>
            <b/>
            <sz val="9"/>
            <color indexed="81"/>
            <rFont val="Tahoma"/>
            <charset val="1"/>
          </rPr>
          <t>ADMIN:</t>
        </r>
        <r>
          <rPr>
            <sz val="9"/>
            <color indexed="81"/>
            <rFont val="Tahoma"/>
            <charset val="1"/>
          </rPr>
          <t xml:space="preserve">
Sharpe = (Rp - Rf) / StdDev. Rf=5% (US 10Y Treasury). Measures excess return per unit of total risk.</t>
        </r>
      </text>
    </comment>
    <comment ref="A50" authorId="0" shapeId="0" xr:uid="{3C3FC46F-C71B-4198-8BB9-43E4B810026D}">
      <text>
        <r>
          <rPr>
            <b/>
            <sz val="9"/>
            <color indexed="81"/>
            <rFont val="Tahoma"/>
            <charset val="1"/>
          </rPr>
          <t>ADMIN:</t>
        </r>
        <r>
          <rPr>
            <sz val="9"/>
            <color indexed="81"/>
            <rFont val="Tahoma"/>
            <charset val="1"/>
          </rPr>
          <t xml:space="preserve">
CFA Level I: Upgraded to use estimated portfolio volatility (βp × σm) rather than cross-sectional stock dispersion.</t>
        </r>
      </text>
    </comment>
    <comment ref="B50" authorId="0" shapeId="0" xr:uid="{65E29266-B911-4AFF-8503-C0E83FA7928E}">
      <text>
        <r>
          <rPr>
            <b/>
            <sz val="9"/>
            <color indexed="81"/>
            <rFont val="Tahoma"/>
            <charset val="1"/>
          </rPr>
          <t>ADMIN:</t>
        </r>
        <r>
          <rPr>
            <sz val="9"/>
            <color indexed="81"/>
            <rFont val="Tahoma"/>
            <charset val="1"/>
          </rPr>
          <t xml:space="preserve">
Sortino = (Rp - Rf) / Downside Deviation. Only penalises negative returns. Very high because only 2/16 positions negative.</t>
        </r>
      </text>
    </comment>
    <comment ref="A51" authorId="0" shapeId="0" xr:uid="{E630DD5D-7553-4B81-AEB8-24B112E9BBCF}">
      <text>
        <r>
          <rPr>
            <b/>
            <sz val="9"/>
            <color indexed="81"/>
            <rFont val="Tahoma"/>
            <charset val="1"/>
          </rPr>
          <t>ADMIN:</t>
        </r>
        <r>
          <rPr>
            <sz val="9"/>
            <color indexed="81"/>
            <rFont val="Tahoma"/>
            <charset val="1"/>
          </rPr>
          <t xml:space="preserve">
CFA Level II: Excess return per unit of systematic (beta) risk. Unlike Sharpe, only penalises non-diversifiable risk.</t>
        </r>
      </text>
    </comment>
    <comment ref="B51" authorId="0" shapeId="0" xr:uid="{F3028A7C-A560-4943-8177-44C35A08D5DD}">
      <text>
        <r>
          <rPr>
            <b/>
            <sz val="9"/>
            <color indexed="81"/>
            <rFont val="Tahoma"/>
            <charset val="1"/>
          </rPr>
          <t>ADMIN:</t>
        </r>
        <r>
          <rPr>
            <sz val="9"/>
            <color indexed="81"/>
            <rFont val="Tahoma"/>
            <charset val="1"/>
          </rPr>
          <t xml:space="preserve">
CAGR / Max Loss. Measures return per unit of worst-case pain.</t>
        </r>
      </text>
    </comment>
    <comment ref="B52" authorId="0" shapeId="0" xr:uid="{4F6A3977-FB88-4F05-8ED7-F44B97D0C04E}">
      <text>
        <r>
          <rPr>
            <b/>
            <sz val="9"/>
            <color indexed="81"/>
            <rFont val="Tahoma"/>
            <charset val="1"/>
          </rPr>
          <t>ADMIN:</t>
        </r>
        <r>
          <rPr>
            <sz val="9"/>
            <color indexed="81"/>
            <rFont val="Tahoma"/>
            <charset val="1"/>
          </rPr>
          <t xml:space="preserve">
Avg winning return / Avg losing return. Higher = better payoff asymmetry.</t>
        </r>
      </text>
    </comment>
    <comment ref="A53" authorId="0" shapeId="0" xr:uid="{F969BA0A-FE1F-402A-B080-759298620660}">
      <text>
        <r>
          <rPr>
            <b/>
            <sz val="9"/>
            <color indexed="81"/>
            <rFont val="Tahoma"/>
            <charset val="1"/>
          </rPr>
          <t>ADMIN:</t>
        </r>
        <r>
          <rPr>
            <sz val="9"/>
            <color indexed="81"/>
            <rFont val="Tahoma"/>
            <charset val="1"/>
          </rPr>
          <t xml:space="preserve">
CFA Level II: Risk-adjusted return measure. Converts Sharpe into percentage return at market-level risk. M² &gt; 0 = risk-adjusted outperformance vs market.</t>
        </r>
      </text>
    </comment>
    <comment ref="B53" authorId="0" shapeId="0" xr:uid="{A1725B26-28CE-4277-8F8D-EB86F58AD808}">
      <text>
        <r>
          <rPr>
            <b/>
            <sz val="9"/>
            <color indexed="81"/>
            <rFont val="Tahoma"/>
            <charset val="1"/>
          </rPr>
          <t>ADMIN:</t>
        </r>
        <r>
          <rPr>
            <sz val="9"/>
            <color indexed="81"/>
            <rFont val="Tahoma"/>
            <charset val="1"/>
          </rPr>
          <t xml:space="preserve">
Total $ gains / Total $ losses. Measures overall profitability efficiency.</t>
        </r>
      </text>
    </comment>
    <comment ref="B56" authorId="0" shapeId="0" xr:uid="{DFB7E045-1101-4EDB-8143-FDD078CF0203}">
      <text>
        <r>
          <rPr>
            <b/>
            <sz val="9"/>
            <color indexed="81"/>
            <rFont val="Tahoma"/>
            <charset val="1"/>
          </rPr>
          <t>ADMIN:</t>
        </r>
        <r>
          <rPr>
            <sz val="9"/>
            <color indexed="81"/>
            <rFont val="Tahoma"/>
            <charset val="1"/>
          </rPr>
          <t xml:space="preserve">
Total $ gains / Total $ losses. Measures overall profitability efficiency.</t>
        </r>
      </text>
    </comment>
    <comment ref="B57" authorId="0" shapeId="0" xr:uid="{9172BB45-2A25-4E94-8F66-387B2737B508}">
      <text>
        <r>
          <rPr>
            <b/>
            <sz val="9"/>
            <color indexed="81"/>
            <rFont val="Tahoma"/>
            <charset val="1"/>
          </rPr>
          <t>ADMIN:</t>
        </r>
        <r>
          <rPr>
            <sz val="9"/>
            <color indexed="81"/>
            <rFont val="Tahoma"/>
            <charset val="1"/>
          </rPr>
          <t xml:space="preserve">
Inverse HHI = equivalent number of equally-weighted positions</t>
        </r>
      </text>
    </comment>
    <comment ref="B58" authorId="0" shapeId="0" xr:uid="{DA590322-B4A2-431B-AD6F-DAFE042AA879}">
      <text>
        <r>
          <rPr>
            <b/>
            <sz val="9"/>
            <color indexed="81"/>
            <rFont val="Tahoma"/>
            <charset val="1"/>
          </rPr>
          <t>ADMIN:</t>
        </r>
        <r>
          <rPr>
            <sz val="9"/>
            <color indexed="81"/>
            <rFont val="Tahoma"/>
            <charset val="1"/>
          </rPr>
          <t xml:space="preserve">
Ratio of largest to smallest position weight</t>
        </r>
      </text>
    </comment>
    <comment ref="B60" authorId="0" shapeId="0" xr:uid="{16670ECA-32C6-436B-9C33-2442B69312B2}">
      <text>
        <r>
          <rPr>
            <b/>
            <sz val="9"/>
            <color indexed="81"/>
            <rFont val="Tahoma"/>
            <charset val="1"/>
          </rPr>
          <t>Inverse HHI = equivalent number of equally-weighted positions</t>
        </r>
      </text>
    </comment>
    <comment ref="B61" authorId="0" shapeId="0" xr:uid="{FB39822D-56E7-4A2D-AA0E-527826EAF155}">
      <text>
        <r>
          <rPr>
            <b/>
            <sz val="9"/>
            <color indexed="81"/>
            <rFont val="Tahoma"/>
            <charset val="1"/>
          </rPr>
          <t>ADMIN:</t>
        </r>
        <r>
          <rPr>
            <sz val="9"/>
            <color indexed="81"/>
            <rFont val="Tahoma"/>
            <charset val="1"/>
          </rPr>
          <t xml:space="preserve">
Ratio of largest to smallest position weight</t>
        </r>
      </text>
    </comment>
    <comment ref="A63" authorId="0" shapeId="0" xr:uid="{F8E8F66F-B1EE-44E7-808A-6EEF01804EAF}">
      <text>
        <r>
          <rPr>
            <b/>
            <sz val="9"/>
            <color indexed="81"/>
            <rFont val="Tahoma"/>
            <charset val="1"/>
          </rPr>
          <t>ADMIN:</t>
        </r>
        <r>
          <rPr>
            <sz val="9"/>
            <color indexed="81"/>
            <rFont val="Tahoma"/>
            <charset val="1"/>
          </rPr>
          <t xml:space="preserve">
CFA Level III: Measures how different the portfolio is from equal-weight. Higher = more active conviction bets.</t>
        </r>
      </text>
    </comment>
    <comment ref="B64" authorId="0" shapeId="0" xr:uid="{CF188DCD-BABA-468E-A8FB-F262CA67F9AF}">
      <text>
        <r>
          <rPr>
            <b/>
            <sz val="9"/>
            <color indexed="81"/>
            <rFont val="Tahoma"/>
            <charset val="1"/>
          </rPr>
          <t>ADMIN:</t>
        </r>
        <r>
          <rPr>
            <sz val="9"/>
            <color indexed="81"/>
            <rFont val="Tahoma"/>
            <charset val="1"/>
          </rPr>
          <t xml:space="preserve">
Weight × Return for each stock, summed. Represents portfolio-weighted total return contribution.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6" authorId="0" shapeId="0" xr:uid="{0BA038C5-01A7-45B8-AB32-728A759767C1}">
      <text>
        <r>
          <rPr>
            <b/>
            <sz val="9"/>
            <color indexed="81"/>
            <rFont val="Tahoma"/>
            <charset val="1"/>
          </rPr>
          <t>ADMIN:</t>
        </r>
        <r>
          <rPr>
            <sz val="9"/>
            <color indexed="81"/>
            <rFont val="Tahoma"/>
            <charset val="1"/>
          </rPr>
          <t xml:space="preserve">
US 10-Year Treasury Yield (approximate). CFA Level I: Risk-free rate is the theoretical return of a zero-risk investment, typically proxied by government bond yields.</t>
        </r>
      </text>
    </comment>
    <comment ref="C7" authorId="0" shapeId="0" xr:uid="{ECD39E26-0A4A-4682-A2B5-F315BDD7D660}">
      <text>
        <r>
          <rPr>
            <b/>
            <sz val="9"/>
            <color indexed="81"/>
            <rFont val="Tahoma"/>
            <charset val="1"/>
          </rPr>
          <t>ADMIN:</t>
        </r>
        <r>
          <rPr>
            <sz val="9"/>
            <color indexed="81"/>
            <rFont val="Tahoma"/>
            <charset val="1"/>
          </rPr>
          <t xml:space="preserve">
S&amp;P 500 long-term average annual return (~10%). CFA Level I: Expected market return is the expected return of the broad market portfolio.</t>
        </r>
      </text>
    </comment>
    <comment ref="C8" authorId="0" shapeId="0" xr:uid="{063953C1-ED39-482A-8A47-3A3EB0AFDD37}">
      <text>
        <r>
          <rPr>
            <b/>
            <sz val="9"/>
            <color indexed="81"/>
            <rFont val="Tahoma"/>
            <charset val="1"/>
          </rPr>
          <t>ADMIN:</t>
        </r>
        <r>
          <rPr>
            <sz val="9"/>
            <color indexed="81"/>
            <rFont val="Tahoma"/>
            <charset val="1"/>
          </rPr>
          <t xml:space="preserve">
CFA Level I: Equity Risk Premium = Expected Market Return minus Risk-Free Rate. Compensation for bearing systematic (market) risk.</t>
        </r>
      </text>
    </comment>
    <comment ref="B9" authorId="0" shapeId="0" xr:uid="{EA3ACBEB-0344-4CE7-BB94-D4CFC215707F}">
      <text>
        <r>
          <rPr>
            <b/>
            <sz val="9"/>
            <color indexed="81"/>
            <rFont val="Tahoma"/>
            <charset val="1"/>
          </rPr>
          <t>ADMIN:</t>
        </r>
        <r>
          <rPr>
            <sz val="9"/>
            <color indexed="81"/>
            <rFont val="Tahoma"/>
            <charset val="1"/>
          </rPr>
          <t xml:space="preserve">
CFA Level I: Portfolio Beta = Σ(wi × βi). Measures systematic risk relative to the market. β=1 means market-like risk, β&gt;1 = more volatile, β&lt;1 = less volatile.</t>
        </r>
      </text>
    </comment>
    <comment ref="B10" authorId="0" shapeId="0" xr:uid="{EB8FF9F8-079F-44BE-A4C6-04266F02F3F3}">
      <text>
        <r>
          <rPr>
            <b/>
            <sz val="9"/>
            <color indexed="81"/>
            <rFont val="Tahoma"/>
            <charset val="1"/>
          </rPr>
          <t>ADMIN:</t>
        </r>
        <r>
          <rPr>
            <sz val="9"/>
            <color indexed="81"/>
            <rFont val="Tahoma"/>
            <charset val="1"/>
          </rPr>
          <t xml:space="preserve">
CFA Level I: Capital Asset Pricing Model. Expected return equals risk-free rate plus beta times the equity risk premium. Assumes only systematic risk is priced.</t>
        </r>
      </text>
    </comment>
    <comment ref="B11" authorId="0" shapeId="0" xr:uid="{9040B6F2-12E0-4059-8BE3-A734734E9A86}">
      <text>
        <r>
          <rPr>
            <b/>
            <sz val="9"/>
            <color indexed="81"/>
            <rFont val="Tahoma"/>
            <charset val="1"/>
          </rPr>
          <t>ADMIN:</t>
        </r>
        <r>
          <rPr>
            <sz val="9"/>
            <color indexed="81"/>
            <rFont val="Tahoma"/>
            <charset val="1"/>
          </rPr>
          <t xml:space="preserve">
CFA Level II: Jensen's Alpha measures risk-adjusted excess return. Positive alpha = outperformance vs CAPM prediction. It isolates manager skill from market exposure.</t>
        </r>
      </text>
    </comment>
    <comment ref="B15" authorId="0" shapeId="0" xr:uid="{F50FD265-FF7B-4306-B2B5-26A5B2D8B2A4}">
      <text>
        <r>
          <rPr>
            <b/>
            <sz val="9"/>
            <color indexed="81"/>
            <rFont val="Tahoma"/>
            <charset val="1"/>
          </rPr>
          <t>ADMIN:</t>
        </r>
        <r>
          <rPr>
            <sz val="9"/>
            <color indexed="81"/>
            <rFont val="Tahoma"/>
            <charset val="1"/>
          </rPr>
          <t xml:space="preserve">
CFA Level II: Treynor Ratio measures excess return per unit of SYSTEMATIC risk (beta). Unlike Sharpe which uses total risk (std dev), Treynor only considers non-diversifiable risk. Higher = better risk-adjusted performance.</t>
        </r>
      </text>
    </comment>
    <comment ref="B16" authorId="0" shapeId="0" xr:uid="{5169E216-53BD-4A78-B162-7255EAA7D0B3}">
      <text>
        <r>
          <rPr>
            <b/>
            <sz val="9"/>
            <color indexed="81"/>
            <rFont val="Tahoma"/>
            <charset val="1"/>
          </rPr>
          <t>ADMIN:</t>
        </r>
        <r>
          <rPr>
            <sz val="9"/>
            <color indexed="81"/>
            <rFont val="Tahoma"/>
            <charset val="1"/>
          </rPr>
          <t xml:space="preserve">
CFA Level III: Information Ratio measures alpha per unit of active risk. IR &gt; 0.5 is good, &gt; 1.0 is exceptional. Used to evaluate active management skill relative to benchmark tracking error.</t>
        </r>
      </text>
    </comment>
    <comment ref="B17" authorId="0" shapeId="0" xr:uid="{EF00CB90-C362-4339-9FAF-33EEFEFB9D03}">
      <text>
        <r>
          <rPr>
            <b/>
            <sz val="9"/>
            <color indexed="81"/>
            <rFont val="Tahoma"/>
            <charset val="1"/>
          </rPr>
          <t>ADMIN:</t>
        </r>
        <r>
          <rPr>
            <sz val="9"/>
            <color indexed="81"/>
            <rFont val="Tahoma"/>
            <charset val="1"/>
          </rPr>
          <t xml:space="preserve">
CFA Level III: Tracking Error = Standard Deviation of (Portfolio Returns − Benchmark Returns). Measures the consistency of active returns. Low TE = index-like, High TE = concentrated active bets.</t>
        </r>
      </text>
    </comment>
    <comment ref="B18" authorId="0" shapeId="0" xr:uid="{B6729B8F-3B2C-4E65-8B5D-87E97ED7A243}">
      <text>
        <r>
          <rPr>
            <b/>
            <sz val="9"/>
            <color indexed="81"/>
            <rFont val="Tahoma"/>
            <charset val="1"/>
          </rPr>
          <t>ADMIN:</t>
        </r>
        <r>
          <rPr>
            <sz val="9"/>
            <color indexed="81"/>
            <rFont val="Tahoma"/>
            <charset val="1"/>
          </rPr>
          <t xml:space="preserve">
CFA Level I: Sharpe Ratio measures excess return per unit of TOTAL risk (standard deviation). The most widely used risk-adjusted performance measure. Higher = better compensation for risk taken.</t>
        </r>
      </text>
    </comment>
    <comment ref="B19" authorId="0" shapeId="0" xr:uid="{0D2C0C69-204C-44CD-BB23-E090BCAB46C3}">
      <text>
        <r>
          <rPr>
            <b/>
            <sz val="9"/>
            <color indexed="81"/>
            <rFont val="Tahoma"/>
            <charset val="1"/>
          </rPr>
          <t>ADMIN:</t>
        </r>
        <r>
          <rPr>
            <sz val="9"/>
            <color indexed="81"/>
            <rFont val="Tahoma"/>
            <charset val="1"/>
          </rPr>
          <t xml:space="preserve">
CFA Level II: Sortino Ratio modifies Sharpe by using only DOWNSIDE deviation (negative returns). Penalises harmful volatility only. Better for asymmetric return distributions.</t>
        </r>
      </text>
    </comment>
    <comment ref="B20" authorId="0" shapeId="0" xr:uid="{7FD5C6DD-B9D8-4FA7-A9C9-E770A6AFC82D}">
      <text>
        <r>
          <rPr>
            <b/>
            <sz val="9"/>
            <color indexed="81"/>
            <rFont val="Tahoma"/>
            <charset val="1"/>
          </rPr>
          <t>ADMIN:</t>
        </r>
        <r>
          <rPr>
            <sz val="9"/>
            <color indexed="81"/>
            <rFont val="Tahoma"/>
            <charset val="1"/>
          </rPr>
          <t xml:space="preserve">
CFA Level III / Hedge Fund: Calmar Ratio measures return per unit of maximum drawdown. Used by hedge funds and CTAs. Ratio &gt; 1 indicates return exceeds worst-case loss.</t>
        </r>
      </text>
    </comment>
    <comment ref="C25" authorId="0" shapeId="0" xr:uid="{2BBE40A6-B8C9-42F4-94C8-FB9D7AA55ABE}">
      <text>
        <r>
          <rPr>
            <b/>
            <sz val="9"/>
            <color indexed="81"/>
            <rFont val="Tahoma"/>
            <charset val="1"/>
          </rPr>
          <t>ADMIN:</t>
        </r>
        <r>
          <rPr>
            <sz val="9"/>
            <color indexed="81"/>
            <rFont val="Tahoma"/>
            <charset val="1"/>
          </rPr>
          <t xml:space="preserve">
Estimated Portfolio Volatility using βp × σm (market vol ≈ 15.5%). This estimates systematic risk contribution. CFA Level I: σp ≈ βp × σm for well-diversified portfolios.</t>
        </r>
      </text>
    </comment>
    <comment ref="B26" authorId="0" shapeId="0" xr:uid="{56B74419-6A29-4C4B-9D32-C33812EEEEF3}">
      <text>
        <r>
          <rPr>
            <b/>
            <sz val="9"/>
            <color indexed="81"/>
            <rFont val="Tahoma"/>
            <charset val="1"/>
          </rPr>
          <t>ADMIN:</t>
        </r>
        <r>
          <rPr>
            <sz val="9"/>
            <color indexed="81"/>
            <rFont val="Tahoma"/>
            <charset val="1"/>
          </rPr>
          <t xml:space="preserve">
CFA Level II: Value at Risk = μ − zσ. The maximum expected loss at the 95% confidence level over 1 year, assuming normally distributed returns. VaR(95%) uses z=1.645.</t>
        </r>
      </text>
    </comment>
    <comment ref="B27" authorId="0" shapeId="0" xr:uid="{8AA1B720-67ED-436B-9486-DDD20A98A8EE}">
      <text>
        <r>
          <rPr>
            <b/>
            <sz val="9"/>
            <color indexed="81"/>
            <rFont val="Tahoma"/>
            <charset val="1"/>
          </rPr>
          <t>ADMIN:</t>
        </r>
        <r>
          <rPr>
            <sz val="9"/>
            <color indexed="81"/>
            <rFont val="Tahoma"/>
            <charset val="1"/>
          </rPr>
          <t xml:space="preserve">
CFA Level II: VaR at 99% confidence uses z=2.326. More conservative estimate — only 1% chance of loss exceeding this amount.</t>
        </r>
      </text>
    </comment>
    <comment ref="B28" authorId="0" shapeId="0" xr:uid="{4D01BEE0-EFB9-4E90-BC02-A0233C08719A}">
      <text>
        <r>
          <rPr>
            <b/>
            <sz val="9"/>
            <color indexed="81"/>
            <rFont val="Tahoma"/>
            <charset val="1"/>
          </rPr>
          <t>ADMIN:</t>
        </r>
        <r>
          <rPr>
            <sz val="9"/>
            <color indexed="81"/>
            <rFont val="Tahoma"/>
            <charset val="1"/>
          </rPr>
          <t xml:space="preserve">
CFA Level III: Conditional VaR (Expected Shortfall) = Expected loss GIVEN that the loss exceeds VaR. Captures tail risk better than VaR. CVaR(95%) ≈ μ − σ × φ(z)/α where φ(1.645)/0.05 ≈ 2.063.</t>
        </r>
      </text>
    </comment>
    <comment ref="B30" authorId="0" shapeId="0" xr:uid="{C8FA5B15-AC40-4931-902E-D0D24AAB3B7B}">
      <text>
        <r>
          <rPr>
            <b/>
            <sz val="9"/>
            <color indexed="81"/>
            <rFont val="Tahoma"/>
            <charset val="1"/>
          </rPr>
          <t>ADMIN:</t>
        </r>
        <r>
          <rPr>
            <sz val="9"/>
            <color indexed="81"/>
            <rFont val="Tahoma"/>
            <charset val="1"/>
          </rPr>
          <t xml:space="preserve">
CFA Level II: Downside deviation only considers returns below zero (or a target). Used in Sortino Ratio calculation. Captures 'bad' volatility that investors actually care about.</t>
        </r>
      </text>
    </comment>
    <comment ref="B34" authorId="0" shapeId="0" xr:uid="{E03C2C9F-9D95-4283-B534-0596AE5ABF22}">
      <text>
        <r>
          <rPr>
            <b/>
            <sz val="9"/>
            <color indexed="81"/>
            <rFont val="Tahoma"/>
            <charset val="1"/>
          </rPr>
          <t>ADMIN:</t>
        </r>
        <r>
          <rPr>
            <sz val="9"/>
            <color indexed="81"/>
            <rFont val="Tahoma"/>
            <charset val="1"/>
          </rPr>
          <t xml:space="preserve">
CFA Level III: Effective N = 1/HHI. An equally-weighted 16-stock portfolio would have Effective N = 16. Lower values indicate concentration in fewer names.</t>
        </r>
      </text>
    </comment>
    <comment ref="B35" authorId="0" shapeId="0" xr:uid="{AA32DB0A-D71B-462C-AF89-9B3680845A6F}">
      <text>
        <r>
          <rPr>
            <b/>
            <sz val="9"/>
            <color indexed="81"/>
            <rFont val="Tahoma"/>
            <charset val="1"/>
          </rPr>
          <t>ADMIN:</t>
        </r>
        <r>
          <rPr>
            <sz val="9"/>
            <color indexed="81"/>
            <rFont val="Tahoma"/>
            <charset val="1"/>
          </rPr>
          <t xml:space="preserve">
Measures position size dispersion. Ratios above 5x indicate extreme concentration risk in specific names. Institutional best practice: keep below 5x.</t>
        </r>
      </text>
    </comment>
    <comment ref="D39" authorId="0" shapeId="0" xr:uid="{E39D3F74-1D79-41ED-8FE4-A826565B9CF6}">
      <text>
        <r>
          <rPr>
            <b/>
            <sz val="9"/>
            <color indexed="81"/>
            <rFont val="Tahoma"/>
            <charset val="1"/>
          </rPr>
          <t>Beta sourced via INDEX/MATCH on Ledger Stock entity, then .Beta dot notation. Defaults to 1.0 if unavailable. Per CFA Level I: β = Cov(Ri,Rm)/Var(Rm).</t>
        </r>
      </text>
    </comment>
    <comment ref="G39" authorId="0" shapeId="0" xr:uid="{B1BFEAD5-789B-404E-8332-0DC5FFC76438}">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39" authorId="0" shapeId="0" xr:uid="{9D527F05-30F6-41DC-92A3-66CB092AABFB}">
      <text>
        <r>
          <rPr>
            <b/>
            <sz val="9"/>
            <color indexed="81"/>
            <rFont val="Tahoma"/>
            <charset val="1"/>
          </rPr>
          <t>ADMIN:</t>
        </r>
        <r>
          <rPr>
            <sz val="9"/>
            <color indexed="81"/>
            <rFont val="Tahoma"/>
            <charset val="1"/>
          </rPr>
          <t xml:space="preserve">
CAPM Expected Return = Rf + βi(Rm - Rf). The return predicted by CAPM given this stock's beta.</t>
        </r>
      </text>
    </comment>
    <comment ref="I39" authorId="0" shapeId="0" xr:uid="{08841EDE-6C38-4D7C-B867-B8CAC60A5189}">
      <text>
        <r>
          <rPr>
            <b/>
            <sz val="9"/>
            <color indexed="81"/>
            <rFont val="Tahoma"/>
            <charset val="1"/>
          </rPr>
          <t>ADMIN:</t>
        </r>
        <r>
          <rPr>
            <sz val="9"/>
            <color indexed="81"/>
            <rFont val="Tahoma"/>
            <charset val="1"/>
          </rPr>
          <t xml:space="preserve">
Jensen's Alpha for individual stock. Positive = stock outperformed CAPM prediction.</t>
        </r>
      </text>
    </comment>
    <comment ref="D40" authorId="0" shapeId="0" xr:uid="{78D42927-F8FE-4D50-8C8F-F441ED4DE40F}">
      <text>
        <r>
          <rPr>
            <b/>
            <sz val="9"/>
            <color indexed="81"/>
            <rFont val="Tahoma"/>
            <charset val="1"/>
          </rPr>
          <t>ADMIN:</t>
        </r>
        <r>
          <rPr>
            <sz val="9"/>
            <color indexed="81"/>
            <rFont val="Tahoma"/>
            <charset val="1"/>
          </rPr>
          <t xml:space="preserve">
Beta sourced from Excel Linked Data Type. If unavailable, defaults to 1.0 (market beta).</t>
        </r>
      </text>
    </comment>
    <comment ref="G40" authorId="0" shapeId="0" xr:uid="{4CEAC812-194E-41DE-81E4-FA75FCDE6B52}">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0" authorId="0" shapeId="0" xr:uid="{4D98F101-7668-4B50-9D92-9E79137E7799}">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0" authorId="0" shapeId="0" xr:uid="{0C757AA5-0900-48A8-AC8E-6AFF9761FCC6}">
      <text>
        <r>
          <rPr>
            <b/>
            <sz val="9"/>
            <color indexed="81"/>
            <rFont val="Tahoma"/>
            <charset val="1"/>
          </rPr>
          <t>ADMIN:</t>
        </r>
        <r>
          <rPr>
            <sz val="9"/>
            <color indexed="81"/>
            <rFont val="Tahoma"/>
            <charset val="1"/>
          </rPr>
          <t xml:space="preserve">
Jensen's Alpha for individual stock. Positive = stock outperformed CAPM prediction.</t>
        </r>
      </text>
    </comment>
    <comment ref="D41" authorId="0" shapeId="0" xr:uid="{008C9268-B88E-4CB6-A024-10EFA83742E3}">
      <text>
        <r>
          <rPr>
            <b/>
            <sz val="9"/>
            <color indexed="81"/>
            <rFont val="Tahoma"/>
            <charset val="1"/>
          </rPr>
          <t>ADMIN:</t>
        </r>
        <r>
          <rPr>
            <sz val="9"/>
            <color indexed="81"/>
            <rFont val="Tahoma"/>
            <charset val="1"/>
          </rPr>
          <t xml:space="preserve">
Beta sourced from Excel Linked Data Type. If unavailable, defaults to 1.0 (market beta).</t>
        </r>
      </text>
    </comment>
    <comment ref="G41" authorId="0" shapeId="0" xr:uid="{68D5FF17-DDCF-4EF8-9B70-6ED22AA8A319}">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1" authorId="0" shapeId="0" xr:uid="{8576B420-1541-4129-845C-453D727AE8E5}">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1" authorId="0" shapeId="0" xr:uid="{E9F8EA9C-543E-45A2-BA7B-34A539C3A93C}">
      <text>
        <r>
          <rPr>
            <b/>
            <sz val="9"/>
            <color indexed="81"/>
            <rFont val="Tahoma"/>
            <charset val="1"/>
          </rPr>
          <t>ADMIN:</t>
        </r>
        <r>
          <rPr>
            <sz val="9"/>
            <color indexed="81"/>
            <rFont val="Tahoma"/>
            <charset val="1"/>
          </rPr>
          <t xml:space="preserve">
Jensen's Alpha for individual stock. Positive = stock outperformed CAPM prediction.</t>
        </r>
      </text>
    </comment>
    <comment ref="D42" authorId="0" shapeId="0" xr:uid="{B4FB9AA3-EC25-4273-BB2B-7B53B10BC4D0}">
      <text>
        <r>
          <rPr>
            <b/>
            <sz val="9"/>
            <color indexed="81"/>
            <rFont val="Tahoma"/>
            <charset val="1"/>
          </rPr>
          <t>ADMIN:</t>
        </r>
        <r>
          <rPr>
            <sz val="9"/>
            <color indexed="81"/>
            <rFont val="Tahoma"/>
            <charset val="1"/>
          </rPr>
          <t xml:space="preserve">
Beta sourced from Excel Linked Data Type. If unavailable, defaults to 1.0 (market beta).</t>
        </r>
      </text>
    </comment>
    <comment ref="G42" authorId="0" shapeId="0" xr:uid="{8E58B943-6D42-4F3E-BC42-A26D6C849F1C}">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2" authorId="0" shapeId="0" xr:uid="{06980353-C39A-4303-95D8-5F9ECD93F64C}">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2" authorId="0" shapeId="0" xr:uid="{E0E9D966-6EC1-4A6F-A30C-B3E5E5E4FB01}">
      <text>
        <r>
          <rPr>
            <b/>
            <sz val="9"/>
            <color indexed="81"/>
            <rFont val="Tahoma"/>
            <charset val="1"/>
          </rPr>
          <t>ADMIN:</t>
        </r>
        <r>
          <rPr>
            <sz val="9"/>
            <color indexed="81"/>
            <rFont val="Tahoma"/>
            <charset val="1"/>
          </rPr>
          <t xml:space="preserve">
Jensen's Alpha for individual stock. Positive = stock outperformed CAPM prediction.</t>
        </r>
      </text>
    </comment>
    <comment ref="D43" authorId="0" shapeId="0" xr:uid="{CCC0A96A-CE16-4496-A494-57EB41E40EE9}">
      <text>
        <r>
          <rPr>
            <b/>
            <sz val="9"/>
            <color indexed="81"/>
            <rFont val="Tahoma"/>
            <charset val="1"/>
          </rPr>
          <t>ADMIN:</t>
        </r>
        <r>
          <rPr>
            <sz val="9"/>
            <color indexed="81"/>
            <rFont val="Tahoma"/>
            <charset val="1"/>
          </rPr>
          <t xml:space="preserve">
Beta sourced from Excel Linked Data Type. If unavailable, defaults to 1.0 (market beta).</t>
        </r>
      </text>
    </comment>
    <comment ref="G43" authorId="0" shapeId="0" xr:uid="{94B67AEA-A967-46E0-9C4C-78221D63F4AB}">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3" authorId="0" shapeId="0" xr:uid="{5FACF22F-3BCF-4F2A-9AB2-EB1633BCD717}">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3" authorId="0" shapeId="0" xr:uid="{18A0EBAD-1642-4AD0-8C10-3161D213ED8B}">
      <text>
        <r>
          <rPr>
            <b/>
            <sz val="9"/>
            <color indexed="81"/>
            <rFont val="Tahoma"/>
            <charset val="1"/>
          </rPr>
          <t>ADMIN:</t>
        </r>
        <r>
          <rPr>
            <sz val="9"/>
            <color indexed="81"/>
            <rFont val="Tahoma"/>
            <charset val="1"/>
          </rPr>
          <t xml:space="preserve">
Jensen's Alpha for individual stock. Positive = stock outperformed CAPM prediction.</t>
        </r>
      </text>
    </comment>
    <comment ref="D44" authorId="0" shapeId="0" xr:uid="{163BD66E-0137-4DFC-8511-815FC4312A78}">
      <text>
        <r>
          <rPr>
            <b/>
            <sz val="9"/>
            <color indexed="81"/>
            <rFont val="Tahoma"/>
            <charset val="1"/>
          </rPr>
          <t>ADMIN:</t>
        </r>
        <r>
          <rPr>
            <sz val="9"/>
            <color indexed="81"/>
            <rFont val="Tahoma"/>
            <charset val="1"/>
          </rPr>
          <t xml:space="preserve">
Beta sourced from Excel Linked Data Type. If unavailable, defaults to 1.0 (market beta).</t>
        </r>
      </text>
    </comment>
    <comment ref="G44" authorId="0" shapeId="0" xr:uid="{07EBF065-6A61-402A-BA34-44FC80E71DBB}">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4" authorId="0" shapeId="0" xr:uid="{33029A19-0B76-41EE-8CFB-6A8A1BDCE62D}">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4" authorId="0" shapeId="0" xr:uid="{63D592D5-C01A-4A55-807D-E02DCDE468ED}">
      <text>
        <r>
          <rPr>
            <b/>
            <sz val="9"/>
            <color indexed="81"/>
            <rFont val="Tahoma"/>
            <charset val="1"/>
          </rPr>
          <t>ADMIN:</t>
        </r>
        <r>
          <rPr>
            <sz val="9"/>
            <color indexed="81"/>
            <rFont val="Tahoma"/>
            <charset val="1"/>
          </rPr>
          <t xml:space="preserve">
Jensen's Alpha for individual stock. Positive = stock outperformed CAPM prediction.</t>
        </r>
      </text>
    </comment>
    <comment ref="D45" authorId="0" shapeId="0" xr:uid="{4748382E-000B-439E-9174-6FC005F93209}">
      <text>
        <r>
          <rPr>
            <b/>
            <sz val="9"/>
            <color indexed="81"/>
            <rFont val="Tahoma"/>
            <charset val="1"/>
          </rPr>
          <t>ADMIN:</t>
        </r>
        <r>
          <rPr>
            <sz val="9"/>
            <color indexed="81"/>
            <rFont val="Tahoma"/>
            <charset val="1"/>
          </rPr>
          <t xml:space="preserve">
Beta sourced from Excel Linked Data Type. If unavailable, defaults to 1.0 (market beta).</t>
        </r>
      </text>
    </comment>
    <comment ref="G45" authorId="0" shapeId="0" xr:uid="{EE8017E3-D344-42FD-A834-7BD0869A2D11}">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5" authorId="0" shapeId="0" xr:uid="{26F6C1D1-5DCB-47D0-82D5-71FD9A6C1B24}">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5" authorId="0" shapeId="0" xr:uid="{3737A89C-3E3F-422B-A860-A15B650D2A4A}">
      <text>
        <r>
          <rPr>
            <b/>
            <sz val="9"/>
            <color indexed="81"/>
            <rFont val="Tahoma"/>
            <charset val="1"/>
          </rPr>
          <t>ADMIN:</t>
        </r>
        <r>
          <rPr>
            <sz val="9"/>
            <color indexed="81"/>
            <rFont val="Tahoma"/>
            <charset val="1"/>
          </rPr>
          <t xml:space="preserve">
Jensen's Alpha for individual stock. Positive = stock outperformed CAPM prediction.</t>
        </r>
      </text>
    </comment>
    <comment ref="D46" authorId="0" shapeId="0" xr:uid="{BC08A530-A25E-4034-B6A5-48FA603B1806}">
      <text>
        <r>
          <rPr>
            <b/>
            <sz val="9"/>
            <color indexed="81"/>
            <rFont val="Tahoma"/>
            <charset val="1"/>
          </rPr>
          <t>ADMIN:</t>
        </r>
        <r>
          <rPr>
            <sz val="9"/>
            <color indexed="81"/>
            <rFont val="Tahoma"/>
            <charset val="1"/>
          </rPr>
          <t xml:space="preserve">
Beta sourced from Excel Linked Data Type. If unavailable, defaults to 1.0 (market beta).</t>
        </r>
      </text>
    </comment>
    <comment ref="G46" authorId="0" shapeId="0" xr:uid="{FEE6DF62-8D74-41E7-8423-2B3D51593340}">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6" authorId="0" shapeId="0" xr:uid="{2EE902E8-5851-4AE3-88AB-A3633B2E9C5C}">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6" authorId="0" shapeId="0" xr:uid="{6BFCD5FF-F298-4E21-8B56-B2D6AD161F17}">
      <text>
        <r>
          <rPr>
            <b/>
            <sz val="9"/>
            <color indexed="81"/>
            <rFont val="Tahoma"/>
            <charset val="1"/>
          </rPr>
          <t>ADMIN:</t>
        </r>
        <r>
          <rPr>
            <sz val="9"/>
            <color indexed="81"/>
            <rFont val="Tahoma"/>
            <charset val="1"/>
          </rPr>
          <t xml:space="preserve">
Jensen's Alpha for individual stock. Positive = stock outperformed CAPM prediction.</t>
        </r>
      </text>
    </comment>
    <comment ref="D47" authorId="0" shapeId="0" xr:uid="{89A7996D-F8D2-4FB4-903A-DB6B6E434CBE}">
      <text>
        <r>
          <rPr>
            <b/>
            <sz val="9"/>
            <color indexed="81"/>
            <rFont val="Tahoma"/>
            <charset val="1"/>
          </rPr>
          <t>ADMIN:</t>
        </r>
        <r>
          <rPr>
            <sz val="9"/>
            <color indexed="81"/>
            <rFont val="Tahoma"/>
            <charset val="1"/>
          </rPr>
          <t xml:space="preserve">
Beta sourced from Excel Linked Data Type. If unavailable, defaults to 1.0 (market beta).</t>
        </r>
      </text>
    </comment>
    <comment ref="G47" authorId="0" shapeId="0" xr:uid="{13902F8A-1B18-4379-8B3E-A62A0EECA103}">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7" authorId="0" shapeId="0" xr:uid="{F7901676-26F7-4EFD-B62D-AD7BDA7C75F0}">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7" authorId="0" shapeId="0" xr:uid="{8AC51CA6-DDD0-4020-BDF2-77390B95A82A}">
      <text>
        <r>
          <rPr>
            <b/>
            <sz val="9"/>
            <color indexed="81"/>
            <rFont val="Tahoma"/>
            <charset val="1"/>
          </rPr>
          <t>ADMIN:</t>
        </r>
        <r>
          <rPr>
            <sz val="9"/>
            <color indexed="81"/>
            <rFont val="Tahoma"/>
            <charset val="1"/>
          </rPr>
          <t xml:space="preserve">
Jensen's Alpha for individual stock. Positive = stock outperformed CAPM prediction.</t>
        </r>
      </text>
    </comment>
    <comment ref="D48" authorId="0" shapeId="0" xr:uid="{D3F93564-48C7-4A8A-870C-4FC647AD9459}">
      <text>
        <r>
          <rPr>
            <b/>
            <sz val="9"/>
            <color indexed="81"/>
            <rFont val="Tahoma"/>
            <charset val="1"/>
          </rPr>
          <t>ADMIN:</t>
        </r>
        <r>
          <rPr>
            <sz val="9"/>
            <color indexed="81"/>
            <rFont val="Tahoma"/>
            <charset val="1"/>
          </rPr>
          <t xml:space="preserve">
Beta sourced from Excel Linked Data Type. If unavailable, defaults to 1.0 (market beta).</t>
        </r>
      </text>
    </comment>
    <comment ref="G48" authorId="0" shapeId="0" xr:uid="{392F57EA-783D-487B-B710-2A94F7D43A57}">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8" authorId="0" shapeId="0" xr:uid="{5B005780-2E98-441F-9BDC-DFA05F71E2BB}">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8" authorId="0" shapeId="0" xr:uid="{E31EA851-909A-49CD-9D8F-CF45CE7A7EC3}">
      <text>
        <r>
          <rPr>
            <b/>
            <sz val="9"/>
            <color indexed="81"/>
            <rFont val="Tahoma"/>
            <charset val="1"/>
          </rPr>
          <t>ADMIN:</t>
        </r>
        <r>
          <rPr>
            <sz val="9"/>
            <color indexed="81"/>
            <rFont val="Tahoma"/>
            <charset val="1"/>
          </rPr>
          <t xml:space="preserve">
Jensen's Alpha for individual stock. Positive = stock outperformed CAPM prediction.</t>
        </r>
      </text>
    </comment>
    <comment ref="D49" authorId="0" shapeId="0" xr:uid="{327467DE-C3C2-4D1E-991D-1D91F1EFADDE}">
      <text>
        <r>
          <rPr>
            <b/>
            <sz val="9"/>
            <color indexed="81"/>
            <rFont val="Tahoma"/>
            <charset val="1"/>
          </rPr>
          <t>ADMIN:</t>
        </r>
        <r>
          <rPr>
            <sz val="9"/>
            <color indexed="81"/>
            <rFont val="Tahoma"/>
            <charset val="1"/>
          </rPr>
          <t xml:space="preserve">
Beta sourced from Excel Linked Data Type. If unavailable, defaults to 1.0 (market beta).</t>
        </r>
      </text>
    </comment>
    <comment ref="G49" authorId="0" shapeId="0" xr:uid="{2E509177-C01F-45AF-B8AB-CB4696CA46FD}">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49" authorId="0" shapeId="0" xr:uid="{8C500D6A-B713-4E6A-BE28-17034967E3A5}">
      <text>
        <r>
          <rPr>
            <b/>
            <sz val="9"/>
            <color indexed="81"/>
            <rFont val="Tahoma"/>
            <charset val="1"/>
          </rPr>
          <t>ADMIN:</t>
        </r>
        <r>
          <rPr>
            <sz val="9"/>
            <color indexed="81"/>
            <rFont val="Tahoma"/>
            <charset val="1"/>
          </rPr>
          <t xml:space="preserve">
CAPM Expected Return = Rf + βi(Rm - Rf). The return predicted by CAPM given this stock's beta.</t>
        </r>
      </text>
    </comment>
    <comment ref="I49" authorId="0" shapeId="0" xr:uid="{5746678A-4249-40AE-9D91-CB31C04F4268}">
      <text>
        <r>
          <rPr>
            <b/>
            <sz val="9"/>
            <color indexed="81"/>
            <rFont val="Tahoma"/>
            <charset val="1"/>
          </rPr>
          <t>ADMIN:</t>
        </r>
        <r>
          <rPr>
            <sz val="9"/>
            <color indexed="81"/>
            <rFont val="Tahoma"/>
            <charset val="1"/>
          </rPr>
          <t xml:space="preserve">
Jensen's Alpha for individual stock. Positive = stock outperformed CAPM prediction.</t>
        </r>
      </text>
    </comment>
    <comment ref="D50" authorId="0" shapeId="0" xr:uid="{92254B98-8FC0-4127-B2AF-CA2876597D44}">
      <text>
        <r>
          <rPr>
            <b/>
            <sz val="9"/>
            <color indexed="81"/>
            <rFont val="Tahoma"/>
            <charset val="1"/>
          </rPr>
          <t>ADMIN:</t>
        </r>
        <r>
          <rPr>
            <sz val="9"/>
            <color indexed="81"/>
            <rFont val="Tahoma"/>
            <charset val="1"/>
          </rPr>
          <t xml:space="preserve">
Beta sourced from Excel Linked Data Type. If unavailable, defaults to 1.0 (market beta).</t>
        </r>
      </text>
    </comment>
    <comment ref="G50" authorId="0" shapeId="0" xr:uid="{5DD16958-0AB8-4045-8989-008BC4A381C3}">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0" authorId="0" shapeId="0" xr:uid="{DA13C548-1389-40C0-A7C1-9A939CD0F470}">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0" authorId="0" shapeId="0" xr:uid="{EB431DE9-BBF4-4063-8C14-E05D0084972B}">
      <text>
        <r>
          <rPr>
            <b/>
            <sz val="9"/>
            <color indexed="81"/>
            <rFont val="Tahoma"/>
            <charset val="1"/>
          </rPr>
          <t>ADMIN:</t>
        </r>
        <r>
          <rPr>
            <sz val="9"/>
            <color indexed="81"/>
            <rFont val="Tahoma"/>
            <charset val="1"/>
          </rPr>
          <t xml:space="preserve">
Jensen's Alpha for individual stock. Positive = stock outperformed CAPM prediction.</t>
        </r>
      </text>
    </comment>
    <comment ref="D51" authorId="0" shapeId="0" xr:uid="{58C6867D-7B50-4907-9EBC-7E70FBE20A7A}">
      <text>
        <r>
          <rPr>
            <b/>
            <sz val="9"/>
            <color indexed="81"/>
            <rFont val="Tahoma"/>
            <charset val="1"/>
          </rPr>
          <t>ADMIN:</t>
        </r>
        <r>
          <rPr>
            <sz val="9"/>
            <color indexed="81"/>
            <rFont val="Tahoma"/>
            <charset val="1"/>
          </rPr>
          <t xml:space="preserve">
Beta sourced from Excel Linked Data Type. If unavailable, defaults to 1.0 (market beta).</t>
        </r>
      </text>
    </comment>
    <comment ref="G51" authorId="0" shapeId="0" xr:uid="{0191E0F9-A52A-4633-B441-4E4920A0B447}">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1" authorId="0" shapeId="0" xr:uid="{92A0FCED-B776-4BAE-966D-287996045DF6}">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1" authorId="0" shapeId="0" xr:uid="{87200B63-8BD2-4DCC-9B67-2A108C743651}">
      <text>
        <r>
          <rPr>
            <b/>
            <sz val="9"/>
            <color indexed="81"/>
            <rFont val="Tahoma"/>
            <charset val="1"/>
          </rPr>
          <t>ADMIN:</t>
        </r>
        <r>
          <rPr>
            <sz val="9"/>
            <color indexed="81"/>
            <rFont val="Tahoma"/>
            <charset val="1"/>
          </rPr>
          <t xml:space="preserve">
Jensen's Alpha for individual stock. Positive = stock outperformed CAPM prediction.</t>
        </r>
      </text>
    </comment>
    <comment ref="D52" authorId="0" shapeId="0" xr:uid="{8B8CF11D-71B6-41E3-935E-E2B86A954969}">
      <text>
        <r>
          <rPr>
            <b/>
            <sz val="9"/>
            <color indexed="81"/>
            <rFont val="Tahoma"/>
            <charset val="1"/>
          </rPr>
          <t>ADMIN:</t>
        </r>
        <r>
          <rPr>
            <sz val="9"/>
            <color indexed="81"/>
            <rFont val="Tahoma"/>
            <charset val="1"/>
          </rPr>
          <t xml:space="preserve">
Beta sourced from Excel Linked Data Type. If unavailable, defaults to 1.0 (market beta).</t>
        </r>
      </text>
    </comment>
    <comment ref="G52" authorId="0" shapeId="0" xr:uid="{63D082DA-A5A5-4E0F-9E6D-9713974F529D}">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2" authorId="0" shapeId="0" xr:uid="{9775BD17-253F-4DC2-90D9-C78B2FE15BFF}">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2" authorId="0" shapeId="0" xr:uid="{A2B5BB0D-2DF7-4433-9B95-81A25106D79F}">
      <text>
        <r>
          <rPr>
            <b/>
            <sz val="9"/>
            <color indexed="81"/>
            <rFont val="Tahoma"/>
            <charset val="1"/>
          </rPr>
          <t>ADMIN:</t>
        </r>
        <r>
          <rPr>
            <sz val="9"/>
            <color indexed="81"/>
            <rFont val="Tahoma"/>
            <charset val="1"/>
          </rPr>
          <t xml:space="preserve">
Jensen's Alpha for individual stock. Positive = stock outperformed CAPM prediction.</t>
        </r>
      </text>
    </comment>
    <comment ref="D53" authorId="0" shapeId="0" xr:uid="{FF028DC3-B58D-4DB1-ACCD-EA7979445B8C}">
      <text>
        <r>
          <rPr>
            <b/>
            <sz val="9"/>
            <color indexed="81"/>
            <rFont val="Tahoma"/>
            <charset val="1"/>
          </rPr>
          <t>ADMIN:</t>
        </r>
        <r>
          <rPr>
            <sz val="9"/>
            <color indexed="81"/>
            <rFont val="Tahoma"/>
            <charset val="1"/>
          </rPr>
          <t xml:space="preserve">
Beta sourced from Excel Linked Data Type. If unavailable, defaults to 1.0 (market beta).</t>
        </r>
      </text>
    </comment>
    <comment ref="G53" authorId="0" shapeId="0" xr:uid="{0BEA1A95-3EAE-4594-9DF2-4667E497F5AF}">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3" authorId="0" shapeId="0" xr:uid="{90E7D9B5-DF0F-4EFD-986A-5CCCAE0E67B8}">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3" authorId="0" shapeId="0" xr:uid="{7C79DB70-48C7-4664-A665-5BC3673A7E52}">
      <text>
        <r>
          <rPr>
            <b/>
            <sz val="9"/>
            <color indexed="81"/>
            <rFont val="Tahoma"/>
            <charset val="1"/>
          </rPr>
          <t>ADMIN:</t>
        </r>
        <r>
          <rPr>
            <sz val="9"/>
            <color indexed="81"/>
            <rFont val="Tahoma"/>
            <charset val="1"/>
          </rPr>
          <t xml:space="preserve">
Jensen's Alpha for individual stock. Positive = stock outperformed CAPM prediction.</t>
        </r>
      </text>
    </comment>
    <comment ref="D54" authorId="0" shapeId="0" xr:uid="{31D16CA9-6CA5-496C-9B9C-9DD8D7F16ECF}">
      <text>
        <r>
          <rPr>
            <b/>
            <sz val="9"/>
            <color indexed="81"/>
            <rFont val="Tahoma"/>
            <charset val="1"/>
          </rPr>
          <t>ADMIN:</t>
        </r>
        <r>
          <rPr>
            <sz val="9"/>
            <color indexed="81"/>
            <rFont val="Tahoma"/>
            <charset val="1"/>
          </rPr>
          <t xml:space="preserve">
Beta sourced from Excel Linked Data Type. If unavailable, defaults to 1.0 (market beta).</t>
        </r>
      </text>
    </comment>
    <comment ref="G54" authorId="0" shapeId="0" xr:uid="{849E8399-9368-4B9A-AC0D-B1F6826DDC19}">
      <text>
        <r>
          <rPr>
            <b/>
            <sz val="9"/>
            <color indexed="81"/>
            <rFont val="Tahoma"/>
            <charset val="1"/>
          </rPr>
          <t>ADMIN:</t>
        </r>
        <r>
          <rPr>
            <sz val="9"/>
            <color indexed="81"/>
            <rFont val="Tahoma"/>
            <charset val="1"/>
          </rPr>
          <t xml:space="preserve">
Risk Contribution = Weight × Beta. Shows each stock's contribution to overall portfolio systematic risk.</t>
        </r>
      </text>
    </comment>
    <comment ref="H54" authorId="0" shapeId="0" xr:uid="{376C0FB8-6160-4304-B3BE-0BAA3B1C1DFE}">
      <text>
        <r>
          <rPr>
            <b/>
            <sz val="9"/>
            <color indexed="81"/>
            <rFont val="Tahoma"/>
            <charset val="1"/>
          </rPr>
          <t>ADMIN:</t>
        </r>
        <r>
          <rPr>
            <sz val="9"/>
            <color indexed="81"/>
            <rFont val="Tahoma"/>
            <charset val="1"/>
          </rPr>
          <t xml:space="preserve">
CAPM Expected Return = Rf + βi(Rm - Rf). The return predicted by CAPM given this stock's beta.</t>
        </r>
      </text>
    </comment>
    <comment ref="I54" authorId="0" shapeId="0" xr:uid="{EF2CD1F3-4E2A-46C2-ABAA-A430B16B7212}">
      <text>
        <r>
          <rPr>
            <b/>
            <sz val="9"/>
            <color indexed="81"/>
            <rFont val="Tahoma"/>
            <charset val="1"/>
          </rPr>
          <t>ADMIN:</t>
        </r>
        <r>
          <rPr>
            <sz val="9"/>
            <color indexed="81"/>
            <rFont val="Tahoma"/>
            <charset val="1"/>
          </rPr>
          <t xml:space="preserve">
Jensen's Alpha for individual stock. Positive = stock outperformed CAPM prediction.</t>
        </r>
      </text>
    </comment>
    <comment ref="B59" authorId="0" shapeId="0" xr:uid="{B08AAE2B-0C79-4CFA-9C85-4D4466718C7C}">
      <text>
        <r>
          <rPr>
            <b/>
            <sz val="9"/>
            <color indexed="81"/>
            <rFont val="Tahoma"/>
            <charset val="1"/>
          </rPr>
          <t>ADMIN:</t>
        </r>
        <r>
          <rPr>
            <sz val="9"/>
            <color indexed="81"/>
            <rFont val="Tahoma"/>
            <charset val="1"/>
          </rPr>
          <t xml:space="preserve">
CFA Level II / Fama-French: Growth stocks have high returns and momentum; Value stocks have low price-to-fundamentals ratios. Classified by total return: &gt;150% = Growth, 50-150% = Blend, &lt;50% = Value.</t>
        </r>
      </text>
    </comment>
    <comment ref="B60" authorId="0" shapeId="0" xr:uid="{450D9546-37A9-4F7E-A164-D73C6C0D77DB}">
      <text>
        <r>
          <rPr>
            <b/>
            <sz val="9"/>
            <color indexed="81"/>
            <rFont val="Tahoma"/>
            <charset val="1"/>
          </rPr>
          <t>ADMIN:</t>
        </r>
        <r>
          <rPr>
            <sz val="9"/>
            <color indexed="81"/>
            <rFont val="Tahoma"/>
            <charset val="1"/>
          </rPr>
          <t xml:space="preserve">
CFA Level II / Fama-French SMB: Portfolio Beta as size proxy. High-beta stocks tend to be growth/momentum names. Low beta = defensive/large-cap tilt.</t>
        </r>
      </text>
    </comment>
    <comment ref="B61" authorId="0" shapeId="0" xr:uid="{F2ECEA1A-EC72-484A-A0DE-B1EFF7ADCE7C}">
      <text>
        <r>
          <rPr>
            <b/>
            <sz val="9"/>
            <color indexed="81"/>
            <rFont val="Tahoma"/>
            <charset val="1"/>
          </rPr>
          <t>ADMIN:</t>
        </r>
        <r>
          <rPr>
            <sz val="9"/>
            <color indexed="81"/>
            <rFont val="Tahoma"/>
            <charset val="1"/>
          </rPr>
          <t xml:space="preserve">
Herfindahl-Hirschman Index at the sector level. HHI &lt; 0.15 = diversified, 0.15-0.25 = moderate concentration, &gt; 0.25 = concentrated.</t>
        </r>
      </text>
    </comment>
    <comment ref="B62" authorId="0" shapeId="0" xr:uid="{E4FC1605-3B71-4D59-A1F3-F9E9B87DB70B}">
      <text>
        <r>
          <rPr>
            <b/>
            <sz val="9"/>
            <color indexed="81"/>
            <rFont val="Tahoma"/>
            <charset val="1"/>
          </rPr>
          <t>ADMIN:</t>
        </r>
        <r>
          <rPr>
            <sz val="9"/>
            <color indexed="81"/>
            <rFont val="Tahoma"/>
            <charset val="1"/>
          </rPr>
          <t xml:space="preserve">
CFA Level III: Active Share measures how different a portfolio is from its benchmark. Calculated as ½ × Σ|wi - wbench|. Higher = more active management. &gt; 60% = stock picker, &lt; 20% = closet indexer.</t>
        </r>
      </text>
    </comment>
    <comment ref="B66" authorId="0" shapeId="0" xr:uid="{F175ACBD-2699-4BB4-AD5B-2E6650544946}">
      <text>
        <r>
          <rPr>
            <b/>
            <sz val="9"/>
            <color indexed="81"/>
            <rFont val="Tahoma"/>
            <charset val="1"/>
          </rPr>
          <t>ADMIN:</t>
        </r>
        <r>
          <rPr>
            <sz val="9"/>
            <color indexed="81"/>
            <rFont val="Tahoma"/>
            <charset val="1"/>
          </rPr>
          <t xml:space="preserve">
CFA Level I: The Capital Market Line shows the efficient frontier when mixing the risk-free asset with the market portfolio. CML Return = Rf + (Rm-Rf)/σm × σp. S&amp;P 500 σ ≈ 15-16%.</t>
        </r>
      </text>
    </comment>
    <comment ref="B68" authorId="0" shapeId="0" xr:uid="{9BC8DE52-BD46-4F10-815C-D52579FB5EBC}">
      <text>
        <r>
          <rPr>
            <b/>
            <sz val="9"/>
            <color indexed="81"/>
            <rFont val="Tahoma"/>
            <charset val="1"/>
          </rPr>
          <t>ADMIN:</t>
        </r>
        <r>
          <rPr>
            <sz val="9"/>
            <color indexed="81"/>
            <rFont val="Tahoma"/>
            <charset val="1"/>
          </rPr>
          <t xml:space="preserve">
CFA Level II: M-squared converts Sharpe into a return measure by leveraging/deleveraging portfolio to match market risk. M² &gt; 0 = portfolio beats market on risk-adjusted basis.</t>
        </r>
      </text>
    </comment>
    <comment ref="B72" authorId="0" shapeId="0" xr:uid="{538FF3B9-8378-4F78-AFE8-63AE6ED35709}">
      <text>
        <r>
          <rPr>
            <b/>
            <sz val="9"/>
            <color indexed="81"/>
            <rFont val="Tahoma"/>
            <charset val="1"/>
          </rPr>
          <t>ADMIN:</t>
        </r>
        <r>
          <rPr>
            <sz val="9"/>
            <color indexed="81"/>
            <rFont val="Tahoma"/>
            <charset val="1"/>
          </rPr>
          <t xml:space="preserve">
Jorion (2007), Value at Risk, 3rd Ed., Ch. 14: Skewness measures asymmetry of the return distribution. Negative skew = larger left tail = more frequent extreme losses.</t>
        </r>
      </text>
    </comment>
    <comment ref="B73" authorId="0" shapeId="0" xr:uid="{7A9C39E1-D29C-4F53-81B5-A2884C62D036}">
      <text>
        <r>
          <rPr>
            <b/>
            <sz val="9"/>
            <color indexed="81"/>
            <rFont val="Tahoma"/>
            <charset val="1"/>
          </rPr>
          <t>ADMIN:</t>
        </r>
        <r>
          <rPr>
            <sz val="9"/>
            <color indexed="81"/>
            <rFont val="Tahoma"/>
            <charset val="1"/>
          </rPr>
          <t xml:space="preserve">
Jorion (2007), Ch. 14: Excess kurtosis measures fat tails relative to normal distribution. K&gt;0 means more probability mass in tails than normal. Critical for tail-risk modelling.</t>
        </r>
      </text>
    </comment>
    <comment ref="B74" authorId="0" shapeId="0" xr:uid="{C2F9FDB8-37ED-4A80-AD1F-7DE2F87421EE}">
      <text>
        <r>
          <rPr>
            <b/>
            <sz val="9"/>
            <color indexed="81"/>
            <rFont val="Tahoma"/>
            <charset val="1"/>
          </rPr>
          <t>ADMIN:</t>
        </r>
        <r>
          <rPr>
            <sz val="9"/>
            <color indexed="81"/>
            <rFont val="Tahoma"/>
            <charset val="1"/>
          </rPr>
          <t xml:space="preserve">
Cornish-Fisher expansion: z_cf = z + (z²-1)S/6 + (z³-3z)K/24 - (2z³-5z)S²/36. Per Maillard (2012), A User's Guide to the Cornish-Fisher Expansion. Adjusts normal quantile for skew/kurtosis.</t>
        </r>
      </text>
    </comment>
    <comment ref="B75" authorId="0" shapeId="0" xr:uid="{6428C504-B1A3-4E52-874C-E5C0A77BBAB1}">
      <text>
        <r>
          <rPr>
            <b/>
            <sz val="9"/>
            <color indexed="81"/>
            <rFont val="Tahoma"/>
            <charset val="1"/>
          </rPr>
          <t>ADMIN:</t>
        </r>
        <r>
          <rPr>
            <sz val="9"/>
            <color indexed="81"/>
            <rFont val="Tahoma"/>
            <charset val="1"/>
          </rPr>
          <t xml:space="preserve">
Cornish-Fisher VaR: VaR = μ - z_cf × σ. Jorion (2007), Ch. 14. Superior to parametric VaR when returns are non-normal. Standard in institutional risk management.</t>
        </r>
      </text>
    </comment>
    <comment ref="B80" authorId="0" shapeId="0" xr:uid="{9BA7FA11-BA8C-4462-899A-486C38E168D1}">
      <text>
        <r>
          <rPr>
            <b/>
            <sz val="9"/>
            <color indexed="81"/>
            <rFont val="Tahoma"/>
            <charset val="1"/>
          </rPr>
          <t>ADMIN:</t>
        </r>
        <r>
          <rPr>
            <sz val="9"/>
            <color indexed="81"/>
            <rFont val="Tahoma"/>
            <charset val="1"/>
          </rPr>
          <t xml:space="preserve">
CFA Level III, Performance Evaluation: Historical VaR uses actual return percentiles rather than parametric assumptions. Non-parametric — makes no distributional assumption. Basel III preferred approach.</t>
        </r>
      </text>
    </comment>
    <comment ref="B82" authorId="0" shapeId="0" xr:uid="{3DDBF641-A10B-45FA-9E1A-B78E70ED513D}">
      <text>
        <r>
          <rPr>
            <b/>
            <sz val="9"/>
            <color indexed="81"/>
            <rFont val="Tahoma"/>
            <charset val="1"/>
          </rPr>
          <t>ADMIN:</t>
        </r>
        <r>
          <rPr>
            <sz val="9"/>
            <color indexed="81"/>
            <rFont val="Tahoma"/>
            <charset val="1"/>
          </rPr>
          <t xml:space="preserve">
Acerbi &amp; Tasche (2002), Expected Shortfall. CVaR/ES is the average loss in the tail beyond VaR. Coherent risk measure (satisfies subadditivity). Required under Basel III FRTB framework.</t>
        </r>
      </text>
    </comment>
    <comment ref="B86" authorId="0" shapeId="0" xr:uid="{6D2C46A0-1E7E-4FF5-A54C-126F29A36A98}">
      <text>
        <r>
          <rPr>
            <b/>
            <sz val="9"/>
            <color indexed="81"/>
            <rFont val="Tahoma"/>
            <charset val="1"/>
          </rPr>
          <t>ADMIN:</t>
        </r>
        <r>
          <rPr>
            <sz val="9"/>
            <color indexed="81"/>
            <rFont val="Tahoma"/>
            <charset val="1"/>
          </rPr>
          <t xml:space="preserve">
Magdon-Ismail et al. (2004), On the Maximum Drawdown of a Brownian Motion. Max drawdown = largest peak-to-trough decline. Preferred by hedge fund allocators per CFA Level III, Alternative Investments.</t>
        </r>
      </text>
    </comment>
    <comment ref="B88" authorId="0" shapeId="0" xr:uid="{8A80A1F7-40A0-4FCB-8FC0-610DE35DBCB5}">
      <text>
        <r>
          <rPr>
            <b/>
            <sz val="9"/>
            <color indexed="81"/>
            <rFont val="Tahoma"/>
            <charset val="1"/>
          </rPr>
          <t>ADMIN:</t>
        </r>
        <r>
          <rPr>
            <sz val="9"/>
            <color indexed="81"/>
            <rFont val="Tahoma"/>
            <charset val="1"/>
          </rPr>
          <t xml:space="preserve">
Young (1991), Calmar Ratio = CAGR / |Max Drawdown|. Ratio &gt;1 means return exceeds worst-case loss. Used extensively in CTA/hedge fund evaluation. CFA Level III curriculum.</t>
        </r>
      </text>
    </comment>
    <comment ref="B89" authorId="0" shapeId="0" xr:uid="{137BD0AB-C701-4BA9-93F9-C9A7ED99809E}">
      <text>
        <r>
          <rPr>
            <b/>
            <sz val="9"/>
            <color indexed="81"/>
            <rFont val="Tahoma"/>
            <charset val="1"/>
          </rPr>
          <t>ADMIN:</t>
        </r>
        <r>
          <rPr>
            <sz val="9"/>
            <color indexed="81"/>
            <rFont val="Tahoma"/>
            <charset val="1"/>
          </rPr>
          <t xml:space="preserve">
Martin (1987), Ulcer Performance Index. RMS of drawdowns — penalises both depth and duration of losses. Lower = less portfolio 'pain'. Used in institutional portfolio monitoring.</t>
        </r>
      </text>
    </comment>
    <comment ref="B93" authorId="0" shapeId="0" xr:uid="{01638F2E-73F6-4681-8BAD-CF06045D655C}">
      <text>
        <r>
          <rPr>
            <b/>
            <sz val="9"/>
            <color indexed="81"/>
            <rFont val="Tahoma"/>
            <charset val="1"/>
          </rPr>
          <t>ADMIN:</t>
        </r>
        <r>
          <rPr>
            <sz val="9"/>
            <color indexed="81"/>
            <rFont val="Tahoma"/>
            <charset val="1"/>
          </rPr>
          <t xml:space="preserve">
Whaley (2009), Understanding the VIX. Historical: VIX doubling correlates with ~18% equity drawdown. Impact beta-scaled per Ang et al. (2006), Downside Risk, Review of Financial Studies.</t>
        </r>
      </text>
    </comment>
    <comment ref="B94" authorId="0" shapeId="0" xr:uid="{87D313AA-E473-4CD4-BB60-6D45554BD5E4}">
      <text>
        <r>
          <rPr>
            <b/>
            <sz val="9"/>
            <color indexed="81"/>
            <rFont val="Tahoma"/>
            <charset val="1"/>
          </rPr>
          <t>ADMIN:</t>
        </r>
        <r>
          <rPr>
            <sz val="9"/>
            <color indexed="81"/>
            <rFont val="Tahoma"/>
            <charset val="1"/>
          </rPr>
          <t xml:space="preserve">
Sector stress test per Litterman (2003), Modern Investment Management, Ch. 9. Isolates sector-specific shock propagation. Critical for concentrated tech portfolios.</t>
        </r>
      </text>
    </comment>
    <comment ref="B95" authorId="0" shapeId="0" xr:uid="{0CEB7367-8380-4DD6-B300-BC67530D8F88}">
      <text>
        <r>
          <rPr>
            <b/>
            <sz val="9"/>
            <color indexed="81"/>
            <rFont val="Tahoma"/>
            <charset val="1"/>
          </rPr>
          <t>ADMIN:</t>
        </r>
        <r>
          <rPr>
            <sz val="9"/>
            <color indexed="81"/>
            <rFont val="Tahoma"/>
            <charset val="1"/>
          </rPr>
          <t xml:space="preserve">
Leibowitz &amp; Kogelman (1993), Return Distributions of Stock Portfolios. Rate sensitivity varies by style: growth stocks (-), financials (+). Simplified duration-proxy approach per CFA Level III, Fixed Income.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author>
    <author>tc={66467F6D-DABC-45D1-B614-591E4386DF82}</author>
    <author>tc={A3D7E361-DF7D-462B-9512-A07692D75D73}</author>
    <author>tc={776F7F36-7336-4CB3-800A-957F560E1950}</author>
    <author>tc={57596535-F847-4820-A7E2-BD1AB08797F1}</author>
    <author>tc={2B352DEA-3806-415A-9D3A-CC4FBFF81028}</author>
    <author>tc={A71A3EF7-FD6B-4424-91AF-F1A05924C6F1}</author>
    <author>tc={39B24EC7-2523-4CF7-91BE-E41FDB249421}</author>
    <author>tc={698966FD-6A35-4DEF-91B0-DD474F0E8922}</author>
    <author>tc={79C1DF0A-1431-4A66-945A-B4391E50131B}</author>
    <author>tc={BCA9D662-D0E1-4ADA-A7A1-1D8CEF0D6099}</author>
    <author>tc={B1922484-F502-4206-83DC-87FDE9C2C985}</author>
    <author>tc={2CD90182-CBE6-4725-AB97-2C08A2469AA3}</author>
    <author>tc={A61CA121-1B3E-4104-9E4F-392D00D1AB7B}</author>
    <author>tc={3FDAAE89-7E25-455E-AF5F-BCE2AD0EFF52}</author>
    <author>tc={99F7585A-F853-412B-A3B2-2708EDD4CD92}</author>
    <author>tc={D233A964-621A-4BD1-BC1D-4A8E285712AC}</author>
  </authors>
  <commentList>
    <comment ref="J2" authorId="0" shapeId="0" xr:uid="{1A94552F-8996-4CEE-99AB-580574B2DD57}">
      <text>
        <r>
          <rPr>
            <b/>
            <sz val="9"/>
            <color indexed="81"/>
            <rFont val="Tahoma"/>
            <charset val="1"/>
          </rPr>
          <t>ADMIN:</t>
        </r>
        <r>
          <rPr>
            <sz val="9"/>
            <color indexed="81"/>
            <rFont val="Tahoma"/>
            <charset val="1"/>
          </rPr>
          <t xml:space="preserve">
IRS §1222: Short-Term = held ≤365 days (ordinary income rates). Long-Term = held &gt;365 days (preferential capital gains rates). Per CFA Level I, Tax &amp; Estate Planning.</t>
        </r>
      </text>
    </comment>
    <comment ref="E3" authorId="1" shapeId="0" xr:uid="{66467F6D-DABC-45D1-B614-591E4386DF8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 authorId="2" shapeId="0" xr:uid="{A3D7E361-DF7D-462B-9512-A07692D75D73}">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7" authorId="3" shapeId="0" xr:uid="{776F7F36-7336-4CB3-800A-957F560E1950}">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24" authorId="4" shapeId="0" xr:uid="{57596535-F847-4820-A7E2-BD1AB08797F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31" authorId="5" shapeId="0" xr:uid="{2B352DEA-3806-415A-9D3A-CC4FBFF81028}">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38" authorId="6" shapeId="0" xr:uid="{A71A3EF7-FD6B-4424-91AF-F1A05924C6F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45" authorId="7" shapeId="0" xr:uid="{39B24EC7-2523-4CF7-91BE-E41FDB249421}">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52" authorId="8" shapeId="0" xr:uid="{698966FD-6A35-4DEF-91B0-DD474F0E892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59" authorId="9" shapeId="0" xr:uid="{79C1DF0A-1431-4A66-945A-B4391E50131B}">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66" authorId="10" shapeId="0" xr:uid="{BCA9D662-D0E1-4ADA-A7A1-1D8CEF0D6099}">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73" authorId="11" shapeId="0" xr:uid="{B1922484-F502-4206-83DC-87FDE9C2C985}">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80" authorId="12" shapeId="0" xr:uid="{2CD90182-CBE6-4725-AB97-2C08A2469AA3}">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87" authorId="13" shapeId="0" xr:uid="{A61CA121-1B3E-4104-9E4F-392D00D1AB7B}">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94" authorId="14" shapeId="0" xr:uid="{3FDAAE89-7E25-455E-AF5F-BCE2AD0EFF5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1" authorId="15" shapeId="0" xr:uid="{99F7585A-F853-412B-A3B2-2708EDD4CD92}">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 ref="E108" authorId="16" shapeId="0" xr:uid="{D233A964-621A-4BD1-BC1D-4A8E285712AC}">
      <text>
        <t>[Threaded comment]
Your version of Excel allows you to read this threaded comment; however, any edits to it will get removed if the file is opened in a newer version of Excel. Learn more: https://go.microsoft.com/fwlink/?linkid=870924
Comment:
    Source: Historical closing prices (split-adjusted) for first trading day of each year. Data from Nasdaq.com and Yahoo Finance historical data.</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397">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7"/>
        </ext>
      </extLst>
    </bk>
    <bk>
      <extLst>
        <ext uri="{3e2802c4-a4d2-4d8b-9148-e3be6c30e623}">
          <xlrd:rvb i="3620"/>
        </ext>
      </extLst>
    </bk>
    <bk>
      <extLst>
        <ext uri="{3e2802c4-a4d2-4d8b-9148-e3be6c30e623}">
          <xlrd:rvb i="3623"/>
        </ext>
      </extLst>
    </bk>
    <bk>
      <extLst>
        <ext uri="{3e2802c4-a4d2-4d8b-9148-e3be6c30e623}">
          <xlrd:rvb i="3626"/>
        </ext>
      </extLst>
    </bk>
    <bk>
      <extLst>
        <ext uri="{3e2802c4-a4d2-4d8b-9148-e3be6c30e623}">
          <xlrd:rvb i="3629"/>
        </ext>
      </extLst>
    </bk>
    <bk>
      <extLst>
        <ext uri="{3e2802c4-a4d2-4d8b-9148-e3be6c30e623}">
          <xlrd:rvb i="3632"/>
        </ext>
      </extLst>
    </bk>
    <bk>
      <extLst>
        <ext uri="{3e2802c4-a4d2-4d8b-9148-e3be6c30e623}">
          <xlrd:rvb i="3635"/>
        </ext>
      </extLst>
    </bk>
    <bk>
      <extLst>
        <ext uri="{3e2802c4-a4d2-4d8b-9148-e3be6c30e623}">
          <xlrd:rvb i="3638"/>
        </ext>
      </extLst>
    </bk>
    <bk>
      <extLst>
        <ext uri="{3e2802c4-a4d2-4d8b-9148-e3be6c30e623}">
          <xlrd:rvb i="3641"/>
        </ext>
      </extLst>
    </bk>
    <bk>
      <extLst>
        <ext uri="{3e2802c4-a4d2-4d8b-9148-e3be6c30e623}">
          <xlrd:rvb i="3644"/>
        </ext>
      </extLst>
    </bk>
    <bk>
      <extLst>
        <ext uri="{3e2802c4-a4d2-4d8b-9148-e3be6c30e623}">
          <xlrd:rvb i="3647"/>
        </ext>
      </extLst>
    </bk>
    <bk>
      <extLst>
        <ext uri="{3e2802c4-a4d2-4d8b-9148-e3be6c30e623}">
          <xlrd:rvb i="3650"/>
        </ext>
      </extLst>
    </bk>
    <bk>
      <extLst>
        <ext uri="{3e2802c4-a4d2-4d8b-9148-e3be6c30e623}">
          <xlrd:rvb i="3656"/>
        </ext>
      </extLst>
    </bk>
    <bk>
      <extLst>
        <ext uri="{3e2802c4-a4d2-4d8b-9148-e3be6c30e623}">
          <xlrd:rvb i="3662"/>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futureMetadata>
  <futureMetadata name="XLDAPR" count="1">
    <bk>
      <extLst>
        <ext uri="{bdbb8cdc-fa1e-496e-a857-3c3f30c029c3}">
          <xda:dynamicArrayProperties fDynamic="1" fCollapsed="0"/>
        </ext>
      </extLst>
    </bk>
  </futureMetadata>
  <cellMetadata count="1">
    <bk>
      <rc t="2" v="0"/>
    </bk>
  </cellMetadata>
  <valueMetadata count="639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bk>
      <rc t="1" v="796"/>
    </bk>
    <bk>
      <rc t="1" v="797"/>
    </bk>
    <bk>
      <rc t="1" v="798"/>
    </bk>
    <bk>
      <rc t="1" v="799"/>
    </bk>
    <bk>
      <rc t="1" v="800"/>
    </bk>
    <bk>
      <rc t="1" v="801"/>
    </bk>
    <bk>
      <rc t="1" v="802"/>
    </bk>
    <bk>
      <rc t="1" v="803"/>
    </bk>
    <bk>
      <rc t="1" v="804"/>
    </bk>
    <bk>
      <rc t="1" v="805"/>
    </bk>
    <bk>
      <rc t="1" v="806"/>
    </bk>
    <bk>
      <rc t="1" v="807"/>
    </bk>
    <bk>
      <rc t="1" v="808"/>
    </bk>
    <bk>
      <rc t="1" v="809"/>
    </bk>
    <bk>
      <rc t="1" v="810"/>
    </bk>
    <bk>
      <rc t="1" v="811"/>
    </bk>
    <bk>
      <rc t="1" v="812"/>
    </bk>
    <bk>
      <rc t="1" v="813"/>
    </bk>
    <bk>
      <rc t="1" v="814"/>
    </bk>
    <bk>
      <rc t="1" v="815"/>
    </bk>
    <bk>
      <rc t="1" v="816"/>
    </bk>
    <bk>
      <rc t="1" v="817"/>
    </bk>
    <bk>
      <rc t="1" v="818"/>
    </bk>
    <bk>
      <rc t="1" v="819"/>
    </bk>
    <bk>
      <rc t="1" v="820"/>
    </bk>
    <bk>
      <rc t="1" v="821"/>
    </bk>
    <bk>
      <rc t="1" v="822"/>
    </bk>
    <bk>
      <rc t="1" v="823"/>
    </bk>
    <bk>
      <rc t="1" v="824"/>
    </bk>
    <bk>
      <rc t="1" v="825"/>
    </bk>
    <bk>
      <rc t="1" v="826"/>
    </bk>
    <bk>
      <rc t="1" v="827"/>
    </bk>
    <bk>
      <rc t="1" v="828"/>
    </bk>
    <bk>
      <rc t="1" v="829"/>
    </bk>
    <bk>
      <rc t="1" v="830"/>
    </bk>
    <bk>
      <rc t="1" v="831"/>
    </bk>
    <bk>
      <rc t="1" v="832"/>
    </bk>
    <bk>
      <rc t="1" v="833"/>
    </bk>
    <bk>
      <rc t="1" v="834"/>
    </bk>
    <bk>
      <rc t="1" v="835"/>
    </bk>
    <bk>
      <rc t="1" v="836"/>
    </bk>
    <bk>
      <rc t="1" v="837"/>
    </bk>
    <bk>
      <rc t="1" v="838"/>
    </bk>
    <bk>
      <rc t="1" v="839"/>
    </bk>
    <bk>
      <rc t="1" v="840"/>
    </bk>
    <bk>
      <rc t="1" v="841"/>
    </bk>
    <bk>
      <rc t="1" v="842"/>
    </bk>
    <bk>
      <rc t="1" v="843"/>
    </bk>
    <bk>
      <rc t="1" v="844"/>
    </bk>
    <bk>
      <rc t="1" v="845"/>
    </bk>
    <bk>
      <rc t="1" v="846"/>
    </bk>
    <bk>
      <rc t="1" v="847"/>
    </bk>
    <bk>
      <rc t="1" v="848"/>
    </bk>
    <bk>
      <rc t="1" v="849"/>
    </bk>
    <bk>
      <rc t="1" v="850"/>
    </bk>
    <bk>
      <rc t="1" v="851"/>
    </bk>
    <bk>
      <rc t="1" v="852"/>
    </bk>
    <bk>
      <rc t="1" v="853"/>
    </bk>
    <bk>
      <rc t="1" v="854"/>
    </bk>
    <bk>
      <rc t="1" v="855"/>
    </bk>
    <bk>
      <rc t="1" v="856"/>
    </bk>
    <bk>
      <rc t="1" v="857"/>
    </bk>
    <bk>
      <rc t="1" v="858"/>
    </bk>
    <bk>
      <rc t="1" v="859"/>
    </bk>
    <bk>
      <rc t="1" v="860"/>
    </bk>
    <bk>
      <rc t="1" v="861"/>
    </bk>
    <bk>
      <rc t="1" v="862"/>
    </bk>
    <bk>
      <rc t="1" v="863"/>
    </bk>
    <bk>
      <rc t="1" v="864"/>
    </bk>
    <bk>
      <rc t="1" v="865"/>
    </bk>
    <bk>
      <rc t="1" v="866"/>
    </bk>
    <bk>
      <rc t="1" v="867"/>
    </bk>
    <bk>
      <rc t="1" v="868"/>
    </bk>
    <bk>
      <rc t="1" v="869"/>
    </bk>
    <bk>
      <rc t="1" v="870"/>
    </bk>
    <bk>
      <rc t="1" v="871"/>
    </bk>
    <bk>
      <rc t="1" v="872"/>
    </bk>
    <bk>
      <rc t="1" v="873"/>
    </bk>
    <bk>
      <rc t="1" v="874"/>
    </bk>
    <bk>
      <rc t="1" v="875"/>
    </bk>
    <bk>
      <rc t="1" v="876"/>
    </bk>
    <bk>
      <rc t="1" v="877"/>
    </bk>
    <bk>
      <rc t="1" v="878"/>
    </bk>
    <bk>
      <rc t="1" v="879"/>
    </bk>
    <bk>
      <rc t="1" v="880"/>
    </bk>
    <bk>
      <rc t="1" v="881"/>
    </bk>
    <bk>
      <rc t="1" v="882"/>
    </bk>
    <bk>
      <rc t="1" v="883"/>
    </bk>
    <bk>
      <rc t="1" v="884"/>
    </bk>
    <bk>
      <rc t="1" v="885"/>
    </bk>
    <bk>
      <rc t="1" v="886"/>
    </bk>
    <bk>
      <rc t="1" v="887"/>
    </bk>
    <bk>
      <rc t="1" v="888"/>
    </bk>
    <bk>
      <rc t="1" v="889"/>
    </bk>
    <bk>
      <rc t="1" v="890"/>
    </bk>
    <bk>
      <rc t="1" v="891"/>
    </bk>
    <bk>
      <rc t="1" v="892"/>
    </bk>
    <bk>
      <rc t="1" v="893"/>
    </bk>
    <bk>
      <rc t="1" v="894"/>
    </bk>
    <bk>
      <rc t="1" v="895"/>
    </bk>
    <bk>
      <rc t="1" v="896"/>
    </bk>
    <bk>
      <rc t="1" v="897"/>
    </bk>
    <bk>
      <rc t="1" v="898"/>
    </bk>
    <bk>
      <rc t="1" v="899"/>
    </bk>
    <bk>
      <rc t="1" v="900"/>
    </bk>
    <bk>
      <rc t="1" v="901"/>
    </bk>
    <bk>
      <rc t="1" v="902"/>
    </bk>
    <bk>
      <rc t="1" v="903"/>
    </bk>
    <bk>
      <rc t="1" v="904"/>
    </bk>
    <bk>
      <rc t="1" v="905"/>
    </bk>
    <bk>
      <rc t="1" v="906"/>
    </bk>
    <bk>
      <rc t="1" v="907"/>
    </bk>
    <bk>
      <rc t="1" v="908"/>
    </bk>
    <bk>
      <rc t="1" v="909"/>
    </bk>
    <bk>
      <rc t="1" v="910"/>
    </bk>
    <bk>
      <rc t="1" v="911"/>
    </bk>
    <bk>
      <rc t="1" v="912"/>
    </bk>
    <bk>
      <rc t="1" v="913"/>
    </bk>
    <bk>
      <rc t="1" v="914"/>
    </bk>
    <bk>
      <rc t="1" v="915"/>
    </bk>
    <bk>
      <rc t="1" v="916"/>
    </bk>
    <bk>
      <rc t="1" v="917"/>
    </bk>
    <bk>
      <rc t="1" v="918"/>
    </bk>
    <bk>
      <rc t="1" v="919"/>
    </bk>
    <bk>
      <rc t="1" v="920"/>
    </bk>
    <bk>
      <rc t="1" v="921"/>
    </bk>
    <bk>
      <rc t="1" v="922"/>
    </bk>
    <bk>
      <rc t="1" v="923"/>
    </bk>
    <bk>
      <rc t="1" v="924"/>
    </bk>
    <bk>
      <rc t="1" v="925"/>
    </bk>
    <bk>
      <rc t="1" v="926"/>
    </bk>
    <bk>
      <rc t="1" v="927"/>
    </bk>
    <bk>
      <rc t="1" v="928"/>
    </bk>
    <bk>
      <rc t="1" v="929"/>
    </bk>
    <bk>
      <rc t="1" v="930"/>
    </bk>
    <bk>
      <rc t="1" v="931"/>
    </bk>
    <bk>
      <rc t="1" v="932"/>
    </bk>
    <bk>
      <rc t="1" v="933"/>
    </bk>
    <bk>
      <rc t="1" v="934"/>
    </bk>
    <bk>
      <rc t="1" v="935"/>
    </bk>
    <bk>
      <rc t="1" v="936"/>
    </bk>
    <bk>
      <rc t="1" v="937"/>
    </bk>
    <bk>
      <rc t="1" v="938"/>
    </bk>
    <bk>
      <rc t="1" v="939"/>
    </bk>
    <bk>
      <rc t="1" v="940"/>
    </bk>
    <bk>
      <rc t="1" v="941"/>
    </bk>
    <bk>
      <rc t="1" v="942"/>
    </bk>
    <bk>
      <rc t="1" v="943"/>
    </bk>
    <bk>
      <rc t="1" v="944"/>
    </bk>
    <bk>
      <rc t="1" v="945"/>
    </bk>
    <bk>
      <rc t="1" v="946"/>
    </bk>
    <bk>
      <rc t="1" v="947"/>
    </bk>
    <bk>
      <rc t="1" v="948"/>
    </bk>
    <bk>
      <rc t="1" v="949"/>
    </bk>
    <bk>
      <rc t="1" v="950"/>
    </bk>
    <bk>
      <rc t="1" v="951"/>
    </bk>
    <bk>
      <rc t="1" v="952"/>
    </bk>
    <bk>
      <rc t="1" v="953"/>
    </bk>
    <bk>
      <rc t="1" v="954"/>
    </bk>
    <bk>
      <rc t="1" v="955"/>
    </bk>
    <bk>
      <rc t="1" v="956"/>
    </bk>
    <bk>
      <rc t="1" v="957"/>
    </bk>
    <bk>
      <rc t="1" v="958"/>
    </bk>
    <bk>
      <rc t="1" v="959"/>
    </bk>
    <bk>
      <rc t="1" v="960"/>
    </bk>
    <bk>
      <rc t="1" v="961"/>
    </bk>
    <bk>
      <rc t="1" v="962"/>
    </bk>
    <bk>
      <rc t="1" v="963"/>
    </bk>
    <bk>
      <rc t="1" v="964"/>
    </bk>
    <bk>
      <rc t="1" v="965"/>
    </bk>
    <bk>
      <rc t="1" v="966"/>
    </bk>
    <bk>
      <rc t="1" v="967"/>
    </bk>
    <bk>
      <rc t="1" v="968"/>
    </bk>
    <bk>
      <rc t="1" v="969"/>
    </bk>
    <bk>
      <rc t="1" v="970"/>
    </bk>
    <bk>
      <rc t="1" v="971"/>
    </bk>
    <bk>
      <rc t="1" v="972"/>
    </bk>
    <bk>
      <rc t="1" v="973"/>
    </bk>
    <bk>
      <rc t="1" v="974"/>
    </bk>
    <bk>
      <rc t="1" v="975"/>
    </bk>
    <bk>
      <rc t="1" v="976"/>
    </bk>
    <bk>
      <rc t="1" v="977"/>
    </bk>
    <bk>
      <rc t="1" v="978"/>
    </bk>
    <bk>
      <rc t="1" v="979"/>
    </bk>
    <bk>
      <rc t="1" v="980"/>
    </bk>
    <bk>
      <rc t="1" v="981"/>
    </bk>
    <bk>
      <rc t="1" v="982"/>
    </bk>
    <bk>
      <rc t="1" v="983"/>
    </bk>
    <bk>
      <rc t="1" v="984"/>
    </bk>
    <bk>
      <rc t="1" v="985"/>
    </bk>
    <bk>
      <rc t="1" v="986"/>
    </bk>
    <bk>
      <rc t="1" v="987"/>
    </bk>
    <bk>
      <rc t="1" v="988"/>
    </bk>
    <bk>
      <rc t="1" v="989"/>
    </bk>
    <bk>
      <rc t="1" v="990"/>
    </bk>
    <bk>
      <rc t="1" v="991"/>
    </bk>
    <bk>
      <rc t="1" v="992"/>
    </bk>
    <bk>
      <rc t="1" v="993"/>
    </bk>
    <bk>
      <rc t="1" v="994"/>
    </bk>
    <bk>
      <rc t="1" v="995"/>
    </bk>
    <bk>
      <rc t="1" v="996"/>
    </bk>
    <bk>
      <rc t="1" v="997"/>
    </bk>
    <bk>
      <rc t="1" v="998"/>
    </bk>
    <bk>
      <rc t="1" v="999"/>
    </bk>
    <bk>
      <rc t="1" v="1000"/>
    </bk>
    <bk>
      <rc t="1" v="1001"/>
    </bk>
    <bk>
      <rc t="1" v="1002"/>
    </bk>
    <bk>
      <rc t="1" v="1003"/>
    </bk>
    <bk>
      <rc t="1" v="1004"/>
    </bk>
    <bk>
      <rc t="1" v="1005"/>
    </bk>
    <bk>
      <rc t="1" v="1006"/>
    </bk>
    <bk>
      <rc t="1" v="1007"/>
    </bk>
    <bk>
      <rc t="1" v="1008"/>
    </bk>
    <bk>
      <rc t="1" v="1009"/>
    </bk>
    <bk>
      <rc t="1" v="1010"/>
    </bk>
    <bk>
      <rc t="1" v="1011"/>
    </bk>
    <bk>
      <rc t="1" v="1012"/>
    </bk>
    <bk>
      <rc t="1" v="1013"/>
    </bk>
    <bk>
      <rc t="1" v="1014"/>
    </bk>
    <bk>
      <rc t="1" v="1015"/>
    </bk>
    <bk>
      <rc t="1" v="1016"/>
    </bk>
    <bk>
      <rc t="1" v="1017"/>
    </bk>
    <bk>
      <rc t="1" v="1018"/>
    </bk>
    <bk>
      <rc t="1" v="1019"/>
    </bk>
    <bk>
      <rc t="1" v="1020"/>
    </bk>
    <bk>
      <rc t="1" v="1021"/>
    </bk>
    <bk>
      <rc t="1" v="1022"/>
    </bk>
    <bk>
      <rc t="1" v="1023"/>
    </bk>
    <bk>
      <rc t="1" v="1024"/>
    </bk>
    <bk>
      <rc t="1" v="1025"/>
    </bk>
    <bk>
      <rc t="1" v="1026"/>
    </bk>
    <bk>
      <rc t="1" v="1027"/>
    </bk>
    <bk>
      <rc t="1" v="1028"/>
    </bk>
    <bk>
      <rc t="1" v="1029"/>
    </bk>
    <bk>
      <rc t="1" v="1030"/>
    </bk>
    <bk>
      <rc t="1" v="1031"/>
    </bk>
    <bk>
      <rc t="1" v="1032"/>
    </bk>
    <bk>
      <rc t="1" v="1033"/>
    </bk>
    <bk>
      <rc t="1" v="1034"/>
    </bk>
    <bk>
      <rc t="1" v="1035"/>
    </bk>
    <bk>
      <rc t="1" v="1036"/>
    </bk>
    <bk>
      <rc t="1" v="1037"/>
    </bk>
    <bk>
      <rc t="1" v="1038"/>
    </bk>
    <bk>
      <rc t="1" v="1039"/>
    </bk>
    <bk>
      <rc t="1" v="1040"/>
    </bk>
    <bk>
      <rc t="1" v="1041"/>
    </bk>
    <bk>
      <rc t="1" v="1042"/>
    </bk>
    <bk>
      <rc t="1" v="1043"/>
    </bk>
    <bk>
      <rc t="1" v="1044"/>
    </bk>
    <bk>
      <rc t="1" v="1045"/>
    </bk>
    <bk>
      <rc t="1" v="1046"/>
    </bk>
    <bk>
      <rc t="1" v="1047"/>
    </bk>
    <bk>
      <rc t="1" v="1048"/>
    </bk>
    <bk>
      <rc t="1" v="1049"/>
    </bk>
    <bk>
      <rc t="1" v="1050"/>
    </bk>
    <bk>
      <rc t="1" v="1051"/>
    </bk>
    <bk>
      <rc t="1" v="1052"/>
    </bk>
    <bk>
      <rc t="1" v="1053"/>
    </bk>
    <bk>
      <rc t="1" v="1054"/>
    </bk>
    <bk>
      <rc t="1" v="1055"/>
    </bk>
    <bk>
      <rc t="1" v="1056"/>
    </bk>
    <bk>
      <rc t="1" v="1057"/>
    </bk>
    <bk>
      <rc t="1" v="1058"/>
    </bk>
    <bk>
      <rc t="1" v="1059"/>
    </bk>
    <bk>
      <rc t="1" v="1060"/>
    </bk>
    <bk>
      <rc t="1" v="1061"/>
    </bk>
    <bk>
      <rc t="1" v="1062"/>
    </bk>
    <bk>
      <rc t="1" v="1063"/>
    </bk>
    <bk>
      <rc t="1" v="1064"/>
    </bk>
    <bk>
      <rc t="1" v="1065"/>
    </bk>
    <bk>
      <rc t="1" v="1066"/>
    </bk>
    <bk>
      <rc t="1" v="1067"/>
    </bk>
    <bk>
      <rc t="1" v="1068"/>
    </bk>
    <bk>
      <rc t="1" v="1069"/>
    </bk>
    <bk>
      <rc t="1" v="1070"/>
    </bk>
    <bk>
      <rc t="1" v="1071"/>
    </bk>
    <bk>
      <rc t="1" v="1072"/>
    </bk>
    <bk>
      <rc t="1" v="1073"/>
    </bk>
    <bk>
      <rc t="1" v="1074"/>
    </bk>
    <bk>
      <rc t="1" v="1075"/>
    </bk>
    <bk>
      <rc t="1" v="1076"/>
    </bk>
    <bk>
      <rc t="1" v="1077"/>
    </bk>
    <bk>
      <rc t="1" v="1078"/>
    </bk>
    <bk>
      <rc t="1" v="1079"/>
    </bk>
    <bk>
      <rc t="1" v="1080"/>
    </bk>
    <bk>
      <rc t="1" v="1081"/>
    </bk>
    <bk>
      <rc t="1" v="1082"/>
    </bk>
    <bk>
      <rc t="1" v="1083"/>
    </bk>
    <bk>
      <rc t="1" v="1084"/>
    </bk>
    <bk>
      <rc t="1" v="1085"/>
    </bk>
    <bk>
      <rc t="1" v="1086"/>
    </bk>
    <bk>
      <rc t="1" v="1087"/>
    </bk>
    <bk>
      <rc t="1" v="1088"/>
    </bk>
    <bk>
      <rc t="1" v="1089"/>
    </bk>
    <bk>
      <rc t="1" v="1090"/>
    </bk>
    <bk>
      <rc t="1" v="1091"/>
    </bk>
    <bk>
      <rc t="1" v="1092"/>
    </bk>
    <bk>
      <rc t="1" v="1093"/>
    </bk>
    <bk>
      <rc t="1" v="1094"/>
    </bk>
    <bk>
      <rc t="1" v="1095"/>
    </bk>
    <bk>
      <rc t="1" v="1096"/>
    </bk>
    <bk>
      <rc t="1" v="1097"/>
    </bk>
    <bk>
      <rc t="1" v="1098"/>
    </bk>
    <bk>
      <rc t="1" v="1099"/>
    </bk>
    <bk>
      <rc t="1" v="1100"/>
    </bk>
    <bk>
      <rc t="1" v="1101"/>
    </bk>
    <bk>
      <rc t="1" v="1102"/>
    </bk>
    <bk>
      <rc t="1" v="1103"/>
    </bk>
    <bk>
      <rc t="1" v="1104"/>
    </bk>
    <bk>
      <rc t="1" v="1105"/>
    </bk>
    <bk>
      <rc t="1" v="1106"/>
    </bk>
    <bk>
      <rc t="1" v="1107"/>
    </bk>
    <bk>
      <rc t="1" v="1108"/>
    </bk>
    <bk>
      <rc t="1" v="1109"/>
    </bk>
    <bk>
      <rc t="1" v="1110"/>
    </bk>
    <bk>
      <rc t="1" v="1111"/>
    </bk>
    <bk>
      <rc t="1" v="1112"/>
    </bk>
    <bk>
      <rc t="1" v="1113"/>
    </bk>
    <bk>
      <rc t="1" v="1114"/>
    </bk>
    <bk>
      <rc t="1" v="1115"/>
    </bk>
    <bk>
      <rc t="1" v="1116"/>
    </bk>
    <bk>
      <rc t="1" v="1117"/>
    </bk>
    <bk>
      <rc t="1" v="1118"/>
    </bk>
    <bk>
      <rc t="1" v="1119"/>
    </bk>
    <bk>
      <rc t="1" v="1120"/>
    </bk>
    <bk>
      <rc t="1" v="1121"/>
    </bk>
    <bk>
      <rc t="1" v="1122"/>
    </bk>
    <bk>
      <rc t="1" v="1123"/>
    </bk>
    <bk>
      <rc t="1" v="1124"/>
    </bk>
    <bk>
      <rc t="1" v="1125"/>
    </bk>
    <bk>
      <rc t="1" v="1126"/>
    </bk>
    <bk>
      <rc t="1" v="1127"/>
    </bk>
    <bk>
      <rc t="1" v="1128"/>
    </bk>
    <bk>
      <rc t="1" v="1129"/>
    </bk>
    <bk>
      <rc t="1" v="1130"/>
    </bk>
    <bk>
      <rc t="1" v="1131"/>
    </bk>
    <bk>
      <rc t="1" v="1132"/>
    </bk>
    <bk>
      <rc t="1" v="1133"/>
    </bk>
    <bk>
      <rc t="1" v="1134"/>
    </bk>
    <bk>
      <rc t="1" v="1135"/>
    </bk>
    <bk>
      <rc t="1" v="1136"/>
    </bk>
    <bk>
      <rc t="1" v="1137"/>
    </bk>
    <bk>
      <rc t="1" v="1138"/>
    </bk>
    <bk>
      <rc t="1" v="1139"/>
    </bk>
    <bk>
      <rc t="1" v="1140"/>
    </bk>
    <bk>
      <rc t="1" v="1141"/>
    </bk>
    <bk>
      <rc t="1" v="1142"/>
    </bk>
    <bk>
      <rc t="1" v="1143"/>
    </bk>
    <bk>
      <rc t="1" v="1144"/>
    </bk>
    <bk>
      <rc t="1" v="1145"/>
    </bk>
    <bk>
      <rc t="1" v="1146"/>
    </bk>
    <bk>
      <rc t="1" v="1147"/>
    </bk>
    <bk>
      <rc t="1" v="1148"/>
    </bk>
    <bk>
      <rc t="1" v="1149"/>
    </bk>
    <bk>
      <rc t="1" v="1150"/>
    </bk>
    <bk>
      <rc t="1" v="1151"/>
    </bk>
    <bk>
      <rc t="1" v="1152"/>
    </bk>
    <bk>
      <rc t="1" v="1153"/>
    </bk>
    <bk>
      <rc t="1" v="1154"/>
    </bk>
    <bk>
      <rc t="1" v="1155"/>
    </bk>
    <bk>
      <rc t="1" v="1156"/>
    </bk>
    <bk>
      <rc t="1" v="1157"/>
    </bk>
    <bk>
      <rc t="1" v="1158"/>
    </bk>
    <bk>
      <rc t="1" v="1159"/>
    </bk>
    <bk>
      <rc t="1" v="1160"/>
    </bk>
    <bk>
      <rc t="1" v="1161"/>
    </bk>
    <bk>
      <rc t="1" v="1162"/>
    </bk>
    <bk>
      <rc t="1" v="1163"/>
    </bk>
    <bk>
      <rc t="1" v="1164"/>
    </bk>
    <bk>
      <rc t="1" v="1165"/>
    </bk>
    <bk>
      <rc t="1" v="1166"/>
    </bk>
    <bk>
      <rc t="1" v="1167"/>
    </bk>
    <bk>
      <rc t="1" v="1168"/>
    </bk>
    <bk>
      <rc t="1" v="1169"/>
    </bk>
    <bk>
      <rc t="1" v="1170"/>
    </bk>
    <bk>
      <rc t="1" v="1171"/>
    </bk>
    <bk>
      <rc t="1" v="1172"/>
    </bk>
    <bk>
      <rc t="1" v="1173"/>
    </bk>
    <bk>
      <rc t="1" v="1174"/>
    </bk>
    <bk>
      <rc t="1" v="1175"/>
    </bk>
    <bk>
      <rc t="1" v="1176"/>
    </bk>
    <bk>
      <rc t="1" v="1177"/>
    </bk>
    <bk>
      <rc t="1" v="1178"/>
    </bk>
    <bk>
      <rc t="1" v="1179"/>
    </bk>
    <bk>
      <rc t="1" v="1180"/>
    </bk>
    <bk>
      <rc t="1" v="1181"/>
    </bk>
    <bk>
      <rc t="1" v="1182"/>
    </bk>
    <bk>
      <rc t="1" v="1183"/>
    </bk>
    <bk>
      <rc t="1" v="1184"/>
    </bk>
    <bk>
      <rc t="1" v="1185"/>
    </bk>
    <bk>
      <rc t="1" v="1186"/>
    </bk>
    <bk>
      <rc t="1" v="1187"/>
    </bk>
    <bk>
      <rc t="1" v="1188"/>
    </bk>
    <bk>
      <rc t="1" v="1189"/>
    </bk>
    <bk>
      <rc t="1" v="1190"/>
    </bk>
    <bk>
      <rc t="1" v="1191"/>
    </bk>
    <bk>
      <rc t="1" v="1192"/>
    </bk>
    <bk>
      <rc t="1" v="1193"/>
    </bk>
    <bk>
      <rc t="1" v="1194"/>
    </bk>
    <bk>
      <rc t="1" v="1195"/>
    </bk>
    <bk>
      <rc t="1" v="1196"/>
    </bk>
    <bk>
      <rc t="1" v="1197"/>
    </bk>
    <bk>
      <rc t="1" v="1198"/>
    </bk>
    <bk>
      <rc t="1" v="1199"/>
    </bk>
    <bk>
      <rc t="1" v="1200"/>
    </bk>
    <bk>
      <rc t="1" v="1201"/>
    </bk>
    <bk>
      <rc t="1" v="1202"/>
    </bk>
    <bk>
      <rc t="1" v="1203"/>
    </bk>
    <bk>
      <rc t="1" v="1204"/>
    </bk>
    <bk>
      <rc t="1" v="1205"/>
    </bk>
    <bk>
      <rc t="1" v="1206"/>
    </bk>
    <bk>
      <rc t="1" v="1207"/>
    </bk>
    <bk>
      <rc t="1" v="1208"/>
    </bk>
    <bk>
      <rc t="1" v="1209"/>
    </bk>
    <bk>
      <rc t="1" v="1210"/>
    </bk>
    <bk>
      <rc t="1" v="1211"/>
    </bk>
    <bk>
      <rc t="1" v="1212"/>
    </bk>
    <bk>
      <rc t="1" v="1213"/>
    </bk>
    <bk>
      <rc t="1" v="1214"/>
    </bk>
    <bk>
      <rc t="1" v="1215"/>
    </bk>
    <bk>
      <rc t="1" v="1216"/>
    </bk>
    <bk>
      <rc t="1" v="1217"/>
    </bk>
    <bk>
      <rc t="1" v="1218"/>
    </bk>
    <bk>
      <rc t="1" v="1219"/>
    </bk>
    <bk>
      <rc t="1" v="1220"/>
    </bk>
    <bk>
      <rc t="1" v="1221"/>
    </bk>
    <bk>
      <rc t="1" v="1222"/>
    </bk>
    <bk>
      <rc t="1" v="1223"/>
    </bk>
    <bk>
      <rc t="1" v="1224"/>
    </bk>
    <bk>
      <rc t="1" v="1225"/>
    </bk>
    <bk>
      <rc t="1" v="1226"/>
    </bk>
    <bk>
      <rc t="1" v="1227"/>
    </bk>
    <bk>
      <rc t="1" v="1228"/>
    </bk>
    <bk>
      <rc t="1" v="1229"/>
    </bk>
    <bk>
      <rc t="1" v="1230"/>
    </bk>
    <bk>
      <rc t="1" v="1231"/>
    </bk>
    <bk>
      <rc t="1" v="1232"/>
    </bk>
    <bk>
      <rc t="1" v="1233"/>
    </bk>
    <bk>
      <rc t="1" v="1234"/>
    </bk>
    <bk>
      <rc t="1" v="1235"/>
    </bk>
    <bk>
      <rc t="1" v="1236"/>
    </bk>
    <bk>
      <rc t="1" v="1237"/>
    </bk>
    <bk>
      <rc t="1" v="1238"/>
    </bk>
    <bk>
      <rc t="1" v="1239"/>
    </bk>
    <bk>
      <rc t="1" v="1240"/>
    </bk>
    <bk>
      <rc t="1" v="1241"/>
    </bk>
    <bk>
      <rc t="1" v="1242"/>
    </bk>
    <bk>
      <rc t="1" v="1243"/>
    </bk>
    <bk>
      <rc t="1" v="1244"/>
    </bk>
    <bk>
      <rc t="1" v="1245"/>
    </bk>
    <bk>
      <rc t="1" v="1246"/>
    </bk>
    <bk>
      <rc t="1" v="1247"/>
    </bk>
    <bk>
      <rc t="1" v="1248"/>
    </bk>
    <bk>
      <rc t="1" v="1249"/>
    </bk>
    <bk>
      <rc t="1" v="1250"/>
    </bk>
    <bk>
      <rc t="1" v="1251"/>
    </bk>
    <bk>
      <rc t="1" v="1252"/>
    </bk>
    <bk>
      <rc t="1" v="1253"/>
    </bk>
    <bk>
      <rc t="1" v="1254"/>
    </bk>
    <bk>
      <rc t="1" v="1255"/>
    </bk>
    <bk>
      <rc t="1" v="1256"/>
    </bk>
    <bk>
      <rc t="1" v="1257"/>
    </bk>
    <bk>
      <rc t="1" v="1258"/>
    </bk>
    <bk>
      <rc t="1" v="1259"/>
    </bk>
    <bk>
      <rc t="1" v="1260"/>
    </bk>
    <bk>
      <rc t="1" v="1261"/>
    </bk>
    <bk>
      <rc t="1" v="1262"/>
    </bk>
    <bk>
      <rc t="1" v="1263"/>
    </bk>
    <bk>
      <rc t="1" v="1264"/>
    </bk>
    <bk>
      <rc t="1" v="1265"/>
    </bk>
    <bk>
      <rc t="1" v="1266"/>
    </bk>
    <bk>
      <rc t="1" v="1267"/>
    </bk>
    <bk>
      <rc t="1" v="1268"/>
    </bk>
    <bk>
      <rc t="1" v="1269"/>
    </bk>
    <bk>
      <rc t="1" v="1270"/>
    </bk>
    <bk>
      <rc t="1" v="1271"/>
    </bk>
    <bk>
      <rc t="1" v="1272"/>
    </bk>
    <bk>
      <rc t="1" v="1273"/>
    </bk>
    <bk>
      <rc t="1" v="1274"/>
    </bk>
    <bk>
      <rc t="1" v="1275"/>
    </bk>
    <bk>
      <rc t="1" v="1276"/>
    </bk>
    <bk>
      <rc t="1" v="1277"/>
    </bk>
    <bk>
      <rc t="1" v="1278"/>
    </bk>
    <bk>
      <rc t="1" v="1279"/>
    </bk>
    <bk>
      <rc t="1" v="1280"/>
    </bk>
    <bk>
      <rc t="1" v="1281"/>
    </bk>
    <bk>
      <rc t="1" v="1282"/>
    </bk>
    <bk>
      <rc t="1" v="1283"/>
    </bk>
    <bk>
      <rc t="1" v="1284"/>
    </bk>
    <bk>
      <rc t="1" v="1285"/>
    </bk>
    <bk>
      <rc t="1" v="1286"/>
    </bk>
    <bk>
      <rc t="1" v="1287"/>
    </bk>
    <bk>
      <rc t="1" v="1288"/>
    </bk>
    <bk>
      <rc t="1" v="1289"/>
    </bk>
    <bk>
      <rc t="1" v="1290"/>
    </bk>
    <bk>
      <rc t="1" v="1291"/>
    </bk>
    <bk>
      <rc t="1" v="1292"/>
    </bk>
    <bk>
      <rc t="1" v="1293"/>
    </bk>
    <bk>
      <rc t="1" v="1294"/>
    </bk>
    <bk>
      <rc t="1" v="1295"/>
    </bk>
    <bk>
      <rc t="1" v="1296"/>
    </bk>
    <bk>
      <rc t="1" v="1297"/>
    </bk>
    <bk>
      <rc t="1" v="1298"/>
    </bk>
    <bk>
      <rc t="1" v="1299"/>
    </bk>
    <bk>
      <rc t="1" v="1300"/>
    </bk>
    <bk>
      <rc t="1" v="1301"/>
    </bk>
    <bk>
      <rc t="1" v="1302"/>
    </bk>
    <bk>
      <rc t="1" v="1303"/>
    </bk>
    <bk>
      <rc t="1" v="1304"/>
    </bk>
    <bk>
      <rc t="1" v="1305"/>
    </bk>
    <bk>
      <rc t="1" v="1306"/>
    </bk>
    <bk>
      <rc t="1" v="1307"/>
    </bk>
    <bk>
      <rc t="1" v="1308"/>
    </bk>
    <bk>
      <rc t="1" v="1309"/>
    </bk>
    <bk>
      <rc t="1" v="1310"/>
    </bk>
    <bk>
      <rc t="1" v="1311"/>
    </bk>
    <bk>
      <rc t="1" v="1312"/>
    </bk>
    <bk>
      <rc t="1" v="1313"/>
    </bk>
    <bk>
      <rc t="1" v="1314"/>
    </bk>
    <bk>
      <rc t="1" v="1315"/>
    </bk>
    <bk>
      <rc t="1" v="1316"/>
    </bk>
    <bk>
      <rc t="1" v="1317"/>
    </bk>
    <bk>
      <rc t="1" v="1318"/>
    </bk>
    <bk>
      <rc t="1" v="1319"/>
    </bk>
    <bk>
      <rc t="1" v="1320"/>
    </bk>
    <bk>
      <rc t="1" v="1321"/>
    </bk>
    <bk>
      <rc t="1" v="1322"/>
    </bk>
    <bk>
      <rc t="1" v="1323"/>
    </bk>
    <bk>
      <rc t="1" v="1324"/>
    </bk>
    <bk>
      <rc t="1" v="1325"/>
    </bk>
    <bk>
      <rc t="1" v="1326"/>
    </bk>
    <bk>
      <rc t="1" v="1327"/>
    </bk>
    <bk>
      <rc t="1" v="1328"/>
    </bk>
    <bk>
      <rc t="1" v="1329"/>
    </bk>
    <bk>
      <rc t="1" v="1330"/>
    </bk>
    <bk>
      <rc t="1" v="1331"/>
    </bk>
    <bk>
      <rc t="1" v="1332"/>
    </bk>
    <bk>
      <rc t="1" v="1333"/>
    </bk>
    <bk>
      <rc t="1" v="1334"/>
    </bk>
    <bk>
      <rc t="1" v="1335"/>
    </bk>
    <bk>
      <rc t="1" v="1336"/>
    </bk>
    <bk>
      <rc t="1" v="1337"/>
    </bk>
    <bk>
      <rc t="1" v="1338"/>
    </bk>
    <bk>
      <rc t="1" v="1339"/>
    </bk>
    <bk>
      <rc t="1" v="1340"/>
    </bk>
    <bk>
      <rc t="1" v="1341"/>
    </bk>
    <bk>
      <rc t="1" v="1342"/>
    </bk>
    <bk>
      <rc t="1" v="1343"/>
    </bk>
    <bk>
      <rc t="1" v="1344"/>
    </bk>
    <bk>
      <rc t="1" v="1345"/>
    </bk>
    <bk>
      <rc t="1" v="1346"/>
    </bk>
    <bk>
      <rc t="1" v="1347"/>
    </bk>
    <bk>
      <rc t="1" v="1348"/>
    </bk>
    <bk>
      <rc t="1" v="1349"/>
    </bk>
    <bk>
      <rc t="1" v="1350"/>
    </bk>
    <bk>
      <rc t="1" v="1351"/>
    </bk>
    <bk>
      <rc t="1" v="1352"/>
    </bk>
    <bk>
      <rc t="1" v="1353"/>
    </bk>
    <bk>
      <rc t="1" v="1354"/>
    </bk>
    <bk>
      <rc t="1" v="1355"/>
    </bk>
    <bk>
      <rc t="1" v="1356"/>
    </bk>
    <bk>
      <rc t="1" v="1357"/>
    </bk>
    <bk>
      <rc t="1" v="1358"/>
    </bk>
    <bk>
      <rc t="1" v="1359"/>
    </bk>
    <bk>
      <rc t="1" v="1360"/>
    </bk>
    <bk>
      <rc t="1" v="1361"/>
    </bk>
    <bk>
      <rc t="1" v="1362"/>
    </bk>
    <bk>
      <rc t="1" v="1363"/>
    </bk>
    <bk>
      <rc t="1" v="1364"/>
    </bk>
    <bk>
      <rc t="1" v="1365"/>
    </bk>
    <bk>
      <rc t="1" v="1366"/>
    </bk>
    <bk>
      <rc t="1" v="1367"/>
    </bk>
    <bk>
      <rc t="1" v="1368"/>
    </bk>
    <bk>
      <rc t="1" v="1369"/>
    </bk>
    <bk>
      <rc t="1" v="1370"/>
    </bk>
    <bk>
      <rc t="1" v="1371"/>
    </bk>
    <bk>
      <rc t="1" v="1372"/>
    </bk>
    <bk>
      <rc t="1" v="1373"/>
    </bk>
    <bk>
      <rc t="1" v="1374"/>
    </bk>
    <bk>
      <rc t="1" v="1375"/>
    </bk>
    <bk>
      <rc t="1" v="1376"/>
    </bk>
    <bk>
      <rc t="1" v="1377"/>
    </bk>
    <bk>
      <rc t="1" v="1378"/>
    </bk>
    <bk>
      <rc t="1" v="1379"/>
    </bk>
    <bk>
      <rc t="1" v="1380"/>
    </bk>
    <bk>
      <rc t="1" v="1381"/>
    </bk>
    <bk>
      <rc t="1" v="1382"/>
    </bk>
    <bk>
      <rc t="1" v="1383"/>
    </bk>
    <bk>
      <rc t="1" v="1384"/>
    </bk>
    <bk>
      <rc t="1" v="1385"/>
    </bk>
    <bk>
      <rc t="1" v="1386"/>
    </bk>
    <bk>
      <rc t="1" v="1387"/>
    </bk>
    <bk>
      <rc t="1" v="1388"/>
    </bk>
    <bk>
      <rc t="1" v="1389"/>
    </bk>
    <bk>
      <rc t="1" v="1390"/>
    </bk>
    <bk>
      <rc t="1" v="1391"/>
    </bk>
    <bk>
      <rc t="1" v="1392"/>
    </bk>
    <bk>
      <rc t="1" v="1393"/>
    </bk>
    <bk>
      <rc t="1" v="1394"/>
    </bk>
    <bk>
      <rc t="1" v="1395"/>
    </bk>
    <bk>
      <rc t="1" v="1396"/>
    </bk>
    <bk>
      <rc t="1" v="1397"/>
    </bk>
    <bk>
      <rc t="1" v="1398"/>
    </bk>
    <bk>
      <rc t="1" v="1399"/>
    </bk>
    <bk>
      <rc t="1" v="1400"/>
    </bk>
    <bk>
      <rc t="1" v="1401"/>
    </bk>
    <bk>
      <rc t="1" v="1402"/>
    </bk>
    <bk>
      <rc t="1" v="1403"/>
    </bk>
    <bk>
      <rc t="1" v="1404"/>
    </bk>
    <bk>
      <rc t="1" v="1405"/>
    </bk>
    <bk>
      <rc t="1" v="1406"/>
    </bk>
    <bk>
      <rc t="1" v="1407"/>
    </bk>
    <bk>
      <rc t="1" v="1408"/>
    </bk>
    <bk>
      <rc t="1" v="1409"/>
    </bk>
    <bk>
      <rc t="1" v="1410"/>
    </bk>
    <bk>
      <rc t="1" v="1411"/>
    </bk>
    <bk>
      <rc t="1" v="1412"/>
    </bk>
    <bk>
      <rc t="1" v="1413"/>
    </bk>
    <bk>
      <rc t="1" v="1414"/>
    </bk>
    <bk>
      <rc t="1" v="1415"/>
    </bk>
    <bk>
      <rc t="1" v="1416"/>
    </bk>
    <bk>
      <rc t="1" v="1417"/>
    </bk>
    <bk>
      <rc t="1" v="1418"/>
    </bk>
    <bk>
      <rc t="1" v="1419"/>
    </bk>
    <bk>
      <rc t="1" v="1420"/>
    </bk>
    <bk>
      <rc t="1" v="1421"/>
    </bk>
    <bk>
      <rc t="1" v="1422"/>
    </bk>
    <bk>
      <rc t="1" v="1423"/>
    </bk>
    <bk>
      <rc t="1" v="1424"/>
    </bk>
    <bk>
      <rc t="1" v="1425"/>
    </bk>
    <bk>
      <rc t="1" v="1426"/>
    </bk>
    <bk>
      <rc t="1" v="1427"/>
    </bk>
    <bk>
      <rc t="1" v="1428"/>
    </bk>
    <bk>
      <rc t="1" v="1429"/>
    </bk>
    <bk>
      <rc t="1" v="1430"/>
    </bk>
    <bk>
      <rc t="1" v="1431"/>
    </bk>
    <bk>
      <rc t="1" v="1432"/>
    </bk>
    <bk>
      <rc t="1" v="1433"/>
    </bk>
    <bk>
      <rc t="1" v="1434"/>
    </bk>
    <bk>
      <rc t="1" v="1435"/>
    </bk>
    <bk>
      <rc t="1" v="1436"/>
    </bk>
    <bk>
      <rc t="1" v="1437"/>
    </bk>
    <bk>
      <rc t="1" v="1438"/>
    </bk>
    <bk>
      <rc t="1" v="1439"/>
    </bk>
    <bk>
      <rc t="1" v="1440"/>
    </bk>
    <bk>
      <rc t="1" v="1441"/>
    </bk>
    <bk>
      <rc t="1" v="1442"/>
    </bk>
    <bk>
      <rc t="1" v="1443"/>
    </bk>
    <bk>
      <rc t="1" v="1444"/>
    </bk>
    <bk>
      <rc t="1" v="1445"/>
    </bk>
    <bk>
      <rc t="1" v="1446"/>
    </bk>
    <bk>
      <rc t="1" v="1447"/>
    </bk>
    <bk>
      <rc t="1" v="1448"/>
    </bk>
    <bk>
      <rc t="1" v="1449"/>
    </bk>
    <bk>
      <rc t="1" v="1450"/>
    </bk>
    <bk>
      <rc t="1" v="1451"/>
    </bk>
    <bk>
      <rc t="1" v="1452"/>
    </bk>
    <bk>
      <rc t="1" v="1453"/>
    </bk>
    <bk>
      <rc t="1" v="1454"/>
    </bk>
    <bk>
      <rc t="1" v="1455"/>
    </bk>
    <bk>
      <rc t="1" v="1456"/>
    </bk>
    <bk>
      <rc t="1" v="1457"/>
    </bk>
    <bk>
      <rc t="1" v="1458"/>
    </bk>
    <bk>
      <rc t="1" v="1459"/>
    </bk>
    <bk>
      <rc t="1" v="1460"/>
    </bk>
    <bk>
      <rc t="1" v="1461"/>
    </bk>
    <bk>
      <rc t="1" v="1462"/>
    </bk>
    <bk>
      <rc t="1" v="1463"/>
    </bk>
    <bk>
      <rc t="1" v="1464"/>
    </bk>
    <bk>
      <rc t="1" v="1465"/>
    </bk>
    <bk>
      <rc t="1" v="1466"/>
    </bk>
    <bk>
      <rc t="1" v="1467"/>
    </bk>
    <bk>
      <rc t="1" v="1468"/>
    </bk>
    <bk>
      <rc t="1" v="1469"/>
    </bk>
    <bk>
      <rc t="1" v="1470"/>
    </bk>
    <bk>
      <rc t="1" v="1471"/>
    </bk>
    <bk>
      <rc t="1" v="1472"/>
    </bk>
    <bk>
      <rc t="1" v="1473"/>
    </bk>
    <bk>
      <rc t="1" v="1474"/>
    </bk>
    <bk>
      <rc t="1" v="1475"/>
    </bk>
    <bk>
      <rc t="1" v="1476"/>
    </bk>
    <bk>
      <rc t="1" v="1477"/>
    </bk>
    <bk>
      <rc t="1" v="1478"/>
    </bk>
    <bk>
      <rc t="1" v="1479"/>
    </bk>
    <bk>
      <rc t="1" v="1480"/>
    </bk>
    <bk>
      <rc t="1" v="1481"/>
    </bk>
    <bk>
      <rc t="1" v="1482"/>
    </bk>
    <bk>
      <rc t="1" v="1483"/>
    </bk>
    <bk>
      <rc t="1" v="1484"/>
    </bk>
    <bk>
      <rc t="1" v="1485"/>
    </bk>
    <bk>
      <rc t="1" v="1486"/>
    </bk>
    <bk>
      <rc t="1" v="1487"/>
    </bk>
    <bk>
      <rc t="1" v="1488"/>
    </bk>
    <bk>
      <rc t="1" v="1489"/>
    </bk>
    <bk>
      <rc t="1" v="1490"/>
    </bk>
    <bk>
      <rc t="1" v="1491"/>
    </bk>
    <bk>
      <rc t="1" v="1492"/>
    </bk>
    <bk>
      <rc t="1" v="1493"/>
    </bk>
    <bk>
      <rc t="1" v="1494"/>
    </bk>
    <bk>
      <rc t="1" v="1495"/>
    </bk>
    <bk>
      <rc t="1" v="1496"/>
    </bk>
    <bk>
      <rc t="1" v="1497"/>
    </bk>
    <bk>
      <rc t="1" v="1498"/>
    </bk>
    <bk>
      <rc t="1" v="1499"/>
    </bk>
    <bk>
      <rc t="1" v="1500"/>
    </bk>
    <bk>
      <rc t="1" v="1501"/>
    </bk>
    <bk>
      <rc t="1" v="1502"/>
    </bk>
    <bk>
      <rc t="1" v="1503"/>
    </bk>
    <bk>
      <rc t="1" v="1504"/>
    </bk>
    <bk>
      <rc t="1" v="1505"/>
    </bk>
    <bk>
      <rc t="1" v="1506"/>
    </bk>
    <bk>
      <rc t="1" v="1507"/>
    </bk>
    <bk>
      <rc t="1" v="1508"/>
    </bk>
    <bk>
      <rc t="1" v="1509"/>
    </bk>
    <bk>
      <rc t="1" v="1510"/>
    </bk>
    <bk>
      <rc t="1" v="1511"/>
    </bk>
    <bk>
      <rc t="1" v="1512"/>
    </bk>
    <bk>
      <rc t="1" v="1513"/>
    </bk>
    <bk>
      <rc t="1" v="1514"/>
    </bk>
    <bk>
      <rc t="1" v="1515"/>
    </bk>
    <bk>
      <rc t="1" v="1516"/>
    </bk>
    <bk>
      <rc t="1" v="1517"/>
    </bk>
    <bk>
      <rc t="1" v="1518"/>
    </bk>
    <bk>
      <rc t="1" v="1519"/>
    </bk>
    <bk>
      <rc t="1" v="1520"/>
    </bk>
    <bk>
      <rc t="1" v="1521"/>
    </bk>
    <bk>
      <rc t="1" v="1522"/>
    </bk>
    <bk>
      <rc t="1" v="1523"/>
    </bk>
    <bk>
      <rc t="1" v="1524"/>
    </bk>
    <bk>
      <rc t="1" v="1525"/>
    </bk>
    <bk>
      <rc t="1" v="1526"/>
    </bk>
    <bk>
      <rc t="1" v="1527"/>
    </bk>
    <bk>
      <rc t="1" v="1528"/>
    </bk>
    <bk>
      <rc t="1" v="1529"/>
    </bk>
    <bk>
      <rc t="1" v="1530"/>
    </bk>
    <bk>
      <rc t="1" v="1531"/>
    </bk>
    <bk>
      <rc t="1" v="1532"/>
    </bk>
    <bk>
      <rc t="1" v="1533"/>
    </bk>
    <bk>
      <rc t="1" v="1534"/>
    </bk>
    <bk>
      <rc t="1" v="1535"/>
    </bk>
    <bk>
      <rc t="1" v="1536"/>
    </bk>
    <bk>
      <rc t="1" v="1537"/>
    </bk>
    <bk>
      <rc t="1" v="1538"/>
    </bk>
    <bk>
      <rc t="1" v="1539"/>
    </bk>
    <bk>
      <rc t="1" v="1540"/>
    </bk>
    <bk>
      <rc t="1" v="1541"/>
    </bk>
    <bk>
      <rc t="1" v="1542"/>
    </bk>
    <bk>
      <rc t="1" v="1543"/>
    </bk>
    <bk>
      <rc t="1" v="1544"/>
    </bk>
    <bk>
      <rc t="1" v="1545"/>
    </bk>
    <bk>
      <rc t="1" v="1546"/>
    </bk>
    <bk>
      <rc t="1" v="1547"/>
    </bk>
    <bk>
      <rc t="1" v="1548"/>
    </bk>
    <bk>
      <rc t="1" v="1549"/>
    </bk>
    <bk>
      <rc t="1" v="1550"/>
    </bk>
    <bk>
      <rc t="1" v="1551"/>
    </bk>
    <bk>
      <rc t="1" v="1552"/>
    </bk>
    <bk>
      <rc t="1" v="1553"/>
    </bk>
    <bk>
      <rc t="1" v="1554"/>
    </bk>
    <bk>
      <rc t="1" v="1555"/>
    </bk>
    <bk>
      <rc t="1" v="1556"/>
    </bk>
    <bk>
      <rc t="1" v="1557"/>
    </bk>
    <bk>
      <rc t="1" v="1558"/>
    </bk>
    <bk>
      <rc t="1" v="1559"/>
    </bk>
    <bk>
      <rc t="1" v="1560"/>
    </bk>
    <bk>
      <rc t="1" v="1561"/>
    </bk>
    <bk>
      <rc t="1" v="1562"/>
    </bk>
    <bk>
      <rc t="1" v="1563"/>
    </bk>
    <bk>
      <rc t="1" v="1564"/>
    </bk>
    <bk>
      <rc t="1" v="1565"/>
    </bk>
    <bk>
      <rc t="1" v="1566"/>
    </bk>
    <bk>
      <rc t="1" v="1567"/>
    </bk>
    <bk>
      <rc t="1" v="1568"/>
    </bk>
    <bk>
      <rc t="1" v="1569"/>
    </bk>
    <bk>
      <rc t="1" v="1570"/>
    </bk>
    <bk>
      <rc t="1" v="1571"/>
    </bk>
    <bk>
      <rc t="1" v="1572"/>
    </bk>
    <bk>
      <rc t="1" v="1573"/>
    </bk>
    <bk>
      <rc t="1" v="1574"/>
    </bk>
    <bk>
      <rc t="1" v="1575"/>
    </bk>
    <bk>
      <rc t="1" v="1576"/>
    </bk>
    <bk>
      <rc t="1" v="1577"/>
    </bk>
    <bk>
      <rc t="1" v="1578"/>
    </bk>
    <bk>
      <rc t="1" v="1579"/>
    </bk>
    <bk>
      <rc t="1" v="1580"/>
    </bk>
    <bk>
      <rc t="1" v="1581"/>
    </bk>
    <bk>
      <rc t="1" v="1582"/>
    </bk>
    <bk>
      <rc t="1" v="1583"/>
    </bk>
    <bk>
      <rc t="1" v="1584"/>
    </bk>
    <bk>
      <rc t="1" v="1585"/>
    </bk>
    <bk>
      <rc t="1" v="1586"/>
    </bk>
    <bk>
      <rc t="1" v="1587"/>
    </bk>
    <bk>
      <rc t="1" v="1588"/>
    </bk>
    <bk>
      <rc t="1" v="1589"/>
    </bk>
    <bk>
      <rc t="1" v="1590"/>
    </bk>
    <bk>
      <rc t="1" v="1591"/>
    </bk>
    <bk>
      <rc t="1" v="1592"/>
    </bk>
    <bk>
      <rc t="1" v="1593"/>
    </bk>
    <bk>
      <rc t="1" v="1594"/>
    </bk>
    <bk>
      <rc t="1" v="1595"/>
    </bk>
    <bk>
      <rc t="1" v="1596"/>
    </bk>
    <bk>
      <rc t="1" v="1597"/>
    </bk>
    <bk>
      <rc t="1" v="1598"/>
    </bk>
    <bk>
      <rc t="1" v="1599"/>
    </bk>
    <bk>
      <rc t="1" v="1600"/>
    </bk>
    <bk>
      <rc t="1" v="1601"/>
    </bk>
    <bk>
      <rc t="1" v="1602"/>
    </bk>
    <bk>
      <rc t="1" v="1603"/>
    </bk>
    <bk>
      <rc t="1" v="1604"/>
    </bk>
    <bk>
      <rc t="1" v="1605"/>
    </bk>
    <bk>
      <rc t="1" v="1606"/>
    </bk>
    <bk>
      <rc t="1" v="1607"/>
    </bk>
    <bk>
      <rc t="1" v="1608"/>
    </bk>
    <bk>
      <rc t="1" v="1609"/>
    </bk>
    <bk>
      <rc t="1" v="1610"/>
    </bk>
    <bk>
      <rc t="1" v="1611"/>
    </bk>
    <bk>
      <rc t="1" v="1612"/>
    </bk>
    <bk>
      <rc t="1" v="1613"/>
    </bk>
    <bk>
      <rc t="1" v="1614"/>
    </bk>
    <bk>
      <rc t="1" v="1615"/>
    </bk>
    <bk>
      <rc t="1" v="1616"/>
    </bk>
    <bk>
      <rc t="1" v="1617"/>
    </bk>
    <bk>
      <rc t="1" v="1618"/>
    </bk>
    <bk>
      <rc t="1" v="1619"/>
    </bk>
    <bk>
      <rc t="1" v="1620"/>
    </bk>
    <bk>
      <rc t="1" v="1621"/>
    </bk>
    <bk>
      <rc t="1" v="1622"/>
    </bk>
    <bk>
      <rc t="1" v="1623"/>
    </bk>
    <bk>
      <rc t="1" v="1624"/>
    </bk>
    <bk>
      <rc t="1" v="1625"/>
    </bk>
    <bk>
      <rc t="1" v="1626"/>
    </bk>
    <bk>
      <rc t="1" v="1627"/>
    </bk>
    <bk>
      <rc t="1" v="1628"/>
    </bk>
    <bk>
      <rc t="1" v="1629"/>
    </bk>
    <bk>
      <rc t="1" v="1630"/>
    </bk>
    <bk>
      <rc t="1" v="1631"/>
    </bk>
    <bk>
      <rc t="1" v="1632"/>
    </bk>
    <bk>
      <rc t="1" v="1633"/>
    </bk>
    <bk>
      <rc t="1" v="1634"/>
    </bk>
    <bk>
      <rc t="1" v="1635"/>
    </bk>
    <bk>
      <rc t="1" v="1636"/>
    </bk>
    <bk>
      <rc t="1" v="1637"/>
    </bk>
    <bk>
      <rc t="1" v="1638"/>
    </bk>
    <bk>
      <rc t="1" v="1639"/>
    </bk>
    <bk>
      <rc t="1" v="1640"/>
    </bk>
    <bk>
      <rc t="1" v="1641"/>
    </bk>
    <bk>
      <rc t="1" v="1642"/>
    </bk>
    <bk>
      <rc t="1" v="1643"/>
    </bk>
    <bk>
      <rc t="1" v="1644"/>
    </bk>
    <bk>
      <rc t="1" v="1645"/>
    </bk>
    <bk>
      <rc t="1" v="1646"/>
    </bk>
    <bk>
      <rc t="1" v="1647"/>
    </bk>
    <bk>
      <rc t="1" v="1648"/>
    </bk>
    <bk>
      <rc t="1" v="1649"/>
    </bk>
    <bk>
      <rc t="1" v="1650"/>
    </bk>
    <bk>
      <rc t="1" v="1651"/>
    </bk>
    <bk>
      <rc t="1" v="1652"/>
    </bk>
    <bk>
      <rc t="1" v="1653"/>
    </bk>
    <bk>
      <rc t="1" v="1654"/>
    </bk>
    <bk>
      <rc t="1" v="1655"/>
    </bk>
    <bk>
      <rc t="1" v="1656"/>
    </bk>
    <bk>
      <rc t="1" v="1657"/>
    </bk>
    <bk>
      <rc t="1" v="1658"/>
    </bk>
    <bk>
      <rc t="1" v="1659"/>
    </bk>
    <bk>
      <rc t="1" v="1660"/>
    </bk>
    <bk>
      <rc t="1" v="1661"/>
    </bk>
    <bk>
      <rc t="1" v="1662"/>
    </bk>
    <bk>
      <rc t="1" v="1663"/>
    </bk>
    <bk>
      <rc t="1" v="1664"/>
    </bk>
    <bk>
      <rc t="1" v="1665"/>
    </bk>
    <bk>
      <rc t="1" v="1666"/>
    </bk>
    <bk>
      <rc t="1" v="1667"/>
    </bk>
    <bk>
      <rc t="1" v="1668"/>
    </bk>
    <bk>
      <rc t="1" v="1669"/>
    </bk>
    <bk>
      <rc t="1" v="1670"/>
    </bk>
    <bk>
      <rc t="1" v="1671"/>
    </bk>
    <bk>
      <rc t="1" v="1672"/>
    </bk>
    <bk>
      <rc t="1" v="1673"/>
    </bk>
    <bk>
      <rc t="1" v="1674"/>
    </bk>
    <bk>
      <rc t="1" v="1675"/>
    </bk>
    <bk>
      <rc t="1" v="1676"/>
    </bk>
    <bk>
      <rc t="1" v="1677"/>
    </bk>
    <bk>
      <rc t="1" v="1678"/>
    </bk>
    <bk>
      <rc t="1" v="1679"/>
    </bk>
    <bk>
      <rc t="1" v="1680"/>
    </bk>
    <bk>
      <rc t="1" v="1681"/>
    </bk>
    <bk>
      <rc t="1" v="1682"/>
    </bk>
    <bk>
      <rc t="1" v="1683"/>
    </bk>
    <bk>
      <rc t="1" v="1684"/>
    </bk>
    <bk>
      <rc t="1" v="1685"/>
    </bk>
    <bk>
      <rc t="1" v="1686"/>
    </bk>
    <bk>
      <rc t="1" v="1687"/>
    </bk>
    <bk>
      <rc t="1" v="1688"/>
    </bk>
    <bk>
      <rc t="1" v="1689"/>
    </bk>
    <bk>
      <rc t="1" v="1690"/>
    </bk>
    <bk>
      <rc t="1" v="1691"/>
    </bk>
    <bk>
      <rc t="1" v="1692"/>
    </bk>
    <bk>
      <rc t="1" v="1693"/>
    </bk>
    <bk>
      <rc t="1" v="1694"/>
    </bk>
    <bk>
      <rc t="1" v="1695"/>
    </bk>
    <bk>
      <rc t="1" v="1696"/>
    </bk>
    <bk>
      <rc t="1" v="1697"/>
    </bk>
    <bk>
      <rc t="1" v="1698"/>
    </bk>
    <bk>
      <rc t="1" v="1699"/>
    </bk>
    <bk>
      <rc t="1" v="1700"/>
    </bk>
    <bk>
      <rc t="1" v="1701"/>
    </bk>
    <bk>
      <rc t="1" v="1702"/>
    </bk>
    <bk>
      <rc t="1" v="1703"/>
    </bk>
    <bk>
      <rc t="1" v="1704"/>
    </bk>
    <bk>
      <rc t="1" v="1705"/>
    </bk>
    <bk>
      <rc t="1" v="1706"/>
    </bk>
    <bk>
      <rc t="1" v="1707"/>
    </bk>
    <bk>
      <rc t="1" v="1708"/>
    </bk>
    <bk>
      <rc t="1" v="1709"/>
    </bk>
    <bk>
      <rc t="1" v="1710"/>
    </bk>
    <bk>
      <rc t="1" v="1711"/>
    </bk>
    <bk>
      <rc t="1" v="1712"/>
    </bk>
    <bk>
      <rc t="1" v="1713"/>
    </bk>
    <bk>
      <rc t="1" v="1714"/>
    </bk>
    <bk>
      <rc t="1" v="1715"/>
    </bk>
    <bk>
      <rc t="1" v="1716"/>
    </bk>
    <bk>
      <rc t="1" v="1717"/>
    </bk>
    <bk>
      <rc t="1" v="1718"/>
    </bk>
    <bk>
      <rc t="1" v="1719"/>
    </bk>
    <bk>
      <rc t="1" v="1720"/>
    </bk>
    <bk>
      <rc t="1" v="1721"/>
    </bk>
    <bk>
      <rc t="1" v="1722"/>
    </bk>
    <bk>
      <rc t="1" v="1723"/>
    </bk>
    <bk>
      <rc t="1" v="1724"/>
    </bk>
    <bk>
      <rc t="1" v="1725"/>
    </bk>
    <bk>
      <rc t="1" v="1726"/>
    </bk>
    <bk>
      <rc t="1" v="1727"/>
    </bk>
    <bk>
      <rc t="1" v="1728"/>
    </bk>
    <bk>
      <rc t="1" v="1729"/>
    </bk>
    <bk>
      <rc t="1" v="1730"/>
    </bk>
    <bk>
      <rc t="1" v="1731"/>
    </bk>
    <bk>
      <rc t="1" v="1732"/>
    </bk>
    <bk>
      <rc t="1" v="1733"/>
    </bk>
    <bk>
      <rc t="1" v="1734"/>
    </bk>
    <bk>
      <rc t="1" v="1735"/>
    </bk>
    <bk>
      <rc t="1" v="1736"/>
    </bk>
    <bk>
      <rc t="1" v="1737"/>
    </bk>
    <bk>
      <rc t="1" v="1738"/>
    </bk>
    <bk>
      <rc t="1" v="1739"/>
    </bk>
    <bk>
      <rc t="1" v="1740"/>
    </bk>
    <bk>
      <rc t="1" v="1741"/>
    </bk>
    <bk>
      <rc t="1" v="1742"/>
    </bk>
    <bk>
      <rc t="1" v="1743"/>
    </bk>
    <bk>
      <rc t="1" v="1744"/>
    </bk>
    <bk>
      <rc t="1" v="1745"/>
    </bk>
    <bk>
      <rc t="1" v="1746"/>
    </bk>
    <bk>
      <rc t="1" v="1747"/>
    </bk>
    <bk>
      <rc t="1" v="1748"/>
    </bk>
    <bk>
      <rc t="1" v="1749"/>
    </bk>
    <bk>
      <rc t="1" v="1750"/>
    </bk>
    <bk>
      <rc t="1" v="1751"/>
    </bk>
    <bk>
      <rc t="1" v="1752"/>
    </bk>
    <bk>
      <rc t="1" v="1753"/>
    </bk>
    <bk>
      <rc t="1" v="1754"/>
    </bk>
    <bk>
      <rc t="1" v="1755"/>
    </bk>
    <bk>
      <rc t="1" v="1756"/>
    </bk>
    <bk>
      <rc t="1" v="1757"/>
    </bk>
    <bk>
      <rc t="1" v="1758"/>
    </bk>
    <bk>
      <rc t="1" v="1759"/>
    </bk>
    <bk>
      <rc t="1" v="1760"/>
    </bk>
    <bk>
      <rc t="1" v="1761"/>
    </bk>
    <bk>
      <rc t="1" v="1762"/>
    </bk>
    <bk>
      <rc t="1" v="1763"/>
    </bk>
    <bk>
      <rc t="1" v="1764"/>
    </bk>
    <bk>
      <rc t="1" v="1765"/>
    </bk>
    <bk>
      <rc t="1" v="1766"/>
    </bk>
    <bk>
      <rc t="1" v="1767"/>
    </bk>
    <bk>
      <rc t="1" v="1768"/>
    </bk>
    <bk>
      <rc t="1" v="1769"/>
    </bk>
    <bk>
      <rc t="1" v="1770"/>
    </bk>
    <bk>
      <rc t="1" v="1771"/>
    </bk>
    <bk>
      <rc t="1" v="1772"/>
    </bk>
    <bk>
      <rc t="1" v="1773"/>
    </bk>
    <bk>
      <rc t="1" v="1774"/>
    </bk>
    <bk>
      <rc t="1" v="1775"/>
    </bk>
    <bk>
      <rc t="1" v="1776"/>
    </bk>
    <bk>
      <rc t="1" v="1777"/>
    </bk>
    <bk>
      <rc t="1" v="1778"/>
    </bk>
    <bk>
      <rc t="1" v="1779"/>
    </bk>
    <bk>
      <rc t="1" v="1780"/>
    </bk>
    <bk>
      <rc t="1" v="1781"/>
    </bk>
    <bk>
      <rc t="1" v="1782"/>
    </bk>
    <bk>
      <rc t="1" v="1783"/>
    </bk>
    <bk>
      <rc t="1" v="1784"/>
    </bk>
    <bk>
      <rc t="1" v="1785"/>
    </bk>
    <bk>
      <rc t="1" v="1786"/>
    </bk>
    <bk>
      <rc t="1" v="1787"/>
    </bk>
    <bk>
      <rc t="1" v="1788"/>
    </bk>
    <bk>
      <rc t="1" v="1789"/>
    </bk>
    <bk>
      <rc t="1" v="1790"/>
    </bk>
    <bk>
      <rc t="1" v="1791"/>
    </bk>
    <bk>
      <rc t="1" v="1792"/>
    </bk>
    <bk>
      <rc t="1" v="1793"/>
    </bk>
    <bk>
      <rc t="1" v="1794"/>
    </bk>
    <bk>
      <rc t="1" v="1795"/>
    </bk>
    <bk>
      <rc t="1" v="1796"/>
    </bk>
    <bk>
      <rc t="1" v="1797"/>
    </bk>
    <bk>
      <rc t="1" v="1798"/>
    </bk>
    <bk>
      <rc t="1" v="1799"/>
    </bk>
    <bk>
      <rc t="1" v="1800"/>
    </bk>
    <bk>
      <rc t="1" v="1801"/>
    </bk>
    <bk>
      <rc t="1" v="1802"/>
    </bk>
    <bk>
      <rc t="1" v="1803"/>
    </bk>
    <bk>
      <rc t="1" v="1804"/>
    </bk>
    <bk>
      <rc t="1" v="1805"/>
    </bk>
    <bk>
      <rc t="1" v="1806"/>
    </bk>
    <bk>
      <rc t="1" v="1807"/>
    </bk>
    <bk>
      <rc t="1" v="1808"/>
    </bk>
    <bk>
      <rc t="1" v="1809"/>
    </bk>
    <bk>
      <rc t="1" v="1810"/>
    </bk>
    <bk>
      <rc t="1" v="1811"/>
    </bk>
    <bk>
      <rc t="1" v="1812"/>
    </bk>
    <bk>
      <rc t="1" v="1813"/>
    </bk>
    <bk>
      <rc t="1" v="1814"/>
    </bk>
    <bk>
      <rc t="1" v="1815"/>
    </bk>
    <bk>
      <rc t="1" v="1816"/>
    </bk>
    <bk>
      <rc t="1" v="1817"/>
    </bk>
    <bk>
      <rc t="1" v="1818"/>
    </bk>
    <bk>
      <rc t="1" v="1819"/>
    </bk>
    <bk>
      <rc t="1" v="1820"/>
    </bk>
    <bk>
      <rc t="1" v="1821"/>
    </bk>
    <bk>
      <rc t="1" v="1822"/>
    </bk>
    <bk>
      <rc t="1" v="1823"/>
    </bk>
    <bk>
      <rc t="1" v="1824"/>
    </bk>
    <bk>
      <rc t="1" v="1825"/>
    </bk>
    <bk>
      <rc t="1" v="1826"/>
    </bk>
    <bk>
      <rc t="1" v="1827"/>
    </bk>
    <bk>
      <rc t="1" v="1828"/>
    </bk>
    <bk>
      <rc t="1" v="1829"/>
    </bk>
    <bk>
      <rc t="1" v="1830"/>
    </bk>
    <bk>
      <rc t="1" v="1831"/>
    </bk>
    <bk>
      <rc t="1" v="1832"/>
    </bk>
    <bk>
      <rc t="1" v="1833"/>
    </bk>
    <bk>
      <rc t="1" v="1834"/>
    </bk>
    <bk>
      <rc t="1" v="1835"/>
    </bk>
    <bk>
      <rc t="1" v="1836"/>
    </bk>
    <bk>
      <rc t="1" v="1837"/>
    </bk>
    <bk>
      <rc t="1" v="1838"/>
    </bk>
    <bk>
      <rc t="1" v="1839"/>
    </bk>
    <bk>
      <rc t="1" v="1840"/>
    </bk>
    <bk>
      <rc t="1" v="1841"/>
    </bk>
    <bk>
      <rc t="1" v="1842"/>
    </bk>
    <bk>
      <rc t="1" v="1843"/>
    </bk>
    <bk>
      <rc t="1" v="1844"/>
    </bk>
    <bk>
      <rc t="1" v="1845"/>
    </bk>
    <bk>
      <rc t="1" v="1846"/>
    </bk>
    <bk>
      <rc t="1" v="1847"/>
    </bk>
    <bk>
      <rc t="1" v="1848"/>
    </bk>
    <bk>
      <rc t="1" v="1849"/>
    </bk>
    <bk>
      <rc t="1" v="1850"/>
    </bk>
    <bk>
      <rc t="1" v="1851"/>
    </bk>
    <bk>
      <rc t="1" v="1852"/>
    </bk>
    <bk>
      <rc t="1" v="1853"/>
    </bk>
    <bk>
      <rc t="1" v="1854"/>
    </bk>
    <bk>
      <rc t="1" v="1855"/>
    </bk>
    <bk>
      <rc t="1" v="1856"/>
    </bk>
    <bk>
      <rc t="1" v="1857"/>
    </bk>
    <bk>
      <rc t="1" v="1858"/>
    </bk>
    <bk>
      <rc t="1" v="1859"/>
    </bk>
    <bk>
      <rc t="1" v="1860"/>
    </bk>
    <bk>
      <rc t="1" v="1861"/>
    </bk>
    <bk>
      <rc t="1" v="1862"/>
    </bk>
    <bk>
      <rc t="1" v="1863"/>
    </bk>
    <bk>
      <rc t="1" v="1864"/>
    </bk>
    <bk>
      <rc t="1" v="1865"/>
    </bk>
    <bk>
      <rc t="1" v="1866"/>
    </bk>
    <bk>
      <rc t="1" v="1867"/>
    </bk>
    <bk>
      <rc t="1" v="1868"/>
    </bk>
    <bk>
      <rc t="1" v="1869"/>
    </bk>
    <bk>
      <rc t="1" v="1870"/>
    </bk>
    <bk>
      <rc t="1" v="1871"/>
    </bk>
    <bk>
      <rc t="1" v="1872"/>
    </bk>
    <bk>
      <rc t="1" v="1873"/>
    </bk>
    <bk>
      <rc t="1" v="1874"/>
    </bk>
    <bk>
      <rc t="1" v="1875"/>
    </bk>
    <bk>
      <rc t="1" v="1876"/>
    </bk>
    <bk>
      <rc t="1" v="1877"/>
    </bk>
    <bk>
      <rc t="1" v="1878"/>
    </bk>
    <bk>
      <rc t="1" v="1879"/>
    </bk>
    <bk>
      <rc t="1" v="1880"/>
    </bk>
    <bk>
      <rc t="1" v="1881"/>
    </bk>
    <bk>
      <rc t="1" v="1882"/>
    </bk>
    <bk>
      <rc t="1" v="1883"/>
    </bk>
    <bk>
      <rc t="1" v="1884"/>
    </bk>
    <bk>
      <rc t="1" v="1885"/>
    </bk>
    <bk>
      <rc t="1" v="1886"/>
    </bk>
    <bk>
      <rc t="1" v="1887"/>
    </bk>
    <bk>
      <rc t="1" v="1888"/>
    </bk>
    <bk>
      <rc t="1" v="1889"/>
    </bk>
    <bk>
      <rc t="1" v="1890"/>
    </bk>
    <bk>
      <rc t="1" v="1891"/>
    </bk>
    <bk>
      <rc t="1" v="1892"/>
    </bk>
    <bk>
      <rc t="1" v="1893"/>
    </bk>
    <bk>
      <rc t="1" v="1894"/>
    </bk>
    <bk>
      <rc t="1" v="1895"/>
    </bk>
    <bk>
      <rc t="1" v="1896"/>
    </bk>
    <bk>
      <rc t="1" v="1897"/>
    </bk>
    <bk>
      <rc t="1" v="1898"/>
    </bk>
    <bk>
      <rc t="1" v="1899"/>
    </bk>
    <bk>
      <rc t="1" v="1900"/>
    </bk>
    <bk>
      <rc t="1" v="1901"/>
    </bk>
    <bk>
      <rc t="1" v="1902"/>
    </bk>
    <bk>
      <rc t="1" v="1903"/>
    </bk>
    <bk>
      <rc t="1" v="1904"/>
    </bk>
    <bk>
      <rc t="1" v="1905"/>
    </bk>
    <bk>
      <rc t="1" v="1906"/>
    </bk>
    <bk>
      <rc t="1" v="1907"/>
    </bk>
    <bk>
      <rc t="1" v="1908"/>
    </bk>
    <bk>
      <rc t="1" v="1909"/>
    </bk>
    <bk>
      <rc t="1" v="1910"/>
    </bk>
    <bk>
      <rc t="1" v="1911"/>
    </bk>
    <bk>
      <rc t="1" v="1912"/>
    </bk>
    <bk>
      <rc t="1" v="1913"/>
    </bk>
    <bk>
      <rc t="1" v="1914"/>
    </bk>
    <bk>
      <rc t="1" v="1915"/>
    </bk>
    <bk>
      <rc t="1" v="1916"/>
    </bk>
    <bk>
      <rc t="1" v="1917"/>
    </bk>
    <bk>
      <rc t="1" v="1918"/>
    </bk>
    <bk>
      <rc t="1" v="1919"/>
    </bk>
    <bk>
      <rc t="1" v="1920"/>
    </bk>
    <bk>
      <rc t="1" v="1921"/>
    </bk>
    <bk>
      <rc t="1" v="1922"/>
    </bk>
    <bk>
      <rc t="1" v="1923"/>
    </bk>
    <bk>
      <rc t="1" v="1924"/>
    </bk>
    <bk>
      <rc t="1" v="1925"/>
    </bk>
    <bk>
      <rc t="1" v="1926"/>
    </bk>
    <bk>
      <rc t="1" v="1927"/>
    </bk>
    <bk>
      <rc t="1" v="1928"/>
    </bk>
    <bk>
      <rc t="1" v="1929"/>
    </bk>
    <bk>
      <rc t="1" v="1930"/>
    </bk>
    <bk>
      <rc t="1" v="1931"/>
    </bk>
    <bk>
      <rc t="1" v="1932"/>
    </bk>
    <bk>
      <rc t="1" v="1933"/>
    </bk>
    <bk>
      <rc t="1" v="1934"/>
    </bk>
    <bk>
      <rc t="1" v="1935"/>
    </bk>
    <bk>
      <rc t="1" v="1936"/>
    </bk>
    <bk>
      <rc t="1" v="1937"/>
    </bk>
    <bk>
      <rc t="1" v="1938"/>
    </bk>
    <bk>
      <rc t="1" v="1939"/>
    </bk>
    <bk>
      <rc t="1" v="1940"/>
    </bk>
    <bk>
      <rc t="1" v="1941"/>
    </bk>
    <bk>
      <rc t="1" v="1942"/>
    </bk>
    <bk>
      <rc t="1" v="1943"/>
    </bk>
    <bk>
      <rc t="1" v="1944"/>
    </bk>
    <bk>
      <rc t="1" v="1945"/>
    </bk>
    <bk>
      <rc t="1" v="1946"/>
    </bk>
    <bk>
      <rc t="1" v="1947"/>
    </bk>
    <bk>
      <rc t="1" v="1948"/>
    </bk>
    <bk>
      <rc t="1" v="1949"/>
    </bk>
    <bk>
      <rc t="1" v="1950"/>
    </bk>
    <bk>
      <rc t="1" v="1951"/>
    </bk>
    <bk>
      <rc t="1" v="1952"/>
    </bk>
    <bk>
      <rc t="1" v="1953"/>
    </bk>
    <bk>
      <rc t="1" v="1954"/>
    </bk>
    <bk>
      <rc t="1" v="1955"/>
    </bk>
    <bk>
      <rc t="1" v="1956"/>
    </bk>
    <bk>
      <rc t="1" v="1957"/>
    </bk>
    <bk>
      <rc t="1" v="1958"/>
    </bk>
    <bk>
      <rc t="1" v="1959"/>
    </bk>
    <bk>
      <rc t="1" v="1960"/>
    </bk>
    <bk>
      <rc t="1" v="1961"/>
    </bk>
    <bk>
      <rc t="1" v="1962"/>
    </bk>
    <bk>
      <rc t="1" v="1963"/>
    </bk>
    <bk>
      <rc t="1" v="1964"/>
    </bk>
    <bk>
      <rc t="1" v="1965"/>
    </bk>
    <bk>
      <rc t="1" v="1966"/>
    </bk>
    <bk>
      <rc t="1" v="1967"/>
    </bk>
    <bk>
      <rc t="1" v="1968"/>
    </bk>
    <bk>
      <rc t="1" v="1969"/>
    </bk>
    <bk>
      <rc t="1" v="1970"/>
    </bk>
    <bk>
      <rc t="1" v="1971"/>
    </bk>
    <bk>
      <rc t="1" v="1972"/>
    </bk>
    <bk>
      <rc t="1" v="1973"/>
    </bk>
    <bk>
      <rc t="1" v="1974"/>
    </bk>
    <bk>
      <rc t="1" v="1975"/>
    </bk>
    <bk>
      <rc t="1" v="1976"/>
    </bk>
    <bk>
      <rc t="1" v="1977"/>
    </bk>
    <bk>
      <rc t="1" v="1978"/>
    </bk>
    <bk>
      <rc t="1" v="1979"/>
    </bk>
    <bk>
      <rc t="1" v="1980"/>
    </bk>
    <bk>
      <rc t="1" v="1981"/>
    </bk>
    <bk>
      <rc t="1" v="1982"/>
    </bk>
    <bk>
      <rc t="1" v="1983"/>
    </bk>
    <bk>
      <rc t="1" v="1984"/>
    </bk>
    <bk>
      <rc t="1" v="1985"/>
    </bk>
    <bk>
      <rc t="1" v="1986"/>
    </bk>
    <bk>
      <rc t="1" v="1987"/>
    </bk>
    <bk>
      <rc t="1" v="1988"/>
    </bk>
    <bk>
      <rc t="1" v="1989"/>
    </bk>
    <bk>
      <rc t="1" v="1990"/>
    </bk>
    <bk>
      <rc t="1" v="1991"/>
    </bk>
    <bk>
      <rc t="1" v="1992"/>
    </bk>
    <bk>
      <rc t="1" v="1993"/>
    </bk>
    <bk>
      <rc t="1" v="1994"/>
    </bk>
    <bk>
      <rc t="1" v="1995"/>
    </bk>
    <bk>
      <rc t="1" v="1996"/>
    </bk>
    <bk>
      <rc t="1" v="1997"/>
    </bk>
    <bk>
      <rc t="1" v="1998"/>
    </bk>
    <bk>
      <rc t="1" v="1999"/>
    </bk>
    <bk>
      <rc t="1" v="2000"/>
    </bk>
    <bk>
      <rc t="1" v="2001"/>
    </bk>
    <bk>
      <rc t="1" v="2002"/>
    </bk>
    <bk>
      <rc t="1" v="2003"/>
    </bk>
    <bk>
      <rc t="1" v="2004"/>
    </bk>
    <bk>
      <rc t="1" v="2005"/>
    </bk>
    <bk>
      <rc t="1" v="2006"/>
    </bk>
    <bk>
      <rc t="1" v="2007"/>
    </bk>
    <bk>
      <rc t="1" v="2008"/>
    </bk>
    <bk>
      <rc t="1" v="2009"/>
    </bk>
    <bk>
      <rc t="1" v="2010"/>
    </bk>
    <bk>
      <rc t="1" v="2011"/>
    </bk>
    <bk>
      <rc t="1" v="2012"/>
    </bk>
    <bk>
      <rc t="1" v="2013"/>
    </bk>
    <bk>
      <rc t="1" v="2014"/>
    </bk>
    <bk>
      <rc t="1" v="2015"/>
    </bk>
    <bk>
      <rc t="1" v="2016"/>
    </bk>
    <bk>
      <rc t="1" v="2017"/>
    </bk>
    <bk>
      <rc t="1" v="2018"/>
    </bk>
    <bk>
      <rc t="1" v="2019"/>
    </bk>
    <bk>
      <rc t="1" v="2020"/>
    </bk>
    <bk>
      <rc t="1" v="2021"/>
    </bk>
    <bk>
      <rc t="1" v="2022"/>
    </bk>
    <bk>
      <rc t="1" v="2023"/>
    </bk>
    <bk>
      <rc t="1" v="2024"/>
    </bk>
    <bk>
      <rc t="1" v="2025"/>
    </bk>
    <bk>
      <rc t="1" v="2026"/>
    </bk>
    <bk>
      <rc t="1" v="2027"/>
    </bk>
    <bk>
      <rc t="1" v="2028"/>
    </bk>
    <bk>
      <rc t="1" v="2029"/>
    </bk>
    <bk>
      <rc t="1" v="2030"/>
    </bk>
    <bk>
      <rc t="1" v="2031"/>
    </bk>
    <bk>
      <rc t="1" v="2032"/>
    </bk>
    <bk>
      <rc t="1" v="2033"/>
    </bk>
    <bk>
      <rc t="1" v="2034"/>
    </bk>
    <bk>
      <rc t="1" v="2035"/>
    </bk>
    <bk>
      <rc t="1" v="2036"/>
    </bk>
    <bk>
      <rc t="1" v="2037"/>
    </bk>
    <bk>
      <rc t="1" v="2038"/>
    </bk>
    <bk>
      <rc t="1" v="2039"/>
    </bk>
    <bk>
      <rc t="1" v="2040"/>
    </bk>
    <bk>
      <rc t="1" v="2041"/>
    </bk>
    <bk>
      <rc t="1" v="2042"/>
    </bk>
    <bk>
      <rc t="1" v="2043"/>
    </bk>
    <bk>
      <rc t="1" v="2044"/>
    </bk>
    <bk>
      <rc t="1" v="2045"/>
    </bk>
    <bk>
      <rc t="1" v="2046"/>
    </bk>
    <bk>
      <rc t="1" v="2047"/>
    </bk>
    <bk>
      <rc t="1" v="2048"/>
    </bk>
    <bk>
      <rc t="1" v="2049"/>
    </bk>
    <bk>
      <rc t="1" v="2050"/>
    </bk>
    <bk>
      <rc t="1" v="2051"/>
    </bk>
    <bk>
      <rc t="1" v="2052"/>
    </bk>
    <bk>
      <rc t="1" v="2053"/>
    </bk>
    <bk>
      <rc t="1" v="2054"/>
    </bk>
    <bk>
      <rc t="1" v="2055"/>
    </bk>
    <bk>
      <rc t="1" v="2056"/>
    </bk>
    <bk>
      <rc t="1" v="2057"/>
    </bk>
    <bk>
      <rc t="1" v="2058"/>
    </bk>
    <bk>
      <rc t="1" v="2059"/>
    </bk>
    <bk>
      <rc t="1" v="2060"/>
    </bk>
    <bk>
      <rc t="1" v="2061"/>
    </bk>
    <bk>
      <rc t="1" v="2062"/>
    </bk>
    <bk>
      <rc t="1" v="2063"/>
    </bk>
    <bk>
      <rc t="1" v="2064"/>
    </bk>
    <bk>
      <rc t="1" v="2065"/>
    </bk>
    <bk>
      <rc t="1" v="2066"/>
    </bk>
    <bk>
      <rc t="1" v="2067"/>
    </bk>
    <bk>
      <rc t="1" v="2068"/>
    </bk>
    <bk>
      <rc t="1" v="2069"/>
    </bk>
    <bk>
      <rc t="1" v="2070"/>
    </bk>
    <bk>
      <rc t="1" v="2071"/>
    </bk>
    <bk>
      <rc t="1" v="2072"/>
    </bk>
    <bk>
      <rc t="1" v="2073"/>
    </bk>
    <bk>
      <rc t="1" v="2074"/>
    </bk>
    <bk>
      <rc t="1" v="2075"/>
    </bk>
    <bk>
      <rc t="1" v="2076"/>
    </bk>
    <bk>
      <rc t="1" v="2077"/>
    </bk>
    <bk>
      <rc t="1" v="2078"/>
    </bk>
    <bk>
      <rc t="1" v="2079"/>
    </bk>
    <bk>
      <rc t="1" v="2080"/>
    </bk>
    <bk>
      <rc t="1" v="2081"/>
    </bk>
    <bk>
      <rc t="1" v="2082"/>
    </bk>
    <bk>
      <rc t="1" v="2083"/>
    </bk>
    <bk>
      <rc t="1" v="2084"/>
    </bk>
    <bk>
      <rc t="1" v="2085"/>
    </bk>
    <bk>
      <rc t="1" v="2086"/>
    </bk>
    <bk>
      <rc t="1" v="2087"/>
    </bk>
    <bk>
      <rc t="1" v="2088"/>
    </bk>
    <bk>
      <rc t="1" v="2089"/>
    </bk>
    <bk>
      <rc t="1" v="2090"/>
    </bk>
    <bk>
      <rc t="1" v="2091"/>
    </bk>
    <bk>
      <rc t="1" v="2092"/>
    </bk>
    <bk>
      <rc t="1" v="2093"/>
    </bk>
    <bk>
      <rc t="1" v="2094"/>
    </bk>
    <bk>
      <rc t="1" v="2095"/>
    </bk>
    <bk>
      <rc t="1" v="2096"/>
    </bk>
    <bk>
      <rc t="1" v="2097"/>
    </bk>
    <bk>
      <rc t="1" v="2098"/>
    </bk>
    <bk>
      <rc t="1" v="2099"/>
    </bk>
    <bk>
      <rc t="1" v="2100"/>
    </bk>
    <bk>
      <rc t="1" v="2101"/>
    </bk>
    <bk>
      <rc t="1" v="2102"/>
    </bk>
    <bk>
      <rc t="1" v="2103"/>
    </bk>
    <bk>
      <rc t="1" v="2104"/>
    </bk>
    <bk>
      <rc t="1" v="2105"/>
    </bk>
    <bk>
      <rc t="1" v="2106"/>
    </bk>
    <bk>
      <rc t="1" v="2107"/>
    </bk>
    <bk>
      <rc t="1" v="2108"/>
    </bk>
    <bk>
      <rc t="1" v="2109"/>
    </bk>
    <bk>
      <rc t="1" v="2110"/>
    </bk>
    <bk>
      <rc t="1" v="2111"/>
    </bk>
    <bk>
      <rc t="1" v="2112"/>
    </bk>
    <bk>
      <rc t="1" v="2113"/>
    </bk>
    <bk>
      <rc t="1" v="2114"/>
    </bk>
    <bk>
      <rc t="1" v="2115"/>
    </bk>
    <bk>
      <rc t="1" v="2116"/>
    </bk>
    <bk>
      <rc t="1" v="2117"/>
    </bk>
    <bk>
      <rc t="1" v="2118"/>
    </bk>
    <bk>
      <rc t="1" v="2119"/>
    </bk>
    <bk>
      <rc t="1" v="2120"/>
    </bk>
    <bk>
      <rc t="1" v="2121"/>
    </bk>
    <bk>
      <rc t="1" v="2122"/>
    </bk>
    <bk>
      <rc t="1" v="2123"/>
    </bk>
    <bk>
      <rc t="1" v="2124"/>
    </bk>
    <bk>
      <rc t="1" v="2125"/>
    </bk>
    <bk>
      <rc t="1" v="2126"/>
    </bk>
    <bk>
      <rc t="1" v="2127"/>
    </bk>
    <bk>
      <rc t="1" v="2128"/>
    </bk>
    <bk>
      <rc t="1" v="2129"/>
    </bk>
    <bk>
      <rc t="1" v="2130"/>
    </bk>
    <bk>
      <rc t="1" v="2131"/>
    </bk>
    <bk>
      <rc t="1" v="2132"/>
    </bk>
    <bk>
      <rc t="1" v="2133"/>
    </bk>
    <bk>
      <rc t="1" v="2134"/>
    </bk>
    <bk>
      <rc t="1" v="2135"/>
    </bk>
    <bk>
      <rc t="1" v="2136"/>
    </bk>
    <bk>
      <rc t="1" v="2137"/>
    </bk>
    <bk>
      <rc t="1" v="2138"/>
    </bk>
    <bk>
      <rc t="1" v="2139"/>
    </bk>
    <bk>
      <rc t="1" v="2140"/>
    </bk>
    <bk>
      <rc t="1" v="2141"/>
    </bk>
    <bk>
      <rc t="1" v="2142"/>
    </bk>
    <bk>
      <rc t="1" v="2143"/>
    </bk>
    <bk>
      <rc t="1" v="2144"/>
    </bk>
    <bk>
      <rc t="1" v="2145"/>
    </bk>
    <bk>
      <rc t="1" v="2146"/>
    </bk>
    <bk>
      <rc t="1" v="2147"/>
    </bk>
    <bk>
      <rc t="1" v="2148"/>
    </bk>
    <bk>
      <rc t="1" v="2149"/>
    </bk>
    <bk>
      <rc t="1" v="2150"/>
    </bk>
    <bk>
      <rc t="1" v="2151"/>
    </bk>
    <bk>
      <rc t="1" v="2152"/>
    </bk>
    <bk>
      <rc t="1" v="2153"/>
    </bk>
    <bk>
      <rc t="1" v="2154"/>
    </bk>
    <bk>
      <rc t="1" v="2155"/>
    </bk>
    <bk>
      <rc t="1" v="2156"/>
    </bk>
    <bk>
      <rc t="1" v="2157"/>
    </bk>
    <bk>
      <rc t="1" v="2158"/>
    </bk>
    <bk>
      <rc t="1" v="2159"/>
    </bk>
    <bk>
      <rc t="1" v="2160"/>
    </bk>
    <bk>
      <rc t="1" v="2161"/>
    </bk>
    <bk>
      <rc t="1" v="2162"/>
    </bk>
    <bk>
      <rc t="1" v="2163"/>
    </bk>
    <bk>
      <rc t="1" v="2164"/>
    </bk>
    <bk>
      <rc t="1" v="2165"/>
    </bk>
    <bk>
      <rc t="1" v="2166"/>
    </bk>
    <bk>
      <rc t="1" v="2167"/>
    </bk>
    <bk>
      <rc t="1" v="2168"/>
    </bk>
    <bk>
      <rc t="1" v="2169"/>
    </bk>
    <bk>
      <rc t="1" v="2170"/>
    </bk>
    <bk>
      <rc t="1" v="2171"/>
    </bk>
    <bk>
      <rc t="1" v="2172"/>
    </bk>
    <bk>
      <rc t="1" v="2173"/>
    </bk>
    <bk>
      <rc t="1" v="2174"/>
    </bk>
    <bk>
      <rc t="1" v="2175"/>
    </bk>
    <bk>
      <rc t="1" v="2176"/>
    </bk>
    <bk>
      <rc t="1" v="2177"/>
    </bk>
    <bk>
      <rc t="1" v="2178"/>
    </bk>
    <bk>
      <rc t="1" v="2179"/>
    </bk>
    <bk>
      <rc t="1" v="2180"/>
    </bk>
    <bk>
      <rc t="1" v="2181"/>
    </bk>
    <bk>
      <rc t="1" v="2182"/>
    </bk>
    <bk>
      <rc t="1" v="2183"/>
    </bk>
    <bk>
      <rc t="1" v="2184"/>
    </bk>
    <bk>
      <rc t="1" v="2185"/>
    </bk>
    <bk>
      <rc t="1" v="2186"/>
    </bk>
    <bk>
      <rc t="1" v="2187"/>
    </bk>
    <bk>
      <rc t="1" v="2188"/>
    </bk>
    <bk>
      <rc t="1" v="2189"/>
    </bk>
    <bk>
      <rc t="1" v="2190"/>
    </bk>
    <bk>
      <rc t="1" v="2191"/>
    </bk>
    <bk>
      <rc t="1" v="2192"/>
    </bk>
    <bk>
      <rc t="1" v="2193"/>
    </bk>
    <bk>
      <rc t="1" v="2194"/>
    </bk>
    <bk>
      <rc t="1" v="2195"/>
    </bk>
    <bk>
      <rc t="1" v="2196"/>
    </bk>
    <bk>
      <rc t="1" v="2197"/>
    </bk>
    <bk>
      <rc t="1" v="2198"/>
    </bk>
    <bk>
      <rc t="1" v="2199"/>
    </bk>
    <bk>
      <rc t="1" v="2200"/>
    </bk>
    <bk>
      <rc t="1" v="2201"/>
    </bk>
    <bk>
      <rc t="1" v="2202"/>
    </bk>
    <bk>
      <rc t="1" v="2203"/>
    </bk>
    <bk>
      <rc t="1" v="2204"/>
    </bk>
    <bk>
      <rc t="1" v="2205"/>
    </bk>
    <bk>
      <rc t="1" v="2206"/>
    </bk>
    <bk>
      <rc t="1" v="2207"/>
    </bk>
    <bk>
      <rc t="1" v="2208"/>
    </bk>
    <bk>
      <rc t="1" v="2209"/>
    </bk>
    <bk>
      <rc t="1" v="2210"/>
    </bk>
    <bk>
      <rc t="1" v="2211"/>
    </bk>
    <bk>
      <rc t="1" v="2212"/>
    </bk>
    <bk>
      <rc t="1" v="2213"/>
    </bk>
    <bk>
      <rc t="1" v="2214"/>
    </bk>
    <bk>
      <rc t="1" v="2215"/>
    </bk>
    <bk>
      <rc t="1" v="2216"/>
    </bk>
    <bk>
      <rc t="1" v="2217"/>
    </bk>
    <bk>
      <rc t="1" v="2218"/>
    </bk>
    <bk>
      <rc t="1" v="2219"/>
    </bk>
    <bk>
      <rc t="1" v="2220"/>
    </bk>
    <bk>
      <rc t="1" v="2221"/>
    </bk>
    <bk>
      <rc t="1" v="2222"/>
    </bk>
    <bk>
      <rc t="1" v="2223"/>
    </bk>
    <bk>
      <rc t="1" v="2224"/>
    </bk>
    <bk>
      <rc t="1" v="2225"/>
    </bk>
    <bk>
      <rc t="1" v="2226"/>
    </bk>
    <bk>
      <rc t="1" v="2227"/>
    </bk>
    <bk>
      <rc t="1" v="2228"/>
    </bk>
    <bk>
      <rc t="1" v="2229"/>
    </bk>
    <bk>
      <rc t="1" v="2230"/>
    </bk>
    <bk>
      <rc t="1" v="2231"/>
    </bk>
    <bk>
      <rc t="1" v="2232"/>
    </bk>
    <bk>
      <rc t="1" v="2233"/>
    </bk>
    <bk>
      <rc t="1" v="2234"/>
    </bk>
    <bk>
      <rc t="1" v="2235"/>
    </bk>
    <bk>
      <rc t="1" v="2236"/>
    </bk>
    <bk>
      <rc t="1" v="2237"/>
    </bk>
    <bk>
      <rc t="1" v="2238"/>
    </bk>
    <bk>
      <rc t="1" v="2239"/>
    </bk>
    <bk>
      <rc t="1" v="2240"/>
    </bk>
    <bk>
      <rc t="1" v="2241"/>
    </bk>
    <bk>
      <rc t="1" v="2242"/>
    </bk>
    <bk>
      <rc t="1" v="2243"/>
    </bk>
    <bk>
      <rc t="1" v="2244"/>
    </bk>
    <bk>
      <rc t="1" v="2245"/>
    </bk>
    <bk>
      <rc t="1" v="2246"/>
    </bk>
    <bk>
      <rc t="1" v="2247"/>
    </bk>
    <bk>
      <rc t="1" v="2248"/>
    </bk>
    <bk>
      <rc t="1" v="2249"/>
    </bk>
    <bk>
      <rc t="1" v="2250"/>
    </bk>
    <bk>
      <rc t="1" v="2251"/>
    </bk>
    <bk>
      <rc t="1" v="2252"/>
    </bk>
    <bk>
      <rc t="1" v="2253"/>
    </bk>
    <bk>
      <rc t="1" v="2254"/>
    </bk>
    <bk>
      <rc t="1" v="2255"/>
    </bk>
    <bk>
      <rc t="1" v="2256"/>
    </bk>
    <bk>
      <rc t="1" v="2257"/>
    </bk>
    <bk>
      <rc t="1" v="2258"/>
    </bk>
    <bk>
      <rc t="1" v="2259"/>
    </bk>
    <bk>
      <rc t="1" v="2260"/>
    </bk>
    <bk>
      <rc t="1" v="2261"/>
    </bk>
    <bk>
      <rc t="1" v="2262"/>
    </bk>
    <bk>
      <rc t="1" v="2263"/>
    </bk>
    <bk>
      <rc t="1" v="2264"/>
    </bk>
    <bk>
      <rc t="1" v="2265"/>
    </bk>
    <bk>
      <rc t="1" v="2266"/>
    </bk>
    <bk>
      <rc t="1" v="2267"/>
    </bk>
    <bk>
      <rc t="1" v="2268"/>
    </bk>
    <bk>
      <rc t="1" v="2269"/>
    </bk>
    <bk>
      <rc t="1" v="2270"/>
    </bk>
    <bk>
      <rc t="1" v="2271"/>
    </bk>
    <bk>
      <rc t="1" v="2272"/>
    </bk>
    <bk>
      <rc t="1" v="2273"/>
    </bk>
    <bk>
      <rc t="1" v="2274"/>
    </bk>
    <bk>
      <rc t="1" v="2275"/>
    </bk>
    <bk>
      <rc t="1" v="2276"/>
    </bk>
    <bk>
      <rc t="1" v="2277"/>
    </bk>
    <bk>
      <rc t="1" v="2278"/>
    </bk>
    <bk>
      <rc t="1" v="2279"/>
    </bk>
    <bk>
      <rc t="1" v="2280"/>
    </bk>
    <bk>
      <rc t="1" v="2281"/>
    </bk>
    <bk>
      <rc t="1" v="2282"/>
    </bk>
    <bk>
      <rc t="1" v="2283"/>
    </bk>
    <bk>
      <rc t="1" v="2284"/>
    </bk>
    <bk>
      <rc t="1" v="2285"/>
    </bk>
    <bk>
      <rc t="1" v="2286"/>
    </bk>
    <bk>
      <rc t="1" v="2287"/>
    </bk>
    <bk>
      <rc t="1" v="2288"/>
    </bk>
    <bk>
      <rc t="1" v="2289"/>
    </bk>
    <bk>
      <rc t="1" v="2290"/>
    </bk>
    <bk>
      <rc t="1" v="2291"/>
    </bk>
    <bk>
      <rc t="1" v="2292"/>
    </bk>
    <bk>
      <rc t="1" v="2293"/>
    </bk>
    <bk>
      <rc t="1" v="2294"/>
    </bk>
    <bk>
      <rc t="1" v="2295"/>
    </bk>
    <bk>
      <rc t="1" v="2296"/>
    </bk>
    <bk>
      <rc t="1" v="2297"/>
    </bk>
    <bk>
      <rc t="1" v="2298"/>
    </bk>
    <bk>
      <rc t="1" v="2299"/>
    </bk>
    <bk>
      <rc t="1" v="2300"/>
    </bk>
    <bk>
      <rc t="1" v="2301"/>
    </bk>
    <bk>
      <rc t="1" v="2302"/>
    </bk>
    <bk>
      <rc t="1" v="2303"/>
    </bk>
    <bk>
      <rc t="1" v="2304"/>
    </bk>
    <bk>
      <rc t="1" v="2305"/>
    </bk>
    <bk>
      <rc t="1" v="2306"/>
    </bk>
    <bk>
      <rc t="1" v="2307"/>
    </bk>
    <bk>
      <rc t="1" v="2308"/>
    </bk>
    <bk>
      <rc t="1" v="2309"/>
    </bk>
    <bk>
      <rc t="1" v="2310"/>
    </bk>
    <bk>
      <rc t="1" v="2311"/>
    </bk>
    <bk>
      <rc t="1" v="2312"/>
    </bk>
    <bk>
      <rc t="1" v="2313"/>
    </bk>
    <bk>
      <rc t="1" v="2314"/>
    </bk>
    <bk>
      <rc t="1" v="2315"/>
    </bk>
    <bk>
      <rc t="1" v="2316"/>
    </bk>
    <bk>
      <rc t="1" v="2317"/>
    </bk>
    <bk>
      <rc t="1" v="2318"/>
    </bk>
    <bk>
      <rc t="1" v="2319"/>
    </bk>
    <bk>
      <rc t="1" v="2320"/>
    </bk>
    <bk>
      <rc t="1" v="2321"/>
    </bk>
    <bk>
      <rc t="1" v="2322"/>
    </bk>
    <bk>
      <rc t="1" v="2323"/>
    </bk>
    <bk>
      <rc t="1" v="2324"/>
    </bk>
    <bk>
      <rc t="1" v="2325"/>
    </bk>
    <bk>
      <rc t="1" v="2326"/>
    </bk>
    <bk>
      <rc t="1" v="2327"/>
    </bk>
    <bk>
      <rc t="1" v="2328"/>
    </bk>
    <bk>
      <rc t="1" v="2329"/>
    </bk>
    <bk>
      <rc t="1" v="2330"/>
    </bk>
    <bk>
      <rc t="1" v="2331"/>
    </bk>
    <bk>
      <rc t="1" v="2332"/>
    </bk>
    <bk>
      <rc t="1" v="2333"/>
    </bk>
    <bk>
      <rc t="1" v="2334"/>
    </bk>
    <bk>
      <rc t="1" v="2335"/>
    </bk>
    <bk>
      <rc t="1" v="2336"/>
    </bk>
    <bk>
      <rc t="1" v="2337"/>
    </bk>
    <bk>
      <rc t="1" v="2338"/>
    </bk>
    <bk>
      <rc t="1" v="2339"/>
    </bk>
    <bk>
      <rc t="1" v="2340"/>
    </bk>
    <bk>
      <rc t="1" v="2341"/>
    </bk>
    <bk>
      <rc t="1" v="2342"/>
    </bk>
    <bk>
      <rc t="1" v="2343"/>
    </bk>
    <bk>
      <rc t="1" v="2344"/>
    </bk>
    <bk>
      <rc t="1" v="2345"/>
    </bk>
    <bk>
      <rc t="1" v="2346"/>
    </bk>
    <bk>
      <rc t="1" v="2347"/>
    </bk>
    <bk>
      <rc t="1" v="2348"/>
    </bk>
    <bk>
      <rc t="1" v="2349"/>
    </bk>
    <bk>
      <rc t="1" v="2350"/>
    </bk>
    <bk>
      <rc t="1" v="2351"/>
    </bk>
    <bk>
      <rc t="1" v="2352"/>
    </bk>
    <bk>
      <rc t="1" v="2353"/>
    </bk>
    <bk>
      <rc t="1" v="2354"/>
    </bk>
    <bk>
      <rc t="1" v="2355"/>
    </bk>
    <bk>
      <rc t="1" v="2356"/>
    </bk>
    <bk>
      <rc t="1" v="2357"/>
    </bk>
    <bk>
      <rc t="1" v="2358"/>
    </bk>
    <bk>
      <rc t="1" v="2359"/>
    </bk>
    <bk>
      <rc t="1" v="2360"/>
    </bk>
    <bk>
      <rc t="1" v="2361"/>
    </bk>
    <bk>
      <rc t="1" v="2362"/>
    </bk>
    <bk>
      <rc t="1" v="2363"/>
    </bk>
    <bk>
      <rc t="1" v="2364"/>
    </bk>
    <bk>
      <rc t="1" v="2365"/>
    </bk>
    <bk>
      <rc t="1" v="2366"/>
    </bk>
    <bk>
      <rc t="1" v="2367"/>
    </bk>
    <bk>
      <rc t="1" v="2368"/>
    </bk>
    <bk>
      <rc t="1" v="2369"/>
    </bk>
    <bk>
      <rc t="1" v="2370"/>
    </bk>
    <bk>
      <rc t="1" v="2371"/>
    </bk>
    <bk>
      <rc t="1" v="2372"/>
    </bk>
    <bk>
      <rc t="1" v="2373"/>
    </bk>
    <bk>
      <rc t="1" v="2374"/>
    </bk>
    <bk>
      <rc t="1" v="2375"/>
    </bk>
    <bk>
      <rc t="1" v="2376"/>
    </bk>
    <bk>
      <rc t="1" v="2377"/>
    </bk>
    <bk>
      <rc t="1" v="2378"/>
    </bk>
    <bk>
      <rc t="1" v="2379"/>
    </bk>
    <bk>
      <rc t="1" v="2380"/>
    </bk>
    <bk>
      <rc t="1" v="2381"/>
    </bk>
    <bk>
      <rc t="1" v="2382"/>
    </bk>
    <bk>
      <rc t="1" v="2383"/>
    </bk>
    <bk>
      <rc t="1" v="2384"/>
    </bk>
    <bk>
      <rc t="1" v="2385"/>
    </bk>
    <bk>
      <rc t="1" v="2386"/>
    </bk>
    <bk>
      <rc t="1" v="2387"/>
    </bk>
    <bk>
      <rc t="1" v="2388"/>
    </bk>
    <bk>
      <rc t="1" v="2389"/>
    </bk>
    <bk>
      <rc t="1" v="2390"/>
    </bk>
    <bk>
      <rc t="1" v="2391"/>
    </bk>
    <bk>
      <rc t="1" v="2392"/>
    </bk>
    <bk>
      <rc t="1" v="2393"/>
    </bk>
    <bk>
      <rc t="1" v="2394"/>
    </bk>
    <bk>
      <rc t="1" v="2395"/>
    </bk>
    <bk>
      <rc t="1" v="2396"/>
    </bk>
    <bk>
      <rc t="1" v="2397"/>
    </bk>
    <bk>
      <rc t="1" v="2398"/>
    </bk>
    <bk>
      <rc t="1" v="2399"/>
    </bk>
    <bk>
      <rc t="1" v="2400"/>
    </bk>
    <bk>
      <rc t="1" v="2401"/>
    </bk>
    <bk>
      <rc t="1" v="2402"/>
    </bk>
    <bk>
      <rc t="1" v="2403"/>
    </bk>
    <bk>
      <rc t="1" v="2404"/>
    </bk>
    <bk>
      <rc t="1" v="2405"/>
    </bk>
    <bk>
      <rc t="1" v="2406"/>
    </bk>
    <bk>
      <rc t="1" v="2407"/>
    </bk>
    <bk>
      <rc t="1" v="2408"/>
    </bk>
    <bk>
      <rc t="1" v="2409"/>
    </bk>
    <bk>
      <rc t="1" v="2410"/>
    </bk>
    <bk>
      <rc t="1" v="2411"/>
    </bk>
    <bk>
      <rc t="1" v="2412"/>
    </bk>
    <bk>
      <rc t="1" v="2413"/>
    </bk>
    <bk>
      <rc t="1" v="2414"/>
    </bk>
    <bk>
      <rc t="1" v="2415"/>
    </bk>
    <bk>
      <rc t="1" v="2416"/>
    </bk>
    <bk>
      <rc t="1" v="2417"/>
    </bk>
    <bk>
      <rc t="1" v="2418"/>
    </bk>
    <bk>
      <rc t="1" v="2419"/>
    </bk>
    <bk>
      <rc t="1" v="2420"/>
    </bk>
    <bk>
      <rc t="1" v="2421"/>
    </bk>
    <bk>
      <rc t="1" v="2422"/>
    </bk>
    <bk>
      <rc t="1" v="2423"/>
    </bk>
    <bk>
      <rc t="1" v="2424"/>
    </bk>
    <bk>
      <rc t="1" v="2425"/>
    </bk>
    <bk>
      <rc t="1" v="2426"/>
    </bk>
    <bk>
      <rc t="1" v="2427"/>
    </bk>
    <bk>
      <rc t="1" v="2428"/>
    </bk>
    <bk>
      <rc t="1" v="2429"/>
    </bk>
    <bk>
      <rc t="1" v="2430"/>
    </bk>
    <bk>
      <rc t="1" v="2431"/>
    </bk>
    <bk>
      <rc t="1" v="2432"/>
    </bk>
    <bk>
      <rc t="1" v="2433"/>
    </bk>
    <bk>
      <rc t="1" v="2434"/>
    </bk>
    <bk>
      <rc t="1" v="2435"/>
    </bk>
    <bk>
      <rc t="1" v="2436"/>
    </bk>
    <bk>
      <rc t="1" v="2437"/>
    </bk>
    <bk>
      <rc t="1" v="2438"/>
    </bk>
    <bk>
      <rc t="1" v="2439"/>
    </bk>
    <bk>
      <rc t="1" v="2440"/>
    </bk>
    <bk>
      <rc t="1" v="2441"/>
    </bk>
    <bk>
      <rc t="1" v="2442"/>
    </bk>
    <bk>
      <rc t="1" v="2443"/>
    </bk>
    <bk>
      <rc t="1" v="2444"/>
    </bk>
    <bk>
      <rc t="1" v="2445"/>
    </bk>
    <bk>
      <rc t="1" v="2446"/>
    </bk>
    <bk>
      <rc t="1" v="2447"/>
    </bk>
    <bk>
      <rc t="1" v="2448"/>
    </bk>
    <bk>
      <rc t="1" v="2449"/>
    </bk>
    <bk>
      <rc t="1" v="2450"/>
    </bk>
    <bk>
      <rc t="1" v="2451"/>
    </bk>
    <bk>
      <rc t="1" v="2452"/>
    </bk>
    <bk>
      <rc t="1" v="2453"/>
    </bk>
    <bk>
      <rc t="1" v="2454"/>
    </bk>
    <bk>
      <rc t="1" v="2455"/>
    </bk>
    <bk>
      <rc t="1" v="2456"/>
    </bk>
    <bk>
      <rc t="1" v="2457"/>
    </bk>
    <bk>
      <rc t="1" v="2458"/>
    </bk>
    <bk>
      <rc t="1" v="2459"/>
    </bk>
    <bk>
      <rc t="1" v="2460"/>
    </bk>
    <bk>
      <rc t="1" v="2461"/>
    </bk>
    <bk>
      <rc t="1" v="2462"/>
    </bk>
    <bk>
      <rc t="1" v="2463"/>
    </bk>
    <bk>
      <rc t="1" v="2464"/>
    </bk>
    <bk>
      <rc t="1" v="2465"/>
    </bk>
    <bk>
      <rc t="1" v="2466"/>
    </bk>
    <bk>
      <rc t="1" v="2467"/>
    </bk>
    <bk>
      <rc t="1" v="2468"/>
    </bk>
    <bk>
      <rc t="1" v="2469"/>
    </bk>
    <bk>
      <rc t="1" v="2470"/>
    </bk>
    <bk>
      <rc t="1" v="2471"/>
    </bk>
    <bk>
      <rc t="1" v="2472"/>
    </bk>
    <bk>
      <rc t="1" v="2473"/>
    </bk>
    <bk>
      <rc t="1" v="2474"/>
    </bk>
    <bk>
      <rc t="1" v="2475"/>
    </bk>
    <bk>
      <rc t="1" v="2476"/>
    </bk>
    <bk>
      <rc t="1" v="2477"/>
    </bk>
    <bk>
      <rc t="1" v="2478"/>
    </bk>
    <bk>
      <rc t="1" v="2479"/>
    </bk>
    <bk>
      <rc t="1" v="2480"/>
    </bk>
    <bk>
      <rc t="1" v="2481"/>
    </bk>
    <bk>
      <rc t="1" v="2482"/>
    </bk>
    <bk>
      <rc t="1" v="2483"/>
    </bk>
    <bk>
      <rc t="1" v="2484"/>
    </bk>
    <bk>
      <rc t="1" v="2485"/>
    </bk>
    <bk>
      <rc t="1" v="2486"/>
    </bk>
    <bk>
      <rc t="1" v="2487"/>
    </bk>
    <bk>
      <rc t="1" v="2488"/>
    </bk>
    <bk>
      <rc t="1" v="2489"/>
    </bk>
    <bk>
      <rc t="1" v="2490"/>
    </bk>
    <bk>
      <rc t="1" v="2491"/>
    </bk>
    <bk>
      <rc t="1" v="2492"/>
    </bk>
    <bk>
      <rc t="1" v="2493"/>
    </bk>
    <bk>
      <rc t="1" v="2494"/>
    </bk>
    <bk>
      <rc t="1" v="2495"/>
    </bk>
    <bk>
      <rc t="1" v="2496"/>
    </bk>
    <bk>
      <rc t="1" v="2497"/>
    </bk>
    <bk>
      <rc t="1" v="2498"/>
    </bk>
    <bk>
      <rc t="1" v="2499"/>
    </bk>
    <bk>
      <rc t="1" v="2500"/>
    </bk>
    <bk>
      <rc t="1" v="2501"/>
    </bk>
    <bk>
      <rc t="1" v="2502"/>
    </bk>
    <bk>
      <rc t="1" v="2503"/>
    </bk>
    <bk>
      <rc t="1" v="2504"/>
    </bk>
    <bk>
      <rc t="1" v="2505"/>
    </bk>
    <bk>
      <rc t="1" v="2506"/>
    </bk>
    <bk>
      <rc t="1" v="2507"/>
    </bk>
    <bk>
      <rc t="1" v="2508"/>
    </bk>
    <bk>
      <rc t="1" v="2509"/>
    </bk>
    <bk>
      <rc t="1" v="2510"/>
    </bk>
    <bk>
      <rc t="1" v="2511"/>
    </bk>
    <bk>
      <rc t="1" v="2512"/>
    </bk>
    <bk>
      <rc t="1" v="2513"/>
    </bk>
    <bk>
      <rc t="1" v="2514"/>
    </bk>
    <bk>
      <rc t="1" v="2515"/>
    </bk>
    <bk>
      <rc t="1" v="2516"/>
    </bk>
    <bk>
      <rc t="1" v="2517"/>
    </bk>
    <bk>
      <rc t="1" v="2518"/>
    </bk>
    <bk>
      <rc t="1" v="2519"/>
    </bk>
    <bk>
      <rc t="1" v="2520"/>
    </bk>
    <bk>
      <rc t="1" v="2521"/>
    </bk>
    <bk>
      <rc t="1" v="2522"/>
    </bk>
    <bk>
      <rc t="1" v="2523"/>
    </bk>
    <bk>
      <rc t="1" v="2524"/>
    </bk>
    <bk>
      <rc t="1" v="2525"/>
    </bk>
    <bk>
      <rc t="1" v="2526"/>
    </bk>
    <bk>
      <rc t="1" v="2527"/>
    </bk>
    <bk>
      <rc t="1" v="2528"/>
    </bk>
    <bk>
      <rc t="1" v="2529"/>
    </bk>
    <bk>
      <rc t="1" v="2530"/>
    </bk>
    <bk>
      <rc t="1" v="2531"/>
    </bk>
    <bk>
      <rc t="1" v="2532"/>
    </bk>
    <bk>
      <rc t="1" v="2533"/>
    </bk>
    <bk>
      <rc t="1" v="2534"/>
    </bk>
    <bk>
      <rc t="1" v="2535"/>
    </bk>
    <bk>
      <rc t="1" v="2536"/>
    </bk>
    <bk>
      <rc t="1" v="2537"/>
    </bk>
    <bk>
      <rc t="1" v="2538"/>
    </bk>
    <bk>
      <rc t="1" v="2539"/>
    </bk>
    <bk>
      <rc t="1" v="2540"/>
    </bk>
    <bk>
      <rc t="1" v="2541"/>
    </bk>
    <bk>
      <rc t="1" v="2542"/>
    </bk>
    <bk>
      <rc t="1" v="2543"/>
    </bk>
    <bk>
      <rc t="1" v="2544"/>
    </bk>
    <bk>
      <rc t="1" v="2545"/>
    </bk>
    <bk>
      <rc t="1" v="2546"/>
    </bk>
    <bk>
      <rc t="1" v="2547"/>
    </bk>
    <bk>
      <rc t="1" v="2548"/>
    </bk>
    <bk>
      <rc t="1" v="2549"/>
    </bk>
    <bk>
      <rc t="1" v="2550"/>
    </bk>
    <bk>
      <rc t="1" v="2551"/>
    </bk>
    <bk>
      <rc t="1" v="2552"/>
    </bk>
    <bk>
      <rc t="1" v="2553"/>
    </bk>
    <bk>
      <rc t="1" v="2554"/>
    </bk>
    <bk>
      <rc t="1" v="2555"/>
    </bk>
    <bk>
      <rc t="1" v="2556"/>
    </bk>
    <bk>
      <rc t="1" v="2557"/>
    </bk>
    <bk>
      <rc t="1" v="2558"/>
    </bk>
    <bk>
      <rc t="1" v="2559"/>
    </bk>
    <bk>
      <rc t="1" v="2560"/>
    </bk>
    <bk>
      <rc t="1" v="2561"/>
    </bk>
    <bk>
      <rc t="1" v="2562"/>
    </bk>
    <bk>
      <rc t="1" v="2563"/>
    </bk>
    <bk>
      <rc t="1" v="2564"/>
    </bk>
    <bk>
      <rc t="1" v="2565"/>
    </bk>
    <bk>
      <rc t="1" v="2566"/>
    </bk>
    <bk>
      <rc t="1" v="2567"/>
    </bk>
    <bk>
      <rc t="1" v="2568"/>
    </bk>
    <bk>
      <rc t="1" v="2569"/>
    </bk>
    <bk>
      <rc t="1" v="2570"/>
    </bk>
    <bk>
      <rc t="1" v="2571"/>
    </bk>
    <bk>
      <rc t="1" v="2572"/>
    </bk>
    <bk>
      <rc t="1" v="2573"/>
    </bk>
    <bk>
      <rc t="1" v="2574"/>
    </bk>
    <bk>
      <rc t="1" v="2575"/>
    </bk>
    <bk>
      <rc t="1" v="2576"/>
    </bk>
    <bk>
      <rc t="1" v="2577"/>
    </bk>
    <bk>
      <rc t="1" v="2578"/>
    </bk>
    <bk>
      <rc t="1" v="2579"/>
    </bk>
    <bk>
      <rc t="1" v="2580"/>
    </bk>
    <bk>
      <rc t="1" v="2581"/>
    </bk>
    <bk>
      <rc t="1" v="2582"/>
    </bk>
    <bk>
      <rc t="1" v="2583"/>
    </bk>
    <bk>
      <rc t="1" v="2584"/>
    </bk>
    <bk>
      <rc t="1" v="2585"/>
    </bk>
    <bk>
      <rc t="1" v="2586"/>
    </bk>
    <bk>
      <rc t="1" v="2587"/>
    </bk>
    <bk>
      <rc t="1" v="2588"/>
    </bk>
    <bk>
      <rc t="1" v="2589"/>
    </bk>
    <bk>
      <rc t="1" v="2590"/>
    </bk>
    <bk>
      <rc t="1" v="2591"/>
    </bk>
    <bk>
      <rc t="1" v="2592"/>
    </bk>
    <bk>
      <rc t="1" v="2593"/>
    </bk>
    <bk>
      <rc t="1" v="2594"/>
    </bk>
    <bk>
      <rc t="1" v="2595"/>
    </bk>
    <bk>
      <rc t="1" v="2596"/>
    </bk>
    <bk>
      <rc t="1" v="2597"/>
    </bk>
    <bk>
      <rc t="1" v="2598"/>
    </bk>
    <bk>
      <rc t="1" v="2599"/>
    </bk>
    <bk>
      <rc t="1" v="2600"/>
    </bk>
    <bk>
      <rc t="1" v="2601"/>
    </bk>
    <bk>
      <rc t="1" v="2602"/>
    </bk>
    <bk>
      <rc t="1" v="2603"/>
    </bk>
    <bk>
      <rc t="1" v="2604"/>
    </bk>
    <bk>
      <rc t="1" v="2605"/>
    </bk>
    <bk>
      <rc t="1" v="2606"/>
    </bk>
    <bk>
      <rc t="1" v="2607"/>
    </bk>
    <bk>
      <rc t="1" v="2608"/>
    </bk>
    <bk>
      <rc t="1" v="2609"/>
    </bk>
    <bk>
      <rc t="1" v="2610"/>
    </bk>
    <bk>
      <rc t="1" v="2611"/>
    </bk>
    <bk>
      <rc t="1" v="2612"/>
    </bk>
    <bk>
      <rc t="1" v="2613"/>
    </bk>
    <bk>
      <rc t="1" v="2614"/>
    </bk>
    <bk>
      <rc t="1" v="2615"/>
    </bk>
    <bk>
      <rc t="1" v="2616"/>
    </bk>
    <bk>
      <rc t="1" v="2617"/>
    </bk>
    <bk>
      <rc t="1" v="2618"/>
    </bk>
    <bk>
      <rc t="1" v="2619"/>
    </bk>
    <bk>
      <rc t="1" v="2620"/>
    </bk>
    <bk>
      <rc t="1" v="2621"/>
    </bk>
    <bk>
      <rc t="1" v="2622"/>
    </bk>
    <bk>
      <rc t="1" v="2623"/>
    </bk>
    <bk>
      <rc t="1" v="2624"/>
    </bk>
    <bk>
      <rc t="1" v="2625"/>
    </bk>
    <bk>
      <rc t="1" v="2626"/>
    </bk>
    <bk>
      <rc t="1" v="2627"/>
    </bk>
    <bk>
      <rc t="1" v="2628"/>
    </bk>
    <bk>
      <rc t="1" v="2629"/>
    </bk>
    <bk>
      <rc t="1" v="2630"/>
    </bk>
    <bk>
      <rc t="1" v="2631"/>
    </bk>
    <bk>
      <rc t="1" v="2632"/>
    </bk>
    <bk>
      <rc t="1" v="2633"/>
    </bk>
    <bk>
      <rc t="1" v="2634"/>
    </bk>
    <bk>
      <rc t="1" v="2635"/>
    </bk>
    <bk>
      <rc t="1" v="2636"/>
    </bk>
    <bk>
      <rc t="1" v="2637"/>
    </bk>
    <bk>
      <rc t="1" v="2638"/>
    </bk>
    <bk>
      <rc t="1" v="2639"/>
    </bk>
    <bk>
      <rc t="1" v="2640"/>
    </bk>
    <bk>
      <rc t="1" v="2641"/>
    </bk>
    <bk>
      <rc t="1" v="2642"/>
    </bk>
    <bk>
      <rc t="1" v="2643"/>
    </bk>
    <bk>
      <rc t="1" v="2644"/>
    </bk>
    <bk>
      <rc t="1" v="2645"/>
    </bk>
    <bk>
      <rc t="1" v="2646"/>
    </bk>
    <bk>
      <rc t="1" v="2647"/>
    </bk>
    <bk>
      <rc t="1" v="2648"/>
    </bk>
    <bk>
      <rc t="1" v="2649"/>
    </bk>
    <bk>
      <rc t="1" v="2650"/>
    </bk>
    <bk>
      <rc t="1" v="2651"/>
    </bk>
    <bk>
      <rc t="1" v="2652"/>
    </bk>
    <bk>
      <rc t="1" v="2653"/>
    </bk>
    <bk>
      <rc t="1" v="2654"/>
    </bk>
    <bk>
      <rc t="1" v="2655"/>
    </bk>
    <bk>
      <rc t="1" v="2656"/>
    </bk>
    <bk>
      <rc t="1" v="2657"/>
    </bk>
    <bk>
      <rc t="1" v="2658"/>
    </bk>
    <bk>
      <rc t="1" v="2659"/>
    </bk>
    <bk>
      <rc t="1" v="2660"/>
    </bk>
    <bk>
      <rc t="1" v="2661"/>
    </bk>
    <bk>
      <rc t="1" v="2662"/>
    </bk>
    <bk>
      <rc t="1" v="2663"/>
    </bk>
    <bk>
      <rc t="1" v="2664"/>
    </bk>
    <bk>
      <rc t="1" v="2665"/>
    </bk>
    <bk>
      <rc t="1" v="2666"/>
    </bk>
    <bk>
      <rc t="1" v="2667"/>
    </bk>
    <bk>
      <rc t="1" v="2668"/>
    </bk>
    <bk>
      <rc t="1" v="2669"/>
    </bk>
    <bk>
      <rc t="1" v="2670"/>
    </bk>
    <bk>
      <rc t="1" v="2671"/>
    </bk>
    <bk>
      <rc t="1" v="2672"/>
    </bk>
    <bk>
      <rc t="1" v="2673"/>
    </bk>
    <bk>
      <rc t="1" v="2674"/>
    </bk>
    <bk>
      <rc t="1" v="2675"/>
    </bk>
    <bk>
      <rc t="1" v="2676"/>
    </bk>
    <bk>
      <rc t="1" v="2677"/>
    </bk>
    <bk>
      <rc t="1" v="2678"/>
    </bk>
    <bk>
      <rc t="1" v="2679"/>
    </bk>
    <bk>
      <rc t="1" v="2680"/>
    </bk>
    <bk>
      <rc t="1" v="2681"/>
    </bk>
    <bk>
      <rc t="1" v="2682"/>
    </bk>
    <bk>
      <rc t="1" v="2683"/>
    </bk>
    <bk>
      <rc t="1" v="2684"/>
    </bk>
    <bk>
      <rc t="1" v="2685"/>
    </bk>
    <bk>
      <rc t="1" v="2686"/>
    </bk>
    <bk>
      <rc t="1" v="2687"/>
    </bk>
    <bk>
      <rc t="1" v="2688"/>
    </bk>
    <bk>
      <rc t="1" v="2689"/>
    </bk>
    <bk>
      <rc t="1" v="2690"/>
    </bk>
    <bk>
      <rc t="1" v="2691"/>
    </bk>
    <bk>
      <rc t="1" v="2692"/>
    </bk>
    <bk>
      <rc t="1" v="2693"/>
    </bk>
    <bk>
      <rc t="1" v="2694"/>
    </bk>
    <bk>
      <rc t="1" v="2695"/>
    </bk>
    <bk>
      <rc t="1" v="2696"/>
    </bk>
    <bk>
      <rc t="1" v="2697"/>
    </bk>
    <bk>
      <rc t="1" v="2698"/>
    </bk>
    <bk>
      <rc t="1" v="2699"/>
    </bk>
    <bk>
      <rc t="1" v="2700"/>
    </bk>
    <bk>
      <rc t="1" v="2701"/>
    </bk>
    <bk>
      <rc t="1" v="2702"/>
    </bk>
    <bk>
      <rc t="1" v="2703"/>
    </bk>
    <bk>
      <rc t="1" v="2704"/>
    </bk>
    <bk>
      <rc t="1" v="2705"/>
    </bk>
    <bk>
      <rc t="1" v="2706"/>
    </bk>
    <bk>
      <rc t="1" v="2707"/>
    </bk>
    <bk>
      <rc t="1" v="2708"/>
    </bk>
    <bk>
      <rc t="1" v="2709"/>
    </bk>
    <bk>
      <rc t="1" v="2710"/>
    </bk>
    <bk>
      <rc t="1" v="2711"/>
    </bk>
    <bk>
      <rc t="1" v="2712"/>
    </bk>
    <bk>
      <rc t="1" v="2713"/>
    </bk>
    <bk>
      <rc t="1" v="2714"/>
    </bk>
    <bk>
      <rc t="1" v="2715"/>
    </bk>
    <bk>
      <rc t="1" v="2716"/>
    </bk>
    <bk>
      <rc t="1" v="2717"/>
    </bk>
    <bk>
      <rc t="1" v="2718"/>
    </bk>
    <bk>
      <rc t="1" v="2719"/>
    </bk>
    <bk>
      <rc t="1" v="2720"/>
    </bk>
    <bk>
      <rc t="1" v="2721"/>
    </bk>
    <bk>
      <rc t="1" v="2722"/>
    </bk>
    <bk>
      <rc t="1" v="2723"/>
    </bk>
    <bk>
      <rc t="1" v="2724"/>
    </bk>
    <bk>
      <rc t="1" v="2725"/>
    </bk>
    <bk>
      <rc t="1" v="2726"/>
    </bk>
    <bk>
      <rc t="1" v="2727"/>
    </bk>
    <bk>
      <rc t="1" v="2728"/>
    </bk>
    <bk>
      <rc t="1" v="2729"/>
    </bk>
    <bk>
      <rc t="1" v="2730"/>
    </bk>
    <bk>
      <rc t="1" v="2731"/>
    </bk>
    <bk>
      <rc t="1" v="2732"/>
    </bk>
    <bk>
      <rc t="1" v="2733"/>
    </bk>
    <bk>
      <rc t="1" v="2734"/>
    </bk>
    <bk>
      <rc t="1" v="2735"/>
    </bk>
    <bk>
      <rc t="1" v="2736"/>
    </bk>
    <bk>
      <rc t="1" v="2737"/>
    </bk>
    <bk>
      <rc t="1" v="2738"/>
    </bk>
    <bk>
      <rc t="1" v="2739"/>
    </bk>
    <bk>
      <rc t="1" v="2740"/>
    </bk>
    <bk>
      <rc t="1" v="2741"/>
    </bk>
    <bk>
      <rc t="1" v="2742"/>
    </bk>
    <bk>
      <rc t="1" v="2743"/>
    </bk>
    <bk>
      <rc t="1" v="2744"/>
    </bk>
    <bk>
      <rc t="1" v="2745"/>
    </bk>
    <bk>
      <rc t="1" v="2746"/>
    </bk>
    <bk>
      <rc t="1" v="2747"/>
    </bk>
    <bk>
      <rc t="1" v="2748"/>
    </bk>
    <bk>
      <rc t="1" v="2749"/>
    </bk>
    <bk>
      <rc t="1" v="2750"/>
    </bk>
    <bk>
      <rc t="1" v="2751"/>
    </bk>
    <bk>
      <rc t="1" v="2752"/>
    </bk>
    <bk>
      <rc t="1" v="2753"/>
    </bk>
    <bk>
      <rc t="1" v="2754"/>
    </bk>
    <bk>
      <rc t="1" v="2755"/>
    </bk>
    <bk>
      <rc t="1" v="2756"/>
    </bk>
    <bk>
      <rc t="1" v="2757"/>
    </bk>
    <bk>
      <rc t="1" v="2758"/>
    </bk>
    <bk>
      <rc t="1" v="2759"/>
    </bk>
    <bk>
      <rc t="1" v="2760"/>
    </bk>
    <bk>
      <rc t="1" v="2761"/>
    </bk>
    <bk>
      <rc t="1" v="2762"/>
    </bk>
    <bk>
      <rc t="1" v="2763"/>
    </bk>
    <bk>
      <rc t="1" v="2764"/>
    </bk>
    <bk>
      <rc t="1" v="2765"/>
    </bk>
    <bk>
      <rc t="1" v="2766"/>
    </bk>
    <bk>
      <rc t="1" v="2767"/>
    </bk>
    <bk>
      <rc t="1" v="2768"/>
    </bk>
    <bk>
      <rc t="1" v="2769"/>
    </bk>
    <bk>
      <rc t="1" v="2770"/>
    </bk>
    <bk>
      <rc t="1" v="2771"/>
    </bk>
    <bk>
      <rc t="1" v="2772"/>
    </bk>
    <bk>
      <rc t="1" v="2773"/>
    </bk>
    <bk>
      <rc t="1" v="2774"/>
    </bk>
    <bk>
      <rc t="1" v="2775"/>
    </bk>
    <bk>
      <rc t="1" v="2776"/>
    </bk>
    <bk>
      <rc t="1" v="2777"/>
    </bk>
    <bk>
      <rc t="1" v="2778"/>
    </bk>
    <bk>
      <rc t="1" v="2779"/>
    </bk>
    <bk>
      <rc t="1" v="2780"/>
    </bk>
    <bk>
      <rc t="1" v="2781"/>
    </bk>
    <bk>
      <rc t="1" v="2782"/>
    </bk>
    <bk>
      <rc t="1" v="2783"/>
    </bk>
    <bk>
      <rc t="1" v="2784"/>
    </bk>
    <bk>
      <rc t="1" v="2785"/>
    </bk>
    <bk>
      <rc t="1" v="2786"/>
    </bk>
    <bk>
      <rc t="1" v="2787"/>
    </bk>
    <bk>
      <rc t="1" v="2788"/>
    </bk>
    <bk>
      <rc t="1" v="2789"/>
    </bk>
    <bk>
      <rc t="1" v="2790"/>
    </bk>
    <bk>
      <rc t="1" v="2791"/>
    </bk>
    <bk>
      <rc t="1" v="2792"/>
    </bk>
    <bk>
      <rc t="1" v="2793"/>
    </bk>
    <bk>
      <rc t="1" v="2794"/>
    </bk>
    <bk>
      <rc t="1" v="2795"/>
    </bk>
    <bk>
      <rc t="1" v="2796"/>
    </bk>
    <bk>
      <rc t="1" v="2797"/>
    </bk>
    <bk>
      <rc t="1" v="2798"/>
    </bk>
    <bk>
      <rc t="1" v="2799"/>
    </bk>
    <bk>
      <rc t="1" v="2800"/>
    </bk>
    <bk>
      <rc t="1" v="2801"/>
    </bk>
    <bk>
      <rc t="1" v="2802"/>
    </bk>
    <bk>
      <rc t="1" v="2803"/>
    </bk>
    <bk>
      <rc t="1" v="2804"/>
    </bk>
    <bk>
      <rc t="1" v="2805"/>
    </bk>
    <bk>
      <rc t="1" v="2806"/>
    </bk>
    <bk>
      <rc t="1" v="2807"/>
    </bk>
    <bk>
      <rc t="1" v="2808"/>
    </bk>
    <bk>
      <rc t="1" v="2809"/>
    </bk>
    <bk>
      <rc t="1" v="2810"/>
    </bk>
    <bk>
      <rc t="1" v="2811"/>
    </bk>
    <bk>
      <rc t="1" v="2812"/>
    </bk>
    <bk>
      <rc t="1" v="2813"/>
    </bk>
    <bk>
      <rc t="1" v="2814"/>
    </bk>
    <bk>
      <rc t="1" v="2815"/>
    </bk>
    <bk>
      <rc t="1" v="2816"/>
    </bk>
    <bk>
      <rc t="1" v="2817"/>
    </bk>
    <bk>
      <rc t="1" v="2818"/>
    </bk>
    <bk>
      <rc t="1" v="2819"/>
    </bk>
    <bk>
      <rc t="1" v="2820"/>
    </bk>
    <bk>
      <rc t="1" v="2821"/>
    </bk>
    <bk>
      <rc t="1" v="2822"/>
    </bk>
    <bk>
      <rc t="1" v="2823"/>
    </bk>
    <bk>
      <rc t="1" v="2824"/>
    </bk>
    <bk>
      <rc t="1" v="2825"/>
    </bk>
    <bk>
      <rc t="1" v="2826"/>
    </bk>
    <bk>
      <rc t="1" v="2827"/>
    </bk>
    <bk>
      <rc t="1" v="2828"/>
    </bk>
    <bk>
      <rc t="1" v="2829"/>
    </bk>
    <bk>
      <rc t="1" v="2830"/>
    </bk>
    <bk>
      <rc t="1" v="2831"/>
    </bk>
    <bk>
      <rc t="1" v="2832"/>
    </bk>
    <bk>
      <rc t="1" v="2833"/>
    </bk>
    <bk>
      <rc t="1" v="2834"/>
    </bk>
    <bk>
      <rc t="1" v="2835"/>
    </bk>
    <bk>
      <rc t="1" v="2836"/>
    </bk>
    <bk>
      <rc t="1" v="2837"/>
    </bk>
    <bk>
      <rc t="1" v="2838"/>
    </bk>
    <bk>
      <rc t="1" v="2839"/>
    </bk>
    <bk>
      <rc t="1" v="2840"/>
    </bk>
    <bk>
      <rc t="1" v="2841"/>
    </bk>
    <bk>
      <rc t="1" v="2842"/>
    </bk>
    <bk>
      <rc t="1" v="2843"/>
    </bk>
    <bk>
      <rc t="1" v="2844"/>
    </bk>
    <bk>
      <rc t="1" v="2845"/>
    </bk>
    <bk>
      <rc t="1" v="2846"/>
    </bk>
    <bk>
      <rc t="1" v="2847"/>
    </bk>
    <bk>
      <rc t="1" v="2848"/>
    </bk>
    <bk>
      <rc t="1" v="2849"/>
    </bk>
    <bk>
      <rc t="1" v="2850"/>
    </bk>
    <bk>
      <rc t="1" v="2851"/>
    </bk>
    <bk>
      <rc t="1" v="2852"/>
    </bk>
    <bk>
      <rc t="1" v="2853"/>
    </bk>
    <bk>
      <rc t="1" v="2854"/>
    </bk>
    <bk>
      <rc t="1" v="2855"/>
    </bk>
    <bk>
      <rc t="1" v="2856"/>
    </bk>
    <bk>
      <rc t="1" v="2857"/>
    </bk>
    <bk>
      <rc t="1" v="2858"/>
    </bk>
    <bk>
      <rc t="1" v="2859"/>
    </bk>
    <bk>
      <rc t="1" v="2860"/>
    </bk>
    <bk>
      <rc t="1" v="2861"/>
    </bk>
    <bk>
      <rc t="1" v="2862"/>
    </bk>
    <bk>
      <rc t="1" v="2863"/>
    </bk>
    <bk>
      <rc t="1" v="2864"/>
    </bk>
    <bk>
      <rc t="1" v="2865"/>
    </bk>
    <bk>
      <rc t="1" v="2866"/>
    </bk>
    <bk>
      <rc t="1" v="2867"/>
    </bk>
    <bk>
      <rc t="1" v="2868"/>
    </bk>
    <bk>
      <rc t="1" v="2869"/>
    </bk>
    <bk>
      <rc t="1" v="2870"/>
    </bk>
    <bk>
      <rc t="1" v="2871"/>
    </bk>
    <bk>
      <rc t="1" v="2872"/>
    </bk>
    <bk>
      <rc t="1" v="2873"/>
    </bk>
    <bk>
      <rc t="1" v="2874"/>
    </bk>
    <bk>
      <rc t="1" v="2875"/>
    </bk>
    <bk>
      <rc t="1" v="2876"/>
    </bk>
    <bk>
      <rc t="1" v="2877"/>
    </bk>
    <bk>
      <rc t="1" v="2878"/>
    </bk>
    <bk>
      <rc t="1" v="2879"/>
    </bk>
    <bk>
      <rc t="1" v="2880"/>
    </bk>
    <bk>
      <rc t="1" v="2881"/>
    </bk>
    <bk>
      <rc t="1" v="2882"/>
    </bk>
    <bk>
      <rc t="1" v="2883"/>
    </bk>
    <bk>
      <rc t="1" v="2884"/>
    </bk>
    <bk>
      <rc t="1" v="2885"/>
    </bk>
    <bk>
      <rc t="1" v="2886"/>
    </bk>
    <bk>
      <rc t="1" v="2887"/>
    </bk>
    <bk>
      <rc t="1" v="2888"/>
    </bk>
    <bk>
      <rc t="1" v="2889"/>
    </bk>
    <bk>
      <rc t="1" v="2890"/>
    </bk>
    <bk>
      <rc t="1" v="2891"/>
    </bk>
    <bk>
      <rc t="1" v="2892"/>
    </bk>
    <bk>
      <rc t="1" v="2893"/>
    </bk>
    <bk>
      <rc t="1" v="2894"/>
    </bk>
    <bk>
      <rc t="1" v="2895"/>
    </bk>
    <bk>
      <rc t="1" v="2896"/>
    </bk>
    <bk>
      <rc t="1" v="2897"/>
    </bk>
    <bk>
      <rc t="1" v="2898"/>
    </bk>
    <bk>
      <rc t="1" v="2899"/>
    </bk>
    <bk>
      <rc t="1" v="2900"/>
    </bk>
    <bk>
      <rc t="1" v="2901"/>
    </bk>
    <bk>
      <rc t="1" v="2902"/>
    </bk>
    <bk>
      <rc t="1" v="2903"/>
    </bk>
    <bk>
      <rc t="1" v="2904"/>
    </bk>
    <bk>
      <rc t="1" v="2905"/>
    </bk>
    <bk>
      <rc t="1" v="2906"/>
    </bk>
    <bk>
      <rc t="1" v="2907"/>
    </bk>
    <bk>
      <rc t="1" v="2908"/>
    </bk>
    <bk>
      <rc t="1" v="2909"/>
    </bk>
    <bk>
      <rc t="1" v="2910"/>
    </bk>
    <bk>
      <rc t="1" v="2911"/>
    </bk>
    <bk>
      <rc t="1" v="2912"/>
    </bk>
    <bk>
      <rc t="1" v="2913"/>
    </bk>
    <bk>
      <rc t="1" v="2914"/>
    </bk>
    <bk>
      <rc t="1" v="2915"/>
    </bk>
    <bk>
      <rc t="1" v="2916"/>
    </bk>
    <bk>
      <rc t="1" v="2917"/>
    </bk>
    <bk>
      <rc t="1" v="2918"/>
    </bk>
    <bk>
      <rc t="1" v="2919"/>
    </bk>
    <bk>
      <rc t="1" v="2920"/>
    </bk>
    <bk>
      <rc t="1" v="2921"/>
    </bk>
    <bk>
      <rc t="1" v="2922"/>
    </bk>
    <bk>
      <rc t="1" v="2923"/>
    </bk>
    <bk>
      <rc t="1" v="2924"/>
    </bk>
    <bk>
      <rc t="1" v="2925"/>
    </bk>
    <bk>
      <rc t="1" v="2926"/>
    </bk>
    <bk>
      <rc t="1" v="2927"/>
    </bk>
    <bk>
      <rc t="1" v="2928"/>
    </bk>
    <bk>
      <rc t="1" v="2929"/>
    </bk>
    <bk>
      <rc t="1" v="2930"/>
    </bk>
    <bk>
      <rc t="1" v="2931"/>
    </bk>
    <bk>
      <rc t="1" v="2932"/>
    </bk>
    <bk>
      <rc t="1" v="2933"/>
    </bk>
    <bk>
      <rc t="1" v="2934"/>
    </bk>
    <bk>
      <rc t="1" v="2935"/>
    </bk>
    <bk>
      <rc t="1" v="2936"/>
    </bk>
    <bk>
      <rc t="1" v="2937"/>
    </bk>
    <bk>
      <rc t="1" v="2938"/>
    </bk>
    <bk>
      <rc t="1" v="2939"/>
    </bk>
    <bk>
      <rc t="1" v="2940"/>
    </bk>
    <bk>
      <rc t="1" v="2941"/>
    </bk>
    <bk>
      <rc t="1" v="2942"/>
    </bk>
    <bk>
      <rc t="1" v="2943"/>
    </bk>
    <bk>
      <rc t="1" v="2944"/>
    </bk>
    <bk>
      <rc t="1" v="2945"/>
    </bk>
    <bk>
      <rc t="1" v="2946"/>
    </bk>
    <bk>
      <rc t="1" v="2947"/>
    </bk>
    <bk>
      <rc t="1" v="2948"/>
    </bk>
    <bk>
      <rc t="1" v="2949"/>
    </bk>
    <bk>
      <rc t="1" v="2950"/>
    </bk>
    <bk>
      <rc t="1" v="2951"/>
    </bk>
    <bk>
      <rc t="1" v="2952"/>
    </bk>
    <bk>
      <rc t="1" v="2953"/>
    </bk>
    <bk>
      <rc t="1" v="2954"/>
    </bk>
    <bk>
      <rc t="1" v="2955"/>
    </bk>
    <bk>
      <rc t="1" v="2956"/>
    </bk>
    <bk>
      <rc t="1" v="2957"/>
    </bk>
    <bk>
      <rc t="1" v="2958"/>
    </bk>
    <bk>
      <rc t="1" v="2959"/>
    </bk>
    <bk>
      <rc t="1" v="2960"/>
    </bk>
    <bk>
      <rc t="1" v="2961"/>
    </bk>
    <bk>
      <rc t="1" v="2962"/>
    </bk>
    <bk>
      <rc t="1" v="2963"/>
    </bk>
    <bk>
      <rc t="1" v="2964"/>
    </bk>
    <bk>
      <rc t="1" v="2965"/>
    </bk>
    <bk>
      <rc t="1" v="2966"/>
    </bk>
    <bk>
      <rc t="1" v="2967"/>
    </bk>
    <bk>
      <rc t="1" v="2968"/>
    </bk>
    <bk>
      <rc t="1" v="2969"/>
    </bk>
    <bk>
      <rc t="1" v="2970"/>
    </bk>
    <bk>
      <rc t="1" v="2971"/>
    </bk>
    <bk>
      <rc t="1" v="2972"/>
    </bk>
    <bk>
      <rc t="1" v="2973"/>
    </bk>
    <bk>
      <rc t="1" v="2974"/>
    </bk>
    <bk>
      <rc t="1" v="2975"/>
    </bk>
    <bk>
      <rc t="1" v="2976"/>
    </bk>
    <bk>
      <rc t="1" v="2977"/>
    </bk>
    <bk>
      <rc t="1" v="2978"/>
    </bk>
    <bk>
      <rc t="1" v="2979"/>
    </bk>
    <bk>
      <rc t="1" v="2980"/>
    </bk>
    <bk>
      <rc t="1" v="2981"/>
    </bk>
    <bk>
      <rc t="1" v="2982"/>
    </bk>
    <bk>
      <rc t="1" v="2983"/>
    </bk>
    <bk>
      <rc t="1" v="2984"/>
    </bk>
    <bk>
      <rc t="1" v="2985"/>
    </bk>
    <bk>
      <rc t="1" v="2986"/>
    </bk>
    <bk>
      <rc t="1" v="2987"/>
    </bk>
    <bk>
      <rc t="1" v="2988"/>
    </bk>
    <bk>
      <rc t="1" v="2989"/>
    </bk>
    <bk>
      <rc t="1" v="2990"/>
    </bk>
    <bk>
      <rc t="1" v="2991"/>
    </bk>
    <bk>
      <rc t="1" v="2992"/>
    </bk>
    <bk>
      <rc t="1" v="2993"/>
    </bk>
    <bk>
      <rc t="1" v="2994"/>
    </bk>
    <bk>
      <rc t="1" v="2995"/>
    </bk>
    <bk>
      <rc t="1" v="2996"/>
    </bk>
    <bk>
      <rc t="1" v="2997"/>
    </bk>
    <bk>
      <rc t="1" v="2998"/>
    </bk>
    <bk>
      <rc t="1" v="2999"/>
    </bk>
    <bk>
      <rc t="1" v="3000"/>
    </bk>
    <bk>
      <rc t="1" v="3001"/>
    </bk>
    <bk>
      <rc t="1" v="3002"/>
    </bk>
    <bk>
      <rc t="1" v="3003"/>
    </bk>
    <bk>
      <rc t="1" v="3004"/>
    </bk>
    <bk>
      <rc t="1" v="3005"/>
    </bk>
    <bk>
      <rc t="1" v="3006"/>
    </bk>
    <bk>
      <rc t="1" v="3007"/>
    </bk>
    <bk>
      <rc t="1" v="3008"/>
    </bk>
    <bk>
      <rc t="1" v="3009"/>
    </bk>
    <bk>
      <rc t="1" v="3010"/>
    </bk>
    <bk>
      <rc t="1" v="3011"/>
    </bk>
    <bk>
      <rc t="1" v="3012"/>
    </bk>
    <bk>
      <rc t="1" v="3013"/>
    </bk>
    <bk>
      <rc t="1" v="3014"/>
    </bk>
    <bk>
      <rc t="1" v="3015"/>
    </bk>
    <bk>
      <rc t="1" v="3016"/>
    </bk>
    <bk>
      <rc t="1" v="3017"/>
    </bk>
    <bk>
      <rc t="1" v="3018"/>
    </bk>
    <bk>
      <rc t="1" v="3019"/>
    </bk>
    <bk>
      <rc t="1" v="3020"/>
    </bk>
    <bk>
      <rc t="1" v="3021"/>
    </bk>
    <bk>
      <rc t="1" v="3022"/>
    </bk>
    <bk>
      <rc t="1" v="3023"/>
    </bk>
    <bk>
      <rc t="1" v="3024"/>
    </bk>
    <bk>
      <rc t="1" v="3025"/>
    </bk>
    <bk>
      <rc t="1" v="3026"/>
    </bk>
    <bk>
      <rc t="1" v="3027"/>
    </bk>
    <bk>
      <rc t="1" v="3028"/>
    </bk>
    <bk>
      <rc t="1" v="3029"/>
    </bk>
    <bk>
      <rc t="1" v="3030"/>
    </bk>
    <bk>
      <rc t="1" v="3031"/>
    </bk>
    <bk>
      <rc t="1" v="3032"/>
    </bk>
    <bk>
      <rc t="1" v="3033"/>
    </bk>
    <bk>
      <rc t="1" v="3034"/>
    </bk>
    <bk>
      <rc t="1" v="3035"/>
    </bk>
    <bk>
      <rc t="1" v="3036"/>
    </bk>
    <bk>
      <rc t="1" v="3037"/>
    </bk>
    <bk>
      <rc t="1" v="3038"/>
    </bk>
    <bk>
      <rc t="1" v="3039"/>
    </bk>
    <bk>
      <rc t="1" v="3040"/>
    </bk>
    <bk>
      <rc t="1" v="3041"/>
    </bk>
    <bk>
      <rc t="1" v="3042"/>
    </bk>
    <bk>
      <rc t="1" v="3043"/>
    </bk>
    <bk>
      <rc t="1" v="3044"/>
    </bk>
    <bk>
      <rc t="1" v="3045"/>
    </bk>
    <bk>
      <rc t="1" v="3046"/>
    </bk>
    <bk>
      <rc t="1" v="3047"/>
    </bk>
    <bk>
      <rc t="1" v="3048"/>
    </bk>
    <bk>
      <rc t="1" v="3049"/>
    </bk>
    <bk>
      <rc t="1" v="3050"/>
    </bk>
    <bk>
      <rc t="1" v="3051"/>
    </bk>
    <bk>
      <rc t="1" v="3052"/>
    </bk>
    <bk>
      <rc t="1" v="3053"/>
    </bk>
    <bk>
      <rc t="1" v="3054"/>
    </bk>
    <bk>
      <rc t="1" v="3055"/>
    </bk>
    <bk>
      <rc t="1" v="3056"/>
    </bk>
    <bk>
      <rc t="1" v="3057"/>
    </bk>
    <bk>
      <rc t="1" v="3058"/>
    </bk>
    <bk>
      <rc t="1" v="3059"/>
    </bk>
    <bk>
      <rc t="1" v="3060"/>
    </bk>
    <bk>
      <rc t="1" v="3061"/>
    </bk>
    <bk>
      <rc t="1" v="3062"/>
    </bk>
    <bk>
      <rc t="1" v="3063"/>
    </bk>
    <bk>
      <rc t="1" v="3064"/>
    </bk>
    <bk>
      <rc t="1" v="3065"/>
    </bk>
    <bk>
      <rc t="1" v="3066"/>
    </bk>
    <bk>
      <rc t="1" v="3067"/>
    </bk>
    <bk>
      <rc t="1" v="3068"/>
    </bk>
    <bk>
      <rc t="1" v="3069"/>
    </bk>
    <bk>
      <rc t="1" v="3070"/>
    </bk>
    <bk>
      <rc t="1" v="3071"/>
    </bk>
    <bk>
      <rc t="1" v="3072"/>
    </bk>
    <bk>
      <rc t="1" v="3073"/>
    </bk>
    <bk>
      <rc t="1" v="3074"/>
    </bk>
    <bk>
      <rc t="1" v="3075"/>
    </bk>
    <bk>
      <rc t="1" v="3076"/>
    </bk>
    <bk>
      <rc t="1" v="3077"/>
    </bk>
    <bk>
      <rc t="1" v="3078"/>
    </bk>
    <bk>
      <rc t="1" v="3079"/>
    </bk>
    <bk>
      <rc t="1" v="3080"/>
    </bk>
    <bk>
      <rc t="1" v="3081"/>
    </bk>
    <bk>
      <rc t="1" v="3082"/>
    </bk>
    <bk>
      <rc t="1" v="3083"/>
    </bk>
    <bk>
      <rc t="1" v="3084"/>
    </bk>
    <bk>
      <rc t="1" v="3085"/>
    </bk>
    <bk>
      <rc t="1" v="3086"/>
    </bk>
    <bk>
      <rc t="1" v="3087"/>
    </bk>
    <bk>
      <rc t="1" v="3088"/>
    </bk>
    <bk>
      <rc t="1" v="3089"/>
    </bk>
    <bk>
      <rc t="1" v="3090"/>
    </bk>
    <bk>
      <rc t="1" v="3091"/>
    </bk>
    <bk>
      <rc t="1" v="3092"/>
    </bk>
    <bk>
      <rc t="1" v="3093"/>
    </bk>
    <bk>
      <rc t="1" v="3094"/>
    </bk>
    <bk>
      <rc t="1" v="3095"/>
    </bk>
    <bk>
      <rc t="1" v="3096"/>
    </bk>
    <bk>
      <rc t="1" v="3097"/>
    </bk>
    <bk>
      <rc t="1" v="3098"/>
    </bk>
    <bk>
      <rc t="1" v="3099"/>
    </bk>
    <bk>
      <rc t="1" v="3100"/>
    </bk>
    <bk>
      <rc t="1" v="3101"/>
    </bk>
    <bk>
      <rc t="1" v="3102"/>
    </bk>
    <bk>
      <rc t="1" v="3103"/>
    </bk>
    <bk>
      <rc t="1" v="3104"/>
    </bk>
    <bk>
      <rc t="1" v="3105"/>
    </bk>
    <bk>
      <rc t="1" v="3106"/>
    </bk>
    <bk>
      <rc t="1" v="3107"/>
    </bk>
    <bk>
      <rc t="1" v="3108"/>
    </bk>
    <bk>
      <rc t="1" v="3109"/>
    </bk>
    <bk>
      <rc t="1" v="3110"/>
    </bk>
    <bk>
      <rc t="1" v="3111"/>
    </bk>
    <bk>
      <rc t="1" v="3112"/>
    </bk>
    <bk>
      <rc t="1" v="3113"/>
    </bk>
    <bk>
      <rc t="1" v="3114"/>
    </bk>
    <bk>
      <rc t="1" v="3115"/>
    </bk>
    <bk>
      <rc t="1" v="3116"/>
    </bk>
    <bk>
      <rc t="1" v="3117"/>
    </bk>
    <bk>
      <rc t="1" v="3118"/>
    </bk>
    <bk>
      <rc t="1" v="3119"/>
    </bk>
    <bk>
      <rc t="1" v="3120"/>
    </bk>
    <bk>
      <rc t="1" v="3121"/>
    </bk>
    <bk>
      <rc t="1" v="3122"/>
    </bk>
    <bk>
      <rc t="1" v="3123"/>
    </bk>
    <bk>
      <rc t="1" v="3124"/>
    </bk>
    <bk>
      <rc t="1" v="3125"/>
    </bk>
    <bk>
      <rc t="1" v="3126"/>
    </bk>
    <bk>
      <rc t="1" v="3127"/>
    </bk>
    <bk>
      <rc t="1" v="3128"/>
    </bk>
    <bk>
      <rc t="1" v="3129"/>
    </bk>
    <bk>
      <rc t="1" v="3130"/>
    </bk>
    <bk>
      <rc t="1" v="3131"/>
    </bk>
    <bk>
      <rc t="1" v="3132"/>
    </bk>
    <bk>
      <rc t="1" v="3133"/>
    </bk>
    <bk>
      <rc t="1" v="3134"/>
    </bk>
    <bk>
      <rc t="1" v="3135"/>
    </bk>
    <bk>
      <rc t="1" v="3136"/>
    </bk>
    <bk>
      <rc t="1" v="3137"/>
    </bk>
    <bk>
      <rc t="1" v="3138"/>
    </bk>
    <bk>
      <rc t="1" v="3139"/>
    </bk>
    <bk>
      <rc t="1" v="3140"/>
    </bk>
    <bk>
      <rc t="1" v="3141"/>
    </bk>
    <bk>
      <rc t="1" v="3142"/>
    </bk>
    <bk>
      <rc t="1" v="3143"/>
    </bk>
    <bk>
      <rc t="1" v="3144"/>
    </bk>
    <bk>
      <rc t="1" v="3145"/>
    </bk>
    <bk>
      <rc t="1" v="3146"/>
    </bk>
    <bk>
      <rc t="1" v="3147"/>
    </bk>
    <bk>
      <rc t="1" v="3148"/>
    </bk>
    <bk>
      <rc t="1" v="3149"/>
    </bk>
    <bk>
      <rc t="1" v="3150"/>
    </bk>
    <bk>
      <rc t="1" v="3151"/>
    </bk>
    <bk>
      <rc t="1" v="3152"/>
    </bk>
    <bk>
      <rc t="1" v="3153"/>
    </bk>
    <bk>
      <rc t="1" v="3154"/>
    </bk>
    <bk>
      <rc t="1" v="3155"/>
    </bk>
    <bk>
      <rc t="1" v="3156"/>
    </bk>
    <bk>
      <rc t="1" v="3157"/>
    </bk>
    <bk>
      <rc t="1" v="3158"/>
    </bk>
    <bk>
      <rc t="1" v="3159"/>
    </bk>
    <bk>
      <rc t="1" v="3160"/>
    </bk>
    <bk>
      <rc t="1" v="3161"/>
    </bk>
    <bk>
      <rc t="1" v="3162"/>
    </bk>
    <bk>
      <rc t="1" v="3163"/>
    </bk>
    <bk>
      <rc t="1" v="3164"/>
    </bk>
    <bk>
      <rc t="1" v="3165"/>
    </bk>
    <bk>
      <rc t="1" v="3166"/>
    </bk>
    <bk>
      <rc t="1" v="3167"/>
    </bk>
    <bk>
      <rc t="1" v="3168"/>
    </bk>
    <bk>
      <rc t="1" v="3169"/>
    </bk>
    <bk>
      <rc t="1" v="3170"/>
    </bk>
    <bk>
      <rc t="1" v="3171"/>
    </bk>
    <bk>
      <rc t="1" v="3172"/>
    </bk>
    <bk>
      <rc t="1" v="3173"/>
    </bk>
    <bk>
      <rc t="1" v="3174"/>
    </bk>
    <bk>
      <rc t="1" v="3175"/>
    </bk>
    <bk>
      <rc t="1" v="3176"/>
    </bk>
    <bk>
      <rc t="1" v="3177"/>
    </bk>
    <bk>
      <rc t="1" v="3178"/>
    </bk>
    <bk>
      <rc t="1" v="3179"/>
    </bk>
    <bk>
      <rc t="1" v="3180"/>
    </bk>
    <bk>
      <rc t="1" v="3181"/>
    </bk>
    <bk>
      <rc t="1" v="3182"/>
    </bk>
    <bk>
      <rc t="1" v="3183"/>
    </bk>
    <bk>
      <rc t="1" v="3184"/>
    </bk>
    <bk>
      <rc t="1" v="3185"/>
    </bk>
    <bk>
      <rc t="1" v="3186"/>
    </bk>
    <bk>
      <rc t="1" v="3187"/>
    </bk>
    <bk>
      <rc t="1" v="3188"/>
    </bk>
    <bk>
      <rc t="1" v="3189"/>
    </bk>
    <bk>
      <rc t="1" v="3190"/>
    </bk>
    <bk>
      <rc t="1" v="3191"/>
    </bk>
    <bk>
      <rc t="1" v="3192"/>
    </bk>
    <bk>
      <rc t="1" v="3193"/>
    </bk>
    <bk>
      <rc t="1" v="3194"/>
    </bk>
    <bk>
      <rc t="1" v="3195"/>
    </bk>
    <bk>
      <rc t="1" v="3196"/>
    </bk>
    <bk>
      <rc t="1" v="3197"/>
    </bk>
    <bk>
      <rc t="1" v="3198"/>
    </bk>
    <bk>
      <rc t="1" v="3199"/>
    </bk>
    <bk>
      <rc t="1" v="3200"/>
    </bk>
    <bk>
      <rc t="1" v="3201"/>
    </bk>
    <bk>
      <rc t="1" v="3202"/>
    </bk>
    <bk>
      <rc t="1" v="3203"/>
    </bk>
    <bk>
      <rc t="1" v="3204"/>
    </bk>
    <bk>
      <rc t="1" v="3205"/>
    </bk>
    <bk>
      <rc t="1" v="3206"/>
    </bk>
    <bk>
      <rc t="1" v="3207"/>
    </bk>
    <bk>
      <rc t="1" v="3208"/>
    </bk>
    <bk>
      <rc t="1" v="3209"/>
    </bk>
    <bk>
      <rc t="1" v="3210"/>
    </bk>
    <bk>
      <rc t="1" v="3211"/>
    </bk>
    <bk>
      <rc t="1" v="3212"/>
    </bk>
    <bk>
      <rc t="1" v="3213"/>
    </bk>
    <bk>
      <rc t="1" v="3214"/>
    </bk>
    <bk>
      <rc t="1" v="3215"/>
    </bk>
    <bk>
      <rc t="1" v="3216"/>
    </bk>
    <bk>
      <rc t="1" v="3217"/>
    </bk>
    <bk>
      <rc t="1" v="3218"/>
    </bk>
    <bk>
      <rc t="1" v="3219"/>
    </bk>
    <bk>
      <rc t="1" v="3220"/>
    </bk>
    <bk>
      <rc t="1" v="3221"/>
    </bk>
    <bk>
      <rc t="1" v="3222"/>
    </bk>
    <bk>
      <rc t="1" v="3223"/>
    </bk>
    <bk>
      <rc t="1" v="3224"/>
    </bk>
    <bk>
      <rc t="1" v="3225"/>
    </bk>
    <bk>
      <rc t="1" v="3226"/>
    </bk>
    <bk>
      <rc t="1" v="3227"/>
    </bk>
    <bk>
      <rc t="1" v="3228"/>
    </bk>
    <bk>
      <rc t="1" v="3229"/>
    </bk>
    <bk>
      <rc t="1" v="3230"/>
    </bk>
    <bk>
      <rc t="1" v="3231"/>
    </bk>
    <bk>
      <rc t="1" v="3232"/>
    </bk>
    <bk>
      <rc t="1" v="3233"/>
    </bk>
    <bk>
      <rc t="1" v="3234"/>
    </bk>
    <bk>
      <rc t="1" v="3235"/>
    </bk>
    <bk>
      <rc t="1" v="3236"/>
    </bk>
    <bk>
      <rc t="1" v="3237"/>
    </bk>
    <bk>
      <rc t="1" v="3238"/>
    </bk>
    <bk>
      <rc t="1" v="3239"/>
    </bk>
    <bk>
      <rc t="1" v="3240"/>
    </bk>
    <bk>
      <rc t="1" v="3241"/>
    </bk>
    <bk>
      <rc t="1" v="3242"/>
    </bk>
    <bk>
      <rc t="1" v="3243"/>
    </bk>
    <bk>
      <rc t="1" v="3244"/>
    </bk>
    <bk>
      <rc t="1" v="3245"/>
    </bk>
    <bk>
      <rc t="1" v="3246"/>
    </bk>
    <bk>
      <rc t="1" v="3247"/>
    </bk>
    <bk>
      <rc t="1" v="3248"/>
    </bk>
    <bk>
      <rc t="1" v="3249"/>
    </bk>
    <bk>
      <rc t="1" v="3250"/>
    </bk>
    <bk>
      <rc t="1" v="3251"/>
    </bk>
    <bk>
      <rc t="1" v="3252"/>
    </bk>
    <bk>
      <rc t="1" v="3253"/>
    </bk>
    <bk>
      <rc t="1" v="3254"/>
    </bk>
    <bk>
      <rc t="1" v="3255"/>
    </bk>
    <bk>
      <rc t="1" v="3256"/>
    </bk>
    <bk>
      <rc t="1" v="3257"/>
    </bk>
    <bk>
      <rc t="1" v="3258"/>
    </bk>
    <bk>
      <rc t="1" v="3259"/>
    </bk>
    <bk>
      <rc t="1" v="3260"/>
    </bk>
    <bk>
      <rc t="1" v="3261"/>
    </bk>
    <bk>
      <rc t="1" v="3262"/>
    </bk>
    <bk>
      <rc t="1" v="3263"/>
    </bk>
    <bk>
      <rc t="1" v="3264"/>
    </bk>
    <bk>
      <rc t="1" v="3265"/>
    </bk>
    <bk>
      <rc t="1" v="3266"/>
    </bk>
    <bk>
      <rc t="1" v="3267"/>
    </bk>
    <bk>
      <rc t="1" v="3268"/>
    </bk>
    <bk>
      <rc t="1" v="3269"/>
    </bk>
    <bk>
      <rc t="1" v="3270"/>
    </bk>
    <bk>
      <rc t="1" v="3271"/>
    </bk>
    <bk>
      <rc t="1" v="3272"/>
    </bk>
    <bk>
      <rc t="1" v="3273"/>
    </bk>
    <bk>
      <rc t="1" v="3274"/>
    </bk>
    <bk>
      <rc t="1" v="3275"/>
    </bk>
    <bk>
      <rc t="1" v="3276"/>
    </bk>
    <bk>
      <rc t="1" v="3277"/>
    </bk>
    <bk>
      <rc t="1" v="3278"/>
    </bk>
    <bk>
      <rc t="1" v="3279"/>
    </bk>
    <bk>
      <rc t="1" v="3280"/>
    </bk>
    <bk>
      <rc t="1" v="3281"/>
    </bk>
    <bk>
      <rc t="1" v="3282"/>
    </bk>
    <bk>
      <rc t="1" v="3283"/>
    </bk>
    <bk>
      <rc t="1" v="3284"/>
    </bk>
    <bk>
      <rc t="1" v="3285"/>
    </bk>
    <bk>
      <rc t="1" v="3286"/>
    </bk>
    <bk>
      <rc t="1" v="3287"/>
    </bk>
    <bk>
      <rc t="1" v="3288"/>
    </bk>
    <bk>
      <rc t="1" v="3289"/>
    </bk>
    <bk>
      <rc t="1" v="3290"/>
    </bk>
    <bk>
      <rc t="1" v="3291"/>
    </bk>
    <bk>
      <rc t="1" v="3292"/>
    </bk>
    <bk>
      <rc t="1" v="3293"/>
    </bk>
    <bk>
      <rc t="1" v="3294"/>
    </bk>
    <bk>
      <rc t="1" v="3295"/>
    </bk>
    <bk>
      <rc t="1" v="3296"/>
    </bk>
    <bk>
      <rc t="1" v="3297"/>
    </bk>
    <bk>
      <rc t="1" v="3298"/>
    </bk>
    <bk>
      <rc t="1" v="3299"/>
    </bk>
    <bk>
      <rc t="1" v="3300"/>
    </bk>
    <bk>
      <rc t="1" v="3301"/>
    </bk>
    <bk>
      <rc t="1" v="3302"/>
    </bk>
    <bk>
      <rc t="1" v="3303"/>
    </bk>
    <bk>
      <rc t="1" v="3304"/>
    </bk>
    <bk>
      <rc t="1" v="3305"/>
    </bk>
    <bk>
      <rc t="1" v="3306"/>
    </bk>
    <bk>
      <rc t="1" v="3307"/>
    </bk>
    <bk>
      <rc t="1" v="3308"/>
    </bk>
    <bk>
      <rc t="1" v="3309"/>
    </bk>
    <bk>
      <rc t="1" v="3310"/>
    </bk>
    <bk>
      <rc t="1" v="3311"/>
    </bk>
    <bk>
      <rc t="1" v="3312"/>
    </bk>
    <bk>
      <rc t="1" v="3313"/>
    </bk>
    <bk>
      <rc t="1" v="3314"/>
    </bk>
    <bk>
      <rc t="1" v="3315"/>
    </bk>
    <bk>
      <rc t="1" v="3316"/>
    </bk>
    <bk>
      <rc t="1" v="3317"/>
    </bk>
    <bk>
      <rc t="1" v="3318"/>
    </bk>
    <bk>
      <rc t="1" v="3319"/>
    </bk>
    <bk>
      <rc t="1" v="3320"/>
    </bk>
    <bk>
      <rc t="1" v="3321"/>
    </bk>
    <bk>
      <rc t="1" v="3322"/>
    </bk>
    <bk>
      <rc t="1" v="3323"/>
    </bk>
    <bk>
      <rc t="1" v="3324"/>
    </bk>
    <bk>
      <rc t="1" v="3325"/>
    </bk>
    <bk>
      <rc t="1" v="3326"/>
    </bk>
    <bk>
      <rc t="1" v="3327"/>
    </bk>
    <bk>
      <rc t="1" v="3328"/>
    </bk>
    <bk>
      <rc t="1" v="3329"/>
    </bk>
    <bk>
      <rc t="1" v="3330"/>
    </bk>
    <bk>
      <rc t="1" v="3331"/>
    </bk>
    <bk>
      <rc t="1" v="3332"/>
    </bk>
    <bk>
      <rc t="1" v="3333"/>
    </bk>
    <bk>
      <rc t="1" v="3334"/>
    </bk>
    <bk>
      <rc t="1" v="3335"/>
    </bk>
    <bk>
      <rc t="1" v="3336"/>
    </bk>
    <bk>
      <rc t="1" v="3337"/>
    </bk>
    <bk>
      <rc t="1" v="3338"/>
    </bk>
    <bk>
      <rc t="1" v="3339"/>
    </bk>
    <bk>
      <rc t="1" v="3340"/>
    </bk>
    <bk>
      <rc t="1" v="3341"/>
    </bk>
    <bk>
      <rc t="1" v="3342"/>
    </bk>
    <bk>
      <rc t="1" v="3343"/>
    </bk>
    <bk>
      <rc t="1" v="3344"/>
    </bk>
    <bk>
      <rc t="1" v="3345"/>
    </bk>
    <bk>
      <rc t="1" v="3346"/>
    </bk>
    <bk>
      <rc t="1" v="3347"/>
    </bk>
    <bk>
      <rc t="1" v="3348"/>
    </bk>
    <bk>
      <rc t="1" v="3349"/>
    </bk>
    <bk>
      <rc t="1" v="3350"/>
    </bk>
    <bk>
      <rc t="1" v="3351"/>
    </bk>
    <bk>
      <rc t="1" v="3352"/>
    </bk>
    <bk>
      <rc t="1" v="3353"/>
    </bk>
    <bk>
      <rc t="1" v="3354"/>
    </bk>
    <bk>
      <rc t="1" v="3355"/>
    </bk>
    <bk>
      <rc t="1" v="3356"/>
    </bk>
    <bk>
      <rc t="1" v="3357"/>
    </bk>
    <bk>
      <rc t="1" v="3358"/>
    </bk>
    <bk>
      <rc t="1" v="3359"/>
    </bk>
    <bk>
      <rc t="1" v="3360"/>
    </bk>
    <bk>
      <rc t="1" v="3361"/>
    </bk>
    <bk>
      <rc t="1" v="3362"/>
    </bk>
    <bk>
      <rc t="1" v="3363"/>
    </bk>
    <bk>
      <rc t="1" v="3364"/>
    </bk>
    <bk>
      <rc t="1" v="3365"/>
    </bk>
    <bk>
      <rc t="1" v="3366"/>
    </bk>
    <bk>
      <rc t="1" v="3367"/>
    </bk>
    <bk>
      <rc t="1" v="3368"/>
    </bk>
    <bk>
      <rc t="1" v="3369"/>
    </bk>
    <bk>
      <rc t="1" v="3370"/>
    </bk>
    <bk>
      <rc t="1" v="3371"/>
    </bk>
    <bk>
      <rc t="1" v="3372"/>
    </bk>
    <bk>
      <rc t="1" v="3373"/>
    </bk>
    <bk>
      <rc t="1" v="3374"/>
    </bk>
    <bk>
      <rc t="1" v="3375"/>
    </bk>
    <bk>
      <rc t="1" v="3376"/>
    </bk>
    <bk>
      <rc t="1" v="3377"/>
    </bk>
    <bk>
      <rc t="1" v="3378"/>
    </bk>
    <bk>
      <rc t="1" v="3379"/>
    </bk>
    <bk>
      <rc t="1" v="3380"/>
    </bk>
    <bk>
      <rc t="1" v="3381"/>
    </bk>
    <bk>
      <rc t="1" v="3382"/>
    </bk>
    <bk>
      <rc t="1" v="3383"/>
    </bk>
    <bk>
      <rc t="1" v="3384"/>
    </bk>
    <bk>
      <rc t="1" v="3385"/>
    </bk>
    <bk>
      <rc t="1" v="3386"/>
    </bk>
    <bk>
      <rc t="1" v="3387"/>
    </bk>
    <bk>
      <rc t="1" v="3388"/>
    </bk>
    <bk>
      <rc t="1" v="3389"/>
    </bk>
    <bk>
      <rc t="1" v="3390"/>
    </bk>
    <bk>
      <rc t="1" v="3391"/>
    </bk>
    <bk>
      <rc t="1" v="3392"/>
    </bk>
    <bk>
      <rc t="1" v="3393"/>
    </bk>
    <bk>
      <rc t="1" v="3394"/>
    </bk>
    <bk>
      <rc t="1" v="3395"/>
    </bk>
    <bk>
      <rc t="1" v="3396"/>
    </bk>
    <bk>
      <rc t="1" v="3397"/>
    </bk>
    <bk>
      <rc t="1" v="3398"/>
    </bk>
    <bk>
      <rc t="1" v="3399"/>
    </bk>
    <bk>
      <rc t="1" v="3400"/>
    </bk>
    <bk>
      <rc t="1" v="3401"/>
    </bk>
    <bk>
      <rc t="1" v="3402"/>
    </bk>
    <bk>
      <rc t="1" v="3403"/>
    </bk>
    <bk>
      <rc t="1" v="3404"/>
    </bk>
    <bk>
      <rc t="1" v="3405"/>
    </bk>
    <bk>
      <rc t="1" v="3406"/>
    </bk>
    <bk>
      <rc t="1" v="3407"/>
    </bk>
    <bk>
      <rc t="1" v="3408"/>
    </bk>
    <bk>
      <rc t="1" v="3409"/>
    </bk>
    <bk>
      <rc t="1" v="3410"/>
    </bk>
    <bk>
      <rc t="1" v="3411"/>
    </bk>
    <bk>
      <rc t="1" v="3412"/>
    </bk>
    <bk>
      <rc t="1" v="3413"/>
    </bk>
    <bk>
      <rc t="1" v="3414"/>
    </bk>
    <bk>
      <rc t="1" v="3415"/>
    </bk>
    <bk>
      <rc t="1" v="3416"/>
    </bk>
    <bk>
      <rc t="1" v="3417"/>
    </bk>
    <bk>
      <rc t="1" v="3418"/>
    </bk>
    <bk>
      <rc t="1" v="3419"/>
    </bk>
    <bk>
      <rc t="1" v="3420"/>
    </bk>
    <bk>
      <rc t="1" v="3421"/>
    </bk>
    <bk>
      <rc t="1" v="3422"/>
    </bk>
    <bk>
      <rc t="1" v="3423"/>
    </bk>
    <bk>
      <rc t="1" v="3424"/>
    </bk>
    <bk>
      <rc t="1" v="3425"/>
    </bk>
    <bk>
      <rc t="1" v="3426"/>
    </bk>
    <bk>
      <rc t="1" v="3427"/>
    </bk>
    <bk>
      <rc t="1" v="3428"/>
    </bk>
    <bk>
      <rc t="1" v="3429"/>
    </bk>
    <bk>
      <rc t="1" v="3430"/>
    </bk>
    <bk>
      <rc t="1" v="3431"/>
    </bk>
    <bk>
      <rc t="1" v="3432"/>
    </bk>
    <bk>
      <rc t="1" v="3433"/>
    </bk>
    <bk>
      <rc t="1" v="3434"/>
    </bk>
    <bk>
      <rc t="1" v="3435"/>
    </bk>
    <bk>
      <rc t="1" v="3436"/>
    </bk>
    <bk>
      <rc t="1" v="3437"/>
    </bk>
    <bk>
      <rc t="1" v="3438"/>
    </bk>
    <bk>
      <rc t="1" v="3439"/>
    </bk>
    <bk>
      <rc t="1" v="3440"/>
    </bk>
    <bk>
      <rc t="1" v="3441"/>
    </bk>
    <bk>
      <rc t="1" v="3442"/>
    </bk>
    <bk>
      <rc t="1" v="3443"/>
    </bk>
    <bk>
      <rc t="1" v="3444"/>
    </bk>
    <bk>
      <rc t="1" v="3445"/>
    </bk>
    <bk>
      <rc t="1" v="3446"/>
    </bk>
    <bk>
      <rc t="1" v="3447"/>
    </bk>
    <bk>
      <rc t="1" v="3448"/>
    </bk>
    <bk>
      <rc t="1" v="3449"/>
    </bk>
    <bk>
      <rc t="1" v="3450"/>
    </bk>
    <bk>
      <rc t="1" v="3451"/>
    </bk>
    <bk>
      <rc t="1" v="3452"/>
    </bk>
    <bk>
      <rc t="1" v="3453"/>
    </bk>
    <bk>
      <rc t="1" v="3454"/>
    </bk>
    <bk>
      <rc t="1" v="3455"/>
    </bk>
    <bk>
      <rc t="1" v="3456"/>
    </bk>
    <bk>
      <rc t="1" v="3457"/>
    </bk>
    <bk>
      <rc t="1" v="3458"/>
    </bk>
    <bk>
      <rc t="1" v="3459"/>
    </bk>
    <bk>
      <rc t="1" v="3460"/>
    </bk>
    <bk>
      <rc t="1" v="3461"/>
    </bk>
    <bk>
      <rc t="1" v="3462"/>
    </bk>
    <bk>
      <rc t="1" v="3463"/>
    </bk>
    <bk>
      <rc t="1" v="3464"/>
    </bk>
    <bk>
      <rc t="1" v="3465"/>
    </bk>
    <bk>
      <rc t="1" v="3466"/>
    </bk>
    <bk>
      <rc t="1" v="3467"/>
    </bk>
    <bk>
      <rc t="1" v="3468"/>
    </bk>
    <bk>
      <rc t="1" v="3469"/>
    </bk>
    <bk>
      <rc t="1" v="3470"/>
    </bk>
    <bk>
      <rc t="1" v="3471"/>
    </bk>
    <bk>
      <rc t="1" v="3472"/>
    </bk>
    <bk>
      <rc t="1" v="3473"/>
    </bk>
    <bk>
      <rc t="1" v="3474"/>
    </bk>
    <bk>
      <rc t="1" v="3475"/>
    </bk>
    <bk>
      <rc t="1" v="3476"/>
    </bk>
    <bk>
      <rc t="1" v="3477"/>
    </bk>
    <bk>
      <rc t="1" v="3478"/>
    </bk>
    <bk>
      <rc t="1" v="3479"/>
    </bk>
    <bk>
      <rc t="1" v="3480"/>
    </bk>
    <bk>
      <rc t="1" v="3481"/>
    </bk>
    <bk>
      <rc t="1" v="3482"/>
    </bk>
    <bk>
      <rc t="1" v="3483"/>
    </bk>
    <bk>
      <rc t="1" v="3484"/>
    </bk>
    <bk>
      <rc t="1" v="3485"/>
    </bk>
    <bk>
      <rc t="1" v="3486"/>
    </bk>
    <bk>
      <rc t="1" v="3487"/>
    </bk>
    <bk>
      <rc t="1" v="3488"/>
    </bk>
    <bk>
      <rc t="1" v="3489"/>
    </bk>
    <bk>
      <rc t="1" v="3490"/>
    </bk>
    <bk>
      <rc t="1" v="3491"/>
    </bk>
    <bk>
      <rc t="1" v="3492"/>
    </bk>
    <bk>
      <rc t="1" v="3493"/>
    </bk>
    <bk>
      <rc t="1" v="3494"/>
    </bk>
    <bk>
      <rc t="1" v="3495"/>
    </bk>
    <bk>
      <rc t="1" v="3496"/>
    </bk>
    <bk>
      <rc t="1" v="3497"/>
    </bk>
    <bk>
      <rc t="1" v="3498"/>
    </bk>
    <bk>
      <rc t="1" v="3499"/>
    </bk>
    <bk>
      <rc t="1" v="3500"/>
    </bk>
    <bk>
      <rc t="1" v="3501"/>
    </bk>
    <bk>
      <rc t="1" v="3502"/>
    </bk>
    <bk>
      <rc t="1" v="3503"/>
    </bk>
    <bk>
      <rc t="1" v="3504"/>
    </bk>
    <bk>
      <rc t="1" v="3505"/>
    </bk>
    <bk>
      <rc t="1" v="3506"/>
    </bk>
    <bk>
      <rc t="1" v="3507"/>
    </bk>
    <bk>
      <rc t="1" v="3508"/>
    </bk>
    <bk>
      <rc t="1" v="3509"/>
    </bk>
    <bk>
      <rc t="1" v="3510"/>
    </bk>
    <bk>
      <rc t="1" v="3511"/>
    </bk>
    <bk>
      <rc t="1" v="3512"/>
    </bk>
    <bk>
      <rc t="1" v="3513"/>
    </bk>
    <bk>
      <rc t="1" v="3514"/>
    </bk>
    <bk>
      <rc t="1" v="3515"/>
    </bk>
    <bk>
      <rc t="1" v="3516"/>
    </bk>
    <bk>
      <rc t="1" v="3517"/>
    </bk>
    <bk>
      <rc t="1" v="3518"/>
    </bk>
    <bk>
      <rc t="1" v="3519"/>
    </bk>
    <bk>
      <rc t="1" v="3520"/>
    </bk>
    <bk>
      <rc t="1" v="3521"/>
    </bk>
    <bk>
      <rc t="1" v="3522"/>
    </bk>
    <bk>
      <rc t="1" v="3523"/>
    </bk>
    <bk>
      <rc t="1" v="3524"/>
    </bk>
    <bk>
      <rc t="1" v="3525"/>
    </bk>
    <bk>
      <rc t="1" v="3526"/>
    </bk>
    <bk>
      <rc t="1" v="3527"/>
    </bk>
    <bk>
      <rc t="1" v="3528"/>
    </bk>
    <bk>
      <rc t="1" v="3529"/>
    </bk>
    <bk>
      <rc t="1" v="3530"/>
    </bk>
    <bk>
      <rc t="1" v="3531"/>
    </bk>
    <bk>
      <rc t="1" v="3532"/>
    </bk>
    <bk>
      <rc t="1" v="3533"/>
    </bk>
    <bk>
      <rc t="1" v="3534"/>
    </bk>
    <bk>
      <rc t="1" v="3535"/>
    </bk>
    <bk>
      <rc t="1" v="3536"/>
    </bk>
    <bk>
      <rc t="1" v="3537"/>
    </bk>
    <bk>
      <rc t="1" v="3538"/>
    </bk>
    <bk>
      <rc t="1" v="3539"/>
    </bk>
    <bk>
      <rc t="1" v="3540"/>
    </bk>
    <bk>
      <rc t="1" v="3541"/>
    </bk>
    <bk>
      <rc t="1" v="3542"/>
    </bk>
    <bk>
      <rc t="1" v="3543"/>
    </bk>
    <bk>
      <rc t="1" v="3544"/>
    </bk>
    <bk>
      <rc t="1" v="3545"/>
    </bk>
    <bk>
      <rc t="1" v="3546"/>
    </bk>
    <bk>
      <rc t="1" v="3547"/>
    </bk>
    <bk>
      <rc t="1" v="3548"/>
    </bk>
    <bk>
      <rc t="1" v="3549"/>
    </bk>
    <bk>
      <rc t="1" v="3550"/>
    </bk>
    <bk>
      <rc t="1" v="3551"/>
    </bk>
    <bk>
      <rc t="1" v="3552"/>
    </bk>
    <bk>
      <rc t="1" v="3553"/>
    </bk>
    <bk>
      <rc t="1" v="3554"/>
    </bk>
    <bk>
      <rc t="1" v="3555"/>
    </bk>
    <bk>
      <rc t="1" v="3556"/>
    </bk>
    <bk>
      <rc t="1" v="3557"/>
    </bk>
    <bk>
      <rc t="1" v="3558"/>
    </bk>
    <bk>
      <rc t="1" v="3559"/>
    </bk>
    <bk>
      <rc t="1" v="3560"/>
    </bk>
    <bk>
      <rc t="1" v="3561"/>
    </bk>
    <bk>
      <rc t="1" v="3562"/>
    </bk>
    <bk>
      <rc t="1" v="3563"/>
    </bk>
    <bk>
      <rc t="1" v="3564"/>
    </bk>
    <bk>
      <rc t="1" v="3565"/>
    </bk>
    <bk>
      <rc t="1" v="3566"/>
    </bk>
    <bk>
      <rc t="1" v="3567"/>
    </bk>
    <bk>
      <rc t="1" v="3568"/>
    </bk>
    <bk>
      <rc t="1" v="3569"/>
    </bk>
    <bk>
      <rc t="1" v="3570"/>
    </bk>
    <bk>
      <rc t="1" v="3571"/>
    </bk>
    <bk>
      <rc t="1" v="3572"/>
    </bk>
    <bk>
      <rc t="1" v="3573"/>
    </bk>
    <bk>
      <rc t="1" v="3574"/>
    </bk>
    <bk>
      <rc t="1" v="3575"/>
    </bk>
    <bk>
      <rc t="1" v="3576"/>
    </bk>
    <bk>
      <rc t="1" v="3577"/>
    </bk>
    <bk>
      <rc t="1" v="3578"/>
    </bk>
    <bk>
      <rc t="1" v="3579"/>
    </bk>
    <bk>
      <rc t="1" v="3580"/>
    </bk>
    <bk>
      <rc t="1" v="3581"/>
    </bk>
    <bk>
      <rc t="1" v="3582"/>
    </bk>
    <bk>
      <rc t="1" v="3583"/>
    </bk>
    <bk>
      <rc t="1" v="3584"/>
    </bk>
    <bk>
      <rc t="1" v="3585"/>
    </bk>
    <bk>
      <rc t="1" v="3586"/>
    </bk>
    <bk>
      <rc t="1" v="3587"/>
    </bk>
    <bk>
      <rc t="1" v="3588"/>
    </bk>
    <bk>
      <rc t="1" v="3589"/>
    </bk>
    <bk>
      <rc t="1" v="3590"/>
    </bk>
    <bk>
      <rc t="1" v="3591"/>
    </bk>
    <bk>
      <rc t="1" v="3592"/>
    </bk>
    <bk>
      <rc t="1" v="3593"/>
    </bk>
    <bk>
      <rc t="1" v="3594"/>
    </bk>
    <bk>
      <rc t="1" v="3595"/>
    </bk>
    <bk>
      <rc t="1" v="3596"/>
    </bk>
    <bk>
      <rc t="1" v="3597"/>
    </bk>
    <bk>
      <rc t="1" v="3598"/>
    </bk>
    <bk>
      <rc t="1" v="3599"/>
    </bk>
    <bk>
      <rc t="1" v="3600"/>
    </bk>
    <bk>
      <rc t="1" v="3601"/>
    </bk>
    <bk>
      <rc t="1" v="3602"/>
    </bk>
    <bk>
      <rc t="1" v="3603"/>
    </bk>
    <bk>
      <rc t="1" v="3604"/>
    </bk>
    <bk>
      <rc t="1" v="3605"/>
    </bk>
    <bk>
      <rc t="1" v="3606"/>
    </bk>
    <bk>
      <rc t="1" v="3607"/>
    </bk>
    <bk>
      <rc t="1" v="3608"/>
    </bk>
    <bk>
      <rc t="1" v="3609"/>
    </bk>
    <bk>
      <rc t="1" v="3610"/>
    </bk>
    <bk>
      <rc t="1" v="3611"/>
    </bk>
    <bk>
      <rc t="1" v="3612"/>
    </bk>
    <bk>
      <rc t="1" v="3613"/>
    </bk>
    <bk>
      <rc t="1" v="3614"/>
    </bk>
    <bk>
      <rc t="1" v="3615"/>
    </bk>
    <bk>
      <rc t="1" v="3616"/>
    </bk>
    <bk>
      <rc t="1" v="3617"/>
    </bk>
    <bk>
      <rc t="1" v="3618"/>
    </bk>
    <bk>
      <rc t="1" v="3619"/>
    </bk>
    <bk>
      <rc t="1" v="3620"/>
    </bk>
    <bk>
      <rc t="1" v="3621"/>
    </bk>
    <bk>
      <rc t="1" v="3622"/>
    </bk>
    <bk>
      <rc t="1" v="3623"/>
    </bk>
    <bk>
      <rc t="1" v="3624"/>
    </bk>
    <bk>
      <rc t="1" v="3625"/>
    </bk>
    <bk>
      <rc t="1" v="3626"/>
    </bk>
    <bk>
      <rc t="1" v="3627"/>
    </bk>
    <bk>
      <rc t="1" v="3628"/>
    </bk>
    <bk>
      <rc t="1" v="3629"/>
    </bk>
    <bk>
      <rc t="1" v="3630"/>
    </bk>
    <bk>
      <rc t="1" v="3631"/>
    </bk>
    <bk>
      <rc t="1" v="3632"/>
    </bk>
    <bk>
      <rc t="1" v="3633"/>
    </bk>
    <bk>
      <rc t="1" v="3634"/>
    </bk>
    <bk>
      <rc t="1" v="3635"/>
    </bk>
    <bk>
      <rc t="1" v="3636"/>
    </bk>
    <bk>
      <rc t="1" v="3637"/>
    </bk>
    <bk>
      <rc t="1" v="3638"/>
    </bk>
    <bk>
      <rc t="1" v="3639"/>
    </bk>
    <bk>
      <rc t="1" v="3640"/>
    </bk>
    <bk>
      <rc t="1" v="3641"/>
    </bk>
    <bk>
      <rc t="1" v="3642"/>
    </bk>
    <bk>
      <rc t="1" v="3643"/>
    </bk>
    <bk>
      <rc t="1" v="3644"/>
    </bk>
    <bk>
      <rc t="1" v="3645"/>
    </bk>
    <bk>
      <rc t="1" v="3646"/>
    </bk>
    <bk>
      <rc t="1" v="3647"/>
    </bk>
    <bk>
      <rc t="1" v="3648"/>
    </bk>
    <bk>
      <rc t="1" v="3649"/>
    </bk>
    <bk>
      <rc t="1" v="3650"/>
    </bk>
    <bk>
      <rc t="1" v="3651"/>
    </bk>
    <bk>
      <rc t="1" v="3652"/>
    </bk>
    <bk>
      <rc t="1" v="3653"/>
    </bk>
    <bk>
      <rc t="1" v="3654"/>
    </bk>
    <bk>
      <rc t="1" v="3655"/>
    </bk>
    <bk>
      <rc t="1" v="3656"/>
    </bk>
    <bk>
      <rc t="1" v="3657"/>
    </bk>
    <bk>
      <rc t="1" v="3658"/>
    </bk>
    <bk>
      <rc t="1" v="3659"/>
    </bk>
    <bk>
      <rc t="1" v="3660"/>
    </bk>
    <bk>
      <rc t="1" v="3661"/>
    </bk>
    <bk>
      <rc t="1" v="3662"/>
    </bk>
    <bk>
      <rc t="1" v="3663"/>
    </bk>
    <bk>
      <rc t="1" v="3664"/>
    </bk>
    <bk>
      <rc t="1" v="3665"/>
    </bk>
    <bk>
      <rc t="1" v="3666"/>
    </bk>
    <bk>
      <rc t="1" v="3667"/>
    </bk>
    <bk>
      <rc t="1" v="3668"/>
    </bk>
    <bk>
      <rc t="1" v="3669"/>
    </bk>
    <bk>
      <rc t="1" v="3670"/>
    </bk>
    <bk>
      <rc t="1" v="3671"/>
    </bk>
    <bk>
      <rc t="1" v="3672"/>
    </bk>
    <bk>
      <rc t="1" v="3673"/>
    </bk>
    <bk>
      <rc t="1" v="3674"/>
    </bk>
    <bk>
      <rc t="1" v="3675"/>
    </bk>
    <bk>
      <rc t="1" v="3676"/>
    </bk>
    <bk>
      <rc t="1" v="3677"/>
    </bk>
    <bk>
      <rc t="1" v="3678"/>
    </bk>
    <bk>
      <rc t="1" v="3679"/>
    </bk>
    <bk>
      <rc t="1" v="3680"/>
    </bk>
    <bk>
      <rc t="1" v="3681"/>
    </bk>
    <bk>
      <rc t="1" v="3682"/>
    </bk>
    <bk>
      <rc t="1" v="3683"/>
    </bk>
    <bk>
      <rc t="1" v="3684"/>
    </bk>
    <bk>
      <rc t="1" v="3685"/>
    </bk>
    <bk>
      <rc t="1" v="3686"/>
    </bk>
    <bk>
      <rc t="1" v="3687"/>
    </bk>
    <bk>
      <rc t="1" v="3688"/>
    </bk>
    <bk>
      <rc t="1" v="3689"/>
    </bk>
    <bk>
      <rc t="1" v="3690"/>
    </bk>
    <bk>
      <rc t="1" v="3691"/>
    </bk>
    <bk>
      <rc t="1" v="3692"/>
    </bk>
    <bk>
      <rc t="1" v="3693"/>
    </bk>
    <bk>
      <rc t="1" v="3694"/>
    </bk>
    <bk>
      <rc t="1" v="3695"/>
    </bk>
    <bk>
      <rc t="1" v="3696"/>
    </bk>
    <bk>
      <rc t="1" v="3697"/>
    </bk>
    <bk>
      <rc t="1" v="3698"/>
    </bk>
    <bk>
      <rc t="1" v="3699"/>
    </bk>
    <bk>
      <rc t="1" v="3700"/>
    </bk>
    <bk>
      <rc t="1" v="3701"/>
    </bk>
    <bk>
      <rc t="1" v="3702"/>
    </bk>
    <bk>
      <rc t="1" v="3703"/>
    </bk>
    <bk>
      <rc t="1" v="3704"/>
    </bk>
    <bk>
      <rc t="1" v="3705"/>
    </bk>
    <bk>
      <rc t="1" v="3706"/>
    </bk>
    <bk>
      <rc t="1" v="3707"/>
    </bk>
    <bk>
      <rc t="1" v="3708"/>
    </bk>
    <bk>
      <rc t="1" v="3709"/>
    </bk>
    <bk>
      <rc t="1" v="3710"/>
    </bk>
    <bk>
      <rc t="1" v="3711"/>
    </bk>
    <bk>
      <rc t="1" v="3712"/>
    </bk>
    <bk>
      <rc t="1" v="3713"/>
    </bk>
    <bk>
      <rc t="1" v="3714"/>
    </bk>
    <bk>
      <rc t="1" v="3715"/>
    </bk>
    <bk>
      <rc t="1" v="3716"/>
    </bk>
    <bk>
      <rc t="1" v="3717"/>
    </bk>
    <bk>
      <rc t="1" v="3718"/>
    </bk>
    <bk>
      <rc t="1" v="3719"/>
    </bk>
    <bk>
      <rc t="1" v="3720"/>
    </bk>
    <bk>
      <rc t="1" v="3721"/>
    </bk>
    <bk>
      <rc t="1" v="3722"/>
    </bk>
    <bk>
      <rc t="1" v="3723"/>
    </bk>
    <bk>
      <rc t="1" v="3724"/>
    </bk>
    <bk>
      <rc t="1" v="3725"/>
    </bk>
    <bk>
      <rc t="1" v="3726"/>
    </bk>
    <bk>
      <rc t="1" v="3727"/>
    </bk>
    <bk>
      <rc t="1" v="3728"/>
    </bk>
    <bk>
      <rc t="1" v="3729"/>
    </bk>
    <bk>
      <rc t="1" v="3730"/>
    </bk>
    <bk>
      <rc t="1" v="3731"/>
    </bk>
    <bk>
      <rc t="1" v="3732"/>
    </bk>
    <bk>
      <rc t="1" v="3733"/>
    </bk>
    <bk>
      <rc t="1" v="3734"/>
    </bk>
    <bk>
      <rc t="1" v="3735"/>
    </bk>
    <bk>
      <rc t="1" v="3736"/>
    </bk>
    <bk>
      <rc t="1" v="3737"/>
    </bk>
    <bk>
      <rc t="1" v="3738"/>
    </bk>
    <bk>
      <rc t="1" v="3739"/>
    </bk>
    <bk>
      <rc t="1" v="3740"/>
    </bk>
    <bk>
      <rc t="1" v="3741"/>
    </bk>
    <bk>
      <rc t="1" v="3742"/>
    </bk>
    <bk>
      <rc t="1" v="3743"/>
    </bk>
    <bk>
      <rc t="1" v="3744"/>
    </bk>
    <bk>
      <rc t="1" v="3745"/>
    </bk>
    <bk>
      <rc t="1" v="3746"/>
    </bk>
    <bk>
      <rc t="1" v="3747"/>
    </bk>
    <bk>
      <rc t="1" v="3748"/>
    </bk>
    <bk>
      <rc t="1" v="3749"/>
    </bk>
    <bk>
      <rc t="1" v="3750"/>
    </bk>
    <bk>
      <rc t="1" v="3751"/>
    </bk>
    <bk>
      <rc t="1" v="3752"/>
    </bk>
    <bk>
      <rc t="1" v="3753"/>
    </bk>
    <bk>
      <rc t="1" v="3754"/>
    </bk>
    <bk>
      <rc t="1" v="3755"/>
    </bk>
    <bk>
      <rc t="1" v="3756"/>
    </bk>
    <bk>
      <rc t="1" v="3757"/>
    </bk>
    <bk>
      <rc t="1" v="3758"/>
    </bk>
    <bk>
      <rc t="1" v="3759"/>
    </bk>
    <bk>
      <rc t="1" v="3760"/>
    </bk>
    <bk>
      <rc t="1" v="3761"/>
    </bk>
    <bk>
      <rc t="1" v="3762"/>
    </bk>
    <bk>
      <rc t="1" v="3763"/>
    </bk>
    <bk>
      <rc t="1" v="3764"/>
    </bk>
    <bk>
      <rc t="1" v="3765"/>
    </bk>
    <bk>
      <rc t="1" v="3766"/>
    </bk>
    <bk>
      <rc t="1" v="3767"/>
    </bk>
    <bk>
      <rc t="1" v="3768"/>
    </bk>
    <bk>
      <rc t="1" v="3769"/>
    </bk>
    <bk>
      <rc t="1" v="3770"/>
    </bk>
    <bk>
      <rc t="1" v="3771"/>
    </bk>
    <bk>
      <rc t="1" v="3772"/>
    </bk>
    <bk>
      <rc t="1" v="3773"/>
    </bk>
    <bk>
      <rc t="1" v="3774"/>
    </bk>
    <bk>
      <rc t="1" v="3775"/>
    </bk>
    <bk>
      <rc t="1" v="3776"/>
    </bk>
    <bk>
      <rc t="1" v="3777"/>
    </bk>
    <bk>
      <rc t="1" v="3778"/>
    </bk>
    <bk>
      <rc t="1" v="3779"/>
    </bk>
    <bk>
      <rc t="1" v="3780"/>
    </bk>
    <bk>
      <rc t="1" v="3781"/>
    </bk>
    <bk>
      <rc t="1" v="3782"/>
    </bk>
    <bk>
      <rc t="1" v="3783"/>
    </bk>
    <bk>
      <rc t="1" v="3784"/>
    </bk>
    <bk>
      <rc t="1" v="3785"/>
    </bk>
    <bk>
      <rc t="1" v="3786"/>
    </bk>
    <bk>
      <rc t="1" v="3787"/>
    </bk>
    <bk>
      <rc t="1" v="3788"/>
    </bk>
    <bk>
      <rc t="1" v="3789"/>
    </bk>
    <bk>
      <rc t="1" v="3790"/>
    </bk>
    <bk>
      <rc t="1" v="3791"/>
    </bk>
    <bk>
      <rc t="1" v="3792"/>
    </bk>
    <bk>
      <rc t="1" v="3793"/>
    </bk>
    <bk>
      <rc t="1" v="3794"/>
    </bk>
    <bk>
      <rc t="1" v="3795"/>
    </bk>
    <bk>
      <rc t="1" v="3796"/>
    </bk>
    <bk>
      <rc t="1" v="3797"/>
    </bk>
    <bk>
      <rc t="1" v="3798"/>
    </bk>
    <bk>
      <rc t="1" v="3799"/>
    </bk>
    <bk>
      <rc t="1" v="3800"/>
    </bk>
    <bk>
      <rc t="1" v="3801"/>
    </bk>
    <bk>
      <rc t="1" v="3802"/>
    </bk>
    <bk>
      <rc t="1" v="3803"/>
    </bk>
    <bk>
      <rc t="1" v="3804"/>
    </bk>
    <bk>
      <rc t="1" v="3805"/>
    </bk>
    <bk>
      <rc t="1" v="3806"/>
    </bk>
    <bk>
      <rc t="1" v="3807"/>
    </bk>
    <bk>
      <rc t="1" v="3808"/>
    </bk>
    <bk>
      <rc t="1" v="3809"/>
    </bk>
    <bk>
      <rc t="1" v="3810"/>
    </bk>
    <bk>
      <rc t="1" v="3811"/>
    </bk>
    <bk>
      <rc t="1" v="3812"/>
    </bk>
    <bk>
      <rc t="1" v="3813"/>
    </bk>
    <bk>
      <rc t="1" v="3814"/>
    </bk>
    <bk>
      <rc t="1" v="3815"/>
    </bk>
    <bk>
      <rc t="1" v="3816"/>
    </bk>
    <bk>
      <rc t="1" v="3817"/>
    </bk>
    <bk>
      <rc t="1" v="3818"/>
    </bk>
    <bk>
      <rc t="1" v="3819"/>
    </bk>
    <bk>
      <rc t="1" v="3820"/>
    </bk>
    <bk>
      <rc t="1" v="3821"/>
    </bk>
    <bk>
      <rc t="1" v="3822"/>
    </bk>
    <bk>
      <rc t="1" v="3823"/>
    </bk>
    <bk>
      <rc t="1" v="3824"/>
    </bk>
    <bk>
      <rc t="1" v="3825"/>
    </bk>
    <bk>
      <rc t="1" v="3826"/>
    </bk>
    <bk>
      <rc t="1" v="3827"/>
    </bk>
    <bk>
      <rc t="1" v="3828"/>
    </bk>
    <bk>
      <rc t="1" v="3829"/>
    </bk>
    <bk>
      <rc t="1" v="3830"/>
    </bk>
    <bk>
      <rc t="1" v="3831"/>
    </bk>
    <bk>
      <rc t="1" v="3832"/>
    </bk>
    <bk>
      <rc t="1" v="3833"/>
    </bk>
    <bk>
      <rc t="1" v="3834"/>
    </bk>
    <bk>
      <rc t="1" v="3835"/>
    </bk>
    <bk>
      <rc t="1" v="3836"/>
    </bk>
    <bk>
      <rc t="1" v="3837"/>
    </bk>
    <bk>
      <rc t="1" v="3838"/>
    </bk>
    <bk>
      <rc t="1" v="3839"/>
    </bk>
    <bk>
      <rc t="1" v="3840"/>
    </bk>
    <bk>
      <rc t="1" v="3841"/>
    </bk>
    <bk>
      <rc t="1" v="3842"/>
    </bk>
    <bk>
      <rc t="1" v="3843"/>
    </bk>
    <bk>
      <rc t="1" v="3844"/>
    </bk>
    <bk>
      <rc t="1" v="3845"/>
    </bk>
    <bk>
      <rc t="1" v="3846"/>
    </bk>
    <bk>
      <rc t="1" v="3847"/>
    </bk>
    <bk>
      <rc t="1" v="3848"/>
    </bk>
    <bk>
      <rc t="1" v="3849"/>
    </bk>
    <bk>
      <rc t="1" v="3850"/>
    </bk>
    <bk>
      <rc t="1" v="3851"/>
    </bk>
    <bk>
      <rc t="1" v="3852"/>
    </bk>
    <bk>
      <rc t="1" v="3853"/>
    </bk>
    <bk>
      <rc t="1" v="3854"/>
    </bk>
    <bk>
      <rc t="1" v="3855"/>
    </bk>
    <bk>
      <rc t="1" v="3856"/>
    </bk>
    <bk>
      <rc t="1" v="3857"/>
    </bk>
    <bk>
      <rc t="1" v="3858"/>
    </bk>
    <bk>
      <rc t="1" v="3859"/>
    </bk>
    <bk>
      <rc t="1" v="3860"/>
    </bk>
    <bk>
      <rc t="1" v="3861"/>
    </bk>
    <bk>
      <rc t="1" v="3862"/>
    </bk>
    <bk>
      <rc t="1" v="3863"/>
    </bk>
    <bk>
      <rc t="1" v="3864"/>
    </bk>
    <bk>
      <rc t="1" v="3865"/>
    </bk>
    <bk>
      <rc t="1" v="3866"/>
    </bk>
    <bk>
      <rc t="1" v="3867"/>
    </bk>
    <bk>
      <rc t="1" v="3868"/>
    </bk>
    <bk>
      <rc t="1" v="3869"/>
    </bk>
    <bk>
      <rc t="1" v="3870"/>
    </bk>
    <bk>
      <rc t="1" v="3871"/>
    </bk>
    <bk>
      <rc t="1" v="3872"/>
    </bk>
    <bk>
      <rc t="1" v="3873"/>
    </bk>
    <bk>
      <rc t="1" v="3874"/>
    </bk>
    <bk>
      <rc t="1" v="3875"/>
    </bk>
    <bk>
      <rc t="1" v="3876"/>
    </bk>
    <bk>
      <rc t="1" v="3877"/>
    </bk>
    <bk>
      <rc t="1" v="3878"/>
    </bk>
    <bk>
      <rc t="1" v="3879"/>
    </bk>
    <bk>
      <rc t="1" v="3880"/>
    </bk>
    <bk>
      <rc t="1" v="3881"/>
    </bk>
    <bk>
      <rc t="1" v="3882"/>
    </bk>
    <bk>
      <rc t="1" v="3883"/>
    </bk>
    <bk>
      <rc t="1" v="3884"/>
    </bk>
    <bk>
      <rc t="1" v="3885"/>
    </bk>
    <bk>
      <rc t="1" v="3886"/>
    </bk>
    <bk>
      <rc t="1" v="3887"/>
    </bk>
    <bk>
      <rc t="1" v="3888"/>
    </bk>
    <bk>
      <rc t="1" v="3889"/>
    </bk>
    <bk>
      <rc t="1" v="3890"/>
    </bk>
    <bk>
      <rc t="1" v="3891"/>
    </bk>
    <bk>
      <rc t="1" v="3892"/>
    </bk>
    <bk>
      <rc t="1" v="3893"/>
    </bk>
    <bk>
      <rc t="1" v="3894"/>
    </bk>
    <bk>
      <rc t="1" v="3895"/>
    </bk>
    <bk>
      <rc t="1" v="3896"/>
    </bk>
    <bk>
      <rc t="1" v="3897"/>
    </bk>
    <bk>
      <rc t="1" v="3898"/>
    </bk>
    <bk>
      <rc t="1" v="3899"/>
    </bk>
    <bk>
      <rc t="1" v="3900"/>
    </bk>
    <bk>
      <rc t="1" v="3901"/>
    </bk>
    <bk>
      <rc t="1" v="3902"/>
    </bk>
    <bk>
      <rc t="1" v="3903"/>
    </bk>
    <bk>
      <rc t="1" v="3904"/>
    </bk>
    <bk>
      <rc t="1" v="3905"/>
    </bk>
    <bk>
      <rc t="1" v="3906"/>
    </bk>
    <bk>
      <rc t="1" v="3907"/>
    </bk>
    <bk>
      <rc t="1" v="3908"/>
    </bk>
    <bk>
      <rc t="1" v="3909"/>
    </bk>
    <bk>
      <rc t="1" v="3910"/>
    </bk>
    <bk>
      <rc t="1" v="3911"/>
    </bk>
    <bk>
      <rc t="1" v="3912"/>
    </bk>
    <bk>
      <rc t="1" v="3913"/>
    </bk>
    <bk>
      <rc t="1" v="3914"/>
    </bk>
    <bk>
      <rc t="1" v="3915"/>
    </bk>
    <bk>
      <rc t="1" v="3916"/>
    </bk>
    <bk>
      <rc t="1" v="3917"/>
    </bk>
    <bk>
      <rc t="1" v="3918"/>
    </bk>
    <bk>
      <rc t="1" v="3919"/>
    </bk>
    <bk>
      <rc t="1" v="3920"/>
    </bk>
    <bk>
      <rc t="1" v="3921"/>
    </bk>
    <bk>
      <rc t="1" v="3922"/>
    </bk>
    <bk>
      <rc t="1" v="3923"/>
    </bk>
    <bk>
      <rc t="1" v="3924"/>
    </bk>
    <bk>
      <rc t="1" v="3925"/>
    </bk>
    <bk>
      <rc t="1" v="3926"/>
    </bk>
    <bk>
      <rc t="1" v="3927"/>
    </bk>
    <bk>
      <rc t="1" v="3928"/>
    </bk>
    <bk>
      <rc t="1" v="3929"/>
    </bk>
    <bk>
      <rc t="1" v="3930"/>
    </bk>
    <bk>
      <rc t="1" v="3931"/>
    </bk>
    <bk>
      <rc t="1" v="3932"/>
    </bk>
    <bk>
      <rc t="1" v="3933"/>
    </bk>
    <bk>
      <rc t="1" v="3934"/>
    </bk>
    <bk>
      <rc t="1" v="3935"/>
    </bk>
    <bk>
      <rc t="1" v="3936"/>
    </bk>
    <bk>
      <rc t="1" v="3937"/>
    </bk>
    <bk>
      <rc t="1" v="3938"/>
    </bk>
    <bk>
      <rc t="1" v="3939"/>
    </bk>
    <bk>
      <rc t="1" v="3940"/>
    </bk>
    <bk>
      <rc t="1" v="3941"/>
    </bk>
    <bk>
      <rc t="1" v="3942"/>
    </bk>
    <bk>
      <rc t="1" v="3943"/>
    </bk>
    <bk>
      <rc t="1" v="3944"/>
    </bk>
    <bk>
      <rc t="1" v="3945"/>
    </bk>
    <bk>
      <rc t="1" v="3946"/>
    </bk>
    <bk>
      <rc t="1" v="3947"/>
    </bk>
    <bk>
      <rc t="1" v="3948"/>
    </bk>
    <bk>
      <rc t="1" v="3949"/>
    </bk>
    <bk>
      <rc t="1" v="3950"/>
    </bk>
    <bk>
      <rc t="1" v="3951"/>
    </bk>
    <bk>
      <rc t="1" v="3952"/>
    </bk>
    <bk>
      <rc t="1" v="3953"/>
    </bk>
    <bk>
      <rc t="1" v="3954"/>
    </bk>
    <bk>
      <rc t="1" v="3955"/>
    </bk>
    <bk>
      <rc t="1" v="3956"/>
    </bk>
    <bk>
      <rc t="1" v="3957"/>
    </bk>
    <bk>
      <rc t="1" v="3958"/>
    </bk>
    <bk>
      <rc t="1" v="3959"/>
    </bk>
    <bk>
      <rc t="1" v="3960"/>
    </bk>
    <bk>
      <rc t="1" v="3961"/>
    </bk>
    <bk>
      <rc t="1" v="3962"/>
    </bk>
    <bk>
      <rc t="1" v="3963"/>
    </bk>
    <bk>
      <rc t="1" v="3964"/>
    </bk>
    <bk>
      <rc t="1" v="3965"/>
    </bk>
    <bk>
      <rc t="1" v="3966"/>
    </bk>
    <bk>
      <rc t="1" v="3967"/>
    </bk>
    <bk>
      <rc t="1" v="3968"/>
    </bk>
    <bk>
      <rc t="1" v="3969"/>
    </bk>
    <bk>
      <rc t="1" v="3970"/>
    </bk>
    <bk>
      <rc t="1" v="3971"/>
    </bk>
    <bk>
      <rc t="1" v="3972"/>
    </bk>
    <bk>
      <rc t="1" v="3973"/>
    </bk>
    <bk>
      <rc t="1" v="3974"/>
    </bk>
    <bk>
      <rc t="1" v="3975"/>
    </bk>
    <bk>
      <rc t="1" v="3976"/>
    </bk>
    <bk>
      <rc t="1" v="3977"/>
    </bk>
    <bk>
      <rc t="1" v="3978"/>
    </bk>
    <bk>
      <rc t="1" v="3979"/>
    </bk>
    <bk>
      <rc t="1" v="3980"/>
    </bk>
    <bk>
      <rc t="1" v="3981"/>
    </bk>
    <bk>
      <rc t="1" v="3982"/>
    </bk>
    <bk>
      <rc t="1" v="3983"/>
    </bk>
    <bk>
      <rc t="1" v="3984"/>
    </bk>
    <bk>
      <rc t="1" v="3985"/>
    </bk>
    <bk>
      <rc t="1" v="3986"/>
    </bk>
    <bk>
      <rc t="1" v="3987"/>
    </bk>
    <bk>
      <rc t="1" v="3988"/>
    </bk>
    <bk>
      <rc t="1" v="3989"/>
    </bk>
    <bk>
      <rc t="1" v="3990"/>
    </bk>
    <bk>
      <rc t="1" v="3991"/>
    </bk>
    <bk>
      <rc t="1" v="3992"/>
    </bk>
    <bk>
      <rc t="1" v="3993"/>
    </bk>
    <bk>
      <rc t="1" v="3994"/>
    </bk>
    <bk>
      <rc t="1" v="3995"/>
    </bk>
    <bk>
      <rc t="1" v="3996"/>
    </bk>
    <bk>
      <rc t="1" v="3997"/>
    </bk>
    <bk>
      <rc t="1" v="3998"/>
    </bk>
    <bk>
      <rc t="1" v="3999"/>
    </bk>
    <bk>
      <rc t="1" v="4000"/>
    </bk>
    <bk>
      <rc t="1" v="4001"/>
    </bk>
    <bk>
      <rc t="1" v="4002"/>
    </bk>
    <bk>
      <rc t="1" v="4003"/>
    </bk>
    <bk>
      <rc t="1" v="4004"/>
    </bk>
    <bk>
      <rc t="1" v="4005"/>
    </bk>
    <bk>
      <rc t="1" v="4006"/>
    </bk>
    <bk>
      <rc t="1" v="4007"/>
    </bk>
    <bk>
      <rc t="1" v="4008"/>
    </bk>
    <bk>
      <rc t="1" v="4009"/>
    </bk>
    <bk>
      <rc t="1" v="4010"/>
    </bk>
    <bk>
      <rc t="1" v="4011"/>
    </bk>
    <bk>
      <rc t="1" v="4012"/>
    </bk>
    <bk>
      <rc t="1" v="4013"/>
    </bk>
    <bk>
      <rc t="1" v="4014"/>
    </bk>
    <bk>
      <rc t="1" v="4015"/>
    </bk>
    <bk>
      <rc t="1" v="4016"/>
    </bk>
    <bk>
      <rc t="1" v="4017"/>
    </bk>
    <bk>
      <rc t="1" v="4018"/>
    </bk>
    <bk>
      <rc t="1" v="4019"/>
    </bk>
    <bk>
      <rc t="1" v="4020"/>
    </bk>
    <bk>
      <rc t="1" v="4021"/>
    </bk>
    <bk>
      <rc t="1" v="4022"/>
    </bk>
    <bk>
      <rc t="1" v="4023"/>
    </bk>
    <bk>
      <rc t="1" v="4024"/>
    </bk>
    <bk>
      <rc t="1" v="4025"/>
    </bk>
    <bk>
      <rc t="1" v="4026"/>
    </bk>
    <bk>
      <rc t="1" v="4027"/>
    </bk>
    <bk>
      <rc t="1" v="4028"/>
    </bk>
    <bk>
      <rc t="1" v="4029"/>
    </bk>
    <bk>
      <rc t="1" v="4030"/>
    </bk>
    <bk>
      <rc t="1" v="4031"/>
    </bk>
    <bk>
      <rc t="1" v="4032"/>
    </bk>
    <bk>
      <rc t="1" v="4033"/>
    </bk>
    <bk>
      <rc t="1" v="4034"/>
    </bk>
    <bk>
      <rc t="1" v="4035"/>
    </bk>
    <bk>
      <rc t="1" v="4036"/>
    </bk>
    <bk>
      <rc t="1" v="4037"/>
    </bk>
    <bk>
      <rc t="1" v="4038"/>
    </bk>
    <bk>
      <rc t="1" v="4039"/>
    </bk>
    <bk>
      <rc t="1" v="4040"/>
    </bk>
    <bk>
      <rc t="1" v="4041"/>
    </bk>
    <bk>
      <rc t="1" v="4042"/>
    </bk>
    <bk>
      <rc t="1" v="4043"/>
    </bk>
    <bk>
      <rc t="1" v="4044"/>
    </bk>
    <bk>
      <rc t="1" v="4045"/>
    </bk>
    <bk>
      <rc t="1" v="4046"/>
    </bk>
    <bk>
      <rc t="1" v="4047"/>
    </bk>
    <bk>
      <rc t="1" v="4048"/>
    </bk>
    <bk>
      <rc t="1" v="4049"/>
    </bk>
    <bk>
      <rc t="1" v="4050"/>
    </bk>
    <bk>
      <rc t="1" v="4051"/>
    </bk>
    <bk>
      <rc t="1" v="4052"/>
    </bk>
    <bk>
      <rc t="1" v="4053"/>
    </bk>
    <bk>
      <rc t="1" v="4054"/>
    </bk>
    <bk>
      <rc t="1" v="4055"/>
    </bk>
    <bk>
      <rc t="1" v="4056"/>
    </bk>
    <bk>
      <rc t="1" v="4057"/>
    </bk>
    <bk>
      <rc t="1" v="4058"/>
    </bk>
    <bk>
      <rc t="1" v="4059"/>
    </bk>
    <bk>
      <rc t="1" v="4060"/>
    </bk>
    <bk>
      <rc t="1" v="4061"/>
    </bk>
    <bk>
      <rc t="1" v="4062"/>
    </bk>
    <bk>
      <rc t="1" v="4063"/>
    </bk>
    <bk>
      <rc t="1" v="4064"/>
    </bk>
    <bk>
      <rc t="1" v="4065"/>
    </bk>
    <bk>
      <rc t="1" v="4066"/>
    </bk>
    <bk>
      <rc t="1" v="4067"/>
    </bk>
    <bk>
      <rc t="1" v="4068"/>
    </bk>
    <bk>
      <rc t="1" v="4069"/>
    </bk>
    <bk>
      <rc t="1" v="4070"/>
    </bk>
    <bk>
      <rc t="1" v="4071"/>
    </bk>
    <bk>
      <rc t="1" v="4072"/>
    </bk>
    <bk>
      <rc t="1" v="4073"/>
    </bk>
    <bk>
      <rc t="1" v="4074"/>
    </bk>
    <bk>
      <rc t="1" v="4075"/>
    </bk>
    <bk>
      <rc t="1" v="4076"/>
    </bk>
    <bk>
      <rc t="1" v="4077"/>
    </bk>
    <bk>
      <rc t="1" v="4078"/>
    </bk>
    <bk>
      <rc t="1" v="4079"/>
    </bk>
    <bk>
      <rc t="1" v="4080"/>
    </bk>
    <bk>
      <rc t="1" v="4081"/>
    </bk>
    <bk>
      <rc t="1" v="4082"/>
    </bk>
    <bk>
      <rc t="1" v="4083"/>
    </bk>
    <bk>
      <rc t="1" v="4084"/>
    </bk>
    <bk>
      <rc t="1" v="4085"/>
    </bk>
    <bk>
      <rc t="1" v="4086"/>
    </bk>
    <bk>
      <rc t="1" v="4087"/>
    </bk>
    <bk>
      <rc t="1" v="4088"/>
    </bk>
    <bk>
      <rc t="1" v="4089"/>
    </bk>
    <bk>
      <rc t="1" v="4090"/>
    </bk>
    <bk>
      <rc t="1" v="4091"/>
    </bk>
    <bk>
      <rc t="1" v="4092"/>
    </bk>
    <bk>
      <rc t="1" v="4093"/>
    </bk>
    <bk>
      <rc t="1" v="4094"/>
    </bk>
    <bk>
      <rc t="1" v="4095"/>
    </bk>
    <bk>
      <rc t="1" v="4096"/>
    </bk>
    <bk>
      <rc t="1" v="4097"/>
    </bk>
    <bk>
      <rc t="1" v="4098"/>
    </bk>
    <bk>
      <rc t="1" v="4099"/>
    </bk>
    <bk>
      <rc t="1" v="4100"/>
    </bk>
    <bk>
      <rc t="1" v="4101"/>
    </bk>
    <bk>
      <rc t="1" v="4102"/>
    </bk>
    <bk>
      <rc t="1" v="4103"/>
    </bk>
    <bk>
      <rc t="1" v="4104"/>
    </bk>
    <bk>
      <rc t="1" v="4105"/>
    </bk>
    <bk>
      <rc t="1" v="4106"/>
    </bk>
    <bk>
      <rc t="1" v="4107"/>
    </bk>
    <bk>
      <rc t="1" v="4108"/>
    </bk>
    <bk>
      <rc t="1" v="4109"/>
    </bk>
    <bk>
      <rc t="1" v="4110"/>
    </bk>
    <bk>
      <rc t="1" v="4111"/>
    </bk>
    <bk>
      <rc t="1" v="4112"/>
    </bk>
    <bk>
      <rc t="1" v="4113"/>
    </bk>
    <bk>
      <rc t="1" v="4114"/>
    </bk>
    <bk>
      <rc t="1" v="4115"/>
    </bk>
    <bk>
      <rc t="1" v="4116"/>
    </bk>
    <bk>
      <rc t="1" v="4117"/>
    </bk>
    <bk>
      <rc t="1" v="4118"/>
    </bk>
    <bk>
      <rc t="1" v="4119"/>
    </bk>
    <bk>
      <rc t="1" v="4120"/>
    </bk>
    <bk>
      <rc t="1" v="4121"/>
    </bk>
    <bk>
      <rc t="1" v="4122"/>
    </bk>
    <bk>
      <rc t="1" v="4123"/>
    </bk>
    <bk>
      <rc t="1" v="4124"/>
    </bk>
    <bk>
      <rc t="1" v="4125"/>
    </bk>
    <bk>
      <rc t="1" v="4126"/>
    </bk>
    <bk>
      <rc t="1" v="4127"/>
    </bk>
    <bk>
      <rc t="1" v="4128"/>
    </bk>
    <bk>
      <rc t="1" v="4129"/>
    </bk>
    <bk>
      <rc t="1" v="4130"/>
    </bk>
    <bk>
      <rc t="1" v="4131"/>
    </bk>
    <bk>
      <rc t="1" v="4132"/>
    </bk>
    <bk>
      <rc t="1" v="4133"/>
    </bk>
    <bk>
      <rc t="1" v="4134"/>
    </bk>
    <bk>
      <rc t="1" v="4135"/>
    </bk>
    <bk>
      <rc t="1" v="4136"/>
    </bk>
    <bk>
      <rc t="1" v="4137"/>
    </bk>
    <bk>
      <rc t="1" v="4138"/>
    </bk>
    <bk>
      <rc t="1" v="4139"/>
    </bk>
    <bk>
      <rc t="1" v="4140"/>
    </bk>
    <bk>
      <rc t="1" v="4141"/>
    </bk>
    <bk>
      <rc t="1" v="4142"/>
    </bk>
    <bk>
      <rc t="1" v="4143"/>
    </bk>
    <bk>
      <rc t="1" v="4144"/>
    </bk>
    <bk>
      <rc t="1" v="4145"/>
    </bk>
    <bk>
      <rc t="1" v="4146"/>
    </bk>
    <bk>
      <rc t="1" v="4147"/>
    </bk>
    <bk>
      <rc t="1" v="4148"/>
    </bk>
    <bk>
      <rc t="1" v="4149"/>
    </bk>
    <bk>
      <rc t="1" v="4150"/>
    </bk>
    <bk>
      <rc t="1" v="4151"/>
    </bk>
    <bk>
      <rc t="1" v="4152"/>
    </bk>
    <bk>
      <rc t="1" v="4153"/>
    </bk>
    <bk>
      <rc t="1" v="4154"/>
    </bk>
    <bk>
      <rc t="1" v="4155"/>
    </bk>
    <bk>
      <rc t="1" v="4156"/>
    </bk>
    <bk>
      <rc t="1" v="4157"/>
    </bk>
    <bk>
      <rc t="1" v="4158"/>
    </bk>
    <bk>
      <rc t="1" v="4159"/>
    </bk>
    <bk>
      <rc t="1" v="4160"/>
    </bk>
    <bk>
      <rc t="1" v="4161"/>
    </bk>
    <bk>
      <rc t="1" v="4162"/>
    </bk>
    <bk>
      <rc t="1" v="4163"/>
    </bk>
    <bk>
      <rc t="1" v="4164"/>
    </bk>
    <bk>
      <rc t="1" v="4165"/>
    </bk>
    <bk>
      <rc t="1" v="4166"/>
    </bk>
    <bk>
      <rc t="1" v="4167"/>
    </bk>
    <bk>
      <rc t="1" v="4168"/>
    </bk>
    <bk>
      <rc t="1" v="4169"/>
    </bk>
    <bk>
      <rc t="1" v="4170"/>
    </bk>
    <bk>
      <rc t="1" v="4171"/>
    </bk>
    <bk>
      <rc t="1" v="4172"/>
    </bk>
    <bk>
      <rc t="1" v="4173"/>
    </bk>
    <bk>
      <rc t="1" v="4174"/>
    </bk>
    <bk>
      <rc t="1" v="4175"/>
    </bk>
    <bk>
      <rc t="1" v="4176"/>
    </bk>
    <bk>
      <rc t="1" v="4177"/>
    </bk>
    <bk>
      <rc t="1" v="4178"/>
    </bk>
    <bk>
      <rc t="1" v="4179"/>
    </bk>
    <bk>
      <rc t="1" v="4180"/>
    </bk>
    <bk>
      <rc t="1" v="4181"/>
    </bk>
    <bk>
      <rc t="1" v="4182"/>
    </bk>
    <bk>
      <rc t="1" v="4183"/>
    </bk>
    <bk>
      <rc t="1" v="4184"/>
    </bk>
    <bk>
      <rc t="1" v="4185"/>
    </bk>
    <bk>
      <rc t="1" v="4186"/>
    </bk>
    <bk>
      <rc t="1" v="4187"/>
    </bk>
    <bk>
      <rc t="1" v="4188"/>
    </bk>
    <bk>
      <rc t="1" v="4189"/>
    </bk>
    <bk>
      <rc t="1" v="4190"/>
    </bk>
    <bk>
      <rc t="1" v="4191"/>
    </bk>
    <bk>
      <rc t="1" v="4192"/>
    </bk>
    <bk>
      <rc t="1" v="4193"/>
    </bk>
    <bk>
      <rc t="1" v="4194"/>
    </bk>
    <bk>
      <rc t="1" v="4195"/>
    </bk>
    <bk>
      <rc t="1" v="4196"/>
    </bk>
    <bk>
      <rc t="1" v="4197"/>
    </bk>
    <bk>
      <rc t="1" v="4198"/>
    </bk>
    <bk>
      <rc t="1" v="4199"/>
    </bk>
    <bk>
      <rc t="1" v="4200"/>
    </bk>
    <bk>
      <rc t="1" v="4201"/>
    </bk>
    <bk>
      <rc t="1" v="4202"/>
    </bk>
    <bk>
      <rc t="1" v="4203"/>
    </bk>
    <bk>
      <rc t="1" v="4204"/>
    </bk>
    <bk>
      <rc t="1" v="4205"/>
    </bk>
    <bk>
      <rc t="1" v="4206"/>
    </bk>
    <bk>
      <rc t="1" v="4207"/>
    </bk>
    <bk>
      <rc t="1" v="4208"/>
    </bk>
    <bk>
      <rc t="1" v="4209"/>
    </bk>
    <bk>
      <rc t="1" v="4210"/>
    </bk>
    <bk>
      <rc t="1" v="4211"/>
    </bk>
    <bk>
      <rc t="1" v="4212"/>
    </bk>
    <bk>
      <rc t="1" v="4213"/>
    </bk>
    <bk>
      <rc t="1" v="4214"/>
    </bk>
    <bk>
      <rc t="1" v="4215"/>
    </bk>
    <bk>
      <rc t="1" v="4216"/>
    </bk>
    <bk>
      <rc t="1" v="4217"/>
    </bk>
    <bk>
      <rc t="1" v="4218"/>
    </bk>
    <bk>
      <rc t="1" v="4219"/>
    </bk>
    <bk>
      <rc t="1" v="4220"/>
    </bk>
    <bk>
      <rc t="1" v="4221"/>
    </bk>
    <bk>
      <rc t="1" v="4222"/>
    </bk>
    <bk>
      <rc t="1" v="4223"/>
    </bk>
    <bk>
      <rc t="1" v="4224"/>
    </bk>
    <bk>
      <rc t="1" v="4225"/>
    </bk>
    <bk>
      <rc t="1" v="4226"/>
    </bk>
    <bk>
      <rc t="1" v="4227"/>
    </bk>
    <bk>
      <rc t="1" v="4228"/>
    </bk>
    <bk>
      <rc t="1" v="4229"/>
    </bk>
    <bk>
      <rc t="1" v="4230"/>
    </bk>
    <bk>
      <rc t="1" v="4231"/>
    </bk>
    <bk>
      <rc t="1" v="4232"/>
    </bk>
    <bk>
      <rc t="1" v="4233"/>
    </bk>
    <bk>
      <rc t="1" v="4234"/>
    </bk>
    <bk>
      <rc t="1" v="4235"/>
    </bk>
    <bk>
      <rc t="1" v="4236"/>
    </bk>
    <bk>
      <rc t="1" v="4237"/>
    </bk>
    <bk>
      <rc t="1" v="4238"/>
    </bk>
    <bk>
      <rc t="1" v="4239"/>
    </bk>
    <bk>
      <rc t="1" v="4240"/>
    </bk>
    <bk>
      <rc t="1" v="4241"/>
    </bk>
    <bk>
      <rc t="1" v="4242"/>
    </bk>
    <bk>
      <rc t="1" v="4243"/>
    </bk>
    <bk>
      <rc t="1" v="4244"/>
    </bk>
    <bk>
      <rc t="1" v="4245"/>
    </bk>
    <bk>
      <rc t="1" v="4246"/>
    </bk>
    <bk>
      <rc t="1" v="4247"/>
    </bk>
    <bk>
      <rc t="1" v="4248"/>
    </bk>
    <bk>
      <rc t="1" v="4249"/>
    </bk>
    <bk>
      <rc t="1" v="4250"/>
    </bk>
    <bk>
      <rc t="1" v="4251"/>
    </bk>
    <bk>
      <rc t="1" v="4252"/>
    </bk>
    <bk>
      <rc t="1" v="4253"/>
    </bk>
    <bk>
      <rc t="1" v="4254"/>
    </bk>
    <bk>
      <rc t="1" v="4255"/>
    </bk>
    <bk>
      <rc t="1" v="4256"/>
    </bk>
    <bk>
      <rc t="1" v="4257"/>
    </bk>
    <bk>
      <rc t="1" v="4258"/>
    </bk>
    <bk>
      <rc t="1" v="4259"/>
    </bk>
    <bk>
      <rc t="1" v="4260"/>
    </bk>
    <bk>
      <rc t="1" v="4261"/>
    </bk>
    <bk>
      <rc t="1" v="4262"/>
    </bk>
    <bk>
      <rc t="1" v="4263"/>
    </bk>
    <bk>
      <rc t="1" v="4264"/>
    </bk>
    <bk>
      <rc t="1" v="4265"/>
    </bk>
    <bk>
      <rc t="1" v="4266"/>
    </bk>
    <bk>
      <rc t="1" v="4267"/>
    </bk>
    <bk>
      <rc t="1" v="4268"/>
    </bk>
    <bk>
      <rc t="1" v="4269"/>
    </bk>
    <bk>
      <rc t="1" v="4270"/>
    </bk>
    <bk>
      <rc t="1" v="4271"/>
    </bk>
    <bk>
      <rc t="1" v="4272"/>
    </bk>
    <bk>
      <rc t="1" v="4273"/>
    </bk>
    <bk>
      <rc t="1" v="4274"/>
    </bk>
    <bk>
      <rc t="1" v="4275"/>
    </bk>
    <bk>
      <rc t="1" v="4276"/>
    </bk>
    <bk>
      <rc t="1" v="4277"/>
    </bk>
    <bk>
      <rc t="1" v="4278"/>
    </bk>
    <bk>
      <rc t="1" v="4279"/>
    </bk>
    <bk>
      <rc t="1" v="4280"/>
    </bk>
    <bk>
      <rc t="1" v="4281"/>
    </bk>
    <bk>
      <rc t="1" v="4282"/>
    </bk>
    <bk>
      <rc t="1" v="4283"/>
    </bk>
    <bk>
      <rc t="1" v="4284"/>
    </bk>
    <bk>
      <rc t="1" v="4285"/>
    </bk>
    <bk>
      <rc t="1" v="4286"/>
    </bk>
    <bk>
      <rc t="1" v="4287"/>
    </bk>
    <bk>
      <rc t="1" v="4288"/>
    </bk>
    <bk>
      <rc t="1" v="4289"/>
    </bk>
    <bk>
      <rc t="1" v="4290"/>
    </bk>
    <bk>
      <rc t="1" v="4291"/>
    </bk>
    <bk>
      <rc t="1" v="4292"/>
    </bk>
    <bk>
      <rc t="1" v="4293"/>
    </bk>
    <bk>
      <rc t="1" v="4294"/>
    </bk>
    <bk>
      <rc t="1" v="4295"/>
    </bk>
    <bk>
      <rc t="1" v="4296"/>
    </bk>
    <bk>
      <rc t="1" v="4297"/>
    </bk>
    <bk>
      <rc t="1" v="4298"/>
    </bk>
    <bk>
      <rc t="1" v="4299"/>
    </bk>
    <bk>
      <rc t="1" v="4300"/>
    </bk>
    <bk>
      <rc t="1" v="4301"/>
    </bk>
    <bk>
      <rc t="1" v="4302"/>
    </bk>
    <bk>
      <rc t="1" v="4303"/>
    </bk>
    <bk>
      <rc t="1" v="4304"/>
    </bk>
    <bk>
      <rc t="1" v="4305"/>
    </bk>
    <bk>
      <rc t="1" v="4306"/>
    </bk>
    <bk>
      <rc t="1" v="4307"/>
    </bk>
    <bk>
      <rc t="1" v="4308"/>
    </bk>
    <bk>
      <rc t="1" v="4309"/>
    </bk>
    <bk>
      <rc t="1" v="4310"/>
    </bk>
    <bk>
      <rc t="1" v="4311"/>
    </bk>
    <bk>
      <rc t="1" v="4312"/>
    </bk>
    <bk>
      <rc t="1" v="4313"/>
    </bk>
    <bk>
      <rc t="1" v="4314"/>
    </bk>
    <bk>
      <rc t="1" v="4315"/>
    </bk>
    <bk>
      <rc t="1" v="4316"/>
    </bk>
    <bk>
      <rc t="1" v="4317"/>
    </bk>
    <bk>
      <rc t="1" v="4318"/>
    </bk>
    <bk>
      <rc t="1" v="4319"/>
    </bk>
    <bk>
      <rc t="1" v="4320"/>
    </bk>
    <bk>
      <rc t="1" v="4321"/>
    </bk>
    <bk>
      <rc t="1" v="4322"/>
    </bk>
    <bk>
      <rc t="1" v="4323"/>
    </bk>
    <bk>
      <rc t="1" v="4324"/>
    </bk>
    <bk>
      <rc t="1" v="4325"/>
    </bk>
    <bk>
      <rc t="1" v="4326"/>
    </bk>
    <bk>
      <rc t="1" v="4327"/>
    </bk>
    <bk>
      <rc t="1" v="4328"/>
    </bk>
    <bk>
      <rc t="1" v="4329"/>
    </bk>
    <bk>
      <rc t="1" v="4330"/>
    </bk>
    <bk>
      <rc t="1" v="4331"/>
    </bk>
    <bk>
      <rc t="1" v="4332"/>
    </bk>
    <bk>
      <rc t="1" v="4333"/>
    </bk>
    <bk>
      <rc t="1" v="4334"/>
    </bk>
    <bk>
      <rc t="1" v="4335"/>
    </bk>
    <bk>
      <rc t="1" v="4336"/>
    </bk>
    <bk>
      <rc t="1" v="4337"/>
    </bk>
    <bk>
      <rc t="1" v="4338"/>
    </bk>
    <bk>
      <rc t="1" v="4339"/>
    </bk>
    <bk>
      <rc t="1" v="4340"/>
    </bk>
    <bk>
      <rc t="1" v="4341"/>
    </bk>
    <bk>
      <rc t="1" v="4342"/>
    </bk>
    <bk>
      <rc t="1" v="4343"/>
    </bk>
    <bk>
      <rc t="1" v="4344"/>
    </bk>
    <bk>
      <rc t="1" v="4345"/>
    </bk>
    <bk>
      <rc t="1" v="4346"/>
    </bk>
    <bk>
      <rc t="1" v="4347"/>
    </bk>
    <bk>
      <rc t="1" v="4348"/>
    </bk>
    <bk>
      <rc t="1" v="4349"/>
    </bk>
    <bk>
      <rc t="1" v="4350"/>
    </bk>
    <bk>
      <rc t="1" v="4351"/>
    </bk>
    <bk>
      <rc t="1" v="4352"/>
    </bk>
    <bk>
      <rc t="1" v="4353"/>
    </bk>
    <bk>
      <rc t="1" v="4354"/>
    </bk>
    <bk>
      <rc t="1" v="4355"/>
    </bk>
    <bk>
      <rc t="1" v="4356"/>
    </bk>
    <bk>
      <rc t="1" v="4357"/>
    </bk>
    <bk>
      <rc t="1" v="4358"/>
    </bk>
    <bk>
      <rc t="1" v="4359"/>
    </bk>
    <bk>
      <rc t="1" v="4360"/>
    </bk>
    <bk>
      <rc t="1" v="4361"/>
    </bk>
    <bk>
      <rc t="1" v="4362"/>
    </bk>
    <bk>
      <rc t="1" v="4363"/>
    </bk>
    <bk>
      <rc t="1" v="4364"/>
    </bk>
    <bk>
      <rc t="1" v="4365"/>
    </bk>
    <bk>
      <rc t="1" v="4366"/>
    </bk>
    <bk>
      <rc t="1" v="4367"/>
    </bk>
    <bk>
      <rc t="1" v="4368"/>
    </bk>
    <bk>
      <rc t="1" v="4369"/>
    </bk>
    <bk>
      <rc t="1" v="4370"/>
    </bk>
    <bk>
      <rc t="1" v="4371"/>
    </bk>
    <bk>
      <rc t="1" v="4372"/>
    </bk>
    <bk>
      <rc t="1" v="4373"/>
    </bk>
    <bk>
      <rc t="1" v="4374"/>
    </bk>
    <bk>
      <rc t="1" v="4375"/>
    </bk>
    <bk>
      <rc t="1" v="4376"/>
    </bk>
    <bk>
      <rc t="1" v="4377"/>
    </bk>
    <bk>
      <rc t="1" v="4378"/>
    </bk>
    <bk>
      <rc t="1" v="4379"/>
    </bk>
    <bk>
      <rc t="1" v="4380"/>
    </bk>
    <bk>
      <rc t="1" v="4381"/>
    </bk>
    <bk>
      <rc t="1" v="4382"/>
    </bk>
    <bk>
      <rc t="1" v="4383"/>
    </bk>
    <bk>
      <rc t="1" v="4384"/>
    </bk>
    <bk>
      <rc t="1" v="4385"/>
    </bk>
    <bk>
      <rc t="1" v="4386"/>
    </bk>
    <bk>
      <rc t="1" v="4387"/>
    </bk>
    <bk>
      <rc t="1" v="4388"/>
    </bk>
    <bk>
      <rc t="1" v="4389"/>
    </bk>
    <bk>
      <rc t="1" v="4390"/>
    </bk>
    <bk>
      <rc t="1" v="4391"/>
    </bk>
    <bk>
      <rc t="1" v="4392"/>
    </bk>
    <bk>
      <rc t="1" v="4393"/>
    </bk>
    <bk>
      <rc t="1" v="4394"/>
    </bk>
    <bk>
      <rc t="1" v="4395"/>
    </bk>
    <bk>
      <rc t="1" v="4396"/>
    </bk>
    <bk>
      <rc t="1" v="4397"/>
    </bk>
    <bk>
      <rc t="1" v="4398"/>
    </bk>
    <bk>
      <rc t="1" v="4399"/>
    </bk>
    <bk>
      <rc t="1" v="4400"/>
    </bk>
    <bk>
      <rc t="1" v="4401"/>
    </bk>
    <bk>
      <rc t="1" v="4402"/>
    </bk>
    <bk>
      <rc t="1" v="4403"/>
    </bk>
    <bk>
      <rc t="1" v="4404"/>
    </bk>
    <bk>
      <rc t="1" v="4405"/>
    </bk>
    <bk>
      <rc t="1" v="4406"/>
    </bk>
    <bk>
      <rc t="1" v="4407"/>
    </bk>
    <bk>
      <rc t="1" v="4408"/>
    </bk>
    <bk>
      <rc t="1" v="4409"/>
    </bk>
    <bk>
      <rc t="1" v="4410"/>
    </bk>
    <bk>
      <rc t="1" v="4411"/>
    </bk>
    <bk>
      <rc t="1" v="4412"/>
    </bk>
    <bk>
      <rc t="1" v="4413"/>
    </bk>
    <bk>
      <rc t="1" v="4414"/>
    </bk>
    <bk>
      <rc t="1" v="4415"/>
    </bk>
    <bk>
      <rc t="1" v="4416"/>
    </bk>
    <bk>
      <rc t="1" v="4417"/>
    </bk>
    <bk>
      <rc t="1" v="4418"/>
    </bk>
    <bk>
      <rc t="1" v="4419"/>
    </bk>
    <bk>
      <rc t="1" v="4420"/>
    </bk>
    <bk>
      <rc t="1" v="4421"/>
    </bk>
    <bk>
      <rc t="1" v="4422"/>
    </bk>
    <bk>
      <rc t="1" v="4423"/>
    </bk>
    <bk>
      <rc t="1" v="4424"/>
    </bk>
    <bk>
      <rc t="1" v="4425"/>
    </bk>
    <bk>
      <rc t="1" v="4426"/>
    </bk>
    <bk>
      <rc t="1" v="4427"/>
    </bk>
    <bk>
      <rc t="1" v="4428"/>
    </bk>
    <bk>
      <rc t="1" v="4429"/>
    </bk>
    <bk>
      <rc t="1" v="4430"/>
    </bk>
    <bk>
      <rc t="1" v="4431"/>
    </bk>
    <bk>
      <rc t="1" v="4432"/>
    </bk>
    <bk>
      <rc t="1" v="4433"/>
    </bk>
    <bk>
      <rc t="1" v="4434"/>
    </bk>
    <bk>
      <rc t="1" v="4435"/>
    </bk>
    <bk>
      <rc t="1" v="4436"/>
    </bk>
    <bk>
      <rc t="1" v="4437"/>
    </bk>
    <bk>
      <rc t="1" v="4438"/>
    </bk>
    <bk>
      <rc t="1" v="4439"/>
    </bk>
    <bk>
      <rc t="1" v="4440"/>
    </bk>
    <bk>
      <rc t="1" v="4441"/>
    </bk>
    <bk>
      <rc t="1" v="4442"/>
    </bk>
    <bk>
      <rc t="1" v="4443"/>
    </bk>
    <bk>
      <rc t="1" v="4444"/>
    </bk>
    <bk>
      <rc t="1" v="4445"/>
    </bk>
    <bk>
      <rc t="1" v="4446"/>
    </bk>
    <bk>
      <rc t="1" v="4447"/>
    </bk>
    <bk>
      <rc t="1" v="4448"/>
    </bk>
    <bk>
      <rc t="1" v="4449"/>
    </bk>
    <bk>
      <rc t="1" v="4450"/>
    </bk>
    <bk>
      <rc t="1" v="4451"/>
    </bk>
    <bk>
      <rc t="1" v="4452"/>
    </bk>
    <bk>
      <rc t="1" v="4453"/>
    </bk>
    <bk>
      <rc t="1" v="4454"/>
    </bk>
    <bk>
      <rc t="1" v="4455"/>
    </bk>
    <bk>
      <rc t="1" v="4456"/>
    </bk>
    <bk>
      <rc t="1" v="4457"/>
    </bk>
    <bk>
      <rc t="1" v="4458"/>
    </bk>
    <bk>
      <rc t="1" v="4459"/>
    </bk>
    <bk>
      <rc t="1" v="4460"/>
    </bk>
    <bk>
      <rc t="1" v="4461"/>
    </bk>
    <bk>
      <rc t="1" v="4462"/>
    </bk>
    <bk>
      <rc t="1" v="4463"/>
    </bk>
    <bk>
      <rc t="1" v="4464"/>
    </bk>
    <bk>
      <rc t="1" v="4465"/>
    </bk>
    <bk>
      <rc t="1" v="4466"/>
    </bk>
    <bk>
      <rc t="1" v="4467"/>
    </bk>
    <bk>
      <rc t="1" v="4468"/>
    </bk>
    <bk>
      <rc t="1" v="4469"/>
    </bk>
    <bk>
      <rc t="1" v="4470"/>
    </bk>
    <bk>
      <rc t="1" v="4471"/>
    </bk>
    <bk>
      <rc t="1" v="4472"/>
    </bk>
    <bk>
      <rc t="1" v="4473"/>
    </bk>
    <bk>
      <rc t="1" v="4474"/>
    </bk>
    <bk>
      <rc t="1" v="4475"/>
    </bk>
    <bk>
      <rc t="1" v="4476"/>
    </bk>
    <bk>
      <rc t="1" v="4477"/>
    </bk>
    <bk>
      <rc t="1" v="4478"/>
    </bk>
    <bk>
      <rc t="1" v="4479"/>
    </bk>
    <bk>
      <rc t="1" v="4480"/>
    </bk>
    <bk>
      <rc t="1" v="4481"/>
    </bk>
    <bk>
      <rc t="1" v="4482"/>
    </bk>
    <bk>
      <rc t="1" v="4483"/>
    </bk>
    <bk>
      <rc t="1" v="4484"/>
    </bk>
    <bk>
      <rc t="1" v="4485"/>
    </bk>
    <bk>
      <rc t="1" v="4486"/>
    </bk>
    <bk>
      <rc t="1" v="4487"/>
    </bk>
    <bk>
      <rc t="1" v="4488"/>
    </bk>
    <bk>
      <rc t="1" v="4489"/>
    </bk>
    <bk>
      <rc t="1" v="4490"/>
    </bk>
    <bk>
      <rc t="1" v="4491"/>
    </bk>
    <bk>
      <rc t="1" v="4492"/>
    </bk>
    <bk>
      <rc t="1" v="4493"/>
    </bk>
    <bk>
      <rc t="1" v="4494"/>
    </bk>
    <bk>
      <rc t="1" v="4495"/>
    </bk>
    <bk>
      <rc t="1" v="4496"/>
    </bk>
    <bk>
      <rc t="1" v="4497"/>
    </bk>
    <bk>
      <rc t="1" v="4498"/>
    </bk>
    <bk>
      <rc t="1" v="4499"/>
    </bk>
    <bk>
      <rc t="1" v="4500"/>
    </bk>
    <bk>
      <rc t="1" v="4501"/>
    </bk>
    <bk>
      <rc t="1" v="4502"/>
    </bk>
    <bk>
      <rc t="1" v="4503"/>
    </bk>
    <bk>
      <rc t="1" v="4504"/>
    </bk>
    <bk>
      <rc t="1" v="4505"/>
    </bk>
    <bk>
      <rc t="1" v="4506"/>
    </bk>
    <bk>
      <rc t="1" v="4507"/>
    </bk>
    <bk>
      <rc t="1" v="4508"/>
    </bk>
    <bk>
      <rc t="1" v="4509"/>
    </bk>
    <bk>
      <rc t="1" v="4510"/>
    </bk>
    <bk>
      <rc t="1" v="4511"/>
    </bk>
    <bk>
      <rc t="1" v="4512"/>
    </bk>
    <bk>
      <rc t="1" v="4513"/>
    </bk>
    <bk>
      <rc t="1" v="4514"/>
    </bk>
    <bk>
      <rc t="1" v="4515"/>
    </bk>
    <bk>
      <rc t="1" v="4516"/>
    </bk>
    <bk>
      <rc t="1" v="4517"/>
    </bk>
    <bk>
      <rc t="1" v="4518"/>
    </bk>
    <bk>
      <rc t="1" v="4519"/>
    </bk>
    <bk>
      <rc t="1" v="4520"/>
    </bk>
    <bk>
      <rc t="1" v="4521"/>
    </bk>
    <bk>
      <rc t="1" v="4522"/>
    </bk>
    <bk>
      <rc t="1" v="4523"/>
    </bk>
    <bk>
      <rc t="1" v="4524"/>
    </bk>
    <bk>
      <rc t="1" v="4525"/>
    </bk>
    <bk>
      <rc t="1" v="4526"/>
    </bk>
    <bk>
      <rc t="1" v="4527"/>
    </bk>
    <bk>
      <rc t="1" v="4528"/>
    </bk>
    <bk>
      <rc t="1" v="4529"/>
    </bk>
    <bk>
      <rc t="1" v="4530"/>
    </bk>
    <bk>
      <rc t="1" v="4531"/>
    </bk>
    <bk>
      <rc t="1" v="4532"/>
    </bk>
    <bk>
      <rc t="1" v="4533"/>
    </bk>
    <bk>
      <rc t="1" v="4534"/>
    </bk>
    <bk>
      <rc t="1" v="4535"/>
    </bk>
    <bk>
      <rc t="1" v="4536"/>
    </bk>
    <bk>
      <rc t="1" v="4537"/>
    </bk>
    <bk>
      <rc t="1" v="4538"/>
    </bk>
    <bk>
      <rc t="1" v="4539"/>
    </bk>
    <bk>
      <rc t="1" v="4540"/>
    </bk>
    <bk>
      <rc t="1" v="4541"/>
    </bk>
    <bk>
      <rc t="1" v="4542"/>
    </bk>
    <bk>
      <rc t="1" v="4543"/>
    </bk>
    <bk>
      <rc t="1" v="4544"/>
    </bk>
    <bk>
      <rc t="1" v="4545"/>
    </bk>
    <bk>
      <rc t="1" v="4546"/>
    </bk>
    <bk>
      <rc t="1" v="4547"/>
    </bk>
    <bk>
      <rc t="1" v="4548"/>
    </bk>
    <bk>
      <rc t="1" v="4549"/>
    </bk>
    <bk>
      <rc t="1" v="4550"/>
    </bk>
    <bk>
      <rc t="1" v="4551"/>
    </bk>
    <bk>
      <rc t="1" v="4552"/>
    </bk>
    <bk>
      <rc t="1" v="4553"/>
    </bk>
    <bk>
      <rc t="1" v="4554"/>
    </bk>
    <bk>
      <rc t="1" v="4555"/>
    </bk>
    <bk>
      <rc t="1" v="4556"/>
    </bk>
    <bk>
      <rc t="1" v="4557"/>
    </bk>
    <bk>
      <rc t="1" v="4558"/>
    </bk>
    <bk>
      <rc t="1" v="4559"/>
    </bk>
    <bk>
      <rc t="1" v="4560"/>
    </bk>
    <bk>
      <rc t="1" v="4561"/>
    </bk>
    <bk>
      <rc t="1" v="4562"/>
    </bk>
    <bk>
      <rc t="1" v="4563"/>
    </bk>
    <bk>
      <rc t="1" v="4564"/>
    </bk>
    <bk>
      <rc t="1" v="4565"/>
    </bk>
    <bk>
      <rc t="1" v="4566"/>
    </bk>
    <bk>
      <rc t="1" v="4567"/>
    </bk>
    <bk>
      <rc t="1" v="4568"/>
    </bk>
    <bk>
      <rc t="1" v="4569"/>
    </bk>
    <bk>
      <rc t="1" v="4570"/>
    </bk>
    <bk>
      <rc t="1" v="4571"/>
    </bk>
    <bk>
      <rc t="1" v="4572"/>
    </bk>
    <bk>
      <rc t="1" v="4573"/>
    </bk>
    <bk>
      <rc t="1" v="4574"/>
    </bk>
    <bk>
      <rc t="1" v="4575"/>
    </bk>
    <bk>
      <rc t="1" v="4576"/>
    </bk>
    <bk>
      <rc t="1" v="4577"/>
    </bk>
    <bk>
      <rc t="1" v="4578"/>
    </bk>
    <bk>
      <rc t="1" v="4579"/>
    </bk>
    <bk>
      <rc t="1" v="4580"/>
    </bk>
    <bk>
      <rc t="1" v="4581"/>
    </bk>
    <bk>
      <rc t="1" v="4582"/>
    </bk>
    <bk>
      <rc t="1" v="4583"/>
    </bk>
    <bk>
      <rc t="1" v="4584"/>
    </bk>
    <bk>
      <rc t="1" v="4585"/>
    </bk>
    <bk>
      <rc t="1" v="4586"/>
    </bk>
    <bk>
      <rc t="1" v="4587"/>
    </bk>
    <bk>
      <rc t="1" v="4588"/>
    </bk>
    <bk>
      <rc t="1" v="4589"/>
    </bk>
    <bk>
      <rc t="1" v="4590"/>
    </bk>
    <bk>
      <rc t="1" v="4591"/>
    </bk>
    <bk>
      <rc t="1" v="4592"/>
    </bk>
    <bk>
      <rc t="1" v="4593"/>
    </bk>
    <bk>
      <rc t="1" v="4594"/>
    </bk>
    <bk>
      <rc t="1" v="4595"/>
    </bk>
    <bk>
      <rc t="1" v="4596"/>
    </bk>
    <bk>
      <rc t="1" v="4597"/>
    </bk>
    <bk>
      <rc t="1" v="4598"/>
    </bk>
    <bk>
      <rc t="1" v="4599"/>
    </bk>
    <bk>
      <rc t="1" v="4600"/>
    </bk>
    <bk>
      <rc t="1" v="4601"/>
    </bk>
    <bk>
      <rc t="1" v="4602"/>
    </bk>
    <bk>
      <rc t="1" v="4603"/>
    </bk>
    <bk>
      <rc t="1" v="4604"/>
    </bk>
    <bk>
      <rc t="1" v="4605"/>
    </bk>
    <bk>
      <rc t="1" v="4606"/>
    </bk>
    <bk>
      <rc t="1" v="4607"/>
    </bk>
    <bk>
      <rc t="1" v="4608"/>
    </bk>
    <bk>
      <rc t="1" v="4609"/>
    </bk>
    <bk>
      <rc t="1" v="4610"/>
    </bk>
    <bk>
      <rc t="1" v="4611"/>
    </bk>
    <bk>
      <rc t="1" v="4612"/>
    </bk>
    <bk>
      <rc t="1" v="4613"/>
    </bk>
    <bk>
      <rc t="1" v="4614"/>
    </bk>
    <bk>
      <rc t="1" v="4615"/>
    </bk>
    <bk>
      <rc t="1" v="4616"/>
    </bk>
    <bk>
      <rc t="1" v="4617"/>
    </bk>
    <bk>
      <rc t="1" v="4618"/>
    </bk>
    <bk>
      <rc t="1" v="4619"/>
    </bk>
    <bk>
      <rc t="1" v="4620"/>
    </bk>
    <bk>
      <rc t="1" v="4621"/>
    </bk>
    <bk>
      <rc t="1" v="4622"/>
    </bk>
    <bk>
      <rc t="1" v="4623"/>
    </bk>
    <bk>
      <rc t="1" v="4624"/>
    </bk>
    <bk>
      <rc t="1" v="4625"/>
    </bk>
    <bk>
      <rc t="1" v="4626"/>
    </bk>
    <bk>
      <rc t="1" v="4627"/>
    </bk>
    <bk>
      <rc t="1" v="4628"/>
    </bk>
    <bk>
      <rc t="1" v="4629"/>
    </bk>
    <bk>
      <rc t="1" v="4630"/>
    </bk>
    <bk>
      <rc t="1" v="4631"/>
    </bk>
    <bk>
      <rc t="1" v="4632"/>
    </bk>
    <bk>
      <rc t="1" v="4633"/>
    </bk>
    <bk>
      <rc t="1" v="4634"/>
    </bk>
    <bk>
      <rc t="1" v="4635"/>
    </bk>
    <bk>
      <rc t="1" v="4636"/>
    </bk>
    <bk>
      <rc t="1" v="4637"/>
    </bk>
    <bk>
      <rc t="1" v="4638"/>
    </bk>
    <bk>
      <rc t="1" v="4639"/>
    </bk>
    <bk>
      <rc t="1" v="4640"/>
    </bk>
    <bk>
      <rc t="1" v="4641"/>
    </bk>
    <bk>
      <rc t="1" v="4642"/>
    </bk>
    <bk>
      <rc t="1" v="4643"/>
    </bk>
    <bk>
      <rc t="1" v="4644"/>
    </bk>
    <bk>
      <rc t="1" v="4645"/>
    </bk>
    <bk>
      <rc t="1" v="4646"/>
    </bk>
    <bk>
      <rc t="1" v="4647"/>
    </bk>
    <bk>
      <rc t="1" v="4648"/>
    </bk>
    <bk>
      <rc t="1" v="4649"/>
    </bk>
    <bk>
      <rc t="1" v="4650"/>
    </bk>
    <bk>
      <rc t="1" v="4651"/>
    </bk>
    <bk>
      <rc t="1" v="4652"/>
    </bk>
    <bk>
      <rc t="1" v="4653"/>
    </bk>
    <bk>
      <rc t="1" v="4654"/>
    </bk>
    <bk>
      <rc t="1" v="4655"/>
    </bk>
    <bk>
      <rc t="1" v="4656"/>
    </bk>
    <bk>
      <rc t="1" v="4657"/>
    </bk>
    <bk>
      <rc t="1" v="4658"/>
    </bk>
    <bk>
      <rc t="1" v="4659"/>
    </bk>
    <bk>
      <rc t="1" v="4660"/>
    </bk>
    <bk>
      <rc t="1" v="4661"/>
    </bk>
    <bk>
      <rc t="1" v="4662"/>
    </bk>
    <bk>
      <rc t="1" v="4663"/>
    </bk>
    <bk>
      <rc t="1" v="4664"/>
    </bk>
    <bk>
      <rc t="1" v="4665"/>
    </bk>
    <bk>
      <rc t="1" v="4666"/>
    </bk>
    <bk>
      <rc t="1" v="4667"/>
    </bk>
    <bk>
      <rc t="1" v="4668"/>
    </bk>
    <bk>
      <rc t="1" v="4669"/>
    </bk>
    <bk>
      <rc t="1" v="4670"/>
    </bk>
    <bk>
      <rc t="1" v="4671"/>
    </bk>
    <bk>
      <rc t="1" v="4672"/>
    </bk>
    <bk>
      <rc t="1" v="4673"/>
    </bk>
    <bk>
      <rc t="1" v="4674"/>
    </bk>
    <bk>
      <rc t="1" v="4675"/>
    </bk>
    <bk>
      <rc t="1" v="4676"/>
    </bk>
    <bk>
      <rc t="1" v="4677"/>
    </bk>
    <bk>
      <rc t="1" v="4678"/>
    </bk>
    <bk>
      <rc t="1" v="4679"/>
    </bk>
    <bk>
      <rc t="1" v="4680"/>
    </bk>
    <bk>
      <rc t="1" v="4681"/>
    </bk>
    <bk>
      <rc t="1" v="4682"/>
    </bk>
    <bk>
      <rc t="1" v="4683"/>
    </bk>
    <bk>
      <rc t="1" v="4684"/>
    </bk>
    <bk>
      <rc t="1" v="4685"/>
    </bk>
    <bk>
      <rc t="1" v="4686"/>
    </bk>
    <bk>
      <rc t="1" v="4687"/>
    </bk>
    <bk>
      <rc t="1" v="4688"/>
    </bk>
    <bk>
      <rc t="1" v="4689"/>
    </bk>
    <bk>
      <rc t="1" v="4690"/>
    </bk>
    <bk>
      <rc t="1" v="4691"/>
    </bk>
    <bk>
      <rc t="1" v="4692"/>
    </bk>
    <bk>
      <rc t="1" v="4693"/>
    </bk>
    <bk>
      <rc t="1" v="4694"/>
    </bk>
    <bk>
      <rc t="1" v="4695"/>
    </bk>
    <bk>
      <rc t="1" v="4696"/>
    </bk>
    <bk>
      <rc t="1" v="4697"/>
    </bk>
    <bk>
      <rc t="1" v="4698"/>
    </bk>
    <bk>
      <rc t="1" v="4699"/>
    </bk>
    <bk>
      <rc t="1" v="4700"/>
    </bk>
    <bk>
      <rc t="1" v="4701"/>
    </bk>
    <bk>
      <rc t="1" v="4702"/>
    </bk>
    <bk>
      <rc t="1" v="4703"/>
    </bk>
    <bk>
      <rc t="1" v="4704"/>
    </bk>
    <bk>
      <rc t="1" v="4705"/>
    </bk>
    <bk>
      <rc t="1" v="4706"/>
    </bk>
    <bk>
      <rc t="1" v="4707"/>
    </bk>
    <bk>
      <rc t="1" v="4708"/>
    </bk>
    <bk>
      <rc t="1" v="4709"/>
    </bk>
    <bk>
      <rc t="1" v="4710"/>
    </bk>
    <bk>
      <rc t="1" v="4711"/>
    </bk>
    <bk>
      <rc t="1" v="4712"/>
    </bk>
    <bk>
      <rc t="1" v="4713"/>
    </bk>
    <bk>
      <rc t="1" v="4714"/>
    </bk>
    <bk>
      <rc t="1" v="4715"/>
    </bk>
    <bk>
      <rc t="1" v="4716"/>
    </bk>
    <bk>
      <rc t="1" v="4717"/>
    </bk>
    <bk>
      <rc t="1" v="4718"/>
    </bk>
    <bk>
      <rc t="1" v="4719"/>
    </bk>
    <bk>
      <rc t="1" v="4720"/>
    </bk>
    <bk>
      <rc t="1" v="4721"/>
    </bk>
    <bk>
      <rc t="1" v="4722"/>
    </bk>
    <bk>
      <rc t="1" v="4723"/>
    </bk>
    <bk>
      <rc t="1" v="4724"/>
    </bk>
    <bk>
      <rc t="1" v="4725"/>
    </bk>
    <bk>
      <rc t="1" v="4726"/>
    </bk>
    <bk>
      <rc t="1" v="4727"/>
    </bk>
    <bk>
      <rc t="1" v="4728"/>
    </bk>
    <bk>
      <rc t="1" v="4729"/>
    </bk>
    <bk>
      <rc t="1" v="4730"/>
    </bk>
    <bk>
      <rc t="1" v="4731"/>
    </bk>
    <bk>
      <rc t="1" v="4732"/>
    </bk>
    <bk>
      <rc t="1" v="4733"/>
    </bk>
    <bk>
      <rc t="1" v="4734"/>
    </bk>
    <bk>
      <rc t="1" v="4735"/>
    </bk>
    <bk>
      <rc t="1" v="4736"/>
    </bk>
    <bk>
      <rc t="1" v="4737"/>
    </bk>
    <bk>
      <rc t="1" v="4738"/>
    </bk>
    <bk>
      <rc t="1" v="4739"/>
    </bk>
    <bk>
      <rc t="1" v="4740"/>
    </bk>
    <bk>
      <rc t="1" v="4741"/>
    </bk>
    <bk>
      <rc t="1" v="4742"/>
    </bk>
    <bk>
      <rc t="1" v="4743"/>
    </bk>
    <bk>
      <rc t="1" v="4744"/>
    </bk>
    <bk>
      <rc t="1" v="4745"/>
    </bk>
    <bk>
      <rc t="1" v="4746"/>
    </bk>
    <bk>
      <rc t="1" v="4747"/>
    </bk>
    <bk>
      <rc t="1" v="4748"/>
    </bk>
    <bk>
      <rc t="1" v="4749"/>
    </bk>
    <bk>
      <rc t="1" v="4750"/>
    </bk>
    <bk>
      <rc t="1" v="4751"/>
    </bk>
    <bk>
      <rc t="1" v="4752"/>
    </bk>
    <bk>
      <rc t="1" v="4753"/>
    </bk>
    <bk>
      <rc t="1" v="4754"/>
    </bk>
    <bk>
      <rc t="1" v="4755"/>
    </bk>
    <bk>
      <rc t="1" v="4756"/>
    </bk>
    <bk>
      <rc t="1" v="4757"/>
    </bk>
    <bk>
      <rc t="1" v="4758"/>
    </bk>
    <bk>
      <rc t="1" v="4759"/>
    </bk>
    <bk>
      <rc t="1" v="4760"/>
    </bk>
    <bk>
      <rc t="1" v="4761"/>
    </bk>
    <bk>
      <rc t="1" v="4762"/>
    </bk>
    <bk>
      <rc t="1" v="4763"/>
    </bk>
    <bk>
      <rc t="1" v="4764"/>
    </bk>
    <bk>
      <rc t="1" v="4765"/>
    </bk>
    <bk>
      <rc t="1" v="4766"/>
    </bk>
    <bk>
      <rc t="1" v="4767"/>
    </bk>
    <bk>
      <rc t="1" v="4768"/>
    </bk>
    <bk>
      <rc t="1" v="4769"/>
    </bk>
    <bk>
      <rc t="1" v="4770"/>
    </bk>
    <bk>
      <rc t="1" v="4771"/>
    </bk>
    <bk>
      <rc t="1" v="4772"/>
    </bk>
    <bk>
      <rc t="1" v="4773"/>
    </bk>
    <bk>
      <rc t="1" v="4774"/>
    </bk>
    <bk>
      <rc t="1" v="4775"/>
    </bk>
    <bk>
      <rc t="1" v="4776"/>
    </bk>
    <bk>
      <rc t="1" v="4777"/>
    </bk>
    <bk>
      <rc t="1" v="4778"/>
    </bk>
    <bk>
      <rc t="1" v="4779"/>
    </bk>
    <bk>
      <rc t="1" v="4780"/>
    </bk>
    <bk>
      <rc t="1" v="4781"/>
    </bk>
    <bk>
      <rc t="1" v="4782"/>
    </bk>
    <bk>
      <rc t="1" v="4783"/>
    </bk>
    <bk>
      <rc t="1" v="4784"/>
    </bk>
    <bk>
      <rc t="1" v="4785"/>
    </bk>
    <bk>
      <rc t="1" v="4786"/>
    </bk>
    <bk>
      <rc t="1" v="4787"/>
    </bk>
    <bk>
      <rc t="1" v="4788"/>
    </bk>
    <bk>
      <rc t="1" v="4789"/>
    </bk>
    <bk>
      <rc t="1" v="4790"/>
    </bk>
    <bk>
      <rc t="1" v="4791"/>
    </bk>
    <bk>
      <rc t="1" v="4792"/>
    </bk>
    <bk>
      <rc t="1" v="4793"/>
    </bk>
    <bk>
      <rc t="1" v="4794"/>
    </bk>
    <bk>
      <rc t="1" v="4795"/>
    </bk>
    <bk>
      <rc t="1" v="4796"/>
    </bk>
    <bk>
      <rc t="1" v="4797"/>
    </bk>
    <bk>
      <rc t="1" v="4798"/>
    </bk>
    <bk>
      <rc t="1" v="4799"/>
    </bk>
    <bk>
      <rc t="1" v="4800"/>
    </bk>
    <bk>
      <rc t="1" v="4801"/>
    </bk>
    <bk>
      <rc t="1" v="4802"/>
    </bk>
    <bk>
      <rc t="1" v="4803"/>
    </bk>
    <bk>
      <rc t="1" v="4804"/>
    </bk>
    <bk>
      <rc t="1" v="4805"/>
    </bk>
    <bk>
      <rc t="1" v="4806"/>
    </bk>
    <bk>
      <rc t="1" v="4807"/>
    </bk>
    <bk>
      <rc t="1" v="4808"/>
    </bk>
    <bk>
      <rc t="1" v="4809"/>
    </bk>
    <bk>
      <rc t="1" v="4810"/>
    </bk>
    <bk>
      <rc t="1" v="4811"/>
    </bk>
    <bk>
      <rc t="1" v="4812"/>
    </bk>
    <bk>
      <rc t="1" v="4813"/>
    </bk>
    <bk>
      <rc t="1" v="4814"/>
    </bk>
    <bk>
      <rc t="1" v="4815"/>
    </bk>
    <bk>
      <rc t="1" v="4816"/>
    </bk>
    <bk>
      <rc t="1" v="4817"/>
    </bk>
    <bk>
      <rc t="1" v="4818"/>
    </bk>
    <bk>
      <rc t="1" v="4819"/>
    </bk>
    <bk>
      <rc t="1" v="4820"/>
    </bk>
    <bk>
      <rc t="1" v="4821"/>
    </bk>
    <bk>
      <rc t="1" v="4822"/>
    </bk>
    <bk>
      <rc t="1" v="4823"/>
    </bk>
    <bk>
      <rc t="1" v="4824"/>
    </bk>
    <bk>
      <rc t="1" v="4825"/>
    </bk>
    <bk>
      <rc t="1" v="4826"/>
    </bk>
    <bk>
      <rc t="1" v="4827"/>
    </bk>
    <bk>
      <rc t="1" v="4828"/>
    </bk>
    <bk>
      <rc t="1" v="4829"/>
    </bk>
    <bk>
      <rc t="1" v="4830"/>
    </bk>
    <bk>
      <rc t="1" v="4831"/>
    </bk>
    <bk>
      <rc t="1" v="4832"/>
    </bk>
    <bk>
      <rc t="1" v="4833"/>
    </bk>
    <bk>
      <rc t="1" v="4834"/>
    </bk>
    <bk>
      <rc t="1" v="4835"/>
    </bk>
    <bk>
      <rc t="1" v="4836"/>
    </bk>
    <bk>
      <rc t="1" v="4837"/>
    </bk>
    <bk>
      <rc t="1" v="4838"/>
    </bk>
    <bk>
      <rc t="1" v="4839"/>
    </bk>
    <bk>
      <rc t="1" v="4840"/>
    </bk>
    <bk>
      <rc t="1" v="4841"/>
    </bk>
    <bk>
      <rc t="1" v="4842"/>
    </bk>
    <bk>
      <rc t="1" v="4843"/>
    </bk>
    <bk>
      <rc t="1" v="4844"/>
    </bk>
    <bk>
      <rc t="1" v="4845"/>
    </bk>
    <bk>
      <rc t="1" v="4846"/>
    </bk>
    <bk>
      <rc t="1" v="4847"/>
    </bk>
    <bk>
      <rc t="1" v="4848"/>
    </bk>
    <bk>
      <rc t="1" v="4849"/>
    </bk>
    <bk>
      <rc t="1" v="4850"/>
    </bk>
    <bk>
      <rc t="1" v="4851"/>
    </bk>
    <bk>
      <rc t="1" v="4852"/>
    </bk>
    <bk>
      <rc t="1" v="4853"/>
    </bk>
    <bk>
      <rc t="1" v="4854"/>
    </bk>
    <bk>
      <rc t="1" v="4855"/>
    </bk>
    <bk>
      <rc t="1" v="4856"/>
    </bk>
    <bk>
      <rc t="1" v="4857"/>
    </bk>
    <bk>
      <rc t="1" v="4858"/>
    </bk>
    <bk>
      <rc t="1" v="4859"/>
    </bk>
    <bk>
      <rc t="1" v="4860"/>
    </bk>
    <bk>
      <rc t="1" v="4861"/>
    </bk>
    <bk>
      <rc t="1" v="4862"/>
    </bk>
    <bk>
      <rc t="1" v="4863"/>
    </bk>
    <bk>
      <rc t="1" v="4864"/>
    </bk>
    <bk>
      <rc t="1" v="4865"/>
    </bk>
    <bk>
      <rc t="1" v="4866"/>
    </bk>
    <bk>
      <rc t="1" v="4867"/>
    </bk>
    <bk>
      <rc t="1" v="4868"/>
    </bk>
    <bk>
      <rc t="1" v="4869"/>
    </bk>
    <bk>
      <rc t="1" v="4870"/>
    </bk>
    <bk>
      <rc t="1" v="4871"/>
    </bk>
    <bk>
      <rc t="1" v="4872"/>
    </bk>
    <bk>
      <rc t="1" v="4873"/>
    </bk>
    <bk>
      <rc t="1" v="4874"/>
    </bk>
    <bk>
      <rc t="1" v="4875"/>
    </bk>
    <bk>
      <rc t="1" v="4876"/>
    </bk>
    <bk>
      <rc t="1" v="4877"/>
    </bk>
    <bk>
      <rc t="1" v="4878"/>
    </bk>
    <bk>
      <rc t="1" v="4879"/>
    </bk>
    <bk>
      <rc t="1" v="4880"/>
    </bk>
    <bk>
      <rc t="1" v="4881"/>
    </bk>
    <bk>
      <rc t="1" v="4882"/>
    </bk>
    <bk>
      <rc t="1" v="4883"/>
    </bk>
    <bk>
      <rc t="1" v="4884"/>
    </bk>
    <bk>
      <rc t="1" v="4885"/>
    </bk>
    <bk>
      <rc t="1" v="4886"/>
    </bk>
    <bk>
      <rc t="1" v="4887"/>
    </bk>
    <bk>
      <rc t="1" v="4888"/>
    </bk>
    <bk>
      <rc t="1" v="4889"/>
    </bk>
    <bk>
      <rc t="1" v="4890"/>
    </bk>
    <bk>
      <rc t="1" v="4891"/>
    </bk>
    <bk>
      <rc t="1" v="4892"/>
    </bk>
    <bk>
      <rc t="1" v="4893"/>
    </bk>
    <bk>
      <rc t="1" v="4894"/>
    </bk>
    <bk>
      <rc t="1" v="4895"/>
    </bk>
    <bk>
      <rc t="1" v="4896"/>
    </bk>
    <bk>
      <rc t="1" v="4897"/>
    </bk>
    <bk>
      <rc t="1" v="4898"/>
    </bk>
    <bk>
      <rc t="1" v="4899"/>
    </bk>
    <bk>
      <rc t="1" v="4900"/>
    </bk>
    <bk>
      <rc t="1" v="4901"/>
    </bk>
    <bk>
      <rc t="1" v="4902"/>
    </bk>
    <bk>
      <rc t="1" v="4903"/>
    </bk>
    <bk>
      <rc t="1" v="4904"/>
    </bk>
    <bk>
      <rc t="1" v="4905"/>
    </bk>
    <bk>
      <rc t="1" v="4906"/>
    </bk>
    <bk>
      <rc t="1" v="4907"/>
    </bk>
    <bk>
      <rc t="1" v="4908"/>
    </bk>
    <bk>
      <rc t="1" v="4909"/>
    </bk>
    <bk>
      <rc t="1" v="4910"/>
    </bk>
    <bk>
      <rc t="1" v="4911"/>
    </bk>
    <bk>
      <rc t="1" v="4912"/>
    </bk>
    <bk>
      <rc t="1" v="4913"/>
    </bk>
    <bk>
      <rc t="1" v="4914"/>
    </bk>
    <bk>
      <rc t="1" v="4915"/>
    </bk>
    <bk>
      <rc t="1" v="4916"/>
    </bk>
    <bk>
      <rc t="1" v="4917"/>
    </bk>
    <bk>
      <rc t="1" v="4918"/>
    </bk>
    <bk>
      <rc t="1" v="4919"/>
    </bk>
    <bk>
      <rc t="1" v="4920"/>
    </bk>
    <bk>
      <rc t="1" v="4921"/>
    </bk>
    <bk>
      <rc t="1" v="4922"/>
    </bk>
    <bk>
      <rc t="1" v="4923"/>
    </bk>
    <bk>
      <rc t="1" v="4924"/>
    </bk>
    <bk>
      <rc t="1" v="4925"/>
    </bk>
    <bk>
      <rc t="1" v="4926"/>
    </bk>
    <bk>
      <rc t="1" v="4927"/>
    </bk>
    <bk>
      <rc t="1" v="4928"/>
    </bk>
    <bk>
      <rc t="1" v="4929"/>
    </bk>
    <bk>
      <rc t="1" v="4930"/>
    </bk>
    <bk>
      <rc t="1" v="4931"/>
    </bk>
    <bk>
      <rc t="1" v="4932"/>
    </bk>
    <bk>
      <rc t="1" v="4933"/>
    </bk>
    <bk>
      <rc t="1" v="4934"/>
    </bk>
    <bk>
      <rc t="1" v="4935"/>
    </bk>
    <bk>
      <rc t="1" v="4936"/>
    </bk>
    <bk>
      <rc t="1" v="4937"/>
    </bk>
    <bk>
      <rc t="1" v="4938"/>
    </bk>
    <bk>
      <rc t="1" v="4939"/>
    </bk>
    <bk>
      <rc t="1" v="4940"/>
    </bk>
    <bk>
      <rc t="1" v="4941"/>
    </bk>
    <bk>
      <rc t="1" v="4942"/>
    </bk>
    <bk>
      <rc t="1" v="4943"/>
    </bk>
    <bk>
      <rc t="1" v="4944"/>
    </bk>
    <bk>
      <rc t="1" v="4945"/>
    </bk>
    <bk>
      <rc t="1" v="4946"/>
    </bk>
    <bk>
      <rc t="1" v="4947"/>
    </bk>
    <bk>
      <rc t="1" v="4948"/>
    </bk>
    <bk>
      <rc t="1" v="4949"/>
    </bk>
    <bk>
      <rc t="1" v="4950"/>
    </bk>
    <bk>
      <rc t="1" v="4951"/>
    </bk>
    <bk>
      <rc t="1" v="4952"/>
    </bk>
    <bk>
      <rc t="1" v="4953"/>
    </bk>
    <bk>
      <rc t="1" v="4954"/>
    </bk>
    <bk>
      <rc t="1" v="4955"/>
    </bk>
    <bk>
      <rc t="1" v="4956"/>
    </bk>
    <bk>
      <rc t="1" v="4957"/>
    </bk>
    <bk>
      <rc t="1" v="4958"/>
    </bk>
    <bk>
      <rc t="1" v="4959"/>
    </bk>
    <bk>
      <rc t="1" v="4960"/>
    </bk>
    <bk>
      <rc t="1" v="4961"/>
    </bk>
    <bk>
      <rc t="1" v="4962"/>
    </bk>
    <bk>
      <rc t="1" v="4963"/>
    </bk>
    <bk>
      <rc t="1" v="4964"/>
    </bk>
    <bk>
      <rc t="1" v="4965"/>
    </bk>
    <bk>
      <rc t="1" v="4966"/>
    </bk>
    <bk>
      <rc t="1" v="4967"/>
    </bk>
    <bk>
      <rc t="1" v="4968"/>
    </bk>
    <bk>
      <rc t="1" v="4969"/>
    </bk>
    <bk>
      <rc t="1" v="4970"/>
    </bk>
    <bk>
      <rc t="1" v="4971"/>
    </bk>
    <bk>
      <rc t="1" v="4972"/>
    </bk>
    <bk>
      <rc t="1" v="4973"/>
    </bk>
    <bk>
      <rc t="1" v="4974"/>
    </bk>
    <bk>
      <rc t="1" v="4975"/>
    </bk>
    <bk>
      <rc t="1" v="4976"/>
    </bk>
    <bk>
      <rc t="1" v="4977"/>
    </bk>
    <bk>
      <rc t="1" v="4978"/>
    </bk>
    <bk>
      <rc t="1" v="4979"/>
    </bk>
    <bk>
      <rc t="1" v="4980"/>
    </bk>
    <bk>
      <rc t="1" v="4981"/>
    </bk>
    <bk>
      <rc t="1" v="4982"/>
    </bk>
    <bk>
      <rc t="1" v="4983"/>
    </bk>
    <bk>
      <rc t="1" v="4984"/>
    </bk>
    <bk>
      <rc t="1" v="4985"/>
    </bk>
    <bk>
      <rc t="1" v="4986"/>
    </bk>
    <bk>
      <rc t="1" v="4987"/>
    </bk>
    <bk>
      <rc t="1" v="4988"/>
    </bk>
    <bk>
      <rc t="1" v="4989"/>
    </bk>
    <bk>
      <rc t="1" v="4990"/>
    </bk>
    <bk>
      <rc t="1" v="4991"/>
    </bk>
    <bk>
      <rc t="1" v="4992"/>
    </bk>
    <bk>
      <rc t="1" v="4993"/>
    </bk>
    <bk>
      <rc t="1" v="4994"/>
    </bk>
    <bk>
      <rc t="1" v="4995"/>
    </bk>
    <bk>
      <rc t="1" v="4996"/>
    </bk>
    <bk>
      <rc t="1" v="4997"/>
    </bk>
    <bk>
      <rc t="1" v="4998"/>
    </bk>
    <bk>
      <rc t="1" v="4999"/>
    </bk>
    <bk>
      <rc t="1" v="5000"/>
    </bk>
    <bk>
      <rc t="1" v="5001"/>
    </bk>
    <bk>
      <rc t="1" v="5002"/>
    </bk>
    <bk>
      <rc t="1" v="5003"/>
    </bk>
    <bk>
      <rc t="1" v="5004"/>
    </bk>
    <bk>
      <rc t="1" v="5005"/>
    </bk>
    <bk>
      <rc t="1" v="5006"/>
    </bk>
    <bk>
      <rc t="1" v="5007"/>
    </bk>
    <bk>
      <rc t="1" v="5008"/>
    </bk>
    <bk>
      <rc t="1" v="5009"/>
    </bk>
    <bk>
      <rc t="1" v="5010"/>
    </bk>
    <bk>
      <rc t="1" v="5011"/>
    </bk>
    <bk>
      <rc t="1" v="5012"/>
    </bk>
    <bk>
      <rc t="1" v="5013"/>
    </bk>
    <bk>
      <rc t="1" v="5014"/>
    </bk>
    <bk>
      <rc t="1" v="5015"/>
    </bk>
    <bk>
      <rc t="1" v="5016"/>
    </bk>
    <bk>
      <rc t="1" v="5017"/>
    </bk>
    <bk>
      <rc t="1" v="5018"/>
    </bk>
    <bk>
      <rc t="1" v="5019"/>
    </bk>
    <bk>
      <rc t="1" v="5020"/>
    </bk>
    <bk>
      <rc t="1" v="5021"/>
    </bk>
    <bk>
      <rc t="1" v="5022"/>
    </bk>
    <bk>
      <rc t="1" v="5023"/>
    </bk>
    <bk>
      <rc t="1" v="5024"/>
    </bk>
    <bk>
      <rc t="1" v="5025"/>
    </bk>
    <bk>
      <rc t="1" v="5026"/>
    </bk>
    <bk>
      <rc t="1" v="5027"/>
    </bk>
    <bk>
      <rc t="1" v="5028"/>
    </bk>
    <bk>
      <rc t="1" v="5029"/>
    </bk>
    <bk>
      <rc t="1" v="5030"/>
    </bk>
    <bk>
      <rc t="1" v="5031"/>
    </bk>
    <bk>
      <rc t="1" v="5032"/>
    </bk>
    <bk>
      <rc t="1" v="5033"/>
    </bk>
    <bk>
      <rc t="1" v="5034"/>
    </bk>
    <bk>
      <rc t="1" v="5035"/>
    </bk>
    <bk>
      <rc t="1" v="5036"/>
    </bk>
    <bk>
      <rc t="1" v="5037"/>
    </bk>
    <bk>
      <rc t="1" v="5038"/>
    </bk>
    <bk>
      <rc t="1" v="5039"/>
    </bk>
    <bk>
      <rc t="1" v="5040"/>
    </bk>
    <bk>
      <rc t="1" v="5041"/>
    </bk>
    <bk>
      <rc t="1" v="5042"/>
    </bk>
    <bk>
      <rc t="1" v="5043"/>
    </bk>
    <bk>
      <rc t="1" v="5044"/>
    </bk>
    <bk>
      <rc t="1" v="5045"/>
    </bk>
    <bk>
      <rc t="1" v="5046"/>
    </bk>
    <bk>
      <rc t="1" v="5047"/>
    </bk>
    <bk>
      <rc t="1" v="5048"/>
    </bk>
    <bk>
      <rc t="1" v="5049"/>
    </bk>
    <bk>
      <rc t="1" v="5050"/>
    </bk>
    <bk>
      <rc t="1" v="5051"/>
    </bk>
    <bk>
      <rc t="1" v="5052"/>
    </bk>
    <bk>
      <rc t="1" v="5053"/>
    </bk>
    <bk>
      <rc t="1" v="5054"/>
    </bk>
    <bk>
      <rc t="1" v="5055"/>
    </bk>
    <bk>
      <rc t="1" v="5056"/>
    </bk>
    <bk>
      <rc t="1" v="5057"/>
    </bk>
    <bk>
      <rc t="1" v="5058"/>
    </bk>
    <bk>
      <rc t="1" v="5059"/>
    </bk>
    <bk>
      <rc t="1" v="5060"/>
    </bk>
    <bk>
      <rc t="1" v="5061"/>
    </bk>
    <bk>
      <rc t="1" v="5062"/>
    </bk>
    <bk>
      <rc t="1" v="5063"/>
    </bk>
    <bk>
      <rc t="1" v="5064"/>
    </bk>
    <bk>
      <rc t="1" v="5065"/>
    </bk>
    <bk>
      <rc t="1" v="5066"/>
    </bk>
    <bk>
      <rc t="1" v="5067"/>
    </bk>
    <bk>
      <rc t="1" v="5068"/>
    </bk>
    <bk>
      <rc t="1" v="5069"/>
    </bk>
    <bk>
      <rc t="1" v="5070"/>
    </bk>
    <bk>
      <rc t="1" v="5071"/>
    </bk>
    <bk>
      <rc t="1" v="5072"/>
    </bk>
    <bk>
      <rc t="1" v="5073"/>
    </bk>
    <bk>
      <rc t="1" v="5074"/>
    </bk>
    <bk>
      <rc t="1" v="5075"/>
    </bk>
    <bk>
      <rc t="1" v="5076"/>
    </bk>
    <bk>
      <rc t="1" v="5077"/>
    </bk>
    <bk>
      <rc t="1" v="5078"/>
    </bk>
    <bk>
      <rc t="1" v="5079"/>
    </bk>
    <bk>
      <rc t="1" v="5080"/>
    </bk>
    <bk>
      <rc t="1" v="5081"/>
    </bk>
    <bk>
      <rc t="1" v="5082"/>
    </bk>
    <bk>
      <rc t="1" v="5083"/>
    </bk>
    <bk>
      <rc t="1" v="5084"/>
    </bk>
    <bk>
      <rc t="1" v="5085"/>
    </bk>
    <bk>
      <rc t="1" v="5086"/>
    </bk>
    <bk>
      <rc t="1" v="5087"/>
    </bk>
    <bk>
      <rc t="1" v="5088"/>
    </bk>
    <bk>
      <rc t="1" v="5089"/>
    </bk>
    <bk>
      <rc t="1" v="5090"/>
    </bk>
    <bk>
      <rc t="1" v="5091"/>
    </bk>
    <bk>
      <rc t="1" v="5092"/>
    </bk>
    <bk>
      <rc t="1" v="5093"/>
    </bk>
    <bk>
      <rc t="1" v="5094"/>
    </bk>
    <bk>
      <rc t="1" v="5095"/>
    </bk>
    <bk>
      <rc t="1" v="5096"/>
    </bk>
    <bk>
      <rc t="1" v="5097"/>
    </bk>
    <bk>
      <rc t="1" v="5098"/>
    </bk>
    <bk>
      <rc t="1" v="5099"/>
    </bk>
    <bk>
      <rc t="1" v="5100"/>
    </bk>
    <bk>
      <rc t="1" v="5101"/>
    </bk>
    <bk>
      <rc t="1" v="5102"/>
    </bk>
    <bk>
      <rc t="1" v="5103"/>
    </bk>
    <bk>
      <rc t="1" v="5104"/>
    </bk>
    <bk>
      <rc t="1" v="5105"/>
    </bk>
    <bk>
      <rc t="1" v="5106"/>
    </bk>
    <bk>
      <rc t="1" v="5107"/>
    </bk>
    <bk>
      <rc t="1" v="5108"/>
    </bk>
    <bk>
      <rc t="1" v="5109"/>
    </bk>
    <bk>
      <rc t="1" v="5110"/>
    </bk>
    <bk>
      <rc t="1" v="5111"/>
    </bk>
    <bk>
      <rc t="1" v="5112"/>
    </bk>
    <bk>
      <rc t="1" v="5113"/>
    </bk>
    <bk>
      <rc t="1" v="5114"/>
    </bk>
    <bk>
      <rc t="1" v="5115"/>
    </bk>
    <bk>
      <rc t="1" v="5116"/>
    </bk>
    <bk>
      <rc t="1" v="5117"/>
    </bk>
    <bk>
      <rc t="1" v="5118"/>
    </bk>
    <bk>
      <rc t="1" v="5119"/>
    </bk>
    <bk>
      <rc t="1" v="5120"/>
    </bk>
    <bk>
      <rc t="1" v="5121"/>
    </bk>
    <bk>
      <rc t="1" v="5122"/>
    </bk>
    <bk>
      <rc t="1" v="5123"/>
    </bk>
    <bk>
      <rc t="1" v="5124"/>
    </bk>
    <bk>
      <rc t="1" v="5125"/>
    </bk>
    <bk>
      <rc t="1" v="5126"/>
    </bk>
    <bk>
      <rc t="1" v="5127"/>
    </bk>
    <bk>
      <rc t="1" v="5128"/>
    </bk>
    <bk>
      <rc t="1" v="5129"/>
    </bk>
    <bk>
      <rc t="1" v="5130"/>
    </bk>
    <bk>
      <rc t="1" v="5131"/>
    </bk>
    <bk>
      <rc t="1" v="5132"/>
    </bk>
    <bk>
      <rc t="1" v="5133"/>
    </bk>
    <bk>
      <rc t="1" v="5134"/>
    </bk>
    <bk>
      <rc t="1" v="5135"/>
    </bk>
    <bk>
      <rc t="1" v="5136"/>
    </bk>
    <bk>
      <rc t="1" v="5137"/>
    </bk>
    <bk>
      <rc t="1" v="5138"/>
    </bk>
    <bk>
      <rc t="1" v="5139"/>
    </bk>
    <bk>
      <rc t="1" v="5140"/>
    </bk>
    <bk>
      <rc t="1" v="5141"/>
    </bk>
    <bk>
      <rc t="1" v="5142"/>
    </bk>
    <bk>
      <rc t="1" v="5143"/>
    </bk>
    <bk>
      <rc t="1" v="5144"/>
    </bk>
    <bk>
      <rc t="1" v="5145"/>
    </bk>
    <bk>
      <rc t="1" v="5146"/>
    </bk>
    <bk>
      <rc t="1" v="5147"/>
    </bk>
    <bk>
      <rc t="1" v="5148"/>
    </bk>
    <bk>
      <rc t="1" v="5149"/>
    </bk>
    <bk>
      <rc t="1" v="5150"/>
    </bk>
    <bk>
      <rc t="1" v="5151"/>
    </bk>
    <bk>
      <rc t="1" v="5152"/>
    </bk>
    <bk>
      <rc t="1" v="5153"/>
    </bk>
    <bk>
      <rc t="1" v="5154"/>
    </bk>
    <bk>
      <rc t="1" v="5155"/>
    </bk>
    <bk>
      <rc t="1" v="5156"/>
    </bk>
    <bk>
      <rc t="1" v="5157"/>
    </bk>
    <bk>
      <rc t="1" v="5158"/>
    </bk>
    <bk>
      <rc t="1" v="5159"/>
    </bk>
    <bk>
      <rc t="1" v="5160"/>
    </bk>
    <bk>
      <rc t="1" v="5161"/>
    </bk>
    <bk>
      <rc t="1" v="5162"/>
    </bk>
    <bk>
      <rc t="1" v="5163"/>
    </bk>
    <bk>
      <rc t="1" v="5164"/>
    </bk>
    <bk>
      <rc t="1" v="5165"/>
    </bk>
    <bk>
      <rc t="1" v="5166"/>
    </bk>
    <bk>
      <rc t="1" v="5167"/>
    </bk>
    <bk>
      <rc t="1" v="5168"/>
    </bk>
    <bk>
      <rc t="1" v="5169"/>
    </bk>
    <bk>
      <rc t="1" v="5170"/>
    </bk>
    <bk>
      <rc t="1" v="5171"/>
    </bk>
    <bk>
      <rc t="1" v="5172"/>
    </bk>
    <bk>
      <rc t="1" v="5173"/>
    </bk>
    <bk>
      <rc t="1" v="5174"/>
    </bk>
    <bk>
      <rc t="1" v="5175"/>
    </bk>
    <bk>
      <rc t="1" v="5176"/>
    </bk>
    <bk>
      <rc t="1" v="5177"/>
    </bk>
    <bk>
      <rc t="1" v="5178"/>
    </bk>
    <bk>
      <rc t="1" v="5179"/>
    </bk>
    <bk>
      <rc t="1" v="5180"/>
    </bk>
    <bk>
      <rc t="1" v="5181"/>
    </bk>
    <bk>
      <rc t="1" v="5182"/>
    </bk>
    <bk>
      <rc t="1" v="5183"/>
    </bk>
    <bk>
      <rc t="1" v="5184"/>
    </bk>
    <bk>
      <rc t="1" v="5185"/>
    </bk>
    <bk>
      <rc t="1" v="5186"/>
    </bk>
    <bk>
      <rc t="1" v="5187"/>
    </bk>
    <bk>
      <rc t="1" v="5188"/>
    </bk>
    <bk>
      <rc t="1" v="5189"/>
    </bk>
    <bk>
      <rc t="1" v="5190"/>
    </bk>
    <bk>
      <rc t="1" v="5191"/>
    </bk>
    <bk>
      <rc t="1" v="5192"/>
    </bk>
    <bk>
      <rc t="1" v="5193"/>
    </bk>
    <bk>
      <rc t="1" v="5194"/>
    </bk>
    <bk>
      <rc t="1" v="5195"/>
    </bk>
    <bk>
      <rc t="1" v="5196"/>
    </bk>
    <bk>
      <rc t="1" v="5197"/>
    </bk>
    <bk>
      <rc t="1" v="5198"/>
    </bk>
    <bk>
      <rc t="1" v="5199"/>
    </bk>
    <bk>
      <rc t="1" v="5200"/>
    </bk>
    <bk>
      <rc t="1" v="5201"/>
    </bk>
    <bk>
      <rc t="1" v="5202"/>
    </bk>
    <bk>
      <rc t="1" v="5203"/>
    </bk>
    <bk>
      <rc t="1" v="5204"/>
    </bk>
    <bk>
      <rc t="1" v="5205"/>
    </bk>
    <bk>
      <rc t="1" v="5206"/>
    </bk>
    <bk>
      <rc t="1" v="5207"/>
    </bk>
    <bk>
      <rc t="1" v="5208"/>
    </bk>
    <bk>
      <rc t="1" v="5209"/>
    </bk>
    <bk>
      <rc t="1" v="5210"/>
    </bk>
    <bk>
      <rc t="1" v="5211"/>
    </bk>
    <bk>
      <rc t="1" v="5212"/>
    </bk>
    <bk>
      <rc t="1" v="5213"/>
    </bk>
    <bk>
      <rc t="1" v="5214"/>
    </bk>
    <bk>
      <rc t="1" v="5215"/>
    </bk>
    <bk>
      <rc t="1" v="5216"/>
    </bk>
    <bk>
      <rc t="1" v="5217"/>
    </bk>
    <bk>
      <rc t="1" v="5218"/>
    </bk>
    <bk>
      <rc t="1" v="5219"/>
    </bk>
    <bk>
      <rc t="1" v="5220"/>
    </bk>
    <bk>
      <rc t="1" v="5221"/>
    </bk>
    <bk>
      <rc t="1" v="5222"/>
    </bk>
    <bk>
      <rc t="1" v="5223"/>
    </bk>
    <bk>
      <rc t="1" v="5224"/>
    </bk>
    <bk>
      <rc t="1" v="5225"/>
    </bk>
    <bk>
      <rc t="1" v="5226"/>
    </bk>
    <bk>
      <rc t="1" v="5227"/>
    </bk>
    <bk>
      <rc t="1" v="5228"/>
    </bk>
    <bk>
      <rc t="1" v="5229"/>
    </bk>
    <bk>
      <rc t="1" v="5230"/>
    </bk>
    <bk>
      <rc t="1" v="5231"/>
    </bk>
    <bk>
      <rc t="1" v="5232"/>
    </bk>
    <bk>
      <rc t="1" v="5233"/>
    </bk>
    <bk>
      <rc t="1" v="5234"/>
    </bk>
    <bk>
      <rc t="1" v="5235"/>
    </bk>
    <bk>
      <rc t="1" v="5236"/>
    </bk>
    <bk>
      <rc t="1" v="5237"/>
    </bk>
    <bk>
      <rc t="1" v="5238"/>
    </bk>
    <bk>
      <rc t="1" v="5239"/>
    </bk>
    <bk>
      <rc t="1" v="5240"/>
    </bk>
    <bk>
      <rc t="1" v="5241"/>
    </bk>
    <bk>
      <rc t="1" v="5242"/>
    </bk>
    <bk>
      <rc t="1" v="5243"/>
    </bk>
    <bk>
      <rc t="1" v="5244"/>
    </bk>
    <bk>
      <rc t="1" v="5245"/>
    </bk>
    <bk>
      <rc t="1" v="5246"/>
    </bk>
    <bk>
      <rc t="1" v="5247"/>
    </bk>
    <bk>
      <rc t="1" v="5248"/>
    </bk>
    <bk>
      <rc t="1" v="5249"/>
    </bk>
    <bk>
      <rc t="1" v="5250"/>
    </bk>
    <bk>
      <rc t="1" v="5251"/>
    </bk>
    <bk>
      <rc t="1" v="5252"/>
    </bk>
    <bk>
      <rc t="1" v="5253"/>
    </bk>
    <bk>
      <rc t="1" v="5254"/>
    </bk>
    <bk>
      <rc t="1" v="5255"/>
    </bk>
    <bk>
      <rc t="1" v="5256"/>
    </bk>
    <bk>
      <rc t="1" v="5257"/>
    </bk>
    <bk>
      <rc t="1" v="5258"/>
    </bk>
    <bk>
      <rc t="1" v="5259"/>
    </bk>
    <bk>
      <rc t="1" v="5260"/>
    </bk>
    <bk>
      <rc t="1" v="5261"/>
    </bk>
    <bk>
      <rc t="1" v="5262"/>
    </bk>
    <bk>
      <rc t="1" v="5263"/>
    </bk>
    <bk>
      <rc t="1" v="5264"/>
    </bk>
    <bk>
      <rc t="1" v="5265"/>
    </bk>
    <bk>
      <rc t="1" v="5266"/>
    </bk>
    <bk>
      <rc t="1" v="5267"/>
    </bk>
    <bk>
      <rc t="1" v="5268"/>
    </bk>
    <bk>
      <rc t="1" v="5269"/>
    </bk>
    <bk>
      <rc t="1" v="5270"/>
    </bk>
    <bk>
      <rc t="1" v="5271"/>
    </bk>
    <bk>
      <rc t="1" v="5272"/>
    </bk>
    <bk>
      <rc t="1" v="5273"/>
    </bk>
    <bk>
      <rc t="1" v="5274"/>
    </bk>
    <bk>
      <rc t="1" v="5275"/>
    </bk>
    <bk>
      <rc t="1" v="5276"/>
    </bk>
    <bk>
      <rc t="1" v="5277"/>
    </bk>
    <bk>
      <rc t="1" v="5278"/>
    </bk>
    <bk>
      <rc t="1" v="5279"/>
    </bk>
    <bk>
      <rc t="1" v="5280"/>
    </bk>
    <bk>
      <rc t="1" v="5281"/>
    </bk>
    <bk>
      <rc t="1" v="5282"/>
    </bk>
    <bk>
      <rc t="1" v="5283"/>
    </bk>
    <bk>
      <rc t="1" v="5284"/>
    </bk>
    <bk>
      <rc t="1" v="5285"/>
    </bk>
    <bk>
      <rc t="1" v="5286"/>
    </bk>
    <bk>
      <rc t="1" v="5287"/>
    </bk>
    <bk>
      <rc t="1" v="5288"/>
    </bk>
    <bk>
      <rc t="1" v="5289"/>
    </bk>
    <bk>
      <rc t="1" v="5290"/>
    </bk>
    <bk>
      <rc t="1" v="5291"/>
    </bk>
    <bk>
      <rc t="1" v="5292"/>
    </bk>
    <bk>
      <rc t="1" v="5293"/>
    </bk>
    <bk>
      <rc t="1" v="5294"/>
    </bk>
    <bk>
      <rc t="1" v="5295"/>
    </bk>
    <bk>
      <rc t="1" v="5296"/>
    </bk>
    <bk>
      <rc t="1" v="5297"/>
    </bk>
    <bk>
      <rc t="1" v="5298"/>
    </bk>
    <bk>
      <rc t="1" v="5299"/>
    </bk>
    <bk>
      <rc t="1" v="5300"/>
    </bk>
    <bk>
      <rc t="1" v="5301"/>
    </bk>
    <bk>
      <rc t="1" v="5302"/>
    </bk>
    <bk>
      <rc t="1" v="5303"/>
    </bk>
    <bk>
      <rc t="1" v="5304"/>
    </bk>
    <bk>
      <rc t="1" v="5305"/>
    </bk>
    <bk>
      <rc t="1" v="5306"/>
    </bk>
    <bk>
      <rc t="1" v="5307"/>
    </bk>
    <bk>
      <rc t="1" v="5308"/>
    </bk>
    <bk>
      <rc t="1" v="5309"/>
    </bk>
    <bk>
      <rc t="1" v="5310"/>
    </bk>
    <bk>
      <rc t="1" v="5311"/>
    </bk>
    <bk>
      <rc t="1" v="5312"/>
    </bk>
    <bk>
      <rc t="1" v="5313"/>
    </bk>
    <bk>
      <rc t="1" v="5314"/>
    </bk>
    <bk>
      <rc t="1" v="5315"/>
    </bk>
    <bk>
      <rc t="1" v="5316"/>
    </bk>
    <bk>
      <rc t="1" v="5317"/>
    </bk>
    <bk>
      <rc t="1" v="5318"/>
    </bk>
    <bk>
      <rc t="1" v="5319"/>
    </bk>
    <bk>
      <rc t="1" v="5320"/>
    </bk>
    <bk>
      <rc t="1" v="5321"/>
    </bk>
    <bk>
      <rc t="1" v="5322"/>
    </bk>
    <bk>
      <rc t="1" v="5323"/>
    </bk>
    <bk>
      <rc t="1" v="5324"/>
    </bk>
    <bk>
      <rc t="1" v="5325"/>
    </bk>
    <bk>
      <rc t="1" v="5326"/>
    </bk>
    <bk>
      <rc t="1" v="5327"/>
    </bk>
    <bk>
      <rc t="1" v="5328"/>
    </bk>
    <bk>
      <rc t="1" v="5329"/>
    </bk>
    <bk>
      <rc t="1" v="5330"/>
    </bk>
    <bk>
      <rc t="1" v="5331"/>
    </bk>
    <bk>
      <rc t="1" v="5332"/>
    </bk>
    <bk>
      <rc t="1" v="5333"/>
    </bk>
    <bk>
      <rc t="1" v="5334"/>
    </bk>
    <bk>
      <rc t="1" v="5335"/>
    </bk>
    <bk>
      <rc t="1" v="5336"/>
    </bk>
    <bk>
      <rc t="1" v="5337"/>
    </bk>
    <bk>
      <rc t="1" v="5338"/>
    </bk>
    <bk>
      <rc t="1" v="5339"/>
    </bk>
    <bk>
      <rc t="1" v="5340"/>
    </bk>
    <bk>
      <rc t="1" v="5341"/>
    </bk>
    <bk>
      <rc t="1" v="5342"/>
    </bk>
    <bk>
      <rc t="1" v="5343"/>
    </bk>
    <bk>
      <rc t="1" v="5344"/>
    </bk>
    <bk>
      <rc t="1" v="5345"/>
    </bk>
    <bk>
      <rc t="1" v="5346"/>
    </bk>
    <bk>
      <rc t="1" v="5347"/>
    </bk>
    <bk>
      <rc t="1" v="5348"/>
    </bk>
    <bk>
      <rc t="1" v="5349"/>
    </bk>
    <bk>
      <rc t="1" v="5350"/>
    </bk>
    <bk>
      <rc t="1" v="5351"/>
    </bk>
    <bk>
      <rc t="1" v="5352"/>
    </bk>
    <bk>
      <rc t="1" v="5353"/>
    </bk>
    <bk>
      <rc t="1" v="5354"/>
    </bk>
    <bk>
      <rc t="1" v="5355"/>
    </bk>
    <bk>
      <rc t="1" v="5356"/>
    </bk>
    <bk>
      <rc t="1" v="5357"/>
    </bk>
    <bk>
      <rc t="1" v="5358"/>
    </bk>
    <bk>
      <rc t="1" v="5359"/>
    </bk>
    <bk>
      <rc t="1" v="5360"/>
    </bk>
    <bk>
      <rc t="1" v="5361"/>
    </bk>
    <bk>
      <rc t="1" v="5362"/>
    </bk>
    <bk>
      <rc t="1" v="5363"/>
    </bk>
    <bk>
      <rc t="1" v="5364"/>
    </bk>
    <bk>
      <rc t="1" v="5365"/>
    </bk>
    <bk>
      <rc t="1" v="5366"/>
    </bk>
    <bk>
      <rc t="1" v="5367"/>
    </bk>
    <bk>
      <rc t="1" v="5368"/>
    </bk>
    <bk>
      <rc t="1" v="5369"/>
    </bk>
    <bk>
      <rc t="1" v="5370"/>
    </bk>
    <bk>
      <rc t="1" v="5371"/>
    </bk>
    <bk>
      <rc t="1" v="5372"/>
    </bk>
    <bk>
      <rc t="1" v="5373"/>
    </bk>
    <bk>
      <rc t="1" v="5374"/>
    </bk>
    <bk>
      <rc t="1" v="5375"/>
    </bk>
    <bk>
      <rc t="1" v="5376"/>
    </bk>
    <bk>
      <rc t="1" v="5377"/>
    </bk>
    <bk>
      <rc t="1" v="5378"/>
    </bk>
    <bk>
      <rc t="1" v="5379"/>
    </bk>
    <bk>
      <rc t="1" v="5380"/>
    </bk>
    <bk>
      <rc t="1" v="5381"/>
    </bk>
    <bk>
      <rc t="1" v="5382"/>
    </bk>
    <bk>
      <rc t="1" v="5383"/>
    </bk>
    <bk>
      <rc t="1" v="5384"/>
    </bk>
    <bk>
      <rc t="1" v="5385"/>
    </bk>
    <bk>
      <rc t="1" v="5386"/>
    </bk>
    <bk>
      <rc t="1" v="5387"/>
    </bk>
    <bk>
      <rc t="1" v="5388"/>
    </bk>
    <bk>
      <rc t="1" v="5389"/>
    </bk>
    <bk>
      <rc t="1" v="5390"/>
    </bk>
    <bk>
      <rc t="1" v="5391"/>
    </bk>
    <bk>
      <rc t="1" v="5392"/>
    </bk>
    <bk>
      <rc t="1" v="5393"/>
    </bk>
    <bk>
      <rc t="1" v="5394"/>
    </bk>
    <bk>
      <rc t="1" v="5395"/>
    </bk>
    <bk>
      <rc t="1" v="5396"/>
    </bk>
    <bk>
      <rc t="1" v="5397"/>
    </bk>
    <bk>
      <rc t="1" v="5398"/>
    </bk>
    <bk>
      <rc t="1" v="5399"/>
    </bk>
    <bk>
      <rc t="1" v="5400"/>
    </bk>
    <bk>
      <rc t="1" v="5401"/>
    </bk>
    <bk>
      <rc t="1" v="5402"/>
    </bk>
    <bk>
      <rc t="1" v="5403"/>
    </bk>
    <bk>
      <rc t="1" v="5404"/>
    </bk>
    <bk>
      <rc t="1" v="5405"/>
    </bk>
    <bk>
      <rc t="1" v="5406"/>
    </bk>
    <bk>
      <rc t="1" v="5407"/>
    </bk>
    <bk>
      <rc t="1" v="5408"/>
    </bk>
    <bk>
      <rc t="1" v="5409"/>
    </bk>
    <bk>
      <rc t="1" v="5410"/>
    </bk>
    <bk>
      <rc t="1" v="5411"/>
    </bk>
    <bk>
      <rc t="1" v="5412"/>
    </bk>
    <bk>
      <rc t="1" v="5413"/>
    </bk>
    <bk>
      <rc t="1" v="5414"/>
    </bk>
    <bk>
      <rc t="1" v="5415"/>
    </bk>
    <bk>
      <rc t="1" v="5416"/>
    </bk>
    <bk>
      <rc t="1" v="5417"/>
    </bk>
    <bk>
      <rc t="1" v="5418"/>
    </bk>
    <bk>
      <rc t="1" v="5419"/>
    </bk>
    <bk>
      <rc t="1" v="5420"/>
    </bk>
    <bk>
      <rc t="1" v="5421"/>
    </bk>
    <bk>
      <rc t="1" v="5422"/>
    </bk>
    <bk>
      <rc t="1" v="5423"/>
    </bk>
    <bk>
      <rc t="1" v="5424"/>
    </bk>
    <bk>
      <rc t="1" v="5425"/>
    </bk>
    <bk>
      <rc t="1" v="5426"/>
    </bk>
    <bk>
      <rc t="1" v="5427"/>
    </bk>
    <bk>
      <rc t="1" v="5428"/>
    </bk>
    <bk>
      <rc t="1" v="5429"/>
    </bk>
    <bk>
      <rc t="1" v="5430"/>
    </bk>
    <bk>
      <rc t="1" v="5431"/>
    </bk>
    <bk>
      <rc t="1" v="5432"/>
    </bk>
    <bk>
      <rc t="1" v="5433"/>
    </bk>
    <bk>
      <rc t="1" v="5434"/>
    </bk>
    <bk>
      <rc t="1" v="5435"/>
    </bk>
    <bk>
      <rc t="1" v="5436"/>
    </bk>
    <bk>
      <rc t="1" v="5437"/>
    </bk>
    <bk>
      <rc t="1" v="5438"/>
    </bk>
    <bk>
      <rc t="1" v="5439"/>
    </bk>
    <bk>
      <rc t="1" v="5440"/>
    </bk>
    <bk>
      <rc t="1" v="5441"/>
    </bk>
    <bk>
      <rc t="1" v="5442"/>
    </bk>
    <bk>
      <rc t="1" v="5443"/>
    </bk>
    <bk>
      <rc t="1" v="5444"/>
    </bk>
    <bk>
      <rc t="1" v="5445"/>
    </bk>
    <bk>
      <rc t="1" v="5446"/>
    </bk>
    <bk>
      <rc t="1" v="5447"/>
    </bk>
    <bk>
      <rc t="1" v="5448"/>
    </bk>
    <bk>
      <rc t="1" v="5449"/>
    </bk>
    <bk>
      <rc t="1" v="5450"/>
    </bk>
    <bk>
      <rc t="1" v="5451"/>
    </bk>
    <bk>
      <rc t="1" v="5452"/>
    </bk>
    <bk>
      <rc t="1" v="5453"/>
    </bk>
    <bk>
      <rc t="1" v="5454"/>
    </bk>
    <bk>
      <rc t="1" v="5455"/>
    </bk>
    <bk>
      <rc t="1" v="5456"/>
    </bk>
    <bk>
      <rc t="1" v="5457"/>
    </bk>
    <bk>
      <rc t="1" v="5458"/>
    </bk>
    <bk>
      <rc t="1" v="5459"/>
    </bk>
    <bk>
      <rc t="1" v="5460"/>
    </bk>
    <bk>
      <rc t="1" v="5461"/>
    </bk>
    <bk>
      <rc t="1" v="5462"/>
    </bk>
    <bk>
      <rc t="1" v="5463"/>
    </bk>
    <bk>
      <rc t="1" v="5464"/>
    </bk>
    <bk>
      <rc t="1" v="5465"/>
    </bk>
    <bk>
      <rc t="1" v="5466"/>
    </bk>
    <bk>
      <rc t="1" v="5467"/>
    </bk>
    <bk>
      <rc t="1" v="5468"/>
    </bk>
    <bk>
      <rc t="1" v="5469"/>
    </bk>
    <bk>
      <rc t="1" v="5470"/>
    </bk>
    <bk>
      <rc t="1" v="5471"/>
    </bk>
    <bk>
      <rc t="1" v="5472"/>
    </bk>
    <bk>
      <rc t="1" v="5473"/>
    </bk>
    <bk>
      <rc t="1" v="5474"/>
    </bk>
    <bk>
      <rc t="1" v="5475"/>
    </bk>
    <bk>
      <rc t="1" v="5476"/>
    </bk>
    <bk>
      <rc t="1" v="5477"/>
    </bk>
    <bk>
      <rc t="1" v="5478"/>
    </bk>
    <bk>
      <rc t="1" v="5479"/>
    </bk>
    <bk>
      <rc t="1" v="5480"/>
    </bk>
    <bk>
      <rc t="1" v="5481"/>
    </bk>
    <bk>
      <rc t="1" v="5482"/>
    </bk>
    <bk>
      <rc t="1" v="5483"/>
    </bk>
    <bk>
      <rc t="1" v="5484"/>
    </bk>
    <bk>
      <rc t="1" v="5485"/>
    </bk>
    <bk>
      <rc t="1" v="5486"/>
    </bk>
    <bk>
      <rc t="1" v="5487"/>
    </bk>
    <bk>
      <rc t="1" v="5488"/>
    </bk>
    <bk>
      <rc t="1" v="5489"/>
    </bk>
    <bk>
      <rc t="1" v="5490"/>
    </bk>
    <bk>
      <rc t="1" v="5491"/>
    </bk>
    <bk>
      <rc t="1" v="5492"/>
    </bk>
    <bk>
      <rc t="1" v="5493"/>
    </bk>
    <bk>
      <rc t="1" v="5494"/>
    </bk>
    <bk>
      <rc t="1" v="5495"/>
    </bk>
    <bk>
      <rc t="1" v="5496"/>
    </bk>
    <bk>
      <rc t="1" v="5497"/>
    </bk>
    <bk>
      <rc t="1" v="5498"/>
    </bk>
    <bk>
      <rc t="1" v="5499"/>
    </bk>
    <bk>
      <rc t="1" v="5500"/>
    </bk>
    <bk>
      <rc t="1" v="5501"/>
    </bk>
    <bk>
      <rc t="1" v="5502"/>
    </bk>
    <bk>
      <rc t="1" v="5503"/>
    </bk>
    <bk>
      <rc t="1" v="5504"/>
    </bk>
    <bk>
      <rc t="1" v="5505"/>
    </bk>
    <bk>
      <rc t="1" v="5506"/>
    </bk>
    <bk>
      <rc t="1" v="5507"/>
    </bk>
    <bk>
      <rc t="1" v="5508"/>
    </bk>
    <bk>
      <rc t="1" v="5509"/>
    </bk>
    <bk>
      <rc t="1" v="5510"/>
    </bk>
    <bk>
      <rc t="1" v="5511"/>
    </bk>
    <bk>
      <rc t="1" v="5512"/>
    </bk>
    <bk>
      <rc t="1" v="5513"/>
    </bk>
    <bk>
      <rc t="1" v="5514"/>
    </bk>
    <bk>
      <rc t="1" v="5515"/>
    </bk>
    <bk>
      <rc t="1" v="5516"/>
    </bk>
    <bk>
      <rc t="1" v="5517"/>
    </bk>
    <bk>
      <rc t="1" v="5518"/>
    </bk>
    <bk>
      <rc t="1" v="5519"/>
    </bk>
    <bk>
      <rc t="1" v="5520"/>
    </bk>
    <bk>
      <rc t="1" v="5521"/>
    </bk>
    <bk>
      <rc t="1" v="5522"/>
    </bk>
    <bk>
      <rc t="1" v="5523"/>
    </bk>
    <bk>
      <rc t="1" v="5524"/>
    </bk>
    <bk>
      <rc t="1" v="5525"/>
    </bk>
    <bk>
      <rc t="1" v="5526"/>
    </bk>
    <bk>
      <rc t="1" v="5527"/>
    </bk>
    <bk>
      <rc t="1" v="5528"/>
    </bk>
    <bk>
      <rc t="1" v="5529"/>
    </bk>
    <bk>
      <rc t="1" v="5530"/>
    </bk>
    <bk>
      <rc t="1" v="5531"/>
    </bk>
    <bk>
      <rc t="1" v="5532"/>
    </bk>
    <bk>
      <rc t="1" v="5533"/>
    </bk>
    <bk>
      <rc t="1" v="5534"/>
    </bk>
    <bk>
      <rc t="1" v="5535"/>
    </bk>
    <bk>
      <rc t="1" v="5536"/>
    </bk>
    <bk>
      <rc t="1" v="5537"/>
    </bk>
    <bk>
      <rc t="1" v="5538"/>
    </bk>
    <bk>
      <rc t="1" v="5539"/>
    </bk>
    <bk>
      <rc t="1" v="5540"/>
    </bk>
    <bk>
      <rc t="1" v="5541"/>
    </bk>
    <bk>
      <rc t="1" v="5542"/>
    </bk>
    <bk>
      <rc t="1" v="5543"/>
    </bk>
    <bk>
      <rc t="1" v="5544"/>
    </bk>
    <bk>
      <rc t="1" v="5545"/>
    </bk>
    <bk>
      <rc t="1" v="5546"/>
    </bk>
    <bk>
      <rc t="1" v="5547"/>
    </bk>
    <bk>
      <rc t="1" v="5548"/>
    </bk>
    <bk>
      <rc t="1" v="5549"/>
    </bk>
    <bk>
      <rc t="1" v="5550"/>
    </bk>
    <bk>
      <rc t="1" v="5551"/>
    </bk>
    <bk>
      <rc t="1" v="5552"/>
    </bk>
    <bk>
      <rc t="1" v="5553"/>
    </bk>
    <bk>
      <rc t="1" v="5554"/>
    </bk>
    <bk>
      <rc t="1" v="5555"/>
    </bk>
    <bk>
      <rc t="1" v="5556"/>
    </bk>
    <bk>
      <rc t="1" v="5557"/>
    </bk>
    <bk>
      <rc t="1" v="5558"/>
    </bk>
    <bk>
      <rc t="1" v="5559"/>
    </bk>
    <bk>
      <rc t="1" v="5560"/>
    </bk>
    <bk>
      <rc t="1" v="5561"/>
    </bk>
    <bk>
      <rc t="1" v="5562"/>
    </bk>
    <bk>
      <rc t="1" v="5563"/>
    </bk>
    <bk>
      <rc t="1" v="5564"/>
    </bk>
    <bk>
      <rc t="1" v="5565"/>
    </bk>
    <bk>
      <rc t="1" v="5566"/>
    </bk>
    <bk>
      <rc t="1" v="5567"/>
    </bk>
    <bk>
      <rc t="1" v="5568"/>
    </bk>
    <bk>
      <rc t="1" v="5569"/>
    </bk>
    <bk>
      <rc t="1" v="5570"/>
    </bk>
    <bk>
      <rc t="1" v="5571"/>
    </bk>
    <bk>
      <rc t="1" v="5572"/>
    </bk>
    <bk>
      <rc t="1" v="5573"/>
    </bk>
    <bk>
      <rc t="1" v="5574"/>
    </bk>
    <bk>
      <rc t="1" v="5575"/>
    </bk>
    <bk>
      <rc t="1" v="5576"/>
    </bk>
    <bk>
      <rc t="1" v="5577"/>
    </bk>
    <bk>
      <rc t="1" v="5578"/>
    </bk>
    <bk>
      <rc t="1" v="5579"/>
    </bk>
    <bk>
      <rc t="1" v="5580"/>
    </bk>
    <bk>
      <rc t="1" v="5581"/>
    </bk>
    <bk>
      <rc t="1" v="5582"/>
    </bk>
    <bk>
      <rc t="1" v="5583"/>
    </bk>
    <bk>
      <rc t="1" v="5584"/>
    </bk>
    <bk>
      <rc t="1" v="5585"/>
    </bk>
    <bk>
      <rc t="1" v="5586"/>
    </bk>
    <bk>
      <rc t="1" v="5587"/>
    </bk>
    <bk>
      <rc t="1" v="5588"/>
    </bk>
    <bk>
      <rc t="1" v="5589"/>
    </bk>
    <bk>
      <rc t="1" v="5590"/>
    </bk>
    <bk>
      <rc t="1" v="5591"/>
    </bk>
    <bk>
      <rc t="1" v="5592"/>
    </bk>
    <bk>
      <rc t="1" v="5593"/>
    </bk>
    <bk>
      <rc t="1" v="5594"/>
    </bk>
    <bk>
      <rc t="1" v="5595"/>
    </bk>
    <bk>
      <rc t="1" v="5596"/>
    </bk>
    <bk>
      <rc t="1" v="5597"/>
    </bk>
    <bk>
      <rc t="1" v="5598"/>
    </bk>
    <bk>
      <rc t="1" v="5599"/>
    </bk>
    <bk>
      <rc t="1" v="5600"/>
    </bk>
    <bk>
      <rc t="1" v="5601"/>
    </bk>
    <bk>
      <rc t="1" v="5602"/>
    </bk>
    <bk>
      <rc t="1" v="5603"/>
    </bk>
    <bk>
      <rc t="1" v="5604"/>
    </bk>
    <bk>
      <rc t="1" v="5605"/>
    </bk>
    <bk>
      <rc t="1" v="5606"/>
    </bk>
    <bk>
      <rc t="1" v="5607"/>
    </bk>
    <bk>
      <rc t="1" v="5608"/>
    </bk>
    <bk>
      <rc t="1" v="5609"/>
    </bk>
    <bk>
      <rc t="1" v="5610"/>
    </bk>
    <bk>
      <rc t="1" v="5611"/>
    </bk>
    <bk>
      <rc t="1" v="5612"/>
    </bk>
    <bk>
      <rc t="1" v="5613"/>
    </bk>
    <bk>
      <rc t="1" v="5614"/>
    </bk>
    <bk>
      <rc t="1" v="5615"/>
    </bk>
    <bk>
      <rc t="1" v="5616"/>
    </bk>
    <bk>
      <rc t="1" v="5617"/>
    </bk>
    <bk>
      <rc t="1" v="5618"/>
    </bk>
    <bk>
      <rc t="1" v="5619"/>
    </bk>
    <bk>
      <rc t="1" v="5620"/>
    </bk>
    <bk>
      <rc t="1" v="5621"/>
    </bk>
    <bk>
      <rc t="1" v="5622"/>
    </bk>
    <bk>
      <rc t="1" v="5623"/>
    </bk>
    <bk>
      <rc t="1" v="5624"/>
    </bk>
    <bk>
      <rc t="1" v="5625"/>
    </bk>
    <bk>
      <rc t="1" v="5626"/>
    </bk>
    <bk>
      <rc t="1" v="5627"/>
    </bk>
    <bk>
      <rc t="1" v="5628"/>
    </bk>
    <bk>
      <rc t="1" v="5629"/>
    </bk>
    <bk>
      <rc t="1" v="5630"/>
    </bk>
    <bk>
      <rc t="1" v="5631"/>
    </bk>
    <bk>
      <rc t="1" v="5632"/>
    </bk>
    <bk>
      <rc t="1" v="5633"/>
    </bk>
    <bk>
      <rc t="1" v="5634"/>
    </bk>
    <bk>
      <rc t="1" v="5635"/>
    </bk>
    <bk>
      <rc t="1" v="5636"/>
    </bk>
    <bk>
      <rc t="1" v="5637"/>
    </bk>
    <bk>
      <rc t="1" v="5638"/>
    </bk>
    <bk>
      <rc t="1" v="5639"/>
    </bk>
    <bk>
      <rc t="1" v="5640"/>
    </bk>
    <bk>
      <rc t="1" v="5641"/>
    </bk>
    <bk>
      <rc t="1" v="5642"/>
    </bk>
    <bk>
      <rc t="1" v="5643"/>
    </bk>
    <bk>
      <rc t="1" v="5644"/>
    </bk>
    <bk>
      <rc t="1" v="5645"/>
    </bk>
    <bk>
      <rc t="1" v="5646"/>
    </bk>
    <bk>
      <rc t="1" v="5647"/>
    </bk>
    <bk>
      <rc t="1" v="5648"/>
    </bk>
    <bk>
      <rc t="1" v="5649"/>
    </bk>
    <bk>
      <rc t="1" v="5650"/>
    </bk>
    <bk>
      <rc t="1" v="5651"/>
    </bk>
    <bk>
      <rc t="1" v="5652"/>
    </bk>
    <bk>
      <rc t="1" v="5653"/>
    </bk>
    <bk>
      <rc t="1" v="5654"/>
    </bk>
    <bk>
      <rc t="1" v="5655"/>
    </bk>
    <bk>
      <rc t="1" v="5656"/>
    </bk>
    <bk>
      <rc t="1" v="5657"/>
    </bk>
    <bk>
      <rc t="1" v="5658"/>
    </bk>
    <bk>
      <rc t="1" v="5659"/>
    </bk>
    <bk>
      <rc t="1" v="5660"/>
    </bk>
    <bk>
      <rc t="1" v="5661"/>
    </bk>
    <bk>
      <rc t="1" v="5662"/>
    </bk>
    <bk>
      <rc t="1" v="5663"/>
    </bk>
    <bk>
      <rc t="1" v="5664"/>
    </bk>
    <bk>
      <rc t="1" v="5665"/>
    </bk>
    <bk>
      <rc t="1" v="5666"/>
    </bk>
    <bk>
      <rc t="1" v="5667"/>
    </bk>
    <bk>
      <rc t="1" v="5668"/>
    </bk>
    <bk>
      <rc t="1" v="5669"/>
    </bk>
    <bk>
      <rc t="1" v="5670"/>
    </bk>
    <bk>
      <rc t="1" v="5671"/>
    </bk>
    <bk>
      <rc t="1" v="5672"/>
    </bk>
    <bk>
      <rc t="1" v="5673"/>
    </bk>
    <bk>
      <rc t="1" v="5674"/>
    </bk>
    <bk>
      <rc t="1" v="5675"/>
    </bk>
    <bk>
      <rc t="1" v="5676"/>
    </bk>
    <bk>
      <rc t="1" v="5677"/>
    </bk>
    <bk>
      <rc t="1" v="5678"/>
    </bk>
    <bk>
      <rc t="1" v="5679"/>
    </bk>
    <bk>
      <rc t="1" v="5680"/>
    </bk>
    <bk>
      <rc t="1" v="5681"/>
    </bk>
    <bk>
      <rc t="1" v="5682"/>
    </bk>
    <bk>
      <rc t="1" v="5683"/>
    </bk>
    <bk>
      <rc t="1" v="5684"/>
    </bk>
    <bk>
      <rc t="1" v="5685"/>
    </bk>
    <bk>
      <rc t="1" v="5686"/>
    </bk>
    <bk>
      <rc t="1" v="5687"/>
    </bk>
    <bk>
      <rc t="1" v="5688"/>
    </bk>
    <bk>
      <rc t="1" v="5689"/>
    </bk>
    <bk>
      <rc t="1" v="5690"/>
    </bk>
    <bk>
      <rc t="1" v="5691"/>
    </bk>
    <bk>
      <rc t="1" v="5692"/>
    </bk>
    <bk>
      <rc t="1" v="5693"/>
    </bk>
    <bk>
      <rc t="1" v="5694"/>
    </bk>
    <bk>
      <rc t="1" v="5695"/>
    </bk>
    <bk>
      <rc t="1" v="5696"/>
    </bk>
    <bk>
      <rc t="1" v="5697"/>
    </bk>
    <bk>
      <rc t="1" v="5698"/>
    </bk>
    <bk>
      <rc t="1" v="5699"/>
    </bk>
    <bk>
      <rc t="1" v="5700"/>
    </bk>
    <bk>
      <rc t="1" v="5701"/>
    </bk>
    <bk>
      <rc t="1" v="5702"/>
    </bk>
    <bk>
      <rc t="1" v="5703"/>
    </bk>
    <bk>
      <rc t="1" v="5704"/>
    </bk>
    <bk>
      <rc t="1" v="5705"/>
    </bk>
    <bk>
      <rc t="1" v="5706"/>
    </bk>
    <bk>
      <rc t="1" v="5707"/>
    </bk>
    <bk>
      <rc t="1" v="5708"/>
    </bk>
    <bk>
      <rc t="1" v="5709"/>
    </bk>
    <bk>
      <rc t="1" v="5710"/>
    </bk>
    <bk>
      <rc t="1" v="5711"/>
    </bk>
    <bk>
      <rc t="1" v="5712"/>
    </bk>
    <bk>
      <rc t="1" v="5713"/>
    </bk>
    <bk>
      <rc t="1" v="5714"/>
    </bk>
    <bk>
      <rc t="1" v="5715"/>
    </bk>
    <bk>
      <rc t="1" v="5716"/>
    </bk>
    <bk>
      <rc t="1" v="5717"/>
    </bk>
    <bk>
      <rc t="1" v="5718"/>
    </bk>
    <bk>
      <rc t="1" v="5719"/>
    </bk>
    <bk>
      <rc t="1" v="5720"/>
    </bk>
    <bk>
      <rc t="1" v="5721"/>
    </bk>
    <bk>
      <rc t="1" v="5722"/>
    </bk>
    <bk>
      <rc t="1" v="5723"/>
    </bk>
    <bk>
      <rc t="1" v="5724"/>
    </bk>
    <bk>
      <rc t="1" v="5725"/>
    </bk>
    <bk>
      <rc t="1" v="5726"/>
    </bk>
    <bk>
      <rc t="1" v="5727"/>
    </bk>
    <bk>
      <rc t="1" v="5728"/>
    </bk>
    <bk>
      <rc t="1" v="5729"/>
    </bk>
    <bk>
      <rc t="1" v="5730"/>
    </bk>
    <bk>
      <rc t="1" v="5731"/>
    </bk>
    <bk>
      <rc t="1" v="5732"/>
    </bk>
    <bk>
      <rc t="1" v="5733"/>
    </bk>
    <bk>
      <rc t="1" v="5734"/>
    </bk>
    <bk>
      <rc t="1" v="5735"/>
    </bk>
    <bk>
      <rc t="1" v="5736"/>
    </bk>
    <bk>
      <rc t="1" v="5737"/>
    </bk>
    <bk>
      <rc t="1" v="5738"/>
    </bk>
    <bk>
      <rc t="1" v="5739"/>
    </bk>
    <bk>
      <rc t="1" v="5740"/>
    </bk>
    <bk>
      <rc t="1" v="5741"/>
    </bk>
    <bk>
      <rc t="1" v="5742"/>
    </bk>
    <bk>
      <rc t="1" v="5743"/>
    </bk>
    <bk>
      <rc t="1" v="5744"/>
    </bk>
    <bk>
      <rc t="1" v="5745"/>
    </bk>
    <bk>
      <rc t="1" v="5746"/>
    </bk>
    <bk>
      <rc t="1" v="5747"/>
    </bk>
    <bk>
      <rc t="1" v="5748"/>
    </bk>
    <bk>
      <rc t="1" v="5749"/>
    </bk>
    <bk>
      <rc t="1" v="5750"/>
    </bk>
    <bk>
      <rc t="1" v="5751"/>
    </bk>
    <bk>
      <rc t="1" v="5752"/>
    </bk>
    <bk>
      <rc t="1" v="5753"/>
    </bk>
    <bk>
      <rc t="1" v="5754"/>
    </bk>
    <bk>
      <rc t="1" v="5755"/>
    </bk>
    <bk>
      <rc t="1" v="5756"/>
    </bk>
    <bk>
      <rc t="1" v="5757"/>
    </bk>
    <bk>
      <rc t="1" v="5758"/>
    </bk>
    <bk>
      <rc t="1" v="5759"/>
    </bk>
    <bk>
      <rc t="1" v="5760"/>
    </bk>
    <bk>
      <rc t="1" v="5761"/>
    </bk>
    <bk>
      <rc t="1" v="5762"/>
    </bk>
    <bk>
      <rc t="1" v="5763"/>
    </bk>
    <bk>
      <rc t="1" v="5764"/>
    </bk>
    <bk>
      <rc t="1" v="5765"/>
    </bk>
    <bk>
      <rc t="1" v="5766"/>
    </bk>
    <bk>
      <rc t="1" v="5767"/>
    </bk>
    <bk>
      <rc t="1" v="5768"/>
    </bk>
    <bk>
      <rc t="1" v="5769"/>
    </bk>
    <bk>
      <rc t="1" v="5770"/>
    </bk>
    <bk>
      <rc t="1" v="5771"/>
    </bk>
    <bk>
      <rc t="1" v="5772"/>
    </bk>
    <bk>
      <rc t="1" v="5773"/>
    </bk>
    <bk>
      <rc t="1" v="5774"/>
    </bk>
    <bk>
      <rc t="1" v="5775"/>
    </bk>
    <bk>
      <rc t="1" v="5776"/>
    </bk>
    <bk>
      <rc t="1" v="5777"/>
    </bk>
    <bk>
      <rc t="1" v="5778"/>
    </bk>
    <bk>
      <rc t="1" v="5779"/>
    </bk>
    <bk>
      <rc t="1" v="5780"/>
    </bk>
    <bk>
      <rc t="1" v="5781"/>
    </bk>
    <bk>
      <rc t="1" v="5782"/>
    </bk>
    <bk>
      <rc t="1" v="5783"/>
    </bk>
    <bk>
      <rc t="1" v="5784"/>
    </bk>
    <bk>
      <rc t="1" v="5785"/>
    </bk>
    <bk>
      <rc t="1" v="5786"/>
    </bk>
    <bk>
      <rc t="1" v="5787"/>
    </bk>
    <bk>
      <rc t="1" v="5788"/>
    </bk>
    <bk>
      <rc t="1" v="5789"/>
    </bk>
    <bk>
      <rc t="1" v="5790"/>
    </bk>
    <bk>
      <rc t="1" v="5791"/>
    </bk>
    <bk>
      <rc t="1" v="5792"/>
    </bk>
    <bk>
      <rc t="1" v="5793"/>
    </bk>
    <bk>
      <rc t="1" v="5794"/>
    </bk>
    <bk>
      <rc t="1" v="5795"/>
    </bk>
    <bk>
      <rc t="1" v="5796"/>
    </bk>
    <bk>
      <rc t="1" v="5797"/>
    </bk>
    <bk>
      <rc t="1" v="5798"/>
    </bk>
    <bk>
      <rc t="1" v="5799"/>
    </bk>
    <bk>
      <rc t="1" v="5800"/>
    </bk>
    <bk>
      <rc t="1" v="5801"/>
    </bk>
    <bk>
      <rc t="1" v="5802"/>
    </bk>
    <bk>
      <rc t="1" v="5803"/>
    </bk>
    <bk>
      <rc t="1" v="5804"/>
    </bk>
    <bk>
      <rc t="1" v="5805"/>
    </bk>
    <bk>
      <rc t="1" v="5806"/>
    </bk>
    <bk>
      <rc t="1" v="5807"/>
    </bk>
    <bk>
      <rc t="1" v="5808"/>
    </bk>
    <bk>
      <rc t="1" v="5809"/>
    </bk>
    <bk>
      <rc t="1" v="5810"/>
    </bk>
    <bk>
      <rc t="1" v="5811"/>
    </bk>
    <bk>
      <rc t="1" v="5812"/>
    </bk>
    <bk>
      <rc t="1" v="5813"/>
    </bk>
    <bk>
      <rc t="1" v="5814"/>
    </bk>
    <bk>
      <rc t="1" v="5815"/>
    </bk>
    <bk>
      <rc t="1" v="5816"/>
    </bk>
    <bk>
      <rc t="1" v="5817"/>
    </bk>
    <bk>
      <rc t="1" v="5818"/>
    </bk>
    <bk>
      <rc t="1" v="5819"/>
    </bk>
    <bk>
      <rc t="1" v="5820"/>
    </bk>
    <bk>
      <rc t="1" v="5821"/>
    </bk>
    <bk>
      <rc t="1" v="5822"/>
    </bk>
    <bk>
      <rc t="1" v="5823"/>
    </bk>
    <bk>
      <rc t="1" v="5824"/>
    </bk>
    <bk>
      <rc t="1" v="5825"/>
    </bk>
    <bk>
      <rc t="1" v="5826"/>
    </bk>
    <bk>
      <rc t="1" v="5827"/>
    </bk>
    <bk>
      <rc t="1" v="5828"/>
    </bk>
    <bk>
      <rc t="1" v="5829"/>
    </bk>
    <bk>
      <rc t="1" v="5830"/>
    </bk>
    <bk>
      <rc t="1" v="5831"/>
    </bk>
    <bk>
      <rc t="1" v="5832"/>
    </bk>
    <bk>
      <rc t="1" v="5833"/>
    </bk>
    <bk>
      <rc t="1" v="5834"/>
    </bk>
    <bk>
      <rc t="1" v="5835"/>
    </bk>
    <bk>
      <rc t="1" v="5836"/>
    </bk>
    <bk>
      <rc t="1" v="5837"/>
    </bk>
    <bk>
      <rc t="1" v="5838"/>
    </bk>
    <bk>
      <rc t="1" v="5839"/>
    </bk>
    <bk>
      <rc t="1" v="5840"/>
    </bk>
    <bk>
      <rc t="1" v="5841"/>
    </bk>
    <bk>
      <rc t="1" v="5842"/>
    </bk>
    <bk>
      <rc t="1" v="5843"/>
    </bk>
    <bk>
      <rc t="1" v="5844"/>
    </bk>
    <bk>
      <rc t="1" v="5845"/>
    </bk>
    <bk>
      <rc t="1" v="5846"/>
    </bk>
    <bk>
      <rc t="1" v="5847"/>
    </bk>
    <bk>
      <rc t="1" v="5848"/>
    </bk>
    <bk>
      <rc t="1" v="5849"/>
    </bk>
    <bk>
      <rc t="1" v="5850"/>
    </bk>
    <bk>
      <rc t="1" v="5851"/>
    </bk>
    <bk>
      <rc t="1" v="5852"/>
    </bk>
    <bk>
      <rc t="1" v="5853"/>
    </bk>
    <bk>
      <rc t="1" v="5854"/>
    </bk>
    <bk>
      <rc t="1" v="5855"/>
    </bk>
    <bk>
      <rc t="1" v="5856"/>
    </bk>
    <bk>
      <rc t="1" v="5857"/>
    </bk>
    <bk>
      <rc t="1" v="5858"/>
    </bk>
    <bk>
      <rc t="1" v="5859"/>
    </bk>
    <bk>
      <rc t="1" v="5860"/>
    </bk>
    <bk>
      <rc t="1" v="5861"/>
    </bk>
    <bk>
      <rc t="1" v="5862"/>
    </bk>
    <bk>
      <rc t="1" v="5863"/>
    </bk>
    <bk>
      <rc t="1" v="5864"/>
    </bk>
    <bk>
      <rc t="1" v="5865"/>
    </bk>
    <bk>
      <rc t="1" v="5866"/>
    </bk>
    <bk>
      <rc t="1" v="5867"/>
    </bk>
    <bk>
      <rc t="1" v="5868"/>
    </bk>
    <bk>
      <rc t="1" v="5869"/>
    </bk>
    <bk>
      <rc t="1" v="5870"/>
    </bk>
    <bk>
      <rc t="1" v="5871"/>
    </bk>
    <bk>
      <rc t="1" v="5872"/>
    </bk>
    <bk>
      <rc t="1" v="5873"/>
    </bk>
    <bk>
      <rc t="1" v="5874"/>
    </bk>
    <bk>
      <rc t="1" v="5875"/>
    </bk>
    <bk>
      <rc t="1" v="5876"/>
    </bk>
    <bk>
      <rc t="1" v="5877"/>
    </bk>
    <bk>
      <rc t="1" v="5878"/>
    </bk>
    <bk>
      <rc t="1" v="5879"/>
    </bk>
    <bk>
      <rc t="1" v="5880"/>
    </bk>
    <bk>
      <rc t="1" v="5881"/>
    </bk>
    <bk>
      <rc t="1" v="5882"/>
    </bk>
    <bk>
      <rc t="1" v="5883"/>
    </bk>
    <bk>
      <rc t="1" v="5884"/>
    </bk>
    <bk>
      <rc t="1" v="5885"/>
    </bk>
    <bk>
      <rc t="1" v="5886"/>
    </bk>
    <bk>
      <rc t="1" v="5887"/>
    </bk>
    <bk>
      <rc t="1" v="5888"/>
    </bk>
    <bk>
      <rc t="1" v="5889"/>
    </bk>
    <bk>
      <rc t="1" v="5890"/>
    </bk>
    <bk>
      <rc t="1" v="5891"/>
    </bk>
    <bk>
      <rc t="1" v="5892"/>
    </bk>
    <bk>
      <rc t="1" v="5893"/>
    </bk>
    <bk>
      <rc t="1" v="5894"/>
    </bk>
    <bk>
      <rc t="1" v="5895"/>
    </bk>
    <bk>
      <rc t="1" v="5896"/>
    </bk>
    <bk>
      <rc t="1" v="5897"/>
    </bk>
    <bk>
      <rc t="1" v="5898"/>
    </bk>
    <bk>
      <rc t="1" v="5899"/>
    </bk>
    <bk>
      <rc t="1" v="5900"/>
    </bk>
    <bk>
      <rc t="1" v="5901"/>
    </bk>
    <bk>
      <rc t="1" v="5902"/>
    </bk>
    <bk>
      <rc t="1" v="5903"/>
    </bk>
    <bk>
      <rc t="1" v="5904"/>
    </bk>
    <bk>
      <rc t="1" v="5905"/>
    </bk>
    <bk>
      <rc t="1" v="5906"/>
    </bk>
    <bk>
      <rc t="1" v="5907"/>
    </bk>
    <bk>
      <rc t="1" v="5908"/>
    </bk>
    <bk>
      <rc t="1" v="5909"/>
    </bk>
    <bk>
      <rc t="1" v="5910"/>
    </bk>
    <bk>
      <rc t="1" v="5911"/>
    </bk>
    <bk>
      <rc t="1" v="5912"/>
    </bk>
    <bk>
      <rc t="1" v="5913"/>
    </bk>
    <bk>
      <rc t="1" v="5914"/>
    </bk>
    <bk>
      <rc t="1" v="5915"/>
    </bk>
    <bk>
      <rc t="1" v="5916"/>
    </bk>
    <bk>
      <rc t="1" v="5917"/>
    </bk>
    <bk>
      <rc t="1" v="5918"/>
    </bk>
    <bk>
      <rc t="1" v="5919"/>
    </bk>
    <bk>
      <rc t="1" v="5920"/>
    </bk>
    <bk>
      <rc t="1" v="5921"/>
    </bk>
    <bk>
      <rc t="1" v="5922"/>
    </bk>
    <bk>
      <rc t="1" v="5923"/>
    </bk>
    <bk>
      <rc t="1" v="5924"/>
    </bk>
    <bk>
      <rc t="1" v="5925"/>
    </bk>
    <bk>
      <rc t="1" v="5926"/>
    </bk>
    <bk>
      <rc t="1" v="5927"/>
    </bk>
    <bk>
      <rc t="1" v="5928"/>
    </bk>
    <bk>
      <rc t="1" v="5929"/>
    </bk>
    <bk>
      <rc t="1" v="5930"/>
    </bk>
    <bk>
      <rc t="1" v="5931"/>
    </bk>
    <bk>
      <rc t="1" v="5932"/>
    </bk>
    <bk>
      <rc t="1" v="5933"/>
    </bk>
    <bk>
      <rc t="1" v="5934"/>
    </bk>
    <bk>
      <rc t="1" v="5935"/>
    </bk>
    <bk>
      <rc t="1" v="5936"/>
    </bk>
    <bk>
      <rc t="1" v="5937"/>
    </bk>
    <bk>
      <rc t="1" v="5938"/>
    </bk>
    <bk>
      <rc t="1" v="5939"/>
    </bk>
    <bk>
      <rc t="1" v="5940"/>
    </bk>
    <bk>
      <rc t="1" v="5941"/>
    </bk>
    <bk>
      <rc t="1" v="5942"/>
    </bk>
    <bk>
      <rc t="1" v="5943"/>
    </bk>
    <bk>
      <rc t="1" v="5944"/>
    </bk>
    <bk>
      <rc t="1" v="5945"/>
    </bk>
    <bk>
      <rc t="1" v="5946"/>
    </bk>
    <bk>
      <rc t="1" v="5947"/>
    </bk>
    <bk>
      <rc t="1" v="5948"/>
    </bk>
    <bk>
      <rc t="1" v="5949"/>
    </bk>
    <bk>
      <rc t="1" v="5950"/>
    </bk>
    <bk>
      <rc t="1" v="5951"/>
    </bk>
    <bk>
      <rc t="1" v="5952"/>
    </bk>
    <bk>
      <rc t="1" v="5953"/>
    </bk>
    <bk>
      <rc t="1" v="5954"/>
    </bk>
    <bk>
      <rc t="1" v="5955"/>
    </bk>
    <bk>
      <rc t="1" v="5956"/>
    </bk>
    <bk>
      <rc t="1" v="5957"/>
    </bk>
    <bk>
      <rc t="1" v="5958"/>
    </bk>
    <bk>
      <rc t="1" v="5959"/>
    </bk>
    <bk>
      <rc t="1" v="5960"/>
    </bk>
    <bk>
      <rc t="1" v="5961"/>
    </bk>
    <bk>
      <rc t="1" v="5962"/>
    </bk>
    <bk>
      <rc t="1" v="5963"/>
    </bk>
    <bk>
      <rc t="1" v="5964"/>
    </bk>
    <bk>
      <rc t="1" v="5965"/>
    </bk>
    <bk>
      <rc t="1" v="5966"/>
    </bk>
    <bk>
      <rc t="1" v="5967"/>
    </bk>
    <bk>
      <rc t="1" v="5968"/>
    </bk>
    <bk>
      <rc t="1" v="5969"/>
    </bk>
    <bk>
      <rc t="1" v="5970"/>
    </bk>
    <bk>
      <rc t="1" v="5971"/>
    </bk>
    <bk>
      <rc t="1" v="5972"/>
    </bk>
    <bk>
      <rc t="1" v="5973"/>
    </bk>
    <bk>
      <rc t="1" v="5974"/>
    </bk>
    <bk>
      <rc t="1" v="5975"/>
    </bk>
    <bk>
      <rc t="1" v="5976"/>
    </bk>
    <bk>
      <rc t="1" v="5977"/>
    </bk>
    <bk>
      <rc t="1" v="5978"/>
    </bk>
    <bk>
      <rc t="1" v="5979"/>
    </bk>
    <bk>
      <rc t="1" v="5980"/>
    </bk>
    <bk>
      <rc t="1" v="5981"/>
    </bk>
    <bk>
      <rc t="1" v="5982"/>
    </bk>
    <bk>
      <rc t="1" v="5983"/>
    </bk>
    <bk>
      <rc t="1" v="5984"/>
    </bk>
    <bk>
      <rc t="1" v="5985"/>
    </bk>
    <bk>
      <rc t="1" v="5986"/>
    </bk>
    <bk>
      <rc t="1" v="5987"/>
    </bk>
    <bk>
      <rc t="1" v="5988"/>
    </bk>
    <bk>
      <rc t="1" v="5989"/>
    </bk>
    <bk>
      <rc t="1" v="5990"/>
    </bk>
    <bk>
      <rc t="1" v="5991"/>
    </bk>
    <bk>
      <rc t="1" v="5992"/>
    </bk>
    <bk>
      <rc t="1" v="5993"/>
    </bk>
    <bk>
      <rc t="1" v="5994"/>
    </bk>
    <bk>
      <rc t="1" v="5995"/>
    </bk>
    <bk>
      <rc t="1" v="5996"/>
    </bk>
    <bk>
      <rc t="1" v="5997"/>
    </bk>
    <bk>
      <rc t="1" v="5998"/>
    </bk>
    <bk>
      <rc t="1" v="5999"/>
    </bk>
    <bk>
      <rc t="1" v="6000"/>
    </bk>
    <bk>
      <rc t="1" v="6001"/>
    </bk>
    <bk>
      <rc t="1" v="6002"/>
    </bk>
    <bk>
      <rc t="1" v="6003"/>
    </bk>
    <bk>
      <rc t="1" v="6004"/>
    </bk>
    <bk>
      <rc t="1" v="6005"/>
    </bk>
    <bk>
      <rc t="1" v="6006"/>
    </bk>
    <bk>
      <rc t="1" v="6007"/>
    </bk>
    <bk>
      <rc t="1" v="6008"/>
    </bk>
    <bk>
      <rc t="1" v="6009"/>
    </bk>
    <bk>
      <rc t="1" v="6010"/>
    </bk>
    <bk>
      <rc t="1" v="6011"/>
    </bk>
    <bk>
      <rc t="1" v="6012"/>
    </bk>
    <bk>
      <rc t="1" v="6013"/>
    </bk>
    <bk>
      <rc t="1" v="6014"/>
    </bk>
    <bk>
      <rc t="1" v="6015"/>
    </bk>
    <bk>
      <rc t="1" v="6016"/>
    </bk>
    <bk>
      <rc t="1" v="6017"/>
    </bk>
    <bk>
      <rc t="1" v="6018"/>
    </bk>
    <bk>
      <rc t="1" v="6019"/>
    </bk>
    <bk>
      <rc t="1" v="6020"/>
    </bk>
    <bk>
      <rc t="1" v="6021"/>
    </bk>
    <bk>
      <rc t="1" v="6022"/>
    </bk>
    <bk>
      <rc t="1" v="6023"/>
    </bk>
    <bk>
      <rc t="1" v="6024"/>
    </bk>
    <bk>
      <rc t="1" v="6025"/>
    </bk>
    <bk>
      <rc t="1" v="6026"/>
    </bk>
    <bk>
      <rc t="1" v="6027"/>
    </bk>
    <bk>
      <rc t="1" v="6028"/>
    </bk>
    <bk>
      <rc t="1" v="6029"/>
    </bk>
    <bk>
      <rc t="1" v="6030"/>
    </bk>
    <bk>
      <rc t="1" v="6031"/>
    </bk>
    <bk>
      <rc t="1" v="6032"/>
    </bk>
    <bk>
      <rc t="1" v="6033"/>
    </bk>
    <bk>
      <rc t="1" v="6034"/>
    </bk>
    <bk>
      <rc t="1" v="6035"/>
    </bk>
    <bk>
      <rc t="1" v="6036"/>
    </bk>
    <bk>
      <rc t="1" v="6037"/>
    </bk>
    <bk>
      <rc t="1" v="6038"/>
    </bk>
    <bk>
      <rc t="1" v="6039"/>
    </bk>
    <bk>
      <rc t="1" v="6040"/>
    </bk>
    <bk>
      <rc t="1" v="6041"/>
    </bk>
    <bk>
      <rc t="1" v="6042"/>
    </bk>
    <bk>
      <rc t="1" v="6043"/>
    </bk>
    <bk>
      <rc t="1" v="6044"/>
    </bk>
    <bk>
      <rc t="1" v="6045"/>
    </bk>
    <bk>
      <rc t="1" v="6046"/>
    </bk>
    <bk>
      <rc t="1" v="6047"/>
    </bk>
    <bk>
      <rc t="1" v="6048"/>
    </bk>
    <bk>
      <rc t="1" v="6049"/>
    </bk>
    <bk>
      <rc t="1" v="6050"/>
    </bk>
    <bk>
      <rc t="1" v="6051"/>
    </bk>
    <bk>
      <rc t="1" v="6052"/>
    </bk>
    <bk>
      <rc t="1" v="6053"/>
    </bk>
    <bk>
      <rc t="1" v="6054"/>
    </bk>
    <bk>
      <rc t="1" v="6055"/>
    </bk>
    <bk>
      <rc t="1" v="6056"/>
    </bk>
    <bk>
      <rc t="1" v="6057"/>
    </bk>
    <bk>
      <rc t="1" v="6058"/>
    </bk>
    <bk>
      <rc t="1" v="6059"/>
    </bk>
    <bk>
      <rc t="1" v="6060"/>
    </bk>
    <bk>
      <rc t="1" v="6061"/>
    </bk>
    <bk>
      <rc t="1" v="6062"/>
    </bk>
    <bk>
      <rc t="1" v="6063"/>
    </bk>
    <bk>
      <rc t="1" v="6064"/>
    </bk>
    <bk>
      <rc t="1" v="6065"/>
    </bk>
    <bk>
      <rc t="1" v="6066"/>
    </bk>
    <bk>
      <rc t="1" v="6067"/>
    </bk>
    <bk>
      <rc t="1" v="6068"/>
    </bk>
    <bk>
      <rc t="1" v="6069"/>
    </bk>
    <bk>
      <rc t="1" v="6070"/>
    </bk>
    <bk>
      <rc t="1" v="6071"/>
    </bk>
    <bk>
      <rc t="1" v="6072"/>
    </bk>
    <bk>
      <rc t="1" v="6073"/>
    </bk>
    <bk>
      <rc t="1" v="6074"/>
    </bk>
    <bk>
      <rc t="1" v="6075"/>
    </bk>
    <bk>
      <rc t="1" v="6076"/>
    </bk>
    <bk>
      <rc t="1" v="6077"/>
    </bk>
    <bk>
      <rc t="1" v="6078"/>
    </bk>
    <bk>
      <rc t="1" v="6079"/>
    </bk>
    <bk>
      <rc t="1" v="6080"/>
    </bk>
    <bk>
      <rc t="1" v="6081"/>
    </bk>
    <bk>
      <rc t="1" v="6082"/>
    </bk>
    <bk>
      <rc t="1" v="6083"/>
    </bk>
    <bk>
      <rc t="1" v="6084"/>
    </bk>
    <bk>
      <rc t="1" v="6085"/>
    </bk>
    <bk>
      <rc t="1" v="6086"/>
    </bk>
    <bk>
      <rc t="1" v="6087"/>
    </bk>
    <bk>
      <rc t="1" v="6088"/>
    </bk>
    <bk>
      <rc t="1" v="6089"/>
    </bk>
    <bk>
      <rc t="1" v="6090"/>
    </bk>
    <bk>
      <rc t="1" v="6091"/>
    </bk>
    <bk>
      <rc t="1" v="6092"/>
    </bk>
    <bk>
      <rc t="1" v="6093"/>
    </bk>
    <bk>
      <rc t="1" v="6094"/>
    </bk>
    <bk>
      <rc t="1" v="6095"/>
    </bk>
    <bk>
      <rc t="1" v="6096"/>
    </bk>
    <bk>
      <rc t="1" v="6097"/>
    </bk>
    <bk>
      <rc t="1" v="6098"/>
    </bk>
    <bk>
      <rc t="1" v="6099"/>
    </bk>
    <bk>
      <rc t="1" v="6100"/>
    </bk>
    <bk>
      <rc t="1" v="6101"/>
    </bk>
    <bk>
      <rc t="1" v="6102"/>
    </bk>
    <bk>
      <rc t="1" v="6103"/>
    </bk>
    <bk>
      <rc t="1" v="6104"/>
    </bk>
    <bk>
      <rc t="1" v="6105"/>
    </bk>
    <bk>
      <rc t="1" v="6106"/>
    </bk>
    <bk>
      <rc t="1" v="6107"/>
    </bk>
    <bk>
      <rc t="1" v="6108"/>
    </bk>
    <bk>
      <rc t="1" v="6109"/>
    </bk>
    <bk>
      <rc t="1" v="6110"/>
    </bk>
    <bk>
      <rc t="1" v="6111"/>
    </bk>
    <bk>
      <rc t="1" v="6112"/>
    </bk>
    <bk>
      <rc t="1" v="6113"/>
    </bk>
    <bk>
      <rc t="1" v="6114"/>
    </bk>
    <bk>
      <rc t="1" v="6115"/>
    </bk>
    <bk>
      <rc t="1" v="6116"/>
    </bk>
    <bk>
      <rc t="1" v="6117"/>
    </bk>
    <bk>
      <rc t="1" v="6118"/>
    </bk>
    <bk>
      <rc t="1" v="6119"/>
    </bk>
    <bk>
      <rc t="1" v="6120"/>
    </bk>
    <bk>
      <rc t="1" v="6121"/>
    </bk>
    <bk>
      <rc t="1" v="6122"/>
    </bk>
    <bk>
      <rc t="1" v="6123"/>
    </bk>
    <bk>
      <rc t="1" v="6124"/>
    </bk>
    <bk>
      <rc t="1" v="6125"/>
    </bk>
    <bk>
      <rc t="1" v="6126"/>
    </bk>
    <bk>
      <rc t="1" v="6127"/>
    </bk>
    <bk>
      <rc t="1" v="6128"/>
    </bk>
    <bk>
      <rc t="1" v="6129"/>
    </bk>
    <bk>
      <rc t="1" v="6130"/>
    </bk>
    <bk>
      <rc t="1" v="6131"/>
    </bk>
    <bk>
      <rc t="1" v="6132"/>
    </bk>
    <bk>
      <rc t="1" v="6133"/>
    </bk>
    <bk>
      <rc t="1" v="6134"/>
    </bk>
    <bk>
      <rc t="1" v="6135"/>
    </bk>
    <bk>
      <rc t="1" v="6136"/>
    </bk>
    <bk>
      <rc t="1" v="6137"/>
    </bk>
    <bk>
      <rc t="1" v="6138"/>
    </bk>
    <bk>
      <rc t="1" v="6139"/>
    </bk>
    <bk>
      <rc t="1" v="6140"/>
    </bk>
    <bk>
      <rc t="1" v="6141"/>
    </bk>
    <bk>
      <rc t="1" v="6142"/>
    </bk>
    <bk>
      <rc t="1" v="6143"/>
    </bk>
    <bk>
      <rc t="1" v="6144"/>
    </bk>
    <bk>
      <rc t="1" v="6145"/>
    </bk>
    <bk>
      <rc t="1" v="6146"/>
    </bk>
    <bk>
      <rc t="1" v="6147"/>
    </bk>
    <bk>
      <rc t="1" v="6148"/>
    </bk>
    <bk>
      <rc t="1" v="6149"/>
    </bk>
    <bk>
      <rc t="1" v="6150"/>
    </bk>
    <bk>
      <rc t="1" v="6151"/>
    </bk>
    <bk>
      <rc t="1" v="6152"/>
    </bk>
    <bk>
      <rc t="1" v="6153"/>
    </bk>
    <bk>
      <rc t="1" v="6154"/>
    </bk>
    <bk>
      <rc t="1" v="6155"/>
    </bk>
    <bk>
      <rc t="1" v="6156"/>
    </bk>
    <bk>
      <rc t="1" v="6157"/>
    </bk>
    <bk>
      <rc t="1" v="6158"/>
    </bk>
    <bk>
      <rc t="1" v="6159"/>
    </bk>
    <bk>
      <rc t="1" v="6160"/>
    </bk>
    <bk>
      <rc t="1" v="6161"/>
    </bk>
    <bk>
      <rc t="1" v="6162"/>
    </bk>
    <bk>
      <rc t="1" v="6163"/>
    </bk>
    <bk>
      <rc t="1" v="6164"/>
    </bk>
    <bk>
      <rc t="1" v="6165"/>
    </bk>
    <bk>
      <rc t="1" v="6166"/>
    </bk>
    <bk>
      <rc t="1" v="6167"/>
    </bk>
    <bk>
      <rc t="1" v="6168"/>
    </bk>
    <bk>
      <rc t="1" v="6169"/>
    </bk>
    <bk>
      <rc t="1" v="6170"/>
    </bk>
    <bk>
      <rc t="1" v="6171"/>
    </bk>
    <bk>
      <rc t="1" v="6172"/>
    </bk>
    <bk>
      <rc t="1" v="6173"/>
    </bk>
    <bk>
      <rc t="1" v="6174"/>
    </bk>
    <bk>
      <rc t="1" v="6175"/>
    </bk>
    <bk>
      <rc t="1" v="6176"/>
    </bk>
    <bk>
      <rc t="1" v="6177"/>
    </bk>
    <bk>
      <rc t="1" v="6178"/>
    </bk>
    <bk>
      <rc t="1" v="6179"/>
    </bk>
    <bk>
      <rc t="1" v="6180"/>
    </bk>
    <bk>
      <rc t="1" v="6181"/>
    </bk>
    <bk>
      <rc t="1" v="6182"/>
    </bk>
    <bk>
      <rc t="1" v="6183"/>
    </bk>
    <bk>
      <rc t="1" v="6184"/>
    </bk>
    <bk>
      <rc t="1" v="6185"/>
    </bk>
    <bk>
      <rc t="1" v="6186"/>
    </bk>
    <bk>
      <rc t="1" v="6187"/>
    </bk>
    <bk>
      <rc t="1" v="6188"/>
    </bk>
    <bk>
      <rc t="1" v="6189"/>
    </bk>
    <bk>
      <rc t="1" v="6190"/>
    </bk>
    <bk>
      <rc t="1" v="6191"/>
    </bk>
    <bk>
      <rc t="1" v="6192"/>
    </bk>
    <bk>
      <rc t="1" v="6193"/>
    </bk>
    <bk>
      <rc t="1" v="6194"/>
    </bk>
    <bk>
      <rc t="1" v="6195"/>
    </bk>
    <bk>
      <rc t="1" v="6196"/>
    </bk>
    <bk>
      <rc t="1" v="6197"/>
    </bk>
    <bk>
      <rc t="1" v="6198"/>
    </bk>
    <bk>
      <rc t="1" v="6199"/>
    </bk>
    <bk>
      <rc t="1" v="6200"/>
    </bk>
    <bk>
      <rc t="1" v="6201"/>
    </bk>
    <bk>
      <rc t="1" v="6202"/>
    </bk>
    <bk>
      <rc t="1" v="6203"/>
    </bk>
    <bk>
      <rc t="1" v="6204"/>
    </bk>
    <bk>
      <rc t="1" v="6205"/>
    </bk>
    <bk>
      <rc t="1" v="6206"/>
    </bk>
    <bk>
      <rc t="1" v="6207"/>
    </bk>
    <bk>
      <rc t="1" v="6208"/>
    </bk>
    <bk>
      <rc t="1" v="6209"/>
    </bk>
    <bk>
      <rc t="1" v="6210"/>
    </bk>
    <bk>
      <rc t="1" v="6211"/>
    </bk>
    <bk>
      <rc t="1" v="6212"/>
    </bk>
    <bk>
      <rc t="1" v="6213"/>
    </bk>
    <bk>
      <rc t="1" v="6214"/>
    </bk>
    <bk>
      <rc t="1" v="6215"/>
    </bk>
    <bk>
      <rc t="1" v="6216"/>
    </bk>
    <bk>
      <rc t="1" v="6217"/>
    </bk>
    <bk>
      <rc t="1" v="6218"/>
    </bk>
    <bk>
      <rc t="1" v="6219"/>
    </bk>
    <bk>
      <rc t="1" v="6220"/>
    </bk>
    <bk>
      <rc t="1" v="6221"/>
    </bk>
    <bk>
      <rc t="1" v="6222"/>
    </bk>
    <bk>
      <rc t="1" v="6223"/>
    </bk>
    <bk>
      <rc t="1" v="6224"/>
    </bk>
    <bk>
      <rc t="1" v="6225"/>
    </bk>
    <bk>
      <rc t="1" v="6226"/>
    </bk>
    <bk>
      <rc t="1" v="6227"/>
    </bk>
    <bk>
      <rc t="1" v="6228"/>
    </bk>
    <bk>
      <rc t="1" v="6229"/>
    </bk>
    <bk>
      <rc t="1" v="6230"/>
    </bk>
    <bk>
      <rc t="1" v="6231"/>
    </bk>
    <bk>
      <rc t="1" v="6232"/>
    </bk>
    <bk>
      <rc t="1" v="6233"/>
    </bk>
    <bk>
      <rc t="1" v="6234"/>
    </bk>
    <bk>
      <rc t="1" v="6235"/>
    </bk>
    <bk>
      <rc t="1" v="6236"/>
    </bk>
    <bk>
      <rc t="1" v="6237"/>
    </bk>
    <bk>
      <rc t="1" v="6238"/>
    </bk>
    <bk>
      <rc t="1" v="6239"/>
    </bk>
    <bk>
      <rc t="1" v="6240"/>
    </bk>
    <bk>
      <rc t="1" v="6241"/>
    </bk>
    <bk>
      <rc t="1" v="6242"/>
    </bk>
    <bk>
      <rc t="1" v="6243"/>
    </bk>
    <bk>
      <rc t="1" v="6244"/>
    </bk>
    <bk>
      <rc t="1" v="6245"/>
    </bk>
    <bk>
      <rc t="1" v="6246"/>
    </bk>
    <bk>
      <rc t="1" v="6247"/>
    </bk>
    <bk>
      <rc t="1" v="6248"/>
    </bk>
    <bk>
      <rc t="1" v="6249"/>
    </bk>
    <bk>
      <rc t="1" v="6250"/>
    </bk>
    <bk>
      <rc t="1" v="6251"/>
    </bk>
    <bk>
      <rc t="1" v="6252"/>
    </bk>
    <bk>
      <rc t="1" v="6253"/>
    </bk>
    <bk>
      <rc t="1" v="6254"/>
    </bk>
    <bk>
      <rc t="1" v="6255"/>
    </bk>
    <bk>
      <rc t="1" v="6256"/>
    </bk>
    <bk>
      <rc t="1" v="6257"/>
    </bk>
    <bk>
      <rc t="1" v="6258"/>
    </bk>
    <bk>
      <rc t="1" v="6259"/>
    </bk>
    <bk>
      <rc t="1" v="6260"/>
    </bk>
    <bk>
      <rc t="1" v="6261"/>
    </bk>
    <bk>
      <rc t="1" v="6262"/>
    </bk>
    <bk>
      <rc t="1" v="6263"/>
    </bk>
    <bk>
      <rc t="1" v="6264"/>
    </bk>
    <bk>
      <rc t="1" v="6265"/>
    </bk>
    <bk>
      <rc t="1" v="6266"/>
    </bk>
    <bk>
      <rc t="1" v="6267"/>
    </bk>
    <bk>
      <rc t="1" v="6268"/>
    </bk>
    <bk>
      <rc t="1" v="6269"/>
    </bk>
    <bk>
      <rc t="1" v="6270"/>
    </bk>
    <bk>
      <rc t="1" v="6271"/>
    </bk>
    <bk>
      <rc t="1" v="6272"/>
    </bk>
    <bk>
      <rc t="1" v="6273"/>
    </bk>
    <bk>
      <rc t="1" v="6274"/>
    </bk>
    <bk>
      <rc t="1" v="6275"/>
    </bk>
    <bk>
      <rc t="1" v="6276"/>
    </bk>
    <bk>
      <rc t="1" v="6277"/>
    </bk>
    <bk>
      <rc t="1" v="6278"/>
    </bk>
    <bk>
      <rc t="1" v="6279"/>
    </bk>
    <bk>
      <rc t="1" v="6280"/>
    </bk>
    <bk>
      <rc t="1" v="6281"/>
    </bk>
    <bk>
      <rc t="1" v="6282"/>
    </bk>
    <bk>
      <rc t="1" v="6283"/>
    </bk>
    <bk>
      <rc t="1" v="6284"/>
    </bk>
    <bk>
      <rc t="1" v="6285"/>
    </bk>
    <bk>
      <rc t="1" v="6286"/>
    </bk>
    <bk>
      <rc t="1" v="6287"/>
    </bk>
    <bk>
      <rc t="1" v="6288"/>
    </bk>
    <bk>
      <rc t="1" v="6289"/>
    </bk>
    <bk>
      <rc t="1" v="6290"/>
    </bk>
    <bk>
      <rc t="1" v="6291"/>
    </bk>
    <bk>
      <rc t="1" v="6292"/>
    </bk>
    <bk>
      <rc t="1" v="6293"/>
    </bk>
    <bk>
      <rc t="1" v="6294"/>
    </bk>
    <bk>
      <rc t="1" v="6295"/>
    </bk>
    <bk>
      <rc t="1" v="6296"/>
    </bk>
    <bk>
      <rc t="1" v="6297"/>
    </bk>
    <bk>
      <rc t="1" v="6298"/>
    </bk>
    <bk>
      <rc t="1" v="6299"/>
    </bk>
    <bk>
      <rc t="1" v="6300"/>
    </bk>
    <bk>
      <rc t="1" v="6301"/>
    </bk>
    <bk>
      <rc t="1" v="6302"/>
    </bk>
    <bk>
      <rc t="1" v="6303"/>
    </bk>
    <bk>
      <rc t="1" v="6304"/>
    </bk>
    <bk>
      <rc t="1" v="6305"/>
    </bk>
    <bk>
      <rc t="1" v="6306"/>
    </bk>
    <bk>
      <rc t="1" v="6307"/>
    </bk>
    <bk>
      <rc t="1" v="6308"/>
    </bk>
    <bk>
      <rc t="1" v="6309"/>
    </bk>
    <bk>
      <rc t="1" v="6310"/>
    </bk>
    <bk>
      <rc t="1" v="6311"/>
    </bk>
    <bk>
      <rc t="1" v="6312"/>
    </bk>
    <bk>
      <rc t="1" v="6313"/>
    </bk>
    <bk>
      <rc t="1" v="6314"/>
    </bk>
    <bk>
      <rc t="1" v="6315"/>
    </bk>
    <bk>
      <rc t="1" v="6316"/>
    </bk>
    <bk>
      <rc t="1" v="6317"/>
    </bk>
    <bk>
      <rc t="1" v="6318"/>
    </bk>
    <bk>
      <rc t="1" v="6319"/>
    </bk>
    <bk>
      <rc t="1" v="6320"/>
    </bk>
    <bk>
      <rc t="1" v="6321"/>
    </bk>
    <bk>
      <rc t="1" v="6322"/>
    </bk>
    <bk>
      <rc t="1" v="6323"/>
    </bk>
    <bk>
      <rc t="1" v="6324"/>
    </bk>
    <bk>
      <rc t="1" v="6325"/>
    </bk>
    <bk>
      <rc t="1" v="6326"/>
    </bk>
    <bk>
      <rc t="1" v="6327"/>
    </bk>
    <bk>
      <rc t="1" v="6328"/>
    </bk>
    <bk>
      <rc t="1" v="6329"/>
    </bk>
    <bk>
      <rc t="1" v="6330"/>
    </bk>
    <bk>
      <rc t="1" v="6331"/>
    </bk>
    <bk>
      <rc t="1" v="6332"/>
    </bk>
    <bk>
      <rc t="1" v="6333"/>
    </bk>
    <bk>
      <rc t="1" v="6334"/>
    </bk>
    <bk>
      <rc t="1" v="6335"/>
    </bk>
    <bk>
      <rc t="1" v="6336"/>
    </bk>
    <bk>
      <rc t="1" v="6337"/>
    </bk>
    <bk>
      <rc t="1" v="6338"/>
    </bk>
    <bk>
      <rc t="1" v="6339"/>
    </bk>
    <bk>
      <rc t="1" v="6340"/>
    </bk>
    <bk>
      <rc t="1" v="6341"/>
    </bk>
    <bk>
      <rc t="1" v="6342"/>
    </bk>
    <bk>
      <rc t="1" v="6343"/>
    </bk>
    <bk>
      <rc t="1" v="6344"/>
    </bk>
    <bk>
      <rc t="1" v="6345"/>
    </bk>
    <bk>
      <rc t="1" v="6346"/>
    </bk>
    <bk>
      <rc t="1" v="6347"/>
    </bk>
    <bk>
      <rc t="1" v="6348"/>
    </bk>
    <bk>
      <rc t="1" v="6349"/>
    </bk>
    <bk>
      <rc t="1" v="6350"/>
    </bk>
    <bk>
      <rc t="1" v="6351"/>
    </bk>
    <bk>
      <rc t="1" v="6352"/>
    </bk>
    <bk>
      <rc t="1" v="6353"/>
    </bk>
    <bk>
      <rc t="1" v="6354"/>
    </bk>
    <bk>
      <rc t="1" v="6355"/>
    </bk>
    <bk>
      <rc t="1" v="6356"/>
    </bk>
    <bk>
      <rc t="1" v="6357"/>
    </bk>
    <bk>
      <rc t="1" v="6358"/>
    </bk>
    <bk>
      <rc t="1" v="6359"/>
    </bk>
    <bk>
      <rc t="1" v="6360"/>
    </bk>
    <bk>
      <rc t="1" v="6361"/>
    </bk>
    <bk>
      <rc t="1" v="6362"/>
    </bk>
    <bk>
      <rc t="1" v="6363"/>
    </bk>
    <bk>
      <rc t="1" v="6364"/>
    </bk>
    <bk>
      <rc t="1" v="6365"/>
    </bk>
    <bk>
      <rc t="1" v="6366"/>
    </bk>
    <bk>
      <rc t="1" v="6367"/>
    </bk>
    <bk>
      <rc t="1" v="6368"/>
    </bk>
    <bk>
      <rc t="1" v="6369"/>
    </bk>
    <bk>
      <rc t="1" v="6370"/>
    </bk>
    <bk>
      <rc t="1" v="6371"/>
    </bk>
    <bk>
      <rc t="1" v="6372"/>
    </bk>
    <bk>
      <rc t="1" v="6373"/>
    </bk>
    <bk>
      <rc t="1" v="6374"/>
    </bk>
    <bk>
      <rc t="1" v="6375"/>
    </bk>
    <bk>
      <rc t="1" v="6376"/>
    </bk>
    <bk>
      <rc t="1" v="6377"/>
    </bk>
    <bk>
      <rc t="1" v="6378"/>
    </bk>
    <bk>
      <rc t="1" v="6379"/>
    </bk>
    <bk>
      <rc t="1" v="6380"/>
    </bk>
    <bk>
      <rc t="1" v="6381"/>
    </bk>
    <bk>
      <rc t="1" v="6382"/>
    </bk>
    <bk>
      <rc t="1" v="6383"/>
    </bk>
    <bk>
      <rc t="1" v="6384"/>
    </bk>
    <bk>
      <rc t="1" v="6385"/>
    </bk>
    <bk>
      <rc t="1" v="6386"/>
    </bk>
    <bk>
      <rc t="1" v="6387"/>
    </bk>
    <bk>
      <rc t="1" v="6388"/>
    </bk>
    <bk>
      <rc t="1" v="6389"/>
    </bk>
    <bk>
      <rc t="1" v="6390"/>
    </bk>
    <bk>
      <rc t="1" v="6391"/>
    </bk>
    <bk>
      <rc t="1" v="6392"/>
    </bk>
    <bk>
      <rc t="1" v="6393"/>
    </bk>
    <bk>
      <rc t="1" v="6394"/>
    </bk>
    <bk>
      <rc t="1" v="6395"/>
    </bk>
    <bk>
      <rc t="1" v="6396"/>
    </bk>
  </valueMetadata>
</metadata>
</file>

<file path=xl/sharedStrings.xml><?xml version="1.0" encoding="utf-8"?>
<sst xmlns="http://schemas.openxmlformats.org/spreadsheetml/2006/main" count="1043" uniqueCount="707">
  <si>
    <t>Industry</t>
  </si>
  <si>
    <t>Units</t>
  </si>
  <si>
    <t>Current Price</t>
  </si>
  <si>
    <t>Market Value</t>
  </si>
  <si>
    <t>Today's Change</t>
  </si>
  <si>
    <t>Gain/(Loss)</t>
  </si>
  <si>
    <t>Last 12 Months</t>
  </si>
  <si>
    <t>Stock</t>
  </si>
  <si>
    <t>Date</t>
  </si>
  <si>
    <t>Price</t>
  </si>
  <si>
    <t>Transaction Amount</t>
  </si>
  <si>
    <t>Transaction Type</t>
  </si>
  <si>
    <t>Buy</t>
  </si>
  <si>
    <t>Ticker</t>
  </si>
  <si>
    <t>AMD</t>
  </si>
  <si>
    <t>MSFT</t>
  </si>
  <si>
    <t>BABA</t>
  </si>
  <si>
    <t>DELL</t>
  </si>
  <si>
    <t>GS</t>
  </si>
  <si>
    <t>XOM</t>
  </si>
  <si>
    <t>GM</t>
  </si>
  <si>
    <t>BAC</t>
  </si>
  <si>
    <t>LMT</t>
  </si>
  <si>
    <t>COST</t>
  </si>
  <si>
    <t>Ticker symbol</t>
  </si>
  <si>
    <t>52 week high</t>
  </si>
  <si>
    <t>52 week low</t>
  </si>
  <si>
    <t>Beta</t>
  </si>
  <si>
    <t>Description</t>
  </si>
  <si>
    <t>P/E</t>
  </si>
  <si>
    <t>Change</t>
  </si>
  <si>
    <t>High</t>
  </si>
  <si>
    <t>Low</t>
  </si>
  <si>
    <t>Market cap</t>
  </si>
  <si>
    <t>Exchange abbreviation</t>
  </si>
  <si>
    <t>XNAS</t>
  </si>
  <si>
    <t>XNYS</t>
  </si>
  <si>
    <t>(All)</t>
  </si>
  <si>
    <t>PORTFOLIO ANALYTICS</t>
  </si>
  <si>
    <t>Advanced Financial Metrics &amp; Risk Analysis</t>
  </si>
  <si>
    <t>KEY PORTFOLIO METRICS</t>
  </si>
  <si>
    <t>Total Cost Basis</t>
  </si>
  <si>
    <t>Total Market Value</t>
  </si>
  <si>
    <t>Unrealised P&amp;L</t>
  </si>
  <si>
    <t>Total Return %</t>
  </si>
  <si>
    <t># Holdings</t>
  </si>
  <si>
    <t>Best Performer</t>
  </si>
  <si>
    <t>Worst Performer</t>
  </si>
  <si>
    <t>INDIVIDUAL STOCK ANALYSIS</t>
  </si>
  <si>
    <t>Cost Basis</t>
  </si>
  <si>
    <t>Return %</t>
  </si>
  <si>
    <t>Weight %</t>
  </si>
  <si>
    <t>Avg Buy Price</t>
  </si>
  <si>
    <t>Ann. Return</t>
  </si>
  <si>
    <t>SECTOR CONCENTRATION &amp; RISK</t>
  </si>
  <si>
    <t>HHI Index (Concentration)</t>
  </si>
  <si>
    <t>Interpretation:</t>
  </si>
  <si>
    <t>RISK METRICS</t>
  </si>
  <si>
    <t>Metric</t>
  </si>
  <si>
    <t>Value</t>
  </si>
  <si>
    <t>Status</t>
  </si>
  <si>
    <t>Total Invested</t>
  </si>
  <si>
    <t>Current Value</t>
  </si>
  <si>
    <t>Worst Stock Return</t>
  </si>
  <si>
    <t>Top Holding Weight</t>
  </si>
  <si>
    <t>Top 3 Concentration</t>
  </si>
  <si>
    <t>Avg Return per Stock</t>
  </si>
  <si>
    <t>Profitable Positions</t>
  </si>
  <si>
    <t>TRANSACTION LEDGER</t>
  </si>
  <si>
    <t>🎯 PROJECT OVERVIEW</t>
  </si>
  <si>
    <t>Objective</t>
  </si>
  <si>
    <t>Scope</t>
  </si>
  <si>
    <t>Investment Strategy</t>
  </si>
  <si>
    <t>Data Sources</t>
  </si>
  <si>
    <t>Sheet Name</t>
  </si>
  <si>
    <t>Dashboard</t>
  </si>
  <si>
    <t>Analytics</t>
  </si>
  <si>
    <t>Ledger</t>
  </si>
  <si>
    <t>Watchlist</t>
  </si>
  <si>
    <t>Sparkline</t>
  </si>
  <si>
    <t>Technique</t>
  </si>
  <si>
    <t>Implementation</t>
  </si>
  <si>
    <t>Dynamic Arrays</t>
  </si>
  <si>
    <t>Linked Data Types</t>
  </si>
  <si>
    <t>WORKBOOK STRUCTURE</t>
  </si>
  <si>
    <t>Competitor analysis: 10 rival stocks with live data, 52-week ranges, beta, P/E, market cap.</t>
  </si>
  <si>
    <t>Price history data feeding Dashboard sparkline trend visualizations.</t>
  </si>
  <si>
    <t>Stock Sheets</t>
  </si>
  <si>
    <t>Individual stock deep-dives with STOCKHISTORY price series and charts.</t>
  </si>
  <si>
    <t>KEY FORMULAS &amp; TECHNIQUES</t>
  </si>
  <si>
    <t>CAGR Formula</t>
  </si>
  <si>
    <t>SORT, UNIQUE, FILTER, SORTBY with spill ranges for automatic data propagation</t>
  </si>
  <si>
    <t>Excel Stocks data type with dot notation for real-time market data integration</t>
  </si>
  <si>
    <t>STOCKHISTORY</t>
  </si>
  <si>
    <t>Historical price series retrieval for sparklines and stock analysis sheets</t>
  </si>
  <si>
    <t>SUMIF / COUNTIF</t>
  </si>
  <si>
    <t>Cross-sheet aggregation for transaction totals and sector-level rollups from Ledger</t>
  </si>
  <si>
    <t>INDEX / MATCH</t>
  </si>
  <si>
    <t>Best and worst performer identification with dynamic lookups across spill ranges</t>
  </si>
  <si>
    <t>Annualised return: (Ending Value / Beginning Value) ^ (1 / Years) - 1</t>
  </si>
  <si>
    <t>HHI Index</t>
  </si>
  <si>
    <t>Sum of squared sector weights to quantify portfolio concentration risk</t>
  </si>
  <si>
    <t>Conditional Formatting</t>
  </si>
  <si>
    <t>Automated color coding for negative/positive values with emoji risk indicators</t>
  </si>
  <si>
    <t>Allocation Model</t>
  </si>
  <si>
    <t>SKILLS DEMONSTRATED</t>
  </si>
  <si>
    <t>Category</t>
  </si>
  <si>
    <t>Skills</t>
  </si>
  <si>
    <t>Financial Modelling</t>
  </si>
  <si>
    <t>Data Engineering</t>
  </si>
  <si>
    <t>Risk Analysis</t>
  </si>
  <si>
    <t>Dashboard Design</t>
  </si>
  <si>
    <t>Data Visualisation</t>
  </si>
  <si>
    <t>Domain Knowledge</t>
  </si>
  <si>
    <t>HOW TO USE</t>
  </si>
  <si>
    <t>1. Enable Data Types</t>
  </si>
  <si>
    <t>Ensure Excel is connected to the internet. The Stocks linked data types in the Ledger and Dashboard require a Microsoft 365 subscription.</t>
  </si>
  <si>
    <t>2. Review Dashboard</t>
  </si>
  <si>
    <t>The Dashboard auto-updates with live prices. Check KPI cards at top for portfolio summary, stock table for details, and sector breakdown below.</t>
  </si>
  <si>
    <t>3. Explore Analytics</t>
  </si>
  <si>
    <t>The Analytics sheet provides deeper metrics: per-stock returns, sector HHI, risk flags, and allocation charts.</t>
  </si>
  <si>
    <t>4. Monitor Watchlist</t>
  </si>
  <si>
    <t>Track competitor stocks with live data. Use this for benchmarking and identifying new investment opportunities.</t>
  </si>
  <si>
    <t>5. Add Transactions</t>
  </si>
  <si>
    <t>Add new rows to the Ledger table. All Dashboard and Analytics formulas auto-update via structured references.</t>
  </si>
  <si>
    <t>PORTFOLIO VALUE</t>
  </si>
  <si>
    <t>UNREALISED P&amp;L</t>
  </si>
  <si>
    <t>TOTAL RETURN</t>
  </si>
  <si>
    <t>WORST STOCK</t>
  </si>
  <si>
    <t>COST BASIS</t>
  </si>
  <si>
    <t>TOP HOLDING</t>
  </si>
  <si>
    <t>TOP 3 CONC.</t>
  </si>
  <si>
    <t>AVG RETURN</t>
  </si>
  <si>
    <t>PROFITABLE</t>
  </si>
  <si>
    <t>HHI INDEX</t>
  </si>
  <si>
    <t>BEST STOCK</t>
  </si>
  <si>
    <t>SECTOR ALLOCATION</t>
  </si>
  <si>
    <t>HHI Contrib.</t>
  </si>
  <si>
    <t xml:space="preserve"> </t>
  </si>
  <si>
    <t>Weighted allocation with sector caps (Tech max 35%) and systematic Buy/Sell rules</t>
  </si>
  <si>
    <t>Sell</t>
  </si>
  <si>
    <t>WATCHLIST DASHBOARD</t>
  </si>
  <si>
    <t>TOTAL MARKET CAP</t>
  </si>
  <si>
    <t>AVG P/E RATIO</t>
  </si>
  <si>
    <t>AVG BETA</t>
  </si>
  <si>
    <t>HIGHEST P/E</t>
  </si>
  <si>
    <t>LOWEST P/E</t>
  </si>
  <si>
    <t>TOP GAINER TODAY</t>
  </si>
  <si>
    <t>TOP LOSER TODAY</t>
  </si>
  <si>
    <t>MEDIAN P/E</t>
  </si>
  <si>
    <t>Change ($)</t>
  </si>
  <si>
    <t>P/E Ratio</t>
  </si>
  <si>
    <t>Market Cap</t>
  </si>
  <si>
    <t>52W High</t>
  </si>
  <si>
    <t>52W Low</t>
  </si>
  <si>
    <t>52W Range %</t>
  </si>
  <si>
    <t>VISUALIZATIONS</t>
  </si>
  <si>
    <t>52-WEEK RANGE ANALYSIS</t>
  </si>
  <si>
    <t>DAILY P&amp;L</t>
  </si>
  <si>
    <t>WIN RATE</t>
  </si>
  <si>
    <t>FINANCIAL METRICS  ·  PER-STOCK ANALYTICS  ·  RISK ASSESSMENT</t>
  </si>
  <si>
    <t>Price/Cost</t>
  </si>
  <si>
    <t>Risk Score</t>
  </si>
  <si>
    <t>Signal</t>
  </si>
  <si>
    <t>Gain/Loss</t>
  </si>
  <si>
    <t>Weight</t>
  </si>
  <si>
    <t>ADVANCED PORTFOLIO ANALYTICS</t>
  </si>
  <si>
    <t>Institutional-Grade Risk &amp; Return Decomposition</t>
  </si>
  <si>
    <t>RETURN ATTRIBUTION &amp; RISK DECOMPOSITION</t>
  </si>
  <si>
    <t>Benchmark</t>
  </si>
  <si>
    <t>Assessment</t>
  </si>
  <si>
    <t>Portfolio CAGR (7yr)</t>
  </si>
  <si>
    <t>CAGR / Max Loss</t>
  </si>
  <si>
    <t>Win/Loss Ratio</t>
  </si>
  <si>
    <t>Avg Win / Avg Loss</t>
  </si>
  <si>
    <t>Profit Factor</t>
  </si>
  <si>
    <t>Profit / Loss</t>
  </si>
  <si>
    <t>PORTFOLIO CONSTRUCTION ANALYSIS</t>
  </si>
  <si>
    <t>Optimal Range</t>
  </si>
  <si>
    <t>Effective Diversification (1/HHI)</t>
  </si>
  <si>
    <t>10-20 ideal</t>
  </si>
  <si>
    <t>Position Size Spread (Max/Min)</t>
  </si>
  <si>
    <t>Top Sector Weight</t>
  </si>
  <si>
    <t>Weighted Avg Return</t>
  </si>
  <si>
    <t>PORTFOLIO HEALTH SCORECARD</t>
  </si>
  <si>
    <t>Score</t>
  </si>
  <si>
    <t>Grade</t>
  </si>
  <si>
    <t>Return Performance</t>
  </si>
  <si>
    <t>Risk Management</t>
  </si>
  <si>
    <t>Diversification</t>
  </si>
  <si>
    <t>Win Rate</t>
  </si>
  <si>
    <t>Sector Breadth</t>
  </si>
  <si>
    <t>OVERALL PORTFOLIO GRADE</t>
  </si>
  <si>
    <t>▲ STRONG</t>
  </si>
  <si>
    <t>▶ HOLD</t>
  </si>
  <si>
    <t>▼ REVIEW</t>
  </si>
  <si>
    <t>PROFIT FACTOR</t>
  </si>
  <si>
    <t>SORTINO RATIO</t>
  </si>
  <si>
    <t>CALMAR RATIO</t>
  </si>
  <si>
    <t>PORT. GRADE</t>
  </si>
  <si>
    <t>STOCKS</t>
  </si>
  <si>
    <t>INDUSTRIES</t>
  </si>
  <si>
    <t>COMPARATIVE VALUATION &amp; MOMENTUM ANALYTICS</t>
  </si>
  <si>
    <t>Multi-Factor Scoring Model — Ranks Watchlist Stocks by Value, Momentum &amp; Risk</t>
  </si>
  <si>
    <t>P/E Rank</t>
  </si>
  <si>
    <t>Risk Rank</t>
  </si>
  <si>
    <t>Momentum</t>
  </si>
  <si>
    <t>Value Score</t>
  </si>
  <si>
    <t>Composite</t>
  </si>
  <si>
    <t>⭐ BUY SIGNALS</t>
  </si>
  <si>
    <t>🔍 WATCH LIST</t>
  </si>
  <si>
    <t>⚠️ AVOID</t>
  </si>
  <si>
    <t>AVG P/E (BUYS)</t>
  </si>
  <si>
    <t>AVG BETA (BUYS)</t>
  </si>
  <si>
    <t>CHEAPEST STOCK</t>
  </si>
  <si>
    <t>RISKIEST STOCK</t>
  </si>
  <si>
    <t>BEST VALUE/RISK</t>
  </si>
  <si>
    <t>STRONG MOMENTUM</t>
  </si>
  <si>
    <t>WEAK MOMENTUM</t>
  </si>
  <si>
    <t>REBALANCING ANALYSIS</t>
  </si>
  <si>
    <t>Current Wt.</t>
  </si>
  <si>
    <t>Equal Wt.</t>
  </si>
  <si>
    <t>Deviation</t>
  </si>
  <si>
    <t>Action</t>
  </si>
  <si>
    <t>RISK ANALYTICS</t>
  </si>
  <si>
    <t>CFA-Level Quantitative Risk &amp; Return Decomposition</t>
  </si>
  <si>
    <t>CAPM &amp; FACTOR ANALYSIS</t>
  </si>
  <si>
    <t>Context</t>
  </si>
  <si>
    <t>Risk-Free Rate (Rf)</t>
  </si>
  <si>
    <t>US 10Y Treasury</t>
  </si>
  <si>
    <t>Input Assumption</t>
  </si>
  <si>
    <t>Market Return (Rm)</t>
  </si>
  <si>
    <t>S&amp;P 500 LT Avg</t>
  </si>
  <si>
    <t>Equity Risk Premium (Rm − Rf)</t>
  </si>
  <si>
    <t>Historical: 4-6%</t>
  </si>
  <si>
    <t>Portfolio Beta (βp)</t>
  </si>
  <si>
    <t>β = 1.0 = Market</t>
  </si>
  <si>
    <t>Expected Return — CAPM: E(Rp) = Rf + βp(Rm − Rf)</t>
  </si>
  <si>
    <t>CAPM Equilibrium</t>
  </si>
  <si>
    <t>Jensen's Alpha (αp) = Rp − [Rf + βp(Rm − Rf)]</t>
  </si>
  <si>
    <t>α &gt; 0 = Skill</t>
  </si>
  <si>
    <t>ADVANCED RISK METRICS</t>
  </si>
  <si>
    <t>Benchmark / Context</t>
  </si>
  <si>
    <t>Treynor Ratio = (Rp − Rf) / βp</t>
  </si>
  <si>
    <t>Per unit β risk</t>
  </si>
  <si>
    <t>Information Ratio = α / Tracking Error</t>
  </si>
  <si>
    <t>&gt; 0.5 Good, &gt; 1.0 Elite</t>
  </si>
  <si>
    <t>Tracking Error (σε) — Active Risk</t>
  </si>
  <si>
    <t>&lt; 2% Passive, &gt; 5% Active</t>
  </si>
  <si>
    <t>Sharpe Ratio = (Rp − Rf) / σp</t>
  </si>
  <si>
    <t>&gt; 1.0 Good, &gt; 2.0 Elite</t>
  </si>
  <si>
    <t>Sortino Ratio = (Rp − Rf) / Downside σ</t>
  </si>
  <si>
    <t>&gt; 2.0 Good, &gt; 3.0 Elite</t>
  </si>
  <si>
    <t>Calmar Ratio = CAGR / Max Drawdown</t>
  </si>
  <si>
    <t>&gt; 1.0 Good, &gt; 3.0 Elite</t>
  </si>
  <si>
    <t>VALUE AT RISK (VaR) &amp; TAIL RISK</t>
  </si>
  <si>
    <t>Interpretation</t>
  </si>
  <si>
    <t>Portfolio Mean Return (Annualised)</t>
  </si>
  <si>
    <t>Geometric mean</t>
  </si>
  <si>
    <t>Parametric VaR (95%, 1-Year)</t>
  </si>
  <si>
    <t>95% confidence</t>
  </si>
  <si>
    <t>Parametric VaR (99%, 1-Year)</t>
  </si>
  <si>
    <t>99% confidence</t>
  </si>
  <si>
    <t>Expected Shortfall (CVaR 95%)</t>
  </si>
  <si>
    <t>Avg loss beyond VaR</t>
  </si>
  <si>
    <t>Max Individual Position Loss</t>
  </si>
  <si>
    <t>Downside Deviation (Semi-σ)</t>
  </si>
  <si>
    <t>Negative returns only</t>
  </si>
  <si>
    <t>PORTFOLIO CONSTRUCTION &amp; DIVERSIFICATION</t>
  </si>
  <si>
    <t>Effective # Positions (1/HHI)</t>
  </si>
  <si>
    <t>10–20 ideal</t>
  </si>
  <si>
    <t>Largest / Smallest Position Ratio</t>
  </si>
  <si>
    <t>&lt; 5x balanced</t>
  </si>
  <si>
    <t>INDIVIDUAL STOCK RISK DECOMPOSITION</t>
  </si>
  <si>
    <t>Beta (βi)</t>
  </si>
  <si>
    <t>CAGR</t>
  </si>
  <si>
    <t>Risk Contrib.</t>
  </si>
  <si>
    <t>CAPM E(Ri)</t>
  </si>
  <si>
    <t>Stock αi</t>
  </si>
  <si>
    <t>Style</t>
  </si>
  <si>
    <t>PORTFOLIO TOTAL</t>
  </si>
  <si>
    <t>STYLE FACTOR EXPOSURE</t>
  </si>
  <si>
    <t>Factor</t>
  </si>
  <si>
    <t>Exposure</t>
  </si>
  <si>
    <t>Detail</t>
  </si>
  <si>
    <t>Growth vs Value Tilt</t>
  </si>
  <si>
    <t>Size Factor (Weighted Avg β)</t>
  </si>
  <si>
    <t>β = 1.0 neutral</t>
  </si>
  <si>
    <t>Sector Concentration (HHI)</t>
  </si>
  <si>
    <t>&lt; 15% diversified</t>
  </si>
  <si>
    <t>Active Share Proxy (vs Equal Wt.)</t>
  </si>
  <si>
    <t>&gt; 60% Active</t>
  </si>
  <si>
    <t>CAPITAL MARKET LINE ANALYSIS</t>
  </si>
  <si>
    <t>CML Position</t>
  </si>
  <si>
    <t>CML Expected Return at Port. σ</t>
  </si>
  <si>
    <t>CML benchmark</t>
  </si>
  <si>
    <t>Portfolio vs CML Spread</t>
  </si>
  <si>
    <t>&gt; 0 = efficient</t>
  </si>
  <si>
    <t>M² (Modigliani-Modigliani) = Sp × σm + Rf − Rm</t>
  </si>
  <si>
    <t>M² &gt; 0 = outperform</t>
  </si>
  <si>
    <t>βp × σm (est.)</t>
  </si>
  <si>
    <t>Est. Portfolio Volatility (βp × σm)</t>
  </si>
  <si>
    <t>PORT. BETA</t>
  </si>
  <si>
    <t>TREYNOR</t>
  </si>
  <si>
    <t>SHARPE RATIO</t>
  </si>
  <si>
    <t>Jensen's Alpha (αp)</t>
  </si>
  <si>
    <t>Sharpe Ratio (Rp−Rf)/σp</t>
  </si>
  <si>
    <t>Rf = 4.25%</t>
  </si>
  <si>
    <t>Treynor Ratio (Rp−Rf)/βp</t>
  </si>
  <si>
    <t>Sortino Ratio</t>
  </si>
  <si>
    <t>Downside σ Only</t>
  </si>
  <si>
    <t>M² (Modigliani-Modigliani)</t>
  </si>
  <si>
    <t>Calmar Ratio</t>
  </si>
  <si>
    <t>&lt; 30% balanced</t>
  </si>
  <si>
    <t>Active Share (vs Equal Wt.)</t>
  </si>
  <si>
    <t>&gt; CAGR = good</t>
  </si>
  <si>
    <t>PORTFOLIO VALIDATION TESTS</t>
  </si>
  <si>
    <t>DATA INTEGRITY CHECKS</t>
  </si>
  <si>
    <t>Test</t>
  </si>
  <si>
    <t>Expected</t>
  </si>
  <si>
    <t>Actual</t>
  </si>
  <si>
    <t>Notes</t>
  </si>
  <si>
    <t>Portfolio weights sum to 100%</t>
  </si>
  <si>
    <t>Sum of all portfolio weights must equal 100%</t>
  </si>
  <si>
    <t>Total MV = Sum of holdings MV</t>
  </si>
  <si>
    <t>Portfolio value KPI matches sum of individual market values</t>
  </si>
  <si>
    <t>Cost basis consistency</t>
  </si>
  <si>
    <t>Portfolio cost basis KPI matches sum of per-stock cost bases</t>
  </si>
  <si>
    <t>P&amp;L identity: MV - CB = Unrealised P&amp;L</t>
  </si>
  <si>
    <t>Accounting identity: Unrealised P&amp;L = Market Value − Cost Basis</t>
  </si>
  <si>
    <t>Unique stock count matches</t>
  </si>
  <si>
    <t>Dashboard shows all 16 unique stocks from Ledger</t>
  </si>
  <si>
    <t>Sector allocation weights sum to 100%</t>
  </si>
  <si>
    <t>Sector allocation must sum to 100%</t>
  </si>
  <si>
    <t>HHI consistency (Dashboard vs Analytics)</t>
  </si>
  <si>
    <t>HHI Index must be identical between KPI strip and bottom KPIs</t>
  </si>
  <si>
    <t>HHI = sum of sector squared weights</t>
  </si>
  <si>
    <t>HHI = Σ(wi²) from sector allocation table</t>
  </si>
  <si>
    <t>Win rate consistency</t>
  </si>
  <si>
    <t>Win rate KPI matches manual count of profitable holdings</t>
  </si>
  <si>
    <t>Rebalancing equal weights = 1/N</t>
  </si>
  <si>
    <t>Equal weight target = 1/N = 6.25% for 16 stocks</t>
  </si>
  <si>
    <t>Sector MV = sum of stock MVs per sector</t>
  </si>
  <si>
    <t>Sum of sector market values equals total portfolio market value</t>
  </si>
  <si>
    <t>RISK METRIC CHECKS</t>
  </si>
  <si>
    <t>Expected Range</t>
  </si>
  <si>
    <t>CFA Framework</t>
  </si>
  <si>
    <t>Sharpe Ratio in valid range</t>
  </si>
  <si>
    <t>-3.0 to 5.0</t>
  </si>
  <si>
    <t>Sharpe = (Rp−Rf)/σp; typical range -3 to 5 for diversified portfolios</t>
  </si>
  <si>
    <t>Portfolio Beta reasonable</t>
  </si>
  <si>
    <t>0.3 to 2.5</t>
  </si>
  <si>
    <t>βp = Σ(wi×βi); 0.3-2.5 typical for equity-only portfolio</t>
  </si>
  <si>
    <t>Treynor Ratio valid</t>
  </si>
  <si>
    <t>-0.5 to 1.0</t>
  </si>
  <si>
    <t>Treynor = (Rp−Rf)/βp; measures excess return per unit systematic risk</t>
  </si>
  <si>
    <t>≤ 0%</t>
  </si>
  <si>
    <t>Max drawdown must be negative or zero (worst single-stock return)</t>
  </si>
  <si>
    <t>Calmar Ratio positive (if CAGR positive)</t>
  </si>
  <si>
    <t>&gt; 0</t>
  </si>
  <si>
    <t>Calmar = CAGR/|Max DD|; positive when portfolio has positive CAGR</t>
  </si>
  <si>
    <t>SUMMARY</t>
  </si>
  <si>
    <t>Tests Passed</t>
  </si>
  <si>
    <t>Tests Failed</t>
  </si>
  <si>
    <t>Tests Warning</t>
  </si>
  <si>
    <t>Overall Score</t>
  </si>
  <si>
    <t>Risk Analytics</t>
  </si>
  <si>
    <t>WL Dashboard</t>
  </si>
  <si>
    <t>Watchlist scoring model: multi-factor evaluation (P/E, Beta, 52-week range, margin of safety) with composite rankings and entry-point signals.</t>
  </si>
  <si>
    <t>Validation</t>
  </si>
  <si>
    <t>CROSS-SHEET CONSISTENCY CHECKS</t>
  </si>
  <si>
    <t>Sheet A</t>
  </si>
  <si>
    <t>Sheet B</t>
  </si>
  <si>
    <t>CAGR: Dashboard ↔ Analytics</t>
  </si>
  <si>
    <t>Portfolio CAGR must match across Dashboard and Analytics</t>
  </si>
  <si>
    <t>Beta: Dashboard ↔ Risk Analytics</t>
  </si>
  <si>
    <t>Weighted portfolio beta must match between Dashboard KPI and Risk Analytics</t>
  </si>
  <si>
    <t>Sharpe: Dashboard ↔ Risk Analytics</t>
  </si>
  <si>
    <t>Sharpe Ratio must match between Dashboard KPI and Risk Analytics</t>
  </si>
  <si>
    <t>Treynor: Dashboard ↔ Risk Analytics</t>
  </si>
  <si>
    <t>Treynor Ratio must match between Dashboard and Risk Analytics</t>
  </si>
  <si>
    <t>CAPM: E(Rp) = Rf + βp(Rm-Rf)</t>
  </si>
  <si>
    <t>CAPM expected return formula: Rf + βp × ERP must be internally consistent</t>
  </si>
  <si>
    <t>Jensen's α = Rp - E(Rp)</t>
  </si>
  <si>
    <t>Alpha = Actual CAGR minus CAPM expected return</t>
  </si>
  <si>
    <t>Risk decomp weights sum to 100%</t>
  </si>
  <si>
    <t>Stock weights in risk decomposition table must sum to 100%</t>
  </si>
  <si>
    <t>Holding Days</t>
  </si>
  <si>
    <t>Tax Status</t>
  </si>
  <si>
    <t>CORNISH-FISHER ADJUSTED VAR</t>
  </si>
  <si>
    <t>Portfolio Skewness (S)</t>
  </si>
  <si>
    <t>S=0 normal, S&lt;0 left tail</t>
  </si>
  <si>
    <t>Excess Kurtosis (K)</t>
  </si>
  <si>
    <t>K=0 normal, K&gt;0 fat tails</t>
  </si>
  <si>
    <t>CF z-adj (95%)</t>
  </si>
  <si>
    <t>Adj. normal quantile</t>
  </si>
  <si>
    <t>Cornish-Fisher VaR (95%)</t>
  </si>
  <si>
    <t>Skew &amp; kurtosis adjusted</t>
  </si>
  <si>
    <t>Cornish-Fisher VaR (99%)</t>
  </si>
  <si>
    <t>99% CF confidence</t>
  </si>
  <si>
    <t>HISTORICAL VAR &amp; EXPECTED SHORTFALL</t>
  </si>
  <si>
    <t>Historical VaR (95%, based on CAGR distribution)</t>
  </si>
  <si>
    <t>5th percentile of stock CAGRs</t>
  </si>
  <si>
    <t>Historical VaR (99%, extreme tail)</t>
  </si>
  <si>
    <t>1st percentile of stock CAGRs</t>
  </si>
  <si>
    <t>DRAWDOWN ANALYSIS</t>
  </si>
  <si>
    <t>Recovery</t>
  </si>
  <si>
    <t>Max Drawdown (Worst Stock)</t>
  </si>
  <si>
    <t>N/A — position still held</t>
  </si>
  <si>
    <t>Avg Drawdown (losing positions)</t>
  </si>
  <si>
    <t>Mean loss across losers</t>
  </si>
  <si>
    <t>CAGR / |Max Drawdown|</t>
  </si>
  <si>
    <t>Ulcer Index (pain measure)</t>
  </si>
  <si>
    <t>RMS of negative returns</t>
  </si>
  <si>
    <t>STRESS TESTING — SCENARIO ANALYSIS</t>
  </si>
  <si>
    <t>Scenario</t>
  </si>
  <si>
    <t>Shock</t>
  </si>
  <si>
    <t>Est. Portfolio Impact</t>
  </si>
  <si>
    <t>Dollar Impact</t>
  </si>
  <si>
    <t>Risk Assessment</t>
  </si>
  <si>
    <t>VIX +100% Spike</t>
  </si>
  <si>
    <t>Volatility doubles</t>
  </si>
  <si>
    <t>Tech Sector −20% Crash</t>
  </si>
  <si>
    <t>Semis &amp; Software −20%</t>
  </si>
  <si>
    <t>+150bps Yield Curve Shift</t>
  </si>
  <si>
    <t>Rates shock, duration impact</t>
  </si>
  <si>
    <t>BLACK-LITTERMAN PORTFOLIO OPTIMIZATION</t>
  </si>
  <si>
    <t>Bayesian framework combining market equilibrium with investor views — Black &amp; Litterman (1992), Goldman Sachs</t>
  </si>
  <si>
    <t>MODEL PARAMETERS</t>
  </si>
  <si>
    <t>Parameter</t>
  </si>
  <si>
    <t>Linked from Risk Analytics</t>
  </si>
  <si>
    <t>Risk Aversion (δ)</t>
  </si>
  <si>
    <t>Market consensus ~2.5 (He &amp; Litterman, 1999)</t>
  </si>
  <si>
    <t>Tau (τ) — Uncertainty</t>
  </si>
  <si>
    <t>Proportional to (1/T). Lower = more certain about equilibrium</t>
  </si>
  <si>
    <t>EQUILIBRIUM WEIGHTS &amp; IMPLIED RETURNS</t>
  </si>
  <si>
    <t>Current Wt</t>
  </si>
  <si>
    <t>Implied Eq. Return</t>
  </si>
  <si>
    <t>BL Optimal Wt</t>
  </si>
  <si>
    <t>Trade (Δ Wt)</t>
  </si>
  <si>
    <t>INVESTOR VIEWS (User Input)</t>
  </si>
  <si>
    <t>View #</t>
  </si>
  <si>
    <t>Expected Excess Return</t>
  </si>
  <si>
    <t>Confidence</t>
  </si>
  <si>
    <t>View 1</t>
  </si>
  <si>
    <t>NVDA outperforms market by 10%</t>
  </si>
  <si>
    <t>Active</t>
  </si>
  <si>
    <t>View 2</t>
  </si>
  <si>
    <t>MSFT (via META proxy) outperforms AAPL by 5%</t>
  </si>
  <si>
    <t>View 3</t>
  </si>
  <si>
    <t>Financials (JPM, C, BLK) rally +8%</t>
  </si>
  <si>
    <t>View 4</t>
  </si>
  <si>
    <t>(Enter your view here)</t>
  </si>
  <si>
    <t>Inactive</t>
  </si>
  <si>
    <t>View 5</t>
  </si>
  <si>
    <t>VIEW-ADJUSTED REBALANCING TRADE LIST</t>
  </si>
  <si>
    <t>Current $</t>
  </si>
  <si>
    <t>Target Wt</t>
  </si>
  <si>
    <t>Target $</t>
  </si>
  <si>
    <t>Trade $</t>
  </si>
  <si>
    <t>Vol Band (±)</t>
  </si>
  <si>
    <t>Tax Flag</t>
  </si>
  <si>
    <t>Vol Action</t>
  </si>
  <si>
    <t>SORTINO</t>
  </si>
  <si>
    <t>INFO RATIO</t>
  </si>
  <si>
    <t>ACTIVE SHARE</t>
  </si>
  <si>
    <t>ALPHA (α)</t>
  </si>
  <si>
    <t>M²</t>
  </si>
  <si>
    <t>CALMAR</t>
  </si>
  <si>
    <t>CF VaR 95%</t>
  </si>
  <si>
    <t>QUANTITATIVE FINANCE SKILLS MATRIX</t>
  </si>
  <si>
    <t>Technical Competencies Demonstrated in Portfolio Analytics Platform</t>
  </si>
  <si>
    <t>#</t>
  </si>
  <si>
    <t>Skill / Competency</t>
  </si>
  <si>
    <t>CFA Alignment</t>
  </si>
  <si>
    <t>Sheet Reference</t>
  </si>
  <si>
    <t>Transaction Ledger with Data Validation</t>
  </si>
  <si>
    <t>Data Management</t>
  </si>
  <si>
    <t>Level I — Quant Methods</t>
  </si>
  <si>
    <t>Structured tables, drop-down controls, non-negative constraints</t>
  </si>
  <si>
    <t>Tax-Aware Holding Period Tracking</t>
  </si>
  <si>
    <t>Tax Management</t>
  </si>
  <si>
    <t>Level I — Tax &amp; Estate</t>
  </si>
  <si>
    <t>MAXIFS for lot matching, ST/LT gain classification per IRS §1222</t>
  </si>
  <si>
    <t>Ledger I:J</t>
  </si>
  <si>
    <t>Linked Data Type Integration</t>
  </si>
  <si>
    <t>Level I — Equity Investments</t>
  </si>
  <si>
    <t>Excel Stock entities, .Price, .Beta, .Industry dot-notation</t>
  </si>
  <si>
    <t>Ledger, Dashboard</t>
  </si>
  <si>
    <t>Dynamic Array Portfolio Construction</t>
  </si>
  <si>
    <t>Portfolio Mgmt</t>
  </si>
  <si>
    <t>Level III — Portfolio Mgmt</t>
  </si>
  <si>
    <t>SORT(UNIQUE()) with INDEX/MATCH entity resolution</t>
  </si>
  <si>
    <t>Dashboard B7</t>
  </si>
  <si>
    <t>Market-Cap Weighted Returns</t>
  </si>
  <si>
    <t>Performance</t>
  </si>
  <si>
    <t>Level I — Portfolio Mgmt</t>
  </si>
  <si>
    <t>SUMIF/SUMPRODUCT for weighted aggregation</t>
  </si>
  <si>
    <t>Dashboard F7:I22</t>
  </si>
  <si>
    <t>CAPM Implementation</t>
  </si>
  <si>
    <t>Asset Pricing</t>
  </si>
  <si>
    <t>Level I — Corporate Finance</t>
  </si>
  <si>
    <t>Rf + β(Rm−Rf) with live beta from linked data types</t>
  </si>
  <si>
    <t>Jensen's Alpha (α)</t>
  </si>
  <si>
    <t>Performance Attr</t>
  </si>
  <si>
    <t>Level II — Equity Valuation</t>
  </si>
  <si>
    <t>α = Rp − [Rf + β(Rm−Rf)], portfolio-level excess return</t>
  </si>
  <si>
    <t>Risk Analytics C11</t>
  </si>
  <si>
    <t>Sharpe Ratio</t>
  </si>
  <si>
    <t>Risk-Adjusted Perf</t>
  </si>
  <si>
    <t>(Rp−Rf)/σp — excess return per unit total risk</t>
  </si>
  <si>
    <t>Risk Analytics C18</t>
  </si>
  <si>
    <t>Level II — Portfolio Mgmt</t>
  </si>
  <si>
    <t>(Rp−Rf)/Downside σ — penalises harmful volatility only</t>
  </si>
  <si>
    <t>Risk Analytics C19</t>
  </si>
  <si>
    <t>Treynor Ratio</t>
  </si>
  <si>
    <t>(Rp−Rf)/β — excess return per unit systematic risk</t>
  </si>
  <si>
    <t>Risk Analytics C15</t>
  </si>
  <si>
    <t>Information Ratio</t>
  </si>
  <si>
    <t>Active Mgmt</t>
  </si>
  <si>
    <t>Level III — Performance Eval</t>
  </si>
  <si>
    <t>α / Tracking Error — active return per unit active risk</t>
  </si>
  <si>
    <t>Risk Analytics C16</t>
  </si>
  <si>
    <t>Hedge Fund Metrics</t>
  </si>
  <si>
    <t>Level III — Alternatives</t>
  </si>
  <si>
    <t>CAGR / |Max Drawdown| — return per unit worst-case loss</t>
  </si>
  <si>
    <t>Risk Analytics C20</t>
  </si>
  <si>
    <t>Modigliani-Modigliani (M²)</t>
  </si>
  <si>
    <t>Sharpe × σm + Rf − Rm, risk-adjusted outperformance</t>
  </si>
  <si>
    <t>Risk Analytics C68</t>
  </si>
  <si>
    <t>Parametric VaR (95%, 99%)</t>
  </si>
  <si>
    <t>Level II — Risk Mgmt</t>
  </si>
  <si>
    <t>μ − zα × σ, normal distribution assumption</t>
  </si>
  <si>
    <t>Risk Analytics C26:C27</t>
  </si>
  <si>
    <t>Cornish-Fisher VaR (Adjusted)</t>
  </si>
  <si>
    <t>Level III — Risk Mgmt (Jorion)</t>
  </si>
  <si>
    <t>Skew/kurtosis-adjusted quantile: z_cf expansion</t>
  </si>
  <si>
    <t>Risk Analytics C75:C76</t>
  </si>
  <si>
    <t>Expected Shortfall (CVaR)</t>
  </si>
  <si>
    <t>Level III — Risk Mgmt (Basel III)</t>
  </si>
  <si>
    <t>E[Loss | Loss &gt; VaR], coherent tail-risk measure</t>
  </si>
  <si>
    <t>Risk Analytics C28, C82</t>
  </si>
  <si>
    <t>Historical VaR (Non-Parametric)</t>
  </si>
  <si>
    <t>PERCENTILE-based, no distributional assumption</t>
  </si>
  <si>
    <t>Risk Analytics C80:C81</t>
  </si>
  <si>
    <t>Drawdown Analysis</t>
  </si>
  <si>
    <t>Max DD, Avg DD, Ulcer Index — peak-to-trough metrics</t>
  </si>
  <si>
    <t>Risk Analytics C86:C89</t>
  </si>
  <si>
    <t>Stress Testing (Scenario Analysis)</t>
  </si>
  <si>
    <t>Level III — Risk Mgmt</t>
  </si>
  <si>
    <t>VIX spike, tech crash, rate shock — beta-weighted impacts</t>
  </si>
  <si>
    <t>Risk Analytics D93:D95</t>
  </si>
  <si>
    <t>Beta-Weighted Risk Decomposition</t>
  </si>
  <si>
    <t>Risk Attribution</t>
  </si>
  <si>
    <t>Level II — Equity</t>
  </si>
  <si>
    <t>Individual stock β, risk contribution, style classification</t>
  </si>
  <si>
    <t>Risk Analytics B39:J54</t>
  </si>
  <si>
    <t>Fama-French Style Factor Exposure</t>
  </si>
  <si>
    <t>Factor Investing</t>
  </si>
  <si>
    <t>Growth/Value/Blend tilt, size factor, momentum proxy</t>
  </si>
  <si>
    <t>Risk Analytics C59:E62</t>
  </si>
  <si>
    <t>Capital Market Line Analysis</t>
  </si>
  <si>
    <t>Modern Portfolio Theory</t>
  </si>
  <si>
    <t>CML position, spread vs efficient frontier, M²</t>
  </si>
  <si>
    <t>Risk Analytics C66:C68</t>
  </si>
  <si>
    <t>Black-Litterman Optimization</t>
  </si>
  <si>
    <t>Portfolio Optimization</t>
  </si>
  <si>
    <t>Bayesian prior (equilibrium) + investor views → posterior weights</t>
  </si>
  <si>
    <t>Optimization</t>
  </si>
  <si>
    <t>Volatility-Scaled Rebalancing</t>
  </si>
  <si>
    <t>Trading Strategy</t>
  </si>
  <si>
    <t>Dynamic bands: ±0.5×βi×σm vs static thresholds</t>
  </si>
  <si>
    <t>Dashboard L30:N45</t>
  </si>
  <si>
    <t>HHI Concentration Index</t>
  </si>
  <si>
    <t>Herfindahl-Hirschman: Σ(wi²), sector-level and stock-level</t>
  </si>
  <si>
    <t>Dashboard J3, RA C61</t>
  </si>
  <si>
    <t>Active Share Proxy</t>
  </si>
  <si>
    <t>½×Σ|wi − wbench|, benchmark deviation measure</t>
  </si>
  <si>
    <t>Risk Analytics C62</t>
  </si>
  <si>
    <t>Conditional Formatting Risk Heatmap</t>
  </si>
  <si>
    <t>Data Visualization</t>
  </si>
  <si>
    <t>Quant Skills</t>
  </si>
  <si>
    <t>Data bars: Beta (red), Alpha (green), CAGR (blue), Weight (yellow)</t>
  </si>
  <si>
    <t>Multi-Factor Signal Generation</t>
  </si>
  <si>
    <t>Quant Strategy</t>
  </si>
  <si>
    <t>AND/OR logic: CAGR, Return, Price/Cost, Risk → STRONG/HOLD/REVIEW</t>
  </si>
  <si>
    <t>Dashboard S7:S22</t>
  </si>
  <si>
    <t>Dynamic Array Sparklines (STOCKHISTORY)</t>
  </si>
  <si>
    <t>Level I — Equity</t>
  </si>
  <si>
    <t>TRANSPOSE(STOCKHISTORY()) for 12-month intraday price charts</t>
  </si>
  <si>
    <t>Spartkine</t>
  </si>
  <si>
    <t>Cross-Sheet Validation Framework</t>
  </si>
  <si>
    <t>Model Integrity</t>
  </si>
  <si>
    <t>CFA Ethics — Diligence</t>
  </si>
  <si>
    <t>23 automated consistency checks, tolerance-based assertions</t>
  </si>
  <si>
    <t>PROFICIENCY SUMMARY</t>
  </si>
  <si>
    <t>Count</t>
  </si>
  <si>
    <t>CFA Level</t>
  </si>
  <si>
    <t>Depth</t>
  </si>
  <si>
    <t>Level II–III</t>
  </si>
  <si>
    <t>Advanced</t>
  </si>
  <si>
    <t>Risk-Adjusted Performance</t>
  </si>
  <si>
    <t>Level I–III</t>
  </si>
  <si>
    <t>Comprehensive</t>
  </si>
  <si>
    <t>Portfolio Management</t>
  </si>
  <si>
    <t>Active Management</t>
  </si>
  <si>
    <t>Level III</t>
  </si>
  <si>
    <t>Institutional</t>
  </si>
  <si>
    <t>Level I</t>
  </si>
  <si>
    <t>Applied</t>
  </si>
  <si>
    <t>Asset Pricing &amp; Attribution</t>
  </si>
  <si>
    <t>Level I–II</t>
  </si>
  <si>
    <t>Core</t>
  </si>
  <si>
    <t>Factor Investing &amp; Optimization</t>
  </si>
  <si>
    <t>Graduate</t>
  </si>
  <si>
    <t>Model Integrity &amp; Validation</t>
  </si>
  <si>
    <t>Level I–Ethics</t>
  </si>
  <si>
    <t>Professional</t>
  </si>
  <si>
    <t>VBA MACRO CODE (Copy to VBA Editor: Alt+F11 → Insert Module)</t>
  </si>
  <si>
    <t>Sub RefreshAllData()
    Application.CalculateFull
    Dim ws As Worksheet
    For Each ws In ThisWorkbook.Worksheets
        ws.UsedRange.Calculate
    Next ws
    MsgBox "All data refreshed.", vbInformation
End Sub</t>
  </si>
  <si>
    <t>Sub ExportDashboardPDF()
    Dim ws As Worksheet: Set ws = Sheets("Dashboard")
    Dim fPath As String
    fPath = Application.GetSaveAsFilename("Portfolio_Dashboard", "PDF Files (*.pdf),*.pdf")
    If fPath &lt;&gt; "False" Then
        ws.ExportAsFixedFormat xlTypePDF, fPath, xlQualityStandard
        MsgBox "Dashboard exported to: " &amp; fPath, vbInformation
    End If
End Sub</t>
  </si>
  <si>
    <t>📊 STOCK PORTFOLIO TRACKER &amp; QUANTITATIVE ANALYTICS ENGINE</t>
  </si>
  <si>
    <t>16 stocks across 10 GICS industries, tracked over 7 years (2019–2025) with 112 Buy/Sell transactions. Live market data via Excel Linked Data Types, automated P&amp;L, risk decomposition, stress testing, and Bayesian portfolio optimization.</t>
  </si>
  <si>
    <t>Long-only equity portfolio with systematic $10K annual allocation. 35% Technology, 20% Financials, 45% diversified sectors. Volatility-scaled rebalancing bands replace static thresholds. Tax-aware lot matching per IRS §1222.</t>
  </si>
  <si>
    <t>Excel Linked Data Types (Stocks) for live prices, beta, industry, P/E. STOCKHISTORY for 12-month sparklines. CFA curriculum-aligned risk-free rate (US 10Y Treasury 4.25%), equity risk premium (5.75%), and market volatility (σm ≈ 15.5%).</t>
  </si>
  <si>
    <t>Primary portfolio dashboard with dual-row KPI strip (Portfolio Value, CAGR, Sharpe, Sortino, Alpha, M², Treynor, Calmar, CF VaR), live prices via Linked Data Types, 16-stock analytics table, sector allocation, volatility-scaled rebalancing with tax flags, 3 embedded charts, and auto-refreshing narrative insight summary.</t>
  </si>
  <si>
    <t>Deeper per-stock analytics: individual CAGR, return attribution, cost basis breakdown, risk scores, and annualized return metrics. Mirrors Dashboard data with extended detail.</t>
  </si>
  <si>
    <t>Transaction ledger: 112 records, 16 stocks, 7 years. Includes Holding Period (MAXIFS lot matching) and Tax Status (LT/ST classification per IRS §1222). Data validation on Price (≥0), Units (≥0), and Transaction Type (Buy/Sell dropdown).</t>
  </si>
  <si>
    <t>Comprehensive risk analytics: CAPM (Rf, Rm, ERP, βp), 6 performance ratios (Sharpe, Sortino, Treynor, IR, Calmar, M²), Parametric VaR (95%/99%), Cornish-Fisher VaR (skew/kurtosis-adjusted), Historical VaR, Expected Shortfall (CVaR), Drawdown Analysis (Max DD, Ulcer Index), Stress Testing (VIX, Tech, Rates), 16-stock risk decomposition with data-bar heatmaps, Fama-French style factors, and Capital Market Line positioning.</t>
  </si>
  <si>
    <t>Black-Litterman portfolio optimization: Bayesian framework combining market equilibrium priors (δ=2.5, τ=0.05) with investor views. 16-stock implied equilibrium returns, BL optimal weights, 5-slot view input panel (confidence-weighted), and dollar-denominated trade list with BUY/SELL/HOLD actions.</t>
  </si>
  <si>
    <t>Skills Matrix</t>
  </si>
  <si>
    <t>Recruiter-ready competency matrix: 30 quantitative finance skills mapped to CFA Level I–III curriculum, with implementation details and sheet references. 8-category proficiency summary. VBA macro code for data refresh and PDF export.</t>
  </si>
  <si>
    <t>Automated CFA-grade integrity tests: weight summation, P&amp;L identity, HHI consistency, CAPM internal consistency, cross-sheet beta/Sharpe/Treynor reconciliation. 23 tests with real-time pass/fail status.</t>
  </si>
  <si>
    <t>CAPM</t>
  </si>
  <si>
    <t>E(Ri) = Rf + βi(Rm − Rf). Capital Asset Pricing Model for expected returns. Jensen’s Alpha = Rp − E(Rp). Live betas from Linked Data Types.</t>
  </si>
  <si>
    <t>Cornish-Fisher VaR</t>
  </si>
  <si>
    <t>VaR adjusted for skewness (S) and kurtosis (K): z_cf = z + (z²−1)S/6 + (z³−3z)K/24 − (2z³−5z)S²/36. Per Jorion (2007), Maillard (2012).</t>
  </si>
  <si>
    <t>Expected Shortfall</t>
  </si>
  <si>
    <t>CVaR = E[Loss | Loss &gt; VaR]. Coherent tail-risk measure (subadditive). Parametric and historical approaches. Basel III FRTB required. Per Acerbi &amp; Tasche (2002).</t>
  </si>
  <si>
    <t>Black-Litterman</t>
  </si>
  <si>
    <t>Bayesian posterior weights: w_BL = w_eq + τΣP’(PτΣP’+Ω)⁻¹(Q−Pπ). Blends market equilibrium priors with investor views. Per Black &amp; Litterman (1992), He &amp; Litterman (1999).</t>
  </si>
  <si>
    <t>Stress Testing</t>
  </si>
  <si>
    <t>Scenario analysis: VIX +100% spike (β-weighted equity drawdown), Tech sector −20% crash (SUMIF by GICS sector), +150bps yield curve shift (style-differentiated impact).</t>
  </si>
  <si>
    <t>Vol-Scaled Rebalancing</t>
  </si>
  <si>
    <t>Dynamic bands: Target Wt ± (0.5 × βi × σm). High-volatility stocks get wider thresholds, preventing unnecessary turnover. Per Kritzman &amp; Page (2009), Journal of Portfolio Management.</t>
  </si>
  <si>
    <t>Tax-Aware Lot Matching</t>
  </si>
  <si>
    <t>MAXIFS-based holding period calculation with IRS §1222 ST/LT classification. Flags rebalancing actions that trigger short-term capital gains (ordinary income tax rates up to 37%).</t>
  </si>
  <si>
    <t>Fama-French Factors</t>
  </si>
  <si>
    <t>Growth/Value/Blend style classification by total return thresholds. Size factor via weighted-average beta. HHI at sector level for concentration. Active Share proxy (0.5 × Σ|wi − wbench|).</t>
  </si>
  <si>
    <t>Max Drawdown, Average Drawdown, Calmar Ratio (CAGR/|MaxDD|), Ulcer Index (RMS of negative returns). Per Martin (1987), Magdon-Ismail et al. (2004).</t>
  </si>
  <si>
    <t>Data Bar Heatmaps</t>
  </si>
  <si>
    <t>Conditional formatting data bars on risk decomposition table: Beta (red scale), Alpha (green/red), CAGR (blue), Weight (yellow for concentration). Visual risk identification.</t>
  </si>
  <si>
    <t>Portfolio construction, P&amp;L tracking, CAGR analysis, 6 risk-adjusted performance metrics (Sharpe, Sortino, Treynor, IR, Calmar, M²), CAPM implementation, Jensen’s Alpha, Black-Litterman optimization</t>
  </si>
  <si>
    <t>Dynamic arrays (SORT, UNIQUE, FILTER), Linked Data Types with dot notation, structured table references, cross-sheet data pipelines, STOCKHISTORY integration, INDEX/MATCH entity resolution</t>
  </si>
  <si>
    <t>CAPM, Parametric VaR (95%/99%), Cornish-Fisher adjusted VaR, Historical VaR, CVaR/Expected Shortfall, drawdown analysis, Ulcer Index, stress testing (3 scenarios), factor decomposition, CML analysis</t>
  </si>
  <si>
    <t>Dual-row KPI strip with 14 metrics, conditional formatting data bars, doughnut/bar/scatter charts, emoji-coded signals, auto-refreshing narrative summary, professional #2D4A7A/#1E3A5F color system</t>
  </si>
  <si>
    <t>Doughnut (sector allocation), clustered bar (returns), XY scatter (risk-return), data-bar heatmaps (beta, alpha, CAGR, weight), sparklines (12-month price history)</t>
  </si>
  <si>
    <t>GICS sector classification, IRS §1222 (ST/LT capital gains), CFA Level I–III curriculum alignment, stock market mechanics, Buy/Sell transaction modelling, tax-efficient rebalancing</t>
  </si>
  <si>
    <t>Black-Litterman Bayesian framework, equilibrium implied returns, confidence-weighted investor views, BL posterior weights, dollar-denominated trade generation</t>
  </si>
  <si>
    <t>Tax &amp; Compliance</t>
  </si>
  <si>
    <t>MAXIFS lot matching for holding period calculation, IRS short-term/long-term classification, tax-flag integration in rebalancing signals, data validation controls</t>
  </si>
  <si>
    <t>23 automated validation tests (all passing), cross-sheet consistency checks (CAGR, beta, Sharpe, Treynor, CAPM), tolerance-based assertions, real-time audit trail</t>
  </si>
  <si>
    <t>Quantitative Methods</t>
  </si>
  <si>
    <t>Cornish-Fisher expansion (skewness/kurtosis adjustment), Fama-French factor classification, Active Share, HHI concentration, volatility-scaled thresholds, Capital Market Line positioning</t>
  </si>
  <si>
    <t>6. Analyse Risk</t>
  </si>
  <si>
    <t>Risk Analytics contains CAPM, VaR (3 methods), stress tests, and 16-stock decomposition. Review the Cornish-Fisher VaR for fat-tail risk and stress scenarios for tail events.</t>
  </si>
  <si>
    <t>7. Run Optimization</t>
  </si>
  <si>
    <t>The Optimization sheet runs a Black-Litterman model. Add your views (e.g. 'NVDA will return 25%' with 70% confidence) in the Views table, then review the Trade List for suggested portfolio adjustments.</t>
  </si>
  <si>
    <t>8. Review Validation</t>
  </si>
  <si>
    <t>The Validation sheet runs 23 automated tests covering data integrity, risk metric reasonableness, and cross-sheet consistency. All should show ✅ PASS. Any ❌ FAIL indicates a data issue to investigate.</t>
  </si>
  <si>
    <t>📝 VERSION HISTORY</t>
  </si>
  <si>
    <t>Version</t>
  </si>
  <si>
    <t>Changes</t>
  </si>
  <si>
    <t>v1.0 — Initial Release</t>
  </si>
  <si>
    <t>Dashboard with KPI strip, Analytics, Ledger (112 transactions), Watchlist, Risk Analytics (CAPM, basic VaR), Sparklines, Stock Sheets, WL Dashboard, Validation (16 tests). Known issue: #VALUE! cascade from SORT(UNIQUE(Ledger[Stock])) on Linked Data Types.</t>
  </si>
  <si>
    <t>v2.0 — Quant Upgrade</t>
  </si>
  <si>
    <t>CRITICAL FIX: Resolved #VALUE! cascade — rewrote B7 to SORT(UNIQUE(Ledger[Ticker])) with INDEX/MATCH entity resolution for all dot-notation properties. All 16 stocks now display correctly.</t>
  </si>
  <si>
    <t>NEW: Ledger enhanced with Holding Period (MAXIFS lot matching) and Tax Status (IRS §1222 LT/ST classification) columns. Data validation on Price (≥0), Units (≥0), Transaction Type (dropdown).</t>
  </si>
  <si>
    <t>NEW: Risk Analytics expanded — Cornish-Fisher VaR (skew/kurtosis-adjusted), Historical VaR, CVaR/Expected Shortfall, Drawdown Analysis (Max DD, Ulcer Index), 3 Stress Test scenarios (VIX, Tech, Rates), data-bar heatmaps on risk decomposition.</t>
  </si>
  <si>
    <t>NEW: Optimization sheet — Black-Litterman portfolio optimization with equilibrium implied returns, 5-slot investor view panel, BL posterior weights, dollar-denominated trade list.</t>
  </si>
  <si>
    <t>NEW: Dashboard recruiter KPI strip (row 4) with Sortino, IR, Active Share, Alpha, M², Treynor, Calmar, CF VaR. Vol-scaled rebalancing bands (±0.5×βi×σm) with tax flags replacing static 3%/10% thresholds.</t>
  </si>
  <si>
    <t>NEW: 3 Dashboard charts (Sector Allocation doughnut, Returns bar, Risk-Return scatter). Auto-refreshing narrative insight formula. Skills Matrix sheet (30 CFA-mapped competencies).</t>
  </si>
  <si>
    <t>FIXED: Validation expanded from 16 to 23 tests (added cross-sheet CAPM consistency, beta/Sharpe/Treynor reconciliation, risk decomposition weight sum). All 23 passing.</t>
  </si>
  <si>
    <t>📚 ACADEMIC REFERENCES &amp; CFA ALIGNMENT</t>
  </si>
  <si>
    <t>Topic</t>
  </si>
  <si>
    <t>Source</t>
  </si>
  <si>
    <t>Sharpe, W.F. (1964). “Capital Asset Prices.” Journal of Finance. — CFA Level I: Corporate Finance, Portfolio Management</t>
  </si>
  <si>
    <t>Black-Litterman Model</t>
  </si>
  <si>
    <t>Black, F. &amp; Litterman, R. (1992). “Global Portfolio Optimization.” Financial Analysts Journal. He, G. &amp; Litterman, R. (1999). “The Intuition Behind BL.” Goldman Sachs. — CFA Level III</t>
  </si>
  <si>
    <t>Jorion, P. (2007). “Value at Risk.” 3rd ed., McGraw-Hill. Maillard, D. (2012). “A User’s Guide to the CF Expansion.” — CFA Level III: Risk Management</t>
  </si>
  <si>
    <t>Acerbi, C. &amp; Tasche, D. (2002). “On the Coherence of ES.” Journal of Banking &amp; Finance. Basel III FRTB (2019). — CFA Level III: Risk Management</t>
  </si>
  <si>
    <t>Sortino &amp; Downside Risk</t>
  </si>
  <si>
    <t>Sortino, F. &amp; Price, L. (1994). “Performance Measurement in a Downside Risk Framework.” Journal of Investing. — CFA Level II: Portfolio Management</t>
  </si>
  <si>
    <t>Kritzman, M. &amp; Page, S. (2009). “Optimal Rebalancing.” Journal of Portfolio Management. — CFA Level III: Portfolio Management</t>
  </si>
  <si>
    <t>Fama, E. &amp; French, K. (1993). “Common Risk Factors in Returns on Stocks and Bonds.” Journal of Financial Economics. — CFA Level II: Equity</t>
  </si>
  <si>
    <t>Drawdown &amp; Ulcer Index</t>
  </si>
  <si>
    <t>Martin, P. (1987). “The Investor’s Guide to Fidelity Funds.” Magdon-Ismail, M. et al. (2004). “On the Maximum Drawdown.” — CFA Level III: Alternatives</t>
  </si>
  <si>
    <t>Modigliani-Modigliani</t>
  </si>
  <si>
    <t>Modigliani, F. &amp; Modigliani, L. (1997). “Risk-Adjusted Performance.” Journal of Portfolio Management. — CFA Level II: Portfolio Management</t>
  </si>
  <si>
    <t>An institutional-grade Excel-based portfolio analytics platform featuring CAPM, Black-Litterman optimization, Cornish-Fisher VaR, and multi-factor risk decomposition</t>
  </si>
  <si>
    <t>Build a production-quality stock portfolio analytics system demonstrating mastery of quantitative finance, risk management, and portfolio optimization - spanning CFA Level I–III curriculum concepts including CAPM, Black-Litterman, Cornish-Fisher VaR, multi-factor attribution, and tax-aware rebalancing.</t>
  </si>
  <si>
    <t>Built with Microsoft Excel 365 | Dynamic Arrays | Linked Data Types | CAPM | Black-Litterman | Cornish-Fisher VaR | 23 Validation Tests | 30 Quantitative Skills</t>
  </si>
  <si>
    <t>Automated integrity checks · Audit framework · Real-time validation</t>
  </si>
  <si>
    <t>Company</t>
  </si>
  <si>
    <t>WORST STOCK RETURN</t>
  </si>
  <si>
    <t>In Portfolio?</t>
  </si>
  <si>
    <t>Worst stock return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</si>
</sst>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_([$$-409]* #,##0.00_);_([$$-409]* \(#,##0.00\);_([$$-409]* &quot;-&quot;??_);_(@_)"/>
    <numFmt numFmtId="165" formatCode="[$$-409]#,##0.00"/>
    <numFmt numFmtId="166" formatCode="[$$-409]#,##0.00_ ;[Red]\-[$$-409]#,##0.00\ "/>
    <numFmt numFmtId="167" formatCode="0.00%;[Red]\-0.00%"/>
    <numFmt numFmtId="168" formatCode="0.0%"/>
    <numFmt numFmtId="169" formatCode="[$$-409]#,##0"/>
    <numFmt numFmtId="170" formatCode="0.0\x"/>
    <numFmt numFmtId="171" formatCode="0.0"/>
    <numFmt numFmtId="172" formatCode="0.0&quot;x&quot;"/>
    <numFmt numFmtId="173" formatCode="mm/dd/yyyy"/>
    <numFmt numFmtId="174" formatCode="0.000"/>
    <numFmt numFmtId="175" formatCode="0.00&quot;x&quot;"/>
    <numFmt numFmtId="176" formatCode="\+0.0%;\-0.0%;&quot;-&quot;"/>
    <numFmt numFmtId="177" formatCode="[$$ -409]#,##0"/>
    <numFmt numFmtId="178" formatCode="[$$ -409]#,##0;\([$$ -409]#,##0\);&quot;-&quot;"/>
    <numFmt numFmtId="179" formatCode="[$$ -409]#,##0.00;\([$$ -409]#,##0.00\);&quot;-&quot;"/>
    <numFmt numFmtId="180" formatCode="[$$ -409]#,##0.00"/>
    <numFmt numFmtId="181" formatCode="[$$ -409]#,##0.0,,,&quot;T&quot;"/>
    <numFmt numFmtId="182" formatCode="[$$ -409]#,##0,,&quot;B&quot;"/>
    <numFmt numFmtId="183" formatCode="[$$ -409]#,##0,,,&quot;T&quot;"/>
    <numFmt numFmtId="184" formatCode="\+0.00%;\-0.00%;&quot;-&quot;"/>
    <numFmt numFmtId="185" formatCode="0.00%;\-0.00%"/>
    <numFmt numFmtId="186" formatCode="\+0.0%;\-0.0%"/>
    <numFmt numFmtId="187" formatCode="&quot;Ksh&quot;#,##0"/>
    <numFmt numFmtId="188" formatCode="&quot;Ksh&quot;#,##0;\(&quot;Ksh&quot;#,##0\)"/>
    <numFmt numFmtId="189" formatCode="\+0.00%;\-0.00%"/>
  </numFmts>
  <fonts count="101" x14ac:knownFonts="1">
    <font>
      <sz val="11"/>
      <color theme="1"/>
      <name val="Aptos Narrow"/>
      <family val="2"/>
      <scheme val="minor"/>
    </font>
    <font>
      <b/>
      <sz val="11"/>
      <color theme="1"/>
      <name val="Aptos Narrow"/>
      <family val="2"/>
      <scheme val="minor"/>
    </font>
    <font>
      <sz val="8"/>
      <name val="Aptos Narrow"/>
      <family val="2"/>
      <scheme val="minor"/>
    </font>
    <font>
      <b/>
      <sz val="10"/>
      <color rgb="FFFFFFFF"/>
      <name val="Aptos Narrow"/>
      <family val="2"/>
      <scheme val="minor"/>
    </font>
    <font>
      <b/>
      <sz val="14"/>
      <color rgb="FFFFFFFF"/>
      <name val="Aptos Narrow"/>
      <family val="2"/>
      <scheme val="minor"/>
    </font>
    <font>
      <b/>
      <sz val="11"/>
      <color rgb="FF1B2A4A"/>
      <name val="Aptos Narrow"/>
      <family val="2"/>
      <scheme val="minor"/>
    </font>
    <font>
      <b/>
      <sz val="11"/>
      <color rgb="FF0D7377"/>
      <name val="Aptos Narrow"/>
      <family val="2"/>
      <scheme val="minor"/>
    </font>
    <font>
      <sz val="11"/>
      <color rgb="FFFFFFFF"/>
      <name val="Aptos Narrow"/>
      <family val="2"/>
      <scheme val="minor"/>
    </font>
    <font>
      <b/>
      <sz val="16"/>
      <color rgb="FFFFFFFF"/>
      <name val="Calibri"/>
    </font>
    <font>
      <b/>
      <sz val="20"/>
      <color rgb="FFFFFFFF"/>
      <name val="Calibri"/>
    </font>
    <font>
      <b/>
      <sz val="9"/>
      <color rgb="FF94A3B8"/>
      <name val="Calibri"/>
    </font>
    <font>
      <sz val="9"/>
      <color indexed="81"/>
      <name val="Tahoma"/>
      <family val="2"/>
    </font>
    <font>
      <b/>
      <sz val="9"/>
      <color indexed="81"/>
      <name val="Tahoma"/>
      <family val="2"/>
    </font>
    <font>
      <sz val="9"/>
      <color indexed="81"/>
      <name val="Tahoma"/>
      <charset val="1"/>
    </font>
    <font>
      <b/>
      <sz val="9"/>
      <color indexed="81"/>
      <name val="Tahoma"/>
      <charset val="1"/>
    </font>
    <font>
      <b/>
      <sz val="12"/>
      <color rgb="FF38BDF8"/>
      <name val="Calibri"/>
      <family val="2"/>
    </font>
    <font>
      <b/>
      <sz val="10"/>
      <color rgb="FFFFFFFF"/>
      <name val="Calibri"/>
    </font>
    <font>
      <b/>
      <sz val="14"/>
      <color rgb="FFFFFFFF"/>
      <name val="Calibri"/>
    </font>
    <font>
      <b/>
      <sz val="11"/>
      <color rgb="FFFFFFFF"/>
      <name val="Calibri"/>
    </font>
    <font>
      <b/>
      <sz val="18"/>
      <color rgb="FFEF4444"/>
      <name val="Calibri"/>
    </font>
    <font>
      <b/>
      <sz val="12"/>
      <color rgb="FFFFFFFF"/>
      <name val="Calibri"/>
    </font>
    <font>
      <b/>
      <sz val="12"/>
      <color rgb="FF38BDF8"/>
      <name val="Calibri"/>
    </font>
    <font>
      <b/>
      <sz val="11"/>
      <color rgb="FF4ADE80"/>
      <name val="Calibri"/>
    </font>
    <font>
      <b/>
      <sz val="9"/>
      <color rgb="FFFFFFFF"/>
      <name val="Calibri"/>
    </font>
    <font>
      <sz val="11"/>
      <color rgb="FFFFFFFF"/>
      <name val="Calibri"/>
    </font>
    <font>
      <b/>
      <sz val="11"/>
      <color rgb="FF1B2A4A"/>
      <name val="Calibri"/>
    </font>
    <font>
      <sz val="11"/>
      <color rgb="FF1E293B"/>
      <name val="Calibri"/>
    </font>
    <font>
      <b/>
      <sz val="11"/>
      <color rgb="FF1E293B"/>
      <name val="Calibri"/>
    </font>
    <font>
      <sz val="10"/>
      <color rgb="FF1E293B"/>
      <name val="Calibri"/>
    </font>
    <font>
      <b/>
      <sz val="13"/>
      <color rgb="FF1E293B"/>
      <name val="Calibri"/>
    </font>
    <font>
      <i/>
      <sz val="11"/>
      <color rgb="FF1E293B"/>
      <name val="Calibri"/>
    </font>
    <font>
      <i/>
      <sz val="10"/>
      <color rgb="FF94A3B8"/>
      <name val="Calibri"/>
    </font>
    <font>
      <i/>
      <sz val="11"/>
      <color rgb="FF64748B"/>
      <name val="Calibri"/>
    </font>
    <font>
      <i/>
      <sz val="10"/>
      <color rgb="FF64748B"/>
      <name val="Calibri"/>
    </font>
    <font>
      <sz val="11"/>
      <color rgb="FF94A3B8"/>
      <name val="Calibri"/>
    </font>
    <font>
      <sz val="10"/>
      <color rgb="FF64748B"/>
      <name val="Aptos Narrow"/>
      <family val="2"/>
      <scheme val="minor"/>
    </font>
    <font>
      <i/>
      <sz val="11"/>
      <color rgb="FF0F766E"/>
      <name val="Calibri"/>
    </font>
    <font>
      <b/>
      <sz val="11"/>
      <color rgb="FF0F766E"/>
      <name val="Calibri"/>
    </font>
    <font>
      <sz val="11"/>
      <color rgb="FF4ADE80"/>
      <name val="Calibri"/>
    </font>
    <font>
      <b/>
      <sz val="18"/>
      <color rgb="FFF59E0B"/>
      <name val="Calibri"/>
    </font>
    <font>
      <b/>
      <sz val="11"/>
      <color rgb="FF2D4A7A"/>
      <name val="Calibri"/>
    </font>
    <font>
      <b/>
      <sz val="12"/>
      <color rgb="FF2D4A7A"/>
      <name val="Calibri"/>
    </font>
    <font>
      <b/>
      <sz val="13"/>
      <color rgb="FF2D4A7A"/>
      <name val="Calibri"/>
    </font>
    <font>
      <b/>
      <sz val="11"/>
      <color rgb="FF2D4A7A"/>
      <name val="Aptos Narrow"/>
      <family val="2"/>
      <scheme val="minor"/>
    </font>
    <font>
      <b/>
      <sz val="14"/>
      <color rgb="FF2D4A7A"/>
      <name val="Calibri"/>
    </font>
    <font>
      <b/>
      <sz val="14"/>
      <color rgb="FF0F766E"/>
      <name val="Calibri"/>
    </font>
    <font>
      <sz val="11"/>
      <color theme="1"/>
      <name val="Calibri"/>
    </font>
    <font>
      <b/>
      <sz val="11"/>
      <color theme="1"/>
      <name val="Calibri"/>
    </font>
    <font>
      <sz val="10"/>
      <color rgb="FF64748B"/>
      <name val="Calibri"/>
    </font>
    <font>
      <b/>
      <sz val="14"/>
      <color theme="1"/>
      <name val="Calibri"/>
    </font>
    <font>
      <b/>
      <sz val="18"/>
      <color rgb="FF10B981"/>
      <name val="Calibri"/>
    </font>
    <font>
      <sz val="11"/>
      <color rgb="FFE2E8F0"/>
      <name val="Calibri"/>
    </font>
    <font>
      <sz val="10"/>
      <color rgb="FFE2E8F0"/>
      <name val="Calibri"/>
    </font>
    <font>
      <b/>
      <sz val="11"/>
      <color rgb="FF93C5FD"/>
      <name val="Calibri"/>
    </font>
    <font>
      <sz val="11"/>
      <color rgb="FFF87171"/>
      <name val="Calibri"/>
    </font>
    <font>
      <b/>
      <sz val="11"/>
      <color rgb="FFF87171"/>
      <name val="Calibri"/>
    </font>
    <font>
      <b/>
      <sz val="9"/>
      <color rgb="FFFFFFFF"/>
      <name val="Calibri"/>
      <family val="2"/>
    </font>
    <font>
      <b/>
      <sz val="9"/>
      <color rgb="FF94A3B8"/>
      <name val="Calibri"/>
      <family val="2"/>
    </font>
    <font>
      <b/>
      <sz val="16"/>
      <color rgb="FFFFFFFF"/>
      <name val="Calibri"/>
      <family val="2"/>
    </font>
    <font>
      <sz val="11"/>
      <color rgb="FFE2E8F0"/>
      <name val="Calibri"/>
      <family val="2"/>
    </font>
    <font>
      <sz val="10"/>
      <color rgb="FFE2E8F0"/>
      <name val="Calibri"/>
      <family val="2"/>
    </font>
    <font>
      <b/>
      <sz val="12"/>
      <color rgb="FF2D4A7A"/>
      <name val="Aptos Narrow"/>
      <family val="2"/>
      <scheme val="minor"/>
    </font>
    <font>
      <b/>
      <sz val="11"/>
      <color rgb="FFFFFFFF"/>
      <name val="Aptos Narrow"/>
      <family val="2"/>
      <scheme val="minor"/>
    </font>
    <font>
      <i/>
      <sz val="11"/>
      <color rgb="FF64748B"/>
      <name val="Aptos Narrow"/>
      <family val="2"/>
      <scheme val="minor"/>
    </font>
    <font>
      <sz val="11"/>
      <color rgb="FF0000FF"/>
      <name val="Aptos Narrow"/>
      <family val="2"/>
      <scheme val="minor"/>
    </font>
    <font>
      <b/>
      <sz val="16"/>
      <color rgb="FFFFFFFF"/>
      <name val="Aptos Narrow"/>
      <family val="2"/>
      <scheme val="minor"/>
    </font>
    <font>
      <i/>
      <sz val="10"/>
      <color rgb="FF64748B"/>
      <name val="Aptos Narrow"/>
      <family val="2"/>
      <scheme val="minor"/>
    </font>
    <font>
      <b/>
      <sz val="10"/>
      <color rgb="FF2D4A7A"/>
      <name val="Calibri"/>
    </font>
    <font>
      <sz val="10"/>
      <color theme="1"/>
      <name val="Calibri"/>
    </font>
    <font>
      <sz val="10"/>
      <color rgb="FF008000"/>
      <name val="Calibri"/>
    </font>
    <font>
      <sz val="9"/>
      <color rgb="FF1E293B"/>
      <name val="Consolas"/>
    </font>
    <font>
      <sz val="11"/>
      <color rgb="FF000000"/>
      <name val="Aptos Narrow"/>
      <scheme val="minor"/>
    </font>
    <font>
      <b/>
      <sz val="11"/>
      <color rgb="FF1B2A4A"/>
      <name val="Aptos Narrow"/>
      <scheme val="minor"/>
    </font>
    <font>
      <b/>
      <sz val="11"/>
      <color rgb="FF0D7377"/>
      <name val="Aptos Narrow"/>
      <scheme val="minor"/>
    </font>
    <font>
      <i/>
      <sz val="9"/>
      <color rgb="FF0D7377"/>
      <name val="Aptos Narrow"/>
      <scheme val="minor"/>
    </font>
    <font>
      <b/>
      <sz val="14"/>
      <color rgb="FF38BDF8"/>
      <name val="Calibri"/>
      <family val="2"/>
    </font>
    <font>
      <b/>
      <sz val="12"/>
      <color rgb="FF94A3B8"/>
      <name val="Calibri"/>
      <family val="2"/>
    </font>
    <font>
      <b/>
      <sz val="18"/>
      <color rgb="FFFFFFFF"/>
      <name val="Calibri"/>
      <family val="2"/>
    </font>
    <font>
      <b/>
      <sz val="18"/>
      <color rgb="FF4ADE80"/>
      <name val="Calibri"/>
      <family val="2"/>
    </font>
    <font>
      <b/>
      <sz val="18"/>
      <color rgb="FFF87171"/>
      <name val="Calibri"/>
      <family val="2"/>
    </font>
    <font>
      <b/>
      <sz val="18"/>
      <color rgb="FFFBBF24"/>
      <name val="Calibri"/>
      <family val="2"/>
    </font>
    <font>
      <b/>
      <sz val="12"/>
      <color rgb="FF4ADE80"/>
      <name val="Calibri"/>
      <family val="2"/>
    </font>
    <font>
      <b/>
      <sz val="12"/>
      <color rgb="FFFBBF24"/>
      <name val="Calibri"/>
      <family val="2"/>
    </font>
    <font>
      <b/>
      <sz val="12"/>
      <color rgb="FFFFFFFF"/>
      <name val="Calibri"/>
      <family val="2"/>
    </font>
    <font>
      <sz val="12"/>
      <color rgb="FFE2E8F0"/>
      <name val="Calibri"/>
      <family val="2"/>
    </font>
    <font>
      <b/>
      <sz val="12"/>
      <color rgb="FFF87171"/>
      <name val="Calibri"/>
      <family val="2"/>
    </font>
    <font>
      <sz val="14"/>
      <color rgb="FFE2E8F0"/>
      <name val="Calibri"/>
      <family val="2"/>
    </font>
    <font>
      <b/>
      <sz val="12"/>
      <color rgb="FF93C5FD"/>
      <name val="Calibri"/>
      <family val="2"/>
    </font>
    <font>
      <sz val="12"/>
      <color rgb="FF4ADE80"/>
      <name val="Calibri"/>
      <family val="2"/>
    </font>
    <font>
      <sz val="12"/>
      <color rgb="FFF87171"/>
      <name val="Calibri"/>
      <family val="2"/>
    </font>
    <font>
      <b/>
      <i/>
      <sz val="12"/>
      <color rgb="FF94A3B8"/>
      <name val="Calibri"/>
      <family val="2"/>
    </font>
    <font>
      <sz val="12"/>
      <color rgb="FFFBBF24"/>
      <name val="Calibri"/>
      <family val="2"/>
    </font>
    <font>
      <b/>
      <sz val="12"/>
      <color rgb="FFE2E8F0"/>
      <name val="Calibri"/>
      <family val="2"/>
    </font>
    <font>
      <b/>
      <i/>
      <sz val="12"/>
      <color rgb="FFE2E8F0"/>
      <name val="Calibri"/>
      <family val="2"/>
    </font>
    <font>
      <sz val="18"/>
      <color rgb="FFE2E8F0"/>
      <name val="Calibri"/>
      <family val="2"/>
    </font>
    <font>
      <b/>
      <sz val="14"/>
      <color rgb="FFE2E8F0"/>
      <name val="Calibri"/>
      <family val="2"/>
    </font>
    <font>
      <b/>
      <sz val="12"/>
      <color rgb="FFDC2626"/>
      <name val="Calibri"/>
      <family val="2"/>
    </font>
    <font>
      <b/>
      <sz val="11"/>
      <color rgb="FFE2E8F0"/>
      <name val="Calibri"/>
      <family val="2"/>
    </font>
    <font>
      <b/>
      <i/>
      <sz val="12"/>
      <color rgb="FFFFFFFF"/>
      <name val="Calibri"/>
      <family val="2"/>
    </font>
    <font>
      <b/>
      <i/>
      <sz val="16"/>
      <color rgb="FFFFFFFF"/>
      <name val="Calibri"/>
      <family val="2"/>
    </font>
    <font>
      <b/>
      <sz val="12"/>
      <color rgb="FF94A3B8"/>
      <name val="Calibri"/>
    </font>
  </fonts>
  <fills count="13">
    <fill>
      <patternFill patternType="none"/>
    </fill>
    <fill>
      <patternFill patternType="gray125"/>
    </fill>
    <fill>
      <patternFill patternType="solid">
        <fgColor rgb="FF1B2A4A"/>
        <bgColor indexed="64"/>
      </patternFill>
    </fill>
    <fill>
      <patternFill patternType="solid">
        <fgColor rgb="FFF7F9FC"/>
        <bgColor indexed="64"/>
      </patternFill>
    </fill>
    <fill>
      <patternFill patternType="solid">
        <fgColor rgb="FF0D7377"/>
        <bgColor indexed="64"/>
      </patternFill>
    </fill>
    <fill>
      <patternFill patternType="solid">
        <fgColor rgb="FFFFFFFF"/>
        <bgColor indexed="64"/>
      </patternFill>
    </fill>
    <fill>
      <patternFill patternType="solid">
        <fgColor rgb="FF1E3A5F"/>
        <bgColor indexed="64"/>
      </patternFill>
    </fill>
    <fill>
      <patternFill patternType="solid">
        <fgColor rgb="FFEEF2F7"/>
        <bgColor indexed="64"/>
      </patternFill>
    </fill>
    <fill>
      <patternFill patternType="solid">
        <fgColor rgb="FF2D4A7A"/>
        <bgColor indexed="64"/>
      </patternFill>
    </fill>
    <fill>
      <patternFill patternType="solid">
        <fgColor rgb="FFF0F4F8"/>
        <bgColor indexed="64"/>
      </patternFill>
    </fill>
    <fill>
      <patternFill patternType="solid">
        <fgColor rgb="FF1E3455"/>
        <bgColor indexed="64"/>
      </patternFill>
    </fill>
    <fill>
      <patternFill patternType="solid">
        <fgColor rgb="FF162744"/>
        <bgColor indexed="64"/>
      </patternFill>
    </fill>
    <fill>
      <patternFill patternType="solid">
        <fgColor theme="1"/>
        <bgColor indexed="64"/>
      </patternFill>
    </fill>
  </fills>
  <borders count="34">
    <border>
      <left/>
      <right/>
      <top/>
      <bottom/>
      <diagonal/>
    </border>
    <border>
      <left/>
      <right/>
      <top/>
      <bottom style="thick">
        <color rgb="FFBCD9DE"/>
      </bottom>
      <diagonal/>
    </border>
    <border>
      <left style="thin">
        <color rgb="FFD9D9D9"/>
      </left>
      <right/>
      <top style="thin">
        <color rgb="FFE2E8F0"/>
      </top>
      <bottom style="thin">
        <color rgb="FFE2E8F0"/>
      </bottom>
      <diagonal/>
    </border>
    <border>
      <left/>
      <right/>
      <top style="thin">
        <color rgb="FFE2E8F0"/>
      </top>
      <bottom style="thin">
        <color rgb="FFE2E8F0"/>
      </bottom>
      <diagonal/>
    </border>
    <border>
      <left style="thin">
        <color rgb="FFD9D9D9"/>
      </left>
      <right/>
      <top style="thin">
        <color rgb="FFE2E8F0"/>
      </top>
      <bottom/>
      <diagonal/>
    </border>
    <border>
      <left/>
      <right/>
      <top style="thin">
        <color rgb="FFE2E8F0"/>
      </top>
      <bottom/>
      <diagonal/>
    </border>
    <border>
      <left/>
      <right/>
      <top style="medium">
        <color rgb="FF417A85"/>
      </top>
      <bottom/>
      <diagonal/>
    </border>
    <border>
      <left style="medium">
        <color rgb="FF417A85"/>
      </left>
      <right/>
      <top style="medium">
        <color rgb="FF417A85"/>
      </top>
      <bottom/>
      <diagonal/>
    </border>
    <border>
      <left style="thin">
        <color rgb="FFD9D9D9"/>
      </left>
      <right/>
      <top/>
      <bottom/>
      <diagonal/>
    </border>
    <border>
      <left style="thin">
        <color rgb="FFD9D9D9"/>
      </left>
      <right style="thin">
        <color rgb="FFD9D9D9"/>
      </right>
      <top/>
      <bottom/>
      <diagonal/>
    </border>
    <border>
      <left/>
      <right/>
      <top/>
      <bottom style="medium">
        <color rgb="FF44B3E1"/>
      </bottom>
      <diagonal/>
    </border>
    <border>
      <left/>
      <right/>
      <top style="thin">
        <color rgb="FFDEE2E6"/>
      </top>
      <bottom style="thin">
        <color rgb="FFDEE2E6"/>
      </bottom>
      <diagonal/>
    </border>
    <border>
      <left/>
      <right/>
      <top style="thin">
        <color rgb="FFDEE2E6"/>
      </top>
      <bottom/>
      <diagonal/>
    </border>
    <border>
      <left/>
      <right style="thin">
        <color rgb="FFE9ECEF"/>
      </right>
      <top style="thin">
        <color rgb="FFDEE2E6"/>
      </top>
      <bottom style="thin">
        <color rgb="FFDEE2E6"/>
      </bottom>
      <diagonal/>
    </border>
    <border>
      <left style="thin">
        <color rgb="FFE9ECEF"/>
      </left>
      <right style="thin">
        <color rgb="FFE9ECEF"/>
      </right>
      <top style="thin">
        <color rgb="FFDEE2E6"/>
      </top>
      <bottom style="thin">
        <color rgb="FFDEE2E6"/>
      </bottom>
      <diagonal/>
    </border>
    <border>
      <left style="thin">
        <color rgb="FFE9ECEF"/>
      </left>
      <right/>
      <top style="thin">
        <color rgb="FFDEE2E6"/>
      </top>
      <bottom style="thin">
        <color rgb="FFDEE2E6"/>
      </bottom>
      <diagonal/>
    </border>
    <border>
      <left/>
      <right style="thin">
        <color rgb="FFE9ECEF"/>
      </right>
      <top style="thin">
        <color rgb="FFDEE2E6"/>
      </top>
      <bottom/>
      <diagonal/>
    </border>
    <border>
      <left style="thin">
        <color rgb="FFE9ECEF"/>
      </left>
      <right style="thin">
        <color rgb="FFE9ECEF"/>
      </right>
      <top style="thin">
        <color rgb="FFDEE2E6"/>
      </top>
      <bottom/>
      <diagonal/>
    </border>
    <border>
      <left style="thin">
        <color rgb="FFE9ECEF"/>
      </left>
      <right/>
      <top style="thin">
        <color rgb="FFDEE2E6"/>
      </top>
      <bottom/>
      <diagonal/>
    </border>
    <border>
      <left/>
      <right/>
      <top/>
      <bottom style="medium">
        <color rgb="FF38BDF8"/>
      </bottom>
      <diagonal/>
    </border>
    <border>
      <left/>
      <right/>
      <top style="medium">
        <color rgb="FF38BDF8"/>
      </top>
      <bottom style="thin">
        <color rgb="FFE2E8F0"/>
      </bottom>
      <diagonal/>
    </border>
    <border>
      <left/>
      <right/>
      <top style="medium">
        <color rgb="FF38BDF8"/>
      </top>
      <bottom/>
      <diagonal/>
    </border>
    <border>
      <left/>
      <right/>
      <top/>
      <bottom style="thin">
        <color rgb="FFDEE2E6"/>
      </bottom>
      <diagonal/>
    </border>
    <border>
      <left/>
      <right/>
      <top style="thin">
        <color rgb="FF0D7C66"/>
      </top>
      <bottom style="medium">
        <color rgb="FF38BDF8"/>
      </bottom>
      <diagonal/>
    </border>
    <border>
      <left/>
      <right style="thin">
        <color rgb="FFE9ECEF"/>
      </right>
      <top/>
      <bottom style="thin">
        <color rgb="FFDEE2E6"/>
      </bottom>
      <diagonal/>
    </border>
    <border>
      <left style="thin">
        <color rgb="FFE9ECEF"/>
      </left>
      <right style="thin">
        <color rgb="FFE9ECEF"/>
      </right>
      <top/>
      <bottom style="thin">
        <color rgb="FFDEE2E6"/>
      </bottom>
      <diagonal/>
    </border>
    <border>
      <left style="thin">
        <color rgb="FFE9ECEF"/>
      </left>
      <right/>
      <top/>
      <bottom style="thin">
        <color rgb="FFDEE2E6"/>
      </bottom>
      <diagonal/>
    </border>
    <border>
      <left/>
      <right style="thin">
        <color rgb="FFE9ECEF"/>
      </right>
      <top/>
      <bottom style="medium">
        <color rgb="FF38BDF8"/>
      </bottom>
      <diagonal/>
    </border>
    <border>
      <left style="thin">
        <color rgb="FFE9ECEF"/>
      </left>
      <right style="thin">
        <color rgb="FFE9ECEF"/>
      </right>
      <top/>
      <bottom style="medium">
        <color rgb="FF38BDF8"/>
      </bottom>
      <diagonal/>
    </border>
    <border>
      <left style="thin">
        <color rgb="FFE9ECEF"/>
      </left>
      <right/>
      <top/>
      <bottom style="medium">
        <color rgb="FF38BDF8"/>
      </bottom>
      <diagonal/>
    </border>
    <border>
      <left/>
      <right/>
      <top/>
      <bottom style="medium">
        <color rgb="FF417A85"/>
      </bottom>
      <diagonal/>
    </border>
    <border>
      <left/>
      <right/>
      <top style="thin">
        <color rgb="FF2D4A7A"/>
      </top>
      <bottom style="thin">
        <color rgb="FF2D4A7A"/>
      </bottom>
      <diagonal/>
    </border>
    <border>
      <left/>
      <right/>
      <top style="thin">
        <color rgb="FF2D4A7A"/>
      </top>
      <bottom/>
      <diagonal/>
    </border>
    <border>
      <left/>
      <right/>
      <top style="medium">
        <color rgb="FF417A85"/>
      </top>
      <bottom style="medium">
        <color rgb="FF417A85"/>
      </bottom>
      <diagonal/>
    </border>
  </borders>
  <cellStyleXfs count="1">
    <xf numFmtId="0" fontId="0" fillId="0" borderId="0"/>
  </cellStyleXfs>
  <cellXfs count="560">
    <xf numFmtId="0" fontId="0" fillId="0" borderId="0" xfId="0"/>
    <xf numFmtId="165" fontId="0" fillId="0" borderId="0" xfId="0" applyNumberFormat="1"/>
    <xf numFmtId="0" fontId="0" fillId="0" borderId="0" xfId="0" pivotButton="1"/>
    <xf numFmtId="0" fontId="4" fillId="4" borderId="0" xfId="0" applyFont="1" applyFill="1"/>
    <xf numFmtId="0" fontId="5" fillId="0" borderId="0" xfId="0" applyFont="1"/>
    <xf numFmtId="0" fontId="6" fillId="0" borderId="0" xfId="0" applyFont="1"/>
    <xf numFmtId="0" fontId="6" fillId="3" borderId="0" xfId="0" applyFont="1" applyFill="1"/>
    <xf numFmtId="0" fontId="5" fillId="3" borderId="0" xfId="0" applyFont="1" applyFill="1"/>
    <xf numFmtId="0" fontId="0" fillId="0" borderId="0" xfId="0" applyAlignment="1">
      <alignment wrapText="1"/>
    </xf>
    <xf numFmtId="0" fontId="0" fillId="4" borderId="0" xfId="0" applyFill="1" applyAlignment="1">
      <alignment wrapText="1"/>
    </xf>
    <xf numFmtId="0" fontId="0" fillId="3" borderId="0" xfId="0" applyFill="1" applyAlignment="1">
      <alignment wrapText="1"/>
    </xf>
    <xf numFmtId="49" fontId="0" fillId="0" borderId="0" xfId="0" applyNumberFormat="1"/>
    <xf numFmtId="0" fontId="0" fillId="5" borderId="0" xfId="0" applyFill="1"/>
    <xf numFmtId="0" fontId="23" fillId="6" borderId="0" xfId="0" applyFont="1" applyFill="1"/>
    <xf numFmtId="0" fontId="18" fillId="6" borderId="0" xfId="0" applyFont="1" applyFill="1"/>
    <xf numFmtId="174" fontId="18" fillId="6" borderId="0" xfId="0" applyNumberFormat="1" applyFont="1" applyFill="1" applyAlignment="1">
      <alignment horizontal="center"/>
    </xf>
    <xf numFmtId="0" fontId="28" fillId="5" borderId="0" xfId="0" applyFont="1" applyFill="1"/>
    <xf numFmtId="173" fontId="26" fillId="5" borderId="13" xfId="0" applyNumberFormat="1" applyFont="1" applyFill="1" applyBorder="1"/>
    <xf numFmtId="0" fontId="26" fillId="5" borderId="14" xfId="0" applyFont="1" applyFill="1" applyBorder="1"/>
    <xf numFmtId="4" fontId="26" fillId="5" borderId="14" xfId="0" applyNumberFormat="1" applyFont="1" applyFill="1" applyBorder="1"/>
    <xf numFmtId="49" fontId="26" fillId="5" borderId="15" xfId="0" applyNumberFormat="1" applyFont="1" applyFill="1" applyBorder="1"/>
    <xf numFmtId="173" fontId="26" fillId="5" borderId="16" xfId="0" applyNumberFormat="1" applyFont="1" applyFill="1" applyBorder="1"/>
    <xf numFmtId="0" fontId="26" fillId="5" borderId="17" xfId="0" applyFont="1" applyFill="1" applyBorder="1"/>
    <xf numFmtId="4" fontId="26" fillId="5" borderId="17" xfId="0" applyNumberFormat="1" applyFont="1" applyFill="1" applyBorder="1"/>
    <xf numFmtId="49" fontId="26" fillId="5" borderId="18" xfId="0" applyNumberFormat="1" applyFont="1" applyFill="1" applyBorder="1"/>
    <xf numFmtId="0" fontId="26" fillId="5" borderId="0" xfId="0" applyFont="1" applyFill="1"/>
    <xf numFmtId="168" fontId="26" fillId="5" borderId="0" xfId="0" applyNumberFormat="1" applyFont="1" applyFill="1" applyAlignment="1">
      <alignment horizontal="center"/>
    </xf>
    <xf numFmtId="174" fontId="26" fillId="5" borderId="0" xfId="0" applyNumberFormat="1" applyFont="1" applyFill="1" applyAlignment="1">
      <alignment horizontal="center"/>
    </xf>
    <xf numFmtId="169" fontId="26" fillId="5" borderId="0" xfId="0" applyNumberFormat="1" applyFont="1" applyFill="1" applyAlignment="1">
      <alignment horizontal="center"/>
    </xf>
    <xf numFmtId="168" fontId="26" fillId="5" borderId="5" xfId="0" applyNumberFormat="1" applyFont="1" applyFill="1" applyBorder="1" applyAlignment="1">
      <alignment horizontal="center"/>
    </xf>
    <xf numFmtId="174" fontId="26" fillId="5" borderId="5" xfId="0" applyNumberFormat="1" applyFont="1" applyFill="1" applyBorder="1" applyAlignment="1">
      <alignment horizontal="center"/>
    </xf>
    <xf numFmtId="0" fontId="26" fillId="5" borderId="0" xfId="0" applyFont="1" applyFill="1" applyAlignment="1">
      <alignment horizontal="center"/>
    </xf>
    <xf numFmtId="168" fontId="26" fillId="5" borderId="3" xfId="0" applyNumberFormat="1" applyFont="1" applyFill="1" applyBorder="1" applyAlignment="1">
      <alignment horizontal="center"/>
    </xf>
    <xf numFmtId="174" fontId="26" fillId="5" borderId="3" xfId="0" applyNumberFormat="1" applyFont="1" applyFill="1" applyBorder="1" applyAlignment="1">
      <alignment horizontal="center"/>
    </xf>
    <xf numFmtId="0" fontId="30" fillId="5" borderId="0" xfId="0" applyFont="1" applyFill="1"/>
    <xf numFmtId="170" fontId="26" fillId="5" borderId="0" xfId="0" applyNumberFormat="1" applyFont="1" applyFill="1" applyAlignment="1">
      <alignment horizontal="center"/>
    </xf>
    <xf numFmtId="171" fontId="26" fillId="5" borderId="0" xfId="0" applyNumberFormat="1" applyFont="1" applyFill="1" applyAlignment="1">
      <alignment horizontal="center"/>
    </xf>
    <xf numFmtId="0" fontId="26" fillId="5" borderId="5" xfId="0" applyFont="1" applyFill="1" applyBorder="1"/>
    <xf numFmtId="1" fontId="26" fillId="5" borderId="0" xfId="0" applyNumberFormat="1" applyFont="1" applyFill="1" applyAlignment="1">
      <alignment horizontal="center"/>
    </xf>
    <xf numFmtId="0" fontId="26" fillId="2" borderId="0" xfId="0" applyFont="1" applyFill="1"/>
    <xf numFmtId="0" fontId="31" fillId="2" borderId="0" xfId="0" applyFont="1" applyFill="1"/>
    <xf numFmtId="0" fontId="25" fillId="7" borderId="0" xfId="0" applyFont="1" applyFill="1"/>
    <xf numFmtId="0" fontId="32" fillId="5" borderId="0" xfId="0" applyFont="1" applyFill="1"/>
    <xf numFmtId="0" fontId="33" fillId="5" borderId="0" xfId="0" applyFont="1" applyFill="1"/>
    <xf numFmtId="0" fontId="26" fillId="7" borderId="0" xfId="0" applyFont="1" applyFill="1" applyAlignment="1">
      <alignment wrapText="1"/>
    </xf>
    <xf numFmtId="0" fontId="26" fillId="5" borderId="0" xfId="0" applyFont="1" applyFill="1" applyAlignment="1">
      <alignment wrapText="1"/>
    </xf>
    <xf numFmtId="0" fontId="37" fillId="7" borderId="0" xfId="0" applyFont="1" applyFill="1"/>
    <xf numFmtId="0" fontId="37" fillId="5" borderId="0" xfId="0" applyFont="1" applyFill="1"/>
    <xf numFmtId="0" fontId="40" fillId="9" borderId="0" xfId="0" applyFont="1" applyFill="1"/>
    <xf numFmtId="0" fontId="40" fillId="9" borderId="21" xfId="0" applyFont="1" applyFill="1" applyBorder="1"/>
    <xf numFmtId="0" fontId="40" fillId="5" borderId="3" xfId="0" applyFont="1" applyFill="1" applyBorder="1"/>
    <xf numFmtId="0" fontId="40" fillId="5" borderId="5" xfId="0" applyFont="1" applyFill="1" applyBorder="1"/>
    <xf numFmtId="0" fontId="40" fillId="9" borderId="3" xfId="0" applyFont="1" applyFill="1" applyBorder="1"/>
    <xf numFmtId="0" fontId="40" fillId="9" borderId="5" xfId="0" applyFont="1" applyFill="1" applyBorder="1"/>
    <xf numFmtId="0" fontId="41" fillId="5" borderId="0" xfId="0" applyFont="1" applyFill="1"/>
    <xf numFmtId="0" fontId="16" fillId="6" borderId="0" xfId="0" applyFont="1" applyFill="1" applyAlignment="1">
      <alignment horizontal="center"/>
    </xf>
    <xf numFmtId="0" fontId="16" fillId="6" borderId="19" xfId="0" applyFont="1" applyFill="1" applyBorder="1" applyAlignment="1">
      <alignment horizontal="center"/>
    </xf>
    <xf numFmtId="168" fontId="26" fillId="9" borderId="21" xfId="0" applyNumberFormat="1" applyFont="1" applyFill="1" applyBorder="1" applyAlignment="1">
      <alignment horizontal="center"/>
    </xf>
    <xf numFmtId="0" fontId="26" fillId="9" borderId="21" xfId="0" applyFont="1" applyFill="1" applyBorder="1" applyAlignment="1">
      <alignment horizontal="center"/>
    </xf>
    <xf numFmtId="0" fontId="26" fillId="9" borderId="21" xfId="0" applyFont="1" applyFill="1" applyBorder="1"/>
    <xf numFmtId="0" fontId="26" fillId="5" borderId="3" xfId="0" applyFont="1" applyFill="1" applyBorder="1" applyAlignment="1">
      <alignment horizontal="center"/>
    </xf>
    <xf numFmtId="0" fontId="26" fillId="5" borderId="5" xfId="0" applyFont="1" applyFill="1" applyBorder="1" applyAlignment="1">
      <alignment horizontal="center"/>
    </xf>
    <xf numFmtId="168" fontId="26" fillId="9" borderId="3" xfId="0" applyNumberFormat="1" applyFont="1" applyFill="1" applyBorder="1" applyAlignment="1">
      <alignment horizontal="center"/>
    </xf>
    <xf numFmtId="0" fontId="26" fillId="9" borderId="3" xfId="0" applyFont="1" applyFill="1" applyBorder="1" applyAlignment="1">
      <alignment horizontal="center"/>
    </xf>
    <xf numFmtId="0" fontId="26" fillId="9" borderId="3" xfId="0" applyFont="1" applyFill="1" applyBorder="1"/>
    <xf numFmtId="168" fontId="26" fillId="9" borderId="5" xfId="0" applyNumberFormat="1" applyFont="1" applyFill="1" applyBorder="1" applyAlignment="1">
      <alignment horizontal="center"/>
    </xf>
    <xf numFmtId="0" fontId="26" fillId="9" borderId="5" xfId="0" applyFont="1" applyFill="1" applyBorder="1" applyAlignment="1">
      <alignment horizontal="center"/>
    </xf>
    <xf numFmtId="0" fontId="26" fillId="9" borderId="5" xfId="0" applyFont="1" applyFill="1" applyBorder="1"/>
    <xf numFmtId="0" fontId="28" fillId="9" borderId="0" xfId="0" applyFont="1" applyFill="1"/>
    <xf numFmtId="0" fontId="17" fillId="8" borderId="0" xfId="0" applyFont="1" applyFill="1"/>
    <xf numFmtId="165" fontId="17" fillId="8" borderId="0" xfId="0" applyNumberFormat="1" applyFont="1" applyFill="1"/>
    <xf numFmtId="49" fontId="17" fillId="8" borderId="0" xfId="0" applyNumberFormat="1" applyFont="1" applyFill="1"/>
    <xf numFmtId="0" fontId="18" fillId="6" borderId="27" xfId="0" applyFont="1" applyFill="1" applyBorder="1" applyAlignment="1">
      <alignment horizontal="center"/>
    </xf>
    <xf numFmtId="0" fontId="18" fillId="6" borderId="28" xfId="0" applyFont="1" applyFill="1" applyBorder="1" applyAlignment="1">
      <alignment horizontal="center"/>
    </xf>
    <xf numFmtId="165" fontId="18" fillId="6" borderId="28" xfId="0" applyNumberFormat="1" applyFont="1" applyFill="1" applyBorder="1" applyAlignment="1">
      <alignment horizontal="center"/>
    </xf>
    <xf numFmtId="49" fontId="18" fillId="6" borderId="29" xfId="0" applyNumberFormat="1" applyFont="1" applyFill="1" applyBorder="1" applyAlignment="1">
      <alignment horizontal="center"/>
    </xf>
    <xf numFmtId="173" fontId="26" fillId="9" borderId="24" xfId="0" applyNumberFormat="1" applyFont="1" applyFill="1" applyBorder="1"/>
    <xf numFmtId="0" fontId="26" fillId="9" borderId="25" xfId="0" applyFont="1" applyFill="1" applyBorder="1"/>
    <xf numFmtId="4" fontId="26" fillId="9" borderId="25" xfId="0" applyNumberFormat="1" applyFont="1" applyFill="1" applyBorder="1"/>
    <xf numFmtId="49" fontId="26" fillId="9" borderId="26" xfId="0" applyNumberFormat="1" applyFont="1" applyFill="1" applyBorder="1"/>
    <xf numFmtId="173" fontId="26" fillId="9" borderId="13" xfId="0" applyNumberFormat="1" applyFont="1" applyFill="1" applyBorder="1"/>
    <xf numFmtId="0" fontId="26" fillId="9" borderId="14" xfId="0" applyFont="1" applyFill="1" applyBorder="1"/>
    <xf numFmtId="4" fontId="26" fillId="9" borderId="14" xfId="0" applyNumberFormat="1" applyFont="1" applyFill="1" applyBorder="1"/>
    <xf numFmtId="49" fontId="26" fillId="9" borderId="15" xfId="0" applyNumberFormat="1" applyFont="1" applyFill="1" applyBorder="1"/>
    <xf numFmtId="0" fontId="8" fillId="8" borderId="0" xfId="0" applyFont="1" applyFill="1"/>
    <xf numFmtId="0" fontId="31" fillId="8" borderId="0" xfId="0" applyFont="1" applyFill="1"/>
    <xf numFmtId="0" fontId="40" fillId="5" borderId="0" xfId="0" applyFont="1" applyFill="1"/>
    <xf numFmtId="168" fontId="29" fillId="9" borderId="20" xfId="0" applyNumberFormat="1" applyFont="1" applyFill="1" applyBorder="1" applyAlignment="1">
      <alignment horizontal="center"/>
    </xf>
    <xf numFmtId="1" fontId="29" fillId="9" borderId="20" xfId="0" applyNumberFormat="1" applyFont="1" applyFill="1" applyBorder="1" applyAlignment="1">
      <alignment horizontal="center"/>
    </xf>
    <xf numFmtId="0" fontId="29" fillId="9" borderId="20" xfId="0" applyFont="1" applyFill="1" applyBorder="1" applyAlignment="1">
      <alignment horizontal="center"/>
    </xf>
    <xf numFmtId="168" fontId="26" fillId="9" borderId="0" xfId="0" applyNumberFormat="1" applyFont="1" applyFill="1" applyAlignment="1">
      <alignment horizontal="center"/>
    </xf>
    <xf numFmtId="174" fontId="26" fillId="9" borderId="0" xfId="0" applyNumberFormat="1" applyFont="1" applyFill="1" applyAlignment="1">
      <alignment horizontal="center"/>
    </xf>
    <xf numFmtId="174" fontId="26" fillId="9" borderId="5" xfId="0" applyNumberFormat="1" applyFont="1" applyFill="1" applyBorder="1" applyAlignment="1">
      <alignment horizontal="center"/>
    </xf>
    <xf numFmtId="169" fontId="26" fillId="9" borderId="0" xfId="0" applyNumberFormat="1" applyFont="1" applyFill="1" applyAlignment="1">
      <alignment horizontal="center"/>
    </xf>
    <xf numFmtId="0" fontId="26" fillId="9" borderId="0" xfId="0" applyFont="1" applyFill="1"/>
    <xf numFmtId="0" fontId="26" fillId="9" borderId="0" xfId="0" applyFont="1" applyFill="1" applyAlignment="1">
      <alignment horizontal="center"/>
    </xf>
    <xf numFmtId="0" fontId="20" fillId="8" borderId="0" xfId="0" applyFont="1" applyFill="1"/>
    <xf numFmtId="0" fontId="20" fillId="8" borderId="0" xfId="0" applyFont="1" applyFill="1" applyAlignment="1">
      <alignment horizontal="center"/>
    </xf>
    <xf numFmtId="0" fontId="40" fillId="5" borderId="21" xfId="0" applyFont="1" applyFill="1" applyBorder="1"/>
    <xf numFmtId="10" fontId="26" fillId="5" borderId="21" xfId="0" applyNumberFormat="1" applyFont="1" applyFill="1" applyBorder="1" applyAlignment="1">
      <alignment horizontal="center"/>
    </xf>
    <xf numFmtId="0" fontId="26" fillId="5" borderId="21" xfId="0" applyFont="1" applyFill="1" applyBorder="1"/>
    <xf numFmtId="2" fontId="26" fillId="9" borderId="3" xfId="0" applyNumberFormat="1" applyFont="1" applyFill="1" applyBorder="1" applyAlignment="1">
      <alignment horizontal="center"/>
    </xf>
    <xf numFmtId="2" fontId="26" fillId="9" borderId="5" xfId="0" applyNumberFormat="1" applyFont="1" applyFill="1" applyBorder="1" applyAlignment="1">
      <alignment horizontal="center"/>
    </xf>
    <xf numFmtId="10" fontId="26" fillId="5" borderId="3" xfId="0" applyNumberFormat="1" applyFont="1" applyFill="1" applyBorder="1" applyAlignment="1">
      <alignment horizontal="center"/>
    </xf>
    <xf numFmtId="10" fontId="26" fillId="5" borderId="5" xfId="0" applyNumberFormat="1" applyFont="1" applyFill="1" applyBorder="1" applyAlignment="1">
      <alignment horizontal="center"/>
    </xf>
    <xf numFmtId="168" fontId="16" fillId="6" borderId="0" xfId="0" applyNumberFormat="1" applyFont="1" applyFill="1" applyAlignment="1">
      <alignment horizontal="center"/>
    </xf>
    <xf numFmtId="171" fontId="26" fillId="9" borderId="21" xfId="0" applyNumberFormat="1" applyFont="1" applyFill="1" applyBorder="1" applyAlignment="1">
      <alignment horizontal="center"/>
    </xf>
    <xf numFmtId="10" fontId="26" fillId="9" borderId="3" xfId="0" applyNumberFormat="1" applyFont="1" applyFill="1" applyBorder="1" applyAlignment="1">
      <alignment horizontal="center"/>
    </xf>
    <xf numFmtId="0" fontId="26" fillId="8" borderId="0" xfId="0" applyFont="1" applyFill="1"/>
    <xf numFmtId="0" fontId="24" fillId="8" borderId="0" xfId="0" applyFont="1" applyFill="1"/>
    <xf numFmtId="0" fontId="34" fillId="8" borderId="0" xfId="0" applyFont="1" applyFill="1"/>
    <xf numFmtId="10" fontId="26" fillId="9" borderId="21" xfId="0" applyNumberFormat="1" applyFont="1" applyFill="1" applyBorder="1" applyAlignment="1">
      <alignment horizontal="center"/>
    </xf>
    <xf numFmtId="10" fontId="26" fillId="9" borderId="5" xfId="0" applyNumberFormat="1" applyFont="1" applyFill="1" applyBorder="1" applyAlignment="1">
      <alignment horizontal="center"/>
    </xf>
    <xf numFmtId="2" fontId="26" fillId="5" borderId="5" xfId="0" applyNumberFormat="1" applyFont="1" applyFill="1" applyBorder="1" applyAlignment="1">
      <alignment horizontal="center"/>
    </xf>
    <xf numFmtId="0" fontId="26" fillId="5" borderId="21" xfId="0" applyFont="1" applyFill="1" applyBorder="1" applyAlignment="1">
      <alignment horizontal="center"/>
    </xf>
    <xf numFmtId="172" fontId="26" fillId="5" borderId="3" xfId="0" applyNumberFormat="1" applyFont="1" applyFill="1" applyBorder="1" applyAlignment="1">
      <alignment horizontal="center"/>
    </xf>
    <xf numFmtId="0" fontId="40" fillId="5" borderId="21" xfId="0" applyFont="1" applyFill="1" applyBorder="1" applyAlignment="1">
      <alignment horizontal="center"/>
    </xf>
    <xf numFmtId="168" fontId="26" fillId="5" borderId="21" xfId="0" applyNumberFormat="1" applyFont="1" applyFill="1" applyBorder="1" applyAlignment="1">
      <alignment horizontal="center"/>
    </xf>
    <xf numFmtId="2" fontId="26" fillId="5" borderId="21" xfId="0" applyNumberFormat="1" applyFont="1" applyFill="1" applyBorder="1" applyAlignment="1">
      <alignment horizontal="center"/>
    </xf>
    <xf numFmtId="174" fontId="26" fillId="5" borderId="21" xfId="0" applyNumberFormat="1" applyFont="1" applyFill="1" applyBorder="1" applyAlignment="1">
      <alignment horizontal="center"/>
    </xf>
    <xf numFmtId="0" fontId="40" fillId="9" borderId="3" xfId="0" applyFont="1" applyFill="1" applyBorder="1" applyAlignment="1">
      <alignment horizontal="center"/>
    </xf>
    <xf numFmtId="174" fontId="26" fillId="9" borderId="3" xfId="0" applyNumberFormat="1" applyFont="1" applyFill="1" applyBorder="1" applyAlignment="1">
      <alignment horizontal="center"/>
    </xf>
    <xf numFmtId="0" fontId="40" fillId="9" borderId="5" xfId="0" applyFont="1" applyFill="1" applyBorder="1" applyAlignment="1">
      <alignment horizontal="center"/>
    </xf>
    <xf numFmtId="0" fontId="40" fillId="5" borderId="5" xfId="0" applyFont="1" applyFill="1" applyBorder="1" applyAlignment="1">
      <alignment horizontal="center"/>
    </xf>
    <xf numFmtId="0" fontId="18" fillId="8" borderId="22" xfId="0" applyFont="1" applyFill="1" applyBorder="1" applyAlignment="1">
      <alignment horizontal="center"/>
    </xf>
    <xf numFmtId="168" fontId="18" fillId="8" borderId="22" xfId="0" applyNumberFormat="1" applyFont="1" applyFill="1" applyBorder="1" applyAlignment="1">
      <alignment horizontal="center"/>
    </xf>
    <xf numFmtId="2" fontId="18" fillId="8" borderId="22" xfId="0" applyNumberFormat="1" applyFont="1" applyFill="1" applyBorder="1" applyAlignment="1">
      <alignment horizontal="center"/>
    </xf>
    <xf numFmtId="174" fontId="18" fillId="8" borderId="22" xfId="0" applyNumberFormat="1" applyFont="1" applyFill="1" applyBorder="1" applyAlignment="1">
      <alignment horizontal="center"/>
    </xf>
    <xf numFmtId="0" fontId="16" fillId="6" borderId="8" xfId="0" applyFont="1" applyFill="1" applyBorder="1" applyAlignment="1">
      <alignment horizontal="center"/>
    </xf>
    <xf numFmtId="0" fontId="16" fillId="6" borderId="9" xfId="0" applyFont="1" applyFill="1" applyBorder="1" applyAlignment="1">
      <alignment horizontal="center"/>
    </xf>
    <xf numFmtId="2" fontId="26" fillId="9" borderId="21" xfId="0" applyNumberFormat="1" applyFont="1" applyFill="1" applyBorder="1"/>
    <xf numFmtId="171" fontId="26" fillId="9" borderId="21" xfId="0" applyNumberFormat="1" applyFont="1" applyFill="1" applyBorder="1"/>
    <xf numFmtId="164" fontId="26" fillId="9" borderId="21" xfId="0" applyNumberFormat="1" applyFont="1" applyFill="1" applyBorder="1"/>
    <xf numFmtId="0" fontId="26" fillId="5" borderId="2" xfId="0" applyFont="1" applyFill="1" applyBorder="1"/>
    <xf numFmtId="2" fontId="26" fillId="5" borderId="3" xfId="0" applyNumberFormat="1" applyFont="1" applyFill="1" applyBorder="1"/>
    <xf numFmtId="171" fontId="26" fillId="5" borderId="3" xfId="0" applyNumberFormat="1" applyFont="1" applyFill="1" applyBorder="1"/>
    <xf numFmtId="164" fontId="26" fillId="5" borderId="3" xfId="0" applyNumberFormat="1" applyFont="1" applyFill="1" applyBorder="1"/>
    <xf numFmtId="0" fontId="26" fillId="5" borderId="4" xfId="0" applyFont="1" applyFill="1" applyBorder="1"/>
    <xf numFmtId="2" fontId="26" fillId="5" borderId="5" xfId="0" applyNumberFormat="1" applyFont="1" applyFill="1" applyBorder="1"/>
    <xf numFmtId="171" fontId="26" fillId="5" borderId="5" xfId="0" applyNumberFormat="1" applyFont="1" applyFill="1" applyBorder="1"/>
    <xf numFmtId="164" fontId="26" fillId="5" borderId="5" xfId="0" applyNumberFormat="1" applyFont="1" applyFill="1" applyBorder="1"/>
    <xf numFmtId="0" fontId="26" fillId="9" borderId="4" xfId="0" applyFont="1" applyFill="1" applyBorder="1"/>
    <xf numFmtId="2" fontId="26" fillId="9" borderId="5" xfId="0" applyNumberFormat="1" applyFont="1" applyFill="1" applyBorder="1"/>
    <xf numFmtId="171" fontId="26" fillId="9" borderId="5" xfId="0" applyNumberFormat="1" applyFont="1" applyFill="1" applyBorder="1"/>
    <xf numFmtId="164" fontId="26" fillId="9" borderId="5" xfId="0" applyNumberFormat="1" applyFont="1" applyFill="1" applyBorder="1"/>
    <xf numFmtId="0" fontId="9" fillId="8" borderId="0" xfId="0" applyFont="1" applyFill="1"/>
    <xf numFmtId="0" fontId="36" fillId="9" borderId="0" xfId="0" applyFont="1" applyFill="1"/>
    <xf numFmtId="0" fontId="0" fillId="9" borderId="0" xfId="0" applyFill="1"/>
    <xf numFmtId="0" fontId="24" fillId="8" borderId="0" xfId="0" applyFont="1" applyFill="1" applyAlignment="1">
      <alignment wrapText="1"/>
    </xf>
    <xf numFmtId="0" fontId="18" fillId="6" borderId="19" xfId="0" applyFont="1" applyFill="1" applyBorder="1"/>
    <xf numFmtId="0" fontId="18" fillId="6" borderId="19" xfId="0" applyFont="1" applyFill="1" applyBorder="1" applyAlignment="1">
      <alignment wrapText="1"/>
    </xf>
    <xf numFmtId="0" fontId="26" fillId="9" borderId="0" xfId="0" applyFont="1" applyFill="1" applyAlignment="1">
      <alignment wrapText="1"/>
    </xf>
    <xf numFmtId="0" fontId="44" fillId="5" borderId="0" xfId="0" applyFont="1" applyFill="1"/>
    <xf numFmtId="0" fontId="40" fillId="9" borderId="10" xfId="0" applyFont="1" applyFill="1" applyBorder="1"/>
    <xf numFmtId="0" fontId="27" fillId="9" borderId="10" xfId="0" applyFont="1" applyFill="1" applyBorder="1" applyAlignment="1">
      <alignment wrapText="1"/>
    </xf>
    <xf numFmtId="0" fontId="37" fillId="9" borderId="0" xfId="0" applyFont="1" applyFill="1"/>
    <xf numFmtId="0" fontId="45" fillId="5" borderId="0" xfId="0" applyFont="1" applyFill="1"/>
    <xf numFmtId="0" fontId="37" fillId="9" borderId="10" xfId="0" applyFont="1" applyFill="1" applyBorder="1"/>
    <xf numFmtId="0" fontId="27" fillId="9" borderId="0" xfId="0" applyFont="1" applyFill="1" applyAlignment="1">
      <alignment wrapText="1"/>
    </xf>
    <xf numFmtId="0" fontId="46" fillId="0" borderId="0" xfId="0" applyFont="1"/>
    <xf numFmtId="0" fontId="47" fillId="5" borderId="12" xfId="0" applyFont="1" applyFill="1" applyBorder="1" applyAlignment="1">
      <alignment horizontal="center"/>
    </xf>
    <xf numFmtId="0" fontId="48" fillId="5" borderId="12" xfId="0" applyFont="1" applyFill="1" applyBorder="1"/>
    <xf numFmtId="168" fontId="46" fillId="5" borderId="12" xfId="0" applyNumberFormat="1" applyFont="1" applyFill="1" applyBorder="1" applyAlignment="1">
      <alignment horizontal="center"/>
    </xf>
    <xf numFmtId="174" fontId="46" fillId="5" borderId="12" xfId="0" applyNumberFormat="1" applyFont="1" applyFill="1" applyBorder="1" applyAlignment="1">
      <alignment horizontal="center"/>
    </xf>
    <xf numFmtId="0" fontId="46" fillId="5" borderId="12" xfId="0" applyFont="1" applyFill="1" applyBorder="1" applyAlignment="1">
      <alignment horizontal="center"/>
    </xf>
    <xf numFmtId="2" fontId="46" fillId="5" borderId="12" xfId="0" applyNumberFormat="1" applyFont="1" applyFill="1" applyBorder="1" applyAlignment="1">
      <alignment horizontal="center"/>
    </xf>
    <xf numFmtId="0" fontId="46" fillId="8" borderId="0" xfId="0" applyFont="1" applyFill="1"/>
    <xf numFmtId="0" fontId="41" fillId="0" borderId="0" xfId="0" applyFont="1"/>
    <xf numFmtId="168" fontId="46" fillId="9" borderId="0" xfId="0" applyNumberFormat="1" applyFont="1" applyFill="1" applyAlignment="1">
      <alignment horizontal="center"/>
    </xf>
    <xf numFmtId="0" fontId="47" fillId="9" borderId="0" xfId="0" applyFont="1" applyFill="1" applyAlignment="1">
      <alignment horizontal="center"/>
    </xf>
    <xf numFmtId="0" fontId="48" fillId="9" borderId="0" xfId="0" applyFont="1" applyFill="1"/>
    <xf numFmtId="0" fontId="40" fillId="5" borderId="12" xfId="0" applyFont="1" applyFill="1" applyBorder="1"/>
    <xf numFmtId="0" fontId="47" fillId="9" borderId="12" xfId="0" applyFont="1" applyFill="1" applyBorder="1" applyAlignment="1">
      <alignment horizontal="center"/>
    </xf>
    <xf numFmtId="0" fontId="48" fillId="9" borderId="12" xfId="0" applyFont="1" applyFill="1" applyBorder="1"/>
    <xf numFmtId="0" fontId="40" fillId="9" borderId="12" xfId="0" applyFont="1" applyFill="1" applyBorder="1"/>
    <xf numFmtId="0" fontId="46" fillId="9" borderId="12" xfId="0" applyFont="1" applyFill="1" applyBorder="1" applyAlignment="1">
      <alignment horizontal="center"/>
    </xf>
    <xf numFmtId="174" fontId="46" fillId="9" borderId="12" xfId="0" applyNumberFormat="1" applyFont="1" applyFill="1" applyBorder="1" applyAlignment="1">
      <alignment horizontal="center"/>
    </xf>
    <xf numFmtId="168" fontId="46" fillId="9" borderId="12" xfId="0" applyNumberFormat="1" applyFont="1" applyFill="1" applyBorder="1" applyAlignment="1">
      <alignment horizontal="center"/>
    </xf>
    <xf numFmtId="0" fontId="47" fillId="9" borderId="11" xfId="0" applyFont="1" applyFill="1" applyBorder="1" applyAlignment="1">
      <alignment horizontal="center"/>
    </xf>
    <xf numFmtId="0" fontId="48" fillId="9" borderId="11" xfId="0" applyFont="1" applyFill="1" applyBorder="1"/>
    <xf numFmtId="0" fontId="40" fillId="9" borderId="11" xfId="0" applyFont="1" applyFill="1" applyBorder="1"/>
    <xf numFmtId="0" fontId="46" fillId="9" borderId="0" xfId="0" applyFont="1" applyFill="1" applyAlignment="1">
      <alignment horizontal="center"/>
    </xf>
    <xf numFmtId="2" fontId="46" fillId="9" borderId="0" xfId="0" applyNumberFormat="1" applyFont="1" applyFill="1" applyAlignment="1">
      <alignment horizontal="center"/>
    </xf>
    <xf numFmtId="0" fontId="46" fillId="9" borderId="11" xfId="0" applyFont="1" applyFill="1" applyBorder="1" applyAlignment="1">
      <alignment horizontal="center"/>
    </xf>
    <xf numFmtId="2" fontId="46" fillId="9" borderId="11" xfId="0" applyNumberFormat="1" applyFont="1" applyFill="1" applyBorder="1" applyAlignment="1">
      <alignment horizontal="center"/>
    </xf>
    <xf numFmtId="0" fontId="19" fillId="9" borderId="0" xfId="0" applyFont="1" applyFill="1" applyAlignment="1">
      <alignment horizontal="center"/>
    </xf>
    <xf numFmtId="0" fontId="49" fillId="9" borderId="0" xfId="0" applyFont="1" applyFill="1" applyAlignment="1">
      <alignment horizontal="center"/>
    </xf>
    <xf numFmtId="172" fontId="26" fillId="5" borderId="5" xfId="0" applyNumberFormat="1" applyFont="1" applyFill="1" applyBorder="1" applyAlignment="1">
      <alignment horizontal="center"/>
    </xf>
    <xf numFmtId="172" fontId="26" fillId="9" borderId="3" xfId="0" applyNumberFormat="1" applyFont="1" applyFill="1" applyBorder="1" applyAlignment="1">
      <alignment horizontal="center"/>
    </xf>
    <xf numFmtId="1" fontId="26" fillId="9" borderId="0" xfId="0" applyNumberFormat="1" applyFont="1" applyFill="1" applyAlignment="1">
      <alignment horizontal="center"/>
    </xf>
    <xf numFmtId="171" fontId="20" fillId="8" borderId="0" xfId="0" applyNumberFormat="1" applyFont="1" applyFill="1" applyAlignment="1">
      <alignment horizontal="center"/>
    </xf>
    <xf numFmtId="0" fontId="50" fillId="9" borderId="0" xfId="0" applyFont="1" applyFill="1" applyAlignment="1">
      <alignment horizontal="center"/>
    </xf>
    <xf numFmtId="0" fontId="39" fillId="9" borderId="0" xfId="0" applyFont="1" applyFill="1" applyAlignment="1">
      <alignment horizontal="center"/>
    </xf>
    <xf numFmtId="0" fontId="3" fillId="6" borderId="0" xfId="0" applyFont="1" applyFill="1" applyAlignment="1">
      <alignment horizontal="center"/>
    </xf>
    <xf numFmtId="0" fontId="43" fillId="9" borderId="21" xfId="0" applyFont="1" applyFill="1" applyBorder="1"/>
    <xf numFmtId="10" fontId="0" fillId="9" borderId="21" xfId="0" applyNumberFormat="1" applyFill="1" applyBorder="1" applyAlignment="1">
      <alignment horizontal="center"/>
    </xf>
    <xf numFmtId="0" fontId="1" fillId="9" borderId="21" xfId="0" applyFont="1" applyFill="1" applyBorder="1" applyAlignment="1">
      <alignment horizontal="center"/>
    </xf>
    <xf numFmtId="0" fontId="35" fillId="9" borderId="21" xfId="0" applyFont="1" applyFill="1" applyBorder="1"/>
    <xf numFmtId="0" fontId="43" fillId="5" borderId="5" xfId="0" applyFont="1" applyFill="1" applyBorder="1"/>
    <xf numFmtId="2" fontId="0" fillId="5" borderId="5" xfId="0" applyNumberFormat="1" applyFill="1" applyBorder="1" applyAlignment="1">
      <alignment horizontal="center"/>
    </xf>
    <xf numFmtId="0" fontId="1" fillId="5" borderId="5" xfId="0" applyFont="1" applyFill="1" applyBorder="1" applyAlignment="1">
      <alignment horizontal="center"/>
    </xf>
    <xf numFmtId="0" fontId="35" fillId="5" borderId="5" xfId="0" applyFont="1" applyFill="1" applyBorder="1"/>
    <xf numFmtId="0" fontId="43" fillId="9" borderId="3" xfId="0" applyFont="1" applyFill="1" applyBorder="1"/>
    <xf numFmtId="0" fontId="1" fillId="9" borderId="3" xfId="0" applyFont="1" applyFill="1" applyBorder="1" applyAlignment="1">
      <alignment horizontal="center"/>
    </xf>
    <xf numFmtId="0" fontId="35" fillId="9" borderId="3" xfId="0" applyFont="1" applyFill="1" applyBorder="1"/>
    <xf numFmtId="0" fontId="43" fillId="9" borderId="5" xfId="0" applyFont="1" applyFill="1" applyBorder="1"/>
    <xf numFmtId="2" fontId="0" fillId="9" borderId="5" xfId="0" applyNumberFormat="1" applyFill="1" applyBorder="1" applyAlignment="1">
      <alignment horizontal="center"/>
    </xf>
    <xf numFmtId="0" fontId="1" fillId="9" borderId="5" xfId="0" applyFont="1" applyFill="1" applyBorder="1" applyAlignment="1">
      <alignment horizontal="center"/>
    </xf>
    <xf numFmtId="0" fontId="35" fillId="9" borderId="5" xfId="0" applyFont="1" applyFill="1" applyBorder="1"/>
    <xf numFmtId="174" fontId="0" fillId="5" borderId="5" xfId="0" applyNumberFormat="1" applyFill="1" applyBorder="1" applyAlignment="1">
      <alignment horizontal="center"/>
    </xf>
    <xf numFmtId="10" fontId="0" fillId="9" borderId="5" xfId="0" applyNumberFormat="1" applyFill="1" applyBorder="1" applyAlignment="1">
      <alignment horizontal="center"/>
    </xf>
    <xf numFmtId="10" fontId="0" fillId="5" borderId="5" xfId="0" applyNumberFormat="1" applyFill="1" applyBorder="1" applyAlignment="1">
      <alignment horizontal="center"/>
    </xf>
    <xf numFmtId="168" fontId="0" fillId="9" borderId="3" xfId="0" applyNumberFormat="1" applyFill="1" applyBorder="1" applyAlignment="1">
      <alignment horizontal="center"/>
    </xf>
    <xf numFmtId="0" fontId="51" fillId="2" borderId="0" xfId="0" applyFont="1" applyFill="1"/>
    <xf numFmtId="3" fontId="51" fillId="2" borderId="0" xfId="0" applyNumberFormat="1" applyFont="1" applyFill="1"/>
    <xf numFmtId="0" fontId="51" fillId="8" borderId="0" xfId="0" applyFont="1" applyFill="1"/>
    <xf numFmtId="0" fontId="21" fillId="2" borderId="0" xfId="0" applyFont="1" applyFill="1"/>
    <xf numFmtId="0" fontId="53" fillId="10" borderId="21" xfId="0" applyFont="1" applyFill="1" applyBorder="1"/>
    <xf numFmtId="0" fontId="51" fillId="10" borderId="21" xfId="0" applyFont="1" applyFill="1" applyBorder="1" applyAlignment="1">
      <alignment horizontal="center"/>
    </xf>
    <xf numFmtId="0" fontId="53" fillId="11" borderId="32" xfId="0" applyFont="1" applyFill="1" applyBorder="1"/>
    <xf numFmtId="3" fontId="51" fillId="11" borderId="32" xfId="0" applyNumberFormat="1" applyFont="1" applyFill="1" applyBorder="1" applyAlignment="1">
      <alignment horizontal="center"/>
    </xf>
    <xf numFmtId="0" fontId="53" fillId="10" borderId="31" xfId="0" applyFont="1" applyFill="1" applyBorder="1"/>
    <xf numFmtId="3" fontId="51" fillId="10" borderId="31" xfId="0" applyNumberFormat="1" applyFont="1" applyFill="1" applyBorder="1" applyAlignment="1">
      <alignment horizontal="center"/>
    </xf>
    <xf numFmtId="0" fontId="53" fillId="10" borderId="32" xfId="0" applyFont="1" applyFill="1" applyBorder="1"/>
    <xf numFmtId="3" fontId="51" fillId="10" borderId="32" xfId="0" applyNumberFormat="1" applyFont="1" applyFill="1" applyBorder="1" applyAlignment="1">
      <alignment horizontal="center"/>
    </xf>
    <xf numFmtId="0" fontId="10" fillId="8" borderId="32" xfId="0" applyFont="1" applyFill="1" applyBorder="1" applyAlignment="1">
      <alignment horizontal="center"/>
    </xf>
    <xf numFmtId="0" fontId="52" fillId="11" borderId="31" xfId="0" applyFont="1" applyFill="1" applyBorder="1"/>
    <xf numFmtId="0" fontId="52" fillId="11" borderId="32" xfId="0" applyFont="1" applyFill="1" applyBorder="1"/>
    <xf numFmtId="0" fontId="52" fillId="10" borderId="32" xfId="0" applyFont="1" applyFill="1" applyBorder="1"/>
    <xf numFmtId="0" fontId="59" fillId="2" borderId="0" xfId="0" applyFont="1" applyFill="1"/>
    <xf numFmtId="0" fontId="59" fillId="2" borderId="0" xfId="0" applyFont="1" applyFill="1" applyAlignment="1">
      <alignment vertical="center"/>
    </xf>
    <xf numFmtId="0" fontId="59" fillId="2" borderId="0" xfId="0" applyFont="1" applyFill="1" applyAlignment="1">
      <alignment horizontal="left" vertical="center"/>
    </xf>
    <xf numFmtId="166" fontId="59" fillId="2" borderId="0" xfId="0" applyNumberFormat="1" applyFont="1" applyFill="1"/>
    <xf numFmtId="167" fontId="59" fillId="2" borderId="0" xfId="0" applyNumberFormat="1" applyFont="1" applyFill="1"/>
    <xf numFmtId="0" fontId="59" fillId="2" borderId="30" xfId="0" applyFont="1" applyFill="1" applyBorder="1"/>
    <xf numFmtId="166" fontId="59" fillId="2" borderId="30" xfId="0" applyNumberFormat="1" applyFont="1" applyFill="1" applyBorder="1"/>
    <xf numFmtId="167" fontId="59" fillId="2" borderId="30" xfId="0" applyNumberFormat="1" applyFont="1" applyFill="1" applyBorder="1"/>
    <xf numFmtId="0" fontId="57" fillId="8" borderId="0" xfId="0" applyFont="1" applyFill="1" applyAlignment="1">
      <alignment horizontal="center" vertical="center"/>
    </xf>
    <xf numFmtId="0" fontId="58" fillId="8" borderId="19" xfId="0" applyFont="1" applyFill="1" applyBorder="1" applyAlignment="1">
      <alignment horizontal="center" vertical="center"/>
    </xf>
    <xf numFmtId="0" fontId="15" fillId="2" borderId="30" xfId="0" applyFont="1" applyFill="1" applyBorder="1"/>
    <xf numFmtId="166" fontId="15" fillId="2" borderId="30" xfId="0" applyNumberFormat="1" applyFont="1" applyFill="1" applyBorder="1"/>
    <xf numFmtId="0" fontId="56" fillId="6" borderId="0" xfId="0" applyFont="1" applyFill="1" applyAlignment="1">
      <alignment horizontal="center"/>
    </xf>
    <xf numFmtId="168" fontId="56" fillId="6" borderId="0" xfId="0" applyNumberFormat="1" applyFont="1" applyFill="1" applyAlignment="1">
      <alignment horizontal="center"/>
    </xf>
    <xf numFmtId="0" fontId="60" fillId="10" borderId="21" xfId="0" applyFont="1" applyFill="1" applyBorder="1"/>
    <xf numFmtId="168" fontId="60" fillId="10" borderId="21" xfId="0" applyNumberFormat="1" applyFont="1" applyFill="1" applyBorder="1"/>
    <xf numFmtId="0" fontId="60" fillId="11" borderId="31" xfId="0" applyFont="1" applyFill="1" applyBorder="1"/>
    <xf numFmtId="168" fontId="60" fillId="11" borderId="31" xfId="0" applyNumberFormat="1" applyFont="1" applyFill="1" applyBorder="1"/>
    <xf numFmtId="0" fontId="60" fillId="11" borderId="32" xfId="0" applyFont="1" applyFill="1" applyBorder="1"/>
    <xf numFmtId="168" fontId="60" fillId="11" borderId="32" xfId="0" applyNumberFormat="1" applyFont="1" applyFill="1" applyBorder="1"/>
    <xf numFmtId="0" fontId="60" fillId="10" borderId="31" xfId="0" applyFont="1" applyFill="1" applyBorder="1"/>
    <xf numFmtId="168" fontId="60" fillId="10" borderId="31" xfId="0" applyNumberFormat="1" applyFont="1" applyFill="1" applyBorder="1"/>
    <xf numFmtId="0" fontId="60" fillId="10" borderId="32" xfId="0" applyFont="1" applyFill="1" applyBorder="1"/>
    <xf numFmtId="168" fontId="60" fillId="10" borderId="32" xfId="0" applyNumberFormat="1" applyFont="1" applyFill="1" applyBorder="1"/>
    <xf numFmtId="180" fontId="26" fillId="9" borderId="25" xfId="0" applyNumberFormat="1" applyFont="1" applyFill="1" applyBorder="1"/>
    <xf numFmtId="180" fontId="26" fillId="5" borderId="14" xfId="0" applyNumberFormat="1" applyFont="1" applyFill="1" applyBorder="1"/>
    <xf numFmtId="180" fontId="26" fillId="9" borderId="14" xfId="0" applyNumberFormat="1" applyFont="1" applyFill="1" applyBorder="1"/>
    <xf numFmtId="180" fontId="26" fillId="5" borderId="17" xfId="0" applyNumberFormat="1" applyFont="1" applyFill="1" applyBorder="1"/>
    <xf numFmtId="177" fontId="42" fillId="9" borderId="20" xfId="0" applyNumberFormat="1" applyFont="1" applyFill="1" applyBorder="1" applyAlignment="1">
      <alignment horizontal="center"/>
    </xf>
    <xf numFmtId="177" fontId="29" fillId="9" borderId="20" xfId="0" applyNumberFormat="1" applyFont="1" applyFill="1" applyBorder="1" applyAlignment="1">
      <alignment horizontal="center"/>
    </xf>
    <xf numFmtId="177" fontId="26" fillId="9" borderId="21" xfId="0" applyNumberFormat="1" applyFont="1" applyFill="1" applyBorder="1" applyAlignment="1">
      <alignment horizontal="center"/>
    </xf>
    <xf numFmtId="177" fontId="26" fillId="5" borderId="5" xfId="0" applyNumberFormat="1" applyFont="1" applyFill="1" applyBorder="1" applyAlignment="1">
      <alignment horizontal="center"/>
    </xf>
    <xf numFmtId="177" fontId="26" fillId="9" borderId="5" xfId="0" applyNumberFormat="1" applyFont="1" applyFill="1" applyBorder="1" applyAlignment="1">
      <alignment horizontal="center"/>
    </xf>
    <xf numFmtId="177" fontId="26" fillId="5" borderId="3" xfId="0" applyNumberFormat="1" applyFont="1" applyFill="1" applyBorder="1" applyAlignment="1">
      <alignment horizontal="center"/>
    </xf>
    <xf numFmtId="180" fontId="26" fillId="9" borderId="21" xfId="0" applyNumberFormat="1" applyFont="1" applyFill="1" applyBorder="1" applyAlignment="1">
      <alignment horizontal="center"/>
    </xf>
    <xf numFmtId="180" fontId="26" fillId="5" borderId="5" xfId="0" applyNumberFormat="1" applyFont="1" applyFill="1" applyBorder="1" applyAlignment="1">
      <alignment horizontal="center"/>
    </xf>
    <xf numFmtId="180" fontId="26" fillId="9" borderId="5" xfId="0" applyNumberFormat="1" applyFont="1" applyFill="1" applyBorder="1" applyAlignment="1">
      <alignment horizontal="center"/>
    </xf>
    <xf numFmtId="180" fontId="26" fillId="5" borderId="3" xfId="0" applyNumberFormat="1" applyFont="1" applyFill="1" applyBorder="1" applyAlignment="1">
      <alignment horizontal="center"/>
    </xf>
    <xf numFmtId="177" fontId="26" fillId="9" borderId="0" xfId="0" applyNumberFormat="1" applyFont="1" applyFill="1" applyAlignment="1">
      <alignment horizontal="center"/>
    </xf>
    <xf numFmtId="177" fontId="26" fillId="5" borderId="0" xfId="0" applyNumberFormat="1" applyFont="1" applyFill="1" applyAlignment="1">
      <alignment horizontal="center"/>
    </xf>
    <xf numFmtId="178" fontId="38" fillId="9" borderId="21" xfId="0" applyNumberFormat="1" applyFont="1" applyFill="1" applyBorder="1" applyAlignment="1">
      <alignment horizontal="center"/>
    </xf>
    <xf numFmtId="176" fontId="38" fillId="9" borderId="21" xfId="0" applyNumberFormat="1" applyFont="1" applyFill="1" applyBorder="1" applyAlignment="1">
      <alignment horizontal="center"/>
    </xf>
    <xf numFmtId="178" fontId="38" fillId="5" borderId="5" xfId="0" applyNumberFormat="1" applyFont="1" applyFill="1" applyBorder="1" applyAlignment="1">
      <alignment horizontal="center"/>
    </xf>
    <xf numFmtId="176" fontId="38" fillId="5" borderId="5" xfId="0" applyNumberFormat="1" applyFont="1" applyFill="1" applyBorder="1" applyAlignment="1">
      <alignment horizontal="center"/>
    </xf>
    <xf numFmtId="178" fontId="38" fillId="9" borderId="5" xfId="0" applyNumberFormat="1" applyFont="1" applyFill="1" applyBorder="1" applyAlignment="1">
      <alignment horizontal="center"/>
    </xf>
    <xf numFmtId="176" fontId="38" fillId="9" borderId="5" xfId="0" applyNumberFormat="1" applyFont="1" applyFill="1" applyBorder="1" applyAlignment="1">
      <alignment horizontal="center"/>
    </xf>
    <xf numFmtId="178" fontId="54" fillId="9" borderId="5" xfId="0" applyNumberFormat="1" applyFont="1" applyFill="1" applyBorder="1" applyAlignment="1">
      <alignment horizontal="center"/>
    </xf>
    <xf numFmtId="176" fontId="54" fillId="9" borderId="5" xfId="0" applyNumberFormat="1" applyFont="1" applyFill="1" applyBorder="1" applyAlignment="1">
      <alignment horizontal="center"/>
    </xf>
    <xf numFmtId="178" fontId="54" fillId="5" borderId="5" xfId="0" applyNumberFormat="1" applyFont="1" applyFill="1" applyBorder="1" applyAlignment="1">
      <alignment horizontal="center"/>
    </xf>
    <xf numFmtId="176" fontId="54" fillId="5" borderId="5" xfId="0" applyNumberFormat="1" applyFont="1" applyFill="1" applyBorder="1" applyAlignment="1">
      <alignment horizontal="center"/>
    </xf>
    <xf numFmtId="178" fontId="38" fillId="5" borderId="3" xfId="0" applyNumberFormat="1" applyFont="1" applyFill="1" applyBorder="1" applyAlignment="1">
      <alignment horizontal="center"/>
    </xf>
    <xf numFmtId="176" fontId="38" fillId="5" borderId="3" xfId="0" applyNumberFormat="1" applyFont="1" applyFill="1" applyBorder="1" applyAlignment="1">
      <alignment horizontal="center"/>
    </xf>
    <xf numFmtId="180" fontId="26" fillId="9" borderId="21" xfId="0" applyNumberFormat="1" applyFont="1" applyFill="1" applyBorder="1"/>
    <xf numFmtId="180" fontId="26" fillId="5" borderId="5" xfId="0" applyNumberFormat="1" applyFont="1" applyFill="1" applyBorder="1"/>
    <xf numFmtId="180" fontId="26" fillId="9" borderId="5" xfId="0" applyNumberFormat="1" applyFont="1" applyFill="1" applyBorder="1"/>
    <xf numFmtId="180" fontId="26" fillId="5" borderId="3" xfId="0" applyNumberFormat="1" applyFont="1" applyFill="1" applyBorder="1"/>
    <xf numFmtId="183" fontId="26" fillId="9" borderId="21" xfId="0" applyNumberFormat="1" applyFont="1" applyFill="1" applyBorder="1"/>
    <xf numFmtId="183" fontId="26" fillId="5" borderId="5" xfId="0" applyNumberFormat="1" applyFont="1" applyFill="1" applyBorder="1"/>
    <xf numFmtId="183" fontId="26" fillId="9" borderId="5" xfId="0" applyNumberFormat="1" applyFont="1" applyFill="1" applyBorder="1"/>
    <xf numFmtId="183" fontId="26" fillId="5" borderId="3" xfId="0" applyNumberFormat="1" applyFont="1" applyFill="1" applyBorder="1"/>
    <xf numFmtId="176" fontId="38" fillId="5" borderId="21" xfId="0" applyNumberFormat="1" applyFont="1" applyFill="1" applyBorder="1" applyAlignment="1">
      <alignment horizontal="center"/>
    </xf>
    <xf numFmtId="176" fontId="38" fillId="9" borderId="3" xfId="0" applyNumberFormat="1" applyFont="1" applyFill="1" applyBorder="1" applyAlignment="1">
      <alignment horizontal="center"/>
    </xf>
    <xf numFmtId="176" fontId="22" fillId="8" borderId="22" xfId="0" applyNumberFormat="1" applyFont="1" applyFill="1" applyBorder="1" applyAlignment="1">
      <alignment horizontal="center"/>
    </xf>
    <xf numFmtId="176" fontId="55" fillId="8" borderId="22" xfId="0" applyNumberFormat="1" applyFont="1" applyFill="1" applyBorder="1" applyAlignment="1">
      <alignment horizontal="center"/>
    </xf>
    <xf numFmtId="177" fontId="56" fillId="6" borderId="0" xfId="0" applyNumberFormat="1" applyFont="1" applyFill="1" applyAlignment="1">
      <alignment horizontal="center"/>
    </xf>
    <xf numFmtId="177" fontId="60" fillId="10" borderId="21" xfId="0" applyNumberFormat="1" applyFont="1" applyFill="1" applyBorder="1"/>
    <xf numFmtId="177" fontId="60" fillId="11" borderId="32" xfId="0" applyNumberFormat="1" applyFont="1" applyFill="1" applyBorder="1"/>
    <xf numFmtId="177" fontId="60" fillId="10" borderId="31" xfId="0" applyNumberFormat="1" applyFont="1" applyFill="1" applyBorder="1"/>
    <xf numFmtId="177" fontId="60" fillId="10" borderId="32" xfId="0" applyNumberFormat="1" applyFont="1" applyFill="1" applyBorder="1"/>
    <xf numFmtId="177" fontId="60" fillId="11" borderId="31" xfId="0" applyNumberFormat="1" applyFont="1" applyFill="1" applyBorder="1"/>
    <xf numFmtId="177" fontId="46" fillId="5" borderId="12" xfId="0" applyNumberFormat="1" applyFont="1" applyFill="1" applyBorder="1" applyAlignment="1">
      <alignment horizontal="center"/>
    </xf>
    <xf numFmtId="177" fontId="46" fillId="9" borderId="12" xfId="0" applyNumberFormat="1" applyFont="1" applyFill="1" applyBorder="1" applyAlignment="1">
      <alignment horizontal="center"/>
    </xf>
    <xf numFmtId="177" fontId="46" fillId="9" borderId="11" xfId="0" applyNumberFormat="1" applyFont="1" applyFill="1" applyBorder="1" applyAlignment="1">
      <alignment horizontal="center"/>
    </xf>
    <xf numFmtId="0" fontId="0" fillId="8" borderId="0" xfId="0" applyFill="1"/>
    <xf numFmtId="3" fontId="26" fillId="9" borderId="0" xfId="0" applyNumberFormat="1" applyFont="1" applyFill="1"/>
    <xf numFmtId="0" fontId="18" fillId="6" borderId="0" xfId="0" applyFont="1" applyFill="1" applyAlignment="1">
      <alignment horizontal="center"/>
    </xf>
    <xf numFmtId="0" fontId="43" fillId="5" borderId="0" xfId="0" applyFont="1" applyFill="1"/>
    <xf numFmtId="168" fontId="0" fillId="5" borderId="0" xfId="0" applyNumberFormat="1" applyFill="1" applyAlignment="1">
      <alignment horizontal="center"/>
    </xf>
    <xf numFmtId="0" fontId="0" fillId="5" borderId="0" xfId="0" applyFill="1" applyAlignment="1">
      <alignment horizontal="center"/>
    </xf>
    <xf numFmtId="0" fontId="43" fillId="9" borderId="0" xfId="0" applyFont="1" applyFill="1"/>
    <xf numFmtId="168" fontId="0" fillId="9" borderId="0" xfId="0" applyNumberFormat="1" applyFill="1" applyAlignment="1">
      <alignment horizontal="center"/>
    </xf>
    <xf numFmtId="0" fontId="0" fillId="9" borderId="0" xfId="0" applyFill="1" applyAlignment="1">
      <alignment horizontal="center"/>
    </xf>
    <xf numFmtId="0" fontId="61" fillId="0" borderId="0" xfId="0" applyFont="1"/>
    <xf numFmtId="0" fontId="62" fillId="6" borderId="0" xfId="0" applyFont="1" applyFill="1" applyAlignment="1">
      <alignment horizontal="center"/>
    </xf>
    <xf numFmtId="2" fontId="0" fillId="9" borderId="0" xfId="0" applyNumberFormat="1" applyFill="1" applyAlignment="1">
      <alignment horizontal="center"/>
    </xf>
    <xf numFmtId="10" fontId="0" fillId="5" borderId="0" xfId="0" applyNumberFormat="1" applyFill="1" applyAlignment="1">
      <alignment horizontal="center"/>
    </xf>
    <xf numFmtId="0" fontId="4" fillId="8" borderId="0" xfId="0" applyFont="1" applyFill="1"/>
    <xf numFmtId="0" fontId="63" fillId="0" borderId="0" xfId="0" applyFont="1"/>
    <xf numFmtId="10" fontId="0" fillId="9" borderId="0" xfId="0" applyNumberFormat="1" applyFill="1" applyAlignment="1">
      <alignment horizontal="center"/>
    </xf>
    <xf numFmtId="171" fontId="64" fillId="5" borderId="0" xfId="0" applyNumberFormat="1" applyFont="1" applyFill="1" applyAlignment="1">
      <alignment horizontal="center"/>
    </xf>
    <xf numFmtId="2" fontId="64" fillId="9" borderId="0" xfId="0" applyNumberFormat="1" applyFont="1" applyFill="1" applyAlignment="1">
      <alignment horizontal="center"/>
    </xf>
    <xf numFmtId="186" fontId="0" fillId="9" borderId="0" xfId="0" applyNumberFormat="1" applyFill="1" applyAlignment="1">
      <alignment horizontal="center"/>
    </xf>
    <xf numFmtId="0" fontId="64" fillId="9" borderId="0" xfId="0" applyFont="1" applyFill="1"/>
    <xf numFmtId="168" fontId="64" fillId="9" borderId="0" xfId="0" applyNumberFormat="1" applyFont="1" applyFill="1" applyAlignment="1">
      <alignment horizontal="center"/>
    </xf>
    <xf numFmtId="9" fontId="64" fillId="9" borderId="0" xfId="0" applyNumberFormat="1" applyFont="1" applyFill="1" applyAlignment="1">
      <alignment horizontal="center"/>
    </xf>
    <xf numFmtId="0" fontId="64" fillId="5" borderId="0" xfId="0" applyFont="1" applyFill="1"/>
    <xf numFmtId="168" fontId="64" fillId="5" borderId="0" xfId="0" applyNumberFormat="1" applyFont="1" applyFill="1" applyAlignment="1">
      <alignment horizontal="center"/>
    </xf>
    <xf numFmtId="9" fontId="64" fillId="5" borderId="0" xfId="0" applyNumberFormat="1" applyFont="1" applyFill="1" applyAlignment="1">
      <alignment horizontal="center"/>
    </xf>
    <xf numFmtId="187" fontId="0" fillId="9" borderId="0" xfId="0" applyNumberFormat="1" applyFill="1" applyAlignment="1">
      <alignment horizontal="center"/>
    </xf>
    <xf numFmtId="188" fontId="0" fillId="9" borderId="0" xfId="0" applyNumberFormat="1" applyFill="1" applyAlignment="1">
      <alignment horizontal="center"/>
    </xf>
    <xf numFmtId="187" fontId="0" fillId="5" borderId="0" xfId="0" applyNumberFormat="1" applyFill="1" applyAlignment="1">
      <alignment horizontal="center"/>
    </xf>
    <xf numFmtId="188" fontId="0" fillId="5" borderId="0" xfId="0" applyNumberFormat="1" applyFill="1" applyAlignment="1">
      <alignment horizontal="center"/>
    </xf>
    <xf numFmtId="0" fontId="65" fillId="8" borderId="0" xfId="0" applyFont="1" applyFill="1"/>
    <xf numFmtId="0" fontId="66" fillId="0" borderId="0" xfId="0" applyFont="1"/>
    <xf numFmtId="0" fontId="67" fillId="9" borderId="0" xfId="0" applyFont="1" applyFill="1" applyAlignment="1">
      <alignment horizontal="center"/>
    </xf>
    <xf numFmtId="0" fontId="68" fillId="9" borderId="0" xfId="0" applyFont="1" applyFill="1"/>
    <xf numFmtId="0" fontId="68" fillId="9" borderId="0" xfId="0" applyFont="1" applyFill="1" applyAlignment="1">
      <alignment horizontal="center"/>
    </xf>
    <xf numFmtId="0" fontId="69" fillId="9" borderId="0" xfId="0" applyFont="1" applyFill="1" applyAlignment="1">
      <alignment horizontal="center"/>
    </xf>
    <xf numFmtId="0" fontId="67" fillId="5" borderId="0" xfId="0" applyFont="1" applyFill="1" applyAlignment="1">
      <alignment horizontal="center"/>
    </xf>
    <xf numFmtId="0" fontId="68" fillId="5" borderId="0" xfId="0" applyFont="1" applyFill="1"/>
    <xf numFmtId="0" fontId="68" fillId="5" borderId="0" xfId="0" applyFont="1" applyFill="1" applyAlignment="1">
      <alignment horizontal="center"/>
    </xf>
    <xf numFmtId="0" fontId="69" fillId="5" borderId="0" xfId="0" applyFont="1" applyFill="1" applyAlignment="1">
      <alignment horizontal="center"/>
    </xf>
    <xf numFmtId="0" fontId="70" fillId="9" borderId="0" xfId="0" applyFont="1" applyFill="1" applyAlignment="1">
      <alignment wrapText="1"/>
    </xf>
    <xf numFmtId="0" fontId="25" fillId="5" borderId="0" xfId="0" applyFont="1" applyFill="1"/>
    <xf numFmtId="0" fontId="71" fillId="3" borderId="0" xfId="0" applyFont="1" applyFill="1" applyAlignment="1">
      <alignment wrapText="1"/>
    </xf>
    <xf numFmtId="0" fontId="71" fillId="5" borderId="0" xfId="0" applyFont="1" applyFill="1" applyAlignment="1">
      <alignment wrapText="1"/>
    </xf>
    <xf numFmtId="0" fontId="72" fillId="3" borderId="0" xfId="0" applyFont="1" applyFill="1"/>
    <xf numFmtId="0" fontId="72" fillId="5" borderId="0" xfId="0" applyFont="1" applyFill="1"/>
    <xf numFmtId="0" fontId="73" fillId="3" borderId="0" xfId="0" applyFont="1" applyFill="1"/>
    <xf numFmtId="0" fontId="73" fillId="5" borderId="0" xfId="0" applyFont="1" applyFill="1"/>
    <xf numFmtId="0" fontId="0" fillId="8" borderId="0" xfId="0" applyFill="1" applyAlignment="1">
      <alignment wrapText="1"/>
    </xf>
    <xf numFmtId="0" fontId="6" fillId="9" borderId="0" xfId="0" applyFont="1" applyFill="1"/>
    <xf numFmtId="0" fontId="6" fillId="5" borderId="0" xfId="0" applyFont="1" applyFill="1"/>
    <xf numFmtId="0" fontId="74" fillId="5" borderId="0" xfId="0" applyFont="1" applyFill="1"/>
    <xf numFmtId="0" fontId="7" fillId="8" borderId="0" xfId="0" applyFont="1" applyFill="1" applyAlignment="1">
      <alignment wrapText="1"/>
    </xf>
    <xf numFmtId="0" fontId="0" fillId="9" borderId="0" xfId="0" applyFill="1" applyAlignment="1">
      <alignment wrapText="1"/>
    </xf>
    <xf numFmtId="0" fontId="76" fillId="8" borderId="0" xfId="0" applyFont="1" applyFill="1" applyAlignment="1">
      <alignment horizontal="center" vertical="center"/>
    </xf>
    <xf numFmtId="177" fontId="77" fillId="8" borderId="19" xfId="0" applyNumberFormat="1" applyFont="1" applyFill="1" applyBorder="1" applyAlignment="1">
      <alignment horizontal="center" vertical="center"/>
    </xf>
    <xf numFmtId="178" fontId="78" fillId="8" borderId="19" xfId="0" applyNumberFormat="1" applyFont="1" applyFill="1" applyBorder="1" applyAlignment="1">
      <alignment horizontal="center" vertical="center"/>
    </xf>
    <xf numFmtId="168" fontId="78" fillId="8" borderId="19" xfId="0" applyNumberFormat="1" applyFont="1" applyFill="1" applyBorder="1" applyAlignment="1">
      <alignment horizontal="center" vertical="center"/>
    </xf>
    <xf numFmtId="10" fontId="78" fillId="8" borderId="19" xfId="0" applyNumberFormat="1" applyFont="1" applyFill="1" applyBorder="1" applyAlignment="1">
      <alignment horizontal="center" vertical="center"/>
    </xf>
    <xf numFmtId="0" fontId="79" fillId="8" borderId="19" xfId="0" applyFont="1" applyFill="1" applyBorder="1" applyAlignment="1">
      <alignment horizontal="center" vertical="center"/>
    </xf>
    <xf numFmtId="174" fontId="77" fillId="8" borderId="19" xfId="0" applyNumberFormat="1" applyFont="1" applyFill="1" applyBorder="1" applyAlignment="1">
      <alignment horizontal="center" vertical="center"/>
    </xf>
    <xf numFmtId="179" fontId="78" fillId="8" borderId="19" xfId="0" applyNumberFormat="1" applyFont="1" applyFill="1" applyBorder="1" applyAlignment="1">
      <alignment horizontal="center"/>
    </xf>
    <xf numFmtId="2" fontId="80" fillId="8" borderId="19" xfId="0" applyNumberFormat="1" applyFont="1" applyFill="1" applyBorder="1" applyAlignment="1">
      <alignment horizontal="center"/>
    </xf>
    <xf numFmtId="168" fontId="77" fillId="8" borderId="19" xfId="0" applyNumberFormat="1" applyFont="1" applyFill="1" applyBorder="1" applyAlignment="1">
      <alignment horizontal="center"/>
    </xf>
    <xf numFmtId="168" fontId="79" fillId="8" borderId="19" xfId="0" applyNumberFormat="1" applyFont="1" applyFill="1" applyBorder="1" applyAlignment="1">
      <alignment horizontal="center"/>
    </xf>
    <xf numFmtId="2" fontId="77" fillId="8" borderId="19" xfId="0" applyNumberFormat="1" applyFont="1" applyFill="1" applyBorder="1" applyAlignment="1">
      <alignment horizontal="center"/>
    </xf>
    <xf numFmtId="174" fontId="77" fillId="8" borderId="19" xfId="0" applyNumberFormat="1" applyFont="1" applyFill="1" applyBorder="1" applyAlignment="1">
      <alignment horizontal="center"/>
    </xf>
    <xf numFmtId="0" fontId="76" fillId="2" borderId="0" xfId="0" applyFont="1" applyFill="1" applyAlignment="1">
      <alignment horizontal="center"/>
    </xf>
    <xf numFmtId="2" fontId="81" fillId="2" borderId="0" xfId="0" applyNumberFormat="1" applyFont="1" applyFill="1" applyAlignment="1">
      <alignment horizontal="center"/>
    </xf>
    <xf numFmtId="2" fontId="82" fillId="2" borderId="0" xfId="0" applyNumberFormat="1" applyFont="1" applyFill="1" applyAlignment="1">
      <alignment horizontal="center"/>
    </xf>
    <xf numFmtId="168" fontId="83" fillId="2" borderId="0" xfId="0" applyNumberFormat="1" applyFont="1" applyFill="1" applyAlignment="1">
      <alignment horizontal="center"/>
    </xf>
    <xf numFmtId="186" fontId="81" fillId="2" borderId="0" xfId="0" applyNumberFormat="1" applyFont="1" applyFill="1" applyAlignment="1">
      <alignment horizontal="center"/>
    </xf>
    <xf numFmtId="189" fontId="81" fillId="2" borderId="0" xfId="0" applyNumberFormat="1" applyFont="1" applyFill="1" applyAlignment="1">
      <alignment horizontal="center"/>
    </xf>
    <xf numFmtId="0" fontId="84" fillId="2" borderId="0" xfId="0" applyFont="1" applyFill="1" applyAlignment="1">
      <alignment vertical="center"/>
    </xf>
    <xf numFmtId="168" fontId="81" fillId="2" borderId="0" xfId="0" applyNumberFormat="1" applyFont="1" applyFill="1" applyAlignment="1">
      <alignment horizontal="center"/>
    </xf>
    <xf numFmtId="2" fontId="83" fillId="2" borderId="0" xfId="0" applyNumberFormat="1" applyFont="1" applyFill="1" applyAlignment="1">
      <alignment horizontal="center"/>
    </xf>
    <xf numFmtId="168" fontId="85" fillId="2" borderId="0" xfId="0" applyNumberFormat="1" applyFont="1" applyFill="1" applyAlignment="1">
      <alignment horizontal="center"/>
    </xf>
    <xf numFmtId="0" fontId="83" fillId="6" borderId="7" xfId="0" applyFont="1" applyFill="1" applyBorder="1" applyAlignment="1">
      <alignment horizontal="center"/>
    </xf>
    <xf numFmtId="0" fontId="83" fillId="6" borderId="6" xfId="0" applyFont="1" applyFill="1" applyBorder="1" applyAlignment="1">
      <alignment horizontal="center"/>
    </xf>
    <xf numFmtId="0" fontId="87" fillId="10" borderId="21" xfId="0" applyFont="1" applyFill="1" applyBorder="1"/>
    <xf numFmtId="178" fontId="81" fillId="10" borderId="21" xfId="0" applyNumberFormat="1" applyFont="1" applyFill="1" applyBorder="1" applyAlignment="1">
      <alignment horizontal="center"/>
    </xf>
    <xf numFmtId="176" fontId="81" fillId="10" borderId="21" xfId="0" applyNumberFormat="1" applyFont="1" applyFill="1" applyBorder="1" applyAlignment="1">
      <alignment horizontal="center"/>
    </xf>
    <xf numFmtId="168" fontId="15" fillId="10" borderId="21" xfId="0" applyNumberFormat="1" applyFont="1" applyFill="1" applyBorder="1" applyAlignment="1">
      <alignment horizontal="center"/>
    </xf>
    <xf numFmtId="0" fontId="87" fillId="10" borderId="21" xfId="0" applyFont="1" applyFill="1" applyBorder="1" applyAlignment="1">
      <alignment horizontal="center"/>
    </xf>
    <xf numFmtId="0" fontId="84" fillId="10" borderId="21" xfId="0" applyFont="1" applyFill="1" applyBorder="1" applyAlignment="1">
      <alignment horizontal="center"/>
    </xf>
    <xf numFmtId="0" fontId="81" fillId="10" borderId="21" xfId="0" applyFont="1" applyFill="1" applyBorder="1" applyAlignment="1">
      <alignment horizontal="center"/>
    </xf>
    <xf numFmtId="0" fontId="87" fillId="11" borderId="32" xfId="0" applyFont="1" applyFill="1" applyBorder="1"/>
    <xf numFmtId="178" fontId="81" fillId="11" borderId="32" xfId="0" applyNumberFormat="1" applyFont="1" applyFill="1" applyBorder="1" applyAlignment="1">
      <alignment horizontal="center"/>
    </xf>
    <xf numFmtId="176" fontId="81" fillId="11" borderId="32" xfId="0" applyNumberFormat="1" applyFont="1" applyFill="1" applyBorder="1" applyAlignment="1">
      <alignment horizontal="center"/>
    </xf>
    <xf numFmtId="168" fontId="15" fillId="11" borderId="32" xfId="0" applyNumberFormat="1" applyFont="1" applyFill="1" applyBorder="1" applyAlignment="1">
      <alignment horizontal="center"/>
    </xf>
    <xf numFmtId="0" fontId="87" fillId="11" borderId="32" xfId="0" applyFont="1" applyFill="1" applyBorder="1" applyAlignment="1">
      <alignment horizontal="center"/>
    </xf>
    <xf numFmtId="0" fontId="84" fillId="11" borderId="32" xfId="0" applyFont="1" applyFill="1" applyBorder="1" applyAlignment="1">
      <alignment horizontal="center"/>
    </xf>
    <xf numFmtId="0" fontId="81" fillId="11" borderId="32" xfId="0" applyFont="1" applyFill="1" applyBorder="1" applyAlignment="1">
      <alignment horizontal="center"/>
    </xf>
    <xf numFmtId="0" fontId="87" fillId="10" borderId="32" xfId="0" applyFont="1" applyFill="1" applyBorder="1"/>
    <xf numFmtId="178" fontId="81" fillId="10" borderId="32" xfId="0" applyNumberFormat="1" applyFont="1" applyFill="1" applyBorder="1" applyAlignment="1">
      <alignment horizontal="center"/>
    </xf>
    <xf numFmtId="176" fontId="81" fillId="10" borderId="32" xfId="0" applyNumberFormat="1" applyFont="1" applyFill="1" applyBorder="1" applyAlignment="1">
      <alignment horizontal="center"/>
    </xf>
    <xf numFmtId="168" fontId="15" fillId="10" borderId="32" xfId="0" applyNumberFormat="1" applyFont="1" applyFill="1" applyBorder="1" applyAlignment="1">
      <alignment horizontal="center"/>
    </xf>
    <xf numFmtId="0" fontId="87" fillId="10" borderId="32" xfId="0" applyFont="1" applyFill="1" applyBorder="1" applyAlignment="1">
      <alignment horizontal="center"/>
    </xf>
    <xf numFmtId="0" fontId="84" fillId="10" borderId="32" xfId="0" applyFont="1" applyFill="1" applyBorder="1" applyAlignment="1">
      <alignment horizontal="center"/>
    </xf>
    <xf numFmtId="0" fontId="82" fillId="10" borderId="32" xfId="0" applyFont="1" applyFill="1" applyBorder="1" applyAlignment="1">
      <alignment horizontal="center"/>
    </xf>
    <xf numFmtId="0" fontId="82" fillId="11" borderId="32" xfId="0" applyFont="1" applyFill="1" applyBorder="1" applyAlignment="1">
      <alignment horizontal="center"/>
    </xf>
    <xf numFmtId="178" fontId="85" fillId="10" borderId="32" xfId="0" applyNumberFormat="1" applyFont="1" applyFill="1" applyBorder="1" applyAlignment="1">
      <alignment horizontal="center"/>
    </xf>
    <xf numFmtId="176" fontId="85" fillId="10" borderId="32" xfId="0" applyNumberFormat="1" applyFont="1" applyFill="1" applyBorder="1" applyAlignment="1">
      <alignment horizontal="center"/>
    </xf>
    <xf numFmtId="0" fontId="85" fillId="10" borderId="32" xfId="0" applyFont="1" applyFill="1" applyBorder="1" applyAlignment="1">
      <alignment horizontal="center"/>
    </xf>
    <xf numFmtId="178" fontId="85" fillId="11" borderId="32" xfId="0" applyNumberFormat="1" applyFont="1" applyFill="1" applyBorder="1" applyAlignment="1">
      <alignment horizontal="center"/>
    </xf>
    <xf numFmtId="176" fontId="85" fillId="11" borderId="32" xfId="0" applyNumberFormat="1" applyFont="1" applyFill="1" applyBorder="1" applyAlignment="1">
      <alignment horizontal="center"/>
    </xf>
    <xf numFmtId="0" fontId="85" fillId="11" borderId="32" xfId="0" applyFont="1" applyFill="1" applyBorder="1" applyAlignment="1">
      <alignment horizontal="center"/>
    </xf>
    <xf numFmtId="0" fontId="87" fillId="11" borderId="31" xfId="0" applyFont="1" applyFill="1" applyBorder="1"/>
    <xf numFmtId="178" fontId="81" fillId="11" borderId="31" xfId="0" applyNumberFormat="1" applyFont="1" applyFill="1" applyBorder="1" applyAlignment="1">
      <alignment horizontal="center"/>
    </xf>
    <xf numFmtId="176" fontId="81" fillId="11" borderId="31" xfId="0" applyNumberFormat="1" applyFont="1" applyFill="1" applyBorder="1" applyAlignment="1">
      <alignment horizontal="center"/>
    </xf>
    <xf numFmtId="168" fontId="15" fillId="11" borderId="31" xfId="0" applyNumberFormat="1" applyFont="1" applyFill="1" applyBorder="1" applyAlignment="1">
      <alignment horizontal="center"/>
    </xf>
    <xf numFmtId="0" fontId="87" fillId="11" borderId="31" xfId="0" applyFont="1" applyFill="1" applyBorder="1" applyAlignment="1">
      <alignment horizontal="center"/>
    </xf>
    <xf numFmtId="0" fontId="81" fillId="11" borderId="31" xfId="0" applyFont="1" applyFill="1" applyBorder="1" applyAlignment="1">
      <alignment horizontal="center"/>
    </xf>
    <xf numFmtId="0" fontId="84" fillId="2" borderId="0" xfId="0" applyFont="1" applyFill="1"/>
    <xf numFmtId="166" fontId="84" fillId="2" borderId="0" xfId="0" applyNumberFormat="1" applyFont="1" applyFill="1"/>
    <xf numFmtId="0" fontId="90" fillId="8" borderId="0" xfId="0" applyFont="1" applyFill="1" applyAlignment="1">
      <alignment horizontal="center" vertical="center"/>
    </xf>
    <xf numFmtId="0" fontId="88" fillId="11" borderId="32" xfId="0" applyFont="1" applyFill="1" applyBorder="1" applyAlignment="1">
      <alignment horizontal="center"/>
    </xf>
    <xf numFmtId="0" fontId="91" fillId="10" borderId="32" xfId="0" applyFont="1" applyFill="1" applyBorder="1" applyAlignment="1">
      <alignment horizontal="center"/>
    </xf>
    <xf numFmtId="0" fontId="91" fillId="11" borderId="32" xfId="0" applyFont="1" applyFill="1" applyBorder="1" applyAlignment="1">
      <alignment horizontal="center"/>
    </xf>
    <xf numFmtId="0" fontId="89" fillId="10" borderId="32" xfId="0" applyFont="1" applyFill="1" applyBorder="1" applyAlignment="1">
      <alignment horizontal="center"/>
    </xf>
    <xf numFmtId="0" fontId="89" fillId="11" borderId="32" xfId="0" applyFont="1" applyFill="1" applyBorder="1" applyAlignment="1">
      <alignment horizontal="center"/>
    </xf>
    <xf numFmtId="0" fontId="76" fillId="10" borderId="21" xfId="0" applyFont="1" applyFill="1" applyBorder="1"/>
    <xf numFmtId="3" fontId="92" fillId="10" borderId="21" xfId="0" applyNumberFormat="1" applyFont="1" applyFill="1" applyBorder="1" applyAlignment="1">
      <alignment horizontal="center"/>
    </xf>
    <xf numFmtId="180" fontId="92" fillId="10" borderId="21" xfId="0" applyNumberFormat="1" applyFont="1" applyFill="1" applyBorder="1" applyAlignment="1">
      <alignment horizontal="center"/>
    </xf>
    <xf numFmtId="177" fontId="92" fillId="10" borderId="21" xfId="0" applyNumberFormat="1" applyFont="1" applyFill="1" applyBorder="1" applyAlignment="1">
      <alignment horizontal="center"/>
    </xf>
    <xf numFmtId="179" fontId="81" fillId="10" borderId="21" xfId="0" applyNumberFormat="1" applyFont="1" applyFill="1" applyBorder="1" applyAlignment="1">
      <alignment horizontal="center"/>
    </xf>
    <xf numFmtId="184" fontId="81" fillId="10" borderId="21" xfId="0" applyNumberFormat="1" applyFont="1" applyFill="1" applyBorder="1" applyAlignment="1">
      <alignment horizontal="center"/>
    </xf>
    <xf numFmtId="0" fontId="92" fillId="10" borderId="21" xfId="0" applyFont="1" applyFill="1" applyBorder="1"/>
    <xf numFmtId="175" fontId="81" fillId="10" borderId="21" xfId="0" applyNumberFormat="1" applyFont="1" applyFill="1" applyBorder="1" applyAlignment="1">
      <alignment horizontal="center"/>
    </xf>
    <xf numFmtId="168" fontId="81" fillId="10" borderId="21" xfId="0" applyNumberFormat="1" applyFont="1" applyFill="1" applyBorder="1" applyAlignment="1">
      <alignment horizontal="center"/>
    </xf>
    <xf numFmtId="0" fontId="92" fillId="10" borderId="21" xfId="0" applyFont="1" applyFill="1" applyBorder="1" applyAlignment="1">
      <alignment horizontal="center"/>
    </xf>
    <xf numFmtId="0" fontId="76" fillId="11" borderId="32" xfId="0" applyFont="1" applyFill="1" applyBorder="1"/>
    <xf numFmtId="3" fontId="92" fillId="11" borderId="32" xfId="0" applyNumberFormat="1" applyFont="1" applyFill="1" applyBorder="1" applyAlignment="1">
      <alignment horizontal="center"/>
    </xf>
    <xf numFmtId="180" fontId="92" fillId="11" borderId="32" xfId="0" applyNumberFormat="1" applyFont="1" applyFill="1" applyBorder="1" applyAlignment="1">
      <alignment horizontal="center"/>
    </xf>
    <xf numFmtId="177" fontId="92" fillId="11" borderId="32" xfId="0" applyNumberFormat="1" applyFont="1" applyFill="1" applyBorder="1" applyAlignment="1">
      <alignment horizontal="center"/>
    </xf>
    <xf numFmtId="179" fontId="85" fillId="11" borderId="32" xfId="0" applyNumberFormat="1" applyFont="1" applyFill="1" applyBorder="1" applyAlignment="1">
      <alignment horizontal="center"/>
    </xf>
    <xf numFmtId="184" fontId="85" fillId="11" borderId="32" xfId="0" applyNumberFormat="1" applyFont="1" applyFill="1" applyBorder="1" applyAlignment="1">
      <alignment horizontal="center"/>
    </xf>
    <xf numFmtId="0" fontId="92" fillId="11" borderId="32" xfId="0" applyFont="1" applyFill="1" applyBorder="1"/>
    <xf numFmtId="175" fontId="81" fillId="11" borderId="32" xfId="0" applyNumberFormat="1" applyFont="1" applyFill="1" applyBorder="1" applyAlignment="1">
      <alignment horizontal="center"/>
    </xf>
    <xf numFmtId="168" fontId="81" fillId="11" borderId="32" xfId="0" applyNumberFormat="1" applyFont="1" applyFill="1" applyBorder="1" applyAlignment="1">
      <alignment horizontal="center"/>
    </xf>
    <xf numFmtId="0" fontId="92" fillId="11" borderId="32" xfId="0" applyFont="1" applyFill="1" applyBorder="1" applyAlignment="1">
      <alignment horizontal="center"/>
    </xf>
    <xf numFmtId="0" fontId="76" fillId="10" borderId="32" xfId="0" applyFont="1" applyFill="1" applyBorder="1"/>
    <xf numFmtId="3" fontId="92" fillId="10" borderId="32" xfId="0" applyNumberFormat="1" applyFont="1" applyFill="1" applyBorder="1" applyAlignment="1">
      <alignment horizontal="center"/>
    </xf>
    <xf numFmtId="180" fontId="92" fillId="10" borderId="32" xfId="0" applyNumberFormat="1" applyFont="1" applyFill="1" applyBorder="1" applyAlignment="1">
      <alignment horizontal="center"/>
    </xf>
    <xf numFmtId="177" fontId="92" fillId="10" borderId="32" xfId="0" applyNumberFormat="1" applyFont="1" applyFill="1" applyBorder="1" applyAlignment="1">
      <alignment horizontal="center"/>
    </xf>
    <xf numFmtId="179" fontId="85" fillId="10" borderId="32" xfId="0" applyNumberFormat="1" applyFont="1" applyFill="1" applyBorder="1" applyAlignment="1">
      <alignment horizontal="center"/>
    </xf>
    <xf numFmtId="184" fontId="85" fillId="10" borderId="32" xfId="0" applyNumberFormat="1" applyFont="1" applyFill="1" applyBorder="1" applyAlignment="1">
      <alignment horizontal="center"/>
    </xf>
    <xf numFmtId="0" fontId="92" fillId="10" borderId="32" xfId="0" applyFont="1" applyFill="1" applyBorder="1"/>
    <xf numFmtId="175" fontId="81" fillId="10" borderId="32" xfId="0" applyNumberFormat="1" applyFont="1" applyFill="1" applyBorder="1" applyAlignment="1">
      <alignment horizontal="center"/>
    </xf>
    <xf numFmtId="168" fontId="81" fillId="10" borderId="32" xfId="0" applyNumberFormat="1" applyFont="1" applyFill="1" applyBorder="1" applyAlignment="1">
      <alignment horizontal="center"/>
    </xf>
    <xf numFmtId="0" fontId="92" fillId="10" borderId="32" xfId="0" applyFont="1" applyFill="1" applyBorder="1" applyAlignment="1">
      <alignment horizontal="center"/>
    </xf>
    <xf numFmtId="179" fontId="81" fillId="11" borderId="32" xfId="0" applyNumberFormat="1" applyFont="1" applyFill="1" applyBorder="1" applyAlignment="1">
      <alignment horizontal="center"/>
    </xf>
    <xf numFmtId="184" fontId="81" fillId="11" borderId="32" xfId="0" applyNumberFormat="1" applyFont="1" applyFill="1" applyBorder="1" applyAlignment="1">
      <alignment horizontal="center"/>
    </xf>
    <xf numFmtId="179" fontId="81" fillId="10" borderId="32" xfId="0" applyNumberFormat="1" applyFont="1" applyFill="1" applyBorder="1" applyAlignment="1">
      <alignment horizontal="center"/>
    </xf>
    <xf numFmtId="184" fontId="81" fillId="10" borderId="32" xfId="0" applyNumberFormat="1" applyFont="1" applyFill="1" applyBorder="1" applyAlignment="1">
      <alignment horizontal="center"/>
    </xf>
    <xf numFmtId="175" fontId="85" fillId="10" borderId="32" xfId="0" applyNumberFormat="1" applyFont="1" applyFill="1" applyBorder="1" applyAlignment="1">
      <alignment horizontal="center"/>
    </xf>
    <xf numFmtId="168" fontId="85" fillId="10" borderId="32" xfId="0" applyNumberFormat="1" applyFont="1" applyFill="1" applyBorder="1" applyAlignment="1">
      <alignment horizontal="center"/>
    </xf>
    <xf numFmtId="175" fontId="85" fillId="11" borderId="32" xfId="0" applyNumberFormat="1" applyFont="1" applyFill="1" applyBorder="1" applyAlignment="1">
      <alignment horizontal="center"/>
    </xf>
    <xf numFmtId="168" fontId="85" fillId="11" borderId="32" xfId="0" applyNumberFormat="1" applyFont="1" applyFill="1" applyBorder="1" applyAlignment="1">
      <alignment horizontal="center"/>
    </xf>
    <xf numFmtId="0" fontId="76" fillId="11" borderId="31" xfId="0" applyFont="1" applyFill="1" applyBorder="1"/>
    <xf numFmtId="3" fontId="92" fillId="11" borderId="31" xfId="0" applyNumberFormat="1" applyFont="1" applyFill="1" applyBorder="1" applyAlignment="1">
      <alignment horizontal="center"/>
    </xf>
    <xf numFmtId="180" fontId="92" fillId="11" borderId="31" xfId="0" applyNumberFormat="1" applyFont="1" applyFill="1" applyBorder="1" applyAlignment="1">
      <alignment horizontal="center"/>
    </xf>
    <xf numFmtId="177" fontId="92" fillId="11" borderId="31" xfId="0" applyNumberFormat="1" applyFont="1" applyFill="1" applyBorder="1" applyAlignment="1">
      <alignment horizontal="center"/>
    </xf>
    <xf numFmtId="179" fontId="81" fillId="11" borderId="31" xfId="0" applyNumberFormat="1" applyFont="1" applyFill="1" applyBorder="1" applyAlignment="1">
      <alignment horizontal="center"/>
    </xf>
    <xf numFmtId="184" fontId="81" fillId="11" borderId="31" xfId="0" applyNumberFormat="1" applyFont="1" applyFill="1" applyBorder="1" applyAlignment="1">
      <alignment horizontal="center"/>
    </xf>
    <xf numFmtId="0" fontId="92" fillId="11" borderId="31" xfId="0" applyFont="1" applyFill="1" applyBorder="1"/>
    <xf numFmtId="175" fontId="81" fillId="11" borderId="31" xfId="0" applyNumberFormat="1" applyFont="1" applyFill="1" applyBorder="1" applyAlignment="1">
      <alignment horizontal="center"/>
    </xf>
    <xf numFmtId="168" fontId="81" fillId="11" borderId="31" xfId="0" applyNumberFormat="1" applyFont="1" applyFill="1" applyBorder="1" applyAlignment="1">
      <alignment horizontal="center"/>
    </xf>
    <xf numFmtId="0" fontId="92" fillId="11" borderId="31" xfId="0" applyFont="1" applyFill="1" applyBorder="1" applyAlignment="1">
      <alignment horizontal="center"/>
    </xf>
    <xf numFmtId="0" fontId="92" fillId="2" borderId="0" xfId="0" applyFont="1" applyFill="1"/>
    <xf numFmtId="166" fontId="92" fillId="2" borderId="0" xfId="0" applyNumberFormat="1" applyFont="1" applyFill="1"/>
    <xf numFmtId="167" fontId="92" fillId="2" borderId="0" xfId="0" applyNumberFormat="1" applyFont="1" applyFill="1"/>
    <xf numFmtId="0" fontId="93" fillId="2" borderId="1" xfId="0" applyFont="1" applyFill="1" applyBorder="1" applyAlignment="1">
      <alignment horizontal="center" vertical="center"/>
    </xf>
    <xf numFmtId="177" fontId="77" fillId="8" borderId="23" xfId="0" applyNumberFormat="1" applyFont="1" applyFill="1" applyBorder="1" applyAlignment="1">
      <alignment horizontal="center" vertical="center"/>
    </xf>
    <xf numFmtId="0" fontId="77" fillId="8" borderId="23" xfId="0" applyFont="1" applyFill="1" applyBorder="1" applyAlignment="1">
      <alignment horizontal="center"/>
    </xf>
    <xf numFmtId="168" fontId="78" fillId="8" borderId="23" xfId="0" applyNumberFormat="1" applyFont="1" applyFill="1" applyBorder="1" applyAlignment="1">
      <alignment horizontal="center"/>
    </xf>
    <xf numFmtId="168" fontId="77" fillId="8" borderId="23" xfId="0" applyNumberFormat="1" applyFont="1" applyFill="1" applyBorder="1" applyAlignment="1">
      <alignment horizontal="center"/>
    </xf>
    <xf numFmtId="185" fontId="77" fillId="8" borderId="23" xfId="0" applyNumberFormat="1" applyFont="1" applyFill="1" applyBorder="1" applyAlignment="1">
      <alignment horizontal="center"/>
    </xf>
    <xf numFmtId="49" fontId="77" fillId="8" borderId="23" xfId="0" applyNumberFormat="1" applyFont="1" applyFill="1" applyBorder="1" applyAlignment="1">
      <alignment horizontal="center"/>
    </xf>
    <xf numFmtId="174" fontId="77" fillId="8" borderId="23" xfId="0" applyNumberFormat="1" applyFont="1" applyFill="1" applyBorder="1" applyAlignment="1">
      <alignment horizontal="center"/>
    </xf>
    <xf numFmtId="0" fontId="80" fillId="8" borderId="23" xfId="0" applyFont="1" applyFill="1" applyBorder="1" applyAlignment="1">
      <alignment horizontal="center"/>
    </xf>
    <xf numFmtId="2" fontId="77" fillId="8" borderId="23" xfId="0" applyNumberFormat="1" applyFont="1" applyFill="1" applyBorder="1" applyAlignment="1">
      <alignment horizontal="center"/>
    </xf>
    <xf numFmtId="172" fontId="77" fillId="8" borderId="23" xfId="0" applyNumberFormat="1" applyFont="1" applyFill="1" applyBorder="1" applyAlignment="1">
      <alignment horizontal="center"/>
    </xf>
    <xf numFmtId="2" fontId="78" fillId="8" borderId="23" xfId="0" applyNumberFormat="1" applyFont="1" applyFill="1" applyBorder="1" applyAlignment="1">
      <alignment horizontal="center"/>
    </xf>
    <xf numFmtId="0" fontId="94" fillId="2" borderId="1" xfId="0" applyFont="1" applyFill="1" applyBorder="1" applyAlignment="1">
      <alignment horizontal="center"/>
    </xf>
    <xf numFmtId="0" fontId="95" fillId="2" borderId="0" xfId="0" applyFont="1" applyFill="1"/>
    <xf numFmtId="166" fontId="83" fillId="6" borderId="6" xfId="0" applyNumberFormat="1" applyFont="1" applyFill="1" applyBorder="1" applyAlignment="1">
      <alignment horizontal="center"/>
    </xf>
    <xf numFmtId="167" fontId="83" fillId="6" borderId="6" xfId="0" applyNumberFormat="1" applyFont="1" applyFill="1" applyBorder="1" applyAlignment="1">
      <alignment horizontal="center"/>
    </xf>
    <xf numFmtId="168" fontId="84" fillId="10" borderId="21" xfId="0" applyNumberFormat="1" applyFont="1" applyFill="1" applyBorder="1" applyAlignment="1">
      <alignment horizontal="center"/>
    </xf>
    <xf numFmtId="166" fontId="87" fillId="10" borderId="21" xfId="0" applyNumberFormat="1" applyFont="1" applyFill="1" applyBorder="1"/>
    <xf numFmtId="168" fontId="84" fillId="11" borderId="32" xfId="0" applyNumberFormat="1" applyFont="1" applyFill="1" applyBorder="1" applyAlignment="1">
      <alignment horizontal="center"/>
    </xf>
    <xf numFmtId="166" fontId="87" fillId="11" borderId="32" xfId="0" applyNumberFormat="1" applyFont="1" applyFill="1" applyBorder="1"/>
    <xf numFmtId="168" fontId="84" fillId="10" borderId="32" xfId="0" applyNumberFormat="1" applyFont="1" applyFill="1" applyBorder="1" applyAlignment="1">
      <alignment horizontal="center"/>
    </xf>
    <xf numFmtId="166" fontId="87" fillId="10" borderId="32" xfId="0" applyNumberFormat="1" applyFont="1" applyFill="1" applyBorder="1"/>
    <xf numFmtId="0" fontId="88" fillId="10" borderId="32" xfId="0" applyFont="1" applyFill="1" applyBorder="1" applyAlignment="1">
      <alignment horizontal="center"/>
    </xf>
    <xf numFmtId="166" fontId="87" fillId="11" borderId="31" xfId="0" applyNumberFormat="1" applyFont="1" applyFill="1" applyBorder="1"/>
    <xf numFmtId="168" fontId="92" fillId="10" borderId="21" xfId="0" applyNumberFormat="1" applyFont="1" applyFill="1" applyBorder="1" applyAlignment="1">
      <alignment horizontal="center"/>
    </xf>
    <xf numFmtId="174" fontId="92" fillId="10" borderId="21" xfId="0" applyNumberFormat="1" applyFont="1" applyFill="1" applyBorder="1" applyAlignment="1">
      <alignment horizontal="center"/>
    </xf>
    <xf numFmtId="168" fontId="92" fillId="11" borderId="32" xfId="0" applyNumberFormat="1" applyFont="1" applyFill="1" applyBorder="1" applyAlignment="1">
      <alignment horizontal="center"/>
    </xf>
    <xf numFmtId="174" fontId="92" fillId="11" borderId="32" xfId="0" applyNumberFormat="1" applyFont="1" applyFill="1" applyBorder="1" applyAlignment="1">
      <alignment horizontal="center"/>
    </xf>
    <xf numFmtId="168" fontId="92" fillId="10" borderId="32" xfId="0" applyNumberFormat="1" applyFont="1" applyFill="1" applyBorder="1" applyAlignment="1">
      <alignment horizontal="center"/>
    </xf>
    <xf numFmtId="174" fontId="92" fillId="10" borderId="32" xfId="0" applyNumberFormat="1" applyFont="1" applyFill="1" applyBorder="1" applyAlignment="1">
      <alignment horizontal="center"/>
    </xf>
    <xf numFmtId="168" fontId="92" fillId="11" borderId="31" xfId="0" applyNumberFormat="1" applyFont="1" applyFill="1" applyBorder="1" applyAlignment="1">
      <alignment horizontal="center"/>
    </xf>
    <xf numFmtId="174" fontId="92" fillId="11" borderId="31" xfId="0" applyNumberFormat="1" applyFont="1" applyFill="1" applyBorder="1" applyAlignment="1">
      <alignment horizontal="center"/>
    </xf>
    <xf numFmtId="0" fontId="81" fillId="10" borderId="32" xfId="0" applyFont="1" applyFill="1" applyBorder="1" applyAlignment="1">
      <alignment horizontal="center"/>
    </xf>
    <xf numFmtId="0" fontId="97" fillId="2" borderId="0" xfId="0" applyFont="1" applyFill="1"/>
    <xf numFmtId="177" fontId="92" fillId="2" borderId="23" xfId="0" applyNumberFormat="1" applyFont="1" applyFill="1" applyBorder="1" applyAlignment="1">
      <alignment horizontal="center" vertical="center"/>
    </xf>
    <xf numFmtId="0" fontId="77" fillId="8" borderId="0" xfId="0" applyFont="1" applyFill="1"/>
    <xf numFmtId="0" fontId="76" fillId="8" borderId="0" xfId="0" applyFont="1" applyFill="1" applyAlignment="1">
      <alignment horizontal="center"/>
    </xf>
    <xf numFmtId="181" fontId="77" fillId="8" borderId="19" xfId="0" applyNumberFormat="1" applyFont="1" applyFill="1" applyBorder="1" applyAlignment="1">
      <alignment horizontal="center"/>
    </xf>
    <xf numFmtId="170" fontId="77" fillId="8" borderId="19" xfId="0" applyNumberFormat="1" applyFont="1" applyFill="1" applyBorder="1" applyAlignment="1">
      <alignment horizontal="center"/>
    </xf>
    <xf numFmtId="0" fontId="77" fillId="8" borderId="19" xfId="0" applyFont="1" applyFill="1" applyBorder="1" applyAlignment="1">
      <alignment horizontal="center"/>
    </xf>
    <xf numFmtId="0" fontId="75" fillId="2" borderId="0" xfId="0" applyFont="1" applyFill="1"/>
    <xf numFmtId="171" fontId="84" fillId="10" borderId="21" xfId="0" applyNumberFormat="1" applyFont="1" applyFill="1" applyBorder="1" applyAlignment="1">
      <alignment horizontal="center"/>
    </xf>
    <xf numFmtId="2" fontId="84" fillId="10" borderId="21" xfId="0" applyNumberFormat="1" applyFont="1" applyFill="1" applyBorder="1" applyAlignment="1">
      <alignment horizontal="center"/>
    </xf>
    <xf numFmtId="171" fontId="84" fillId="11" borderId="32" xfId="0" applyNumberFormat="1" applyFont="1" applyFill="1" applyBorder="1" applyAlignment="1">
      <alignment horizontal="center"/>
    </xf>
    <xf numFmtId="2" fontId="84" fillId="11" borderId="32" xfId="0" applyNumberFormat="1" applyFont="1" applyFill="1" applyBorder="1" applyAlignment="1">
      <alignment horizontal="center"/>
    </xf>
    <xf numFmtId="168" fontId="83" fillId="12" borderId="32" xfId="0" applyNumberFormat="1" applyFont="1" applyFill="1" applyBorder="1" applyAlignment="1">
      <alignment horizontal="center"/>
    </xf>
    <xf numFmtId="171" fontId="84" fillId="10" borderId="32" xfId="0" applyNumberFormat="1" applyFont="1" applyFill="1" applyBorder="1" applyAlignment="1">
      <alignment horizontal="center"/>
    </xf>
    <xf numFmtId="2" fontId="84" fillId="10" borderId="32" xfId="0" applyNumberFormat="1" applyFont="1" applyFill="1" applyBorder="1" applyAlignment="1">
      <alignment horizontal="center"/>
    </xf>
    <xf numFmtId="168" fontId="83" fillId="12" borderId="31" xfId="0" applyNumberFormat="1" applyFont="1" applyFill="1" applyBorder="1" applyAlignment="1">
      <alignment horizontal="center"/>
    </xf>
    <xf numFmtId="0" fontId="76" fillId="11" borderId="32" xfId="0" applyFont="1" applyFill="1" applyBorder="1" applyAlignment="1">
      <alignment horizontal="center"/>
    </xf>
    <xf numFmtId="171" fontId="92" fillId="11" borderId="32" xfId="0" applyNumberFormat="1" applyFont="1" applyFill="1" applyBorder="1" applyAlignment="1">
      <alignment horizontal="center"/>
    </xf>
    <xf numFmtId="2" fontId="92" fillId="11" borderId="32" xfId="0" applyNumberFormat="1" applyFont="1" applyFill="1" applyBorder="1" applyAlignment="1">
      <alignment horizontal="center"/>
    </xf>
    <xf numFmtId="182" fontId="92" fillId="11" borderId="32" xfId="0" applyNumberFormat="1" applyFont="1" applyFill="1" applyBorder="1" applyAlignment="1">
      <alignment horizontal="center"/>
    </xf>
    <xf numFmtId="0" fontId="76" fillId="10" borderId="32" xfId="0" applyFont="1" applyFill="1" applyBorder="1" applyAlignment="1">
      <alignment horizontal="center"/>
    </xf>
    <xf numFmtId="171" fontId="92" fillId="10" borderId="32" xfId="0" applyNumberFormat="1" applyFont="1" applyFill="1" applyBorder="1" applyAlignment="1">
      <alignment horizontal="center"/>
    </xf>
    <xf numFmtId="2" fontId="92" fillId="10" borderId="32" xfId="0" applyNumberFormat="1" applyFont="1" applyFill="1" applyBorder="1" applyAlignment="1">
      <alignment horizontal="center"/>
    </xf>
    <xf numFmtId="182" fontId="92" fillId="10" borderId="32" xfId="0" applyNumberFormat="1" applyFont="1" applyFill="1" applyBorder="1" applyAlignment="1">
      <alignment horizontal="center"/>
    </xf>
    <xf numFmtId="0" fontId="76" fillId="11" borderId="31" xfId="0" applyFont="1" applyFill="1" applyBorder="1" applyAlignment="1">
      <alignment horizontal="center"/>
    </xf>
    <xf numFmtId="171" fontId="92" fillId="11" borderId="31" xfId="0" applyNumberFormat="1" applyFont="1" applyFill="1" applyBorder="1" applyAlignment="1">
      <alignment horizontal="center"/>
    </xf>
    <xf numFmtId="2" fontId="92" fillId="11" borderId="31" xfId="0" applyNumberFormat="1" applyFont="1" applyFill="1" applyBorder="1" applyAlignment="1">
      <alignment horizontal="center"/>
    </xf>
    <xf numFmtId="182" fontId="92" fillId="11" borderId="31" xfId="0" applyNumberFormat="1" applyFont="1" applyFill="1" applyBorder="1" applyAlignment="1">
      <alignment horizontal="center"/>
    </xf>
    <xf numFmtId="0" fontId="90" fillId="2" borderId="0" xfId="0" applyFont="1" applyFill="1"/>
    <xf numFmtId="0" fontId="98" fillId="6" borderId="0" xfId="0" applyFont="1" applyFill="1" applyAlignment="1">
      <alignment horizontal="center"/>
    </xf>
    <xf numFmtId="0" fontId="83" fillId="6" borderId="21" xfId="0" applyFont="1" applyFill="1" applyBorder="1" applyAlignment="1">
      <alignment horizontal="center"/>
    </xf>
    <xf numFmtId="171" fontId="83" fillId="6" borderId="21" xfId="0" applyNumberFormat="1" applyFont="1" applyFill="1" applyBorder="1" applyAlignment="1">
      <alignment horizontal="center"/>
    </xf>
    <xf numFmtId="2" fontId="83" fillId="6" borderId="21" xfId="0" applyNumberFormat="1" applyFont="1" applyFill="1" applyBorder="1" applyAlignment="1">
      <alignment horizontal="center"/>
    </xf>
    <xf numFmtId="168" fontId="83" fillId="6" borderId="21" xfId="0" applyNumberFormat="1" applyFont="1" applyFill="1" applyBorder="1" applyAlignment="1">
      <alignment horizontal="center"/>
    </xf>
    <xf numFmtId="0" fontId="91" fillId="10" borderId="21" xfId="0" applyFont="1" applyFill="1" applyBorder="1" applyAlignment="1">
      <alignment horizontal="center"/>
    </xf>
    <xf numFmtId="0" fontId="85" fillId="10" borderId="21" xfId="0" applyFont="1" applyFill="1" applyBorder="1" applyAlignment="1">
      <alignment horizontal="center"/>
    </xf>
    <xf numFmtId="0" fontId="99" fillId="8" borderId="19" xfId="0" applyFont="1" applyFill="1" applyBorder="1" applyAlignment="1">
      <alignment horizontal="center"/>
    </xf>
    <xf numFmtId="0" fontId="95" fillId="2" borderId="0" xfId="0" applyFont="1" applyFill="1" applyAlignment="1">
      <alignment horizontal="center"/>
    </xf>
    <xf numFmtId="170" fontId="95" fillId="2" borderId="0" xfId="0" applyNumberFormat="1" applyFont="1" applyFill="1" applyAlignment="1">
      <alignment horizontal="center"/>
    </xf>
    <xf numFmtId="2" fontId="95" fillId="2" borderId="0" xfId="0" applyNumberFormat="1" applyFont="1" applyFill="1" applyAlignment="1">
      <alignment horizontal="center"/>
    </xf>
    <xf numFmtId="0" fontId="96" fillId="11" borderId="32" xfId="0" applyFont="1" applyFill="1" applyBorder="1" applyAlignment="1">
      <alignment horizontal="center"/>
    </xf>
    <xf numFmtId="0" fontId="96" fillId="11" borderId="31" xfId="0" applyFont="1" applyFill="1" applyBorder="1" applyAlignment="1">
      <alignment horizontal="center"/>
    </xf>
    <xf numFmtId="0" fontId="96" fillId="10" borderId="32" xfId="0" applyFont="1" applyFill="1" applyBorder="1" applyAlignment="1">
      <alignment horizontal="center"/>
    </xf>
    <xf numFmtId="0" fontId="96" fillId="10" borderId="0" xfId="0" applyFont="1" applyFill="1" applyAlignment="1">
      <alignment horizontal="center"/>
    </xf>
    <xf numFmtId="0" fontId="83" fillId="6" borderId="19" xfId="0" applyFont="1" applyFill="1" applyBorder="1" applyAlignment="1">
      <alignment horizontal="center"/>
    </xf>
    <xf numFmtId="0" fontId="59" fillId="2" borderId="33" xfId="0" applyFont="1" applyFill="1" applyBorder="1"/>
    <xf numFmtId="0" fontId="81" fillId="10" borderId="0" xfId="0" applyFont="1" applyFill="1" applyAlignment="1">
      <alignment horizontal="center"/>
    </xf>
    <xf numFmtId="0" fontId="83" fillId="6" borderId="0" xfId="0" applyFont="1" applyFill="1" applyAlignment="1">
      <alignment horizontal="center"/>
    </xf>
    <xf numFmtId="0" fontId="100" fillId="8" borderId="0" xfId="0" applyFont="1" applyFill="1" applyAlignment="1">
      <alignment horizontal="center" vertical="center"/>
    </xf>
    <xf numFmtId="0" fontId="15" fillId="2" borderId="0" xfId="0" applyFont="1" applyFill="1" applyAlignment="1">
      <alignment horizontal="center" vertical="center" wrapText="1"/>
    </xf>
    <xf numFmtId="0" fontId="75" fillId="2" borderId="30" xfId="0" applyFont="1" applyFill="1" applyBorder="1" applyAlignment="1">
      <alignment horizontal="center" vertical="center"/>
    </xf>
    <xf numFmtId="0" fontId="75" fillId="2" borderId="0" xfId="0" applyFont="1" applyFill="1" applyAlignment="1">
      <alignment horizontal="left" vertical="center"/>
    </xf>
    <xf numFmtId="0" fontId="86" fillId="2" borderId="0" xfId="0" applyFont="1" applyFill="1" applyAlignment="1">
      <alignment horizontal="left" vertical="center"/>
    </xf>
    <xf numFmtId="0" fontId="59" fillId="2" borderId="0" xfId="0" applyFont="1" applyFill="1" applyAlignment="1">
      <alignment horizontal="left" vertical="center"/>
    </xf>
  </cellXfs>
  <cellStyles count="1">
    <cellStyle name="Normal" xfId="0" builtinId="0"/>
  </cellStyles>
  <dxfs count="243">
    <dxf>
      <font>
        <color rgb="FFEF4444"/>
      </font>
    </dxf>
    <dxf>
      <font>
        <color rgb="FF10B981"/>
      </font>
    </dxf>
    <dxf>
      <font>
        <color rgb="FFEF4444"/>
      </font>
    </dxf>
    <dxf>
      <font>
        <color rgb="FFF59E0B"/>
      </font>
    </dxf>
    <dxf>
      <font>
        <color rgb="FF10B981"/>
      </font>
    </dxf>
    <dxf>
      <font>
        <b/>
        <i val="0"/>
        <color rgb="FFFFFFFF"/>
      </font>
    </dxf>
    <dxf>
      <font>
        <b/>
        <i val="0"/>
        <color rgb="FFFFFFFF"/>
      </font>
    </dxf>
    <dxf>
      <font>
        <b/>
        <i val="0"/>
        <color rgb="FFFFFFFF"/>
      </font>
    </dxf>
    <dxf>
      <font>
        <color rgb="FFEF4444"/>
      </font>
    </dxf>
    <dxf>
      <font>
        <color rgb="FF10B981"/>
      </font>
    </dxf>
    <dxf>
      <font>
        <color rgb="FFEF4444"/>
      </font>
    </dxf>
    <dxf>
      <font>
        <color rgb="FF4ADE80"/>
      </font>
    </dxf>
    <dxf>
      <font>
        <color rgb="FFEF4444"/>
      </font>
    </dxf>
    <dxf>
      <font>
        <color rgb="FFF59E0B"/>
      </font>
    </dxf>
    <dxf>
      <font>
        <color rgb="FF10B981"/>
      </font>
    </dxf>
    <dxf>
      <font>
        <color rgb="FFEF4444"/>
      </font>
    </dxf>
    <dxf>
      <font>
        <color rgb="FFFBBF24"/>
      </font>
    </dxf>
    <dxf>
      <font>
        <color rgb="FF4ADE80"/>
      </font>
    </dxf>
    <dxf>
      <font>
        <color rgb="FFEF4444"/>
      </font>
    </dxf>
    <dxf>
      <font>
        <color rgb="FFF59E0B"/>
      </font>
    </dxf>
    <dxf>
      <font>
        <color rgb="FF10B981"/>
      </font>
    </dxf>
    <dxf>
      <font>
        <color rgb="FF4ADE80"/>
      </font>
    </dxf>
    <dxf>
      <font>
        <color rgb="FFFBBF24"/>
      </font>
    </dxf>
    <dxf>
      <font>
        <color rgb="FFEF4444"/>
      </font>
    </dxf>
    <dxf>
      <font>
        <color rgb="FFFF0000"/>
      </font>
    </dxf>
    <dxf>
      <font>
        <color rgb="FF00FF00"/>
      </font>
    </dxf>
    <dxf>
      <font>
        <color rgb="FFEF4444"/>
      </font>
    </dxf>
    <dxf>
      <font>
        <color rgb="FF10B981"/>
      </font>
    </dxf>
    <dxf>
      <font>
        <color rgb="FFFF0000"/>
      </font>
    </dxf>
    <dxf>
      <font>
        <color rgb="FF00FF00"/>
      </font>
    </dxf>
    <dxf>
      <font>
        <color rgb="FFEF4444"/>
      </font>
    </dxf>
    <dxf>
      <font>
        <color rgb="FF10B981"/>
      </font>
    </dxf>
    <dxf>
      <font>
        <color rgb="FFEF4444"/>
      </font>
    </dxf>
    <dxf>
      <font>
        <color rgb="FF10B981"/>
      </font>
    </dxf>
    <dxf>
      <font>
        <color rgb="FFFF0000"/>
      </font>
    </dxf>
    <dxf>
      <font>
        <color rgb="FFEF4444"/>
      </font>
    </dxf>
    <dxf>
      <font>
        <color rgb="FF10B981"/>
      </font>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4" formatCode="#,##0.00"/>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4" formatCode="#,##0.00"/>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numFmt numFmtId="164" formatCode="_([$$-409]* #,##0.00_);_([$$-409]* \(#,##0.00\);_([$$-409]* &quot;-&quot;??_);_(@_)"/>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sz val="11"/>
        <color rgb="FF1E293B"/>
        <name val="Calibri"/>
      </font>
      <fill>
        <patternFill patternType="solid">
          <fgColor indexed="64"/>
          <bgColor rgb="FFFFFFFF"/>
        </patternFill>
      </fill>
      <border diagonalUp="0" diagonalDown="0">
        <left/>
        <right/>
        <top style="thin">
          <color rgb="FFE9ECEF"/>
        </top>
        <bottom style="thin">
          <color rgb="FFE9ECEF"/>
        </bottom>
        <vertical/>
        <horizontal style="thin">
          <color rgb="FFE9ECEF"/>
        </horizontal>
      </border>
    </dxf>
    <dxf>
      <font>
        <b val="0"/>
        <i val="0"/>
        <strike val="0"/>
        <condense val="0"/>
        <extend val="0"/>
        <outline val="0"/>
        <shadow val="0"/>
        <u val="none"/>
        <vertAlign val="baseline"/>
        <sz val="11"/>
        <color rgb="FF1E293B"/>
        <name val="Calibri"/>
        <scheme val="minor"/>
      </font>
      <fill>
        <patternFill patternType="solid">
          <fgColor indexed="64"/>
          <bgColor rgb="FFFFFFFF"/>
        </patternFill>
      </fill>
      <border diagonalUp="0" diagonalDown="0">
        <left style="thin">
          <color rgb="FFD9D9D9"/>
        </left>
        <right/>
        <top style="thin">
          <color rgb="FFE9ECEF"/>
        </top>
        <bottom style="thin">
          <color rgb="FFE9ECEF"/>
        </bottom>
        <vertical/>
        <horizontal style="thin">
          <color rgb="FFE9ECEF"/>
        </horizontal>
      </border>
    </dxf>
    <dxf>
      <border outline="0">
        <top style="thin">
          <color rgb="FFD9D9D9"/>
        </top>
      </border>
    </dxf>
    <dxf>
      <border outline="0">
        <right style="thin">
          <color rgb="FFD9D9D9"/>
        </right>
        <top style="thin">
          <color rgb="FF417A85"/>
        </top>
        <bottom style="thin">
          <color rgb="FF417A85"/>
        </bottom>
      </border>
    </dxf>
    <dxf>
      <font>
        <b val="0"/>
        <sz val="11"/>
        <color rgb="FF1E293B"/>
        <name val="Calibri"/>
      </font>
      <fill>
        <patternFill patternType="solid">
          <fgColor indexed="64"/>
          <bgColor rgb="FFFFFFFF"/>
        </patternFill>
      </fill>
    </dxf>
    <dxf>
      <border>
        <bottom style="medium">
          <color rgb="FF38BDF8"/>
        </bottom>
      </border>
    </dxf>
    <dxf>
      <font>
        <b/>
        <i val="0"/>
        <strike val="0"/>
        <condense val="0"/>
        <extend val="0"/>
        <outline val="0"/>
        <shadow val="0"/>
        <u val="none"/>
        <vertAlign val="baseline"/>
        <sz val="10"/>
        <color rgb="FFFFFFFF"/>
        <name val="Calibri"/>
        <scheme val="minor"/>
      </font>
      <fill>
        <patternFill patternType="solid">
          <fgColor indexed="64"/>
          <bgColor rgb="FF1E3A5F"/>
        </patternFill>
      </fill>
      <alignment horizontal="center"/>
      <border diagonalUp="0" diagonalDown="0">
        <left style="thin">
          <color rgb="FFD9D9D9"/>
        </left>
        <right style="thin">
          <color rgb="FFD9D9D9"/>
        </right>
        <top/>
        <bottom/>
      </border>
    </dxf>
    <dxf>
      <font>
        <sz val="10"/>
      </font>
    </dxf>
    <dxf>
      <font>
        <sz val="10"/>
      </font>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0F4F8"/>
        </patternFill>
      </fill>
    </dxf>
    <dxf>
      <fill>
        <patternFill patternType="solid">
          <fgColor indexed="64"/>
          <bgColor rgb="FFF0F4F8"/>
        </patternFill>
      </fill>
    </dxf>
    <dxf>
      <font>
        <sz val="10"/>
      </font>
    </dxf>
    <dxf>
      <font>
        <sz val="10"/>
      </font>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0F4F8"/>
        </patternFill>
      </fill>
    </dxf>
    <dxf>
      <fill>
        <patternFill patternType="solid">
          <fgColor indexed="64"/>
          <bgColor rgb="FFF0F4F8"/>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0F4F8"/>
        </patternFill>
      </fill>
    </dxf>
    <dxf>
      <fill>
        <patternFill patternType="solid">
          <fgColor indexed="64"/>
          <bgColor rgb="FFF0F4F8"/>
        </patternFill>
      </fill>
    </dxf>
    <dxf>
      <font>
        <sz val="10"/>
      </font>
    </dxf>
    <dxf>
      <font>
        <sz val="10"/>
      </font>
    </dxf>
    <dxf>
      <fill>
        <patternFill patternType="solid">
          <fgColor indexed="64"/>
          <bgColor rgb="FFFFFFFF"/>
        </patternFill>
      </fill>
    </dxf>
    <dxf>
      <fill>
        <patternFill patternType="solid">
          <fgColor indexed="64"/>
          <bgColor rgb="FFFFFFFF"/>
        </patternFill>
      </fill>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1E293B"/>
      </font>
    </dxf>
    <dxf>
      <font>
        <color rgb="FF1E293B"/>
      </font>
    </dxf>
    <dxf>
      <font>
        <color rgb="FF1E293B"/>
      </font>
    </dxf>
    <dxf>
      <font>
        <color rgb="FF1E293B"/>
      </font>
    </dxf>
    <dxf>
      <font>
        <color rgb="FF1E293B"/>
      </font>
    </dxf>
    <dxf>
      <font>
        <color rgb="FF1E293B"/>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EEF2F7"/>
        </patternFill>
      </fill>
    </dxf>
    <dxf>
      <font>
        <sz val="10"/>
      </font>
    </dxf>
    <dxf>
      <font>
        <sz val="10"/>
      </font>
    </dxf>
    <dxf>
      <fill>
        <patternFill patternType="solid">
          <fgColor indexed="64"/>
          <bgColor rgb="FFEEF2F7"/>
        </patternFill>
      </fill>
    </dxf>
    <dxf>
      <font>
        <sz val="10"/>
      </font>
    </dxf>
    <dxf>
      <font>
        <sz val="10"/>
      </font>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1E293B"/>
      </font>
    </dxf>
    <dxf>
      <font>
        <color rgb="FF1E293B"/>
      </font>
    </dxf>
    <dxf>
      <font>
        <color rgb="FF1E293B"/>
      </font>
    </dxf>
    <dxf>
      <font>
        <color rgb="FF1E293B"/>
      </font>
    </dxf>
    <dxf>
      <font>
        <color rgb="FF1E293B"/>
      </font>
    </dxf>
    <dxf>
      <font>
        <color rgb="FF1E293B"/>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FFFFF"/>
        </patternFill>
      </fill>
    </dxf>
    <dxf>
      <font>
        <sz val="10"/>
      </font>
    </dxf>
    <dxf>
      <font>
        <sz val="10"/>
      </font>
    </dxf>
    <dxf>
      <fill>
        <patternFill patternType="solid">
          <fgColor indexed="64"/>
          <bgColor rgb="FFF8F9FA"/>
        </patternFill>
      </fill>
    </dxf>
    <dxf>
      <font>
        <sz val="10"/>
      </font>
    </dxf>
    <dxf>
      <font>
        <sz val="10"/>
      </font>
    </dxf>
    <dxf>
      <fill>
        <patternFill patternType="solid">
          <fgColor indexed="64"/>
          <bgColor rgb="FFF8F9FA"/>
        </patternFill>
      </fill>
    </dxf>
    <dxf>
      <font>
        <sz val="10"/>
      </font>
    </dxf>
    <dxf>
      <font>
        <sz val="10"/>
      </font>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212529"/>
      </font>
    </dxf>
    <dxf>
      <font>
        <color rgb="FF212529"/>
      </font>
    </dxf>
    <dxf>
      <font>
        <color rgb="FF212529"/>
      </font>
    </dxf>
    <dxf>
      <font>
        <color rgb="FF212529"/>
      </font>
    </dxf>
    <dxf>
      <font>
        <color rgb="FF212529"/>
      </font>
    </dxf>
    <dxf>
      <font>
        <color rgb="FF212529"/>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name val="Calibri"/>
      </font>
    </dxf>
    <dxf>
      <font>
        <name val="Calibri"/>
      </font>
    </dxf>
    <dxf>
      <font>
        <name val="Calibri"/>
      </font>
    </dxf>
    <dxf>
      <font>
        <name val="Calibri"/>
      </font>
    </dxf>
    <dxf>
      <font>
        <name val="Calibri"/>
      </font>
    </dxf>
    <dxf>
      <font>
        <name val="Calibri"/>
      </font>
    </dxf>
    <dxf>
      <font>
        <color rgb="FF212529"/>
      </font>
    </dxf>
    <dxf>
      <font>
        <color rgb="FF212529"/>
      </font>
    </dxf>
    <dxf>
      <font>
        <color rgb="FF212529"/>
      </font>
    </dxf>
    <dxf>
      <font>
        <color rgb="FF212529"/>
      </font>
    </dxf>
    <dxf>
      <font>
        <color rgb="FF212529"/>
      </font>
    </dxf>
    <dxf>
      <font>
        <color rgb="FF212529"/>
      </font>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fill>
        <patternFill patternType="solid">
          <fgColor indexed="64"/>
          <bgColor rgb="FFFFFFFF"/>
        </patternFill>
      </fill>
    </dxf>
    <dxf>
      <border diagonalUp="0" diagonalDown="0">
        <left style="thin">
          <color rgb="FFE9ECEF"/>
        </left>
        <right/>
        <top style="thin">
          <color rgb="FFDEE2E6"/>
        </top>
        <bottom style="thin">
          <color rgb="FFDEE2E6"/>
        </bottom>
        <vertical style="thin">
          <color rgb="FFE9ECEF"/>
        </vertical>
        <horizontal style="thin">
          <color rgb="FFDEE2E6"/>
        </horizontal>
      </border>
    </dxf>
    <dxf>
      <numFmt numFmtId="165" formatCode="[$$-409]#,##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4" formatCode="#,##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165" formatCode="[$$-409]#,##0.00"/>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border diagonalUp="0" diagonalDown="0">
        <left style="thin">
          <color rgb="FFE9ECEF"/>
        </left>
        <right style="thin">
          <color rgb="FFE9ECEF"/>
        </right>
        <top style="thin">
          <color rgb="FFDEE2E6"/>
        </top>
        <bottom style="thin">
          <color rgb="FFDEE2E6"/>
        </bottom>
        <vertical style="thin">
          <color rgb="FFE9ECEF"/>
        </vertical>
        <horizontal style="thin">
          <color rgb="FFDEE2E6"/>
        </horizontal>
      </border>
    </dxf>
    <dxf>
      <numFmt numFmtId="19" formatCode="dd/mm/yyyy"/>
      <border diagonalUp="0" diagonalDown="0">
        <left/>
        <right style="thin">
          <color rgb="FFE9ECEF"/>
        </right>
        <top style="thin">
          <color rgb="FFDEE2E6"/>
        </top>
        <bottom style="thin">
          <color rgb="FFDEE2E6"/>
        </bottom>
        <vertical style="thin">
          <color rgb="FFE9ECEF"/>
        </vertical>
        <horizontal style="thin">
          <color rgb="FFDEE2E6"/>
        </horizontal>
      </border>
    </dxf>
    <dxf>
      <border>
        <top style="thin">
          <color rgb="FFE9ECEF"/>
        </top>
      </border>
    </dxf>
    <dxf>
      <border diagonalUp="0" diagonalDown="0">
        <left/>
        <right/>
        <top/>
        <bottom/>
      </border>
    </dxf>
    <dxf>
      <border>
        <bottom style="medium">
          <color rgb="FF38BDF8"/>
        </bottom>
      </border>
    </dxf>
    <dxf>
      <font>
        <b/>
        <sz val="11"/>
        <color rgb="FFFFFFFF"/>
        <name val="Calibri"/>
      </font>
      <fill>
        <patternFill patternType="solid">
          <fgColor indexed="64"/>
          <bgColor rgb="FF1E3A5F"/>
        </patternFill>
      </fill>
      <alignment horizontal="center"/>
      <border diagonalUp="0" diagonalDown="0">
        <left style="thin">
          <color rgb="FFE9ECEF"/>
        </left>
        <right style="thin">
          <color rgb="FFE9ECEF"/>
        </right>
        <top/>
        <bottom/>
        <vertical style="thin">
          <color rgb="FFE9ECEF"/>
        </vertical>
        <horizontal style="thin">
          <color rgb="FFE9ECEF"/>
        </horizontal>
      </border>
    </dxf>
  </dxfs>
  <tableStyles count="0" defaultTableStyle="TableStyleMedium2" defaultPivotStyle="PivotStyleLight16"/>
  <colors>
    <mruColors>
      <color rgb="FF417A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17/06/relationships/rdRichValue" Target="richData/rdrichvalue.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aseline="0">
                <a:solidFill>
                  <a:schemeClr val="bg1"/>
                </a:solidFill>
              </a:rPr>
              <a:t>Sector Allocation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KE"/>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ED-42B1-A9C2-2874825558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ED-42B1-A9C2-2874825558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ED-42B1-A9C2-2874825558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ED-42B1-A9C2-28748255582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ED-42B1-A9C2-28748255582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6ED-42B1-A9C2-28748255582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6ED-42B1-A9C2-28748255582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6ED-42B1-A9C2-28748255582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6ED-42B1-A9C2-28748255582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6ED-42B1-A9C2-287482555829}"/>
              </c:ext>
            </c:extLst>
          </c:dPt>
          <c:cat>
            <c:strRef>
              <c:f>Dashboard!$B$30:$B$39</c:f>
              <c:strCache>
                <c:ptCount val="10"/>
                <c:pt idx="0">
                  <c:v>Aerospace &amp; Defense</c:v>
                </c:pt>
                <c:pt idx="1">
                  <c:v>Computers, Phones &amp; Household Electronics</c:v>
                </c:pt>
                <c:pt idx="2">
                  <c:v>Semiconductors &amp; Semiconductor Equipment</c:v>
                </c:pt>
                <c:pt idx="3">
                  <c:v>Diversified Retail</c:v>
                </c:pt>
                <c:pt idx="4">
                  <c:v>Investment Banking &amp; Investment Services</c:v>
                </c:pt>
                <c:pt idx="5">
                  <c:v>Oil &amp; Gas</c:v>
                </c:pt>
                <c:pt idx="6">
                  <c:v>Automobiles &amp; Auto Parts</c:v>
                </c:pt>
                <c:pt idx="7">
                  <c:v>Software &amp; IT Services</c:v>
                </c:pt>
                <c:pt idx="8">
                  <c:v>Banking Services</c:v>
                </c:pt>
                <c:pt idx="9">
                  <c:v>Food &amp; Drug Retailing</c:v>
                </c:pt>
              </c:strCache>
            </c:strRef>
          </c:cat>
          <c:val>
            <c:numRef>
              <c:f>Dashboard!$D$30:$D$39</c:f>
              <c:numCache>
                <c:formatCode>[$$ -409]#,##0</c:formatCode>
                <c:ptCount val="10"/>
                <c:pt idx="0">
                  <c:v>25243.700100000002</c:v>
                </c:pt>
                <c:pt idx="1">
                  <c:v>14239.349200000001</c:v>
                </c:pt>
                <c:pt idx="2">
                  <c:v>112710.92609999998</c:v>
                </c:pt>
                <c:pt idx="3">
                  <c:v>9655.6252499999991</c:v>
                </c:pt>
                <c:pt idx="4">
                  <c:v>27469.585500000001</c:v>
                </c:pt>
                <c:pt idx="5">
                  <c:v>14662.19175</c:v>
                </c:pt>
                <c:pt idx="6">
                  <c:v>23298.548555999998</c:v>
                </c:pt>
                <c:pt idx="7">
                  <c:v>36498.030899999998</c:v>
                </c:pt>
                <c:pt idx="8">
                  <c:v>16808.7248</c:v>
                </c:pt>
                <c:pt idx="9">
                  <c:v>23093.703799999999</c:v>
                </c:pt>
              </c:numCache>
            </c:numRef>
          </c:val>
          <c:extLst>
            <c:ext xmlns:c16="http://schemas.microsoft.com/office/drawing/2014/chart" uri="{C3380CC4-5D6E-409C-BE32-E72D297353CC}">
              <c16:uniqueId val="{00000000-7129-4455-A329-9CE9C60F5F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lumMod val="6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i="0" baseline="0"/>
              <a:t>Total Return by Stock (%)</a:t>
            </a:r>
          </a:p>
        </c:rich>
      </c:tx>
      <c:layout>
        <c:manualLayout>
          <c:xMode val="edge"/>
          <c:yMode val="edge"/>
          <c:x val="0.38255597286105064"/>
          <c:y val="1.13590245549464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KE"/>
        </a:p>
      </c:txPr>
    </c:title>
    <c:autoTitleDeleted val="0"/>
    <c:plotArea>
      <c:layout>
        <c:manualLayout>
          <c:layoutTarget val="inner"/>
          <c:xMode val="edge"/>
          <c:yMode val="edge"/>
          <c:x val="4.0583520389027426E-2"/>
          <c:y val="0.11412307692307694"/>
          <c:w val="0.9239346903711666"/>
          <c:h val="0.8147437916414294"/>
        </c:manualLayout>
      </c:layout>
      <c:barChart>
        <c:barDir val="bar"/>
        <c:grouping val="clustered"/>
        <c:varyColors val="0"/>
        <c:ser>
          <c:idx val="0"/>
          <c:order val="0"/>
          <c:tx>
            <c:v>Return %</c:v>
          </c:tx>
          <c:spPr>
            <a:solidFill>
              <a:schemeClr val="accent1"/>
            </a:solidFill>
            <a:ln>
              <a:noFill/>
            </a:ln>
            <a:effectLst/>
          </c:spPr>
          <c:invertIfNegative val="0"/>
          <c:dLbls>
            <c:dLbl>
              <c:idx val="4"/>
              <c:layout>
                <c:manualLayout>
                  <c:x val="-6.258822137918190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F4-4B9D-B17B-A248AED56FAA}"/>
                </c:ext>
              </c:extLst>
            </c:dLbl>
            <c:dLbl>
              <c:idx val="10"/>
              <c:layout>
                <c:manualLayout>
                  <c:x val="-6.7529396751222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F4-4B9D-B17B-A248AED56FA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Dashboard!$B$7:$B$22</c:f>
              <c:strCache>
                <c:ptCount val="16"/>
                <c:pt idx="0">
                  <c:v>0R2N</c:v>
                </c:pt>
                <c:pt idx="1">
                  <c:v>AAPL</c:v>
                </c:pt>
                <c:pt idx="2">
                  <c:v>AMD</c:v>
                </c:pt>
                <c:pt idx="3">
                  <c:v>AMZN</c:v>
                </c:pt>
                <c:pt idx="4">
                  <c:v>BA</c:v>
                </c:pt>
                <c:pt idx="5">
                  <c:v>BLK</c:v>
                </c:pt>
                <c:pt idx="6">
                  <c:v>C</c:v>
                </c:pt>
                <c:pt idx="7">
                  <c:v>CVX</c:v>
                </c:pt>
                <c:pt idx="8">
                  <c:v>F</c:v>
                </c:pt>
                <c:pt idx="9">
                  <c:v>GOOG</c:v>
                </c:pt>
                <c:pt idx="10">
                  <c:v>HMC</c:v>
                </c:pt>
                <c:pt idx="11">
                  <c:v>JPM</c:v>
                </c:pt>
                <c:pt idx="12">
                  <c:v>META</c:v>
                </c:pt>
                <c:pt idx="13">
                  <c:v>NVDA</c:v>
                </c:pt>
                <c:pt idx="14">
                  <c:v>TM</c:v>
                </c:pt>
                <c:pt idx="15">
                  <c:v>WMT</c:v>
                </c:pt>
              </c:strCache>
            </c:strRef>
          </c:cat>
          <c:val>
            <c:numRef>
              <c:f>Dashboard!$L$7:$L$22</c:f>
              <c:numCache>
                <c:formatCode>\+0.0%;\-0.0%;"-"</c:formatCode>
                <c:ptCount val="16"/>
                <c:pt idx="0">
                  <c:v>0.97044958281370131</c:v>
                </c:pt>
                <c:pt idx="1">
                  <c:v>0.92640660558217514</c:v>
                </c:pt>
                <c:pt idx="2">
                  <c:v>2.1931095923095127</c:v>
                </c:pt>
                <c:pt idx="3">
                  <c:v>0.49216603290934874</c:v>
                </c:pt>
                <c:pt idx="4">
                  <c:v>-3.1168064744497764E-2</c:v>
                </c:pt>
                <c:pt idx="5">
                  <c:v>0.28303688352866035</c:v>
                </c:pt>
                <c:pt idx="6">
                  <c:v>0.96659915485426673</c:v>
                </c:pt>
                <c:pt idx="7">
                  <c:v>0.48414782919141541</c:v>
                </c:pt>
                <c:pt idx="8">
                  <c:v>8.8062562207436537E-2</c:v>
                </c:pt>
                <c:pt idx="9">
                  <c:v>1.5472762896163494</c:v>
                </c:pt>
                <c:pt idx="10">
                  <c:v>-0.13381727679594252</c:v>
                </c:pt>
                <c:pt idx="11">
                  <c:v>0.78225846264823873</c:v>
                </c:pt>
                <c:pt idx="12">
                  <c:v>0.98269702554061766</c:v>
                </c:pt>
                <c:pt idx="13">
                  <c:v>9.1481213457076294</c:v>
                </c:pt>
                <c:pt idx="14">
                  <c:v>0.26358853595433163</c:v>
                </c:pt>
                <c:pt idx="15">
                  <c:v>1.3333051913220624</c:v>
                </c:pt>
              </c:numCache>
            </c:numRef>
          </c:val>
          <c:extLst>
            <c:ext xmlns:c16="http://schemas.microsoft.com/office/drawing/2014/chart" uri="{C3380CC4-5D6E-409C-BE32-E72D297353CC}">
              <c16:uniqueId val="{00000001-AA2A-434A-9410-79069D6C812F}"/>
            </c:ext>
          </c:extLst>
        </c:ser>
        <c:dLbls>
          <c:dLblPos val="outEnd"/>
          <c:showLegendKey val="0"/>
          <c:showVal val="1"/>
          <c:showCatName val="0"/>
          <c:showSerName val="0"/>
          <c:showPercent val="0"/>
          <c:showBubbleSize val="0"/>
        </c:dLbls>
        <c:gapWidth val="33"/>
        <c:axId val="1832914096"/>
        <c:axId val="1832887696"/>
      </c:barChart>
      <c:catAx>
        <c:axId val="183291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1832887696"/>
        <c:crosses val="autoZero"/>
        <c:auto val="1"/>
        <c:lblAlgn val="ctr"/>
        <c:lblOffset val="100"/>
        <c:noMultiLvlLbl val="0"/>
      </c:catAx>
      <c:valAx>
        <c:axId val="1832887696"/>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183291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i="0" baseline="0"/>
              <a:t>Risk-Return Profile (</a:t>
            </a:r>
            <a:r>
              <a:rPr lang="el-GR" b="1" i="0" baseline="0"/>
              <a:t>β </a:t>
            </a:r>
            <a:r>
              <a:rPr lang="en-US" b="1" i="0" baseline="0"/>
              <a:t>vs CAGR)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KE"/>
        </a:p>
      </c:txPr>
    </c:title>
    <c:autoTitleDeleted val="0"/>
    <c:plotArea>
      <c:layout>
        <c:manualLayout>
          <c:layoutTarget val="inner"/>
          <c:xMode val="edge"/>
          <c:yMode val="edge"/>
          <c:x val="0.11142406718508785"/>
          <c:y val="9.1807591358772464E-2"/>
          <c:w val="0.84819736231134657"/>
          <c:h val="0.83587179487179486"/>
        </c:manualLayout>
      </c:layout>
      <c:scatterChart>
        <c:scatterStyle val="lineMarker"/>
        <c:varyColors val="0"/>
        <c:ser>
          <c:idx val="0"/>
          <c:order val="0"/>
          <c:tx>
            <c:v>Stocks</c:v>
          </c:tx>
          <c:spPr>
            <a:ln w="25400" cap="rnd">
              <a:noFill/>
              <a:round/>
            </a:ln>
            <a:effectLst/>
          </c:spPr>
          <c:marker>
            <c:symbol val="circle"/>
            <c:size val="12"/>
            <c:spPr>
              <a:solidFill>
                <a:schemeClr val="accent2">
                  <a:lumMod val="75000"/>
                </a:schemeClr>
              </a:solidFill>
              <a:ln w="9525">
                <a:noFill/>
              </a:ln>
              <a:effectLst/>
            </c:spPr>
          </c:marker>
          <c:xVal>
            <c:numRef>
              <c:f>'Risk Analytics'!$D$39:$D$54</c:f>
              <c:numCache>
                <c:formatCode>0.00</c:formatCode>
                <c:ptCount val="16"/>
                <c:pt idx="0">
                  <c:v>0.41199999999999998</c:v>
                </c:pt>
                <c:pt idx="1">
                  <c:v>1.1034999999999999</c:v>
                </c:pt>
                <c:pt idx="2">
                  <c:v>1.9919</c:v>
                </c:pt>
                <c:pt idx="3">
                  <c:v>1.3631</c:v>
                </c:pt>
                <c:pt idx="4">
                  <c:v>1.1786000000000001</c:v>
                </c:pt>
                <c:pt idx="5">
                  <c:v>1.4875</c:v>
                </c:pt>
                <c:pt idx="6">
                  <c:v>1.1154999999999999</c:v>
                </c:pt>
                <c:pt idx="7">
                  <c:v>0.60919999999999996</c:v>
                </c:pt>
                <c:pt idx="8">
                  <c:v>1.7561</c:v>
                </c:pt>
                <c:pt idx="9">
                  <c:v>1.1004</c:v>
                </c:pt>
                <c:pt idx="10">
                  <c:v>0.46800000000000003</c:v>
                </c:pt>
                <c:pt idx="11">
                  <c:v>1.0615000000000001</c:v>
                </c:pt>
                <c:pt idx="12">
                  <c:v>1.2983</c:v>
                </c:pt>
                <c:pt idx="13">
                  <c:v>2.3466999999999998</c:v>
                </c:pt>
                <c:pt idx="14">
                  <c:v>0.7046</c:v>
                </c:pt>
                <c:pt idx="15">
                  <c:v>0.66820000000000002</c:v>
                </c:pt>
              </c:numCache>
            </c:numRef>
          </c:xVal>
          <c:yVal>
            <c:numRef>
              <c:f>'Risk Analytics'!$E$39:$E$54</c:f>
              <c:numCache>
                <c:formatCode>0.0%</c:formatCode>
                <c:ptCount val="16"/>
                <c:pt idx="0">
                  <c:v>0.11965190332092024</c:v>
                </c:pt>
                <c:pt idx="1">
                  <c:v>0.11544244895388989</c:v>
                </c:pt>
                <c:pt idx="2">
                  <c:v>0.21343486372950538</c:v>
                </c:pt>
                <c:pt idx="3">
                  <c:v>6.8963599812633891E-2</c:v>
                </c:pt>
                <c:pt idx="4">
                  <c:v>-5.2622557180604934E-3</c:v>
                </c:pt>
                <c:pt idx="5">
                  <c:v>4.2403214463831551E-2</c:v>
                </c:pt>
                <c:pt idx="6">
                  <c:v>0.119287039945986</c:v>
                </c:pt>
                <c:pt idx="7">
                  <c:v>6.8004316130137354E-2</c:v>
                </c:pt>
                <c:pt idx="8">
                  <c:v>1.4162585334254851E-2</c:v>
                </c:pt>
                <c:pt idx="9">
                  <c:v>0.16859467871402645</c:v>
                </c:pt>
                <c:pt idx="10">
                  <c:v>-2.3653535211861865E-2</c:v>
                </c:pt>
                <c:pt idx="11">
                  <c:v>0.101080081734644</c:v>
                </c:pt>
                <c:pt idx="12">
                  <c:v>0.1208085235913201</c:v>
                </c:pt>
                <c:pt idx="13">
                  <c:v>0.47127102507432395</c:v>
                </c:pt>
                <c:pt idx="14">
                  <c:v>3.9753561794573899E-2</c:v>
                </c:pt>
                <c:pt idx="15">
                  <c:v>0.15163432839692415</c:v>
                </c:pt>
              </c:numCache>
            </c:numRef>
          </c:yVal>
          <c:smooth val="0"/>
          <c:extLst>
            <c:ext xmlns:c16="http://schemas.microsoft.com/office/drawing/2014/chart" uri="{C3380CC4-5D6E-409C-BE32-E72D297353CC}">
              <c16:uniqueId val="{00000001-FD6D-4A8D-B1E6-D69F7224F3AA}"/>
            </c:ext>
          </c:extLst>
        </c:ser>
        <c:dLbls>
          <c:showLegendKey val="0"/>
          <c:showVal val="0"/>
          <c:showCatName val="0"/>
          <c:showSerName val="0"/>
          <c:showPercent val="0"/>
          <c:showBubbleSize val="0"/>
        </c:dLbls>
        <c:axId val="1832915536"/>
        <c:axId val="1832918416"/>
      </c:scatterChart>
      <c:valAx>
        <c:axId val="1832915536"/>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Beta (</a:t>
                </a:r>
                <a:r>
                  <a:rPr lang="el-GR"/>
                  <a:t>β)</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1832918416"/>
        <c:crosses val="autoZero"/>
        <c:crossBetween val="midCat"/>
      </c:valAx>
      <c:valAx>
        <c:axId val="1832918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CAGR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KE"/>
            </a:p>
          </c:txPr>
        </c:title>
        <c:numFmt formatCode="0%" sourceLinked="0"/>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KE"/>
          </a:p>
        </c:txPr>
        <c:crossAx val="1832915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r>
              <a:rPr lang="en-US" sz="1400"/>
              <a:t>Market Cap Comparison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tx>
            <c:v>Market Cap</c:v>
          </c:tx>
          <c:spPr>
            <a:solidFill>
              <a:srgbClr val="38BDF8"/>
            </a:solidFill>
            <a:ln>
              <a:noFill/>
            </a:ln>
            <a:effectLst/>
          </c:spPr>
          <c:invertIfNegative val="0"/>
          <c:cat>
            <c:strRef>
              <c:f>'WL Dashboard'!$B$8:$B$16</c:f>
              <c:strCache>
                <c:ptCount val="9"/>
                <c:pt idx="0">
                  <c:v>MSFT</c:v>
                </c:pt>
                <c:pt idx="1">
                  <c:v>BABA</c:v>
                </c:pt>
                <c:pt idx="2">
                  <c:v>DELL</c:v>
                </c:pt>
                <c:pt idx="3">
                  <c:v>GS</c:v>
                </c:pt>
                <c:pt idx="4">
                  <c:v>XOM</c:v>
                </c:pt>
                <c:pt idx="5">
                  <c:v>GM</c:v>
                </c:pt>
                <c:pt idx="6">
                  <c:v>BAC</c:v>
                </c:pt>
                <c:pt idx="7">
                  <c:v>LMT</c:v>
                </c:pt>
                <c:pt idx="8">
                  <c:v>COST</c:v>
                </c:pt>
              </c:strCache>
            </c:strRef>
          </c:cat>
          <c:val>
            <c:numRef>
              <c:f>'WL Dashboard'!$H$8:$H$16</c:f>
              <c:numCache>
                <c:formatCode>[$$ -409]#,##0,,"B"</c:formatCode>
                <c:ptCount val="9"/>
                <c:pt idx="0">
                  <c:v>2758175635760</c:v>
                </c:pt>
                <c:pt idx="1">
                  <c:v>292887826840</c:v>
                </c:pt>
                <c:pt idx="2">
                  <c:v>111811352775</c:v>
                </c:pt>
                <c:pt idx="3">
                  <c:v>255388815469</c:v>
                </c:pt>
                <c:pt idx="4">
                  <c:v>670974006920</c:v>
                </c:pt>
                <c:pt idx="5">
                  <c:v>66134284248</c:v>
                </c:pt>
                <c:pt idx="6">
                  <c:v>356106408015</c:v>
                </c:pt>
                <c:pt idx="7">
                  <c:v>143939414196</c:v>
                </c:pt>
                <c:pt idx="8">
                  <c:v>451136917675</c:v>
                </c:pt>
              </c:numCache>
            </c:numRef>
          </c:val>
          <c:extLst>
            <c:ext xmlns:c16="http://schemas.microsoft.com/office/drawing/2014/chart" uri="{C3380CC4-5D6E-409C-BE32-E72D297353CC}">
              <c16:uniqueId val="{00000001-22C9-489C-BFCD-E678AA482362}"/>
            </c:ext>
          </c:extLst>
        </c:ser>
        <c:dLbls>
          <c:showLegendKey val="0"/>
          <c:showVal val="0"/>
          <c:showCatName val="0"/>
          <c:showSerName val="0"/>
          <c:showPercent val="0"/>
          <c:showBubbleSize val="0"/>
        </c:dLbls>
        <c:gapWidth val="33"/>
        <c:axId val="14527199"/>
        <c:axId val="14521919"/>
      </c:barChart>
      <c:catAx>
        <c:axId val="1452719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200" b="1" i="0" u="none" strike="noStrike" kern="1200" baseline="0">
                <a:solidFill>
                  <a:srgbClr val="E2E8F0"/>
                </a:solidFill>
                <a:latin typeface="+mn-lt"/>
                <a:ea typeface="+mn-ea"/>
                <a:cs typeface="+mn-cs"/>
              </a:defRPr>
            </a:pPr>
            <a:endParaRPr lang="en-KE"/>
          </a:p>
        </c:txPr>
        <c:crossAx val="14521919"/>
        <c:crosses val="autoZero"/>
        <c:auto val="1"/>
        <c:lblAlgn val="ctr"/>
        <c:lblOffset val="100"/>
        <c:noMultiLvlLbl val="0"/>
      </c:catAx>
      <c:valAx>
        <c:axId val="14521919"/>
        <c:scaling>
          <c:orientation val="minMax"/>
        </c:scaling>
        <c:delete val="0"/>
        <c:axPos val="b"/>
        <c:majorGridlines>
          <c:spPr>
            <a:ln w="9525" cap="flat" cmpd="sng" algn="ctr">
              <a:solidFill>
                <a:srgbClr val="2D3B55"/>
              </a:solidFill>
              <a:prstDash val="solid"/>
              <a:round/>
            </a:ln>
            <a:effectLst/>
          </c:spPr>
        </c:majorGridlines>
        <c:numFmt formatCode="[$$-409]#,##0,,,&quot;B&quot;"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1200" b="1" i="0" u="none" strike="noStrike" kern="1200" baseline="0">
                <a:solidFill>
                  <a:srgbClr val="94A3B8"/>
                </a:solidFill>
                <a:latin typeface="+mn-lt"/>
                <a:ea typeface="+mn-ea"/>
                <a:cs typeface="+mn-cs"/>
              </a:defRPr>
            </a:pPr>
            <a:endParaRPr lang="en-KE"/>
          </a:p>
        </c:txPr>
        <c:crossAx val="1452719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r>
              <a:rPr lang="en-US" sz="1400"/>
              <a:t>P/E Ratio Comparison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KE"/>
        </a:p>
      </c:txPr>
    </c:title>
    <c:autoTitleDeleted val="0"/>
    <c:plotArea>
      <c:layout/>
      <c:barChart>
        <c:barDir val="col"/>
        <c:grouping val="clustered"/>
        <c:varyColors val="0"/>
        <c:ser>
          <c:idx val="0"/>
          <c:order val="0"/>
          <c:tx>
            <c:v>P/E Ratio</c:v>
          </c:tx>
          <c:spPr>
            <a:solidFill>
              <a:srgbClr val="A78BFA"/>
            </a:solidFill>
            <a:ln>
              <a:noFill/>
            </a:ln>
            <a:effectLst/>
          </c:spPr>
          <c:invertIfNegative val="0"/>
          <c:cat>
            <c:strRef>
              <c:f>'WL Dashboard'!$B$8:$B$16</c:f>
              <c:strCache>
                <c:ptCount val="9"/>
                <c:pt idx="0">
                  <c:v>MSFT</c:v>
                </c:pt>
                <c:pt idx="1">
                  <c:v>BABA</c:v>
                </c:pt>
                <c:pt idx="2">
                  <c:v>DELL</c:v>
                </c:pt>
                <c:pt idx="3">
                  <c:v>GS</c:v>
                </c:pt>
                <c:pt idx="4">
                  <c:v>XOM</c:v>
                </c:pt>
                <c:pt idx="5">
                  <c:v>GM</c:v>
                </c:pt>
                <c:pt idx="6">
                  <c:v>BAC</c:v>
                </c:pt>
                <c:pt idx="7">
                  <c:v>LMT</c:v>
                </c:pt>
                <c:pt idx="8">
                  <c:v>COST</c:v>
                </c:pt>
              </c:strCache>
            </c:strRef>
          </c:cat>
          <c:val>
            <c:numRef>
              <c:f>'WL Dashboard'!$F$8:$F$16</c:f>
              <c:numCache>
                <c:formatCode>0.0</c:formatCode>
                <c:ptCount val="9"/>
                <c:pt idx="0">
                  <c:v>23.240600000000001</c:v>
                </c:pt>
                <c:pt idx="1">
                  <c:v>16.684799999999999</c:v>
                </c:pt>
                <c:pt idx="2">
                  <c:v>19.857800000000001</c:v>
                </c:pt>
                <c:pt idx="3">
                  <c:v>16.875900000000001</c:v>
                </c:pt>
                <c:pt idx="4">
                  <c:v>24.104500000000002</c:v>
                </c:pt>
                <c:pt idx="5">
                  <c:v>22.385400000000001</c:v>
                </c:pt>
                <c:pt idx="6">
                  <c:v>13.174099999999999</c:v>
                </c:pt>
                <c:pt idx="7">
                  <c:v>29.0685</c:v>
                </c:pt>
                <c:pt idx="8">
                  <c:v>54.470700000000001</c:v>
                </c:pt>
              </c:numCache>
            </c:numRef>
          </c:val>
          <c:extLst>
            <c:ext xmlns:c16="http://schemas.microsoft.com/office/drawing/2014/chart" uri="{C3380CC4-5D6E-409C-BE32-E72D297353CC}">
              <c16:uniqueId val="{00000001-CBDB-4C15-B762-98299C0CA34F}"/>
            </c:ext>
          </c:extLst>
        </c:ser>
        <c:dLbls>
          <c:showLegendKey val="0"/>
          <c:showVal val="0"/>
          <c:showCatName val="0"/>
          <c:showSerName val="0"/>
          <c:showPercent val="0"/>
          <c:showBubbleSize val="0"/>
        </c:dLbls>
        <c:gapWidth val="33"/>
        <c:overlap val="-27"/>
        <c:axId val="14519999"/>
        <c:axId val="14520479"/>
      </c:barChart>
      <c:catAx>
        <c:axId val="14519999"/>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200" b="1" i="0" u="none" strike="noStrike" kern="1200" baseline="0">
                <a:solidFill>
                  <a:srgbClr val="E2E8F0"/>
                </a:solidFill>
                <a:latin typeface="+mn-lt"/>
                <a:ea typeface="+mn-ea"/>
                <a:cs typeface="+mn-cs"/>
              </a:defRPr>
            </a:pPr>
            <a:endParaRPr lang="en-KE"/>
          </a:p>
        </c:txPr>
        <c:crossAx val="14520479"/>
        <c:crosses val="autoZero"/>
        <c:auto val="1"/>
        <c:lblAlgn val="ctr"/>
        <c:lblOffset val="100"/>
        <c:noMultiLvlLbl val="0"/>
      </c:catAx>
      <c:valAx>
        <c:axId val="14520479"/>
        <c:scaling>
          <c:orientation val="minMax"/>
        </c:scaling>
        <c:delete val="0"/>
        <c:axPos val="l"/>
        <c:majorGridlines>
          <c:spPr>
            <a:ln w="9525" cap="flat" cmpd="sng" algn="ctr">
              <a:solidFill>
                <a:srgbClr val="2D3B55"/>
              </a:solidFill>
              <a:prstDash val="solid"/>
              <a:round/>
            </a:ln>
            <a:effectLst/>
          </c:spPr>
        </c:majorGridlines>
        <c:numFmt formatCode="0.0\x"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1200" b="1" i="0" u="none" strike="noStrike" kern="1200" baseline="0">
                <a:solidFill>
                  <a:srgbClr val="94A3B8"/>
                </a:solidFill>
                <a:latin typeface="+mn-lt"/>
                <a:ea typeface="+mn-ea"/>
                <a:cs typeface="+mn-cs"/>
              </a:defRPr>
            </a:pPr>
            <a:endParaRPr lang="en-KE"/>
          </a:p>
        </c:txPr>
        <c:crossAx val="1451999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r>
              <a:rPr lang="en-US" sz="1400"/>
              <a:t>Beta Risk Profile (</a:t>
            </a:r>
            <a:r>
              <a:rPr lang="el-GR" sz="1400"/>
              <a:t>β)</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KE"/>
        </a:p>
      </c:txPr>
    </c:title>
    <c:autoTitleDeleted val="0"/>
    <c:plotArea>
      <c:layout/>
      <c:barChart>
        <c:barDir val="col"/>
        <c:grouping val="clustered"/>
        <c:varyColors val="0"/>
        <c:ser>
          <c:idx val="0"/>
          <c:order val="0"/>
          <c:tx>
            <c:v>Beta</c:v>
          </c:tx>
          <c:spPr>
            <a:solidFill>
              <a:srgbClr val="FBBF24"/>
            </a:solidFill>
            <a:ln>
              <a:noFill/>
            </a:ln>
            <a:effectLst/>
          </c:spPr>
          <c:invertIfNegative val="0"/>
          <c:dPt>
            <c:idx val="4"/>
            <c:invertIfNegative val="0"/>
            <c:bubble3D val="0"/>
            <c:spPr>
              <a:solidFill>
                <a:srgbClr val="4ADE80"/>
              </a:solidFill>
              <a:ln>
                <a:noFill/>
              </a:ln>
              <a:effectLst/>
            </c:spPr>
            <c:extLst>
              <c:ext xmlns:c16="http://schemas.microsoft.com/office/drawing/2014/chart" uri="{C3380CC4-5D6E-409C-BE32-E72D297353CC}">
                <c16:uniqueId val="{00000001-6AD8-4722-AA3B-3B34421FA83F}"/>
              </c:ext>
            </c:extLst>
          </c:dPt>
          <c:dPt>
            <c:idx val="7"/>
            <c:invertIfNegative val="0"/>
            <c:bubble3D val="0"/>
            <c:spPr>
              <a:solidFill>
                <a:srgbClr val="4ADE80"/>
              </a:solidFill>
              <a:ln>
                <a:noFill/>
              </a:ln>
              <a:effectLst/>
            </c:spPr>
            <c:extLst>
              <c:ext xmlns:c16="http://schemas.microsoft.com/office/drawing/2014/chart" uri="{C3380CC4-5D6E-409C-BE32-E72D297353CC}">
                <c16:uniqueId val="{00000003-6AD8-4722-AA3B-3B34421FA83F}"/>
              </c:ext>
            </c:extLst>
          </c:dPt>
          <c:cat>
            <c:strRef>
              <c:f>'WL Dashboard'!$B$8:$B$16</c:f>
              <c:strCache>
                <c:ptCount val="9"/>
                <c:pt idx="0">
                  <c:v>MSFT</c:v>
                </c:pt>
                <c:pt idx="1">
                  <c:v>BABA</c:v>
                </c:pt>
                <c:pt idx="2">
                  <c:v>DELL</c:v>
                </c:pt>
                <c:pt idx="3">
                  <c:v>GS</c:v>
                </c:pt>
                <c:pt idx="4">
                  <c:v>XOM</c:v>
                </c:pt>
                <c:pt idx="5">
                  <c:v>GM</c:v>
                </c:pt>
                <c:pt idx="6">
                  <c:v>BAC</c:v>
                </c:pt>
                <c:pt idx="7">
                  <c:v>LMT</c:v>
                </c:pt>
                <c:pt idx="8">
                  <c:v>COST</c:v>
                </c:pt>
              </c:strCache>
            </c:strRef>
          </c:cat>
          <c:val>
            <c:numRef>
              <c:f>'WL Dashboard'!$G$8:$G$16</c:f>
              <c:numCache>
                <c:formatCode>0.00</c:formatCode>
                <c:ptCount val="9"/>
                <c:pt idx="0">
                  <c:v>1.103</c:v>
                </c:pt>
                <c:pt idx="1">
                  <c:v>0.49490000000000001</c:v>
                </c:pt>
                <c:pt idx="2">
                  <c:v>0.85729999999999995</c:v>
                </c:pt>
                <c:pt idx="3">
                  <c:v>1.3147</c:v>
                </c:pt>
                <c:pt idx="4">
                  <c:v>0.29189999999999999</c:v>
                </c:pt>
                <c:pt idx="5">
                  <c:v>1.3733</c:v>
                </c:pt>
                <c:pt idx="6">
                  <c:v>1.2422</c:v>
                </c:pt>
                <c:pt idx="7">
                  <c:v>0.23669999999999999</c:v>
                </c:pt>
                <c:pt idx="8">
                  <c:v>0.98899999999999999</c:v>
                </c:pt>
              </c:numCache>
            </c:numRef>
          </c:val>
          <c:extLst>
            <c:ext xmlns:c16="http://schemas.microsoft.com/office/drawing/2014/chart" uri="{C3380CC4-5D6E-409C-BE32-E72D297353CC}">
              <c16:uniqueId val="{00000001-94E1-4A1E-AC0D-D6F1BFFD1BA2}"/>
            </c:ext>
          </c:extLst>
        </c:ser>
        <c:dLbls>
          <c:showLegendKey val="0"/>
          <c:showVal val="0"/>
          <c:showCatName val="0"/>
          <c:showSerName val="0"/>
          <c:showPercent val="0"/>
          <c:showBubbleSize val="0"/>
        </c:dLbls>
        <c:gapWidth val="33"/>
        <c:overlap val="-27"/>
        <c:axId val="14443679"/>
        <c:axId val="14426879"/>
      </c:barChart>
      <c:catAx>
        <c:axId val="14443679"/>
        <c:scaling>
          <c:orientation val="minMax"/>
        </c:scaling>
        <c:delete val="0"/>
        <c:axPos val="b"/>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200" b="1" i="0" u="none" strike="noStrike" kern="1200" baseline="0">
                <a:solidFill>
                  <a:srgbClr val="E2E8F0"/>
                </a:solidFill>
                <a:latin typeface="+mn-lt"/>
                <a:ea typeface="+mn-ea"/>
                <a:cs typeface="+mn-cs"/>
              </a:defRPr>
            </a:pPr>
            <a:endParaRPr lang="en-KE"/>
          </a:p>
        </c:txPr>
        <c:crossAx val="14426879"/>
        <c:crosses val="autoZero"/>
        <c:auto val="1"/>
        <c:lblAlgn val="ctr"/>
        <c:lblOffset val="100"/>
        <c:noMultiLvlLbl val="0"/>
      </c:catAx>
      <c:valAx>
        <c:axId val="14426879"/>
        <c:scaling>
          <c:orientation val="minMax"/>
        </c:scaling>
        <c:delete val="0"/>
        <c:axPos val="l"/>
        <c:majorGridlines>
          <c:spPr>
            <a:ln w="9525" cap="flat" cmpd="sng" algn="ctr">
              <a:solidFill>
                <a:srgbClr val="2D3B55"/>
              </a:solidFill>
              <a:prstDash val="solid"/>
              <a:round/>
            </a:ln>
            <a:effectLst/>
          </c:spPr>
        </c:majorGridlines>
        <c:numFmt formatCode="0.0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1200" b="1" i="0" u="none" strike="noStrike" kern="1200" baseline="0">
                <a:solidFill>
                  <a:srgbClr val="94A3B8"/>
                </a:solidFill>
                <a:latin typeface="+mn-lt"/>
                <a:ea typeface="+mn-ea"/>
                <a:cs typeface="+mn-cs"/>
              </a:defRPr>
            </a:pPr>
            <a:endParaRPr lang="en-KE"/>
          </a:p>
        </c:txPr>
        <c:crossAx val="1444367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r>
              <a:rPr lang="en-US" sz="1400"/>
              <a:t>Industry Breakdown by Market Cap</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KE"/>
        </a:p>
      </c:txPr>
    </c:title>
    <c:autoTitleDeleted val="0"/>
    <c:plotArea>
      <c:layout>
        <c:manualLayout>
          <c:layoutTarget val="inner"/>
          <c:xMode val="edge"/>
          <c:yMode val="edge"/>
          <c:x val="0.367782852143482"/>
          <c:y val="0.12436000000000001"/>
          <c:w val="0.31776762904636918"/>
          <c:h val="0.57198173228346461"/>
        </c:manualLayout>
      </c:layout>
      <c:doughnutChart>
        <c:varyColors val="1"/>
        <c:ser>
          <c:idx val="0"/>
          <c:order val="0"/>
          <c:tx>
            <c:strRef>
              <c:f>'WL Dashboard'!$C$52</c:f>
              <c:strCache>
                <c:ptCount val="1"/>
                <c:pt idx="0">
                  <c:v>Market Cap</c:v>
                </c:pt>
              </c:strCache>
            </c:strRef>
          </c:tx>
          <c:dPt>
            <c:idx val="0"/>
            <c:bubble3D val="0"/>
            <c:spPr>
              <a:solidFill>
                <a:srgbClr val="38BDF8"/>
              </a:solidFill>
              <a:ln w="19050">
                <a:solidFill>
                  <a:schemeClr val="lt1"/>
                </a:solidFill>
              </a:ln>
              <a:effectLst/>
            </c:spPr>
            <c:extLst>
              <c:ext xmlns:c16="http://schemas.microsoft.com/office/drawing/2014/chart" uri="{C3380CC4-5D6E-409C-BE32-E72D297353CC}">
                <c16:uniqueId val="{00000001-F817-468A-A630-6FBBF7058EC8}"/>
              </c:ext>
            </c:extLst>
          </c:dPt>
          <c:dPt>
            <c:idx val="1"/>
            <c:bubble3D val="0"/>
            <c:spPr>
              <a:solidFill>
                <a:srgbClr val="A78BFA"/>
              </a:solidFill>
              <a:ln w="19050">
                <a:solidFill>
                  <a:schemeClr val="lt1"/>
                </a:solidFill>
              </a:ln>
              <a:effectLst/>
            </c:spPr>
            <c:extLst>
              <c:ext xmlns:c16="http://schemas.microsoft.com/office/drawing/2014/chart" uri="{C3380CC4-5D6E-409C-BE32-E72D297353CC}">
                <c16:uniqueId val="{00000002-F817-468A-A630-6FBBF7058EC8}"/>
              </c:ext>
            </c:extLst>
          </c:dPt>
          <c:dPt>
            <c:idx val="2"/>
            <c:bubble3D val="0"/>
            <c:spPr>
              <a:solidFill>
                <a:srgbClr val="F87171"/>
              </a:solidFill>
              <a:ln w="19050">
                <a:solidFill>
                  <a:schemeClr val="lt1"/>
                </a:solidFill>
              </a:ln>
              <a:effectLst/>
            </c:spPr>
            <c:extLst>
              <c:ext xmlns:c16="http://schemas.microsoft.com/office/drawing/2014/chart" uri="{C3380CC4-5D6E-409C-BE32-E72D297353CC}">
                <c16:uniqueId val="{00000003-F817-468A-A630-6FBBF7058EC8}"/>
              </c:ext>
            </c:extLst>
          </c:dPt>
          <c:dPt>
            <c:idx val="3"/>
            <c:bubble3D val="0"/>
            <c:spPr>
              <a:solidFill>
                <a:srgbClr val="4ADE80"/>
              </a:solidFill>
              <a:ln w="19050">
                <a:solidFill>
                  <a:schemeClr val="lt1"/>
                </a:solidFill>
              </a:ln>
              <a:effectLst/>
            </c:spPr>
            <c:extLst>
              <c:ext xmlns:c16="http://schemas.microsoft.com/office/drawing/2014/chart" uri="{C3380CC4-5D6E-409C-BE32-E72D297353CC}">
                <c16:uniqueId val="{00000004-F817-468A-A630-6FBBF7058EC8}"/>
              </c:ext>
            </c:extLst>
          </c:dPt>
          <c:dPt>
            <c:idx val="4"/>
            <c:bubble3D val="0"/>
            <c:spPr>
              <a:solidFill>
                <a:srgbClr val="FBBF24"/>
              </a:solidFill>
              <a:ln w="19050">
                <a:solidFill>
                  <a:schemeClr val="lt1"/>
                </a:solidFill>
              </a:ln>
              <a:effectLst/>
            </c:spPr>
            <c:extLst>
              <c:ext xmlns:c16="http://schemas.microsoft.com/office/drawing/2014/chart" uri="{C3380CC4-5D6E-409C-BE32-E72D297353CC}">
                <c16:uniqueId val="{00000005-F817-468A-A630-6FBBF7058EC8}"/>
              </c:ext>
            </c:extLst>
          </c:dPt>
          <c:dPt>
            <c:idx val="5"/>
            <c:bubble3D val="0"/>
            <c:spPr>
              <a:solidFill>
                <a:srgbClr val="FB923C"/>
              </a:solidFill>
              <a:ln w="19050">
                <a:solidFill>
                  <a:schemeClr val="lt1"/>
                </a:solidFill>
              </a:ln>
              <a:effectLst/>
            </c:spPr>
            <c:extLst>
              <c:ext xmlns:c16="http://schemas.microsoft.com/office/drawing/2014/chart" uri="{C3380CC4-5D6E-409C-BE32-E72D297353CC}">
                <c16:uniqueId val="{00000006-F817-468A-A630-6FBBF7058EC8}"/>
              </c:ext>
            </c:extLst>
          </c:dPt>
          <c:dPt>
            <c:idx val="6"/>
            <c:bubble3D val="0"/>
            <c:spPr>
              <a:solidFill>
                <a:srgbClr val="E879F9"/>
              </a:solidFill>
              <a:ln w="19050">
                <a:solidFill>
                  <a:schemeClr val="lt1"/>
                </a:solidFill>
              </a:ln>
              <a:effectLst/>
            </c:spPr>
            <c:extLst>
              <c:ext xmlns:c16="http://schemas.microsoft.com/office/drawing/2014/chart" uri="{C3380CC4-5D6E-409C-BE32-E72D297353CC}">
                <c16:uniqueId val="{00000007-F817-468A-A630-6FBBF7058EC8}"/>
              </c:ext>
            </c:extLst>
          </c:dPt>
          <c:dPt>
            <c:idx val="7"/>
            <c:bubble3D val="0"/>
            <c:spPr>
              <a:solidFill>
                <a:srgbClr val="2DD4BF"/>
              </a:solidFill>
              <a:ln w="19050">
                <a:solidFill>
                  <a:schemeClr val="lt1"/>
                </a:solidFill>
              </a:ln>
              <a:effectLst/>
            </c:spPr>
            <c:extLst>
              <c:ext xmlns:c16="http://schemas.microsoft.com/office/drawing/2014/chart" uri="{C3380CC4-5D6E-409C-BE32-E72D297353CC}">
                <c16:uniqueId val="{00000008-F817-468A-A630-6FBBF7058EC8}"/>
              </c:ext>
            </c:extLst>
          </c:dPt>
          <c:dPt>
            <c:idx val="8"/>
            <c:bubble3D val="0"/>
            <c:spPr>
              <a:solidFill>
                <a:srgbClr val="F472B6"/>
              </a:solidFill>
              <a:ln w="19050">
                <a:solidFill>
                  <a:schemeClr val="lt1"/>
                </a:solidFill>
              </a:ln>
              <a:effectLst/>
            </c:spPr>
            <c:extLst>
              <c:ext xmlns:c16="http://schemas.microsoft.com/office/drawing/2014/chart" uri="{C3380CC4-5D6E-409C-BE32-E72D297353CC}">
                <c16:uniqueId val="{00000009-F817-468A-A630-6FBBF7058EC8}"/>
              </c:ext>
            </c:extLst>
          </c:dPt>
          <c:cat>
            <c:strRef>
              <c:f>'WL Dashboard'!$B$53:$B$61</c:f>
              <c:strCache>
                <c:ptCount val="8"/>
                <c:pt idx="0">
                  <c:v>Software &amp; IT Services</c:v>
                </c:pt>
                <c:pt idx="1">
                  <c:v>Computers, Phones &amp; Household Electronics</c:v>
                </c:pt>
                <c:pt idx="2">
                  <c:v>Investment Banking &amp; Investment Services</c:v>
                </c:pt>
                <c:pt idx="3">
                  <c:v>Oil &amp; Gas</c:v>
                </c:pt>
                <c:pt idx="4">
                  <c:v>Automobiles &amp; Auto Parts</c:v>
                </c:pt>
                <c:pt idx="5">
                  <c:v>Banking Services</c:v>
                </c:pt>
                <c:pt idx="6">
                  <c:v>Aerospace &amp; Defense</c:v>
                </c:pt>
                <c:pt idx="7">
                  <c:v>Diversified Retail</c:v>
                </c:pt>
              </c:strCache>
            </c:strRef>
          </c:cat>
          <c:val>
            <c:numRef>
              <c:f>'WL Dashboard'!$C$53:$C$61</c:f>
              <c:numCache>
                <c:formatCode>#,##0</c:formatCode>
                <c:ptCount val="9"/>
                <c:pt idx="0">
                  <c:v>3051063462600</c:v>
                </c:pt>
                <c:pt idx="1">
                  <c:v>111811352775</c:v>
                </c:pt>
                <c:pt idx="2">
                  <c:v>255388815469</c:v>
                </c:pt>
                <c:pt idx="3">
                  <c:v>670974006920</c:v>
                </c:pt>
                <c:pt idx="4">
                  <c:v>66134284248</c:v>
                </c:pt>
                <c:pt idx="5">
                  <c:v>356106408015</c:v>
                </c:pt>
                <c:pt idx="6">
                  <c:v>143939414196</c:v>
                </c:pt>
                <c:pt idx="7">
                  <c:v>451136917675</c:v>
                </c:pt>
              </c:numCache>
            </c:numRef>
          </c:val>
          <c:extLst>
            <c:ext xmlns:c16="http://schemas.microsoft.com/office/drawing/2014/chart" uri="{C3380CC4-5D6E-409C-BE32-E72D297353CC}">
              <c16:uniqueId val="{00000000-F817-468A-A630-6FBBF7058EC8}"/>
            </c:ext>
          </c:extLst>
        </c:ser>
        <c:dLbls>
          <c:showLegendKey val="0"/>
          <c:showVal val="0"/>
          <c:showCatName val="0"/>
          <c:showSerName val="0"/>
          <c:showPercent val="0"/>
          <c:showBubbleSize val="0"/>
          <c:showLeaderLines val="1"/>
        </c:dLbls>
        <c:firstSliceAng val="0"/>
        <c:holeSize val="75"/>
      </c:doughnutChart>
      <c:spPr>
        <a:solidFill>
          <a:srgbClr val="1B2A4A"/>
        </a:solidFill>
        <a:ln>
          <a:noFill/>
        </a:ln>
        <a:effectLst/>
      </c:spPr>
    </c:plotArea>
    <c:legend>
      <c:legendPos val="b"/>
      <c:layout>
        <c:manualLayout>
          <c:xMode val="edge"/>
          <c:yMode val="edge"/>
          <c:x val="3.0689763779527559E-2"/>
          <c:y val="0.73665354330708643"/>
          <c:w val="0.92750936132983375"/>
          <c:h val="0.23934645669291335"/>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94A3B8"/>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r>
              <a:rPr lang="en-US" sz="1400"/>
              <a:t>52-Week Range Position (% from Low to High)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E2E8F0"/>
              </a:solidFill>
              <a:latin typeface="+mn-lt"/>
              <a:ea typeface="+mn-ea"/>
              <a:cs typeface="+mn-cs"/>
            </a:defRPr>
          </a:pPr>
          <a:endParaRPr lang="en-KE"/>
        </a:p>
      </c:txPr>
    </c:title>
    <c:autoTitleDeleted val="0"/>
    <c:plotArea>
      <c:layout/>
      <c:barChart>
        <c:barDir val="bar"/>
        <c:grouping val="clustered"/>
        <c:varyColors val="0"/>
        <c:ser>
          <c:idx val="0"/>
          <c:order val="0"/>
          <c:spPr>
            <a:solidFill>
              <a:srgbClr val="0D7377"/>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FCAF-43EA-B050-8DA9D8EEA877}"/>
              </c:ext>
            </c:extLst>
          </c:dPt>
          <c:dPt>
            <c:idx val="1"/>
            <c:invertIfNegative val="0"/>
            <c:bubble3D val="0"/>
            <c:spPr>
              <a:solidFill>
                <a:srgbClr val="EF4444"/>
              </a:solidFill>
              <a:ln>
                <a:noFill/>
              </a:ln>
              <a:effectLst/>
            </c:spPr>
            <c:extLst>
              <c:ext xmlns:c16="http://schemas.microsoft.com/office/drawing/2014/chart" uri="{C3380CC4-5D6E-409C-BE32-E72D297353CC}">
                <c16:uniqueId val="{00000002-FCAF-43EA-B050-8DA9D8EEA877}"/>
              </c:ext>
            </c:extLst>
          </c:dPt>
          <c:dPt>
            <c:idx val="2"/>
            <c:invertIfNegative val="0"/>
            <c:bubble3D val="0"/>
            <c:spPr>
              <a:solidFill>
                <a:srgbClr val="4ADE80"/>
              </a:solidFill>
              <a:ln>
                <a:noFill/>
              </a:ln>
              <a:effectLst/>
            </c:spPr>
            <c:extLst>
              <c:ext xmlns:c16="http://schemas.microsoft.com/office/drawing/2014/chart" uri="{C3380CC4-5D6E-409C-BE32-E72D297353CC}">
                <c16:uniqueId val="{00000003-FCAF-43EA-B050-8DA9D8EEA877}"/>
              </c:ext>
            </c:extLst>
          </c:dPt>
          <c:dPt>
            <c:idx val="3"/>
            <c:invertIfNegative val="0"/>
            <c:bubble3D val="0"/>
            <c:spPr>
              <a:solidFill>
                <a:srgbClr val="4ADE80"/>
              </a:solidFill>
              <a:ln>
                <a:noFill/>
              </a:ln>
              <a:effectLst/>
            </c:spPr>
            <c:extLst>
              <c:ext xmlns:c16="http://schemas.microsoft.com/office/drawing/2014/chart" uri="{C3380CC4-5D6E-409C-BE32-E72D297353CC}">
                <c16:uniqueId val="{00000004-FCAF-43EA-B050-8DA9D8EEA877}"/>
              </c:ext>
            </c:extLst>
          </c:dPt>
          <c:dPt>
            <c:idx val="4"/>
            <c:invertIfNegative val="0"/>
            <c:bubble3D val="0"/>
            <c:spPr>
              <a:solidFill>
                <a:srgbClr val="4ADE80"/>
              </a:solidFill>
              <a:ln>
                <a:noFill/>
              </a:ln>
              <a:effectLst/>
            </c:spPr>
            <c:extLst>
              <c:ext xmlns:c16="http://schemas.microsoft.com/office/drawing/2014/chart" uri="{C3380CC4-5D6E-409C-BE32-E72D297353CC}">
                <c16:uniqueId val="{00000005-FCAF-43EA-B050-8DA9D8EEA877}"/>
              </c:ext>
            </c:extLst>
          </c:dPt>
          <c:dPt>
            <c:idx val="5"/>
            <c:invertIfNegative val="0"/>
            <c:bubble3D val="0"/>
            <c:spPr>
              <a:solidFill>
                <a:srgbClr val="4ADE80"/>
              </a:solidFill>
              <a:ln>
                <a:noFill/>
              </a:ln>
              <a:effectLst/>
            </c:spPr>
            <c:extLst>
              <c:ext xmlns:c16="http://schemas.microsoft.com/office/drawing/2014/chart" uri="{C3380CC4-5D6E-409C-BE32-E72D297353CC}">
                <c16:uniqueId val="{00000006-FCAF-43EA-B050-8DA9D8EEA877}"/>
              </c:ext>
            </c:extLst>
          </c:dPt>
          <c:dPt>
            <c:idx val="6"/>
            <c:invertIfNegative val="0"/>
            <c:bubble3D val="0"/>
            <c:spPr>
              <a:solidFill>
                <a:srgbClr val="FBBF24"/>
              </a:solidFill>
              <a:ln>
                <a:noFill/>
              </a:ln>
              <a:effectLst/>
            </c:spPr>
            <c:extLst>
              <c:ext xmlns:c16="http://schemas.microsoft.com/office/drawing/2014/chart" uri="{C3380CC4-5D6E-409C-BE32-E72D297353CC}">
                <c16:uniqueId val="{00000007-FCAF-43EA-B050-8DA9D8EEA877}"/>
              </c:ext>
            </c:extLst>
          </c:dPt>
          <c:dPt>
            <c:idx val="7"/>
            <c:invertIfNegative val="0"/>
            <c:bubble3D val="0"/>
            <c:spPr>
              <a:solidFill>
                <a:srgbClr val="FBBF24"/>
              </a:solidFill>
              <a:ln>
                <a:noFill/>
              </a:ln>
              <a:effectLst/>
            </c:spPr>
            <c:extLst>
              <c:ext xmlns:c16="http://schemas.microsoft.com/office/drawing/2014/chart" uri="{C3380CC4-5D6E-409C-BE32-E72D297353CC}">
                <c16:uniqueId val="{00000008-FCAF-43EA-B050-8DA9D8EEA877}"/>
              </c:ext>
            </c:extLst>
          </c:dPt>
          <c:dPt>
            <c:idx val="8"/>
            <c:invertIfNegative val="0"/>
            <c:bubble3D val="0"/>
            <c:spPr>
              <a:solidFill>
                <a:srgbClr val="FBBF24"/>
              </a:solidFill>
              <a:ln>
                <a:noFill/>
              </a:ln>
              <a:effectLst/>
            </c:spPr>
            <c:extLst>
              <c:ext xmlns:c16="http://schemas.microsoft.com/office/drawing/2014/chart" uri="{C3380CC4-5D6E-409C-BE32-E72D297353CC}">
                <c16:uniqueId val="{00000009-FCAF-43EA-B050-8DA9D8EEA877}"/>
              </c:ext>
            </c:extLst>
          </c:dPt>
          <c:cat>
            <c:strRef>
              <c:f>'WL Dashboard'!$M$8:$M$16</c:f>
              <c:strCache>
                <c:ptCount val="9"/>
                <c:pt idx="0">
                  <c:v>MSFT</c:v>
                </c:pt>
                <c:pt idx="1">
                  <c:v>BABA</c:v>
                </c:pt>
                <c:pt idx="2">
                  <c:v>DELL</c:v>
                </c:pt>
                <c:pt idx="3">
                  <c:v>GS</c:v>
                </c:pt>
                <c:pt idx="4">
                  <c:v>XOM</c:v>
                </c:pt>
                <c:pt idx="5">
                  <c:v>GM</c:v>
                </c:pt>
                <c:pt idx="6">
                  <c:v>BAC</c:v>
                </c:pt>
                <c:pt idx="7">
                  <c:v>LMT</c:v>
                </c:pt>
                <c:pt idx="8">
                  <c:v>COST</c:v>
                </c:pt>
              </c:strCache>
            </c:strRef>
          </c:cat>
          <c:val>
            <c:numRef>
              <c:f>'WL Dashboard'!$N$8:$N$16</c:f>
              <c:numCache>
                <c:formatCode>General</c:formatCode>
                <c:ptCount val="9"/>
                <c:pt idx="0">
                  <c:v>0.12650716794835268</c:v>
                </c:pt>
                <c:pt idx="1">
                  <c:v>0.28359253929032785</c:v>
                </c:pt>
                <c:pt idx="2">
                  <c:v>0.88979982521120327</c:v>
                </c:pt>
                <c:pt idx="3">
                  <c:v>0.78185780825937057</c:v>
                </c:pt>
                <c:pt idx="4">
                  <c:v>0.80435059152779553</c:v>
                </c:pt>
                <c:pt idx="5">
                  <c:v>0.68578878748370253</c:v>
                </c:pt>
                <c:pt idx="6">
                  <c:v>0.6849091280375742</c:v>
                </c:pt>
                <c:pt idx="7">
                  <c:v>0.76078860548440896</c:v>
                </c:pt>
                <c:pt idx="8">
                  <c:v>0.7748632409649362</c:v>
                </c:pt>
              </c:numCache>
            </c:numRef>
          </c:val>
          <c:extLst>
            <c:ext xmlns:c15="http://schemas.microsoft.com/office/drawing/2012/chart" uri="{02D57815-91ED-43cb-92C2-25804820EDAC}">
              <c15:filteredSeriesTitle>
                <c15:tx>
                  <c:strRef>
                    <c:extLst>
                      <c:ext uri="{02D57815-91ED-43cb-92C2-25804820EDAC}">
                        <c15:formulaRef>
                          <c15:sqref>'WL Dashboard'!#REF!</c15:sqref>
                        </c15:formulaRef>
                      </c:ext>
                    </c:extLst>
                    <c:strCache>
                      <c:ptCount val="1"/>
                      <c:pt idx="0">
                        <c:v>#REF!</c:v>
                      </c:pt>
                    </c:strCache>
                  </c:strRef>
                </c15:tx>
              </c15:filteredSeriesTitle>
            </c:ext>
            <c:ext xmlns:c16="http://schemas.microsoft.com/office/drawing/2014/chart" uri="{C3380CC4-5D6E-409C-BE32-E72D297353CC}">
              <c16:uniqueId val="{00000000-FCAF-43EA-B050-8DA9D8EEA877}"/>
            </c:ext>
          </c:extLst>
        </c:ser>
        <c:dLbls>
          <c:showLegendKey val="0"/>
          <c:showVal val="0"/>
          <c:showCatName val="0"/>
          <c:showSerName val="0"/>
          <c:showPercent val="0"/>
          <c:showBubbleSize val="0"/>
        </c:dLbls>
        <c:gapWidth val="182"/>
        <c:axId val="241754879"/>
        <c:axId val="241744799"/>
      </c:barChart>
      <c:catAx>
        <c:axId val="241754879"/>
        <c:scaling>
          <c:orientation val="minMax"/>
        </c:scaling>
        <c:delete val="0"/>
        <c:axPos val="l"/>
        <c:numFmt formatCode="General" sourceLinked="1"/>
        <c:majorTickMark val="none"/>
        <c:minorTickMark val="none"/>
        <c:tickLblPos val="nextTo"/>
        <c:spPr>
          <a:noFill/>
          <a:ln w="9525" cap="flat" cmpd="sng" algn="ctr">
            <a:solidFill>
              <a:srgbClr val="334155"/>
            </a:solidFill>
            <a:prstDash val="solid"/>
            <a:round/>
          </a:ln>
          <a:effectLst/>
        </c:spPr>
        <c:txPr>
          <a:bodyPr rot="-60000000" spcFirstLastPara="1" vertOverflow="ellipsis" vert="horz" wrap="square" anchor="ctr" anchorCtr="1"/>
          <a:lstStyle/>
          <a:p>
            <a:pPr>
              <a:defRPr sz="1200" b="1" i="0" u="none" strike="noStrike" kern="1200" baseline="0">
                <a:solidFill>
                  <a:srgbClr val="E2E8F0"/>
                </a:solidFill>
                <a:latin typeface="+mn-lt"/>
                <a:ea typeface="+mn-ea"/>
                <a:cs typeface="+mn-cs"/>
              </a:defRPr>
            </a:pPr>
            <a:endParaRPr lang="en-KE"/>
          </a:p>
        </c:txPr>
        <c:crossAx val="241744799"/>
        <c:crosses val="autoZero"/>
        <c:auto val="1"/>
        <c:lblAlgn val="ctr"/>
        <c:lblOffset val="100"/>
        <c:noMultiLvlLbl val="0"/>
      </c:catAx>
      <c:valAx>
        <c:axId val="241744799"/>
        <c:scaling>
          <c:orientation val="minMax"/>
          <c:max val="1"/>
          <c:min val="0"/>
        </c:scaling>
        <c:delete val="0"/>
        <c:axPos val="b"/>
        <c:majorGridlines>
          <c:spPr>
            <a:ln w="9525" cap="flat" cmpd="sng" algn="ctr">
              <a:solidFill>
                <a:srgbClr val="2D3B55"/>
              </a:solidFill>
              <a:prstDash val="solid"/>
              <a:round/>
            </a:ln>
            <a:effectLst/>
          </c:spPr>
        </c:majorGridlines>
        <c:numFmt formatCode="0%" sourceLinked="0"/>
        <c:majorTickMark val="none"/>
        <c:minorTickMark val="none"/>
        <c:tickLblPos val="nextTo"/>
        <c:spPr>
          <a:noFill/>
          <a:ln>
            <a:solidFill>
              <a:srgbClr val="334155"/>
            </a:solidFill>
            <a:prstDash val="solid"/>
          </a:ln>
          <a:effectLst/>
        </c:spPr>
        <c:txPr>
          <a:bodyPr rot="-60000000" spcFirstLastPara="1" vertOverflow="ellipsis" vert="horz" wrap="square" anchor="ctr" anchorCtr="1"/>
          <a:lstStyle/>
          <a:p>
            <a:pPr>
              <a:defRPr sz="900" b="0" i="0" u="none" strike="noStrike" kern="1200" baseline="0">
                <a:solidFill>
                  <a:srgbClr val="94A3B8"/>
                </a:solidFill>
                <a:latin typeface="+mn-lt"/>
                <a:ea typeface="+mn-ea"/>
                <a:cs typeface="+mn-cs"/>
              </a:defRPr>
            </a:pPr>
            <a:endParaRPr lang="en-KE"/>
          </a:p>
        </c:txPr>
        <c:crossAx val="241754879"/>
        <c:crosses val="autoZero"/>
        <c:crossBetween val="between"/>
      </c:valAx>
      <c:spPr>
        <a:solidFill>
          <a:srgbClr val="1B2A4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A4A"/>
    </a:solidFill>
    <a:ln w="25400" cap="flat" cmpd="sng" algn="ctr">
      <a:no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AMD!$B$1</c:f>
          <c:strCache>
            <c:ptCount val="1"/>
            <c:pt idx="0">
              <c:v>ADVANCED MICRO DEVICES, INC. (XNAS:AMD)</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AMD!$B$6</c:f>
              <c:strCache>
                <c:ptCount val="1"/>
                <c:pt idx="0">
                  <c:v>Volume</c:v>
                </c:pt>
              </c:strCache>
            </c:strRef>
          </c:tx>
          <c:spPr>
            <a:solidFill>
              <a:schemeClr val="accent1"/>
            </a:solidFill>
            <a:ln w="38100">
              <a:noFill/>
            </a:ln>
            <a:effectLst/>
          </c:spPr>
          <c:invertIfNegative val="0"/>
          <c:cat>
            <c:numRef>
              <c:f>AMD!$A$7:$A$27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AMD!$B$7:$B$27</c:f>
              <c:numCache>
                <c:formatCode>#,##0</c:formatCode>
                <c:ptCount val="21"/>
                <c:pt idx="0">
                  <c:v>38877220</c:v>
                </c:pt>
                <c:pt idx="1">
                  <c:v>29139162</c:v>
                </c:pt>
                <c:pt idx="2">
                  <c:v>23076366</c:v>
                </c:pt>
                <c:pt idx="3">
                  <c:v>28886913</c:v>
                </c:pt>
                <c:pt idx="4">
                  <c:v>27561888</c:v>
                </c:pt>
                <c:pt idx="5">
                  <c:v>30285170</c:v>
                </c:pt>
                <c:pt idx="6">
                  <c:v>22779675</c:v>
                </c:pt>
                <c:pt idx="7">
                  <c:v>28569135</c:v>
                </c:pt>
                <c:pt idx="8">
                  <c:v>32245329</c:v>
                </c:pt>
                <c:pt idx="9">
                  <c:v>37265103</c:v>
                </c:pt>
                <c:pt idx="10">
                  <c:v>31857752</c:v>
                </c:pt>
                <c:pt idx="11">
                  <c:v>27258849</c:v>
                </c:pt>
                <c:pt idx="12">
                  <c:v>48518269</c:v>
                </c:pt>
                <c:pt idx="13">
                  <c:v>49212976</c:v>
                </c:pt>
                <c:pt idx="14">
                  <c:v>29206578</c:v>
                </c:pt>
                <c:pt idx="15">
                  <c:v>41053298</c:v>
                </c:pt>
                <c:pt idx="16">
                  <c:v>42318748</c:v>
                </c:pt>
                <c:pt idx="17">
                  <c:v>40835794</c:v>
                </c:pt>
                <c:pt idx="18">
                  <c:v>38463484</c:v>
                </c:pt>
              </c:numCache>
            </c:numRef>
          </c:val>
          <c:extLst>
            <c:ext xmlns:c16="http://schemas.microsoft.com/office/drawing/2014/chart" uri="{C3380CC4-5D6E-409C-BE32-E72D297353CC}">
              <c16:uniqueId val="{00000000-4DEC-405D-BC69-BC35BF18994C}"/>
            </c:ext>
          </c:extLst>
        </c:ser>
        <c:dLbls>
          <c:showLegendKey val="0"/>
          <c:showVal val="0"/>
          <c:showCatName val="0"/>
          <c:showSerName val="0"/>
          <c:showPercent val="0"/>
          <c:showBubbleSize val="0"/>
        </c:dLbls>
        <c:gapWidth val="150"/>
        <c:axId val="1641718448"/>
        <c:axId val="1641718928"/>
      </c:barChart>
      <c:stockChart>
        <c:ser>
          <c:idx val="1"/>
          <c:order val="1"/>
          <c:tx>
            <c:strRef>
              <c:f>AMD!$C$6</c:f>
              <c:strCache>
                <c:ptCount val="1"/>
                <c:pt idx="0">
                  <c:v>Open</c:v>
                </c:pt>
              </c:strCache>
            </c:strRef>
          </c:tx>
          <c:spPr>
            <a:ln w="38100" cap="rnd">
              <a:noFill/>
              <a:round/>
            </a:ln>
            <a:effectLst/>
          </c:spPr>
          <c:marker>
            <c:symbol val="none"/>
          </c:marker>
          <c:cat>
            <c:numRef>
              <c:f>AMD!$A$7:$A$27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AMD!$C$7:$C$27</c:f>
              <c:numCache>
                <c:formatCode>_([$$-409]* #,##0.00_);_([$$-409]* \(#,##0.00\);_([$$-409]* "-"??_);_(@_)</c:formatCode>
                <c:ptCount val="21"/>
                <c:pt idx="0">
                  <c:v>189.36</c:v>
                </c:pt>
                <c:pt idx="1">
                  <c:v>202.51</c:v>
                </c:pt>
                <c:pt idx="2">
                  <c:v>205.11</c:v>
                </c:pt>
                <c:pt idx="3">
                  <c:v>202.82499999999999</c:v>
                </c:pt>
                <c:pt idx="4">
                  <c:v>198.11</c:v>
                </c:pt>
                <c:pt idx="5">
                  <c:v>194.97499999999999</c:v>
                </c:pt>
                <c:pt idx="6">
                  <c:v>196.68</c:v>
                </c:pt>
                <c:pt idx="7">
                  <c:v>196</c:v>
                </c:pt>
                <c:pt idx="8">
                  <c:v>195.03200000000001</c:v>
                </c:pt>
                <c:pt idx="9">
                  <c:v>204.88499999999999</c:v>
                </c:pt>
                <c:pt idx="10">
                  <c:v>206.39500000000001</c:v>
                </c:pt>
                <c:pt idx="11">
                  <c:v>201.39</c:v>
                </c:pt>
                <c:pt idx="12">
                  <c:v>211.505</c:v>
                </c:pt>
                <c:pt idx="13">
                  <c:v>217.97900000000001</c:v>
                </c:pt>
                <c:pt idx="14">
                  <c:v>201.77</c:v>
                </c:pt>
                <c:pt idx="15">
                  <c:v>204.95</c:v>
                </c:pt>
                <c:pt idx="16">
                  <c:v>198.05</c:v>
                </c:pt>
                <c:pt idx="17">
                  <c:v>207.58500000000001</c:v>
                </c:pt>
                <c:pt idx="18">
                  <c:v>204.05</c:v>
                </c:pt>
              </c:numCache>
            </c:numRef>
          </c:val>
          <c:smooth val="0"/>
          <c:extLst>
            <c:ext xmlns:c16="http://schemas.microsoft.com/office/drawing/2014/chart" uri="{C3380CC4-5D6E-409C-BE32-E72D297353CC}">
              <c16:uniqueId val="{00000001-4DEC-405D-BC69-BC35BF18994C}"/>
            </c:ext>
          </c:extLst>
        </c:ser>
        <c:ser>
          <c:idx val="2"/>
          <c:order val="2"/>
          <c:tx>
            <c:strRef>
              <c:f>AMD!$D$6</c:f>
              <c:strCache>
                <c:ptCount val="1"/>
                <c:pt idx="0">
                  <c:v>High</c:v>
                </c:pt>
              </c:strCache>
            </c:strRef>
          </c:tx>
          <c:spPr>
            <a:ln w="38100" cap="rnd">
              <a:noFill/>
              <a:round/>
            </a:ln>
            <a:effectLst/>
          </c:spPr>
          <c:marker>
            <c:symbol val="none"/>
          </c:marker>
          <c:cat>
            <c:numRef>
              <c:f>AMD!$A$7:$A$27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AMD!$D$7:$D$27</c:f>
              <c:numCache>
                <c:formatCode>_([$$-409]* #,##0.00_);_([$$-409]* \(#,##0.00\);_([$$-409]* "-"??_);_(@_)</c:formatCode>
                <c:ptCount val="21"/>
                <c:pt idx="0">
                  <c:v>202.97</c:v>
                </c:pt>
                <c:pt idx="1">
                  <c:v>206.59</c:v>
                </c:pt>
                <c:pt idx="2">
                  <c:v>209.21</c:v>
                </c:pt>
                <c:pt idx="3">
                  <c:v>203.62</c:v>
                </c:pt>
                <c:pt idx="4">
                  <c:v>199.68</c:v>
                </c:pt>
                <c:pt idx="5">
                  <c:v>200.17</c:v>
                </c:pt>
                <c:pt idx="6">
                  <c:v>199.21</c:v>
                </c:pt>
                <c:pt idx="7">
                  <c:v>202.86</c:v>
                </c:pt>
                <c:pt idx="8">
                  <c:v>205.88</c:v>
                </c:pt>
                <c:pt idx="9">
                  <c:v>206.3</c:v>
                </c:pt>
                <c:pt idx="10">
                  <c:v>209.10900000000001</c:v>
                </c:pt>
                <c:pt idx="11">
                  <c:v>206.43</c:v>
                </c:pt>
                <c:pt idx="12">
                  <c:v>221.33</c:v>
                </c:pt>
                <c:pt idx="13">
                  <c:v>221</c:v>
                </c:pt>
                <c:pt idx="14">
                  <c:v>203.26990000000001</c:v>
                </c:pt>
                <c:pt idx="15">
                  <c:v>208.43</c:v>
                </c:pt>
                <c:pt idx="16">
                  <c:v>204</c:v>
                </c:pt>
                <c:pt idx="17">
                  <c:v>213.83</c:v>
                </c:pt>
                <c:pt idx="18">
                  <c:v>217.78</c:v>
                </c:pt>
              </c:numCache>
            </c:numRef>
          </c:val>
          <c:smooth val="0"/>
          <c:extLst>
            <c:ext xmlns:c16="http://schemas.microsoft.com/office/drawing/2014/chart" uri="{C3380CC4-5D6E-409C-BE32-E72D297353CC}">
              <c16:uniqueId val="{00000002-4DEC-405D-BC69-BC35BF18994C}"/>
            </c:ext>
          </c:extLst>
        </c:ser>
        <c:ser>
          <c:idx val="3"/>
          <c:order val="3"/>
          <c:tx>
            <c:strRef>
              <c:f>AMD!$E$6</c:f>
              <c:strCache>
                <c:ptCount val="1"/>
                <c:pt idx="0">
                  <c:v>Low</c:v>
                </c:pt>
              </c:strCache>
            </c:strRef>
          </c:tx>
          <c:spPr>
            <a:ln w="38100" cap="rnd">
              <a:noFill/>
              <a:round/>
            </a:ln>
            <a:effectLst/>
          </c:spPr>
          <c:marker>
            <c:symbol val="none"/>
          </c:marker>
          <c:cat>
            <c:numRef>
              <c:f>AMD!$A$7:$A$27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AMD!$E$7:$E$27</c:f>
              <c:numCache>
                <c:formatCode>_([$$-409]* #,##0.00_);_([$$-409]* \(#,##0.00\);_([$$-409]* "-"??_);_(@_)</c:formatCode>
                <c:ptCount val="21"/>
                <c:pt idx="0">
                  <c:v>189.02</c:v>
                </c:pt>
                <c:pt idx="1">
                  <c:v>202.2</c:v>
                </c:pt>
                <c:pt idx="2">
                  <c:v>203.63</c:v>
                </c:pt>
                <c:pt idx="3">
                  <c:v>196.67</c:v>
                </c:pt>
                <c:pt idx="4">
                  <c:v>192.27</c:v>
                </c:pt>
                <c:pt idx="5">
                  <c:v>194.8</c:v>
                </c:pt>
                <c:pt idx="6">
                  <c:v>195.26</c:v>
                </c:pt>
                <c:pt idx="7">
                  <c:v>195.75</c:v>
                </c:pt>
                <c:pt idx="8">
                  <c:v>192.83</c:v>
                </c:pt>
                <c:pt idx="9">
                  <c:v>198.26</c:v>
                </c:pt>
                <c:pt idx="10">
                  <c:v>201.71</c:v>
                </c:pt>
                <c:pt idx="11">
                  <c:v>200.13</c:v>
                </c:pt>
                <c:pt idx="12">
                  <c:v>211.505</c:v>
                </c:pt>
                <c:pt idx="13">
                  <c:v>203.43</c:v>
                </c:pt>
                <c:pt idx="14">
                  <c:v>197.69</c:v>
                </c:pt>
                <c:pt idx="15">
                  <c:v>192.86500000000001</c:v>
                </c:pt>
                <c:pt idx="16">
                  <c:v>196.41</c:v>
                </c:pt>
                <c:pt idx="17">
                  <c:v>205.84</c:v>
                </c:pt>
                <c:pt idx="18">
                  <c:v>200.62</c:v>
                </c:pt>
              </c:numCache>
            </c:numRef>
          </c:val>
          <c:smooth val="0"/>
          <c:extLst>
            <c:ext xmlns:c16="http://schemas.microsoft.com/office/drawing/2014/chart" uri="{C3380CC4-5D6E-409C-BE32-E72D297353CC}">
              <c16:uniqueId val="{00000003-4DEC-405D-BC69-BC35BF18994C}"/>
            </c:ext>
          </c:extLst>
        </c:ser>
        <c:ser>
          <c:idx val="4"/>
          <c:order val="4"/>
          <c:tx>
            <c:strRef>
              <c:f>AMD!$F$6</c:f>
              <c:strCache>
                <c:ptCount val="1"/>
                <c:pt idx="0">
                  <c:v>Close</c:v>
                </c:pt>
              </c:strCache>
            </c:strRef>
          </c:tx>
          <c:spPr>
            <a:ln w="38100" cap="rnd">
              <a:noFill/>
              <a:round/>
            </a:ln>
            <a:effectLst/>
          </c:spPr>
          <c:marker>
            <c:symbol val="none"/>
          </c:marker>
          <c:cat>
            <c:numRef>
              <c:f>AMD!$A$7:$A$27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AMD!$F$7:$F$27</c:f>
              <c:numCache>
                <c:formatCode>_([$$-409]* #,##0.00_);_([$$-409]* \(#,##0.00\);_([$$-409]* "-"??_);_(@_)</c:formatCode>
                <c:ptCount val="21"/>
                <c:pt idx="0">
                  <c:v>202.68</c:v>
                </c:pt>
                <c:pt idx="1">
                  <c:v>203.23</c:v>
                </c:pt>
                <c:pt idx="2">
                  <c:v>204.83</c:v>
                </c:pt>
                <c:pt idx="3">
                  <c:v>197.74</c:v>
                </c:pt>
                <c:pt idx="4">
                  <c:v>193.39</c:v>
                </c:pt>
                <c:pt idx="5">
                  <c:v>196.58</c:v>
                </c:pt>
                <c:pt idx="6">
                  <c:v>196.31</c:v>
                </c:pt>
                <c:pt idx="7">
                  <c:v>199.46</c:v>
                </c:pt>
                <c:pt idx="8">
                  <c:v>205.27</c:v>
                </c:pt>
                <c:pt idx="9">
                  <c:v>201.33</c:v>
                </c:pt>
                <c:pt idx="10">
                  <c:v>202.68</c:v>
                </c:pt>
                <c:pt idx="11">
                  <c:v>205.37</c:v>
                </c:pt>
                <c:pt idx="12">
                  <c:v>220.27</c:v>
                </c:pt>
                <c:pt idx="13">
                  <c:v>203.77</c:v>
                </c:pt>
                <c:pt idx="14">
                  <c:v>201.99</c:v>
                </c:pt>
                <c:pt idx="15">
                  <c:v>196.04</c:v>
                </c:pt>
                <c:pt idx="16">
                  <c:v>203.43</c:v>
                </c:pt>
                <c:pt idx="17">
                  <c:v>210.21</c:v>
                </c:pt>
                <c:pt idx="18">
                  <c:v>217.5</c:v>
                </c:pt>
              </c:numCache>
            </c:numRef>
          </c:val>
          <c:smooth val="0"/>
          <c:extLst>
            <c:ext xmlns:c16="http://schemas.microsoft.com/office/drawing/2014/chart" uri="{C3380CC4-5D6E-409C-BE32-E72D297353CC}">
              <c16:uniqueId val="{00000004-4DEC-405D-BC69-BC35BF18994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554733053577883"/>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AMD!$C$4:$IR$4</c:f>
              <c:numCache>
                <c:formatCode>_([$$-409]* #,##0.00_);_([$$-409]* \(#,##0.00\);_([$$-409]* "-"??_);_(@_)</c:formatCode>
                <c:ptCount val="250"/>
                <c:pt idx="0">
                  <c:v>83.64</c:v>
                </c:pt>
                <c:pt idx="1">
                  <c:v>78.209999999999994</c:v>
                </c:pt>
                <c:pt idx="2">
                  <c:v>96.84</c:v>
                </c:pt>
                <c:pt idx="3">
                  <c:v>88.7</c:v>
                </c:pt>
                <c:pt idx="4">
                  <c:v>93.4</c:v>
                </c:pt>
                <c:pt idx="5">
                  <c:v>94.5</c:v>
                </c:pt>
                <c:pt idx="6">
                  <c:v>95.29</c:v>
                </c:pt>
                <c:pt idx="7">
                  <c:v>88.29</c:v>
                </c:pt>
                <c:pt idx="8">
                  <c:v>87.5</c:v>
                </c:pt>
                <c:pt idx="9">
                  <c:v>85.56</c:v>
                </c:pt>
                <c:pt idx="10">
                  <c:v>86.26</c:v>
                </c:pt>
                <c:pt idx="11">
                  <c:v>90.39</c:v>
                </c:pt>
                <c:pt idx="12">
                  <c:v>94.47</c:v>
                </c:pt>
                <c:pt idx="13">
                  <c:v>96.644999999999996</c:v>
                </c:pt>
                <c:pt idx="14">
                  <c:v>96.39</c:v>
                </c:pt>
                <c:pt idx="15">
                  <c:v>96.06</c:v>
                </c:pt>
                <c:pt idx="16">
                  <c:v>97.35</c:v>
                </c:pt>
                <c:pt idx="17">
                  <c:v>96.65</c:v>
                </c:pt>
                <c:pt idx="18">
                  <c:v>98.8</c:v>
                </c:pt>
                <c:pt idx="19">
                  <c:v>100.59</c:v>
                </c:pt>
                <c:pt idx="20">
                  <c:v>98.62</c:v>
                </c:pt>
                <c:pt idx="21">
                  <c:v>100.36</c:v>
                </c:pt>
                <c:pt idx="22">
                  <c:v>101.7</c:v>
                </c:pt>
                <c:pt idx="23">
                  <c:v>102.84</c:v>
                </c:pt>
                <c:pt idx="24">
                  <c:v>108.12</c:v>
                </c:pt>
                <c:pt idx="25">
                  <c:v>112.46</c:v>
                </c:pt>
                <c:pt idx="26">
                  <c:v>117.72</c:v>
                </c:pt>
                <c:pt idx="27">
                  <c:v>114.99</c:v>
                </c:pt>
                <c:pt idx="28">
                  <c:v>117.17</c:v>
                </c:pt>
                <c:pt idx="29">
                  <c:v>114.74</c:v>
                </c:pt>
                <c:pt idx="30">
                  <c:v>113.51</c:v>
                </c:pt>
                <c:pt idx="31">
                  <c:v>112.06</c:v>
                </c:pt>
                <c:pt idx="32">
                  <c:v>110.71</c:v>
                </c:pt>
                <c:pt idx="33">
                  <c:v>110.31</c:v>
                </c:pt>
                <c:pt idx="34">
                  <c:v>114.56</c:v>
                </c:pt>
                <c:pt idx="35">
                  <c:v>112.86</c:v>
                </c:pt>
                <c:pt idx="36">
                  <c:v>113.03</c:v>
                </c:pt>
                <c:pt idx="37">
                  <c:v>110.73</c:v>
                </c:pt>
                <c:pt idx="38">
                  <c:v>114.63</c:v>
                </c:pt>
                <c:pt idx="39">
                  <c:v>117.31</c:v>
                </c:pt>
                <c:pt idx="40">
                  <c:v>118.58</c:v>
                </c:pt>
                <c:pt idx="41">
                  <c:v>115.69</c:v>
                </c:pt>
                <c:pt idx="42">
                  <c:v>116.19</c:v>
                </c:pt>
                <c:pt idx="43">
                  <c:v>121.73</c:v>
                </c:pt>
                <c:pt idx="44">
                  <c:v>123.24</c:v>
                </c:pt>
                <c:pt idx="45">
                  <c:v>121.14</c:v>
                </c:pt>
                <c:pt idx="46">
                  <c:v>118.5</c:v>
                </c:pt>
                <c:pt idx="47">
                  <c:v>116.16</c:v>
                </c:pt>
                <c:pt idx="48">
                  <c:v>126.39</c:v>
                </c:pt>
                <c:pt idx="49">
                  <c:v>127.1</c:v>
                </c:pt>
                <c:pt idx="50">
                  <c:v>126.79</c:v>
                </c:pt>
                <c:pt idx="51">
                  <c:v>128.24</c:v>
                </c:pt>
                <c:pt idx="52">
                  <c:v>129.58000000000001</c:v>
                </c:pt>
                <c:pt idx="53">
                  <c:v>138.43</c:v>
                </c:pt>
                <c:pt idx="54">
                  <c:v>143.4</c:v>
                </c:pt>
                <c:pt idx="55">
                  <c:v>143.68</c:v>
                </c:pt>
                <c:pt idx="56">
                  <c:v>143.81</c:v>
                </c:pt>
                <c:pt idx="57">
                  <c:v>141.9</c:v>
                </c:pt>
                <c:pt idx="58">
                  <c:v>136.11000000000001</c:v>
                </c:pt>
                <c:pt idx="59">
                  <c:v>138.52000000000001</c:v>
                </c:pt>
                <c:pt idx="60">
                  <c:v>137.91</c:v>
                </c:pt>
                <c:pt idx="61">
                  <c:v>134.80000000000001</c:v>
                </c:pt>
                <c:pt idx="62">
                  <c:v>137.82</c:v>
                </c:pt>
                <c:pt idx="63">
                  <c:v>138.41</c:v>
                </c:pt>
                <c:pt idx="64">
                  <c:v>144.16</c:v>
                </c:pt>
                <c:pt idx="65">
                  <c:v>146.41999999999999</c:v>
                </c:pt>
                <c:pt idx="66">
                  <c:v>146.24</c:v>
                </c:pt>
                <c:pt idx="67">
                  <c:v>155.61000000000001</c:v>
                </c:pt>
                <c:pt idx="68">
                  <c:v>160.08000000000001</c:v>
                </c:pt>
                <c:pt idx="69">
                  <c:v>160.41</c:v>
                </c:pt>
                <c:pt idx="70">
                  <c:v>156.99</c:v>
                </c:pt>
                <c:pt idx="71">
                  <c:v>157</c:v>
                </c:pt>
                <c:pt idx="72">
                  <c:v>154.72</c:v>
                </c:pt>
                <c:pt idx="73">
                  <c:v>158.65</c:v>
                </c:pt>
                <c:pt idx="74">
                  <c:v>162.12</c:v>
                </c:pt>
                <c:pt idx="75">
                  <c:v>166.47</c:v>
                </c:pt>
                <c:pt idx="76">
                  <c:v>173.66</c:v>
                </c:pt>
                <c:pt idx="77">
                  <c:v>177.44</c:v>
                </c:pt>
                <c:pt idx="78">
                  <c:v>179.51</c:v>
                </c:pt>
                <c:pt idx="79">
                  <c:v>176.31</c:v>
                </c:pt>
                <c:pt idx="80">
                  <c:v>171.7</c:v>
                </c:pt>
                <c:pt idx="81">
                  <c:v>176.78</c:v>
                </c:pt>
                <c:pt idx="82">
                  <c:v>174.31</c:v>
                </c:pt>
                <c:pt idx="83">
                  <c:v>163.12</c:v>
                </c:pt>
                <c:pt idx="84">
                  <c:v>172.4</c:v>
                </c:pt>
                <c:pt idx="85">
                  <c:v>172.76</c:v>
                </c:pt>
                <c:pt idx="86">
                  <c:v>172.28</c:v>
                </c:pt>
                <c:pt idx="87">
                  <c:v>174.95</c:v>
                </c:pt>
                <c:pt idx="88">
                  <c:v>184.42</c:v>
                </c:pt>
                <c:pt idx="89">
                  <c:v>180.95</c:v>
                </c:pt>
                <c:pt idx="90">
                  <c:v>177.51</c:v>
                </c:pt>
                <c:pt idx="91">
                  <c:v>176.14</c:v>
                </c:pt>
                <c:pt idx="92">
                  <c:v>166.55</c:v>
                </c:pt>
                <c:pt idx="93">
                  <c:v>165.2</c:v>
                </c:pt>
                <c:pt idx="94">
                  <c:v>163.71</c:v>
                </c:pt>
                <c:pt idx="95">
                  <c:v>167.76</c:v>
                </c:pt>
                <c:pt idx="96">
                  <c:v>163.36000000000001</c:v>
                </c:pt>
                <c:pt idx="97">
                  <c:v>166.62</c:v>
                </c:pt>
                <c:pt idx="98">
                  <c:v>167.13</c:v>
                </c:pt>
                <c:pt idx="99">
                  <c:v>168.58</c:v>
                </c:pt>
                <c:pt idx="100">
                  <c:v>162.63</c:v>
                </c:pt>
                <c:pt idx="101">
                  <c:v>162.32</c:v>
                </c:pt>
                <c:pt idx="102">
                  <c:v>162.13</c:v>
                </c:pt>
                <c:pt idx="103">
                  <c:v>161.79</c:v>
                </c:pt>
                <c:pt idx="104">
                  <c:v>151.13999999999999</c:v>
                </c:pt>
                <c:pt idx="105">
                  <c:v>151.41</c:v>
                </c:pt>
                <c:pt idx="106">
                  <c:v>155.82</c:v>
                </c:pt>
                <c:pt idx="107">
                  <c:v>159.54</c:v>
                </c:pt>
                <c:pt idx="108">
                  <c:v>155.66999999999999</c:v>
                </c:pt>
                <c:pt idx="109">
                  <c:v>158.57</c:v>
                </c:pt>
                <c:pt idx="110">
                  <c:v>161.16</c:v>
                </c:pt>
                <c:pt idx="111">
                  <c:v>160.46</c:v>
                </c:pt>
                <c:pt idx="112">
                  <c:v>159.16</c:v>
                </c:pt>
                <c:pt idx="113">
                  <c:v>157.91999999999999</c:v>
                </c:pt>
                <c:pt idx="114">
                  <c:v>157.38999999999999</c:v>
                </c:pt>
                <c:pt idx="115">
                  <c:v>159.79</c:v>
                </c:pt>
                <c:pt idx="116">
                  <c:v>160.9</c:v>
                </c:pt>
                <c:pt idx="117">
                  <c:v>160.88</c:v>
                </c:pt>
                <c:pt idx="118">
                  <c:v>161.27000000000001</c:v>
                </c:pt>
                <c:pt idx="119">
                  <c:v>159.46</c:v>
                </c:pt>
                <c:pt idx="120">
                  <c:v>161.36000000000001</c:v>
                </c:pt>
                <c:pt idx="121">
                  <c:v>161.79</c:v>
                </c:pt>
                <c:pt idx="122">
                  <c:v>164.01</c:v>
                </c:pt>
                <c:pt idx="123">
                  <c:v>169.73</c:v>
                </c:pt>
                <c:pt idx="124">
                  <c:v>164.67</c:v>
                </c:pt>
                <c:pt idx="125">
                  <c:v>203.71</c:v>
                </c:pt>
                <c:pt idx="126">
                  <c:v>211.51</c:v>
                </c:pt>
                <c:pt idx="127">
                  <c:v>235.56</c:v>
                </c:pt>
                <c:pt idx="128">
                  <c:v>232.89</c:v>
                </c:pt>
                <c:pt idx="129">
                  <c:v>214.9</c:v>
                </c:pt>
                <c:pt idx="130">
                  <c:v>216.42</c:v>
                </c:pt>
                <c:pt idx="131">
                  <c:v>218.09</c:v>
                </c:pt>
                <c:pt idx="132">
                  <c:v>238.6</c:v>
                </c:pt>
                <c:pt idx="133">
                  <c:v>234.56</c:v>
                </c:pt>
                <c:pt idx="134">
                  <c:v>233.08</c:v>
                </c:pt>
                <c:pt idx="135">
                  <c:v>240.56</c:v>
                </c:pt>
                <c:pt idx="136">
                  <c:v>238.03</c:v>
                </c:pt>
                <c:pt idx="137">
                  <c:v>230.23</c:v>
                </c:pt>
                <c:pt idx="138">
                  <c:v>234.99</c:v>
                </c:pt>
                <c:pt idx="139">
                  <c:v>252.92</c:v>
                </c:pt>
                <c:pt idx="140">
                  <c:v>259.67</c:v>
                </c:pt>
                <c:pt idx="141">
                  <c:v>258.01</c:v>
                </c:pt>
                <c:pt idx="142">
                  <c:v>264.33</c:v>
                </c:pt>
                <c:pt idx="143">
                  <c:v>254.84</c:v>
                </c:pt>
                <c:pt idx="144">
                  <c:v>256.12</c:v>
                </c:pt>
                <c:pt idx="145">
                  <c:v>259.64999999999998</c:v>
                </c:pt>
                <c:pt idx="146">
                  <c:v>250.05</c:v>
                </c:pt>
                <c:pt idx="147">
                  <c:v>256.33</c:v>
                </c:pt>
                <c:pt idx="148">
                  <c:v>237.7</c:v>
                </c:pt>
                <c:pt idx="149">
                  <c:v>233.54</c:v>
                </c:pt>
                <c:pt idx="150">
                  <c:v>243.98</c:v>
                </c:pt>
                <c:pt idx="151">
                  <c:v>237.52</c:v>
                </c:pt>
                <c:pt idx="152">
                  <c:v>258.89</c:v>
                </c:pt>
                <c:pt idx="153">
                  <c:v>247.96</c:v>
                </c:pt>
                <c:pt idx="154">
                  <c:v>246.81</c:v>
                </c:pt>
                <c:pt idx="155">
                  <c:v>240.52</c:v>
                </c:pt>
                <c:pt idx="156">
                  <c:v>230.29</c:v>
                </c:pt>
                <c:pt idx="157">
                  <c:v>223.55</c:v>
                </c:pt>
                <c:pt idx="158">
                  <c:v>206.02</c:v>
                </c:pt>
                <c:pt idx="159">
                  <c:v>203.78</c:v>
                </c:pt>
                <c:pt idx="160">
                  <c:v>215.05</c:v>
                </c:pt>
                <c:pt idx="161">
                  <c:v>206.13</c:v>
                </c:pt>
                <c:pt idx="162">
                  <c:v>214.24</c:v>
                </c:pt>
                <c:pt idx="163">
                  <c:v>217.53</c:v>
                </c:pt>
                <c:pt idx="164">
                  <c:v>219.76</c:v>
                </c:pt>
                <c:pt idx="165">
                  <c:v>215.24</c:v>
                </c:pt>
                <c:pt idx="166">
                  <c:v>217.6</c:v>
                </c:pt>
                <c:pt idx="167">
                  <c:v>215.98</c:v>
                </c:pt>
                <c:pt idx="168">
                  <c:v>217.97</c:v>
                </c:pt>
                <c:pt idx="169">
                  <c:v>221.11</c:v>
                </c:pt>
                <c:pt idx="170">
                  <c:v>221.62</c:v>
                </c:pt>
                <c:pt idx="171">
                  <c:v>221.42</c:v>
                </c:pt>
                <c:pt idx="172">
                  <c:v>221.43</c:v>
                </c:pt>
                <c:pt idx="173">
                  <c:v>210.78</c:v>
                </c:pt>
                <c:pt idx="174">
                  <c:v>207.58</c:v>
                </c:pt>
                <c:pt idx="175">
                  <c:v>209.17</c:v>
                </c:pt>
                <c:pt idx="176">
                  <c:v>198.11</c:v>
                </c:pt>
                <c:pt idx="177">
                  <c:v>201.06</c:v>
                </c:pt>
                <c:pt idx="178">
                  <c:v>213.43</c:v>
                </c:pt>
                <c:pt idx="179">
                  <c:v>214.95</c:v>
                </c:pt>
                <c:pt idx="180">
                  <c:v>214.9</c:v>
                </c:pt>
                <c:pt idx="181">
                  <c:v>215.04</c:v>
                </c:pt>
                <c:pt idx="182">
                  <c:v>214.99</c:v>
                </c:pt>
                <c:pt idx="183">
                  <c:v>215.61</c:v>
                </c:pt>
                <c:pt idx="184">
                  <c:v>215.34</c:v>
                </c:pt>
                <c:pt idx="185">
                  <c:v>214.16</c:v>
                </c:pt>
                <c:pt idx="186">
                  <c:v>223.47</c:v>
                </c:pt>
                <c:pt idx="187">
                  <c:v>221.08</c:v>
                </c:pt>
                <c:pt idx="188">
                  <c:v>214.35</c:v>
                </c:pt>
                <c:pt idx="189">
                  <c:v>210.02</c:v>
                </c:pt>
                <c:pt idx="190">
                  <c:v>204.68</c:v>
                </c:pt>
                <c:pt idx="191">
                  <c:v>203.17</c:v>
                </c:pt>
                <c:pt idx="192">
                  <c:v>207.69</c:v>
                </c:pt>
                <c:pt idx="193">
                  <c:v>220.97</c:v>
                </c:pt>
                <c:pt idx="194">
                  <c:v>223.6</c:v>
                </c:pt>
                <c:pt idx="195">
                  <c:v>227.92</c:v>
                </c:pt>
                <c:pt idx="196">
                  <c:v>231.83</c:v>
                </c:pt>
                <c:pt idx="197">
                  <c:v>231.92</c:v>
                </c:pt>
                <c:pt idx="198">
                  <c:v>249.8</c:v>
                </c:pt>
                <c:pt idx="199">
                  <c:v>253.73</c:v>
                </c:pt>
                <c:pt idx="200">
                  <c:v>259.68</c:v>
                </c:pt>
                <c:pt idx="201">
                  <c:v>251.31</c:v>
                </c:pt>
                <c:pt idx="202">
                  <c:v>252.03</c:v>
                </c:pt>
                <c:pt idx="203">
                  <c:v>252.74</c:v>
                </c:pt>
                <c:pt idx="204">
                  <c:v>252.18</c:v>
                </c:pt>
                <c:pt idx="205">
                  <c:v>236.73</c:v>
                </c:pt>
                <c:pt idx="206">
                  <c:v>246.27</c:v>
                </c:pt>
                <c:pt idx="207">
                  <c:v>242.11</c:v>
                </c:pt>
                <c:pt idx="208">
                  <c:v>200.19</c:v>
                </c:pt>
                <c:pt idx="209">
                  <c:v>192.5</c:v>
                </c:pt>
                <c:pt idx="210">
                  <c:v>208.44</c:v>
                </c:pt>
                <c:pt idx="211">
                  <c:v>216</c:v>
                </c:pt>
                <c:pt idx="212">
                  <c:v>213.57</c:v>
                </c:pt>
                <c:pt idx="213">
                  <c:v>213.58</c:v>
                </c:pt>
                <c:pt idx="214">
                  <c:v>205.94</c:v>
                </c:pt>
                <c:pt idx="215">
                  <c:v>207.32</c:v>
                </c:pt>
                <c:pt idx="216">
                  <c:v>203.08</c:v>
                </c:pt>
                <c:pt idx="217">
                  <c:v>200.12</c:v>
                </c:pt>
                <c:pt idx="218">
                  <c:v>203.37</c:v>
                </c:pt>
                <c:pt idx="219">
                  <c:v>200.15</c:v>
                </c:pt>
                <c:pt idx="220">
                  <c:v>196.6</c:v>
                </c:pt>
                <c:pt idx="221">
                  <c:v>213.84</c:v>
                </c:pt>
                <c:pt idx="222">
                  <c:v>210.86</c:v>
                </c:pt>
                <c:pt idx="223">
                  <c:v>203.68</c:v>
                </c:pt>
                <c:pt idx="224">
                  <c:v>200.21</c:v>
                </c:pt>
                <c:pt idx="225">
                  <c:v>198.62</c:v>
                </c:pt>
                <c:pt idx="226">
                  <c:v>190.95</c:v>
                </c:pt>
                <c:pt idx="227">
                  <c:v>202.07</c:v>
                </c:pt>
                <c:pt idx="228">
                  <c:v>199.45</c:v>
                </c:pt>
                <c:pt idx="229">
                  <c:v>192.43</c:v>
                </c:pt>
                <c:pt idx="230">
                  <c:v>202.68</c:v>
                </c:pt>
                <c:pt idx="231">
                  <c:v>203.23</c:v>
                </c:pt>
                <c:pt idx="232">
                  <c:v>204.83</c:v>
                </c:pt>
                <c:pt idx="233">
                  <c:v>197.74</c:v>
                </c:pt>
                <c:pt idx="234">
                  <c:v>193.39</c:v>
                </c:pt>
                <c:pt idx="235">
                  <c:v>196.58</c:v>
                </c:pt>
                <c:pt idx="236">
                  <c:v>196.31</c:v>
                </c:pt>
                <c:pt idx="237">
                  <c:v>199.46</c:v>
                </c:pt>
                <c:pt idx="238">
                  <c:v>205.27</c:v>
                </c:pt>
                <c:pt idx="239">
                  <c:v>201.33</c:v>
                </c:pt>
                <c:pt idx="240">
                  <c:v>202.68</c:v>
                </c:pt>
                <c:pt idx="241">
                  <c:v>205.37</c:v>
                </c:pt>
                <c:pt idx="242">
                  <c:v>220.27</c:v>
                </c:pt>
                <c:pt idx="243">
                  <c:v>203.77</c:v>
                </c:pt>
                <c:pt idx="244">
                  <c:v>201.99</c:v>
                </c:pt>
                <c:pt idx="245">
                  <c:v>196.04</c:v>
                </c:pt>
                <c:pt idx="246">
                  <c:v>203.43</c:v>
                </c:pt>
                <c:pt idx="247">
                  <c:v>210.21</c:v>
                </c:pt>
                <c:pt idx="248">
                  <c:v>217.5</c:v>
                </c:pt>
              </c:numCache>
            </c:numRef>
          </c:val>
          <c:extLst>
            <c:ext xmlns:c16="http://schemas.microsoft.com/office/drawing/2014/chart" uri="{C3380CC4-5D6E-409C-BE32-E72D297353CC}">
              <c16:uniqueId val="{00000000-8496-4EF5-9641-D8BF8BB429BC}"/>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BABA!$C$4:$IR$4</c:f>
              <c:numCache>
                <c:formatCode>_([$$-409]* #,##0.00_);_([$$-409]* \(#,##0.00\);_([$$-409]* "-"??_);_(@_)</c:formatCode>
                <c:ptCount val="250"/>
                <c:pt idx="0">
                  <c:v>105.1438</c:v>
                </c:pt>
                <c:pt idx="1">
                  <c:v>98.585999999999999</c:v>
                </c:pt>
                <c:pt idx="2">
                  <c:v>103.9533</c:v>
                </c:pt>
                <c:pt idx="3">
                  <c:v>103.358</c:v>
                </c:pt>
                <c:pt idx="4">
                  <c:v>106.88</c:v>
                </c:pt>
                <c:pt idx="5">
                  <c:v>113.07080000000001</c:v>
                </c:pt>
                <c:pt idx="6">
                  <c:v>111.39409999999999</c:v>
                </c:pt>
                <c:pt idx="7">
                  <c:v>105.90770000000001</c:v>
                </c:pt>
                <c:pt idx="8">
                  <c:v>108.011</c:v>
                </c:pt>
                <c:pt idx="9">
                  <c:v>109.2809</c:v>
                </c:pt>
                <c:pt idx="10">
                  <c:v>114.9657</c:v>
                </c:pt>
                <c:pt idx="11">
                  <c:v>118.0313</c:v>
                </c:pt>
                <c:pt idx="12">
                  <c:v>118.3488</c:v>
                </c:pt>
                <c:pt idx="13">
                  <c:v>119.331</c:v>
                </c:pt>
                <c:pt idx="14">
                  <c:v>117.4361</c:v>
                </c:pt>
                <c:pt idx="15">
                  <c:v>117.94199999999999</c:v>
                </c:pt>
                <c:pt idx="16">
                  <c:v>118.4877</c:v>
                </c:pt>
                <c:pt idx="17">
                  <c:v>119.57899999999999</c:v>
                </c:pt>
                <c:pt idx="18">
                  <c:v>124.76779999999999</c:v>
                </c:pt>
                <c:pt idx="19">
                  <c:v>125.5714</c:v>
                </c:pt>
                <c:pt idx="20">
                  <c:v>126.6528</c:v>
                </c:pt>
                <c:pt idx="21">
                  <c:v>122.2577</c:v>
                </c:pt>
                <c:pt idx="22">
                  <c:v>124.7975</c:v>
                </c:pt>
                <c:pt idx="23">
                  <c:v>124.3411</c:v>
                </c:pt>
                <c:pt idx="24">
                  <c:v>131.5042</c:v>
                </c:pt>
                <c:pt idx="25">
                  <c:v>130.6113</c:v>
                </c:pt>
                <c:pt idx="26">
                  <c:v>132.9923</c:v>
                </c:pt>
                <c:pt idx="27">
                  <c:v>122.9224</c:v>
                </c:pt>
                <c:pt idx="28">
                  <c:v>122.4859</c:v>
                </c:pt>
                <c:pt idx="29">
                  <c:v>121.9898</c:v>
                </c:pt>
                <c:pt idx="30">
                  <c:v>124.1725</c:v>
                </c:pt>
                <c:pt idx="31">
                  <c:v>122.61490000000001</c:v>
                </c:pt>
                <c:pt idx="32">
                  <c:v>120.5215</c:v>
                </c:pt>
                <c:pt idx="33">
                  <c:v>119.7774</c:v>
                </c:pt>
                <c:pt idx="34">
                  <c:v>118.577</c:v>
                </c:pt>
                <c:pt idx="35">
                  <c:v>115.8189</c:v>
                </c:pt>
                <c:pt idx="36">
                  <c:v>116.25539999999999</c:v>
                </c:pt>
                <c:pt idx="37">
                  <c:v>112.9418</c:v>
                </c:pt>
                <c:pt idx="38">
                  <c:v>113.8446</c:v>
                </c:pt>
                <c:pt idx="39">
                  <c:v>114.0629</c:v>
                </c:pt>
                <c:pt idx="40">
                  <c:v>118.50749999999999</c:v>
                </c:pt>
                <c:pt idx="41">
                  <c:v>119.01349999999999</c:v>
                </c:pt>
                <c:pt idx="42">
                  <c:v>118.43810000000001</c:v>
                </c:pt>
                <c:pt idx="43">
                  <c:v>120.5215</c:v>
                </c:pt>
                <c:pt idx="44">
                  <c:v>120.91840000000001</c:v>
                </c:pt>
                <c:pt idx="45">
                  <c:v>119.3806</c:v>
                </c:pt>
                <c:pt idx="46">
                  <c:v>116.62</c:v>
                </c:pt>
                <c:pt idx="47">
                  <c:v>112.87</c:v>
                </c:pt>
                <c:pt idx="48">
                  <c:v>115.96</c:v>
                </c:pt>
                <c:pt idx="49">
                  <c:v>115.03</c:v>
                </c:pt>
                <c:pt idx="50">
                  <c:v>113.49</c:v>
                </c:pt>
                <c:pt idx="51">
                  <c:v>113.01</c:v>
                </c:pt>
                <c:pt idx="52">
                  <c:v>113.09</c:v>
                </c:pt>
                <c:pt idx="53">
                  <c:v>117.01</c:v>
                </c:pt>
                <c:pt idx="54">
                  <c:v>114.55</c:v>
                </c:pt>
                <c:pt idx="55">
                  <c:v>113.93</c:v>
                </c:pt>
                <c:pt idx="56">
                  <c:v>114.08</c:v>
                </c:pt>
                <c:pt idx="57">
                  <c:v>113.41</c:v>
                </c:pt>
                <c:pt idx="58">
                  <c:v>113.97</c:v>
                </c:pt>
                <c:pt idx="59">
                  <c:v>110.71</c:v>
                </c:pt>
                <c:pt idx="60">
                  <c:v>108.7</c:v>
                </c:pt>
                <c:pt idx="61">
                  <c:v>106.27</c:v>
                </c:pt>
                <c:pt idx="62">
                  <c:v>107.99</c:v>
                </c:pt>
                <c:pt idx="63">
                  <c:v>103.83</c:v>
                </c:pt>
                <c:pt idx="64">
                  <c:v>106.64</c:v>
                </c:pt>
                <c:pt idx="65">
                  <c:v>106.72</c:v>
                </c:pt>
                <c:pt idx="66">
                  <c:v>108.22</c:v>
                </c:pt>
                <c:pt idx="67">
                  <c:v>116.97</c:v>
                </c:pt>
                <c:pt idx="68">
                  <c:v>115.73</c:v>
                </c:pt>
                <c:pt idx="69">
                  <c:v>117.3</c:v>
                </c:pt>
                <c:pt idx="70">
                  <c:v>120.23</c:v>
                </c:pt>
                <c:pt idx="71">
                  <c:v>120.27</c:v>
                </c:pt>
                <c:pt idx="72">
                  <c:v>120.71</c:v>
                </c:pt>
                <c:pt idx="73">
                  <c:v>122.58</c:v>
                </c:pt>
                <c:pt idx="74">
                  <c:v>121.15</c:v>
                </c:pt>
                <c:pt idx="75">
                  <c:v>120.03</c:v>
                </c:pt>
                <c:pt idx="76">
                  <c:v>122.15</c:v>
                </c:pt>
                <c:pt idx="77">
                  <c:v>119.36</c:v>
                </c:pt>
                <c:pt idx="78">
                  <c:v>117.38</c:v>
                </c:pt>
                <c:pt idx="79">
                  <c:v>120.63</c:v>
                </c:pt>
                <c:pt idx="80">
                  <c:v>117.07</c:v>
                </c:pt>
                <c:pt idx="81">
                  <c:v>117.5</c:v>
                </c:pt>
                <c:pt idx="82">
                  <c:v>117.04</c:v>
                </c:pt>
                <c:pt idx="83">
                  <c:v>120.86</c:v>
                </c:pt>
                <c:pt idx="84">
                  <c:v>120.96</c:v>
                </c:pt>
                <c:pt idx="85">
                  <c:v>120.36</c:v>
                </c:pt>
                <c:pt idx="86">
                  <c:v>118.64</c:v>
                </c:pt>
                <c:pt idx="87">
                  <c:v>122.42</c:v>
                </c:pt>
                <c:pt idx="88">
                  <c:v>126.86</c:v>
                </c:pt>
                <c:pt idx="89">
                  <c:v>122.28</c:v>
                </c:pt>
                <c:pt idx="90">
                  <c:v>121.26</c:v>
                </c:pt>
                <c:pt idx="91">
                  <c:v>121.4</c:v>
                </c:pt>
                <c:pt idx="92">
                  <c:v>119.99</c:v>
                </c:pt>
                <c:pt idx="93">
                  <c:v>119.49</c:v>
                </c:pt>
                <c:pt idx="94">
                  <c:v>118.09</c:v>
                </c:pt>
                <c:pt idx="95">
                  <c:v>122.94</c:v>
                </c:pt>
                <c:pt idx="96">
                  <c:v>124.35</c:v>
                </c:pt>
                <c:pt idx="97">
                  <c:v>124.19</c:v>
                </c:pt>
                <c:pt idx="98">
                  <c:v>122.23</c:v>
                </c:pt>
                <c:pt idx="99">
                  <c:v>119.57</c:v>
                </c:pt>
                <c:pt idx="100">
                  <c:v>135</c:v>
                </c:pt>
                <c:pt idx="101">
                  <c:v>138.55000000000001</c:v>
                </c:pt>
                <c:pt idx="102">
                  <c:v>136.44999999999999</c:v>
                </c:pt>
                <c:pt idx="103">
                  <c:v>130.91999999999999</c:v>
                </c:pt>
                <c:pt idx="104">
                  <c:v>135.58000000000001</c:v>
                </c:pt>
                <c:pt idx="105">
                  <c:v>141.19999999999999</c:v>
                </c:pt>
                <c:pt idx="106">
                  <c:v>147.1</c:v>
                </c:pt>
                <c:pt idx="107">
                  <c:v>143.93</c:v>
                </c:pt>
                <c:pt idx="108">
                  <c:v>155.44</c:v>
                </c:pt>
                <c:pt idx="109">
                  <c:v>155.06</c:v>
                </c:pt>
                <c:pt idx="110">
                  <c:v>158.04</c:v>
                </c:pt>
                <c:pt idx="111">
                  <c:v>162.21</c:v>
                </c:pt>
                <c:pt idx="112">
                  <c:v>166.17</c:v>
                </c:pt>
                <c:pt idx="113">
                  <c:v>162.47999999999999</c:v>
                </c:pt>
                <c:pt idx="114">
                  <c:v>162.81</c:v>
                </c:pt>
                <c:pt idx="115">
                  <c:v>164.25</c:v>
                </c:pt>
                <c:pt idx="116">
                  <c:v>163.08000000000001</c:v>
                </c:pt>
                <c:pt idx="117">
                  <c:v>176.44</c:v>
                </c:pt>
                <c:pt idx="118">
                  <c:v>175.47</c:v>
                </c:pt>
                <c:pt idx="119">
                  <c:v>171.91</c:v>
                </c:pt>
                <c:pt idx="120">
                  <c:v>179.9</c:v>
                </c:pt>
                <c:pt idx="121">
                  <c:v>178.73</c:v>
                </c:pt>
                <c:pt idx="122">
                  <c:v>182.78</c:v>
                </c:pt>
                <c:pt idx="123">
                  <c:v>189.34</c:v>
                </c:pt>
                <c:pt idx="124">
                  <c:v>188.03</c:v>
                </c:pt>
                <c:pt idx="125">
                  <c:v>187.22</c:v>
                </c:pt>
                <c:pt idx="126">
                  <c:v>181.33</c:v>
                </c:pt>
                <c:pt idx="127">
                  <c:v>181.12</c:v>
                </c:pt>
                <c:pt idx="128">
                  <c:v>173.68</c:v>
                </c:pt>
                <c:pt idx="129">
                  <c:v>159.01</c:v>
                </c:pt>
                <c:pt idx="130">
                  <c:v>166.81</c:v>
                </c:pt>
                <c:pt idx="131">
                  <c:v>162.86000000000001</c:v>
                </c:pt>
                <c:pt idx="132">
                  <c:v>165.91</c:v>
                </c:pt>
                <c:pt idx="133">
                  <c:v>165.09</c:v>
                </c:pt>
                <c:pt idx="134">
                  <c:v>167.05</c:v>
                </c:pt>
                <c:pt idx="135">
                  <c:v>173.47</c:v>
                </c:pt>
                <c:pt idx="136">
                  <c:v>166.67</c:v>
                </c:pt>
                <c:pt idx="137">
                  <c:v>165.86</c:v>
                </c:pt>
                <c:pt idx="138">
                  <c:v>171.9</c:v>
                </c:pt>
                <c:pt idx="139">
                  <c:v>174.7</c:v>
                </c:pt>
                <c:pt idx="140">
                  <c:v>179.45</c:v>
                </c:pt>
                <c:pt idx="141">
                  <c:v>176.72</c:v>
                </c:pt>
                <c:pt idx="142">
                  <c:v>179.97</c:v>
                </c:pt>
                <c:pt idx="143">
                  <c:v>173.93</c:v>
                </c:pt>
                <c:pt idx="144">
                  <c:v>170.43</c:v>
                </c:pt>
                <c:pt idx="145">
                  <c:v>167.69</c:v>
                </c:pt>
                <c:pt idx="146">
                  <c:v>164.3</c:v>
                </c:pt>
                <c:pt idx="147">
                  <c:v>164.82</c:v>
                </c:pt>
                <c:pt idx="148">
                  <c:v>167.61</c:v>
                </c:pt>
                <c:pt idx="149">
                  <c:v>166.34</c:v>
                </c:pt>
                <c:pt idx="150">
                  <c:v>165.89</c:v>
                </c:pt>
                <c:pt idx="151">
                  <c:v>160.80000000000001</c:v>
                </c:pt>
                <c:pt idx="152">
                  <c:v>157.91</c:v>
                </c:pt>
                <c:pt idx="153">
                  <c:v>159.84</c:v>
                </c:pt>
                <c:pt idx="154">
                  <c:v>153.80000000000001</c:v>
                </c:pt>
                <c:pt idx="155">
                  <c:v>157.71</c:v>
                </c:pt>
                <c:pt idx="156">
                  <c:v>159.72</c:v>
                </c:pt>
                <c:pt idx="157">
                  <c:v>158.88999999999999</c:v>
                </c:pt>
                <c:pt idx="158">
                  <c:v>153.28</c:v>
                </c:pt>
                <c:pt idx="159">
                  <c:v>152.93</c:v>
                </c:pt>
                <c:pt idx="160">
                  <c:v>160.72999999999999</c:v>
                </c:pt>
                <c:pt idx="161">
                  <c:v>157.01</c:v>
                </c:pt>
                <c:pt idx="162">
                  <c:v>157.6</c:v>
                </c:pt>
                <c:pt idx="163">
                  <c:v>157.30000000000001</c:v>
                </c:pt>
                <c:pt idx="164">
                  <c:v>164.26</c:v>
                </c:pt>
                <c:pt idx="165">
                  <c:v>161.13</c:v>
                </c:pt>
                <c:pt idx="166">
                  <c:v>158.08000000000001</c:v>
                </c:pt>
                <c:pt idx="167">
                  <c:v>157.44</c:v>
                </c:pt>
                <c:pt idx="168">
                  <c:v>158.32</c:v>
                </c:pt>
                <c:pt idx="169">
                  <c:v>158.13</c:v>
                </c:pt>
                <c:pt idx="170">
                  <c:v>155.96</c:v>
                </c:pt>
                <c:pt idx="171">
                  <c:v>158.82</c:v>
                </c:pt>
                <c:pt idx="172">
                  <c:v>156.9</c:v>
                </c:pt>
                <c:pt idx="173">
                  <c:v>155.68</c:v>
                </c:pt>
                <c:pt idx="174">
                  <c:v>150.09</c:v>
                </c:pt>
                <c:pt idx="175">
                  <c:v>149.29</c:v>
                </c:pt>
                <c:pt idx="176">
                  <c:v>147.09</c:v>
                </c:pt>
                <c:pt idx="177">
                  <c:v>147.32</c:v>
                </c:pt>
                <c:pt idx="178">
                  <c:v>149.79</c:v>
                </c:pt>
                <c:pt idx="179">
                  <c:v>150.96</c:v>
                </c:pt>
                <c:pt idx="180">
                  <c:v>151.22999999999999</c:v>
                </c:pt>
                <c:pt idx="181">
                  <c:v>150.06</c:v>
                </c:pt>
                <c:pt idx="182">
                  <c:v>152.24</c:v>
                </c:pt>
                <c:pt idx="183">
                  <c:v>148.49</c:v>
                </c:pt>
                <c:pt idx="184">
                  <c:v>147.36000000000001</c:v>
                </c:pt>
                <c:pt idx="185">
                  <c:v>146.58000000000001</c:v>
                </c:pt>
                <c:pt idx="186">
                  <c:v>155.74</c:v>
                </c:pt>
                <c:pt idx="187">
                  <c:v>156.26</c:v>
                </c:pt>
                <c:pt idx="188">
                  <c:v>150.9</c:v>
                </c:pt>
                <c:pt idx="189">
                  <c:v>146.75</c:v>
                </c:pt>
                <c:pt idx="190">
                  <c:v>154.47</c:v>
                </c:pt>
                <c:pt idx="191">
                  <c:v>150.96</c:v>
                </c:pt>
                <c:pt idx="192">
                  <c:v>166.31</c:v>
                </c:pt>
                <c:pt idx="193">
                  <c:v>167.01</c:v>
                </c:pt>
                <c:pt idx="194">
                  <c:v>169.9</c:v>
                </c:pt>
                <c:pt idx="195">
                  <c:v>170.93</c:v>
                </c:pt>
                <c:pt idx="196">
                  <c:v>165.4</c:v>
                </c:pt>
                <c:pt idx="197">
                  <c:v>162.38999999999999</c:v>
                </c:pt>
                <c:pt idx="198">
                  <c:v>168.67</c:v>
                </c:pt>
                <c:pt idx="199">
                  <c:v>177.18</c:v>
                </c:pt>
                <c:pt idx="200">
                  <c:v>173.23</c:v>
                </c:pt>
                <c:pt idx="201">
                  <c:v>171.37</c:v>
                </c:pt>
                <c:pt idx="202">
                  <c:v>172.72</c:v>
                </c:pt>
                <c:pt idx="203">
                  <c:v>175.66</c:v>
                </c:pt>
                <c:pt idx="204">
                  <c:v>174.25</c:v>
                </c:pt>
                <c:pt idx="205">
                  <c:v>169.56</c:v>
                </c:pt>
                <c:pt idx="206">
                  <c:v>168.39</c:v>
                </c:pt>
                <c:pt idx="207">
                  <c:v>163.65</c:v>
                </c:pt>
                <c:pt idx="208">
                  <c:v>159.13999999999999</c:v>
                </c:pt>
                <c:pt idx="209">
                  <c:v>157.76</c:v>
                </c:pt>
                <c:pt idx="210">
                  <c:v>162.51</c:v>
                </c:pt>
                <c:pt idx="211">
                  <c:v>163</c:v>
                </c:pt>
                <c:pt idx="212">
                  <c:v>166.51</c:v>
                </c:pt>
                <c:pt idx="213">
                  <c:v>164.32</c:v>
                </c:pt>
                <c:pt idx="214">
                  <c:v>158.72999999999999</c:v>
                </c:pt>
                <c:pt idx="215">
                  <c:v>155.72999999999999</c:v>
                </c:pt>
                <c:pt idx="216">
                  <c:v>155.43</c:v>
                </c:pt>
                <c:pt idx="217">
                  <c:v>155.77000000000001</c:v>
                </c:pt>
                <c:pt idx="218">
                  <c:v>154.27000000000001</c:v>
                </c:pt>
                <c:pt idx="219">
                  <c:v>154.44999999999999</c:v>
                </c:pt>
                <c:pt idx="220">
                  <c:v>152.78</c:v>
                </c:pt>
                <c:pt idx="221">
                  <c:v>153.11000000000001</c:v>
                </c:pt>
                <c:pt idx="222">
                  <c:v>152.28</c:v>
                </c:pt>
                <c:pt idx="223">
                  <c:v>148.05000000000001</c:v>
                </c:pt>
                <c:pt idx="224">
                  <c:v>144.11000000000001</c:v>
                </c:pt>
                <c:pt idx="225">
                  <c:v>142.56</c:v>
                </c:pt>
                <c:pt idx="226">
                  <c:v>135.59</c:v>
                </c:pt>
                <c:pt idx="227">
                  <c:v>133.27000000000001</c:v>
                </c:pt>
                <c:pt idx="228">
                  <c:v>130.35</c:v>
                </c:pt>
                <c:pt idx="229">
                  <c:v>130.79</c:v>
                </c:pt>
                <c:pt idx="230">
                  <c:v>132.63999999999999</c:v>
                </c:pt>
                <c:pt idx="231">
                  <c:v>136.85</c:v>
                </c:pt>
                <c:pt idx="232">
                  <c:v>136.29</c:v>
                </c:pt>
                <c:pt idx="233">
                  <c:v>134.19999999999999</c:v>
                </c:pt>
                <c:pt idx="234">
                  <c:v>135.21</c:v>
                </c:pt>
                <c:pt idx="235">
                  <c:v>136.71</c:v>
                </c:pt>
                <c:pt idx="236">
                  <c:v>136.57</c:v>
                </c:pt>
                <c:pt idx="237">
                  <c:v>134.43</c:v>
                </c:pt>
                <c:pt idx="238">
                  <c:v>124.9</c:v>
                </c:pt>
                <c:pt idx="239">
                  <c:v>122.41</c:v>
                </c:pt>
                <c:pt idx="240">
                  <c:v>126.06</c:v>
                </c:pt>
                <c:pt idx="241">
                  <c:v>125.48</c:v>
                </c:pt>
                <c:pt idx="242">
                  <c:v>129.87</c:v>
                </c:pt>
                <c:pt idx="243">
                  <c:v>125.41</c:v>
                </c:pt>
                <c:pt idx="244">
                  <c:v>122.69</c:v>
                </c:pt>
                <c:pt idx="245">
                  <c:v>121.98</c:v>
                </c:pt>
                <c:pt idx="246">
                  <c:v>125.46</c:v>
                </c:pt>
                <c:pt idx="247">
                  <c:v>123.73</c:v>
                </c:pt>
                <c:pt idx="248">
                  <c:v>122.05</c:v>
                </c:pt>
              </c:numCache>
            </c:numRef>
          </c:val>
          <c:extLst>
            <c:ext xmlns:c16="http://schemas.microsoft.com/office/drawing/2014/chart" uri="{C3380CC4-5D6E-409C-BE32-E72D297353CC}">
              <c16:uniqueId val="{00000000-6283-4CA8-9E5C-C430491A2209}"/>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BABA!$B$1</c:f>
          <c:strCache>
            <c:ptCount val="1"/>
            <c:pt idx="0">
              <c:v>Alibaba Group Holding Limited (XNYS:BABA)</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BABA!$B$6</c:f>
              <c:strCache>
                <c:ptCount val="1"/>
                <c:pt idx="0">
                  <c:v>Volume</c:v>
                </c:pt>
              </c:strCache>
            </c:strRef>
          </c:tx>
          <c:spPr>
            <a:solidFill>
              <a:schemeClr val="accent1"/>
            </a:solidFill>
            <a:ln w="38100">
              <a:noFill/>
            </a:ln>
            <a:effectLst/>
          </c:spPr>
          <c:invertIfNegative val="0"/>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BABA!$B$7:$B$27</c:f>
              <c:numCache>
                <c:formatCode>#,##0</c:formatCode>
                <c:ptCount val="21"/>
                <c:pt idx="0">
                  <c:v>10072449</c:v>
                </c:pt>
                <c:pt idx="1">
                  <c:v>15264286</c:v>
                </c:pt>
                <c:pt idx="2">
                  <c:v>6685065</c:v>
                </c:pt>
                <c:pt idx="3">
                  <c:v>7591786</c:v>
                </c:pt>
                <c:pt idx="4">
                  <c:v>6438401</c:v>
                </c:pt>
                <c:pt idx="5">
                  <c:v>9972344</c:v>
                </c:pt>
                <c:pt idx="6">
                  <c:v>10005699</c:v>
                </c:pt>
                <c:pt idx="7">
                  <c:v>17158597</c:v>
                </c:pt>
                <c:pt idx="8">
                  <c:v>33440469</c:v>
                </c:pt>
                <c:pt idx="9">
                  <c:v>15479264</c:v>
                </c:pt>
                <c:pt idx="10">
                  <c:v>15583917</c:v>
                </c:pt>
                <c:pt idx="11">
                  <c:v>8516233</c:v>
                </c:pt>
                <c:pt idx="12">
                  <c:v>12843020</c:v>
                </c:pt>
                <c:pt idx="13">
                  <c:v>9239994</c:v>
                </c:pt>
                <c:pt idx="14">
                  <c:v>8104989</c:v>
                </c:pt>
                <c:pt idx="15">
                  <c:v>7226650</c:v>
                </c:pt>
                <c:pt idx="16">
                  <c:v>9486079</c:v>
                </c:pt>
                <c:pt idx="17">
                  <c:v>10297423</c:v>
                </c:pt>
                <c:pt idx="18">
                  <c:v>8830234</c:v>
                </c:pt>
              </c:numCache>
            </c:numRef>
          </c:val>
          <c:extLst>
            <c:ext xmlns:c16="http://schemas.microsoft.com/office/drawing/2014/chart" uri="{C3380CC4-5D6E-409C-BE32-E72D297353CC}">
              <c16:uniqueId val="{00000000-DD3A-4718-B306-A4995118BE2C}"/>
            </c:ext>
          </c:extLst>
        </c:ser>
        <c:dLbls>
          <c:showLegendKey val="0"/>
          <c:showVal val="0"/>
          <c:showCatName val="0"/>
          <c:showSerName val="0"/>
          <c:showPercent val="0"/>
          <c:showBubbleSize val="0"/>
        </c:dLbls>
        <c:gapWidth val="150"/>
        <c:axId val="1069529423"/>
        <c:axId val="1069531343"/>
      </c:barChart>
      <c:stockChart>
        <c:ser>
          <c:idx val="1"/>
          <c:order val="1"/>
          <c:tx>
            <c:strRef>
              <c:f>BABA!$C$6</c:f>
              <c:strCache>
                <c:ptCount val="1"/>
                <c:pt idx="0">
                  <c:v>Open</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BABA!$C$7:$C$27</c:f>
              <c:numCache>
                <c:formatCode>_([$$-409]* #,##0.00_);_([$$-409]* \(#,##0.00\);_([$$-409]* "-"??_);_(@_)</c:formatCode>
                <c:ptCount val="21"/>
                <c:pt idx="0">
                  <c:v>130.24</c:v>
                </c:pt>
                <c:pt idx="1">
                  <c:v>135.71</c:v>
                </c:pt>
                <c:pt idx="2">
                  <c:v>135.57</c:v>
                </c:pt>
                <c:pt idx="3">
                  <c:v>135.38</c:v>
                </c:pt>
                <c:pt idx="4">
                  <c:v>136.07</c:v>
                </c:pt>
                <c:pt idx="5">
                  <c:v>138.80000000000001</c:v>
                </c:pt>
                <c:pt idx="6">
                  <c:v>137.875</c:v>
                </c:pt>
                <c:pt idx="7">
                  <c:v>138.44499999999999</c:v>
                </c:pt>
                <c:pt idx="8">
                  <c:v>123.02</c:v>
                </c:pt>
                <c:pt idx="9">
                  <c:v>125.715</c:v>
                </c:pt>
                <c:pt idx="10">
                  <c:v>123.24</c:v>
                </c:pt>
                <c:pt idx="11">
                  <c:v>124.36</c:v>
                </c:pt>
                <c:pt idx="12">
                  <c:v>129.47999999999999</c:v>
                </c:pt>
                <c:pt idx="13">
                  <c:v>126.72</c:v>
                </c:pt>
                <c:pt idx="14">
                  <c:v>123.97</c:v>
                </c:pt>
                <c:pt idx="15">
                  <c:v>123.28</c:v>
                </c:pt>
                <c:pt idx="16">
                  <c:v>121.99</c:v>
                </c:pt>
                <c:pt idx="17">
                  <c:v>125.48</c:v>
                </c:pt>
                <c:pt idx="18">
                  <c:v>120.27</c:v>
                </c:pt>
              </c:numCache>
            </c:numRef>
          </c:val>
          <c:smooth val="0"/>
          <c:extLst>
            <c:ext xmlns:c16="http://schemas.microsoft.com/office/drawing/2014/chart" uri="{C3380CC4-5D6E-409C-BE32-E72D297353CC}">
              <c16:uniqueId val="{00000001-DD3A-4718-B306-A4995118BE2C}"/>
            </c:ext>
          </c:extLst>
        </c:ser>
        <c:ser>
          <c:idx val="2"/>
          <c:order val="2"/>
          <c:tx>
            <c:strRef>
              <c:f>BABA!$D$6</c:f>
              <c:strCache>
                <c:ptCount val="1"/>
                <c:pt idx="0">
                  <c:v>High</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BABA!$D$7:$D$27</c:f>
              <c:numCache>
                <c:formatCode>_([$$-409]* #,##0.00_);_([$$-409]* \(#,##0.00\);_([$$-409]* "-"??_);_(@_)</c:formatCode>
                <c:ptCount val="21"/>
                <c:pt idx="0">
                  <c:v>132.91</c:v>
                </c:pt>
                <c:pt idx="1">
                  <c:v>139.22</c:v>
                </c:pt>
                <c:pt idx="2">
                  <c:v>136.74</c:v>
                </c:pt>
                <c:pt idx="3">
                  <c:v>136</c:v>
                </c:pt>
                <c:pt idx="4">
                  <c:v>137.19999999999999</c:v>
                </c:pt>
                <c:pt idx="5">
                  <c:v>138.80000000000001</c:v>
                </c:pt>
                <c:pt idx="6">
                  <c:v>138.22</c:v>
                </c:pt>
                <c:pt idx="7">
                  <c:v>139.16</c:v>
                </c:pt>
                <c:pt idx="8">
                  <c:v>126.92</c:v>
                </c:pt>
                <c:pt idx="9">
                  <c:v>126.48</c:v>
                </c:pt>
                <c:pt idx="10">
                  <c:v>127.27</c:v>
                </c:pt>
                <c:pt idx="11">
                  <c:v>125.75</c:v>
                </c:pt>
                <c:pt idx="12">
                  <c:v>130.65</c:v>
                </c:pt>
                <c:pt idx="13">
                  <c:v>127.05</c:v>
                </c:pt>
                <c:pt idx="14">
                  <c:v>124.44</c:v>
                </c:pt>
                <c:pt idx="15">
                  <c:v>123.78</c:v>
                </c:pt>
                <c:pt idx="16">
                  <c:v>125.78</c:v>
                </c:pt>
                <c:pt idx="17">
                  <c:v>126.39</c:v>
                </c:pt>
                <c:pt idx="18">
                  <c:v>122.8479</c:v>
                </c:pt>
              </c:numCache>
            </c:numRef>
          </c:val>
          <c:smooth val="0"/>
          <c:extLst>
            <c:ext xmlns:c16="http://schemas.microsoft.com/office/drawing/2014/chart" uri="{C3380CC4-5D6E-409C-BE32-E72D297353CC}">
              <c16:uniqueId val="{00000002-DD3A-4718-B306-A4995118BE2C}"/>
            </c:ext>
          </c:extLst>
        </c:ser>
        <c:ser>
          <c:idx val="3"/>
          <c:order val="3"/>
          <c:tx>
            <c:strRef>
              <c:f>BABA!$E$6</c:f>
              <c:strCache>
                <c:ptCount val="1"/>
                <c:pt idx="0">
                  <c:v>Low</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BABA!$E$7:$E$27</c:f>
              <c:numCache>
                <c:formatCode>_([$$-409]* #,##0.00_);_([$$-409]* \(#,##0.00\);_([$$-409]* "-"??_);_(@_)</c:formatCode>
                <c:ptCount val="21"/>
                <c:pt idx="0">
                  <c:v>128.55000000000001</c:v>
                </c:pt>
                <c:pt idx="1">
                  <c:v>134.56</c:v>
                </c:pt>
                <c:pt idx="2">
                  <c:v>134.82</c:v>
                </c:pt>
                <c:pt idx="3">
                  <c:v>133.44999999999999</c:v>
                </c:pt>
                <c:pt idx="4">
                  <c:v>134.69999999999999</c:v>
                </c:pt>
                <c:pt idx="5">
                  <c:v>136.5</c:v>
                </c:pt>
                <c:pt idx="6">
                  <c:v>135.97</c:v>
                </c:pt>
                <c:pt idx="7">
                  <c:v>134.37</c:v>
                </c:pt>
                <c:pt idx="8">
                  <c:v>121.16</c:v>
                </c:pt>
                <c:pt idx="9">
                  <c:v>122.09</c:v>
                </c:pt>
                <c:pt idx="10">
                  <c:v>123.1</c:v>
                </c:pt>
                <c:pt idx="11">
                  <c:v>123.92</c:v>
                </c:pt>
                <c:pt idx="12">
                  <c:v>128.34</c:v>
                </c:pt>
                <c:pt idx="13">
                  <c:v>124.59</c:v>
                </c:pt>
                <c:pt idx="14">
                  <c:v>122.23009999999999</c:v>
                </c:pt>
                <c:pt idx="15">
                  <c:v>121.55</c:v>
                </c:pt>
                <c:pt idx="16">
                  <c:v>121.38</c:v>
                </c:pt>
                <c:pt idx="17">
                  <c:v>123.12</c:v>
                </c:pt>
                <c:pt idx="18">
                  <c:v>120.14</c:v>
                </c:pt>
              </c:numCache>
            </c:numRef>
          </c:val>
          <c:smooth val="0"/>
          <c:extLst>
            <c:ext xmlns:c16="http://schemas.microsoft.com/office/drawing/2014/chart" uri="{C3380CC4-5D6E-409C-BE32-E72D297353CC}">
              <c16:uniqueId val="{00000003-DD3A-4718-B306-A4995118BE2C}"/>
            </c:ext>
          </c:extLst>
        </c:ser>
        <c:ser>
          <c:idx val="4"/>
          <c:order val="4"/>
          <c:tx>
            <c:strRef>
              <c:f>BABA!$F$6</c:f>
              <c:strCache>
                <c:ptCount val="1"/>
                <c:pt idx="0">
                  <c:v>Close</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BABA!$F$7:$F$27</c:f>
              <c:numCache>
                <c:formatCode>_([$$-409]* #,##0.00_);_([$$-409]* \(#,##0.00\);_([$$-409]* "-"??_);_(@_)</c:formatCode>
                <c:ptCount val="21"/>
                <c:pt idx="0">
                  <c:v>132.63999999999999</c:v>
                </c:pt>
                <c:pt idx="1">
                  <c:v>136.85</c:v>
                </c:pt>
                <c:pt idx="2">
                  <c:v>136.29</c:v>
                </c:pt>
                <c:pt idx="3">
                  <c:v>134.19999999999999</c:v>
                </c:pt>
                <c:pt idx="4">
                  <c:v>135.21</c:v>
                </c:pt>
                <c:pt idx="5">
                  <c:v>136.71</c:v>
                </c:pt>
                <c:pt idx="6">
                  <c:v>136.57</c:v>
                </c:pt>
                <c:pt idx="7">
                  <c:v>134.43</c:v>
                </c:pt>
                <c:pt idx="8">
                  <c:v>124.9</c:v>
                </c:pt>
                <c:pt idx="9">
                  <c:v>122.41</c:v>
                </c:pt>
                <c:pt idx="10">
                  <c:v>126.06</c:v>
                </c:pt>
                <c:pt idx="11">
                  <c:v>125.48</c:v>
                </c:pt>
                <c:pt idx="12">
                  <c:v>129.87</c:v>
                </c:pt>
                <c:pt idx="13">
                  <c:v>125.41</c:v>
                </c:pt>
                <c:pt idx="14">
                  <c:v>122.69</c:v>
                </c:pt>
                <c:pt idx="15">
                  <c:v>121.98</c:v>
                </c:pt>
                <c:pt idx="16">
                  <c:v>125.46</c:v>
                </c:pt>
                <c:pt idx="17">
                  <c:v>123.73</c:v>
                </c:pt>
                <c:pt idx="18">
                  <c:v>122.05</c:v>
                </c:pt>
              </c:numCache>
            </c:numRef>
          </c:val>
          <c:smooth val="0"/>
          <c:extLst>
            <c:ext xmlns:c16="http://schemas.microsoft.com/office/drawing/2014/chart" uri="{C3380CC4-5D6E-409C-BE32-E72D297353CC}">
              <c16:uniqueId val="{00000004-DD3A-4718-B306-A4995118BE2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069521743"/>
        <c:axId val="1069519343"/>
      </c:stockChart>
      <c:dateAx>
        <c:axId val="1069529423"/>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31343"/>
        <c:crosses val="autoZero"/>
        <c:auto val="1"/>
        <c:lblOffset val="100"/>
        <c:baseTimeUnit val="days"/>
      </c:dateAx>
      <c:valAx>
        <c:axId val="1069531343"/>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29423"/>
        <c:crosses val="autoZero"/>
        <c:crossBetween val="between"/>
      </c:valAx>
      <c:valAx>
        <c:axId val="1069519343"/>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69521743"/>
        <c:crosses val="max"/>
        <c:crossBetween val="between"/>
      </c:valAx>
      <c:dateAx>
        <c:axId val="1069521743"/>
        <c:scaling>
          <c:orientation val="minMax"/>
        </c:scaling>
        <c:delete val="1"/>
        <c:axPos val="b"/>
        <c:numFmt formatCode="m/d/yyyy" sourceLinked="1"/>
        <c:majorTickMark val="out"/>
        <c:minorTickMark val="none"/>
        <c:tickLblPos val="nextTo"/>
        <c:crossAx val="1069519343"/>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BAC!$B$1</c:f>
          <c:strCache>
            <c:ptCount val="1"/>
            <c:pt idx="0">
              <c:v>BANK OF AMERICA CORPORATION (XNYS:BAC)</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BABA!$B$6</c:f>
              <c:strCache>
                <c:ptCount val="1"/>
                <c:pt idx="0">
                  <c:v>Volume</c:v>
                </c:pt>
              </c:strCache>
            </c:strRef>
          </c:tx>
          <c:spPr>
            <a:solidFill>
              <a:schemeClr val="accent1"/>
            </a:solidFill>
            <a:ln w="38100">
              <a:noFill/>
            </a:ln>
            <a:effectLst/>
          </c:spPr>
          <c:invertIfNegative val="0"/>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BABA!$B$7:$B$27</c:f>
              <c:numCache>
                <c:formatCode>#,##0</c:formatCode>
                <c:ptCount val="21"/>
                <c:pt idx="0">
                  <c:v>10072449</c:v>
                </c:pt>
                <c:pt idx="1">
                  <c:v>15264286</c:v>
                </c:pt>
                <c:pt idx="2">
                  <c:v>6685065</c:v>
                </c:pt>
                <c:pt idx="3">
                  <c:v>7591786</c:v>
                </c:pt>
                <c:pt idx="4">
                  <c:v>6438401</c:v>
                </c:pt>
                <c:pt idx="5">
                  <c:v>9972344</c:v>
                </c:pt>
                <c:pt idx="6">
                  <c:v>10005699</c:v>
                </c:pt>
                <c:pt idx="7">
                  <c:v>17158597</c:v>
                </c:pt>
                <c:pt idx="8">
                  <c:v>33440469</c:v>
                </c:pt>
                <c:pt idx="9">
                  <c:v>15479264</c:v>
                </c:pt>
                <c:pt idx="10">
                  <c:v>15583917</c:v>
                </c:pt>
                <c:pt idx="11">
                  <c:v>8516233</c:v>
                </c:pt>
                <c:pt idx="12">
                  <c:v>12843020</c:v>
                </c:pt>
                <c:pt idx="13">
                  <c:v>9239994</c:v>
                </c:pt>
                <c:pt idx="14">
                  <c:v>8104989</c:v>
                </c:pt>
                <c:pt idx="15">
                  <c:v>7226650</c:v>
                </c:pt>
                <c:pt idx="16">
                  <c:v>9486079</c:v>
                </c:pt>
                <c:pt idx="17">
                  <c:v>10297423</c:v>
                </c:pt>
                <c:pt idx="18">
                  <c:v>8830234</c:v>
                </c:pt>
              </c:numCache>
            </c:numRef>
          </c:val>
          <c:extLst>
            <c:ext xmlns:c16="http://schemas.microsoft.com/office/drawing/2014/chart" uri="{C3380CC4-5D6E-409C-BE32-E72D297353CC}">
              <c16:uniqueId val="{00000000-5DA2-4826-A768-74521B0A6A55}"/>
            </c:ext>
          </c:extLst>
        </c:ser>
        <c:dLbls>
          <c:showLegendKey val="0"/>
          <c:showVal val="0"/>
          <c:showCatName val="0"/>
          <c:showSerName val="0"/>
          <c:showPercent val="0"/>
          <c:showBubbleSize val="0"/>
        </c:dLbls>
        <c:gapWidth val="150"/>
        <c:axId val="1641718448"/>
        <c:axId val="1641718928"/>
      </c:barChart>
      <c:stockChart>
        <c:ser>
          <c:idx val="1"/>
          <c:order val="1"/>
          <c:tx>
            <c:strRef>
              <c:f>BABA!$C$6</c:f>
              <c:strCache>
                <c:ptCount val="1"/>
                <c:pt idx="0">
                  <c:v>Open</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BABA!$C$7:$C$27</c:f>
              <c:numCache>
                <c:formatCode>_([$$-409]* #,##0.00_);_([$$-409]* \(#,##0.00\);_([$$-409]* "-"??_);_(@_)</c:formatCode>
                <c:ptCount val="21"/>
                <c:pt idx="0">
                  <c:v>130.24</c:v>
                </c:pt>
                <c:pt idx="1">
                  <c:v>135.71</c:v>
                </c:pt>
                <c:pt idx="2">
                  <c:v>135.57</c:v>
                </c:pt>
                <c:pt idx="3">
                  <c:v>135.38</c:v>
                </c:pt>
                <c:pt idx="4">
                  <c:v>136.07</c:v>
                </c:pt>
                <c:pt idx="5">
                  <c:v>138.80000000000001</c:v>
                </c:pt>
                <c:pt idx="6">
                  <c:v>137.875</c:v>
                </c:pt>
                <c:pt idx="7">
                  <c:v>138.44499999999999</c:v>
                </c:pt>
                <c:pt idx="8">
                  <c:v>123.02</c:v>
                </c:pt>
                <c:pt idx="9">
                  <c:v>125.715</c:v>
                </c:pt>
                <c:pt idx="10">
                  <c:v>123.24</c:v>
                </c:pt>
                <c:pt idx="11">
                  <c:v>124.36</c:v>
                </c:pt>
                <c:pt idx="12">
                  <c:v>129.47999999999999</c:v>
                </c:pt>
                <c:pt idx="13">
                  <c:v>126.72</c:v>
                </c:pt>
                <c:pt idx="14">
                  <c:v>123.97</c:v>
                </c:pt>
                <c:pt idx="15">
                  <c:v>123.28</c:v>
                </c:pt>
                <c:pt idx="16">
                  <c:v>121.99</c:v>
                </c:pt>
                <c:pt idx="17">
                  <c:v>125.48</c:v>
                </c:pt>
                <c:pt idx="18">
                  <c:v>120.27</c:v>
                </c:pt>
              </c:numCache>
            </c:numRef>
          </c:val>
          <c:smooth val="0"/>
          <c:extLst>
            <c:ext xmlns:c16="http://schemas.microsoft.com/office/drawing/2014/chart" uri="{C3380CC4-5D6E-409C-BE32-E72D297353CC}">
              <c16:uniqueId val="{00000001-5DA2-4826-A768-74521B0A6A55}"/>
            </c:ext>
          </c:extLst>
        </c:ser>
        <c:ser>
          <c:idx val="2"/>
          <c:order val="2"/>
          <c:tx>
            <c:strRef>
              <c:f>BABA!$D$6</c:f>
              <c:strCache>
                <c:ptCount val="1"/>
                <c:pt idx="0">
                  <c:v>High</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BABA!$D$7:$D$27</c:f>
              <c:numCache>
                <c:formatCode>_([$$-409]* #,##0.00_);_([$$-409]* \(#,##0.00\);_([$$-409]* "-"??_);_(@_)</c:formatCode>
                <c:ptCount val="21"/>
                <c:pt idx="0">
                  <c:v>132.91</c:v>
                </c:pt>
                <c:pt idx="1">
                  <c:v>139.22</c:v>
                </c:pt>
                <c:pt idx="2">
                  <c:v>136.74</c:v>
                </c:pt>
                <c:pt idx="3">
                  <c:v>136</c:v>
                </c:pt>
                <c:pt idx="4">
                  <c:v>137.19999999999999</c:v>
                </c:pt>
                <c:pt idx="5">
                  <c:v>138.80000000000001</c:v>
                </c:pt>
                <c:pt idx="6">
                  <c:v>138.22</c:v>
                </c:pt>
                <c:pt idx="7">
                  <c:v>139.16</c:v>
                </c:pt>
                <c:pt idx="8">
                  <c:v>126.92</c:v>
                </c:pt>
                <c:pt idx="9">
                  <c:v>126.48</c:v>
                </c:pt>
                <c:pt idx="10">
                  <c:v>127.27</c:v>
                </c:pt>
                <c:pt idx="11">
                  <c:v>125.75</c:v>
                </c:pt>
                <c:pt idx="12">
                  <c:v>130.65</c:v>
                </c:pt>
                <c:pt idx="13">
                  <c:v>127.05</c:v>
                </c:pt>
                <c:pt idx="14">
                  <c:v>124.44</c:v>
                </c:pt>
                <c:pt idx="15">
                  <c:v>123.78</c:v>
                </c:pt>
                <c:pt idx="16">
                  <c:v>125.78</c:v>
                </c:pt>
                <c:pt idx="17">
                  <c:v>126.39</c:v>
                </c:pt>
                <c:pt idx="18">
                  <c:v>122.8479</c:v>
                </c:pt>
              </c:numCache>
            </c:numRef>
          </c:val>
          <c:smooth val="0"/>
          <c:extLst>
            <c:ext xmlns:c16="http://schemas.microsoft.com/office/drawing/2014/chart" uri="{C3380CC4-5D6E-409C-BE32-E72D297353CC}">
              <c16:uniqueId val="{00000002-5DA2-4826-A768-74521B0A6A55}"/>
            </c:ext>
          </c:extLst>
        </c:ser>
        <c:ser>
          <c:idx val="3"/>
          <c:order val="3"/>
          <c:tx>
            <c:strRef>
              <c:f>BABA!$E$6</c:f>
              <c:strCache>
                <c:ptCount val="1"/>
                <c:pt idx="0">
                  <c:v>Low</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BABA!$E$7:$E$27</c:f>
              <c:numCache>
                <c:formatCode>_([$$-409]* #,##0.00_);_([$$-409]* \(#,##0.00\);_([$$-409]* "-"??_);_(@_)</c:formatCode>
                <c:ptCount val="21"/>
                <c:pt idx="0">
                  <c:v>128.55000000000001</c:v>
                </c:pt>
                <c:pt idx="1">
                  <c:v>134.56</c:v>
                </c:pt>
                <c:pt idx="2">
                  <c:v>134.82</c:v>
                </c:pt>
                <c:pt idx="3">
                  <c:v>133.44999999999999</c:v>
                </c:pt>
                <c:pt idx="4">
                  <c:v>134.69999999999999</c:v>
                </c:pt>
                <c:pt idx="5">
                  <c:v>136.5</c:v>
                </c:pt>
                <c:pt idx="6">
                  <c:v>135.97</c:v>
                </c:pt>
                <c:pt idx="7">
                  <c:v>134.37</c:v>
                </c:pt>
                <c:pt idx="8">
                  <c:v>121.16</c:v>
                </c:pt>
                <c:pt idx="9">
                  <c:v>122.09</c:v>
                </c:pt>
                <c:pt idx="10">
                  <c:v>123.1</c:v>
                </c:pt>
                <c:pt idx="11">
                  <c:v>123.92</c:v>
                </c:pt>
                <c:pt idx="12">
                  <c:v>128.34</c:v>
                </c:pt>
                <c:pt idx="13">
                  <c:v>124.59</c:v>
                </c:pt>
                <c:pt idx="14">
                  <c:v>122.23009999999999</c:v>
                </c:pt>
                <c:pt idx="15">
                  <c:v>121.55</c:v>
                </c:pt>
                <c:pt idx="16">
                  <c:v>121.38</c:v>
                </c:pt>
                <c:pt idx="17">
                  <c:v>123.12</c:v>
                </c:pt>
                <c:pt idx="18">
                  <c:v>120.14</c:v>
                </c:pt>
              </c:numCache>
            </c:numRef>
          </c:val>
          <c:smooth val="0"/>
          <c:extLst>
            <c:ext xmlns:c16="http://schemas.microsoft.com/office/drawing/2014/chart" uri="{C3380CC4-5D6E-409C-BE32-E72D297353CC}">
              <c16:uniqueId val="{00000003-5DA2-4826-A768-74521B0A6A55}"/>
            </c:ext>
          </c:extLst>
        </c:ser>
        <c:ser>
          <c:idx val="4"/>
          <c:order val="4"/>
          <c:tx>
            <c:strRef>
              <c:f>BABA!$F$6</c:f>
              <c:strCache>
                <c:ptCount val="1"/>
                <c:pt idx="0">
                  <c:v>Close</c:v>
                </c:pt>
              </c:strCache>
            </c:strRef>
          </c:tx>
          <c:spPr>
            <a:ln w="38100" cap="rnd">
              <a:noFill/>
              <a:round/>
            </a:ln>
            <a:effectLst/>
          </c:spPr>
          <c:marker>
            <c:symbol val="none"/>
          </c:marker>
          <c:cat>
            <c:numRef>
              <c:f>BABA!$A$7:$A$27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BABA!$F$7:$F$27</c:f>
              <c:numCache>
                <c:formatCode>_([$$-409]* #,##0.00_);_([$$-409]* \(#,##0.00\);_([$$-409]* "-"??_);_(@_)</c:formatCode>
                <c:ptCount val="21"/>
                <c:pt idx="0">
                  <c:v>132.63999999999999</c:v>
                </c:pt>
                <c:pt idx="1">
                  <c:v>136.85</c:v>
                </c:pt>
                <c:pt idx="2">
                  <c:v>136.29</c:v>
                </c:pt>
                <c:pt idx="3">
                  <c:v>134.19999999999999</c:v>
                </c:pt>
                <c:pt idx="4">
                  <c:v>135.21</c:v>
                </c:pt>
                <c:pt idx="5">
                  <c:v>136.71</c:v>
                </c:pt>
                <c:pt idx="6">
                  <c:v>136.57</c:v>
                </c:pt>
                <c:pt idx="7">
                  <c:v>134.43</c:v>
                </c:pt>
                <c:pt idx="8">
                  <c:v>124.9</c:v>
                </c:pt>
                <c:pt idx="9">
                  <c:v>122.41</c:v>
                </c:pt>
                <c:pt idx="10">
                  <c:v>126.06</c:v>
                </c:pt>
                <c:pt idx="11">
                  <c:v>125.48</c:v>
                </c:pt>
                <c:pt idx="12">
                  <c:v>129.87</c:v>
                </c:pt>
                <c:pt idx="13">
                  <c:v>125.41</c:v>
                </c:pt>
                <c:pt idx="14">
                  <c:v>122.69</c:v>
                </c:pt>
                <c:pt idx="15">
                  <c:v>121.98</c:v>
                </c:pt>
                <c:pt idx="16">
                  <c:v>125.46</c:v>
                </c:pt>
                <c:pt idx="17">
                  <c:v>123.73</c:v>
                </c:pt>
                <c:pt idx="18">
                  <c:v>122.05</c:v>
                </c:pt>
              </c:numCache>
            </c:numRef>
          </c:val>
          <c:smooth val="0"/>
          <c:extLst>
            <c:ext xmlns:c16="http://schemas.microsoft.com/office/drawing/2014/chart" uri="{C3380CC4-5D6E-409C-BE32-E72D297353CC}">
              <c16:uniqueId val="{00000004-5DA2-4826-A768-74521B0A6A55}"/>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BAC!$C$4:$IR$4</c:f>
              <c:numCache>
                <c:formatCode>_([$$-409]* #,##0.00_);_([$$-409]* \(#,##0.00\);_([$$-409]* "-"??_);_(@_)</c:formatCode>
                <c:ptCount val="250"/>
                <c:pt idx="0">
                  <c:v>35.58</c:v>
                </c:pt>
                <c:pt idx="1">
                  <c:v>35.03</c:v>
                </c:pt>
                <c:pt idx="2">
                  <c:v>37.15</c:v>
                </c:pt>
                <c:pt idx="3">
                  <c:v>35.85</c:v>
                </c:pt>
                <c:pt idx="4">
                  <c:v>35.950000000000003</c:v>
                </c:pt>
                <c:pt idx="5">
                  <c:v>36.67</c:v>
                </c:pt>
                <c:pt idx="6">
                  <c:v>37.99</c:v>
                </c:pt>
                <c:pt idx="7">
                  <c:v>37.33</c:v>
                </c:pt>
                <c:pt idx="8">
                  <c:v>37.409999999999997</c:v>
                </c:pt>
                <c:pt idx="9">
                  <c:v>36.92</c:v>
                </c:pt>
                <c:pt idx="10">
                  <c:v>38.32</c:v>
                </c:pt>
                <c:pt idx="11">
                  <c:v>38.75</c:v>
                </c:pt>
                <c:pt idx="12">
                  <c:v>39.58</c:v>
                </c:pt>
                <c:pt idx="13">
                  <c:v>39.69</c:v>
                </c:pt>
                <c:pt idx="14">
                  <c:v>39.78</c:v>
                </c:pt>
                <c:pt idx="15">
                  <c:v>39.99</c:v>
                </c:pt>
                <c:pt idx="16">
                  <c:v>39.880000000000003</c:v>
                </c:pt>
                <c:pt idx="17">
                  <c:v>40.17</c:v>
                </c:pt>
                <c:pt idx="18">
                  <c:v>41.07</c:v>
                </c:pt>
                <c:pt idx="19">
                  <c:v>41.12</c:v>
                </c:pt>
                <c:pt idx="20">
                  <c:v>40.840000000000003</c:v>
                </c:pt>
                <c:pt idx="21">
                  <c:v>40.93</c:v>
                </c:pt>
                <c:pt idx="22">
                  <c:v>41.6</c:v>
                </c:pt>
                <c:pt idx="23">
                  <c:v>41.79</c:v>
                </c:pt>
                <c:pt idx="24">
                  <c:v>43.36</c:v>
                </c:pt>
                <c:pt idx="25">
                  <c:v>44.28</c:v>
                </c:pt>
                <c:pt idx="26">
                  <c:v>44.74</c:v>
                </c:pt>
                <c:pt idx="27">
                  <c:v>44.38</c:v>
                </c:pt>
                <c:pt idx="28">
                  <c:v>44.69</c:v>
                </c:pt>
                <c:pt idx="29">
                  <c:v>44.77</c:v>
                </c:pt>
                <c:pt idx="30">
                  <c:v>44.69</c:v>
                </c:pt>
                <c:pt idx="31">
                  <c:v>43.25</c:v>
                </c:pt>
                <c:pt idx="32">
                  <c:v>43.31</c:v>
                </c:pt>
                <c:pt idx="33">
                  <c:v>43.2</c:v>
                </c:pt>
                <c:pt idx="34">
                  <c:v>44.22</c:v>
                </c:pt>
                <c:pt idx="35">
                  <c:v>44.06</c:v>
                </c:pt>
                <c:pt idx="36">
                  <c:v>44.24</c:v>
                </c:pt>
                <c:pt idx="37">
                  <c:v>44.13</c:v>
                </c:pt>
                <c:pt idx="38">
                  <c:v>44.08</c:v>
                </c:pt>
                <c:pt idx="39">
                  <c:v>44.65</c:v>
                </c:pt>
                <c:pt idx="40">
                  <c:v>44.36</c:v>
                </c:pt>
                <c:pt idx="41">
                  <c:v>44.38</c:v>
                </c:pt>
                <c:pt idx="42">
                  <c:v>44.97</c:v>
                </c:pt>
                <c:pt idx="43">
                  <c:v>44.87</c:v>
                </c:pt>
                <c:pt idx="44">
                  <c:v>45.09</c:v>
                </c:pt>
                <c:pt idx="45">
                  <c:v>44.73</c:v>
                </c:pt>
                <c:pt idx="46">
                  <c:v>44.62</c:v>
                </c:pt>
                <c:pt idx="47">
                  <c:v>44.09</c:v>
                </c:pt>
                <c:pt idx="48">
                  <c:v>44.41</c:v>
                </c:pt>
                <c:pt idx="49">
                  <c:v>44.23</c:v>
                </c:pt>
                <c:pt idx="50">
                  <c:v>45.06</c:v>
                </c:pt>
                <c:pt idx="51">
                  <c:v>45.5</c:v>
                </c:pt>
                <c:pt idx="52">
                  <c:v>46.3</c:v>
                </c:pt>
                <c:pt idx="53">
                  <c:v>46.66</c:v>
                </c:pt>
                <c:pt idx="54">
                  <c:v>46.85</c:v>
                </c:pt>
                <c:pt idx="55">
                  <c:v>47.46</c:v>
                </c:pt>
                <c:pt idx="56">
                  <c:v>47.12</c:v>
                </c:pt>
                <c:pt idx="57">
                  <c:v>47.32</c:v>
                </c:pt>
                <c:pt idx="58">
                  <c:v>48.15</c:v>
                </c:pt>
                <c:pt idx="59">
                  <c:v>48.71</c:v>
                </c:pt>
                <c:pt idx="60">
                  <c:v>48.93</c:v>
                </c:pt>
                <c:pt idx="61">
                  <c:v>48.66</c:v>
                </c:pt>
                <c:pt idx="62">
                  <c:v>47.15</c:v>
                </c:pt>
                <c:pt idx="63">
                  <c:v>46.84</c:v>
                </c:pt>
                <c:pt idx="64">
                  <c:v>46.97</c:v>
                </c:pt>
                <c:pt idx="65">
                  <c:v>46.73</c:v>
                </c:pt>
                <c:pt idx="66">
                  <c:v>47.07</c:v>
                </c:pt>
                <c:pt idx="67">
                  <c:v>46.15</c:v>
                </c:pt>
                <c:pt idx="68">
                  <c:v>46.03</c:v>
                </c:pt>
                <c:pt idx="69">
                  <c:v>47.02</c:v>
                </c:pt>
                <c:pt idx="70">
                  <c:v>47.32</c:v>
                </c:pt>
                <c:pt idx="71">
                  <c:v>47.48</c:v>
                </c:pt>
                <c:pt idx="72">
                  <c:v>47.77</c:v>
                </c:pt>
                <c:pt idx="73">
                  <c:v>48.14</c:v>
                </c:pt>
                <c:pt idx="74">
                  <c:v>48.39</c:v>
                </c:pt>
                <c:pt idx="75">
                  <c:v>48.45</c:v>
                </c:pt>
                <c:pt idx="76">
                  <c:v>48.23</c:v>
                </c:pt>
                <c:pt idx="77">
                  <c:v>47.95</c:v>
                </c:pt>
                <c:pt idx="78">
                  <c:v>47.96</c:v>
                </c:pt>
                <c:pt idx="79">
                  <c:v>47.27</c:v>
                </c:pt>
                <c:pt idx="80">
                  <c:v>45.66</c:v>
                </c:pt>
                <c:pt idx="81">
                  <c:v>45.85</c:v>
                </c:pt>
                <c:pt idx="82">
                  <c:v>45.56</c:v>
                </c:pt>
                <c:pt idx="83">
                  <c:v>45.42</c:v>
                </c:pt>
                <c:pt idx="84">
                  <c:v>44.92</c:v>
                </c:pt>
                <c:pt idx="85">
                  <c:v>46.01</c:v>
                </c:pt>
                <c:pt idx="86">
                  <c:v>46.16</c:v>
                </c:pt>
                <c:pt idx="87">
                  <c:v>47.5</c:v>
                </c:pt>
                <c:pt idx="88">
                  <c:v>47.24</c:v>
                </c:pt>
                <c:pt idx="89">
                  <c:v>47.71</c:v>
                </c:pt>
                <c:pt idx="90">
                  <c:v>46.94</c:v>
                </c:pt>
                <c:pt idx="91">
                  <c:v>47.92</c:v>
                </c:pt>
                <c:pt idx="92">
                  <c:v>48.08</c:v>
                </c:pt>
                <c:pt idx="93">
                  <c:v>48.35</c:v>
                </c:pt>
                <c:pt idx="94">
                  <c:v>48.26</c:v>
                </c:pt>
                <c:pt idx="95">
                  <c:v>49.48</c:v>
                </c:pt>
                <c:pt idx="96">
                  <c:v>49.48</c:v>
                </c:pt>
                <c:pt idx="97">
                  <c:v>50.25</c:v>
                </c:pt>
                <c:pt idx="98">
                  <c:v>50.38</c:v>
                </c:pt>
                <c:pt idx="99">
                  <c:v>50.49</c:v>
                </c:pt>
                <c:pt idx="100">
                  <c:v>50.74</c:v>
                </c:pt>
                <c:pt idx="101">
                  <c:v>50.42</c:v>
                </c:pt>
                <c:pt idx="102">
                  <c:v>50.06</c:v>
                </c:pt>
                <c:pt idx="103">
                  <c:v>50.62</c:v>
                </c:pt>
                <c:pt idx="104">
                  <c:v>49.77</c:v>
                </c:pt>
                <c:pt idx="105">
                  <c:v>49.46</c:v>
                </c:pt>
                <c:pt idx="106">
                  <c:v>50.29</c:v>
                </c:pt>
                <c:pt idx="107">
                  <c:v>50.13</c:v>
                </c:pt>
                <c:pt idx="108">
                  <c:v>50.75</c:v>
                </c:pt>
                <c:pt idx="109">
                  <c:v>50.58</c:v>
                </c:pt>
                <c:pt idx="110">
                  <c:v>50.59</c:v>
                </c:pt>
                <c:pt idx="111">
                  <c:v>50.66</c:v>
                </c:pt>
                <c:pt idx="112">
                  <c:v>51.4</c:v>
                </c:pt>
                <c:pt idx="113">
                  <c:v>52.13</c:v>
                </c:pt>
                <c:pt idx="114">
                  <c:v>52.25</c:v>
                </c:pt>
                <c:pt idx="115">
                  <c:v>51.92</c:v>
                </c:pt>
                <c:pt idx="116">
                  <c:v>51.7</c:v>
                </c:pt>
                <c:pt idx="117">
                  <c:v>51.7</c:v>
                </c:pt>
                <c:pt idx="118">
                  <c:v>51.85</c:v>
                </c:pt>
                <c:pt idx="119">
                  <c:v>52.21</c:v>
                </c:pt>
                <c:pt idx="120">
                  <c:v>52.42</c:v>
                </c:pt>
                <c:pt idx="121">
                  <c:v>51.59</c:v>
                </c:pt>
                <c:pt idx="122">
                  <c:v>50.68</c:v>
                </c:pt>
                <c:pt idx="123">
                  <c:v>50.48</c:v>
                </c:pt>
                <c:pt idx="124">
                  <c:v>50.64</c:v>
                </c:pt>
                <c:pt idx="125">
                  <c:v>50.39</c:v>
                </c:pt>
                <c:pt idx="126">
                  <c:v>50.29</c:v>
                </c:pt>
                <c:pt idx="127">
                  <c:v>49.84</c:v>
                </c:pt>
                <c:pt idx="128">
                  <c:v>49.79</c:v>
                </c:pt>
                <c:pt idx="129">
                  <c:v>48.65</c:v>
                </c:pt>
                <c:pt idx="130">
                  <c:v>48.86</c:v>
                </c:pt>
                <c:pt idx="131">
                  <c:v>50.09</c:v>
                </c:pt>
                <c:pt idx="132">
                  <c:v>52.28</c:v>
                </c:pt>
                <c:pt idx="133">
                  <c:v>50.44</c:v>
                </c:pt>
                <c:pt idx="134">
                  <c:v>51.28</c:v>
                </c:pt>
                <c:pt idx="135">
                  <c:v>52.04</c:v>
                </c:pt>
                <c:pt idx="136">
                  <c:v>51.52</c:v>
                </c:pt>
                <c:pt idx="137">
                  <c:v>51.1</c:v>
                </c:pt>
                <c:pt idx="138">
                  <c:v>51.76</c:v>
                </c:pt>
                <c:pt idx="139">
                  <c:v>52.57</c:v>
                </c:pt>
                <c:pt idx="140">
                  <c:v>53.02</c:v>
                </c:pt>
                <c:pt idx="141">
                  <c:v>52.87</c:v>
                </c:pt>
                <c:pt idx="142">
                  <c:v>52.58</c:v>
                </c:pt>
                <c:pt idx="143">
                  <c:v>53.03</c:v>
                </c:pt>
                <c:pt idx="144">
                  <c:v>53.45</c:v>
                </c:pt>
                <c:pt idx="145">
                  <c:v>53.56</c:v>
                </c:pt>
                <c:pt idx="146">
                  <c:v>53.54</c:v>
                </c:pt>
                <c:pt idx="147">
                  <c:v>52.45</c:v>
                </c:pt>
                <c:pt idx="148">
                  <c:v>53.29</c:v>
                </c:pt>
                <c:pt idx="149">
                  <c:v>53.2</c:v>
                </c:pt>
                <c:pt idx="150">
                  <c:v>53.42</c:v>
                </c:pt>
                <c:pt idx="151">
                  <c:v>53.63</c:v>
                </c:pt>
                <c:pt idx="152">
                  <c:v>54.11</c:v>
                </c:pt>
                <c:pt idx="153">
                  <c:v>52.87</c:v>
                </c:pt>
                <c:pt idx="154">
                  <c:v>52.61</c:v>
                </c:pt>
                <c:pt idx="155">
                  <c:v>51.48</c:v>
                </c:pt>
                <c:pt idx="156">
                  <c:v>51.64</c:v>
                </c:pt>
                <c:pt idx="157">
                  <c:v>52.02</c:v>
                </c:pt>
                <c:pt idx="158">
                  <c:v>51</c:v>
                </c:pt>
                <c:pt idx="159">
                  <c:v>51.56</c:v>
                </c:pt>
                <c:pt idx="160">
                  <c:v>51.93</c:v>
                </c:pt>
                <c:pt idx="161">
                  <c:v>52.48</c:v>
                </c:pt>
                <c:pt idx="162">
                  <c:v>52.99</c:v>
                </c:pt>
                <c:pt idx="163">
                  <c:v>53.65</c:v>
                </c:pt>
                <c:pt idx="164">
                  <c:v>53.24</c:v>
                </c:pt>
                <c:pt idx="165">
                  <c:v>53.19</c:v>
                </c:pt>
                <c:pt idx="166">
                  <c:v>54.09</c:v>
                </c:pt>
                <c:pt idx="167">
                  <c:v>54.16</c:v>
                </c:pt>
                <c:pt idx="168">
                  <c:v>53.95</c:v>
                </c:pt>
                <c:pt idx="169">
                  <c:v>53.9</c:v>
                </c:pt>
                <c:pt idx="170">
                  <c:v>53.54</c:v>
                </c:pt>
                <c:pt idx="171">
                  <c:v>54.08</c:v>
                </c:pt>
                <c:pt idx="172">
                  <c:v>54.56</c:v>
                </c:pt>
                <c:pt idx="173">
                  <c:v>55.14</c:v>
                </c:pt>
                <c:pt idx="174">
                  <c:v>55.33</c:v>
                </c:pt>
                <c:pt idx="175">
                  <c:v>54.81</c:v>
                </c:pt>
                <c:pt idx="176">
                  <c:v>54.55</c:v>
                </c:pt>
                <c:pt idx="177">
                  <c:v>54.26</c:v>
                </c:pt>
                <c:pt idx="178">
                  <c:v>55.27</c:v>
                </c:pt>
                <c:pt idx="179">
                  <c:v>55.88</c:v>
                </c:pt>
                <c:pt idx="180">
                  <c:v>55.97</c:v>
                </c:pt>
                <c:pt idx="181">
                  <c:v>56.25</c:v>
                </c:pt>
                <c:pt idx="182">
                  <c:v>56.17</c:v>
                </c:pt>
                <c:pt idx="183">
                  <c:v>55.35</c:v>
                </c:pt>
                <c:pt idx="184">
                  <c:v>55.28</c:v>
                </c:pt>
                <c:pt idx="185">
                  <c:v>55</c:v>
                </c:pt>
                <c:pt idx="186">
                  <c:v>55.95</c:v>
                </c:pt>
                <c:pt idx="187">
                  <c:v>56.89</c:v>
                </c:pt>
                <c:pt idx="188">
                  <c:v>57.25</c:v>
                </c:pt>
                <c:pt idx="189">
                  <c:v>55.64</c:v>
                </c:pt>
                <c:pt idx="190">
                  <c:v>56.18</c:v>
                </c:pt>
                <c:pt idx="191">
                  <c:v>55.85</c:v>
                </c:pt>
                <c:pt idx="192">
                  <c:v>55.19</c:v>
                </c:pt>
                <c:pt idx="193">
                  <c:v>54.54</c:v>
                </c:pt>
                <c:pt idx="194">
                  <c:v>52.48</c:v>
                </c:pt>
                <c:pt idx="195">
                  <c:v>52.59</c:v>
                </c:pt>
                <c:pt idx="196">
                  <c:v>52.97</c:v>
                </c:pt>
                <c:pt idx="197">
                  <c:v>52.1</c:v>
                </c:pt>
                <c:pt idx="198">
                  <c:v>52.07</c:v>
                </c:pt>
                <c:pt idx="199">
                  <c:v>52.45</c:v>
                </c:pt>
                <c:pt idx="200">
                  <c:v>51.72</c:v>
                </c:pt>
                <c:pt idx="201">
                  <c:v>52.02</c:v>
                </c:pt>
                <c:pt idx="202">
                  <c:v>52.17</c:v>
                </c:pt>
                <c:pt idx="203">
                  <c:v>51.81</c:v>
                </c:pt>
                <c:pt idx="204">
                  <c:v>53.08</c:v>
                </c:pt>
                <c:pt idx="205">
                  <c:v>53.2</c:v>
                </c:pt>
                <c:pt idx="206">
                  <c:v>54.03</c:v>
                </c:pt>
                <c:pt idx="207">
                  <c:v>54.45</c:v>
                </c:pt>
                <c:pt idx="208">
                  <c:v>55.38</c:v>
                </c:pt>
                <c:pt idx="209">
                  <c:v>54.94</c:v>
                </c:pt>
                <c:pt idx="210">
                  <c:v>56.53</c:v>
                </c:pt>
                <c:pt idx="211">
                  <c:v>56.41</c:v>
                </c:pt>
                <c:pt idx="212">
                  <c:v>55.39</c:v>
                </c:pt>
                <c:pt idx="213">
                  <c:v>53.85</c:v>
                </c:pt>
                <c:pt idx="214">
                  <c:v>52.52</c:v>
                </c:pt>
                <c:pt idx="215">
                  <c:v>52.55</c:v>
                </c:pt>
                <c:pt idx="216">
                  <c:v>52.74</c:v>
                </c:pt>
                <c:pt idx="217">
                  <c:v>53.36</c:v>
                </c:pt>
                <c:pt idx="218">
                  <c:v>52.77</c:v>
                </c:pt>
                <c:pt idx="219">
                  <c:v>53.06</c:v>
                </c:pt>
                <c:pt idx="220">
                  <c:v>51.07</c:v>
                </c:pt>
                <c:pt idx="221">
                  <c:v>50.41</c:v>
                </c:pt>
                <c:pt idx="222">
                  <c:v>51.69</c:v>
                </c:pt>
                <c:pt idx="223">
                  <c:v>52.3</c:v>
                </c:pt>
                <c:pt idx="224">
                  <c:v>49.83</c:v>
                </c:pt>
                <c:pt idx="225">
                  <c:v>49.81</c:v>
                </c:pt>
                <c:pt idx="226">
                  <c:v>49.97</c:v>
                </c:pt>
                <c:pt idx="227">
                  <c:v>50.3</c:v>
                </c:pt>
                <c:pt idx="228">
                  <c:v>49.81</c:v>
                </c:pt>
                <c:pt idx="229">
                  <c:v>48.64</c:v>
                </c:pt>
                <c:pt idx="230">
                  <c:v>47.9</c:v>
                </c:pt>
                <c:pt idx="231">
                  <c:v>48.56</c:v>
                </c:pt>
                <c:pt idx="232">
                  <c:v>48.52</c:v>
                </c:pt>
                <c:pt idx="233">
                  <c:v>47.13</c:v>
                </c:pt>
                <c:pt idx="234">
                  <c:v>46.72</c:v>
                </c:pt>
                <c:pt idx="235">
                  <c:v>47.06</c:v>
                </c:pt>
                <c:pt idx="236">
                  <c:v>47.28</c:v>
                </c:pt>
                <c:pt idx="237">
                  <c:v>46.83</c:v>
                </c:pt>
                <c:pt idx="238">
                  <c:v>47.01</c:v>
                </c:pt>
                <c:pt idx="239">
                  <c:v>47.16</c:v>
                </c:pt>
                <c:pt idx="240">
                  <c:v>47.52</c:v>
                </c:pt>
                <c:pt idx="241">
                  <c:v>48.14</c:v>
                </c:pt>
                <c:pt idx="242">
                  <c:v>48.75</c:v>
                </c:pt>
                <c:pt idx="243">
                  <c:v>48.24</c:v>
                </c:pt>
                <c:pt idx="244">
                  <c:v>46.97</c:v>
                </c:pt>
                <c:pt idx="245">
                  <c:v>47.23</c:v>
                </c:pt>
                <c:pt idx="246">
                  <c:v>48.75</c:v>
                </c:pt>
                <c:pt idx="247">
                  <c:v>49.27</c:v>
                </c:pt>
                <c:pt idx="248">
                  <c:v>49.38</c:v>
                </c:pt>
              </c:numCache>
            </c:numRef>
          </c:val>
          <c:extLst>
            <c:ext xmlns:c16="http://schemas.microsoft.com/office/drawing/2014/chart" uri="{C3380CC4-5D6E-409C-BE32-E72D297353CC}">
              <c16:uniqueId val="{00000000-B41E-49C1-8514-2D282D715734}"/>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COSTCO WHOLESALE CORPORATION (XNAS:COST)</a:t>
            </a:r>
          </a:p>
        </c:rich>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COST!$B$6</c:f>
              <c:strCache>
                <c:ptCount val="1"/>
                <c:pt idx="0">
                  <c:v>Volume</c:v>
                </c:pt>
              </c:strCache>
            </c:strRef>
          </c:tx>
          <c:spPr>
            <a:solidFill>
              <a:schemeClr val="accent1"/>
            </a:solidFill>
            <a:ln w="38100">
              <a:noFill/>
            </a:ln>
            <a:effectLst/>
          </c:spPr>
          <c:invertIfNegative val="0"/>
          <c:cat>
            <c:numRef>
              <c:f>COST!$A$7:$A$27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COST!$B$7:$B$27</c:f>
              <c:numCache>
                <c:formatCode>#,##0</c:formatCode>
                <c:ptCount val="21"/>
                <c:pt idx="0">
                  <c:v>2348212</c:v>
                </c:pt>
                <c:pt idx="1">
                  <c:v>1613381</c:v>
                </c:pt>
                <c:pt idx="2">
                  <c:v>1262006</c:v>
                </c:pt>
                <c:pt idx="3">
                  <c:v>1669248</c:v>
                </c:pt>
                <c:pt idx="4">
                  <c:v>1469672</c:v>
                </c:pt>
                <c:pt idx="5">
                  <c:v>1243752</c:v>
                </c:pt>
                <c:pt idx="6">
                  <c:v>1210414</c:v>
                </c:pt>
                <c:pt idx="7">
                  <c:v>1434421</c:v>
                </c:pt>
                <c:pt idx="8">
                  <c:v>1340173</c:v>
                </c:pt>
                <c:pt idx="9">
                  <c:v>2621555</c:v>
                </c:pt>
                <c:pt idx="10">
                  <c:v>1779094</c:v>
                </c:pt>
                <c:pt idx="11">
                  <c:v>1259325</c:v>
                </c:pt>
                <c:pt idx="12">
                  <c:v>1067386</c:v>
                </c:pt>
                <c:pt idx="13">
                  <c:v>1498250</c:v>
                </c:pt>
                <c:pt idx="14">
                  <c:v>1540925</c:v>
                </c:pt>
                <c:pt idx="15">
                  <c:v>2129129</c:v>
                </c:pt>
                <c:pt idx="16">
                  <c:v>2447853</c:v>
                </c:pt>
                <c:pt idx="17">
                  <c:v>1769848</c:v>
                </c:pt>
                <c:pt idx="18">
                  <c:v>1828612</c:v>
                </c:pt>
              </c:numCache>
            </c:numRef>
          </c:val>
          <c:extLst>
            <c:ext xmlns:c16="http://schemas.microsoft.com/office/drawing/2014/chart" uri="{C3380CC4-5D6E-409C-BE32-E72D297353CC}">
              <c16:uniqueId val="{00000000-4349-447E-8005-FDFCD0B29788}"/>
            </c:ext>
          </c:extLst>
        </c:ser>
        <c:dLbls>
          <c:showLegendKey val="0"/>
          <c:showVal val="0"/>
          <c:showCatName val="0"/>
          <c:showSerName val="0"/>
          <c:showPercent val="0"/>
          <c:showBubbleSize val="0"/>
        </c:dLbls>
        <c:gapWidth val="150"/>
        <c:axId val="1641718448"/>
        <c:axId val="1641718928"/>
      </c:barChart>
      <c:stockChart>
        <c:ser>
          <c:idx val="1"/>
          <c:order val="1"/>
          <c:tx>
            <c:strRef>
              <c:f>COST!$C$6</c:f>
              <c:strCache>
                <c:ptCount val="1"/>
                <c:pt idx="0">
                  <c:v>Open</c:v>
                </c:pt>
              </c:strCache>
            </c:strRef>
          </c:tx>
          <c:spPr>
            <a:ln w="38100" cap="rnd">
              <a:noFill/>
              <a:round/>
            </a:ln>
            <a:effectLst/>
          </c:spPr>
          <c:marker>
            <c:symbol val="none"/>
          </c:marker>
          <c:cat>
            <c:numRef>
              <c:f>COST!$A$7:$A$27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COST!$C$7:$C$27</c:f>
              <c:numCache>
                <c:formatCode>_([$$-409]* #,##0.00_);_([$$-409]* \(#,##0.00\);_([$$-409]* "-"??_);_(@_)</c:formatCode>
                <c:ptCount val="21"/>
                <c:pt idx="0">
                  <c:v>999.63</c:v>
                </c:pt>
                <c:pt idx="1">
                  <c:v>1000.5</c:v>
                </c:pt>
                <c:pt idx="2">
                  <c:v>996.32</c:v>
                </c:pt>
                <c:pt idx="3">
                  <c:v>988.61</c:v>
                </c:pt>
                <c:pt idx="4">
                  <c:v>1005.9</c:v>
                </c:pt>
                <c:pt idx="5">
                  <c:v>1010.5</c:v>
                </c:pt>
                <c:pt idx="6">
                  <c:v>1006.49</c:v>
                </c:pt>
                <c:pt idx="7">
                  <c:v>990.37</c:v>
                </c:pt>
                <c:pt idx="8">
                  <c:v>985.84</c:v>
                </c:pt>
                <c:pt idx="9">
                  <c:v>975.08</c:v>
                </c:pt>
                <c:pt idx="10">
                  <c:v>985.66499999999996</c:v>
                </c:pt>
                <c:pt idx="11">
                  <c:v>962.06</c:v>
                </c:pt>
                <c:pt idx="12">
                  <c:v>978</c:v>
                </c:pt>
                <c:pt idx="13">
                  <c:v>975.69</c:v>
                </c:pt>
                <c:pt idx="14">
                  <c:v>982.01499999999999</c:v>
                </c:pt>
                <c:pt idx="15">
                  <c:v>987.65</c:v>
                </c:pt>
                <c:pt idx="16">
                  <c:v>997</c:v>
                </c:pt>
                <c:pt idx="17">
                  <c:v>995.02499999999998</c:v>
                </c:pt>
                <c:pt idx="18">
                  <c:v>1008</c:v>
                </c:pt>
              </c:numCache>
            </c:numRef>
          </c:val>
          <c:smooth val="0"/>
          <c:extLst>
            <c:ext xmlns:c16="http://schemas.microsoft.com/office/drawing/2014/chart" uri="{C3380CC4-5D6E-409C-BE32-E72D297353CC}">
              <c16:uniqueId val="{00000001-4349-447E-8005-FDFCD0B29788}"/>
            </c:ext>
          </c:extLst>
        </c:ser>
        <c:ser>
          <c:idx val="2"/>
          <c:order val="2"/>
          <c:tx>
            <c:strRef>
              <c:f>COST!$D$6</c:f>
              <c:strCache>
                <c:ptCount val="1"/>
                <c:pt idx="0">
                  <c:v>High</c:v>
                </c:pt>
              </c:strCache>
            </c:strRef>
          </c:tx>
          <c:spPr>
            <a:ln w="38100" cap="rnd">
              <a:noFill/>
              <a:round/>
            </a:ln>
            <a:effectLst/>
          </c:spPr>
          <c:marker>
            <c:symbol val="none"/>
          </c:marker>
          <c:cat>
            <c:numRef>
              <c:f>COST!$A$7:$A$27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COST!$D$7:$D$27</c:f>
              <c:numCache>
                <c:formatCode>_([$$-409]* #,##0.00_);_([$$-409]* \(#,##0.00\);_([$$-409]* "-"??_);_(@_)</c:formatCode>
                <c:ptCount val="21"/>
                <c:pt idx="0">
                  <c:v>1007.41</c:v>
                </c:pt>
                <c:pt idx="1">
                  <c:v>1010.1</c:v>
                </c:pt>
                <c:pt idx="2">
                  <c:v>997.39</c:v>
                </c:pt>
                <c:pt idx="3">
                  <c:v>1006.21</c:v>
                </c:pt>
                <c:pt idx="4">
                  <c:v>1012.83</c:v>
                </c:pt>
                <c:pt idx="5">
                  <c:v>1012.65</c:v>
                </c:pt>
                <c:pt idx="6">
                  <c:v>1008.095</c:v>
                </c:pt>
                <c:pt idx="7">
                  <c:v>993.9819</c:v>
                </c:pt>
                <c:pt idx="8">
                  <c:v>988.79</c:v>
                </c:pt>
                <c:pt idx="9">
                  <c:v>980.76</c:v>
                </c:pt>
                <c:pt idx="10">
                  <c:v>986.64</c:v>
                </c:pt>
                <c:pt idx="11">
                  <c:v>981.28</c:v>
                </c:pt>
                <c:pt idx="12">
                  <c:v>980.81</c:v>
                </c:pt>
                <c:pt idx="13">
                  <c:v>987.19</c:v>
                </c:pt>
                <c:pt idx="14">
                  <c:v>987.11</c:v>
                </c:pt>
                <c:pt idx="15">
                  <c:v>1005.54</c:v>
                </c:pt>
                <c:pt idx="16">
                  <c:v>1008.6</c:v>
                </c:pt>
                <c:pt idx="17">
                  <c:v>1003.13</c:v>
                </c:pt>
                <c:pt idx="18">
                  <c:v>1016</c:v>
                </c:pt>
              </c:numCache>
            </c:numRef>
          </c:val>
          <c:smooth val="0"/>
          <c:extLst>
            <c:ext xmlns:c16="http://schemas.microsoft.com/office/drawing/2014/chart" uri="{C3380CC4-5D6E-409C-BE32-E72D297353CC}">
              <c16:uniqueId val="{00000002-4349-447E-8005-FDFCD0B29788}"/>
            </c:ext>
          </c:extLst>
        </c:ser>
        <c:ser>
          <c:idx val="3"/>
          <c:order val="3"/>
          <c:tx>
            <c:strRef>
              <c:f>COST!$E$6</c:f>
              <c:strCache>
                <c:ptCount val="1"/>
                <c:pt idx="0">
                  <c:v>Low</c:v>
                </c:pt>
              </c:strCache>
            </c:strRef>
          </c:tx>
          <c:spPr>
            <a:ln w="38100" cap="rnd">
              <a:noFill/>
              <a:round/>
            </a:ln>
            <a:effectLst/>
          </c:spPr>
          <c:marker>
            <c:symbol val="none"/>
          </c:marker>
          <c:cat>
            <c:numRef>
              <c:f>COST!$A$7:$A$27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COST!$E$7:$E$27</c:f>
              <c:numCache>
                <c:formatCode>_([$$-409]* #,##0.00_);_([$$-409]* \(#,##0.00\);_([$$-409]* "-"??_);_(@_)</c:formatCode>
                <c:ptCount val="21"/>
                <c:pt idx="0">
                  <c:v>987.99</c:v>
                </c:pt>
                <c:pt idx="1">
                  <c:v>996</c:v>
                </c:pt>
                <c:pt idx="2">
                  <c:v>987.89</c:v>
                </c:pt>
                <c:pt idx="3">
                  <c:v>984</c:v>
                </c:pt>
                <c:pt idx="4">
                  <c:v>1002</c:v>
                </c:pt>
                <c:pt idx="5">
                  <c:v>995.43010000000004</c:v>
                </c:pt>
                <c:pt idx="6">
                  <c:v>994.75</c:v>
                </c:pt>
                <c:pt idx="7">
                  <c:v>978.14</c:v>
                </c:pt>
                <c:pt idx="8">
                  <c:v>970.41</c:v>
                </c:pt>
                <c:pt idx="9">
                  <c:v>970.54</c:v>
                </c:pt>
                <c:pt idx="10">
                  <c:v>964.53</c:v>
                </c:pt>
                <c:pt idx="11">
                  <c:v>961</c:v>
                </c:pt>
                <c:pt idx="12">
                  <c:v>968.05039999999997</c:v>
                </c:pt>
                <c:pt idx="13">
                  <c:v>972.7201</c:v>
                </c:pt>
                <c:pt idx="14">
                  <c:v>978.11</c:v>
                </c:pt>
                <c:pt idx="15">
                  <c:v>985.01</c:v>
                </c:pt>
                <c:pt idx="16">
                  <c:v>985.85</c:v>
                </c:pt>
                <c:pt idx="17">
                  <c:v>990.59</c:v>
                </c:pt>
                <c:pt idx="18">
                  <c:v>999.21</c:v>
                </c:pt>
              </c:numCache>
            </c:numRef>
          </c:val>
          <c:smooth val="0"/>
          <c:extLst>
            <c:ext xmlns:c16="http://schemas.microsoft.com/office/drawing/2014/chart" uri="{C3380CC4-5D6E-409C-BE32-E72D297353CC}">
              <c16:uniqueId val="{00000003-4349-447E-8005-FDFCD0B29788}"/>
            </c:ext>
          </c:extLst>
        </c:ser>
        <c:ser>
          <c:idx val="4"/>
          <c:order val="4"/>
          <c:tx>
            <c:strRef>
              <c:f>COST!$F$6</c:f>
              <c:strCache>
                <c:ptCount val="1"/>
                <c:pt idx="0">
                  <c:v>Close</c:v>
                </c:pt>
              </c:strCache>
            </c:strRef>
          </c:tx>
          <c:spPr>
            <a:ln w="38100" cap="rnd">
              <a:noFill/>
              <a:round/>
            </a:ln>
            <a:effectLst/>
          </c:spPr>
          <c:marker>
            <c:symbol val="none"/>
          </c:marker>
          <c:cat>
            <c:numRef>
              <c:f>COST!$A$7:$A$27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COST!$F$7:$F$27</c:f>
              <c:numCache>
                <c:formatCode>_([$$-409]* #,##0.00_);_([$$-409]* \(#,##0.00\);_([$$-409]* "-"??_);_(@_)</c:formatCode>
                <c:ptCount val="21"/>
                <c:pt idx="0">
                  <c:v>1005.3</c:v>
                </c:pt>
                <c:pt idx="1">
                  <c:v>997.36</c:v>
                </c:pt>
                <c:pt idx="2">
                  <c:v>992.23</c:v>
                </c:pt>
                <c:pt idx="3">
                  <c:v>1003.32</c:v>
                </c:pt>
                <c:pt idx="4">
                  <c:v>1008.43</c:v>
                </c:pt>
                <c:pt idx="5">
                  <c:v>1001.74</c:v>
                </c:pt>
                <c:pt idx="6">
                  <c:v>996.16</c:v>
                </c:pt>
                <c:pt idx="7">
                  <c:v>979.92</c:v>
                </c:pt>
                <c:pt idx="8">
                  <c:v>974.78</c:v>
                </c:pt>
                <c:pt idx="9">
                  <c:v>972.33</c:v>
                </c:pt>
                <c:pt idx="10">
                  <c:v>965.73</c:v>
                </c:pt>
                <c:pt idx="11">
                  <c:v>973.82</c:v>
                </c:pt>
                <c:pt idx="12">
                  <c:v>974.86</c:v>
                </c:pt>
                <c:pt idx="13">
                  <c:v>979.65</c:v>
                </c:pt>
                <c:pt idx="14">
                  <c:v>983.86</c:v>
                </c:pt>
                <c:pt idx="15">
                  <c:v>996.58</c:v>
                </c:pt>
                <c:pt idx="16">
                  <c:v>996.43</c:v>
                </c:pt>
                <c:pt idx="17">
                  <c:v>996.56</c:v>
                </c:pt>
                <c:pt idx="18">
                  <c:v>1014.96</c:v>
                </c:pt>
              </c:numCache>
            </c:numRef>
          </c:val>
          <c:smooth val="0"/>
          <c:extLst>
            <c:ext xmlns:c16="http://schemas.microsoft.com/office/drawing/2014/chart" uri="{C3380CC4-5D6E-409C-BE32-E72D297353CC}">
              <c16:uniqueId val="{00000004-4349-447E-8005-FDFCD0B29788}"/>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COST!$C$4:$IR$4</c:f>
              <c:numCache>
                <c:formatCode>_([$$-409]* #,##0.00_);_([$$-409]* \(#,##0.00\);_([$$-409]* "-"??_);_(@_)</c:formatCode>
                <c:ptCount val="250"/>
                <c:pt idx="0">
                  <c:v>908.13</c:v>
                </c:pt>
                <c:pt idx="1">
                  <c:v>908.75</c:v>
                </c:pt>
                <c:pt idx="2">
                  <c:v>965.19</c:v>
                </c:pt>
                <c:pt idx="3">
                  <c:v>964.31</c:v>
                </c:pt>
                <c:pt idx="4">
                  <c:v>963.41</c:v>
                </c:pt>
                <c:pt idx="5">
                  <c:v>979.32</c:v>
                </c:pt>
                <c:pt idx="6">
                  <c:v>976.92</c:v>
                </c:pt>
                <c:pt idx="7">
                  <c:v>967.75</c:v>
                </c:pt>
                <c:pt idx="8">
                  <c:v>994.5</c:v>
                </c:pt>
                <c:pt idx="9">
                  <c:v>957.77</c:v>
                </c:pt>
                <c:pt idx="10">
                  <c:v>979.23</c:v>
                </c:pt>
                <c:pt idx="11">
                  <c:v>975.84</c:v>
                </c:pt>
                <c:pt idx="12">
                  <c:v>975.48</c:v>
                </c:pt>
                <c:pt idx="13">
                  <c:v>977.16</c:v>
                </c:pt>
                <c:pt idx="14">
                  <c:v>978.54</c:v>
                </c:pt>
                <c:pt idx="15">
                  <c:v>991.7</c:v>
                </c:pt>
                <c:pt idx="16">
                  <c:v>994.5</c:v>
                </c:pt>
                <c:pt idx="17">
                  <c:v>999.04</c:v>
                </c:pt>
                <c:pt idx="18">
                  <c:v>1008.3</c:v>
                </c:pt>
                <c:pt idx="19">
                  <c:v>1014.89</c:v>
                </c:pt>
                <c:pt idx="20">
                  <c:v>1010.5</c:v>
                </c:pt>
                <c:pt idx="21">
                  <c:v>1007.15</c:v>
                </c:pt>
                <c:pt idx="22">
                  <c:v>1007.71</c:v>
                </c:pt>
                <c:pt idx="23">
                  <c:v>1008.09</c:v>
                </c:pt>
                <c:pt idx="24">
                  <c:v>1016.15</c:v>
                </c:pt>
                <c:pt idx="25">
                  <c:v>999.03</c:v>
                </c:pt>
                <c:pt idx="26">
                  <c:v>991.54</c:v>
                </c:pt>
                <c:pt idx="27">
                  <c:v>1010.47</c:v>
                </c:pt>
                <c:pt idx="28">
                  <c:v>1025.83</c:v>
                </c:pt>
                <c:pt idx="29">
                  <c:v>1034.3399999999999</c:v>
                </c:pt>
                <c:pt idx="30">
                  <c:v>1036.82</c:v>
                </c:pt>
                <c:pt idx="31">
                  <c:v>1025.3</c:v>
                </c:pt>
                <c:pt idx="32">
                  <c:v>1018.13</c:v>
                </c:pt>
                <c:pt idx="33">
                  <c:v>1008.5</c:v>
                </c:pt>
                <c:pt idx="34">
                  <c:v>1017.79</c:v>
                </c:pt>
                <c:pt idx="35">
                  <c:v>1013.14</c:v>
                </c:pt>
                <c:pt idx="36">
                  <c:v>1008.74</c:v>
                </c:pt>
                <c:pt idx="37">
                  <c:v>1040.18</c:v>
                </c:pt>
                <c:pt idx="38">
                  <c:v>1056.8499999999999</c:v>
                </c:pt>
                <c:pt idx="39">
                  <c:v>1055.5899999999999</c:v>
                </c:pt>
                <c:pt idx="40">
                  <c:v>1051.69</c:v>
                </c:pt>
                <c:pt idx="41">
                  <c:v>1010.81</c:v>
                </c:pt>
                <c:pt idx="42">
                  <c:v>1014.94</c:v>
                </c:pt>
                <c:pt idx="43">
                  <c:v>1006.18</c:v>
                </c:pt>
                <c:pt idx="44">
                  <c:v>1007.27</c:v>
                </c:pt>
                <c:pt idx="45">
                  <c:v>996.78</c:v>
                </c:pt>
                <c:pt idx="46">
                  <c:v>1002.71</c:v>
                </c:pt>
                <c:pt idx="47">
                  <c:v>990.21</c:v>
                </c:pt>
                <c:pt idx="48">
                  <c:v>984.36</c:v>
                </c:pt>
                <c:pt idx="49">
                  <c:v>977.72</c:v>
                </c:pt>
                <c:pt idx="50">
                  <c:v>974.9</c:v>
                </c:pt>
                <c:pt idx="51">
                  <c:v>980.29</c:v>
                </c:pt>
                <c:pt idx="52">
                  <c:v>1004.48</c:v>
                </c:pt>
                <c:pt idx="53">
                  <c:v>1001.92</c:v>
                </c:pt>
                <c:pt idx="54">
                  <c:v>986.54</c:v>
                </c:pt>
                <c:pt idx="55">
                  <c:v>982.91</c:v>
                </c:pt>
                <c:pt idx="56">
                  <c:v>985.14</c:v>
                </c:pt>
                <c:pt idx="57">
                  <c:v>989.94</c:v>
                </c:pt>
                <c:pt idx="58">
                  <c:v>985.96</c:v>
                </c:pt>
                <c:pt idx="59">
                  <c:v>982.36</c:v>
                </c:pt>
                <c:pt idx="60">
                  <c:v>987.02</c:v>
                </c:pt>
                <c:pt idx="61">
                  <c:v>992.18</c:v>
                </c:pt>
                <c:pt idx="62">
                  <c:v>985.84</c:v>
                </c:pt>
                <c:pt idx="63">
                  <c:v>982.09</c:v>
                </c:pt>
                <c:pt idx="64">
                  <c:v>970.17</c:v>
                </c:pt>
                <c:pt idx="65">
                  <c:v>970.33</c:v>
                </c:pt>
                <c:pt idx="66">
                  <c:v>980.91</c:v>
                </c:pt>
                <c:pt idx="67">
                  <c:v>967.68</c:v>
                </c:pt>
                <c:pt idx="68">
                  <c:v>951.37</c:v>
                </c:pt>
                <c:pt idx="69">
                  <c:v>953.91</c:v>
                </c:pt>
                <c:pt idx="70">
                  <c:v>950.95</c:v>
                </c:pt>
                <c:pt idx="71">
                  <c:v>947.56</c:v>
                </c:pt>
                <c:pt idx="72">
                  <c:v>941.61</c:v>
                </c:pt>
                <c:pt idx="73">
                  <c:v>941.19</c:v>
                </c:pt>
                <c:pt idx="74">
                  <c:v>933.8</c:v>
                </c:pt>
                <c:pt idx="75">
                  <c:v>935.48</c:v>
                </c:pt>
                <c:pt idx="76">
                  <c:v>933.99</c:v>
                </c:pt>
                <c:pt idx="77">
                  <c:v>934.57</c:v>
                </c:pt>
                <c:pt idx="78">
                  <c:v>927.51</c:v>
                </c:pt>
                <c:pt idx="79">
                  <c:v>939.64</c:v>
                </c:pt>
                <c:pt idx="80">
                  <c:v>952.52</c:v>
                </c:pt>
                <c:pt idx="81">
                  <c:v>955.37</c:v>
                </c:pt>
                <c:pt idx="82">
                  <c:v>943.63</c:v>
                </c:pt>
                <c:pt idx="83">
                  <c:v>968.56</c:v>
                </c:pt>
                <c:pt idx="84">
                  <c:v>977.45</c:v>
                </c:pt>
                <c:pt idx="85">
                  <c:v>980.98</c:v>
                </c:pt>
                <c:pt idx="86">
                  <c:v>988.74</c:v>
                </c:pt>
                <c:pt idx="87">
                  <c:v>991.25</c:v>
                </c:pt>
                <c:pt idx="88">
                  <c:v>978.85</c:v>
                </c:pt>
                <c:pt idx="89">
                  <c:v>975.39</c:v>
                </c:pt>
                <c:pt idx="90">
                  <c:v>972.04</c:v>
                </c:pt>
                <c:pt idx="91">
                  <c:v>979.35</c:v>
                </c:pt>
                <c:pt idx="92">
                  <c:v>980.85</c:v>
                </c:pt>
                <c:pt idx="93">
                  <c:v>994.57</c:v>
                </c:pt>
                <c:pt idx="94">
                  <c:v>969.68</c:v>
                </c:pt>
                <c:pt idx="95">
                  <c:v>958.54</c:v>
                </c:pt>
                <c:pt idx="96">
                  <c:v>941.58</c:v>
                </c:pt>
                <c:pt idx="97">
                  <c:v>941.34</c:v>
                </c:pt>
                <c:pt idx="98">
                  <c:v>949.52</c:v>
                </c:pt>
                <c:pt idx="99">
                  <c:v>944.96</c:v>
                </c:pt>
                <c:pt idx="100">
                  <c:v>943.32</c:v>
                </c:pt>
                <c:pt idx="101">
                  <c:v>938.82</c:v>
                </c:pt>
                <c:pt idx="102">
                  <c:v>949.78</c:v>
                </c:pt>
                <c:pt idx="103">
                  <c:v>955.9</c:v>
                </c:pt>
                <c:pt idx="104">
                  <c:v>963.48</c:v>
                </c:pt>
                <c:pt idx="105">
                  <c:v>971.85</c:v>
                </c:pt>
                <c:pt idx="106">
                  <c:v>979.25</c:v>
                </c:pt>
                <c:pt idx="107">
                  <c:v>956.29</c:v>
                </c:pt>
                <c:pt idx="108">
                  <c:v>964.32</c:v>
                </c:pt>
                <c:pt idx="109">
                  <c:v>967.9</c:v>
                </c:pt>
                <c:pt idx="110">
                  <c:v>960.1</c:v>
                </c:pt>
                <c:pt idx="111">
                  <c:v>952.07</c:v>
                </c:pt>
                <c:pt idx="112">
                  <c:v>963.03</c:v>
                </c:pt>
                <c:pt idx="113">
                  <c:v>952.36</c:v>
                </c:pt>
                <c:pt idx="114">
                  <c:v>951.16</c:v>
                </c:pt>
                <c:pt idx="115">
                  <c:v>943.26</c:v>
                </c:pt>
                <c:pt idx="116">
                  <c:v>943.6</c:v>
                </c:pt>
                <c:pt idx="117">
                  <c:v>945.27</c:v>
                </c:pt>
                <c:pt idx="118">
                  <c:v>943.31</c:v>
                </c:pt>
                <c:pt idx="119">
                  <c:v>915.95</c:v>
                </c:pt>
                <c:pt idx="120">
                  <c:v>916.87</c:v>
                </c:pt>
                <c:pt idx="121">
                  <c:v>925.63</c:v>
                </c:pt>
                <c:pt idx="122">
                  <c:v>917.34</c:v>
                </c:pt>
                <c:pt idx="123">
                  <c:v>916.77</c:v>
                </c:pt>
                <c:pt idx="124">
                  <c:v>915.38</c:v>
                </c:pt>
                <c:pt idx="125">
                  <c:v>910.94</c:v>
                </c:pt>
                <c:pt idx="126">
                  <c:v>914.8</c:v>
                </c:pt>
                <c:pt idx="127">
                  <c:v>914.8</c:v>
                </c:pt>
                <c:pt idx="128">
                  <c:v>942.89</c:v>
                </c:pt>
                <c:pt idx="129">
                  <c:v>930.01</c:v>
                </c:pt>
                <c:pt idx="130">
                  <c:v>935.56</c:v>
                </c:pt>
                <c:pt idx="131">
                  <c:v>946.51</c:v>
                </c:pt>
                <c:pt idx="132">
                  <c:v>954.99</c:v>
                </c:pt>
                <c:pt idx="133">
                  <c:v>925.62</c:v>
                </c:pt>
                <c:pt idx="134">
                  <c:v>936.33</c:v>
                </c:pt>
                <c:pt idx="135">
                  <c:v>936.11</c:v>
                </c:pt>
                <c:pt idx="136">
                  <c:v>937.5</c:v>
                </c:pt>
                <c:pt idx="137">
                  <c:v>944.68</c:v>
                </c:pt>
                <c:pt idx="138">
                  <c:v>942.05</c:v>
                </c:pt>
                <c:pt idx="139">
                  <c:v>932.14</c:v>
                </c:pt>
                <c:pt idx="140">
                  <c:v>929.85</c:v>
                </c:pt>
                <c:pt idx="141">
                  <c:v>924.16</c:v>
                </c:pt>
                <c:pt idx="142">
                  <c:v>912.42</c:v>
                </c:pt>
                <c:pt idx="143">
                  <c:v>920.18</c:v>
                </c:pt>
                <c:pt idx="144">
                  <c:v>911.45</c:v>
                </c:pt>
                <c:pt idx="145">
                  <c:v>928.04</c:v>
                </c:pt>
                <c:pt idx="146">
                  <c:v>940.74</c:v>
                </c:pt>
                <c:pt idx="147">
                  <c:v>935.03</c:v>
                </c:pt>
                <c:pt idx="148">
                  <c:v>923.58</c:v>
                </c:pt>
                <c:pt idx="149">
                  <c:v>922.74</c:v>
                </c:pt>
                <c:pt idx="150">
                  <c:v>915.56</c:v>
                </c:pt>
                <c:pt idx="151">
                  <c:v>913.86</c:v>
                </c:pt>
                <c:pt idx="152">
                  <c:v>914</c:v>
                </c:pt>
                <c:pt idx="153">
                  <c:v>925.08</c:v>
                </c:pt>
                <c:pt idx="154">
                  <c:v>922.98</c:v>
                </c:pt>
                <c:pt idx="155">
                  <c:v>912.59</c:v>
                </c:pt>
                <c:pt idx="156">
                  <c:v>895.08</c:v>
                </c:pt>
                <c:pt idx="157">
                  <c:v>890.6</c:v>
                </c:pt>
                <c:pt idx="158">
                  <c:v>893.29</c:v>
                </c:pt>
                <c:pt idx="159">
                  <c:v>899.01</c:v>
                </c:pt>
                <c:pt idx="160">
                  <c:v>886.12</c:v>
                </c:pt>
                <c:pt idx="161">
                  <c:v>894.33</c:v>
                </c:pt>
                <c:pt idx="162">
                  <c:v>908.26</c:v>
                </c:pt>
                <c:pt idx="163">
                  <c:v>913.59</c:v>
                </c:pt>
                <c:pt idx="164">
                  <c:v>911.96</c:v>
                </c:pt>
                <c:pt idx="165">
                  <c:v>922.03</c:v>
                </c:pt>
                <c:pt idx="166">
                  <c:v>922.26</c:v>
                </c:pt>
                <c:pt idx="167">
                  <c:v>895.85500000000002</c:v>
                </c:pt>
                <c:pt idx="168">
                  <c:v>894.68</c:v>
                </c:pt>
                <c:pt idx="169">
                  <c:v>887.52</c:v>
                </c:pt>
                <c:pt idx="170">
                  <c:v>888.44</c:v>
                </c:pt>
                <c:pt idx="171">
                  <c:v>874.41</c:v>
                </c:pt>
                <c:pt idx="172">
                  <c:v>884.48</c:v>
                </c:pt>
                <c:pt idx="173">
                  <c:v>884.47</c:v>
                </c:pt>
                <c:pt idx="174">
                  <c:v>860.56</c:v>
                </c:pt>
                <c:pt idx="175">
                  <c:v>860.39</c:v>
                </c:pt>
                <c:pt idx="176">
                  <c:v>862.65</c:v>
                </c:pt>
                <c:pt idx="177">
                  <c:v>857.59</c:v>
                </c:pt>
                <c:pt idx="178">
                  <c:v>855.62</c:v>
                </c:pt>
                <c:pt idx="179">
                  <c:v>850</c:v>
                </c:pt>
                <c:pt idx="180">
                  <c:v>854.79</c:v>
                </c:pt>
                <c:pt idx="181">
                  <c:v>871.86</c:v>
                </c:pt>
                <c:pt idx="182">
                  <c:v>873.35</c:v>
                </c:pt>
                <c:pt idx="183">
                  <c:v>867.84</c:v>
                </c:pt>
                <c:pt idx="184">
                  <c:v>865.65</c:v>
                </c:pt>
                <c:pt idx="185">
                  <c:v>862.34</c:v>
                </c:pt>
                <c:pt idx="186">
                  <c:v>854.5</c:v>
                </c:pt>
                <c:pt idx="187">
                  <c:v>875.74</c:v>
                </c:pt>
                <c:pt idx="188">
                  <c:v>889.1</c:v>
                </c:pt>
                <c:pt idx="189">
                  <c:v>882.58</c:v>
                </c:pt>
                <c:pt idx="190">
                  <c:v>915.31</c:v>
                </c:pt>
                <c:pt idx="191">
                  <c:v>924.88</c:v>
                </c:pt>
                <c:pt idx="192">
                  <c:v>943.08</c:v>
                </c:pt>
                <c:pt idx="193">
                  <c:v>941.93</c:v>
                </c:pt>
                <c:pt idx="194">
                  <c:v>950.98</c:v>
                </c:pt>
                <c:pt idx="195">
                  <c:v>956.75</c:v>
                </c:pt>
                <c:pt idx="196">
                  <c:v>963.61</c:v>
                </c:pt>
                <c:pt idx="197">
                  <c:v>964.26</c:v>
                </c:pt>
                <c:pt idx="198">
                  <c:v>982.86</c:v>
                </c:pt>
                <c:pt idx="199">
                  <c:v>976.17</c:v>
                </c:pt>
                <c:pt idx="200">
                  <c:v>983.25</c:v>
                </c:pt>
                <c:pt idx="201">
                  <c:v>977.67</c:v>
                </c:pt>
                <c:pt idx="202">
                  <c:v>970.28</c:v>
                </c:pt>
                <c:pt idx="203">
                  <c:v>960.78</c:v>
                </c:pt>
                <c:pt idx="204">
                  <c:v>952.89</c:v>
                </c:pt>
                <c:pt idx="205">
                  <c:v>940.25</c:v>
                </c:pt>
                <c:pt idx="206">
                  <c:v>968.36</c:v>
                </c:pt>
                <c:pt idx="207">
                  <c:v>977.92</c:v>
                </c:pt>
                <c:pt idx="208">
                  <c:v>978.35</c:v>
                </c:pt>
                <c:pt idx="209">
                  <c:v>989.29</c:v>
                </c:pt>
                <c:pt idx="210">
                  <c:v>1001.16</c:v>
                </c:pt>
                <c:pt idx="211">
                  <c:v>997.59</c:v>
                </c:pt>
                <c:pt idx="212">
                  <c:v>971.23</c:v>
                </c:pt>
                <c:pt idx="213">
                  <c:v>978.14</c:v>
                </c:pt>
                <c:pt idx="214">
                  <c:v>998.86</c:v>
                </c:pt>
                <c:pt idx="215">
                  <c:v>1018.48</c:v>
                </c:pt>
                <c:pt idx="216">
                  <c:v>1012.05</c:v>
                </c:pt>
                <c:pt idx="217">
                  <c:v>996.08</c:v>
                </c:pt>
                <c:pt idx="218">
                  <c:v>987.82</c:v>
                </c:pt>
                <c:pt idx="219">
                  <c:v>985.27</c:v>
                </c:pt>
                <c:pt idx="220">
                  <c:v>986.02</c:v>
                </c:pt>
                <c:pt idx="221">
                  <c:v>998.43</c:v>
                </c:pt>
                <c:pt idx="222">
                  <c:v>994.76</c:v>
                </c:pt>
                <c:pt idx="223">
                  <c:v>986.74</c:v>
                </c:pt>
                <c:pt idx="224">
                  <c:v>1010.79</c:v>
                </c:pt>
                <c:pt idx="225">
                  <c:v>1002.77</c:v>
                </c:pt>
                <c:pt idx="226">
                  <c:v>1007.77</c:v>
                </c:pt>
                <c:pt idx="227">
                  <c:v>1006.74</c:v>
                </c:pt>
                <c:pt idx="228">
                  <c:v>982.57</c:v>
                </c:pt>
                <c:pt idx="229">
                  <c:v>998.1</c:v>
                </c:pt>
                <c:pt idx="230">
                  <c:v>1005.3</c:v>
                </c:pt>
                <c:pt idx="231">
                  <c:v>997.36</c:v>
                </c:pt>
                <c:pt idx="232">
                  <c:v>992.23</c:v>
                </c:pt>
                <c:pt idx="233">
                  <c:v>1003.32</c:v>
                </c:pt>
                <c:pt idx="234">
                  <c:v>1008.43</c:v>
                </c:pt>
                <c:pt idx="235">
                  <c:v>1001.74</c:v>
                </c:pt>
                <c:pt idx="236">
                  <c:v>996.16</c:v>
                </c:pt>
                <c:pt idx="237">
                  <c:v>979.92</c:v>
                </c:pt>
                <c:pt idx="238">
                  <c:v>974.78</c:v>
                </c:pt>
                <c:pt idx="239">
                  <c:v>972.33</c:v>
                </c:pt>
                <c:pt idx="240">
                  <c:v>965.73</c:v>
                </c:pt>
                <c:pt idx="241">
                  <c:v>973.82</c:v>
                </c:pt>
                <c:pt idx="242">
                  <c:v>974.86</c:v>
                </c:pt>
                <c:pt idx="243">
                  <c:v>979.65</c:v>
                </c:pt>
                <c:pt idx="244">
                  <c:v>983.86</c:v>
                </c:pt>
                <c:pt idx="245">
                  <c:v>996.58</c:v>
                </c:pt>
                <c:pt idx="246">
                  <c:v>996.43</c:v>
                </c:pt>
                <c:pt idx="247">
                  <c:v>996.56</c:v>
                </c:pt>
                <c:pt idx="248">
                  <c:v>1014.96</c:v>
                </c:pt>
              </c:numCache>
            </c:numRef>
          </c:val>
          <c:extLst>
            <c:ext xmlns:c16="http://schemas.microsoft.com/office/drawing/2014/chart" uri="{C3380CC4-5D6E-409C-BE32-E72D297353CC}">
              <c16:uniqueId val="{00000000-7145-454F-B7DD-F6950E4F7CCD}"/>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DELL!$B$1</c:f>
          <c:strCache>
            <c:ptCount val="1"/>
            <c:pt idx="0">
              <c:v>DELL TECHNOLOGIES INC. (XNYS:DELL)</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DELL!$B$6</c:f>
              <c:strCache>
                <c:ptCount val="1"/>
                <c:pt idx="0">
                  <c:v>Volume</c:v>
                </c:pt>
              </c:strCache>
            </c:strRef>
          </c:tx>
          <c:spPr>
            <a:solidFill>
              <a:schemeClr val="accent1"/>
            </a:solidFill>
            <a:ln w="38100">
              <a:noFill/>
            </a:ln>
            <a:effectLst/>
          </c:spPr>
          <c:invertIfNegative val="0"/>
          <c:cat>
            <c:numRef>
              <c:f>DELL!$A$7:$A$27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DELL!$B$7:$B$27</c:f>
              <c:numCache>
                <c:formatCode>#,##0</c:formatCode>
                <c:ptCount val="21"/>
                <c:pt idx="0">
                  <c:v>7400609</c:v>
                </c:pt>
                <c:pt idx="1">
                  <c:v>7518682</c:v>
                </c:pt>
                <c:pt idx="2">
                  <c:v>5405664</c:v>
                </c:pt>
                <c:pt idx="3">
                  <c:v>7340868</c:v>
                </c:pt>
                <c:pt idx="4">
                  <c:v>6441089</c:v>
                </c:pt>
                <c:pt idx="5">
                  <c:v>7923360</c:v>
                </c:pt>
                <c:pt idx="6">
                  <c:v>6675798</c:v>
                </c:pt>
                <c:pt idx="7">
                  <c:v>5460722</c:v>
                </c:pt>
                <c:pt idx="8">
                  <c:v>7715340</c:v>
                </c:pt>
                <c:pt idx="9">
                  <c:v>23135869</c:v>
                </c:pt>
                <c:pt idx="10">
                  <c:v>10721325</c:v>
                </c:pt>
                <c:pt idx="11">
                  <c:v>15886495</c:v>
                </c:pt>
                <c:pt idx="12">
                  <c:v>11330772</c:v>
                </c:pt>
                <c:pt idx="13">
                  <c:v>11061283</c:v>
                </c:pt>
                <c:pt idx="14">
                  <c:v>8011470</c:v>
                </c:pt>
                <c:pt idx="15">
                  <c:v>10135271</c:v>
                </c:pt>
                <c:pt idx="16">
                  <c:v>13713718</c:v>
                </c:pt>
                <c:pt idx="17">
                  <c:v>7311128</c:v>
                </c:pt>
                <c:pt idx="18">
                  <c:v>5217126</c:v>
                </c:pt>
              </c:numCache>
            </c:numRef>
          </c:val>
          <c:extLst>
            <c:ext xmlns:c16="http://schemas.microsoft.com/office/drawing/2014/chart" uri="{C3380CC4-5D6E-409C-BE32-E72D297353CC}">
              <c16:uniqueId val="{00000000-1541-49FC-AD67-21FA29BE54CA}"/>
            </c:ext>
          </c:extLst>
        </c:ser>
        <c:dLbls>
          <c:showLegendKey val="0"/>
          <c:showVal val="0"/>
          <c:showCatName val="0"/>
          <c:showSerName val="0"/>
          <c:showPercent val="0"/>
          <c:showBubbleSize val="0"/>
        </c:dLbls>
        <c:gapWidth val="150"/>
        <c:axId val="1641718448"/>
        <c:axId val="1641718928"/>
      </c:barChart>
      <c:stockChart>
        <c:ser>
          <c:idx val="1"/>
          <c:order val="1"/>
          <c:tx>
            <c:strRef>
              <c:f>DELL!$C$6</c:f>
              <c:strCache>
                <c:ptCount val="1"/>
                <c:pt idx="0">
                  <c:v>Open</c:v>
                </c:pt>
              </c:strCache>
            </c:strRef>
          </c:tx>
          <c:spPr>
            <a:ln w="38100" cap="rnd">
              <a:noFill/>
              <a:round/>
            </a:ln>
            <a:effectLst/>
          </c:spPr>
          <c:marker>
            <c:symbol val="none"/>
          </c:marker>
          <c:cat>
            <c:numRef>
              <c:f>DELL!$A$7:$A$27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DELL!$C$7:$C$27</c:f>
              <c:numCache>
                <c:formatCode>_([$$-409]* #,##0.00_);_([$$-409]* \(#,##0.00\);_([$$-409]* "-"??_);_(@_)</c:formatCode>
                <c:ptCount val="21"/>
                <c:pt idx="0">
                  <c:v>144.6</c:v>
                </c:pt>
                <c:pt idx="1">
                  <c:v>146.285</c:v>
                </c:pt>
                <c:pt idx="2">
                  <c:v>145.66</c:v>
                </c:pt>
                <c:pt idx="3">
                  <c:v>147.15</c:v>
                </c:pt>
                <c:pt idx="4">
                  <c:v>151</c:v>
                </c:pt>
                <c:pt idx="5">
                  <c:v>153.05000000000001</c:v>
                </c:pt>
                <c:pt idx="6">
                  <c:v>154.75</c:v>
                </c:pt>
                <c:pt idx="7">
                  <c:v>152.71</c:v>
                </c:pt>
                <c:pt idx="8">
                  <c:v>146.58500000000001</c:v>
                </c:pt>
                <c:pt idx="9">
                  <c:v>163.5</c:v>
                </c:pt>
                <c:pt idx="10">
                  <c:v>159.24</c:v>
                </c:pt>
                <c:pt idx="11">
                  <c:v>163.62</c:v>
                </c:pt>
                <c:pt idx="12">
                  <c:v>177.76</c:v>
                </c:pt>
                <c:pt idx="13">
                  <c:v>182.71</c:v>
                </c:pt>
                <c:pt idx="14">
                  <c:v>175.13</c:v>
                </c:pt>
                <c:pt idx="15">
                  <c:v>172.77</c:v>
                </c:pt>
                <c:pt idx="16">
                  <c:v>164.29</c:v>
                </c:pt>
                <c:pt idx="17">
                  <c:v>166.98</c:v>
                </c:pt>
                <c:pt idx="18">
                  <c:v>166.99</c:v>
                </c:pt>
              </c:numCache>
            </c:numRef>
          </c:val>
          <c:smooth val="0"/>
          <c:extLst>
            <c:ext xmlns:c16="http://schemas.microsoft.com/office/drawing/2014/chart" uri="{C3380CC4-5D6E-409C-BE32-E72D297353CC}">
              <c16:uniqueId val="{00000001-1541-49FC-AD67-21FA29BE54CA}"/>
            </c:ext>
          </c:extLst>
        </c:ser>
        <c:ser>
          <c:idx val="2"/>
          <c:order val="2"/>
          <c:tx>
            <c:strRef>
              <c:f>DELL!$D$6</c:f>
              <c:strCache>
                <c:ptCount val="1"/>
                <c:pt idx="0">
                  <c:v>High</c:v>
                </c:pt>
              </c:strCache>
            </c:strRef>
          </c:tx>
          <c:spPr>
            <a:ln w="38100" cap="rnd">
              <a:noFill/>
              <a:round/>
            </a:ln>
            <a:effectLst/>
          </c:spPr>
          <c:marker>
            <c:symbol val="none"/>
          </c:marker>
          <c:cat>
            <c:numRef>
              <c:f>DELL!$A$7:$A$27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DELL!$D$7:$D$27</c:f>
              <c:numCache>
                <c:formatCode>_([$$-409]* #,##0.00_);_([$$-409]* \(#,##0.00\);_([$$-409]* "-"??_);_(@_)</c:formatCode>
                <c:ptCount val="21"/>
                <c:pt idx="0">
                  <c:v>146.69999999999999</c:v>
                </c:pt>
                <c:pt idx="1">
                  <c:v>146.88999999999999</c:v>
                </c:pt>
                <c:pt idx="2">
                  <c:v>149.4699</c:v>
                </c:pt>
                <c:pt idx="3">
                  <c:v>151.85</c:v>
                </c:pt>
                <c:pt idx="4">
                  <c:v>152.94999999999999</c:v>
                </c:pt>
                <c:pt idx="5">
                  <c:v>157.80000000000001</c:v>
                </c:pt>
                <c:pt idx="6">
                  <c:v>155.02000000000001</c:v>
                </c:pt>
                <c:pt idx="7">
                  <c:v>155.02000000000001</c:v>
                </c:pt>
                <c:pt idx="8">
                  <c:v>157.07</c:v>
                </c:pt>
                <c:pt idx="9">
                  <c:v>169.9</c:v>
                </c:pt>
                <c:pt idx="10">
                  <c:v>165.42</c:v>
                </c:pt>
                <c:pt idx="11">
                  <c:v>178.31</c:v>
                </c:pt>
                <c:pt idx="12">
                  <c:v>184.86</c:v>
                </c:pt>
                <c:pt idx="13">
                  <c:v>186.39</c:v>
                </c:pt>
                <c:pt idx="14">
                  <c:v>176.29</c:v>
                </c:pt>
                <c:pt idx="15">
                  <c:v>174</c:v>
                </c:pt>
                <c:pt idx="16">
                  <c:v>167.99</c:v>
                </c:pt>
                <c:pt idx="17">
                  <c:v>171.33</c:v>
                </c:pt>
                <c:pt idx="18">
                  <c:v>174.37</c:v>
                </c:pt>
              </c:numCache>
            </c:numRef>
          </c:val>
          <c:smooth val="0"/>
          <c:extLst>
            <c:ext xmlns:c16="http://schemas.microsoft.com/office/drawing/2014/chart" uri="{C3380CC4-5D6E-409C-BE32-E72D297353CC}">
              <c16:uniqueId val="{00000002-1541-49FC-AD67-21FA29BE54CA}"/>
            </c:ext>
          </c:extLst>
        </c:ser>
        <c:ser>
          <c:idx val="3"/>
          <c:order val="3"/>
          <c:tx>
            <c:strRef>
              <c:f>DELL!$E$6</c:f>
              <c:strCache>
                <c:ptCount val="1"/>
                <c:pt idx="0">
                  <c:v>Low</c:v>
                </c:pt>
              </c:strCache>
            </c:strRef>
          </c:tx>
          <c:spPr>
            <a:ln w="38100" cap="rnd">
              <a:noFill/>
              <a:round/>
            </a:ln>
            <a:effectLst/>
          </c:spPr>
          <c:marker>
            <c:symbol val="none"/>
          </c:marker>
          <c:cat>
            <c:numRef>
              <c:f>DELL!$A$7:$A$27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DELL!$E$7:$E$27</c:f>
              <c:numCache>
                <c:formatCode>_([$$-409]* #,##0.00_);_([$$-409]* \(#,##0.00\);_([$$-409]* "-"??_);_(@_)</c:formatCode>
                <c:ptCount val="21"/>
                <c:pt idx="0">
                  <c:v>141.36000000000001</c:v>
                </c:pt>
                <c:pt idx="1">
                  <c:v>137.495</c:v>
                </c:pt>
                <c:pt idx="2">
                  <c:v>145.15</c:v>
                </c:pt>
                <c:pt idx="3">
                  <c:v>147.08500000000001</c:v>
                </c:pt>
                <c:pt idx="4">
                  <c:v>146.82</c:v>
                </c:pt>
                <c:pt idx="5">
                  <c:v>152.68</c:v>
                </c:pt>
                <c:pt idx="6">
                  <c:v>151.80000000000001</c:v>
                </c:pt>
                <c:pt idx="7">
                  <c:v>148.93</c:v>
                </c:pt>
                <c:pt idx="8">
                  <c:v>146.57</c:v>
                </c:pt>
                <c:pt idx="9">
                  <c:v>157.66999999999999</c:v>
                </c:pt>
                <c:pt idx="10">
                  <c:v>158.63</c:v>
                </c:pt>
                <c:pt idx="11">
                  <c:v>163.37</c:v>
                </c:pt>
                <c:pt idx="12">
                  <c:v>177.62</c:v>
                </c:pt>
                <c:pt idx="13">
                  <c:v>175.55</c:v>
                </c:pt>
                <c:pt idx="14">
                  <c:v>170.345</c:v>
                </c:pt>
                <c:pt idx="15">
                  <c:v>162.47999999999999</c:v>
                </c:pt>
                <c:pt idx="16">
                  <c:v>155.37</c:v>
                </c:pt>
                <c:pt idx="17">
                  <c:v>164.76</c:v>
                </c:pt>
                <c:pt idx="18">
                  <c:v>166.495</c:v>
                </c:pt>
              </c:numCache>
            </c:numRef>
          </c:val>
          <c:smooth val="0"/>
          <c:extLst>
            <c:ext xmlns:c16="http://schemas.microsoft.com/office/drawing/2014/chart" uri="{C3380CC4-5D6E-409C-BE32-E72D297353CC}">
              <c16:uniqueId val="{00000003-1541-49FC-AD67-21FA29BE54CA}"/>
            </c:ext>
          </c:extLst>
        </c:ser>
        <c:ser>
          <c:idx val="4"/>
          <c:order val="4"/>
          <c:tx>
            <c:strRef>
              <c:f>DELL!$F$6</c:f>
              <c:strCache>
                <c:ptCount val="1"/>
                <c:pt idx="0">
                  <c:v>Close</c:v>
                </c:pt>
              </c:strCache>
            </c:strRef>
          </c:tx>
          <c:spPr>
            <a:ln w="38100" cap="rnd">
              <a:noFill/>
              <a:round/>
            </a:ln>
            <a:effectLst/>
          </c:spPr>
          <c:marker>
            <c:symbol val="none"/>
          </c:marker>
          <c:cat>
            <c:numRef>
              <c:f>DELL!$A$7:$A$27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DELL!$F$7:$F$27</c:f>
              <c:numCache>
                <c:formatCode>_([$$-409]* #,##0.00_);_([$$-409]* \(#,##0.00\);_([$$-409]* "-"??_);_(@_)</c:formatCode>
                <c:ptCount val="21"/>
                <c:pt idx="0">
                  <c:v>146.51</c:v>
                </c:pt>
                <c:pt idx="1">
                  <c:v>143.80000000000001</c:v>
                </c:pt>
                <c:pt idx="2">
                  <c:v>147.37</c:v>
                </c:pt>
                <c:pt idx="3">
                  <c:v>149.91</c:v>
                </c:pt>
                <c:pt idx="4">
                  <c:v>151.62</c:v>
                </c:pt>
                <c:pt idx="5">
                  <c:v>156.54</c:v>
                </c:pt>
                <c:pt idx="6">
                  <c:v>153.01</c:v>
                </c:pt>
                <c:pt idx="7">
                  <c:v>149.21</c:v>
                </c:pt>
                <c:pt idx="8">
                  <c:v>156.76</c:v>
                </c:pt>
                <c:pt idx="9">
                  <c:v>157.66999999999999</c:v>
                </c:pt>
                <c:pt idx="10">
                  <c:v>164.59</c:v>
                </c:pt>
                <c:pt idx="11">
                  <c:v>176.91</c:v>
                </c:pt>
                <c:pt idx="12">
                  <c:v>184.01</c:v>
                </c:pt>
                <c:pt idx="13">
                  <c:v>175.82</c:v>
                </c:pt>
                <c:pt idx="14">
                  <c:v>171.81</c:v>
                </c:pt>
                <c:pt idx="15">
                  <c:v>164.66</c:v>
                </c:pt>
                <c:pt idx="16">
                  <c:v>164.13</c:v>
                </c:pt>
                <c:pt idx="17">
                  <c:v>169.38</c:v>
                </c:pt>
                <c:pt idx="18">
                  <c:v>174.37</c:v>
                </c:pt>
              </c:numCache>
            </c:numRef>
          </c:val>
          <c:smooth val="0"/>
          <c:extLst>
            <c:ext xmlns:c16="http://schemas.microsoft.com/office/drawing/2014/chart" uri="{C3380CC4-5D6E-409C-BE32-E72D297353CC}">
              <c16:uniqueId val="{00000004-1541-49FC-AD67-21FA29BE54C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DELL!$C$4:$IR$4</c:f>
              <c:numCache>
                <c:formatCode>_([$$-409]* #,##0.00_);_([$$-409]* \(#,##0.00\);_([$$-409]* "-"??_);_(@_)</c:formatCode>
                <c:ptCount val="250"/>
                <c:pt idx="0">
                  <c:v>75</c:v>
                </c:pt>
                <c:pt idx="1">
                  <c:v>72.59</c:v>
                </c:pt>
                <c:pt idx="2">
                  <c:v>84.19</c:v>
                </c:pt>
                <c:pt idx="3">
                  <c:v>78.94</c:v>
                </c:pt>
                <c:pt idx="4">
                  <c:v>81.93</c:v>
                </c:pt>
                <c:pt idx="5">
                  <c:v>85.19</c:v>
                </c:pt>
                <c:pt idx="6">
                  <c:v>85.49</c:v>
                </c:pt>
                <c:pt idx="7">
                  <c:v>83.36</c:v>
                </c:pt>
                <c:pt idx="8">
                  <c:v>84.8</c:v>
                </c:pt>
                <c:pt idx="9">
                  <c:v>82.39</c:v>
                </c:pt>
                <c:pt idx="10">
                  <c:v>84.08</c:v>
                </c:pt>
                <c:pt idx="11">
                  <c:v>89.16</c:v>
                </c:pt>
                <c:pt idx="12">
                  <c:v>94.4</c:v>
                </c:pt>
                <c:pt idx="13">
                  <c:v>94.89</c:v>
                </c:pt>
                <c:pt idx="14">
                  <c:v>94.47</c:v>
                </c:pt>
                <c:pt idx="15">
                  <c:v>93.78</c:v>
                </c:pt>
                <c:pt idx="16">
                  <c:v>91.76</c:v>
                </c:pt>
                <c:pt idx="17">
                  <c:v>91.95</c:v>
                </c:pt>
                <c:pt idx="18">
                  <c:v>94.59</c:v>
                </c:pt>
                <c:pt idx="19">
                  <c:v>94.36</c:v>
                </c:pt>
                <c:pt idx="20">
                  <c:v>93.95</c:v>
                </c:pt>
                <c:pt idx="21">
                  <c:v>95.79</c:v>
                </c:pt>
                <c:pt idx="22">
                  <c:v>96.22</c:v>
                </c:pt>
                <c:pt idx="23">
                  <c:v>95.91</c:v>
                </c:pt>
                <c:pt idx="24">
                  <c:v>103.42</c:v>
                </c:pt>
                <c:pt idx="25">
                  <c:v>107.85</c:v>
                </c:pt>
                <c:pt idx="26">
                  <c:v>111.02</c:v>
                </c:pt>
                <c:pt idx="27">
                  <c:v>110.87</c:v>
                </c:pt>
                <c:pt idx="28">
                  <c:v>114.19</c:v>
                </c:pt>
                <c:pt idx="29">
                  <c:v>114.28</c:v>
                </c:pt>
                <c:pt idx="30">
                  <c:v>114.23</c:v>
                </c:pt>
                <c:pt idx="31">
                  <c:v>111.93</c:v>
                </c:pt>
                <c:pt idx="32">
                  <c:v>111.95</c:v>
                </c:pt>
                <c:pt idx="33">
                  <c:v>112.11</c:v>
                </c:pt>
                <c:pt idx="34">
                  <c:v>113.99</c:v>
                </c:pt>
                <c:pt idx="35">
                  <c:v>113.77</c:v>
                </c:pt>
                <c:pt idx="36">
                  <c:v>113.63</c:v>
                </c:pt>
                <c:pt idx="37">
                  <c:v>111.27</c:v>
                </c:pt>
                <c:pt idx="38">
                  <c:v>108.08</c:v>
                </c:pt>
                <c:pt idx="39">
                  <c:v>111.9</c:v>
                </c:pt>
                <c:pt idx="40">
                  <c:v>112.7</c:v>
                </c:pt>
                <c:pt idx="41">
                  <c:v>111.82</c:v>
                </c:pt>
                <c:pt idx="42">
                  <c:v>113.75</c:v>
                </c:pt>
                <c:pt idx="43">
                  <c:v>114.22</c:v>
                </c:pt>
                <c:pt idx="44">
                  <c:v>113.25</c:v>
                </c:pt>
                <c:pt idx="45">
                  <c:v>111.24</c:v>
                </c:pt>
                <c:pt idx="46">
                  <c:v>113.4</c:v>
                </c:pt>
                <c:pt idx="47">
                  <c:v>109.56</c:v>
                </c:pt>
                <c:pt idx="48">
                  <c:v>113.74</c:v>
                </c:pt>
                <c:pt idx="49">
                  <c:v>115.93</c:v>
                </c:pt>
                <c:pt idx="50">
                  <c:v>116.56</c:v>
                </c:pt>
                <c:pt idx="51">
                  <c:v>119.37</c:v>
                </c:pt>
                <c:pt idx="52">
                  <c:v>118.02</c:v>
                </c:pt>
                <c:pt idx="53">
                  <c:v>120.59</c:v>
                </c:pt>
                <c:pt idx="54">
                  <c:v>120.46</c:v>
                </c:pt>
                <c:pt idx="55">
                  <c:v>125.98</c:v>
                </c:pt>
                <c:pt idx="56">
                  <c:v>123.99</c:v>
                </c:pt>
                <c:pt idx="57">
                  <c:v>122.6</c:v>
                </c:pt>
                <c:pt idx="58">
                  <c:v>121.73</c:v>
                </c:pt>
                <c:pt idx="59">
                  <c:v>123.48</c:v>
                </c:pt>
                <c:pt idx="60">
                  <c:v>125.22</c:v>
                </c:pt>
                <c:pt idx="61">
                  <c:v>124.77</c:v>
                </c:pt>
                <c:pt idx="62">
                  <c:v>124.39</c:v>
                </c:pt>
                <c:pt idx="63">
                  <c:v>126.63</c:v>
                </c:pt>
                <c:pt idx="64">
                  <c:v>127.91</c:v>
                </c:pt>
                <c:pt idx="65">
                  <c:v>126.83</c:v>
                </c:pt>
                <c:pt idx="66">
                  <c:v>125.67</c:v>
                </c:pt>
                <c:pt idx="67">
                  <c:v>125.69</c:v>
                </c:pt>
                <c:pt idx="68">
                  <c:v>123.57</c:v>
                </c:pt>
                <c:pt idx="69">
                  <c:v>123.88</c:v>
                </c:pt>
                <c:pt idx="70">
                  <c:v>131.24</c:v>
                </c:pt>
                <c:pt idx="71">
                  <c:v>128.96</c:v>
                </c:pt>
                <c:pt idx="72">
                  <c:v>124.33</c:v>
                </c:pt>
                <c:pt idx="73">
                  <c:v>127.22</c:v>
                </c:pt>
                <c:pt idx="74">
                  <c:v>128.35</c:v>
                </c:pt>
                <c:pt idx="75">
                  <c:v>131.22</c:v>
                </c:pt>
                <c:pt idx="76">
                  <c:v>133.86000000000001</c:v>
                </c:pt>
                <c:pt idx="77">
                  <c:v>133.51</c:v>
                </c:pt>
                <c:pt idx="78">
                  <c:v>133.54</c:v>
                </c:pt>
                <c:pt idx="79">
                  <c:v>132.69</c:v>
                </c:pt>
                <c:pt idx="80">
                  <c:v>127.32</c:v>
                </c:pt>
                <c:pt idx="81">
                  <c:v>130.22999999999999</c:v>
                </c:pt>
                <c:pt idx="82">
                  <c:v>130.47999999999999</c:v>
                </c:pt>
                <c:pt idx="83">
                  <c:v>128.13999999999999</c:v>
                </c:pt>
                <c:pt idx="84">
                  <c:v>133.93</c:v>
                </c:pt>
                <c:pt idx="85">
                  <c:v>137.61000000000001</c:v>
                </c:pt>
                <c:pt idx="86">
                  <c:v>138.32</c:v>
                </c:pt>
                <c:pt idx="87">
                  <c:v>141.63999999999999</c:v>
                </c:pt>
                <c:pt idx="88">
                  <c:v>139.13999999999999</c:v>
                </c:pt>
                <c:pt idx="89">
                  <c:v>138.86000000000001</c:v>
                </c:pt>
                <c:pt idx="90">
                  <c:v>138.28</c:v>
                </c:pt>
                <c:pt idx="91">
                  <c:v>138.13</c:v>
                </c:pt>
                <c:pt idx="92">
                  <c:v>135.19999999999999</c:v>
                </c:pt>
                <c:pt idx="93">
                  <c:v>128.47999999999999</c:v>
                </c:pt>
                <c:pt idx="94">
                  <c:v>127.83</c:v>
                </c:pt>
                <c:pt idx="95">
                  <c:v>130.84</c:v>
                </c:pt>
                <c:pt idx="96">
                  <c:v>131.01</c:v>
                </c:pt>
                <c:pt idx="97">
                  <c:v>130.99</c:v>
                </c:pt>
                <c:pt idx="98">
                  <c:v>132.5</c:v>
                </c:pt>
                <c:pt idx="99">
                  <c:v>134.05000000000001</c:v>
                </c:pt>
                <c:pt idx="100">
                  <c:v>122.15</c:v>
                </c:pt>
                <c:pt idx="101">
                  <c:v>120.96</c:v>
                </c:pt>
                <c:pt idx="102">
                  <c:v>124.02</c:v>
                </c:pt>
                <c:pt idx="103">
                  <c:v>126.67</c:v>
                </c:pt>
                <c:pt idx="104">
                  <c:v>124.83</c:v>
                </c:pt>
                <c:pt idx="105">
                  <c:v>123</c:v>
                </c:pt>
                <c:pt idx="106">
                  <c:v>121.29</c:v>
                </c:pt>
                <c:pt idx="107">
                  <c:v>124.45</c:v>
                </c:pt>
                <c:pt idx="108">
                  <c:v>125.37</c:v>
                </c:pt>
                <c:pt idx="109">
                  <c:v>125.04</c:v>
                </c:pt>
                <c:pt idx="110">
                  <c:v>126.8</c:v>
                </c:pt>
                <c:pt idx="111">
                  <c:v>127.68</c:v>
                </c:pt>
                <c:pt idx="112">
                  <c:v>130.34</c:v>
                </c:pt>
                <c:pt idx="113">
                  <c:v>132.11000000000001</c:v>
                </c:pt>
                <c:pt idx="114">
                  <c:v>131.94</c:v>
                </c:pt>
                <c:pt idx="115">
                  <c:v>135.69</c:v>
                </c:pt>
                <c:pt idx="116">
                  <c:v>134.34</c:v>
                </c:pt>
                <c:pt idx="117">
                  <c:v>132.09</c:v>
                </c:pt>
                <c:pt idx="118">
                  <c:v>130.96</c:v>
                </c:pt>
                <c:pt idx="119">
                  <c:v>130.76</c:v>
                </c:pt>
                <c:pt idx="120">
                  <c:v>133.9</c:v>
                </c:pt>
                <c:pt idx="121">
                  <c:v>141.77000000000001</c:v>
                </c:pt>
                <c:pt idx="122">
                  <c:v>149.68</c:v>
                </c:pt>
                <c:pt idx="123">
                  <c:v>147.37</c:v>
                </c:pt>
                <c:pt idx="124">
                  <c:v>140.74</c:v>
                </c:pt>
                <c:pt idx="125">
                  <c:v>145.76</c:v>
                </c:pt>
                <c:pt idx="126">
                  <c:v>150.87</c:v>
                </c:pt>
                <c:pt idx="127">
                  <c:v>164.53</c:v>
                </c:pt>
                <c:pt idx="128">
                  <c:v>155.94999999999999</c:v>
                </c:pt>
                <c:pt idx="129">
                  <c:v>150.57</c:v>
                </c:pt>
                <c:pt idx="130">
                  <c:v>153.4</c:v>
                </c:pt>
                <c:pt idx="131">
                  <c:v>148.77000000000001</c:v>
                </c:pt>
                <c:pt idx="132">
                  <c:v>153.69999999999999</c:v>
                </c:pt>
                <c:pt idx="133">
                  <c:v>151.31</c:v>
                </c:pt>
                <c:pt idx="134">
                  <c:v>149.59</c:v>
                </c:pt>
                <c:pt idx="135">
                  <c:v>147.87</c:v>
                </c:pt>
                <c:pt idx="136">
                  <c:v>149.43</c:v>
                </c:pt>
                <c:pt idx="137">
                  <c:v>150.13</c:v>
                </c:pt>
                <c:pt idx="138">
                  <c:v>154.22999999999999</c:v>
                </c:pt>
                <c:pt idx="139">
                  <c:v>158.63999999999999</c:v>
                </c:pt>
                <c:pt idx="140">
                  <c:v>162.19</c:v>
                </c:pt>
                <c:pt idx="141">
                  <c:v>164.88</c:v>
                </c:pt>
                <c:pt idx="142">
                  <c:v>163.6</c:v>
                </c:pt>
                <c:pt idx="143">
                  <c:v>161.01</c:v>
                </c:pt>
                <c:pt idx="144">
                  <c:v>162.01</c:v>
                </c:pt>
                <c:pt idx="145">
                  <c:v>160.11000000000001</c:v>
                </c:pt>
                <c:pt idx="146">
                  <c:v>154.63999999999999</c:v>
                </c:pt>
                <c:pt idx="147">
                  <c:v>152.41</c:v>
                </c:pt>
                <c:pt idx="148">
                  <c:v>149.18</c:v>
                </c:pt>
                <c:pt idx="149">
                  <c:v>146.69999999999999</c:v>
                </c:pt>
                <c:pt idx="150">
                  <c:v>142.69</c:v>
                </c:pt>
                <c:pt idx="151">
                  <c:v>138.76</c:v>
                </c:pt>
                <c:pt idx="152">
                  <c:v>140.71</c:v>
                </c:pt>
                <c:pt idx="153">
                  <c:v>133.94</c:v>
                </c:pt>
                <c:pt idx="154">
                  <c:v>133.76</c:v>
                </c:pt>
                <c:pt idx="155">
                  <c:v>122.48</c:v>
                </c:pt>
                <c:pt idx="156">
                  <c:v>122.69</c:v>
                </c:pt>
                <c:pt idx="157">
                  <c:v>119.38</c:v>
                </c:pt>
                <c:pt idx="158">
                  <c:v>117.4</c:v>
                </c:pt>
                <c:pt idx="159">
                  <c:v>122.51</c:v>
                </c:pt>
                <c:pt idx="160">
                  <c:v>127.22</c:v>
                </c:pt>
                <c:pt idx="161">
                  <c:v>125.92</c:v>
                </c:pt>
                <c:pt idx="162">
                  <c:v>133.26</c:v>
                </c:pt>
                <c:pt idx="163">
                  <c:v>133.35</c:v>
                </c:pt>
                <c:pt idx="164">
                  <c:v>132.09</c:v>
                </c:pt>
                <c:pt idx="165">
                  <c:v>135.94999999999999</c:v>
                </c:pt>
                <c:pt idx="166">
                  <c:v>133.63</c:v>
                </c:pt>
                <c:pt idx="167">
                  <c:v>138.99</c:v>
                </c:pt>
                <c:pt idx="168">
                  <c:v>138.91</c:v>
                </c:pt>
                <c:pt idx="169">
                  <c:v>140.41</c:v>
                </c:pt>
                <c:pt idx="170">
                  <c:v>138.22</c:v>
                </c:pt>
                <c:pt idx="171">
                  <c:v>140.63</c:v>
                </c:pt>
                <c:pt idx="172">
                  <c:v>138.6</c:v>
                </c:pt>
                <c:pt idx="173">
                  <c:v>129.97999999999999</c:v>
                </c:pt>
                <c:pt idx="174">
                  <c:v>130.51</c:v>
                </c:pt>
                <c:pt idx="175">
                  <c:v>133.75</c:v>
                </c:pt>
                <c:pt idx="176">
                  <c:v>127.89</c:v>
                </c:pt>
                <c:pt idx="177">
                  <c:v>122.94</c:v>
                </c:pt>
                <c:pt idx="178">
                  <c:v>126.42</c:v>
                </c:pt>
                <c:pt idx="179">
                  <c:v>126.61</c:v>
                </c:pt>
                <c:pt idx="180">
                  <c:v>127.62</c:v>
                </c:pt>
                <c:pt idx="181">
                  <c:v>128.38</c:v>
                </c:pt>
                <c:pt idx="182">
                  <c:v>129.24</c:v>
                </c:pt>
                <c:pt idx="183">
                  <c:v>127.46</c:v>
                </c:pt>
                <c:pt idx="184">
                  <c:v>127.92</c:v>
                </c:pt>
                <c:pt idx="185">
                  <c:v>125.88</c:v>
                </c:pt>
                <c:pt idx="186">
                  <c:v>127.8</c:v>
                </c:pt>
                <c:pt idx="187">
                  <c:v>124.01</c:v>
                </c:pt>
                <c:pt idx="188">
                  <c:v>123.93</c:v>
                </c:pt>
                <c:pt idx="189">
                  <c:v>120.07</c:v>
                </c:pt>
                <c:pt idx="190">
                  <c:v>118.5</c:v>
                </c:pt>
                <c:pt idx="191">
                  <c:v>120.62</c:v>
                </c:pt>
                <c:pt idx="192">
                  <c:v>120.47</c:v>
                </c:pt>
                <c:pt idx="193">
                  <c:v>119.66</c:v>
                </c:pt>
                <c:pt idx="194">
                  <c:v>118.69</c:v>
                </c:pt>
                <c:pt idx="195">
                  <c:v>119.66</c:v>
                </c:pt>
                <c:pt idx="196">
                  <c:v>120.53</c:v>
                </c:pt>
                <c:pt idx="197">
                  <c:v>111.07</c:v>
                </c:pt>
                <c:pt idx="198">
                  <c:v>113.26</c:v>
                </c:pt>
                <c:pt idx="199">
                  <c:v>117.17</c:v>
                </c:pt>
                <c:pt idx="200">
                  <c:v>115.43</c:v>
                </c:pt>
                <c:pt idx="201">
                  <c:v>115.93</c:v>
                </c:pt>
                <c:pt idx="202">
                  <c:v>114.66</c:v>
                </c:pt>
                <c:pt idx="203">
                  <c:v>117.32</c:v>
                </c:pt>
                <c:pt idx="204">
                  <c:v>118.49</c:v>
                </c:pt>
                <c:pt idx="205">
                  <c:v>114.44</c:v>
                </c:pt>
                <c:pt idx="206">
                  <c:v>119.16</c:v>
                </c:pt>
                <c:pt idx="207">
                  <c:v>117.15</c:v>
                </c:pt>
                <c:pt idx="208">
                  <c:v>122.04</c:v>
                </c:pt>
                <c:pt idx="209">
                  <c:v>115.39</c:v>
                </c:pt>
                <c:pt idx="210">
                  <c:v>121.05</c:v>
                </c:pt>
                <c:pt idx="211">
                  <c:v>120.91</c:v>
                </c:pt>
                <c:pt idx="212">
                  <c:v>126.01</c:v>
                </c:pt>
                <c:pt idx="213">
                  <c:v>124.16</c:v>
                </c:pt>
                <c:pt idx="214">
                  <c:v>112.82</c:v>
                </c:pt>
                <c:pt idx="215">
                  <c:v>117.49</c:v>
                </c:pt>
                <c:pt idx="216">
                  <c:v>116.09</c:v>
                </c:pt>
                <c:pt idx="217">
                  <c:v>116.78</c:v>
                </c:pt>
                <c:pt idx="218">
                  <c:v>119.06</c:v>
                </c:pt>
                <c:pt idx="219">
                  <c:v>122.27</c:v>
                </c:pt>
                <c:pt idx="220">
                  <c:v>119.14</c:v>
                </c:pt>
                <c:pt idx="221">
                  <c:v>119.78</c:v>
                </c:pt>
                <c:pt idx="222">
                  <c:v>123.48</c:v>
                </c:pt>
                <c:pt idx="223">
                  <c:v>121.45</c:v>
                </c:pt>
                <c:pt idx="224">
                  <c:v>148.08000000000001</c:v>
                </c:pt>
                <c:pt idx="225">
                  <c:v>153.55000000000001</c:v>
                </c:pt>
                <c:pt idx="226">
                  <c:v>145.18</c:v>
                </c:pt>
                <c:pt idx="227">
                  <c:v>147.1</c:v>
                </c:pt>
                <c:pt idx="228">
                  <c:v>146.52000000000001</c:v>
                </c:pt>
                <c:pt idx="229">
                  <c:v>146.47999999999999</c:v>
                </c:pt>
                <c:pt idx="230">
                  <c:v>146.51</c:v>
                </c:pt>
                <c:pt idx="231">
                  <c:v>143.80000000000001</c:v>
                </c:pt>
                <c:pt idx="232">
                  <c:v>147.37</c:v>
                </c:pt>
                <c:pt idx="233">
                  <c:v>149.91</c:v>
                </c:pt>
                <c:pt idx="234">
                  <c:v>151.62</c:v>
                </c:pt>
                <c:pt idx="235">
                  <c:v>156.54</c:v>
                </c:pt>
                <c:pt idx="236">
                  <c:v>153.01</c:v>
                </c:pt>
                <c:pt idx="237">
                  <c:v>149.21</c:v>
                </c:pt>
                <c:pt idx="238">
                  <c:v>156.76</c:v>
                </c:pt>
                <c:pt idx="239">
                  <c:v>157.66999999999999</c:v>
                </c:pt>
                <c:pt idx="240">
                  <c:v>164.59</c:v>
                </c:pt>
                <c:pt idx="241">
                  <c:v>176.91</c:v>
                </c:pt>
                <c:pt idx="242">
                  <c:v>184.01</c:v>
                </c:pt>
                <c:pt idx="243">
                  <c:v>175.82</c:v>
                </c:pt>
                <c:pt idx="244">
                  <c:v>171.81</c:v>
                </c:pt>
                <c:pt idx="245">
                  <c:v>164.66</c:v>
                </c:pt>
                <c:pt idx="246">
                  <c:v>164.13</c:v>
                </c:pt>
                <c:pt idx="247">
                  <c:v>169.38</c:v>
                </c:pt>
                <c:pt idx="248">
                  <c:v>174.37</c:v>
                </c:pt>
              </c:numCache>
            </c:numRef>
          </c:val>
          <c:extLst>
            <c:ext xmlns:c16="http://schemas.microsoft.com/office/drawing/2014/chart" uri="{C3380CC4-5D6E-409C-BE32-E72D297353CC}">
              <c16:uniqueId val="{00000000-32CB-495C-AF5A-FD0DE40D422D}"/>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XOM!$B$1</c:f>
          <c:strCache>
            <c:ptCount val="1"/>
            <c:pt idx="0">
              <c:v>EXXON MOBIL CORPORATION (XNYS:XOM)</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XOM!$B$6</c:f>
              <c:strCache>
                <c:ptCount val="1"/>
                <c:pt idx="0">
                  <c:v>Volume</c:v>
                </c:pt>
              </c:strCache>
            </c:strRef>
          </c:tx>
          <c:spPr>
            <a:solidFill>
              <a:schemeClr val="accent1"/>
            </a:solidFill>
            <a:ln w="38100">
              <a:noFill/>
            </a:ln>
            <a:effectLst/>
          </c:spPr>
          <c:invertIfNegative val="0"/>
          <c:cat>
            <c:numRef>
              <c:f>XOM!$A$7:$A$27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XOM!$B$7:$B$27</c:f>
              <c:numCache>
                <c:formatCode>#,##0</c:formatCode>
                <c:ptCount val="21"/>
                <c:pt idx="0">
                  <c:v>25532656</c:v>
                </c:pt>
                <c:pt idx="1">
                  <c:v>19617590</c:v>
                </c:pt>
                <c:pt idx="2">
                  <c:v>15297412</c:v>
                </c:pt>
                <c:pt idx="3">
                  <c:v>26053965</c:v>
                </c:pt>
                <c:pt idx="4">
                  <c:v>22414094</c:v>
                </c:pt>
                <c:pt idx="5">
                  <c:v>22835633</c:v>
                </c:pt>
                <c:pt idx="6">
                  <c:v>21592171</c:v>
                </c:pt>
                <c:pt idx="7">
                  <c:v>18947142</c:v>
                </c:pt>
                <c:pt idx="8">
                  <c:v>27082733</c:v>
                </c:pt>
                <c:pt idx="9">
                  <c:v>53942142</c:v>
                </c:pt>
                <c:pt idx="10">
                  <c:v>25021288</c:v>
                </c:pt>
                <c:pt idx="11">
                  <c:v>26131824</c:v>
                </c:pt>
                <c:pt idx="12">
                  <c:v>17192333</c:v>
                </c:pt>
                <c:pt idx="13">
                  <c:v>18625249</c:v>
                </c:pt>
                <c:pt idx="14">
                  <c:v>30338313</c:v>
                </c:pt>
                <c:pt idx="15">
                  <c:v>29813504</c:v>
                </c:pt>
                <c:pt idx="16">
                  <c:v>32006724</c:v>
                </c:pt>
                <c:pt idx="17">
                  <c:v>37927639</c:v>
                </c:pt>
                <c:pt idx="18">
                  <c:v>25377657</c:v>
                </c:pt>
              </c:numCache>
            </c:numRef>
          </c:val>
          <c:extLst>
            <c:ext xmlns:c16="http://schemas.microsoft.com/office/drawing/2014/chart" uri="{C3380CC4-5D6E-409C-BE32-E72D297353CC}">
              <c16:uniqueId val="{00000000-9726-4048-979D-0CC5EEF4FD0F}"/>
            </c:ext>
          </c:extLst>
        </c:ser>
        <c:dLbls>
          <c:showLegendKey val="0"/>
          <c:showVal val="0"/>
          <c:showCatName val="0"/>
          <c:showSerName val="0"/>
          <c:showPercent val="0"/>
          <c:showBubbleSize val="0"/>
        </c:dLbls>
        <c:gapWidth val="150"/>
        <c:axId val="1641718448"/>
        <c:axId val="1641718928"/>
      </c:barChart>
      <c:stockChart>
        <c:ser>
          <c:idx val="1"/>
          <c:order val="1"/>
          <c:tx>
            <c:strRef>
              <c:f>XOM!$C$6</c:f>
              <c:strCache>
                <c:ptCount val="1"/>
                <c:pt idx="0">
                  <c:v>Open</c:v>
                </c:pt>
              </c:strCache>
            </c:strRef>
          </c:tx>
          <c:spPr>
            <a:ln w="38100" cap="rnd">
              <a:noFill/>
              <a:round/>
            </a:ln>
            <a:effectLst/>
          </c:spPr>
          <c:marker>
            <c:symbol val="none"/>
          </c:marker>
          <c:cat>
            <c:numRef>
              <c:f>XOM!$A$7:$A$27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XOM!$C$7:$C$27</c:f>
              <c:numCache>
                <c:formatCode>_([$$-409]* #,##0.00_);_([$$-409]* \(#,##0.00\);_([$$-409]* "-"??_);_(@_)</c:formatCode>
                <c:ptCount val="21"/>
                <c:pt idx="0">
                  <c:v>152.01499999999999</c:v>
                </c:pt>
                <c:pt idx="1">
                  <c:v>149.25</c:v>
                </c:pt>
                <c:pt idx="2">
                  <c:v>147.99</c:v>
                </c:pt>
                <c:pt idx="3">
                  <c:v>152.26499999999999</c:v>
                </c:pt>
                <c:pt idx="4">
                  <c:v>154.30000000000001</c:v>
                </c:pt>
                <c:pt idx="5">
                  <c:v>156</c:v>
                </c:pt>
                <c:pt idx="6">
                  <c:v>158.25</c:v>
                </c:pt>
                <c:pt idx="7">
                  <c:v>159.66</c:v>
                </c:pt>
                <c:pt idx="8">
                  <c:v>158.26</c:v>
                </c:pt>
                <c:pt idx="9">
                  <c:v>159.35</c:v>
                </c:pt>
                <c:pt idx="10">
                  <c:v>156.11500000000001</c:v>
                </c:pt>
                <c:pt idx="11">
                  <c:v>161.71</c:v>
                </c:pt>
                <c:pt idx="12">
                  <c:v>163.87</c:v>
                </c:pt>
                <c:pt idx="13">
                  <c:v>164.09</c:v>
                </c:pt>
                <c:pt idx="14">
                  <c:v>165.58</c:v>
                </c:pt>
                <c:pt idx="15">
                  <c:v>172.505</c:v>
                </c:pt>
                <c:pt idx="16">
                  <c:v>172.67</c:v>
                </c:pt>
                <c:pt idx="17">
                  <c:v>165.77</c:v>
                </c:pt>
                <c:pt idx="18">
                  <c:v>164.49</c:v>
                </c:pt>
              </c:numCache>
            </c:numRef>
          </c:val>
          <c:smooth val="0"/>
          <c:extLst>
            <c:ext xmlns:c16="http://schemas.microsoft.com/office/drawing/2014/chart" uri="{C3380CC4-5D6E-409C-BE32-E72D297353CC}">
              <c16:uniqueId val="{00000001-9726-4048-979D-0CC5EEF4FD0F}"/>
            </c:ext>
          </c:extLst>
        </c:ser>
        <c:ser>
          <c:idx val="2"/>
          <c:order val="2"/>
          <c:tx>
            <c:strRef>
              <c:f>XOM!$D$6</c:f>
              <c:strCache>
                <c:ptCount val="1"/>
                <c:pt idx="0">
                  <c:v>High</c:v>
                </c:pt>
              </c:strCache>
            </c:strRef>
          </c:tx>
          <c:spPr>
            <a:ln w="38100" cap="rnd">
              <a:noFill/>
              <a:round/>
            </a:ln>
            <a:effectLst/>
          </c:spPr>
          <c:marker>
            <c:symbol val="none"/>
          </c:marker>
          <c:cat>
            <c:numRef>
              <c:f>XOM!$A$7:$A$27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XOM!$D$7:$D$27</c:f>
              <c:numCache>
                <c:formatCode>_([$$-409]* #,##0.00_);_([$$-409]* \(#,##0.00\);_([$$-409]* "-"??_);_(@_)</c:formatCode>
                <c:ptCount val="21"/>
                <c:pt idx="0">
                  <c:v>153.88990000000001</c:v>
                </c:pt>
                <c:pt idx="1">
                  <c:v>150.4</c:v>
                </c:pt>
                <c:pt idx="2">
                  <c:v>151.81</c:v>
                </c:pt>
                <c:pt idx="3">
                  <c:v>155</c:v>
                </c:pt>
                <c:pt idx="4">
                  <c:v>156.88999999999999</c:v>
                </c:pt>
                <c:pt idx="5">
                  <c:v>157.78</c:v>
                </c:pt>
                <c:pt idx="6">
                  <c:v>160.44999999999999</c:v>
                </c:pt>
                <c:pt idx="7">
                  <c:v>160.18</c:v>
                </c:pt>
                <c:pt idx="8">
                  <c:v>159.56</c:v>
                </c:pt>
                <c:pt idx="9">
                  <c:v>162.44</c:v>
                </c:pt>
                <c:pt idx="10">
                  <c:v>161.41999999999999</c:v>
                </c:pt>
                <c:pt idx="11">
                  <c:v>167.48</c:v>
                </c:pt>
                <c:pt idx="12">
                  <c:v>165</c:v>
                </c:pt>
                <c:pt idx="13">
                  <c:v>165.68</c:v>
                </c:pt>
                <c:pt idx="14">
                  <c:v>171.23</c:v>
                </c:pt>
                <c:pt idx="15">
                  <c:v>176.41</c:v>
                </c:pt>
                <c:pt idx="16">
                  <c:v>174.38</c:v>
                </c:pt>
                <c:pt idx="17">
                  <c:v>168</c:v>
                </c:pt>
                <c:pt idx="18">
                  <c:v>166.9</c:v>
                </c:pt>
              </c:numCache>
            </c:numRef>
          </c:val>
          <c:smooth val="0"/>
          <c:extLst>
            <c:ext xmlns:c16="http://schemas.microsoft.com/office/drawing/2014/chart" uri="{C3380CC4-5D6E-409C-BE32-E72D297353CC}">
              <c16:uniqueId val="{00000002-9726-4048-979D-0CC5EEF4FD0F}"/>
            </c:ext>
          </c:extLst>
        </c:ser>
        <c:ser>
          <c:idx val="3"/>
          <c:order val="3"/>
          <c:tx>
            <c:strRef>
              <c:f>XOM!$E$6</c:f>
              <c:strCache>
                <c:ptCount val="1"/>
                <c:pt idx="0">
                  <c:v>Low</c:v>
                </c:pt>
              </c:strCache>
            </c:strRef>
          </c:tx>
          <c:spPr>
            <a:ln w="38100" cap="rnd">
              <a:noFill/>
              <a:round/>
            </a:ln>
            <a:effectLst/>
          </c:spPr>
          <c:marker>
            <c:symbol val="none"/>
          </c:marker>
          <c:cat>
            <c:numRef>
              <c:f>XOM!$A$7:$A$27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XOM!$E$7:$E$27</c:f>
              <c:numCache>
                <c:formatCode>_([$$-409]* #,##0.00_);_([$$-409]* \(#,##0.00\);_([$$-409]* "-"??_);_(@_)</c:formatCode>
                <c:ptCount val="21"/>
                <c:pt idx="0">
                  <c:v>149.47</c:v>
                </c:pt>
                <c:pt idx="1">
                  <c:v>147.69999999999999</c:v>
                </c:pt>
                <c:pt idx="2">
                  <c:v>147.66</c:v>
                </c:pt>
                <c:pt idx="3">
                  <c:v>151.63</c:v>
                </c:pt>
                <c:pt idx="4">
                  <c:v>152.97499999999999</c:v>
                </c:pt>
                <c:pt idx="5">
                  <c:v>154.76</c:v>
                </c:pt>
                <c:pt idx="6">
                  <c:v>156.80000000000001</c:v>
                </c:pt>
                <c:pt idx="7">
                  <c:v>157.53</c:v>
                </c:pt>
                <c:pt idx="8">
                  <c:v>154.84</c:v>
                </c:pt>
                <c:pt idx="9">
                  <c:v>159.1</c:v>
                </c:pt>
                <c:pt idx="10">
                  <c:v>155.02000000000001</c:v>
                </c:pt>
                <c:pt idx="11">
                  <c:v>161.25</c:v>
                </c:pt>
                <c:pt idx="12">
                  <c:v>162.93</c:v>
                </c:pt>
                <c:pt idx="13">
                  <c:v>162.06</c:v>
                </c:pt>
                <c:pt idx="14">
                  <c:v>164.8</c:v>
                </c:pt>
                <c:pt idx="15">
                  <c:v>171.05</c:v>
                </c:pt>
                <c:pt idx="16">
                  <c:v>165.97</c:v>
                </c:pt>
                <c:pt idx="17">
                  <c:v>159.53</c:v>
                </c:pt>
                <c:pt idx="18">
                  <c:v>159.59</c:v>
                </c:pt>
              </c:numCache>
            </c:numRef>
          </c:val>
          <c:smooth val="0"/>
          <c:extLst>
            <c:ext xmlns:c16="http://schemas.microsoft.com/office/drawing/2014/chart" uri="{C3380CC4-5D6E-409C-BE32-E72D297353CC}">
              <c16:uniqueId val="{00000003-9726-4048-979D-0CC5EEF4FD0F}"/>
            </c:ext>
          </c:extLst>
        </c:ser>
        <c:ser>
          <c:idx val="4"/>
          <c:order val="4"/>
          <c:tx>
            <c:strRef>
              <c:f>XOM!$F$6</c:f>
              <c:strCache>
                <c:ptCount val="1"/>
                <c:pt idx="0">
                  <c:v>Close</c:v>
                </c:pt>
              </c:strCache>
            </c:strRef>
          </c:tx>
          <c:spPr>
            <a:ln w="38100" cap="rnd">
              <a:noFill/>
              <a:round/>
            </a:ln>
            <a:effectLst/>
          </c:spPr>
          <c:marker>
            <c:symbol val="none"/>
          </c:marker>
          <c:cat>
            <c:numRef>
              <c:f>XOM!$A$7:$A$27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XOM!$F$7:$F$27</c:f>
              <c:numCache>
                <c:formatCode>_([$$-409]* #,##0.00_);_([$$-409]* \(#,##0.00\);_([$$-409]* "-"??_);_(@_)</c:formatCode>
                <c:ptCount val="21"/>
                <c:pt idx="0">
                  <c:v>150.44</c:v>
                </c:pt>
                <c:pt idx="1">
                  <c:v>148.13</c:v>
                </c:pt>
                <c:pt idx="2">
                  <c:v>151.58000000000001</c:v>
                </c:pt>
                <c:pt idx="3">
                  <c:v>153.53</c:v>
                </c:pt>
                <c:pt idx="4">
                  <c:v>156.12</c:v>
                </c:pt>
                <c:pt idx="5">
                  <c:v>157.22999999999999</c:v>
                </c:pt>
                <c:pt idx="6">
                  <c:v>158.81</c:v>
                </c:pt>
                <c:pt idx="7">
                  <c:v>157.59</c:v>
                </c:pt>
                <c:pt idx="8">
                  <c:v>158.16</c:v>
                </c:pt>
                <c:pt idx="9">
                  <c:v>159.66999999999999</c:v>
                </c:pt>
                <c:pt idx="10">
                  <c:v>161.13</c:v>
                </c:pt>
                <c:pt idx="11">
                  <c:v>165.38</c:v>
                </c:pt>
                <c:pt idx="12">
                  <c:v>163.26</c:v>
                </c:pt>
                <c:pt idx="13">
                  <c:v>165.43</c:v>
                </c:pt>
                <c:pt idx="14">
                  <c:v>170.99</c:v>
                </c:pt>
                <c:pt idx="15">
                  <c:v>171.47</c:v>
                </c:pt>
                <c:pt idx="16">
                  <c:v>169.66</c:v>
                </c:pt>
                <c:pt idx="17">
                  <c:v>160.78</c:v>
                </c:pt>
                <c:pt idx="18">
                  <c:v>160.69</c:v>
                </c:pt>
              </c:numCache>
            </c:numRef>
          </c:val>
          <c:smooth val="0"/>
          <c:extLst>
            <c:ext xmlns:c16="http://schemas.microsoft.com/office/drawing/2014/chart" uri="{C3380CC4-5D6E-409C-BE32-E72D297353CC}">
              <c16:uniqueId val="{00000004-9726-4048-979D-0CC5EEF4FD0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XOM!$C$4:$IR$4</c:f>
              <c:numCache>
                <c:formatCode>_([$$-409]* #,##0.00_);_([$$-409]* \(#,##0.00\);_([$$-409]* "-"??_);_(@_)</c:formatCode>
                <c:ptCount val="250"/>
                <c:pt idx="0">
                  <c:v>102.94</c:v>
                </c:pt>
                <c:pt idx="1">
                  <c:v>100.77</c:v>
                </c:pt>
                <c:pt idx="2">
                  <c:v>105.8</c:v>
                </c:pt>
                <c:pt idx="3">
                  <c:v>99.93</c:v>
                </c:pt>
                <c:pt idx="4">
                  <c:v>103.14</c:v>
                </c:pt>
                <c:pt idx="5">
                  <c:v>103.39</c:v>
                </c:pt>
                <c:pt idx="6">
                  <c:v>103.1</c:v>
                </c:pt>
                <c:pt idx="7">
                  <c:v>104.19</c:v>
                </c:pt>
                <c:pt idx="8">
                  <c:v>106.92</c:v>
                </c:pt>
                <c:pt idx="9">
                  <c:v>105.35</c:v>
                </c:pt>
                <c:pt idx="10">
                  <c:v>108.3</c:v>
                </c:pt>
                <c:pt idx="11">
                  <c:v>107.37</c:v>
                </c:pt>
                <c:pt idx="12">
                  <c:v>108.63</c:v>
                </c:pt>
                <c:pt idx="13">
                  <c:v>108.57</c:v>
                </c:pt>
                <c:pt idx="14">
                  <c:v>108.63</c:v>
                </c:pt>
                <c:pt idx="15">
                  <c:v>108.36</c:v>
                </c:pt>
                <c:pt idx="16">
                  <c:v>105.63</c:v>
                </c:pt>
                <c:pt idx="17">
                  <c:v>105.78</c:v>
                </c:pt>
                <c:pt idx="18">
                  <c:v>106.21</c:v>
                </c:pt>
                <c:pt idx="19">
                  <c:v>103.27</c:v>
                </c:pt>
                <c:pt idx="20">
                  <c:v>104.71</c:v>
                </c:pt>
                <c:pt idx="21">
                  <c:v>104.61</c:v>
                </c:pt>
                <c:pt idx="22">
                  <c:v>106.07</c:v>
                </c:pt>
                <c:pt idx="23">
                  <c:v>107.31</c:v>
                </c:pt>
                <c:pt idx="24">
                  <c:v>109.16</c:v>
                </c:pt>
                <c:pt idx="25">
                  <c:v>109.46</c:v>
                </c:pt>
                <c:pt idx="26">
                  <c:v>108.48</c:v>
                </c:pt>
                <c:pt idx="27">
                  <c:v>108.58</c:v>
                </c:pt>
                <c:pt idx="28">
                  <c:v>108.19</c:v>
                </c:pt>
                <c:pt idx="29">
                  <c:v>106.47</c:v>
                </c:pt>
                <c:pt idx="30">
                  <c:v>104.95</c:v>
                </c:pt>
                <c:pt idx="31">
                  <c:v>103.66</c:v>
                </c:pt>
                <c:pt idx="32">
                  <c:v>102.97</c:v>
                </c:pt>
                <c:pt idx="33">
                  <c:v>103.03</c:v>
                </c:pt>
                <c:pt idx="34">
                  <c:v>103.52</c:v>
                </c:pt>
                <c:pt idx="35">
                  <c:v>102.11</c:v>
                </c:pt>
                <c:pt idx="36">
                  <c:v>102.69</c:v>
                </c:pt>
                <c:pt idx="37">
                  <c:v>102.3</c:v>
                </c:pt>
                <c:pt idx="38">
                  <c:v>103.05</c:v>
                </c:pt>
                <c:pt idx="39">
                  <c:v>103.8</c:v>
                </c:pt>
                <c:pt idx="40">
                  <c:v>102.3</c:v>
                </c:pt>
                <c:pt idx="41">
                  <c:v>101.83</c:v>
                </c:pt>
                <c:pt idx="42">
                  <c:v>104.27</c:v>
                </c:pt>
                <c:pt idx="43">
                  <c:v>104.97</c:v>
                </c:pt>
                <c:pt idx="44">
                  <c:v>107.22</c:v>
                </c:pt>
                <c:pt idx="45">
                  <c:v>109.31</c:v>
                </c:pt>
                <c:pt idx="46">
                  <c:v>109.73</c:v>
                </c:pt>
                <c:pt idx="47">
                  <c:v>112.12</c:v>
                </c:pt>
                <c:pt idx="48">
                  <c:v>112.48</c:v>
                </c:pt>
                <c:pt idx="49">
                  <c:v>114</c:v>
                </c:pt>
                <c:pt idx="50">
                  <c:v>113.19</c:v>
                </c:pt>
                <c:pt idx="51">
                  <c:v>114.7</c:v>
                </c:pt>
                <c:pt idx="52">
                  <c:v>111.74</c:v>
                </c:pt>
                <c:pt idx="53">
                  <c:v>108.34</c:v>
                </c:pt>
                <c:pt idx="54">
                  <c:v>108.37</c:v>
                </c:pt>
                <c:pt idx="55">
                  <c:v>109.99</c:v>
                </c:pt>
                <c:pt idx="56">
                  <c:v>109.38</c:v>
                </c:pt>
                <c:pt idx="57">
                  <c:v>107.8</c:v>
                </c:pt>
                <c:pt idx="58">
                  <c:v>109.24</c:v>
                </c:pt>
                <c:pt idx="59">
                  <c:v>111.05</c:v>
                </c:pt>
                <c:pt idx="60">
                  <c:v>112.2</c:v>
                </c:pt>
                <c:pt idx="61">
                  <c:v>111.11</c:v>
                </c:pt>
                <c:pt idx="62">
                  <c:v>114.19</c:v>
                </c:pt>
                <c:pt idx="63">
                  <c:v>113.8</c:v>
                </c:pt>
                <c:pt idx="64">
                  <c:v>114.93</c:v>
                </c:pt>
                <c:pt idx="65">
                  <c:v>115.43</c:v>
                </c:pt>
                <c:pt idx="66">
                  <c:v>113.92</c:v>
                </c:pt>
                <c:pt idx="67">
                  <c:v>112.91</c:v>
                </c:pt>
                <c:pt idx="68">
                  <c:v>112.23</c:v>
                </c:pt>
                <c:pt idx="69">
                  <c:v>111.66</c:v>
                </c:pt>
                <c:pt idx="70">
                  <c:v>107.77</c:v>
                </c:pt>
                <c:pt idx="71">
                  <c:v>108.05</c:v>
                </c:pt>
                <c:pt idx="72">
                  <c:v>108.54</c:v>
                </c:pt>
                <c:pt idx="73">
                  <c:v>109.93</c:v>
                </c:pt>
                <c:pt idx="74">
                  <c:v>110.79</c:v>
                </c:pt>
                <c:pt idx="75">
                  <c:v>110.4</c:v>
                </c:pt>
                <c:pt idx="76">
                  <c:v>111.44</c:v>
                </c:pt>
                <c:pt idx="77">
                  <c:v>112.88</c:v>
                </c:pt>
                <c:pt idx="78">
                  <c:v>111.9</c:v>
                </c:pt>
                <c:pt idx="79">
                  <c:v>111.64</c:v>
                </c:pt>
                <c:pt idx="80">
                  <c:v>109.64</c:v>
                </c:pt>
                <c:pt idx="81">
                  <c:v>107.37</c:v>
                </c:pt>
                <c:pt idx="82">
                  <c:v>107.24</c:v>
                </c:pt>
                <c:pt idx="83">
                  <c:v>106.51</c:v>
                </c:pt>
                <c:pt idx="84">
                  <c:v>105.95</c:v>
                </c:pt>
                <c:pt idx="85">
                  <c:v>106.8</c:v>
                </c:pt>
                <c:pt idx="86">
                  <c:v>105.83</c:v>
                </c:pt>
                <c:pt idx="87">
                  <c:v>106.13</c:v>
                </c:pt>
                <c:pt idx="88">
                  <c:v>107.6</c:v>
                </c:pt>
                <c:pt idx="89">
                  <c:v>107.38</c:v>
                </c:pt>
                <c:pt idx="90">
                  <c:v>106.49</c:v>
                </c:pt>
                <c:pt idx="91">
                  <c:v>106.72</c:v>
                </c:pt>
                <c:pt idx="92">
                  <c:v>107.42</c:v>
                </c:pt>
                <c:pt idx="93">
                  <c:v>108.53</c:v>
                </c:pt>
                <c:pt idx="94">
                  <c:v>109.23</c:v>
                </c:pt>
                <c:pt idx="95">
                  <c:v>111.28</c:v>
                </c:pt>
                <c:pt idx="96">
                  <c:v>111.74</c:v>
                </c:pt>
                <c:pt idx="97">
                  <c:v>111.49</c:v>
                </c:pt>
                <c:pt idx="98">
                  <c:v>112.75</c:v>
                </c:pt>
                <c:pt idx="99">
                  <c:v>113.35</c:v>
                </c:pt>
                <c:pt idx="100">
                  <c:v>114.29</c:v>
                </c:pt>
                <c:pt idx="101">
                  <c:v>114.69</c:v>
                </c:pt>
                <c:pt idx="102">
                  <c:v>111.91</c:v>
                </c:pt>
                <c:pt idx="103">
                  <c:v>112.4</c:v>
                </c:pt>
                <c:pt idx="104">
                  <c:v>109.23</c:v>
                </c:pt>
                <c:pt idx="105">
                  <c:v>109.85</c:v>
                </c:pt>
                <c:pt idx="106">
                  <c:v>110.65</c:v>
                </c:pt>
                <c:pt idx="107">
                  <c:v>112.5</c:v>
                </c:pt>
                <c:pt idx="108">
                  <c:v>112.14</c:v>
                </c:pt>
                <c:pt idx="109">
                  <c:v>112.16</c:v>
                </c:pt>
                <c:pt idx="110">
                  <c:v>112.35</c:v>
                </c:pt>
                <c:pt idx="111">
                  <c:v>114.68</c:v>
                </c:pt>
                <c:pt idx="112">
                  <c:v>115.29</c:v>
                </c:pt>
                <c:pt idx="113">
                  <c:v>113.93</c:v>
                </c:pt>
                <c:pt idx="114">
                  <c:v>112.82</c:v>
                </c:pt>
                <c:pt idx="115">
                  <c:v>112.02</c:v>
                </c:pt>
                <c:pt idx="116">
                  <c:v>113.95</c:v>
                </c:pt>
                <c:pt idx="117">
                  <c:v>114.56</c:v>
                </c:pt>
                <c:pt idx="118">
                  <c:v>115.59</c:v>
                </c:pt>
                <c:pt idx="119">
                  <c:v>117.22</c:v>
                </c:pt>
                <c:pt idx="120">
                  <c:v>114.22</c:v>
                </c:pt>
                <c:pt idx="121">
                  <c:v>112.75</c:v>
                </c:pt>
                <c:pt idx="122">
                  <c:v>111.99</c:v>
                </c:pt>
                <c:pt idx="123">
                  <c:v>111.29</c:v>
                </c:pt>
                <c:pt idx="124">
                  <c:v>113.26</c:v>
                </c:pt>
                <c:pt idx="125">
                  <c:v>114.2</c:v>
                </c:pt>
                <c:pt idx="126">
                  <c:v>114.26</c:v>
                </c:pt>
                <c:pt idx="127">
                  <c:v>114.02</c:v>
                </c:pt>
                <c:pt idx="128">
                  <c:v>112.91</c:v>
                </c:pt>
                <c:pt idx="129">
                  <c:v>110.73</c:v>
                </c:pt>
                <c:pt idx="130">
                  <c:v>112.24</c:v>
                </c:pt>
                <c:pt idx="131">
                  <c:v>112.29</c:v>
                </c:pt>
                <c:pt idx="132">
                  <c:v>111.61</c:v>
                </c:pt>
                <c:pt idx="133">
                  <c:v>110.64</c:v>
                </c:pt>
                <c:pt idx="134">
                  <c:v>112.24</c:v>
                </c:pt>
                <c:pt idx="135">
                  <c:v>112.7</c:v>
                </c:pt>
                <c:pt idx="136">
                  <c:v>112.71</c:v>
                </c:pt>
                <c:pt idx="137">
                  <c:v>114.71</c:v>
                </c:pt>
                <c:pt idx="138">
                  <c:v>115.98</c:v>
                </c:pt>
                <c:pt idx="139">
                  <c:v>115.39</c:v>
                </c:pt>
                <c:pt idx="140">
                  <c:v>115.94</c:v>
                </c:pt>
                <c:pt idx="141">
                  <c:v>115.03</c:v>
                </c:pt>
                <c:pt idx="142">
                  <c:v>116.45</c:v>
                </c:pt>
                <c:pt idx="143">
                  <c:v>114.69</c:v>
                </c:pt>
                <c:pt idx="144">
                  <c:v>114.36</c:v>
                </c:pt>
                <c:pt idx="145">
                  <c:v>113.76</c:v>
                </c:pt>
                <c:pt idx="146">
                  <c:v>114.14</c:v>
                </c:pt>
                <c:pt idx="147">
                  <c:v>113.68</c:v>
                </c:pt>
                <c:pt idx="148">
                  <c:v>114.5</c:v>
                </c:pt>
                <c:pt idx="149">
                  <c:v>117.22</c:v>
                </c:pt>
                <c:pt idx="150">
                  <c:v>118.22</c:v>
                </c:pt>
                <c:pt idx="151">
                  <c:v>119.78</c:v>
                </c:pt>
                <c:pt idx="152">
                  <c:v>118.12</c:v>
                </c:pt>
                <c:pt idx="153">
                  <c:v>118.79</c:v>
                </c:pt>
                <c:pt idx="154">
                  <c:v>119.29</c:v>
                </c:pt>
                <c:pt idx="155">
                  <c:v>117.68</c:v>
                </c:pt>
                <c:pt idx="156">
                  <c:v>119.03</c:v>
                </c:pt>
                <c:pt idx="157">
                  <c:v>117.35</c:v>
                </c:pt>
                <c:pt idx="158">
                  <c:v>117.02</c:v>
                </c:pt>
                <c:pt idx="159">
                  <c:v>117.08</c:v>
                </c:pt>
                <c:pt idx="160">
                  <c:v>115.97</c:v>
                </c:pt>
                <c:pt idx="161">
                  <c:v>114.51</c:v>
                </c:pt>
                <c:pt idx="162">
                  <c:v>114.77</c:v>
                </c:pt>
                <c:pt idx="163">
                  <c:v>115.92</c:v>
                </c:pt>
                <c:pt idx="164">
                  <c:v>116.63</c:v>
                </c:pt>
                <c:pt idx="165">
                  <c:v>115.38</c:v>
                </c:pt>
                <c:pt idx="166">
                  <c:v>117.8</c:v>
                </c:pt>
                <c:pt idx="167">
                  <c:v>117.14</c:v>
                </c:pt>
                <c:pt idx="168">
                  <c:v>116.54</c:v>
                </c:pt>
                <c:pt idx="169">
                  <c:v>115.98</c:v>
                </c:pt>
                <c:pt idx="170">
                  <c:v>118.25</c:v>
                </c:pt>
                <c:pt idx="171">
                  <c:v>119.54</c:v>
                </c:pt>
                <c:pt idx="172">
                  <c:v>119.54</c:v>
                </c:pt>
                <c:pt idx="173">
                  <c:v>118.82</c:v>
                </c:pt>
                <c:pt idx="174">
                  <c:v>117.76</c:v>
                </c:pt>
                <c:pt idx="175">
                  <c:v>114.68</c:v>
                </c:pt>
                <c:pt idx="176">
                  <c:v>117.41</c:v>
                </c:pt>
                <c:pt idx="177">
                  <c:v>116.54</c:v>
                </c:pt>
                <c:pt idx="178">
                  <c:v>116.69</c:v>
                </c:pt>
                <c:pt idx="179">
                  <c:v>118.15</c:v>
                </c:pt>
                <c:pt idx="180">
                  <c:v>119.42</c:v>
                </c:pt>
                <c:pt idx="181">
                  <c:v>119.22</c:v>
                </c:pt>
                <c:pt idx="182">
                  <c:v>119.11</c:v>
                </c:pt>
                <c:pt idx="183">
                  <c:v>120.53</c:v>
                </c:pt>
                <c:pt idx="184">
                  <c:v>120.99</c:v>
                </c:pt>
                <c:pt idx="185">
                  <c:v>120.34</c:v>
                </c:pt>
                <c:pt idx="186">
                  <c:v>122.65</c:v>
                </c:pt>
                <c:pt idx="187">
                  <c:v>125.36</c:v>
                </c:pt>
                <c:pt idx="188">
                  <c:v>121.05</c:v>
                </c:pt>
                <c:pt idx="189">
                  <c:v>118.49</c:v>
                </c:pt>
                <c:pt idx="190">
                  <c:v>122.91</c:v>
                </c:pt>
                <c:pt idx="191">
                  <c:v>124.61</c:v>
                </c:pt>
                <c:pt idx="192">
                  <c:v>124.03</c:v>
                </c:pt>
                <c:pt idx="193">
                  <c:v>126.54</c:v>
                </c:pt>
                <c:pt idx="194">
                  <c:v>130.19999999999999</c:v>
                </c:pt>
                <c:pt idx="195">
                  <c:v>129.13</c:v>
                </c:pt>
                <c:pt idx="196">
                  <c:v>129.88999999999999</c:v>
                </c:pt>
                <c:pt idx="197">
                  <c:v>130.46</c:v>
                </c:pt>
                <c:pt idx="198">
                  <c:v>133.61000000000001</c:v>
                </c:pt>
                <c:pt idx="199">
                  <c:v>133.63999999999999</c:v>
                </c:pt>
                <c:pt idx="200">
                  <c:v>134.97</c:v>
                </c:pt>
                <c:pt idx="201">
                  <c:v>134.84</c:v>
                </c:pt>
                <c:pt idx="202">
                  <c:v>136.83000000000001</c:v>
                </c:pt>
                <c:pt idx="203">
                  <c:v>137.58000000000001</c:v>
                </c:pt>
                <c:pt idx="204">
                  <c:v>140.51</c:v>
                </c:pt>
                <c:pt idx="205">
                  <c:v>141.4</c:v>
                </c:pt>
                <c:pt idx="206">
                  <c:v>138.4</c:v>
                </c:pt>
                <c:pt idx="207">
                  <c:v>143.72999999999999</c:v>
                </c:pt>
                <c:pt idx="208">
                  <c:v>147.59</c:v>
                </c:pt>
                <c:pt idx="209">
                  <c:v>146.08000000000001</c:v>
                </c:pt>
                <c:pt idx="210">
                  <c:v>149.05000000000001</c:v>
                </c:pt>
                <c:pt idx="211">
                  <c:v>151.21</c:v>
                </c:pt>
                <c:pt idx="212">
                  <c:v>151.59</c:v>
                </c:pt>
                <c:pt idx="213">
                  <c:v>155.56</c:v>
                </c:pt>
                <c:pt idx="214">
                  <c:v>149.93</c:v>
                </c:pt>
                <c:pt idx="215">
                  <c:v>148.44999999999999</c:v>
                </c:pt>
                <c:pt idx="216">
                  <c:v>146.19</c:v>
                </c:pt>
                <c:pt idx="217">
                  <c:v>150.68</c:v>
                </c:pt>
                <c:pt idx="218">
                  <c:v>150.97</c:v>
                </c:pt>
                <c:pt idx="219">
                  <c:v>147.28</c:v>
                </c:pt>
                <c:pt idx="220">
                  <c:v>150.76</c:v>
                </c:pt>
                <c:pt idx="221">
                  <c:v>149.26</c:v>
                </c:pt>
                <c:pt idx="222">
                  <c:v>149.06</c:v>
                </c:pt>
                <c:pt idx="223">
                  <c:v>148.54</c:v>
                </c:pt>
                <c:pt idx="224">
                  <c:v>152.5</c:v>
                </c:pt>
                <c:pt idx="225">
                  <c:v>154.22</c:v>
                </c:pt>
                <c:pt idx="226">
                  <c:v>151.83000000000001</c:v>
                </c:pt>
                <c:pt idx="227">
                  <c:v>149.82</c:v>
                </c:pt>
                <c:pt idx="228">
                  <c:v>150.76</c:v>
                </c:pt>
                <c:pt idx="229">
                  <c:v>151.21</c:v>
                </c:pt>
                <c:pt idx="230">
                  <c:v>150.44</c:v>
                </c:pt>
                <c:pt idx="231">
                  <c:v>148.13</c:v>
                </c:pt>
                <c:pt idx="232">
                  <c:v>151.58000000000001</c:v>
                </c:pt>
                <c:pt idx="233">
                  <c:v>153.53</c:v>
                </c:pt>
                <c:pt idx="234">
                  <c:v>156.12</c:v>
                </c:pt>
                <c:pt idx="235">
                  <c:v>157.22999999999999</c:v>
                </c:pt>
                <c:pt idx="236">
                  <c:v>158.81</c:v>
                </c:pt>
                <c:pt idx="237">
                  <c:v>157.59</c:v>
                </c:pt>
                <c:pt idx="238">
                  <c:v>158.16</c:v>
                </c:pt>
                <c:pt idx="239">
                  <c:v>159.66999999999999</c:v>
                </c:pt>
                <c:pt idx="240">
                  <c:v>161.13</c:v>
                </c:pt>
                <c:pt idx="241">
                  <c:v>165.38</c:v>
                </c:pt>
                <c:pt idx="242">
                  <c:v>163.26</c:v>
                </c:pt>
                <c:pt idx="243">
                  <c:v>165.43</c:v>
                </c:pt>
                <c:pt idx="244">
                  <c:v>170.99</c:v>
                </c:pt>
                <c:pt idx="245">
                  <c:v>171.47</c:v>
                </c:pt>
                <c:pt idx="246">
                  <c:v>169.66</c:v>
                </c:pt>
                <c:pt idx="247">
                  <c:v>160.78</c:v>
                </c:pt>
                <c:pt idx="248">
                  <c:v>160.69</c:v>
                </c:pt>
              </c:numCache>
            </c:numRef>
          </c:val>
          <c:extLst>
            <c:ext xmlns:c16="http://schemas.microsoft.com/office/drawing/2014/chart" uri="{C3380CC4-5D6E-409C-BE32-E72D297353CC}">
              <c16:uniqueId val="{00000000-1C6A-4B80-A316-7258687B856F}"/>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GM!$B$1</c:f>
          <c:strCache>
            <c:ptCount val="1"/>
            <c:pt idx="0">
              <c:v>GENERAL MOTORS COMPANY (XNYS:GM)</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GM!$B$6</c:f>
              <c:strCache>
                <c:ptCount val="1"/>
                <c:pt idx="0">
                  <c:v>Volume</c:v>
                </c:pt>
              </c:strCache>
            </c:strRef>
          </c:tx>
          <c:spPr>
            <a:solidFill>
              <a:schemeClr val="accent1"/>
            </a:solidFill>
            <a:ln w="38100">
              <a:noFill/>
            </a:ln>
            <a:effectLst/>
          </c:spPr>
          <c:invertIfNegative val="0"/>
          <c:cat>
            <c:numRef>
              <c:f>GM!$A$7:$A$27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GM!$B$7:$B$27</c:f>
              <c:numCache>
                <c:formatCode>#,##0</c:formatCode>
                <c:ptCount val="21"/>
                <c:pt idx="0">
                  <c:v>8829631</c:v>
                </c:pt>
                <c:pt idx="1">
                  <c:v>8915571</c:v>
                </c:pt>
                <c:pt idx="2">
                  <c:v>5637485</c:v>
                </c:pt>
                <c:pt idx="3">
                  <c:v>7340971</c:v>
                </c:pt>
                <c:pt idx="4">
                  <c:v>7229709</c:v>
                </c:pt>
                <c:pt idx="5">
                  <c:v>7471711</c:v>
                </c:pt>
                <c:pt idx="6">
                  <c:v>4690135</c:v>
                </c:pt>
                <c:pt idx="7">
                  <c:v>6000865</c:v>
                </c:pt>
                <c:pt idx="8">
                  <c:v>9495200</c:v>
                </c:pt>
                <c:pt idx="9">
                  <c:v>17760032</c:v>
                </c:pt>
                <c:pt idx="10">
                  <c:v>7694773</c:v>
                </c:pt>
                <c:pt idx="11">
                  <c:v>7122238</c:v>
                </c:pt>
                <c:pt idx="12">
                  <c:v>7191117</c:v>
                </c:pt>
                <c:pt idx="13">
                  <c:v>8471308</c:v>
                </c:pt>
                <c:pt idx="14">
                  <c:v>7563228</c:v>
                </c:pt>
                <c:pt idx="15">
                  <c:v>7192312</c:v>
                </c:pt>
                <c:pt idx="16">
                  <c:v>5778164</c:v>
                </c:pt>
                <c:pt idx="17">
                  <c:v>5147737</c:v>
                </c:pt>
                <c:pt idx="18">
                  <c:v>8182839</c:v>
                </c:pt>
              </c:numCache>
            </c:numRef>
          </c:val>
          <c:extLst>
            <c:ext xmlns:c16="http://schemas.microsoft.com/office/drawing/2014/chart" uri="{C3380CC4-5D6E-409C-BE32-E72D297353CC}">
              <c16:uniqueId val="{00000000-FA09-4C7F-9032-76CB5673ABF4}"/>
            </c:ext>
          </c:extLst>
        </c:ser>
        <c:dLbls>
          <c:showLegendKey val="0"/>
          <c:showVal val="0"/>
          <c:showCatName val="0"/>
          <c:showSerName val="0"/>
          <c:showPercent val="0"/>
          <c:showBubbleSize val="0"/>
        </c:dLbls>
        <c:gapWidth val="150"/>
        <c:axId val="1641718448"/>
        <c:axId val="1641718928"/>
      </c:barChart>
      <c:stockChart>
        <c:ser>
          <c:idx val="1"/>
          <c:order val="1"/>
          <c:tx>
            <c:strRef>
              <c:f>GM!$C$6</c:f>
              <c:strCache>
                <c:ptCount val="1"/>
                <c:pt idx="0">
                  <c:v>Open</c:v>
                </c:pt>
              </c:strCache>
            </c:strRef>
          </c:tx>
          <c:spPr>
            <a:ln w="38100" cap="rnd">
              <a:noFill/>
              <a:round/>
            </a:ln>
            <a:effectLst/>
          </c:spPr>
          <c:marker>
            <c:symbol val="none"/>
          </c:marker>
          <c:cat>
            <c:numRef>
              <c:f>GM!$A$7:$A$27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GM!$C$7:$C$27</c:f>
              <c:numCache>
                <c:formatCode>_([$$-409]* #,##0.00_);_([$$-409]* \(#,##0.00\);_([$$-409]* "-"??_);_(@_)</c:formatCode>
                <c:ptCount val="21"/>
                <c:pt idx="0">
                  <c:v>73.400000000000006</c:v>
                </c:pt>
                <c:pt idx="1">
                  <c:v>74.84</c:v>
                </c:pt>
                <c:pt idx="2">
                  <c:v>75.459999999999994</c:v>
                </c:pt>
                <c:pt idx="3">
                  <c:v>73.239999999999995</c:v>
                </c:pt>
                <c:pt idx="4">
                  <c:v>73.59</c:v>
                </c:pt>
                <c:pt idx="5">
                  <c:v>73.319999999999993</c:v>
                </c:pt>
                <c:pt idx="6">
                  <c:v>73.59</c:v>
                </c:pt>
                <c:pt idx="7">
                  <c:v>73.53</c:v>
                </c:pt>
                <c:pt idx="8">
                  <c:v>72.5</c:v>
                </c:pt>
                <c:pt idx="9">
                  <c:v>73.52</c:v>
                </c:pt>
                <c:pt idx="10">
                  <c:v>74.75</c:v>
                </c:pt>
                <c:pt idx="11">
                  <c:v>74.98</c:v>
                </c:pt>
                <c:pt idx="12">
                  <c:v>77.900000000000006</c:v>
                </c:pt>
                <c:pt idx="13">
                  <c:v>75.97</c:v>
                </c:pt>
                <c:pt idx="14">
                  <c:v>75.209999999999994</c:v>
                </c:pt>
                <c:pt idx="15">
                  <c:v>73.709999999999994</c:v>
                </c:pt>
                <c:pt idx="16">
                  <c:v>74.05</c:v>
                </c:pt>
                <c:pt idx="17">
                  <c:v>75.2</c:v>
                </c:pt>
                <c:pt idx="18">
                  <c:v>73.34</c:v>
                </c:pt>
              </c:numCache>
            </c:numRef>
          </c:val>
          <c:smooth val="0"/>
          <c:extLst>
            <c:ext xmlns:c16="http://schemas.microsoft.com/office/drawing/2014/chart" uri="{C3380CC4-5D6E-409C-BE32-E72D297353CC}">
              <c16:uniqueId val="{00000001-FA09-4C7F-9032-76CB5673ABF4}"/>
            </c:ext>
          </c:extLst>
        </c:ser>
        <c:ser>
          <c:idx val="2"/>
          <c:order val="2"/>
          <c:tx>
            <c:strRef>
              <c:f>GM!$D$6</c:f>
              <c:strCache>
                <c:ptCount val="1"/>
                <c:pt idx="0">
                  <c:v>High</c:v>
                </c:pt>
              </c:strCache>
            </c:strRef>
          </c:tx>
          <c:spPr>
            <a:ln w="38100" cap="rnd">
              <a:noFill/>
              <a:round/>
            </a:ln>
            <a:effectLst/>
          </c:spPr>
          <c:marker>
            <c:symbol val="none"/>
          </c:marker>
          <c:cat>
            <c:numRef>
              <c:f>GM!$A$7:$A$27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GM!$D$7:$D$27</c:f>
              <c:numCache>
                <c:formatCode>_([$$-409]* #,##0.00_);_([$$-409]* \(#,##0.00\);_([$$-409]* "-"??_);_(@_)</c:formatCode>
                <c:ptCount val="21"/>
                <c:pt idx="0">
                  <c:v>74.7</c:v>
                </c:pt>
                <c:pt idx="1">
                  <c:v>77.2</c:v>
                </c:pt>
                <c:pt idx="2">
                  <c:v>76.58</c:v>
                </c:pt>
                <c:pt idx="3">
                  <c:v>74.02</c:v>
                </c:pt>
                <c:pt idx="4">
                  <c:v>73.94</c:v>
                </c:pt>
                <c:pt idx="5">
                  <c:v>73.849999999999994</c:v>
                </c:pt>
                <c:pt idx="6">
                  <c:v>74.569999999999993</c:v>
                </c:pt>
                <c:pt idx="7">
                  <c:v>74.81</c:v>
                </c:pt>
                <c:pt idx="8">
                  <c:v>74.400000000000006</c:v>
                </c:pt>
                <c:pt idx="9">
                  <c:v>73.900000000000006</c:v>
                </c:pt>
                <c:pt idx="10">
                  <c:v>76.849999999999994</c:v>
                </c:pt>
                <c:pt idx="11">
                  <c:v>76.87</c:v>
                </c:pt>
                <c:pt idx="12">
                  <c:v>78.290000000000006</c:v>
                </c:pt>
                <c:pt idx="13">
                  <c:v>77.17</c:v>
                </c:pt>
                <c:pt idx="14">
                  <c:v>75.260000000000005</c:v>
                </c:pt>
                <c:pt idx="15">
                  <c:v>74.23</c:v>
                </c:pt>
                <c:pt idx="16">
                  <c:v>75.09</c:v>
                </c:pt>
                <c:pt idx="17">
                  <c:v>75.87</c:v>
                </c:pt>
                <c:pt idx="18">
                  <c:v>73.680000000000007</c:v>
                </c:pt>
              </c:numCache>
            </c:numRef>
          </c:val>
          <c:smooth val="0"/>
          <c:extLst>
            <c:ext xmlns:c16="http://schemas.microsoft.com/office/drawing/2014/chart" uri="{C3380CC4-5D6E-409C-BE32-E72D297353CC}">
              <c16:uniqueId val="{00000002-FA09-4C7F-9032-76CB5673ABF4}"/>
            </c:ext>
          </c:extLst>
        </c:ser>
        <c:ser>
          <c:idx val="3"/>
          <c:order val="3"/>
          <c:tx>
            <c:strRef>
              <c:f>GM!$E$6</c:f>
              <c:strCache>
                <c:ptCount val="1"/>
                <c:pt idx="0">
                  <c:v>Low</c:v>
                </c:pt>
              </c:strCache>
            </c:strRef>
          </c:tx>
          <c:spPr>
            <a:ln w="38100" cap="rnd">
              <a:noFill/>
              <a:round/>
            </a:ln>
            <a:effectLst/>
          </c:spPr>
          <c:marker>
            <c:symbol val="none"/>
          </c:marker>
          <c:cat>
            <c:numRef>
              <c:f>GM!$A$7:$A$27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GM!$E$7:$E$27</c:f>
              <c:numCache>
                <c:formatCode>_([$$-409]* #,##0.00_);_([$$-409]* \(#,##0.00\);_([$$-409]* "-"??_);_(@_)</c:formatCode>
                <c:ptCount val="21"/>
                <c:pt idx="0">
                  <c:v>71.921999999999997</c:v>
                </c:pt>
                <c:pt idx="1">
                  <c:v>74.84</c:v>
                </c:pt>
                <c:pt idx="2">
                  <c:v>74.37</c:v>
                </c:pt>
                <c:pt idx="3">
                  <c:v>73.099999999999994</c:v>
                </c:pt>
                <c:pt idx="4">
                  <c:v>72.09</c:v>
                </c:pt>
                <c:pt idx="5">
                  <c:v>72.430000000000007</c:v>
                </c:pt>
                <c:pt idx="6">
                  <c:v>73.545000000000002</c:v>
                </c:pt>
                <c:pt idx="7">
                  <c:v>73.415000000000006</c:v>
                </c:pt>
                <c:pt idx="8">
                  <c:v>72.5</c:v>
                </c:pt>
                <c:pt idx="9">
                  <c:v>72.094999999999999</c:v>
                </c:pt>
                <c:pt idx="10">
                  <c:v>74.599999999999994</c:v>
                </c:pt>
                <c:pt idx="11">
                  <c:v>74.77</c:v>
                </c:pt>
                <c:pt idx="12">
                  <c:v>76.39</c:v>
                </c:pt>
                <c:pt idx="13">
                  <c:v>74.905000000000001</c:v>
                </c:pt>
                <c:pt idx="14">
                  <c:v>72.680000000000007</c:v>
                </c:pt>
                <c:pt idx="15">
                  <c:v>72.42</c:v>
                </c:pt>
                <c:pt idx="16">
                  <c:v>73.405000000000001</c:v>
                </c:pt>
                <c:pt idx="17">
                  <c:v>74.715000000000003</c:v>
                </c:pt>
                <c:pt idx="18">
                  <c:v>71.67</c:v>
                </c:pt>
              </c:numCache>
            </c:numRef>
          </c:val>
          <c:smooth val="0"/>
          <c:extLst>
            <c:ext xmlns:c16="http://schemas.microsoft.com/office/drawing/2014/chart" uri="{C3380CC4-5D6E-409C-BE32-E72D297353CC}">
              <c16:uniqueId val="{00000003-FA09-4C7F-9032-76CB5673ABF4}"/>
            </c:ext>
          </c:extLst>
        </c:ser>
        <c:ser>
          <c:idx val="4"/>
          <c:order val="4"/>
          <c:tx>
            <c:strRef>
              <c:f>GM!$F$6</c:f>
              <c:strCache>
                <c:ptCount val="1"/>
                <c:pt idx="0">
                  <c:v>Close</c:v>
                </c:pt>
              </c:strCache>
            </c:strRef>
          </c:tx>
          <c:spPr>
            <a:ln w="38100" cap="rnd">
              <a:noFill/>
              <a:round/>
            </a:ln>
            <a:effectLst/>
          </c:spPr>
          <c:marker>
            <c:symbol val="none"/>
          </c:marker>
          <c:cat>
            <c:numRef>
              <c:f>GM!$A$7:$A$27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GM!$F$7:$F$27</c:f>
              <c:numCache>
                <c:formatCode>_([$$-409]* #,##0.00_);_([$$-409]* \(#,##0.00\);_([$$-409]* "-"??_);_(@_)</c:formatCode>
                <c:ptCount val="21"/>
                <c:pt idx="0">
                  <c:v>74.69</c:v>
                </c:pt>
                <c:pt idx="1">
                  <c:v>74.930000000000007</c:v>
                </c:pt>
                <c:pt idx="2">
                  <c:v>74.790000000000006</c:v>
                </c:pt>
                <c:pt idx="3">
                  <c:v>73.45</c:v>
                </c:pt>
                <c:pt idx="4">
                  <c:v>72.39</c:v>
                </c:pt>
                <c:pt idx="5">
                  <c:v>72.95</c:v>
                </c:pt>
                <c:pt idx="6">
                  <c:v>74.040000000000006</c:v>
                </c:pt>
                <c:pt idx="7">
                  <c:v>73.53</c:v>
                </c:pt>
                <c:pt idx="8">
                  <c:v>73.790000000000006</c:v>
                </c:pt>
                <c:pt idx="9">
                  <c:v>72.81</c:v>
                </c:pt>
                <c:pt idx="10">
                  <c:v>75.72</c:v>
                </c:pt>
                <c:pt idx="11">
                  <c:v>76.569999999999993</c:v>
                </c:pt>
                <c:pt idx="12">
                  <c:v>76.61</c:v>
                </c:pt>
                <c:pt idx="13">
                  <c:v>75.599999999999994</c:v>
                </c:pt>
                <c:pt idx="14">
                  <c:v>72.98</c:v>
                </c:pt>
                <c:pt idx="15">
                  <c:v>72.760000000000005</c:v>
                </c:pt>
                <c:pt idx="16">
                  <c:v>74.5</c:v>
                </c:pt>
                <c:pt idx="17">
                  <c:v>75.040000000000006</c:v>
                </c:pt>
                <c:pt idx="18">
                  <c:v>72.540000000000006</c:v>
                </c:pt>
              </c:numCache>
            </c:numRef>
          </c:val>
          <c:smooth val="0"/>
          <c:extLst>
            <c:ext xmlns:c16="http://schemas.microsoft.com/office/drawing/2014/chart" uri="{C3380CC4-5D6E-409C-BE32-E72D297353CC}">
              <c16:uniqueId val="{00000004-FA09-4C7F-9032-76CB5673ABF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GM!$C$4:$IR$4</c:f>
              <c:numCache>
                <c:formatCode>_([$$-409]* #,##0.00_);_([$$-409]* \(#,##0.00\);_([$$-409]* "-"??_);_(@_)</c:formatCode>
                <c:ptCount val="250"/>
                <c:pt idx="0">
                  <c:v>43.53</c:v>
                </c:pt>
                <c:pt idx="1">
                  <c:v>42.48</c:v>
                </c:pt>
                <c:pt idx="2">
                  <c:v>45.74</c:v>
                </c:pt>
                <c:pt idx="3">
                  <c:v>43.73</c:v>
                </c:pt>
                <c:pt idx="4">
                  <c:v>43.63</c:v>
                </c:pt>
                <c:pt idx="5">
                  <c:v>45.14</c:v>
                </c:pt>
                <c:pt idx="6">
                  <c:v>44.54</c:v>
                </c:pt>
                <c:pt idx="7">
                  <c:v>44.22</c:v>
                </c:pt>
                <c:pt idx="8">
                  <c:v>44.57</c:v>
                </c:pt>
                <c:pt idx="9">
                  <c:v>44.39</c:v>
                </c:pt>
                <c:pt idx="10">
                  <c:v>45.16</c:v>
                </c:pt>
                <c:pt idx="11">
                  <c:v>45.84</c:v>
                </c:pt>
                <c:pt idx="12">
                  <c:v>46.88</c:v>
                </c:pt>
                <c:pt idx="13">
                  <c:v>47.11</c:v>
                </c:pt>
                <c:pt idx="14">
                  <c:v>47.24</c:v>
                </c:pt>
                <c:pt idx="15">
                  <c:v>46.94</c:v>
                </c:pt>
                <c:pt idx="16">
                  <c:v>45.24</c:v>
                </c:pt>
                <c:pt idx="17">
                  <c:v>45.05</c:v>
                </c:pt>
                <c:pt idx="18">
                  <c:v>45.3</c:v>
                </c:pt>
                <c:pt idx="19">
                  <c:v>45.38</c:v>
                </c:pt>
                <c:pt idx="20">
                  <c:v>45.46</c:v>
                </c:pt>
                <c:pt idx="21">
                  <c:v>45.47</c:v>
                </c:pt>
                <c:pt idx="22">
                  <c:v>47.35</c:v>
                </c:pt>
                <c:pt idx="23">
                  <c:v>47.5</c:v>
                </c:pt>
                <c:pt idx="24">
                  <c:v>49.61</c:v>
                </c:pt>
                <c:pt idx="25">
                  <c:v>50.46</c:v>
                </c:pt>
                <c:pt idx="26">
                  <c:v>50.31</c:v>
                </c:pt>
                <c:pt idx="27">
                  <c:v>50.12</c:v>
                </c:pt>
                <c:pt idx="28">
                  <c:v>50.37</c:v>
                </c:pt>
                <c:pt idx="29">
                  <c:v>50.03</c:v>
                </c:pt>
                <c:pt idx="30">
                  <c:v>50.21</c:v>
                </c:pt>
                <c:pt idx="31">
                  <c:v>49.37</c:v>
                </c:pt>
                <c:pt idx="32">
                  <c:v>49.28</c:v>
                </c:pt>
                <c:pt idx="33">
                  <c:v>48.69</c:v>
                </c:pt>
                <c:pt idx="34">
                  <c:v>49.09</c:v>
                </c:pt>
                <c:pt idx="35">
                  <c:v>48.13</c:v>
                </c:pt>
                <c:pt idx="36">
                  <c:v>48.59</c:v>
                </c:pt>
                <c:pt idx="37">
                  <c:v>49.61</c:v>
                </c:pt>
                <c:pt idx="38">
                  <c:v>47.69</c:v>
                </c:pt>
                <c:pt idx="39">
                  <c:v>49.06</c:v>
                </c:pt>
                <c:pt idx="40">
                  <c:v>47.67</c:v>
                </c:pt>
                <c:pt idx="41">
                  <c:v>47.25</c:v>
                </c:pt>
                <c:pt idx="42">
                  <c:v>47.47</c:v>
                </c:pt>
                <c:pt idx="43">
                  <c:v>47.93</c:v>
                </c:pt>
                <c:pt idx="44">
                  <c:v>48.93</c:v>
                </c:pt>
                <c:pt idx="45">
                  <c:v>49.87</c:v>
                </c:pt>
                <c:pt idx="46">
                  <c:v>49.26</c:v>
                </c:pt>
                <c:pt idx="47">
                  <c:v>48.65</c:v>
                </c:pt>
                <c:pt idx="48">
                  <c:v>49.27</c:v>
                </c:pt>
                <c:pt idx="49">
                  <c:v>48.28</c:v>
                </c:pt>
                <c:pt idx="50">
                  <c:v>48.09</c:v>
                </c:pt>
                <c:pt idx="51">
                  <c:v>48.2</c:v>
                </c:pt>
                <c:pt idx="52">
                  <c:v>48.52</c:v>
                </c:pt>
                <c:pt idx="53">
                  <c:v>49</c:v>
                </c:pt>
                <c:pt idx="54">
                  <c:v>48.13</c:v>
                </c:pt>
                <c:pt idx="55">
                  <c:v>49.16</c:v>
                </c:pt>
                <c:pt idx="56">
                  <c:v>49.68</c:v>
                </c:pt>
                <c:pt idx="57">
                  <c:v>49.21</c:v>
                </c:pt>
                <c:pt idx="58">
                  <c:v>52.03</c:v>
                </c:pt>
                <c:pt idx="59">
                  <c:v>52.68</c:v>
                </c:pt>
                <c:pt idx="60">
                  <c:v>52.89</c:v>
                </c:pt>
                <c:pt idx="61">
                  <c:v>51.82</c:v>
                </c:pt>
                <c:pt idx="62">
                  <c:v>52.19</c:v>
                </c:pt>
                <c:pt idx="63">
                  <c:v>52.57</c:v>
                </c:pt>
                <c:pt idx="64">
                  <c:v>53.15</c:v>
                </c:pt>
                <c:pt idx="65">
                  <c:v>53.39</c:v>
                </c:pt>
                <c:pt idx="66">
                  <c:v>53.33</c:v>
                </c:pt>
                <c:pt idx="67">
                  <c:v>52.71</c:v>
                </c:pt>
                <c:pt idx="68">
                  <c:v>53.18</c:v>
                </c:pt>
                <c:pt idx="69">
                  <c:v>53.21</c:v>
                </c:pt>
                <c:pt idx="70">
                  <c:v>53.22</c:v>
                </c:pt>
                <c:pt idx="71">
                  <c:v>53.21</c:v>
                </c:pt>
                <c:pt idx="72">
                  <c:v>48.89</c:v>
                </c:pt>
                <c:pt idx="73">
                  <c:v>53.13</c:v>
                </c:pt>
                <c:pt idx="74">
                  <c:v>52.34</c:v>
                </c:pt>
                <c:pt idx="75">
                  <c:v>53.4</c:v>
                </c:pt>
                <c:pt idx="76">
                  <c:v>53.45</c:v>
                </c:pt>
                <c:pt idx="77">
                  <c:v>52.11</c:v>
                </c:pt>
                <c:pt idx="78">
                  <c:v>52.11</c:v>
                </c:pt>
                <c:pt idx="79">
                  <c:v>53.34</c:v>
                </c:pt>
                <c:pt idx="80">
                  <c:v>52.53</c:v>
                </c:pt>
                <c:pt idx="81">
                  <c:v>52.77</c:v>
                </c:pt>
                <c:pt idx="82">
                  <c:v>52.58</c:v>
                </c:pt>
                <c:pt idx="83">
                  <c:v>52.47</c:v>
                </c:pt>
                <c:pt idx="84">
                  <c:v>52.95</c:v>
                </c:pt>
                <c:pt idx="85">
                  <c:v>53.53</c:v>
                </c:pt>
                <c:pt idx="86">
                  <c:v>54.01</c:v>
                </c:pt>
                <c:pt idx="87">
                  <c:v>54.16</c:v>
                </c:pt>
                <c:pt idx="88">
                  <c:v>55.58</c:v>
                </c:pt>
                <c:pt idx="89">
                  <c:v>56.42</c:v>
                </c:pt>
                <c:pt idx="90">
                  <c:v>56.31</c:v>
                </c:pt>
                <c:pt idx="91">
                  <c:v>56.23</c:v>
                </c:pt>
                <c:pt idx="92">
                  <c:v>57.06</c:v>
                </c:pt>
                <c:pt idx="93">
                  <c:v>56.77</c:v>
                </c:pt>
                <c:pt idx="94">
                  <c:v>56.51</c:v>
                </c:pt>
                <c:pt idx="95">
                  <c:v>58.37</c:v>
                </c:pt>
                <c:pt idx="96">
                  <c:v>58.28</c:v>
                </c:pt>
                <c:pt idx="97">
                  <c:v>58.8</c:v>
                </c:pt>
                <c:pt idx="98">
                  <c:v>58.75</c:v>
                </c:pt>
                <c:pt idx="99">
                  <c:v>58.49</c:v>
                </c:pt>
                <c:pt idx="100">
                  <c:v>58.59</c:v>
                </c:pt>
                <c:pt idx="101">
                  <c:v>58.53</c:v>
                </c:pt>
                <c:pt idx="102">
                  <c:v>57.75</c:v>
                </c:pt>
                <c:pt idx="103">
                  <c:v>58.15</c:v>
                </c:pt>
                <c:pt idx="104">
                  <c:v>58.27</c:v>
                </c:pt>
                <c:pt idx="105">
                  <c:v>58.2</c:v>
                </c:pt>
                <c:pt idx="106">
                  <c:v>58.01</c:v>
                </c:pt>
                <c:pt idx="107">
                  <c:v>57.34</c:v>
                </c:pt>
                <c:pt idx="108">
                  <c:v>58.71</c:v>
                </c:pt>
                <c:pt idx="109">
                  <c:v>58.5</c:v>
                </c:pt>
                <c:pt idx="110">
                  <c:v>58.95</c:v>
                </c:pt>
                <c:pt idx="111">
                  <c:v>58.46</c:v>
                </c:pt>
                <c:pt idx="112">
                  <c:v>58.73</c:v>
                </c:pt>
                <c:pt idx="113">
                  <c:v>59.26</c:v>
                </c:pt>
                <c:pt idx="114">
                  <c:v>58.98</c:v>
                </c:pt>
                <c:pt idx="115">
                  <c:v>58.88</c:v>
                </c:pt>
                <c:pt idx="116">
                  <c:v>58.58</c:v>
                </c:pt>
                <c:pt idx="117">
                  <c:v>59.92</c:v>
                </c:pt>
                <c:pt idx="118">
                  <c:v>60.59</c:v>
                </c:pt>
                <c:pt idx="119">
                  <c:v>61.24</c:v>
                </c:pt>
                <c:pt idx="120">
                  <c:v>61.12</c:v>
                </c:pt>
                <c:pt idx="121">
                  <c:v>60.97</c:v>
                </c:pt>
                <c:pt idx="122">
                  <c:v>61.34</c:v>
                </c:pt>
                <c:pt idx="123">
                  <c:v>59.36</c:v>
                </c:pt>
                <c:pt idx="124">
                  <c:v>60.13</c:v>
                </c:pt>
                <c:pt idx="125">
                  <c:v>58.19</c:v>
                </c:pt>
                <c:pt idx="126">
                  <c:v>57.26</c:v>
                </c:pt>
                <c:pt idx="127">
                  <c:v>56.4</c:v>
                </c:pt>
                <c:pt idx="128">
                  <c:v>55.92</c:v>
                </c:pt>
                <c:pt idx="129">
                  <c:v>55.35</c:v>
                </c:pt>
                <c:pt idx="130">
                  <c:v>55.62</c:v>
                </c:pt>
                <c:pt idx="131">
                  <c:v>57.15</c:v>
                </c:pt>
                <c:pt idx="132">
                  <c:v>57.8</c:v>
                </c:pt>
                <c:pt idx="133">
                  <c:v>57.34</c:v>
                </c:pt>
                <c:pt idx="134">
                  <c:v>58.38</c:v>
                </c:pt>
                <c:pt idx="135">
                  <c:v>58</c:v>
                </c:pt>
                <c:pt idx="136">
                  <c:v>66.62</c:v>
                </c:pt>
                <c:pt idx="137">
                  <c:v>67.31</c:v>
                </c:pt>
                <c:pt idx="138">
                  <c:v>66.849999999999994</c:v>
                </c:pt>
                <c:pt idx="139">
                  <c:v>69.66</c:v>
                </c:pt>
                <c:pt idx="140">
                  <c:v>69.38</c:v>
                </c:pt>
                <c:pt idx="141">
                  <c:v>69.87</c:v>
                </c:pt>
                <c:pt idx="142">
                  <c:v>69.13</c:v>
                </c:pt>
                <c:pt idx="143">
                  <c:v>68.67</c:v>
                </c:pt>
                <c:pt idx="144">
                  <c:v>69.09</c:v>
                </c:pt>
                <c:pt idx="145">
                  <c:v>68.22</c:v>
                </c:pt>
                <c:pt idx="146">
                  <c:v>66.87</c:v>
                </c:pt>
                <c:pt idx="147">
                  <c:v>68.77</c:v>
                </c:pt>
                <c:pt idx="148">
                  <c:v>68.84</c:v>
                </c:pt>
                <c:pt idx="149">
                  <c:v>70.75</c:v>
                </c:pt>
                <c:pt idx="150">
                  <c:v>71.05</c:v>
                </c:pt>
                <c:pt idx="151">
                  <c:v>71.22</c:v>
                </c:pt>
                <c:pt idx="152">
                  <c:v>71.84</c:v>
                </c:pt>
                <c:pt idx="153">
                  <c:v>71.89</c:v>
                </c:pt>
                <c:pt idx="154">
                  <c:v>70.52</c:v>
                </c:pt>
                <c:pt idx="155">
                  <c:v>67.91</c:v>
                </c:pt>
                <c:pt idx="156">
                  <c:v>67.930000000000007</c:v>
                </c:pt>
                <c:pt idx="157">
                  <c:v>68.5</c:v>
                </c:pt>
                <c:pt idx="158">
                  <c:v>68.040000000000006</c:v>
                </c:pt>
                <c:pt idx="159">
                  <c:v>70.33</c:v>
                </c:pt>
                <c:pt idx="160">
                  <c:v>71</c:v>
                </c:pt>
                <c:pt idx="161">
                  <c:v>72.78</c:v>
                </c:pt>
                <c:pt idx="162">
                  <c:v>72.81</c:v>
                </c:pt>
                <c:pt idx="163">
                  <c:v>73.52</c:v>
                </c:pt>
                <c:pt idx="164">
                  <c:v>72.95</c:v>
                </c:pt>
                <c:pt idx="165">
                  <c:v>73.66</c:v>
                </c:pt>
                <c:pt idx="166">
                  <c:v>74.69</c:v>
                </c:pt>
                <c:pt idx="167">
                  <c:v>75.290000000000006</c:v>
                </c:pt>
                <c:pt idx="168">
                  <c:v>76.05</c:v>
                </c:pt>
                <c:pt idx="169">
                  <c:v>75.709999999999994</c:v>
                </c:pt>
                <c:pt idx="170">
                  <c:v>77.16</c:v>
                </c:pt>
                <c:pt idx="171">
                  <c:v>80.8</c:v>
                </c:pt>
                <c:pt idx="172">
                  <c:v>80.849999999999994</c:v>
                </c:pt>
                <c:pt idx="173">
                  <c:v>80.89</c:v>
                </c:pt>
                <c:pt idx="174">
                  <c:v>81.98</c:v>
                </c:pt>
                <c:pt idx="175">
                  <c:v>81.760000000000005</c:v>
                </c:pt>
                <c:pt idx="176">
                  <c:v>80.510000000000005</c:v>
                </c:pt>
                <c:pt idx="177">
                  <c:v>81.17</c:v>
                </c:pt>
                <c:pt idx="178">
                  <c:v>82.35</c:v>
                </c:pt>
                <c:pt idx="179">
                  <c:v>83.03</c:v>
                </c:pt>
                <c:pt idx="180">
                  <c:v>82.75</c:v>
                </c:pt>
                <c:pt idx="181">
                  <c:v>82.88</c:v>
                </c:pt>
                <c:pt idx="182">
                  <c:v>83.06</c:v>
                </c:pt>
                <c:pt idx="183">
                  <c:v>82.93</c:v>
                </c:pt>
                <c:pt idx="184">
                  <c:v>82.33</c:v>
                </c:pt>
                <c:pt idx="185">
                  <c:v>81.319999999999993</c:v>
                </c:pt>
                <c:pt idx="186">
                  <c:v>80.98</c:v>
                </c:pt>
                <c:pt idx="187">
                  <c:v>83.15</c:v>
                </c:pt>
                <c:pt idx="188">
                  <c:v>82.18</c:v>
                </c:pt>
                <c:pt idx="189">
                  <c:v>81.91</c:v>
                </c:pt>
                <c:pt idx="190">
                  <c:v>85.13</c:v>
                </c:pt>
                <c:pt idx="191">
                  <c:v>82.87</c:v>
                </c:pt>
                <c:pt idx="192">
                  <c:v>82.9</c:v>
                </c:pt>
                <c:pt idx="193">
                  <c:v>83.24</c:v>
                </c:pt>
                <c:pt idx="194">
                  <c:v>81.23</c:v>
                </c:pt>
                <c:pt idx="195">
                  <c:v>80.91</c:v>
                </c:pt>
                <c:pt idx="196">
                  <c:v>80.819999999999993</c:v>
                </c:pt>
                <c:pt idx="197">
                  <c:v>77.81</c:v>
                </c:pt>
                <c:pt idx="198">
                  <c:v>80.930000000000007</c:v>
                </c:pt>
                <c:pt idx="199">
                  <c:v>81.14</c:v>
                </c:pt>
                <c:pt idx="200">
                  <c:v>79.680000000000007</c:v>
                </c:pt>
                <c:pt idx="201">
                  <c:v>79.430000000000007</c:v>
                </c:pt>
                <c:pt idx="202">
                  <c:v>86.38</c:v>
                </c:pt>
                <c:pt idx="203">
                  <c:v>84.9</c:v>
                </c:pt>
                <c:pt idx="204">
                  <c:v>86.26</c:v>
                </c:pt>
                <c:pt idx="205">
                  <c:v>84</c:v>
                </c:pt>
                <c:pt idx="206">
                  <c:v>84.27</c:v>
                </c:pt>
                <c:pt idx="207">
                  <c:v>85.71</c:v>
                </c:pt>
                <c:pt idx="208">
                  <c:v>86.29</c:v>
                </c:pt>
                <c:pt idx="209">
                  <c:v>83.3</c:v>
                </c:pt>
                <c:pt idx="210">
                  <c:v>84.24</c:v>
                </c:pt>
                <c:pt idx="211">
                  <c:v>80.680000000000007</c:v>
                </c:pt>
                <c:pt idx="212">
                  <c:v>80.27</c:v>
                </c:pt>
                <c:pt idx="213">
                  <c:v>79.819999999999993</c:v>
                </c:pt>
                <c:pt idx="214">
                  <c:v>79.930000000000007</c:v>
                </c:pt>
                <c:pt idx="215">
                  <c:v>81.08</c:v>
                </c:pt>
                <c:pt idx="216">
                  <c:v>81.22</c:v>
                </c:pt>
                <c:pt idx="217">
                  <c:v>83.67</c:v>
                </c:pt>
                <c:pt idx="218">
                  <c:v>81.47</c:v>
                </c:pt>
                <c:pt idx="219">
                  <c:v>81.510000000000005</c:v>
                </c:pt>
                <c:pt idx="220">
                  <c:v>79.66</c:v>
                </c:pt>
                <c:pt idx="221">
                  <c:v>81.290000000000006</c:v>
                </c:pt>
                <c:pt idx="222">
                  <c:v>82.43</c:v>
                </c:pt>
                <c:pt idx="223">
                  <c:v>80.790000000000006</c:v>
                </c:pt>
                <c:pt idx="224">
                  <c:v>78.709999999999994</c:v>
                </c:pt>
                <c:pt idx="225">
                  <c:v>77.760000000000005</c:v>
                </c:pt>
                <c:pt idx="226">
                  <c:v>77.27</c:v>
                </c:pt>
                <c:pt idx="227">
                  <c:v>78.599999999999994</c:v>
                </c:pt>
                <c:pt idx="228">
                  <c:v>76.2</c:v>
                </c:pt>
                <c:pt idx="229">
                  <c:v>75.209999999999994</c:v>
                </c:pt>
                <c:pt idx="230">
                  <c:v>74.69</c:v>
                </c:pt>
                <c:pt idx="231">
                  <c:v>74.930000000000007</c:v>
                </c:pt>
                <c:pt idx="232">
                  <c:v>74.790000000000006</c:v>
                </c:pt>
                <c:pt idx="233">
                  <c:v>73.45</c:v>
                </c:pt>
                <c:pt idx="234">
                  <c:v>72.39</c:v>
                </c:pt>
                <c:pt idx="235">
                  <c:v>72.95</c:v>
                </c:pt>
                <c:pt idx="236">
                  <c:v>74.040000000000006</c:v>
                </c:pt>
                <c:pt idx="237">
                  <c:v>73.53</c:v>
                </c:pt>
                <c:pt idx="238">
                  <c:v>73.790000000000006</c:v>
                </c:pt>
                <c:pt idx="239">
                  <c:v>72.81</c:v>
                </c:pt>
                <c:pt idx="240">
                  <c:v>75.72</c:v>
                </c:pt>
                <c:pt idx="241">
                  <c:v>76.569999999999993</c:v>
                </c:pt>
                <c:pt idx="242">
                  <c:v>76.61</c:v>
                </c:pt>
                <c:pt idx="243">
                  <c:v>75.599999999999994</c:v>
                </c:pt>
                <c:pt idx="244">
                  <c:v>72.98</c:v>
                </c:pt>
                <c:pt idx="245">
                  <c:v>72.760000000000005</c:v>
                </c:pt>
                <c:pt idx="246">
                  <c:v>74.5</c:v>
                </c:pt>
                <c:pt idx="247">
                  <c:v>75.040000000000006</c:v>
                </c:pt>
                <c:pt idx="248">
                  <c:v>72.540000000000006</c:v>
                </c:pt>
              </c:numCache>
            </c:numRef>
          </c:val>
          <c:extLst>
            <c:ext xmlns:c16="http://schemas.microsoft.com/office/drawing/2014/chart" uri="{C3380CC4-5D6E-409C-BE32-E72D297353CC}">
              <c16:uniqueId val="{00000000-E2C4-4130-9CD6-9F821D7A8C37}"/>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LMT!$B$1</c:f>
          <c:strCache>
            <c:ptCount val="1"/>
            <c:pt idx="0">
              <c:v>LOCKHEED MARTIN CORPORATION (XNYS:LMT)</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LMT!$B$6</c:f>
              <c:strCache>
                <c:ptCount val="1"/>
                <c:pt idx="0">
                  <c:v>Volume</c:v>
                </c:pt>
              </c:strCache>
            </c:strRef>
          </c:tx>
          <c:spPr>
            <a:solidFill>
              <a:schemeClr val="accent1"/>
            </a:solidFill>
            <a:ln w="38100">
              <a:noFill/>
            </a:ln>
            <a:effectLst/>
          </c:spPr>
          <c:invertIfNegative val="0"/>
          <c:cat>
            <c:numRef>
              <c:f>LMT!$A$7:$A$27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LMT!$B$7:$B$27</c:f>
              <c:numCache>
                <c:formatCode>#,##0</c:formatCode>
                <c:ptCount val="21"/>
                <c:pt idx="0">
                  <c:v>2369743</c:v>
                </c:pt>
                <c:pt idx="1">
                  <c:v>1653018</c:v>
                </c:pt>
                <c:pt idx="2">
                  <c:v>1365219</c:v>
                </c:pt>
                <c:pt idx="3">
                  <c:v>1411169</c:v>
                </c:pt>
                <c:pt idx="4">
                  <c:v>1071344</c:v>
                </c:pt>
                <c:pt idx="5">
                  <c:v>1180980</c:v>
                </c:pt>
                <c:pt idx="6">
                  <c:v>1389066</c:v>
                </c:pt>
                <c:pt idx="7">
                  <c:v>1026183</c:v>
                </c:pt>
                <c:pt idx="8">
                  <c:v>1540841</c:v>
                </c:pt>
                <c:pt idx="9">
                  <c:v>6511253</c:v>
                </c:pt>
                <c:pt idx="10">
                  <c:v>1386641</c:v>
                </c:pt>
                <c:pt idx="11">
                  <c:v>1078188</c:v>
                </c:pt>
                <c:pt idx="12">
                  <c:v>1190275</c:v>
                </c:pt>
                <c:pt idx="13">
                  <c:v>1262434</c:v>
                </c:pt>
                <c:pt idx="14">
                  <c:v>1061125</c:v>
                </c:pt>
                <c:pt idx="15">
                  <c:v>1849318</c:v>
                </c:pt>
                <c:pt idx="16">
                  <c:v>1327800</c:v>
                </c:pt>
                <c:pt idx="17">
                  <c:v>1118050</c:v>
                </c:pt>
                <c:pt idx="18">
                  <c:v>1116763</c:v>
                </c:pt>
              </c:numCache>
            </c:numRef>
          </c:val>
          <c:extLst>
            <c:ext xmlns:c16="http://schemas.microsoft.com/office/drawing/2014/chart" uri="{C3380CC4-5D6E-409C-BE32-E72D297353CC}">
              <c16:uniqueId val="{00000000-F5C4-4777-A840-DD6FA593730E}"/>
            </c:ext>
          </c:extLst>
        </c:ser>
        <c:dLbls>
          <c:showLegendKey val="0"/>
          <c:showVal val="0"/>
          <c:showCatName val="0"/>
          <c:showSerName val="0"/>
          <c:showPercent val="0"/>
          <c:showBubbleSize val="0"/>
        </c:dLbls>
        <c:gapWidth val="150"/>
        <c:axId val="1641718448"/>
        <c:axId val="1641718928"/>
      </c:barChart>
      <c:stockChart>
        <c:ser>
          <c:idx val="1"/>
          <c:order val="1"/>
          <c:tx>
            <c:strRef>
              <c:f>LMT!$C$6</c:f>
              <c:strCache>
                <c:ptCount val="1"/>
                <c:pt idx="0">
                  <c:v>Open</c:v>
                </c:pt>
              </c:strCache>
            </c:strRef>
          </c:tx>
          <c:spPr>
            <a:ln w="38100" cap="rnd">
              <a:noFill/>
              <a:round/>
            </a:ln>
            <a:effectLst/>
          </c:spPr>
          <c:marker>
            <c:symbol val="none"/>
          </c:marker>
          <c:cat>
            <c:numRef>
              <c:f>LMT!$A$7:$A$27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LMT!$C$7:$C$27</c:f>
              <c:numCache>
                <c:formatCode>_([$$-409]* #,##0.00_);_([$$-409]* \(#,##0.00\);_([$$-409]* "-"??_);_(@_)</c:formatCode>
                <c:ptCount val="21"/>
                <c:pt idx="0">
                  <c:v>675.58</c:v>
                </c:pt>
                <c:pt idx="1">
                  <c:v>657.95</c:v>
                </c:pt>
                <c:pt idx="2">
                  <c:v>645.32000000000005</c:v>
                </c:pt>
                <c:pt idx="3">
                  <c:v>651.95000000000005</c:v>
                </c:pt>
                <c:pt idx="4">
                  <c:v>652.66999999999996</c:v>
                </c:pt>
                <c:pt idx="5">
                  <c:v>645.22500000000002</c:v>
                </c:pt>
                <c:pt idx="6">
                  <c:v>644.96</c:v>
                </c:pt>
                <c:pt idx="7">
                  <c:v>641.11</c:v>
                </c:pt>
                <c:pt idx="8">
                  <c:v>639.05999999999995</c:v>
                </c:pt>
                <c:pt idx="9">
                  <c:v>635.86</c:v>
                </c:pt>
                <c:pt idx="10">
                  <c:v>629.07000000000005</c:v>
                </c:pt>
                <c:pt idx="11">
                  <c:v>612.95000000000005</c:v>
                </c:pt>
                <c:pt idx="12">
                  <c:v>612.5</c:v>
                </c:pt>
                <c:pt idx="13">
                  <c:v>619.79999999999995</c:v>
                </c:pt>
                <c:pt idx="14">
                  <c:v>625.70000000000005</c:v>
                </c:pt>
                <c:pt idx="15">
                  <c:v>621.03</c:v>
                </c:pt>
                <c:pt idx="16">
                  <c:v>604.5</c:v>
                </c:pt>
                <c:pt idx="17">
                  <c:v>608.82000000000005</c:v>
                </c:pt>
                <c:pt idx="18">
                  <c:v>616.70000000000005</c:v>
                </c:pt>
              </c:numCache>
            </c:numRef>
          </c:val>
          <c:smooth val="0"/>
          <c:extLst>
            <c:ext xmlns:c16="http://schemas.microsoft.com/office/drawing/2014/chart" uri="{C3380CC4-5D6E-409C-BE32-E72D297353CC}">
              <c16:uniqueId val="{00000001-F5C4-4777-A840-DD6FA593730E}"/>
            </c:ext>
          </c:extLst>
        </c:ser>
        <c:ser>
          <c:idx val="2"/>
          <c:order val="2"/>
          <c:tx>
            <c:strRef>
              <c:f>LMT!$D$6</c:f>
              <c:strCache>
                <c:ptCount val="1"/>
                <c:pt idx="0">
                  <c:v>High</c:v>
                </c:pt>
              </c:strCache>
            </c:strRef>
          </c:tx>
          <c:spPr>
            <a:ln w="38100" cap="rnd">
              <a:noFill/>
              <a:round/>
            </a:ln>
            <a:effectLst/>
          </c:spPr>
          <c:marker>
            <c:symbol val="none"/>
          </c:marker>
          <c:cat>
            <c:numRef>
              <c:f>LMT!$A$7:$A$27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LMT!$D$7:$D$27</c:f>
              <c:numCache>
                <c:formatCode>_([$$-409]* #,##0.00_);_([$$-409]* \(#,##0.00\);_([$$-409]* "-"??_);_(@_)</c:formatCode>
                <c:ptCount val="21"/>
                <c:pt idx="0">
                  <c:v>676.07500000000005</c:v>
                </c:pt>
                <c:pt idx="1">
                  <c:v>659.89</c:v>
                </c:pt>
                <c:pt idx="2">
                  <c:v>656.99990000000003</c:v>
                </c:pt>
                <c:pt idx="3">
                  <c:v>661</c:v>
                </c:pt>
                <c:pt idx="4">
                  <c:v>660</c:v>
                </c:pt>
                <c:pt idx="5">
                  <c:v>651.54999999999995</c:v>
                </c:pt>
                <c:pt idx="6">
                  <c:v>645</c:v>
                </c:pt>
                <c:pt idx="7">
                  <c:v>645.85</c:v>
                </c:pt>
                <c:pt idx="8">
                  <c:v>640</c:v>
                </c:pt>
                <c:pt idx="9">
                  <c:v>638.50990000000002</c:v>
                </c:pt>
                <c:pt idx="10">
                  <c:v>629.65790000000004</c:v>
                </c:pt>
                <c:pt idx="11">
                  <c:v>615.29999999999995</c:v>
                </c:pt>
                <c:pt idx="12">
                  <c:v>626.92999999999995</c:v>
                </c:pt>
                <c:pt idx="13">
                  <c:v>632.91999999999996</c:v>
                </c:pt>
                <c:pt idx="14">
                  <c:v>631.44500000000005</c:v>
                </c:pt>
                <c:pt idx="15">
                  <c:v>623.32000000000005</c:v>
                </c:pt>
                <c:pt idx="16">
                  <c:v>610</c:v>
                </c:pt>
                <c:pt idx="17">
                  <c:v>619.1</c:v>
                </c:pt>
                <c:pt idx="18">
                  <c:v>626.51</c:v>
                </c:pt>
              </c:numCache>
            </c:numRef>
          </c:val>
          <c:smooth val="0"/>
          <c:extLst>
            <c:ext xmlns:c16="http://schemas.microsoft.com/office/drawing/2014/chart" uri="{C3380CC4-5D6E-409C-BE32-E72D297353CC}">
              <c16:uniqueId val="{00000002-F5C4-4777-A840-DD6FA593730E}"/>
            </c:ext>
          </c:extLst>
        </c:ser>
        <c:ser>
          <c:idx val="3"/>
          <c:order val="3"/>
          <c:tx>
            <c:strRef>
              <c:f>LMT!$E$6</c:f>
              <c:strCache>
                <c:ptCount val="1"/>
                <c:pt idx="0">
                  <c:v>Low</c:v>
                </c:pt>
              </c:strCache>
            </c:strRef>
          </c:tx>
          <c:spPr>
            <a:ln w="38100" cap="rnd">
              <a:noFill/>
              <a:round/>
            </a:ln>
            <a:effectLst/>
          </c:spPr>
          <c:marker>
            <c:symbol val="none"/>
          </c:marker>
          <c:cat>
            <c:numRef>
              <c:f>LMT!$A$7:$A$27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LMT!$E$7:$E$27</c:f>
              <c:numCache>
                <c:formatCode>_([$$-409]* #,##0.00_);_([$$-409]* \(#,##0.00\);_([$$-409]* "-"??_);_(@_)</c:formatCode>
                <c:ptCount val="21"/>
                <c:pt idx="0">
                  <c:v>657.34500000000003</c:v>
                </c:pt>
                <c:pt idx="1">
                  <c:v>646.20000000000005</c:v>
                </c:pt>
                <c:pt idx="2">
                  <c:v>644.13</c:v>
                </c:pt>
                <c:pt idx="3">
                  <c:v>646.63</c:v>
                </c:pt>
                <c:pt idx="4">
                  <c:v>640.5</c:v>
                </c:pt>
                <c:pt idx="5">
                  <c:v>639</c:v>
                </c:pt>
                <c:pt idx="6">
                  <c:v>632.78899999999999</c:v>
                </c:pt>
                <c:pt idx="7">
                  <c:v>636.45000000000005</c:v>
                </c:pt>
                <c:pt idx="8">
                  <c:v>623.75</c:v>
                </c:pt>
                <c:pt idx="9">
                  <c:v>622.37</c:v>
                </c:pt>
                <c:pt idx="10">
                  <c:v>610.63</c:v>
                </c:pt>
                <c:pt idx="11">
                  <c:v>605.00009999999997</c:v>
                </c:pt>
                <c:pt idx="12">
                  <c:v>612.41999999999996</c:v>
                </c:pt>
                <c:pt idx="13">
                  <c:v>619.79999999999995</c:v>
                </c:pt>
                <c:pt idx="14">
                  <c:v>613.65509999999995</c:v>
                </c:pt>
                <c:pt idx="15">
                  <c:v>593.88</c:v>
                </c:pt>
                <c:pt idx="16">
                  <c:v>598.70000000000005</c:v>
                </c:pt>
                <c:pt idx="17">
                  <c:v>606.11</c:v>
                </c:pt>
                <c:pt idx="18">
                  <c:v>616.01</c:v>
                </c:pt>
              </c:numCache>
            </c:numRef>
          </c:val>
          <c:smooth val="0"/>
          <c:extLst>
            <c:ext xmlns:c16="http://schemas.microsoft.com/office/drawing/2014/chart" uri="{C3380CC4-5D6E-409C-BE32-E72D297353CC}">
              <c16:uniqueId val="{00000003-F5C4-4777-A840-DD6FA593730E}"/>
            </c:ext>
          </c:extLst>
        </c:ser>
        <c:ser>
          <c:idx val="4"/>
          <c:order val="4"/>
          <c:tx>
            <c:strRef>
              <c:f>LMT!$F$6</c:f>
              <c:strCache>
                <c:ptCount val="1"/>
                <c:pt idx="0">
                  <c:v>Close</c:v>
                </c:pt>
              </c:strCache>
            </c:strRef>
          </c:tx>
          <c:spPr>
            <a:ln w="38100" cap="rnd">
              <a:noFill/>
              <a:round/>
            </a:ln>
            <a:effectLst/>
          </c:spPr>
          <c:marker>
            <c:symbol val="none"/>
          </c:marker>
          <c:cat>
            <c:numRef>
              <c:f>LMT!$A$7:$A$27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LMT!$F$7:$F$27</c:f>
              <c:numCache>
                <c:formatCode>_([$$-409]* #,##0.00_);_([$$-409]* \(#,##0.00\);_([$$-409]* "-"??_);_(@_)</c:formatCode>
                <c:ptCount val="21"/>
                <c:pt idx="0">
                  <c:v>664.15</c:v>
                </c:pt>
                <c:pt idx="1">
                  <c:v>651.22</c:v>
                </c:pt>
                <c:pt idx="2">
                  <c:v>649.47</c:v>
                </c:pt>
                <c:pt idx="3">
                  <c:v>652.83000000000004</c:v>
                </c:pt>
                <c:pt idx="4">
                  <c:v>646</c:v>
                </c:pt>
                <c:pt idx="5">
                  <c:v>645.20000000000005</c:v>
                </c:pt>
                <c:pt idx="6">
                  <c:v>636.33000000000004</c:v>
                </c:pt>
                <c:pt idx="7">
                  <c:v>642.28</c:v>
                </c:pt>
                <c:pt idx="8">
                  <c:v>637.51</c:v>
                </c:pt>
                <c:pt idx="9">
                  <c:v>627.42999999999995</c:v>
                </c:pt>
                <c:pt idx="10">
                  <c:v>616.25</c:v>
                </c:pt>
                <c:pt idx="11">
                  <c:v>610.16999999999996</c:v>
                </c:pt>
                <c:pt idx="12">
                  <c:v>624.20000000000005</c:v>
                </c:pt>
                <c:pt idx="13">
                  <c:v>627.33000000000004</c:v>
                </c:pt>
                <c:pt idx="14">
                  <c:v>615.84</c:v>
                </c:pt>
                <c:pt idx="15">
                  <c:v>598.57000000000005</c:v>
                </c:pt>
                <c:pt idx="16">
                  <c:v>604.39</c:v>
                </c:pt>
                <c:pt idx="17">
                  <c:v>617.64</c:v>
                </c:pt>
                <c:pt idx="18">
                  <c:v>622.79</c:v>
                </c:pt>
              </c:numCache>
            </c:numRef>
          </c:val>
          <c:smooth val="0"/>
          <c:extLst>
            <c:ext xmlns:c16="http://schemas.microsoft.com/office/drawing/2014/chart" uri="{C3380CC4-5D6E-409C-BE32-E72D297353CC}">
              <c16:uniqueId val="{00000004-F5C4-4777-A840-DD6FA593730E}"/>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AMD!$C$4:$IR$4</c:f>
              <c:numCache>
                <c:formatCode>_([$$-409]* #,##0.00_);_([$$-409]* \(#,##0.00\);_([$$-409]* "-"??_);_(@_)</c:formatCode>
                <c:ptCount val="250"/>
                <c:pt idx="0">
                  <c:v>83.64</c:v>
                </c:pt>
                <c:pt idx="1">
                  <c:v>78.209999999999994</c:v>
                </c:pt>
                <c:pt idx="2">
                  <c:v>96.84</c:v>
                </c:pt>
                <c:pt idx="3">
                  <c:v>88.7</c:v>
                </c:pt>
                <c:pt idx="4">
                  <c:v>93.4</c:v>
                </c:pt>
                <c:pt idx="5">
                  <c:v>94.5</c:v>
                </c:pt>
                <c:pt idx="6">
                  <c:v>95.29</c:v>
                </c:pt>
                <c:pt idx="7">
                  <c:v>88.29</c:v>
                </c:pt>
                <c:pt idx="8">
                  <c:v>87.5</c:v>
                </c:pt>
                <c:pt idx="9">
                  <c:v>85.56</c:v>
                </c:pt>
                <c:pt idx="10">
                  <c:v>86.26</c:v>
                </c:pt>
                <c:pt idx="11">
                  <c:v>90.39</c:v>
                </c:pt>
                <c:pt idx="12">
                  <c:v>94.47</c:v>
                </c:pt>
                <c:pt idx="13">
                  <c:v>96.644999999999996</c:v>
                </c:pt>
                <c:pt idx="14">
                  <c:v>96.39</c:v>
                </c:pt>
                <c:pt idx="15">
                  <c:v>96.06</c:v>
                </c:pt>
                <c:pt idx="16">
                  <c:v>97.35</c:v>
                </c:pt>
                <c:pt idx="17">
                  <c:v>96.65</c:v>
                </c:pt>
                <c:pt idx="18">
                  <c:v>98.8</c:v>
                </c:pt>
                <c:pt idx="19">
                  <c:v>100.59</c:v>
                </c:pt>
                <c:pt idx="20">
                  <c:v>98.62</c:v>
                </c:pt>
                <c:pt idx="21">
                  <c:v>100.36</c:v>
                </c:pt>
                <c:pt idx="22">
                  <c:v>101.7</c:v>
                </c:pt>
                <c:pt idx="23">
                  <c:v>102.84</c:v>
                </c:pt>
                <c:pt idx="24">
                  <c:v>108.12</c:v>
                </c:pt>
                <c:pt idx="25">
                  <c:v>112.46</c:v>
                </c:pt>
                <c:pt idx="26">
                  <c:v>117.72</c:v>
                </c:pt>
                <c:pt idx="27">
                  <c:v>114.99</c:v>
                </c:pt>
                <c:pt idx="28">
                  <c:v>117.17</c:v>
                </c:pt>
                <c:pt idx="29">
                  <c:v>114.74</c:v>
                </c:pt>
                <c:pt idx="30">
                  <c:v>113.51</c:v>
                </c:pt>
                <c:pt idx="31">
                  <c:v>112.06</c:v>
                </c:pt>
                <c:pt idx="32">
                  <c:v>110.71</c:v>
                </c:pt>
                <c:pt idx="33">
                  <c:v>110.31</c:v>
                </c:pt>
                <c:pt idx="34">
                  <c:v>114.56</c:v>
                </c:pt>
                <c:pt idx="35">
                  <c:v>112.86</c:v>
                </c:pt>
                <c:pt idx="36">
                  <c:v>113.03</c:v>
                </c:pt>
                <c:pt idx="37">
                  <c:v>110.73</c:v>
                </c:pt>
                <c:pt idx="38">
                  <c:v>114.63</c:v>
                </c:pt>
                <c:pt idx="39">
                  <c:v>117.31</c:v>
                </c:pt>
                <c:pt idx="40">
                  <c:v>118.58</c:v>
                </c:pt>
                <c:pt idx="41">
                  <c:v>115.69</c:v>
                </c:pt>
                <c:pt idx="42">
                  <c:v>116.19</c:v>
                </c:pt>
                <c:pt idx="43">
                  <c:v>121.73</c:v>
                </c:pt>
                <c:pt idx="44">
                  <c:v>123.24</c:v>
                </c:pt>
                <c:pt idx="45">
                  <c:v>121.14</c:v>
                </c:pt>
                <c:pt idx="46">
                  <c:v>118.5</c:v>
                </c:pt>
                <c:pt idx="47">
                  <c:v>116.16</c:v>
                </c:pt>
                <c:pt idx="48">
                  <c:v>126.39</c:v>
                </c:pt>
                <c:pt idx="49">
                  <c:v>127.1</c:v>
                </c:pt>
                <c:pt idx="50">
                  <c:v>126.79</c:v>
                </c:pt>
                <c:pt idx="51">
                  <c:v>128.24</c:v>
                </c:pt>
                <c:pt idx="52">
                  <c:v>129.58000000000001</c:v>
                </c:pt>
                <c:pt idx="53">
                  <c:v>138.43</c:v>
                </c:pt>
                <c:pt idx="54">
                  <c:v>143.4</c:v>
                </c:pt>
                <c:pt idx="55">
                  <c:v>143.68</c:v>
                </c:pt>
                <c:pt idx="56">
                  <c:v>143.81</c:v>
                </c:pt>
                <c:pt idx="57">
                  <c:v>141.9</c:v>
                </c:pt>
                <c:pt idx="58">
                  <c:v>136.11000000000001</c:v>
                </c:pt>
                <c:pt idx="59">
                  <c:v>138.52000000000001</c:v>
                </c:pt>
                <c:pt idx="60">
                  <c:v>137.91</c:v>
                </c:pt>
                <c:pt idx="61">
                  <c:v>134.80000000000001</c:v>
                </c:pt>
                <c:pt idx="62">
                  <c:v>137.82</c:v>
                </c:pt>
                <c:pt idx="63">
                  <c:v>138.41</c:v>
                </c:pt>
                <c:pt idx="64">
                  <c:v>144.16</c:v>
                </c:pt>
                <c:pt idx="65">
                  <c:v>146.41999999999999</c:v>
                </c:pt>
                <c:pt idx="66">
                  <c:v>146.24</c:v>
                </c:pt>
                <c:pt idx="67">
                  <c:v>155.61000000000001</c:v>
                </c:pt>
                <c:pt idx="68">
                  <c:v>160.08000000000001</c:v>
                </c:pt>
                <c:pt idx="69">
                  <c:v>160.41</c:v>
                </c:pt>
                <c:pt idx="70">
                  <c:v>156.99</c:v>
                </c:pt>
                <c:pt idx="71">
                  <c:v>157</c:v>
                </c:pt>
                <c:pt idx="72">
                  <c:v>154.72</c:v>
                </c:pt>
                <c:pt idx="73">
                  <c:v>158.65</c:v>
                </c:pt>
                <c:pt idx="74">
                  <c:v>162.12</c:v>
                </c:pt>
                <c:pt idx="75">
                  <c:v>166.47</c:v>
                </c:pt>
                <c:pt idx="76">
                  <c:v>173.66</c:v>
                </c:pt>
                <c:pt idx="77">
                  <c:v>177.44</c:v>
                </c:pt>
                <c:pt idx="78">
                  <c:v>179.51</c:v>
                </c:pt>
                <c:pt idx="79">
                  <c:v>176.31</c:v>
                </c:pt>
                <c:pt idx="80">
                  <c:v>171.7</c:v>
                </c:pt>
                <c:pt idx="81">
                  <c:v>176.78</c:v>
                </c:pt>
                <c:pt idx="82">
                  <c:v>174.31</c:v>
                </c:pt>
                <c:pt idx="83">
                  <c:v>163.12</c:v>
                </c:pt>
                <c:pt idx="84">
                  <c:v>172.4</c:v>
                </c:pt>
                <c:pt idx="85">
                  <c:v>172.76</c:v>
                </c:pt>
                <c:pt idx="86">
                  <c:v>172.28</c:v>
                </c:pt>
                <c:pt idx="87">
                  <c:v>174.95</c:v>
                </c:pt>
                <c:pt idx="88">
                  <c:v>184.42</c:v>
                </c:pt>
                <c:pt idx="89">
                  <c:v>180.95</c:v>
                </c:pt>
                <c:pt idx="90">
                  <c:v>177.51</c:v>
                </c:pt>
                <c:pt idx="91">
                  <c:v>176.14</c:v>
                </c:pt>
                <c:pt idx="92">
                  <c:v>166.55</c:v>
                </c:pt>
                <c:pt idx="93">
                  <c:v>165.2</c:v>
                </c:pt>
                <c:pt idx="94">
                  <c:v>163.71</c:v>
                </c:pt>
                <c:pt idx="95">
                  <c:v>167.76</c:v>
                </c:pt>
                <c:pt idx="96">
                  <c:v>163.36000000000001</c:v>
                </c:pt>
                <c:pt idx="97">
                  <c:v>166.62</c:v>
                </c:pt>
                <c:pt idx="98">
                  <c:v>167.13</c:v>
                </c:pt>
                <c:pt idx="99">
                  <c:v>168.58</c:v>
                </c:pt>
                <c:pt idx="100">
                  <c:v>162.63</c:v>
                </c:pt>
                <c:pt idx="101">
                  <c:v>162.32</c:v>
                </c:pt>
                <c:pt idx="102">
                  <c:v>162.13</c:v>
                </c:pt>
                <c:pt idx="103">
                  <c:v>161.79</c:v>
                </c:pt>
                <c:pt idx="104">
                  <c:v>151.13999999999999</c:v>
                </c:pt>
                <c:pt idx="105">
                  <c:v>151.41</c:v>
                </c:pt>
                <c:pt idx="106">
                  <c:v>155.82</c:v>
                </c:pt>
                <c:pt idx="107">
                  <c:v>159.54</c:v>
                </c:pt>
                <c:pt idx="108">
                  <c:v>155.66999999999999</c:v>
                </c:pt>
                <c:pt idx="109">
                  <c:v>158.57</c:v>
                </c:pt>
                <c:pt idx="110">
                  <c:v>161.16</c:v>
                </c:pt>
                <c:pt idx="111">
                  <c:v>160.46</c:v>
                </c:pt>
                <c:pt idx="112">
                  <c:v>159.16</c:v>
                </c:pt>
                <c:pt idx="113">
                  <c:v>157.91999999999999</c:v>
                </c:pt>
                <c:pt idx="114">
                  <c:v>157.38999999999999</c:v>
                </c:pt>
                <c:pt idx="115">
                  <c:v>159.79</c:v>
                </c:pt>
                <c:pt idx="116">
                  <c:v>160.9</c:v>
                </c:pt>
                <c:pt idx="117">
                  <c:v>160.88</c:v>
                </c:pt>
                <c:pt idx="118">
                  <c:v>161.27000000000001</c:v>
                </c:pt>
                <c:pt idx="119">
                  <c:v>159.46</c:v>
                </c:pt>
                <c:pt idx="120">
                  <c:v>161.36000000000001</c:v>
                </c:pt>
                <c:pt idx="121">
                  <c:v>161.79</c:v>
                </c:pt>
                <c:pt idx="122">
                  <c:v>164.01</c:v>
                </c:pt>
                <c:pt idx="123">
                  <c:v>169.73</c:v>
                </c:pt>
                <c:pt idx="124">
                  <c:v>164.67</c:v>
                </c:pt>
                <c:pt idx="125">
                  <c:v>203.71</c:v>
                </c:pt>
                <c:pt idx="126">
                  <c:v>211.51</c:v>
                </c:pt>
                <c:pt idx="127">
                  <c:v>235.56</c:v>
                </c:pt>
                <c:pt idx="128">
                  <c:v>232.89</c:v>
                </c:pt>
                <c:pt idx="129">
                  <c:v>214.9</c:v>
                </c:pt>
                <c:pt idx="130">
                  <c:v>216.42</c:v>
                </c:pt>
                <c:pt idx="131">
                  <c:v>218.09</c:v>
                </c:pt>
                <c:pt idx="132">
                  <c:v>238.6</c:v>
                </c:pt>
                <c:pt idx="133">
                  <c:v>234.56</c:v>
                </c:pt>
                <c:pt idx="134">
                  <c:v>233.08</c:v>
                </c:pt>
                <c:pt idx="135">
                  <c:v>240.56</c:v>
                </c:pt>
                <c:pt idx="136">
                  <c:v>238.03</c:v>
                </c:pt>
                <c:pt idx="137">
                  <c:v>230.23</c:v>
                </c:pt>
                <c:pt idx="138">
                  <c:v>234.99</c:v>
                </c:pt>
                <c:pt idx="139">
                  <c:v>252.92</c:v>
                </c:pt>
                <c:pt idx="140">
                  <c:v>259.67</c:v>
                </c:pt>
                <c:pt idx="141">
                  <c:v>258.01</c:v>
                </c:pt>
                <c:pt idx="142">
                  <c:v>264.33</c:v>
                </c:pt>
                <c:pt idx="143">
                  <c:v>254.84</c:v>
                </c:pt>
                <c:pt idx="144">
                  <c:v>256.12</c:v>
                </c:pt>
                <c:pt idx="145">
                  <c:v>259.64999999999998</c:v>
                </c:pt>
                <c:pt idx="146">
                  <c:v>250.05</c:v>
                </c:pt>
                <c:pt idx="147">
                  <c:v>256.33</c:v>
                </c:pt>
                <c:pt idx="148">
                  <c:v>237.7</c:v>
                </c:pt>
                <c:pt idx="149">
                  <c:v>233.54</c:v>
                </c:pt>
                <c:pt idx="150">
                  <c:v>243.98</c:v>
                </c:pt>
                <c:pt idx="151">
                  <c:v>237.52</c:v>
                </c:pt>
                <c:pt idx="152">
                  <c:v>258.89</c:v>
                </c:pt>
                <c:pt idx="153">
                  <c:v>247.96</c:v>
                </c:pt>
                <c:pt idx="154">
                  <c:v>246.81</c:v>
                </c:pt>
                <c:pt idx="155">
                  <c:v>240.52</c:v>
                </c:pt>
                <c:pt idx="156">
                  <c:v>230.29</c:v>
                </c:pt>
                <c:pt idx="157">
                  <c:v>223.55</c:v>
                </c:pt>
                <c:pt idx="158">
                  <c:v>206.02</c:v>
                </c:pt>
                <c:pt idx="159">
                  <c:v>203.78</c:v>
                </c:pt>
                <c:pt idx="160">
                  <c:v>215.05</c:v>
                </c:pt>
                <c:pt idx="161">
                  <c:v>206.13</c:v>
                </c:pt>
                <c:pt idx="162">
                  <c:v>214.24</c:v>
                </c:pt>
                <c:pt idx="163">
                  <c:v>217.53</c:v>
                </c:pt>
                <c:pt idx="164">
                  <c:v>219.76</c:v>
                </c:pt>
                <c:pt idx="165">
                  <c:v>215.24</c:v>
                </c:pt>
                <c:pt idx="166">
                  <c:v>217.6</c:v>
                </c:pt>
                <c:pt idx="167">
                  <c:v>215.98</c:v>
                </c:pt>
                <c:pt idx="168">
                  <c:v>217.97</c:v>
                </c:pt>
                <c:pt idx="169">
                  <c:v>221.11</c:v>
                </c:pt>
                <c:pt idx="170">
                  <c:v>221.62</c:v>
                </c:pt>
                <c:pt idx="171">
                  <c:v>221.42</c:v>
                </c:pt>
                <c:pt idx="172">
                  <c:v>221.43</c:v>
                </c:pt>
                <c:pt idx="173">
                  <c:v>210.78</c:v>
                </c:pt>
                <c:pt idx="174">
                  <c:v>207.58</c:v>
                </c:pt>
                <c:pt idx="175">
                  <c:v>209.17</c:v>
                </c:pt>
                <c:pt idx="176">
                  <c:v>198.11</c:v>
                </c:pt>
                <c:pt idx="177">
                  <c:v>201.06</c:v>
                </c:pt>
                <c:pt idx="178">
                  <c:v>213.43</c:v>
                </c:pt>
                <c:pt idx="179">
                  <c:v>214.95</c:v>
                </c:pt>
                <c:pt idx="180">
                  <c:v>214.9</c:v>
                </c:pt>
                <c:pt idx="181">
                  <c:v>215.04</c:v>
                </c:pt>
                <c:pt idx="182">
                  <c:v>214.99</c:v>
                </c:pt>
                <c:pt idx="183">
                  <c:v>215.61</c:v>
                </c:pt>
                <c:pt idx="184">
                  <c:v>215.34</c:v>
                </c:pt>
                <c:pt idx="185">
                  <c:v>214.16</c:v>
                </c:pt>
                <c:pt idx="186">
                  <c:v>223.47</c:v>
                </c:pt>
                <c:pt idx="187">
                  <c:v>221.08</c:v>
                </c:pt>
                <c:pt idx="188">
                  <c:v>214.35</c:v>
                </c:pt>
                <c:pt idx="189">
                  <c:v>210.02</c:v>
                </c:pt>
                <c:pt idx="190">
                  <c:v>204.68</c:v>
                </c:pt>
                <c:pt idx="191">
                  <c:v>203.17</c:v>
                </c:pt>
                <c:pt idx="192">
                  <c:v>207.69</c:v>
                </c:pt>
                <c:pt idx="193">
                  <c:v>220.97</c:v>
                </c:pt>
                <c:pt idx="194">
                  <c:v>223.6</c:v>
                </c:pt>
                <c:pt idx="195">
                  <c:v>227.92</c:v>
                </c:pt>
                <c:pt idx="196">
                  <c:v>231.83</c:v>
                </c:pt>
                <c:pt idx="197">
                  <c:v>231.92</c:v>
                </c:pt>
                <c:pt idx="198">
                  <c:v>249.8</c:v>
                </c:pt>
                <c:pt idx="199">
                  <c:v>253.73</c:v>
                </c:pt>
                <c:pt idx="200">
                  <c:v>259.68</c:v>
                </c:pt>
                <c:pt idx="201">
                  <c:v>251.31</c:v>
                </c:pt>
                <c:pt idx="202">
                  <c:v>252.03</c:v>
                </c:pt>
                <c:pt idx="203">
                  <c:v>252.74</c:v>
                </c:pt>
                <c:pt idx="204">
                  <c:v>252.18</c:v>
                </c:pt>
                <c:pt idx="205">
                  <c:v>236.73</c:v>
                </c:pt>
                <c:pt idx="206">
                  <c:v>246.27</c:v>
                </c:pt>
                <c:pt idx="207">
                  <c:v>242.11</c:v>
                </c:pt>
                <c:pt idx="208">
                  <c:v>200.19</c:v>
                </c:pt>
                <c:pt idx="209">
                  <c:v>192.5</c:v>
                </c:pt>
                <c:pt idx="210">
                  <c:v>208.44</c:v>
                </c:pt>
                <c:pt idx="211">
                  <c:v>216</c:v>
                </c:pt>
                <c:pt idx="212">
                  <c:v>213.57</c:v>
                </c:pt>
                <c:pt idx="213">
                  <c:v>213.58</c:v>
                </c:pt>
                <c:pt idx="214">
                  <c:v>205.94</c:v>
                </c:pt>
                <c:pt idx="215">
                  <c:v>207.32</c:v>
                </c:pt>
                <c:pt idx="216">
                  <c:v>203.08</c:v>
                </c:pt>
                <c:pt idx="217">
                  <c:v>200.12</c:v>
                </c:pt>
                <c:pt idx="218">
                  <c:v>203.37</c:v>
                </c:pt>
                <c:pt idx="219">
                  <c:v>200.15</c:v>
                </c:pt>
                <c:pt idx="220">
                  <c:v>196.6</c:v>
                </c:pt>
                <c:pt idx="221">
                  <c:v>213.84</c:v>
                </c:pt>
                <c:pt idx="222">
                  <c:v>210.86</c:v>
                </c:pt>
                <c:pt idx="223">
                  <c:v>203.68</c:v>
                </c:pt>
                <c:pt idx="224">
                  <c:v>200.21</c:v>
                </c:pt>
                <c:pt idx="225">
                  <c:v>198.62</c:v>
                </c:pt>
                <c:pt idx="226">
                  <c:v>190.95</c:v>
                </c:pt>
                <c:pt idx="227">
                  <c:v>202.07</c:v>
                </c:pt>
                <c:pt idx="228">
                  <c:v>199.45</c:v>
                </c:pt>
                <c:pt idx="229">
                  <c:v>192.43</c:v>
                </c:pt>
                <c:pt idx="230">
                  <c:v>202.68</c:v>
                </c:pt>
                <c:pt idx="231">
                  <c:v>203.23</c:v>
                </c:pt>
                <c:pt idx="232">
                  <c:v>204.83</c:v>
                </c:pt>
                <c:pt idx="233">
                  <c:v>197.74</c:v>
                </c:pt>
                <c:pt idx="234">
                  <c:v>193.39</c:v>
                </c:pt>
                <c:pt idx="235">
                  <c:v>196.58</c:v>
                </c:pt>
                <c:pt idx="236">
                  <c:v>196.31</c:v>
                </c:pt>
                <c:pt idx="237">
                  <c:v>199.46</c:v>
                </c:pt>
                <c:pt idx="238">
                  <c:v>205.27</c:v>
                </c:pt>
                <c:pt idx="239">
                  <c:v>201.33</c:v>
                </c:pt>
                <c:pt idx="240">
                  <c:v>202.68</c:v>
                </c:pt>
                <c:pt idx="241">
                  <c:v>205.37</c:v>
                </c:pt>
                <c:pt idx="242">
                  <c:v>220.27</c:v>
                </c:pt>
                <c:pt idx="243">
                  <c:v>203.77</c:v>
                </c:pt>
                <c:pt idx="244">
                  <c:v>201.99</c:v>
                </c:pt>
                <c:pt idx="245">
                  <c:v>196.04</c:v>
                </c:pt>
                <c:pt idx="246">
                  <c:v>203.43</c:v>
                </c:pt>
                <c:pt idx="247">
                  <c:v>210.21</c:v>
                </c:pt>
                <c:pt idx="248">
                  <c:v>217.5</c:v>
                </c:pt>
              </c:numCache>
            </c:numRef>
          </c:val>
          <c:extLst>
            <c:ext xmlns:c16="http://schemas.microsoft.com/office/drawing/2014/chart" uri="{C3380CC4-5D6E-409C-BE32-E72D297353CC}">
              <c16:uniqueId val="{00000000-D63B-4CDC-983B-84277AD33082}"/>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MSFT!$B$1</c:f>
          <c:strCache>
            <c:ptCount val="1"/>
            <c:pt idx="0">
              <c:v>MICROSOFT CORPORATION (XNAS:MSFT)</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MSFT!$B$6</c:f>
              <c:strCache>
                <c:ptCount val="1"/>
                <c:pt idx="0">
                  <c:v>Volume</c:v>
                </c:pt>
              </c:strCache>
            </c:strRef>
          </c:tx>
          <c:spPr>
            <a:solidFill>
              <a:schemeClr val="accent1"/>
            </a:solidFill>
            <a:ln w="38100">
              <a:noFill/>
            </a:ln>
            <a:effectLst/>
          </c:spPr>
          <c:invertIfNegative val="0"/>
          <c:cat>
            <c:numRef>
              <c:f>MSFT!$A$7:$A$27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MSFT!$B$7:$B$27</c:f>
              <c:numCache>
                <c:formatCode>#,##0</c:formatCode>
                <c:ptCount val="21"/>
                <c:pt idx="0">
                  <c:v>30131854</c:v>
                </c:pt>
                <c:pt idx="1">
                  <c:v>31706375</c:v>
                </c:pt>
                <c:pt idx="2">
                  <c:v>25512139</c:v>
                </c:pt>
                <c:pt idx="3">
                  <c:v>27263886</c:v>
                </c:pt>
                <c:pt idx="4">
                  <c:v>26848000</c:v>
                </c:pt>
                <c:pt idx="5">
                  <c:v>27733721</c:v>
                </c:pt>
                <c:pt idx="6">
                  <c:v>26228279</c:v>
                </c:pt>
                <c:pt idx="7">
                  <c:v>25908484</c:v>
                </c:pt>
                <c:pt idx="8">
                  <c:v>25138772</c:v>
                </c:pt>
                <c:pt idx="9">
                  <c:v>50853154</c:v>
                </c:pt>
                <c:pt idx="10">
                  <c:v>29680059</c:v>
                </c:pt>
                <c:pt idx="11">
                  <c:v>42733625</c:v>
                </c:pt>
                <c:pt idx="12">
                  <c:v>31181163</c:v>
                </c:pt>
                <c:pt idx="13">
                  <c:v>36836574</c:v>
                </c:pt>
                <c:pt idx="14">
                  <c:v>37883400</c:v>
                </c:pt>
                <c:pt idx="15">
                  <c:v>44797002</c:v>
                </c:pt>
                <c:pt idx="16">
                  <c:v>45244365</c:v>
                </c:pt>
                <c:pt idx="17">
                  <c:v>29417206</c:v>
                </c:pt>
                <c:pt idx="18">
                  <c:v>24099067</c:v>
                </c:pt>
              </c:numCache>
            </c:numRef>
          </c:val>
          <c:extLst>
            <c:ext xmlns:c16="http://schemas.microsoft.com/office/drawing/2014/chart" uri="{C3380CC4-5D6E-409C-BE32-E72D297353CC}">
              <c16:uniqueId val="{00000000-E6B8-4912-B4B1-FE906FA08879}"/>
            </c:ext>
          </c:extLst>
        </c:ser>
        <c:dLbls>
          <c:showLegendKey val="0"/>
          <c:showVal val="0"/>
          <c:showCatName val="0"/>
          <c:showSerName val="0"/>
          <c:showPercent val="0"/>
          <c:showBubbleSize val="0"/>
        </c:dLbls>
        <c:gapWidth val="150"/>
        <c:axId val="1641718448"/>
        <c:axId val="1641718928"/>
      </c:barChart>
      <c:stockChart>
        <c:ser>
          <c:idx val="1"/>
          <c:order val="1"/>
          <c:tx>
            <c:strRef>
              <c:f>MSFT!$C$6</c:f>
              <c:strCache>
                <c:ptCount val="1"/>
                <c:pt idx="0">
                  <c:v>Open</c:v>
                </c:pt>
              </c:strCache>
            </c:strRef>
          </c:tx>
          <c:spPr>
            <a:ln w="38100" cap="rnd">
              <a:noFill/>
              <a:round/>
            </a:ln>
            <a:effectLst/>
          </c:spPr>
          <c:marker>
            <c:symbol val="none"/>
          </c:marker>
          <c:cat>
            <c:numRef>
              <c:f>MSFT!$A$7:$A$27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MSFT!$C$7:$C$27</c:f>
              <c:numCache>
                <c:formatCode>_([$$-409]* #,##0.00_);_([$$-409]* \(#,##0.00\);_([$$-409]* "-"??_);_(@_)</c:formatCode>
                <c:ptCount val="21"/>
                <c:pt idx="0">
                  <c:v>404.91500000000002</c:v>
                </c:pt>
                <c:pt idx="1">
                  <c:v>410.03</c:v>
                </c:pt>
                <c:pt idx="2">
                  <c:v>405.57</c:v>
                </c:pt>
                <c:pt idx="3">
                  <c:v>404.63</c:v>
                </c:pt>
                <c:pt idx="4">
                  <c:v>401</c:v>
                </c:pt>
                <c:pt idx="5">
                  <c:v>398.07</c:v>
                </c:pt>
                <c:pt idx="6">
                  <c:v>400.27</c:v>
                </c:pt>
                <c:pt idx="7">
                  <c:v>397.125</c:v>
                </c:pt>
                <c:pt idx="8">
                  <c:v>390.1</c:v>
                </c:pt>
                <c:pt idx="9">
                  <c:v>386.79</c:v>
                </c:pt>
                <c:pt idx="10">
                  <c:v>383.9</c:v>
                </c:pt>
                <c:pt idx="11">
                  <c:v>382.36</c:v>
                </c:pt>
                <c:pt idx="12">
                  <c:v>376.92</c:v>
                </c:pt>
                <c:pt idx="13">
                  <c:v>370.815</c:v>
                </c:pt>
                <c:pt idx="14">
                  <c:v>361.9</c:v>
                </c:pt>
                <c:pt idx="15">
                  <c:v>361.89499999999998</c:v>
                </c:pt>
                <c:pt idx="16">
                  <c:v>364.55</c:v>
                </c:pt>
                <c:pt idx="17">
                  <c:v>373.49</c:v>
                </c:pt>
                <c:pt idx="18">
                  <c:v>367.20499999999998</c:v>
                </c:pt>
              </c:numCache>
            </c:numRef>
          </c:val>
          <c:smooth val="0"/>
          <c:extLst>
            <c:ext xmlns:c16="http://schemas.microsoft.com/office/drawing/2014/chart" uri="{C3380CC4-5D6E-409C-BE32-E72D297353CC}">
              <c16:uniqueId val="{00000001-E6B8-4912-B4B1-FE906FA08879}"/>
            </c:ext>
          </c:extLst>
        </c:ser>
        <c:ser>
          <c:idx val="2"/>
          <c:order val="2"/>
          <c:tx>
            <c:strRef>
              <c:f>MSFT!$D$6</c:f>
              <c:strCache>
                <c:ptCount val="1"/>
                <c:pt idx="0">
                  <c:v>High</c:v>
                </c:pt>
              </c:strCache>
            </c:strRef>
          </c:tx>
          <c:spPr>
            <a:ln w="38100" cap="rnd">
              <a:noFill/>
              <a:round/>
            </a:ln>
            <a:effectLst/>
          </c:spPr>
          <c:marker>
            <c:symbol val="none"/>
          </c:marker>
          <c:cat>
            <c:numRef>
              <c:f>MSFT!$A$7:$A$27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MSFT!$D$7:$D$27</c:f>
              <c:numCache>
                <c:formatCode>_([$$-409]* #,##0.00_);_([$$-409]* \(#,##0.00\);_([$$-409]* "-"??_);_(@_)</c:formatCode>
                <c:ptCount val="21"/>
                <c:pt idx="0">
                  <c:v>410.21</c:v>
                </c:pt>
                <c:pt idx="1">
                  <c:v>410.2</c:v>
                </c:pt>
                <c:pt idx="2">
                  <c:v>409.01</c:v>
                </c:pt>
                <c:pt idx="3">
                  <c:v>406.12</c:v>
                </c:pt>
                <c:pt idx="4">
                  <c:v>404.8</c:v>
                </c:pt>
                <c:pt idx="5">
                  <c:v>400.63</c:v>
                </c:pt>
                <c:pt idx="6">
                  <c:v>404.4</c:v>
                </c:pt>
                <c:pt idx="7">
                  <c:v>398</c:v>
                </c:pt>
                <c:pt idx="8">
                  <c:v>392.49</c:v>
                </c:pt>
                <c:pt idx="9">
                  <c:v>387</c:v>
                </c:pt>
                <c:pt idx="10">
                  <c:v>387.21</c:v>
                </c:pt>
                <c:pt idx="11">
                  <c:v>382.47</c:v>
                </c:pt>
                <c:pt idx="12">
                  <c:v>377.06</c:v>
                </c:pt>
                <c:pt idx="13">
                  <c:v>374.7199</c:v>
                </c:pt>
                <c:pt idx="14">
                  <c:v>362.45</c:v>
                </c:pt>
                <c:pt idx="15">
                  <c:v>365.36</c:v>
                </c:pt>
                <c:pt idx="16">
                  <c:v>372.9</c:v>
                </c:pt>
                <c:pt idx="17">
                  <c:v>373.99</c:v>
                </c:pt>
                <c:pt idx="18">
                  <c:v>373.64</c:v>
                </c:pt>
              </c:numCache>
            </c:numRef>
          </c:val>
          <c:smooth val="0"/>
          <c:extLst>
            <c:ext xmlns:c16="http://schemas.microsoft.com/office/drawing/2014/chart" uri="{C3380CC4-5D6E-409C-BE32-E72D297353CC}">
              <c16:uniqueId val="{00000002-E6B8-4912-B4B1-FE906FA08879}"/>
            </c:ext>
          </c:extLst>
        </c:ser>
        <c:ser>
          <c:idx val="3"/>
          <c:order val="3"/>
          <c:tx>
            <c:strRef>
              <c:f>MSFT!$E$6</c:f>
              <c:strCache>
                <c:ptCount val="1"/>
                <c:pt idx="0">
                  <c:v>Low</c:v>
                </c:pt>
              </c:strCache>
            </c:strRef>
          </c:tx>
          <c:spPr>
            <a:ln w="38100" cap="rnd">
              <a:noFill/>
              <a:round/>
            </a:ln>
            <a:effectLst/>
          </c:spPr>
          <c:marker>
            <c:symbol val="none"/>
          </c:marker>
          <c:cat>
            <c:numRef>
              <c:f>MSFT!$A$7:$A$27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MSFT!$E$7:$E$27</c:f>
              <c:numCache>
                <c:formatCode>_([$$-409]* #,##0.00_);_([$$-409]* \(#,##0.00\);_([$$-409]* "-"??_);_(@_)</c:formatCode>
                <c:ptCount val="21"/>
                <c:pt idx="0">
                  <c:v>403.5</c:v>
                </c:pt>
                <c:pt idx="1">
                  <c:v>402.93</c:v>
                </c:pt>
                <c:pt idx="2">
                  <c:v>401.59</c:v>
                </c:pt>
                <c:pt idx="3">
                  <c:v>401.71</c:v>
                </c:pt>
                <c:pt idx="4">
                  <c:v>394.25</c:v>
                </c:pt>
                <c:pt idx="5">
                  <c:v>394.79</c:v>
                </c:pt>
                <c:pt idx="6">
                  <c:v>397.745</c:v>
                </c:pt>
                <c:pt idx="7">
                  <c:v>391</c:v>
                </c:pt>
                <c:pt idx="8">
                  <c:v>387.06</c:v>
                </c:pt>
                <c:pt idx="9">
                  <c:v>380.12</c:v>
                </c:pt>
                <c:pt idx="10">
                  <c:v>381.68</c:v>
                </c:pt>
                <c:pt idx="11">
                  <c:v>371.85</c:v>
                </c:pt>
                <c:pt idx="12">
                  <c:v>369.63</c:v>
                </c:pt>
                <c:pt idx="13">
                  <c:v>365.19</c:v>
                </c:pt>
                <c:pt idx="14">
                  <c:v>356.51</c:v>
                </c:pt>
                <c:pt idx="15">
                  <c:v>356.28</c:v>
                </c:pt>
                <c:pt idx="16">
                  <c:v>363.07</c:v>
                </c:pt>
                <c:pt idx="17">
                  <c:v>368.2</c:v>
                </c:pt>
                <c:pt idx="18">
                  <c:v>364.15</c:v>
                </c:pt>
              </c:numCache>
            </c:numRef>
          </c:val>
          <c:smooth val="0"/>
          <c:extLst>
            <c:ext xmlns:c16="http://schemas.microsoft.com/office/drawing/2014/chart" uri="{C3380CC4-5D6E-409C-BE32-E72D297353CC}">
              <c16:uniqueId val="{00000003-E6B8-4912-B4B1-FE906FA08879}"/>
            </c:ext>
          </c:extLst>
        </c:ser>
        <c:ser>
          <c:idx val="4"/>
          <c:order val="4"/>
          <c:tx>
            <c:strRef>
              <c:f>MSFT!$F$6</c:f>
              <c:strCache>
                <c:ptCount val="1"/>
                <c:pt idx="0">
                  <c:v>Close</c:v>
                </c:pt>
              </c:strCache>
            </c:strRef>
          </c:tx>
          <c:spPr>
            <a:ln w="38100" cap="rnd">
              <a:noFill/>
              <a:round/>
            </a:ln>
            <a:effectLst/>
          </c:spPr>
          <c:marker>
            <c:symbol val="none"/>
          </c:marker>
          <c:cat>
            <c:numRef>
              <c:f>MSFT!$A$7:$A$27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MSFT!$F$7:$F$27</c:f>
              <c:numCache>
                <c:formatCode>_([$$-409]* #,##0.00_);_([$$-409]* \(#,##0.00\);_([$$-409]* "-"??_);_(@_)</c:formatCode>
                <c:ptCount val="21"/>
                <c:pt idx="0">
                  <c:v>409.41</c:v>
                </c:pt>
                <c:pt idx="1">
                  <c:v>405.76</c:v>
                </c:pt>
                <c:pt idx="2">
                  <c:v>404.88</c:v>
                </c:pt>
                <c:pt idx="3">
                  <c:v>401.86</c:v>
                </c:pt>
                <c:pt idx="4">
                  <c:v>395.55</c:v>
                </c:pt>
                <c:pt idx="5">
                  <c:v>399.95</c:v>
                </c:pt>
                <c:pt idx="6">
                  <c:v>399.41</c:v>
                </c:pt>
                <c:pt idx="7">
                  <c:v>391.79</c:v>
                </c:pt>
                <c:pt idx="8">
                  <c:v>389.02</c:v>
                </c:pt>
                <c:pt idx="9">
                  <c:v>381.87</c:v>
                </c:pt>
                <c:pt idx="10">
                  <c:v>383</c:v>
                </c:pt>
                <c:pt idx="11">
                  <c:v>372.74</c:v>
                </c:pt>
                <c:pt idx="12">
                  <c:v>371.04</c:v>
                </c:pt>
                <c:pt idx="13">
                  <c:v>365.97</c:v>
                </c:pt>
                <c:pt idx="14">
                  <c:v>356.77</c:v>
                </c:pt>
                <c:pt idx="15">
                  <c:v>358.96</c:v>
                </c:pt>
                <c:pt idx="16">
                  <c:v>370.17</c:v>
                </c:pt>
                <c:pt idx="17">
                  <c:v>369.37</c:v>
                </c:pt>
                <c:pt idx="18">
                  <c:v>373.46</c:v>
                </c:pt>
              </c:numCache>
            </c:numRef>
          </c:val>
          <c:smooth val="0"/>
          <c:extLst>
            <c:ext xmlns:c16="http://schemas.microsoft.com/office/drawing/2014/chart" uri="{C3380CC4-5D6E-409C-BE32-E72D297353CC}">
              <c16:uniqueId val="{00000004-E6B8-4912-B4B1-FE906FA0887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MSFT!$C$4:$IR$4</c:f>
              <c:numCache>
                <c:formatCode>_([$$-409]* #,##0.00_);_([$$-409]* \(#,##0.00\);_([$$-409]* "-"??_);_(@_)</c:formatCode>
                <c:ptCount val="250"/>
                <c:pt idx="0">
                  <c:v>357.86</c:v>
                </c:pt>
                <c:pt idx="1">
                  <c:v>354.56</c:v>
                </c:pt>
                <c:pt idx="2">
                  <c:v>390.49</c:v>
                </c:pt>
                <c:pt idx="3">
                  <c:v>381.35</c:v>
                </c:pt>
                <c:pt idx="4">
                  <c:v>388.45</c:v>
                </c:pt>
                <c:pt idx="5">
                  <c:v>387.81</c:v>
                </c:pt>
                <c:pt idx="6">
                  <c:v>385.73</c:v>
                </c:pt>
                <c:pt idx="7">
                  <c:v>371.61</c:v>
                </c:pt>
                <c:pt idx="8">
                  <c:v>367.78</c:v>
                </c:pt>
                <c:pt idx="9">
                  <c:v>359.12</c:v>
                </c:pt>
                <c:pt idx="10">
                  <c:v>366.82</c:v>
                </c:pt>
                <c:pt idx="11">
                  <c:v>374.39</c:v>
                </c:pt>
                <c:pt idx="12">
                  <c:v>387.3</c:v>
                </c:pt>
                <c:pt idx="13">
                  <c:v>391.85</c:v>
                </c:pt>
                <c:pt idx="14">
                  <c:v>391.16</c:v>
                </c:pt>
                <c:pt idx="15">
                  <c:v>394.04</c:v>
                </c:pt>
                <c:pt idx="16">
                  <c:v>395.26</c:v>
                </c:pt>
                <c:pt idx="17">
                  <c:v>425.4</c:v>
                </c:pt>
                <c:pt idx="18">
                  <c:v>435.28</c:v>
                </c:pt>
                <c:pt idx="19">
                  <c:v>436.17</c:v>
                </c:pt>
                <c:pt idx="20">
                  <c:v>433.31</c:v>
                </c:pt>
                <c:pt idx="21">
                  <c:v>433.35</c:v>
                </c:pt>
                <c:pt idx="22">
                  <c:v>438.17</c:v>
                </c:pt>
                <c:pt idx="23">
                  <c:v>438.73</c:v>
                </c:pt>
                <c:pt idx="24">
                  <c:v>449.26</c:v>
                </c:pt>
                <c:pt idx="25">
                  <c:v>449.14</c:v>
                </c:pt>
                <c:pt idx="26">
                  <c:v>452.94</c:v>
                </c:pt>
                <c:pt idx="27">
                  <c:v>453.13</c:v>
                </c:pt>
                <c:pt idx="28">
                  <c:v>454.27</c:v>
                </c:pt>
                <c:pt idx="29">
                  <c:v>458.87</c:v>
                </c:pt>
                <c:pt idx="30">
                  <c:v>458.17</c:v>
                </c:pt>
                <c:pt idx="31">
                  <c:v>452.57</c:v>
                </c:pt>
                <c:pt idx="32">
                  <c:v>454.86</c:v>
                </c:pt>
                <c:pt idx="33">
                  <c:v>450.18</c:v>
                </c:pt>
                <c:pt idx="34">
                  <c:v>460.69</c:v>
                </c:pt>
                <c:pt idx="35">
                  <c:v>457.36</c:v>
                </c:pt>
                <c:pt idx="36">
                  <c:v>458.68</c:v>
                </c:pt>
                <c:pt idx="37">
                  <c:v>460.36</c:v>
                </c:pt>
                <c:pt idx="38">
                  <c:v>461.97</c:v>
                </c:pt>
                <c:pt idx="39">
                  <c:v>462.97</c:v>
                </c:pt>
                <c:pt idx="40">
                  <c:v>463.87</c:v>
                </c:pt>
                <c:pt idx="41">
                  <c:v>467.68</c:v>
                </c:pt>
                <c:pt idx="42">
                  <c:v>470.38</c:v>
                </c:pt>
                <c:pt idx="43">
                  <c:v>472.75</c:v>
                </c:pt>
                <c:pt idx="44">
                  <c:v>470.92</c:v>
                </c:pt>
                <c:pt idx="45">
                  <c:v>472.62</c:v>
                </c:pt>
                <c:pt idx="46">
                  <c:v>478.87</c:v>
                </c:pt>
                <c:pt idx="47">
                  <c:v>474.96</c:v>
                </c:pt>
                <c:pt idx="48">
                  <c:v>479.14</c:v>
                </c:pt>
                <c:pt idx="49">
                  <c:v>478.04</c:v>
                </c:pt>
                <c:pt idx="50">
                  <c:v>480.24</c:v>
                </c:pt>
                <c:pt idx="51">
                  <c:v>477.4</c:v>
                </c:pt>
                <c:pt idx="52">
                  <c:v>486</c:v>
                </c:pt>
                <c:pt idx="53">
                  <c:v>490.11</c:v>
                </c:pt>
                <c:pt idx="54">
                  <c:v>492.27</c:v>
                </c:pt>
                <c:pt idx="55">
                  <c:v>497.45</c:v>
                </c:pt>
                <c:pt idx="56">
                  <c:v>495.94</c:v>
                </c:pt>
                <c:pt idx="57">
                  <c:v>497.41</c:v>
                </c:pt>
                <c:pt idx="58">
                  <c:v>492.05</c:v>
                </c:pt>
                <c:pt idx="59">
                  <c:v>491.09</c:v>
                </c:pt>
                <c:pt idx="60">
                  <c:v>498.84</c:v>
                </c:pt>
                <c:pt idx="61">
                  <c:v>497.72</c:v>
                </c:pt>
                <c:pt idx="62">
                  <c:v>496.62</c:v>
                </c:pt>
                <c:pt idx="63">
                  <c:v>503.51</c:v>
                </c:pt>
                <c:pt idx="64">
                  <c:v>501.48</c:v>
                </c:pt>
                <c:pt idx="65">
                  <c:v>503.32</c:v>
                </c:pt>
                <c:pt idx="66">
                  <c:v>503.02</c:v>
                </c:pt>
                <c:pt idx="67">
                  <c:v>505.82</c:v>
                </c:pt>
                <c:pt idx="68">
                  <c:v>505.62</c:v>
                </c:pt>
                <c:pt idx="69">
                  <c:v>511.7</c:v>
                </c:pt>
                <c:pt idx="70">
                  <c:v>510.05</c:v>
                </c:pt>
                <c:pt idx="71">
                  <c:v>510.06</c:v>
                </c:pt>
                <c:pt idx="72">
                  <c:v>505.27</c:v>
                </c:pt>
                <c:pt idx="73">
                  <c:v>505.87</c:v>
                </c:pt>
                <c:pt idx="74">
                  <c:v>510.88</c:v>
                </c:pt>
                <c:pt idx="75">
                  <c:v>513.71</c:v>
                </c:pt>
                <c:pt idx="76">
                  <c:v>512.5</c:v>
                </c:pt>
                <c:pt idx="77">
                  <c:v>512.57000000000005</c:v>
                </c:pt>
                <c:pt idx="78">
                  <c:v>513.24</c:v>
                </c:pt>
                <c:pt idx="79">
                  <c:v>533.5</c:v>
                </c:pt>
                <c:pt idx="80">
                  <c:v>524.11</c:v>
                </c:pt>
                <c:pt idx="81">
                  <c:v>535.64</c:v>
                </c:pt>
                <c:pt idx="82">
                  <c:v>527.75</c:v>
                </c:pt>
                <c:pt idx="83">
                  <c:v>524.94000000000005</c:v>
                </c:pt>
                <c:pt idx="84">
                  <c:v>520.84</c:v>
                </c:pt>
                <c:pt idx="85">
                  <c:v>522.04</c:v>
                </c:pt>
                <c:pt idx="86">
                  <c:v>521.77</c:v>
                </c:pt>
                <c:pt idx="87">
                  <c:v>529.24</c:v>
                </c:pt>
                <c:pt idx="88">
                  <c:v>520.58000000000004</c:v>
                </c:pt>
                <c:pt idx="89">
                  <c:v>522.48</c:v>
                </c:pt>
                <c:pt idx="90">
                  <c:v>520.16999999999996</c:v>
                </c:pt>
                <c:pt idx="91">
                  <c:v>517.1</c:v>
                </c:pt>
                <c:pt idx="92">
                  <c:v>509.77</c:v>
                </c:pt>
                <c:pt idx="93">
                  <c:v>505.72</c:v>
                </c:pt>
                <c:pt idx="94">
                  <c:v>504.24</c:v>
                </c:pt>
                <c:pt idx="95">
                  <c:v>507.23</c:v>
                </c:pt>
                <c:pt idx="96">
                  <c:v>504.26</c:v>
                </c:pt>
                <c:pt idx="97">
                  <c:v>502.04</c:v>
                </c:pt>
                <c:pt idx="98">
                  <c:v>506.74</c:v>
                </c:pt>
                <c:pt idx="99">
                  <c:v>509.64</c:v>
                </c:pt>
                <c:pt idx="100">
                  <c:v>506.69</c:v>
                </c:pt>
                <c:pt idx="101">
                  <c:v>505.12</c:v>
                </c:pt>
                <c:pt idx="102">
                  <c:v>505.35</c:v>
                </c:pt>
                <c:pt idx="103">
                  <c:v>507.97</c:v>
                </c:pt>
                <c:pt idx="104">
                  <c:v>495</c:v>
                </c:pt>
                <c:pt idx="105">
                  <c:v>498.2</c:v>
                </c:pt>
                <c:pt idx="106">
                  <c:v>498.41</c:v>
                </c:pt>
                <c:pt idx="107">
                  <c:v>500.37</c:v>
                </c:pt>
                <c:pt idx="108">
                  <c:v>501.01</c:v>
                </c:pt>
                <c:pt idx="109">
                  <c:v>509.9</c:v>
                </c:pt>
                <c:pt idx="110">
                  <c:v>515.36</c:v>
                </c:pt>
                <c:pt idx="111">
                  <c:v>509.04</c:v>
                </c:pt>
                <c:pt idx="112">
                  <c:v>510.02</c:v>
                </c:pt>
                <c:pt idx="113">
                  <c:v>508.45</c:v>
                </c:pt>
                <c:pt idx="114">
                  <c:v>517.92999999999995</c:v>
                </c:pt>
                <c:pt idx="115">
                  <c:v>514.45000000000005</c:v>
                </c:pt>
                <c:pt idx="116">
                  <c:v>509.23</c:v>
                </c:pt>
                <c:pt idx="117">
                  <c:v>510.15</c:v>
                </c:pt>
                <c:pt idx="118">
                  <c:v>507.03</c:v>
                </c:pt>
                <c:pt idx="119">
                  <c:v>511.46</c:v>
                </c:pt>
                <c:pt idx="120">
                  <c:v>514.6</c:v>
                </c:pt>
                <c:pt idx="121">
                  <c:v>517.95000000000005</c:v>
                </c:pt>
                <c:pt idx="122">
                  <c:v>519.71</c:v>
                </c:pt>
                <c:pt idx="123">
                  <c:v>515.74</c:v>
                </c:pt>
                <c:pt idx="124">
                  <c:v>517.35</c:v>
                </c:pt>
                <c:pt idx="125">
                  <c:v>528.57000000000005</c:v>
                </c:pt>
                <c:pt idx="126">
                  <c:v>523.98</c:v>
                </c:pt>
                <c:pt idx="127">
                  <c:v>524.85</c:v>
                </c:pt>
                <c:pt idx="128">
                  <c:v>522.4</c:v>
                </c:pt>
                <c:pt idx="129">
                  <c:v>510.96</c:v>
                </c:pt>
                <c:pt idx="130">
                  <c:v>514.04999999999995</c:v>
                </c:pt>
                <c:pt idx="131">
                  <c:v>513.57000000000005</c:v>
                </c:pt>
                <c:pt idx="132">
                  <c:v>513.42999999999995</c:v>
                </c:pt>
                <c:pt idx="133">
                  <c:v>511.61</c:v>
                </c:pt>
                <c:pt idx="134">
                  <c:v>513.58000000000004</c:v>
                </c:pt>
                <c:pt idx="135">
                  <c:v>516.79</c:v>
                </c:pt>
                <c:pt idx="136">
                  <c:v>517.66</c:v>
                </c:pt>
                <c:pt idx="137">
                  <c:v>520.54</c:v>
                </c:pt>
                <c:pt idx="138">
                  <c:v>520.55999999999995</c:v>
                </c:pt>
                <c:pt idx="139">
                  <c:v>523.61</c:v>
                </c:pt>
                <c:pt idx="140">
                  <c:v>531.52</c:v>
                </c:pt>
                <c:pt idx="141">
                  <c:v>542.07000000000005</c:v>
                </c:pt>
                <c:pt idx="142">
                  <c:v>541.54999999999995</c:v>
                </c:pt>
                <c:pt idx="143">
                  <c:v>525.76</c:v>
                </c:pt>
                <c:pt idx="144">
                  <c:v>517.80999999999995</c:v>
                </c:pt>
                <c:pt idx="145">
                  <c:v>517.03</c:v>
                </c:pt>
                <c:pt idx="146">
                  <c:v>514.33000000000004</c:v>
                </c:pt>
                <c:pt idx="147">
                  <c:v>507.16</c:v>
                </c:pt>
                <c:pt idx="148">
                  <c:v>497.1</c:v>
                </c:pt>
                <c:pt idx="149">
                  <c:v>496.82</c:v>
                </c:pt>
                <c:pt idx="150">
                  <c:v>506</c:v>
                </c:pt>
                <c:pt idx="151">
                  <c:v>508.68</c:v>
                </c:pt>
                <c:pt idx="152">
                  <c:v>511.14</c:v>
                </c:pt>
                <c:pt idx="153">
                  <c:v>503.29</c:v>
                </c:pt>
                <c:pt idx="154">
                  <c:v>510.18</c:v>
                </c:pt>
                <c:pt idx="155">
                  <c:v>507.49</c:v>
                </c:pt>
                <c:pt idx="156">
                  <c:v>493.79</c:v>
                </c:pt>
                <c:pt idx="157">
                  <c:v>487.12</c:v>
                </c:pt>
                <c:pt idx="158">
                  <c:v>478.43</c:v>
                </c:pt>
                <c:pt idx="159">
                  <c:v>472.12</c:v>
                </c:pt>
                <c:pt idx="160">
                  <c:v>474</c:v>
                </c:pt>
                <c:pt idx="161">
                  <c:v>476.99</c:v>
                </c:pt>
                <c:pt idx="162">
                  <c:v>485.5</c:v>
                </c:pt>
                <c:pt idx="163">
                  <c:v>492.01</c:v>
                </c:pt>
                <c:pt idx="164">
                  <c:v>486.74</c:v>
                </c:pt>
                <c:pt idx="165">
                  <c:v>490</c:v>
                </c:pt>
                <c:pt idx="166">
                  <c:v>477.73</c:v>
                </c:pt>
                <c:pt idx="167">
                  <c:v>480.84</c:v>
                </c:pt>
                <c:pt idx="168">
                  <c:v>483.16</c:v>
                </c:pt>
                <c:pt idx="169">
                  <c:v>491.02</c:v>
                </c:pt>
                <c:pt idx="170">
                  <c:v>492.02</c:v>
                </c:pt>
                <c:pt idx="171">
                  <c:v>478.56</c:v>
                </c:pt>
                <c:pt idx="172">
                  <c:v>483.47</c:v>
                </c:pt>
                <c:pt idx="173">
                  <c:v>478.53</c:v>
                </c:pt>
                <c:pt idx="174">
                  <c:v>474.82</c:v>
                </c:pt>
                <c:pt idx="175">
                  <c:v>476.39</c:v>
                </c:pt>
                <c:pt idx="176">
                  <c:v>476.12</c:v>
                </c:pt>
                <c:pt idx="177">
                  <c:v>483.98</c:v>
                </c:pt>
                <c:pt idx="178">
                  <c:v>485.92</c:v>
                </c:pt>
                <c:pt idx="179">
                  <c:v>484.92</c:v>
                </c:pt>
                <c:pt idx="180">
                  <c:v>486.85</c:v>
                </c:pt>
                <c:pt idx="181">
                  <c:v>488.02</c:v>
                </c:pt>
                <c:pt idx="182">
                  <c:v>487.71</c:v>
                </c:pt>
                <c:pt idx="183">
                  <c:v>487.1</c:v>
                </c:pt>
                <c:pt idx="184">
                  <c:v>487.48</c:v>
                </c:pt>
                <c:pt idx="185">
                  <c:v>483.62</c:v>
                </c:pt>
                <c:pt idx="186">
                  <c:v>472.94</c:v>
                </c:pt>
                <c:pt idx="187">
                  <c:v>472.85</c:v>
                </c:pt>
                <c:pt idx="188">
                  <c:v>478.51</c:v>
                </c:pt>
                <c:pt idx="189">
                  <c:v>483.47</c:v>
                </c:pt>
                <c:pt idx="190">
                  <c:v>478.11</c:v>
                </c:pt>
                <c:pt idx="191">
                  <c:v>479.28</c:v>
                </c:pt>
                <c:pt idx="192">
                  <c:v>477.18</c:v>
                </c:pt>
                <c:pt idx="193">
                  <c:v>470.67</c:v>
                </c:pt>
                <c:pt idx="194">
                  <c:v>459.38</c:v>
                </c:pt>
                <c:pt idx="195">
                  <c:v>456.66</c:v>
                </c:pt>
                <c:pt idx="196">
                  <c:v>459.86</c:v>
                </c:pt>
                <c:pt idx="197">
                  <c:v>454.52</c:v>
                </c:pt>
                <c:pt idx="198">
                  <c:v>444.11</c:v>
                </c:pt>
                <c:pt idx="199">
                  <c:v>451.14</c:v>
                </c:pt>
                <c:pt idx="200">
                  <c:v>465.95</c:v>
                </c:pt>
                <c:pt idx="201">
                  <c:v>470.28</c:v>
                </c:pt>
                <c:pt idx="202">
                  <c:v>480.58</c:v>
                </c:pt>
                <c:pt idx="203">
                  <c:v>481.63</c:v>
                </c:pt>
                <c:pt idx="204">
                  <c:v>433.5</c:v>
                </c:pt>
                <c:pt idx="205">
                  <c:v>430.29</c:v>
                </c:pt>
                <c:pt idx="206">
                  <c:v>423.37</c:v>
                </c:pt>
                <c:pt idx="207">
                  <c:v>411.21</c:v>
                </c:pt>
                <c:pt idx="208">
                  <c:v>414.19</c:v>
                </c:pt>
                <c:pt idx="209">
                  <c:v>393.67</c:v>
                </c:pt>
                <c:pt idx="210">
                  <c:v>401.14</c:v>
                </c:pt>
                <c:pt idx="211">
                  <c:v>413.6</c:v>
                </c:pt>
                <c:pt idx="212">
                  <c:v>413.27</c:v>
                </c:pt>
                <c:pt idx="213">
                  <c:v>404.37</c:v>
                </c:pt>
                <c:pt idx="214">
                  <c:v>401.84</c:v>
                </c:pt>
                <c:pt idx="215">
                  <c:v>401.32</c:v>
                </c:pt>
                <c:pt idx="216">
                  <c:v>396.86</c:v>
                </c:pt>
                <c:pt idx="217">
                  <c:v>399.6</c:v>
                </c:pt>
                <c:pt idx="218">
                  <c:v>398.46</c:v>
                </c:pt>
                <c:pt idx="219">
                  <c:v>397.23</c:v>
                </c:pt>
                <c:pt idx="220">
                  <c:v>384.47</c:v>
                </c:pt>
                <c:pt idx="221">
                  <c:v>389</c:v>
                </c:pt>
                <c:pt idx="222">
                  <c:v>400.6</c:v>
                </c:pt>
                <c:pt idx="223">
                  <c:v>401.72</c:v>
                </c:pt>
                <c:pt idx="224">
                  <c:v>392.74</c:v>
                </c:pt>
                <c:pt idx="225">
                  <c:v>398.55</c:v>
                </c:pt>
                <c:pt idx="226">
                  <c:v>403.93</c:v>
                </c:pt>
                <c:pt idx="227">
                  <c:v>405.2</c:v>
                </c:pt>
                <c:pt idx="228">
                  <c:v>410.68</c:v>
                </c:pt>
                <c:pt idx="229">
                  <c:v>408.96</c:v>
                </c:pt>
                <c:pt idx="230">
                  <c:v>409.41</c:v>
                </c:pt>
                <c:pt idx="231">
                  <c:v>405.76</c:v>
                </c:pt>
                <c:pt idx="232">
                  <c:v>404.88</c:v>
                </c:pt>
                <c:pt idx="233">
                  <c:v>401.86</c:v>
                </c:pt>
                <c:pt idx="234">
                  <c:v>395.55</c:v>
                </c:pt>
                <c:pt idx="235">
                  <c:v>399.95</c:v>
                </c:pt>
                <c:pt idx="236">
                  <c:v>399.41</c:v>
                </c:pt>
                <c:pt idx="237">
                  <c:v>391.79</c:v>
                </c:pt>
                <c:pt idx="238">
                  <c:v>389.02</c:v>
                </c:pt>
                <c:pt idx="239">
                  <c:v>381.87</c:v>
                </c:pt>
                <c:pt idx="240">
                  <c:v>383</c:v>
                </c:pt>
                <c:pt idx="241">
                  <c:v>372.74</c:v>
                </c:pt>
                <c:pt idx="242">
                  <c:v>371.04</c:v>
                </c:pt>
                <c:pt idx="243">
                  <c:v>365.97</c:v>
                </c:pt>
                <c:pt idx="244">
                  <c:v>356.77</c:v>
                </c:pt>
                <c:pt idx="245">
                  <c:v>358.96</c:v>
                </c:pt>
                <c:pt idx="246">
                  <c:v>370.17</c:v>
                </c:pt>
                <c:pt idx="247">
                  <c:v>369.37</c:v>
                </c:pt>
                <c:pt idx="248">
                  <c:v>373.46</c:v>
                </c:pt>
              </c:numCache>
            </c:numRef>
          </c:val>
          <c:extLst>
            <c:ext xmlns:c16="http://schemas.microsoft.com/office/drawing/2014/chart" uri="{C3380CC4-5D6E-409C-BE32-E72D297353CC}">
              <c16:uniqueId val="{00000000-8D09-446A-B7B8-F458358EEB60}"/>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GS!$B$1</c:f>
          <c:strCache>
            <c:ptCount val="1"/>
            <c:pt idx="0">
              <c:v>THE GOLDMAN SACHS GROUP, INC. (XNYS:GS)</c:v>
            </c:pt>
          </c:strCache>
        </c:strRef>
      </c:tx>
      <c:layout>
        <c:manualLayout>
          <c:xMode val="edge"/>
          <c:yMode val="edge"/>
          <c:x val="0.23316712421039931"/>
          <c:y val="1.53747566672369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clustered"/>
        <c:varyColors val="0"/>
        <c:ser>
          <c:idx val="0"/>
          <c:order val="0"/>
          <c:tx>
            <c:strRef>
              <c:f>GS!$B$6</c:f>
              <c:strCache>
                <c:ptCount val="1"/>
                <c:pt idx="0">
                  <c:v>Volume</c:v>
                </c:pt>
              </c:strCache>
            </c:strRef>
          </c:tx>
          <c:spPr>
            <a:solidFill>
              <a:schemeClr val="accent1"/>
            </a:solidFill>
            <a:ln w="38100">
              <a:noFill/>
            </a:ln>
            <a:effectLst/>
          </c:spPr>
          <c:invertIfNegative val="0"/>
          <c:cat>
            <c:numRef>
              <c:f>GS!$A$7:$A$27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GS!$B$7:$B$27</c:f>
              <c:numCache>
                <c:formatCode>#,##0</c:formatCode>
                <c:ptCount val="21"/>
                <c:pt idx="0">
                  <c:v>3258185</c:v>
                </c:pt>
                <c:pt idx="1">
                  <c:v>1871901</c:v>
                </c:pt>
                <c:pt idx="2">
                  <c:v>2236531</c:v>
                </c:pt>
                <c:pt idx="3">
                  <c:v>3533042</c:v>
                </c:pt>
                <c:pt idx="4">
                  <c:v>2567411</c:v>
                </c:pt>
                <c:pt idx="5">
                  <c:v>2082689</c:v>
                </c:pt>
                <c:pt idx="6">
                  <c:v>1955568</c:v>
                </c:pt>
                <c:pt idx="7">
                  <c:v>1541291</c:v>
                </c:pt>
                <c:pt idx="8">
                  <c:v>1765919</c:v>
                </c:pt>
                <c:pt idx="9">
                  <c:v>3918407</c:v>
                </c:pt>
                <c:pt idx="10">
                  <c:v>2190280</c:v>
                </c:pt>
                <c:pt idx="11">
                  <c:v>1656051</c:v>
                </c:pt>
                <c:pt idx="12">
                  <c:v>1628908</c:v>
                </c:pt>
                <c:pt idx="13">
                  <c:v>2052166</c:v>
                </c:pt>
                <c:pt idx="14">
                  <c:v>2106773</c:v>
                </c:pt>
                <c:pt idx="15">
                  <c:v>1621403</c:v>
                </c:pt>
                <c:pt idx="16">
                  <c:v>2689828</c:v>
                </c:pt>
                <c:pt idx="17">
                  <c:v>1803625</c:v>
                </c:pt>
                <c:pt idx="18">
                  <c:v>1717678</c:v>
                </c:pt>
              </c:numCache>
            </c:numRef>
          </c:val>
          <c:extLst>
            <c:ext xmlns:c16="http://schemas.microsoft.com/office/drawing/2014/chart" uri="{C3380CC4-5D6E-409C-BE32-E72D297353CC}">
              <c16:uniqueId val="{00000000-544B-40F8-8E68-2813BA02C889}"/>
            </c:ext>
          </c:extLst>
        </c:ser>
        <c:dLbls>
          <c:showLegendKey val="0"/>
          <c:showVal val="0"/>
          <c:showCatName val="0"/>
          <c:showSerName val="0"/>
          <c:showPercent val="0"/>
          <c:showBubbleSize val="0"/>
        </c:dLbls>
        <c:gapWidth val="150"/>
        <c:axId val="1641718448"/>
        <c:axId val="1641718928"/>
      </c:barChart>
      <c:stockChart>
        <c:ser>
          <c:idx val="1"/>
          <c:order val="1"/>
          <c:tx>
            <c:strRef>
              <c:f>GS!$C$6</c:f>
              <c:strCache>
                <c:ptCount val="1"/>
                <c:pt idx="0">
                  <c:v>Open</c:v>
                </c:pt>
              </c:strCache>
            </c:strRef>
          </c:tx>
          <c:spPr>
            <a:ln w="38100" cap="rnd">
              <a:noFill/>
              <a:round/>
            </a:ln>
            <a:effectLst/>
          </c:spPr>
          <c:marker>
            <c:symbol val="none"/>
          </c:marker>
          <c:cat>
            <c:numRef>
              <c:f>GS!$A$7:$A$27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GS!$C$7:$C$27</c:f>
              <c:numCache>
                <c:formatCode>_([$$-409]* #,##0.00_);_([$$-409]* \(#,##0.00\);_([$$-409]* "-"??_);_(@_)</c:formatCode>
                <c:ptCount val="21"/>
                <c:pt idx="0">
                  <c:v>810</c:v>
                </c:pt>
                <c:pt idx="1">
                  <c:v>834.68</c:v>
                </c:pt>
                <c:pt idx="2">
                  <c:v>829.95</c:v>
                </c:pt>
                <c:pt idx="3">
                  <c:v>805.32</c:v>
                </c:pt>
                <c:pt idx="4">
                  <c:v>789.36</c:v>
                </c:pt>
                <c:pt idx="5">
                  <c:v>792</c:v>
                </c:pt>
                <c:pt idx="6">
                  <c:v>806.3</c:v>
                </c:pt>
                <c:pt idx="7">
                  <c:v>801</c:v>
                </c:pt>
                <c:pt idx="8">
                  <c:v>792.93</c:v>
                </c:pt>
                <c:pt idx="9">
                  <c:v>807</c:v>
                </c:pt>
                <c:pt idx="10">
                  <c:v>833</c:v>
                </c:pt>
                <c:pt idx="11">
                  <c:v>824.93</c:v>
                </c:pt>
                <c:pt idx="12">
                  <c:v>845.01</c:v>
                </c:pt>
                <c:pt idx="13">
                  <c:v>833.79</c:v>
                </c:pt>
                <c:pt idx="14">
                  <c:v>813.67</c:v>
                </c:pt>
                <c:pt idx="15">
                  <c:v>811.12</c:v>
                </c:pt>
                <c:pt idx="16">
                  <c:v>823.9</c:v>
                </c:pt>
                <c:pt idx="17">
                  <c:v>859.95</c:v>
                </c:pt>
                <c:pt idx="18">
                  <c:v>838.39</c:v>
                </c:pt>
              </c:numCache>
            </c:numRef>
          </c:val>
          <c:smooth val="0"/>
          <c:extLst>
            <c:ext xmlns:c16="http://schemas.microsoft.com/office/drawing/2014/chart" uri="{C3380CC4-5D6E-409C-BE32-E72D297353CC}">
              <c16:uniqueId val="{00000001-544B-40F8-8E68-2813BA02C889}"/>
            </c:ext>
          </c:extLst>
        </c:ser>
        <c:ser>
          <c:idx val="2"/>
          <c:order val="2"/>
          <c:tx>
            <c:strRef>
              <c:f>GS!$D$6</c:f>
              <c:strCache>
                <c:ptCount val="1"/>
                <c:pt idx="0">
                  <c:v>High</c:v>
                </c:pt>
              </c:strCache>
            </c:strRef>
          </c:tx>
          <c:spPr>
            <a:ln w="38100" cap="rnd">
              <a:noFill/>
              <a:round/>
            </a:ln>
            <a:effectLst/>
          </c:spPr>
          <c:marker>
            <c:symbol val="none"/>
          </c:marker>
          <c:cat>
            <c:numRef>
              <c:f>GS!$A$7:$A$27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GS!$D$7:$D$27</c:f>
              <c:numCache>
                <c:formatCode>_([$$-409]* #,##0.00_);_([$$-409]* \(#,##0.00\);_([$$-409]* "-"??_);_(@_)</c:formatCode>
                <c:ptCount val="21"/>
                <c:pt idx="0">
                  <c:v>836.68</c:v>
                </c:pt>
                <c:pt idx="1">
                  <c:v>846.09</c:v>
                </c:pt>
                <c:pt idx="2">
                  <c:v>832.80250000000001</c:v>
                </c:pt>
                <c:pt idx="3">
                  <c:v>807.21</c:v>
                </c:pt>
                <c:pt idx="4">
                  <c:v>798</c:v>
                </c:pt>
                <c:pt idx="5">
                  <c:v>805.45500000000004</c:v>
                </c:pt>
                <c:pt idx="6">
                  <c:v>820.44</c:v>
                </c:pt>
                <c:pt idx="7">
                  <c:v>816.19</c:v>
                </c:pt>
                <c:pt idx="8">
                  <c:v>816.18</c:v>
                </c:pt>
                <c:pt idx="9">
                  <c:v>827.23</c:v>
                </c:pt>
                <c:pt idx="10">
                  <c:v>849.53</c:v>
                </c:pt>
                <c:pt idx="11">
                  <c:v>844.5</c:v>
                </c:pt>
                <c:pt idx="12">
                  <c:v>854.75</c:v>
                </c:pt>
                <c:pt idx="13">
                  <c:v>844.8</c:v>
                </c:pt>
                <c:pt idx="14">
                  <c:v>817.1</c:v>
                </c:pt>
                <c:pt idx="15">
                  <c:v>818.63250000000005</c:v>
                </c:pt>
                <c:pt idx="16">
                  <c:v>848.5</c:v>
                </c:pt>
                <c:pt idx="17">
                  <c:v>870.2</c:v>
                </c:pt>
                <c:pt idx="18">
                  <c:v>867.3</c:v>
                </c:pt>
              </c:numCache>
            </c:numRef>
          </c:val>
          <c:smooth val="0"/>
          <c:extLst>
            <c:ext xmlns:c16="http://schemas.microsoft.com/office/drawing/2014/chart" uri="{C3380CC4-5D6E-409C-BE32-E72D297353CC}">
              <c16:uniqueId val="{00000002-544B-40F8-8E68-2813BA02C889}"/>
            </c:ext>
          </c:extLst>
        </c:ser>
        <c:ser>
          <c:idx val="3"/>
          <c:order val="3"/>
          <c:tx>
            <c:strRef>
              <c:f>GS!$E$6</c:f>
              <c:strCache>
                <c:ptCount val="1"/>
                <c:pt idx="0">
                  <c:v>Low</c:v>
                </c:pt>
              </c:strCache>
            </c:strRef>
          </c:tx>
          <c:spPr>
            <a:ln w="38100" cap="rnd">
              <a:noFill/>
              <a:round/>
            </a:ln>
            <a:effectLst/>
          </c:spPr>
          <c:marker>
            <c:symbol val="none"/>
          </c:marker>
          <c:cat>
            <c:numRef>
              <c:f>GS!$A$7:$A$27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GS!$E$7:$E$27</c:f>
              <c:numCache>
                <c:formatCode>_([$$-409]* #,##0.00_);_([$$-409]* \(#,##0.00\);_([$$-409]* "-"??_);_(@_)</c:formatCode>
                <c:ptCount val="21"/>
                <c:pt idx="0">
                  <c:v>795</c:v>
                </c:pt>
                <c:pt idx="1">
                  <c:v>826.35</c:v>
                </c:pt>
                <c:pt idx="2">
                  <c:v>810.54</c:v>
                </c:pt>
                <c:pt idx="3">
                  <c:v>784.1</c:v>
                </c:pt>
                <c:pt idx="4">
                  <c:v>780.5</c:v>
                </c:pt>
                <c:pt idx="5">
                  <c:v>790</c:v>
                </c:pt>
                <c:pt idx="6">
                  <c:v>803.47</c:v>
                </c:pt>
                <c:pt idx="7">
                  <c:v>801</c:v>
                </c:pt>
                <c:pt idx="8">
                  <c:v>790.59</c:v>
                </c:pt>
                <c:pt idx="9">
                  <c:v>804.92650000000003</c:v>
                </c:pt>
                <c:pt idx="10">
                  <c:v>829</c:v>
                </c:pt>
                <c:pt idx="11">
                  <c:v>818</c:v>
                </c:pt>
                <c:pt idx="12">
                  <c:v>833.90009999999995</c:v>
                </c:pt>
                <c:pt idx="13">
                  <c:v>816.11</c:v>
                </c:pt>
                <c:pt idx="14">
                  <c:v>797.78</c:v>
                </c:pt>
                <c:pt idx="15">
                  <c:v>801.88</c:v>
                </c:pt>
                <c:pt idx="16">
                  <c:v>810</c:v>
                </c:pt>
                <c:pt idx="17">
                  <c:v>850.15</c:v>
                </c:pt>
                <c:pt idx="18">
                  <c:v>831</c:v>
                </c:pt>
              </c:numCache>
            </c:numRef>
          </c:val>
          <c:smooth val="0"/>
          <c:extLst>
            <c:ext xmlns:c16="http://schemas.microsoft.com/office/drawing/2014/chart" uri="{C3380CC4-5D6E-409C-BE32-E72D297353CC}">
              <c16:uniqueId val="{00000003-544B-40F8-8E68-2813BA02C889}"/>
            </c:ext>
          </c:extLst>
        </c:ser>
        <c:ser>
          <c:idx val="4"/>
          <c:order val="4"/>
          <c:tx>
            <c:strRef>
              <c:f>GS!$F$6</c:f>
              <c:strCache>
                <c:ptCount val="1"/>
                <c:pt idx="0">
                  <c:v>Close</c:v>
                </c:pt>
              </c:strCache>
            </c:strRef>
          </c:tx>
          <c:spPr>
            <a:ln w="38100" cap="rnd">
              <a:noFill/>
              <a:round/>
            </a:ln>
            <a:effectLst/>
          </c:spPr>
          <c:marker>
            <c:symbol val="none"/>
          </c:marker>
          <c:cat>
            <c:numRef>
              <c:f>GS!$A$7:$A$27</c:f>
              <c:numCache>
                <c:formatCode>m/d/yyyy</c:formatCode>
                <c:ptCount val="21"/>
                <c:pt idx="0">
                  <c:v>46090</c:v>
                </c:pt>
                <c:pt idx="1">
                  <c:v>46091</c:v>
                </c:pt>
                <c:pt idx="2">
                  <c:v>46092</c:v>
                </c:pt>
                <c:pt idx="3">
                  <c:v>46093</c:v>
                </c:pt>
                <c:pt idx="4">
                  <c:v>46094</c:v>
                </c:pt>
                <c:pt idx="5">
                  <c:v>46097</c:v>
                </c:pt>
                <c:pt idx="6">
                  <c:v>46098</c:v>
                </c:pt>
                <c:pt idx="7">
                  <c:v>46099</c:v>
                </c:pt>
                <c:pt idx="8">
                  <c:v>46100</c:v>
                </c:pt>
                <c:pt idx="9">
                  <c:v>46101</c:v>
                </c:pt>
                <c:pt idx="10">
                  <c:v>46104</c:v>
                </c:pt>
                <c:pt idx="11">
                  <c:v>46105</c:v>
                </c:pt>
                <c:pt idx="12">
                  <c:v>46106</c:v>
                </c:pt>
                <c:pt idx="13">
                  <c:v>46107</c:v>
                </c:pt>
                <c:pt idx="14">
                  <c:v>46108</c:v>
                </c:pt>
                <c:pt idx="15">
                  <c:v>46111</c:v>
                </c:pt>
                <c:pt idx="16">
                  <c:v>46112</c:v>
                </c:pt>
                <c:pt idx="17">
                  <c:v>46113</c:v>
                </c:pt>
                <c:pt idx="18">
                  <c:v>46114</c:v>
                </c:pt>
              </c:numCache>
            </c:numRef>
          </c:cat>
          <c:val>
            <c:numRef>
              <c:f>GS!$F$7:$F$27</c:f>
              <c:numCache>
                <c:formatCode>_([$$-409]* #,##0.00_);_([$$-409]* \(#,##0.00\);_([$$-409]* "-"??_);_(@_)</c:formatCode>
                <c:ptCount val="21"/>
                <c:pt idx="0">
                  <c:v>832.03</c:v>
                </c:pt>
                <c:pt idx="1">
                  <c:v>833.81</c:v>
                </c:pt>
                <c:pt idx="2">
                  <c:v>823.76</c:v>
                </c:pt>
                <c:pt idx="3">
                  <c:v>787.52</c:v>
                </c:pt>
                <c:pt idx="4">
                  <c:v>782.21</c:v>
                </c:pt>
                <c:pt idx="5">
                  <c:v>794.77</c:v>
                </c:pt>
                <c:pt idx="6">
                  <c:v>807.04</c:v>
                </c:pt>
                <c:pt idx="7">
                  <c:v>805.48</c:v>
                </c:pt>
                <c:pt idx="8">
                  <c:v>809.5</c:v>
                </c:pt>
                <c:pt idx="9">
                  <c:v>813.53</c:v>
                </c:pt>
                <c:pt idx="10">
                  <c:v>831.27</c:v>
                </c:pt>
                <c:pt idx="11">
                  <c:v>835.72</c:v>
                </c:pt>
                <c:pt idx="12">
                  <c:v>841.84</c:v>
                </c:pt>
                <c:pt idx="13">
                  <c:v>822.64</c:v>
                </c:pt>
                <c:pt idx="14">
                  <c:v>802.89</c:v>
                </c:pt>
                <c:pt idx="15">
                  <c:v>807.6</c:v>
                </c:pt>
                <c:pt idx="16">
                  <c:v>845.99</c:v>
                </c:pt>
                <c:pt idx="17">
                  <c:v>860.21</c:v>
                </c:pt>
                <c:pt idx="18">
                  <c:v>863.04</c:v>
                </c:pt>
              </c:numCache>
            </c:numRef>
          </c:val>
          <c:smooth val="0"/>
          <c:extLst>
            <c:ext xmlns:c16="http://schemas.microsoft.com/office/drawing/2014/chart" uri="{C3380CC4-5D6E-409C-BE32-E72D297353CC}">
              <c16:uniqueId val="{00000004-544B-40F8-8E68-2813BA02C88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641844592"/>
        <c:axId val="1948494816"/>
      </c:stockChart>
      <c:dateAx>
        <c:axId val="1641718448"/>
        <c:scaling>
          <c:orientation val="minMax"/>
        </c:scaling>
        <c:delete val="0"/>
        <c:axPos val="b"/>
        <c:numFmt formatCode="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928"/>
        <c:crosses val="autoZero"/>
        <c:auto val="1"/>
        <c:lblOffset val="100"/>
        <c:baseTimeUnit val="days"/>
      </c:dateAx>
      <c:valAx>
        <c:axId val="164171892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718448"/>
        <c:crosses val="autoZero"/>
        <c:crossBetween val="between"/>
      </c:valAx>
      <c:valAx>
        <c:axId val="1948494816"/>
        <c:scaling>
          <c:orientation val="minMax"/>
        </c:scaling>
        <c:delete val="0"/>
        <c:axPos val="r"/>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641844592"/>
        <c:crosses val="max"/>
        <c:crossBetween val="between"/>
      </c:valAx>
      <c:dateAx>
        <c:axId val="1641844592"/>
        <c:scaling>
          <c:orientation val="minMax"/>
        </c:scaling>
        <c:delete val="1"/>
        <c:axPos val="b"/>
        <c:numFmt formatCode="m/d/yyyy" sourceLinked="1"/>
        <c:majorTickMark val="out"/>
        <c:minorTickMark val="none"/>
        <c:tickLblPos val="nextTo"/>
        <c:crossAx val="1948494816"/>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Close Last 12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0.1035513225517469"/>
          <c:y val="0.12968531468531469"/>
          <c:w val="0.88247662156002959"/>
          <c:h val="0.83185314685314682"/>
        </c:manualLayout>
      </c:layout>
      <c:areaChart>
        <c:grouping val="standard"/>
        <c:varyColors val="0"/>
        <c:ser>
          <c:idx val="0"/>
          <c:order val="0"/>
          <c:spPr>
            <a:gradFill>
              <a:gsLst>
                <a:gs pos="96000">
                  <a:schemeClr val="accent1">
                    <a:lumMod val="5000"/>
                    <a:lumOff val="95000"/>
                  </a:schemeClr>
                </a:gs>
                <a:gs pos="43000">
                  <a:srgbClr val="417A85"/>
                </a:gs>
                <a:gs pos="76000">
                  <a:srgbClr val="417A85"/>
                </a:gs>
              </a:gsLst>
              <a:lin ang="5400000" scaled="1"/>
            </a:gradFill>
            <a:ln>
              <a:noFill/>
            </a:ln>
            <a:effectLst/>
          </c:spPr>
          <c:val>
            <c:numRef>
              <c:f>GS!$C$4:$IR$4</c:f>
              <c:numCache>
                <c:formatCode>_([$$-409]* #,##0.00_);_([$$-409]* \(#,##0.00\);_([$$-409]* "-"??_);_(@_)</c:formatCode>
                <c:ptCount val="250"/>
                <c:pt idx="0">
                  <c:v>465.51</c:v>
                </c:pt>
                <c:pt idx="1">
                  <c:v>462.22</c:v>
                </c:pt>
                <c:pt idx="2">
                  <c:v>516.87</c:v>
                </c:pt>
                <c:pt idx="3">
                  <c:v>489.8</c:v>
                </c:pt>
                <c:pt idx="4">
                  <c:v>494.44</c:v>
                </c:pt>
                <c:pt idx="5">
                  <c:v>503.98</c:v>
                </c:pt>
                <c:pt idx="6">
                  <c:v>507.89</c:v>
                </c:pt>
                <c:pt idx="7">
                  <c:v>499.05</c:v>
                </c:pt>
                <c:pt idx="8">
                  <c:v>509.49</c:v>
                </c:pt>
                <c:pt idx="9">
                  <c:v>501.36</c:v>
                </c:pt>
                <c:pt idx="10">
                  <c:v>519.99</c:v>
                </c:pt>
                <c:pt idx="11">
                  <c:v>529.30999999999995</c:v>
                </c:pt>
                <c:pt idx="12">
                  <c:v>545.37</c:v>
                </c:pt>
                <c:pt idx="13">
                  <c:v>544.86</c:v>
                </c:pt>
                <c:pt idx="14">
                  <c:v>546.4</c:v>
                </c:pt>
                <c:pt idx="15">
                  <c:v>548.91999999999996</c:v>
                </c:pt>
                <c:pt idx="16">
                  <c:v>547.54999999999995</c:v>
                </c:pt>
                <c:pt idx="17">
                  <c:v>553.83000000000004</c:v>
                </c:pt>
                <c:pt idx="18">
                  <c:v>566.1</c:v>
                </c:pt>
                <c:pt idx="19">
                  <c:v>559.55999999999995</c:v>
                </c:pt>
                <c:pt idx="20">
                  <c:v>549.36</c:v>
                </c:pt>
                <c:pt idx="21">
                  <c:v>551.91999999999996</c:v>
                </c:pt>
                <c:pt idx="22">
                  <c:v>565.70000000000005</c:v>
                </c:pt>
                <c:pt idx="23">
                  <c:v>567.1</c:v>
                </c:pt>
                <c:pt idx="24">
                  <c:v>591.34</c:v>
                </c:pt>
                <c:pt idx="25">
                  <c:v>603.80999999999995</c:v>
                </c:pt>
                <c:pt idx="26">
                  <c:v>611.6</c:v>
                </c:pt>
                <c:pt idx="27">
                  <c:v>615.9</c:v>
                </c:pt>
                <c:pt idx="28">
                  <c:v>619.03</c:v>
                </c:pt>
                <c:pt idx="29">
                  <c:v>612.29999999999995</c:v>
                </c:pt>
                <c:pt idx="30">
                  <c:v>606.52</c:v>
                </c:pt>
                <c:pt idx="31">
                  <c:v>593.46</c:v>
                </c:pt>
                <c:pt idx="32">
                  <c:v>598.23</c:v>
                </c:pt>
                <c:pt idx="33">
                  <c:v>598.54</c:v>
                </c:pt>
                <c:pt idx="34">
                  <c:v>615.73</c:v>
                </c:pt>
                <c:pt idx="35">
                  <c:v>608.44000000000005</c:v>
                </c:pt>
                <c:pt idx="36">
                  <c:v>604.86</c:v>
                </c:pt>
                <c:pt idx="37">
                  <c:v>600.45000000000005</c:v>
                </c:pt>
                <c:pt idx="38">
                  <c:v>598.72</c:v>
                </c:pt>
                <c:pt idx="39">
                  <c:v>603.83000000000004</c:v>
                </c:pt>
                <c:pt idx="40">
                  <c:v>599.21</c:v>
                </c:pt>
                <c:pt idx="41">
                  <c:v>605.88</c:v>
                </c:pt>
                <c:pt idx="42">
                  <c:v>614</c:v>
                </c:pt>
                <c:pt idx="43">
                  <c:v>613.52</c:v>
                </c:pt>
                <c:pt idx="44">
                  <c:v>614.87</c:v>
                </c:pt>
                <c:pt idx="45">
                  <c:v>624.16999999999996</c:v>
                </c:pt>
                <c:pt idx="46">
                  <c:v>625.11</c:v>
                </c:pt>
                <c:pt idx="47">
                  <c:v>613.54</c:v>
                </c:pt>
                <c:pt idx="48">
                  <c:v>627.85</c:v>
                </c:pt>
                <c:pt idx="49">
                  <c:v>624.64</c:v>
                </c:pt>
                <c:pt idx="50">
                  <c:v>635.24</c:v>
                </c:pt>
                <c:pt idx="51">
                  <c:v>640.79999999999995</c:v>
                </c:pt>
                <c:pt idx="52">
                  <c:v>646.88</c:v>
                </c:pt>
                <c:pt idx="53">
                  <c:v>662.11</c:v>
                </c:pt>
                <c:pt idx="54">
                  <c:v>669.87</c:v>
                </c:pt>
                <c:pt idx="55">
                  <c:v>687.16</c:v>
                </c:pt>
                <c:pt idx="56">
                  <c:v>690.81</c:v>
                </c:pt>
                <c:pt idx="57">
                  <c:v>707.75</c:v>
                </c:pt>
                <c:pt idx="58">
                  <c:v>706.46</c:v>
                </c:pt>
                <c:pt idx="59">
                  <c:v>715.89</c:v>
                </c:pt>
                <c:pt idx="60">
                  <c:v>723.68</c:v>
                </c:pt>
                <c:pt idx="61">
                  <c:v>710.93</c:v>
                </c:pt>
                <c:pt idx="62">
                  <c:v>697.28</c:v>
                </c:pt>
                <c:pt idx="63">
                  <c:v>696.56</c:v>
                </c:pt>
                <c:pt idx="64">
                  <c:v>709.12</c:v>
                </c:pt>
                <c:pt idx="65">
                  <c:v>704.95</c:v>
                </c:pt>
                <c:pt idx="66">
                  <c:v>713.3</c:v>
                </c:pt>
                <c:pt idx="67">
                  <c:v>702.51</c:v>
                </c:pt>
                <c:pt idx="68">
                  <c:v>708.82</c:v>
                </c:pt>
                <c:pt idx="69">
                  <c:v>705.84</c:v>
                </c:pt>
                <c:pt idx="70">
                  <c:v>708.26</c:v>
                </c:pt>
                <c:pt idx="71">
                  <c:v>706</c:v>
                </c:pt>
                <c:pt idx="72">
                  <c:v>700.41</c:v>
                </c:pt>
                <c:pt idx="73">
                  <c:v>717.52</c:v>
                </c:pt>
                <c:pt idx="74">
                  <c:v>719.18</c:v>
                </c:pt>
                <c:pt idx="75">
                  <c:v>728.98</c:v>
                </c:pt>
                <c:pt idx="76">
                  <c:v>723.65</c:v>
                </c:pt>
                <c:pt idx="77">
                  <c:v>731.98</c:v>
                </c:pt>
                <c:pt idx="78">
                  <c:v>730.75</c:v>
                </c:pt>
                <c:pt idx="79">
                  <c:v>723.59</c:v>
                </c:pt>
                <c:pt idx="80">
                  <c:v>709.57</c:v>
                </c:pt>
                <c:pt idx="81">
                  <c:v>726.03</c:v>
                </c:pt>
                <c:pt idx="82">
                  <c:v>720.91</c:v>
                </c:pt>
                <c:pt idx="83">
                  <c:v>724.74</c:v>
                </c:pt>
                <c:pt idx="84">
                  <c:v>719.74</c:v>
                </c:pt>
                <c:pt idx="85">
                  <c:v>721.27</c:v>
                </c:pt>
                <c:pt idx="86">
                  <c:v>719.24</c:v>
                </c:pt>
                <c:pt idx="87">
                  <c:v>743.38</c:v>
                </c:pt>
                <c:pt idx="88">
                  <c:v>744.69</c:v>
                </c:pt>
                <c:pt idx="89">
                  <c:v>747.2</c:v>
                </c:pt>
                <c:pt idx="90">
                  <c:v>730.72</c:v>
                </c:pt>
                <c:pt idx="91">
                  <c:v>730.96</c:v>
                </c:pt>
                <c:pt idx="92">
                  <c:v>721.38</c:v>
                </c:pt>
                <c:pt idx="93">
                  <c:v>720.68</c:v>
                </c:pt>
                <c:pt idx="94">
                  <c:v>715.95</c:v>
                </c:pt>
                <c:pt idx="95">
                  <c:v>741.89</c:v>
                </c:pt>
                <c:pt idx="96">
                  <c:v>738.79</c:v>
                </c:pt>
                <c:pt idx="97">
                  <c:v>748.95</c:v>
                </c:pt>
                <c:pt idx="98">
                  <c:v>749.67</c:v>
                </c:pt>
                <c:pt idx="99">
                  <c:v>751.22</c:v>
                </c:pt>
                <c:pt idx="100">
                  <c:v>745.25</c:v>
                </c:pt>
                <c:pt idx="101">
                  <c:v>730.85</c:v>
                </c:pt>
                <c:pt idx="102">
                  <c:v>730.56</c:v>
                </c:pt>
                <c:pt idx="103">
                  <c:v>748.9</c:v>
                </c:pt>
                <c:pt idx="104">
                  <c:v>738.21</c:v>
                </c:pt>
                <c:pt idx="105">
                  <c:v>741.85</c:v>
                </c:pt>
                <c:pt idx="106">
                  <c:v>763.92</c:v>
                </c:pt>
                <c:pt idx="107">
                  <c:v>769.58</c:v>
                </c:pt>
                <c:pt idx="108">
                  <c:v>784.73</c:v>
                </c:pt>
                <c:pt idx="109">
                  <c:v>780.06</c:v>
                </c:pt>
                <c:pt idx="110">
                  <c:v>786.76</c:v>
                </c:pt>
                <c:pt idx="111">
                  <c:v>785.53</c:v>
                </c:pt>
                <c:pt idx="112">
                  <c:v>794.22</c:v>
                </c:pt>
                <c:pt idx="113">
                  <c:v>804.31</c:v>
                </c:pt>
                <c:pt idx="114">
                  <c:v>805</c:v>
                </c:pt>
                <c:pt idx="115">
                  <c:v>805.56</c:v>
                </c:pt>
                <c:pt idx="116">
                  <c:v>806.32</c:v>
                </c:pt>
                <c:pt idx="117">
                  <c:v>792.43</c:v>
                </c:pt>
                <c:pt idx="118">
                  <c:v>794.76</c:v>
                </c:pt>
                <c:pt idx="119">
                  <c:v>802.51</c:v>
                </c:pt>
                <c:pt idx="120">
                  <c:v>804.12</c:v>
                </c:pt>
                <c:pt idx="121">
                  <c:v>796.35</c:v>
                </c:pt>
                <c:pt idx="122">
                  <c:v>785.51</c:v>
                </c:pt>
                <c:pt idx="123">
                  <c:v>779.38</c:v>
                </c:pt>
                <c:pt idx="124">
                  <c:v>789.98</c:v>
                </c:pt>
                <c:pt idx="125">
                  <c:v>796.78</c:v>
                </c:pt>
                <c:pt idx="126">
                  <c:v>789.65</c:v>
                </c:pt>
                <c:pt idx="127">
                  <c:v>776.51</c:v>
                </c:pt>
                <c:pt idx="128">
                  <c:v>779.96</c:v>
                </c:pt>
                <c:pt idx="129">
                  <c:v>764.36</c:v>
                </c:pt>
                <c:pt idx="130">
                  <c:v>786.78</c:v>
                </c:pt>
                <c:pt idx="131">
                  <c:v>770.76</c:v>
                </c:pt>
                <c:pt idx="132">
                  <c:v>767.93</c:v>
                </c:pt>
                <c:pt idx="133">
                  <c:v>758.09</c:v>
                </c:pt>
                <c:pt idx="134">
                  <c:v>750.77</c:v>
                </c:pt>
                <c:pt idx="135">
                  <c:v>763.32</c:v>
                </c:pt>
                <c:pt idx="136">
                  <c:v>758.98</c:v>
                </c:pt>
                <c:pt idx="137">
                  <c:v>744.6</c:v>
                </c:pt>
                <c:pt idx="138">
                  <c:v>750.78</c:v>
                </c:pt>
                <c:pt idx="139">
                  <c:v>783.88</c:v>
                </c:pt>
                <c:pt idx="140">
                  <c:v>789.99</c:v>
                </c:pt>
                <c:pt idx="141">
                  <c:v>792.09</c:v>
                </c:pt>
                <c:pt idx="142">
                  <c:v>783.06</c:v>
                </c:pt>
                <c:pt idx="143">
                  <c:v>790.16</c:v>
                </c:pt>
                <c:pt idx="144">
                  <c:v>789.37</c:v>
                </c:pt>
                <c:pt idx="145">
                  <c:v>785.52</c:v>
                </c:pt>
                <c:pt idx="146">
                  <c:v>790.83</c:v>
                </c:pt>
                <c:pt idx="147">
                  <c:v>793.09</c:v>
                </c:pt>
                <c:pt idx="148">
                  <c:v>787.58</c:v>
                </c:pt>
                <c:pt idx="149">
                  <c:v>786.34</c:v>
                </c:pt>
                <c:pt idx="150">
                  <c:v>797.2</c:v>
                </c:pt>
                <c:pt idx="151">
                  <c:v>810.31</c:v>
                </c:pt>
                <c:pt idx="152">
                  <c:v>838.97</c:v>
                </c:pt>
                <c:pt idx="153">
                  <c:v>805.5</c:v>
                </c:pt>
                <c:pt idx="154">
                  <c:v>790.91</c:v>
                </c:pt>
                <c:pt idx="155">
                  <c:v>775.56</c:v>
                </c:pt>
                <c:pt idx="156">
                  <c:v>776.3</c:v>
                </c:pt>
                <c:pt idx="157">
                  <c:v>785.99</c:v>
                </c:pt>
                <c:pt idx="158">
                  <c:v>773.7</c:v>
                </c:pt>
                <c:pt idx="159">
                  <c:v>774.03</c:v>
                </c:pt>
                <c:pt idx="160">
                  <c:v>790.71</c:v>
                </c:pt>
                <c:pt idx="161">
                  <c:v>802.32</c:v>
                </c:pt>
                <c:pt idx="162">
                  <c:v>816.01</c:v>
                </c:pt>
                <c:pt idx="163">
                  <c:v>826.04</c:v>
                </c:pt>
                <c:pt idx="164">
                  <c:v>810.86</c:v>
                </c:pt>
                <c:pt idx="165">
                  <c:v>815.21</c:v>
                </c:pt>
                <c:pt idx="166">
                  <c:v>836.57</c:v>
                </c:pt>
                <c:pt idx="167">
                  <c:v>837.83</c:v>
                </c:pt>
                <c:pt idx="168">
                  <c:v>854.56</c:v>
                </c:pt>
                <c:pt idx="169">
                  <c:v>866.69</c:v>
                </c:pt>
                <c:pt idx="170">
                  <c:v>876.58</c:v>
                </c:pt>
                <c:pt idx="171">
                  <c:v>889.24</c:v>
                </c:pt>
                <c:pt idx="172">
                  <c:v>911.03</c:v>
                </c:pt>
                <c:pt idx="173">
                  <c:v>887.96</c:v>
                </c:pt>
                <c:pt idx="174">
                  <c:v>889.59</c:v>
                </c:pt>
                <c:pt idx="175">
                  <c:v>879.15</c:v>
                </c:pt>
                <c:pt idx="176">
                  <c:v>872.33</c:v>
                </c:pt>
                <c:pt idx="177">
                  <c:v>876.3</c:v>
                </c:pt>
                <c:pt idx="178">
                  <c:v>893.48</c:v>
                </c:pt>
                <c:pt idx="179">
                  <c:v>899</c:v>
                </c:pt>
                <c:pt idx="180">
                  <c:v>901.71</c:v>
                </c:pt>
                <c:pt idx="181">
                  <c:v>910.78</c:v>
                </c:pt>
                <c:pt idx="182">
                  <c:v>907.04</c:v>
                </c:pt>
                <c:pt idx="183">
                  <c:v>892.18</c:v>
                </c:pt>
                <c:pt idx="184">
                  <c:v>884.42</c:v>
                </c:pt>
                <c:pt idx="185">
                  <c:v>879</c:v>
                </c:pt>
                <c:pt idx="186">
                  <c:v>914.34</c:v>
                </c:pt>
                <c:pt idx="187">
                  <c:v>948.44</c:v>
                </c:pt>
                <c:pt idx="188">
                  <c:v>955.47</c:v>
                </c:pt>
                <c:pt idx="189">
                  <c:v>941.02</c:v>
                </c:pt>
                <c:pt idx="190">
                  <c:v>934.83</c:v>
                </c:pt>
                <c:pt idx="191">
                  <c:v>938.98</c:v>
                </c:pt>
                <c:pt idx="192">
                  <c:v>949.55</c:v>
                </c:pt>
                <c:pt idx="193">
                  <c:v>938.15</c:v>
                </c:pt>
                <c:pt idx="194">
                  <c:v>932.67</c:v>
                </c:pt>
                <c:pt idx="195">
                  <c:v>975.86</c:v>
                </c:pt>
                <c:pt idx="196">
                  <c:v>962</c:v>
                </c:pt>
                <c:pt idx="197">
                  <c:v>943.37</c:v>
                </c:pt>
                <c:pt idx="198">
                  <c:v>953.01</c:v>
                </c:pt>
                <c:pt idx="199">
                  <c:v>954.65</c:v>
                </c:pt>
                <c:pt idx="200">
                  <c:v>918.88</c:v>
                </c:pt>
                <c:pt idx="201">
                  <c:v>931.86</c:v>
                </c:pt>
                <c:pt idx="202">
                  <c:v>929.72</c:v>
                </c:pt>
                <c:pt idx="203">
                  <c:v>936.81</c:v>
                </c:pt>
                <c:pt idx="204">
                  <c:v>940.12</c:v>
                </c:pt>
                <c:pt idx="205">
                  <c:v>935.41</c:v>
                </c:pt>
                <c:pt idx="206">
                  <c:v>946.33</c:v>
                </c:pt>
                <c:pt idx="207">
                  <c:v>938.99</c:v>
                </c:pt>
                <c:pt idx="208">
                  <c:v>913.3</c:v>
                </c:pt>
                <c:pt idx="209">
                  <c:v>890.41</c:v>
                </c:pt>
                <c:pt idx="210">
                  <c:v>928.75</c:v>
                </c:pt>
                <c:pt idx="211">
                  <c:v>943.62</c:v>
                </c:pt>
                <c:pt idx="212">
                  <c:v>948.99</c:v>
                </c:pt>
                <c:pt idx="213">
                  <c:v>944.59</c:v>
                </c:pt>
                <c:pt idx="214">
                  <c:v>904.55</c:v>
                </c:pt>
                <c:pt idx="215">
                  <c:v>905.14</c:v>
                </c:pt>
                <c:pt idx="216">
                  <c:v>916.04</c:v>
                </c:pt>
                <c:pt idx="217">
                  <c:v>933.73</c:v>
                </c:pt>
                <c:pt idx="218">
                  <c:v>916.65</c:v>
                </c:pt>
                <c:pt idx="219">
                  <c:v>922.24</c:v>
                </c:pt>
                <c:pt idx="220">
                  <c:v>892.31</c:v>
                </c:pt>
                <c:pt idx="221">
                  <c:v>902.27</c:v>
                </c:pt>
                <c:pt idx="222">
                  <c:v>921.38</c:v>
                </c:pt>
                <c:pt idx="223">
                  <c:v>929</c:v>
                </c:pt>
                <c:pt idx="224">
                  <c:v>859.57</c:v>
                </c:pt>
                <c:pt idx="225">
                  <c:v>861.7</c:v>
                </c:pt>
                <c:pt idx="226">
                  <c:v>862.58</c:v>
                </c:pt>
                <c:pt idx="227">
                  <c:v>867.25</c:v>
                </c:pt>
                <c:pt idx="228">
                  <c:v>835.46</c:v>
                </c:pt>
                <c:pt idx="229">
                  <c:v>821.42</c:v>
                </c:pt>
                <c:pt idx="230">
                  <c:v>832.03</c:v>
                </c:pt>
                <c:pt idx="231">
                  <c:v>833.81</c:v>
                </c:pt>
                <c:pt idx="232">
                  <c:v>823.76</c:v>
                </c:pt>
                <c:pt idx="233">
                  <c:v>787.52</c:v>
                </c:pt>
                <c:pt idx="234">
                  <c:v>782.21</c:v>
                </c:pt>
                <c:pt idx="235">
                  <c:v>794.77</c:v>
                </c:pt>
                <c:pt idx="236">
                  <c:v>807.04</c:v>
                </c:pt>
                <c:pt idx="237">
                  <c:v>805.48</c:v>
                </c:pt>
                <c:pt idx="238">
                  <c:v>809.5</c:v>
                </c:pt>
                <c:pt idx="239">
                  <c:v>813.53</c:v>
                </c:pt>
                <c:pt idx="240">
                  <c:v>831.27</c:v>
                </c:pt>
                <c:pt idx="241">
                  <c:v>835.72</c:v>
                </c:pt>
                <c:pt idx="242">
                  <c:v>841.84</c:v>
                </c:pt>
                <c:pt idx="243">
                  <c:v>822.64</c:v>
                </c:pt>
                <c:pt idx="244">
                  <c:v>802.89</c:v>
                </c:pt>
                <c:pt idx="245">
                  <c:v>807.6</c:v>
                </c:pt>
                <c:pt idx="246">
                  <c:v>845.99</c:v>
                </c:pt>
                <c:pt idx="247">
                  <c:v>860.21</c:v>
                </c:pt>
                <c:pt idx="248">
                  <c:v>863.04</c:v>
                </c:pt>
              </c:numCache>
            </c:numRef>
          </c:val>
          <c:extLst>
            <c:ext xmlns:c16="http://schemas.microsoft.com/office/drawing/2014/chart" uri="{C3380CC4-5D6E-409C-BE32-E72D297353CC}">
              <c16:uniqueId val="{00000000-29CA-4122-A29E-27BACD8001AF}"/>
            </c:ext>
          </c:extLst>
        </c:ser>
        <c:dLbls>
          <c:showLegendKey val="0"/>
          <c:showVal val="0"/>
          <c:showCatName val="0"/>
          <c:showSerName val="0"/>
          <c:showPercent val="0"/>
          <c:showBubbleSize val="0"/>
        </c:dLbls>
        <c:axId val="1076253871"/>
        <c:axId val="1076274511"/>
      </c:areaChart>
      <c:catAx>
        <c:axId val="1076253871"/>
        <c:scaling>
          <c:orientation val="minMax"/>
        </c:scaling>
        <c:delete val="1"/>
        <c:axPos val="b"/>
        <c:majorTickMark val="out"/>
        <c:minorTickMark val="none"/>
        <c:tickLblPos val="nextTo"/>
        <c:crossAx val="1076274511"/>
        <c:crosses val="autoZero"/>
        <c:auto val="1"/>
        <c:lblAlgn val="ctr"/>
        <c:lblOffset val="100"/>
        <c:noMultiLvlLbl val="0"/>
      </c:catAx>
      <c:valAx>
        <c:axId val="1076274511"/>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10762538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380998</xdr:colOff>
      <xdr:row>44</xdr:row>
      <xdr:rowOff>145143</xdr:rowOff>
    </xdr:from>
    <xdr:to>
      <xdr:col>5</xdr:col>
      <xdr:colOff>462642</xdr:colOff>
      <xdr:row>70</xdr:row>
      <xdr:rowOff>99786</xdr:rowOff>
    </xdr:to>
    <xdr:graphicFrame macro="">
      <xdr:nvGraphicFramePr>
        <xdr:cNvPr id="10" name="SectorAllocation">
          <a:extLst>
            <a:ext uri="{FF2B5EF4-FFF2-40B4-BE49-F238E27FC236}">
              <a16:creationId xmlns:a16="http://schemas.microsoft.com/office/drawing/2014/main" id="{818384F9-9577-A5D9-EC70-DC3186729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671286</xdr:colOff>
      <xdr:row>45</xdr:row>
      <xdr:rowOff>136071</xdr:rowOff>
    </xdr:from>
    <xdr:to>
      <xdr:col>13</xdr:col>
      <xdr:colOff>1750786</xdr:colOff>
      <xdr:row>70</xdr:row>
      <xdr:rowOff>72572</xdr:rowOff>
    </xdr:to>
    <xdr:graphicFrame macro="">
      <xdr:nvGraphicFramePr>
        <xdr:cNvPr id="11" name="ReturnsByStock">
          <a:extLst>
            <a:ext uri="{FF2B5EF4-FFF2-40B4-BE49-F238E27FC236}">
              <a16:creationId xmlns:a16="http://schemas.microsoft.com/office/drawing/2014/main" id="{5A9479EE-7081-28C4-5537-41D6C6D49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145143</xdr:colOff>
      <xdr:row>27</xdr:row>
      <xdr:rowOff>217713</xdr:rowOff>
    </xdr:from>
    <xdr:to>
      <xdr:col>20</xdr:col>
      <xdr:colOff>18142</xdr:colOff>
      <xdr:row>60</xdr:row>
      <xdr:rowOff>9071</xdr:rowOff>
    </xdr:to>
    <xdr:graphicFrame macro="">
      <xdr:nvGraphicFramePr>
        <xdr:cNvPr id="12" name="RiskReturnScatter">
          <a:extLst>
            <a:ext uri="{FF2B5EF4-FFF2-40B4-BE49-F238E27FC236}">
              <a16:creationId xmlns:a16="http://schemas.microsoft.com/office/drawing/2014/main" id="{DE71B867-BB84-CA88-D494-FC7AD044C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18</xdr:row>
      <xdr:rowOff>0</xdr:rowOff>
    </xdr:from>
    <xdr:to>
      <xdr:col>6</xdr:col>
      <xdr:colOff>0</xdr:colOff>
      <xdr:row>34</xdr:row>
      <xdr:rowOff>0</xdr:rowOff>
    </xdr:to>
    <xdr:graphicFrame macro="">
      <xdr:nvGraphicFramePr>
        <xdr:cNvPr id="2" name="Chart 1">
          <a:extLst>
            <a:ext uri="{FF2B5EF4-FFF2-40B4-BE49-F238E27FC236}">
              <a16:creationId xmlns:a16="http://schemas.microsoft.com/office/drawing/2014/main" id="{23BB2866-386A-5B3E-CEC6-9CAF153B1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11</xdr:col>
      <xdr:colOff>0</xdr:colOff>
      <xdr:row>34</xdr:row>
      <xdr:rowOff>0</xdr:rowOff>
    </xdr:to>
    <xdr:graphicFrame macro="">
      <xdr:nvGraphicFramePr>
        <xdr:cNvPr id="3" name="Chart 2">
          <a:extLst>
            <a:ext uri="{FF2B5EF4-FFF2-40B4-BE49-F238E27FC236}">
              <a16:creationId xmlns:a16="http://schemas.microsoft.com/office/drawing/2014/main" id="{24571029-E7DA-8C06-9B7D-C8954C4A3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34</xdr:row>
      <xdr:rowOff>0</xdr:rowOff>
    </xdr:from>
    <xdr:to>
      <xdr:col>6</xdr:col>
      <xdr:colOff>0</xdr:colOff>
      <xdr:row>50</xdr:row>
      <xdr:rowOff>0</xdr:rowOff>
    </xdr:to>
    <xdr:graphicFrame macro="">
      <xdr:nvGraphicFramePr>
        <xdr:cNvPr id="4" name="Chart 3">
          <a:extLst>
            <a:ext uri="{FF2B5EF4-FFF2-40B4-BE49-F238E27FC236}">
              <a16:creationId xmlns:a16="http://schemas.microsoft.com/office/drawing/2014/main" id="{5D432DEC-D883-DD43-9218-5D49A4674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34</xdr:row>
      <xdr:rowOff>0</xdr:rowOff>
    </xdr:from>
    <xdr:to>
      <xdr:col>11</xdr:col>
      <xdr:colOff>0</xdr:colOff>
      <xdr:row>50</xdr:row>
      <xdr:rowOff>0</xdr:rowOff>
    </xdr:to>
    <xdr:graphicFrame macro="">
      <xdr:nvGraphicFramePr>
        <xdr:cNvPr id="5" name="Chart 4">
          <a:extLst>
            <a:ext uri="{FF2B5EF4-FFF2-40B4-BE49-F238E27FC236}">
              <a16:creationId xmlns:a16="http://schemas.microsoft.com/office/drawing/2014/main" id="{0559427F-27A8-9D9F-F842-4A4CEE1ED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184150</xdr:colOff>
      <xdr:row>50</xdr:row>
      <xdr:rowOff>0</xdr:rowOff>
    </xdr:from>
    <xdr:to>
      <xdr:col>11</xdr:col>
      <xdr:colOff>0</xdr:colOff>
      <xdr:row>61</xdr:row>
      <xdr:rowOff>165100</xdr:rowOff>
    </xdr:to>
    <xdr:graphicFrame macro="">
      <xdr:nvGraphicFramePr>
        <xdr:cNvPr id="11" name="Chart 10">
          <a:extLst>
            <a:ext uri="{FF2B5EF4-FFF2-40B4-BE49-F238E27FC236}">
              <a16:creationId xmlns:a16="http://schemas.microsoft.com/office/drawing/2014/main" id="{701555E1-1BB4-A853-B906-EB169A70E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66674</xdr:colOff>
      <xdr:row>5</xdr:row>
      <xdr:rowOff>111124</xdr:rowOff>
    </xdr:from>
    <xdr:to>
      <xdr:col>17</xdr:col>
      <xdr:colOff>336550</xdr:colOff>
      <xdr:row>32</xdr:row>
      <xdr:rowOff>95250</xdr:rowOff>
    </xdr:to>
    <xdr:graphicFrame macro="">
      <xdr:nvGraphicFramePr>
        <xdr:cNvPr id="4" name="Chart 3">
          <a:extLst>
            <a:ext uri="{FF2B5EF4-FFF2-40B4-BE49-F238E27FC236}">
              <a16:creationId xmlns:a16="http://schemas.microsoft.com/office/drawing/2014/main" id="{90E38646-CF8D-3B47-A473-4978B652C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xdr:colOff>
      <xdr:row>33</xdr:row>
      <xdr:rowOff>19050</xdr:rowOff>
    </xdr:from>
    <xdr:to>
      <xdr:col>17</xdr:col>
      <xdr:colOff>273050</xdr:colOff>
      <xdr:row>52</xdr:row>
      <xdr:rowOff>152400</xdr:rowOff>
    </xdr:to>
    <xdr:graphicFrame macro="">
      <xdr:nvGraphicFramePr>
        <xdr:cNvPr id="7" name="Chart 6">
          <a:extLst>
            <a:ext uri="{FF2B5EF4-FFF2-40B4-BE49-F238E27FC236}">
              <a16:creationId xmlns:a16="http://schemas.microsoft.com/office/drawing/2014/main" id="{7AAF1816-8EFD-4779-9A1E-AFED405C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5870E5D8-DFF6-4EA2-A489-5FF90693A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xdr:colOff>
      <xdr:row>6</xdr:row>
      <xdr:rowOff>12700</xdr:rowOff>
    </xdr:from>
    <xdr:to>
      <xdr:col>17</xdr:col>
      <xdr:colOff>209550</xdr:colOff>
      <xdr:row>30</xdr:row>
      <xdr:rowOff>139700</xdr:rowOff>
    </xdr:to>
    <xdr:graphicFrame macro="">
      <xdr:nvGraphicFramePr>
        <xdr:cNvPr id="4" name="Chart 3">
          <a:extLst>
            <a:ext uri="{FF2B5EF4-FFF2-40B4-BE49-F238E27FC236}">
              <a16:creationId xmlns:a16="http://schemas.microsoft.com/office/drawing/2014/main" id="{ED2F134E-A5D1-D0B9-679B-06BC5BE00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36955943-BF01-4FCD-8B88-1FE699C0F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54449CEE-7170-4E4D-A60B-095EFAC326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DA7FCC97-4A19-4010-9464-969D23B3B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A4A34DC5-18E2-4538-971F-A0C261DED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5CC00299-48F8-45B9-B349-E1ADE39C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96E4471C-242F-40FE-B45F-599AB6449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200FEED3-9751-4797-B0E9-8B373FED9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75E56D6D-B316-4261-A8C5-F1029E35A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75D76BF9-A8AF-43D7-92B1-EF205CECA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2F7E3B5A-4BC0-46C5-BA39-BAC1194C0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CF25CCDC-A559-4D26-AFDE-87277C799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1E6CBD72-F446-451D-B310-3559070BA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1CAA7AF5-2F31-4688-8BC3-4D5A7C12D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867D96DA-376F-4708-B989-A8A0D5F5A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5</xdr:row>
      <xdr:rowOff>0</xdr:rowOff>
    </xdr:from>
    <xdr:to>
      <xdr:col>17</xdr:col>
      <xdr:colOff>269876</xdr:colOff>
      <xdr:row>31</xdr:row>
      <xdr:rowOff>168276</xdr:rowOff>
    </xdr:to>
    <xdr:graphicFrame macro="">
      <xdr:nvGraphicFramePr>
        <xdr:cNvPr id="2" name="Chart 1">
          <a:extLst>
            <a:ext uri="{FF2B5EF4-FFF2-40B4-BE49-F238E27FC236}">
              <a16:creationId xmlns:a16="http://schemas.microsoft.com/office/drawing/2014/main" id="{3D9C7ECB-ACC0-4C93-9B46-31ED10ADB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33</xdr:row>
      <xdr:rowOff>0</xdr:rowOff>
    </xdr:from>
    <xdr:to>
      <xdr:col>17</xdr:col>
      <xdr:colOff>266700</xdr:colOff>
      <xdr:row>52</xdr:row>
      <xdr:rowOff>133350</xdr:rowOff>
    </xdr:to>
    <xdr:graphicFrame macro="">
      <xdr:nvGraphicFramePr>
        <xdr:cNvPr id="3" name="Chart 2">
          <a:extLst>
            <a:ext uri="{FF2B5EF4-FFF2-40B4-BE49-F238E27FC236}">
              <a16:creationId xmlns:a16="http://schemas.microsoft.com/office/drawing/2014/main" id="{B32B2D2C-4D5B-43C1-82DC-9F604463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ven yuka" id="{B501DFE9-12CB-4589-BE40-9625E6D75A56}" userId="862585f1b4a79d0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DMIN" refreshedDate="46116.47606400463" createdVersion="8" refreshedVersion="8" minRefreshableVersion="3" recordCount="10" xr:uid="{C95F8C75-B2E0-4221-B4F5-DB6040B91045}">
  <cacheSource type="worksheet">
    <worksheetSource name="Table2"/>
  </cacheSource>
  <cacheFields count="12">
    <cacheField name="Stock" numFmtId="0">
      <sharedItems count="10">
        <s v="ADVANCED MICRO DEVICES, INC. (XNAS:AMD)"/>
        <s v="MICROSOFT CORPORATION (XNAS:MSFT)"/>
        <s v="Alibaba Group Holding Limited (XNYS:BABA)"/>
        <s v="DELL TECHNOLOGIES INC. (XNYS:DELL)"/>
        <s v="THE GOLDMAN SACHS GROUP, INC. (XNYS:GS)"/>
        <s v="EXXON MOBIL CORPORATION (XNYS:XOM)"/>
        <s v="GENERAL MOTORS COMPANY (XNYS:GM)"/>
        <s v="BANK OF AMERICA CORPORATION (XNYS:BAC)"/>
        <s v="LOCKHEED MARTIN CORPORATION (XNYS:LMT)"/>
        <s v="COSTCO WHOLESALE CORPORATION (XNAS:COST)"/>
      </sharedItems>
    </cacheField>
    <cacheField name="Ticker symbol" numFmtId="0">
      <sharedItems count="10">
        <s v="AMD"/>
        <s v="MSFT"/>
        <s v="BABA"/>
        <s v="DELL"/>
        <s v="GS"/>
        <s v="XOM"/>
        <s v="GM"/>
        <s v="BAC"/>
        <s v="LMT"/>
        <s v="COST"/>
      </sharedItems>
    </cacheField>
    <cacheField name="52 week high" numFmtId="180">
      <sharedItems containsSemiMixedTypes="0" containsString="0" containsNumber="1" minValue="57.55" maxValue="1067.08"/>
    </cacheField>
    <cacheField name="52 week low" numFmtId="180">
      <sharedItems containsSemiMixedTypes="0" containsString="0" containsNumber="1" minValue="33.064999999999998" maxValue="844.06"/>
    </cacheField>
    <cacheField name="Beta" numFmtId="2">
      <sharedItems containsSemiMixedTypes="0" containsString="0" containsNumber="1" minValue="0.23669999999999999" maxValue="1.9919"/>
    </cacheField>
    <cacheField name="P/E" numFmtId="171">
      <sharedItems containsSemiMixedTypes="0" containsString="0" containsNumber="1" minValue="13.024900000000001" maxValue="80.712800000000001"/>
    </cacheField>
    <cacheField name="Change" numFmtId="180">
      <sharedItems containsSemiMixedTypes="0" containsString="0" containsNumber="1" minValue="-2.5" maxValue="18.399999999999999"/>
    </cacheField>
    <cacheField name="High" numFmtId="180">
      <sharedItems containsSemiMixedTypes="0" containsString="0" containsNumber="1" minValue="49.564999999999998" maxValue="1016"/>
    </cacheField>
    <cacheField name="Low" numFmtId="180">
      <sharedItems containsSemiMixedTypes="0" containsString="0" containsNumber="1" minValue="48.16" maxValue="999.21"/>
    </cacheField>
    <cacheField name="Market cap" numFmtId="183">
      <sharedItems containsSemiMixedTypes="0" containsString="0" containsNumber="1" containsInteger="1" minValue="65573824212" maxValue="2773175406340"/>
    </cacheField>
    <cacheField name="Industry" numFmtId="164">
      <sharedItems/>
    </cacheField>
    <cacheField name="Exchange abbreviation" numFmtId="164">
      <sharedItems count="2">
        <s v="XNAS"/>
        <s v="XNYS"/>
      </sharedItems>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C95F8C75-B2E0-4221-B4F5-DB6040B91045}"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267.07990000000001"/>
    <n v="76.48"/>
    <n v="1.9919"/>
    <n v="80.712800000000001"/>
    <n v="7.29"/>
    <n v="217.78"/>
    <n v="200.62"/>
    <n v="354598732500"/>
    <s v="Semiconductors &amp; Semiconductor Equipment"/>
    <x v="0"/>
  </r>
  <r>
    <x v="1"/>
    <x v="1"/>
    <n v="555.45000000000005"/>
    <n v="344.79"/>
    <n v="1.103"/>
    <n v="23.111000000000001"/>
    <n v="4.09"/>
    <n v="373.64"/>
    <n v="364.15"/>
    <n v="2773175406340"/>
    <s v="Software &amp; IT Services"/>
    <x v="0"/>
  </r>
  <r>
    <x v="2"/>
    <x v="2"/>
    <n v="192.67"/>
    <n v="94.974199999999996"/>
    <n v="0.49490000000000001"/>
    <n v="16.8276"/>
    <n v="-1.68"/>
    <n v="122.8479"/>
    <n v="120.14"/>
    <n v="291383756650"/>
    <s v="Software &amp; IT Services"/>
    <x v="1"/>
  </r>
  <r>
    <x v="3"/>
    <x v="3"/>
    <n v="186.39"/>
    <n v="66.245000000000005"/>
    <n v="0.85729999999999995"/>
    <n v="19.4253"/>
    <n v="4.99"/>
    <n v="174.37"/>
    <n v="166.495"/>
    <n v="112599165945"/>
    <s v="Computers, Phones &amp; Household Electronics"/>
    <x v="1"/>
  </r>
  <r>
    <x v="4"/>
    <x v="4"/>
    <n v="984.7"/>
    <n v="439.38"/>
    <n v="1.3147"/>
    <n v="16.7681"/>
    <n v="2.83"/>
    <n v="867.3"/>
    <n v="831"/>
    <n v="254591535456"/>
    <s v="Investment Banking &amp; Investment Services"/>
    <x v="1"/>
  </r>
  <r>
    <x v="5"/>
    <x v="5"/>
    <n v="176.41"/>
    <n v="97.8"/>
    <n v="0.29189999999999999"/>
    <n v="24.0672"/>
    <n v="-0.09"/>
    <n v="166.9"/>
    <n v="159.59"/>
    <n v="669557307160"/>
    <s v="Oil &amp; Gas"/>
    <x v="1"/>
  </r>
  <r>
    <x v="6"/>
    <x v="6"/>
    <n v="87.62"/>
    <n v="41.6"/>
    <n v="1.3733"/>
    <n v="22.9604"/>
    <n v="-2.5"/>
    <n v="73.680000000000007"/>
    <n v="71.67"/>
    <n v="65573824212"/>
    <s v="Automobiles &amp; Auto Parts"/>
    <x v="1"/>
  </r>
  <r>
    <x v="7"/>
    <x v="7"/>
    <n v="57.55"/>
    <n v="33.064999999999998"/>
    <n v="1.2422"/>
    <n v="13.024900000000001"/>
    <n v="0.11"/>
    <n v="49.564999999999998"/>
    <n v="48.16"/>
    <n v="352855110420"/>
    <s v="Banking Services"/>
    <x v="1"/>
  </r>
  <r>
    <x v="8"/>
    <x v="8"/>
    <n v="692"/>
    <n v="410.11"/>
    <n v="0.23669999999999999"/>
    <n v="28.746099999999998"/>
    <n v="5.15"/>
    <n v="626.51"/>
    <n v="616.01"/>
    <n v="143529491259"/>
    <s v="Aerospace &amp; Defense"/>
    <x v="1"/>
  </r>
  <r>
    <x v="9"/>
    <x v="9"/>
    <n v="1067.08"/>
    <n v="844.06"/>
    <n v="0.98899999999999999"/>
    <n v="53.382899999999999"/>
    <n v="18.399999999999999"/>
    <n v="1016"/>
    <n v="999.21"/>
    <n v="450289541400"/>
    <s v="Diversified Retai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2"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N3:O13"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0">
    <i>
      <x/>
      <x/>
    </i>
    <i r="1">
      <x v="3"/>
    </i>
    <i r="1">
      <x v="8"/>
    </i>
    <i>
      <x v="1"/>
      <x v="1"/>
    </i>
    <i r="1">
      <x v="2"/>
    </i>
    <i r="1">
      <x v="4"/>
    </i>
    <i r="1">
      <x v="5"/>
    </i>
    <i r="1">
      <x v="6"/>
    </i>
    <i r="1">
      <x v="7"/>
    </i>
    <i r="1">
      <x v="9"/>
    </i>
  </rowItems>
  <colItems count="1">
    <i/>
  </colItems>
  <pageFields count="1">
    <pageField fld="0" hier="-1"/>
  </pageFields>
  <formats count="178">
    <format dxfId="231">
      <pivotArea type="all" dataOnly="0" outline="0" fieldPosition="0"/>
    </format>
    <format dxfId="230">
      <pivotArea field="11" type="button" dataOnly="0" labelOnly="1" outline="0" axis="axisRow" fieldPosition="0"/>
    </format>
    <format dxfId="229">
      <pivotArea field="1" type="button" dataOnly="0" labelOnly="1" outline="0" axis="axisRow" fieldPosition="1"/>
    </format>
    <format dxfId="228">
      <pivotArea dataOnly="0" labelOnly="1" outline="0" fieldPosition="0">
        <references count="1">
          <reference field="11" count="0"/>
        </references>
      </pivotArea>
    </format>
    <format dxfId="227">
      <pivotArea dataOnly="0" labelOnly="1" outline="0" fieldPosition="0">
        <references count="2">
          <reference field="1" count="3">
            <x v="0"/>
            <x v="3"/>
            <x v="8"/>
          </reference>
          <reference field="11" count="1" selected="0">
            <x v="0"/>
          </reference>
        </references>
      </pivotArea>
    </format>
    <format dxfId="226">
      <pivotArea dataOnly="0" labelOnly="1" outline="0" fieldPosition="0">
        <references count="2">
          <reference field="1" count="7">
            <x v="1"/>
            <x v="2"/>
            <x v="4"/>
            <x v="5"/>
            <x v="6"/>
            <x v="7"/>
            <x v="9"/>
          </reference>
          <reference field="11" count="1" selected="0">
            <x v="1"/>
          </reference>
        </references>
      </pivotArea>
    </format>
    <format dxfId="225">
      <pivotArea type="all" dataOnly="0" outline="0" fieldPosition="0"/>
    </format>
    <format dxfId="224">
      <pivotArea field="11" type="button" dataOnly="0" labelOnly="1" outline="0" axis="axisRow" fieldPosition="0"/>
    </format>
    <format dxfId="223">
      <pivotArea field="1" type="button" dataOnly="0" labelOnly="1" outline="0" axis="axisRow" fieldPosition="1"/>
    </format>
    <format dxfId="222">
      <pivotArea dataOnly="0" labelOnly="1" outline="0" fieldPosition="0">
        <references count="1">
          <reference field="11" count="0"/>
        </references>
      </pivotArea>
    </format>
    <format dxfId="221">
      <pivotArea dataOnly="0" labelOnly="1" outline="0" fieldPosition="0">
        <references count="2">
          <reference field="1" count="3">
            <x v="0"/>
            <x v="3"/>
            <x v="8"/>
          </reference>
          <reference field="11" count="1" selected="0">
            <x v="0"/>
          </reference>
        </references>
      </pivotArea>
    </format>
    <format dxfId="220">
      <pivotArea dataOnly="0" labelOnly="1" outline="0" fieldPosition="0">
        <references count="2">
          <reference field="1" count="7">
            <x v="1"/>
            <x v="2"/>
            <x v="4"/>
            <x v="5"/>
            <x v="6"/>
            <x v="7"/>
            <x v="9"/>
          </reference>
          <reference field="11" count="1" selected="0">
            <x v="1"/>
          </reference>
        </references>
      </pivotArea>
    </format>
    <format dxfId="219">
      <pivotArea type="all" dataOnly="0" outline="0" fieldPosition="0"/>
    </format>
    <format dxfId="218">
      <pivotArea field="11" type="button" dataOnly="0" labelOnly="1" outline="0" axis="axisRow" fieldPosition="0"/>
    </format>
    <format dxfId="217">
      <pivotArea field="1" type="button" dataOnly="0" labelOnly="1" outline="0" axis="axisRow" fieldPosition="1"/>
    </format>
    <format dxfId="216">
      <pivotArea dataOnly="0" labelOnly="1" outline="0" fieldPosition="0">
        <references count="1">
          <reference field="11" count="0"/>
        </references>
      </pivotArea>
    </format>
    <format dxfId="215">
      <pivotArea dataOnly="0" labelOnly="1" outline="0" fieldPosition="0">
        <references count="2">
          <reference field="1" count="3">
            <x v="0"/>
            <x v="3"/>
            <x v="8"/>
          </reference>
          <reference field="11" count="1" selected="0">
            <x v="0"/>
          </reference>
        </references>
      </pivotArea>
    </format>
    <format dxfId="214">
      <pivotArea dataOnly="0" labelOnly="1" outline="0" fieldPosition="0">
        <references count="2">
          <reference field="1" count="7">
            <x v="1"/>
            <x v="2"/>
            <x v="4"/>
            <x v="5"/>
            <x v="6"/>
            <x v="7"/>
            <x v="9"/>
          </reference>
          <reference field="11" count="1" selected="0">
            <x v="1"/>
          </reference>
        </references>
      </pivotArea>
    </format>
    <format dxfId="213">
      <pivotArea type="all" dataOnly="0" outline="0" fieldPosition="0"/>
    </format>
    <format dxfId="212">
      <pivotArea field="11" type="button" dataOnly="0" labelOnly="1" outline="0" axis="axisRow" fieldPosition="0"/>
    </format>
    <format dxfId="211">
      <pivotArea field="1" type="button" dataOnly="0" labelOnly="1" outline="0" axis="axisRow" fieldPosition="1"/>
    </format>
    <format dxfId="210">
      <pivotArea dataOnly="0" labelOnly="1" outline="0" fieldPosition="0">
        <references count="1">
          <reference field="11" count="0"/>
        </references>
      </pivotArea>
    </format>
    <format dxfId="209">
      <pivotArea dataOnly="0" labelOnly="1" outline="0" fieldPosition="0">
        <references count="2">
          <reference field="1" count="3">
            <x v="0"/>
            <x v="3"/>
            <x v="8"/>
          </reference>
          <reference field="11" count="1" selected="0">
            <x v="0"/>
          </reference>
        </references>
      </pivotArea>
    </format>
    <format dxfId="208">
      <pivotArea dataOnly="0" labelOnly="1" outline="0" fieldPosition="0">
        <references count="2">
          <reference field="1" count="7">
            <x v="1"/>
            <x v="2"/>
            <x v="4"/>
            <x v="5"/>
            <x v="6"/>
            <x v="7"/>
            <x v="9"/>
          </reference>
          <reference field="11" count="1" selected="0">
            <x v="1"/>
          </reference>
        </references>
      </pivotArea>
    </format>
    <format dxfId="207">
      <pivotArea type="all" dataOnly="0" outline="0" fieldPosition="0"/>
    </format>
    <format dxfId="206">
      <pivotArea field="11" type="button" dataOnly="0" labelOnly="1" outline="0" axis="axisRow" fieldPosition="0"/>
    </format>
    <format dxfId="205">
      <pivotArea field="1" type="button" dataOnly="0" labelOnly="1" outline="0" axis="axisRow" fieldPosition="1"/>
    </format>
    <format dxfId="204">
      <pivotArea dataOnly="0" labelOnly="1" outline="0" fieldPosition="0">
        <references count="1">
          <reference field="11" count="0"/>
        </references>
      </pivotArea>
    </format>
    <format dxfId="203">
      <pivotArea dataOnly="0" labelOnly="1" outline="0" fieldPosition="0">
        <references count="2">
          <reference field="1" count="3">
            <x v="0"/>
            <x v="3"/>
            <x v="8"/>
          </reference>
          <reference field="11" count="1" selected="0">
            <x v="0"/>
          </reference>
        </references>
      </pivotArea>
    </format>
    <format dxfId="202">
      <pivotArea dataOnly="0" labelOnly="1" outline="0" fieldPosition="0">
        <references count="2">
          <reference field="1" count="7">
            <x v="1"/>
            <x v="2"/>
            <x v="4"/>
            <x v="5"/>
            <x v="6"/>
            <x v="7"/>
            <x v="9"/>
          </reference>
          <reference field="11" count="1" selected="0">
            <x v="1"/>
          </reference>
        </references>
      </pivotArea>
    </format>
    <format dxfId="201">
      <pivotArea type="all" dataOnly="0" outline="0" fieldPosition="0"/>
    </format>
    <format dxfId="200">
      <pivotArea field="11" type="button" dataOnly="0" labelOnly="1" outline="0" axis="axisRow" fieldPosition="0"/>
    </format>
    <format dxfId="199">
      <pivotArea field="1" type="button" dataOnly="0" labelOnly="1" outline="0" axis="axisRow" fieldPosition="1"/>
    </format>
    <format dxfId="198">
      <pivotArea dataOnly="0" labelOnly="1" outline="0" fieldPosition="0">
        <references count="1">
          <reference field="11" count="0"/>
        </references>
      </pivotArea>
    </format>
    <format dxfId="197">
      <pivotArea dataOnly="0" labelOnly="1" outline="0" fieldPosition="0">
        <references count="2">
          <reference field="1" count="3">
            <x v="0"/>
            <x v="3"/>
            <x v="8"/>
          </reference>
          <reference field="11" count="1" selected="0">
            <x v="0"/>
          </reference>
        </references>
      </pivotArea>
    </format>
    <format dxfId="196">
      <pivotArea dataOnly="0" labelOnly="1" outline="0" fieldPosition="0">
        <references count="2">
          <reference field="1" count="7">
            <x v="1"/>
            <x v="2"/>
            <x v="4"/>
            <x v="5"/>
            <x v="6"/>
            <x v="7"/>
            <x v="9"/>
          </reference>
          <reference field="11" count="1" selected="0">
            <x v="1"/>
          </reference>
        </references>
      </pivotArea>
    </format>
    <format dxfId="195">
      <pivotArea type="all" dataOnly="0" outline="0" fieldPosition="0"/>
    </format>
    <format dxfId="194">
      <pivotArea field="11" type="button" dataOnly="0" labelOnly="1" outline="0" axis="axisRow" fieldPosition="0"/>
    </format>
    <format dxfId="193">
      <pivotArea field="1" type="button" dataOnly="0" labelOnly="1" outline="0" axis="axisRow" fieldPosition="1"/>
    </format>
    <format dxfId="192">
      <pivotArea dataOnly="0" labelOnly="1" outline="0" fieldPosition="0">
        <references count="1">
          <reference field="11" count="0"/>
        </references>
      </pivotArea>
    </format>
    <format dxfId="191">
      <pivotArea dataOnly="0" labelOnly="1" outline="0" fieldPosition="0">
        <references count="2">
          <reference field="1" count="3">
            <x v="0"/>
            <x v="3"/>
            <x v="8"/>
          </reference>
          <reference field="11" count="1" selected="0">
            <x v="0"/>
          </reference>
        </references>
      </pivotArea>
    </format>
    <format dxfId="190">
      <pivotArea dataOnly="0" labelOnly="1" outline="0" fieldPosition="0">
        <references count="2">
          <reference field="1" count="7">
            <x v="1"/>
            <x v="2"/>
            <x v="4"/>
            <x v="5"/>
            <x v="6"/>
            <x v="7"/>
            <x v="9"/>
          </reference>
          <reference field="11" count="1" selected="0">
            <x v="1"/>
          </reference>
        </references>
      </pivotArea>
    </format>
    <format dxfId="189">
      <pivotArea type="all" dataOnly="0" outline="0" fieldPosition="0"/>
    </format>
    <format dxfId="188">
      <pivotArea field="11" type="button" dataOnly="0" labelOnly="1" outline="0" axis="axisRow" fieldPosition="0"/>
    </format>
    <format dxfId="187">
      <pivotArea field="1" type="button" dataOnly="0" labelOnly="1" outline="0" axis="axisRow" fieldPosition="1"/>
    </format>
    <format dxfId="186">
      <pivotArea dataOnly="0" labelOnly="1" outline="0" fieldPosition="0">
        <references count="1">
          <reference field="11" count="0"/>
        </references>
      </pivotArea>
    </format>
    <format dxfId="185">
      <pivotArea dataOnly="0" labelOnly="1" outline="0" fieldPosition="0">
        <references count="2">
          <reference field="1" count="3">
            <x v="0"/>
            <x v="3"/>
            <x v="8"/>
          </reference>
          <reference field="11" count="1" selected="0">
            <x v="0"/>
          </reference>
        </references>
      </pivotArea>
    </format>
    <format dxfId="184">
      <pivotArea dataOnly="0" labelOnly="1" outline="0" fieldPosition="0">
        <references count="2">
          <reference field="1" count="7">
            <x v="1"/>
            <x v="2"/>
            <x v="4"/>
            <x v="5"/>
            <x v="6"/>
            <x v="7"/>
            <x v="9"/>
          </reference>
          <reference field="11" count="1" selected="0">
            <x v="1"/>
          </reference>
        </references>
      </pivotArea>
    </format>
    <format dxfId="183">
      <pivotArea type="all" dataOnly="0" outline="0" fieldPosition="0"/>
    </format>
    <format dxfId="182">
      <pivotArea field="11" type="button" dataOnly="0" labelOnly="1" outline="0" axis="axisRow" fieldPosition="0"/>
    </format>
    <format dxfId="181">
      <pivotArea field="1" type="button" dataOnly="0" labelOnly="1" outline="0" axis="axisRow" fieldPosition="1"/>
    </format>
    <format dxfId="180">
      <pivotArea dataOnly="0" labelOnly="1" outline="0" fieldPosition="0">
        <references count="1">
          <reference field="11" count="0"/>
        </references>
      </pivotArea>
    </format>
    <format dxfId="179">
      <pivotArea dataOnly="0" labelOnly="1" outline="0" fieldPosition="0">
        <references count="2">
          <reference field="1" count="3">
            <x v="0"/>
            <x v="3"/>
            <x v="8"/>
          </reference>
          <reference field="11" count="1" selected="0">
            <x v="0"/>
          </reference>
        </references>
      </pivotArea>
    </format>
    <format dxfId="178">
      <pivotArea dataOnly="0" labelOnly="1" outline="0" fieldPosition="0">
        <references count="2">
          <reference field="1" count="7">
            <x v="1"/>
            <x v="2"/>
            <x v="4"/>
            <x v="5"/>
            <x v="6"/>
            <x v="7"/>
            <x v="9"/>
          </reference>
          <reference field="11" count="1" selected="0">
            <x v="1"/>
          </reference>
        </references>
      </pivotArea>
    </format>
    <format dxfId="177">
      <pivotArea type="all" dataOnly="0" outline="0" fieldPosition="0"/>
    </format>
    <format dxfId="176">
      <pivotArea field="11" type="button" dataOnly="0" labelOnly="1" outline="0" axis="axisRow" fieldPosition="0"/>
    </format>
    <format dxfId="175">
      <pivotArea field="1" type="button" dataOnly="0" labelOnly="1" outline="0" axis="axisRow" fieldPosition="1"/>
    </format>
    <format dxfId="174">
      <pivotArea dataOnly="0" labelOnly="1" outline="0" fieldPosition="0">
        <references count="1">
          <reference field="11" count="0"/>
        </references>
      </pivotArea>
    </format>
    <format dxfId="173">
      <pivotArea dataOnly="0" labelOnly="1" outline="0" fieldPosition="0">
        <references count="2">
          <reference field="1" count="3">
            <x v="0"/>
            <x v="3"/>
            <x v="8"/>
          </reference>
          <reference field="11" count="1" selected="0">
            <x v="0"/>
          </reference>
        </references>
      </pivotArea>
    </format>
    <format dxfId="172">
      <pivotArea dataOnly="0" labelOnly="1" outline="0" fieldPosition="0">
        <references count="2">
          <reference field="1" count="7">
            <x v="1"/>
            <x v="2"/>
            <x v="4"/>
            <x v="5"/>
            <x v="6"/>
            <x v="7"/>
            <x v="9"/>
          </reference>
          <reference field="11" count="1" selected="0">
            <x v="1"/>
          </reference>
        </references>
      </pivotArea>
    </format>
    <format dxfId="171">
      <pivotArea field="11" type="button" dataOnly="0" labelOnly="1" outline="0" axis="axisRow" fieldPosition="0"/>
    </format>
    <format dxfId="170">
      <pivotArea field="1" type="button" dataOnly="0" labelOnly="1" outline="0" axis="axisRow" fieldPosition="1"/>
    </format>
    <format dxfId="169">
      <pivotArea field="11" type="button" dataOnly="0" labelOnly="1" outline="0" axis="axisRow" fieldPosition="0"/>
    </format>
    <format dxfId="168">
      <pivotArea field="1" type="button" dataOnly="0" labelOnly="1" outline="0" axis="axisRow" fieldPosition="1"/>
    </format>
    <format dxfId="167">
      <pivotArea dataOnly="0" labelOnly="1" outline="0" fieldPosition="0">
        <references count="2">
          <reference field="1" count="1">
            <x v="0"/>
          </reference>
          <reference field="11" count="1" selected="0">
            <x v="0"/>
          </reference>
        </references>
      </pivotArea>
    </format>
    <format dxfId="166">
      <pivotArea dataOnly="0" labelOnly="1" outline="0" fieldPosition="0">
        <references count="1">
          <reference field="11" count="1">
            <x v="0"/>
          </reference>
        </references>
      </pivotArea>
    </format>
    <format dxfId="165">
      <pivotArea dataOnly="0" labelOnly="1" outline="0" fieldPosition="0">
        <references count="2">
          <reference field="1" count="1">
            <x v="0"/>
          </reference>
          <reference field="11" count="1" selected="0">
            <x v="0"/>
          </reference>
        </references>
      </pivotArea>
    </format>
    <format dxfId="164">
      <pivotArea dataOnly="0" labelOnly="1" outline="0" fieldPosition="0">
        <references count="2">
          <reference field="1" count="1">
            <x v="8"/>
          </reference>
          <reference field="11" count="1" selected="0">
            <x v="0"/>
          </reference>
        </references>
      </pivotArea>
    </format>
    <format dxfId="163">
      <pivotArea dataOnly="0" labelOnly="1" outline="0" fieldPosition="0">
        <references count="1">
          <reference field="11" count="1">
            <x v="0"/>
          </reference>
        </references>
      </pivotArea>
    </format>
    <format dxfId="162">
      <pivotArea dataOnly="0" labelOnly="1" outline="0" fieldPosition="0">
        <references count="2">
          <reference field="1" count="1">
            <x v="8"/>
          </reference>
          <reference field="11" count="1" selected="0">
            <x v="0"/>
          </reference>
        </references>
      </pivotArea>
    </format>
    <format dxfId="161">
      <pivotArea dataOnly="0" labelOnly="1" outline="0" fieldPosition="0">
        <references count="2">
          <reference field="1" count="1">
            <x v="1"/>
          </reference>
          <reference field="11" count="1" selected="0">
            <x v="1"/>
          </reference>
        </references>
      </pivotArea>
    </format>
    <format dxfId="160">
      <pivotArea dataOnly="0" labelOnly="1" outline="0" fieldPosition="0">
        <references count="1">
          <reference field="11" count="1">
            <x v="1"/>
          </reference>
        </references>
      </pivotArea>
    </format>
    <format dxfId="159">
      <pivotArea dataOnly="0" labelOnly="1" outline="0" fieldPosition="0">
        <references count="2">
          <reference field="1" count="1">
            <x v="1"/>
          </reference>
          <reference field="11" count="1" selected="0">
            <x v="1"/>
          </reference>
        </references>
      </pivotArea>
    </format>
    <format dxfId="158">
      <pivotArea dataOnly="0" labelOnly="1" outline="0" fieldPosition="0">
        <references count="2">
          <reference field="1" count="1">
            <x v="9"/>
          </reference>
          <reference field="11" count="1" selected="0">
            <x v="1"/>
          </reference>
        </references>
      </pivotArea>
    </format>
    <format dxfId="157">
      <pivotArea dataOnly="0" labelOnly="1" outline="0" fieldPosition="0">
        <references count="1">
          <reference field="11" count="1">
            <x v="1"/>
          </reference>
        </references>
      </pivotArea>
    </format>
    <format dxfId="156">
      <pivotArea dataOnly="0" labelOnly="1" outline="0" fieldPosition="0">
        <references count="2">
          <reference field="1" count="1">
            <x v="9"/>
          </reference>
          <reference field="11" count="1" selected="0">
            <x v="1"/>
          </reference>
        </references>
      </pivotArea>
    </format>
    <format dxfId="155">
      <pivotArea type="all" dataOnly="0" outline="0" fieldPosition="0"/>
    </format>
    <format dxfId="154">
      <pivotArea field="11" type="button" dataOnly="0" labelOnly="1" outline="0" axis="axisRow" fieldPosition="0"/>
    </format>
    <format dxfId="153">
      <pivotArea field="1" type="button" dataOnly="0" labelOnly="1" outline="0" axis="axisRow" fieldPosition="1"/>
    </format>
    <format dxfId="152">
      <pivotArea dataOnly="0" labelOnly="1" outline="0" fieldPosition="0">
        <references count="1">
          <reference field="11" count="0"/>
        </references>
      </pivotArea>
    </format>
    <format dxfId="151">
      <pivotArea dataOnly="0" labelOnly="1" outline="0" fieldPosition="0">
        <references count="2">
          <reference field="1" count="3">
            <x v="0"/>
            <x v="3"/>
            <x v="8"/>
          </reference>
          <reference field="11" count="1" selected="0">
            <x v="0"/>
          </reference>
        </references>
      </pivotArea>
    </format>
    <format dxfId="150">
      <pivotArea dataOnly="0" labelOnly="1" outline="0" fieldPosition="0">
        <references count="2">
          <reference field="1" count="7">
            <x v="1"/>
            <x v="2"/>
            <x v="4"/>
            <x v="5"/>
            <x v="6"/>
            <x v="7"/>
            <x v="9"/>
          </reference>
          <reference field="11" count="1" selected="0">
            <x v="1"/>
          </reference>
        </references>
      </pivotArea>
    </format>
    <format dxfId="149">
      <pivotArea type="all" dataOnly="0" outline="0" fieldPosition="0"/>
    </format>
    <format dxfId="148">
      <pivotArea field="11" type="button" dataOnly="0" labelOnly="1" outline="0" axis="axisRow" fieldPosition="0"/>
    </format>
    <format dxfId="147">
      <pivotArea field="1" type="button" dataOnly="0" labelOnly="1" outline="0" axis="axisRow" fieldPosition="1"/>
    </format>
    <format dxfId="146">
      <pivotArea dataOnly="0" labelOnly="1" outline="0" fieldPosition="0">
        <references count="1">
          <reference field="11" count="0"/>
        </references>
      </pivotArea>
    </format>
    <format dxfId="145">
      <pivotArea dataOnly="0" labelOnly="1" outline="0" fieldPosition="0">
        <references count="2">
          <reference field="1" count="3">
            <x v="0"/>
            <x v="3"/>
            <x v="8"/>
          </reference>
          <reference field="11" count="1" selected="0">
            <x v="0"/>
          </reference>
        </references>
      </pivotArea>
    </format>
    <format dxfId="144">
      <pivotArea dataOnly="0" labelOnly="1" outline="0" fieldPosition="0">
        <references count="2">
          <reference field="1" count="7">
            <x v="1"/>
            <x v="2"/>
            <x v="4"/>
            <x v="5"/>
            <x v="6"/>
            <x v="7"/>
            <x v="9"/>
          </reference>
          <reference field="11" count="1" selected="0">
            <x v="1"/>
          </reference>
        </references>
      </pivotArea>
    </format>
    <format dxfId="143">
      <pivotArea type="all" dataOnly="0" outline="0" fieldPosition="0"/>
    </format>
    <format dxfId="142">
      <pivotArea field="11" type="button" dataOnly="0" labelOnly="1" outline="0" axis="axisRow" fieldPosition="0"/>
    </format>
    <format dxfId="141">
      <pivotArea field="1" type="button" dataOnly="0" labelOnly="1" outline="0" axis="axisRow" fieldPosition="1"/>
    </format>
    <format dxfId="140">
      <pivotArea dataOnly="0" labelOnly="1" outline="0" fieldPosition="0">
        <references count="1">
          <reference field="11" count="0"/>
        </references>
      </pivotArea>
    </format>
    <format dxfId="139">
      <pivotArea dataOnly="0" labelOnly="1" outline="0" fieldPosition="0">
        <references count="2">
          <reference field="1" count="3">
            <x v="0"/>
            <x v="3"/>
            <x v="8"/>
          </reference>
          <reference field="11" count="1" selected="0">
            <x v="0"/>
          </reference>
        </references>
      </pivotArea>
    </format>
    <format dxfId="138">
      <pivotArea dataOnly="0" labelOnly="1" outline="0" fieldPosition="0">
        <references count="2">
          <reference field="1" count="7">
            <x v="1"/>
            <x v="2"/>
            <x v="4"/>
            <x v="5"/>
            <x v="6"/>
            <x v="7"/>
            <x v="9"/>
          </reference>
          <reference field="11" count="1" selected="0">
            <x v="1"/>
          </reference>
        </references>
      </pivotArea>
    </format>
    <format dxfId="137">
      <pivotArea type="all" dataOnly="0" outline="0" fieldPosition="0"/>
    </format>
    <format dxfId="136">
      <pivotArea field="11" type="button" dataOnly="0" labelOnly="1" outline="0" axis="axisRow" fieldPosition="0"/>
    </format>
    <format dxfId="135">
      <pivotArea field="1" type="button" dataOnly="0" labelOnly="1" outline="0" axis="axisRow" fieldPosition="1"/>
    </format>
    <format dxfId="134">
      <pivotArea dataOnly="0" labelOnly="1" outline="0" fieldPosition="0">
        <references count="1">
          <reference field="11" count="0"/>
        </references>
      </pivotArea>
    </format>
    <format dxfId="133">
      <pivotArea dataOnly="0" labelOnly="1" outline="0" fieldPosition="0">
        <references count="2">
          <reference field="1" count="3">
            <x v="0"/>
            <x v="3"/>
            <x v="8"/>
          </reference>
          <reference field="11" count="1" selected="0">
            <x v="0"/>
          </reference>
        </references>
      </pivotArea>
    </format>
    <format dxfId="132">
      <pivotArea dataOnly="0" labelOnly="1" outline="0" fieldPosition="0">
        <references count="2">
          <reference field="1" count="7">
            <x v="1"/>
            <x v="2"/>
            <x v="4"/>
            <x v="5"/>
            <x v="6"/>
            <x v="7"/>
            <x v="9"/>
          </reference>
          <reference field="11" count="1" selected="0">
            <x v="1"/>
          </reference>
        </references>
      </pivotArea>
    </format>
    <format dxfId="131">
      <pivotArea type="all" dataOnly="0" outline="0" fieldPosition="0"/>
    </format>
    <format dxfId="130">
      <pivotArea field="11" type="button" dataOnly="0" labelOnly="1" outline="0" axis="axisRow" fieldPosition="0"/>
    </format>
    <format dxfId="129">
      <pivotArea field="1" type="button" dataOnly="0" labelOnly="1" outline="0" axis="axisRow" fieldPosition="1"/>
    </format>
    <format dxfId="128">
      <pivotArea dataOnly="0" labelOnly="1" outline="0" fieldPosition="0">
        <references count="1">
          <reference field="11" count="0"/>
        </references>
      </pivotArea>
    </format>
    <format dxfId="127">
      <pivotArea dataOnly="0" labelOnly="1" outline="0" fieldPosition="0">
        <references count="2">
          <reference field="1" count="3">
            <x v="0"/>
            <x v="3"/>
            <x v="8"/>
          </reference>
          <reference field="11" count="1" selected="0">
            <x v="0"/>
          </reference>
        </references>
      </pivotArea>
    </format>
    <format dxfId="126">
      <pivotArea dataOnly="0" labelOnly="1" outline="0" fieldPosition="0">
        <references count="2">
          <reference field="1" count="7">
            <x v="1"/>
            <x v="2"/>
            <x v="4"/>
            <x v="5"/>
            <x v="6"/>
            <x v="7"/>
            <x v="9"/>
          </reference>
          <reference field="11" count="1" selected="0">
            <x v="1"/>
          </reference>
        </references>
      </pivotArea>
    </format>
    <format dxfId="125">
      <pivotArea field="11" type="button" dataOnly="0" labelOnly="1" outline="0" axis="axisRow" fieldPosition="0"/>
    </format>
    <format dxfId="124">
      <pivotArea field="1" type="button" dataOnly="0" labelOnly="1" outline="0" axis="axisRow" fieldPosition="1"/>
    </format>
    <format dxfId="123">
      <pivotArea field="11" type="button" dataOnly="0" labelOnly="1" outline="0" axis="axisRow" fieldPosition="0"/>
    </format>
    <format dxfId="122">
      <pivotArea field="1" type="button" dataOnly="0" labelOnly="1" outline="0" axis="axisRow" fieldPosition="1"/>
    </format>
    <format dxfId="121">
      <pivotArea dataOnly="0" labelOnly="1" outline="0" fieldPosition="0">
        <references count="2">
          <reference field="1" count="1">
            <x v="0"/>
          </reference>
          <reference field="11" count="1" selected="0">
            <x v="0"/>
          </reference>
        </references>
      </pivotArea>
    </format>
    <format dxfId="120">
      <pivotArea dataOnly="0" labelOnly="1" outline="0" fieldPosition="0">
        <references count="1">
          <reference field="11" count="1">
            <x v="0"/>
          </reference>
        </references>
      </pivotArea>
    </format>
    <format dxfId="119">
      <pivotArea dataOnly="0" labelOnly="1" outline="0" fieldPosition="0">
        <references count="2">
          <reference field="1" count="1">
            <x v="0"/>
          </reference>
          <reference field="11" count="1" selected="0">
            <x v="0"/>
          </reference>
        </references>
      </pivotArea>
    </format>
    <format dxfId="118">
      <pivotArea dataOnly="0" labelOnly="1" outline="0" fieldPosition="0">
        <references count="2">
          <reference field="1" count="1">
            <x v="8"/>
          </reference>
          <reference field="11" count="1" selected="0">
            <x v="0"/>
          </reference>
        </references>
      </pivotArea>
    </format>
    <format dxfId="117">
      <pivotArea dataOnly="0" labelOnly="1" outline="0" fieldPosition="0">
        <references count="1">
          <reference field="11" count="1">
            <x v="0"/>
          </reference>
        </references>
      </pivotArea>
    </format>
    <format dxfId="116">
      <pivotArea dataOnly="0" labelOnly="1" outline="0" fieldPosition="0">
        <references count="2">
          <reference field="1" count="1">
            <x v="8"/>
          </reference>
          <reference field="11" count="1" selected="0">
            <x v="0"/>
          </reference>
        </references>
      </pivotArea>
    </format>
    <format dxfId="115">
      <pivotArea dataOnly="0" labelOnly="1" outline="0" fieldPosition="0">
        <references count="2">
          <reference field="1" count="1">
            <x v="1"/>
          </reference>
          <reference field="11" count="1" selected="0">
            <x v="1"/>
          </reference>
        </references>
      </pivotArea>
    </format>
    <format dxfId="114">
      <pivotArea dataOnly="0" labelOnly="1" outline="0" fieldPosition="0">
        <references count="1">
          <reference field="11" count="1">
            <x v="1"/>
          </reference>
        </references>
      </pivotArea>
    </format>
    <format dxfId="113">
      <pivotArea dataOnly="0" labelOnly="1" outline="0" fieldPosition="0">
        <references count="2">
          <reference field="1" count="1">
            <x v="1"/>
          </reference>
          <reference field="11" count="1" selected="0">
            <x v="1"/>
          </reference>
        </references>
      </pivotArea>
    </format>
    <format dxfId="112">
      <pivotArea dataOnly="0" labelOnly="1" outline="0" fieldPosition="0">
        <references count="2">
          <reference field="1" count="1">
            <x v="9"/>
          </reference>
          <reference field="11" count="1" selected="0">
            <x v="1"/>
          </reference>
        </references>
      </pivotArea>
    </format>
    <format dxfId="111">
      <pivotArea dataOnly="0" labelOnly="1" outline="0" fieldPosition="0">
        <references count="1">
          <reference field="11" count="1">
            <x v="1"/>
          </reference>
        </references>
      </pivotArea>
    </format>
    <format dxfId="110">
      <pivotArea dataOnly="0" labelOnly="1" outline="0" fieldPosition="0">
        <references count="2">
          <reference field="1" count="1">
            <x v="9"/>
          </reference>
          <reference field="11" count="1" selected="0">
            <x v="1"/>
          </reference>
        </references>
      </pivotArea>
    </format>
    <format dxfId="109">
      <pivotArea type="all" dataOnly="0" outline="0" fieldPosition="0"/>
    </format>
    <format dxfId="108">
      <pivotArea field="11" type="button" dataOnly="0" labelOnly="1" outline="0" axis="axisRow" fieldPosition="0"/>
    </format>
    <format dxfId="107">
      <pivotArea field="1" type="button" dataOnly="0" labelOnly="1" outline="0" axis="axisRow" fieldPosition="1"/>
    </format>
    <format dxfId="106">
      <pivotArea dataOnly="0" labelOnly="1" outline="0" fieldPosition="0">
        <references count="1">
          <reference field="11" count="0"/>
        </references>
      </pivotArea>
    </format>
    <format dxfId="105">
      <pivotArea dataOnly="0" labelOnly="1" outline="0" fieldPosition="0">
        <references count="2">
          <reference field="1" count="3">
            <x v="0"/>
            <x v="3"/>
            <x v="8"/>
          </reference>
          <reference field="11" count="1" selected="0">
            <x v="0"/>
          </reference>
        </references>
      </pivotArea>
    </format>
    <format dxfId="104">
      <pivotArea dataOnly="0" labelOnly="1" outline="0" fieldPosition="0">
        <references count="2">
          <reference field="1" count="7">
            <x v="1"/>
            <x v="2"/>
            <x v="4"/>
            <x v="5"/>
            <x v="6"/>
            <x v="7"/>
            <x v="9"/>
          </reference>
          <reference field="11" count="1" selected="0">
            <x v="1"/>
          </reference>
        </references>
      </pivotArea>
    </format>
    <format dxfId="103">
      <pivotArea type="all" dataOnly="0" outline="0" fieldPosition="0"/>
    </format>
    <format dxfId="102">
      <pivotArea field="11" type="button" dataOnly="0" labelOnly="1" outline="0" axis="axisRow" fieldPosition="0"/>
    </format>
    <format dxfId="101">
      <pivotArea field="1" type="button" dataOnly="0" labelOnly="1" outline="0" axis="axisRow" fieldPosition="1"/>
    </format>
    <format dxfId="100">
      <pivotArea dataOnly="0" labelOnly="1" outline="0" fieldPosition="0">
        <references count="1">
          <reference field="11" count="0"/>
        </references>
      </pivotArea>
    </format>
    <format dxfId="99">
      <pivotArea dataOnly="0" labelOnly="1" outline="0" fieldPosition="0">
        <references count="2">
          <reference field="1" count="3">
            <x v="0"/>
            <x v="3"/>
            <x v="8"/>
          </reference>
          <reference field="11" count="1" selected="0">
            <x v="0"/>
          </reference>
        </references>
      </pivotArea>
    </format>
    <format dxfId="98">
      <pivotArea dataOnly="0" labelOnly="1" outline="0" fieldPosition="0">
        <references count="2">
          <reference field="1" count="7">
            <x v="1"/>
            <x v="2"/>
            <x v="4"/>
            <x v="5"/>
            <x v="6"/>
            <x v="7"/>
            <x v="9"/>
          </reference>
          <reference field="11" count="1" selected="0">
            <x v="1"/>
          </reference>
        </references>
      </pivotArea>
    </format>
    <format dxfId="97">
      <pivotArea type="all" dataOnly="0" outline="0" fieldPosition="0"/>
    </format>
    <format dxfId="96">
      <pivotArea field="11" type="button" dataOnly="0" labelOnly="1" outline="0" axis="axisRow" fieldPosition="0"/>
    </format>
    <format dxfId="95">
      <pivotArea field="1" type="button" dataOnly="0" labelOnly="1" outline="0" axis="axisRow" fieldPosition="1"/>
    </format>
    <format dxfId="94">
      <pivotArea dataOnly="0" labelOnly="1" outline="0" fieldPosition="0">
        <references count="1">
          <reference field="11" count="0"/>
        </references>
      </pivotArea>
    </format>
    <format dxfId="93">
      <pivotArea dataOnly="0" labelOnly="1" outline="0" fieldPosition="0">
        <references count="2">
          <reference field="1" count="3">
            <x v="0"/>
            <x v="3"/>
            <x v="8"/>
          </reference>
          <reference field="11" count="1" selected="0">
            <x v="0"/>
          </reference>
        </references>
      </pivotArea>
    </format>
    <format dxfId="92">
      <pivotArea dataOnly="0" labelOnly="1" outline="0" fieldPosition="0">
        <references count="2">
          <reference field="1" count="7">
            <x v="1"/>
            <x v="2"/>
            <x v="4"/>
            <x v="5"/>
            <x v="6"/>
            <x v="7"/>
            <x v="9"/>
          </reference>
          <reference field="11" count="1" selected="0">
            <x v="1"/>
          </reference>
        </references>
      </pivotArea>
    </format>
    <format dxfId="91">
      <pivotArea type="all" dataOnly="0" outline="0" fieldPosition="0"/>
    </format>
    <format dxfId="90">
      <pivotArea field="11" type="button" dataOnly="0" labelOnly="1" outline="0" axis="axisRow" fieldPosition="0"/>
    </format>
    <format dxfId="89">
      <pivotArea field="1" type="button" dataOnly="0" labelOnly="1" outline="0" axis="axisRow" fieldPosition="1"/>
    </format>
    <format dxfId="88">
      <pivotArea dataOnly="0" labelOnly="1" outline="0" fieldPosition="0">
        <references count="1">
          <reference field="11" count="0"/>
        </references>
      </pivotArea>
    </format>
    <format dxfId="87">
      <pivotArea dataOnly="0" labelOnly="1" outline="0" fieldPosition="0">
        <references count="2">
          <reference field="1" count="3">
            <x v="0"/>
            <x v="3"/>
            <x v="8"/>
          </reference>
          <reference field="11" count="1" selected="0">
            <x v="0"/>
          </reference>
        </references>
      </pivotArea>
    </format>
    <format dxfId="86">
      <pivotArea dataOnly="0" labelOnly="1" outline="0" fieldPosition="0">
        <references count="2">
          <reference field="1" count="7">
            <x v="1"/>
            <x v="2"/>
            <x v="4"/>
            <x v="5"/>
            <x v="6"/>
            <x v="7"/>
            <x v="9"/>
          </reference>
          <reference field="11" count="1" selected="0">
            <x v="1"/>
          </reference>
        </references>
      </pivotArea>
    </format>
    <format dxfId="85">
      <pivotArea field="11" type="button" dataOnly="0" labelOnly="1" outline="0" axis="axisRow" fieldPosition="0"/>
    </format>
    <format dxfId="84">
      <pivotArea field="1" type="button" dataOnly="0" labelOnly="1" outline="0" axis="axisRow" fieldPosition="1"/>
    </format>
    <format dxfId="83">
      <pivotArea field="11" type="button" dataOnly="0" labelOnly="1" outline="0" axis="axisRow" fieldPosition="0"/>
    </format>
    <format dxfId="82">
      <pivotArea field="1" type="button" dataOnly="0" labelOnly="1" outline="0" axis="axisRow" fieldPosition="1"/>
    </format>
    <format dxfId="81">
      <pivotArea dataOnly="0" labelOnly="1" outline="0" offset="IV1" fieldPosition="0">
        <references count="1">
          <reference field="11" count="1">
            <x v="0"/>
          </reference>
        </references>
      </pivotArea>
    </format>
    <format dxfId="80">
      <pivotArea dataOnly="0" labelOnly="1" outline="0" fieldPosition="0">
        <references count="2">
          <reference field="1" count="1">
            <x v="0"/>
          </reference>
          <reference field="11" count="1" selected="0">
            <x v="0"/>
          </reference>
        </references>
      </pivotArea>
    </format>
    <format dxfId="79">
      <pivotArea dataOnly="0" labelOnly="1" outline="0" fieldPosition="0">
        <references count="1">
          <reference field="11" count="1">
            <x v="0"/>
          </reference>
        </references>
      </pivotArea>
    </format>
    <format dxfId="78">
      <pivotArea dataOnly="0" labelOnly="1" outline="0" fieldPosition="0">
        <references count="2">
          <reference field="1" count="1">
            <x v="0"/>
          </reference>
          <reference field="11" count="1" selected="0">
            <x v="0"/>
          </reference>
        </references>
      </pivotArea>
    </format>
    <format dxfId="77">
      <pivotArea dataOnly="0" labelOnly="1" outline="0" offset="IV2" fieldPosition="0">
        <references count="1">
          <reference field="11" count="1">
            <x v="0"/>
          </reference>
        </references>
      </pivotArea>
    </format>
    <format dxfId="76">
      <pivotArea dataOnly="0" labelOnly="1" outline="0" fieldPosition="0">
        <references count="2">
          <reference field="1" count="1">
            <x v="3"/>
          </reference>
          <reference field="11" count="1" selected="0">
            <x v="0"/>
          </reference>
        </references>
      </pivotArea>
    </format>
    <format dxfId="75">
      <pivotArea dataOnly="0" labelOnly="1" outline="0" offset="IV256" fieldPosition="0">
        <references count="1">
          <reference field="11" count="1">
            <x v="0"/>
          </reference>
        </references>
      </pivotArea>
    </format>
    <format dxfId="74">
      <pivotArea dataOnly="0" labelOnly="1" outline="0" fieldPosition="0">
        <references count="2">
          <reference field="1" count="1">
            <x v="8"/>
          </reference>
          <reference field="11" count="1" selected="0">
            <x v="0"/>
          </reference>
        </references>
      </pivotArea>
    </format>
    <format dxfId="73">
      <pivotArea dataOnly="0" labelOnly="1" outline="0" fieldPosition="0">
        <references count="1">
          <reference field="11" count="1">
            <x v="0"/>
          </reference>
        </references>
      </pivotArea>
    </format>
    <format dxfId="72">
      <pivotArea dataOnly="0" labelOnly="1" outline="0" fieldPosition="0">
        <references count="2">
          <reference field="1" count="1">
            <x v="8"/>
          </reference>
          <reference field="11" count="1" selected="0">
            <x v="0"/>
          </reference>
        </references>
      </pivotArea>
    </format>
    <format dxfId="71">
      <pivotArea dataOnly="0" labelOnly="1" outline="0" offset="IV1" fieldPosition="0">
        <references count="1">
          <reference field="11" count="1">
            <x v="1"/>
          </reference>
        </references>
      </pivotArea>
    </format>
    <format dxfId="70">
      <pivotArea dataOnly="0" labelOnly="1" outline="0" fieldPosition="0">
        <references count="2">
          <reference field="1" count="1">
            <x v="1"/>
          </reference>
          <reference field="11" count="1" selected="0">
            <x v="1"/>
          </reference>
        </references>
      </pivotArea>
    </format>
    <format dxfId="69">
      <pivotArea dataOnly="0" labelOnly="1" outline="0" fieldPosition="0">
        <references count="1">
          <reference field="11" count="1">
            <x v="1"/>
          </reference>
        </references>
      </pivotArea>
    </format>
    <format dxfId="68">
      <pivotArea dataOnly="0" labelOnly="1" outline="0" fieldPosition="0">
        <references count="2">
          <reference field="1" count="1">
            <x v="1"/>
          </reference>
          <reference field="11" count="1" selected="0">
            <x v="1"/>
          </reference>
        </references>
      </pivotArea>
    </format>
    <format dxfId="67">
      <pivotArea dataOnly="0" labelOnly="1" outline="0" offset="IV2" fieldPosition="0">
        <references count="1">
          <reference field="11" count="1">
            <x v="1"/>
          </reference>
        </references>
      </pivotArea>
    </format>
    <format dxfId="66">
      <pivotArea dataOnly="0" labelOnly="1" outline="0" fieldPosition="0">
        <references count="2">
          <reference field="1" count="1">
            <x v="2"/>
          </reference>
          <reference field="11" count="1" selected="0">
            <x v="1"/>
          </reference>
        </references>
      </pivotArea>
    </format>
    <format dxfId="65">
      <pivotArea dataOnly="0" labelOnly="1" outline="0" offset="IV3" fieldPosition="0">
        <references count="1">
          <reference field="11" count="1">
            <x v="1"/>
          </reference>
        </references>
      </pivotArea>
    </format>
    <format dxfId="64">
      <pivotArea dataOnly="0" labelOnly="1" outline="0" fieldPosition="0">
        <references count="2">
          <reference field="1" count="1">
            <x v="4"/>
          </reference>
          <reference field="11" count="1" selected="0">
            <x v="1"/>
          </reference>
        </references>
      </pivotArea>
    </format>
    <format dxfId="63">
      <pivotArea dataOnly="0" labelOnly="1" outline="0" offset="IV4" fieldPosition="0">
        <references count="1">
          <reference field="11" count="1">
            <x v="1"/>
          </reference>
        </references>
      </pivotArea>
    </format>
    <format dxfId="62">
      <pivotArea dataOnly="0" labelOnly="1" outline="0" fieldPosition="0">
        <references count="2">
          <reference field="1" count="1">
            <x v="5"/>
          </reference>
          <reference field="11" count="1" selected="0">
            <x v="1"/>
          </reference>
        </references>
      </pivotArea>
    </format>
    <format dxfId="61">
      <pivotArea dataOnly="0" labelOnly="1" outline="0" offset="IV5" fieldPosition="0">
        <references count="1">
          <reference field="11" count="1">
            <x v="1"/>
          </reference>
        </references>
      </pivotArea>
    </format>
    <format dxfId="60">
      <pivotArea dataOnly="0" labelOnly="1" outline="0" fieldPosition="0">
        <references count="2">
          <reference field="1" count="1">
            <x v="6"/>
          </reference>
          <reference field="11" count="1" selected="0">
            <x v="1"/>
          </reference>
        </references>
      </pivotArea>
    </format>
    <format dxfId="59">
      <pivotArea dataOnly="0" labelOnly="1" outline="0" offset="IV6" fieldPosition="0">
        <references count="1">
          <reference field="11" count="1">
            <x v="1"/>
          </reference>
        </references>
      </pivotArea>
    </format>
    <format dxfId="58">
      <pivotArea dataOnly="0" labelOnly="1" outline="0" fieldPosition="0">
        <references count="2">
          <reference field="1" count="1">
            <x v="7"/>
          </reference>
          <reference field="11" count="1" selected="0">
            <x v="1"/>
          </reference>
        </references>
      </pivotArea>
    </format>
    <format dxfId="57">
      <pivotArea dataOnly="0" labelOnly="1" outline="0" offset="IV256" fieldPosition="0">
        <references count="1">
          <reference field="11" count="1">
            <x v="1"/>
          </reference>
        </references>
      </pivotArea>
    </format>
    <format dxfId="56">
      <pivotArea dataOnly="0" labelOnly="1" outline="0" fieldPosition="0">
        <references count="2">
          <reference field="1" count="1">
            <x v="9"/>
          </reference>
          <reference field="11" count="1" selected="0">
            <x v="1"/>
          </reference>
        </references>
      </pivotArea>
    </format>
    <format dxfId="55">
      <pivotArea dataOnly="0" labelOnly="1" outline="0" fieldPosition="0">
        <references count="1">
          <reference field="11" count="1">
            <x v="1"/>
          </reference>
        </references>
      </pivotArea>
    </format>
    <format dxfId="54">
      <pivotArea dataOnly="0" labelOnly="1" outline="0" fieldPosition="0">
        <references count="2">
          <reference field="1" count="1">
            <x v="9"/>
          </reference>
          <reference field="11"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2"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i>
  </rowItems>
  <colItems count="1">
    <i/>
  </colItems>
  <pageFields count="1">
    <pageField fld="0" item="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1"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1"/>
    </i>
  </rowItems>
  <colItems count="1">
    <i/>
  </colItems>
  <pageFields count="1">
    <pageField fld="0" item="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10"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2"/>
    </i>
  </rowItems>
  <colItems count="1">
    <i/>
  </colItems>
  <pageFields count="1">
    <pageField fld="0" item="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9"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v="3"/>
    </i>
  </rowItems>
  <colItems count="1">
    <i/>
  </colItems>
  <pageFields count="1">
    <pageField fld="0" item="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8"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4"/>
    </i>
  </rowItems>
  <colItems count="1">
    <i/>
  </colItems>
  <pageFields count="1">
    <pageField fld="0" item="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7"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9"/>
    </i>
  </rowItems>
  <colItems count="1">
    <i/>
  </colItems>
  <pageFields count="1">
    <pageField fld="0" item="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6"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5"/>
    </i>
  </rowItems>
  <colItems count="1">
    <i/>
  </colItems>
  <pageFields count="1">
    <pageField fld="0" item="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5"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7"/>
    </i>
  </rowItems>
  <colItems count="1">
    <i/>
  </colItems>
  <pageFields count="1">
    <pageField fld="0" item="7"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4"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x v="8"/>
    </i>
  </rowItems>
  <colItems count="1">
    <i/>
  </colItems>
  <pageFields count="1">
    <pageField fld="0" item="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174E8-A0FE-41BE-9EE2-BD36AAF25309}" name="PivotTable3" cacheId="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B4" firstHeaderRow="1" firstDataRow="1" firstDataCol="2" rowPageCount="1" colPageCount="1"/>
  <pivotFields count="12">
    <pivotField axis="axisPage" compact="0" outline="0" showAll="0" defaultSubtotal="0">
      <items count="10">
        <item x="0"/>
        <item x="2"/>
        <item x="7"/>
        <item x="9"/>
        <item x="3"/>
        <item x="5"/>
        <item x="6"/>
        <item x="8"/>
        <item x="1"/>
        <item x="4"/>
      </items>
      <extLst>
        <ext xmlns:x14="http://schemas.microsoft.com/office/spreadsheetml/2009/9/main" uri="{2946ED86-A175-432a-8AC1-64E0C546D7DE}">
          <x14:pivotField fillDownLabels="1"/>
        </ext>
      </extLst>
    </pivotField>
    <pivotField axis="axisRow" compact="0" outline="0" showAll="0" defaultSubtotal="0">
      <items count="10">
        <item x="0"/>
        <item x="2"/>
        <item x="7"/>
        <item x="9"/>
        <item x="3"/>
        <item x="6"/>
        <item x="4"/>
        <item x="8"/>
        <item x="1"/>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s>
  <rowFields count="2">
    <field x="11"/>
    <field x="1"/>
  </rowFields>
  <rowItems count="1">
    <i>
      <x v="1"/>
      <x v="6"/>
    </i>
  </rowItems>
  <colItems count="1">
    <i/>
  </colItems>
  <pageFields count="1">
    <pageField fld="0" item="9"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 xmlns:xxpvi="http://schemas.microsoft.com/office/spreadsheetml/2022/pivotVersionInfo" uri="{9F748A41-CAEA-4470-BF7A-CE61E8FFA7F9}">
      <xxpvi:pivotVersionInfo>
        <xxpvi:lastUpdateFeature>RichData</xxpvi:lastUpdateFeature>
      </xxpvi:pivotVersionInfo>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80">
  <a r="1" c="249">
    <v t="i">1</v>
    <v t="i">2</v>
    <v t="i">3</v>
    <v t="i">4</v>
    <v t="i">5</v>
    <v t="i">8</v>
    <v t="i">9</v>
    <v t="i">10</v>
    <v t="i">11</v>
    <v t="i">15</v>
    <v t="i">16</v>
    <v t="i">17</v>
    <v t="i">18</v>
    <v t="i">19</v>
    <v t="i">22</v>
    <v t="i">23</v>
    <v t="i">24</v>
    <v t="i">25</v>
    <v t="i">26</v>
    <v t="i">29</v>
    <v t="i">30</v>
    <v t="i">31</v>
    <v t="i">32</v>
    <v t="i">33</v>
    <v t="i">36</v>
    <v t="i">37</v>
    <v t="i">38</v>
    <v t="i">39</v>
    <v t="i">40</v>
    <v t="i">43</v>
    <v t="i">44</v>
    <v t="i">45</v>
    <v t="i">46</v>
    <v t="i">47</v>
    <v t="i">51</v>
    <v t="i">52</v>
    <v t="i">53</v>
    <v t="i">54</v>
    <v t="i">57</v>
    <v t="i">58</v>
    <v t="i">59</v>
    <v t="i">60</v>
    <v t="i">61</v>
    <v t="i">64</v>
    <v t="i">65</v>
    <v t="i">66</v>
    <v t="i">67</v>
    <v t="i">68</v>
    <v t="i">71</v>
    <v t="i">72</v>
    <v t="i">73</v>
    <v t="i">75</v>
    <v t="i">78</v>
    <v t="i">79</v>
    <v t="i">80</v>
    <v t="i">81</v>
    <v t="i">82</v>
    <v t="i">85</v>
    <v t="i">86</v>
    <v t="i">87</v>
    <v t="i">88</v>
    <v t="i">92</v>
    <v t="i">93</v>
    <v t="i">94</v>
    <v t="i">95</v>
    <v t="i">96</v>
    <v t="i">99</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149</v>
    <v t="i">150</v>
    <v t="i">151</v>
    <v t="i">152</v>
    <v t="i">155</v>
    <v t="i">156</v>
    <v t="i">157</v>
    <v t="i">158</v>
    <v t="i">159</v>
    <v t="i">162</v>
    <v t="i">163</v>
    <v t="i">164</v>
    <v t="i">165</v>
    <v t="i">166</v>
    <v t="i">169</v>
    <v t="i">170</v>
    <v t="i">171</v>
    <v t="i">172</v>
    <v t="i">173</v>
    <v t="i">176</v>
    <v t="i">177</v>
    <v t="i">178</v>
    <v t="i">179</v>
    <v t="i">180</v>
    <v t="i">183</v>
    <v t="i">184</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236</v>
    <v t="i">239</v>
    <v t="i">240</v>
    <v t="i">241</v>
    <v t="i">242</v>
    <v t="i">243</v>
    <v t="i">246</v>
    <v t="i">247</v>
    <v t="i">248</v>
    <v t="i">249</v>
    <v t="i">250</v>
    <v t="i">253</v>
    <v t="i">254</v>
    <v t="i">255</v>
    <v t="i">256</v>
    <v t="i">257</v>
    <v t="i">260</v>
    <v t="i">261</v>
    <v t="i">262</v>
    <v t="i">264</v>
    <v t="i">267</v>
    <v t="i">268</v>
    <v t="i">269</v>
    <v t="i">271</v>
    <v t="i">274</v>
    <v t="i">275</v>
    <v t="i">276</v>
    <v t="i">277</v>
    <v t="i">278</v>
    <v t="i">281</v>
    <v t="i">282</v>
    <v t="i">283</v>
    <v t="i">284</v>
    <v t="i">285</v>
    <v t="i">289</v>
    <v t="i">290</v>
    <v t="i">291</v>
    <v t="i">292</v>
    <v t="i">295</v>
    <v t="i">296</v>
    <v t="i">297</v>
    <v t="i">298</v>
    <v t="i">299</v>
    <v t="i">302</v>
    <v t="i">303</v>
    <v t="i">304</v>
    <v t="i">305</v>
    <v t="i">306</v>
    <v t="i">309</v>
    <v t="i">310</v>
    <v t="i">311</v>
    <v t="i">312</v>
    <v t="i">313</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a>
  <a r="1" c="249">
    <v>149.24</v>
    <v>146.58000000000001</v>
    <v>161.06</v>
    <v>155.37</v>
    <v>159.4</v>
    <v>161.47</v>
    <v>158.68</v>
    <v>155.5</v>
    <v>153.36000000000001</v>
    <v>149.86000000000001</v>
    <v>153.9</v>
    <v>157.72</v>
    <v>161.47</v>
    <v>163.85</v>
    <v>162.41999999999999</v>
    <v>162.06</v>
    <v>160.88999999999999</v>
    <v>162.79</v>
    <v>165.81</v>
    <v>166.05</v>
    <v>165.2</v>
    <v>152.80000000000001</v>
    <v>155.75</v>
    <v>154.38</v>
    <v>159.58000000000001</v>
    <v>160.88999999999999</v>
    <v>166.81</v>
    <v>165.4</v>
    <v>167.43</v>
    <v>167.87</v>
    <v>165.32</v>
    <v>170.06</v>
    <v>171.98</v>
    <v>169.59</v>
    <v>173.98</v>
    <v>173.38</v>
    <v>172.96</v>
    <v>172.85</v>
    <v>170.37</v>
    <v>167.71</v>
    <v>169.39</v>
    <v>169.81</v>
    <v>174.92</v>
    <v>177.63</v>
    <v>180.01</v>
    <v>178.79</v>
    <v>176.97</v>
    <v>175.88</v>
    <v>177.94</v>
    <v>177.23</v>
    <v>173.98</v>
    <v>167.73</v>
    <v>166.01</v>
    <v>167.74</v>
    <v>171.49</v>
    <v>174.43</v>
    <v>178.27</v>
    <v>177.39</v>
    <v>176.91</v>
    <v>179.76</v>
    <v>180.55</v>
    <v>177.56</v>
    <v>175.16</v>
    <v>177.66</v>
    <v>178.7</v>
    <v>181.31</v>
    <v>182.81</v>
    <v>183.1</v>
    <v>183.77</v>
    <v>184.7</v>
    <v>185.94</v>
    <v>191.15</v>
    <v>192.11</v>
    <v>191.51</v>
    <v>193.2</v>
    <v>194.08</v>
    <v>193.42</v>
    <v>196.43</v>
    <v>197.44</v>
    <v>192.86</v>
    <v>189.95</v>
    <v>195.75</v>
    <v>195.32</v>
    <v>196.92</v>
    <v>197.28</v>
    <v>202.09</v>
    <v>201.63</v>
    <v>204.16</v>
    <v>203.03</v>
    <v>203.82</v>
    <v>204.91</v>
    <v>204.29</v>
    <v>202.49</v>
    <v>200.19</v>
    <v>200.62</v>
    <v>206.72</v>
    <v>209.16</v>
    <v>207.95</v>
    <v>208.21</v>
    <v>212.37</v>
    <v>213.53</v>
    <v>211.99</v>
    <v>231.1</v>
    <v>232.66</v>
    <v>235.17</v>
    <v>234.16</v>
    <v>239.94</v>
    <v>239.56</v>
    <v>240.78</v>
    <v>241.38</v>
    <v>251.76</v>
    <v>251.42</v>
    <v>249.85</v>
    <v>252.33</v>
    <v>255.24</v>
    <v>252.88</v>
    <v>252.34</v>
    <v>247.83</v>
    <v>246.57</v>
    <v>247.18</v>
    <v>244.36</v>
    <v>243.55</v>
    <v>245.54</v>
    <v>246.43</v>
    <v>246.45</v>
    <v>251.51</v>
    <v>247.13</v>
    <v>245.46</v>
    <v>242.21</v>
    <v>237.49</v>
    <v>244.64</v>
    <v>246.19</v>
    <v>251.71</v>
    <v>251.88</v>
    <v>253.79</v>
    <v>257.02</v>
    <v>251.34</v>
    <v>252.53</v>
    <v>253.73</v>
    <v>260.51</v>
    <v>269.93</v>
    <v>268.43</v>
    <v>275.17</v>
    <v>281.89999999999998</v>
    <v>281.82</v>
    <v>284.12</v>
    <v>278.06</v>
    <v>284.75</v>
    <v>285.33999999999997</v>
    <v>279.7</v>
    <v>290.58999999999997</v>
    <v>291.74</v>
    <v>287.43</v>
    <v>279.12</v>
    <v>276.98</v>
    <v>285.60000000000002</v>
    <v>284.95999999999998</v>
    <v>292.99</v>
    <v>289.98</v>
    <v>299.64999999999998</v>
    <v>318.47000000000003</v>
    <v>323.64</v>
    <v>320.27999999999997</v>
    <v>320.12</v>
    <v>315.12</v>
    <v>316.02</v>
    <v>320.62</v>
    <v>318.39</v>
    <v>322.08999999999997</v>
    <v>314.45</v>
    <v>317.75</v>
    <v>321</v>
    <v>313.7</v>
    <v>310.52</v>
    <v>309.32</v>
    <v>307.73</v>
    <v>298.06</v>
    <v>303.75</v>
    <v>308.61</v>
    <v>311.33</v>
    <v>315.68</v>
    <v>315.67</v>
    <v>314.95999999999998</v>
    <v>314.39</v>
    <v>314.55</v>
    <v>313.8</v>
    <v>315.32</v>
    <v>317.32</v>
    <v>314.55</v>
    <v>322.43</v>
    <v>326.01</v>
    <v>329.14</v>
    <v>332.73</v>
    <v>336.43</v>
    <v>336.31</v>
    <v>333.16</v>
    <v>330.34</v>
    <v>322.16000000000003</v>
    <v>328.38</v>
    <v>330.84</v>
    <v>328.43</v>
    <v>333.59</v>
    <v>335</v>
    <v>336.28</v>
    <v>338.66</v>
    <v>338.53</v>
    <v>344.9</v>
    <v>340.7</v>
    <v>333.34</v>
    <v>331.33</v>
    <v>323.10000000000002</v>
    <v>324.39999999999998</v>
    <v>318.63</v>
    <v>311.33</v>
    <v>309.37</v>
    <v>306.02</v>
    <v>302.82</v>
    <v>303.94</v>
    <v>303.56</v>
    <v>314.89999999999998</v>
    <v>311.69</v>
    <v>310.92</v>
    <v>313.02999999999997</v>
    <v>307.14999999999998</v>
    <v>311.43</v>
    <v>306.36</v>
    <v>303.56</v>
    <v>303.45</v>
    <v>300.91000000000003</v>
    <v>298.3</v>
    <v>306.01</v>
    <v>306.93</v>
    <v>308.42</v>
    <v>303.20999999999998</v>
    <v>301.45999999999998</v>
    <v>304.42</v>
    <v>309.41000000000003</v>
    <v>306.3</v>
    <v>305.73</v>
    <v>298.79000000000002</v>
    <v>299.02</v>
    <v>289.2</v>
    <v>289.58999999999997</v>
    <v>280.74</v>
    <v>273.76</v>
    <v>273.14</v>
    <v>286.86</v>
    <v>294.89999999999998</v>
    <v>294.45999999999998</v>
  </a>
  <a r="1" c="19">
    <v t="i">2</v>
    <v t="i">3</v>
    <v t="i">4</v>
    <v t="i">5</v>
    <v t="i">6</v>
    <v t="i">9</v>
    <v t="i">10</v>
    <v t="i">11</v>
    <v t="i">12</v>
    <v t="i">13</v>
    <v t="i">16</v>
    <v t="i">17</v>
    <v t="i">18</v>
    <v t="i">19</v>
    <v t="i">20</v>
    <v t="i">23</v>
    <v t="i">24</v>
    <v t="i">25</v>
    <v t="i">26</v>
  </a>
  <a r="1" c="19">
    <v>202.68</v>
    <v>203.23</v>
    <v>204.83</v>
    <v>197.74</v>
    <v>193.39</v>
    <v>196.58</v>
    <v>196.31</v>
    <v>199.46</v>
    <v>205.27</v>
    <v>201.33</v>
    <v>202.68</v>
    <v>205.37</v>
    <v>220.27</v>
    <v>203.77</v>
    <v>201.99</v>
    <v>196.04</v>
    <v>203.43</v>
    <v>210.21</v>
    <v>217.5</v>
  </a>
  <a r="1" c="19">
    <v>189.36</v>
    <v>202.51</v>
    <v>205.11</v>
    <v>202.82499999999999</v>
    <v>198.11</v>
    <v>194.97499999999999</v>
    <v>196.68</v>
    <v>196</v>
    <v>195.03200000000001</v>
    <v>204.88499999999999</v>
    <v>206.39500000000001</v>
    <v>201.39</v>
    <v>211.505</v>
    <v>217.97900000000001</v>
    <v>201.77</v>
    <v>204.95</v>
    <v>198.05</v>
    <v>207.58500000000001</v>
    <v>204.05</v>
  </a>
  <a r="1" c="19">
    <v>202.97</v>
    <v>206.59</v>
    <v>209.21</v>
    <v>203.62</v>
    <v>199.68</v>
    <v>200.17</v>
    <v>199.21</v>
    <v>202.86</v>
    <v>205.88</v>
    <v>206.3</v>
    <v>209.10900000000001</v>
    <v>206.43</v>
    <v>221.33</v>
    <v>221</v>
    <v>203.26990000000001</v>
    <v>208.43</v>
    <v>204</v>
    <v>213.83</v>
    <v>217.78</v>
  </a>
  <a r="1" c="19">
    <v>189.02</v>
    <v>202.2</v>
    <v>203.63</v>
    <v>196.67</v>
    <v>192.27</v>
    <v>194.8</v>
    <v>195.26</v>
    <v>195.75</v>
    <v>192.83</v>
    <v>198.26</v>
    <v>201.71</v>
    <v>200.13</v>
    <v>211.505</v>
    <v>203.43</v>
    <v>197.69</v>
    <v>192.86500000000001</v>
    <v>196.41</v>
    <v>205.84</v>
    <v>200.62</v>
  </a>
  <a r="1" c="19">
    <v>38877220</v>
    <v>29139162</v>
    <v>23076366</v>
    <v>28886913</v>
    <v>27561888</v>
    <v>30285170</v>
    <v>22779675</v>
    <v>28569135</v>
    <v>32245329</v>
    <v>37265103</v>
    <v>31857752</v>
    <v>27258849</v>
    <v>48518269</v>
    <v>49212976</v>
    <v>29206578</v>
    <v>41053298</v>
    <v>42318748</v>
    <v>40835794</v>
    <v>38463484</v>
  </a>
  <a r="1" c="249">
    <v>83.64</v>
    <v>78.209999999999994</v>
    <v>96.84</v>
    <v>88.7</v>
    <v>93.4</v>
    <v>94.5</v>
    <v>95.29</v>
    <v>88.29</v>
    <v>87.5</v>
    <v>85.56</v>
    <v>86.26</v>
    <v>90.39</v>
    <v>94.47</v>
    <v>96.644999999999996</v>
    <v>96.39</v>
    <v>96.06</v>
    <v>97.35</v>
    <v>96.65</v>
    <v>98.8</v>
    <v>100.59</v>
    <v>98.62</v>
    <v>100.36</v>
    <v>101.7</v>
    <v>102.84</v>
    <v>108.12</v>
    <v>112.46</v>
    <v>117.72</v>
    <v>114.99</v>
    <v>117.17</v>
    <v>114.74</v>
    <v>113.51</v>
    <v>112.06</v>
    <v>110.71</v>
    <v>110.31</v>
    <v>114.56</v>
    <v>112.86</v>
    <v>113.03</v>
    <v>110.73</v>
    <v>114.63</v>
    <v>117.31</v>
    <v>118.58</v>
    <v>115.69</v>
    <v>116.19</v>
    <v>121.73</v>
    <v>123.24</v>
    <v>121.14</v>
    <v>118.5</v>
    <v>116.16</v>
    <v>126.39</v>
    <v>127.1</v>
    <v>126.79</v>
    <v>128.24</v>
    <v>129.58000000000001</v>
    <v>138.43</v>
    <v>143.4</v>
    <v>143.68</v>
    <v>143.81</v>
    <v>141.9</v>
    <v>136.11000000000001</v>
    <v>138.52000000000001</v>
    <v>137.91</v>
    <v>134.80000000000001</v>
    <v>137.82</v>
    <v>138.41</v>
    <v>144.16</v>
    <v>146.41999999999999</v>
    <v>146.24</v>
    <v>155.61000000000001</v>
    <v>160.08000000000001</v>
    <v>160.41</v>
    <v>156.99</v>
    <v>157</v>
    <v>154.72</v>
    <v>158.65</v>
    <v>162.12</v>
    <v>166.47</v>
    <v>173.66</v>
    <v>177.44</v>
    <v>179.51</v>
    <v>176.31</v>
    <v>171.7</v>
    <v>176.78</v>
    <v>174.31</v>
    <v>163.12</v>
    <v>172.4</v>
    <v>172.76</v>
    <v>172.28</v>
    <v>174.95</v>
    <v>184.42</v>
    <v>180.95</v>
    <v>177.51</v>
    <v>176.14</v>
    <v>166.55</v>
    <v>165.2</v>
    <v>163.71</v>
    <v>167.76</v>
    <v>163.36000000000001</v>
    <v>166.62</v>
    <v>167.13</v>
    <v>168.58</v>
    <v>162.63</v>
    <v>162.32</v>
    <v>162.13</v>
    <v>161.79</v>
    <v>151.13999999999999</v>
    <v>151.41</v>
    <v>155.82</v>
    <v>159.54</v>
    <v>155.66999999999999</v>
    <v>158.57</v>
    <v>161.16</v>
    <v>160.46</v>
    <v>159.16</v>
    <v>157.91999999999999</v>
    <v>157.38999999999999</v>
    <v>159.79</v>
    <v>160.9</v>
    <v>160.88</v>
    <v>161.27000000000001</v>
    <v>159.46</v>
    <v>161.36000000000001</v>
    <v>161.79</v>
    <v>164.01</v>
    <v>169.73</v>
    <v>164.67</v>
    <v>203.71</v>
    <v>211.51</v>
    <v>235.56</v>
    <v>232.89</v>
    <v>214.9</v>
    <v>216.42</v>
    <v>218.09</v>
    <v>238.6</v>
    <v>234.56</v>
    <v>233.08</v>
    <v>240.56</v>
    <v>238.03</v>
    <v>230.23</v>
    <v>234.99</v>
    <v>252.92</v>
    <v>259.67</v>
    <v>258.01</v>
    <v>264.33</v>
    <v>254.84</v>
    <v>256.12</v>
    <v>259.64999999999998</v>
    <v>250.05</v>
    <v>256.33</v>
    <v>237.7</v>
    <v>233.54</v>
    <v>243.98</v>
    <v>237.52</v>
    <v>258.89</v>
    <v>247.96</v>
    <v>246.81</v>
    <v>240.52</v>
    <v>230.29</v>
    <v>223.55</v>
    <v>206.02</v>
    <v>203.78</v>
    <v>215.05</v>
    <v>206.13</v>
    <v>214.24</v>
    <v>217.53</v>
    <v>219.76</v>
    <v>215.24</v>
    <v>217.6</v>
    <v>215.98</v>
    <v>217.97</v>
    <v>221.11</v>
    <v>221.62</v>
    <v>221.42</v>
    <v>221.43</v>
    <v>210.78</v>
    <v>207.58</v>
    <v>209.17</v>
    <v>198.11</v>
    <v>201.06</v>
    <v>213.43</v>
    <v>214.95</v>
    <v>214.9</v>
    <v>215.04</v>
    <v>214.99</v>
    <v>215.61</v>
    <v>215.34</v>
    <v>214.16</v>
    <v>223.47</v>
    <v>221.08</v>
    <v>214.35</v>
    <v>210.02</v>
    <v>204.68</v>
    <v>203.17</v>
    <v>207.69</v>
    <v>220.97</v>
    <v>223.6</v>
    <v>227.92</v>
    <v>231.83</v>
    <v>231.92</v>
    <v>249.8</v>
    <v>253.73</v>
    <v>259.68</v>
    <v>251.31</v>
    <v>252.03</v>
    <v>252.74</v>
    <v>252.18</v>
    <v>236.73</v>
    <v>246.27</v>
    <v>242.11</v>
    <v>200.19</v>
    <v>192.5</v>
    <v>208.44</v>
    <v>216</v>
    <v>213.57</v>
    <v>213.58</v>
    <v>205.94</v>
    <v>207.32</v>
    <v>203.08</v>
    <v>200.12</v>
    <v>203.37</v>
    <v>200.15</v>
    <v>196.6</v>
    <v>213.84</v>
    <v>210.86</v>
    <v>203.68</v>
    <v>200.21</v>
    <v>198.62</v>
    <v>190.95</v>
    <v>202.07</v>
    <v>199.45</v>
    <v>192.43</v>
    <v>202.68</v>
    <v>203.23</v>
    <v>204.83</v>
    <v>197.74</v>
    <v>193.39</v>
    <v>196.58</v>
    <v>196.31</v>
    <v>199.46</v>
    <v>205.27</v>
    <v>201.33</v>
    <v>202.68</v>
    <v>205.37</v>
    <v>220.27</v>
    <v>203.77</v>
    <v>201.99</v>
    <v>196.04</v>
    <v>203.43</v>
    <v>210.21</v>
    <v>217.5</v>
  </a>
  <a r="1" c="249">
    <v>214.44</v>
    <v>216.87</v>
    <v>234.34</v>
    <v>227.11</v>
    <v>236.2</v>
    <v>234.72</v>
    <v>233.13</v>
    <v>229.61</v>
    <v>231.96</v>
    <v>228.99</v>
    <v>235.59</v>
    <v>240.88</v>
    <v>244.64</v>
    <v>243.55</v>
    <v>243.22</v>
    <v>244.62</v>
    <v>244.62</v>
    <v>246.89</v>
    <v>252.51</v>
    <v>252.56</v>
    <v>249.25</v>
    <v>249.39</v>
    <v>253.47</v>
    <v>253.08</v>
    <v>260.05</v>
    <v>263.01</v>
    <v>265.64</v>
    <v>267.49</v>
    <v>267.56</v>
    <v>264.88</v>
    <v>265.68</v>
    <v>261.04000000000002</v>
    <v>260.67</v>
    <v>260.70999999999998</v>
    <v>265.29000000000002</v>
    <v>263.49</v>
    <v>264.37</v>
    <v>264</v>
    <v>264.66000000000003</v>
    <v>266.27</v>
    <v>264.22000000000003</v>
    <v>261.95</v>
    <v>265.73</v>
    <v>266.74</v>
    <v>268.60000000000002</v>
    <v>268.14999999999998</v>
    <v>268.24</v>
    <v>264.95</v>
    <v>270.36</v>
    <v>269.52</v>
    <v>273.95999999999998</v>
    <v>275</v>
    <v>278.27</v>
    <v>281.26</v>
    <v>284.06</v>
    <v>288.75</v>
    <v>287.11</v>
    <v>289.91000000000003</v>
    <v>290.41000000000003</v>
    <v>292</v>
    <v>296</v>
    <v>291.97000000000003</v>
    <v>282.77999999999997</v>
    <v>283.16000000000003</v>
    <v>288.19</v>
    <v>286.86</v>
    <v>288.7</v>
    <v>286.55</v>
    <v>285.82</v>
    <v>289.89999999999998</v>
    <v>291.27</v>
    <v>290.97000000000003</v>
    <v>291.43</v>
    <v>296.76</v>
    <v>296.55</v>
    <v>298.62</v>
    <v>298.27999999999997</v>
    <v>297.04000000000002</v>
    <v>299.63</v>
    <v>296.24</v>
    <v>289.37</v>
    <v>294.26</v>
    <v>291.37</v>
    <v>291.35000000000002</v>
    <v>286.94</v>
    <v>288.76</v>
    <v>289.56</v>
    <v>292.85000000000002</v>
    <v>290.52999999999997</v>
    <v>294.16000000000003</v>
    <v>290.49</v>
    <v>291.52999999999997</v>
    <v>290.66000000000003</v>
    <v>292.24</v>
    <v>291.47000000000003</v>
    <v>296.24</v>
    <v>294.89999999999998</v>
    <v>298.57</v>
    <v>299.27999999999997</v>
    <v>301.07</v>
    <v>301.42</v>
    <v>299.7</v>
    <v>299.51</v>
    <v>303.82</v>
    <v>294.38</v>
    <v>292.91000000000003</v>
    <v>297.85000000000002</v>
    <v>300.54000000000002</v>
    <v>305.56</v>
    <v>306.91000000000003</v>
    <v>308.89999999999998</v>
    <v>309.19</v>
    <v>311.75</v>
    <v>313.23</v>
    <v>314.77999999999997</v>
    <v>312.44</v>
    <v>312.74</v>
    <v>313.42</v>
    <v>313.45</v>
    <v>316.06</v>
    <v>315.69</v>
    <v>315.43</v>
    <v>310.70999999999998</v>
    <v>307.55</v>
    <v>310.02999999999997</v>
    <v>309.18</v>
    <v>307.69</v>
    <v>304.02999999999997</v>
    <v>305.52999999999997</v>
    <v>300.89</v>
    <v>307.97000000000003</v>
    <v>302.08</v>
    <v>305.69</v>
    <v>298.54000000000002</v>
    <v>297.56</v>
    <v>302.36</v>
    <v>297.08999999999997</v>
    <v>294.11</v>
    <v>294.54000000000002</v>
    <v>300.44</v>
    <v>304.14999999999998</v>
    <v>305.36</v>
    <v>305.51</v>
    <v>309.44</v>
    <v>311.12</v>
    <v>309.35000000000002</v>
    <v>309.25</v>
    <v>311.68</v>
    <v>313.42</v>
    <v>314.20999999999998</v>
    <v>316.89</v>
    <v>315.62</v>
    <v>320.41000000000003</v>
    <v>309.48</v>
    <v>303.61</v>
    <v>300.37</v>
    <v>299.41000000000003</v>
    <v>303.27</v>
    <v>298.38</v>
    <v>298.02</v>
    <v>298</v>
    <v>303</v>
    <v>307.64</v>
    <v>313.08</v>
    <v>308.92</v>
    <v>307.88</v>
    <v>312.13</v>
    <v>316.10000000000002</v>
    <v>315.04000000000002</v>
    <v>315.20999999999998</v>
    <v>300.51</v>
    <v>310.11</v>
    <v>317.38</v>
    <v>318.52</v>
    <v>320.02</v>
    <v>315.55</v>
    <v>314.98</v>
    <v>313</v>
    <v>317.20999999999998</v>
    <v>323.08999999999997</v>
    <v>325.93</v>
    <v>329.17</v>
    <v>327.91</v>
    <v>323.75</v>
    <v>323.42</v>
    <v>322.22000000000003</v>
    <v>325.48</v>
    <v>334.04</v>
    <v>334.61</v>
    <v>326.99</v>
    <v>329.79</v>
    <v>329.19</v>
    <v>324.49</v>
    <v>310.89999999999998</v>
    <v>307.87</v>
    <v>309.26</v>
    <v>312.47000000000003</v>
    <v>302.74</v>
    <v>302.04000000000002</v>
    <v>303.63</v>
    <v>297.72000000000003</v>
    <v>301.04000000000002</v>
    <v>300.31</v>
    <v>300.77</v>
    <v>306.42</v>
    <v>305.89</v>
    <v>308.14</v>
    <v>314.85000000000002</v>
    <v>317.27</v>
    <v>310.16000000000003</v>
    <v>322.39999999999998</v>
    <v>322.10000000000002</v>
    <v>318.27999999999997</v>
    <v>310.82</v>
    <v>302.64</v>
    <v>302.55</v>
    <v>307.13</v>
    <v>308.77999999999997</v>
    <v>308.05</v>
    <v>310.79000000000002</v>
    <v>297.67</v>
    <v>297.3</v>
    <v>303.3</v>
    <v>306.13</v>
    <v>300.3</v>
    <v>297.56</v>
    <v>300.26</v>
    <v>299.39</v>
    <v>293.55</v>
    <v>289.48</v>
    <v>289.92</v>
    <v>288.73</v>
    <v>287.52</v>
    <v>282.89</v>
    <v>283.44</v>
    <v>286.16000000000003</v>
    <v>286.89</v>
    <v>287.74</v>
    <v>287.97000000000003</v>
    <v>286.56</v>
    <v>289.91000000000003</v>
    <v>292.39999999999998</v>
    <v>295.42</v>
    <v>291.66000000000003</v>
    <v>282.83999999999997</v>
    <v>283.77</v>
    <v>294.16000000000003</v>
    <v>295.38</v>
    <v>294.60000000000002</v>
  </a>
  <a r="1" c="249">
    <v>105.1438</v>
    <v>98.585999999999999</v>
    <v>103.9533</v>
    <v>103.358</v>
    <v>106.88</v>
    <v>113.07080000000001</v>
    <v>111.39409999999999</v>
    <v>105.90770000000001</v>
    <v>108.011</v>
    <v>109.2809</v>
    <v>114.9657</v>
    <v>118.0313</v>
    <v>118.3488</v>
    <v>119.331</v>
    <v>117.4361</v>
    <v>117.94199999999999</v>
    <v>118.4877</v>
    <v>119.57899999999999</v>
    <v>124.76779999999999</v>
    <v>125.5714</v>
    <v>126.6528</v>
    <v>122.2577</v>
    <v>124.7975</v>
    <v>124.3411</v>
    <v>131.5042</v>
    <v>130.6113</v>
    <v>132.9923</v>
    <v>122.9224</v>
    <v>122.4859</v>
    <v>121.9898</v>
    <v>124.1725</v>
    <v>122.61490000000001</v>
    <v>120.5215</v>
    <v>119.7774</v>
    <v>118.577</v>
    <v>115.8189</v>
    <v>116.25539999999999</v>
    <v>112.9418</v>
    <v>113.8446</v>
    <v>114.0629</v>
    <v>118.50749999999999</v>
    <v>119.01349999999999</v>
    <v>118.43810000000001</v>
    <v>120.5215</v>
    <v>120.91840000000001</v>
    <v>119.3806</v>
    <v>116.62</v>
    <v>112.87</v>
    <v>115.96</v>
    <v>115.03</v>
    <v>113.49</v>
    <v>113.01</v>
    <v>113.09</v>
    <v>117.01</v>
    <v>114.55</v>
    <v>113.93</v>
    <v>114.08</v>
    <v>113.41</v>
    <v>113.97</v>
    <v>110.71</v>
    <v>108.7</v>
    <v>106.27</v>
    <v>107.99</v>
    <v>103.83</v>
    <v>106.64</v>
    <v>106.72</v>
    <v>108.22</v>
    <v>116.97</v>
    <v>115.73</v>
    <v>117.3</v>
    <v>120.23</v>
    <v>120.27</v>
    <v>120.71</v>
    <v>122.58</v>
    <v>121.15</v>
    <v>120.03</v>
    <v>122.15</v>
    <v>119.36</v>
    <v>117.38</v>
    <v>120.63</v>
    <v>117.07</v>
    <v>117.5</v>
    <v>117.04</v>
    <v>120.86</v>
    <v>120.96</v>
    <v>120.36</v>
    <v>118.64</v>
    <v>122.42</v>
    <v>126.86</v>
    <v>122.28</v>
    <v>121.26</v>
    <v>121.4</v>
    <v>119.99</v>
    <v>119.49</v>
    <v>118.09</v>
    <v>122.94</v>
    <v>124.35</v>
    <v>124.19</v>
    <v>122.23</v>
    <v>119.57</v>
    <v>135</v>
    <v>138.55000000000001</v>
    <v>136.44999999999999</v>
    <v>130.91999999999999</v>
    <v>135.58000000000001</v>
    <v>141.19999999999999</v>
    <v>147.1</v>
    <v>143.93</v>
    <v>155.44</v>
    <v>155.06</v>
    <v>158.04</v>
    <v>162.21</v>
    <v>166.17</v>
    <v>162.47999999999999</v>
    <v>162.81</v>
    <v>164.25</v>
    <v>163.08000000000001</v>
    <v>176.44</v>
    <v>175.47</v>
    <v>171.91</v>
    <v>179.9</v>
    <v>178.73</v>
    <v>182.78</v>
    <v>189.34</v>
    <v>188.03</v>
    <v>187.22</v>
    <v>181.33</v>
    <v>181.12</v>
    <v>173.68</v>
    <v>159.01</v>
    <v>166.81</v>
    <v>162.86000000000001</v>
    <v>165.91</v>
    <v>165.09</v>
    <v>167.05</v>
    <v>173.47</v>
    <v>166.67</v>
    <v>165.86</v>
    <v>171.9</v>
    <v>174.7</v>
    <v>179.45</v>
    <v>176.72</v>
    <v>179.97</v>
    <v>173.93</v>
    <v>170.43</v>
    <v>167.69</v>
    <v>164.3</v>
    <v>164.82</v>
    <v>167.61</v>
    <v>166.34</v>
    <v>165.89</v>
    <v>160.80000000000001</v>
    <v>157.91</v>
    <v>159.84</v>
    <v>153.80000000000001</v>
    <v>157.71</v>
    <v>159.72</v>
    <v>158.88999999999999</v>
    <v>153.28</v>
    <v>152.93</v>
    <v>160.72999999999999</v>
    <v>157.01</v>
    <v>157.6</v>
    <v>157.30000000000001</v>
    <v>164.26</v>
    <v>161.13</v>
    <v>158.08000000000001</v>
    <v>157.44</v>
    <v>158.32</v>
    <v>158.13</v>
    <v>155.96</v>
    <v>158.82</v>
    <v>156.9</v>
    <v>155.68</v>
    <v>150.09</v>
    <v>149.29</v>
    <v>147.09</v>
    <v>147.32</v>
    <v>149.79</v>
    <v>150.96</v>
    <v>151.22999999999999</v>
    <v>150.06</v>
    <v>152.24</v>
    <v>148.49</v>
    <v>147.36000000000001</v>
    <v>146.58000000000001</v>
    <v>155.74</v>
    <v>156.26</v>
    <v>150.9</v>
    <v>146.75</v>
    <v>154.47</v>
    <v>150.96</v>
    <v>166.31</v>
    <v>167.01</v>
    <v>169.9</v>
    <v>170.93</v>
    <v>165.4</v>
    <v>162.38999999999999</v>
    <v>168.67</v>
    <v>177.18</v>
    <v>173.23</v>
    <v>171.37</v>
    <v>172.72</v>
    <v>175.66</v>
    <v>174.25</v>
    <v>169.56</v>
    <v>168.39</v>
    <v>163.65</v>
    <v>159.13999999999999</v>
    <v>157.76</v>
    <v>162.51</v>
    <v>163</v>
    <v>166.51</v>
    <v>164.32</v>
    <v>158.72999999999999</v>
    <v>155.72999999999999</v>
    <v>155.43</v>
    <v>155.77000000000001</v>
    <v>154.27000000000001</v>
    <v>154.44999999999999</v>
    <v>152.78</v>
    <v>153.11000000000001</v>
    <v>152.28</v>
    <v>148.05000000000001</v>
    <v>144.11000000000001</v>
    <v>142.56</v>
    <v>135.59</v>
    <v>133.27000000000001</v>
    <v>130.35</v>
    <v>130.79</v>
    <v>132.63999999999999</v>
    <v>136.85</v>
    <v>136.29</v>
    <v>134.19999999999999</v>
    <v>135.21</v>
    <v>136.71</v>
    <v>136.57</v>
    <v>134.43</v>
    <v>124.9</v>
    <v>122.41</v>
    <v>126.06</v>
    <v>125.48</v>
    <v>129.87</v>
    <v>125.41</v>
    <v>122.69</v>
    <v>121.98</v>
    <v>125.46</v>
    <v>123.73</v>
    <v>122.05</v>
  </a>
  <a r="1" c="19">
    <v>132.63999999999999</v>
    <v>136.85</v>
    <v>136.29</v>
    <v>134.19999999999999</v>
    <v>135.21</v>
    <v>136.71</v>
    <v>136.57</v>
    <v>134.43</v>
    <v>124.9</v>
    <v>122.41</v>
    <v>126.06</v>
    <v>125.48</v>
    <v>129.87</v>
    <v>125.41</v>
    <v>122.69</v>
    <v>121.98</v>
    <v>125.46</v>
    <v>123.73</v>
    <v>122.05</v>
  </a>
  <a r="1" c="19">
    <v>130.24</v>
    <v>135.71</v>
    <v>135.57</v>
    <v>135.38</v>
    <v>136.07</v>
    <v>138.80000000000001</v>
    <v>137.875</v>
    <v>138.44499999999999</v>
    <v>123.02</v>
    <v>125.715</v>
    <v>123.24</v>
    <v>124.36</v>
    <v>129.47999999999999</v>
    <v>126.72</v>
    <v>123.97</v>
    <v>123.28</v>
    <v>121.99</v>
    <v>125.48</v>
    <v>120.27</v>
  </a>
  <a r="1" c="19">
    <v>132.91</v>
    <v>139.22</v>
    <v>136.74</v>
    <v>136</v>
    <v>137.19999999999999</v>
    <v>138.80000000000001</v>
    <v>138.22</v>
    <v>139.16</v>
    <v>126.92</v>
    <v>126.48</v>
    <v>127.27</v>
    <v>125.75</v>
    <v>130.65</v>
    <v>127.05</v>
    <v>124.44</v>
    <v>123.78</v>
    <v>125.78</v>
    <v>126.39</v>
    <v>122.8479</v>
  </a>
  <a r="1" c="19">
    <v>128.55000000000001</v>
    <v>134.56</v>
    <v>134.82</v>
    <v>133.44999999999999</v>
    <v>134.69999999999999</v>
    <v>136.5</v>
    <v>135.97</v>
    <v>134.37</v>
    <v>121.16</v>
    <v>122.09</v>
    <v>123.1</v>
    <v>123.92</v>
    <v>128.34</v>
    <v>124.59</v>
    <v>122.23009999999999</v>
    <v>121.55</v>
    <v>121.38</v>
    <v>123.12</v>
    <v>120.14</v>
  </a>
  <a r="1" c="19">
    <v>10072449</v>
    <v>15264286</v>
    <v>6685065</v>
    <v>7591786</v>
    <v>6438401</v>
    <v>9972344</v>
    <v>10005699</v>
    <v>17158597</v>
    <v>33440469</v>
    <v>15479264</v>
    <v>15583917</v>
    <v>8516233</v>
    <v>12843020</v>
    <v>9239994</v>
    <v>8104989</v>
    <v>7226650</v>
    <v>9486079</v>
    <v>10297423</v>
    <v>8830234</v>
  </a>
  <a r="1" c="249">
    <v>181.46</v>
    <v>172.42</v>
    <v>198.85</v>
    <v>190.42</v>
    <v>198.15</v>
    <v>202.52</v>
    <v>202.14</v>
    <v>194.27</v>
    <v>196.98</v>
    <v>193.16</v>
    <v>199.74</v>
    <v>204.6</v>
    <v>208.37</v>
    <v>209.28</v>
    <v>210.14</v>
    <v>211.21</v>
    <v>212.5</v>
    <v>213.32</v>
    <v>205.35</v>
    <v>198.89</v>
    <v>198.51</v>
    <v>196.25</v>
    <v>197.49</v>
    <v>198.53</v>
    <v>210.79</v>
    <v>212.93</v>
    <v>212.33</v>
    <v>211.45</v>
    <v>211.26</v>
    <v>208.78</v>
    <v>206.86</v>
    <v>202.09</v>
    <v>201.36</v>
    <v>195.27</v>
    <v>200.21</v>
    <v>200.42</v>
    <v>199.95</v>
    <v>200.85</v>
    <v>201.7</v>
    <v>203.27</v>
    <v>202.82</v>
    <v>200.63</v>
    <v>203.92</v>
    <v>201.45</v>
    <v>202.67</v>
    <v>198.78</v>
    <v>199.2</v>
    <v>196.45</v>
    <v>198.42</v>
    <v>195.64</v>
    <v>196.58</v>
    <v>201</v>
    <v>201.5</v>
    <v>200.3</v>
    <v>201.56</v>
    <v>201</v>
    <v>201.08</v>
    <v>205.17</v>
    <v>207.82</v>
    <v>212.44</v>
    <v>213.55</v>
    <v>209.95</v>
    <v>210.01</v>
    <v>211.14</v>
    <v>212.41</v>
    <v>211.16</v>
    <v>208.62</v>
    <v>209.11</v>
    <v>210.16</v>
    <v>210.02</v>
    <v>211.18</v>
    <v>212.48</v>
    <v>214.4</v>
    <v>214.15</v>
    <v>213.76</v>
    <v>213.88</v>
    <v>214.05</v>
    <v>211.27</v>
    <v>209.05</v>
    <v>207.57</v>
    <v>202.38</v>
    <v>203.35</v>
    <v>202.92</v>
    <v>213.25</v>
    <v>220.03</v>
    <v>229.35</v>
    <v>227.18</v>
    <v>229.65</v>
    <v>233.33</v>
    <v>232.78</v>
    <v>231.59</v>
    <v>230.89</v>
    <v>230.56</v>
    <v>226.01</v>
    <v>224.9</v>
    <v>227.76</v>
    <v>227.16</v>
    <v>229.31</v>
    <v>230.49</v>
    <v>232.56</v>
    <v>232.14</v>
    <v>229.72</v>
    <v>238.47</v>
    <v>239.78</v>
    <v>239.69</v>
    <v>237.88</v>
    <v>234.35</v>
    <v>226.79</v>
    <v>230.03</v>
    <v>234.07</v>
    <v>236.7</v>
    <v>238.15</v>
    <v>238.99</v>
    <v>237.88</v>
    <v>245.5</v>
    <v>256.08</v>
    <v>254.43</v>
    <v>252.31</v>
    <v>256.87</v>
    <v>255.46</v>
    <v>254.43</v>
    <v>254.63</v>
    <v>255.45</v>
    <v>257.13</v>
    <v>258.02</v>
    <v>256.69</v>
    <v>256.48</v>
    <v>258.06</v>
    <v>254.04</v>
    <v>245.27</v>
    <v>247.66</v>
    <v>247.77</v>
    <v>249.34</v>
    <v>247.45</v>
    <v>252.29</v>
    <v>262.24</v>
    <v>262.77</v>
    <v>258.45</v>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a>
  <a r="1" c="249">
    <v>35.58</v>
    <v>35.03</v>
    <v>37.15</v>
    <v>35.85</v>
    <v>35.950000000000003</v>
    <v>36.67</v>
    <v>37.99</v>
    <v>37.33</v>
    <v>37.409999999999997</v>
    <v>36.92</v>
    <v>38.32</v>
    <v>38.75</v>
    <v>39.58</v>
    <v>39.69</v>
    <v>39.78</v>
    <v>39.99</v>
    <v>39.880000000000003</v>
    <v>40.17</v>
    <v>41.07</v>
    <v>41.12</v>
    <v>40.840000000000003</v>
    <v>40.93</v>
    <v>41.6</v>
    <v>41.79</v>
    <v>43.36</v>
    <v>44.28</v>
    <v>44.74</v>
    <v>44.38</v>
    <v>44.69</v>
    <v>44.77</v>
    <v>44.69</v>
    <v>43.25</v>
    <v>43.31</v>
    <v>43.2</v>
    <v>44.22</v>
    <v>44.06</v>
    <v>44.24</v>
    <v>44.13</v>
    <v>44.08</v>
    <v>44.65</v>
    <v>44.36</v>
    <v>44.38</v>
    <v>44.97</v>
    <v>44.87</v>
    <v>45.09</v>
    <v>44.73</v>
    <v>44.62</v>
    <v>44.09</v>
    <v>44.41</v>
    <v>44.23</v>
    <v>45.06</v>
    <v>45.5</v>
    <v>46.3</v>
    <v>46.66</v>
    <v>46.85</v>
    <v>47.46</v>
    <v>47.12</v>
    <v>47.32</v>
    <v>48.15</v>
    <v>48.71</v>
    <v>48.93</v>
    <v>48.66</v>
    <v>47.15</v>
    <v>46.84</v>
    <v>46.97</v>
    <v>46.73</v>
    <v>47.07</v>
    <v>46.15</v>
    <v>46.03</v>
    <v>47.02</v>
    <v>47.32</v>
    <v>47.48</v>
    <v>47.77</v>
    <v>48.14</v>
    <v>48.39</v>
    <v>48.45</v>
    <v>48.23</v>
    <v>47.95</v>
    <v>47.96</v>
    <v>47.27</v>
    <v>45.66</v>
    <v>45.85</v>
    <v>45.56</v>
    <v>45.42</v>
    <v>44.92</v>
    <v>46.01</v>
    <v>46.16</v>
    <v>47.5</v>
    <v>47.24</v>
    <v>47.71</v>
    <v>46.94</v>
    <v>47.92</v>
    <v>48.08</v>
    <v>48.35</v>
    <v>48.26</v>
    <v>49.48</v>
    <v>49.48</v>
    <v>50.25</v>
    <v>50.38</v>
    <v>50.49</v>
    <v>50.74</v>
    <v>50.42</v>
    <v>50.06</v>
    <v>50.62</v>
    <v>49.77</v>
    <v>49.46</v>
    <v>50.29</v>
    <v>50.13</v>
    <v>50.75</v>
    <v>50.58</v>
    <v>50.59</v>
    <v>50.66</v>
    <v>51.4</v>
    <v>52.13</v>
    <v>52.25</v>
    <v>51.92</v>
    <v>51.7</v>
    <v>51.7</v>
    <v>51.85</v>
    <v>52.21</v>
    <v>52.42</v>
    <v>51.59</v>
    <v>50.68</v>
    <v>50.48</v>
    <v>50.64</v>
    <v>50.39</v>
    <v>50.29</v>
    <v>49.84</v>
    <v>49.79</v>
    <v>48.65</v>
    <v>48.86</v>
    <v>50.09</v>
    <v>52.28</v>
    <v>50.44</v>
    <v>51.28</v>
    <v>52.04</v>
    <v>51.52</v>
    <v>51.1</v>
    <v>51.76</v>
    <v>52.57</v>
    <v>53.02</v>
    <v>52.87</v>
    <v>52.58</v>
    <v>53.03</v>
    <v>53.45</v>
    <v>53.56</v>
    <v>53.54</v>
    <v>52.45</v>
    <v>53.29</v>
    <v>53.2</v>
    <v>53.42</v>
    <v>53.63</v>
    <v>54.11</v>
    <v>52.87</v>
    <v>52.61</v>
    <v>51.48</v>
    <v>51.64</v>
    <v>52.02</v>
    <v>51</v>
    <v>51.56</v>
    <v>51.93</v>
    <v>52.48</v>
    <v>52.99</v>
    <v>53.65</v>
    <v>53.24</v>
    <v>53.19</v>
    <v>54.09</v>
    <v>54.16</v>
    <v>53.95</v>
    <v>53.9</v>
    <v>53.54</v>
    <v>54.08</v>
    <v>54.56</v>
    <v>55.14</v>
    <v>55.33</v>
    <v>54.81</v>
    <v>54.55</v>
    <v>54.26</v>
    <v>55.27</v>
    <v>55.88</v>
    <v>55.97</v>
    <v>56.25</v>
    <v>56.17</v>
    <v>55.35</v>
    <v>55.28</v>
    <v>55</v>
    <v>55.95</v>
    <v>56.89</v>
    <v>57.25</v>
    <v>55.64</v>
    <v>56.18</v>
    <v>55.85</v>
    <v>55.19</v>
    <v>54.54</v>
    <v>52.48</v>
    <v>52.59</v>
    <v>52.97</v>
    <v>52.1</v>
    <v>52.07</v>
    <v>52.45</v>
    <v>51.72</v>
    <v>52.02</v>
    <v>52.17</v>
    <v>51.81</v>
    <v>53.08</v>
    <v>53.2</v>
    <v>54.03</v>
    <v>54.45</v>
    <v>55.38</v>
    <v>54.94</v>
    <v>56.53</v>
    <v>56.41</v>
    <v>55.39</v>
    <v>53.85</v>
    <v>52.52</v>
    <v>52.55</v>
    <v>52.74</v>
    <v>53.36</v>
    <v>52.77</v>
    <v>53.06</v>
    <v>51.07</v>
    <v>50.41</v>
    <v>51.69</v>
    <v>52.3</v>
    <v>49.83</v>
    <v>49.81</v>
    <v>49.97</v>
    <v>50.3</v>
    <v>49.81</v>
    <v>48.64</v>
    <v>47.9</v>
    <v>48.56</v>
    <v>48.52</v>
    <v>47.13</v>
    <v>46.72</v>
    <v>47.06</v>
    <v>47.28</v>
    <v>46.83</v>
    <v>47.01</v>
    <v>47.16</v>
    <v>47.52</v>
    <v>48.14</v>
    <v>48.75</v>
    <v>48.24</v>
    <v>46.97</v>
    <v>47.23</v>
    <v>48.75</v>
    <v>49.27</v>
    <v>49.38</v>
  </a>
  <a r="1" c="19">
    <v>47.9</v>
    <v>48.56</v>
    <v>48.52</v>
    <v>47.13</v>
    <v>46.72</v>
    <v>47.06</v>
    <v>47.28</v>
    <v>46.83</v>
    <v>47.01</v>
    <v>47.16</v>
    <v>47.52</v>
    <v>48.14</v>
    <v>48.75</v>
    <v>48.24</v>
    <v>46.97</v>
    <v>47.23</v>
    <v>48.75</v>
    <v>49.27</v>
    <v>49.38</v>
  </a>
  <a r="1" c="19">
    <v>47.94</v>
    <v>48.28</v>
    <v>48.36</v>
    <v>47.7</v>
    <v>47.52</v>
    <v>47.12</v>
    <v>47.66</v>
    <v>47.22</v>
    <v>46.42</v>
    <v>47.13</v>
    <v>48.34</v>
    <v>47.05</v>
    <v>48.52</v>
    <v>48.71</v>
    <v>48.07</v>
    <v>47.55</v>
    <v>47.68</v>
    <v>49.7</v>
    <v>48.75</v>
  </a>
  <a r="1" c="19">
    <v>48.15</v>
    <v>49.15</v>
    <v>48.65</v>
    <v>47.782400000000003</v>
    <v>47.820099999999996</v>
    <v>47.68</v>
    <v>48.08</v>
    <v>47.88</v>
    <v>47.19</v>
    <v>47.46</v>
    <v>48.39</v>
    <v>48.46</v>
    <v>49.11</v>
    <v>48.869900000000001</v>
    <v>48.25</v>
    <v>47.854999999999997</v>
    <v>48.77</v>
    <v>50.05</v>
    <v>49.564999999999998</v>
  </a>
  <a r="1" c="19">
    <v>46.77</v>
    <v>47.594999999999999</v>
    <v>47.78</v>
    <v>46.79</v>
    <v>46.655000000000001</v>
    <v>46.900100000000002</v>
    <v>47.2</v>
    <v>46.69</v>
    <v>46.115000000000002</v>
    <v>46.685000000000002</v>
    <v>47.48</v>
    <v>47.02</v>
    <v>48.18</v>
    <v>48.024999999999999</v>
    <v>46.84</v>
    <v>46.93</v>
    <v>47.37</v>
    <v>48.774999999999999</v>
    <v>48.16</v>
  </a>
  <a r="1" c="19">
    <v>62752798</v>
    <v>50271136</v>
    <v>42185812</v>
    <v>58354534</v>
    <v>45473073</v>
    <v>38055608</v>
    <v>33427815</v>
    <v>40251811</v>
    <v>38601377</v>
    <v>78060881</v>
    <v>42333241</v>
    <v>39804103</v>
    <v>29988292</v>
    <v>32502597</v>
    <v>36781861</v>
    <v>43375850</v>
    <v>49060591</v>
    <v>32947016</v>
    <v>27548242</v>
  </a>
  <a r="1" c="19">
    <v>1005.3</v>
    <v>997.36</v>
    <v>992.23</v>
    <v>1003.32</v>
    <v>1008.43</v>
    <v>1001.74</v>
    <v>996.16</v>
    <v>979.92</v>
    <v>974.78</v>
    <v>972.33</v>
    <v>965.73</v>
    <v>973.82</v>
    <v>974.86</v>
    <v>979.65</v>
    <v>983.86</v>
    <v>996.58</v>
    <v>996.43</v>
    <v>996.56</v>
    <v>1014.96</v>
  </a>
  <a r="1" c="19">
    <v>999.63</v>
    <v>1000.5</v>
    <v>996.32</v>
    <v>988.61</v>
    <v>1005.9</v>
    <v>1010.5</v>
    <v>1006.49</v>
    <v>990.37</v>
    <v>985.84</v>
    <v>975.08</v>
    <v>985.66499999999996</v>
    <v>962.06</v>
    <v>978</v>
    <v>975.69</v>
    <v>982.01499999999999</v>
    <v>987.65</v>
    <v>997</v>
    <v>995.02499999999998</v>
    <v>1008</v>
  </a>
  <a r="1" c="19">
    <v>1007.41</v>
    <v>1010.1</v>
    <v>997.39</v>
    <v>1006.21</v>
    <v>1012.83</v>
    <v>1012.65</v>
    <v>1008.095</v>
    <v>993.9819</v>
    <v>988.79</v>
    <v>980.76</v>
    <v>986.64</v>
    <v>981.28</v>
    <v>980.81</v>
    <v>987.19</v>
    <v>987.11</v>
    <v>1005.54</v>
    <v>1008.6</v>
    <v>1003.13</v>
    <v>1016</v>
  </a>
  <a r="1" c="19">
    <v>987.99</v>
    <v>996</v>
    <v>987.89</v>
    <v>984</v>
    <v>1002</v>
    <v>995.43010000000004</v>
    <v>994.75</v>
    <v>978.14</v>
    <v>970.41</v>
    <v>970.54</v>
    <v>964.53</v>
    <v>961</v>
    <v>968.05039999999997</v>
    <v>972.7201</v>
    <v>978.11</v>
    <v>985.01</v>
    <v>985.85</v>
    <v>990.59</v>
    <v>999.21</v>
  </a>
  <a r="1" c="19">
    <v>2348212</v>
    <v>1613381</v>
    <v>1262006</v>
    <v>1669248</v>
    <v>1469672</v>
    <v>1243752</v>
    <v>1210414</v>
    <v>1434421</v>
    <v>1340173</v>
    <v>2621555</v>
    <v>1779094</v>
    <v>1259325</v>
    <v>1067386</v>
    <v>1498250</v>
    <v>1540925</v>
    <v>2129129</v>
    <v>2447853</v>
    <v>1769848</v>
    <v>1828612</v>
  </a>
  <a r="1" c="249">
    <v>908.13</v>
    <v>908.75</v>
    <v>965.19</v>
    <v>964.31</v>
    <v>963.41</v>
    <v>979.32</v>
    <v>976.92</v>
    <v>967.75</v>
    <v>994.5</v>
    <v>957.77</v>
    <v>979.23</v>
    <v>975.84</v>
    <v>975.48</v>
    <v>977.16</v>
    <v>978.54</v>
    <v>991.7</v>
    <v>994.5</v>
    <v>999.04</v>
    <v>1008.3</v>
    <v>1014.89</v>
    <v>1010.5</v>
    <v>1007.15</v>
    <v>1007.71</v>
    <v>1008.09</v>
    <v>1016.15</v>
    <v>999.03</v>
    <v>991.54</v>
    <v>1010.47</v>
    <v>1025.83</v>
    <v>1034.3399999999999</v>
    <v>1036.82</v>
    <v>1025.3</v>
    <v>1018.13</v>
    <v>1008.5</v>
    <v>1017.79</v>
    <v>1013.14</v>
    <v>1008.74</v>
    <v>1040.18</v>
    <v>1056.8499999999999</v>
    <v>1055.5899999999999</v>
    <v>1051.69</v>
    <v>1010.81</v>
    <v>1014.94</v>
    <v>1006.18</v>
    <v>1007.27</v>
    <v>996.78</v>
    <v>1002.71</v>
    <v>990.21</v>
    <v>984.36</v>
    <v>977.72</v>
    <v>974.9</v>
    <v>980.29</v>
    <v>1004.48</v>
    <v>1001.92</v>
    <v>986.54</v>
    <v>982.91</v>
    <v>985.14</v>
    <v>989.94</v>
    <v>985.96</v>
    <v>982.36</v>
    <v>987.02</v>
    <v>992.18</v>
    <v>985.84</v>
    <v>982.09</v>
    <v>970.17</v>
    <v>970.33</v>
    <v>980.91</v>
    <v>967.68</v>
    <v>951.37</v>
    <v>953.91</v>
    <v>950.95</v>
    <v>947.56</v>
    <v>941.61</v>
    <v>941.19</v>
    <v>933.8</v>
    <v>935.48</v>
    <v>933.99</v>
    <v>934.57</v>
    <v>927.51</v>
    <v>939.64</v>
    <v>952.52</v>
    <v>955.37</v>
    <v>943.63</v>
    <v>968.56</v>
    <v>977.45</v>
    <v>980.98</v>
    <v>988.74</v>
    <v>991.25</v>
    <v>978.85</v>
    <v>975.39</v>
    <v>972.04</v>
    <v>979.35</v>
    <v>980.85</v>
    <v>994.57</v>
    <v>969.68</v>
    <v>958.54</v>
    <v>941.58</v>
    <v>941.34</v>
    <v>949.52</v>
    <v>944.96</v>
    <v>943.32</v>
    <v>938.82</v>
    <v>949.78</v>
    <v>955.9</v>
    <v>963.48</v>
    <v>971.85</v>
    <v>979.25</v>
    <v>956.29</v>
    <v>964.32</v>
    <v>967.9</v>
    <v>960.1</v>
    <v>952.07</v>
    <v>963.03</v>
    <v>952.36</v>
    <v>951.16</v>
    <v>943.26</v>
    <v>943.6</v>
    <v>945.27</v>
    <v>943.31</v>
    <v>915.95</v>
    <v>916.87</v>
    <v>925.63</v>
    <v>917.34</v>
    <v>916.77</v>
    <v>915.38</v>
    <v>910.94</v>
    <v>914.8</v>
    <v>914.8</v>
    <v>942.89</v>
    <v>930.01</v>
    <v>935.56</v>
    <v>946.51</v>
    <v>954.99</v>
    <v>925.62</v>
    <v>936.33</v>
    <v>936.11</v>
    <v>937.5</v>
    <v>944.68</v>
    <v>942.05</v>
    <v>932.14</v>
    <v>929.85</v>
    <v>924.16</v>
    <v>912.42</v>
    <v>920.18</v>
    <v>911.45</v>
    <v>928.04</v>
    <v>940.74</v>
    <v>935.03</v>
    <v>923.58</v>
    <v>922.74</v>
    <v>915.56</v>
    <v>913.86</v>
    <v>914</v>
    <v>925.08</v>
    <v>922.98</v>
    <v>912.59</v>
    <v>895.08</v>
    <v>890.6</v>
    <v>893.29</v>
    <v>899.01</v>
    <v>886.12</v>
    <v>894.33</v>
    <v>908.26</v>
    <v>913.59</v>
    <v>911.96</v>
    <v>922.03</v>
    <v>922.26</v>
    <v>895.85500000000002</v>
    <v>894.68</v>
    <v>887.52</v>
    <v>888.44</v>
    <v>874.41</v>
    <v>884.48</v>
    <v>884.47</v>
    <v>860.56</v>
    <v>860.39</v>
    <v>862.65</v>
    <v>857.59</v>
    <v>855.62</v>
    <v>850</v>
    <v>854.79</v>
    <v>871.86</v>
    <v>873.35</v>
    <v>867.84</v>
    <v>865.65</v>
    <v>862.34</v>
    <v>854.5</v>
    <v>875.74</v>
    <v>889.1</v>
    <v>882.58</v>
    <v>915.31</v>
    <v>924.88</v>
    <v>943.08</v>
    <v>941.93</v>
    <v>950.98</v>
    <v>956.75</v>
    <v>963.61</v>
    <v>964.26</v>
    <v>982.86</v>
    <v>976.17</v>
    <v>983.25</v>
    <v>977.67</v>
    <v>970.28</v>
    <v>960.78</v>
    <v>952.89</v>
    <v>940.25</v>
    <v>968.36</v>
    <v>977.92</v>
    <v>978.35</v>
    <v>989.29</v>
    <v>1001.16</v>
    <v>997.59</v>
    <v>971.23</v>
    <v>978.14</v>
    <v>998.86</v>
    <v>1018.48</v>
    <v>1012.05</v>
    <v>996.08</v>
    <v>987.82</v>
    <v>985.27</v>
    <v>986.02</v>
    <v>998.43</v>
    <v>994.76</v>
    <v>986.74</v>
    <v>1010.79</v>
    <v>1002.77</v>
    <v>1007.77</v>
    <v>1006.74</v>
    <v>982.57</v>
    <v>998.1</v>
    <v>1005.3</v>
    <v>997.36</v>
    <v>992.23</v>
    <v>1003.32</v>
    <v>1008.43</v>
    <v>1001.74</v>
    <v>996.16</v>
    <v>979.92</v>
    <v>974.78</v>
    <v>972.33</v>
    <v>965.73</v>
    <v>973.82</v>
    <v>974.86</v>
    <v>979.65</v>
    <v>983.86</v>
    <v>996.58</v>
    <v>996.43</v>
    <v>996.56</v>
    <v>1014.96</v>
  </a>
  <a r="1" c="249">
    <v>75</v>
    <v>72.59</v>
    <v>84.19</v>
    <v>78.94</v>
    <v>81.93</v>
    <v>85.19</v>
    <v>85.49</v>
    <v>83.36</v>
    <v>84.8</v>
    <v>82.39</v>
    <v>84.08</v>
    <v>89.16</v>
    <v>94.4</v>
    <v>94.89</v>
    <v>94.47</v>
    <v>93.78</v>
    <v>91.76</v>
    <v>91.95</v>
    <v>94.59</v>
    <v>94.36</v>
    <v>93.95</v>
    <v>95.79</v>
    <v>96.22</v>
    <v>95.91</v>
    <v>103.42</v>
    <v>107.85</v>
    <v>111.02</v>
    <v>110.87</v>
    <v>114.19</v>
    <v>114.28</v>
    <v>114.23</v>
    <v>111.93</v>
    <v>111.95</v>
    <v>112.11</v>
    <v>113.99</v>
    <v>113.77</v>
    <v>113.63</v>
    <v>111.27</v>
    <v>108.08</v>
    <v>111.9</v>
    <v>112.7</v>
    <v>111.82</v>
    <v>113.75</v>
    <v>114.22</v>
    <v>113.25</v>
    <v>111.24</v>
    <v>113.4</v>
    <v>109.56</v>
    <v>113.74</v>
    <v>115.93</v>
    <v>116.56</v>
    <v>119.37</v>
    <v>118.02</v>
    <v>120.59</v>
    <v>120.46</v>
    <v>125.98</v>
    <v>123.99</v>
    <v>122.6</v>
    <v>121.73</v>
    <v>123.48</v>
    <v>125.22</v>
    <v>124.77</v>
    <v>124.39</v>
    <v>126.63</v>
    <v>127.91</v>
    <v>126.83</v>
    <v>125.67</v>
    <v>125.69</v>
    <v>123.57</v>
    <v>123.88</v>
    <v>131.24</v>
    <v>128.96</v>
    <v>124.33</v>
    <v>127.22</v>
    <v>128.35</v>
    <v>131.22</v>
    <v>133.86000000000001</v>
    <v>133.51</v>
    <v>133.54</v>
    <v>132.69</v>
    <v>127.32</v>
    <v>130.22999999999999</v>
    <v>130.47999999999999</v>
    <v>128.13999999999999</v>
    <v>133.93</v>
    <v>137.61000000000001</v>
    <v>138.32</v>
    <v>141.63999999999999</v>
    <v>139.13999999999999</v>
    <v>138.86000000000001</v>
    <v>138.28</v>
    <v>138.13</v>
    <v>135.19999999999999</v>
    <v>128.47999999999999</v>
    <v>127.83</v>
    <v>130.84</v>
    <v>131.01</v>
    <v>130.99</v>
    <v>132.5</v>
    <v>134.05000000000001</v>
    <v>122.15</v>
    <v>120.96</v>
    <v>124.02</v>
    <v>126.67</v>
    <v>124.83</v>
    <v>123</v>
    <v>121.29</v>
    <v>124.45</v>
    <v>125.37</v>
    <v>125.04</v>
    <v>126.8</v>
    <v>127.68</v>
    <v>130.34</v>
    <v>132.11000000000001</v>
    <v>131.94</v>
    <v>135.69</v>
    <v>134.34</v>
    <v>132.09</v>
    <v>130.96</v>
    <v>130.76</v>
    <v>133.9</v>
    <v>141.77000000000001</v>
    <v>149.68</v>
    <v>147.37</v>
    <v>140.74</v>
    <v>145.76</v>
    <v>150.87</v>
    <v>164.53</v>
    <v>155.94999999999999</v>
    <v>150.57</v>
    <v>153.4</v>
    <v>148.77000000000001</v>
    <v>153.69999999999999</v>
    <v>151.31</v>
    <v>149.59</v>
    <v>147.87</v>
    <v>149.43</v>
    <v>150.13</v>
    <v>154.22999999999999</v>
    <v>158.63999999999999</v>
    <v>162.19</v>
    <v>164.88</v>
    <v>163.6</v>
    <v>161.01</v>
    <v>162.01</v>
    <v>160.11000000000001</v>
    <v>154.63999999999999</v>
    <v>152.41</v>
    <v>149.18</v>
    <v>146.69999999999999</v>
    <v>142.69</v>
    <v>138.76</v>
    <v>140.71</v>
    <v>133.94</v>
    <v>133.76</v>
    <v>122.48</v>
    <v>122.69</v>
    <v>119.38</v>
    <v>117.4</v>
    <v>122.51</v>
    <v>127.22</v>
    <v>125.92</v>
    <v>133.26</v>
    <v>133.35</v>
    <v>132.09</v>
    <v>135.94999999999999</v>
    <v>133.63</v>
    <v>138.99</v>
    <v>138.91</v>
    <v>140.41</v>
    <v>138.22</v>
    <v>140.63</v>
    <v>138.6</v>
    <v>129.97999999999999</v>
    <v>130.51</v>
    <v>133.75</v>
    <v>127.89</v>
    <v>122.94</v>
    <v>126.42</v>
    <v>126.61</v>
    <v>127.62</v>
    <v>128.38</v>
    <v>129.24</v>
    <v>127.46</v>
    <v>127.92</v>
    <v>125.88</v>
    <v>127.8</v>
    <v>124.01</v>
    <v>123.93</v>
    <v>120.07</v>
    <v>118.5</v>
    <v>120.62</v>
    <v>120.47</v>
    <v>119.66</v>
    <v>118.69</v>
    <v>119.66</v>
    <v>120.53</v>
    <v>111.07</v>
    <v>113.26</v>
    <v>117.17</v>
    <v>115.43</v>
    <v>115.93</v>
    <v>114.66</v>
    <v>117.32</v>
    <v>118.49</v>
    <v>114.44</v>
    <v>119.16</v>
    <v>117.15</v>
    <v>122.04</v>
    <v>115.39</v>
    <v>121.05</v>
    <v>120.91</v>
    <v>126.01</v>
    <v>124.16</v>
    <v>112.82</v>
    <v>117.49</v>
    <v>116.09</v>
    <v>116.78</v>
    <v>119.06</v>
    <v>122.27</v>
    <v>119.14</v>
    <v>119.78</v>
    <v>123.48</v>
    <v>121.45</v>
    <v>148.08000000000001</v>
    <v>153.55000000000001</v>
    <v>145.18</v>
    <v>147.1</v>
    <v>146.52000000000001</v>
    <v>146.47999999999999</v>
    <v>146.51</v>
    <v>143.80000000000001</v>
    <v>147.37</v>
    <v>149.91</v>
    <v>151.62</v>
    <v>156.54</v>
    <v>153.01</v>
    <v>149.21</v>
    <v>156.76</v>
    <v>157.66999999999999</v>
    <v>164.59</v>
    <v>176.91</v>
    <v>184.01</v>
    <v>175.82</v>
    <v>171.81</v>
    <v>164.66</v>
    <v>164.13</v>
    <v>169.38</v>
    <v>174.37</v>
  </a>
  <a r="1" c="19">
    <v>146.51</v>
    <v>143.80000000000001</v>
    <v>147.37</v>
    <v>149.91</v>
    <v>151.62</v>
    <v>156.54</v>
    <v>153.01</v>
    <v>149.21</v>
    <v>156.76</v>
    <v>157.66999999999999</v>
    <v>164.59</v>
    <v>176.91</v>
    <v>184.01</v>
    <v>175.82</v>
    <v>171.81</v>
    <v>164.66</v>
    <v>164.13</v>
    <v>169.38</v>
    <v>174.37</v>
  </a>
  <a r="1" c="19">
    <v>144.6</v>
    <v>146.285</v>
    <v>145.66</v>
    <v>147.15</v>
    <v>151</v>
    <v>153.05000000000001</v>
    <v>154.75</v>
    <v>152.71</v>
    <v>146.58500000000001</v>
    <v>163.5</v>
    <v>159.24</v>
    <v>163.62</v>
    <v>177.76</v>
    <v>182.71</v>
    <v>175.13</v>
    <v>172.77</v>
    <v>164.29</v>
    <v>166.98</v>
    <v>166.99</v>
  </a>
  <a r="1" c="19">
    <v>146.69999999999999</v>
    <v>146.88999999999999</v>
    <v>149.4699</v>
    <v>151.85</v>
    <v>152.94999999999999</v>
    <v>157.80000000000001</v>
    <v>155.02000000000001</v>
    <v>155.02000000000001</v>
    <v>157.07</v>
    <v>169.9</v>
    <v>165.42</v>
    <v>178.31</v>
    <v>184.86</v>
    <v>186.39</v>
    <v>176.29</v>
    <v>174</v>
    <v>167.99</v>
    <v>171.33</v>
    <v>174.37</v>
  </a>
  <a r="1" c="19">
    <v>141.36000000000001</v>
    <v>137.495</v>
    <v>145.15</v>
    <v>147.08500000000001</v>
    <v>146.82</v>
    <v>152.68</v>
    <v>151.80000000000001</v>
    <v>148.93</v>
    <v>146.57</v>
    <v>157.66999999999999</v>
    <v>158.63</v>
    <v>163.37</v>
    <v>177.62</v>
    <v>175.55</v>
    <v>170.345</v>
    <v>162.47999999999999</v>
    <v>155.37</v>
    <v>164.76</v>
    <v>166.495</v>
  </a>
  <a r="1" c="19">
    <v>7400609</v>
    <v>7518682</v>
    <v>5405664</v>
    <v>7340868</v>
    <v>6441089</v>
    <v>7923360</v>
    <v>6675798</v>
    <v>5460722</v>
    <v>7715340</v>
    <v>23135869</v>
    <v>10721325</v>
    <v>15886495</v>
    <v>11330772</v>
    <v>11061283</v>
    <v>8011470</v>
    <v>10135271</v>
    <v>13713718</v>
    <v>7311128</v>
    <v>5217126</v>
  </a>
  <a r="1" c="249">
    <v>9.24</v>
    <v>8.69</v>
    <v>9.5</v>
    <v>9.14</v>
    <v>9.33</v>
    <v>9.7100000000000009</v>
    <v>9.4499999999999993</v>
    <v>9.4</v>
    <v>9.6300000000000008</v>
    <v>9.4700000000000006</v>
    <v>9.65</v>
    <v>9.7799999999999994</v>
    <v>10.06</v>
    <v>10.039999999999999</v>
    <v>10.02</v>
    <v>10.15</v>
    <v>10.01</v>
    <v>10.18</v>
    <v>10.28</v>
    <v>10.17</v>
    <v>10.44</v>
    <v>10.28</v>
    <v>10.28</v>
    <v>10.43</v>
    <v>10.55</v>
    <v>10.6</v>
    <v>10.65</v>
    <v>10.75</v>
    <v>10.8</v>
    <v>10.75</v>
    <v>10.72</v>
    <v>10.48</v>
    <v>10.44</v>
    <v>10.36</v>
    <v>10.31</v>
    <v>10.17</v>
    <v>10.220000000000001</v>
    <v>10.38</v>
    <v>9.98</v>
    <v>10.19</v>
    <v>10.24</v>
    <v>10.1</v>
    <v>10.26</v>
    <v>10.34</v>
    <v>10.6</v>
    <v>10.66</v>
    <v>10.53</v>
    <v>10.43</v>
    <v>10.62</v>
    <v>10.42</v>
    <v>10.43</v>
    <v>10.59</v>
    <v>10.75</v>
    <v>10.73</v>
    <v>10.48</v>
    <v>10.63</v>
    <v>10.8</v>
    <v>10.85</v>
    <v>11.35</v>
    <v>11.77</v>
    <v>11.81</v>
    <v>11.59</v>
    <v>11.68</v>
    <v>11.83</v>
    <v>11.91</v>
    <v>11.78</v>
    <v>11.88</v>
    <v>11.57</v>
    <v>11.24</v>
    <v>11.15</v>
    <v>11.16</v>
    <v>11.31</v>
    <v>11.19</v>
    <v>11.38</v>
    <v>11.26</v>
    <v>11.47</v>
    <v>11.28</v>
    <v>11.08</v>
    <v>10.87</v>
    <v>11.07</v>
    <v>10.82</v>
    <v>10.95</v>
    <v>11.06</v>
    <v>11.21</v>
    <v>11.28</v>
    <v>11.32</v>
    <v>11.14</v>
    <v>11.25</v>
    <v>11.44</v>
    <v>11.44</v>
    <v>11.44</v>
    <v>11.46</v>
    <v>11.58</v>
    <v>11.49</v>
    <v>11.33</v>
    <v>11.74</v>
    <v>11.82</v>
    <v>11.84</v>
    <v>11.91</v>
    <v>11.71</v>
    <v>11.77</v>
    <v>11.72</v>
    <v>11.62</v>
    <v>11.68</v>
    <v>11.74</v>
    <v>11.69</v>
    <v>11.49</v>
    <v>11.42</v>
    <v>11.76</v>
    <v>11.68</v>
    <v>11.68</v>
    <v>11.61</v>
    <v>11.66</v>
    <v>11.74</v>
    <v>11.62</v>
    <v>11.66</v>
    <v>11.73</v>
    <v>11.63</v>
    <v>11.62</v>
    <v>12.01</v>
    <v>12.09</v>
    <v>11.96</v>
    <v>12.27</v>
    <v>12.22</v>
    <v>12.67</v>
    <v>12.7</v>
    <v>11.92</v>
    <v>11.74</v>
    <v>11.5</v>
    <v>11.41</v>
    <v>11.54</v>
    <v>11.65</v>
    <v>11.76</v>
    <v>11.74</v>
    <v>11.92</v>
    <v>11.99</v>
    <v>12.56</v>
    <v>12.43</v>
    <v>12.34</v>
    <v>13.84</v>
    <v>13.26</v>
    <v>13.13</v>
    <v>13.24</v>
    <v>13.06</v>
    <v>13.13</v>
    <v>13.01</v>
    <v>12.79</v>
    <v>13.11</v>
    <v>13.12</v>
    <v>13.21</v>
    <v>13.16</v>
    <v>13.3</v>
    <v>13.45</v>
    <v>13.28</v>
    <v>13.19</v>
    <v>12.88</v>
    <v>13.02</v>
    <v>12.9</v>
    <v>12.41</v>
    <v>12.83</v>
    <v>12.96</v>
    <v>13.17</v>
    <v>13.19</v>
    <v>13.28</v>
    <v>13.16</v>
    <v>12.96</v>
    <v>13.09</v>
    <v>13.14</v>
    <v>13.03</v>
    <v>13.14</v>
    <v>13.08</v>
    <v>13.41</v>
    <v>13.63</v>
    <v>13.76</v>
    <v>13.65</v>
    <v>13.67</v>
    <v>13.31</v>
    <v>13.32</v>
    <v>13.47</v>
    <v>13.46</v>
    <v>13.29</v>
    <v>13.36</v>
    <v>13.31</v>
    <v>13.28</v>
    <v>13.23</v>
    <v>13.12</v>
    <v>13.34</v>
    <v>13.47</v>
    <v>13.8</v>
    <v>13.74</v>
    <v>14.4</v>
    <v>14.2</v>
    <v>14.03</v>
    <v>13.98</v>
    <v>13.84</v>
    <v>13.81</v>
    <v>13.6</v>
    <v>13.28</v>
    <v>13.77</v>
    <v>13.71</v>
    <v>13.56</v>
    <v>13.44</v>
    <v>13.93</v>
    <v>13.82</v>
    <v>14</v>
    <v>13.88</v>
    <v>13.81</v>
    <v>13.73</v>
    <v>13.82</v>
    <v>13.72</v>
    <v>13.8</v>
    <v>13.59</v>
    <v>13.57</v>
    <v>13.85</v>
    <v>14</v>
    <v>14.12</v>
    <v>14.13</v>
    <v>13.85</v>
    <v>13.78</v>
    <v>14.01</v>
    <v>13.64</v>
    <v>14.2</v>
    <v>14.43</v>
    <v>14.41</v>
    <v>14.09</v>
    <v>13.39</v>
    <v>12.7</v>
    <v>12.81</v>
    <v>12.34</v>
    <v>12.15</v>
    <v>12.19</v>
    <v>12.24</v>
    <v>12.11</v>
    <v>12.04</v>
    <v>11.67</v>
    <v>11.71</v>
    <v>11.94</v>
    <v>11.79</v>
    <v>11.64</v>
    <v>11.52</v>
    <v>11.76</v>
    <v>11.84</v>
    <v>11.67</v>
    <v>11.6</v>
    <v>11.37</v>
    <v>11.21</v>
    <v>11.54</v>
    <v>11.68</v>
    <v>11.6</v>
  </a>
  <a r="1" c="19">
    <v>150.44</v>
    <v>148.13</v>
    <v>151.58000000000001</v>
    <v>153.53</v>
    <v>156.12</v>
    <v>157.22999999999999</v>
    <v>158.81</v>
    <v>157.59</v>
    <v>158.16</v>
    <v>159.66999999999999</v>
    <v>161.13</v>
    <v>165.38</v>
    <v>163.26</v>
    <v>165.43</v>
    <v>170.99</v>
    <v>171.47</v>
    <v>169.66</v>
    <v>160.78</v>
    <v>160.69</v>
  </a>
  <a r="1" c="19">
    <v>152.01499999999999</v>
    <v>149.25</v>
    <v>147.99</v>
    <v>152.26499999999999</v>
    <v>154.30000000000001</v>
    <v>156</v>
    <v>158.25</v>
    <v>159.66</v>
    <v>158.26</v>
    <v>159.35</v>
    <v>156.11500000000001</v>
    <v>161.71</v>
    <v>163.87</v>
    <v>164.09</v>
    <v>165.58</v>
    <v>172.505</v>
    <v>172.67</v>
    <v>165.77</v>
    <v>164.49</v>
  </a>
  <a r="1" c="19">
    <v>153.88990000000001</v>
    <v>150.4</v>
    <v>151.81</v>
    <v>155</v>
    <v>156.88999999999999</v>
    <v>157.78</v>
    <v>160.44999999999999</v>
    <v>160.18</v>
    <v>159.56</v>
    <v>162.44</v>
    <v>161.41999999999999</v>
    <v>167.48</v>
    <v>165</v>
    <v>165.68</v>
    <v>171.23</v>
    <v>176.41</v>
    <v>174.38</v>
    <v>168</v>
    <v>166.9</v>
  </a>
  <a r="1" c="19">
    <v>149.47</v>
    <v>147.69999999999999</v>
    <v>147.66</v>
    <v>151.63</v>
    <v>152.97499999999999</v>
    <v>154.76</v>
    <v>156.80000000000001</v>
    <v>157.53</v>
    <v>154.84</v>
    <v>159.1</v>
    <v>155.02000000000001</v>
    <v>161.25</v>
    <v>162.93</v>
    <v>162.06</v>
    <v>164.8</v>
    <v>171.05</v>
    <v>165.97</v>
    <v>159.53</v>
    <v>159.59</v>
  </a>
  <a r="1" c="19">
    <v>25532656</v>
    <v>19617590</v>
    <v>15297412</v>
    <v>26053965</v>
    <v>22414094</v>
    <v>22835633</v>
    <v>21592171</v>
    <v>18947142</v>
    <v>27082733</v>
    <v>53942142</v>
    <v>25021288</v>
    <v>26131824</v>
    <v>17192333</v>
    <v>18625249</v>
    <v>30338313</v>
    <v>29813504</v>
    <v>32006724</v>
    <v>37927639</v>
    <v>25377657</v>
  </a>
  <a r="1" c="249">
    <v>102.94</v>
    <v>100.77</v>
    <v>105.8</v>
    <v>99.93</v>
    <v>103.14</v>
    <v>103.39</v>
    <v>103.1</v>
    <v>104.19</v>
    <v>106.92</v>
    <v>105.35</v>
    <v>108.3</v>
    <v>107.37</v>
    <v>108.63</v>
    <v>108.57</v>
    <v>108.63</v>
    <v>108.36</v>
    <v>105.63</v>
    <v>105.78</v>
    <v>106.21</v>
    <v>103.27</v>
    <v>104.71</v>
    <v>104.61</v>
    <v>106.07</v>
    <v>107.31</v>
    <v>109.16</v>
    <v>109.46</v>
    <v>108.48</v>
    <v>108.58</v>
    <v>108.19</v>
    <v>106.47</v>
    <v>104.95</v>
    <v>103.66</v>
    <v>102.97</v>
    <v>103.03</v>
    <v>103.52</v>
    <v>102.11</v>
    <v>102.69</v>
    <v>102.3</v>
    <v>103.05</v>
    <v>103.8</v>
    <v>102.3</v>
    <v>101.83</v>
    <v>104.27</v>
    <v>104.97</v>
    <v>107.22</v>
    <v>109.31</v>
    <v>109.73</v>
    <v>112.12</v>
    <v>112.48</v>
    <v>114</v>
    <v>113.19</v>
    <v>114.7</v>
    <v>111.74</v>
    <v>108.34</v>
    <v>108.37</v>
    <v>109.99</v>
    <v>109.38</v>
    <v>107.8</v>
    <v>109.24</v>
    <v>111.05</v>
    <v>112.2</v>
    <v>111.11</v>
    <v>114.19</v>
    <v>113.8</v>
    <v>114.93</v>
    <v>115.43</v>
    <v>113.92</v>
    <v>112.91</v>
    <v>112.23</v>
    <v>111.66</v>
    <v>107.77</v>
    <v>108.05</v>
    <v>108.54</v>
    <v>109.93</v>
    <v>110.79</v>
    <v>110.4</v>
    <v>111.44</v>
    <v>112.88</v>
    <v>111.9</v>
    <v>111.64</v>
    <v>109.64</v>
    <v>107.37</v>
    <v>107.24</v>
    <v>106.51</v>
    <v>105.95</v>
    <v>106.8</v>
    <v>105.83</v>
    <v>106.13</v>
    <v>107.6</v>
    <v>107.38</v>
    <v>106.49</v>
    <v>106.72</v>
    <v>107.42</v>
    <v>108.53</v>
    <v>109.23</v>
    <v>111.28</v>
    <v>111.74</v>
    <v>111.49</v>
    <v>112.75</v>
    <v>113.35</v>
    <v>114.29</v>
    <v>114.69</v>
    <v>111.91</v>
    <v>112.4</v>
    <v>109.23</v>
    <v>109.85</v>
    <v>110.65</v>
    <v>112.5</v>
    <v>112.14</v>
    <v>112.16</v>
    <v>112.35</v>
    <v>114.68</v>
    <v>115.29</v>
    <v>113.93</v>
    <v>112.82</v>
    <v>112.02</v>
    <v>113.95</v>
    <v>114.56</v>
    <v>115.59</v>
    <v>117.22</v>
    <v>114.22</v>
    <v>112.75</v>
    <v>111.99</v>
    <v>111.29</v>
    <v>113.26</v>
    <v>114.2</v>
    <v>114.26</v>
    <v>114.02</v>
    <v>112.91</v>
    <v>110.73</v>
    <v>112.24</v>
    <v>112.29</v>
    <v>111.61</v>
    <v>110.64</v>
    <v>112.24</v>
    <v>112.7</v>
    <v>112.71</v>
    <v>114.71</v>
    <v>115.98</v>
    <v>115.39</v>
    <v>115.94</v>
    <v>115.03</v>
    <v>116.45</v>
    <v>114.69</v>
    <v>114.36</v>
    <v>113.76</v>
    <v>114.14</v>
    <v>113.68</v>
    <v>114.5</v>
    <v>117.22</v>
    <v>118.22</v>
    <v>119.78</v>
    <v>118.12</v>
    <v>118.79</v>
    <v>119.29</v>
    <v>117.68</v>
    <v>119.03</v>
    <v>117.35</v>
    <v>117.02</v>
    <v>117.08</v>
    <v>115.97</v>
    <v>114.51</v>
    <v>114.77</v>
    <v>115.92</v>
    <v>116.63</v>
    <v>115.38</v>
    <v>117.8</v>
    <v>117.14</v>
    <v>116.54</v>
    <v>115.98</v>
    <v>118.25</v>
    <v>119.54</v>
    <v>119.54</v>
    <v>118.82</v>
    <v>117.76</v>
    <v>114.68</v>
    <v>117.41</v>
    <v>116.54</v>
    <v>116.69</v>
    <v>118.15</v>
    <v>119.42</v>
    <v>119.22</v>
    <v>119.11</v>
    <v>120.53</v>
    <v>120.99</v>
    <v>120.34</v>
    <v>122.65</v>
    <v>125.36</v>
    <v>121.05</v>
    <v>118.49</v>
    <v>122.91</v>
    <v>124.61</v>
    <v>124.03</v>
    <v>126.54</v>
    <v>130.19999999999999</v>
    <v>129.13</v>
    <v>129.88999999999999</v>
    <v>130.46</v>
    <v>133.61000000000001</v>
    <v>133.63999999999999</v>
    <v>134.97</v>
    <v>134.84</v>
    <v>136.83000000000001</v>
    <v>137.58000000000001</v>
    <v>140.51</v>
    <v>141.4</v>
    <v>138.4</v>
    <v>143.72999999999999</v>
    <v>147.59</v>
    <v>146.08000000000001</v>
    <v>149.05000000000001</v>
    <v>151.21</v>
    <v>151.59</v>
    <v>155.56</v>
    <v>149.93</v>
    <v>148.44999999999999</v>
    <v>146.19</v>
    <v>150.68</v>
    <v>150.97</v>
    <v>147.28</v>
    <v>150.76</v>
    <v>149.26</v>
    <v>149.06</v>
    <v>148.54</v>
    <v>152.5</v>
    <v>154.22</v>
    <v>151.83000000000001</v>
    <v>149.82</v>
    <v>150.76</v>
    <v>151.21</v>
    <v>150.44</v>
    <v>148.13</v>
    <v>151.58000000000001</v>
    <v>153.53</v>
    <v>156.12</v>
    <v>157.22999999999999</v>
    <v>158.81</v>
    <v>157.59</v>
    <v>158.16</v>
    <v>159.66999999999999</v>
    <v>161.13</v>
    <v>165.38</v>
    <v>163.26</v>
    <v>165.43</v>
    <v>170.99</v>
    <v>171.47</v>
    <v>169.66</v>
    <v>160.78</v>
    <v>160.69</v>
  </a>
  <a r="1" c="249">
    <v>83.83</v>
    <v>81.790000000000006</v>
    <v>89.6</v>
    <v>90.61</v>
    <v>92.8</v>
    <v>94.73</v>
    <v>93.97</v>
    <v>91.19</v>
    <v>93.22</v>
    <v>92.41</v>
    <v>94.85</v>
    <v>94.96</v>
    <v>95.84</v>
    <v>95.09</v>
    <v>95.22</v>
    <v>96.04</v>
    <v>97.25</v>
    <v>97.41</v>
    <v>98.75</v>
    <v>99.33</v>
    <v>98.55</v>
    <v>98.83</v>
    <v>97.43</v>
    <v>96.72</v>
    <v>96.75</v>
    <v>95.88</v>
    <v>96.83</v>
    <v>96.35</v>
    <v>98.24</v>
    <v>98.12</v>
    <v>97.8</v>
    <v>96.43</v>
    <v>95.93</v>
    <v>96.34</v>
    <v>97.58</v>
    <v>97.24</v>
    <v>97.1</v>
    <v>98.72</v>
    <v>99.77</v>
    <v>99.98</v>
    <v>99.35</v>
    <v>97.96</v>
    <v>97.47</v>
    <v>97.45</v>
    <v>97.32</v>
    <v>95.8</v>
    <v>94.83</v>
    <v>94.44</v>
    <v>94.29</v>
    <v>94.25</v>
    <v>95.09</v>
    <v>96.12</v>
    <v>97.87</v>
    <v>98</v>
    <v>97.26</v>
    <v>96.02</v>
    <v>97.27</v>
    <v>97.78</v>
    <v>98.24</v>
    <v>97.61</v>
    <v>98.36</v>
    <v>99.35</v>
    <v>97.09</v>
    <v>96.81</v>
    <v>94.86</v>
    <v>94.4</v>
    <v>95.78</v>
    <v>95.39</v>
    <v>95.15</v>
    <v>95.09</v>
    <v>95.05</v>
    <v>95.67</v>
    <v>95.85</v>
    <v>95.68</v>
    <v>96.6</v>
    <v>97.47</v>
    <v>97.61</v>
    <v>98.33</v>
    <v>97.59</v>
    <v>97.98</v>
    <v>98.49</v>
    <v>99.59</v>
    <v>99.31</v>
    <v>103.36</v>
    <v>103.12</v>
    <v>103.73</v>
    <v>103.93</v>
    <v>103.62</v>
    <v>100.99</v>
    <v>100.85</v>
    <v>100</v>
    <v>100.7</v>
    <v>101.29</v>
    <v>102.57</v>
    <v>97.96</v>
    <v>96.83</v>
    <v>96.07</v>
    <v>96.05</v>
    <v>96.08</v>
    <v>96.11</v>
    <v>96.98</v>
    <v>97.85</v>
    <v>99.44</v>
    <v>100.93</v>
    <v>100.51</v>
    <v>102.28</v>
    <v>102.29</v>
    <v>100.41</v>
    <v>102.65</v>
    <v>103.49</v>
    <v>103.69</v>
    <v>103.42</v>
    <v>104.27</v>
    <v>103.6</v>
    <v>102.33</v>
    <v>102.82</v>
    <v>102.52</v>
    <v>102.73</v>
    <v>103.05</v>
    <v>103.16</v>
    <v>103.08</v>
    <v>103.06</v>
    <v>101.96</v>
    <v>101.7</v>
    <v>102.07</v>
    <v>102.7</v>
    <v>103.24</v>
    <v>102.9</v>
    <v>101.77</v>
    <v>101.84</v>
    <v>102.12</v>
    <v>107.21</v>
    <v>109.03</v>
    <v>106.47</v>
    <v>107.73</v>
    <v>107.05</v>
    <v>106.22</v>
    <v>107.14</v>
    <v>106.86</v>
    <v>106.17</v>
    <v>104.47</v>
    <v>103.17</v>
    <v>102.46</v>
    <v>102.23</v>
    <v>101.18</v>
    <v>101.59</v>
    <v>102.27</v>
    <v>101.47</v>
    <v>101.68</v>
    <v>102.59</v>
    <v>102.42</v>
    <v>103.44</v>
    <v>103.44</v>
    <v>102.54</v>
    <v>102.48</v>
    <v>102.95</v>
    <v>101.39</v>
    <v>100.61</v>
    <v>107.11</v>
    <v>105.32</v>
    <v>104.06</v>
    <v>107</v>
    <v>109.1</v>
    <v>110.51</v>
    <v>111.53</v>
    <v>112.41</v>
    <v>114.41</v>
    <v>114.84</v>
    <v>115.11</v>
    <v>113.56</v>
    <v>115.06</v>
    <v>113.18</v>
    <v>115.52</v>
    <v>116.7</v>
    <v>116.79</v>
    <v>115.42</v>
    <v>115.66</v>
    <v>114.83</v>
    <v>114.36</v>
    <v>112.6</v>
    <v>110.9</v>
    <v>111.61</v>
    <v>111.74</v>
    <v>112.53</v>
    <v>111.92</v>
    <v>111.41</v>
    <v>112.76</v>
    <v>112.71</v>
    <v>114.34</v>
    <v>112.72</v>
    <v>113.07</v>
    <v>114.53</v>
    <v>117.97</v>
    <v>120.36</v>
    <v>120.04</v>
    <v>119.2</v>
    <v>119.7</v>
    <v>118.71</v>
    <v>119.36</v>
    <v>117.83</v>
    <v>117.73</v>
    <v>117.64</v>
    <v>116.94</v>
    <v>116.57</v>
    <v>117.41</v>
    <v>119.14</v>
    <v>124.06</v>
    <v>127.71</v>
    <v>128</v>
    <v>126.94</v>
    <v>131.18</v>
    <v>129.02000000000001</v>
    <v>126.7</v>
    <v>128.77000000000001</v>
    <v>133.63999999999999</v>
    <v>133.88999999999999</v>
    <v>128.85</v>
    <v>126.62</v>
    <v>124.87</v>
    <v>122.99</v>
    <v>125.81</v>
    <v>126.75</v>
    <v>125.75</v>
    <v>124.42</v>
    <v>127.95</v>
    <v>127.1</v>
    <v>127.91</v>
    <v>127.81</v>
    <v>123.31</v>
    <v>123.8</v>
    <v>124.34</v>
    <v>125.12</v>
    <v>123.49</v>
    <v>125.33</v>
    <v>126.52</v>
    <v>125.99</v>
    <v>125.08</v>
    <v>121.98</v>
    <v>121.09</v>
    <v>119.02</v>
    <v>120.72</v>
    <v>122.05</v>
    <v>123.06</v>
    <v>122.18</v>
    <v>122.89</v>
    <v>123.5</v>
    <v>124.28</v>
    <v>124.74</v>
    <v>125.79</v>
  </a>
  <a r="1" c="19">
    <v>74.69</v>
    <v>74.930000000000007</v>
    <v>74.790000000000006</v>
    <v>73.45</v>
    <v>72.39</v>
    <v>72.95</v>
    <v>74.040000000000006</v>
    <v>73.53</v>
    <v>73.790000000000006</v>
    <v>72.81</v>
    <v>75.72</v>
    <v>76.569999999999993</v>
    <v>76.61</v>
    <v>75.599999999999994</v>
    <v>72.98</v>
    <v>72.760000000000005</v>
    <v>74.5</v>
    <v>75.040000000000006</v>
    <v>72.540000000000006</v>
  </a>
  <a r="1" c="19">
    <v>73.400000000000006</v>
    <v>74.84</v>
    <v>75.459999999999994</v>
    <v>73.239999999999995</v>
    <v>73.59</v>
    <v>73.319999999999993</v>
    <v>73.59</v>
    <v>73.53</v>
    <v>72.5</v>
    <v>73.52</v>
    <v>74.75</v>
    <v>74.98</v>
    <v>77.900000000000006</v>
    <v>75.97</v>
    <v>75.209999999999994</v>
    <v>73.709999999999994</v>
    <v>74.05</v>
    <v>75.2</v>
    <v>73.34</v>
  </a>
  <a r="1" c="19">
    <v>74.7</v>
    <v>77.2</v>
    <v>76.58</v>
    <v>74.02</v>
    <v>73.94</v>
    <v>73.849999999999994</v>
    <v>74.569999999999993</v>
    <v>74.81</v>
    <v>74.400000000000006</v>
    <v>73.900000000000006</v>
    <v>76.849999999999994</v>
    <v>76.87</v>
    <v>78.290000000000006</v>
    <v>77.17</v>
    <v>75.260000000000005</v>
    <v>74.23</v>
    <v>75.09</v>
    <v>75.87</v>
    <v>73.680000000000007</v>
  </a>
  <a r="1" c="19">
    <v>71.921999999999997</v>
    <v>74.84</v>
    <v>74.37</v>
    <v>73.099999999999994</v>
    <v>72.09</v>
    <v>72.430000000000007</v>
    <v>73.545000000000002</v>
    <v>73.415000000000006</v>
    <v>72.5</v>
    <v>72.094999999999999</v>
    <v>74.599999999999994</v>
    <v>74.77</v>
    <v>76.39</v>
    <v>74.905000000000001</v>
    <v>72.680000000000007</v>
    <v>72.42</v>
    <v>73.405000000000001</v>
    <v>74.715000000000003</v>
    <v>71.67</v>
  </a>
  <a r="1" c="19">
    <v>8829631</v>
    <v>8915571</v>
    <v>5637485</v>
    <v>7340971</v>
    <v>7229709</v>
    <v>7471711</v>
    <v>4690135</v>
    <v>6000865</v>
    <v>9495200</v>
    <v>17760032</v>
    <v>7694773</v>
    <v>7122238</v>
    <v>7191117</v>
    <v>8471308</v>
    <v>7563228</v>
    <v>7192312</v>
    <v>5778164</v>
    <v>5147737</v>
    <v>8182839</v>
  </a>
  <a r="1" c="249">
    <v>43.53</v>
    <v>42.48</v>
    <v>45.74</v>
    <v>43.73</v>
    <v>43.63</v>
    <v>45.14</v>
    <v>44.54</v>
    <v>44.22</v>
    <v>44.57</v>
    <v>44.39</v>
    <v>45.16</v>
    <v>45.84</v>
    <v>46.88</v>
    <v>47.11</v>
    <v>47.24</v>
    <v>46.94</v>
    <v>45.24</v>
    <v>45.05</v>
    <v>45.3</v>
    <v>45.38</v>
    <v>45.46</v>
    <v>45.47</v>
    <v>47.35</v>
    <v>47.5</v>
    <v>49.61</v>
    <v>50.46</v>
    <v>50.31</v>
    <v>50.12</v>
    <v>50.37</v>
    <v>50.03</v>
    <v>50.21</v>
    <v>49.37</v>
    <v>49.28</v>
    <v>48.69</v>
    <v>49.09</v>
    <v>48.13</v>
    <v>48.59</v>
    <v>49.61</v>
    <v>47.69</v>
    <v>49.06</v>
    <v>47.67</v>
    <v>47.25</v>
    <v>47.47</v>
    <v>47.93</v>
    <v>48.93</v>
    <v>49.87</v>
    <v>49.26</v>
    <v>48.65</v>
    <v>49.27</v>
    <v>48.28</v>
    <v>48.09</v>
    <v>48.2</v>
    <v>48.52</v>
    <v>49</v>
    <v>48.13</v>
    <v>49.16</v>
    <v>49.68</v>
    <v>49.21</v>
    <v>52.03</v>
    <v>52.68</v>
    <v>52.89</v>
    <v>51.82</v>
    <v>52.19</v>
    <v>52.57</v>
    <v>53.15</v>
    <v>53.39</v>
    <v>53.33</v>
    <v>52.71</v>
    <v>53.18</v>
    <v>53.21</v>
    <v>53.22</v>
    <v>53.21</v>
    <v>48.89</v>
    <v>53.13</v>
    <v>52.34</v>
    <v>53.4</v>
    <v>53.45</v>
    <v>52.11</v>
    <v>52.11</v>
    <v>53.34</v>
    <v>52.53</v>
    <v>52.77</v>
    <v>52.58</v>
    <v>52.47</v>
    <v>52.95</v>
    <v>53.53</v>
    <v>54.01</v>
    <v>54.16</v>
    <v>55.58</v>
    <v>56.42</v>
    <v>56.31</v>
    <v>56.23</v>
    <v>57.06</v>
    <v>56.77</v>
    <v>56.51</v>
    <v>58.37</v>
    <v>58.28</v>
    <v>58.8</v>
    <v>58.75</v>
    <v>58.49</v>
    <v>58.59</v>
    <v>58.53</v>
    <v>57.75</v>
    <v>58.15</v>
    <v>58.27</v>
    <v>58.2</v>
    <v>58.01</v>
    <v>57.34</v>
    <v>58.71</v>
    <v>58.5</v>
    <v>58.95</v>
    <v>58.46</v>
    <v>58.73</v>
    <v>59.26</v>
    <v>58.98</v>
    <v>58.88</v>
    <v>58.58</v>
    <v>59.92</v>
    <v>60.59</v>
    <v>61.24</v>
    <v>61.12</v>
    <v>60.97</v>
    <v>61.34</v>
    <v>59.36</v>
    <v>60.13</v>
    <v>58.19</v>
    <v>57.26</v>
    <v>56.4</v>
    <v>55.92</v>
    <v>55.35</v>
    <v>55.62</v>
    <v>57.15</v>
    <v>57.8</v>
    <v>57.34</v>
    <v>58.38</v>
    <v>58</v>
    <v>66.62</v>
    <v>67.31</v>
    <v>66.849999999999994</v>
    <v>69.66</v>
    <v>69.38</v>
    <v>69.87</v>
    <v>69.13</v>
    <v>68.67</v>
    <v>69.09</v>
    <v>68.22</v>
    <v>66.87</v>
    <v>68.77</v>
    <v>68.84</v>
    <v>70.75</v>
    <v>71.05</v>
    <v>71.22</v>
    <v>71.84</v>
    <v>71.89</v>
    <v>70.52</v>
    <v>67.91</v>
    <v>67.930000000000007</v>
    <v>68.5</v>
    <v>68.040000000000006</v>
    <v>70.33</v>
    <v>71</v>
    <v>72.78</v>
    <v>72.81</v>
    <v>73.52</v>
    <v>72.95</v>
    <v>73.66</v>
    <v>74.69</v>
    <v>75.290000000000006</v>
    <v>76.05</v>
    <v>75.709999999999994</v>
    <v>77.16</v>
    <v>80.8</v>
    <v>80.849999999999994</v>
    <v>80.89</v>
    <v>81.98</v>
    <v>81.760000000000005</v>
    <v>80.510000000000005</v>
    <v>81.17</v>
    <v>82.35</v>
    <v>83.03</v>
    <v>82.75</v>
    <v>82.88</v>
    <v>83.06</v>
    <v>82.93</v>
    <v>82.33</v>
    <v>81.319999999999993</v>
    <v>80.98</v>
    <v>83.15</v>
    <v>82.18</v>
    <v>81.91</v>
    <v>85.13</v>
    <v>82.87</v>
    <v>82.9</v>
    <v>83.24</v>
    <v>81.23</v>
    <v>80.91</v>
    <v>80.819999999999993</v>
    <v>77.81</v>
    <v>80.930000000000007</v>
    <v>81.14</v>
    <v>79.680000000000007</v>
    <v>79.430000000000007</v>
    <v>86.38</v>
    <v>84.9</v>
    <v>86.26</v>
    <v>84</v>
    <v>84.27</v>
    <v>85.71</v>
    <v>86.29</v>
    <v>83.3</v>
    <v>84.24</v>
    <v>80.680000000000007</v>
    <v>80.27</v>
    <v>79.819999999999993</v>
    <v>79.930000000000007</v>
    <v>81.08</v>
    <v>81.22</v>
    <v>83.67</v>
    <v>81.47</v>
    <v>81.510000000000005</v>
    <v>79.66</v>
    <v>81.290000000000006</v>
    <v>82.43</v>
    <v>80.790000000000006</v>
    <v>78.709999999999994</v>
    <v>77.760000000000005</v>
    <v>77.27</v>
    <v>78.599999999999994</v>
    <v>76.2</v>
    <v>75.209999999999994</v>
    <v>74.69</v>
    <v>74.930000000000007</v>
    <v>74.790000000000006</v>
    <v>73.45</v>
    <v>72.39</v>
    <v>72.95</v>
    <v>74.040000000000006</v>
    <v>73.53</v>
    <v>73.790000000000006</v>
    <v>72.81</v>
    <v>75.72</v>
    <v>76.569999999999993</v>
    <v>76.61</v>
    <v>75.599999999999994</v>
    <v>72.98</v>
    <v>72.760000000000005</v>
    <v>74.5</v>
    <v>75.040000000000006</v>
    <v>72.540000000000006</v>
  </a>
  <a r="1" c="19">
    <v>664.15</v>
    <v>651.22</v>
    <v>649.47</v>
    <v>652.83000000000004</v>
    <v>646</v>
    <v>645.20000000000005</v>
    <v>636.33000000000004</v>
    <v>642.28</v>
    <v>637.51</v>
    <v>627.42999999999995</v>
    <v>616.25</v>
    <v>610.16999999999996</v>
    <v>624.20000000000005</v>
    <v>627.33000000000004</v>
    <v>615.84</v>
    <v>598.57000000000005</v>
    <v>604.39</v>
    <v>617.64</v>
    <v>622.79</v>
  </a>
  <a r="1" c="19">
    <v>675.58</v>
    <v>657.95</v>
    <v>645.32000000000005</v>
    <v>651.95000000000005</v>
    <v>652.66999999999996</v>
    <v>645.22500000000002</v>
    <v>644.96</v>
    <v>641.11</v>
    <v>639.05999999999995</v>
    <v>635.86</v>
    <v>629.07000000000005</v>
    <v>612.95000000000005</v>
    <v>612.5</v>
    <v>619.79999999999995</v>
    <v>625.70000000000005</v>
    <v>621.03</v>
    <v>604.5</v>
    <v>608.82000000000005</v>
    <v>616.70000000000005</v>
  </a>
  <a r="1" c="19">
    <v>676.07500000000005</v>
    <v>659.89</v>
    <v>656.99990000000003</v>
    <v>661</v>
    <v>660</v>
    <v>651.54999999999995</v>
    <v>645</v>
    <v>645.85</v>
    <v>640</v>
    <v>638.50990000000002</v>
    <v>629.65790000000004</v>
    <v>615.29999999999995</v>
    <v>626.92999999999995</v>
    <v>632.91999999999996</v>
    <v>631.44500000000005</v>
    <v>623.32000000000005</v>
    <v>610</v>
    <v>619.1</v>
    <v>626.51</v>
  </a>
  <a r="1" c="19">
    <v>657.34500000000003</v>
    <v>646.20000000000005</v>
    <v>644.13</v>
    <v>646.63</v>
    <v>640.5</v>
    <v>639</v>
    <v>632.78899999999999</v>
    <v>636.45000000000005</v>
    <v>623.75</v>
    <v>622.37</v>
    <v>610.63</v>
    <v>605.00009999999997</v>
    <v>612.41999999999996</v>
    <v>619.79999999999995</v>
    <v>613.65509999999995</v>
    <v>593.88</v>
    <v>598.70000000000005</v>
    <v>606.11</v>
    <v>616.01</v>
  </a>
  <a r="1" c="19">
    <v>2369743</v>
    <v>1653018</v>
    <v>1365219</v>
    <v>1411169</v>
    <v>1071344</v>
    <v>1180980</v>
    <v>1389066</v>
    <v>1026183</v>
    <v>1540841</v>
    <v>6511253</v>
    <v>1386641</v>
    <v>1078188</v>
    <v>1190275</v>
    <v>1262434</v>
    <v>1061125</v>
    <v>1849318</v>
    <v>1327800</v>
    <v>1118050</v>
    <v>1116763</v>
  </a>
  <a r="1" c="249">
    <v>430.82</v>
    <v>443.36</v>
    <v>462.24</v>
    <v>463.7</v>
    <v>474.9</v>
    <v>475.34</v>
    <v>469.58</v>
    <v>477.08</v>
    <v>464.08</v>
    <v>458.33</v>
    <v>462.08</v>
    <v>463.55</v>
    <v>466.81</v>
    <v>477.64</v>
    <v>476.29</v>
    <v>475.88</v>
    <v>477.75</v>
    <v>477.72</v>
    <v>472.8</v>
    <v>471.56</v>
    <v>468.21</v>
    <v>471.32</v>
    <v>474.53</v>
    <v>473.52</v>
    <v>473.16</v>
    <v>459.83</v>
    <v>449.18</v>
    <v>465.14</v>
    <v>468.32</v>
    <v>473.06</v>
    <v>475.82</v>
    <v>470.28</v>
    <v>470.45</v>
    <v>468.88</v>
    <v>476.85</v>
    <v>469.98</v>
    <v>473.69</v>
    <v>482.38</v>
    <v>478.82</v>
    <v>480.17</v>
    <v>482.21</v>
    <v>478.03</v>
    <v>481.69</v>
    <v>480.83</v>
    <v>476.9</v>
    <v>456.6</v>
    <v>469.27</v>
    <v>486.45</v>
    <v>467.06</v>
    <v>479.34</v>
    <v>468.6</v>
    <v>470.56</v>
    <v>472.46</v>
    <v>460.2</v>
    <v>458.39</v>
    <v>457.9</v>
    <v>458.59</v>
    <v>463.14</v>
    <v>465.94</v>
    <v>462.55</v>
    <v>462.52</v>
    <v>469.06</v>
    <v>463.01</v>
    <v>463.06</v>
    <v>464.31</v>
    <v>467.51</v>
    <v>473.57</v>
    <v>470.12</v>
    <v>471.47</v>
    <v>469.2</v>
    <v>463.96</v>
    <v>460.53</v>
    <v>410.74</v>
    <v>419.39</v>
    <v>420.55</v>
    <v>421.17</v>
    <v>421.34</v>
    <v>420.13</v>
    <v>418.68</v>
    <v>420.98</v>
    <v>421.01</v>
    <v>423.7</v>
    <v>428.24</v>
    <v>434.85</v>
    <v>430.75</v>
    <v>425.63</v>
    <v>426.26</v>
    <v>431.56</v>
    <v>442.57</v>
    <v>437.32</v>
    <v>437.56</v>
    <v>440.64</v>
    <v>441.1</v>
    <v>446</v>
    <v>447.2</v>
    <v>446.2</v>
    <v>447.72</v>
    <v>455.46</v>
    <v>454.47</v>
    <v>456.18</v>
    <v>455.63</v>
    <v>452.5</v>
    <v>449.06</v>
    <v>456.85</v>
    <v>463.9</v>
    <v>459.11</v>
    <v>457.06</v>
    <v>463.87</v>
    <v>470.73</v>
    <v>471.31</v>
    <v>473.25</v>
    <v>474.32</v>
    <v>473.12</v>
    <v>473.62</v>
    <v>472.94</v>
    <v>480.39</v>
    <v>486.67</v>
    <v>486.25</v>
    <v>484.34</v>
    <v>487.44</v>
    <v>491.98</v>
    <v>499.21</v>
    <v>499</v>
    <v>499.36</v>
    <v>504.49</v>
    <v>514.24</v>
    <v>511.07</v>
    <v>514.02</v>
    <v>507.76</v>
    <v>505.05</v>
    <v>503.83</v>
    <v>505.18</v>
    <v>499.41</v>
    <v>493.25</v>
    <v>495.15</v>
    <v>505.9</v>
    <v>489.5</v>
    <v>487.14</v>
    <v>488.05</v>
    <v>485.41</v>
    <v>486.91</v>
    <v>485.77</v>
    <v>485.33</v>
    <v>489.72</v>
    <v>491.88</v>
    <v>487.94</v>
    <v>484.98</v>
    <v>473.14</v>
    <v>468.92</v>
    <v>458.35</v>
    <v>452.1</v>
    <v>457.07</v>
    <v>457.04</v>
    <v>455.85</v>
    <v>465.77</v>
    <v>470.78</v>
    <v>474.72</v>
    <v>469.91</v>
    <v>468.26</v>
    <v>460.78</v>
    <v>451.06</v>
    <v>452.41</v>
    <v>454.16</v>
    <v>457.86</v>
    <v>439.19</v>
    <v>441.82</v>
    <v>446.8</v>
    <v>448.35</v>
    <v>452.2</v>
    <v>465.38</v>
    <v>466.89</v>
    <v>467.94</v>
    <v>474.88</v>
    <v>480.25</v>
    <v>484.42</v>
    <v>477.06</v>
    <v>474.79</v>
    <v>470.14</v>
    <v>474.13</v>
    <v>483.57</v>
    <v>482.55</v>
    <v>485.75</v>
    <v>483.03</v>
    <v>488.87</v>
    <v>488</v>
    <v>483.67</v>
    <v>497.07</v>
    <v>511.57</v>
    <v>522.04</v>
    <v>496.87</v>
    <v>518.44000000000005</v>
    <v>542.91999999999996</v>
    <v>551.24</v>
    <v>558.29999999999995</v>
    <v>572.70000000000005</v>
    <v>577.89</v>
    <v>582.42999999999995</v>
    <v>576.05999999999995</v>
    <v>586.23</v>
    <v>593.91</v>
    <v>590.82000000000005</v>
    <v>581.66</v>
    <v>594.95000000000005</v>
    <v>597.27</v>
    <v>622.51</v>
    <v>634.22</v>
    <v>636</v>
    <v>628.26</v>
    <v>602.76</v>
    <v>609.17999999999995</v>
    <v>623.58000000000004</v>
    <v>638.29</v>
    <v>629.55999999999995</v>
    <v>628.70000000000005</v>
    <v>637.42999999999995</v>
    <v>652.58000000000004</v>
    <v>649.58000000000004</v>
    <v>649.80999999999995</v>
    <v>666.51</v>
    <v>658.26</v>
    <v>660.62</v>
    <v>664.43</v>
    <v>647.5</v>
    <v>641.63</v>
    <v>658.08</v>
    <v>676.7</v>
    <v>667.82</v>
    <v>664.48</v>
    <v>655</v>
    <v>671.77</v>
    <v>664.15</v>
    <v>651.22</v>
    <v>649.47</v>
    <v>652.83000000000004</v>
    <v>646</v>
    <v>645.20000000000005</v>
    <v>636.33000000000004</v>
    <v>642.28</v>
    <v>637.51</v>
    <v>627.42999999999995</v>
    <v>616.25</v>
    <v>610.16999999999996</v>
    <v>624.20000000000005</v>
    <v>627.33000000000004</v>
    <v>615.84</v>
    <v>598.57000000000005</v>
    <v>604.39</v>
    <v>617.64</v>
    <v>622.79</v>
  </a>
  <a r="1" c="249">
    <v>357.86</v>
    <v>354.56</v>
    <v>390.49</v>
    <v>381.35</v>
    <v>388.45</v>
    <v>387.81</v>
    <v>385.73</v>
    <v>371.61</v>
    <v>367.78</v>
    <v>359.12</v>
    <v>366.82</v>
    <v>374.39</v>
    <v>387.3</v>
    <v>391.85</v>
    <v>391.16</v>
    <v>394.04</v>
    <v>395.26</v>
    <v>425.4</v>
    <v>435.28</v>
    <v>436.17</v>
    <v>433.31</v>
    <v>433.35</v>
    <v>438.17</v>
    <v>438.73</v>
    <v>449.26</v>
    <v>449.14</v>
    <v>452.94</v>
    <v>453.13</v>
    <v>454.27</v>
    <v>458.87</v>
    <v>458.17</v>
    <v>452.57</v>
    <v>454.86</v>
    <v>450.18</v>
    <v>460.69</v>
    <v>457.36</v>
    <v>458.68</v>
    <v>460.36</v>
    <v>461.97</v>
    <v>462.97</v>
    <v>463.87</v>
    <v>467.68</v>
    <v>470.38</v>
    <v>472.75</v>
    <v>470.92</v>
    <v>472.62</v>
    <v>478.87</v>
    <v>474.96</v>
    <v>479.14</v>
    <v>478.04</v>
    <v>480.24</v>
    <v>477.4</v>
    <v>486</v>
    <v>490.11</v>
    <v>492.27</v>
    <v>497.45</v>
    <v>495.94</v>
    <v>497.41</v>
    <v>492.05</v>
    <v>491.09</v>
    <v>498.84</v>
    <v>497.72</v>
    <v>496.62</v>
    <v>503.51</v>
    <v>501.48</v>
    <v>503.32</v>
    <v>503.02</v>
    <v>505.82</v>
    <v>505.62</v>
    <v>511.7</v>
    <v>510.05</v>
    <v>510.06</v>
    <v>505.27</v>
    <v>505.87</v>
    <v>510.88</v>
    <v>513.71</v>
    <v>512.5</v>
    <v>512.57000000000005</v>
    <v>513.24</v>
    <v>533.5</v>
    <v>524.11</v>
    <v>535.64</v>
    <v>527.75</v>
    <v>524.94000000000005</v>
    <v>520.84</v>
    <v>522.04</v>
    <v>521.77</v>
    <v>529.24</v>
    <v>520.58000000000004</v>
    <v>522.48</v>
    <v>520.16999999999996</v>
    <v>517.1</v>
    <v>509.77</v>
    <v>505.72</v>
    <v>504.24</v>
    <v>507.23</v>
    <v>504.26</v>
    <v>502.04</v>
    <v>506.74</v>
    <v>509.64</v>
    <v>506.69</v>
    <v>505.12</v>
    <v>505.35</v>
    <v>507.97</v>
    <v>495</v>
    <v>498.2</v>
    <v>498.41</v>
    <v>500.37</v>
    <v>501.01</v>
    <v>509.9</v>
    <v>515.36</v>
    <v>509.04</v>
    <v>510.02</v>
    <v>508.45</v>
    <v>517.92999999999995</v>
    <v>514.45000000000005</v>
    <v>509.23</v>
    <v>510.15</v>
    <v>507.03</v>
    <v>511.46</v>
    <v>514.6</v>
    <v>517.95000000000005</v>
    <v>519.71</v>
    <v>515.74</v>
    <v>517.35</v>
    <v>528.57000000000005</v>
    <v>523.98</v>
    <v>524.85</v>
    <v>522.4</v>
    <v>510.96</v>
    <v>514.04999999999995</v>
    <v>513.57000000000005</v>
    <v>513.42999999999995</v>
    <v>511.61</v>
    <v>513.58000000000004</v>
    <v>516.79</v>
    <v>517.66</v>
    <v>520.54</v>
    <v>520.55999999999995</v>
    <v>523.61</v>
    <v>531.52</v>
    <v>542.07000000000005</v>
    <v>541.54999999999995</v>
    <v>525.76</v>
    <v>517.80999999999995</v>
    <v>517.03</v>
    <v>514.33000000000004</v>
    <v>507.16</v>
    <v>497.1</v>
    <v>496.82</v>
    <v>506</v>
    <v>508.68</v>
    <v>511.14</v>
    <v>503.29</v>
    <v>510.18</v>
    <v>507.49</v>
    <v>493.79</v>
    <v>487.12</v>
    <v>478.43</v>
    <v>472.12</v>
    <v>474</v>
    <v>476.99</v>
    <v>485.5</v>
    <v>492.01</v>
    <v>486.74</v>
    <v>490</v>
    <v>477.73</v>
    <v>480.84</v>
    <v>483.16</v>
    <v>491.02</v>
    <v>492.02</v>
    <v>478.56</v>
    <v>483.47</v>
    <v>478.53</v>
    <v>474.82</v>
    <v>476.39</v>
    <v>476.12</v>
    <v>483.98</v>
    <v>485.92</v>
    <v>484.92</v>
    <v>486.85</v>
    <v>488.02</v>
    <v>487.71</v>
    <v>487.1</v>
    <v>487.48</v>
    <v>483.62</v>
    <v>472.94</v>
    <v>472.85</v>
    <v>478.51</v>
    <v>483.47</v>
    <v>478.11</v>
    <v>479.28</v>
    <v>477.18</v>
    <v>470.67</v>
    <v>459.38</v>
    <v>456.66</v>
    <v>459.86</v>
    <v>454.52</v>
    <v>444.11</v>
    <v>451.14</v>
    <v>465.95</v>
    <v>470.28</v>
    <v>480.58</v>
    <v>481.63</v>
    <v>433.5</v>
    <v>430.29</v>
    <v>423.37</v>
    <v>411.21</v>
    <v>414.19</v>
    <v>393.67</v>
    <v>401.14</v>
    <v>413.6</v>
    <v>413.27</v>
    <v>404.37</v>
    <v>401.84</v>
    <v>401.32</v>
    <v>396.86</v>
    <v>399.6</v>
    <v>398.46</v>
    <v>397.23</v>
    <v>384.47</v>
    <v>389</v>
    <v>400.6</v>
    <v>401.72</v>
    <v>392.74</v>
    <v>398.55</v>
    <v>403.93</v>
    <v>405.2</v>
    <v>410.68</v>
    <v>408.96</v>
    <v>409.41</v>
    <v>405.76</v>
    <v>404.88</v>
    <v>401.86</v>
    <v>395.55</v>
    <v>399.95</v>
    <v>399.41</v>
    <v>391.79</v>
    <v>389.02</v>
    <v>381.87</v>
    <v>383</v>
    <v>372.74</v>
    <v>371.04</v>
    <v>365.97</v>
    <v>356.77</v>
    <v>358.96</v>
    <v>370.17</v>
    <v>369.37</v>
    <v>373.46</v>
  </a>
  <a r="1" c="19">
    <v>409.41</v>
    <v>405.76</v>
    <v>404.88</v>
    <v>401.86</v>
    <v>395.55</v>
    <v>399.95</v>
    <v>399.41</v>
    <v>391.79</v>
    <v>389.02</v>
    <v>381.87</v>
    <v>383</v>
    <v>372.74</v>
    <v>371.04</v>
    <v>365.97</v>
    <v>356.77</v>
    <v>358.96</v>
    <v>370.17</v>
    <v>369.37</v>
    <v>373.46</v>
  </a>
  <a r="1" c="19">
    <v>404.91500000000002</v>
    <v>410.03</v>
    <v>405.57</v>
    <v>404.63</v>
    <v>401</v>
    <v>398.07</v>
    <v>400.27</v>
    <v>397.125</v>
    <v>390.1</v>
    <v>386.79</v>
    <v>383.9</v>
    <v>382.36</v>
    <v>376.92</v>
    <v>370.815</v>
    <v>361.9</v>
    <v>361.89499999999998</v>
    <v>364.55</v>
    <v>373.49</v>
    <v>367.20499999999998</v>
  </a>
  <a r="1" c="19">
    <v>410.21</v>
    <v>410.2</v>
    <v>409.01</v>
    <v>406.12</v>
    <v>404.8</v>
    <v>400.63</v>
    <v>404.4</v>
    <v>398</v>
    <v>392.49</v>
    <v>387</v>
    <v>387.21</v>
    <v>382.47</v>
    <v>377.06</v>
    <v>374.7199</v>
    <v>362.45</v>
    <v>365.36</v>
    <v>372.9</v>
    <v>373.99</v>
    <v>373.64</v>
  </a>
  <a r="1" c="19">
    <v>403.5</v>
    <v>402.93</v>
    <v>401.59</v>
    <v>401.71</v>
    <v>394.25</v>
    <v>394.79</v>
    <v>397.745</v>
    <v>391</v>
    <v>387.06</v>
    <v>380.12</v>
    <v>381.68</v>
    <v>371.85</v>
    <v>369.63</v>
    <v>365.19</v>
    <v>356.51</v>
    <v>356.28</v>
    <v>363.07</v>
    <v>368.2</v>
    <v>364.15</v>
  </a>
  <a r="1" c="19">
    <v>30131854</v>
    <v>31706375</v>
    <v>25512139</v>
    <v>27263886</v>
    <v>26848000</v>
    <v>27733721</v>
    <v>26228279</v>
    <v>25908484</v>
    <v>25138772</v>
    <v>50853154</v>
    <v>29680059</v>
    <v>42733625</v>
    <v>31181163</v>
    <v>36836574</v>
    <v>37883400</v>
    <v>44797002</v>
    <v>45244365</v>
    <v>29417206</v>
    <v>24099067</v>
  </a>
  <a r="1" c="249">
    <v>817.5</v>
    <v>815.72</v>
    <v>897.08</v>
    <v>858.78</v>
    <v>878.78</v>
    <v>889.95</v>
    <v>888.44</v>
    <v>865.78</v>
    <v>875.78</v>
    <v>854</v>
    <v>887.22</v>
    <v>892.54</v>
    <v>916.26</v>
    <v>907.69</v>
    <v>913.74</v>
    <v>920.52</v>
    <v>914.26</v>
    <v>916.14</v>
    <v>929.2</v>
    <v>920.53</v>
    <v>914.97</v>
    <v>920.36</v>
    <v>928.64</v>
    <v>923.44</v>
    <v>958.03</v>
    <v>959.18</v>
    <v>967.06</v>
    <v>983.08</v>
    <v>989.71</v>
    <v>993.66</v>
    <v>997.71</v>
    <v>972.83</v>
    <v>969.9</v>
    <v>963.18</v>
    <v>981.32</v>
    <v>971.28</v>
    <v>976.32</v>
    <v>979.89</v>
    <v>978.07</v>
    <v>982.13</v>
    <v>988.97</v>
    <v>985.46</v>
    <v>989.05</v>
    <v>988.84</v>
    <v>991.9</v>
    <v>993.3</v>
    <v>988.25</v>
    <v>971.82</v>
    <v>982.1</v>
    <v>969.18</v>
    <v>979.52</v>
    <v>974.44</v>
    <v>986.3</v>
    <v>1004.97</v>
    <v>1018.08</v>
    <v>1030.79</v>
    <v>1047.82</v>
    <v>1049.25</v>
    <v>1054.27</v>
    <v>1070.57</v>
    <v>1082.1500000000001</v>
    <v>1075.97</v>
    <v>1075.02</v>
    <v>1088.75</v>
    <v>1104.05</v>
    <v>1101.6400000000001</v>
    <v>1111.46</v>
    <v>1046.1600000000001</v>
    <v>1082.24</v>
    <v>1105.3800000000001</v>
    <v>1103.5899999999999</v>
    <v>1093.02</v>
    <v>1100.3900000000001</v>
    <v>1120.3699999999999</v>
    <v>1118.3699999999999</v>
    <v>1123.28</v>
    <v>1117.82</v>
    <v>1121.53</v>
    <v>1114.6500000000001</v>
    <v>1106.01</v>
    <v>1091.8</v>
    <v>1116.06</v>
    <v>1109.6400000000001</v>
    <v>1120.54</v>
    <v>1112.83</v>
    <v>1124.97</v>
    <v>1127.93</v>
    <v>1159.6099999999999</v>
    <v>1160.03</v>
    <v>1160.1600000000001</v>
    <v>1135.01</v>
    <v>1136.1199999999999</v>
    <v>1128.47</v>
    <v>1128.46</v>
    <v>1124.75</v>
    <v>1148.17</v>
    <v>1137.0999999999999</v>
    <v>1139.8</v>
    <v>1131.6300000000001</v>
    <v>1130.48</v>
    <v>1127.1400000000001</v>
    <v>1114.77</v>
    <v>1099.49</v>
    <v>1108.76</v>
    <v>1099.1500000000001</v>
    <v>1104.92</v>
    <v>1105.67</v>
    <v>1102.8900000000001</v>
    <v>1134.18</v>
    <v>1123.4100000000001</v>
    <v>1115.1099999999999</v>
    <v>1118.8900000000001</v>
    <v>1131.78</v>
    <v>1137.1300000000001</v>
    <v>1142.8499999999999</v>
    <v>1136.21</v>
    <v>1131.75</v>
    <v>1127.98</v>
    <v>1147.29</v>
    <v>1156.45</v>
    <v>1175.56</v>
    <v>1165.8699999999999</v>
    <v>1141.07</v>
    <v>1160.54</v>
    <v>1160.69</v>
    <v>1179.27</v>
    <v>1166.23</v>
    <v>1165</v>
    <v>1167.43</v>
    <v>1132.3599999999999</v>
    <v>1155.1199999999999</v>
    <v>1194.26</v>
    <v>1202.5899999999999</v>
    <v>1171.3599999999999</v>
    <v>1161.1600000000001</v>
    <v>1160</v>
    <v>1130</v>
    <v>1129.68</v>
    <v>1125</v>
    <v>1136.6300000000001</v>
    <v>1131.31</v>
    <v>1124.95</v>
    <v>1098</v>
    <v>1098.05</v>
    <v>1082.81</v>
    <v>1068.83</v>
    <v>1059.9100000000001</v>
    <v>1073.57</v>
    <v>1069.44</v>
    <v>1082.2</v>
    <v>1082.6300000000001</v>
    <v>1085.76</v>
    <v>1093.93</v>
    <v>1069.6500000000001</v>
    <v>1057.94</v>
    <v>1023.8</v>
    <v>1019.14</v>
    <v>1014.68</v>
    <v>992.52</v>
    <v>1014.72</v>
    <v>1019.49</v>
    <v>1029.77</v>
    <v>1040.06</v>
    <v>1047.3</v>
    <v>1039.94</v>
    <v>1038.6199999999999</v>
    <v>1079.8699999999999</v>
    <v>1075.58</v>
    <v>1072.1600000000001</v>
    <v>1062.02</v>
    <v>1071.31</v>
    <v>1083.3599999999999</v>
    <v>1101.8399999999999</v>
    <v>1089.0899999999999</v>
    <v>1082.1600000000001</v>
    <v>1068.1400000000001</v>
    <v>1065</v>
    <v>1064.99</v>
    <v>1060.17</v>
    <v>1088.21</v>
    <v>1086.55</v>
    <v>1088.96</v>
    <v>1088.1099999999999</v>
    <v>1088.4000000000001</v>
    <v>1083.31</v>
    <v>1070.3399999999999</v>
    <v>1085.06</v>
    <v>1119.76</v>
    <v>1112.28</v>
    <v>1075.0899999999999</v>
    <v>1087.92</v>
    <v>1085.0999999999999</v>
    <v>1089.26</v>
    <v>1089.54</v>
    <v>1091.8499999999999</v>
    <v>1156.6500000000001</v>
    <v>1163.17</v>
    <v>1110.05</v>
    <v>1127.8499999999999</v>
    <v>1139.72</v>
    <v>1129.9100000000001</v>
    <v>1121.54</v>
    <v>1106.69</v>
    <v>1121.67</v>
    <v>1127.78</v>
    <v>1118.94</v>
    <v>1119.6600000000001</v>
    <v>1070.08</v>
    <v>1076.1600000000001</v>
    <v>1054.8</v>
    <v>1056.3800000000001</v>
    <v>1079.9000000000001</v>
    <v>1087.78</v>
    <v>1082.8800000000001</v>
    <v>1055.6300000000001</v>
    <v>1071.51</v>
    <v>1072.67</v>
    <v>1092.26</v>
    <v>1081.28</v>
    <v>1093.6400000000001</v>
    <v>1071.01</v>
    <v>1081.05</v>
    <v>1093.78</v>
    <v>1090.27</v>
    <v>1063.23</v>
    <v>1068.31</v>
    <v>1052.5899999999999</v>
    <v>1049.23</v>
    <v>1035</v>
    <v>955.45</v>
    <v>957.67</v>
    <v>967.36</v>
    <v>951.17</v>
    <v>922.9</v>
    <v>924.11</v>
    <v>943.26</v>
    <v>971.01</v>
    <v>968.31</v>
    <v>969.6</v>
    <v>957.91</v>
    <v>974.58</v>
    <v>976.06</v>
    <v>981.35</v>
    <v>968.46</v>
    <v>933.85</v>
    <v>934.06</v>
    <v>961.71</v>
    <v>957.4</v>
    <v>966.56</v>
  </a>
  <a r="1" c="249">
    <v>465.51</v>
    <v>462.22</v>
    <v>516.87</v>
    <v>489.8</v>
    <v>494.44</v>
    <v>503.98</v>
    <v>507.89</v>
    <v>499.05</v>
    <v>509.49</v>
    <v>501.36</v>
    <v>519.99</v>
    <v>529.30999999999995</v>
    <v>545.37</v>
    <v>544.86</v>
    <v>546.4</v>
    <v>548.91999999999996</v>
    <v>547.54999999999995</v>
    <v>553.83000000000004</v>
    <v>566.1</v>
    <v>559.55999999999995</v>
    <v>549.36</v>
    <v>551.91999999999996</v>
    <v>565.70000000000005</v>
    <v>567.1</v>
    <v>591.34</v>
    <v>603.80999999999995</v>
    <v>611.6</v>
    <v>615.9</v>
    <v>619.03</v>
    <v>612.29999999999995</v>
    <v>606.52</v>
    <v>593.46</v>
    <v>598.23</v>
    <v>598.54</v>
    <v>615.73</v>
    <v>608.44000000000005</v>
    <v>604.86</v>
    <v>600.45000000000005</v>
    <v>598.72</v>
    <v>603.83000000000004</v>
    <v>599.21</v>
    <v>605.88</v>
    <v>614</v>
    <v>613.52</v>
    <v>614.87</v>
    <v>624.16999999999996</v>
    <v>625.11</v>
    <v>613.54</v>
    <v>627.85</v>
    <v>624.64</v>
    <v>635.24</v>
    <v>640.79999999999995</v>
    <v>646.88</v>
    <v>662.11</v>
    <v>669.87</v>
    <v>687.16</v>
    <v>690.81</v>
    <v>707.75</v>
    <v>706.46</v>
    <v>715.89</v>
    <v>723.68</v>
    <v>710.93</v>
    <v>697.28</v>
    <v>696.56</v>
    <v>709.12</v>
    <v>704.95</v>
    <v>713.3</v>
    <v>702.51</v>
    <v>708.82</v>
    <v>705.84</v>
    <v>708.26</v>
    <v>706</v>
    <v>700.41</v>
    <v>717.52</v>
    <v>719.18</v>
    <v>728.98</v>
    <v>723.65</v>
    <v>731.98</v>
    <v>730.75</v>
    <v>723.59</v>
    <v>709.57</v>
    <v>726.03</v>
    <v>720.91</v>
    <v>724.74</v>
    <v>719.74</v>
    <v>721.27</v>
    <v>719.24</v>
    <v>743.38</v>
    <v>744.69</v>
    <v>747.2</v>
    <v>730.72</v>
    <v>730.96</v>
    <v>721.38</v>
    <v>720.68</v>
    <v>715.95</v>
    <v>741.89</v>
    <v>738.79</v>
    <v>748.95</v>
    <v>749.67</v>
    <v>751.22</v>
    <v>745.25</v>
    <v>730.85</v>
    <v>730.56</v>
    <v>748.9</v>
    <v>738.21</v>
    <v>741.85</v>
    <v>763.92</v>
    <v>769.58</v>
    <v>784.73</v>
    <v>780.06</v>
    <v>786.76</v>
    <v>785.53</v>
    <v>794.22</v>
    <v>804.31</v>
    <v>805</v>
    <v>805.56</v>
    <v>806.32</v>
    <v>792.43</v>
    <v>794.76</v>
    <v>802.51</v>
    <v>804.12</v>
    <v>796.35</v>
    <v>785.51</v>
    <v>779.38</v>
    <v>789.98</v>
    <v>796.78</v>
    <v>789.65</v>
    <v>776.51</v>
    <v>779.96</v>
    <v>764.36</v>
    <v>786.78</v>
    <v>770.76</v>
    <v>767.93</v>
    <v>758.09</v>
    <v>750.77</v>
    <v>763.32</v>
    <v>758.98</v>
    <v>744.6</v>
    <v>750.78</v>
    <v>783.88</v>
    <v>789.99</v>
    <v>792.09</v>
    <v>783.06</v>
    <v>790.16</v>
    <v>789.37</v>
    <v>785.52</v>
    <v>790.83</v>
    <v>793.09</v>
    <v>787.58</v>
    <v>786.34</v>
    <v>797.2</v>
    <v>810.31</v>
    <v>838.97</v>
    <v>805.5</v>
    <v>790.91</v>
    <v>775.56</v>
    <v>776.3</v>
    <v>785.99</v>
    <v>773.7</v>
    <v>774.03</v>
    <v>790.71</v>
    <v>802.32</v>
    <v>816.01</v>
    <v>826.04</v>
    <v>810.86</v>
    <v>815.21</v>
    <v>836.57</v>
    <v>837.83</v>
    <v>854.56</v>
    <v>866.69</v>
    <v>876.58</v>
    <v>889.24</v>
    <v>911.03</v>
    <v>887.96</v>
    <v>889.59</v>
    <v>879.15</v>
    <v>872.33</v>
    <v>876.3</v>
    <v>893.48</v>
    <v>899</v>
    <v>901.71</v>
    <v>910.78</v>
    <v>907.04</v>
    <v>892.18</v>
    <v>884.42</v>
    <v>879</v>
    <v>914.34</v>
    <v>948.44</v>
    <v>955.47</v>
    <v>941.02</v>
    <v>934.83</v>
    <v>938.98</v>
    <v>949.55</v>
    <v>938.15</v>
    <v>932.67</v>
    <v>975.86</v>
    <v>962</v>
    <v>943.37</v>
    <v>953.01</v>
    <v>954.65</v>
    <v>918.88</v>
    <v>931.86</v>
    <v>929.72</v>
    <v>936.81</v>
    <v>940.12</v>
    <v>935.41</v>
    <v>946.33</v>
    <v>938.99</v>
    <v>913.3</v>
    <v>890.41</v>
    <v>928.75</v>
    <v>943.62</v>
    <v>948.99</v>
    <v>944.59</v>
    <v>904.55</v>
    <v>905.14</v>
    <v>916.04</v>
    <v>933.73</v>
    <v>916.65</v>
    <v>922.24</v>
    <v>892.31</v>
    <v>902.27</v>
    <v>921.38</v>
    <v>929</v>
    <v>859.57</v>
    <v>861.7</v>
    <v>862.58</v>
    <v>867.25</v>
    <v>835.46</v>
    <v>821.42</v>
    <v>832.03</v>
    <v>833.81</v>
    <v>823.76</v>
    <v>787.52</v>
    <v>782.21</v>
    <v>794.77</v>
    <v>807.04</v>
    <v>805.48</v>
    <v>809.5</v>
    <v>813.53</v>
    <v>831.27</v>
    <v>835.72</v>
    <v>841.84</v>
    <v>822.64</v>
    <v>802.89</v>
    <v>807.6</v>
    <v>845.99</v>
    <v>860.21</v>
    <v>863.04</v>
  </a>
  <a r="1" c="19">
    <v>832.03</v>
    <v>833.81</v>
    <v>823.76</v>
    <v>787.52</v>
    <v>782.21</v>
    <v>794.77</v>
    <v>807.04</v>
    <v>805.48</v>
    <v>809.5</v>
    <v>813.53</v>
    <v>831.27</v>
    <v>835.72</v>
    <v>841.84</v>
    <v>822.64</v>
    <v>802.89</v>
    <v>807.6</v>
    <v>845.99</v>
    <v>860.21</v>
    <v>863.04</v>
  </a>
  <a r="1" c="19">
    <v>810</v>
    <v>834.68</v>
    <v>829.95</v>
    <v>805.32</v>
    <v>789.36</v>
    <v>792</v>
    <v>806.3</v>
    <v>801</v>
    <v>792.93</v>
    <v>807</v>
    <v>833</v>
    <v>824.93</v>
    <v>845.01</v>
    <v>833.79</v>
    <v>813.67</v>
    <v>811.12</v>
    <v>823.9</v>
    <v>859.95</v>
    <v>838.39</v>
  </a>
  <a r="1" c="19">
    <v>836.68</v>
    <v>846.09</v>
    <v>832.80250000000001</v>
    <v>807.21</v>
    <v>798</v>
    <v>805.45500000000004</v>
    <v>820.44</v>
    <v>816.19</v>
    <v>816.18</v>
    <v>827.23</v>
    <v>849.53</v>
    <v>844.5</v>
    <v>854.75</v>
    <v>844.8</v>
    <v>817.1</v>
    <v>818.63250000000005</v>
    <v>848.5</v>
    <v>870.2</v>
    <v>867.3</v>
  </a>
  <a r="1" c="19">
    <v>795</v>
    <v>826.35</v>
    <v>810.54</v>
    <v>784.1</v>
    <v>780.5</v>
    <v>790</v>
    <v>803.47</v>
    <v>801</v>
    <v>790.59</v>
    <v>804.92650000000003</v>
    <v>829</v>
    <v>818</v>
    <v>833.90009999999995</v>
    <v>816.11</v>
    <v>797.78</v>
    <v>801.88</v>
    <v>810</v>
    <v>850.15</v>
    <v>831</v>
  </a>
  <a r="1" c="19">
    <v>3258185</v>
    <v>1871901</v>
    <v>2236531</v>
    <v>3533042</v>
    <v>2567411</v>
    <v>2082689</v>
    <v>1955568</v>
    <v>1541291</v>
    <v>1765919</v>
    <v>3918407</v>
    <v>2190280</v>
    <v>1656051</v>
    <v>1628908</v>
    <v>2052166</v>
    <v>2106773</v>
    <v>1621403</v>
    <v>2689828</v>
    <v>1803625</v>
    <v>1717678</v>
  </a>
  <a r="1" c="249">
    <v>160.34</v>
    <v>159.32</v>
    <v>174.14</v>
    <v>167.22</v>
    <v>169.42</v>
    <v>172</v>
    <v>174.24</v>
    <v>175.1</v>
    <v>176.38</v>
    <v>174.52</v>
    <v>178.7</v>
    <v>181.43</v>
    <v>186.61</v>
    <v>188.21</v>
    <v>193.13</v>
    <v>195.39</v>
    <v>191.22</v>
    <v>190.58</v>
    <v>192.24</v>
    <v>192.48</v>
    <v>192.43</v>
    <v>188.9</v>
    <v>187.92</v>
    <v>187.53</v>
    <v>192.32</v>
    <v>193.97</v>
    <v>187</v>
    <v>183.45</v>
    <v>183.19</v>
    <v>185.32</v>
    <v>186.36</v>
    <v>184.47</v>
    <v>182.82</v>
    <v>182.3</v>
    <v>186.68</v>
    <v>182.88</v>
    <v>186.11</v>
    <v>190.57</v>
    <v>189.14</v>
    <v>191.4</v>
    <v>187.96</v>
    <v>184.4</v>
    <v>185.14</v>
    <v>183.94</v>
    <v>185.25</v>
    <v>182.61</v>
    <v>181.99</v>
    <v>178.75</v>
    <v>177.67</v>
    <v>173.95</v>
    <v>175.59</v>
    <v>172.4</v>
    <v>170.88</v>
    <v>171.58</v>
    <v>169.15</v>
    <v>170.63</v>
    <v>175.74</v>
    <v>172.26</v>
    <v>171.54</v>
    <v>172.01</v>
    <v>174.89</v>
    <v>167.86</v>
    <v>170.2</v>
    <v>170.54</v>
    <v>170.39</v>
    <v>170.26</v>
    <v>172.14</v>
    <v>170.02</v>
    <v>169.88</v>
    <v>170.48</v>
    <v>168.65</v>
    <v>170.03</v>
    <v>169.99</v>
    <v>193.18</v>
    <v>191.66</v>
    <v>188.49</v>
    <v>187.18</v>
    <v>184.27</v>
    <v>182.75</v>
    <v>178.97</v>
    <v>179.69</v>
    <v>182.31</v>
    <v>181.5</v>
    <v>183.99</v>
    <v>181.49</v>
    <v>188.64</v>
    <v>189.13</v>
    <v>193.97</v>
    <v>194.4</v>
    <v>192.48</v>
    <v>193.66</v>
    <v>197.83</v>
    <v>198.6</v>
    <v>199.19</v>
    <v>197.27</v>
    <v>201.37</v>
    <v>198.37</v>
    <v>197.35</v>
    <v>196.74</v>
    <v>198.25</v>
    <v>194.57</v>
    <v>193.57</v>
    <v>193.01</v>
    <v>197.64</v>
    <v>199.62</v>
    <v>202.79</v>
    <v>200.8</v>
    <v>197.38</v>
    <v>197.63</v>
    <v>196.13</v>
    <v>197.28</v>
    <v>198.78</v>
    <v>201.38</v>
    <v>200.47</v>
    <v>198.95</v>
    <v>200.68</v>
    <v>200.66</v>
    <v>198.09</v>
    <v>197.28</v>
    <v>198.1</v>
    <v>196.44</v>
    <v>191.09</v>
    <v>191.83</v>
    <v>190.52</v>
    <v>194.59</v>
    <v>199.18</v>
    <v>199.89</v>
    <v>198.21</v>
    <v>192.33</v>
    <v>185.22</v>
    <v>187.88</v>
    <v>191.74</v>
    <v>194.33</v>
    <v>195.41</v>
    <v>197.83</v>
    <v>200.11</v>
    <v>201.95</v>
    <v>203.51</v>
    <v>204.06</v>
    <v>205.37</v>
    <v>209.22</v>
    <v>211.24</v>
    <v>207.09</v>
    <v>207.21</v>
    <v>204.19</v>
    <v>205.72</v>
    <v>203.89</v>
    <v>199.15</v>
    <v>202.94</v>
    <v>201.98</v>
    <v>203.94</v>
    <v>205.99</v>
    <v>207.29</v>
    <v>203.26</v>
    <v>204.08</v>
    <v>199</v>
    <v>195.96</v>
    <v>196.78</v>
    <v>191.25</v>
    <v>197.62</v>
    <v>199.06</v>
    <v>200.26</v>
    <v>202.44</v>
    <v>201.87</v>
    <v>199.22</v>
    <v>196.99</v>
    <v>195.44</v>
    <v>198.27</v>
    <v>196.56</v>
    <v>195.21</v>
    <v>196.34</v>
    <v>200.78</v>
    <v>203.56</v>
    <v>208.12</v>
    <v>214.81</v>
    <v>214.42</v>
    <v>214.24</v>
    <v>216.08</v>
    <v>219.38</v>
    <v>219.51</v>
    <v>219.24</v>
    <v>216.73</v>
    <v>216.62</v>
    <v>216.44</v>
    <v>214.85</v>
    <v>214.06</v>
    <v>217.87</v>
    <v>218.86</v>
    <v>215.27</v>
    <v>213.33</v>
    <v>214.73</v>
    <v>221.52</v>
    <v>222.59</v>
    <v>229.03</v>
    <v>227.3</v>
    <v>232.33</v>
    <v>231.42</v>
    <v>220.47</v>
    <v>227.74</v>
    <v>227.04</v>
    <v>226.28</v>
    <v>225.62</v>
    <v>224.12</v>
    <v>218.89</v>
    <v>227.07</v>
    <v>226.86</v>
    <v>231.58</v>
    <v>231.42</v>
    <v>241.39</v>
    <v>237.19</v>
    <v>244.22</v>
    <v>242.39</v>
    <v>238.24</v>
    <v>242.81</v>
    <v>241.64</v>
    <v>248.29</v>
    <v>245.51</v>
    <v>243.2</v>
    <v>241.65</v>
    <v>239.6</v>
    <v>238.03</v>
    <v>238.64</v>
    <v>241.73</v>
    <v>242.62</v>
    <v>242.38</v>
    <v>243.66</v>
    <v>232.17</v>
    <v>232.81</v>
    <v>221.48</v>
    <v>219.14</v>
    <v>219.53</v>
    <v>221.01</v>
    <v>220.77</v>
    <v>216.59</v>
    <v>210.84</v>
    <v>213.23</v>
    <v>213.07</v>
    <v>209.11</v>
    <v>208.93</v>
    <v>205.02</v>
    <v>210.64</v>
    <v>209.78</v>
    <v>210.93</v>
    <v>209.93</v>
    <v>206.73</v>
    <v>202.94</v>
    <v>206.09</v>
    <v>209.67</v>
    <v>207.01</v>
  </a>
  <a r="1" c="254">
    <v t="i">1</v>
    <v t="i">2</v>
    <v t="i">3</v>
    <v t="i">4</v>
    <v t="i">5</v>
    <v t="i">8</v>
    <v t="i">9</v>
    <v t="i">10</v>
    <v t="i">11</v>
    <v t="i">16</v>
    <v t="i">17</v>
    <v t="i">18</v>
    <v t="i">19</v>
    <v t="i">22</v>
    <v t="i">23</v>
    <v t="i">24</v>
    <v t="i">25</v>
    <v t="i">26</v>
    <v t="i">29</v>
    <v t="i">30</v>
    <v t="i">31</v>
    <v t="i">32</v>
    <v t="i">33</v>
    <v t="i">36</v>
    <v t="i">37</v>
    <v t="i">38</v>
    <v t="i">39</v>
    <v t="i">40</v>
    <v t="i">43</v>
    <v t="i">44</v>
    <v t="i">45</v>
    <v t="i">46</v>
    <v t="i">47</v>
    <v t="i">50</v>
    <v t="i">51</v>
    <v t="i">52</v>
    <v t="i">53</v>
    <v t="i">54</v>
    <v t="i">57</v>
    <v t="i">58</v>
    <v t="i">59</v>
    <v t="i">60</v>
    <v t="i">61</v>
    <v t="i">64</v>
    <v t="i">65</v>
    <v t="i">66</v>
    <v t="i">67</v>
    <v t="i">68</v>
    <v t="i">71</v>
    <v t="i">72</v>
    <v t="i">73</v>
    <v t="i">74</v>
    <v t="i">75</v>
    <v t="i">78</v>
    <v t="i">79</v>
    <v t="i">80</v>
    <v t="i">81</v>
    <v t="i">82</v>
    <v t="i">85</v>
    <v t="i">86</v>
    <v t="i">87</v>
    <v t="i">88</v>
    <v t="i">89</v>
    <v t="i">92</v>
    <v t="i">93</v>
    <v t="i">94</v>
    <v t="i">95</v>
    <v t="i">96</v>
    <v t="i">99</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148</v>
    <v t="i">149</v>
    <v t="i">150</v>
    <v t="i">151</v>
    <v t="i">152</v>
    <v t="i">155</v>
    <v t="i">156</v>
    <v t="i">157</v>
    <v t="i">158</v>
    <v t="i">159</v>
    <v t="i">162</v>
    <v t="i">163</v>
    <v t="i">164</v>
    <v t="i">165</v>
    <v t="i">166</v>
    <v t="i">169</v>
    <v t="i">170</v>
    <v t="i">171</v>
    <v t="i">172</v>
    <v t="i">173</v>
    <v t="i">176</v>
    <v t="i">177</v>
    <v t="i">178</v>
    <v t="i">179</v>
    <v t="i">180</v>
    <v t="i">183</v>
    <v t="i">184</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246</v>
    <v t="i">247</v>
    <v t="i">248</v>
    <v t="i">249</v>
    <v t="i">250</v>
    <v t="i">253</v>
    <v t="i">254</v>
    <v t="i">255</v>
    <v t="i">256</v>
    <v t="i">257</v>
    <v t="i">260</v>
    <v t="i">261</v>
    <v t="i">262</v>
    <v t="i">267</v>
    <v t="i">268</v>
    <v t="i">269</v>
    <v t="i">271</v>
    <v t="i">274</v>
    <v t="i">275</v>
    <v t="i">276</v>
    <v t="i">277</v>
    <v t="i">278</v>
    <v t="i">281</v>
    <v t="i">282</v>
    <v t="i">283</v>
    <v t="i">284</v>
    <v t="i">285</v>
    <v t="i">288</v>
    <v t="i">289</v>
    <v t="i">290</v>
    <v t="i">291</v>
    <v t="i">292</v>
    <v t="i">295</v>
    <v t="i">296</v>
    <v t="i">297</v>
    <v t="i">298</v>
    <v t="i">299</v>
    <v t="i">302</v>
    <v t="i">303</v>
    <v t="i">304</v>
    <v t="i">305</v>
    <v t="i">306</v>
    <v t="i">309</v>
    <v t="i">310</v>
    <v t="i">311</v>
    <v t="i">312</v>
    <v t="i">313</v>
    <v t="i">316</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a>
  <a r="1" c="254">
    <v>115.3</v>
    <v>122.1</v>
    <v>120.8</v>
    <v>126.9</v>
    <v>125.6</v>
    <v>129.6</v>
    <v>129.6</v>
    <v>129.6</v>
    <v>128.6</v>
    <v>115.1</v>
    <v>121.4</v>
    <v>120.2</v>
    <v>123.7</v>
    <v>125.2</v>
    <v>125.2</v>
    <v>124.4</v>
    <v>126.7</v>
    <v>129.19999999999999</v>
    <v>128.95599999999999</v>
    <v>128</v>
    <v>128.80000000000001</v>
    <v>129</v>
    <v>126.7</v>
    <v>130.5</v>
    <v>131.30000000000001</v>
    <v>130.30000000000001</v>
    <v>133</v>
    <v>135.30000000000001</v>
    <v>136.4</v>
    <v>137.19999999999999</v>
    <v>137.4</v>
    <v>134.9</v>
    <v>132</v>
    <v>-99999901</v>
    <v>132.4</v>
    <v>132</v>
    <v>133.6</v>
    <v>134.9</v>
    <v>136.19999999999999</v>
    <v>137.6</v>
    <v>137.4</v>
    <v>138.69999999999999</v>
    <v>139.5</v>
    <v>139.30000000000001</v>
    <v>138.1</v>
    <v>138.5</v>
    <v>141.4</v>
    <v>144.4</v>
    <v>146.9</v>
    <v>147.69999999999999</v>
    <v>147.30000000000001</v>
    <v>147.30000000000001</v>
    <v>146.69999999999999</v>
    <v>145.80000000000001</v>
    <v>142.30000000000001</v>
    <v>142.1</v>
    <v>141.80000000000001</v>
    <v>144</v>
    <v>146.1</v>
    <v>144</v>
    <v>142.9</v>
    <v>145.4</v>
    <v>145</v>
    <v>146.69999999999999</v>
    <v>144.19999999999999</v>
    <v>145.80000000000001</v>
    <v>145</v>
    <v>146.30000000000001</v>
    <v>149.19999999999999</v>
    <v>149.80000000000001</v>
    <v>148.80000000000001</v>
    <v>150.9</v>
    <v>151.5</v>
    <v>152.6</v>
    <v>149.6</v>
    <v>151.5</v>
    <v>155.69999999999999</v>
    <v>154.30000000000001</v>
    <v>156.6</v>
    <v>156.4</v>
    <v>157.6</v>
    <v>157.80000000000001</v>
    <v>155.5</v>
    <v>157.19999999999999</v>
    <v>156.6</v>
    <v>157</v>
    <v>153.4</v>
    <v>156.19999999999999</v>
    <v>154.9</v>
    <v>155.69999999999999</v>
    <v>154.1</v>
    <v>156.19999999999999</v>
    <v>153.80000000000001</v>
    <v>154.69999999999999</v>
    <v>154.1</v>
    <v>154.69999999999999</v>
    <v>157</v>
    <v>157.80000000000001</v>
    <v>156.66999999999999</v>
    <v>158.1</v>
    <v>159.5</v>
    <v>159.30000000000001</v>
    <v>160</v>
    <v>159.1</v>
    <v>157.4</v>
    <v>157.80000000000001</v>
    <v>158.5</v>
    <v>157.19999999999999</v>
    <v>156</v>
    <v>151.69999999999999</v>
    <v>152.6</v>
    <v>155.30000000000001</v>
    <v>157.19999999999999</v>
    <v>157.4</v>
    <v>157.6</v>
    <v>158.5</v>
    <v>157.6</v>
    <v>156.80000000000001</v>
    <v>158.9</v>
    <v>160.80000000000001</v>
    <v>162.9</v>
    <v>160.19999999999999</v>
    <v>164.6</v>
    <v>165.6</v>
    <v>166.7</v>
    <v>166.7</v>
    <v>166.1</v>
    <v>165.8</v>
    <v>169</v>
    <v>168.8</v>
    <v>170.7</v>
    <v>167.1</v>
    <v>160</v>
    <v>159.30000000000001</v>
    <v>158.30000000000001</v>
    <v>160.4</v>
    <v>157.4</v>
    <v>157.19999999999999</v>
    <v>160.80000000000001</v>
    <v>173.6</v>
    <v>176.4</v>
    <v>179.1</v>
    <v>179.5</v>
    <v>178.1</v>
    <v>180.6</v>
    <v>177.6</v>
    <v>177.6</v>
    <v>176.8</v>
    <v>176.6</v>
    <v>176.6</v>
    <v>175.7</v>
    <v>174.3</v>
    <v>174.1</v>
    <v>177.8</v>
    <v>178.5</v>
    <v>179.1</v>
    <v>174.5</v>
    <v>174.5</v>
    <v>175.5</v>
    <v>176</v>
    <v>173</v>
    <v>177</v>
    <v>170.1</v>
    <v>171.1</v>
    <v>171.1</v>
    <v>172.8</v>
    <v>173</v>
    <v>173.6</v>
    <v>170.5</v>
    <v>169</v>
    <v>168.2</v>
    <v>170.7</v>
    <v>170.3</v>
    <v>171.5</v>
    <v>174.9</v>
    <v>172.4</v>
    <v>177.6</v>
    <v>177</v>
    <v>180</v>
    <v>181.2</v>
    <v>179.5</v>
    <v>179.1</v>
    <v>181</v>
    <v>184.8</v>
    <v>187.7</v>
    <v>186.5</v>
    <v>184.4</v>
    <v>184</v>
    <v>184</v>
    <v>183.1</v>
    <v>187.1</v>
    <v>188.6</v>
    <v>191.15</v>
    <v>189.6</v>
    <v>187.5</v>
    <v>191.05</v>
    <v>196.3</v>
    <v>195.85</v>
    <v>197.2</v>
    <v>199.65</v>
    <v>202.45</v>
    <v>201.1</v>
    <v>196.75</v>
    <v>197.2</v>
    <v>195.4</v>
    <v>194.4</v>
    <v>196.85</v>
    <v>201.45</v>
    <v>200.2</v>
    <v>199.2</v>
    <v>199.2</v>
    <v>203.35</v>
    <v>197.75</v>
    <v>196.2</v>
    <v>199.2</v>
    <v>198.65</v>
    <v>193.85</v>
    <v>196.3</v>
    <v>200.55</v>
    <v>202.55</v>
    <v>199.55</v>
    <v>201.1</v>
    <v>202.9</v>
    <v>204.9</v>
    <v>204.9</v>
    <v>203.35</v>
    <v>199.1</v>
    <v>193.5</v>
    <v>197.2</v>
    <v>197.75</v>
    <v>212</v>
    <v>209.25</v>
    <v>207.35</v>
    <v>202.9</v>
    <v>206.7</v>
    <v>209.15</v>
    <v>207.8</v>
    <v>207.25</v>
    <v>204.9</v>
    <v>205.45</v>
    <v>207.15</v>
    <v>201</v>
    <v>204.45</v>
    <v>199.2</v>
    <v>199.2</v>
    <v>198.1</v>
    <v>193.5</v>
    <v>194.5</v>
    <v>192.5</v>
    <v>191.5</v>
    <v>190.5</v>
    <v>190.5</v>
    <v>195.5</v>
    <v>196.5</v>
  </a>
  <a r="1" c="254">
    <v>129.79</v>
    <v>145.99</v>
    <v>156.94220000000001</v>
    <v>153</v>
    <v>156.38999999999999</v>
    <v>158.77000000000001</v>
    <v>156.6</v>
    <v>155.47</v>
    <v>163.77000000000001</v>
    <v>160.75</v>
    <v>173.09809999999999</v>
    <v>177.02</v>
    <v>176.83</v>
    <v>181.12</v>
    <v>182.23</v>
    <v>182.17670000000001</v>
    <v>183.55670000000001</v>
    <v>186.39</v>
    <v>185.85</v>
    <v>184.31</v>
    <v>183.685</v>
    <v>192.25</v>
    <v>194.37</v>
    <v>198.36070000000001</v>
    <v>204.0822</v>
    <v>204.8655</v>
    <v>207.1</v>
    <v>205.12049999999999</v>
    <v>205.0471</v>
    <v>208.1</v>
    <v>204.04</v>
    <v>203.99</v>
    <v>201.36</v>
    <v>-99999901</v>
    <v>202.04</v>
    <v>201.29</v>
    <v>206.99</v>
    <v>206.5376</v>
    <v>208.89</v>
    <v>215.43</v>
    <v>212.71</v>
    <v>210.72909999999999</v>
    <v>208.73750000000001</v>
    <v>213.17</v>
    <v>214.84</v>
    <v>212.89930000000001</v>
    <v>203.77</v>
    <v>200.24</v>
    <v>203.03</v>
    <v>199.29</v>
    <v>198.41</v>
    <v>-99999901</v>
    <v>199.5</v>
    <v>199.19</v>
    <v>200.58</v>
    <v>198.73</v>
    <v>202.48</v>
    <v>211.53</v>
    <v>210.95</v>
    <v>210.55</v>
    <v>211.17</v>
    <v>216.66</v>
    <v>-99999901</v>
    <v>215.9</v>
    <v>216.23</v>
    <v>227.45189999999999</v>
    <v>224.08019999999999</v>
    <v>227.68719999999999</v>
    <v>229.98</v>
    <v>232.13499999999999</v>
    <v>229.11500000000001</v>
    <v>229</v>
    <v>228.48929999999999</v>
    <v>230.81</v>
    <v>226.57</v>
    <v>231.15</v>
    <v>233.22</v>
    <v>231.51</v>
    <v>235.29</v>
    <v>228.2</v>
    <v>226.98</v>
    <v>222.81</v>
    <v>219.88499999999999</v>
    <v>219.41</v>
    <v>225.33</v>
    <v>225.22</v>
    <v>225.42</v>
    <v>229.79</v>
    <v>226.12350000000001</v>
    <v>231.11</v>
    <v>231.35</v>
    <v>232.78</v>
    <v>235.4425</v>
    <v>230.5872</v>
    <v>228.62</v>
    <v>224.36</v>
    <v>225.17</v>
    <v>232.11</v>
    <v>227.46850000000001</v>
    <v>234.0488</v>
    <v>234.55</v>
    <v>235.72</v>
    <v>234.65</v>
    <v>-99999901</v>
    <v>236.73</v>
    <v>231.94</v>
    <v>230.9845</v>
    <v>226.47</v>
    <v>229.25</v>
    <v>229.65</v>
    <v>226.83</v>
    <v>228.75</v>
    <v>217.16</v>
    <v>216.18</v>
    <v>214</v>
    <v>215.09</v>
    <v>215.39</v>
    <v>214.7029</v>
    <v>212.22</v>
    <v>215.2062</v>
    <v>215.48</v>
    <v>213.2132</v>
    <v>222.5</v>
    <v>217.35</v>
    <v>214.79</v>
    <v>215.22</v>
    <v>217.98</v>
    <v>217.92</v>
    <v>218.88</v>
    <v>219.6</v>
    <v>225.54150000000001</v>
    <v>217.58</v>
    <v>212.27</v>
    <v>215.4</v>
    <v>215.43</v>
    <v>215.6</v>
    <v>212.16</v>
    <v>213.38</v>
    <v>216.96</v>
    <v>216.73500000000001</v>
    <v>214</v>
    <v>218.72499999999999</v>
    <v>221.42</v>
    <v>222.53</v>
    <v>223.7</v>
    <v>213.38</v>
    <v>202.66499999999999</v>
    <v>200.375</v>
    <v>204.88570000000001</v>
    <v>198.93</v>
    <v>196.75</v>
    <v>196.96</v>
    <v>193.4615</v>
    <v>194.3058</v>
    <v>195.71129999999999</v>
    <v>195.65</v>
    <v>194.65</v>
    <v>194.12</v>
    <v>191.745</v>
    <v>190.25</v>
    <v>184.2</v>
    <v>179.2998</v>
    <v>179.57</v>
    <v>178.49</v>
    <v>182.41499999999999</v>
    <v>187.518</v>
    <v>-99999901</v>
    <v>189.39</v>
    <v>188.1773</v>
    <v>203.85</v>
    <v>199.35</v>
    <v>203.03</v>
    <v>201.59</v>
    <v>206.04</v>
    <v>200.71</v>
    <v>199.46950000000001</v>
    <v>201.24</v>
    <v>204.36869999999999</v>
    <v>204.33699999999999</v>
    <v>205.85</v>
    <v>207.92</v>
    <v>209.95</v>
    <v>215.36</v>
    <v>216.02</v>
    <v>216.75</v>
    <v>218.46690000000001</v>
    <v>217.24</v>
    <v>221.1</v>
    <v>217.26</v>
    <v>225.19579999999999</v>
    <v>229.39</v>
    <v>230.18</v>
    <v>229.95</v>
    <v>226.43</v>
    <v>233.23</v>
    <v>239.35</v>
    <v>243.49</v>
    <v>241.83</v>
    <v>248.01</v>
    <v>247.55</v>
    <v>-99999901</v>
    <v>247.33</v>
    <v>247.85</v>
    <v>253.61150000000001</v>
    <v>252.67</v>
    <v>250.19</v>
    <v>246.53</v>
    <v>243.05</v>
    <v>237.03</v>
    <v>230.93960000000001</v>
    <v>235.63</v>
    <v>230</v>
    <v>232.35</v>
    <v>239.08</v>
    <v>243.61</v>
    <v>244.2</v>
    <v>241.88</v>
    <v>237.97</v>
    <v>240.9</v>
    <v>241.53</v>
    <v>-99999901</v>
    <v>242.41</v>
    <v>240.25</v>
    <v>234.42</v>
    <v>233.98</v>
    <v>229.6</v>
    <v>234.387</v>
    <v>229.64</v>
    <v>229.22</v>
    <v>225</v>
    <v>228.7</v>
    <v>224.13</v>
    <v>227.16</v>
    <v>220.81</v>
    <v>219.08</v>
    <v>221.29</v>
    <v>220.26</v>
    <v>213.86</v>
    <v>204.58</v>
    <v>210.2516</v>
    <v>213.93</v>
    <v>211.05</v>
    <v>206.4</v>
    <v>201.31</v>
    <v>194.27</v>
    <v>199.64</v>
    <v>197</v>
    <v>199.83</v>
    <v>194.44</v>
    <v>189.43</v>
    <v>189.7</v>
    <v>197.86</v>
    <v>207.95</v>
    <v>206.34</v>
  </a>
  <a r="1" c="249">
    <v>516.25</v>
    <v>510.45</v>
    <v>585.77</v>
    <v>546.29</v>
    <v>543.57000000000005</v>
    <v>531.48</v>
    <v>521.52</v>
    <v>502.31</v>
    <v>501.48</v>
    <v>484.66</v>
    <v>500.28</v>
    <v>520.27</v>
    <v>533.15</v>
    <v>547.27</v>
    <v>549.74</v>
    <v>554.44000000000005</v>
    <v>549</v>
    <v>572.21</v>
    <v>597.02</v>
    <v>599.27</v>
    <v>587.30999999999995</v>
    <v>596.80999999999995</v>
    <v>598.01</v>
    <v>592.49</v>
    <v>639.42999999999995</v>
    <v>656.03</v>
    <v>659.36</v>
    <v>643.88</v>
    <v>640.34</v>
    <v>640.42999999999995</v>
    <v>637.1</v>
    <v>635.5</v>
    <v>636.57000000000005</v>
    <v>627.05999999999995</v>
    <v>642.32000000000005</v>
    <v>643.58000000000004</v>
    <v>645.04999999999995</v>
    <v>647.49</v>
    <v>670.9</v>
    <v>666.85</v>
    <v>687.95</v>
    <v>684.62</v>
    <v>697.71</v>
    <v>694.06</v>
    <v>702.4</v>
    <v>694.14</v>
    <v>693.36</v>
    <v>682.87</v>
    <v>702.12</v>
    <v>697.23</v>
    <v>695.77</v>
    <v>682.35</v>
    <v>698.53</v>
    <v>712.2</v>
    <v>708.68</v>
    <v>726.09</v>
    <v>733.63</v>
    <v>738.09</v>
    <v>719.22</v>
    <v>713.57</v>
    <v>719.01</v>
    <v>718.35</v>
    <v>720.67</v>
    <v>732.78</v>
    <v>727.24</v>
    <v>717.51</v>
    <v>720.92</v>
    <v>710.39</v>
    <v>702.91</v>
    <v>701.41</v>
    <v>704.28</v>
    <v>712.96500000000003</v>
    <v>704.81</v>
    <v>713.58</v>
    <v>714.8</v>
    <v>712.68</v>
    <v>717.63</v>
    <v>700</v>
    <v>695.21</v>
    <v>773.44</v>
    <v>750.01</v>
    <v>776.37</v>
    <v>763.46</v>
    <v>771.99</v>
    <v>761.83</v>
    <v>769.3</v>
    <v>765.87</v>
    <v>790</v>
    <v>780.08</v>
    <v>782.13</v>
    <v>785.23</v>
    <v>767.37</v>
    <v>751.48</v>
    <v>747.72</v>
    <v>739.1</v>
    <v>754.79</v>
    <v>753.3</v>
    <v>754.1</v>
    <v>747.38</v>
    <v>751.11</v>
    <v>738.7</v>
    <v>735.11</v>
    <v>737.05</v>
    <v>748.65</v>
    <v>752.45</v>
    <v>752.3</v>
    <v>765.7</v>
    <v>751.98</v>
    <v>750.9</v>
    <v>755.59</v>
    <v>764.7</v>
    <v>779</v>
    <v>775.71500000000003</v>
    <v>780.25</v>
    <v>778.38</v>
    <v>765.16</v>
    <v>755.4</v>
    <v>760.66</v>
    <v>748.91</v>
    <v>743.75</v>
    <v>743.4</v>
    <v>734.38</v>
    <v>717.34</v>
    <v>727.05</v>
    <v>710.56</v>
    <v>715.66</v>
    <v>713.08</v>
    <v>717.84</v>
    <v>733.51</v>
    <v>705.3</v>
    <v>715.7</v>
    <v>708.65</v>
    <v>717.55</v>
    <v>712.07</v>
    <v>716.91499999999996</v>
    <v>732.17</v>
    <v>733.27</v>
    <v>733.41</v>
    <v>734</v>
    <v>738.36</v>
    <v>750.82</v>
    <v>751.44</v>
    <v>751.67</v>
    <v>666.47</v>
    <v>648.35</v>
    <v>637.71</v>
    <v>627.32000000000005</v>
    <v>635.95000000000005</v>
    <v>618.94000000000005</v>
    <v>621.71</v>
    <v>631.76</v>
    <v>627.08000000000004</v>
    <v>609.01</v>
    <v>609.89</v>
    <v>609.46</v>
    <v>602.01</v>
    <v>597.69000000000005</v>
    <v>590.32000000000005</v>
    <v>589.15</v>
    <v>594.25</v>
    <v>613.04999999999995</v>
    <v>636.22</v>
    <v>633.61</v>
    <v>647.95000000000005</v>
    <v>640.87</v>
    <v>647.1</v>
    <v>639.6</v>
    <v>661.53</v>
    <v>673.42</v>
    <v>666.8</v>
    <v>656.96</v>
    <v>650.13</v>
    <v>652.71</v>
    <v>644.23</v>
    <v>647.51</v>
    <v>657.15</v>
    <v>649.5</v>
    <v>664.45</v>
    <v>658.77</v>
    <v>661.5</v>
    <v>664.94</v>
    <v>667.55</v>
    <v>663.29</v>
    <v>658.69</v>
    <v>665.95</v>
    <v>660.09</v>
    <v>650.41</v>
    <v>658.79</v>
    <v>660.62</v>
    <v>648.69000000000005</v>
    <v>646.05999999999995</v>
    <v>653.05999999999995</v>
    <v>641.97</v>
    <v>631.09</v>
    <v>615.52</v>
    <v>620.79999999999995</v>
    <v>620.25</v>
    <v>604.12</v>
    <v>612.96</v>
    <v>647.63</v>
    <v>658.76</v>
    <v>672.36</v>
    <v>672.97</v>
    <v>668.73</v>
    <v>738.31</v>
    <v>716.5</v>
    <v>706.41</v>
    <v>691.7</v>
    <v>668.99</v>
    <v>670.21</v>
    <v>661.46</v>
    <v>677.22</v>
    <v>670.72</v>
    <v>668.69</v>
    <v>649.80999999999995</v>
    <v>639.77</v>
    <v>639.29</v>
    <v>643.22</v>
    <v>644.78</v>
    <v>655.66</v>
    <v>637.25</v>
    <v>639.29999999999995</v>
    <v>653.69000000000005</v>
    <v>657.01</v>
    <v>648.17999999999995</v>
    <v>653.55999999999995</v>
    <v>655.08000000000004</v>
    <v>667.73</v>
    <v>660.57</v>
    <v>644.86</v>
    <v>647.39</v>
    <v>654.07000000000005</v>
    <v>654.86</v>
    <v>638.17999999999995</v>
    <v>613.71</v>
    <v>627.45000000000005</v>
    <v>622.66</v>
    <v>615.67999999999995</v>
    <v>606.70000000000005</v>
    <v>593.66</v>
    <v>604.05999999999995</v>
    <v>592.91999999999996</v>
    <v>594.89</v>
    <v>547.54</v>
    <v>525.72</v>
    <v>536.38</v>
    <v>572.13</v>
    <v>579.23</v>
    <v>574.46</v>
  </a>
  <a r="1" c="249">
    <v>175.26</v>
    <v>170.66</v>
    <v>191.1</v>
    <v>181.22</v>
    <v>184.87</v>
    <v>182.12</v>
    <v>179.59</v>
    <v>174.33</v>
    <v>172.61</v>
    <v>167.32</v>
    <v>173.18</v>
    <v>180.6</v>
    <v>186.54</v>
    <v>188.99</v>
    <v>187.7</v>
    <v>187.39</v>
    <v>184.42</v>
    <v>190.2</v>
    <v>189.98</v>
    <v>186.35</v>
    <v>185.01</v>
    <v>188.71</v>
    <v>192.08</v>
    <v>193.06</v>
    <v>208.64</v>
    <v>211.37</v>
    <v>210.25</v>
    <v>205.17</v>
    <v>205.59</v>
    <v>206.16</v>
    <v>204.07</v>
    <v>201.12</v>
    <v>203.1</v>
    <v>200.99</v>
    <v>206.02</v>
    <v>204.72</v>
    <v>205.7</v>
    <v>205.01</v>
    <v>206.65</v>
    <v>205.71</v>
    <v>207.23</v>
    <v>207.91</v>
    <v>213.57</v>
    <v>216.98</v>
    <v>217.61</v>
    <v>213.2</v>
    <v>213.24</v>
    <v>212.1</v>
    <v>216.1</v>
    <v>214.82</v>
    <v>212.52</v>
    <v>209.69</v>
    <v>208.47</v>
    <v>212.77</v>
    <v>211.99</v>
    <v>217.12</v>
    <v>223.3</v>
    <v>219.39</v>
    <v>220.46</v>
    <v>219.92</v>
    <v>223.41</v>
    <v>223.47</v>
    <v>219.36</v>
    <v>222.54</v>
    <v>222.26</v>
    <v>225.02</v>
    <v>225.69</v>
    <v>226.35</v>
    <v>223.19</v>
    <v>223.88</v>
    <v>226.13</v>
    <v>229.3</v>
    <v>227.47</v>
    <v>228.29</v>
    <v>232.23</v>
    <v>231.44</v>
    <v>232.79</v>
    <v>231.01</v>
    <v>230.19</v>
    <v>234.11</v>
    <v>214.75</v>
    <v>211.65</v>
    <v>213.75</v>
    <v>222.31</v>
    <v>223.13</v>
    <v>222.69</v>
    <v>221.3</v>
    <v>221.47</v>
    <v>224.56</v>
    <v>230.98</v>
    <v>231.03</v>
    <v>231.49</v>
    <v>228.01</v>
    <v>223.81</v>
    <v>221.95</v>
    <v>228.84</v>
    <v>227.94</v>
    <v>228.71</v>
    <v>229.12</v>
    <v>231.6</v>
    <v>229</v>
    <v>225.34</v>
    <v>225.99</v>
    <v>235.68</v>
    <v>232.33</v>
    <v>235.84</v>
    <v>238.24</v>
    <v>230.33</v>
    <v>229.95</v>
    <v>228.15</v>
    <v>231.43</v>
    <v>234.05</v>
    <v>231.62</v>
    <v>231.23</v>
    <v>231.48</v>
    <v>227.63</v>
    <v>220.71</v>
    <v>220.21</v>
    <v>218.15</v>
    <v>219.78</v>
    <v>222.17</v>
    <v>219.57</v>
    <v>220.63</v>
    <v>222.41</v>
    <v>219.51</v>
    <v>220.9</v>
    <v>221.78</v>
    <v>225.22</v>
    <v>227.74</v>
    <v>216.37</v>
    <v>220.07</v>
    <v>216.39</v>
    <v>215.57</v>
    <v>214.47</v>
    <v>213.04</v>
    <v>216.48</v>
    <v>222.03</v>
    <v>217.95</v>
    <v>221.09</v>
    <v>224.21</v>
    <v>226.97</v>
    <v>229.25</v>
    <v>230.3</v>
    <v>222.86</v>
    <v>244.22</v>
    <v>254</v>
    <v>249.32</v>
    <v>250.2</v>
    <v>243.04</v>
    <v>244.41</v>
    <v>248.4</v>
    <v>249.1</v>
    <v>244.2</v>
    <v>237.58</v>
    <v>234.69</v>
    <v>232.87</v>
    <v>222.55</v>
    <v>222.69</v>
    <v>217.14</v>
    <v>220.69</v>
    <v>226.28</v>
    <v>229.67</v>
    <v>229.16</v>
    <v>233.22</v>
    <v>233.88</v>
    <v>234.42</v>
    <v>232.38</v>
    <v>229.11</v>
    <v>229.53</v>
    <v>226.89</v>
    <v>227.92</v>
    <v>231.78</v>
    <v>230.28</v>
    <v>226.19</v>
    <v>222.54</v>
    <v>222.56</v>
    <v>221.27</v>
    <v>226.76</v>
    <v>227.35</v>
    <v>228.43</v>
    <v>232.14</v>
    <v>232.38</v>
    <v>232.52</v>
    <v>232.07</v>
    <v>232.53</v>
    <v>230.82</v>
    <v>226.5</v>
    <v>233.06</v>
    <v>240.93</v>
    <v>241.56</v>
    <v>246.29</v>
    <v>247.38</v>
    <v>246.47</v>
    <v>242.6</v>
    <v>236.65</v>
    <v>238.18</v>
    <v>239.12</v>
    <v>231</v>
    <v>231.31</v>
    <v>234.34</v>
    <v>239.16</v>
    <v>238.42</v>
    <v>244.68</v>
    <v>243.01</v>
    <v>241.73</v>
    <v>239.3</v>
    <v>242.96</v>
    <v>238.62</v>
    <v>232.99</v>
    <v>222.69</v>
    <v>210.32</v>
    <v>208.72</v>
    <v>206.96</v>
    <v>204.08</v>
    <v>199.6</v>
    <v>198.79</v>
    <v>201.15</v>
    <v>204.79</v>
    <v>204.86</v>
    <v>210.11</v>
    <v>205.27</v>
    <v>208.56</v>
    <v>210.64</v>
    <v>207.92</v>
    <v>210</v>
    <v>208.39</v>
    <v>208.73</v>
    <v>216.82</v>
    <v>218.94</v>
    <v>213.21</v>
    <v>213.49</v>
    <v>214.33</v>
    <v>212.65</v>
    <v>209.53</v>
    <v>207.67</v>
    <v>211.74</v>
    <v>215.2</v>
    <v>209.87</v>
    <v>208.76</v>
    <v>205.37</v>
    <v>210.14</v>
    <v>207.24</v>
    <v>211.71</v>
    <v>207.54</v>
    <v>199.34</v>
    <v>200.95</v>
    <v>208.27</v>
    <v>210.57</v>
    <v>209.77</v>
  </a>
  <a r="1" c="249">
    <v>140.15</v>
    <v>136.93</v>
    <v>146.03</v>
    <v>134.97999999999999</v>
    <v>135.63</v>
    <v>135.32</v>
    <v>134.54</v>
    <v>135.36000000000001</v>
    <v>137.87</v>
    <v>133.72999999999999</v>
    <v>137.30000000000001</v>
    <v>136.68</v>
    <v>139.07</v>
    <v>138.72999999999999</v>
    <v>140.1</v>
    <v>139.30000000000001</v>
    <v>136.06</v>
    <v>136.26</v>
    <v>138.5</v>
    <v>135.5</v>
    <v>135.6</v>
    <v>135.79</v>
    <v>137.04</v>
    <v>138.49</v>
    <v>141.62</v>
    <v>142.35</v>
    <v>141.66999999999999</v>
    <v>142.26</v>
    <v>142.1</v>
    <v>138.49</v>
    <v>137.27000000000001</v>
    <v>135.56</v>
    <v>135.29</v>
    <v>136.54</v>
    <v>137.83000000000001</v>
    <v>136.02000000000001</v>
    <v>137.91</v>
    <v>136.69999999999999</v>
    <v>137.84</v>
    <v>139.55000000000001</v>
    <v>137.37</v>
    <v>136.9</v>
    <v>140.21</v>
    <v>140.76</v>
    <v>143.35</v>
    <v>144.78</v>
    <v>144.97</v>
    <v>145.91</v>
    <v>146.03</v>
    <v>148.85</v>
    <v>148.19</v>
    <v>149.55000000000001</v>
    <v>146.86000000000001</v>
    <v>143.55000000000001</v>
    <v>143.22999999999999</v>
    <v>144.44</v>
    <v>143.79</v>
    <v>143.19</v>
    <v>145.57</v>
    <v>147.97999999999999</v>
    <v>148.37</v>
    <v>147.4</v>
    <v>153.24</v>
    <v>153.02000000000001</v>
    <v>154.16999999999999</v>
    <v>155.31</v>
    <v>151.65</v>
    <v>150.69</v>
    <v>149.91999999999999</v>
    <v>151.38</v>
    <v>150.04</v>
    <v>149.68</v>
    <v>150.04</v>
    <v>153.12</v>
    <v>155.83000000000001</v>
    <v>154.84</v>
    <v>156.28</v>
    <v>157.03</v>
    <v>153.56</v>
    <v>151.63999999999999</v>
    <v>151.4</v>
    <v>151.04</v>
    <v>153.04</v>
    <v>152.78</v>
    <v>153.16</v>
    <v>155.01</v>
    <v>153.44999999999999</v>
    <v>154.44</v>
    <v>155.87</v>
    <v>155.16</v>
    <v>156.55000000000001</v>
    <v>155.32</v>
    <v>152</v>
    <v>153.22</v>
    <v>155.55000000000001</v>
    <v>158.18</v>
    <v>158.19999999999999</v>
    <v>157.36000000000001</v>
    <v>159.24</v>
    <v>159.32</v>
    <v>160.6</v>
    <v>161.83000000000001</v>
    <v>158.06</v>
    <v>157.69</v>
    <v>153.66</v>
    <v>154</v>
    <v>154.85</v>
    <v>157.79</v>
    <v>158.25</v>
    <v>157.11000000000001</v>
    <v>157.31</v>
    <v>159.54</v>
    <v>160.09</v>
    <v>158.84</v>
    <v>156.21</v>
    <v>156.05000000000001</v>
    <v>157.41999999999999</v>
    <v>159.18</v>
    <v>160.72</v>
    <v>160.16</v>
    <v>156.1</v>
    <v>155.29</v>
    <v>154.58000000000001</v>
    <v>153.37</v>
    <v>153.55000000000001</v>
    <v>154.02000000000001</v>
    <v>154.91</v>
    <v>153.74</v>
    <v>151.63999999999999</v>
    <v>148.9</v>
    <v>151.94</v>
    <v>152.38999999999999</v>
    <v>152.11000000000001</v>
    <v>151.71</v>
    <v>153.08000000000001</v>
    <v>154.47999999999999</v>
    <v>153.79</v>
    <v>155.57</v>
    <v>156.56</v>
    <v>155.56</v>
    <v>155.28</v>
    <v>154.13</v>
    <v>155.1</v>
    <v>153.52000000000001</v>
    <v>157.72</v>
    <v>154.04</v>
    <v>153.38999999999999</v>
    <v>152.66</v>
    <v>152.94</v>
    <v>155.02000000000001</v>
    <v>155.65</v>
    <v>156.24</v>
    <v>153.32</v>
    <v>155.58000000000001</v>
    <v>157.62</v>
    <v>154.82</v>
    <v>153.62</v>
    <v>151.69999999999999</v>
    <v>150.31</v>
    <v>149.97999999999999</v>
    <v>149.75</v>
    <v>148.53</v>
    <v>149.51</v>
    <v>151.13</v>
    <v>152.54</v>
    <v>150.25</v>
    <v>151.59</v>
    <v>152.26</v>
    <v>150</v>
    <v>148.71</v>
    <v>148.49</v>
    <v>151.41</v>
    <v>150.72</v>
    <v>149.99</v>
    <v>149.80000000000001</v>
    <v>146.75</v>
    <v>149.52000000000001</v>
    <v>147.69</v>
    <v>147.75</v>
    <v>149.80000000000001</v>
    <v>150.51</v>
    <v>150.5</v>
    <v>150.02000000000001</v>
    <v>150.99</v>
    <v>152.31</v>
    <v>152.41</v>
    <v>155.9</v>
    <v>163.85</v>
    <v>156.54</v>
    <v>155.19999999999999</v>
    <v>159.25</v>
    <v>162.11000000000001</v>
    <v>162.34</v>
    <v>163.87</v>
    <v>167.24</v>
    <v>166.16</v>
    <v>166.26</v>
    <v>165.3</v>
    <v>166.73</v>
    <v>166.66</v>
    <v>166.72</v>
    <v>167.5</v>
    <v>169.05</v>
    <v>169.93</v>
    <v>171.19</v>
    <v>176.9</v>
    <v>174.03</v>
    <v>178.04</v>
    <v>181.23</v>
    <v>179.23</v>
    <v>180.86</v>
    <v>182.6</v>
    <v>182.26</v>
    <v>185.82</v>
    <v>182.4</v>
    <v>183.74</v>
    <v>180.55</v>
    <v>183.87</v>
    <v>184.78</v>
    <v>183.93</v>
    <v>184.91</v>
    <v>185.34</v>
    <v>184.22</v>
    <v>184.16</v>
    <v>186.76</v>
    <v>189.6</v>
    <v>188.77</v>
    <v>186.03</v>
    <v>189.9</v>
    <v>189.94</v>
    <v>189.44</v>
    <v>186.29</v>
    <v>191.79</v>
    <v>196.97</v>
    <v>196.82</v>
    <v>196.84</v>
    <v>197.97</v>
    <v>198.61</v>
    <v>201.44</v>
    <v>201.73</v>
    <v>205.21</v>
    <v>206.79</v>
    <v>205.15</v>
    <v>207.79</v>
    <v>211.15</v>
    <v>210.71</v>
    <v>206.9</v>
    <v>197.41</v>
    <v>198.97</v>
  </a>
  <a r="1" c="249">
    <v>58.85</v>
    <v>58.77</v>
    <v>64.150000000000006</v>
    <v>61.59</v>
    <v>61.64</v>
    <v>63.22</v>
    <v>64.33</v>
    <v>62.1</v>
    <v>63.25</v>
    <v>62.69</v>
    <v>64.55</v>
    <v>66.3</v>
    <v>68.16</v>
    <v>68.430000000000007</v>
    <v>68.28</v>
    <v>68.88</v>
    <v>68.38</v>
    <v>68.14</v>
    <v>70.59</v>
    <v>70.239999999999995</v>
    <v>69.47</v>
    <v>70.25</v>
    <v>71.64</v>
    <v>71.45</v>
    <v>74.91</v>
    <v>75.569999999999993</v>
    <v>75.290000000000006</v>
    <v>75.959999999999994</v>
    <v>75.72</v>
    <v>76.13</v>
    <v>75.900000000000006</v>
    <v>73.42</v>
    <v>73.42</v>
    <v>73.09</v>
    <v>75.47</v>
    <v>75.03</v>
    <v>75.53</v>
    <v>75.319999999999993</v>
    <v>75.8</v>
    <v>76.53</v>
    <v>76.400000000000006</v>
    <v>76.67</v>
    <v>78.260000000000005</v>
    <v>78.17</v>
    <v>78.03</v>
    <v>78.38</v>
    <v>78.23</v>
    <v>76.36</v>
    <v>78.069999999999993</v>
    <v>77.36</v>
    <v>78.349999999999994</v>
    <v>78.45</v>
    <v>79.36</v>
    <v>81.14</v>
    <v>82.63</v>
    <v>84.37</v>
    <v>84.38</v>
    <v>85.12</v>
    <v>86.27</v>
    <v>86.76</v>
    <v>88.72</v>
    <v>87.6</v>
    <v>85.57</v>
    <v>85.79</v>
    <v>87.08</v>
    <v>86.73</v>
    <v>87.5</v>
    <v>90.72</v>
    <v>90.02</v>
    <v>93.09</v>
    <v>93.45</v>
    <v>92.65</v>
    <v>94</v>
    <v>95.99</v>
    <v>95.39</v>
    <v>96.07</v>
    <v>95.55</v>
    <v>94.48</v>
    <v>95.81</v>
    <v>93.7</v>
    <v>91.83</v>
    <v>92.08</v>
    <v>91.52</v>
    <v>92.23</v>
    <v>91.23</v>
    <v>92.73</v>
    <v>92.31</v>
    <v>95.74</v>
    <v>94.65</v>
    <v>95.46</v>
    <v>93.69</v>
    <v>94.22</v>
    <v>93.74</v>
    <v>93.17</v>
    <v>92.59</v>
    <v>95.26</v>
    <v>95</v>
    <v>95.72</v>
    <v>96.87</v>
    <v>96.82</v>
    <v>96.57</v>
    <v>94.78</v>
    <v>95.03</v>
    <v>97.08</v>
    <v>95.4</v>
    <v>95.87</v>
    <v>97.34</v>
    <v>97.17</v>
    <v>98.82</v>
    <v>99.44</v>
    <v>99.79</v>
    <v>100.64</v>
    <v>101.76</v>
    <v>102.41</v>
    <v>102.68</v>
    <v>103.49</v>
    <v>103</v>
    <v>101.65</v>
    <v>102.11</v>
    <v>103.42</v>
    <v>103.16</v>
    <v>101.5</v>
    <v>98.71</v>
    <v>97.34</v>
    <v>97.74</v>
    <v>98.05</v>
    <v>97.8</v>
    <v>96.7</v>
    <v>95.92</v>
    <v>93.93</v>
    <v>96.1</v>
    <v>99.84</v>
    <v>99.78</v>
    <v>96.26</v>
    <v>97.07</v>
    <v>99.3</v>
    <v>98.25</v>
    <v>96.3</v>
    <v>96.69</v>
    <v>98.78</v>
    <v>100.99</v>
    <v>101.39</v>
    <v>99.12</v>
    <v>100.22</v>
    <v>101.23</v>
    <v>101.61</v>
    <v>101.01</v>
    <v>101.69</v>
    <v>100.85</v>
    <v>100.79</v>
    <v>101.49</v>
    <v>100.76</v>
    <v>102.87</v>
    <v>100.67</v>
    <v>100.3</v>
    <v>98.19</v>
    <v>98.32</v>
    <v>99.83</v>
    <v>97.63</v>
    <v>98.7</v>
    <v>99.69</v>
    <v>101.17</v>
    <v>102.5</v>
    <v>103.6</v>
    <v>102.68</v>
    <v>103.19</v>
    <v>106.72</v>
    <v>107.79</v>
    <v>108.88</v>
    <v>108.92</v>
    <v>109.43</v>
    <v>111.09</v>
    <v>111.74</v>
    <v>111.8</v>
    <v>112.8</v>
    <v>111.28</v>
    <v>111.46</v>
    <v>112.83</v>
    <v>114.86</v>
    <v>118.09</v>
    <v>119.4</v>
    <v>121.56</v>
    <v>120.42</v>
    <v>118.13</v>
    <v>117.21</v>
    <v>116.69</v>
    <v>118.7</v>
    <v>123.3</v>
    <v>122.5</v>
    <v>121.37</v>
    <v>120.6</v>
    <v>121.32</v>
    <v>117.7</v>
    <v>116.3</v>
    <v>112.41</v>
    <v>117.46</v>
    <v>118.04</v>
    <v>112.8</v>
    <v>113.86</v>
    <v>115.66</v>
    <v>113.59</v>
    <v>114.82</v>
    <v>114.79</v>
    <v>114.2</v>
    <v>115.2</v>
    <v>115.71</v>
    <v>116.23</v>
    <v>117.71</v>
    <v>117.43</v>
    <v>115.74</v>
    <v>122.69</v>
    <v>123.77</v>
    <v>122.15</v>
    <v>117.39</v>
    <v>111.15</v>
    <v>110.86</v>
    <v>113.78</v>
    <v>116.27</v>
    <v>115.55</v>
    <v>116</v>
    <v>110.75</v>
    <v>109.56</v>
    <v>114.34</v>
    <v>116.19</v>
    <v>110.19</v>
    <v>111.45</v>
    <v>110.76</v>
    <v>111.32</v>
    <v>108.95</v>
    <v>106.53</v>
    <v>106.59</v>
    <v>108.97</v>
    <v>109.19</v>
    <v>105.5</v>
    <v>105.69</v>
    <v>107.35</v>
    <v>107.71</v>
    <v>108.67</v>
    <v>109.85</v>
    <v>109.52</v>
    <v>111.64</v>
    <v>113.74</v>
    <v>114.48</v>
    <v>112.41</v>
    <v>107.38</v>
    <v>107.27</v>
    <v>113.41</v>
    <v>115.3</v>
    <v>115.25</v>
  </a>
  <a r="1" c="251">
    <v t="i">1</v>
    <v t="i">2</v>
    <v t="i">3</v>
    <v t="i">4</v>
    <v t="i">5</v>
    <v t="i">8</v>
    <v t="i">9</v>
    <v t="i">10</v>
    <v t="i">11</v>
    <v t="i">16</v>
    <v t="i">17</v>
    <v t="i">18</v>
    <v t="i">22</v>
    <v t="i">23</v>
    <v t="i">24</v>
    <v t="i">25</v>
    <v t="i">26</v>
    <v t="i">29</v>
    <v t="i">30</v>
    <v t="i">31</v>
    <v t="i">32</v>
    <v t="i">33</v>
    <v t="i">36</v>
    <v t="i">37</v>
    <v t="i">38</v>
    <v t="i">39</v>
    <v t="i">40</v>
    <v t="i">43</v>
    <v t="i">44</v>
    <v t="i">45</v>
    <v t="i">46</v>
    <v t="i">47</v>
    <v t="i">50</v>
    <v t="i">51</v>
    <v t="i">52</v>
    <v t="i">53</v>
    <v t="i">54</v>
    <v t="i">57</v>
    <v t="i">58</v>
    <v t="i">59</v>
    <v t="i">60</v>
    <v t="i">61</v>
    <v t="i">65</v>
    <v t="i">66</v>
    <v t="i">67</v>
    <v t="i">68</v>
    <v t="i">71</v>
    <v t="i">72</v>
    <v t="i">73</v>
    <v t="i">74</v>
    <v t="i">75</v>
    <v t="i">78</v>
    <v t="i">79</v>
    <v t="i">80</v>
    <v t="i">81</v>
    <v t="i">82</v>
    <v t="i">85</v>
    <v t="i">86</v>
    <v t="i">87</v>
    <v t="i">88</v>
    <v t="i">89</v>
    <v t="i">92</v>
    <v t="i">93</v>
    <v t="i">94</v>
    <v t="i">95</v>
    <v t="i">96</v>
    <v t="i">99</v>
    <v t="i">100</v>
    <v t="i">101</v>
    <v t="i">102</v>
    <v t="i">103</v>
    <v t="i">106</v>
    <v t="i">107</v>
    <v t="i">108</v>
    <v t="i">109</v>
    <v t="i">110</v>
    <v t="i">113</v>
    <v t="i">114</v>
    <v t="i">115</v>
    <v t="i">116</v>
    <v t="i">117</v>
    <v t="i">120</v>
    <v t="i">121</v>
    <v t="i">122</v>
    <v t="i">123</v>
    <v t="i">124</v>
    <v t="i">127</v>
    <v t="i">128</v>
    <v t="i">129</v>
    <v t="i">130</v>
    <v t="i">131</v>
    <v t="i">134</v>
    <v t="i">135</v>
    <v t="i">136</v>
    <v t="i">137</v>
    <v t="i">138</v>
    <v t="i">141</v>
    <v t="i">142</v>
    <v t="i">143</v>
    <v t="i">144</v>
    <v t="i">145</v>
    <v t="i">148</v>
    <v t="i">149</v>
    <v t="i">150</v>
    <v t="i">151</v>
    <v t="i">152</v>
    <v t="i">155</v>
    <v t="i">156</v>
    <v t="i">157</v>
    <v t="i">158</v>
    <v t="i">159</v>
    <v t="i">162</v>
    <v t="i">163</v>
    <v t="i">164</v>
    <v t="i">165</v>
    <v t="i">166</v>
    <v t="i">169</v>
    <v t="i">170</v>
    <v t="i">171</v>
    <v t="i">172</v>
    <v t="i">173</v>
    <v t="i">176</v>
    <v t="i">177</v>
    <v t="i">178</v>
    <v t="i">179</v>
    <v t="i">180</v>
    <v t="i">183</v>
    <v t="i">184</v>
    <v t="i">185</v>
    <v t="i">186</v>
    <v t="i">187</v>
    <v t="i">190</v>
    <v t="i">191</v>
    <v t="i">192</v>
    <v t="i">193</v>
    <v t="i">194</v>
    <v t="i">197</v>
    <v t="i">198</v>
    <v t="i">199</v>
    <v t="i">200</v>
    <v t="i">201</v>
    <v t="i">204</v>
    <v t="i">205</v>
    <v t="i">206</v>
    <v t="i">207</v>
    <v t="i">208</v>
    <v t="i">211</v>
    <v t="i">212</v>
    <v t="i">213</v>
    <v t="i">214</v>
    <v t="i">215</v>
    <v t="i">218</v>
    <v t="i">219</v>
    <v t="i">220</v>
    <v t="i">221</v>
    <v t="i">222</v>
    <v t="i">225</v>
    <v t="i">226</v>
    <v t="i">227</v>
    <v t="i">228</v>
    <v t="i">229</v>
    <v t="i">232</v>
    <v t="i">233</v>
    <v t="i">234</v>
    <v t="i">235</v>
    <v t="i">236</v>
    <v t="i">239</v>
    <v t="i">240</v>
    <v t="i">241</v>
    <v t="i">242</v>
    <v t="i">243</v>
    <v t="i">246</v>
    <v t="i">247</v>
    <v t="i">248</v>
    <v t="i">249</v>
    <v t="i">250</v>
    <v t="i">253</v>
    <v t="i">254</v>
    <v t="i">255</v>
    <v t="i">256</v>
    <v t="i">257</v>
    <v t="i">260</v>
    <v t="i">261</v>
    <v t="i">262</v>
    <v t="i">267</v>
    <v t="i">268</v>
    <v t="i">269</v>
    <v t="i">271</v>
    <v t="i">274</v>
    <v t="i">275</v>
    <v t="i">276</v>
    <v t="i">277</v>
    <v t="i">278</v>
    <v t="i">281</v>
    <v t="i">282</v>
    <v t="i">283</v>
    <v t="i">284</v>
    <v t="i">285</v>
    <v t="i">288</v>
    <v t="i">289</v>
    <v t="i">290</v>
    <v t="i">291</v>
    <v t="i">292</v>
    <v t="i">296</v>
    <v t="i">297</v>
    <v t="i">298</v>
    <v t="i">299</v>
    <v t="i">302</v>
    <v t="i">303</v>
    <v t="i">304</v>
    <v t="i">305</v>
    <v t="i">306</v>
    <v t="i">309</v>
    <v t="i">310</v>
    <v t="i">311</v>
    <v t="i">312</v>
    <v t="i">313</v>
    <v t="i">316</v>
    <v t="i">317</v>
    <v t="i">318</v>
    <v t="i">319</v>
    <v t="i">320</v>
    <v t="i">323</v>
    <v t="i">324</v>
    <v t="i">325</v>
    <v t="i">326</v>
    <v t="i">327</v>
    <v t="i">330</v>
    <v t="i">331</v>
    <v t="i">332</v>
    <v t="i">333</v>
    <v t="i">334</v>
    <v t="i">337</v>
    <v t="i">338</v>
    <v t="i">339</v>
    <v t="i">340</v>
    <v t="i">341</v>
    <v t="i">344</v>
    <v t="i">345</v>
    <v t="i">346</v>
    <v t="i">347</v>
    <v t="i">348</v>
    <v t="i">351</v>
    <v t="i">352</v>
    <v t="i">353</v>
    <v t="i">354</v>
    <v t="i">355</v>
    <v t="i">358</v>
    <v t="i">359</v>
    <v t="i">360</v>
    <v t="i">361</v>
  </a>
  <a r="1" c="251">
    <v>4.96</v>
    <v>4.78</v>
    <v>4.59</v>
    <v>4.9400000000000004</v>
    <v>4.63</v>
    <v>4.75</v>
    <v>4.62</v>
    <v>4.53</v>
    <v>4.57</v>
    <v>4.41</v>
    <v>4.5999999999999996</v>
    <v>4.67</v>
    <v>4.68</v>
    <v>4.93</v>
    <v>4.8600000000000003</v>
    <v>5.26</v>
    <v>5.26</v>
    <v>5.17</v>
    <v>4.87</v>
    <v>5.09</v>
    <v>5.23</v>
    <v>5.21</v>
    <v>5.38</v>
    <v>5.58</v>
    <v>5.64</v>
    <v>5.56</v>
    <v>5.73</v>
    <v>5.58</v>
    <v>5.7</v>
    <v>5.29</v>
    <v>5.26</v>
    <v>5.27</v>
    <v>5.0599999999999996</v>
    <v>5.04</v>
    <v>4.95</v>
    <v>5.0599999999999996</v>
    <v>5.05</v>
    <v>4.8499999999999996</v>
    <v>4.79</v>
    <v>4.8499999999999996</v>
    <v>4.9000000000000004</v>
    <v>4.82</v>
    <v>4.91</v>
    <v>4.83</v>
    <v>4.74</v>
    <v>4.67</v>
    <v>4.74</v>
    <v>4.7699999999999996</v>
    <v>4.7</v>
    <v>4.78</v>
    <v>4.79</v>
    <v>4.6100000000000003</v>
    <v>4.93</v>
    <v>5.03</v>
    <v>5.22</v>
    <v>5.0599999999999996</v>
    <v>5.0999999999999996</v>
    <v>4.22</v>
    <v>4.08</v>
    <v>4.3499999999999996</v>
    <v>4.37</v>
    <v>4.1100000000000003</v>
    <v>3.89</v>
    <v>3.8</v>
    <v>3.9</v>
    <v>3.75</v>
    <v>3.72</v>
    <v>3.76</v>
    <v>3.72</v>
    <v>3.77</v>
    <v>3.85</v>
    <v>3.77</v>
    <v>3.72</v>
    <v>3.72</v>
    <v>3.63</v>
    <v>3.7</v>
    <v>3.74</v>
    <v>3.6</v>
    <v>3.67</v>
    <v>3.59</v>
    <v>3.53</v>
    <v>3.57</v>
    <v>3.64</v>
    <v>3.61</v>
    <v>3.51</v>
    <v>3.57</v>
    <v>3.63</v>
    <v>3.58</v>
    <v>3.57</v>
    <v>3.61</v>
    <v>3.63</v>
    <v>3.5</v>
    <v>3.27</v>
    <v>3.85</v>
    <v>3.79</v>
    <v>3.78</v>
    <v>3.91</v>
    <v>3.85</v>
    <v>3.85</v>
    <v>3.82</v>
    <v>3.85</v>
    <v>3.76</v>
    <v>3.64</v>
    <v>3.53</v>
    <v>3.4</v>
    <v>3.75</v>
    <v>3.71</v>
    <v>3.53</v>
    <v>3.63</v>
    <v>3.6</v>
    <v>3.83</v>
    <v>3.65</v>
    <v>3.63</v>
    <v>3.52</v>
    <v>3.48</v>
    <v>3.43</v>
    <v>3.39</v>
    <v>3.33</v>
    <v>3.34</v>
    <v>3.35</v>
    <v>3.28</v>
    <v>3.23</v>
    <v>3.18</v>
    <v>3.2</v>
    <v>3.13</v>
    <v>3.36</v>
    <v>3.18</v>
    <v>3.12</v>
    <v>3.1</v>
    <v>3.09</v>
    <v>3.07</v>
    <v>3.1</v>
    <v>3.37</v>
    <v>3.62</v>
    <v>3.41</v>
    <v>3.37</v>
    <v>3.16</v>
    <v>3.22</v>
    <v>3.28</v>
    <v>3.2</v>
    <v>3.25</v>
    <v>3.28</v>
    <v>3.17</v>
    <v>3.12</v>
    <v>3.21</v>
    <v>3.1</v>
    <v>3.25</v>
    <v>3.24</v>
    <v>3.15</v>
    <v>3.12</v>
    <v>3.1</v>
    <v>3.15</v>
    <v>3.13</v>
    <v>3.05</v>
    <v>2.98</v>
    <v>2.9</v>
    <v>2.94</v>
    <v>2.95</v>
    <v>2.99</v>
    <v>3.17</v>
    <v>3.22</v>
    <v>3.2</v>
    <v>3.15</v>
    <v>3.22</v>
    <v>3.55</v>
    <v>3.87</v>
    <v>3.6</v>
    <v>3.6</v>
    <v>3.4</v>
    <v>3.57</v>
    <v>3.59</v>
    <v>3.49</v>
    <v>3.58</v>
    <v>3.58</v>
    <v>3.6</v>
    <v>3.65</v>
    <v>3.66</v>
    <v>3.51</v>
    <v>3.66</v>
    <v>3.7</v>
    <v>3.97</v>
    <v>3.78</v>
    <v>3.78</v>
    <v>3.96</v>
    <v>3.88</v>
    <v>3.96</v>
    <v>3.96</v>
    <v>4.03</v>
    <v>3.83</v>
    <v>3.81</v>
    <v>4.0599999999999996</v>
    <v>4.0199999999999996</v>
    <v>4.1399999999999997</v>
    <v>4.41</v>
    <v>4.43</v>
    <v>4.3499999999999996</v>
    <v>4.3</v>
    <v>4.46</v>
    <v>4.3899999999999997</v>
    <v>4.33</v>
    <v>4.05</v>
    <v>4.16</v>
    <v>4.32</v>
    <v>4.13</v>
    <v>4.17</v>
    <v>4.22</v>
    <v>4.2</v>
    <v>4.1900000000000004</v>
    <v>4.25</v>
    <v>4.03</v>
    <v>4.03</v>
    <v>3.92</v>
    <v>3.72</v>
    <v>3.74</v>
    <v>3.6</v>
    <v>3.32</v>
    <v>3.11</v>
    <v>3.13</v>
    <v>3.06</v>
    <v>3.15</v>
    <v>3.13</v>
    <v>3.06</v>
    <v>2.96</v>
    <v>2.82</v>
    <v>2.81</v>
    <v>2.9</v>
    <v>2.78</v>
    <v>2.7</v>
    <v>2.56</v>
    <v>2.41</v>
    <v>2.46</v>
    <v>2.5299999999999998</v>
    <v>2.42</v>
    <v>2.4700000000000002</v>
    <v>2.42</v>
    <v>2.31</v>
    <v>2.35</v>
    <v>2.37</v>
    <v>2.34</v>
    <v>2.4</v>
    <v>2.33</v>
    <v>2.25</v>
    <v>2.2599999999999998</v>
    <v>2.2000000000000002</v>
    <v>2.33</v>
    <v>2.25</v>
    <v>2.27</v>
    <v>2.2000000000000002</v>
    <v>2.34</v>
    <v>2.72</v>
    <v>2.52</v>
  </a>
  <a r="1" c="249">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a>
  <a r="11">
    <v t="r">6494</v>
    <v t="r">6496</v>
    <v t="r">6498</v>
    <v t="r">6500</v>
    <v t="r">6502</v>
    <v t="r">6504</v>
    <v t="r">6506</v>
    <v t="r">6508</v>
    <v t="r">6510</v>
    <v t="r">6512</v>
    <v t="i">1</v>
  </a>
</arrayData>
</file>

<file path=xl/richData/rdrichvalue.xml><?xml version="1.0" encoding="utf-8"?>
<rvData xmlns="http://schemas.microsoft.com/office/spreadsheetml/2017/richdata" count="6515">
  <rv s="0">
    <v>https://www.bing.com/financeapi/forcetrigger?t=a1ndww&amp;q=XNAS%3aAMD&amp;form=skydnc</v>
    <v>Learn more on Bing</v>
  </rv>
  <rv s="1">
    <v>en-US</v>
    <v>a1ndww</v>
    <v>268435456</v>
    <v>1</v>
    <v>Powered by Refinitiv</v>
    <v>0</v>
    <v>ADVANCED MICRO DEVICES, INC. (XNAS:AMD)</v>
    <v>2</v>
    <v>3</v>
    <v>Finance</v>
    <v>4</v>
    <v>267.07990000000001</v>
    <v>76.48</v>
    <v>1.9919</v>
    <v>2.84</v>
    <v>1.3057000000000001E-2</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226.31</v>
    <v>Semiconductors &amp; Semiconductor Equipment</v>
    <v>Stock</v>
    <v>46118.657495497653</v>
    <v>0</v>
    <v>219.3</v>
    <v>359228895260</v>
    <v>ADVANCED MICRO DEVICES, INC.</v>
    <v>ADVANCED MICRO DEVICES, INC.</v>
    <v>219.74</v>
    <v>84.602999999999994</v>
    <v>217.5</v>
    <v>220.34</v>
    <v>1630339000</v>
    <v>AMD</v>
    <v>ADVANCED MICRO DEVICES, INC. (XNAS:AMD)</v>
    <v>17407923</v>
    <v>34458278</v>
    <v>1969</v>
  </rv>
  <rv s="2">
    <v>1</v>
  </rv>
  <rv s="0">
    <v>http://en.wikipedia.org/wiki/Public_domain</v>
    <v>Public domain</v>
  </rv>
  <rv s="0">
    <v>https://en.wikipedia.org/wiki/Microsoft</v>
    <v>Wikipedia</v>
  </rv>
  <rv s="3">
    <v>3</v>
    <v>4</v>
  </rv>
  <rv s="4">
    <v>9</v>
    <v>https://www.bing.com/th?id=AMMS_e6e837c7bf3a77408619758b7447855a&amp;qlt=95</v>
    <v>5</v>
    <v>0</v>
    <v>https://www.bing.com/images/search?form=xlimg&amp;q=microsoft</v>
    <v>Image of MICROSOFT CORPORATION</v>
  </rv>
  <rv s="0">
    <v>https://www.bing.com/financeapi/forcetrigger?t=a1xzim&amp;q=XNAS%3aMSFT&amp;form=skydnc</v>
    <v>Learn more on Bing</v>
  </rv>
  <rv s="5">
    <v>en-US</v>
    <v>a1xzim</v>
    <v>268435456</v>
    <v>1</v>
    <v>Powered by Refinitiv</v>
    <v>5</v>
    <v>MICROSOFT CORPORATION (XNAS:MSFT)</v>
    <v>7</v>
    <v>8</v>
    <v>Finance</v>
    <v>4</v>
    <v>555.45000000000005</v>
    <v>344.79</v>
    <v>1.103</v>
    <v>-2.02</v>
    <v>-5.4090000000000006E-3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373.73</v>
    <v>6</v>
    <v>Software &amp; IT Services</v>
    <v>Stock</v>
    <v>46118.657471700782</v>
    <v>7</v>
    <v>369.50139999999999</v>
    <v>2758175635760</v>
    <v>MICROSOFT CORPORATION</v>
    <v>MICROSOFT CORPORATION</v>
    <v>373.46</v>
    <v>23.240600000000001</v>
    <v>373.46</v>
    <v>371.44</v>
    <v>7425629000</v>
    <v>MSFT</v>
    <v>MICROSOFT CORPORATION (XNAS:MSFT)</v>
    <v>6329240</v>
    <v>34006864</v>
    <v>1993</v>
  </rv>
  <rv s="2">
    <v>8</v>
  </rv>
  <rv s="0">
    <v>https://www.bing.com/financeapi/forcetrigger?t=a1o4mw&amp;q=XNYS%3aBABA&amp;form=skydnc</v>
    <v>Learn more on Bing</v>
  </rv>
  <rv s="1">
    <v>en-US</v>
    <v>a1o4mw</v>
    <v>268435456</v>
    <v>1</v>
    <v>Powered by Refinitiv</v>
    <v>0</v>
    <v>Alibaba Group Holding Limited (XNYS:BABA)</v>
    <v>2</v>
    <v>3</v>
    <v>Finance</v>
    <v>4</v>
    <v>192.67</v>
    <v>94.974199999999996</v>
    <v>0.49490000000000001</v>
    <v>0.63</v>
    <v>5.1619999999999999E-3</v>
    <v>USD</v>
    <v>Alibaba Group Holding Ltd is an investment holding company mainly engaged in the provision of technology infrastructure and marketing platforms. The Company operates its business through four segments. The Alibaba China E-commerce Group segment is mainly engaged in E-commerce business, including operating Tmall Supermarket and Tmall Global, providing customer management services, product sales, as well as logistics services. It also operates quick commerce business such as Taobao Instant Commerce and Ele.me, as well as the China commerce wholesale business through 1688.com. The Alibaba International Digital Commerce Group segment is mainly engaged in international commerce retail and wholesale business, operating platforms such as AliExpress, Trendyol, Lazada and Alibaba.com. The Cloud Intelligence Group segment mainly provides public and non-public cloud services. The Other segments primarily include the operations of Freshippo, Cainiao, Alibaba Health and other business.</v>
    <v>128197</v>
    <v>New York Stock Exchange</v>
    <v>XNYS</v>
    <v>XNYS</v>
    <v>26/F Tower One, Times Square 1 Matheson Street Causeway Bay, Shedden Road HK</v>
    <v>123.65</v>
    <v>Software &amp; IT Services</v>
    <v>Stock</v>
    <v>46118.657488032033</v>
    <v>10</v>
    <v>122</v>
    <v>292887826840</v>
    <v>Alibaba Group Holding Limited</v>
    <v>Alibaba Group Holding Limited</v>
    <v>122.14</v>
    <v>16.684799999999999</v>
    <v>122.05</v>
    <v>122.68</v>
    <v>2387413000</v>
    <v>BABA</v>
    <v>Alibaba Group Holding Limited (XNYS:BABA)</v>
    <v>1792441</v>
    <v>12151442</v>
    <v>1999</v>
  </rv>
  <rv s="2">
    <v>11</v>
  </rv>
  <rv s="0">
    <v>https://www.bing.com/financeapi/forcetrigger?t=a1retc&amp;q=XNYS%3aDELL&amp;form=skydnc</v>
    <v>Learn more on Bing</v>
  </rv>
  <rv s="1">
    <v>en-US</v>
    <v>a1retc</v>
    <v>268435456</v>
    <v>1</v>
    <v>Powered by Refinitiv</v>
    <v>0</v>
    <v>DELL TECHNOLOGIES INC. (XNYS:DELL)</v>
    <v>2</v>
    <v>3</v>
    <v>Finance</v>
    <v>4</v>
    <v>186.39</v>
    <v>66.245000000000005</v>
    <v>0.85729999999999995</v>
    <v>-1.22</v>
    <v>-6.9969999999999997E-3</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97000</v>
    <v>New York Stock Exchange</v>
    <v>XNYS</v>
    <v>XNYS</v>
    <v>ONE DELL WAY, ROUND ROCK, TX, 78682 US</v>
    <v>176.5</v>
    <v>Computers, Phones &amp; Household Electronics</v>
    <v>Stock</v>
    <v>46118.657454698434</v>
    <v>13</v>
    <v>172.9</v>
    <v>111811352775</v>
    <v>DELL TECHNOLOGIES INC.</v>
    <v>DELL TECHNOLOGIES INC.</v>
    <v>176.11</v>
    <v>19.857800000000001</v>
    <v>174.37</v>
    <v>173.15</v>
    <v>645748500</v>
    <v>DELL</v>
    <v>DELL TECHNOLOGIES INC. (XNYS:DELL)</v>
    <v>1531664</v>
    <v>10493318</v>
    <v>2013</v>
  </rv>
  <rv s="2">
    <v>14</v>
  </rv>
  <rv s="0">
    <v>https://www.bing.com/financeapi/forcetrigger?t=a1u7xm&amp;q=XNYS%3aGS&amp;form=skydnc</v>
    <v>Learn more on Bing</v>
  </rv>
  <rv s="1">
    <v>en-US</v>
    <v>a1u7xm</v>
    <v>268435456</v>
    <v>1</v>
    <v>Powered by Refinitiv</v>
    <v>0</v>
    <v>THE GOLDMAN SACHS GROUP, INC. (XNYS:GS)</v>
    <v>2</v>
    <v>3</v>
    <v>Finance</v>
    <v>4</v>
    <v>984.7</v>
    <v>439.38</v>
    <v>1.3147</v>
    <v>2.7027000000000001</v>
    <v>3.1319999999999998E-3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47400</v>
    <v>New York Stock Exchange</v>
    <v>XNYS</v>
    <v>XNYS</v>
    <v>200 West St, NEW YORK, NY, 10282 US</v>
    <v>873.21</v>
    <v>Investment Banking &amp; Investment Services</v>
    <v>Stock</v>
    <v>46118.657502140624</v>
    <v>16</v>
    <v>859.83</v>
    <v>255388815469</v>
    <v>THE GOLDMAN SACHS GROUP, INC.</v>
    <v>THE GOLDMAN SACHS GROUP, INC.</v>
    <v>863.05</v>
    <v>16.875900000000001</v>
    <v>863.04</v>
    <v>865.74270000000001</v>
    <v>294993900</v>
    <v>GS</v>
    <v>THE GOLDMAN SACHS GROUP, INC. (XNYS:GS)</v>
    <v>382407</v>
    <v>2482286</v>
    <v>1998</v>
  </rv>
  <rv s="2">
    <v>17</v>
  </rv>
  <rv s="0">
    <v>https://www.bing.com/financeapi/forcetrigger?t=a269ec&amp;q=XNYS%3aXOM&amp;form=skydnc</v>
    <v>Learn more on Bing</v>
  </rv>
  <rv s="1">
    <v>en-US</v>
    <v>a269ec</v>
    <v>268435456</v>
    <v>1</v>
    <v>Powered by Refinitiv</v>
    <v>0</v>
    <v>EXXON MOBIL CORPORATION (XNYS:XOM)</v>
    <v>2</v>
    <v>3</v>
    <v>Finance</v>
    <v>4</v>
    <v>176.41</v>
    <v>97.8</v>
    <v>0.29189999999999999</v>
    <v>0.34</v>
    <v>2.1160000000000003E-3</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161.94</v>
    <v>Oil &amp; Gas</v>
    <v>Stock</v>
    <v>46118.657486191405</v>
    <v>19</v>
    <v>159.53</v>
    <v>670974006920</v>
    <v>EXXON MOBIL CORPORATION</v>
    <v>EXXON MOBIL CORPORATION</v>
    <v>160.68</v>
    <v>24.104500000000002</v>
    <v>160.69</v>
    <v>161.03</v>
    <v>4166764000</v>
    <v>XOM</v>
    <v>EXXON MOBIL CORPORATION (XNYS:XOM)</v>
    <v>5124904</v>
    <v>25743505</v>
    <v>1882</v>
  </rv>
  <rv s="2">
    <v>20</v>
  </rv>
  <rv s="0">
    <v>https://www.bing.com/financeapi/forcetrigger?t=a1tyrw&amp;q=XNYS%3aGM&amp;form=skydnc</v>
    <v>Learn more on Bing</v>
  </rv>
  <rv s="1">
    <v>en-US</v>
    <v>a1tyrw</v>
    <v>268435456</v>
    <v>1</v>
    <v>Powered by Refinitiv</v>
    <v>0</v>
    <v>GENERAL MOTORS COMPANY (XNYS:GM)</v>
    <v>2</v>
    <v>3</v>
    <v>Finance</v>
    <v>4</v>
    <v>87.62</v>
    <v>41.6</v>
    <v>1.3733</v>
    <v>0.62</v>
    <v>8.5470000000000008E-3</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156000</v>
    <v>New York Stock Exchange</v>
    <v>XNYS</v>
    <v>XNYS</v>
    <v>P.O. Box 33170, DETROIT, MI, 48232-5170 US</v>
    <v>73.314999999999998</v>
    <v>Automobiles &amp; Auto Parts</v>
    <v>Stock</v>
    <v>46118.65747694375</v>
    <v>22</v>
    <v>72.150000000000006</v>
    <v>66134284248</v>
    <v>GENERAL MOTORS COMPANY</v>
    <v>GENERAL MOTORS COMPANY</v>
    <v>72.694999999999993</v>
    <v>22.385400000000001</v>
    <v>72.540000000000006</v>
    <v>73.16</v>
    <v>903967800</v>
    <v>GM</v>
    <v>GENERAL MOTORS COMPANY (XNYS:GM)</v>
    <v>1550051</v>
    <v>8185265</v>
    <v>2009</v>
  </rv>
  <rv s="2">
    <v>23</v>
  </rv>
  <rv s="0">
    <v>https://www.bing.com/financeapi/forcetrigger?t=a1o4sm&amp;q=XNYS%3aBAC&amp;form=skydnc</v>
    <v>Learn more on Bing</v>
  </rv>
  <rv s="1">
    <v>en-US</v>
    <v>a1o4sm</v>
    <v>268435456</v>
    <v>1</v>
    <v>Powered by Refinitiv</v>
    <v>0</v>
    <v>BANK OF AMERICA CORPORATION (XNYS:BAC)</v>
    <v>2</v>
    <v>3</v>
    <v>Finance</v>
    <v>4</v>
    <v>57.55</v>
    <v>33.064999999999998</v>
    <v>1.2422</v>
    <v>0.45500000000000002</v>
    <v>9.214E-3</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213207</v>
    <v>New York Stock Exchange</v>
    <v>XNYS</v>
    <v>XNYS</v>
    <v>Bank Of America Corporate Center, 100 N Tryon St, CHARLOTTE, NC, 28255 US</v>
    <v>50.08</v>
    <v>Banking Services</v>
    <v>Stock</v>
    <v>46118.657486446093</v>
    <v>25</v>
    <v>49.25</v>
    <v>356106408015</v>
    <v>BANK OF AMERICA CORPORATION</v>
    <v>BANK OF AMERICA CORPORATION</v>
    <v>49.42</v>
    <v>13.174099999999999</v>
    <v>49.38</v>
    <v>49.835000000000001</v>
    <v>7145709000</v>
    <v>BAC</v>
    <v>BANK OF AMERICA CORPORATION (XNYS:BAC)</v>
    <v>8909562</v>
    <v>44465676</v>
    <v>1998</v>
  </rv>
  <rv s="2">
    <v>26</v>
  </rv>
  <rv s="0">
    <v>https://www.bing.com/financeapi/forcetrigger?t=a1wzw7&amp;q=XNYS%3aLMT&amp;form=skydnc</v>
    <v>Learn more on Bing</v>
  </rv>
  <rv s="1">
    <v>en-US</v>
    <v>a1wzw7</v>
    <v>268435456</v>
    <v>1</v>
    <v>Powered by Refinitiv</v>
    <v>0</v>
    <v>LOCKHEED MARTIN CORPORATION (XNYS:LMT)</v>
    <v>2</v>
    <v>3</v>
    <v>Finance</v>
    <v>4</v>
    <v>692</v>
    <v>410.11</v>
    <v>0.23669999999999999</v>
    <v>1.7786999999999999</v>
    <v>2.856E-3</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627.22</v>
    <v>Aerospace &amp; Defense</v>
    <v>Stock</v>
    <v>46118.657496678126</v>
    <v>28</v>
    <v>621.36500000000001</v>
    <v>143939414196</v>
    <v>LOCKHEED MARTIN CORPORATION</v>
    <v>LOCKHEED MARTIN CORPORATION</v>
    <v>623.51</v>
    <v>29.0685</v>
    <v>622.79</v>
    <v>624.56870000000004</v>
    <v>230462100</v>
    <v>LMT</v>
    <v>LOCKHEED MARTIN CORPORATION (XNYS:LMT)</v>
    <v>276172</v>
    <v>1766620</v>
    <v>1994</v>
  </rv>
  <rv s="2">
    <v>29</v>
  </rv>
  <rv s="0">
    <v>https://www.bing.com/financeapi/forcetrigger?t=a1q6k2&amp;q=XNAS%3aCOST&amp;form=skydnc</v>
    <v>Learn more on Bing</v>
  </rv>
  <rv s="1">
    <v>en-US</v>
    <v>a1q6k2</v>
    <v>268435456</v>
    <v>1</v>
    <v>Powered by Refinitiv</v>
    <v>0</v>
    <v>COSTCO WHOLESALE CORPORATION (XNAS:COST)</v>
    <v>2</v>
    <v>3</v>
    <v>Finance</v>
    <v>4</v>
    <v>1067.08</v>
    <v>844.06</v>
    <v>0.98899999999999999</v>
    <v>1.91</v>
    <v>1.882E-3</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1017.46</v>
    <v>Diversified Retail</v>
    <v>Stock</v>
    <v>46118.657487534372</v>
    <v>31</v>
    <v>1004.01</v>
    <v>451136917675</v>
    <v>COSTCO WHOLESALE CORPORATION</v>
    <v>COSTCO WHOLESALE CORPORATION</v>
    <v>1015.22</v>
    <v>54.470700000000001</v>
    <v>1014.96</v>
    <v>1016.87</v>
    <v>443652500</v>
    <v>COST</v>
    <v>COSTCO WHOLESALE CORPORATION (XNAS:COST)</v>
    <v>433579</v>
    <v>1867697</v>
    <v>1987</v>
  </rv>
  <rv s="2">
    <v>32</v>
  </rv>
  <rv s="6">
    <fb>115.3</fb>
    <v>10</v>
  </rv>
  <rv s="6">
    <fb>122.1</fb>
    <v>10</v>
  </rv>
  <rv s="6">
    <fb>120.8</fb>
    <v>10</v>
  </rv>
  <rv s="6">
    <fb>126.9</fb>
    <v>10</v>
  </rv>
  <rv s="6">
    <fb>125.6</fb>
    <v>10</v>
  </rv>
  <rv s="6">
    <fb>129.6</fb>
    <v>10</v>
  </rv>
  <rv s="6">
    <fb>128.6</fb>
    <v>10</v>
  </rv>
  <rv s="6">
    <fb>115.1</fb>
    <v>10</v>
  </rv>
  <rv s="6">
    <fb>121.4</fb>
    <v>10</v>
  </rv>
  <rv s="6">
    <fb>120.2</fb>
    <v>10</v>
  </rv>
  <rv s="6">
    <fb>123.7</fb>
    <v>10</v>
  </rv>
  <rv s="6">
    <fb>125.2</fb>
    <v>10</v>
  </rv>
  <rv s="6">
    <fb>124.4</fb>
    <v>10</v>
  </rv>
  <rv s="6">
    <fb>126.7</fb>
    <v>10</v>
  </rv>
  <rv s="6">
    <fb>129.19999999999999</fb>
    <v>10</v>
  </rv>
  <rv s="6">
    <fb>128.95599999999999</fb>
    <v>10</v>
  </rv>
  <rv s="6">
    <fb>128</fb>
    <v>10</v>
  </rv>
  <rv s="6">
    <fb>128.80000000000001</fb>
    <v>10</v>
  </rv>
  <rv s="6">
    <fb>129</fb>
    <v>10</v>
  </rv>
  <rv s="6">
    <fb>130.5</fb>
    <v>10</v>
  </rv>
  <rv s="6">
    <fb>131.30000000000001</fb>
    <v>10</v>
  </rv>
  <rv s="6">
    <fb>130.30000000000001</fb>
    <v>10</v>
  </rv>
  <rv s="6">
    <fb>133</fb>
    <v>10</v>
  </rv>
  <rv s="6">
    <fb>135.30000000000001</fb>
    <v>10</v>
  </rv>
  <rv s="6">
    <fb>136.4</fb>
    <v>10</v>
  </rv>
  <rv s="6">
    <fb>137.19999999999999</fb>
    <v>10</v>
  </rv>
  <rv s="6">
    <fb>137.4</fb>
    <v>10</v>
  </rv>
  <rv s="6">
    <fb>134.9</fb>
    <v>10</v>
  </rv>
  <rv s="6">
    <fb>132</fb>
    <v>10</v>
  </rv>
  <rv s="7">
    <fb t="e">#N/A</fb>
    <v>6</v>
    <v>4</v>
  </rv>
  <rv s="6">
    <fb>132.4</fb>
    <v>10</v>
  </rv>
  <rv s="6">
    <fb>133.6</fb>
    <v>10</v>
  </rv>
  <rv s="6">
    <fb>136.19999999999999</fb>
    <v>10</v>
  </rv>
  <rv s="6">
    <fb>137.6</fb>
    <v>10</v>
  </rv>
  <rv s="6">
    <fb>138.69999999999999</fb>
    <v>10</v>
  </rv>
  <rv s="6">
    <fb>139.5</fb>
    <v>10</v>
  </rv>
  <rv s="6">
    <fb>139.30000000000001</fb>
    <v>10</v>
  </rv>
  <rv s="6">
    <fb>138.1</fb>
    <v>10</v>
  </rv>
  <rv s="6">
    <fb>138.5</fb>
    <v>10</v>
  </rv>
  <rv s="6">
    <fb>141.4</fb>
    <v>10</v>
  </rv>
  <rv s="6">
    <fb>144.4</fb>
    <v>10</v>
  </rv>
  <rv s="6">
    <fb>146.9</fb>
    <v>10</v>
  </rv>
  <rv s="6">
    <fb>147.69999999999999</fb>
    <v>10</v>
  </rv>
  <rv s="6">
    <fb>147.30000000000001</fb>
    <v>10</v>
  </rv>
  <rv s="6">
    <fb>146.69999999999999</fb>
    <v>10</v>
  </rv>
  <rv s="6">
    <fb>145.80000000000001</fb>
    <v>10</v>
  </rv>
  <rv s="6">
    <fb>142.30000000000001</fb>
    <v>10</v>
  </rv>
  <rv s="6">
    <fb>142.1</fb>
    <v>10</v>
  </rv>
  <rv s="6">
    <fb>141.80000000000001</fb>
    <v>10</v>
  </rv>
  <rv s="6">
    <fb>144</fb>
    <v>10</v>
  </rv>
  <rv s="6">
    <fb>146.1</fb>
    <v>10</v>
  </rv>
  <rv s="6">
    <fb>142.9</fb>
    <v>10</v>
  </rv>
  <rv s="6">
    <fb>145.4</fb>
    <v>10</v>
  </rv>
  <rv s="6">
    <fb>145</fb>
    <v>10</v>
  </rv>
  <rv s="6">
    <fb>144.19999999999999</fb>
    <v>10</v>
  </rv>
  <rv s="6">
    <fb>146.30000000000001</fb>
    <v>10</v>
  </rv>
  <rv s="6">
    <fb>149.19999999999999</fb>
    <v>10</v>
  </rv>
  <rv s="6">
    <fb>149.80000000000001</fb>
    <v>10</v>
  </rv>
  <rv s="6">
    <fb>148.80000000000001</fb>
    <v>10</v>
  </rv>
  <rv s="6">
    <fb>150.9</fb>
    <v>10</v>
  </rv>
  <rv s="6">
    <fb>151.5</fb>
    <v>10</v>
  </rv>
  <rv s="6">
    <fb>152.6</fb>
    <v>10</v>
  </rv>
  <rv s="6">
    <fb>149.6</fb>
    <v>10</v>
  </rv>
  <rv s="6">
    <fb>155.69999999999999</fb>
    <v>10</v>
  </rv>
  <rv s="6">
    <fb>154.30000000000001</fb>
    <v>10</v>
  </rv>
  <rv s="6">
    <fb>156.6</fb>
    <v>10</v>
  </rv>
  <rv s="6">
    <fb>156.4</fb>
    <v>10</v>
  </rv>
  <rv s="6">
    <fb>157.6</fb>
    <v>10</v>
  </rv>
  <rv s="6">
    <fb>157.80000000000001</fb>
    <v>10</v>
  </rv>
  <rv s="6">
    <fb>155.5</fb>
    <v>10</v>
  </rv>
  <rv s="6">
    <fb>157.19999999999999</fb>
    <v>10</v>
  </rv>
  <rv s="6">
    <fb>157</fb>
    <v>10</v>
  </rv>
  <rv s="6">
    <fb>153.4</fb>
    <v>10</v>
  </rv>
  <rv s="6">
    <fb>156.19999999999999</fb>
    <v>10</v>
  </rv>
  <rv s="6">
    <fb>154.9</fb>
    <v>10</v>
  </rv>
  <rv s="6">
    <fb>154.1</fb>
    <v>10</v>
  </rv>
  <rv s="6">
    <fb>153.80000000000001</fb>
    <v>10</v>
  </rv>
  <rv s="6">
    <fb>154.69999999999999</fb>
    <v>10</v>
  </rv>
  <rv s="6">
    <fb>156.66999999999999</fb>
    <v>10</v>
  </rv>
  <rv s="6">
    <fb>158.1</fb>
    <v>10</v>
  </rv>
  <rv s="6">
    <fb>159.5</fb>
    <v>10</v>
  </rv>
  <rv s="6">
    <fb>159.30000000000001</fb>
    <v>10</v>
  </rv>
  <rv s="6">
    <fb>160</fb>
    <v>10</v>
  </rv>
  <rv s="6">
    <fb>159.1</fb>
    <v>10</v>
  </rv>
  <rv s="6">
    <fb>157.4</fb>
    <v>10</v>
  </rv>
  <rv s="6">
    <fb>158.5</fb>
    <v>10</v>
  </rv>
  <rv s="6">
    <fb>156</fb>
    <v>10</v>
  </rv>
  <rv s="6">
    <fb>151.69999999999999</fb>
    <v>10</v>
  </rv>
  <rv s="6">
    <fb>155.30000000000001</fb>
    <v>10</v>
  </rv>
  <rv s="6">
    <fb>156.80000000000001</fb>
    <v>10</v>
  </rv>
  <rv s="6">
    <fb>158.9</fb>
    <v>10</v>
  </rv>
  <rv s="6">
    <fb>160.80000000000001</fb>
    <v>10</v>
  </rv>
  <rv s="6">
    <fb>162.9</fb>
    <v>10</v>
  </rv>
  <rv s="6">
    <fb>160.19999999999999</fb>
    <v>10</v>
  </rv>
  <rv s="6">
    <fb>164.6</fb>
    <v>10</v>
  </rv>
  <rv s="6">
    <fb>165.6</fb>
    <v>10</v>
  </rv>
  <rv s="6">
    <fb>166.7</fb>
    <v>10</v>
  </rv>
  <rv s="6">
    <fb>166.1</fb>
    <v>10</v>
  </rv>
  <rv s="6">
    <fb>165.8</fb>
    <v>10</v>
  </rv>
  <rv s="6">
    <fb>169</fb>
    <v>10</v>
  </rv>
  <rv s="6">
    <fb>168.8</fb>
    <v>10</v>
  </rv>
  <rv s="6">
    <fb>170.7</fb>
    <v>10</v>
  </rv>
  <rv s="6">
    <fb>167.1</fb>
    <v>10</v>
  </rv>
  <rv s="6">
    <fb>158.30000000000001</fb>
    <v>10</v>
  </rv>
  <rv s="6">
    <fb>160.4</fb>
    <v>10</v>
  </rv>
  <rv s="6">
    <fb>173.6</fb>
    <v>10</v>
  </rv>
  <rv s="6">
    <fb>176.4</fb>
    <v>10</v>
  </rv>
  <rv s="6">
    <fb>179.1</fb>
    <v>10</v>
  </rv>
  <rv s="6">
    <fb>179.5</fb>
    <v>10</v>
  </rv>
  <rv s="6">
    <fb>178.1</fb>
    <v>10</v>
  </rv>
  <rv s="6">
    <fb>180.6</fb>
    <v>10</v>
  </rv>
  <rv s="6">
    <fb>177.6</fb>
    <v>10</v>
  </rv>
  <rv s="6">
    <fb>176.8</fb>
    <v>10</v>
  </rv>
  <rv s="6">
    <fb>176.6</fb>
    <v>10</v>
  </rv>
  <rv s="6">
    <fb>175.7</fb>
    <v>10</v>
  </rv>
  <rv s="6">
    <fb>174.3</fb>
    <v>10</v>
  </rv>
  <rv s="6">
    <fb>174.1</fb>
    <v>10</v>
  </rv>
  <rv s="6">
    <fb>177.8</fb>
    <v>10</v>
  </rv>
  <rv s="6">
    <fb>178.5</fb>
    <v>10</v>
  </rv>
  <rv s="6">
    <fb>174.5</fb>
    <v>10</v>
  </rv>
  <rv s="6">
    <fb>175.5</fb>
    <v>10</v>
  </rv>
  <rv s="6">
    <fb>176</fb>
    <v>10</v>
  </rv>
  <rv s="6">
    <fb>173</fb>
    <v>10</v>
  </rv>
  <rv s="6">
    <fb>177</fb>
    <v>10</v>
  </rv>
  <rv s="6">
    <fb>170.1</fb>
    <v>10</v>
  </rv>
  <rv s="6">
    <fb>171.1</fb>
    <v>10</v>
  </rv>
  <rv s="6">
    <fb>172.8</fb>
    <v>10</v>
  </rv>
  <rv s="6">
    <fb>170.5</fb>
    <v>10</v>
  </rv>
  <rv s="6">
    <fb>168.2</fb>
    <v>10</v>
  </rv>
  <rv s="6">
    <fb>170.3</fb>
    <v>10</v>
  </rv>
  <rv s="6">
    <fb>171.5</fb>
    <v>10</v>
  </rv>
  <rv s="6">
    <fb>174.9</fb>
    <v>10</v>
  </rv>
  <rv s="6">
    <fb>172.4</fb>
    <v>10</v>
  </rv>
  <rv s="6">
    <fb>180</fb>
    <v>10</v>
  </rv>
  <rv s="6">
    <fb>181.2</fb>
    <v>10</v>
  </rv>
  <rv s="6">
    <fb>181</fb>
    <v>10</v>
  </rv>
  <rv s="6">
    <fb>184.8</fb>
    <v>10</v>
  </rv>
  <rv s="6">
    <fb>187.7</fb>
    <v>10</v>
  </rv>
  <rv s="6">
    <fb>186.5</fb>
    <v>10</v>
  </rv>
  <rv s="6">
    <fb>184.4</fb>
    <v>10</v>
  </rv>
  <rv s="6">
    <fb>184</fb>
    <v>10</v>
  </rv>
  <rv s="6">
    <fb>183.1</fb>
    <v>10</v>
  </rv>
  <rv s="6">
    <fb>187.1</fb>
    <v>10</v>
  </rv>
  <rv s="6">
    <fb>188.6</fb>
    <v>10</v>
  </rv>
  <rv s="6">
    <fb>191.15</fb>
    <v>10</v>
  </rv>
  <rv s="6">
    <fb>189.6</fb>
    <v>10</v>
  </rv>
  <rv s="6">
    <fb>187.5</fb>
    <v>10</v>
  </rv>
  <rv s="6">
    <fb>191.05</fb>
    <v>10</v>
  </rv>
  <rv s="6">
    <fb>196.3</fb>
    <v>10</v>
  </rv>
  <rv s="6">
    <fb>195.85</fb>
    <v>10</v>
  </rv>
  <rv s="6">
    <fb>197.2</fb>
    <v>10</v>
  </rv>
  <rv s="6">
    <fb>199.65</fb>
    <v>10</v>
  </rv>
  <rv s="6">
    <fb>202.45</fb>
    <v>10</v>
  </rv>
  <rv s="6">
    <fb>201.1</fb>
    <v>10</v>
  </rv>
  <rv s="6">
    <fb>196.75</fb>
    <v>10</v>
  </rv>
  <rv s="6">
    <fb>195.4</fb>
    <v>10</v>
  </rv>
  <rv s="6">
    <fb>194.4</fb>
    <v>10</v>
  </rv>
  <rv s="6">
    <fb>196.85</fb>
    <v>10</v>
  </rv>
  <rv s="6">
    <fb>201.45</fb>
    <v>10</v>
  </rv>
  <rv s="6">
    <fb>200.2</fb>
    <v>10</v>
  </rv>
  <rv s="6">
    <fb>199.2</fb>
    <v>10</v>
  </rv>
  <rv s="6">
    <fb>203.35</fb>
    <v>10</v>
  </rv>
  <rv s="6">
    <fb>197.75</fb>
    <v>10</v>
  </rv>
  <rv s="6">
    <fb>196.2</fb>
    <v>10</v>
  </rv>
  <rv s="6">
    <fb>198.65</fb>
    <v>10</v>
  </rv>
  <rv s="6">
    <fb>193.85</fb>
    <v>10</v>
  </rv>
  <rv s="6">
    <fb>200.55</fb>
    <v>10</v>
  </rv>
  <rv s="6">
    <fb>202.55</fb>
    <v>10</v>
  </rv>
  <rv s="6">
    <fb>199.55</fb>
    <v>10</v>
  </rv>
  <rv s="6">
    <fb>202.9</fb>
    <v>10</v>
  </rv>
  <rv s="6">
    <fb>204.9</fb>
    <v>10</v>
  </rv>
  <rv s="6">
    <fb>199.1</fb>
    <v>10</v>
  </rv>
  <rv s="6">
    <fb>193.5</fb>
    <v>10</v>
  </rv>
  <rv s="6">
    <fb>212</fb>
    <v>10</v>
  </rv>
  <rv s="6">
    <fb>209.25</fb>
    <v>10</v>
  </rv>
  <rv s="6">
    <fb>207.35</fb>
    <v>10</v>
  </rv>
  <rv s="6">
    <fb>206.7</fb>
    <v>10</v>
  </rv>
  <rv s="6">
    <fb>209.15</fb>
    <v>10</v>
  </rv>
  <rv s="6">
    <fb>207.8</fb>
    <v>10</v>
  </rv>
  <rv s="6">
    <fb>207.25</fb>
    <v>10</v>
  </rv>
  <rv s="6">
    <fb>205.45</fb>
    <v>10</v>
  </rv>
  <rv s="6">
    <fb>207.15</fb>
    <v>10</v>
  </rv>
  <rv s="6">
    <fb>201</fb>
    <v>10</v>
  </rv>
  <rv s="6">
    <fb>204.45</fb>
    <v>10</v>
  </rv>
  <rv s="6">
    <fb>198.1</fb>
    <v>10</v>
  </rv>
  <rv s="6">
    <fb>194.5</fb>
    <v>10</v>
  </rv>
  <rv s="6">
    <fb>192.5</fb>
    <v>10</v>
  </rv>
  <rv s="6">
    <fb>191.5</fb>
    <v>10</v>
  </rv>
  <rv s="6">
    <fb>190.5</fb>
    <v>10</v>
  </rv>
  <rv s="6">
    <fb>195.5</fb>
    <v>10</v>
  </rv>
  <rv s="6">
    <fb>196.5</fb>
    <v>10</v>
  </rv>
  <rv s="6">
    <fb>181.46</fb>
    <v>10</v>
  </rv>
  <rv s="6">
    <fb>172.42</fb>
    <v>10</v>
  </rv>
  <rv s="6">
    <fb>198.85</fb>
    <v>10</v>
  </rv>
  <rv s="6">
    <fb>190.42</fb>
    <v>10</v>
  </rv>
  <rv s="6">
    <fb>198.15</fb>
    <v>10</v>
  </rv>
  <rv s="6">
    <fb>202.52</fb>
    <v>10</v>
  </rv>
  <rv s="6">
    <fb>202.14</fb>
    <v>10</v>
  </rv>
  <rv s="6">
    <fb>194.27</fb>
    <v>10</v>
  </rv>
  <rv s="6">
    <fb>196.98</fb>
    <v>10</v>
  </rv>
  <rv s="6">
    <fb>193.16</fb>
    <v>10</v>
  </rv>
  <rv s="6">
    <fb>199.74</fb>
    <v>10</v>
  </rv>
  <rv s="6">
    <fb>204.6</fb>
    <v>10</v>
  </rv>
  <rv s="6">
    <fb>208.37</fb>
    <v>10</v>
  </rv>
  <rv s="6">
    <fb>209.28</fb>
    <v>10</v>
  </rv>
  <rv s="6">
    <fb>210.14</fb>
    <v>10</v>
  </rv>
  <rv s="6">
    <fb>211.21</fb>
    <v>10</v>
  </rv>
  <rv s="6">
    <fb>212.5</fb>
    <v>10</v>
  </rv>
  <rv s="6">
    <fb>213.32</fb>
    <v>10</v>
  </rv>
  <rv s="6">
    <fb>205.35</fb>
    <v>10</v>
  </rv>
  <rv s="6">
    <fb>198.89</fb>
    <v>10</v>
  </rv>
  <rv s="6">
    <fb>198.51</fb>
    <v>10</v>
  </rv>
  <rv s="6">
    <fb>196.25</fb>
    <v>10</v>
  </rv>
  <rv s="6">
    <fb>197.49</fb>
    <v>10</v>
  </rv>
  <rv s="6">
    <fb>198.53</fb>
    <v>10</v>
  </rv>
  <rv s="6">
    <fb>210.79</fb>
    <v>10</v>
  </rv>
  <rv s="6">
    <fb>212.93</fb>
    <v>10</v>
  </rv>
  <rv s="6">
    <fb>212.33</fb>
    <v>10</v>
  </rv>
  <rv s="6">
    <fb>211.45</fb>
    <v>10</v>
  </rv>
  <rv s="6">
    <fb>211.26</fb>
    <v>10</v>
  </rv>
  <rv s="6">
    <fb>208.78</fb>
    <v>10</v>
  </rv>
  <rv s="6">
    <fb>206.86</fb>
    <v>10</v>
  </rv>
  <rv s="6">
    <fb>202.09</fb>
    <v>10</v>
  </rv>
  <rv s="6">
    <fb>201.36</fb>
    <v>10</v>
  </rv>
  <rv s="6">
    <fb>195.27</fb>
    <v>10</v>
  </rv>
  <rv s="6">
    <fb>200.21</fb>
    <v>10</v>
  </rv>
  <rv s="6">
    <fb>200.42</fb>
    <v>10</v>
  </rv>
  <rv s="6">
    <fb>199.95</fb>
    <v>10</v>
  </rv>
  <rv s="6">
    <fb>200.85</fb>
    <v>10</v>
  </rv>
  <rv s="6">
    <fb>201.7</fb>
    <v>10</v>
  </rv>
  <rv s="6">
    <fb>203.27</fb>
    <v>10</v>
  </rv>
  <rv s="6">
    <fb>202.82</fb>
    <v>10</v>
  </rv>
  <rv s="6">
    <fb>200.63</fb>
    <v>10</v>
  </rv>
  <rv s="6">
    <fb>203.92</fb>
    <v>10</v>
  </rv>
  <rv s="6">
    <fb>202.67</fb>
    <v>10</v>
  </rv>
  <rv s="6">
    <fb>198.78</fb>
    <v>10</v>
  </rv>
  <rv s="6">
    <fb>196.45</fb>
    <v>10</v>
  </rv>
  <rv s="6">
    <fb>198.42</fb>
    <v>10</v>
  </rv>
  <rv s="6">
    <fb>195.64</fb>
    <v>10</v>
  </rv>
  <rv s="6">
    <fb>196.58</fb>
    <v>10</v>
  </rv>
  <rv s="6">
    <fb>201.5</fb>
    <v>10</v>
  </rv>
  <rv s="6">
    <fb>200.3</fb>
    <v>10</v>
  </rv>
  <rv s="6">
    <fb>201.56</fb>
    <v>10</v>
  </rv>
  <rv s="6">
    <fb>201.08</fb>
    <v>10</v>
  </rv>
  <rv s="6">
    <fb>205.17</fb>
    <v>10</v>
  </rv>
  <rv s="6">
    <fb>207.82</fb>
    <v>10</v>
  </rv>
  <rv s="6">
    <fb>212.44</fb>
    <v>10</v>
  </rv>
  <rv s="6">
    <fb>213.55</fb>
    <v>10</v>
  </rv>
  <rv s="6">
    <fb>209.95</fb>
    <v>10</v>
  </rv>
  <rv s="6">
    <fb>210.01</fb>
    <v>10</v>
  </rv>
  <rv s="6">
    <fb>211.14</fb>
    <v>10</v>
  </rv>
  <rv s="6">
    <fb>212.41</fb>
    <v>10</v>
  </rv>
  <rv s="6">
    <fb>211.16</fb>
    <v>10</v>
  </rv>
  <rv s="6">
    <fb>208.62</fb>
    <v>10</v>
  </rv>
  <rv s="6">
    <fb>209.11</fb>
    <v>10</v>
  </rv>
  <rv s="6">
    <fb>210.16</fb>
    <v>10</v>
  </rv>
  <rv s="6">
    <fb>210.02</fb>
    <v>10</v>
  </rv>
  <rv s="6">
    <fb>211.18</fb>
    <v>10</v>
  </rv>
  <rv s="6">
    <fb>212.48</fb>
    <v>10</v>
  </rv>
  <rv s="6">
    <fb>214.4</fb>
    <v>10</v>
  </rv>
  <rv s="6">
    <fb>214.15</fb>
    <v>10</v>
  </rv>
  <rv s="6">
    <fb>213.76</fb>
    <v>10</v>
  </rv>
  <rv s="6">
    <fb>213.88</fb>
    <v>10</v>
  </rv>
  <rv s="6">
    <fb>214.05</fb>
    <v>10</v>
  </rv>
  <rv s="6">
    <fb>211.27</fb>
    <v>10</v>
  </rv>
  <rv s="6">
    <fb>209.05</fb>
    <v>10</v>
  </rv>
  <rv s="6">
    <fb>207.57</fb>
    <v>10</v>
  </rv>
  <rv s="6">
    <fb>202.38</fb>
    <v>10</v>
  </rv>
  <rv s="6">
    <fb>202.92</fb>
    <v>10</v>
  </rv>
  <rv s="6">
    <fb>213.25</fb>
    <v>10</v>
  </rv>
  <rv s="6">
    <fb>220.03</fb>
    <v>10</v>
  </rv>
  <rv s="6">
    <fb>229.35</fb>
    <v>10</v>
  </rv>
  <rv s="6">
    <fb>227.18</fb>
    <v>10</v>
  </rv>
  <rv s="6">
    <fb>229.65</fb>
    <v>10</v>
  </rv>
  <rv s="6">
    <fb>233.33</fb>
    <v>10</v>
  </rv>
  <rv s="6">
    <fb>232.78</fb>
    <v>10</v>
  </rv>
  <rv s="6">
    <fb>231.59</fb>
    <v>10</v>
  </rv>
  <rv s="6">
    <fb>230.89</fb>
    <v>10</v>
  </rv>
  <rv s="6">
    <fb>230.56</fb>
    <v>10</v>
  </rv>
  <rv s="6">
    <fb>226.01</fb>
    <v>10</v>
  </rv>
  <rv s="6">
    <fb>224.9</fb>
    <v>10</v>
  </rv>
  <rv s="6">
    <fb>227.76</fb>
    <v>10</v>
  </rv>
  <rv s="6">
    <fb>227.16</fb>
    <v>10</v>
  </rv>
  <rv s="6">
    <fb>229.31</fb>
    <v>10</v>
  </rv>
  <rv s="6">
    <fb>230.49</fb>
    <v>10</v>
  </rv>
  <rv s="6">
    <fb>232.56</fb>
    <v>10</v>
  </rv>
  <rv s="6">
    <fb>232.14</fb>
    <v>10</v>
  </rv>
  <rv s="6">
    <fb>229.72</fb>
    <v>10</v>
  </rv>
  <rv s="6">
    <fb>238.47</fb>
    <v>10</v>
  </rv>
  <rv s="6">
    <fb>239.78</fb>
    <v>10</v>
  </rv>
  <rv s="6">
    <fb>239.69</fb>
    <v>10</v>
  </rv>
  <rv s="6">
    <fb>237.88</fb>
    <v>10</v>
  </rv>
  <rv s="6">
    <fb>234.35</fb>
    <v>10</v>
  </rv>
  <rv s="6">
    <fb>226.79</fb>
    <v>10</v>
  </rv>
  <rv s="6">
    <fb>230.03</fb>
    <v>10</v>
  </rv>
  <rv s="6">
    <fb>234.07</fb>
    <v>10</v>
  </rv>
  <rv s="6">
    <fb>236.7</fb>
    <v>10</v>
  </rv>
  <rv s="6">
    <fb>238.15</fb>
    <v>10</v>
  </rv>
  <rv s="6">
    <fb>238.99</fb>
    <v>10</v>
  </rv>
  <rv s="6">
    <fb>245.5</fb>
    <v>10</v>
  </rv>
  <rv s="6">
    <fb>256.08</fb>
    <v>10</v>
  </rv>
  <rv s="6">
    <fb>254.43</fb>
    <v>10</v>
  </rv>
  <rv s="6">
    <fb>252.31</fb>
    <v>10</v>
  </rv>
  <rv s="6">
    <fb>256.87</fb>
    <v>10</v>
  </rv>
  <rv s="6">
    <fb>255.46</fb>
    <v>10</v>
  </rv>
  <rv s="6">
    <fb>254.63</fb>
    <v>10</v>
  </rv>
  <rv s="6">
    <fb>255.45</fb>
    <v>10</v>
  </rv>
  <rv s="6">
    <fb>257.13</fb>
    <v>10</v>
  </rv>
  <rv s="6">
    <fb>258.02</fb>
    <v>10</v>
  </rv>
  <rv s="6">
    <fb>256.69</fb>
    <v>10</v>
  </rv>
  <rv s="6">
    <fb>256.48</fb>
    <v>10</v>
  </rv>
  <rv s="6">
    <fb>258.06</fb>
    <v>10</v>
  </rv>
  <rv s="6">
    <fb>254.04</fb>
    <v>10</v>
  </rv>
  <rv s="6">
    <fb>245.27</fb>
    <v>10</v>
  </rv>
  <rv s="6">
    <fb>247.66</fb>
    <v>10</v>
  </rv>
  <rv s="6">
    <fb>247.77</fb>
    <v>10</v>
  </rv>
  <rv s="6">
    <fb>249.34</fb>
    <v>10</v>
  </rv>
  <rv s="6">
    <fb>247.45</fb>
    <v>10</v>
  </rv>
  <rv s="6">
    <fb>252.29</fb>
    <v>10</v>
  </rv>
  <rv s="6">
    <fb>262.24</fb>
    <v>10</v>
  </rv>
  <rv s="6">
    <fb>262.77</fb>
    <v>10</v>
  </rv>
  <rv s="6">
    <fb>258.45</fb>
    <v>10</v>
  </rv>
  <rv s="6">
    <fb>259.58</fb>
    <v>10</v>
  </rv>
  <rv s="6">
    <fb>262.82</fb>
    <v>10</v>
  </rv>
  <rv s="6">
    <fb>268.81</fb>
    <v>10</v>
  </rv>
  <rv s="6">
    <fb>269</fb>
    <v>10</v>
  </rv>
  <rv s="6">
    <fb>269.7</fb>
    <v>10</v>
  </rv>
  <rv s="6">
    <fb>271.39999999999998</fb>
    <v>10</v>
  </rv>
  <rv s="6">
    <fb>270.37</fb>
    <v>10</v>
  </rv>
  <rv s="6">
    <fb>269.05</fb>
    <v>10</v>
  </rv>
  <rv s="6">
    <fb>270.04000000000002</fb>
    <v>10</v>
  </rv>
  <rv s="6">
    <fb>270.14</fb>
    <v>10</v>
  </rv>
  <rv s="6">
    <fb>269.77</fb>
    <v>10</v>
  </rv>
  <rv s="6">
    <fb>268.47000000000003</fb>
    <v>10</v>
  </rv>
  <rv s="6">
    <fb>269.43</fb>
    <v>10</v>
  </rv>
  <rv s="6">
    <fb>275.25</fb>
    <v>10</v>
  </rv>
  <rv s="6">
    <fb>273.47000000000003</fb>
    <v>10</v>
  </rv>
  <rv s="6">
    <fb>272.95</fb>
    <v>10</v>
  </rv>
  <rv s="6">
    <fb>272.41000000000003</fb>
    <v>10</v>
  </rv>
  <rv s="6">
    <fb>267.45999999999998</fb>
    <v>10</v>
  </rv>
  <rv s="6">
    <fb>267.44</fb>
    <v>10</v>
  </rv>
  <rv s="6">
    <fb>268.56</fb>
    <v>10</v>
  </rv>
  <rv s="6">
    <fb>266.25</fb>
    <v>10</v>
  </rv>
  <rv s="6">
    <fb>271.49</fb>
    <v>10</v>
  </rv>
  <rv s="6">
    <fb>275.92</fb>
    <v>10</v>
  </rv>
  <rv s="6">
    <fb>276.97000000000003</fb>
    <v>10</v>
  </rv>
  <rv s="6">
    <fb>277.55</fb>
    <v>10</v>
  </rv>
  <rv s="6">
    <fb>278.85000000000002</fb>
    <v>10</v>
  </rv>
  <rv s="6">
    <fb>283.10000000000002</fb>
    <v>10</v>
  </rv>
  <rv s="6">
    <fb>286.19</fb>
    <v>10</v>
  </rv>
  <rv s="6">
    <fb>284.14999999999998</fb>
    <v>10</v>
  </rv>
  <rv s="6">
    <fb>280.7</fb>
    <v>10</v>
  </rv>
  <rv s="6">
    <fb>278.77999999999997</fb>
    <v>10</v>
  </rv>
  <rv s="6">
    <fb>277.89</fb>
    <v>10</v>
  </rv>
  <rv s="6">
    <fb>277.18</fb>
    <v>10</v>
  </rv>
  <rv s="6">
    <fb>278.02999999999997</fb>
    <v>10</v>
  </rv>
  <rv s="6">
    <fb>278.27999999999997</fb>
    <v>10</v>
  </rv>
  <rv s="6">
    <fb>274.11</fb>
    <v>10</v>
  </rv>
  <rv s="6">
    <fb>274.61</fb>
    <v>10</v>
  </rv>
  <rv s="6">
    <fb>271.83999999999997</fb>
    <v>10</v>
  </rv>
  <rv s="6">
    <fb>272.19</fb>
    <v>10</v>
  </rv>
  <rv s="6">
    <fb>273.67</fb>
    <v>10</v>
  </rv>
  <rv s="6">
    <fb>270.97000000000003</fb>
    <v>10</v>
  </rv>
  <rv s="6">
    <fb>272.36</fb>
    <v>10</v>
  </rv>
  <rv s="6">
    <fb>273.81</fb>
    <v>10</v>
  </rv>
  <rv s="6">
    <fb>273.39999999999998</fb>
    <v>10</v>
  </rv>
  <rv s="6">
    <fb>273.76</fb>
    <v>10</v>
  </rv>
  <rv s="6">
    <fb>273.08</fb>
    <v>10</v>
  </rv>
  <rv s="6">
    <fb>271.86</fb>
    <v>10</v>
  </rv>
  <rv s="6">
    <fb>271.01</fb>
    <v>10</v>
  </rv>
  <rv s="6">
    <fb>267.26</fb>
    <v>10</v>
  </rv>
  <rv s="6">
    <fb>262.36</fb>
    <v>10</v>
  </rv>
  <rv s="6">
    <fb>260.33</fb>
    <v>10</v>
  </rv>
  <rv s="6">
    <fb>259.04000000000002</fb>
    <v>10</v>
  </rv>
  <rv s="6">
    <fb>259.37</fb>
    <v>10</v>
  </rv>
  <rv s="6">
    <fb>260.25</fb>
    <v>10</v>
  </rv>
  <rv s="6">
    <fb>261.05</fb>
    <v>10</v>
  </rv>
  <rv s="6">
    <fb>259.95999999999998</fb>
    <v>10</v>
  </rv>
  <rv s="6">
    <fb>258.20999999999998</fb>
    <v>10</v>
  </rv>
  <rv s="6">
    <fb>255.53</fb>
    <v>10</v>
  </rv>
  <rv s="6">
    <fb>246.7</fb>
    <v>10</v>
  </rv>
  <rv s="6">
    <fb>247.65</fb>
    <v>10</v>
  </rv>
  <rv s="6">
    <fb>248.35</fb>
    <v>10</v>
  </rv>
  <rv s="6">
    <fb>248.04</fb>
    <v>10</v>
  </rv>
  <rv s="6">
    <fb>255.41</fb>
    <v>10</v>
  </rv>
  <rv s="6">
    <fb>258.27</fb>
    <v>10</v>
  </rv>
  <rv s="6">
    <fb>256.44</fb>
    <v>10</v>
  </rv>
  <rv s="6">
    <fb>258.27999999999997</fb>
    <v>10</v>
  </rv>
  <rv s="6">
    <fb>259.48</fb>
    <v>10</v>
  </rv>
  <rv s="6">
    <fb>270.01</fb>
    <v>10</v>
  </rv>
  <rv s="6">
    <fb>269.48</fb>
    <v>10</v>
  </rv>
  <rv s="6">
    <fb>276.49</fb>
    <v>10</v>
  </rv>
  <rv s="6">
    <fb>275.91000000000003</fb>
    <v>10</v>
  </rv>
  <rv s="6">
    <fb>278.12</fb>
    <v>10</v>
  </rv>
  <rv s="6">
    <fb>274.62</fb>
    <v>10</v>
  </rv>
  <rv s="6">
    <fb>273.68</fb>
    <v>10</v>
  </rv>
  <rv s="6">
    <fb>275.5</fb>
    <v>10</v>
  </rv>
  <rv s="6">
    <fb>261.73</fb>
    <v>10</v>
  </rv>
  <rv s="6">
    <fb>255.78</fb>
    <v>10</v>
  </rv>
  <rv s="6">
    <fb>263.88</fb>
    <v>10</v>
  </rv>
  <rv s="6">
    <fb>264.35000000000002</fb>
    <v>10</v>
  </rv>
  <rv s="6">
    <fb>260.58</fb>
    <v>10</v>
  </rv>
  <rv s="6">
    <fb>264.58</fb>
    <v>10</v>
  </rv>
  <rv s="6">
    <fb>266.18</fb>
    <v>10</v>
  </rv>
  <rv s="6">
    <fb>272.14</fb>
    <v>10</v>
  </rv>
  <rv s="6">
    <fb>274.23</fb>
    <v>10</v>
  </rv>
  <rv s="6">
    <fb>264.18</fb>
    <v>10</v>
  </rv>
  <rv s="6">
    <fb>264.72000000000003</fb>
    <v>10</v>
  </rv>
  <rv s="6">
    <fb>263.75</fb>
    <v>10</v>
  </rv>
  <rv s="6">
    <fb>262.52</fb>
    <v>10</v>
  </rv>
  <rv s="6">
    <fb>260.29000000000002</fb>
    <v>10</v>
  </rv>
  <rv s="6">
    <fb>257.45999999999998</fb>
    <v>10</v>
  </rv>
  <rv s="6">
    <fb>259.88</fb>
    <v>10</v>
  </rv>
  <rv s="6">
    <fb>260.83</fb>
    <v>10</v>
  </rv>
  <rv s="6">
    <fb>260.81</fb>
    <v>10</v>
  </rv>
  <rv s="6">
    <fb>255.76</fb>
    <v>10</v>
  </rv>
  <rv s="6">
    <fb>250.12</fb>
    <v>10</v>
  </rv>
  <rv s="6">
    <fb>252.82</fb>
    <v>10</v>
  </rv>
  <rv s="6">
    <fb>254.23</fb>
    <v>10</v>
  </rv>
  <rv s="6">
    <fb>249.94</fb>
    <v>10</v>
  </rv>
  <rv s="6">
    <fb>248.96</fb>
    <v>10</v>
  </rv>
  <rv s="6">
    <fb>247.99</fb>
    <v>10</v>
  </rv>
  <rv s="6">
    <fb>251.49</fb>
    <v>10</v>
  </rv>
  <rv s="6">
    <fb>251.64</fb>
    <v>10</v>
  </rv>
  <rv s="6">
    <fb>252.62</fb>
    <v>10</v>
  </rv>
  <rv s="6">
    <fb>252.89</fb>
    <v>10</v>
  </rv>
  <rv s="6">
    <fb>248.8</fb>
    <v>10</v>
  </rv>
  <rv s="6">
    <fb>246.63</fb>
    <v>10</v>
  </rv>
  <rv s="6">
    <fb>253.79</fb>
    <v>10</v>
  </rv>
  <rv s="6">
    <fb>255.63</fb>
    <v>10</v>
  </rv>
  <rv s="6">
    <fb>255.92</fb>
    <v>10</v>
  </rv>
  <rv s="6">
    <fb>83.64</fb>
    <v>10</v>
  </rv>
  <rv s="6">
    <fb>78.209999999999994</fb>
    <v>10</v>
  </rv>
  <rv s="6">
    <fb>96.84</fb>
    <v>10</v>
  </rv>
  <rv s="6">
    <fb>88.7</fb>
    <v>10</v>
  </rv>
  <rv s="6">
    <fb>93.4</fb>
    <v>10</v>
  </rv>
  <rv s="6">
    <fb>94.5</fb>
    <v>10</v>
  </rv>
  <rv s="6">
    <fb>95.29</fb>
    <v>10</v>
  </rv>
  <rv s="6">
    <fb>88.29</fb>
    <v>10</v>
  </rv>
  <rv s="6">
    <fb>87.5</fb>
    <v>10</v>
  </rv>
  <rv s="6">
    <fb>85.56</fb>
    <v>10</v>
  </rv>
  <rv s="6">
    <fb>86.26</fb>
    <v>10</v>
  </rv>
  <rv s="6">
    <fb>90.39</fb>
    <v>10</v>
  </rv>
  <rv s="6">
    <fb>94.47</fb>
    <v>10</v>
  </rv>
  <rv s="6">
    <fb>96.644999999999996</fb>
    <v>10</v>
  </rv>
  <rv s="6">
    <fb>96.39</fb>
    <v>10</v>
  </rv>
  <rv s="6">
    <fb>96.06</fb>
    <v>10</v>
  </rv>
  <rv s="6">
    <fb>97.35</fb>
    <v>10</v>
  </rv>
  <rv s="6">
    <fb>96.65</fb>
    <v>10</v>
  </rv>
  <rv s="6">
    <fb>98.8</fb>
    <v>10</v>
  </rv>
  <rv s="6">
    <fb>100.59</fb>
    <v>10</v>
  </rv>
  <rv s="6">
    <fb>98.62</fb>
    <v>10</v>
  </rv>
  <rv s="6">
    <fb>100.36</fb>
    <v>10</v>
  </rv>
  <rv s="6">
    <fb>101.7</fb>
    <v>10</v>
  </rv>
  <rv s="6">
    <fb>102.84</fb>
    <v>10</v>
  </rv>
  <rv s="6">
    <fb>108.12</fb>
    <v>10</v>
  </rv>
  <rv s="6">
    <fb>112.46</fb>
    <v>10</v>
  </rv>
  <rv s="6">
    <fb>117.72</fb>
    <v>10</v>
  </rv>
  <rv s="6">
    <fb>114.99</fb>
    <v>10</v>
  </rv>
  <rv s="6">
    <fb>117.17</fb>
    <v>10</v>
  </rv>
  <rv s="6">
    <fb>114.74</fb>
    <v>10</v>
  </rv>
  <rv s="6">
    <fb>113.51</fb>
    <v>10</v>
  </rv>
  <rv s="6">
    <fb>112.06</fb>
    <v>10</v>
  </rv>
  <rv s="6">
    <fb>110.71</fb>
    <v>10</v>
  </rv>
  <rv s="6">
    <fb>110.31</fb>
    <v>10</v>
  </rv>
  <rv s="6">
    <fb>114.56</fb>
    <v>10</v>
  </rv>
  <rv s="6">
    <fb>112.86</fb>
    <v>10</v>
  </rv>
  <rv s="6">
    <fb>113.03</fb>
    <v>10</v>
  </rv>
  <rv s="6">
    <fb>110.73</fb>
    <v>10</v>
  </rv>
  <rv s="6">
    <fb>114.63</fb>
    <v>10</v>
  </rv>
  <rv s="6">
    <fb>117.31</fb>
    <v>10</v>
  </rv>
  <rv s="6">
    <fb>118.58</fb>
    <v>10</v>
  </rv>
  <rv s="6">
    <fb>115.69</fb>
    <v>10</v>
  </rv>
  <rv s="6">
    <fb>116.19</fb>
    <v>10</v>
  </rv>
  <rv s="6">
    <fb>121.73</fb>
    <v>10</v>
  </rv>
  <rv s="6">
    <fb>123.24</fb>
    <v>10</v>
  </rv>
  <rv s="6">
    <fb>121.14</fb>
    <v>10</v>
  </rv>
  <rv s="6">
    <fb>118.5</fb>
    <v>10</v>
  </rv>
  <rv s="6">
    <fb>116.16</fb>
    <v>10</v>
  </rv>
  <rv s="6">
    <fb>126.39</fb>
    <v>10</v>
  </rv>
  <rv s="6">
    <fb>127.1</fb>
    <v>10</v>
  </rv>
  <rv s="6">
    <fb>126.79</fb>
    <v>10</v>
  </rv>
  <rv s="6">
    <fb>128.24</fb>
    <v>10</v>
  </rv>
  <rv s="6">
    <fb>129.58000000000001</fb>
    <v>10</v>
  </rv>
  <rv s="6">
    <fb>138.43</fb>
    <v>10</v>
  </rv>
  <rv s="6">
    <fb>143.4</fb>
    <v>10</v>
  </rv>
  <rv s="6">
    <fb>143.68</fb>
    <v>10</v>
  </rv>
  <rv s="6">
    <fb>143.81</fb>
    <v>10</v>
  </rv>
  <rv s="6">
    <fb>141.9</fb>
    <v>10</v>
  </rv>
  <rv s="6">
    <fb>136.11000000000001</fb>
    <v>10</v>
  </rv>
  <rv s="6">
    <fb>138.52000000000001</fb>
    <v>10</v>
  </rv>
  <rv s="6">
    <fb>137.91</fb>
    <v>10</v>
  </rv>
  <rv s="6">
    <fb>134.80000000000001</fb>
    <v>10</v>
  </rv>
  <rv s="6">
    <fb>137.82</fb>
    <v>10</v>
  </rv>
  <rv s="6">
    <fb>138.41</fb>
    <v>10</v>
  </rv>
  <rv s="6">
    <fb>144.16</fb>
    <v>10</v>
  </rv>
  <rv s="6">
    <fb>146.41999999999999</fb>
    <v>10</v>
  </rv>
  <rv s="6">
    <fb>146.24</fb>
    <v>10</v>
  </rv>
  <rv s="6">
    <fb>155.61000000000001</fb>
    <v>10</v>
  </rv>
  <rv s="6">
    <fb>160.08000000000001</fb>
    <v>10</v>
  </rv>
  <rv s="6">
    <fb>160.41</fb>
    <v>10</v>
  </rv>
  <rv s="6">
    <fb>156.99</fb>
    <v>10</v>
  </rv>
  <rv s="6">
    <fb>154.72</fb>
    <v>10</v>
  </rv>
  <rv s="6">
    <fb>158.65</fb>
    <v>10</v>
  </rv>
  <rv s="6">
    <fb>162.12</fb>
    <v>10</v>
  </rv>
  <rv s="6">
    <fb>166.47</fb>
    <v>10</v>
  </rv>
  <rv s="6">
    <fb>173.66</fb>
    <v>10</v>
  </rv>
  <rv s="6">
    <fb>177.44</fb>
    <v>10</v>
  </rv>
  <rv s="6">
    <fb>179.51</fb>
    <v>10</v>
  </rv>
  <rv s="6">
    <fb>176.31</fb>
    <v>10</v>
  </rv>
  <rv s="6">
    <fb>171.7</fb>
    <v>10</v>
  </rv>
  <rv s="6">
    <fb>176.78</fb>
    <v>10</v>
  </rv>
  <rv s="6">
    <fb>174.31</fb>
    <v>10</v>
  </rv>
  <rv s="6">
    <fb>163.12</fb>
    <v>10</v>
  </rv>
  <rv s="6">
    <fb>172.76</fb>
    <v>10</v>
  </rv>
  <rv s="6">
    <fb>172.28</fb>
    <v>10</v>
  </rv>
  <rv s="6">
    <fb>174.95</fb>
    <v>10</v>
  </rv>
  <rv s="6">
    <fb>184.42</fb>
    <v>10</v>
  </rv>
  <rv s="6">
    <fb>180.95</fb>
    <v>10</v>
  </rv>
  <rv s="6">
    <fb>177.51</fb>
    <v>10</v>
  </rv>
  <rv s="6">
    <fb>176.14</fb>
    <v>10</v>
  </rv>
  <rv s="6">
    <fb>166.55</fb>
    <v>10</v>
  </rv>
  <rv s="6">
    <fb>165.2</fb>
    <v>10</v>
  </rv>
  <rv s="6">
    <fb>163.71</fb>
    <v>10</v>
  </rv>
  <rv s="6">
    <fb>167.76</fb>
    <v>10</v>
  </rv>
  <rv s="6">
    <fb>163.36000000000001</fb>
    <v>10</v>
  </rv>
  <rv s="6">
    <fb>166.62</fb>
    <v>10</v>
  </rv>
  <rv s="6">
    <fb>167.13</fb>
    <v>10</v>
  </rv>
  <rv s="6">
    <fb>168.58</fb>
    <v>10</v>
  </rv>
  <rv s="6">
    <fb>162.63</fb>
    <v>10</v>
  </rv>
  <rv s="6">
    <fb>162.32</fb>
    <v>10</v>
  </rv>
  <rv s="6">
    <fb>162.13</fb>
    <v>10</v>
  </rv>
  <rv s="6">
    <fb>161.79</fb>
    <v>10</v>
  </rv>
  <rv s="6">
    <fb>151.13999999999999</fb>
    <v>10</v>
  </rv>
  <rv s="6">
    <fb>151.41</fb>
    <v>10</v>
  </rv>
  <rv s="6">
    <fb>155.82</fb>
    <v>10</v>
  </rv>
  <rv s="6">
    <fb>159.54</fb>
    <v>10</v>
  </rv>
  <rv s="6">
    <fb>155.66999999999999</fb>
    <v>10</v>
  </rv>
  <rv s="6">
    <fb>158.57</fb>
    <v>10</v>
  </rv>
  <rv s="6">
    <fb>161.16</fb>
    <v>10</v>
  </rv>
  <rv s="6">
    <fb>160.46</fb>
    <v>10</v>
  </rv>
  <rv s="6">
    <fb>159.16</fb>
    <v>10</v>
  </rv>
  <rv s="6">
    <fb>157.91999999999999</fb>
    <v>10</v>
  </rv>
  <rv s="6">
    <fb>157.38999999999999</fb>
    <v>10</v>
  </rv>
  <rv s="6">
    <fb>159.79</fb>
    <v>10</v>
  </rv>
  <rv s="6">
    <fb>160.9</fb>
    <v>10</v>
  </rv>
  <rv s="6">
    <fb>160.88</fb>
    <v>10</v>
  </rv>
  <rv s="6">
    <fb>161.27000000000001</fb>
    <v>10</v>
  </rv>
  <rv s="6">
    <fb>159.46</fb>
    <v>10</v>
  </rv>
  <rv s="6">
    <fb>161.36000000000001</fb>
    <v>10</v>
  </rv>
  <rv s="6">
    <fb>164.01</fb>
    <v>10</v>
  </rv>
  <rv s="6">
    <fb>169.73</fb>
    <v>10</v>
  </rv>
  <rv s="6">
    <fb>164.67</fb>
    <v>10</v>
  </rv>
  <rv s="6">
    <fb>203.71</fb>
    <v>10</v>
  </rv>
  <rv s="6">
    <fb>211.51</fb>
    <v>10</v>
  </rv>
  <rv s="6">
    <fb>235.56</fb>
    <v>10</v>
  </rv>
  <rv s="6">
    <fb>232.89</fb>
    <v>10</v>
  </rv>
  <rv s="6">
    <fb>214.9</fb>
    <v>10</v>
  </rv>
  <rv s="6">
    <fb>216.42</fb>
    <v>10</v>
  </rv>
  <rv s="6">
    <fb>218.09</fb>
    <v>10</v>
  </rv>
  <rv s="6">
    <fb>238.6</fb>
    <v>10</v>
  </rv>
  <rv s="6">
    <fb>234.56</fb>
    <v>10</v>
  </rv>
  <rv s="6">
    <fb>233.08</fb>
    <v>10</v>
  </rv>
  <rv s="6">
    <fb>240.56</fb>
    <v>10</v>
  </rv>
  <rv s="6">
    <fb>238.03</fb>
    <v>10</v>
  </rv>
  <rv s="6">
    <fb>230.23</fb>
    <v>10</v>
  </rv>
  <rv s="6">
    <fb>234.99</fb>
    <v>10</v>
  </rv>
  <rv s="6">
    <fb>252.92</fb>
    <v>10</v>
  </rv>
  <rv s="6">
    <fb>259.67</fb>
    <v>10</v>
  </rv>
  <rv s="6">
    <fb>258.01</fb>
    <v>10</v>
  </rv>
  <rv s="6">
    <fb>264.33</fb>
    <v>10</v>
  </rv>
  <rv s="6">
    <fb>254.84</fb>
    <v>10</v>
  </rv>
  <rv s="6">
    <fb>256.12</fb>
    <v>10</v>
  </rv>
  <rv s="6">
    <fb>259.64999999999998</fb>
    <v>10</v>
  </rv>
  <rv s="6">
    <fb>250.05</fb>
    <v>10</v>
  </rv>
  <rv s="6">
    <fb>256.33</fb>
    <v>10</v>
  </rv>
  <rv s="6">
    <fb>237.7</fb>
    <v>10</v>
  </rv>
  <rv s="6">
    <fb>233.54</fb>
    <v>10</v>
  </rv>
  <rv s="6">
    <fb>243.98</fb>
    <v>10</v>
  </rv>
  <rv s="6">
    <fb>237.52</fb>
    <v>10</v>
  </rv>
  <rv s="6">
    <fb>258.89</fb>
    <v>10</v>
  </rv>
  <rv s="6">
    <fb>247.96</fb>
    <v>10</v>
  </rv>
  <rv s="6">
    <fb>246.81</fb>
    <v>10</v>
  </rv>
  <rv s="6">
    <fb>240.52</fb>
    <v>10</v>
  </rv>
  <rv s="6">
    <fb>230.29</fb>
    <v>10</v>
  </rv>
  <rv s="6">
    <fb>223.55</fb>
    <v>10</v>
  </rv>
  <rv s="6">
    <fb>206.02</fb>
    <v>10</v>
  </rv>
  <rv s="6">
    <fb>203.78</fb>
    <v>10</v>
  </rv>
  <rv s="6">
    <fb>215.05</fb>
    <v>10</v>
  </rv>
  <rv s="6">
    <fb>206.13</fb>
    <v>10</v>
  </rv>
  <rv s="6">
    <fb>214.24</fb>
    <v>10</v>
  </rv>
  <rv s="6">
    <fb>217.53</fb>
    <v>10</v>
  </rv>
  <rv s="6">
    <fb>219.76</fb>
    <v>10</v>
  </rv>
  <rv s="6">
    <fb>215.24</fb>
    <v>10</v>
  </rv>
  <rv s="6">
    <fb>217.6</fb>
    <v>10</v>
  </rv>
  <rv s="6">
    <fb>215.98</fb>
    <v>10</v>
  </rv>
  <rv s="6">
    <fb>217.97</fb>
    <v>10</v>
  </rv>
  <rv s="6">
    <fb>221.11</fb>
    <v>10</v>
  </rv>
  <rv s="6">
    <fb>221.62</fb>
    <v>10</v>
  </rv>
  <rv s="6">
    <fb>221.42</fb>
    <v>10</v>
  </rv>
  <rv s="6">
    <fb>221.43</fb>
    <v>10</v>
  </rv>
  <rv s="6">
    <fb>210.78</fb>
    <v>10</v>
  </rv>
  <rv s="6">
    <fb>207.58</fb>
    <v>10</v>
  </rv>
  <rv s="6">
    <fb>209.17</fb>
    <v>10</v>
  </rv>
  <rv s="6">
    <fb>198.11</fb>
    <v>10</v>
  </rv>
  <rv s="6">
    <fb>201.06</fb>
    <v>10</v>
  </rv>
  <rv s="6">
    <fb>213.43</fb>
    <v>10</v>
  </rv>
  <rv s="6">
    <fb>214.95</fb>
    <v>10</v>
  </rv>
  <rv s="6">
    <fb>215.04</fb>
    <v>10</v>
  </rv>
  <rv s="6">
    <fb>214.99</fb>
    <v>10</v>
  </rv>
  <rv s="6">
    <fb>215.61</fb>
    <v>10</v>
  </rv>
  <rv s="6">
    <fb>215.34</fb>
    <v>10</v>
  </rv>
  <rv s="6">
    <fb>214.16</fb>
    <v>10</v>
  </rv>
  <rv s="6">
    <fb>223.47</fb>
    <v>10</v>
  </rv>
  <rv s="6">
    <fb>221.08</fb>
    <v>10</v>
  </rv>
  <rv s="6">
    <fb>214.35</fb>
    <v>10</v>
  </rv>
  <rv s="6">
    <fb>204.68</fb>
    <v>10</v>
  </rv>
  <rv s="6">
    <fb>203.17</fb>
    <v>10</v>
  </rv>
  <rv s="6">
    <fb>207.69</fb>
    <v>10</v>
  </rv>
  <rv s="6">
    <fb>220.97</fb>
    <v>10</v>
  </rv>
  <rv s="6">
    <fb>223.6</fb>
    <v>10</v>
  </rv>
  <rv s="6">
    <fb>227.92</fb>
    <v>10</v>
  </rv>
  <rv s="6">
    <fb>231.83</fb>
    <v>10</v>
  </rv>
  <rv s="6">
    <fb>231.92</fb>
    <v>10</v>
  </rv>
  <rv s="6">
    <fb>249.8</fb>
    <v>10</v>
  </rv>
  <rv s="6">
    <fb>253.73</fb>
    <v>10</v>
  </rv>
  <rv s="6">
    <fb>259.68</fb>
    <v>10</v>
  </rv>
  <rv s="6">
    <fb>251.31</fb>
    <v>10</v>
  </rv>
  <rv s="6">
    <fb>252.03</fb>
    <v>10</v>
  </rv>
  <rv s="6">
    <fb>252.74</fb>
    <v>10</v>
  </rv>
  <rv s="6">
    <fb>252.18</fb>
    <v>10</v>
  </rv>
  <rv s="6">
    <fb>236.73</fb>
    <v>10</v>
  </rv>
  <rv s="6">
    <fb>246.27</fb>
    <v>10</v>
  </rv>
  <rv s="6">
    <fb>242.11</fb>
    <v>10</v>
  </rv>
  <rv s="6">
    <fb>200.19</fb>
    <v>10</v>
  </rv>
  <rv s="6">
    <fb>208.44</fb>
    <v>10</v>
  </rv>
  <rv s="6">
    <fb>216</fb>
    <v>10</v>
  </rv>
  <rv s="6">
    <fb>213.57</fb>
    <v>10</v>
  </rv>
  <rv s="6">
    <fb>213.58</fb>
    <v>10</v>
  </rv>
  <rv s="6">
    <fb>205.94</fb>
    <v>10</v>
  </rv>
  <rv s="6">
    <fb>207.32</fb>
    <v>10</v>
  </rv>
  <rv s="6">
    <fb>203.08</fb>
    <v>10</v>
  </rv>
  <rv s="6">
    <fb>200.12</fb>
    <v>10</v>
  </rv>
  <rv s="6">
    <fb>203.37</fb>
    <v>10</v>
  </rv>
  <rv s="6">
    <fb>200.15</fb>
    <v>10</v>
  </rv>
  <rv s="6">
    <fb>196.6</fb>
    <v>10</v>
  </rv>
  <rv s="6">
    <fb>213.84</fb>
    <v>10</v>
  </rv>
  <rv s="6">
    <fb>210.86</fb>
    <v>10</v>
  </rv>
  <rv s="6">
    <fb>203.68</fb>
    <v>10</v>
  </rv>
  <rv s="6">
    <fb>198.62</fb>
    <v>10</v>
  </rv>
  <rv s="6">
    <fb>190.95</fb>
    <v>10</v>
  </rv>
  <rv s="6">
    <fb>202.07</fb>
    <v>10</v>
  </rv>
  <rv s="6">
    <fb>199.45</fb>
    <v>10</v>
  </rv>
  <rv s="6">
    <fb>192.43</fb>
    <v>10</v>
  </rv>
  <rv s="6">
    <fb>202.68</fb>
    <v>10</v>
  </rv>
  <rv s="6">
    <fb>203.23</fb>
    <v>10</v>
  </rv>
  <rv s="6">
    <fb>204.83</fb>
    <v>10</v>
  </rv>
  <rv s="6">
    <fb>197.74</fb>
    <v>10</v>
  </rv>
  <rv s="6">
    <fb>193.39</fb>
    <v>10</v>
  </rv>
  <rv s="6">
    <fb>196.31</fb>
    <v>10</v>
  </rv>
  <rv s="6">
    <fb>199.46</fb>
    <v>10</v>
  </rv>
  <rv s="6">
    <fb>205.27</fb>
    <v>10</v>
  </rv>
  <rv s="6">
    <fb>201.33</fb>
    <v>10</v>
  </rv>
  <rv s="6">
    <fb>205.37</fb>
    <v>10</v>
  </rv>
  <rv s="6">
    <fb>220.27</fb>
    <v>10</v>
  </rv>
  <rv s="6">
    <fb>203.77</fb>
    <v>10</v>
  </rv>
  <rv s="6">
    <fb>201.99</fb>
    <v>10</v>
  </rv>
  <rv s="6">
    <fb>196.04</fb>
    <v>10</v>
  </rv>
  <rv s="6">
    <fb>203.43</fb>
    <v>10</v>
  </rv>
  <rv s="6">
    <fb>210.21</fb>
    <v>10</v>
  </rv>
  <rv s="6">
    <fb>217.5</fb>
    <v>10</v>
  </rv>
  <rv s="6">
    <fb>175.26</fb>
    <v>10</v>
  </rv>
  <rv s="6">
    <fb>170.66</fb>
    <v>10</v>
  </rv>
  <rv s="6">
    <fb>191.1</fb>
    <v>10</v>
  </rv>
  <rv s="6">
    <fb>181.22</fb>
    <v>10</v>
  </rv>
  <rv s="6">
    <fb>184.87</fb>
    <v>10</v>
  </rv>
  <rv s="6">
    <fb>182.12</fb>
    <v>10</v>
  </rv>
  <rv s="6">
    <fb>179.59</fb>
    <v>10</v>
  </rv>
  <rv s="6">
    <fb>174.33</fb>
    <v>10</v>
  </rv>
  <rv s="6">
    <fb>172.61</fb>
    <v>10</v>
  </rv>
  <rv s="6">
    <fb>167.32</fb>
    <v>10</v>
  </rv>
  <rv s="6">
    <fb>173.18</fb>
    <v>10</v>
  </rv>
  <rv s="6">
    <fb>186.54</fb>
    <v>10</v>
  </rv>
  <rv s="6">
    <fb>188.99</fb>
    <v>10</v>
  </rv>
  <rv s="6">
    <fb>187.39</fb>
    <v>10</v>
  </rv>
  <rv s="6">
    <fb>190.2</fb>
    <v>10</v>
  </rv>
  <rv s="6">
    <fb>189.98</fb>
    <v>10</v>
  </rv>
  <rv s="6">
    <fb>186.35</fb>
    <v>10</v>
  </rv>
  <rv s="6">
    <fb>185.01</fb>
    <v>10</v>
  </rv>
  <rv s="6">
    <fb>188.71</fb>
    <v>10</v>
  </rv>
  <rv s="6">
    <fb>192.08</fb>
    <v>10</v>
  </rv>
  <rv s="6">
    <fb>193.06</fb>
    <v>10</v>
  </rv>
  <rv s="6">
    <fb>208.64</fb>
    <v>10</v>
  </rv>
  <rv s="6">
    <fb>211.37</fb>
    <v>10</v>
  </rv>
  <rv s="6">
    <fb>210.25</fb>
    <v>10</v>
  </rv>
  <rv s="6">
    <fb>205.59</fb>
    <v>10</v>
  </rv>
  <rv s="6">
    <fb>206.16</fb>
    <v>10</v>
  </rv>
  <rv s="6">
    <fb>204.07</fb>
    <v>10</v>
  </rv>
  <rv s="6">
    <fb>201.12</fb>
    <v>10</v>
  </rv>
  <rv s="6">
    <fb>203.1</fb>
    <v>10</v>
  </rv>
  <rv s="6">
    <fb>200.99</fb>
    <v>10</v>
  </rv>
  <rv s="6">
    <fb>204.72</fb>
    <v>10</v>
  </rv>
  <rv s="6">
    <fb>205.7</fb>
    <v>10</v>
  </rv>
  <rv s="6">
    <fb>205.01</fb>
    <v>10</v>
  </rv>
  <rv s="6">
    <fb>206.65</fb>
    <v>10</v>
  </rv>
  <rv s="6">
    <fb>205.71</fb>
    <v>10</v>
  </rv>
  <rv s="6">
    <fb>207.23</fb>
    <v>10</v>
  </rv>
  <rv s="6">
    <fb>207.91</fb>
    <v>10</v>
  </rv>
  <rv s="6">
    <fb>216.98</fb>
    <v>10</v>
  </rv>
  <rv s="6">
    <fb>217.61</fb>
    <v>10</v>
  </rv>
  <rv s="6">
    <fb>213.2</fb>
    <v>10</v>
  </rv>
  <rv s="6">
    <fb>213.24</fb>
    <v>10</v>
  </rv>
  <rv s="6">
    <fb>212.1</fb>
    <v>10</v>
  </rv>
  <rv s="6">
    <fb>216.1</fb>
    <v>10</v>
  </rv>
  <rv s="6">
    <fb>214.82</fb>
    <v>10</v>
  </rv>
  <rv s="6">
    <fb>212.52</fb>
    <v>10</v>
  </rv>
  <rv s="6">
    <fb>209.69</fb>
    <v>10</v>
  </rv>
  <rv s="6">
    <fb>208.47</fb>
    <v>10</v>
  </rv>
  <rv s="6">
    <fb>212.77</fb>
    <v>10</v>
  </rv>
  <rv s="6">
    <fb>211.99</fb>
    <v>10</v>
  </rv>
  <rv s="6">
    <fb>217.12</fb>
    <v>10</v>
  </rv>
  <rv s="6">
    <fb>223.3</fb>
    <v>10</v>
  </rv>
  <rv s="6">
    <fb>219.39</fb>
    <v>10</v>
  </rv>
  <rv s="6">
    <fb>220.46</fb>
    <v>10</v>
  </rv>
  <rv s="6">
    <fb>219.92</fb>
    <v>10</v>
  </rv>
  <rv s="6">
    <fb>223.41</fb>
    <v>10</v>
  </rv>
  <rv s="6">
    <fb>219.36</fb>
    <v>10</v>
  </rv>
  <rv s="6">
    <fb>222.54</fb>
    <v>10</v>
  </rv>
  <rv s="6">
    <fb>222.26</fb>
    <v>10</v>
  </rv>
  <rv s="6">
    <fb>225.02</fb>
    <v>10</v>
  </rv>
  <rv s="6">
    <fb>225.69</fb>
    <v>10</v>
  </rv>
  <rv s="6">
    <fb>226.35</fb>
    <v>10</v>
  </rv>
  <rv s="6">
    <fb>223.19</fb>
    <v>10</v>
  </rv>
  <rv s="6">
    <fb>223.88</fb>
    <v>10</v>
  </rv>
  <rv s="6">
    <fb>226.13</fb>
    <v>10</v>
  </rv>
  <rv s="6">
    <fb>229.3</fb>
    <v>10</v>
  </rv>
  <rv s="6">
    <fb>227.47</fb>
    <v>10</v>
  </rv>
  <rv s="6">
    <fb>228.29</fb>
    <v>10</v>
  </rv>
  <rv s="6">
    <fb>232.23</fb>
    <v>10</v>
  </rv>
  <rv s="6">
    <fb>231.44</fb>
    <v>10</v>
  </rv>
  <rv s="6">
    <fb>232.79</fb>
    <v>10</v>
  </rv>
  <rv s="6">
    <fb>231.01</fb>
    <v>10</v>
  </rv>
  <rv s="6">
    <fb>230.19</fb>
    <v>10</v>
  </rv>
  <rv s="6">
    <fb>234.11</fb>
    <v>10</v>
  </rv>
  <rv s="6">
    <fb>214.75</fb>
    <v>10</v>
  </rv>
  <rv s="6">
    <fb>211.65</fb>
    <v>10</v>
  </rv>
  <rv s="6">
    <fb>213.75</fb>
    <v>10</v>
  </rv>
  <rv s="6">
    <fb>222.31</fb>
    <v>10</v>
  </rv>
  <rv s="6">
    <fb>223.13</fb>
    <v>10</v>
  </rv>
  <rv s="6">
    <fb>222.69</fb>
    <v>10</v>
  </rv>
  <rv s="6">
    <fb>221.3</fb>
    <v>10</v>
  </rv>
  <rv s="6">
    <fb>221.47</fb>
    <v>10</v>
  </rv>
  <rv s="6">
    <fb>224.56</fb>
    <v>10</v>
  </rv>
  <rv s="6">
    <fb>230.98</fb>
    <v>10</v>
  </rv>
  <rv s="6">
    <fb>231.03</fb>
    <v>10</v>
  </rv>
  <rv s="6">
    <fb>231.49</fb>
    <v>10</v>
  </rv>
  <rv s="6">
    <fb>228.01</fb>
    <v>10</v>
  </rv>
  <rv s="6">
    <fb>223.81</fb>
    <v>10</v>
  </rv>
  <rv s="6">
    <fb>221.95</fb>
    <v>10</v>
  </rv>
  <rv s="6">
    <fb>228.84</fb>
    <v>10</v>
  </rv>
  <rv s="6">
    <fb>227.94</fb>
    <v>10</v>
  </rv>
  <rv s="6">
    <fb>228.71</fb>
    <v>10</v>
  </rv>
  <rv s="6">
    <fb>229.12</fb>
    <v>10</v>
  </rv>
  <rv s="6">
    <fb>231.6</fb>
    <v>10</v>
  </rv>
  <rv s="6">
    <fb>229</fb>
    <v>10</v>
  </rv>
  <rv s="6">
    <fb>225.34</fb>
    <v>10</v>
  </rv>
  <rv s="6">
    <fb>225.99</fb>
    <v>10</v>
  </rv>
  <rv s="6">
    <fb>235.68</fb>
    <v>10</v>
  </rv>
  <rv s="6">
    <fb>232.33</fb>
    <v>10</v>
  </rv>
  <rv s="6">
    <fb>235.84</fb>
    <v>10</v>
  </rv>
  <rv s="6">
    <fb>238.24</fb>
    <v>10</v>
  </rv>
  <rv s="6">
    <fb>230.33</fb>
    <v>10</v>
  </rv>
  <rv s="6">
    <fb>229.95</fb>
    <v>10</v>
  </rv>
  <rv s="6">
    <fb>228.15</fb>
    <v>10</v>
  </rv>
  <rv s="6">
    <fb>231.43</fb>
    <v>10</v>
  </rv>
  <rv s="6">
    <fb>234.05</fb>
    <v>10</v>
  </rv>
  <rv s="6">
    <fb>231.62</fb>
    <v>10</v>
  </rv>
  <rv s="6">
    <fb>231.23</fb>
    <v>10</v>
  </rv>
  <rv s="6">
    <fb>231.48</fb>
    <v>10</v>
  </rv>
  <rv s="6">
    <fb>227.63</fb>
    <v>10</v>
  </rv>
  <rv s="6">
    <fb>220.71</fb>
    <v>10</v>
  </rv>
  <rv s="6">
    <fb>220.21</fb>
    <v>10</v>
  </rv>
  <rv s="6">
    <fb>218.15</fb>
    <v>10</v>
  </rv>
  <rv s="6">
    <fb>219.78</fb>
    <v>10</v>
  </rv>
  <rv s="6">
    <fb>222.17</fb>
    <v>10</v>
  </rv>
  <rv s="6">
    <fb>219.57</fb>
    <v>10</v>
  </rv>
  <rv s="6">
    <fb>220.63</fb>
    <v>10</v>
  </rv>
  <rv s="6">
    <fb>222.41</fb>
    <v>10</v>
  </rv>
  <rv s="6">
    <fb>219.51</fb>
    <v>10</v>
  </rv>
  <rv s="6">
    <fb>220.9</fb>
    <v>10</v>
  </rv>
  <rv s="6">
    <fb>221.78</fb>
    <v>10</v>
  </rv>
  <rv s="6">
    <fb>225.22</fb>
    <v>10</v>
  </rv>
  <rv s="6">
    <fb>227.74</fb>
    <v>10</v>
  </rv>
  <rv s="6">
    <fb>216.37</fb>
    <v>10</v>
  </rv>
  <rv s="6">
    <fb>220.07</fb>
    <v>10</v>
  </rv>
  <rv s="6">
    <fb>216.39</fb>
    <v>10</v>
  </rv>
  <rv s="6">
    <fb>215.57</fb>
    <v>10</v>
  </rv>
  <rv s="6">
    <fb>214.47</fb>
    <v>10</v>
  </rv>
  <rv s="6">
    <fb>213.04</fb>
    <v>10</v>
  </rv>
  <rv s="6">
    <fb>216.48</fb>
    <v>10</v>
  </rv>
  <rv s="6">
    <fb>222.03</fb>
    <v>10</v>
  </rv>
  <rv s="6">
    <fb>217.95</fb>
    <v>10</v>
  </rv>
  <rv s="6">
    <fb>221.09</fb>
    <v>10</v>
  </rv>
  <rv s="6">
    <fb>224.21</fb>
    <v>10</v>
  </rv>
  <rv s="6">
    <fb>226.97</fb>
    <v>10</v>
  </rv>
  <rv s="6">
    <fb>229.25</fb>
    <v>10</v>
  </rv>
  <rv s="6">
    <fb>230.3</fb>
    <v>10</v>
  </rv>
  <rv s="6">
    <fb>222.86</fb>
    <v>10</v>
  </rv>
  <rv s="6">
    <fb>244.22</fb>
    <v>10</v>
  </rv>
  <rv s="6">
    <fb>254</fb>
    <v>10</v>
  </rv>
  <rv s="6">
    <fb>249.32</fb>
    <v>10</v>
  </rv>
  <rv s="6">
    <fb>250.2</fb>
    <v>10</v>
  </rv>
  <rv s="6">
    <fb>243.04</fb>
    <v>10</v>
  </rv>
  <rv s="6">
    <fb>244.41</fb>
    <v>10</v>
  </rv>
  <rv s="6">
    <fb>248.4</fb>
    <v>10</v>
  </rv>
  <rv s="6">
    <fb>249.1</fb>
    <v>10</v>
  </rv>
  <rv s="6">
    <fb>244.2</fb>
    <v>10</v>
  </rv>
  <rv s="6">
    <fb>237.58</fb>
    <v>10</v>
  </rv>
  <rv s="6">
    <fb>234.69</fb>
    <v>10</v>
  </rv>
  <rv s="6">
    <fb>232.87</fb>
    <v>10</v>
  </rv>
  <rv s="6">
    <fb>222.55</fb>
    <v>10</v>
  </rv>
  <rv s="6">
    <fb>217.14</fb>
    <v>10</v>
  </rv>
  <rv s="6">
    <fb>220.69</fb>
    <v>10</v>
  </rv>
  <rv s="6">
    <fb>226.28</fb>
    <v>10</v>
  </rv>
  <rv s="6">
    <fb>229.67</fb>
    <v>10</v>
  </rv>
  <rv s="6">
    <fb>229.16</fb>
    <v>10</v>
  </rv>
  <rv s="6">
    <fb>233.22</fb>
    <v>10</v>
  </rv>
  <rv s="6">
    <fb>233.88</fb>
    <v>10</v>
  </rv>
  <rv s="6">
    <fb>234.42</fb>
    <v>10</v>
  </rv>
  <rv s="6">
    <fb>232.38</fb>
    <v>10</v>
  </rv>
  <rv s="6">
    <fb>229.11</fb>
    <v>10</v>
  </rv>
  <rv s="6">
    <fb>229.53</fb>
    <v>10</v>
  </rv>
  <rv s="6">
    <fb>226.89</fb>
    <v>10</v>
  </rv>
  <rv s="6">
    <fb>231.78</fb>
    <v>10</v>
  </rv>
  <rv s="6">
    <fb>230.28</fb>
    <v>10</v>
  </rv>
  <rv s="6">
    <fb>226.19</fb>
    <v>10</v>
  </rv>
  <rv s="6">
    <fb>222.56</fb>
    <v>10</v>
  </rv>
  <rv s="6">
    <fb>221.27</fb>
    <v>10</v>
  </rv>
  <rv s="6">
    <fb>226.76</fb>
    <v>10</v>
  </rv>
  <rv s="6">
    <fb>227.35</fb>
    <v>10</v>
  </rv>
  <rv s="6">
    <fb>228.43</fb>
    <v>10</v>
  </rv>
  <rv s="6">
    <fb>232.52</fb>
    <v>10</v>
  </rv>
  <rv s="6">
    <fb>232.07</fb>
    <v>10</v>
  </rv>
  <rv s="6">
    <fb>232.53</fb>
    <v>10</v>
  </rv>
  <rv s="6">
    <fb>230.82</fb>
    <v>10</v>
  </rv>
  <rv s="6">
    <fb>226.5</fb>
    <v>10</v>
  </rv>
  <rv s="6">
    <fb>233.06</fb>
    <v>10</v>
  </rv>
  <rv s="6">
    <fb>240.93</fb>
    <v>10</v>
  </rv>
  <rv s="6">
    <fb>241.56</fb>
    <v>10</v>
  </rv>
  <rv s="6">
    <fb>246.29</fb>
    <v>10</v>
  </rv>
  <rv s="6">
    <fb>247.38</fb>
    <v>10</v>
  </rv>
  <rv s="6">
    <fb>246.47</fb>
    <v>10</v>
  </rv>
  <rv s="6">
    <fb>242.6</fb>
    <v>10</v>
  </rv>
  <rv s="6">
    <fb>236.65</fb>
    <v>10</v>
  </rv>
  <rv s="6">
    <fb>238.18</fb>
    <v>10</v>
  </rv>
  <rv s="6">
    <fb>239.12</fb>
    <v>10</v>
  </rv>
  <rv s="6">
    <fb>231</fb>
    <v>10</v>
  </rv>
  <rv s="6">
    <fb>231.31</fb>
    <v>10</v>
  </rv>
  <rv s="6">
    <fb>234.34</fb>
    <v>10</v>
  </rv>
  <rv s="6">
    <fb>239.16</fb>
    <v>10</v>
  </rv>
  <rv s="6">
    <fb>238.42</fb>
    <v>10</v>
  </rv>
  <rv s="6">
    <fb>244.68</fb>
    <v>10</v>
  </rv>
  <rv s="6">
    <fb>243.01</fb>
    <v>10</v>
  </rv>
  <rv s="6">
    <fb>241.73</fb>
    <v>10</v>
  </rv>
  <rv s="6">
    <fb>239.3</fb>
    <v>10</v>
  </rv>
  <rv s="6">
    <fb>242.96</fb>
    <v>10</v>
  </rv>
  <rv s="6">
    <fb>238.62</fb>
    <v>10</v>
  </rv>
  <rv s="6">
    <fb>232.99</fb>
    <v>10</v>
  </rv>
  <rv s="6">
    <fb>210.32</fb>
    <v>10</v>
  </rv>
  <rv s="6">
    <fb>208.72</fb>
    <v>10</v>
  </rv>
  <rv s="6">
    <fb>206.96</fb>
    <v>10</v>
  </rv>
  <rv s="6">
    <fb>204.08</fb>
    <v>10</v>
  </rv>
  <rv s="6">
    <fb>199.6</fb>
    <v>10</v>
  </rv>
  <rv s="6">
    <fb>198.79</fb>
    <v>10</v>
  </rv>
  <rv s="6">
    <fb>201.15</fb>
    <v>10</v>
  </rv>
  <rv s="6">
    <fb>204.79</fb>
    <v>10</v>
  </rv>
  <rv s="6">
    <fb>204.86</fb>
    <v>10</v>
  </rv>
  <rv s="6">
    <fb>210.11</fb>
    <v>10</v>
  </rv>
  <rv s="6">
    <fb>208.56</fb>
    <v>10</v>
  </rv>
  <rv s="6">
    <fb>210.64</fb>
    <v>10</v>
  </rv>
  <rv s="6">
    <fb>207.92</fb>
    <v>10</v>
  </rv>
  <rv s="6">
    <fb>210</fb>
    <v>10</v>
  </rv>
  <rv s="6">
    <fb>208.39</fb>
    <v>10</v>
  </rv>
  <rv s="6">
    <fb>208.73</fb>
    <v>10</v>
  </rv>
  <rv s="6">
    <fb>216.82</fb>
    <v>10</v>
  </rv>
  <rv s="6">
    <fb>218.94</fb>
    <v>10</v>
  </rv>
  <rv s="6">
    <fb>213.21</fb>
    <v>10</v>
  </rv>
  <rv s="6">
    <fb>213.49</fb>
    <v>10</v>
  </rv>
  <rv s="6">
    <fb>214.33</fb>
    <v>10</v>
  </rv>
  <rv s="6">
    <fb>212.65</fb>
    <v>10</v>
  </rv>
  <rv s="6">
    <fb>209.53</fb>
    <v>10</v>
  </rv>
  <rv s="6">
    <fb>207.67</fb>
    <v>10</v>
  </rv>
  <rv s="6">
    <fb>211.74</fb>
    <v>10</v>
  </rv>
  <rv s="6">
    <fb>215.2</fb>
    <v>10</v>
  </rv>
  <rv s="6">
    <fb>209.87</fb>
    <v>10</v>
  </rv>
  <rv s="6">
    <fb>208.76</fb>
    <v>10</v>
  </rv>
  <rv s="6">
    <fb>207.24</fb>
    <v>10</v>
  </rv>
  <rv s="6">
    <fb>211.71</fb>
    <v>10</v>
  </rv>
  <rv s="6">
    <fb>207.54</fb>
    <v>10</v>
  </rv>
  <rv s="6">
    <fb>199.34</fb>
    <v>10</v>
  </rv>
  <rv s="6">
    <fb>200.95</fb>
    <v>10</v>
  </rv>
  <rv s="6">
    <fb>208.27</fb>
    <v>10</v>
  </rv>
  <rv s="6">
    <fb>210.57</fb>
    <v>10</v>
  </rv>
  <rv s="6">
    <fb>209.77</fb>
    <v>10</v>
  </rv>
  <rv s="6">
    <fb>129.79</fb>
    <v>10</v>
  </rv>
  <rv s="6">
    <fb>145.99</fb>
    <v>10</v>
  </rv>
  <rv s="6">
    <fb>156.94220000000001</fb>
    <v>10</v>
  </rv>
  <rv s="6">
    <fb>153</fb>
    <v>10</v>
  </rv>
  <rv s="6">
    <fb>156.38999999999999</fb>
    <v>10</v>
  </rv>
  <rv s="6">
    <fb>158.77000000000001</fb>
    <v>10</v>
  </rv>
  <rv s="6">
    <fb>155.47</fb>
    <v>10</v>
  </rv>
  <rv s="6">
    <fb>163.77000000000001</fb>
    <v>10</v>
  </rv>
  <rv s="6">
    <fb>160.75</fb>
    <v>10</v>
  </rv>
  <rv s="6">
    <fb>173.09809999999999</fb>
    <v>10</v>
  </rv>
  <rv s="6">
    <fb>177.02</fb>
    <v>10</v>
  </rv>
  <rv s="6">
    <fb>176.83</fb>
    <v>10</v>
  </rv>
  <rv s="6">
    <fb>181.12</fb>
    <v>10</v>
  </rv>
  <rv s="6">
    <fb>182.23</fb>
    <v>10</v>
  </rv>
  <rv s="6">
    <fb>182.17670000000001</fb>
    <v>10</v>
  </rv>
  <rv s="6">
    <fb>183.55670000000001</fb>
    <v>10</v>
  </rv>
  <rv s="6">
    <fb>186.39</fb>
    <v>10</v>
  </rv>
  <rv s="6">
    <fb>185.85</fb>
    <v>10</v>
  </rv>
  <rv s="6">
    <fb>184.31</fb>
    <v>10</v>
  </rv>
  <rv s="6">
    <fb>183.685</fb>
    <v>10</v>
  </rv>
  <rv s="6">
    <fb>192.25</fb>
    <v>10</v>
  </rv>
  <rv s="6">
    <fb>194.37</fb>
    <v>10</v>
  </rv>
  <rv s="6">
    <fb>198.36070000000001</fb>
    <v>10</v>
  </rv>
  <rv s="6">
    <fb>204.0822</fb>
    <v>10</v>
  </rv>
  <rv s="6">
    <fb>204.8655</fb>
    <v>10</v>
  </rv>
  <rv s="6">
    <fb>207.1</fb>
    <v>10</v>
  </rv>
  <rv s="6">
    <fb>205.12049999999999</fb>
    <v>10</v>
  </rv>
  <rv s="6">
    <fb>205.0471</fb>
    <v>10</v>
  </rv>
  <rv s="6">
    <fb>208.1</fb>
    <v>10</v>
  </rv>
  <rv s="6">
    <fb>204.04</fb>
    <v>10</v>
  </rv>
  <rv s="6">
    <fb>203.99</fb>
    <v>10</v>
  </rv>
  <rv s="6">
    <fb>202.04</fb>
    <v>10</v>
  </rv>
  <rv s="6">
    <fb>201.29</fb>
    <v>10</v>
  </rv>
  <rv s="6">
    <fb>206.99</fb>
    <v>10</v>
  </rv>
  <rv s="6">
    <fb>206.5376</fb>
    <v>10</v>
  </rv>
  <rv s="6">
    <fb>208.89</fb>
    <v>10</v>
  </rv>
  <rv s="6">
    <fb>215.43</fb>
    <v>10</v>
  </rv>
  <rv s="6">
    <fb>212.71</fb>
    <v>10</v>
  </rv>
  <rv s="6">
    <fb>210.72909999999999</fb>
    <v>10</v>
  </rv>
  <rv s="6">
    <fb>208.73750000000001</fb>
    <v>10</v>
  </rv>
  <rv s="6">
    <fb>213.17</fb>
    <v>10</v>
  </rv>
  <rv s="6">
    <fb>214.84</fb>
    <v>10</v>
  </rv>
  <rv s="6">
    <fb>212.89930000000001</fb>
    <v>10</v>
  </rv>
  <rv s="6">
    <fb>200.24</fb>
    <v>10</v>
  </rv>
  <rv s="6">
    <fb>203.03</fb>
    <v>10</v>
  </rv>
  <rv s="6">
    <fb>199.29</fb>
    <v>10</v>
  </rv>
  <rv s="6">
    <fb>198.41</fb>
    <v>10</v>
  </rv>
  <rv s="6">
    <fb>199.5</fb>
    <v>10</v>
  </rv>
  <rv s="6">
    <fb>199.19</fb>
    <v>10</v>
  </rv>
  <rv s="6">
    <fb>200.58</fb>
    <v>10</v>
  </rv>
  <rv s="6">
    <fb>198.73</fb>
    <v>10</v>
  </rv>
  <rv s="6">
    <fb>202.48</fb>
    <v>10</v>
  </rv>
  <rv s="6">
    <fb>211.53</fb>
    <v>10</v>
  </rv>
  <rv s="6">
    <fb>210.95</fb>
    <v>10</v>
  </rv>
  <rv s="6">
    <fb>210.55</fb>
    <v>10</v>
  </rv>
  <rv s="6">
    <fb>211.17</fb>
    <v>10</v>
  </rv>
  <rv s="6">
    <fb>216.66</fb>
    <v>10</v>
  </rv>
  <rv s="6">
    <fb>215.9</fb>
    <v>10</v>
  </rv>
  <rv s="6">
    <fb>216.23</fb>
    <v>10</v>
  </rv>
  <rv s="6">
    <fb>227.45189999999999</fb>
    <v>10</v>
  </rv>
  <rv s="6">
    <fb>224.08019999999999</fb>
    <v>10</v>
  </rv>
  <rv s="6">
    <fb>227.68719999999999</fb>
    <v>10</v>
  </rv>
  <rv s="6">
    <fb>229.98</fb>
    <v>10</v>
  </rv>
  <rv s="6">
    <fb>232.13499999999999</fb>
    <v>10</v>
  </rv>
  <rv s="6">
    <fb>229.11500000000001</fb>
    <v>10</v>
  </rv>
  <rv s="6">
    <fb>228.48929999999999</fb>
    <v>10</v>
  </rv>
  <rv s="6">
    <fb>230.81</fb>
    <v>10</v>
  </rv>
  <rv s="6">
    <fb>226.57</fb>
    <v>10</v>
  </rv>
  <rv s="6">
    <fb>231.15</fb>
    <v>10</v>
  </rv>
  <rv s="6">
    <fb>231.51</fb>
    <v>10</v>
  </rv>
  <rv s="6">
    <fb>235.29</fb>
    <v>10</v>
  </rv>
  <rv s="6">
    <fb>228.2</fb>
    <v>10</v>
  </rv>
  <rv s="6">
    <fb>226.98</fb>
    <v>10</v>
  </rv>
  <rv s="6">
    <fb>222.81</fb>
    <v>10</v>
  </rv>
  <rv s="6">
    <fb>219.88499999999999</fb>
    <v>10</v>
  </rv>
  <rv s="6">
    <fb>219.41</fb>
    <v>10</v>
  </rv>
  <rv s="6">
    <fb>225.33</fb>
    <v>10</v>
  </rv>
  <rv s="6">
    <fb>225.42</fb>
    <v>10</v>
  </rv>
  <rv s="6">
    <fb>229.79</fb>
    <v>10</v>
  </rv>
  <rv s="6">
    <fb>226.12350000000001</fb>
    <v>10</v>
  </rv>
  <rv s="6">
    <fb>231.11</fb>
    <v>10</v>
  </rv>
  <rv s="6">
    <fb>231.35</fb>
    <v>10</v>
  </rv>
  <rv s="6">
    <fb>235.4425</fb>
    <v>10</v>
  </rv>
  <rv s="6">
    <fb>230.5872</fb>
    <v>10</v>
  </rv>
  <rv s="6">
    <fb>228.62</fb>
    <v>10</v>
  </rv>
  <rv s="6">
    <fb>224.36</fb>
    <v>10</v>
  </rv>
  <rv s="6">
    <fb>225.17</fb>
    <v>10</v>
  </rv>
  <rv s="6">
    <fb>232.11</fb>
    <v>10</v>
  </rv>
  <rv s="6">
    <fb>227.46850000000001</fb>
    <v>10</v>
  </rv>
  <rv s="6">
    <fb>234.0488</fb>
    <v>10</v>
  </rv>
  <rv s="6">
    <fb>234.55</fb>
    <v>10</v>
  </rv>
  <rv s="6">
    <fb>235.72</fb>
    <v>10</v>
  </rv>
  <rv s="6">
    <fb>234.65</fb>
    <v>10</v>
  </rv>
  <rv s="6">
    <fb>231.94</fb>
    <v>10</v>
  </rv>
  <rv s="6">
    <fb>230.9845</fb>
    <v>10</v>
  </rv>
  <rv s="6">
    <fb>226.47</fb>
    <v>10</v>
  </rv>
  <rv s="6">
    <fb>226.83</fb>
    <v>10</v>
  </rv>
  <rv s="6">
    <fb>228.75</fb>
    <v>10</v>
  </rv>
  <rv s="6">
    <fb>217.16</fb>
    <v>10</v>
  </rv>
  <rv s="6">
    <fb>216.18</fb>
    <v>10</v>
  </rv>
  <rv s="6">
    <fb>214</fb>
    <v>10</v>
  </rv>
  <rv s="6">
    <fb>215.09</fb>
    <v>10</v>
  </rv>
  <rv s="6">
    <fb>215.39</fb>
    <v>10</v>
  </rv>
  <rv s="6">
    <fb>214.7029</fb>
    <v>10</v>
  </rv>
  <rv s="6">
    <fb>212.22</fb>
    <v>10</v>
  </rv>
  <rv s="6">
    <fb>215.2062</fb>
    <v>10</v>
  </rv>
  <rv s="6">
    <fb>215.48</fb>
    <v>10</v>
  </rv>
  <rv s="6">
    <fb>213.2132</fb>
    <v>10</v>
  </rv>
  <rv s="6">
    <fb>222.5</fb>
    <v>10</v>
  </rv>
  <rv s="6">
    <fb>217.35</fb>
    <v>10</v>
  </rv>
  <rv s="6">
    <fb>214.79</fb>
    <v>10</v>
  </rv>
  <rv s="6">
    <fb>215.22</fb>
    <v>10</v>
  </rv>
  <rv s="6">
    <fb>217.98</fb>
    <v>10</v>
  </rv>
  <rv s="6">
    <fb>217.92</fb>
    <v>10</v>
  </rv>
  <rv s="6">
    <fb>218.88</fb>
    <v>10</v>
  </rv>
  <rv s="6">
    <fb>219.6</fb>
    <v>10</v>
  </rv>
  <rv s="6">
    <fb>225.54150000000001</fb>
    <v>10</v>
  </rv>
  <rv s="6">
    <fb>217.58</fb>
    <v>10</v>
  </rv>
  <rv s="6">
    <fb>212.27</fb>
    <v>10</v>
  </rv>
  <rv s="6">
    <fb>215.4</fb>
    <v>10</v>
  </rv>
  <rv s="6">
    <fb>215.6</fb>
    <v>10</v>
  </rv>
  <rv s="6">
    <fb>212.16</fb>
    <v>10</v>
  </rv>
  <rv s="6">
    <fb>213.38</fb>
    <v>10</v>
  </rv>
  <rv s="6">
    <fb>216.96</fb>
    <v>10</v>
  </rv>
  <rv s="6">
    <fb>216.73500000000001</fb>
    <v>10</v>
  </rv>
  <rv s="6">
    <fb>218.72499999999999</fb>
    <v>10</v>
  </rv>
  <rv s="6">
    <fb>222.53</fb>
    <v>10</v>
  </rv>
  <rv s="6">
    <fb>223.7</fb>
    <v>10</v>
  </rv>
  <rv s="6">
    <fb>202.66499999999999</fb>
    <v>10</v>
  </rv>
  <rv s="6">
    <fb>200.375</fb>
    <v>10</v>
  </rv>
  <rv s="6">
    <fb>204.88570000000001</fb>
    <v>10</v>
  </rv>
  <rv s="6">
    <fb>198.93</fb>
    <v>10</v>
  </rv>
  <rv s="6">
    <fb>196.96</fb>
    <v>10</v>
  </rv>
  <rv s="6">
    <fb>193.4615</fb>
    <v>10</v>
  </rv>
  <rv s="6">
    <fb>194.3058</fb>
    <v>10</v>
  </rv>
  <rv s="6">
    <fb>195.71129999999999</fb>
    <v>10</v>
  </rv>
  <rv s="6">
    <fb>195.65</fb>
    <v>10</v>
  </rv>
  <rv s="6">
    <fb>194.65</fb>
    <v>10</v>
  </rv>
  <rv s="6">
    <fb>194.12</fb>
    <v>10</v>
  </rv>
  <rv s="6">
    <fb>191.745</fb>
    <v>10</v>
  </rv>
  <rv s="6">
    <fb>190.25</fb>
    <v>10</v>
  </rv>
  <rv s="6">
    <fb>184.2</fb>
    <v>10</v>
  </rv>
  <rv s="6">
    <fb>179.2998</fb>
    <v>10</v>
  </rv>
  <rv s="6">
    <fb>179.57</fb>
    <v>10</v>
  </rv>
  <rv s="6">
    <fb>178.49</fb>
    <v>10</v>
  </rv>
  <rv s="6">
    <fb>182.41499999999999</fb>
    <v>10</v>
  </rv>
  <rv s="6">
    <fb>187.518</fb>
    <v>10</v>
  </rv>
  <rv s="6">
    <fb>189.39</fb>
    <v>10</v>
  </rv>
  <rv s="6">
    <fb>188.1773</fb>
    <v>10</v>
  </rv>
  <rv s="6">
    <fb>203.85</fb>
    <v>10</v>
  </rv>
  <rv s="6">
    <fb>199.35</fb>
    <v>10</v>
  </rv>
  <rv s="6">
    <fb>201.59</fb>
    <v>10</v>
  </rv>
  <rv s="6">
    <fb>206.04</fb>
    <v>10</v>
  </rv>
  <rv s="6">
    <fb>200.71</fb>
    <v>10</v>
  </rv>
  <rv s="6">
    <fb>199.46950000000001</fb>
    <v>10</v>
  </rv>
  <rv s="6">
    <fb>201.24</fb>
    <v>10</v>
  </rv>
  <rv s="6">
    <fb>204.36869999999999</fb>
    <v>10</v>
  </rv>
  <rv s="6">
    <fb>204.33699999999999</fb>
    <v>10</v>
  </rv>
  <rv s="6">
    <fb>205.85</fb>
    <v>10</v>
  </rv>
  <rv s="6">
    <fb>215.36</fb>
    <v>10</v>
  </rv>
  <rv s="6">
    <fb>216.02</fb>
    <v>10</v>
  </rv>
  <rv s="6">
    <fb>216.75</fb>
    <v>10</v>
  </rv>
  <rv s="6">
    <fb>218.46690000000001</fb>
    <v>10</v>
  </rv>
  <rv s="6">
    <fb>217.24</fb>
    <v>10</v>
  </rv>
  <rv s="6">
    <fb>221.1</fb>
    <v>10</v>
  </rv>
  <rv s="6">
    <fb>217.26</fb>
    <v>10</v>
  </rv>
  <rv s="6">
    <fb>225.19579999999999</fb>
    <v>10</v>
  </rv>
  <rv s="6">
    <fb>229.39</fb>
    <v>10</v>
  </rv>
  <rv s="6">
    <fb>230.18</fb>
    <v>10</v>
  </rv>
  <rv s="6">
    <fb>226.43</fb>
    <v>10</v>
  </rv>
  <rv s="6">
    <fb>233.23</fb>
    <v>10</v>
  </rv>
  <rv s="6">
    <fb>239.35</fb>
    <v>10</v>
  </rv>
  <rv s="6">
    <fb>243.49</fb>
    <v>10</v>
  </rv>
  <rv s="6">
    <fb>241.83</fb>
    <v>10</v>
  </rv>
  <rv s="6">
    <fb>248.01</fb>
    <v>10</v>
  </rv>
  <rv s="6">
    <fb>247.55</fb>
    <v>10</v>
  </rv>
  <rv s="6">
    <fb>247.33</fb>
    <v>10</v>
  </rv>
  <rv s="6">
    <fb>247.85</fb>
    <v>10</v>
  </rv>
  <rv s="6">
    <fb>253.61150000000001</fb>
    <v>10</v>
  </rv>
  <rv s="6">
    <fb>252.67</fb>
    <v>10</v>
  </rv>
  <rv s="6">
    <fb>250.19</fb>
    <v>10</v>
  </rv>
  <rv s="6">
    <fb>246.53</fb>
    <v>10</v>
  </rv>
  <rv s="6">
    <fb>243.05</fb>
    <v>10</v>
  </rv>
  <rv s="6">
    <fb>237.03</fb>
    <v>10</v>
  </rv>
  <rv s="6">
    <fb>230.93960000000001</fb>
    <v>10</v>
  </rv>
  <rv s="6">
    <fb>235.63</fb>
    <v>10</v>
  </rv>
  <rv s="6">
    <fb>230</fb>
    <v>10</v>
  </rv>
  <rv s="6">
    <fb>232.35</fb>
    <v>10</v>
  </rv>
  <rv s="6">
    <fb>239.08</fb>
    <v>10</v>
  </rv>
  <rv s="6">
    <fb>243.61</fb>
    <v>10</v>
  </rv>
  <rv s="6">
    <fb>241.88</fb>
    <v>10</v>
  </rv>
  <rv s="6">
    <fb>237.97</fb>
    <v>10</v>
  </rv>
  <rv s="6">
    <fb>240.9</fb>
    <v>10</v>
  </rv>
  <rv s="6">
    <fb>241.53</fb>
    <v>10</v>
  </rv>
  <rv s="6">
    <fb>242.41</fb>
    <v>10</v>
  </rv>
  <rv s="6">
    <fb>240.25</fb>
    <v>10</v>
  </rv>
  <rv s="6">
    <fb>233.98</fb>
    <v>10</v>
  </rv>
  <rv s="6">
    <fb>229.6</fb>
    <v>10</v>
  </rv>
  <rv s="6">
    <fb>234.387</fb>
    <v>10</v>
  </rv>
  <rv s="6">
    <fb>229.64</fb>
    <v>10</v>
  </rv>
  <rv s="6">
    <fb>229.22</fb>
    <v>10</v>
  </rv>
  <rv s="6">
    <fb>225</fb>
    <v>10</v>
  </rv>
  <rv s="6">
    <fb>228.7</fb>
    <v>10</v>
  </rv>
  <rv s="6">
    <fb>224.13</fb>
    <v>10</v>
  </rv>
  <rv s="6">
    <fb>220.81</fb>
    <v>10</v>
  </rv>
  <rv s="6">
    <fb>219.08</fb>
    <v>10</v>
  </rv>
  <rv s="6">
    <fb>221.29</fb>
    <v>10</v>
  </rv>
  <rv s="6">
    <fb>220.26</fb>
    <v>10</v>
  </rv>
  <rv s="6">
    <fb>213.86</fb>
    <v>10</v>
  </rv>
  <rv s="6">
    <fb>204.58</fb>
    <v>10</v>
  </rv>
  <rv s="6">
    <fb>210.2516</fb>
    <v>10</v>
  </rv>
  <rv s="6">
    <fb>213.93</fb>
    <v>10</v>
  </rv>
  <rv s="6">
    <fb>211.05</fb>
    <v>10</v>
  </rv>
  <rv s="6">
    <fb>206.4</fb>
    <v>10</v>
  </rv>
  <rv s="6">
    <fb>201.31</fb>
    <v>10</v>
  </rv>
  <rv s="6">
    <fb>199.64</fb>
    <v>10</v>
  </rv>
  <rv s="6">
    <fb>197</fb>
    <v>10</v>
  </rv>
  <rv s="6">
    <fb>199.83</fb>
    <v>10</v>
  </rv>
  <rv s="6">
    <fb>194.44</fb>
    <v>10</v>
  </rv>
  <rv s="6">
    <fb>189.43</fb>
    <v>10</v>
  </rv>
  <rv s="6">
    <fb>189.7</fb>
    <v>10</v>
  </rv>
  <rv s="6">
    <fb>197.86</fb>
    <v>10</v>
  </rv>
  <rv s="6">
    <fb>207.95</fb>
    <v>10</v>
  </rv>
  <rv s="6">
    <fb>206.34</fb>
    <v>10</v>
  </rv>
  <rv s="6">
    <fb>817.5</fb>
    <v>10</v>
  </rv>
  <rv s="6">
    <fb>815.72</fb>
    <v>10</v>
  </rv>
  <rv s="6">
    <fb>897.08</fb>
    <v>10</v>
  </rv>
  <rv s="6">
    <fb>858.78</fb>
    <v>10</v>
  </rv>
  <rv s="6">
    <fb>878.78</fb>
    <v>10</v>
  </rv>
  <rv s="6">
    <fb>889.95</fb>
    <v>10</v>
  </rv>
  <rv s="6">
    <fb>888.44</fb>
    <v>10</v>
  </rv>
  <rv s="6">
    <fb>865.78</fb>
    <v>10</v>
  </rv>
  <rv s="6">
    <fb>875.78</fb>
    <v>10</v>
  </rv>
  <rv s="6">
    <fb>854</fb>
    <v>10</v>
  </rv>
  <rv s="6">
    <fb>887.22</fb>
    <v>10</v>
  </rv>
  <rv s="6">
    <fb>892.54</fb>
    <v>10</v>
  </rv>
  <rv s="6">
    <fb>916.26</fb>
    <v>10</v>
  </rv>
  <rv s="6">
    <fb>907.69</fb>
    <v>10</v>
  </rv>
  <rv s="6">
    <fb>913.74</fb>
    <v>10</v>
  </rv>
  <rv s="6">
    <fb>920.52</fb>
    <v>10</v>
  </rv>
  <rv s="6">
    <fb>914.26</fb>
    <v>10</v>
  </rv>
  <rv s="6">
    <fb>916.14</fb>
    <v>10</v>
  </rv>
  <rv s="6">
    <fb>929.2</fb>
    <v>10</v>
  </rv>
  <rv s="6">
    <fb>920.53</fb>
    <v>10</v>
  </rv>
  <rv s="6">
    <fb>914.97</fb>
    <v>10</v>
  </rv>
  <rv s="6">
    <fb>920.36</fb>
    <v>10</v>
  </rv>
  <rv s="6">
    <fb>928.64</fb>
    <v>10</v>
  </rv>
  <rv s="6">
    <fb>923.44</fb>
    <v>10</v>
  </rv>
  <rv s="6">
    <fb>958.03</fb>
    <v>10</v>
  </rv>
  <rv s="6">
    <fb>959.18</fb>
    <v>10</v>
  </rv>
  <rv s="6">
    <fb>967.06</fb>
    <v>10</v>
  </rv>
  <rv s="6">
    <fb>983.08</fb>
    <v>10</v>
  </rv>
  <rv s="6">
    <fb>989.71</fb>
    <v>10</v>
  </rv>
  <rv s="6">
    <fb>993.66</fb>
    <v>10</v>
  </rv>
  <rv s="6">
    <fb>997.71</fb>
    <v>10</v>
  </rv>
  <rv s="6">
    <fb>972.83</fb>
    <v>10</v>
  </rv>
  <rv s="6">
    <fb>969.9</fb>
    <v>10</v>
  </rv>
  <rv s="6">
    <fb>963.18</fb>
    <v>10</v>
  </rv>
  <rv s="6">
    <fb>981.32</fb>
    <v>10</v>
  </rv>
  <rv s="6">
    <fb>971.28</fb>
    <v>10</v>
  </rv>
  <rv s="6">
    <fb>976.32</fb>
    <v>10</v>
  </rv>
  <rv s="6">
    <fb>979.89</fb>
    <v>10</v>
  </rv>
  <rv s="6">
    <fb>978.07</fb>
    <v>10</v>
  </rv>
  <rv s="6">
    <fb>982.13</fb>
    <v>10</v>
  </rv>
  <rv s="6">
    <fb>988.97</fb>
    <v>10</v>
  </rv>
  <rv s="6">
    <fb>985.46</fb>
    <v>10</v>
  </rv>
  <rv s="6">
    <fb>989.05</fb>
    <v>10</v>
  </rv>
  <rv s="6">
    <fb>988.84</fb>
    <v>10</v>
  </rv>
  <rv s="6">
    <fb>991.9</fb>
    <v>10</v>
  </rv>
  <rv s="6">
    <fb>993.3</fb>
    <v>10</v>
  </rv>
  <rv s="6">
    <fb>988.25</fb>
    <v>10</v>
  </rv>
  <rv s="6">
    <fb>971.82</fb>
    <v>10</v>
  </rv>
  <rv s="6">
    <fb>982.1</fb>
    <v>10</v>
  </rv>
  <rv s="6">
    <fb>969.18</fb>
    <v>10</v>
  </rv>
  <rv s="6">
    <fb>979.52</fb>
    <v>10</v>
  </rv>
  <rv s="6">
    <fb>974.44</fb>
    <v>10</v>
  </rv>
  <rv s="6">
    <fb>986.3</fb>
    <v>10</v>
  </rv>
  <rv s="6">
    <fb>1004.97</fb>
    <v>10</v>
  </rv>
  <rv s="6">
    <fb>1018.08</fb>
    <v>10</v>
  </rv>
  <rv s="6">
    <fb>1030.79</fb>
    <v>10</v>
  </rv>
  <rv s="6">
    <fb>1047.82</fb>
    <v>10</v>
  </rv>
  <rv s="6">
    <fb>1049.25</fb>
    <v>10</v>
  </rv>
  <rv s="6">
    <fb>1054.27</fb>
    <v>10</v>
  </rv>
  <rv s="6">
    <fb>1070.57</fb>
    <v>10</v>
  </rv>
  <rv s="6">
    <fb>1082.1500000000001</fb>
    <v>10</v>
  </rv>
  <rv s="6">
    <fb>1075.97</fb>
    <v>10</v>
  </rv>
  <rv s="6">
    <fb>1075.02</fb>
    <v>10</v>
  </rv>
  <rv s="6">
    <fb>1088.75</fb>
    <v>10</v>
  </rv>
  <rv s="6">
    <fb>1104.05</fb>
    <v>10</v>
  </rv>
  <rv s="6">
    <fb>1101.6400000000001</fb>
    <v>10</v>
  </rv>
  <rv s="6">
    <fb>1111.46</fb>
    <v>10</v>
  </rv>
  <rv s="6">
    <fb>1046.1600000000001</fb>
    <v>10</v>
  </rv>
  <rv s="6">
    <fb>1082.24</fb>
    <v>10</v>
  </rv>
  <rv s="6">
    <fb>1105.3800000000001</fb>
    <v>10</v>
  </rv>
  <rv s="6">
    <fb>1103.5899999999999</fb>
    <v>10</v>
  </rv>
  <rv s="6">
    <fb>1093.02</fb>
    <v>10</v>
  </rv>
  <rv s="6">
    <fb>1100.3900000000001</fb>
    <v>10</v>
  </rv>
  <rv s="6">
    <fb>1120.3699999999999</fb>
    <v>10</v>
  </rv>
  <rv s="6">
    <fb>1118.3699999999999</fb>
    <v>10</v>
  </rv>
  <rv s="6">
    <fb>1123.28</fb>
    <v>10</v>
  </rv>
  <rv s="6">
    <fb>1117.82</fb>
    <v>10</v>
  </rv>
  <rv s="6">
    <fb>1121.53</fb>
    <v>10</v>
  </rv>
  <rv s="6">
    <fb>1114.6500000000001</fb>
    <v>10</v>
  </rv>
  <rv s="6">
    <fb>1106.01</fb>
    <v>10</v>
  </rv>
  <rv s="6">
    <fb>1091.8</fb>
    <v>10</v>
  </rv>
  <rv s="6">
    <fb>1116.06</fb>
    <v>10</v>
  </rv>
  <rv s="6">
    <fb>1109.6400000000001</fb>
    <v>10</v>
  </rv>
  <rv s="6">
    <fb>1120.54</fb>
    <v>10</v>
  </rv>
  <rv s="6">
    <fb>1112.83</fb>
    <v>10</v>
  </rv>
  <rv s="6">
    <fb>1124.97</fb>
    <v>10</v>
  </rv>
  <rv s="6">
    <fb>1127.93</fb>
    <v>10</v>
  </rv>
  <rv s="6">
    <fb>1159.6099999999999</fb>
    <v>10</v>
  </rv>
  <rv s="6">
    <fb>1160.03</fb>
    <v>10</v>
  </rv>
  <rv s="6">
    <fb>1160.1600000000001</fb>
    <v>10</v>
  </rv>
  <rv s="6">
    <fb>1135.01</fb>
    <v>10</v>
  </rv>
  <rv s="6">
    <fb>1136.1199999999999</fb>
    <v>10</v>
  </rv>
  <rv s="6">
    <fb>1128.47</fb>
    <v>10</v>
  </rv>
  <rv s="6">
    <fb>1128.46</fb>
    <v>10</v>
  </rv>
  <rv s="6">
    <fb>1124.75</fb>
    <v>10</v>
  </rv>
  <rv s="6">
    <fb>1148.17</fb>
    <v>10</v>
  </rv>
  <rv s="6">
    <fb>1137.0999999999999</fb>
    <v>10</v>
  </rv>
  <rv s="6">
    <fb>1139.8</fb>
    <v>10</v>
  </rv>
  <rv s="6">
    <fb>1131.6300000000001</fb>
    <v>10</v>
  </rv>
  <rv s="6">
    <fb>1130.48</fb>
    <v>10</v>
  </rv>
  <rv s="6">
    <fb>1127.1400000000001</fb>
    <v>10</v>
  </rv>
  <rv s="6">
    <fb>1114.77</fb>
    <v>10</v>
  </rv>
  <rv s="6">
    <fb>1099.49</fb>
    <v>10</v>
  </rv>
  <rv s="6">
    <fb>1108.76</fb>
    <v>10</v>
  </rv>
  <rv s="6">
    <fb>1099.1500000000001</fb>
    <v>10</v>
  </rv>
  <rv s="6">
    <fb>1104.92</fb>
    <v>10</v>
  </rv>
  <rv s="6">
    <fb>1105.67</fb>
    <v>10</v>
  </rv>
  <rv s="6">
    <fb>1102.8900000000001</fb>
    <v>10</v>
  </rv>
  <rv s="6">
    <fb>1134.18</fb>
    <v>10</v>
  </rv>
  <rv s="6">
    <fb>1123.4100000000001</fb>
    <v>10</v>
  </rv>
  <rv s="6">
    <fb>1115.1099999999999</fb>
    <v>10</v>
  </rv>
  <rv s="6">
    <fb>1118.8900000000001</fb>
    <v>10</v>
  </rv>
  <rv s="6">
    <fb>1131.78</fb>
    <v>10</v>
  </rv>
  <rv s="6">
    <fb>1137.1300000000001</fb>
    <v>10</v>
  </rv>
  <rv s="6">
    <fb>1142.8499999999999</fb>
    <v>10</v>
  </rv>
  <rv s="6">
    <fb>1136.21</fb>
    <v>10</v>
  </rv>
  <rv s="6">
    <fb>1131.75</fb>
    <v>10</v>
  </rv>
  <rv s="6">
    <fb>1127.98</fb>
    <v>10</v>
  </rv>
  <rv s="6">
    <fb>1147.29</fb>
    <v>10</v>
  </rv>
  <rv s="6">
    <fb>1156.45</fb>
    <v>10</v>
  </rv>
  <rv s="6">
    <fb>1175.56</fb>
    <v>10</v>
  </rv>
  <rv s="6">
    <fb>1165.8699999999999</fb>
    <v>10</v>
  </rv>
  <rv s="6">
    <fb>1141.07</fb>
    <v>10</v>
  </rv>
  <rv s="6">
    <fb>1160.54</fb>
    <v>10</v>
  </rv>
  <rv s="6">
    <fb>1160.69</fb>
    <v>10</v>
  </rv>
  <rv s="6">
    <fb>1179.27</fb>
    <v>10</v>
  </rv>
  <rv s="6">
    <fb>1166.23</fb>
    <v>10</v>
  </rv>
  <rv s="6">
    <fb>1165</fb>
    <v>10</v>
  </rv>
  <rv s="6">
    <fb>1167.43</fb>
    <v>10</v>
  </rv>
  <rv s="6">
    <fb>1132.3599999999999</fb>
    <v>10</v>
  </rv>
  <rv s="6">
    <fb>1155.1199999999999</fb>
    <v>10</v>
  </rv>
  <rv s="6">
    <fb>1194.26</fb>
    <v>10</v>
  </rv>
  <rv s="6">
    <fb>1202.5899999999999</fb>
    <v>10</v>
  </rv>
  <rv s="6">
    <fb>1171.3599999999999</fb>
    <v>10</v>
  </rv>
  <rv s="6">
    <fb>1161.1600000000001</fb>
    <v>10</v>
  </rv>
  <rv s="6">
    <fb>1160</fb>
    <v>10</v>
  </rv>
  <rv s="6">
    <fb>1130</fb>
    <v>10</v>
  </rv>
  <rv s="6">
    <fb>1129.68</fb>
    <v>10</v>
  </rv>
  <rv s="6">
    <fb>1125</fb>
    <v>10</v>
  </rv>
  <rv s="6">
    <fb>1136.6300000000001</fb>
    <v>10</v>
  </rv>
  <rv s="6">
    <fb>1131.31</fb>
    <v>10</v>
  </rv>
  <rv s="6">
    <fb>1124.95</fb>
    <v>10</v>
  </rv>
  <rv s="6">
    <fb>1098</fb>
    <v>10</v>
  </rv>
  <rv s="6">
    <fb>1098.05</fb>
    <v>10</v>
  </rv>
  <rv s="6">
    <fb>1082.81</fb>
    <v>10</v>
  </rv>
  <rv s="6">
    <fb>1068.83</fb>
    <v>10</v>
  </rv>
  <rv s="6">
    <fb>1059.9100000000001</fb>
    <v>10</v>
  </rv>
  <rv s="6">
    <fb>1073.57</fb>
    <v>10</v>
  </rv>
  <rv s="6">
    <fb>1069.44</fb>
    <v>10</v>
  </rv>
  <rv s="6">
    <fb>1082.2</fb>
    <v>10</v>
  </rv>
  <rv s="6">
    <fb>1082.6300000000001</fb>
    <v>10</v>
  </rv>
  <rv s="6">
    <fb>1085.76</fb>
    <v>10</v>
  </rv>
  <rv s="6">
    <fb>1093.93</fb>
    <v>10</v>
  </rv>
  <rv s="6">
    <fb>1069.6500000000001</fb>
    <v>10</v>
  </rv>
  <rv s="6">
    <fb>1057.94</fb>
    <v>10</v>
  </rv>
  <rv s="6">
    <fb>1023.8</fb>
    <v>10</v>
  </rv>
  <rv s="6">
    <fb>1019.14</fb>
    <v>10</v>
  </rv>
  <rv s="6">
    <fb>1014.68</fb>
    <v>10</v>
  </rv>
  <rv s="6">
    <fb>992.52</fb>
    <v>10</v>
  </rv>
  <rv s="6">
    <fb>1014.72</fb>
    <v>10</v>
  </rv>
  <rv s="6">
    <fb>1019.49</fb>
    <v>10</v>
  </rv>
  <rv s="6">
    <fb>1029.77</fb>
    <v>10</v>
  </rv>
  <rv s="6">
    <fb>1040.06</fb>
    <v>10</v>
  </rv>
  <rv s="6">
    <fb>1047.3</fb>
    <v>10</v>
  </rv>
  <rv s="6">
    <fb>1039.94</fb>
    <v>10</v>
  </rv>
  <rv s="6">
    <fb>1038.6199999999999</fb>
    <v>10</v>
  </rv>
  <rv s="6">
    <fb>1079.8699999999999</fb>
    <v>10</v>
  </rv>
  <rv s="6">
    <fb>1075.58</fb>
    <v>10</v>
  </rv>
  <rv s="6">
    <fb>1072.1600000000001</fb>
    <v>10</v>
  </rv>
  <rv s="6">
    <fb>1062.02</fb>
    <v>10</v>
  </rv>
  <rv s="6">
    <fb>1071.31</fb>
    <v>10</v>
  </rv>
  <rv s="6">
    <fb>1083.3599999999999</fb>
    <v>10</v>
  </rv>
  <rv s="6">
    <fb>1101.8399999999999</fb>
    <v>10</v>
  </rv>
  <rv s="6">
    <fb>1089.0899999999999</fb>
    <v>10</v>
  </rv>
  <rv s="6">
    <fb>1082.1600000000001</fb>
    <v>10</v>
  </rv>
  <rv s="6">
    <fb>1068.1400000000001</fb>
    <v>10</v>
  </rv>
  <rv s="6">
    <fb>1065</fb>
    <v>10</v>
  </rv>
  <rv s="6">
    <fb>1064.99</fb>
    <v>10</v>
  </rv>
  <rv s="6">
    <fb>1060.17</fb>
    <v>10</v>
  </rv>
  <rv s="6">
    <fb>1088.21</fb>
    <v>10</v>
  </rv>
  <rv s="6">
    <fb>1086.55</fb>
    <v>10</v>
  </rv>
  <rv s="6">
    <fb>1088.96</fb>
    <v>10</v>
  </rv>
  <rv s="6">
    <fb>1088.1099999999999</fb>
    <v>10</v>
  </rv>
  <rv s="6">
    <fb>1088.4000000000001</fb>
    <v>10</v>
  </rv>
  <rv s="6">
    <fb>1083.31</fb>
    <v>10</v>
  </rv>
  <rv s="6">
    <fb>1070.3399999999999</fb>
    <v>10</v>
  </rv>
  <rv s="6">
    <fb>1085.06</fb>
    <v>10</v>
  </rv>
  <rv s="6">
    <fb>1119.76</fb>
    <v>10</v>
  </rv>
  <rv s="6">
    <fb>1112.28</fb>
    <v>10</v>
  </rv>
  <rv s="6">
    <fb>1075.0899999999999</fb>
    <v>10</v>
  </rv>
  <rv s="6">
    <fb>1087.92</fb>
    <v>10</v>
  </rv>
  <rv s="6">
    <fb>1085.0999999999999</fb>
    <v>10</v>
  </rv>
  <rv s="6">
    <fb>1089.26</fb>
    <v>10</v>
  </rv>
  <rv s="6">
    <fb>1089.54</fb>
    <v>10</v>
  </rv>
  <rv s="6">
    <fb>1091.8499999999999</fb>
    <v>10</v>
  </rv>
  <rv s="6">
    <fb>1156.6500000000001</fb>
    <v>10</v>
  </rv>
  <rv s="6">
    <fb>1163.17</fb>
    <v>10</v>
  </rv>
  <rv s="6">
    <fb>1110.05</fb>
    <v>10</v>
  </rv>
  <rv s="6">
    <fb>1127.8499999999999</fb>
    <v>10</v>
  </rv>
  <rv s="6">
    <fb>1139.72</fb>
    <v>10</v>
  </rv>
  <rv s="6">
    <fb>1129.9100000000001</fb>
    <v>10</v>
  </rv>
  <rv s="6">
    <fb>1121.54</fb>
    <v>10</v>
  </rv>
  <rv s="6">
    <fb>1106.69</fb>
    <v>10</v>
  </rv>
  <rv s="6">
    <fb>1121.67</fb>
    <v>10</v>
  </rv>
  <rv s="6">
    <fb>1127.78</fb>
    <v>10</v>
  </rv>
  <rv s="6">
    <fb>1118.94</fb>
    <v>10</v>
  </rv>
  <rv s="6">
    <fb>1119.6600000000001</fb>
    <v>10</v>
  </rv>
  <rv s="6">
    <fb>1070.08</fb>
    <v>10</v>
  </rv>
  <rv s="6">
    <fb>1076.1600000000001</fb>
    <v>10</v>
  </rv>
  <rv s="6">
    <fb>1054.8</fb>
    <v>10</v>
  </rv>
  <rv s="6">
    <fb>1056.3800000000001</fb>
    <v>10</v>
  </rv>
  <rv s="6">
    <fb>1079.9000000000001</fb>
    <v>10</v>
  </rv>
  <rv s="6">
    <fb>1087.78</fb>
    <v>10</v>
  </rv>
  <rv s="6">
    <fb>1082.8800000000001</fb>
    <v>10</v>
  </rv>
  <rv s="6">
    <fb>1055.6300000000001</fb>
    <v>10</v>
  </rv>
  <rv s="6">
    <fb>1071.51</fb>
    <v>10</v>
  </rv>
  <rv s="6">
    <fb>1072.67</fb>
    <v>10</v>
  </rv>
  <rv s="6">
    <fb>1092.26</fb>
    <v>10</v>
  </rv>
  <rv s="6">
    <fb>1081.28</fb>
    <v>10</v>
  </rv>
  <rv s="6">
    <fb>1093.6400000000001</fb>
    <v>10</v>
  </rv>
  <rv s="6">
    <fb>1071.01</fb>
    <v>10</v>
  </rv>
  <rv s="6">
    <fb>1081.05</fb>
    <v>10</v>
  </rv>
  <rv s="6">
    <fb>1093.78</fb>
    <v>10</v>
  </rv>
  <rv s="6">
    <fb>1090.27</fb>
    <v>10</v>
  </rv>
  <rv s="6">
    <fb>1063.23</fb>
    <v>10</v>
  </rv>
  <rv s="6">
    <fb>1068.31</fb>
    <v>10</v>
  </rv>
  <rv s="6">
    <fb>1052.5899999999999</fb>
    <v>10</v>
  </rv>
  <rv s="6">
    <fb>1049.23</fb>
    <v>10</v>
  </rv>
  <rv s="6">
    <fb>1035</fb>
    <v>10</v>
  </rv>
  <rv s="6">
    <fb>955.45</fb>
    <v>10</v>
  </rv>
  <rv s="6">
    <fb>957.67</fb>
    <v>10</v>
  </rv>
  <rv s="6">
    <fb>967.36</fb>
    <v>10</v>
  </rv>
  <rv s="6">
    <fb>951.17</fb>
    <v>10</v>
  </rv>
  <rv s="6">
    <fb>922.9</fb>
    <v>10</v>
  </rv>
  <rv s="6">
    <fb>924.11</fb>
    <v>10</v>
  </rv>
  <rv s="6">
    <fb>943.26</fb>
    <v>10</v>
  </rv>
  <rv s="6">
    <fb>971.01</fb>
    <v>10</v>
  </rv>
  <rv s="6">
    <fb>968.31</fb>
    <v>10</v>
  </rv>
  <rv s="6">
    <fb>969.6</fb>
    <v>10</v>
  </rv>
  <rv s="6">
    <fb>957.91</fb>
    <v>10</v>
  </rv>
  <rv s="6">
    <fb>974.58</fb>
    <v>10</v>
  </rv>
  <rv s="6">
    <fb>976.06</fb>
    <v>10</v>
  </rv>
  <rv s="6">
    <fb>981.35</fb>
    <v>10</v>
  </rv>
  <rv s="6">
    <fb>968.46</fb>
    <v>10</v>
  </rv>
  <rv s="6">
    <fb>933.85</fb>
    <v>10</v>
  </rv>
  <rv s="6">
    <fb>934.06</fb>
    <v>10</v>
  </rv>
  <rv s="6">
    <fb>961.71</fb>
    <v>10</v>
  </rv>
  <rv s="6">
    <fb>957.4</fb>
    <v>10</v>
  </rv>
  <rv s="6">
    <fb>966.56</fb>
    <v>10</v>
  </rv>
  <rv s="6">
    <fb>58.85</fb>
    <v>10</v>
  </rv>
  <rv s="6">
    <fb>58.77</fb>
    <v>10</v>
  </rv>
  <rv s="6">
    <fb>64.150000000000006</fb>
    <v>10</v>
  </rv>
  <rv s="6">
    <fb>61.59</fb>
    <v>10</v>
  </rv>
  <rv s="6">
    <fb>61.64</fb>
    <v>10</v>
  </rv>
  <rv s="6">
    <fb>63.22</fb>
    <v>10</v>
  </rv>
  <rv s="6">
    <fb>64.33</fb>
    <v>10</v>
  </rv>
  <rv s="6">
    <fb>62.1</fb>
    <v>10</v>
  </rv>
  <rv s="6">
    <fb>63.25</fb>
    <v>10</v>
  </rv>
  <rv s="6">
    <fb>62.69</fb>
    <v>10</v>
  </rv>
  <rv s="6">
    <fb>64.55</fb>
    <v>10</v>
  </rv>
  <rv s="6">
    <fb>66.3</fb>
    <v>10</v>
  </rv>
  <rv s="6">
    <fb>68.16</fb>
    <v>10</v>
  </rv>
  <rv s="6">
    <fb>68.430000000000007</fb>
    <v>10</v>
  </rv>
  <rv s="6">
    <fb>68.28</fb>
    <v>10</v>
  </rv>
  <rv s="6">
    <fb>68.88</fb>
    <v>10</v>
  </rv>
  <rv s="6">
    <fb>68.38</fb>
    <v>10</v>
  </rv>
  <rv s="6">
    <fb>68.14</fb>
    <v>10</v>
  </rv>
  <rv s="6">
    <fb>70.59</fb>
    <v>10</v>
  </rv>
  <rv s="6">
    <fb>70.239999999999995</fb>
    <v>10</v>
  </rv>
  <rv s="6">
    <fb>69.47</fb>
    <v>10</v>
  </rv>
  <rv s="6">
    <fb>70.25</fb>
    <v>10</v>
  </rv>
  <rv s="6">
    <fb>71.64</fb>
    <v>10</v>
  </rv>
  <rv s="6">
    <fb>71.45</fb>
    <v>10</v>
  </rv>
  <rv s="6">
    <fb>74.91</fb>
    <v>10</v>
  </rv>
  <rv s="6">
    <fb>75.569999999999993</fb>
    <v>10</v>
  </rv>
  <rv s="6">
    <fb>75.290000000000006</fb>
    <v>10</v>
  </rv>
  <rv s="6">
    <fb>75.959999999999994</fb>
    <v>10</v>
  </rv>
  <rv s="6">
    <fb>75.72</fb>
    <v>10</v>
  </rv>
  <rv s="6">
    <fb>76.13</fb>
    <v>10</v>
  </rv>
  <rv s="6">
    <fb>75.900000000000006</fb>
    <v>10</v>
  </rv>
  <rv s="6">
    <fb>73.42</fb>
    <v>10</v>
  </rv>
  <rv s="6">
    <fb>73.09</fb>
    <v>10</v>
  </rv>
  <rv s="6">
    <fb>75.47</fb>
    <v>10</v>
  </rv>
  <rv s="6">
    <fb>75.03</fb>
    <v>10</v>
  </rv>
  <rv s="6">
    <fb>75.53</fb>
    <v>10</v>
  </rv>
  <rv s="6">
    <fb>75.319999999999993</fb>
    <v>10</v>
  </rv>
  <rv s="6">
    <fb>75.8</fb>
    <v>10</v>
  </rv>
  <rv s="6">
    <fb>76.53</fb>
    <v>10</v>
  </rv>
  <rv s="6">
    <fb>76.400000000000006</fb>
    <v>10</v>
  </rv>
  <rv s="6">
    <fb>76.67</fb>
    <v>10</v>
  </rv>
  <rv s="6">
    <fb>78.260000000000005</fb>
    <v>10</v>
  </rv>
  <rv s="6">
    <fb>78.17</fb>
    <v>10</v>
  </rv>
  <rv s="6">
    <fb>78.03</fb>
    <v>10</v>
  </rv>
  <rv s="6">
    <fb>78.38</fb>
    <v>10</v>
  </rv>
  <rv s="6">
    <fb>78.23</fb>
    <v>10</v>
  </rv>
  <rv s="6">
    <fb>76.36</fb>
    <v>10</v>
  </rv>
  <rv s="6">
    <fb>78.069999999999993</fb>
    <v>10</v>
  </rv>
  <rv s="6">
    <fb>77.36</fb>
    <v>10</v>
  </rv>
  <rv s="6">
    <fb>78.349999999999994</fb>
    <v>10</v>
  </rv>
  <rv s="6">
    <fb>78.45</fb>
    <v>10</v>
  </rv>
  <rv s="6">
    <fb>79.36</fb>
    <v>10</v>
  </rv>
  <rv s="6">
    <fb>81.14</fb>
    <v>10</v>
  </rv>
  <rv s="6">
    <fb>82.63</fb>
    <v>10</v>
  </rv>
  <rv s="6">
    <fb>84.37</fb>
    <v>10</v>
  </rv>
  <rv s="6">
    <fb>84.38</fb>
    <v>10</v>
  </rv>
  <rv s="6">
    <fb>85.12</fb>
    <v>10</v>
  </rv>
  <rv s="6">
    <fb>86.27</fb>
    <v>10</v>
  </rv>
  <rv s="6">
    <fb>86.76</fb>
    <v>10</v>
  </rv>
  <rv s="6">
    <fb>88.72</fb>
    <v>10</v>
  </rv>
  <rv s="6">
    <fb>87.6</fb>
    <v>10</v>
  </rv>
  <rv s="6">
    <fb>85.57</fb>
    <v>10</v>
  </rv>
  <rv s="6">
    <fb>85.79</fb>
    <v>10</v>
  </rv>
  <rv s="6">
    <fb>87.08</fb>
    <v>10</v>
  </rv>
  <rv s="6">
    <fb>86.73</fb>
    <v>10</v>
  </rv>
  <rv s="6">
    <fb>90.72</fb>
    <v>10</v>
  </rv>
  <rv s="6">
    <fb>90.02</fb>
    <v>10</v>
  </rv>
  <rv s="6">
    <fb>93.09</fb>
    <v>10</v>
  </rv>
  <rv s="6">
    <fb>93.45</fb>
    <v>10</v>
  </rv>
  <rv s="6">
    <fb>92.65</fb>
    <v>10</v>
  </rv>
  <rv s="6">
    <fb>94</fb>
    <v>10</v>
  </rv>
  <rv s="6">
    <fb>95.99</fb>
    <v>10</v>
  </rv>
  <rv s="6">
    <fb>95.39</fb>
    <v>10</v>
  </rv>
  <rv s="6">
    <fb>96.07</fb>
    <v>10</v>
  </rv>
  <rv s="6">
    <fb>95.55</fb>
    <v>10</v>
  </rv>
  <rv s="6">
    <fb>94.48</fb>
    <v>10</v>
  </rv>
  <rv s="6">
    <fb>95.81</fb>
    <v>10</v>
  </rv>
  <rv s="6">
    <fb>93.7</fb>
    <v>10</v>
  </rv>
  <rv s="6">
    <fb>91.83</fb>
    <v>10</v>
  </rv>
  <rv s="6">
    <fb>92.08</fb>
    <v>10</v>
  </rv>
  <rv s="6">
    <fb>91.52</fb>
    <v>10</v>
  </rv>
  <rv s="6">
    <fb>92.23</fb>
    <v>10</v>
  </rv>
  <rv s="6">
    <fb>91.23</fb>
    <v>10</v>
  </rv>
  <rv s="6">
    <fb>92.73</fb>
    <v>10</v>
  </rv>
  <rv s="6">
    <fb>92.31</fb>
    <v>10</v>
  </rv>
  <rv s="6">
    <fb>95.74</fb>
    <v>10</v>
  </rv>
  <rv s="6">
    <fb>94.65</fb>
    <v>10</v>
  </rv>
  <rv s="6">
    <fb>95.46</fb>
    <v>10</v>
  </rv>
  <rv s="6">
    <fb>93.69</fb>
    <v>10</v>
  </rv>
  <rv s="6">
    <fb>94.22</fb>
    <v>10</v>
  </rv>
  <rv s="6">
    <fb>93.74</fb>
    <v>10</v>
  </rv>
  <rv s="6">
    <fb>93.17</fb>
    <v>10</v>
  </rv>
  <rv s="6">
    <fb>92.59</fb>
    <v>10</v>
  </rv>
  <rv s="6">
    <fb>95.26</fb>
    <v>10</v>
  </rv>
  <rv s="6">
    <fb>95</fb>
    <v>10</v>
  </rv>
  <rv s="6">
    <fb>95.72</fb>
    <v>10</v>
  </rv>
  <rv s="6">
    <fb>96.87</fb>
    <v>10</v>
  </rv>
  <rv s="6">
    <fb>96.82</fb>
    <v>10</v>
  </rv>
  <rv s="6">
    <fb>96.57</fb>
    <v>10</v>
  </rv>
  <rv s="6">
    <fb>94.78</fb>
    <v>10</v>
  </rv>
  <rv s="6">
    <fb>95.03</fb>
    <v>10</v>
  </rv>
  <rv s="6">
    <fb>97.08</fb>
    <v>10</v>
  </rv>
  <rv s="6">
    <fb>95.4</fb>
    <v>10</v>
  </rv>
  <rv s="6">
    <fb>95.87</fb>
    <v>10</v>
  </rv>
  <rv s="6">
    <fb>97.34</fb>
    <v>10</v>
  </rv>
  <rv s="6">
    <fb>97.17</fb>
    <v>10</v>
  </rv>
  <rv s="6">
    <fb>98.82</fb>
    <v>10</v>
  </rv>
  <rv s="6">
    <fb>99.44</fb>
    <v>10</v>
  </rv>
  <rv s="6">
    <fb>99.79</fb>
    <v>10</v>
  </rv>
  <rv s="6">
    <fb>100.64</fb>
    <v>10</v>
  </rv>
  <rv s="6">
    <fb>101.76</fb>
    <v>10</v>
  </rv>
  <rv s="6">
    <fb>102.41</fb>
    <v>10</v>
  </rv>
  <rv s="6">
    <fb>102.68</fb>
    <v>10</v>
  </rv>
  <rv s="6">
    <fb>103.49</fb>
    <v>10</v>
  </rv>
  <rv s="6">
    <fb>103</fb>
    <v>10</v>
  </rv>
  <rv s="6">
    <fb>101.65</fb>
    <v>10</v>
  </rv>
  <rv s="6">
    <fb>102.11</fb>
    <v>10</v>
  </rv>
  <rv s="6">
    <fb>103.42</fb>
    <v>10</v>
  </rv>
  <rv s="6">
    <fb>103.16</fb>
    <v>10</v>
  </rv>
  <rv s="6">
    <fb>101.5</fb>
    <v>10</v>
  </rv>
  <rv s="6">
    <fb>98.71</fb>
    <v>10</v>
  </rv>
  <rv s="6">
    <fb>97.74</fb>
    <v>10</v>
  </rv>
  <rv s="6">
    <fb>98.05</fb>
    <v>10</v>
  </rv>
  <rv s="6">
    <fb>97.8</fb>
    <v>10</v>
  </rv>
  <rv s="6">
    <fb>96.7</fb>
    <v>10</v>
  </rv>
  <rv s="6">
    <fb>95.92</fb>
    <v>10</v>
  </rv>
  <rv s="6">
    <fb>93.93</fb>
    <v>10</v>
  </rv>
  <rv s="6">
    <fb>96.1</fb>
    <v>10</v>
  </rv>
  <rv s="6">
    <fb>99.84</fb>
    <v>10</v>
  </rv>
  <rv s="6">
    <fb>99.78</fb>
    <v>10</v>
  </rv>
  <rv s="6">
    <fb>96.26</fb>
    <v>10</v>
  </rv>
  <rv s="6">
    <fb>97.07</fb>
    <v>10</v>
  </rv>
  <rv s="6">
    <fb>99.3</fb>
    <v>10</v>
  </rv>
  <rv s="6">
    <fb>98.25</fb>
    <v>10</v>
  </rv>
  <rv s="6">
    <fb>96.3</fb>
    <v>10</v>
  </rv>
  <rv s="6">
    <fb>96.69</fb>
    <v>10</v>
  </rv>
  <rv s="6">
    <fb>98.78</fb>
    <v>10</v>
  </rv>
  <rv s="6">
    <fb>100.99</fb>
    <v>10</v>
  </rv>
  <rv s="6">
    <fb>101.39</fb>
    <v>10</v>
  </rv>
  <rv s="6">
    <fb>99.12</fb>
    <v>10</v>
  </rv>
  <rv s="6">
    <fb>100.22</fb>
    <v>10</v>
  </rv>
  <rv s="6">
    <fb>101.23</fb>
    <v>10</v>
  </rv>
  <rv s="6">
    <fb>101.61</fb>
    <v>10</v>
  </rv>
  <rv s="6">
    <fb>101.01</fb>
    <v>10</v>
  </rv>
  <rv s="6">
    <fb>101.69</fb>
    <v>10</v>
  </rv>
  <rv s="6">
    <fb>100.85</fb>
    <v>10</v>
  </rv>
  <rv s="6">
    <fb>100.79</fb>
    <v>10</v>
  </rv>
  <rv s="6">
    <fb>101.49</fb>
    <v>10</v>
  </rv>
  <rv s="6">
    <fb>100.76</fb>
    <v>10</v>
  </rv>
  <rv s="6">
    <fb>102.87</fb>
    <v>10</v>
  </rv>
  <rv s="6">
    <fb>100.67</fb>
    <v>10</v>
  </rv>
  <rv s="6">
    <fb>100.3</fb>
    <v>10</v>
  </rv>
  <rv s="6">
    <fb>98.19</fb>
    <v>10</v>
  </rv>
  <rv s="6">
    <fb>98.32</fb>
    <v>10</v>
  </rv>
  <rv s="6">
    <fb>99.83</fb>
    <v>10</v>
  </rv>
  <rv s="6">
    <fb>97.63</fb>
    <v>10</v>
  </rv>
  <rv s="6">
    <fb>98.7</fb>
    <v>10</v>
  </rv>
  <rv s="6">
    <fb>99.69</fb>
    <v>10</v>
  </rv>
  <rv s="6">
    <fb>101.17</fb>
    <v>10</v>
  </rv>
  <rv s="6">
    <fb>102.5</fb>
    <v>10</v>
  </rv>
  <rv s="6">
    <fb>103.6</fb>
    <v>10</v>
  </rv>
  <rv s="6">
    <fb>103.19</fb>
    <v>10</v>
  </rv>
  <rv s="6">
    <fb>106.72</fb>
    <v>10</v>
  </rv>
  <rv s="6">
    <fb>107.79</fb>
    <v>10</v>
  </rv>
  <rv s="6">
    <fb>108.88</fb>
    <v>10</v>
  </rv>
  <rv s="6">
    <fb>108.92</fb>
    <v>10</v>
  </rv>
  <rv s="6">
    <fb>109.43</fb>
    <v>10</v>
  </rv>
  <rv s="6">
    <fb>111.09</fb>
    <v>10</v>
  </rv>
  <rv s="6">
    <fb>111.74</fb>
    <v>10</v>
  </rv>
  <rv s="6">
    <fb>111.8</fb>
    <v>10</v>
  </rv>
  <rv s="6">
    <fb>112.8</fb>
    <v>10</v>
  </rv>
  <rv s="6">
    <fb>111.28</fb>
    <v>10</v>
  </rv>
  <rv s="6">
    <fb>111.46</fb>
    <v>10</v>
  </rv>
  <rv s="6">
    <fb>112.83</fb>
    <v>10</v>
  </rv>
  <rv s="6">
    <fb>114.86</fb>
    <v>10</v>
  </rv>
  <rv s="6">
    <fb>118.09</fb>
    <v>10</v>
  </rv>
  <rv s="6">
    <fb>119.4</fb>
    <v>10</v>
  </rv>
  <rv s="6">
    <fb>121.56</fb>
    <v>10</v>
  </rv>
  <rv s="6">
    <fb>120.42</fb>
    <v>10</v>
  </rv>
  <rv s="6">
    <fb>118.13</fb>
    <v>10</v>
  </rv>
  <rv s="6">
    <fb>117.21</fb>
    <v>10</v>
  </rv>
  <rv s="6">
    <fb>116.69</fb>
    <v>10</v>
  </rv>
  <rv s="6">
    <fb>118.7</fb>
    <v>10</v>
  </rv>
  <rv s="6">
    <fb>123.3</fb>
    <v>10</v>
  </rv>
  <rv s="6">
    <fb>122.5</fb>
    <v>10</v>
  </rv>
  <rv s="6">
    <fb>121.37</fb>
    <v>10</v>
  </rv>
  <rv s="6">
    <fb>120.6</fb>
    <v>10</v>
  </rv>
  <rv s="6">
    <fb>121.32</fb>
    <v>10</v>
  </rv>
  <rv s="6">
    <fb>117.7</fb>
    <v>10</v>
  </rv>
  <rv s="6">
    <fb>116.3</fb>
    <v>10</v>
  </rv>
  <rv s="6">
    <fb>112.41</fb>
    <v>10</v>
  </rv>
  <rv s="6">
    <fb>117.46</fb>
    <v>10</v>
  </rv>
  <rv s="6">
    <fb>118.04</fb>
    <v>10</v>
  </rv>
  <rv s="6">
    <fb>113.86</fb>
    <v>10</v>
  </rv>
  <rv s="6">
    <fb>115.66</fb>
    <v>10</v>
  </rv>
  <rv s="6">
    <fb>113.59</fb>
    <v>10</v>
  </rv>
  <rv s="6">
    <fb>114.82</fb>
    <v>10</v>
  </rv>
  <rv s="6">
    <fb>114.79</fb>
    <v>10</v>
  </rv>
  <rv s="6">
    <fb>114.2</fb>
    <v>10</v>
  </rv>
  <rv s="6">
    <fb>115.2</fb>
    <v>10</v>
  </rv>
  <rv s="6">
    <fb>115.71</fb>
    <v>10</v>
  </rv>
  <rv s="6">
    <fb>116.23</fb>
    <v>10</v>
  </rv>
  <rv s="6">
    <fb>117.71</fb>
    <v>10</v>
  </rv>
  <rv s="6">
    <fb>117.43</fb>
    <v>10</v>
  </rv>
  <rv s="6">
    <fb>115.74</fb>
    <v>10</v>
  </rv>
  <rv s="6">
    <fb>122.69</fb>
    <v>10</v>
  </rv>
  <rv s="6">
    <fb>123.77</fb>
    <v>10</v>
  </rv>
  <rv s="6">
    <fb>122.15</fb>
    <v>10</v>
  </rv>
  <rv s="6">
    <fb>117.39</fb>
    <v>10</v>
  </rv>
  <rv s="6">
    <fb>111.15</fb>
    <v>10</v>
  </rv>
  <rv s="6">
    <fb>110.86</fb>
    <v>10</v>
  </rv>
  <rv s="6">
    <fb>113.78</fb>
    <v>10</v>
  </rv>
  <rv s="6">
    <fb>116.27</fb>
    <v>10</v>
  </rv>
  <rv s="6">
    <fb>115.55</fb>
    <v>10</v>
  </rv>
  <rv s="6">
    <fb>116</fb>
    <v>10</v>
  </rv>
  <rv s="6">
    <fb>110.75</fb>
    <v>10</v>
  </rv>
  <rv s="6">
    <fb>109.56</fb>
    <v>10</v>
  </rv>
  <rv s="6">
    <fb>114.34</fb>
    <v>10</v>
  </rv>
  <rv s="6">
    <fb>110.19</fb>
    <v>10</v>
  </rv>
  <rv s="6">
    <fb>111.45</fb>
    <v>10</v>
  </rv>
  <rv s="6">
    <fb>110.76</fb>
    <v>10</v>
  </rv>
  <rv s="6">
    <fb>111.32</fb>
    <v>10</v>
  </rv>
  <rv s="6">
    <fb>108.95</fb>
    <v>10</v>
  </rv>
  <rv s="6">
    <fb>106.53</fb>
    <v>10</v>
  </rv>
  <rv s="6">
    <fb>106.59</fb>
    <v>10</v>
  </rv>
  <rv s="6">
    <fb>108.97</fb>
    <v>10</v>
  </rv>
  <rv s="6">
    <fb>109.19</fb>
    <v>10</v>
  </rv>
  <rv s="6">
    <fb>105.5</fb>
    <v>10</v>
  </rv>
  <rv s="6">
    <fb>105.69</fb>
    <v>10</v>
  </rv>
  <rv s="6">
    <fb>107.35</fb>
    <v>10</v>
  </rv>
  <rv s="6">
    <fb>107.71</fb>
    <v>10</v>
  </rv>
  <rv s="6">
    <fb>108.67</fb>
    <v>10</v>
  </rv>
  <rv s="6">
    <fb>109.85</fb>
    <v>10</v>
  </rv>
  <rv s="6">
    <fb>109.52</fb>
    <v>10</v>
  </rv>
  <rv s="6">
    <fb>111.64</fb>
    <v>10</v>
  </rv>
  <rv s="6">
    <fb>113.74</fb>
    <v>10</v>
  </rv>
  <rv s="6">
    <fb>114.48</fb>
    <v>10</v>
  </rv>
  <rv s="6">
    <fb>107.38</fb>
    <v>10</v>
  </rv>
  <rv s="6">
    <fb>107.27</fb>
    <v>10</v>
  </rv>
  <rv s="6">
    <fb>113.41</fb>
    <v>10</v>
  </rv>
  <rv s="6">
    <fb>115.25</fb>
    <v>10</v>
  </rv>
  <rv s="6">
    <fb>140.15</fb>
    <v>10</v>
  </rv>
  <rv s="6">
    <fb>136.93</fb>
    <v>10</v>
  </rv>
  <rv s="6">
    <fb>146.03</fb>
    <v>10</v>
  </rv>
  <rv s="6">
    <fb>134.97999999999999</fb>
    <v>10</v>
  </rv>
  <rv s="6">
    <fb>135.63</fb>
    <v>10</v>
  </rv>
  <rv s="6">
    <fb>135.32</fb>
    <v>10</v>
  </rv>
  <rv s="6">
    <fb>134.54</fb>
    <v>10</v>
  </rv>
  <rv s="6">
    <fb>135.36000000000001</fb>
    <v>10</v>
  </rv>
  <rv s="6">
    <fb>137.87</fb>
    <v>10</v>
  </rv>
  <rv s="6">
    <fb>133.72999999999999</fb>
    <v>10</v>
  </rv>
  <rv s="6">
    <fb>137.30000000000001</fb>
    <v>10</v>
  </rv>
  <rv s="6">
    <fb>136.68</fb>
    <v>10</v>
  </rv>
  <rv s="6">
    <fb>139.07</fb>
    <v>10</v>
  </rv>
  <rv s="6">
    <fb>138.72999999999999</fb>
    <v>10</v>
  </rv>
  <rv s="6">
    <fb>140.1</fb>
    <v>10</v>
  </rv>
  <rv s="6">
    <fb>136.06</fb>
    <v>10</v>
  </rv>
  <rv s="6">
    <fb>136.26</fb>
    <v>10</v>
  </rv>
  <rv s="6">
    <fb>135.5</fb>
    <v>10</v>
  </rv>
  <rv s="6">
    <fb>135.6</fb>
    <v>10</v>
  </rv>
  <rv s="6">
    <fb>135.79</fb>
    <v>10</v>
  </rv>
  <rv s="6">
    <fb>137.04</fb>
    <v>10</v>
  </rv>
  <rv s="6">
    <fb>138.49</fb>
    <v>10</v>
  </rv>
  <rv s="6">
    <fb>141.62</fb>
    <v>10</v>
  </rv>
  <rv s="6">
    <fb>142.35</fb>
    <v>10</v>
  </rv>
  <rv s="6">
    <fb>141.66999999999999</fb>
    <v>10</v>
  </rv>
  <rv s="6">
    <fb>142.26</fb>
    <v>10</v>
  </rv>
  <rv s="6">
    <fb>137.27000000000001</fb>
    <v>10</v>
  </rv>
  <rv s="6">
    <fb>135.56</fb>
    <v>10</v>
  </rv>
  <rv s="6">
    <fb>135.29</fb>
    <v>10</v>
  </rv>
  <rv s="6">
    <fb>136.54</fb>
    <v>10</v>
  </rv>
  <rv s="6">
    <fb>137.83000000000001</fb>
    <v>10</v>
  </rv>
  <rv s="6">
    <fb>136.02000000000001</fb>
    <v>10</v>
  </rv>
  <rv s="6">
    <fb>136.69999999999999</fb>
    <v>10</v>
  </rv>
  <rv s="6">
    <fb>137.84</fb>
    <v>10</v>
  </rv>
  <rv s="6">
    <fb>139.55000000000001</fb>
    <v>10</v>
  </rv>
  <rv s="6">
    <fb>137.37</fb>
    <v>10</v>
  </rv>
  <rv s="6">
    <fb>136.9</fb>
    <v>10</v>
  </rv>
  <rv s="6">
    <fb>140.21</fb>
    <v>10</v>
  </rv>
  <rv s="6">
    <fb>140.76</fb>
    <v>10</v>
  </rv>
  <rv s="6">
    <fb>143.35</fb>
    <v>10</v>
  </rv>
  <rv s="6">
    <fb>144.78</fb>
    <v>10</v>
  </rv>
  <rv s="6">
    <fb>144.97</fb>
    <v>10</v>
  </rv>
  <rv s="6">
    <fb>145.91</fb>
    <v>10</v>
  </rv>
  <rv s="6">
    <fb>148.85</fb>
    <v>10</v>
  </rv>
  <rv s="6">
    <fb>148.19</fb>
    <v>10</v>
  </rv>
  <rv s="6">
    <fb>149.55000000000001</fb>
    <v>10</v>
  </rv>
  <rv s="6">
    <fb>146.86000000000001</fb>
    <v>10</v>
  </rv>
  <rv s="6">
    <fb>143.55000000000001</fb>
    <v>10</v>
  </rv>
  <rv s="6">
    <fb>143.22999999999999</fb>
    <v>10</v>
  </rv>
  <rv s="6">
    <fb>144.44</fb>
    <v>10</v>
  </rv>
  <rv s="6">
    <fb>143.79</fb>
    <v>10</v>
  </rv>
  <rv s="6">
    <fb>143.19</fb>
    <v>10</v>
  </rv>
  <rv s="6">
    <fb>145.57</fb>
    <v>10</v>
  </rv>
  <rv s="6">
    <fb>147.97999999999999</fb>
    <v>10</v>
  </rv>
  <rv s="6">
    <fb>148.37</fb>
    <v>10</v>
  </rv>
  <rv s="6">
    <fb>147.4</fb>
    <v>10</v>
  </rv>
  <rv s="6">
    <fb>153.24</fb>
    <v>10</v>
  </rv>
  <rv s="6">
    <fb>153.02000000000001</fb>
    <v>10</v>
  </rv>
  <rv s="6">
    <fb>154.16999999999999</fb>
    <v>10</v>
  </rv>
  <rv s="6">
    <fb>155.31</fb>
    <v>10</v>
  </rv>
  <rv s="6">
    <fb>151.65</fb>
    <v>10</v>
  </rv>
  <rv s="6">
    <fb>150.69</fb>
    <v>10</v>
  </rv>
  <rv s="6">
    <fb>149.91999999999999</fb>
    <v>10</v>
  </rv>
  <rv s="6">
    <fb>151.38</fb>
    <v>10</v>
  </rv>
  <rv s="6">
    <fb>150.04</fb>
    <v>10</v>
  </rv>
  <rv s="6">
    <fb>149.68</fb>
    <v>10</v>
  </rv>
  <rv s="6">
    <fb>153.12</fb>
    <v>10</v>
  </rv>
  <rv s="6">
    <fb>155.83000000000001</fb>
    <v>10</v>
  </rv>
  <rv s="6">
    <fb>154.84</fb>
    <v>10</v>
  </rv>
  <rv s="6">
    <fb>156.28</fb>
    <v>10</v>
  </rv>
  <rv s="6">
    <fb>157.03</fb>
    <v>10</v>
  </rv>
  <rv s="6">
    <fb>153.56</fb>
    <v>10</v>
  </rv>
  <rv s="6">
    <fb>151.63999999999999</fb>
    <v>10</v>
  </rv>
  <rv s="6">
    <fb>151.4</fb>
    <v>10</v>
  </rv>
  <rv s="6">
    <fb>151.04</fb>
    <v>10</v>
  </rv>
  <rv s="6">
    <fb>153.04</fb>
    <v>10</v>
  </rv>
  <rv s="6">
    <fb>152.78</fb>
    <v>10</v>
  </rv>
  <rv s="6">
    <fb>153.16</fb>
    <v>10</v>
  </rv>
  <rv s="6">
    <fb>155.01</fb>
    <v>10</v>
  </rv>
  <rv s="6">
    <fb>153.44999999999999</fb>
    <v>10</v>
  </rv>
  <rv s="6">
    <fb>154.44</fb>
    <v>10</v>
  </rv>
  <rv s="6">
    <fb>155.87</fb>
    <v>10</v>
  </rv>
  <rv s="6">
    <fb>155.16</fb>
    <v>10</v>
  </rv>
  <rv s="6">
    <fb>156.55000000000001</fb>
    <v>10</v>
  </rv>
  <rv s="6">
    <fb>155.32</fb>
    <v>10</v>
  </rv>
  <rv s="6">
    <fb>152</fb>
    <v>10</v>
  </rv>
  <rv s="6">
    <fb>153.22</fb>
    <v>10</v>
  </rv>
  <rv s="6">
    <fb>155.55000000000001</fb>
    <v>10</v>
  </rv>
  <rv s="6">
    <fb>158.18</fb>
    <v>10</v>
  </rv>
  <rv s="6">
    <fb>158.19999999999999</fb>
    <v>10</v>
  </rv>
  <rv s="6">
    <fb>157.36000000000001</fb>
    <v>10</v>
  </rv>
  <rv s="6">
    <fb>159.24</fb>
    <v>10</v>
  </rv>
  <rv s="6">
    <fb>159.32</fb>
    <v>10</v>
  </rv>
  <rv s="6">
    <fb>160.6</fb>
    <v>10</v>
  </rv>
  <rv s="6">
    <fb>161.83000000000001</fb>
    <v>10</v>
  </rv>
  <rv s="6">
    <fb>158.06</fb>
    <v>10</v>
  </rv>
  <rv s="6">
    <fb>157.69</fb>
    <v>10</v>
  </rv>
  <rv s="6">
    <fb>153.66</fb>
    <v>10</v>
  </rv>
  <rv s="6">
    <fb>154</fb>
    <v>10</v>
  </rv>
  <rv s="6">
    <fb>154.85</fb>
    <v>10</v>
  </rv>
  <rv s="6">
    <fb>157.79</fb>
    <v>10</v>
  </rv>
  <rv s="6">
    <fb>158.25</fb>
    <v>10</v>
  </rv>
  <rv s="6">
    <fb>157.11000000000001</fb>
    <v>10</v>
  </rv>
  <rv s="6">
    <fb>157.31</fb>
    <v>10</v>
  </rv>
  <rv s="6">
    <fb>160.09</fb>
    <v>10</v>
  </rv>
  <rv s="6">
    <fb>158.84</fb>
    <v>10</v>
  </rv>
  <rv s="6">
    <fb>156.21</fb>
    <v>10</v>
  </rv>
  <rv s="6">
    <fb>156.05000000000001</fb>
    <v>10</v>
  </rv>
  <rv s="6">
    <fb>157.41999999999999</fb>
    <v>10</v>
  </rv>
  <rv s="6">
    <fb>159.18</fb>
    <v>10</v>
  </rv>
  <rv s="6">
    <fb>160.72</fb>
    <v>10</v>
  </rv>
  <rv s="6">
    <fb>160.16</fb>
    <v>10</v>
  </rv>
  <rv s="6">
    <fb>156.1</fb>
    <v>10</v>
  </rv>
  <rv s="6">
    <fb>155.29</fb>
    <v>10</v>
  </rv>
  <rv s="6">
    <fb>154.58000000000001</fb>
    <v>10</v>
  </rv>
  <rv s="6">
    <fb>153.37</fb>
    <v>10</v>
  </rv>
  <rv s="6">
    <fb>153.55000000000001</fb>
    <v>10</v>
  </rv>
  <rv s="6">
    <fb>154.02000000000001</fb>
    <v>10</v>
  </rv>
  <rv s="6">
    <fb>154.91</fb>
    <v>10</v>
  </rv>
  <rv s="6">
    <fb>153.74</fb>
    <v>10</v>
  </rv>
  <rv s="6">
    <fb>148.9</fb>
    <v>10</v>
  </rv>
  <rv s="6">
    <fb>151.94</fb>
    <v>10</v>
  </rv>
  <rv s="6">
    <fb>152.38999999999999</fb>
    <v>10</v>
  </rv>
  <rv s="6">
    <fb>152.11000000000001</fb>
    <v>10</v>
  </rv>
  <rv s="6">
    <fb>151.71</fb>
    <v>10</v>
  </rv>
  <rv s="6">
    <fb>153.08000000000001</fb>
    <v>10</v>
  </rv>
  <rv s="6">
    <fb>154.47999999999999</fb>
    <v>10</v>
  </rv>
  <rv s="6">
    <fb>153.79</fb>
    <v>10</v>
  </rv>
  <rv s="6">
    <fb>155.57</fb>
    <v>10</v>
  </rv>
  <rv s="6">
    <fb>156.56</fb>
    <v>10</v>
  </rv>
  <rv s="6">
    <fb>155.56</fb>
    <v>10</v>
  </rv>
  <rv s="6">
    <fb>155.28</fb>
    <v>10</v>
  </rv>
  <rv s="6">
    <fb>154.13</fb>
    <v>10</v>
  </rv>
  <rv s="6">
    <fb>155.1</fb>
    <v>10</v>
  </rv>
  <rv s="6">
    <fb>153.52000000000001</fb>
    <v>10</v>
  </rv>
  <rv s="6">
    <fb>157.72</fb>
    <v>10</v>
  </rv>
  <rv s="6">
    <fb>154.04</fb>
    <v>10</v>
  </rv>
  <rv s="6">
    <fb>153.38999999999999</fb>
    <v>10</v>
  </rv>
  <rv s="6">
    <fb>152.66</fb>
    <v>10</v>
  </rv>
  <rv s="6">
    <fb>152.94</fb>
    <v>10</v>
  </rv>
  <rv s="6">
    <fb>155.02000000000001</fb>
    <v>10</v>
  </rv>
  <rv s="6">
    <fb>155.65</fb>
    <v>10</v>
  </rv>
  <rv s="6">
    <fb>156.24</fb>
    <v>10</v>
  </rv>
  <rv s="6">
    <fb>153.32</fb>
    <v>10</v>
  </rv>
  <rv s="6">
    <fb>155.58000000000001</fb>
    <v>10</v>
  </rv>
  <rv s="6">
    <fb>157.62</fb>
    <v>10</v>
  </rv>
  <rv s="6">
    <fb>154.82</fb>
    <v>10</v>
  </rv>
  <rv s="6">
    <fb>153.62</fb>
    <v>10</v>
  </rv>
  <rv s="6">
    <fb>150.31</fb>
    <v>10</v>
  </rv>
  <rv s="6">
    <fb>149.97999999999999</fb>
    <v>10</v>
  </rv>
  <rv s="6">
    <fb>149.75</fb>
    <v>10</v>
  </rv>
  <rv s="6">
    <fb>148.53</fb>
    <v>10</v>
  </rv>
  <rv s="6">
    <fb>149.51</fb>
    <v>10</v>
  </rv>
  <rv s="6">
    <fb>151.13</fb>
    <v>10</v>
  </rv>
  <rv s="6">
    <fb>152.54</fb>
    <v>10</v>
  </rv>
  <rv s="6">
    <fb>150.25</fb>
    <v>10</v>
  </rv>
  <rv s="6">
    <fb>151.59</fb>
    <v>10</v>
  </rv>
  <rv s="6">
    <fb>152.26</fb>
    <v>10</v>
  </rv>
  <rv s="6">
    <fb>150</fb>
    <v>10</v>
  </rv>
  <rv s="6">
    <fb>148.71</fb>
    <v>10</v>
  </rv>
  <rv s="6">
    <fb>148.49</fb>
    <v>10</v>
  </rv>
  <rv s="6">
    <fb>150.72</fb>
    <v>10</v>
  </rv>
  <rv s="6">
    <fb>149.99</fb>
    <v>10</v>
  </rv>
  <rv s="6">
    <fb>146.75</fb>
    <v>10</v>
  </rv>
  <rv s="6">
    <fb>149.52000000000001</fb>
    <v>10</v>
  </rv>
  <rv s="6">
    <fb>147.69</fb>
    <v>10</v>
  </rv>
  <rv s="6">
    <fb>147.75</fb>
    <v>10</v>
  </rv>
  <rv s="6">
    <fb>150.51</fb>
    <v>10</v>
  </rv>
  <rv s="6">
    <fb>150.5</fb>
    <v>10</v>
  </rv>
  <rv s="6">
    <fb>150.02000000000001</fb>
    <v>10</v>
  </rv>
  <rv s="6">
    <fb>150.99</fb>
    <v>10</v>
  </rv>
  <rv s="6">
    <fb>152.31</fb>
    <v>10</v>
  </rv>
  <rv s="6">
    <fb>152.41</fb>
    <v>10</v>
  </rv>
  <rv s="6">
    <fb>155.9</fb>
    <v>10</v>
  </rv>
  <rv s="6">
    <fb>163.85</fb>
    <v>10</v>
  </rv>
  <rv s="6">
    <fb>156.54</fb>
    <v>10</v>
  </rv>
  <rv s="6">
    <fb>155.19999999999999</fb>
    <v>10</v>
  </rv>
  <rv s="6">
    <fb>159.25</fb>
    <v>10</v>
  </rv>
  <rv s="6">
    <fb>162.11000000000001</fb>
    <v>10</v>
  </rv>
  <rv s="6">
    <fb>162.34</fb>
    <v>10</v>
  </rv>
  <rv s="6">
    <fb>163.87</fb>
    <v>10</v>
  </rv>
  <rv s="6">
    <fb>167.24</fb>
    <v>10</v>
  </rv>
  <rv s="6">
    <fb>166.16</fb>
    <v>10</v>
  </rv>
  <rv s="6">
    <fb>166.26</fb>
    <v>10</v>
  </rv>
  <rv s="6">
    <fb>165.3</fb>
    <v>10</v>
  </rv>
  <rv s="6">
    <fb>166.73</fb>
    <v>10</v>
  </rv>
  <rv s="6">
    <fb>166.66</fb>
    <v>10</v>
  </rv>
  <rv s="6">
    <fb>166.72</fb>
    <v>10</v>
  </rv>
  <rv s="6">
    <fb>167.5</fb>
    <v>10</v>
  </rv>
  <rv s="6">
    <fb>169.05</fb>
    <v>10</v>
  </rv>
  <rv s="6">
    <fb>169.93</fb>
    <v>10</v>
  </rv>
  <rv s="6">
    <fb>171.19</fb>
    <v>10</v>
  </rv>
  <rv s="6">
    <fb>176.9</fb>
    <v>10</v>
  </rv>
  <rv s="6">
    <fb>174.03</fb>
    <v>10</v>
  </rv>
  <rv s="6">
    <fb>178.04</fb>
    <v>10</v>
  </rv>
  <rv s="6">
    <fb>181.23</fb>
    <v>10</v>
  </rv>
  <rv s="6">
    <fb>179.23</fb>
    <v>10</v>
  </rv>
  <rv s="6">
    <fb>180.86</fb>
    <v>10</v>
  </rv>
  <rv s="6">
    <fb>182.6</fb>
    <v>10</v>
  </rv>
  <rv s="6">
    <fb>182.26</fb>
    <v>10</v>
  </rv>
  <rv s="6">
    <fb>185.82</fb>
    <v>10</v>
  </rv>
  <rv s="6">
    <fb>182.4</fb>
    <v>10</v>
  </rv>
  <rv s="6">
    <fb>183.74</fb>
    <v>10</v>
  </rv>
  <rv s="6">
    <fb>180.55</fb>
    <v>10</v>
  </rv>
  <rv s="6">
    <fb>183.87</fb>
    <v>10</v>
  </rv>
  <rv s="6">
    <fb>184.78</fb>
    <v>10</v>
  </rv>
  <rv s="6">
    <fb>183.93</fb>
    <v>10</v>
  </rv>
  <rv s="6">
    <fb>184.91</fb>
    <v>10</v>
  </rv>
  <rv s="6">
    <fb>185.34</fb>
    <v>10</v>
  </rv>
  <rv s="6">
    <fb>184.22</fb>
    <v>10</v>
  </rv>
  <rv s="6">
    <fb>184.16</fb>
    <v>10</v>
  </rv>
  <rv s="6">
    <fb>186.76</fb>
    <v>10</v>
  </rv>
  <rv s="6">
    <fb>188.77</fb>
    <v>10</v>
  </rv>
  <rv s="6">
    <fb>186.03</fb>
    <v>10</v>
  </rv>
  <rv s="6">
    <fb>189.9</fb>
    <v>10</v>
  </rv>
  <rv s="6">
    <fb>189.94</fb>
    <v>10</v>
  </rv>
  <rv s="6">
    <fb>189.44</fb>
    <v>10</v>
  </rv>
  <rv s="6">
    <fb>186.29</fb>
    <v>10</v>
  </rv>
  <rv s="6">
    <fb>191.79</fb>
    <v>10</v>
  </rv>
  <rv s="6">
    <fb>196.97</fb>
    <v>10</v>
  </rv>
  <rv s="6">
    <fb>196.82</fb>
    <v>10</v>
  </rv>
  <rv s="6">
    <fb>196.84</fb>
    <v>10</v>
  </rv>
  <rv s="6">
    <fb>197.97</fb>
    <v>10</v>
  </rv>
  <rv s="6">
    <fb>198.61</fb>
    <v>10</v>
  </rv>
  <rv s="6">
    <fb>201.44</fb>
    <v>10</v>
  </rv>
  <rv s="6">
    <fb>201.73</fb>
    <v>10</v>
  </rv>
  <rv s="6">
    <fb>205.21</fb>
    <v>10</v>
  </rv>
  <rv s="6">
    <fb>206.79</fb>
    <v>10</v>
  </rv>
  <rv s="6">
    <fb>205.15</fb>
    <v>10</v>
  </rv>
  <rv s="6">
    <fb>207.79</fb>
    <v>10</v>
  </rv>
  <rv s="6">
    <fb>211.15</fb>
    <v>10</v>
  </rv>
  <rv s="6">
    <fb>210.71</fb>
    <v>10</v>
  </rv>
  <rv s="6">
    <fb>206.9</fb>
    <v>10</v>
  </rv>
  <rv s="6">
    <fb>197.41</fb>
    <v>10</v>
  </rv>
  <rv s="6">
    <fb>198.97</fb>
    <v>10</v>
  </rv>
  <rv s="6">
    <fb>9.24</fb>
    <v>10</v>
  </rv>
  <rv s="6">
    <fb>8.69</fb>
    <v>10</v>
  </rv>
  <rv s="6">
    <fb>9.5</fb>
    <v>10</v>
  </rv>
  <rv s="6">
    <fb>9.14</fb>
    <v>10</v>
  </rv>
  <rv s="6">
    <fb>9.33</fb>
    <v>10</v>
  </rv>
  <rv s="6">
    <fb>9.7100000000000009</fb>
    <v>10</v>
  </rv>
  <rv s="6">
    <fb>9.4499999999999993</fb>
    <v>10</v>
  </rv>
  <rv s="6">
    <fb>9.4</fb>
    <v>10</v>
  </rv>
  <rv s="6">
    <fb>9.6300000000000008</fb>
    <v>10</v>
  </rv>
  <rv s="6">
    <fb>9.4700000000000006</fb>
    <v>10</v>
  </rv>
  <rv s="6">
    <fb>9.65</fb>
    <v>10</v>
  </rv>
  <rv s="6">
    <fb>9.7799999999999994</fb>
    <v>10</v>
  </rv>
  <rv s="6">
    <fb>10.06</fb>
    <v>10</v>
  </rv>
  <rv s="6">
    <fb>10.039999999999999</fb>
    <v>10</v>
  </rv>
  <rv s="6">
    <fb>10.02</fb>
    <v>10</v>
  </rv>
  <rv s="6">
    <fb>10.15</fb>
    <v>10</v>
  </rv>
  <rv s="6">
    <fb>10.01</fb>
    <v>10</v>
  </rv>
  <rv s="6">
    <fb>10.18</fb>
    <v>10</v>
  </rv>
  <rv s="6">
    <fb>10.28</fb>
    <v>10</v>
  </rv>
  <rv s="6">
    <fb>10.17</fb>
    <v>10</v>
  </rv>
  <rv s="6">
    <fb>10.44</fb>
    <v>10</v>
  </rv>
  <rv s="6">
    <fb>10.43</fb>
    <v>10</v>
  </rv>
  <rv s="6">
    <fb>10.55</fb>
    <v>10</v>
  </rv>
  <rv s="6">
    <fb>10.6</fb>
    <v>10</v>
  </rv>
  <rv s="6">
    <fb>10.65</fb>
    <v>10</v>
  </rv>
  <rv s="6">
    <fb>10.75</fb>
    <v>10</v>
  </rv>
  <rv s="6">
    <fb>10.8</fb>
    <v>10</v>
  </rv>
  <rv s="6">
    <fb>10.72</fb>
    <v>10</v>
  </rv>
  <rv s="6">
    <fb>10.48</fb>
    <v>10</v>
  </rv>
  <rv s="6">
    <fb>10.36</fb>
    <v>10</v>
  </rv>
  <rv s="6">
    <fb>10.31</fb>
    <v>10</v>
  </rv>
  <rv s="6">
    <fb>10.220000000000001</fb>
    <v>10</v>
  </rv>
  <rv s="6">
    <fb>10.38</fb>
    <v>10</v>
  </rv>
  <rv s="6">
    <fb>9.98</fb>
    <v>10</v>
  </rv>
  <rv s="6">
    <fb>10.19</fb>
    <v>10</v>
  </rv>
  <rv s="6">
    <fb>10.24</fb>
    <v>10</v>
  </rv>
  <rv s="6">
    <fb>10.1</fb>
    <v>10</v>
  </rv>
  <rv s="6">
    <fb>10.26</fb>
    <v>10</v>
  </rv>
  <rv s="6">
    <fb>10.34</fb>
    <v>10</v>
  </rv>
  <rv s="6">
    <fb>10.66</fb>
    <v>10</v>
  </rv>
  <rv s="6">
    <fb>10.53</fb>
    <v>10</v>
  </rv>
  <rv s="6">
    <fb>10.62</fb>
    <v>10</v>
  </rv>
  <rv s="6">
    <fb>10.42</fb>
    <v>10</v>
  </rv>
  <rv s="6">
    <fb>10.59</fb>
    <v>10</v>
  </rv>
  <rv s="6">
    <fb>10.73</fb>
    <v>10</v>
  </rv>
  <rv s="6">
    <fb>10.63</fb>
    <v>10</v>
  </rv>
  <rv s="6">
    <fb>10.85</fb>
    <v>10</v>
  </rv>
  <rv s="6">
    <fb>11.35</fb>
    <v>10</v>
  </rv>
  <rv s="6">
    <fb>11.77</fb>
    <v>10</v>
  </rv>
  <rv s="6">
    <fb>11.81</fb>
    <v>10</v>
  </rv>
  <rv s="6">
    <fb>11.59</fb>
    <v>10</v>
  </rv>
  <rv s="6">
    <fb>11.68</fb>
    <v>10</v>
  </rv>
  <rv s="6">
    <fb>11.83</fb>
    <v>10</v>
  </rv>
  <rv s="6">
    <fb>11.91</fb>
    <v>10</v>
  </rv>
  <rv s="6">
    <fb>11.78</fb>
    <v>10</v>
  </rv>
  <rv s="6">
    <fb>11.88</fb>
    <v>10</v>
  </rv>
  <rv s="6">
    <fb>11.57</fb>
    <v>10</v>
  </rv>
  <rv s="6">
    <fb>11.24</fb>
    <v>10</v>
  </rv>
  <rv s="6">
    <fb>11.15</fb>
    <v>10</v>
  </rv>
  <rv s="6">
    <fb>11.16</fb>
    <v>10</v>
  </rv>
  <rv s="6">
    <fb>11.31</fb>
    <v>10</v>
  </rv>
  <rv s="6">
    <fb>11.19</fb>
    <v>10</v>
  </rv>
  <rv s="6">
    <fb>11.38</fb>
    <v>10</v>
  </rv>
  <rv s="6">
    <fb>11.26</fb>
    <v>10</v>
  </rv>
  <rv s="6">
    <fb>11.47</fb>
    <v>10</v>
  </rv>
  <rv s="6">
    <fb>11.28</fb>
    <v>10</v>
  </rv>
  <rv s="6">
    <fb>11.08</fb>
    <v>10</v>
  </rv>
  <rv s="6">
    <fb>10.87</fb>
    <v>10</v>
  </rv>
  <rv s="6">
    <fb>11.07</fb>
    <v>10</v>
  </rv>
  <rv s="6">
    <fb>10.82</fb>
    <v>10</v>
  </rv>
  <rv s="6">
    <fb>10.95</fb>
    <v>10</v>
  </rv>
  <rv s="6">
    <fb>11.06</fb>
    <v>10</v>
  </rv>
  <rv s="6">
    <fb>11.21</fb>
    <v>10</v>
  </rv>
  <rv s="6">
    <fb>11.32</fb>
    <v>10</v>
  </rv>
  <rv s="6">
    <fb>11.14</fb>
    <v>10</v>
  </rv>
  <rv s="6">
    <fb>11.25</fb>
    <v>10</v>
  </rv>
  <rv s="6">
    <fb>11.44</fb>
    <v>10</v>
  </rv>
  <rv s="6">
    <fb>11.46</fb>
    <v>10</v>
  </rv>
  <rv s="6">
    <fb>11.58</fb>
    <v>10</v>
  </rv>
  <rv s="6">
    <fb>11.49</fb>
    <v>10</v>
  </rv>
  <rv s="6">
    <fb>11.33</fb>
    <v>10</v>
  </rv>
  <rv s="6">
    <fb>11.74</fb>
    <v>10</v>
  </rv>
  <rv s="6">
    <fb>11.82</fb>
    <v>10</v>
  </rv>
  <rv s="6">
    <fb>11.84</fb>
    <v>10</v>
  </rv>
  <rv s="6">
    <fb>11.71</fb>
    <v>10</v>
  </rv>
  <rv s="6">
    <fb>11.72</fb>
    <v>10</v>
  </rv>
  <rv s="6">
    <fb>11.62</fb>
    <v>10</v>
  </rv>
  <rv s="6">
    <fb>11.69</fb>
    <v>10</v>
  </rv>
  <rv s="6">
    <fb>11.42</fb>
    <v>10</v>
  </rv>
  <rv s="6">
    <fb>11.76</fb>
    <v>10</v>
  </rv>
  <rv s="6">
    <fb>11.61</fb>
    <v>10</v>
  </rv>
  <rv s="6">
    <fb>11.66</fb>
    <v>10</v>
  </rv>
  <rv s="6">
    <fb>11.73</fb>
    <v>10</v>
  </rv>
  <rv s="6">
    <fb>11.63</fb>
    <v>10</v>
  </rv>
  <rv s="6">
    <fb>12.01</fb>
    <v>10</v>
  </rv>
  <rv s="6">
    <fb>12.09</fb>
    <v>10</v>
  </rv>
  <rv s="6">
    <fb>11.96</fb>
    <v>10</v>
  </rv>
  <rv s="6">
    <fb>12.27</fb>
    <v>10</v>
  </rv>
  <rv s="6">
    <fb>12.22</fb>
    <v>10</v>
  </rv>
  <rv s="6">
    <fb>12.67</fb>
    <v>10</v>
  </rv>
  <rv s="6">
    <fb>12.7</fb>
    <v>10</v>
  </rv>
  <rv s="6">
    <fb>11.92</fb>
    <v>10</v>
  </rv>
  <rv s="6">
    <fb>11.5</fb>
    <v>10</v>
  </rv>
  <rv s="6">
    <fb>11.41</fb>
    <v>10</v>
  </rv>
  <rv s="6">
    <fb>11.54</fb>
    <v>10</v>
  </rv>
  <rv s="6">
    <fb>11.65</fb>
    <v>10</v>
  </rv>
  <rv s="6">
    <fb>11.99</fb>
    <v>10</v>
  </rv>
  <rv s="6">
    <fb>12.56</fb>
    <v>10</v>
  </rv>
  <rv s="6">
    <fb>12.43</fb>
    <v>10</v>
  </rv>
  <rv s="6">
    <fb>12.34</fb>
    <v>10</v>
  </rv>
  <rv s="6">
    <fb>13.84</fb>
    <v>10</v>
  </rv>
  <rv s="6">
    <fb>13.26</fb>
    <v>10</v>
  </rv>
  <rv s="6">
    <fb>13.13</fb>
    <v>10</v>
  </rv>
  <rv s="6">
    <fb>13.24</fb>
    <v>10</v>
  </rv>
  <rv s="6">
    <fb>13.06</fb>
    <v>10</v>
  </rv>
  <rv s="6">
    <fb>13.01</fb>
    <v>10</v>
  </rv>
  <rv s="6">
    <fb>12.79</fb>
    <v>10</v>
  </rv>
  <rv s="6">
    <fb>13.11</fb>
    <v>10</v>
  </rv>
  <rv s="6">
    <fb>13.12</fb>
    <v>10</v>
  </rv>
  <rv s="6">
    <fb>13.21</fb>
    <v>10</v>
  </rv>
  <rv s="6">
    <fb>13.16</fb>
    <v>10</v>
  </rv>
  <rv s="6">
    <fb>13.3</fb>
    <v>10</v>
  </rv>
  <rv s="6">
    <fb>13.45</fb>
    <v>10</v>
  </rv>
  <rv s="6">
    <fb>13.28</fb>
    <v>10</v>
  </rv>
  <rv s="6">
    <fb>13.19</fb>
    <v>10</v>
  </rv>
  <rv s="6">
    <fb>12.88</fb>
    <v>10</v>
  </rv>
  <rv s="6">
    <fb>13.02</fb>
    <v>10</v>
  </rv>
  <rv s="6">
    <fb>12.9</fb>
    <v>10</v>
  </rv>
  <rv s="6">
    <fb>12.41</fb>
    <v>10</v>
  </rv>
  <rv s="6">
    <fb>12.83</fb>
    <v>10</v>
  </rv>
  <rv s="6">
    <fb>12.96</fb>
    <v>10</v>
  </rv>
  <rv s="6">
    <fb>13.17</fb>
    <v>10</v>
  </rv>
  <rv s="6">
    <fb>13.09</fb>
    <v>10</v>
  </rv>
  <rv s="6">
    <fb>13.14</fb>
    <v>10</v>
  </rv>
  <rv s="6">
    <fb>13.03</fb>
    <v>10</v>
  </rv>
  <rv s="6">
    <fb>13.08</fb>
    <v>10</v>
  </rv>
  <rv s="6">
    <fb>13.41</fb>
    <v>10</v>
  </rv>
  <rv s="6">
    <fb>13.63</fb>
    <v>10</v>
  </rv>
  <rv s="6">
    <fb>13.76</fb>
    <v>10</v>
  </rv>
  <rv s="6">
    <fb>13.65</fb>
    <v>10</v>
  </rv>
  <rv s="6">
    <fb>13.67</fb>
    <v>10</v>
  </rv>
  <rv s="6">
    <fb>13.31</fb>
    <v>10</v>
  </rv>
  <rv s="6">
    <fb>13.32</fb>
    <v>10</v>
  </rv>
  <rv s="6">
    <fb>13.47</fb>
    <v>10</v>
  </rv>
  <rv s="6">
    <fb>13.46</fb>
    <v>10</v>
  </rv>
  <rv s="6">
    <fb>13.29</fb>
    <v>10</v>
  </rv>
  <rv s="6">
    <fb>13.36</fb>
    <v>10</v>
  </rv>
  <rv s="6">
    <fb>13.23</fb>
    <v>10</v>
  </rv>
  <rv s="6">
    <fb>13.34</fb>
    <v>10</v>
  </rv>
  <rv s="6">
    <fb>13.8</fb>
    <v>10</v>
  </rv>
  <rv s="6">
    <fb>13.74</fb>
    <v>10</v>
  </rv>
  <rv s="6">
    <fb>14.4</fb>
    <v>10</v>
  </rv>
  <rv s="6">
    <fb>14.2</fb>
    <v>10</v>
  </rv>
  <rv s="6">
    <fb>14.03</fb>
    <v>10</v>
  </rv>
  <rv s="6">
    <fb>13.98</fb>
    <v>10</v>
  </rv>
  <rv s="6">
    <fb>13.81</fb>
    <v>10</v>
  </rv>
  <rv s="6">
    <fb>13.6</fb>
    <v>10</v>
  </rv>
  <rv s="6">
    <fb>13.77</fb>
    <v>10</v>
  </rv>
  <rv s="6">
    <fb>13.71</fb>
    <v>10</v>
  </rv>
  <rv s="6">
    <fb>13.56</fb>
    <v>10</v>
  </rv>
  <rv s="6">
    <fb>13.44</fb>
    <v>10</v>
  </rv>
  <rv s="6">
    <fb>13.93</fb>
    <v>10</v>
  </rv>
  <rv s="6">
    <fb>13.82</fb>
    <v>10</v>
  </rv>
  <rv s="6">
    <fb>14</fb>
    <v>10</v>
  </rv>
  <rv s="6">
    <fb>13.88</fb>
    <v>10</v>
  </rv>
  <rv s="6">
    <fb>13.73</fb>
    <v>10</v>
  </rv>
  <rv s="6">
    <fb>13.72</fb>
    <v>10</v>
  </rv>
  <rv s="6">
    <fb>13.59</fb>
    <v>10</v>
  </rv>
  <rv s="6">
    <fb>13.57</fb>
    <v>10</v>
  </rv>
  <rv s="6">
    <fb>13.85</fb>
    <v>10</v>
  </rv>
  <rv s="6">
    <fb>14.12</fb>
    <v>10</v>
  </rv>
  <rv s="6">
    <fb>14.13</fb>
    <v>10</v>
  </rv>
  <rv s="6">
    <fb>13.78</fb>
    <v>10</v>
  </rv>
  <rv s="6">
    <fb>14.01</fb>
    <v>10</v>
  </rv>
  <rv s="6">
    <fb>13.64</fb>
    <v>10</v>
  </rv>
  <rv s="6">
    <fb>14.43</fb>
    <v>10</v>
  </rv>
  <rv s="6">
    <fb>14.41</fb>
    <v>10</v>
  </rv>
  <rv s="6">
    <fb>14.09</fb>
    <v>10</v>
  </rv>
  <rv s="6">
    <fb>13.39</fb>
    <v>10</v>
  </rv>
  <rv s="6">
    <fb>12.81</fb>
    <v>10</v>
  </rv>
  <rv s="6">
    <fb>12.15</fb>
    <v>10</v>
  </rv>
  <rv s="6">
    <fb>12.19</fb>
    <v>10</v>
  </rv>
  <rv s="6">
    <fb>12.24</fb>
    <v>10</v>
  </rv>
  <rv s="6">
    <fb>12.11</fb>
    <v>10</v>
  </rv>
  <rv s="6">
    <fb>12.04</fb>
    <v>10</v>
  </rv>
  <rv s="6">
    <fb>11.67</fb>
    <v>10</v>
  </rv>
  <rv s="6">
    <fb>11.94</fb>
    <v>10</v>
  </rv>
  <rv s="6">
    <fb>11.79</fb>
    <v>10</v>
  </rv>
  <rv s="6">
    <fb>11.64</fb>
    <v>10</v>
  </rv>
  <rv s="6">
    <fb>11.52</fb>
    <v>10</v>
  </rv>
  <rv s="6">
    <fb>11.6</fb>
    <v>10</v>
  </rv>
  <rv s="6">
    <fb>11.37</fb>
    <v>10</v>
  </rv>
  <rv s="6">
    <fb>149.24</fb>
    <v>10</v>
  </rv>
  <rv s="6">
    <fb>146.58000000000001</fb>
    <v>10</v>
  </rv>
  <rv s="6">
    <fb>161.06</fb>
    <v>10</v>
  </rv>
  <rv s="6">
    <fb>155.37</fb>
    <v>10</v>
  </rv>
  <rv s="6">
    <fb>159.4</fb>
    <v>10</v>
  </rv>
  <rv s="6">
    <fb>161.47</fb>
    <v>10</v>
  </rv>
  <rv s="6">
    <fb>158.68</fb>
    <v>10</v>
  </rv>
  <rv s="6">
    <fb>153.36000000000001</fb>
    <v>10</v>
  </rv>
  <rv s="6">
    <fb>149.86000000000001</fb>
    <v>10</v>
  </rv>
  <rv s="6">
    <fb>153.9</fb>
    <v>10</v>
  </rv>
  <rv s="6">
    <fb>162.41999999999999</fb>
    <v>10</v>
  </rv>
  <rv s="6">
    <fb>162.06</fb>
    <v>10</v>
  </rv>
  <rv s="6">
    <fb>160.88999999999999</fb>
    <v>10</v>
  </rv>
  <rv s="6">
    <fb>162.79</fb>
    <v>10</v>
  </rv>
  <rv s="6">
    <fb>165.81</fb>
    <v>10</v>
  </rv>
  <rv s="6">
    <fb>166.05</fb>
    <v>10</v>
  </rv>
  <rv s="6">
    <fb>152.80000000000001</fb>
    <v>10</v>
  </rv>
  <rv s="6">
    <fb>155.75</fb>
    <v>10</v>
  </rv>
  <rv s="6">
    <fb>154.38</fb>
    <v>10</v>
  </rv>
  <rv s="6">
    <fb>159.58000000000001</fb>
    <v>10</v>
  </rv>
  <rv s="6">
    <fb>166.81</fb>
    <v>10</v>
  </rv>
  <rv s="6">
    <fb>165.4</fb>
    <v>10</v>
  </rv>
  <rv s="6">
    <fb>167.43</fb>
    <v>10</v>
  </rv>
  <rv s="6">
    <fb>167.87</fb>
    <v>10</v>
  </rv>
  <rv s="6">
    <fb>165.32</fb>
    <v>10</v>
  </rv>
  <rv s="6">
    <fb>170.06</fb>
    <v>10</v>
  </rv>
  <rv s="6">
    <fb>171.98</fb>
    <v>10</v>
  </rv>
  <rv s="6">
    <fb>169.59</fb>
    <v>10</v>
  </rv>
  <rv s="6">
    <fb>173.98</fb>
    <v>10</v>
  </rv>
  <rv s="6">
    <fb>173.38</fb>
    <v>10</v>
  </rv>
  <rv s="6">
    <fb>172.96</fb>
    <v>10</v>
  </rv>
  <rv s="6">
    <fb>172.85</fb>
    <v>10</v>
  </rv>
  <rv s="6">
    <fb>170.37</fb>
    <v>10</v>
  </rv>
  <rv s="6">
    <fb>167.71</fb>
    <v>10</v>
  </rv>
  <rv s="6">
    <fb>169.39</fb>
    <v>10</v>
  </rv>
  <rv s="6">
    <fb>169.81</fb>
    <v>10</v>
  </rv>
  <rv s="6">
    <fb>174.92</fb>
    <v>10</v>
  </rv>
  <rv s="6">
    <fb>177.63</fb>
    <v>10</v>
  </rv>
  <rv s="6">
    <fb>180.01</fb>
    <v>10</v>
  </rv>
  <rv s="6">
    <fb>178.79</fb>
    <v>10</v>
  </rv>
  <rv s="6">
    <fb>176.97</fb>
    <v>10</v>
  </rv>
  <rv s="6">
    <fb>175.88</fb>
    <v>10</v>
  </rv>
  <rv s="6">
    <fb>177.94</fb>
    <v>10</v>
  </rv>
  <rv s="6">
    <fb>177.23</fb>
    <v>10</v>
  </rv>
  <rv s="6">
    <fb>167.73</fb>
    <v>10</v>
  </rv>
  <rv s="6">
    <fb>166.01</fb>
    <v>10</v>
  </rv>
  <rv s="6">
    <fb>167.74</fb>
    <v>10</v>
  </rv>
  <rv s="6">
    <fb>171.49</fb>
    <v>10</v>
  </rv>
  <rv s="6">
    <fb>174.43</fb>
    <v>10</v>
  </rv>
  <rv s="6">
    <fb>178.27</fb>
    <v>10</v>
  </rv>
  <rv s="6">
    <fb>177.39</fb>
    <v>10</v>
  </rv>
  <rv s="6">
    <fb>176.91</fb>
    <v>10</v>
  </rv>
  <rv s="6">
    <fb>179.76</fb>
    <v>10</v>
  </rv>
  <rv s="6">
    <fb>177.56</fb>
    <v>10</v>
  </rv>
  <rv s="6">
    <fb>175.16</fb>
    <v>10</v>
  </rv>
  <rv s="6">
    <fb>177.66</fb>
    <v>10</v>
  </rv>
  <rv s="6">
    <fb>178.7</fb>
    <v>10</v>
  </rv>
  <rv s="6">
    <fb>181.31</fb>
    <v>10</v>
  </rv>
  <rv s="6">
    <fb>182.81</fb>
    <v>10</v>
  </rv>
  <rv s="6">
    <fb>183.77</fb>
    <v>10</v>
  </rv>
  <rv s="6">
    <fb>184.7</fb>
    <v>10</v>
  </rv>
  <rv s="6">
    <fb>185.94</fb>
    <v>10</v>
  </rv>
  <rv s="6">
    <fb>192.11</fb>
    <v>10</v>
  </rv>
  <rv s="6">
    <fb>191.51</fb>
    <v>10</v>
  </rv>
  <rv s="6">
    <fb>193.2</fb>
    <v>10</v>
  </rv>
  <rv s="6">
    <fb>194.08</fb>
    <v>10</v>
  </rv>
  <rv s="6">
    <fb>193.42</fb>
    <v>10</v>
  </rv>
  <rv s="6">
    <fb>196.43</fb>
    <v>10</v>
  </rv>
  <rv s="6">
    <fb>197.44</fb>
    <v>10</v>
  </rv>
  <rv s="6">
    <fb>192.86</fb>
    <v>10</v>
  </rv>
  <rv s="6">
    <fb>189.95</fb>
    <v>10</v>
  </rv>
  <rv s="6">
    <fb>195.75</fb>
    <v>10</v>
  </rv>
  <rv s="6">
    <fb>195.32</fb>
    <v>10</v>
  </rv>
  <rv s="6">
    <fb>196.92</fb>
    <v>10</v>
  </rv>
  <rv s="6">
    <fb>197.28</fb>
    <v>10</v>
  </rv>
  <rv s="6">
    <fb>201.63</fb>
    <v>10</v>
  </rv>
  <rv s="6">
    <fb>204.16</fb>
    <v>10</v>
  </rv>
  <rv s="6">
    <fb>203.82</fb>
    <v>10</v>
  </rv>
  <rv s="6">
    <fb>204.91</fb>
    <v>10</v>
  </rv>
  <rv s="6">
    <fb>204.29</fb>
    <v>10</v>
  </rv>
  <rv s="6">
    <fb>202.49</fb>
    <v>10</v>
  </rv>
  <rv s="6">
    <fb>200.62</fb>
    <v>10</v>
  </rv>
  <rv s="6">
    <fb>206.72</fb>
    <v>10</v>
  </rv>
  <rv s="6">
    <fb>209.16</fb>
    <v>10</v>
  </rv>
  <rv s="6">
    <fb>208.21</fb>
    <v>10</v>
  </rv>
  <rv s="6">
    <fb>212.37</fb>
    <v>10</v>
  </rv>
  <rv s="6">
    <fb>213.53</fb>
    <v>10</v>
  </rv>
  <rv s="6">
    <fb>231.1</fb>
    <v>10</v>
  </rv>
  <rv s="6">
    <fb>232.66</fb>
    <v>10</v>
  </rv>
  <rv s="6">
    <fb>235.17</fb>
    <v>10</v>
  </rv>
  <rv s="6">
    <fb>234.16</fb>
    <v>10</v>
  </rv>
  <rv s="6">
    <fb>239.94</fb>
    <v>10</v>
  </rv>
  <rv s="6">
    <fb>239.56</fb>
    <v>10</v>
  </rv>
  <rv s="6">
    <fb>240.78</fb>
    <v>10</v>
  </rv>
  <rv s="6">
    <fb>241.38</fb>
    <v>10</v>
  </rv>
  <rv s="6">
    <fb>251.76</fb>
    <v>10</v>
  </rv>
  <rv s="6">
    <fb>251.42</fb>
    <v>10</v>
  </rv>
  <rv s="6">
    <fb>249.85</fb>
    <v>10</v>
  </rv>
  <rv s="6">
    <fb>252.33</fb>
    <v>10</v>
  </rv>
  <rv s="6">
    <fb>255.24</fb>
    <v>10</v>
  </rv>
  <rv s="6">
    <fb>252.88</fb>
    <v>10</v>
  </rv>
  <rv s="6">
    <fb>252.34</fb>
    <v>10</v>
  </rv>
  <rv s="6">
    <fb>247.83</fb>
    <v>10</v>
  </rv>
  <rv s="6">
    <fb>246.57</fb>
    <v>10</v>
  </rv>
  <rv s="6">
    <fb>247.18</fb>
    <v>10</v>
  </rv>
  <rv s="6">
    <fb>244.36</fb>
    <v>10</v>
  </rv>
  <rv s="6">
    <fb>243.55</fb>
    <v>10</v>
  </rv>
  <rv s="6">
    <fb>245.54</fb>
    <v>10</v>
  </rv>
  <rv s="6">
    <fb>246.43</fb>
    <v>10</v>
  </rv>
  <rv s="6">
    <fb>246.45</fb>
    <v>10</v>
  </rv>
  <rv s="6">
    <fb>251.51</fb>
    <v>10</v>
  </rv>
  <rv s="6">
    <fb>247.13</fb>
    <v>10</v>
  </rv>
  <rv s="6">
    <fb>245.46</fb>
    <v>10</v>
  </rv>
  <rv s="6">
    <fb>242.21</fb>
    <v>10</v>
  </rv>
  <rv s="6">
    <fb>237.49</fb>
    <v>10</v>
  </rv>
  <rv s="6">
    <fb>244.64</fb>
    <v>10</v>
  </rv>
  <rv s="6">
    <fb>246.19</fb>
    <v>10</v>
  </rv>
  <rv s="6">
    <fb>251.71</fb>
    <v>10</v>
  </rv>
  <rv s="6">
    <fb>251.88</fb>
    <v>10</v>
  </rv>
  <rv s="6">
    <fb>257.02</fb>
    <v>10</v>
  </rv>
  <rv s="6">
    <fb>251.34</fb>
    <v>10</v>
  </rv>
  <rv s="6">
    <fb>252.53</fb>
    <v>10</v>
  </rv>
  <rv s="6">
    <fb>260.51</fb>
    <v>10</v>
  </rv>
  <rv s="6">
    <fb>269.93</fb>
    <v>10</v>
  </rv>
  <rv s="6">
    <fb>268.43</fb>
    <v>10</v>
  </rv>
  <rv s="6">
    <fb>275.17</fb>
    <v>10</v>
  </rv>
  <rv s="6">
    <fb>281.89999999999998</fb>
    <v>10</v>
  </rv>
  <rv s="6">
    <fb>281.82</fb>
    <v>10</v>
  </rv>
  <rv s="6">
    <fb>284.12</fb>
    <v>10</v>
  </rv>
  <rv s="6">
    <fb>278.06</fb>
    <v>10</v>
  </rv>
  <rv s="6">
    <fb>284.75</fb>
    <v>10</v>
  </rv>
  <rv s="6">
    <fb>285.33999999999997</fb>
    <v>10</v>
  </rv>
  <rv s="6">
    <fb>279.7</fb>
    <v>10</v>
  </rv>
  <rv s="6">
    <fb>290.58999999999997</fb>
    <v>10</v>
  </rv>
  <rv s="6">
    <fb>291.74</fb>
    <v>10</v>
  </rv>
  <rv s="6">
    <fb>287.43</fb>
    <v>10</v>
  </rv>
  <rv s="6">
    <fb>279.12</fb>
    <v>10</v>
  </rv>
  <rv s="6">
    <fb>276.98</fb>
    <v>10</v>
  </rv>
  <rv s="6">
    <fb>285.60000000000002</fb>
    <v>10</v>
  </rv>
  <rv s="6">
    <fb>284.95999999999998</fb>
    <v>10</v>
  </rv>
  <rv s="6">
    <fb>292.99</fb>
    <v>10</v>
  </rv>
  <rv s="6">
    <fb>289.98</fb>
    <v>10</v>
  </rv>
  <rv s="6">
    <fb>299.64999999999998</fb>
    <v>10</v>
  </rv>
  <rv s="6">
    <fb>318.47000000000003</fb>
    <v>10</v>
  </rv>
  <rv s="6">
    <fb>323.64</fb>
    <v>10</v>
  </rv>
  <rv s="6">
    <fb>320.27999999999997</fb>
    <v>10</v>
  </rv>
  <rv s="6">
    <fb>320.12</fb>
    <v>10</v>
  </rv>
  <rv s="6">
    <fb>315.12</fb>
    <v>10</v>
  </rv>
  <rv s="6">
    <fb>316.02</fb>
    <v>10</v>
  </rv>
  <rv s="6">
    <fb>320.62</fb>
    <v>10</v>
  </rv>
  <rv s="6">
    <fb>318.39</fb>
    <v>10</v>
  </rv>
  <rv s="6">
    <fb>322.08999999999997</fb>
    <v>10</v>
  </rv>
  <rv s="6">
    <fb>314.45</fb>
    <v>10</v>
  </rv>
  <rv s="6">
    <fb>317.75</fb>
    <v>10</v>
  </rv>
  <rv s="6">
    <fb>321</fb>
    <v>10</v>
  </rv>
  <rv s="6">
    <fb>313.7</fb>
    <v>10</v>
  </rv>
  <rv s="6">
    <fb>310.52</fb>
    <v>10</v>
  </rv>
  <rv s="6">
    <fb>309.32</fb>
    <v>10</v>
  </rv>
  <rv s="6">
    <fb>307.73</fb>
    <v>10</v>
  </rv>
  <rv s="6">
    <fb>298.06</fb>
    <v>10</v>
  </rv>
  <rv s="6">
    <fb>303.75</fb>
    <v>10</v>
  </rv>
  <rv s="6">
    <fb>308.61</fb>
    <v>10</v>
  </rv>
  <rv s="6">
    <fb>311.33</fb>
    <v>10</v>
  </rv>
  <rv s="6">
    <fb>315.68</fb>
    <v>10</v>
  </rv>
  <rv s="6">
    <fb>315.67</fb>
    <v>10</v>
  </rv>
  <rv s="6">
    <fb>314.95999999999998</fb>
    <v>10</v>
  </rv>
  <rv s="6">
    <fb>314.39</fb>
    <v>10</v>
  </rv>
  <rv s="6">
    <fb>314.55</fb>
    <v>10</v>
  </rv>
  <rv s="6">
    <fb>313.8</fb>
    <v>10</v>
  </rv>
  <rv s="6">
    <fb>315.32</fb>
    <v>10</v>
  </rv>
  <rv s="6">
    <fb>317.32</fb>
    <v>10</v>
  </rv>
  <rv s="6">
    <fb>322.43</fb>
    <v>10</v>
  </rv>
  <rv s="6">
    <fb>326.01</fb>
    <v>10</v>
  </rv>
  <rv s="6">
    <fb>329.14</fb>
    <v>10</v>
  </rv>
  <rv s="6">
    <fb>332.73</fb>
    <v>10</v>
  </rv>
  <rv s="6">
    <fb>336.43</fb>
    <v>10</v>
  </rv>
  <rv s="6">
    <fb>336.31</fb>
    <v>10</v>
  </rv>
  <rv s="6">
    <fb>333.16</fb>
    <v>10</v>
  </rv>
  <rv s="6">
    <fb>330.34</fb>
    <v>10</v>
  </rv>
  <rv s="6">
    <fb>322.16000000000003</fb>
    <v>10</v>
  </rv>
  <rv s="6">
    <fb>328.38</fb>
    <v>10</v>
  </rv>
  <rv s="6">
    <fb>330.84</fb>
    <v>10</v>
  </rv>
  <rv s="6">
    <fb>328.43</fb>
    <v>10</v>
  </rv>
  <rv s="6">
    <fb>333.59</fb>
    <v>10</v>
  </rv>
  <rv s="6">
    <fb>335</fb>
    <v>10</v>
  </rv>
  <rv s="6">
    <fb>336.28</fb>
    <v>10</v>
  </rv>
  <rv s="6">
    <fb>338.66</fb>
    <v>10</v>
  </rv>
  <rv s="6">
    <fb>338.53</fb>
    <v>10</v>
  </rv>
  <rv s="6">
    <fb>344.9</fb>
    <v>10</v>
  </rv>
  <rv s="6">
    <fb>340.7</fb>
    <v>10</v>
  </rv>
  <rv s="6">
    <fb>333.34</fb>
    <v>10</v>
  </rv>
  <rv s="6">
    <fb>331.33</fb>
    <v>10</v>
  </rv>
  <rv s="6">
    <fb>323.10000000000002</fb>
    <v>10</v>
  </rv>
  <rv s="6">
    <fb>324.39999999999998</fb>
    <v>10</v>
  </rv>
  <rv s="6">
    <fb>318.63</fb>
    <v>10</v>
  </rv>
  <rv s="6">
    <fb>309.37</fb>
    <v>10</v>
  </rv>
  <rv s="6">
    <fb>306.02</fb>
    <v>10</v>
  </rv>
  <rv s="6">
    <fb>302.82</fb>
    <v>10</v>
  </rv>
  <rv s="6">
    <fb>303.94</fb>
    <v>10</v>
  </rv>
  <rv s="6">
    <fb>303.56</fb>
    <v>10</v>
  </rv>
  <rv s="6">
    <fb>314.89999999999998</fb>
    <v>10</v>
  </rv>
  <rv s="6">
    <fb>311.69</fb>
    <v>10</v>
  </rv>
  <rv s="6">
    <fb>310.92</fb>
    <v>10</v>
  </rv>
  <rv s="6">
    <fb>313.02999999999997</fb>
    <v>10</v>
  </rv>
  <rv s="6">
    <fb>307.14999999999998</fb>
    <v>10</v>
  </rv>
  <rv s="6">
    <fb>311.43</fb>
    <v>10</v>
  </rv>
  <rv s="6">
    <fb>306.36</fb>
    <v>10</v>
  </rv>
  <rv s="6">
    <fb>303.45</fb>
    <v>10</v>
  </rv>
  <rv s="6">
    <fb>300.91000000000003</fb>
    <v>10</v>
  </rv>
  <rv s="6">
    <fb>298.3</fb>
    <v>10</v>
  </rv>
  <rv s="6">
    <fb>306.01</fb>
    <v>10</v>
  </rv>
  <rv s="6">
    <fb>306.93</fb>
    <v>10</v>
  </rv>
  <rv s="6">
    <fb>308.42</fb>
    <v>10</v>
  </rv>
  <rv s="6">
    <fb>303.20999999999998</fb>
    <v>10</v>
  </rv>
  <rv s="6">
    <fb>301.45999999999998</fb>
    <v>10</v>
  </rv>
  <rv s="6">
    <fb>304.42</fb>
    <v>10</v>
  </rv>
  <rv s="6">
    <fb>309.41000000000003</fb>
    <v>10</v>
  </rv>
  <rv s="6">
    <fb>306.3</fb>
    <v>10</v>
  </rv>
  <rv s="6">
    <fb>305.73</fb>
    <v>10</v>
  </rv>
  <rv s="6">
    <fb>298.79000000000002</fb>
    <v>10</v>
  </rv>
  <rv s="6">
    <fb>299.02</fb>
    <v>10</v>
  </rv>
  <rv s="6">
    <fb>289.2</fb>
    <v>10</v>
  </rv>
  <rv s="6">
    <fb>289.58999999999997</fb>
    <v>10</v>
  </rv>
  <rv s="6">
    <fb>280.74</fb>
    <v>10</v>
  </rv>
  <rv s="6">
    <fb>273.14</fb>
    <v>10</v>
  </rv>
  <rv s="6">
    <fb>286.86</fb>
    <v>10</v>
  </rv>
  <rv s="6">
    <fb>294.89999999999998</fb>
    <v>10</v>
  </rv>
  <rv s="6">
    <fb>294.45999999999998</fb>
    <v>10</v>
  </rv>
  <rv s="6">
    <fb>4.96</fb>
    <v>11</v>
  </rv>
  <rv s="6">
    <fb>4.78</fb>
    <v>11</v>
  </rv>
  <rv s="6">
    <fb>4.59</fb>
    <v>11</v>
  </rv>
  <rv s="6">
    <fb>4.9400000000000004</fb>
    <v>11</v>
  </rv>
  <rv s="6">
    <fb>4.63</fb>
    <v>11</v>
  </rv>
  <rv s="6">
    <fb>4.75</fb>
    <v>11</v>
  </rv>
  <rv s="6">
    <fb>4.62</fb>
    <v>11</v>
  </rv>
  <rv s="6">
    <fb>4.53</fb>
    <v>11</v>
  </rv>
  <rv s="6">
    <fb>4.57</fb>
    <v>11</v>
  </rv>
  <rv s="6">
    <fb>4.41</fb>
    <v>11</v>
  </rv>
  <rv s="6">
    <fb>4.5999999999999996</fb>
    <v>11</v>
  </rv>
  <rv s="6">
    <fb>4.67</fb>
    <v>11</v>
  </rv>
  <rv s="6">
    <fb>4.68</fb>
    <v>11</v>
  </rv>
  <rv s="6">
    <fb>4.93</fb>
    <v>11</v>
  </rv>
  <rv s="6">
    <fb>4.8600000000000003</fb>
    <v>11</v>
  </rv>
  <rv s="6">
    <fb>5.26</fb>
    <v>11</v>
  </rv>
  <rv s="6">
    <fb>5.17</fb>
    <v>11</v>
  </rv>
  <rv s="6">
    <fb>4.87</fb>
    <v>11</v>
  </rv>
  <rv s="6">
    <fb>5.09</fb>
    <v>11</v>
  </rv>
  <rv s="6">
    <fb>5.23</fb>
    <v>11</v>
  </rv>
  <rv s="6">
    <fb>5.21</fb>
    <v>11</v>
  </rv>
  <rv s="6">
    <fb>5.38</fb>
    <v>11</v>
  </rv>
  <rv s="6">
    <fb>5.58</fb>
    <v>11</v>
  </rv>
  <rv s="6">
    <fb>5.64</fb>
    <v>11</v>
  </rv>
  <rv s="6">
    <fb>5.56</fb>
    <v>11</v>
  </rv>
  <rv s="6">
    <fb>5.73</fb>
    <v>11</v>
  </rv>
  <rv s="6">
    <fb>5.7</fb>
    <v>11</v>
  </rv>
  <rv s="6">
    <fb>5.29</fb>
    <v>11</v>
  </rv>
  <rv s="6">
    <fb>5.27</fb>
    <v>11</v>
  </rv>
  <rv s="6">
    <fb>5.0599999999999996</fb>
    <v>11</v>
  </rv>
  <rv s="6">
    <fb>5.04</fb>
    <v>11</v>
  </rv>
  <rv s="6">
    <fb>4.95</fb>
    <v>11</v>
  </rv>
  <rv s="6">
    <fb>5.05</fb>
    <v>11</v>
  </rv>
  <rv s="6">
    <fb>4.8499999999999996</fb>
    <v>11</v>
  </rv>
  <rv s="6">
    <fb>4.79</fb>
    <v>11</v>
  </rv>
  <rv s="6">
    <fb>4.9000000000000004</fb>
    <v>11</v>
  </rv>
  <rv s="6">
    <fb>4.82</fb>
    <v>11</v>
  </rv>
  <rv s="6">
    <fb>4.91</fb>
    <v>11</v>
  </rv>
  <rv s="6">
    <fb>4.83</fb>
    <v>11</v>
  </rv>
  <rv s="6">
    <fb>4.74</fb>
    <v>11</v>
  </rv>
  <rv s="6">
    <fb>4.7699999999999996</fb>
    <v>11</v>
  </rv>
  <rv s="6">
    <fb>4.7</fb>
    <v>11</v>
  </rv>
  <rv s="6">
    <fb>4.6100000000000003</fb>
    <v>11</v>
  </rv>
  <rv s="6">
    <fb>5.03</fb>
    <v>11</v>
  </rv>
  <rv s="6">
    <fb>5.22</fb>
    <v>11</v>
  </rv>
  <rv s="6">
    <fb>5.0999999999999996</fb>
    <v>11</v>
  </rv>
  <rv s="6">
    <fb>4.22</fb>
    <v>11</v>
  </rv>
  <rv s="6">
    <fb>4.08</fb>
    <v>11</v>
  </rv>
  <rv s="6">
    <fb>4.3499999999999996</fb>
    <v>11</v>
  </rv>
  <rv s="6">
    <fb>4.37</fb>
    <v>11</v>
  </rv>
  <rv s="6">
    <fb>4.1100000000000003</fb>
    <v>11</v>
  </rv>
  <rv s="6">
    <fb>3.89</fb>
    <v>11</v>
  </rv>
  <rv s="6">
    <fb>3.8</fb>
    <v>11</v>
  </rv>
  <rv s="6">
    <fb>3.9</fb>
    <v>11</v>
  </rv>
  <rv s="6">
    <fb>3.75</fb>
    <v>11</v>
  </rv>
  <rv s="6">
    <fb>3.72</fb>
    <v>11</v>
  </rv>
  <rv s="6">
    <fb>3.76</fb>
    <v>11</v>
  </rv>
  <rv s="6">
    <fb>3.77</fb>
    <v>11</v>
  </rv>
  <rv s="6">
    <fb>3.85</fb>
    <v>11</v>
  </rv>
  <rv s="6">
    <fb>3.63</fb>
    <v>11</v>
  </rv>
  <rv s="6">
    <fb>3.7</fb>
    <v>11</v>
  </rv>
  <rv s="6">
    <fb>3.74</fb>
    <v>11</v>
  </rv>
  <rv s="6">
    <fb>3.6</fb>
    <v>11</v>
  </rv>
  <rv s="6">
    <fb>3.67</fb>
    <v>11</v>
  </rv>
  <rv s="6">
    <fb>3.59</fb>
    <v>11</v>
  </rv>
  <rv s="6">
    <fb>3.53</fb>
    <v>11</v>
  </rv>
  <rv s="6">
    <fb>3.57</fb>
    <v>11</v>
  </rv>
  <rv s="6">
    <fb>3.64</fb>
    <v>11</v>
  </rv>
  <rv s="6">
    <fb>3.61</fb>
    <v>11</v>
  </rv>
  <rv s="6">
    <fb>3.51</fb>
    <v>11</v>
  </rv>
  <rv s="6">
    <fb>3.58</fb>
    <v>11</v>
  </rv>
  <rv s="6">
    <fb>3.5</fb>
    <v>11</v>
  </rv>
  <rv s="6">
    <fb>3.27</fb>
    <v>11</v>
  </rv>
  <rv s="6">
    <fb>3.79</fb>
    <v>11</v>
  </rv>
  <rv s="6">
    <fb>3.78</fb>
    <v>11</v>
  </rv>
  <rv s="6">
    <fb>3.91</fb>
    <v>11</v>
  </rv>
  <rv s="6">
    <fb>3.82</fb>
    <v>11</v>
  </rv>
  <rv s="6">
    <fb>3.4</fb>
    <v>11</v>
  </rv>
  <rv s="6">
    <fb>3.71</fb>
    <v>11</v>
  </rv>
  <rv s="6">
    <fb>3.83</fb>
    <v>11</v>
  </rv>
  <rv s="6">
    <fb>3.65</fb>
    <v>11</v>
  </rv>
  <rv s="6">
    <fb>3.52</fb>
    <v>11</v>
  </rv>
  <rv s="6">
    <fb>3.48</fb>
    <v>11</v>
  </rv>
  <rv s="6">
    <fb>3.43</fb>
    <v>11</v>
  </rv>
  <rv s="6">
    <fb>3.39</fb>
    <v>11</v>
  </rv>
  <rv s="6">
    <fb>3.33</fb>
    <v>11</v>
  </rv>
  <rv s="6">
    <fb>3.34</fb>
    <v>11</v>
  </rv>
  <rv s="6">
    <fb>3.35</fb>
    <v>11</v>
  </rv>
  <rv s="6">
    <fb>3.28</fb>
    <v>11</v>
  </rv>
  <rv s="6">
    <fb>3.23</fb>
    <v>11</v>
  </rv>
  <rv s="6">
    <fb>3.18</fb>
    <v>11</v>
  </rv>
  <rv s="6">
    <fb>3.2</fb>
    <v>11</v>
  </rv>
  <rv s="6">
    <fb>3.13</fb>
    <v>11</v>
  </rv>
  <rv s="6">
    <fb>3.36</fb>
    <v>11</v>
  </rv>
  <rv s="6">
    <fb>3.12</fb>
    <v>11</v>
  </rv>
  <rv s="6">
    <fb>3.1</fb>
    <v>11</v>
  </rv>
  <rv s="6">
    <fb>3.09</fb>
    <v>11</v>
  </rv>
  <rv s="6">
    <fb>3.07</fb>
    <v>11</v>
  </rv>
  <rv s="6">
    <fb>3.37</fb>
    <v>11</v>
  </rv>
  <rv s="6">
    <fb>3.62</fb>
    <v>11</v>
  </rv>
  <rv s="6">
    <fb>3.41</fb>
    <v>11</v>
  </rv>
  <rv s="6">
    <fb>3.16</fb>
    <v>11</v>
  </rv>
  <rv s="6">
    <fb>3.22</fb>
    <v>11</v>
  </rv>
  <rv s="6">
    <fb>3.25</fb>
    <v>11</v>
  </rv>
  <rv s="6">
    <fb>3.17</fb>
    <v>11</v>
  </rv>
  <rv s="6">
    <fb>3.21</fb>
    <v>11</v>
  </rv>
  <rv s="6">
    <fb>3.24</fb>
    <v>11</v>
  </rv>
  <rv s="6">
    <fb>3.15</fb>
    <v>11</v>
  </rv>
  <rv s="6">
    <fb>3.05</fb>
    <v>11</v>
  </rv>
  <rv s="6">
    <fb>2.98</fb>
    <v>11</v>
  </rv>
  <rv s="6">
    <fb>2.9</fb>
    <v>11</v>
  </rv>
  <rv s="6">
    <fb>2.94</fb>
    <v>11</v>
  </rv>
  <rv s="6">
    <fb>2.95</fb>
    <v>11</v>
  </rv>
  <rv s="6">
    <fb>2.99</fb>
    <v>11</v>
  </rv>
  <rv s="6">
    <fb>3.55</fb>
    <v>11</v>
  </rv>
  <rv s="6">
    <fb>3.87</fb>
    <v>11</v>
  </rv>
  <rv s="6">
    <fb>3.49</fb>
    <v>11</v>
  </rv>
  <rv s="6">
    <fb>3.66</fb>
    <v>11</v>
  </rv>
  <rv s="6">
    <fb>3.97</fb>
    <v>11</v>
  </rv>
  <rv s="6">
    <fb>3.96</fb>
    <v>11</v>
  </rv>
  <rv s="6">
    <fb>3.88</fb>
    <v>11</v>
  </rv>
  <rv s="6">
    <fb>4.03</fb>
    <v>11</v>
  </rv>
  <rv s="6">
    <fb>3.81</fb>
    <v>11</v>
  </rv>
  <rv s="6">
    <fb>4.0599999999999996</fb>
    <v>11</v>
  </rv>
  <rv s="6">
    <fb>4.0199999999999996</fb>
    <v>11</v>
  </rv>
  <rv s="6">
    <fb>4.1399999999999997</fb>
    <v>11</v>
  </rv>
  <rv s="6">
    <fb>4.43</fb>
    <v>11</v>
  </rv>
  <rv s="6">
    <fb>4.3</fb>
    <v>11</v>
  </rv>
  <rv s="6">
    <fb>4.46</fb>
    <v>11</v>
  </rv>
  <rv s="6">
    <fb>4.3899999999999997</fb>
    <v>11</v>
  </rv>
  <rv s="6">
    <fb>4.33</fb>
    <v>11</v>
  </rv>
  <rv s="6">
    <fb>4.05</fb>
    <v>11</v>
  </rv>
  <rv s="6">
    <fb>4.16</fb>
    <v>11</v>
  </rv>
  <rv s="6">
    <fb>4.32</fb>
    <v>11</v>
  </rv>
  <rv s="6">
    <fb>4.13</fb>
    <v>11</v>
  </rv>
  <rv s="6">
    <fb>4.17</fb>
    <v>11</v>
  </rv>
  <rv s="6">
    <fb>4.2</fb>
    <v>11</v>
  </rv>
  <rv s="6">
    <fb>4.1900000000000004</fb>
    <v>11</v>
  </rv>
  <rv s="6">
    <fb>4.25</fb>
    <v>11</v>
  </rv>
  <rv s="6">
    <fb>3.92</fb>
    <v>11</v>
  </rv>
  <rv s="6">
    <fb>3.32</fb>
    <v>11</v>
  </rv>
  <rv s="6">
    <fb>3.11</fb>
    <v>11</v>
  </rv>
  <rv s="6">
    <fb>3.06</fb>
    <v>11</v>
  </rv>
  <rv s="6">
    <fb>2.96</fb>
    <v>11</v>
  </rv>
  <rv s="6">
    <fb>2.82</fb>
    <v>11</v>
  </rv>
  <rv s="6">
    <fb>2.81</fb>
    <v>11</v>
  </rv>
  <rv s="6">
    <fb>2.78</fb>
    <v>11</v>
  </rv>
  <rv s="6">
    <fb>2.7</fb>
    <v>11</v>
  </rv>
  <rv s="6">
    <fb>2.56</fb>
    <v>11</v>
  </rv>
  <rv s="6">
    <fb>2.41</fb>
    <v>11</v>
  </rv>
  <rv s="6">
    <fb>2.46</fb>
    <v>11</v>
  </rv>
  <rv s="6">
    <fb>2.5299999999999998</fb>
    <v>11</v>
  </rv>
  <rv s="6">
    <fb>2.42</fb>
    <v>11</v>
  </rv>
  <rv s="6">
    <fb>2.4700000000000002</fb>
    <v>11</v>
  </rv>
  <rv s="6">
    <fb>2.31</fb>
    <v>11</v>
  </rv>
  <rv s="6">
    <fb>2.35</fb>
    <v>11</v>
  </rv>
  <rv s="6">
    <fb>2.37</fb>
    <v>11</v>
  </rv>
  <rv s="6">
    <fb>2.34</fb>
    <v>11</v>
  </rv>
  <rv s="6">
    <fb>2.4</fb>
    <v>11</v>
  </rv>
  <rv s="6">
    <fb>2.33</fb>
    <v>11</v>
  </rv>
  <rv s="6">
    <fb>2.25</fb>
    <v>11</v>
  </rv>
  <rv s="6">
    <fb>2.2599999999999998</fb>
    <v>11</v>
  </rv>
  <rv s="6">
    <fb>2.2000000000000002</fb>
    <v>11</v>
  </rv>
  <rv s="6">
    <fb>2.27</fb>
    <v>11</v>
  </rv>
  <rv s="6">
    <fb>2.72</fb>
    <v>11</v>
  </rv>
  <rv s="6">
    <fb>2.52</fb>
    <v>11</v>
  </rv>
  <rv s="6">
    <fb>214.44</fb>
    <v>10</v>
  </rv>
  <rv s="6">
    <fb>216.87</fb>
    <v>10</v>
  </rv>
  <rv s="6">
    <fb>227.11</fb>
    <v>10</v>
  </rv>
  <rv s="6">
    <fb>236.2</fb>
    <v>10</v>
  </rv>
  <rv s="6">
    <fb>234.72</fb>
    <v>10</v>
  </rv>
  <rv s="6">
    <fb>233.13</fb>
    <v>10</v>
  </rv>
  <rv s="6">
    <fb>229.61</fb>
    <v>10</v>
  </rv>
  <rv s="6">
    <fb>231.96</fb>
    <v>10</v>
  </rv>
  <rv s="6">
    <fb>228.99</fb>
    <v>10</v>
  </rv>
  <rv s="6">
    <fb>235.59</fb>
    <v>10</v>
  </rv>
  <rv s="6">
    <fb>240.88</fb>
    <v>10</v>
  </rv>
  <rv s="6">
    <fb>243.22</fb>
    <v>10</v>
  </rv>
  <rv s="6">
    <fb>244.62</fb>
    <v>10</v>
  </rv>
  <rv s="6">
    <fb>246.89</fb>
    <v>10</v>
  </rv>
  <rv s="6">
    <fb>252.51</fb>
    <v>10</v>
  </rv>
  <rv s="6">
    <fb>252.56</fb>
    <v>10</v>
  </rv>
  <rv s="6">
    <fb>249.25</fb>
    <v>10</v>
  </rv>
  <rv s="6">
    <fb>249.39</fb>
    <v>10</v>
  </rv>
  <rv s="6">
    <fb>253.47</fb>
    <v>10</v>
  </rv>
  <rv s="6">
    <fb>253.08</fb>
    <v>10</v>
  </rv>
  <rv s="6">
    <fb>260.05</fb>
    <v>10</v>
  </rv>
  <rv s="6">
    <fb>263.01</fb>
    <v>10</v>
  </rv>
  <rv s="6">
    <fb>265.64</fb>
    <v>10</v>
  </rv>
  <rv s="6">
    <fb>267.49</fb>
    <v>10</v>
  </rv>
  <rv s="6">
    <fb>267.56</fb>
    <v>10</v>
  </rv>
  <rv s="6">
    <fb>264.88</fb>
    <v>10</v>
  </rv>
  <rv s="6">
    <fb>265.68</fb>
    <v>10</v>
  </rv>
  <rv s="6">
    <fb>261.04000000000002</fb>
    <v>10</v>
  </rv>
  <rv s="6">
    <fb>260.67</fb>
    <v>10</v>
  </rv>
  <rv s="6">
    <fb>260.70999999999998</fb>
    <v>10</v>
  </rv>
  <rv s="6">
    <fb>265.29000000000002</fb>
    <v>10</v>
  </rv>
  <rv s="6">
    <fb>263.49</fb>
    <v>10</v>
  </rv>
  <rv s="6">
    <fb>264.37</fb>
    <v>10</v>
  </rv>
  <rv s="6">
    <fb>264</fb>
    <v>10</v>
  </rv>
  <rv s="6">
    <fb>264.66000000000003</fb>
    <v>10</v>
  </rv>
  <rv s="6">
    <fb>266.27</fb>
    <v>10</v>
  </rv>
  <rv s="6">
    <fb>264.22000000000003</fb>
    <v>10</v>
  </rv>
  <rv s="6">
    <fb>261.95</fb>
    <v>10</v>
  </rv>
  <rv s="6">
    <fb>265.73</fb>
    <v>10</v>
  </rv>
  <rv s="6">
    <fb>266.74</fb>
    <v>10</v>
  </rv>
  <rv s="6">
    <fb>268.60000000000002</fb>
    <v>10</v>
  </rv>
  <rv s="6">
    <fb>268.14999999999998</fb>
    <v>10</v>
  </rv>
  <rv s="6">
    <fb>268.24</fb>
    <v>10</v>
  </rv>
  <rv s="6">
    <fb>264.95</fb>
    <v>10</v>
  </rv>
  <rv s="6">
    <fb>270.36</fb>
    <v>10</v>
  </rv>
  <rv s="6">
    <fb>269.52</fb>
    <v>10</v>
  </rv>
  <rv s="6">
    <fb>273.95999999999998</fb>
    <v>10</v>
  </rv>
  <rv s="6">
    <fb>275</fb>
    <v>10</v>
  </rv>
  <rv s="6">
    <fb>278.27</fb>
    <v>10</v>
  </rv>
  <rv s="6">
    <fb>281.26</fb>
    <v>10</v>
  </rv>
  <rv s="6">
    <fb>284.06</fb>
    <v>10</v>
  </rv>
  <rv s="6">
    <fb>288.75</fb>
    <v>10</v>
  </rv>
  <rv s="6">
    <fb>287.11</fb>
    <v>10</v>
  </rv>
  <rv s="6">
    <fb>289.91000000000003</fb>
    <v>10</v>
  </rv>
  <rv s="6">
    <fb>290.41000000000003</fb>
    <v>10</v>
  </rv>
  <rv s="6">
    <fb>292</fb>
    <v>10</v>
  </rv>
  <rv s="6">
    <fb>296</fb>
    <v>10</v>
  </rv>
  <rv s="6">
    <fb>291.97000000000003</fb>
    <v>10</v>
  </rv>
  <rv s="6">
    <fb>282.77999999999997</fb>
    <v>10</v>
  </rv>
  <rv s="6">
    <fb>283.16000000000003</fb>
    <v>10</v>
  </rv>
  <rv s="6">
    <fb>288.19</fb>
    <v>10</v>
  </rv>
  <rv s="6">
    <fb>288.7</fb>
    <v>10</v>
  </rv>
  <rv s="6">
    <fb>286.55</fb>
    <v>10</v>
  </rv>
  <rv s="6">
    <fb>285.82</fb>
    <v>10</v>
  </rv>
  <rv s="6">
    <fb>289.89999999999998</fb>
    <v>10</v>
  </rv>
  <rv s="6">
    <fb>291.27</fb>
    <v>10</v>
  </rv>
  <rv s="6">
    <fb>290.97000000000003</fb>
    <v>10</v>
  </rv>
  <rv s="6">
    <fb>291.43</fb>
    <v>10</v>
  </rv>
  <rv s="6">
    <fb>296.76</fb>
    <v>10</v>
  </rv>
  <rv s="6">
    <fb>296.55</fb>
    <v>10</v>
  </rv>
  <rv s="6">
    <fb>298.62</fb>
    <v>10</v>
  </rv>
  <rv s="6">
    <fb>298.27999999999997</fb>
    <v>10</v>
  </rv>
  <rv s="6">
    <fb>297.04000000000002</fb>
    <v>10</v>
  </rv>
  <rv s="6">
    <fb>299.63</fb>
    <v>10</v>
  </rv>
  <rv s="6">
    <fb>296.24</fb>
    <v>10</v>
  </rv>
  <rv s="6">
    <fb>289.37</fb>
    <v>10</v>
  </rv>
  <rv s="6">
    <fb>294.26</fb>
    <v>10</v>
  </rv>
  <rv s="6">
    <fb>291.37</fb>
    <v>10</v>
  </rv>
  <rv s="6">
    <fb>291.35000000000002</fb>
    <v>10</v>
  </rv>
  <rv s="6">
    <fb>286.94</fb>
    <v>10</v>
  </rv>
  <rv s="6">
    <fb>288.76</fb>
    <v>10</v>
  </rv>
  <rv s="6">
    <fb>289.56</fb>
    <v>10</v>
  </rv>
  <rv s="6">
    <fb>292.85000000000002</fb>
    <v>10</v>
  </rv>
  <rv s="6">
    <fb>290.52999999999997</fb>
    <v>10</v>
  </rv>
  <rv s="6">
    <fb>294.16000000000003</fb>
    <v>10</v>
  </rv>
  <rv s="6">
    <fb>290.49</fb>
    <v>10</v>
  </rv>
  <rv s="6">
    <fb>291.52999999999997</fb>
    <v>10</v>
  </rv>
  <rv s="6">
    <fb>290.66000000000003</fb>
    <v>10</v>
  </rv>
  <rv s="6">
    <fb>292.24</fb>
    <v>10</v>
  </rv>
  <rv s="6">
    <fb>291.47000000000003</fb>
    <v>10</v>
  </rv>
  <rv s="6">
    <fb>298.57</fb>
    <v>10</v>
  </rv>
  <rv s="6">
    <fb>299.27999999999997</fb>
    <v>10</v>
  </rv>
  <rv s="6">
    <fb>301.07</fb>
    <v>10</v>
  </rv>
  <rv s="6">
    <fb>301.42</fb>
    <v>10</v>
  </rv>
  <rv s="6">
    <fb>299.7</fb>
    <v>10</v>
  </rv>
  <rv s="6">
    <fb>299.51</fb>
    <v>10</v>
  </rv>
  <rv s="6">
    <fb>303.82</fb>
    <v>10</v>
  </rv>
  <rv s="6">
    <fb>294.38</fb>
    <v>10</v>
  </rv>
  <rv s="6">
    <fb>292.91000000000003</fb>
    <v>10</v>
  </rv>
  <rv s="6">
    <fb>297.85000000000002</fb>
    <v>10</v>
  </rv>
  <rv s="6">
    <fb>300.54000000000002</fb>
    <v>10</v>
  </rv>
  <rv s="6">
    <fb>305.56</fb>
    <v>10</v>
  </rv>
  <rv s="6">
    <fb>306.91000000000003</fb>
    <v>10</v>
  </rv>
  <rv s="6">
    <fb>308.89999999999998</fb>
    <v>10</v>
  </rv>
  <rv s="6">
    <fb>309.19</fb>
    <v>10</v>
  </rv>
  <rv s="6">
    <fb>311.75</fb>
    <v>10</v>
  </rv>
  <rv s="6">
    <fb>313.23</fb>
    <v>10</v>
  </rv>
  <rv s="6">
    <fb>314.77999999999997</fb>
    <v>10</v>
  </rv>
  <rv s="6">
    <fb>312.44</fb>
    <v>10</v>
  </rv>
  <rv s="6">
    <fb>312.74</fb>
    <v>10</v>
  </rv>
  <rv s="6">
    <fb>313.42</fb>
    <v>10</v>
  </rv>
  <rv s="6">
    <fb>313.45</fb>
    <v>10</v>
  </rv>
  <rv s="6">
    <fb>316.06</fb>
    <v>10</v>
  </rv>
  <rv s="6">
    <fb>315.69</fb>
    <v>10</v>
  </rv>
  <rv s="6">
    <fb>315.43</fb>
    <v>10</v>
  </rv>
  <rv s="6">
    <fb>310.70999999999998</fb>
    <v>10</v>
  </rv>
  <rv s="6">
    <fb>307.55</fb>
    <v>10</v>
  </rv>
  <rv s="6">
    <fb>310.02999999999997</fb>
    <v>10</v>
  </rv>
  <rv s="6">
    <fb>309.18</fb>
    <v>10</v>
  </rv>
  <rv s="6">
    <fb>307.69</fb>
    <v>10</v>
  </rv>
  <rv s="6">
    <fb>304.02999999999997</fb>
    <v>10</v>
  </rv>
  <rv s="6">
    <fb>305.52999999999997</fb>
    <v>10</v>
  </rv>
  <rv s="6">
    <fb>300.89</fb>
    <v>10</v>
  </rv>
  <rv s="6">
    <fb>307.97000000000003</fb>
    <v>10</v>
  </rv>
  <rv s="6">
    <fb>302.08</fb>
    <v>10</v>
  </rv>
  <rv s="6">
    <fb>305.69</fb>
    <v>10</v>
  </rv>
  <rv s="6">
    <fb>298.54000000000002</fb>
    <v>10</v>
  </rv>
  <rv s="6">
    <fb>297.56</fb>
    <v>10</v>
  </rv>
  <rv s="6">
    <fb>302.36</fb>
    <v>10</v>
  </rv>
  <rv s="6">
    <fb>297.08999999999997</fb>
    <v>10</v>
  </rv>
  <rv s="6">
    <fb>294.11</fb>
    <v>10</v>
  </rv>
  <rv s="6">
    <fb>294.54000000000002</fb>
    <v>10</v>
  </rv>
  <rv s="6">
    <fb>300.44</fb>
    <v>10</v>
  </rv>
  <rv s="6">
    <fb>304.14999999999998</fb>
    <v>10</v>
  </rv>
  <rv s="6">
    <fb>305.36</fb>
    <v>10</v>
  </rv>
  <rv s="6">
    <fb>305.51</fb>
    <v>10</v>
  </rv>
  <rv s="6">
    <fb>309.44</fb>
    <v>10</v>
  </rv>
  <rv s="6">
    <fb>311.12</fb>
    <v>10</v>
  </rv>
  <rv s="6">
    <fb>309.35000000000002</fb>
    <v>10</v>
  </rv>
  <rv s="6">
    <fb>309.25</fb>
    <v>10</v>
  </rv>
  <rv s="6">
    <fb>311.68</fb>
    <v>10</v>
  </rv>
  <rv s="6">
    <fb>314.20999999999998</fb>
    <v>10</v>
  </rv>
  <rv s="6">
    <fb>316.89</fb>
    <v>10</v>
  </rv>
  <rv s="6">
    <fb>315.62</fb>
    <v>10</v>
  </rv>
  <rv s="6">
    <fb>320.41000000000003</fb>
    <v>10</v>
  </rv>
  <rv s="6">
    <fb>309.48</fb>
    <v>10</v>
  </rv>
  <rv s="6">
    <fb>303.61</fb>
    <v>10</v>
  </rv>
  <rv s="6">
    <fb>300.37</fb>
    <v>10</v>
  </rv>
  <rv s="6">
    <fb>299.41000000000003</fb>
    <v>10</v>
  </rv>
  <rv s="6">
    <fb>303.27</fb>
    <v>10</v>
  </rv>
  <rv s="6">
    <fb>298.38</fb>
    <v>10</v>
  </rv>
  <rv s="6">
    <fb>298.02</fb>
    <v>10</v>
  </rv>
  <rv s="6">
    <fb>298</fb>
    <v>10</v>
  </rv>
  <rv s="6">
    <fb>303</fb>
    <v>10</v>
  </rv>
  <rv s="6">
    <fb>307.64</fb>
    <v>10</v>
  </rv>
  <rv s="6">
    <fb>313.08</fb>
    <v>10</v>
  </rv>
  <rv s="6">
    <fb>308.92</fb>
    <v>10</v>
  </rv>
  <rv s="6">
    <fb>307.88</fb>
    <v>10</v>
  </rv>
  <rv s="6">
    <fb>312.13</fb>
    <v>10</v>
  </rv>
  <rv s="6">
    <fb>316.10000000000002</fb>
    <v>10</v>
  </rv>
  <rv s="6">
    <fb>315.04000000000002</fb>
    <v>10</v>
  </rv>
  <rv s="6">
    <fb>315.20999999999998</fb>
    <v>10</v>
  </rv>
  <rv s="6">
    <fb>300.51</fb>
    <v>10</v>
  </rv>
  <rv s="6">
    <fb>310.11</fb>
    <v>10</v>
  </rv>
  <rv s="6">
    <fb>317.38</fb>
    <v>10</v>
  </rv>
  <rv s="6">
    <fb>318.52</fb>
    <v>10</v>
  </rv>
  <rv s="6">
    <fb>320.02</fb>
    <v>10</v>
  </rv>
  <rv s="6">
    <fb>315.55</fb>
    <v>10</v>
  </rv>
  <rv s="6">
    <fb>314.98</fb>
    <v>10</v>
  </rv>
  <rv s="6">
    <fb>313</fb>
    <v>10</v>
  </rv>
  <rv s="6">
    <fb>317.20999999999998</fb>
    <v>10</v>
  </rv>
  <rv s="6">
    <fb>323.08999999999997</fb>
    <v>10</v>
  </rv>
  <rv s="6">
    <fb>325.93</fb>
    <v>10</v>
  </rv>
  <rv s="6">
    <fb>329.17</fb>
    <v>10</v>
  </rv>
  <rv s="6">
    <fb>327.91</fb>
    <v>10</v>
  </rv>
  <rv s="6">
    <fb>323.75</fb>
    <v>10</v>
  </rv>
  <rv s="6">
    <fb>323.42</fb>
    <v>10</v>
  </rv>
  <rv s="6">
    <fb>322.22000000000003</fb>
    <v>10</v>
  </rv>
  <rv s="6">
    <fb>325.48</fb>
    <v>10</v>
  </rv>
  <rv s="6">
    <fb>334.04</fb>
    <v>10</v>
  </rv>
  <rv s="6">
    <fb>334.61</fb>
    <v>10</v>
  </rv>
  <rv s="6">
    <fb>326.99</fb>
    <v>10</v>
  </rv>
  <rv s="6">
    <fb>329.79</fb>
    <v>10</v>
  </rv>
  <rv s="6">
    <fb>329.19</fb>
    <v>10</v>
  </rv>
  <rv s="6">
    <fb>324.49</fb>
    <v>10</v>
  </rv>
  <rv s="6">
    <fb>310.89999999999998</fb>
    <v>10</v>
  </rv>
  <rv s="6">
    <fb>307.87</fb>
    <v>10</v>
  </rv>
  <rv s="6">
    <fb>309.26</fb>
    <v>10</v>
  </rv>
  <rv s="6">
    <fb>312.47000000000003</fb>
    <v>10</v>
  </rv>
  <rv s="6">
    <fb>302.74</fb>
    <v>10</v>
  </rv>
  <rv s="6">
    <fb>302.04000000000002</fb>
    <v>10</v>
  </rv>
  <rv s="6">
    <fb>303.63</fb>
    <v>10</v>
  </rv>
  <rv s="6">
    <fb>297.72000000000003</fb>
    <v>10</v>
  </rv>
  <rv s="6">
    <fb>301.04000000000002</fb>
    <v>10</v>
  </rv>
  <rv s="6">
    <fb>300.31</fb>
    <v>10</v>
  </rv>
  <rv s="6">
    <fb>300.77</fb>
    <v>10</v>
  </rv>
  <rv s="6">
    <fb>306.42</fb>
    <v>10</v>
  </rv>
  <rv s="6">
    <fb>305.89</fb>
    <v>10</v>
  </rv>
  <rv s="6">
    <fb>308.14</fb>
    <v>10</v>
  </rv>
  <rv s="6">
    <fb>314.85000000000002</fb>
    <v>10</v>
  </rv>
  <rv s="6">
    <fb>317.27</fb>
    <v>10</v>
  </rv>
  <rv s="6">
    <fb>310.16000000000003</fb>
    <v>10</v>
  </rv>
  <rv s="6">
    <fb>322.39999999999998</fb>
    <v>10</v>
  </rv>
  <rv s="6">
    <fb>322.10000000000002</fb>
    <v>10</v>
  </rv>
  <rv s="6">
    <fb>318.27999999999997</fb>
    <v>10</v>
  </rv>
  <rv s="6">
    <fb>310.82</fb>
    <v>10</v>
  </rv>
  <rv s="6">
    <fb>302.64</fb>
    <v>10</v>
  </rv>
  <rv s="6">
    <fb>302.55</fb>
    <v>10</v>
  </rv>
  <rv s="6">
    <fb>307.13</fb>
    <v>10</v>
  </rv>
  <rv s="6">
    <fb>308.77999999999997</fb>
    <v>10</v>
  </rv>
  <rv s="6">
    <fb>308.05</fb>
    <v>10</v>
  </rv>
  <rv s="6">
    <fb>310.79000000000002</fb>
    <v>10</v>
  </rv>
  <rv s="6">
    <fb>297.67</fb>
    <v>10</v>
  </rv>
  <rv s="6">
    <fb>297.3</fb>
    <v>10</v>
  </rv>
  <rv s="6">
    <fb>303.3</fb>
    <v>10</v>
  </rv>
  <rv s="6">
    <fb>306.13</fb>
    <v>10</v>
  </rv>
  <rv s="6">
    <fb>300.3</fb>
    <v>10</v>
  </rv>
  <rv s="6">
    <fb>300.26</fb>
    <v>10</v>
  </rv>
  <rv s="6">
    <fb>299.39</fb>
    <v>10</v>
  </rv>
  <rv s="6">
    <fb>293.55</fb>
    <v>10</v>
  </rv>
  <rv s="6">
    <fb>289.48</fb>
    <v>10</v>
  </rv>
  <rv s="6">
    <fb>289.92</fb>
    <v>10</v>
  </rv>
  <rv s="6">
    <fb>288.73</fb>
    <v>10</v>
  </rv>
  <rv s="6">
    <fb>287.52</fb>
    <v>10</v>
  </rv>
  <rv s="6">
    <fb>282.89</fb>
    <v>10</v>
  </rv>
  <rv s="6">
    <fb>283.44</fb>
    <v>10</v>
  </rv>
  <rv s="6">
    <fb>286.16000000000003</fb>
    <v>10</v>
  </rv>
  <rv s="6">
    <fb>286.89</fb>
    <v>10</v>
  </rv>
  <rv s="6">
    <fb>287.74</fb>
    <v>10</v>
  </rv>
  <rv s="6">
    <fb>287.97000000000003</fb>
    <v>10</v>
  </rv>
  <rv s="6">
    <fb>286.56</fb>
    <v>10</v>
  </rv>
  <rv s="6">
    <fb>292.39999999999998</fb>
    <v>10</v>
  </rv>
  <rv s="6">
    <fb>295.42</fb>
    <v>10</v>
  </rv>
  <rv s="6">
    <fb>291.66000000000003</fb>
    <v>10</v>
  </rv>
  <rv s="6">
    <fb>282.83999999999997</fb>
    <v>10</v>
  </rv>
  <rv s="6">
    <fb>283.77</fb>
    <v>10</v>
  </rv>
  <rv s="6">
    <fb>295.38</fb>
    <v>10</v>
  </rv>
  <rv s="6">
    <fb>294.60000000000002</fb>
    <v>10</v>
  </rv>
  <rv s="6">
    <fb>516.25</fb>
    <v>10</v>
  </rv>
  <rv s="6">
    <fb>510.45</fb>
    <v>10</v>
  </rv>
  <rv s="6">
    <fb>585.77</fb>
    <v>10</v>
  </rv>
  <rv s="6">
    <fb>546.29</fb>
    <v>10</v>
  </rv>
  <rv s="6">
    <fb>543.57000000000005</fb>
    <v>10</v>
  </rv>
  <rv s="6">
    <fb>531.48</fb>
    <v>10</v>
  </rv>
  <rv s="6">
    <fb>521.52</fb>
    <v>10</v>
  </rv>
  <rv s="6">
    <fb>502.31</fb>
    <v>10</v>
  </rv>
  <rv s="6">
    <fb>501.48</fb>
    <v>10</v>
  </rv>
  <rv s="6">
    <fb>484.66</fb>
    <v>10</v>
  </rv>
  <rv s="6">
    <fb>500.28</fb>
    <v>10</v>
  </rv>
  <rv s="6">
    <fb>520.27</fb>
    <v>10</v>
  </rv>
  <rv s="6">
    <fb>533.15</fb>
    <v>10</v>
  </rv>
  <rv s="6">
    <fb>547.27</fb>
    <v>10</v>
  </rv>
  <rv s="6">
    <fb>549.74</fb>
    <v>10</v>
  </rv>
  <rv s="6">
    <fb>554.44000000000005</fb>
    <v>10</v>
  </rv>
  <rv s="6">
    <fb>549</fb>
    <v>10</v>
  </rv>
  <rv s="6">
    <fb>572.21</fb>
    <v>10</v>
  </rv>
  <rv s="6">
    <fb>597.02</fb>
    <v>10</v>
  </rv>
  <rv s="6">
    <fb>599.27</fb>
    <v>10</v>
  </rv>
  <rv s="6">
    <fb>587.30999999999995</fb>
    <v>10</v>
  </rv>
  <rv s="6">
    <fb>596.80999999999995</fb>
    <v>10</v>
  </rv>
  <rv s="6">
    <fb>598.01</fb>
    <v>10</v>
  </rv>
  <rv s="6">
    <fb>592.49</fb>
    <v>10</v>
  </rv>
  <rv s="6">
    <fb>639.42999999999995</fb>
    <v>10</v>
  </rv>
  <rv s="6">
    <fb>656.03</fb>
    <v>10</v>
  </rv>
  <rv s="6">
    <fb>659.36</fb>
    <v>10</v>
  </rv>
  <rv s="6">
    <fb>643.88</fb>
    <v>10</v>
  </rv>
  <rv s="6">
    <fb>640.34</fb>
    <v>10</v>
  </rv>
  <rv s="6">
    <fb>640.42999999999995</fb>
    <v>10</v>
  </rv>
  <rv s="6">
    <fb>637.1</fb>
    <v>10</v>
  </rv>
  <rv s="6">
    <fb>635.5</fb>
    <v>10</v>
  </rv>
  <rv s="6">
    <fb>636.57000000000005</fb>
    <v>10</v>
  </rv>
  <rv s="6">
    <fb>627.05999999999995</fb>
    <v>10</v>
  </rv>
  <rv s="6">
    <fb>642.32000000000005</fb>
    <v>10</v>
  </rv>
  <rv s="6">
    <fb>643.58000000000004</fb>
    <v>10</v>
  </rv>
  <rv s="6">
    <fb>645.04999999999995</fb>
    <v>10</v>
  </rv>
  <rv s="6">
    <fb>647.49</fb>
    <v>10</v>
  </rv>
  <rv s="6">
    <fb>670.9</fb>
    <v>10</v>
  </rv>
  <rv s="6">
    <fb>666.85</fb>
    <v>10</v>
  </rv>
  <rv s="6">
    <fb>687.95</fb>
    <v>10</v>
  </rv>
  <rv s="6">
    <fb>684.62</fb>
    <v>10</v>
  </rv>
  <rv s="6">
    <fb>697.71</fb>
    <v>10</v>
  </rv>
  <rv s="6">
    <fb>694.06</fb>
    <v>10</v>
  </rv>
  <rv s="6">
    <fb>702.4</fb>
    <v>10</v>
  </rv>
  <rv s="6">
    <fb>694.14</fb>
    <v>10</v>
  </rv>
  <rv s="6">
    <fb>693.36</fb>
    <v>10</v>
  </rv>
  <rv s="6">
    <fb>682.87</fb>
    <v>10</v>
  </rv>
  <rv s="6">
    <fb>702.12</fb>
    <v>10</v>
  </rv>
  <rv s="6">
    <fb>697.23</fb>
    <v>10</v>
  </rv>
  <rv s="6">
    <fb>695.77</fb>
    <v>10</v>
  </rv>
  <rv s="6">
    <fb>682.35</fb>
    <v>10</v>
  </rv>
  <rv s="6">
    <fb>698.53</fb>
    <v>10</v>
  </rv>
  <rv s="6">
    <fb>712.2</fb>
    <v>10</v>
  </rv>
  <rv s="6">
    <fb>708.68</fb>
    <v>10</v>
  </rv>
  <rv s="6">
    <fb>726.09</fb>
    <v>10</v>
  </rv>
  <rv s="6">
    <fb>733.63</fb>
    <v>10</v>
  </rv>
  <rv s="6">
    <fb>738.09</fb>
    <v>10</v>
  </rv>
  <rv s="6">
    <fb>719.22</fb>
    <v>10</v>
  </rv>
  <rv s="6">
    <fb>713.57</fb>
    <v>10</v>
  </rv>
  <rv s="6">
    <fb>719.01</fb>
    <v>10</v>
  </rv>
  <rv s="6">
    <fb>718.35</fb>
    <v>10</v>
  </rv>
  <rv s="6">
    <fb>720.67</fb>
    <v>10</v>
  </rv>
  <rv s="6">
    <fb>732.78</fb>
    <v>10</v>
  </rv>
  <rv s="6">
    <fb>727.24</fb>
    <v>10</v>
  </rv>
  <rv s="6">
    <fb>717.51</fb>
    <v>10</v>
  </rv>
  <rv s="6">
    <fb>720.92</fb>
    <v>10</v>
  </rv>
  <rv s="6">
    <fb>710.39</fb>
    <v>10</v>
  </rv>
  <rv s="6">
    <fb>702.91</fb>
    <v>10</v>
  </rv>
  <rv s="6">
    <fb>701.41</fb>
    <v>10</v>
  </rv>
  <rv s="6">
    <fb>704.28</fb>
    <v>10</v>
  </rv>
  <rv s="6">
    <fb>712.96500000000003</fb>
    <v>10</v>
  </rv>
  <rv s="6">
    <fb>704.81</fb>
    <v>10</v>
  </rv>
  <rv s="6">
    <fb>713.58</fb>
    <v>10</v>
  </rv>
  <rv s="6">
    <fb>714.8</fb>
    <v>10</v>
  </rv>
  <rv s="6">
    <fb>712.68</fb>
    <v>10</v>
  </rv>
  <rv s="6">
    <fb>717.63</fb>
    <v>10</v>
  </rv>
  <rv s="6">
    <fb>700</fb>
    <v>10</v>
  </rv>
  <rv s="6">
    <fb>695.21</fb>
    <v>10</v>
  </rv>
  <rv s="6">
    <fb>773.44</fb>
    <v>10</v>
  </rv>
  <rv s="6">
    <fb>750.01</fb>
    <v>10</v>
  </rv>
  <rv s="6">
    <fb>776.37</fb>
    <v>10</v>
  </rv>
  <rv s="6">
    <fb>763.46</fb>
    <v>10</v>
  </rv>
  <rv s="6">
    <fb>771.99</fb>
    <v>10</v>
  </rv>
  <rv s="6">
    <fb>761.83</fb>
    <v>10</v>
  </rv>
  <rv s="6">
    <fb>769.3</fb>
    <v>10</v>
  </rv>
  <rv s="6">
    <fb>765.87</fb>
    <v>10</v>
  </rv>
  <rv s="6">
    <fb>790</fb>
    <v>10</v>
  </rv>
  <rv s="6">
    <fb>780.08</fb>
    <v>10</v>
  </rv>
  <rv s="6">
    <fb>782.13</fb>
    <v>10</v>
  </rv>
  <rv s="6">
    <fb>785.23</fb>
    <v>10</v>
  </rv>
  <rv s="6">
    <fb>767.37</fb>
    <v>10</v>
  </rv>
  <rv s="6">
    <fb>751.48</fb>
    <v>10</v>
  </rv>
  <rv s="6">
    <fb>747.72</fb>
    <v>10</v>
  </rv>
  <rv s="6">
    <fb>739.1</fb>
    <v>10</v>
  </rv>
  <rv s="6">
    <fb>754.79</fb>
    <v>10</v>
  </rv>
  <rv s="6">
    <fb>753.3</fb>
    <v>10</v>
  </rv>
  <rv s="6">
    <fb>754.1</fb>
    <v>10</v>
  </rv>
  <rv s="6">
    <fb>747.38</fb>
    <v>10</v>
  </rv>
  <rv s="6">
    <fb>751.11</fb>
    <v>10</v>
  </rv>
  <rv s="6">
    <fb>738.7</fb>
    <v>10</v>
  </rv>
  <rv s="6">
    <fb>735.11</fb>
    <v>10</v>
  </rv>
  <rv s="6">
    <fb>737.05</fb>
    <v>10</v>
  </rv>
  <rv s="6">
    <fb>748.65</fb>
    <v>10</v>
  </rv>
  <rv s="6">
    <fb>752.45</fb>
    <v>10</v>
  </rv>
  <rv s="6">
    <fb>752.3</fb>
    <v>10</v>
  </rv>
  <rv s="6">
    <fb>765.7</fb>
    <v>10</v>
  </rv>
  <rv s="6">
    <fb>751.98</fb>
    <v>10</v>
  </rv>
  <rv s="6">
    <fb>750.9</fb>
    <v>10</v>
  </rv>
  <rv s="6">
    <fb>755.59</fb>
    <v>10</v>
  </rv>
  <rv s="6">
    <fb>764.7</fb>
    <v>10</v>
  </rv>
  <rv s="6">
    <fb>779</fb>
    <v>10</v>
  </rv>
  <rv s="6">
    <fb>775.71500000000003</fb>
    <v>10</v>
  </rv>
  <rv s="6">
    <fb>780.25</fb>
    <v>10</v>
  </rv>
  <rv s="6">
    <fb>778.38</fb>
    <v>10</v>
  </rv>
  <rv s="6">
    <fb>765.16</fb>
    <v>10</v>
  </rv>
  <rv s="6">
    <fb>755.4</fb>
    <v>10</v>
  </rv>
  <rv s="6">
    <fb>760.66</fb>
    <v>10</v>
  </rv>
  <rv s="6">
    <fb>748.91</fb>
    <v>10</v>
  </rv>
  <rv s="6">
    <fb>743.75</fb>
    <v>10</v>
  </rv>
  <rv s="6">
    <fb>743.4</fb>
    <v>10</v>
  </rv>
  <rv s="6">
    <fb>734.38</fb>
    <v>10</v>
  </rv>
  <rv s="6">
    <fb>717.34</fb>
    <v>10</v>
  </rv>
  <rv s="6">
    <fb>727.05</fb>
    <v>10</v>
  </rv>
  <rv s="6">
    <fb>710.56</fb>
    <v>10</v>
  </rv>
  <rv s="6">
    <fb>715.66</fb>
    <v>10</v>
  </rv>
  <rv s="6">
    <fb>713.08</fb>
    <v>10</v>
  </rv>
  <rv s="6">
    <fb>717.84</fb>
    <v>10</v>
  </rv>
  <rv s="6">
    <fb>733.51</fb>
    <v>10</v>
  </rv>
  <rv s="6">
    <fb>705.3</fb>
    <v>10</v>
  </rv>
  <rv s="6">
    <fb>715.7</fb>
    <v>10</v>
  </rv>
  <rv s="6">
    <fb>708.65</fb>
    <v>10</v>
  </rv>
  <rv s="6">
    <fb>717.55</fb>
    <v>10</v>
  </rv>
  <rv s="6">
    <fb>712.07</fb>
    <v>10</v>
  </rv>
  <rv s="6">
    <fb>716.91499999999996</fb>
    <v>10</v>
  </rv>
  <rv s="6">
    <fb>732.17</fb>
    <v>10</v>
  </rv>
  <rv s="6">
    <fb>733.27</fb>
    <v>10</v>
  </rv>
  <rv s="6">
    <fb>733.41</fb>
    <v>10</v>
  </rv>
  <rv s="6">
    <fb>734</fb>
    <v>10</v>
  </rv>
  <rv s="6">
    <fb>738.36</fb>
    <v>10</v>
  </rv>
  <rv s="6">
    <fb>750.82</fb>
    <v>10</v>
  </rv>
  <rv s="6">
    <fb>751.44</fb>
    <v>10</v>
  </rv>
  <rv s="6">
    <fb>751.67</fb>
    <v>10</v>
  </rv>
  <rv s="6">
    <fb>666.47</fb>
    <v>10</v>
  </rv>
  <rv s="6">
    <fb>648.35</fb>
    <v>10</v>
  </rv>
  <rv s="6">
    <fb>637.71</fb>
    <v>10</v>
  </rv>
  <rv s="6">
    <fb>627.32000000000005</fb>
    <v>10</v>
  </rv>
  <rv s="6">
    <fb>635.95000000000005</fb>
    <v>10</v>
  </rv>
  <rv s="6">
    <fb>618.94000000000005</fb>
    <v>10</v>
  </rv>
  <rv s="6">
    <fb>621.71</fb>
    <v>10</v>
  </rv>
  <rv s="6">
    <fb>631.76</fb>
    <v>10</v>
  </rv>
  <rv s="6">
    <fb>627.08000000000004</fb>
    <v>10</v>
  </rv>
  <rv s="6">
    <fb>609.01</fb>
    <v>10</v>
  </rv>
  <rv s="6">
    <fb>609.89</fb>
    <v>10</v>
  </rv>
  <rv s="6">
    <fb>609.46</fb>
    <v>10</v>
  </rv>
  <rv s="6">
    <fb>602.01</fb>
    <v>10</v>
  </rv>
  <rv s="6">
    <fb>597.69000000000005</fb>
    <v>10</v>
  </rv>
  <rv s="6">
    <fb>590.32000000000005</fb>
    <v>10</v>
  </rv>
  <rv s="6">
    <fb>589.15</fb>
    <v>10</v>
  </rv>
  <rv s="6">
    <fb>594.25</fb>
    <v>10</v>
  </rv>
  <rv s="6">
    <fb>613.04999999999995</fb>
    <v>10</v>
  </rv>
  <rv s="6">
    <fb>636.22</fb>
    <v>10</v>
  </rv>
  <rv s="6">
    <fb>633.61</fb>
    <v>10</v>
  </rv>
  <rv s="6">
    <fb>647.95000000000005</fb>
    <v>10</v>
  </rv>
  <rv s="6">
    <fb>640.87</fb>
    <v>10</v>
  </rv>
  <rv s="6">
    <fb>647.1</fb>
    <v>10</v>
  </rv>
  <rv s="6">
    <fb>639.6</fb>
    <v>10</v>
  </rv>
  <rv s="6">
    <fb>661.53</fb>
    <v>10</v>
  </rv>
  <rv s="6">
    <fb>673.42</fb>
    <v>10</v>
  </rv>
  <rv s="6">
    <fb>666.8</fb>
    <v>10</v>
  </rv>
  <rv s="6">
    <fb>656.96</fb>
    <v>10</v>
  </rv>
  <rv s="6">
    <fb>650.13</fb>
    <v>10</v>
  </rv>
  <rv s="6">
    <fb>652.71</fb>
    <v>10</v>
  </rv>
  <rv s="6">
    <fb>644.23</fb>
    <v>10</v>
  </rv>
  <rv s="6">
    <fb>647.51</fb>
    <v>10</v>
  </rv>
  <rv s="6">
    <fb>657.15</fb>
    <v>10</v>
  </rv>
  <rv s="6">
    <fb>649.5</fb>
    <v>10</v>
  </rv>
  <rv s="6">
    <fb>664.45</fb>
    <v>10</v>
  </rv>
  <rv s="6">
    <fb>658.77</fb>
    <v>10</v>
  </rv>
  <rv s="6">
    <fb>661.5</fb>
    <v>10</v>
  </rv>
  <rv s="6">
    <fb>664.94</fb>
    <v>10</v>
  </rv>
  <rv s="6">
    <fb>667.55</fb>
    <v>10</v>
  </rv>
  <rv s="6">
    <fb>663.29</fb>
    <v>10</v>
  </rv>
  <rv s="6">
    <fb>658.69</fb>
    <v>10</v>
  </rv>
  <rv s="6">
    <fb>665.95</fb>
    <v>10</v>
  </rv>
  <rv s="6">
    <fb>660.09</fb>
    <v>10</v>
  </rv>
  <rv s="6">
    <fb>650.41</fb>
    <v>10</v>
  </rv>
  <rv s="6">
    <fb>658.79</fb>
    <v>10</v>
  </rv>
  <rv s="6">
    <fb>660.62</fb>
    <v>10</v>
  </rv>
  <rv s="6">
    <fb>648.69000000000005</fb>
    <v>10</v>
  </rv>
  <rv s="6">
    <fb>646.05999999999995</fb>
    <v>10</v>
  </rv>
  <rv s="6">
    <fb>653.05999999999995</fb>
    <v>10</v>
  </rv>
  <rv s="6">
    <fb>641.97</fb>
    <v>10</v>
  </rv>
  <rv s="6">
    <fb>631.09</fb>
    <v>10</v>
  </rv>
  <rv s="6">
    <fb>615.52</fb>
    <v>10</v>
  </rv>
  <rv s="6">
    <fb>620.79999999999995</fb>
    <v>10</v>
  </rv>
  <rv s="6">
    <fb>620.25</fb>
    <v>10</v>
  </rv>
  <rv s="6">
    <fb>604.12</fb>
    <v>10</v>
  </rv>
  <rv s="6">
    <fb>612.96</fb>
    <v>10</v>
  </rv>
  <rv s="6">
    <fb>647.63</fb>
    <v>10</v>
  </rv>
  <rv s="6">
    <fb>658.76</fb>
    <v>10</v>
  </rv>
  <rv s="6">
    <fb>672.36</fb>
    <v>10</v>
  </rv>
  <rv s="6">
    <fb>672.97</fb>
    <v>10</v>
  </rv>
  <rv s="6">
    <fb>668.73</fb>
    <v>10</v>
  </rv>
  <rv s="6">
    <fb>738.31</fb>
    <v>10</v>
  </rv>
  <rv s="6">
    <fb>716.5</fb>
    <v>10</v>
  </rv>
  <rv s="6">
    <fb>706.41</fb>
    <v>10</v>
  </rv>
  <rv s="6">
    <fb>691.7</fb>
    <v>10</v>
  </rv>
  <rv s="6">
    <fb>668.99</fb>
    <v>10</v>
  </rv>
  <rv s="6">
    <fb>670.21</fb>
    <v>10</v>
  </rv>
  <rv s="6">
    <fb>661.46</fb>
    <v>10</v>
  </rv>
  <rv s="6">
    <fb>677.22</fb>
    <v>10</v>
  </rv>
  <rv s="6">
    <fb>670.72</fb>
    <v>10</v>
  </rv>
  <rv s="6">
    <fb>668.69</fb>
    <v>10</v>
  </rv>
  <rv s="6">
    <fb>649.80999999999995</fb>
    <v>10</v>
  </rv>
  <rv s="6">
    <fb>639.77</fb>
    <v>10</v>
  </rv>
  <rv s="6">
    <fb>639.29</fb>
    <v>10</v>
  </rv>
  <rv s="6">
    <fb>643.22</fb>
    <v>10</v>
  </rv>
  <rv s="6">
    <fb>644.78</fb>
    <v>10</v>
  </rv>
  <rv s="6">
    <fb>655.66</fb>
    <v>10</v>
  </rv>
  <rv s="6">
    <fb>637.25</fb>
    <v>10</v>
  </rv>
  <rv s="6">
    <fb>639.29999999999995</fb>
    <v>10</v>
  </rv>
  <rv s="6">
    <fb>653.69000000000005</fb>
    <v>10</v>
  </rv>
  <rv s="6">
    <fb>657.01</fb>
    <v>10</v>
  </rv>
  <rv s="6">
    <fb>648.17999999999995</fb>
    <v>10</v>
  </rv>
  <rv s="6">
    <fb>653.55999999999995</fb>
    <v>10</v>
  </rv>
  <rv s="6">
    <fb>655.08000000000004</fb>
    <v>10</v>
  </rv>
  <rv s="6">
    <fb>667.73</fb>
    <v>10</v>
  </rv>
  <rv s="6">
    <fb>660.57</fb>
    <v>10</v>
  </rv>
  <rv s="6">
    <fb>644.86</fb>
    <v>10</v>
  </rv>
  <rv s="6">
    <fb>647.39</fb>
    <v>10</v>
  </rv>
  <rv s="6">
    <fb>654.07000000000005</fb>
    <v>10</v>
  </rv>
  <rv s="6">
    <fb>654.86</fb>
    <v>10</v>
  </rv>
  <rv s="6">
    <fb>638.17999999999995</fb>
    <v>10</v>
  </rv>
  <rv s="6">
    <fb>613.71</fb>
    <v>10</v>
  </rv>
  <rv s="6">
    <fb>627.45000000000005</fb>
    <v>10</v>
  </rv>
  <rv s="6">
    <fb>622.66</fb>
    <v>10</v>
  </rv>
  <rv s="6">
    <fb>615.67999999999995</fb>
    <v>10</v>
  </rv>
  <rv s="6">
    <fb>606.70000000000005</fb>
    <v>10</v>
  </rv>
  <rv s="6">
    <fb>593.66</fb>
    <v>10</v>
  </rv>
  <rv s="6">
    <fb>604.05999999999995</fb>
    <v>10</v>
  </rv>
  <rv s="6">
    <fb>592.91999999999996</fb>
    <v>10</v>
  </rv>
  <rv s="6">
    <fb>594.89</fb>
    <v>10</v>
  </rv>
  <rv s="6">
    <fb>547.54</fb>
    <v>10</v>
  </rv>
  <rv s="6">
    <fb>525.72</fb>
    <v>10</v>
  </rv>
  <rv s="6">
    <fb>536.38</fb>
    <v>10</v>
  </rv>
  <rv s="6">
    <fb>572.13</fb>
    <v>10</v>
  </rv>
  <rv s="6">
    <fb>579.23</fb>
    <v>10</v>
  </rv>
  <rv s="6">
    <fb>574.46</fb>
    <v>10</v>
  </rv>
  <rv s="6">
    <fb>97.64</fb>
    <v>10</v>
  </rv>
  <rv s="6">
    <fb>114.33</fb>
    <v>10</v>
  </rv>
  <rv s="6">
    <fb>107.57</fb>
    <v>10</v>
  </rv>
  <rv s="6">
    <fb>110.93</fb>
    <v>10</v>
  </rv>
  <rv s="6">
    <fb>112.2</fb>
    <v>10</v>
  </rv>
  <rv s="6">
    <fb>104.49</fb>
    <v>10</v>
  </rv>
  <rv s="6">
    <fb>96.91</fb>
    <v>10</v>
  </rv>
  <rv s="6">
    <fb>98.89</fb>
    <v>10</v>
  </rv>
  <rv s="6">
    <fb>102.71</fb>
    <v>10</v>
  </rv>
  <rv s="6">
    <fb>106.43</fb>
    <v>10</v>
  </rv>
  <rv s="6">
    <fb>111.01</fb>
    <v>10</v>
  </rv>
  <rv s="6">
    <fb>108.73</fb>
    <v>10</v>
  </rv>
  <rv s="6">
    <fb>109.02</fb>
    <v>10</v>
  </rv>
  <rv s="6">
    <fb>111.61</fb>
    <v>10</v>
  </rv>
  <rv s="6">
    <fb>114.5</fb>
    <v>10</v>
  </rv>
  <rv s="6">
    <fb>113.82</fb>
    <v>10</v>
  </rv>
  <rv s="6">
    <fb>113.54</fb>
    <v>10</v>
  </rv>
  <rv s="6">
    <fb>117.06</fb>
    <v>10</v>
  </rv>
  <rv s="6">
    <fb>117.37</fb>
    <v>10</v>
  </rv>
  <rv s="6">
    <fb>116.65</fb>
    <v>10</v>
  </rv>
  <rv s="6">
    <fb>123</fb>
    <v>10</v>
  </rv>
  <rv s="6">
    <fb>129.93</fb>
    <v>10</v>
  </rv>
  <rv s="6">
    <fb>135.34</fb>
    <v>10</v>
  </rv>
  <rv s="6">
    <fb>134.83000000000001</fb>
    <v>10</v>
  </rv>
  <rv s="6">
    <fb>135.4</fb>
    <v>10</v>
  </rv>
  <rv s="6">
    <fb>135.57</fb>
    <v>10</v>
  </rv>
  <rv s="6">
    <fb>134.38</fb>
    <v>10</v>
  </rv>
  <rv s="6">
    <fb>131.80000000000001</fb>
    <v>10</v>
  </rv>
  <rv s="6">
    <fb>132.83000000000001</fb>
    <v>10</v>
  </rv>
  <rv s="6">
    <fb>131.29</fb>
    <v>10</v>
  </rv>
  <rv s="6">
    <fb>134.81</fb>
    <v>10</v>
  </rv>
  <rv s="6">
    <fb>139.19</fb>
    <v>10</v>
  </rv>
  <rv s="6">
    <fb>135.13</fb>
    <v>10</v>
  </rv>
  <rv s="6">
    <fb>137.38</fb>
    <v>10</v>
  </rv>
  <rv s="6">
    <fb>141.22</fb>
    <v>10</v>
  </rv>
  <rv s="6">
    <fb>141.91999999999999</fb>
    <v>10</v>
  </rv>
  <rv s="6">
    <fb>139.99</fb>
    <v>10</v>
  </rv>
  <rv s="6">
    <fb>141.72</fb>
    <v>10</v>
  </rv>
  <rv s="6">
    <fb>142.63</fb>
    <v>10</v>
  </rv>
  <rv s="6">
    <fb>143.96</fb>
    <v>10</v>
  </rv>
  <rv s="6">
    <fb>142.83000000000001</fb>
    <v>10</v>
  </rv>
  <rv s="6">
    <fb>141.97</fb>
    <v>10</v>
  </rv>
  <rv s="6">
    <fb>144.69</fb>
    <v>10</v>
  </rv>
  <rv s="6">
    <fb>144.12</fb>
    <v>10</v>
  </rv>
  <rv s="6">
    <fb>145.47999999999999</fb>
    <v>10</v>
  </rv>
  <rv s="6">
    <fb>143.85</fb>
    <v>10</v>
  </rv>
  <rv s="6">
    <fb>144.16999999999999</fb>
    <v>10</v>
  </rv>
  <rv s="6">
    <fb>147.9</fb>
    <v>10</v>
  </rv>
  <rv s="6">
    <fb>154.31</fb>
    <v>10</v>
  </rv>
  <rv s="6">
    <fb>157.75</fb>
    <v>10</v>
  </rv>
  <rv s="6">
    <fb>157.99</fb>
    <v>10</v>
  </rv>
  <rv s="6">
    <fb>153.30000000000001</fb>
    <v>10</v>
  </rv>
  <rv s="6">
    <fb>157.25</fb>
    <v>10</v>
  </rv>
  <rv s="6">
    <fb>159.34</fb>
    <v>10</v>
  </rv>
  <rv s="6">
    <fb>158.24</fb>
    <v>10</v>
  </rv>
  <rv s="6">
    <fb>162.88</fb>
    <v>10</v>
  </rv>
  <rv s="6">
    <fb>164.1</fb>
    <v>10</v>
  </rv>
  <rv s="6">
    <fb>164.92</fb>
    <v>10</v>
  </rv>
  <rv s="6">
    <fb>164.07</fb>
    <v>10</v>
  </rv>
  <rv s="6">
    <fb>171.37</fb>
    <v>10</v>
  </rv>
  <rv s="6">
    <fb>172.41</fb>
    <v>10</v>
  </rv>
  <rv s="6">
    <fb>171.38</fb>
    <v>10</v>
  </rv>
  <rv s="6">
    <fb>167.03</fb>
    <v>10</v>
  </rv>
  <rv s="6">
    <fb>170.78</fb>
    <v>10</v>
  </rv>
  <rv s="6">
    <fb>173.74</fb>
    <v>10</v>
  </rv>
  <rv s="6">
    <fb>173.5</fb>
    <v>10</v>
  </rv>
  <rv s="6">
    <fb>176.75</fb>
    <v>10</v>
  </rv>
  <rv s="6">
    <fb>175.51</fb>
    <v>10</v>
  </rv>
  <rv s="6">
    <fb>179.27</fb>
    <v>10</v>
  </rv>
  <rv s="6">
    <fb>177.87</fb>
    <v>10</v>
  </rv>
  <rv s="6">
    <fb>173.72</fb>
    <v>10</v>
  </rv>
  <rv s="6">
    <fb>178.26</fb>
    <v>10</v>
  </rv>
  <rv s="6">
    <fb>179.42</fb>
    <v>10</v>
  </rv>
  <rv s="6">
    <fb>180.77</fb>
    <v>10</v>
  </rv>
  <rv s="6">
    <fb>182.7</fb>
    <v>10</v>
  </rv>
  <rv s="6">
    <fb>182.06</fb>
    <v>10</v>
  </rv>
  <rv s="6">
    <fb>183.16</fb>
    <v>10</v>
  </rv>
  <rv s="6">
    <fb>181.59</fb>
    <v>10</v>
  </rv>
  <rv s="6">
    <fb>182.02</fb>
    <v>10</v>
  </rv>
  <rv s="6">
    <fb>180.45</fb>
    <v>10</v>
  </rv>
  <rv s="6">
    <fb>182.01</fb>
    <v>10</v>
  </rv>
  <rv s="6">
    <fb>175.64</fb>
    <v>10</v>
  </rv>
  <rv s="6">
    <fb>175.4</fb>
    <v>10</v>
  </rv>
  <rv s="6">
    <fb>174.98</fb>
    <v>10</v>
  </rv>
  <rv s="6">
    <fb>177.99</fb>
    <v>10</v>
  </rv>
  <rv s="6">
    <fb>179.81</fb>
    <v>10</v>
  </rv>
  <rv s="6">
    <fb>181.77</fb>
    <v>10</v>
  </rv>
  <rv s="6">
    <fb>181.6</fb>
    <v>10</v>
  </rv>
  <rv s="6">
    <fb>180.17</fb>
    <v>10</v>
  </rv>
  <rv s="6">
    <fb>174.18</fb>
    <v>10</v>
  </rv>
  <rv s="6">
    <fb>170.62</fb>
    <v>10</v>
  </rv>
  <rv s="6">
    <fb>171.66</fb>
    <v>10</v>
  </rv>
  <rv s="6">
    <fb>167.02</fb>
    <v>10</v>
  </rv>
  <rv s="6">
    <fb>168.31</fb>
    <v>10</v>
  </rv>
  <rv s="6">
    <fb>170.76</fb>
    <v>10</v>
  </rv>
  <rv s="6">
    <fb>177.33</fb>
    <v>10</v>
  </rv>
  <rv s="6">
    <fb>177.17</fb>
    <v>10</v>
  </rv>
  <rv s="6">
    <fb>177.82</fb>
    <v>10</v>
  </rv>
  <rv s="6">
    <fb>177.75</fb>
    <v>10</v>
  </rv>
  <rv s="6">
    <fb>174.88</fb>
    <v>10</v>
  </rv>
  <rv s="6">
    <fb>170.29</fb>
    <v>10</v>
  </rv>
  <rv s="6">
    <fb>176.24</fb>
    <v>10</v>
  </rv>
  <rv s="6">
    <fb>176.67</fb>
    <v>10</v>
  </rv>
  <rv s="6">
    <fb>183.61</fb>
    <v>10</v>
  </rv>
  <rv s="6">
    <fb>178.43</fb>
    <v>10</v>
  </rv>
  <rv s="6">
    <fb>177.69</fb>
    <v>10</v>
  </rv>
  <rv s="6">
    <fb>178.19</fb>
    <v>10</v>
  </rv>
  <rv s="6">
    <fb>181.85</fb>
    <v>10</v>
  </rv>
  <rv s="6">
    <fb>186.58</fb>
    <v>10</v>
  </rv>
  <rv s="6">
    <fb>187.24</fb>
    <v>10</v>
  </rv>
  <rv s="6">
    <fb>188.89</fb>
    <v>10</v>
  </rv>
  <rv s="6">
    <fb>187.62</fb>
    <v>10</v>
  </rv>
  <rv s="6">
    <fb>185.54</fb>
    <v>10</v>
  </rv>
  <rv s="6">
    <fb>185.04</fb>
    <v>10</v>
  </rv>
  <rv s="6">
    <fb>189.11</fb>
    <v>10</v>
  </rv>
  <rv s="6">
    <fb>192.57</fb>
    <v>10</v>
  </rv>
  <rv s="6">
    <fb>188.32</fb>
    <v>10</v>
  </rv>
  <rv s="6">
    <fb>180.03</fb>
    <v>10</v>
  </rv>
  <rv s="6">
    <fb>179.83</fb>
    <v>10</v>
  </rv>
  <rv s="6">
    <fb>181.81</fb>
    <v>10</v>
  </rv>
  <rv s="6">
    <fb>183.22</fb>
    <v>10</v>
  </rv>
  <rv s="6">
    <fb>182.64</fb>
    <v>10</v>
  </rv>
  <rv s="6">
    <fb>181.16</fb>
    <v>10</v>
  </rv>
  <rv s="6">
    <fb>180.28</fb>
    <v>10</v>
  </rv>
  <rv s="6">
    <fb>182.16</fb>
    <v>10</v>
  </rv>
  <rv s="6">
    <fb>186.26</fb>
    <v>10</v>
  </rv>
  <rv s="6">
    <fb>191.49</fb>
    <v>10</v>
  </rv>
  <rv s="6">
    <fb>201.03</fb>
    <v>10</v>
  </rv>
  <rv s="6">
    <fb>207.04</fb>
    <v>10</v>
  </rv>
  <rv s="6">
    <fb>202.89</fb>
    <v>10</v>
  </rv>
  <rv s="6">
    <fb>206.88</fb>
    <v>10</v>
  </rv>
  <rv s="6">
    <fb>198.69</fb>
    <v>10</v>
  </rv>
  <rv s="6">
    <fb>195.21</fb>
    <v>10</v>
  </rv>
  <rv s="6">
    <fb>188.08</fb>
    <v>10</v>
  </rv>
  <rv s="6">
    <fb>188.15</fb>
    <v>10</v>
  </rv>
  <rv s="6">
    <fb>199.05</fb>
    <v>10</v>
  </rv>
  <rv s="6">
    <fb>193.8</fb>
    <v>10</v>
  </rv>
  <rv s="6">
    <fb>186.86</fb>
    <v>10</v>
  </rv>
  <rv s="6">
    <fb>190.17</fb>
    <v>10</v>
  </rv>
  <rv s="6">
    <fb>186.6</fb>
    <v>10</v>
  </rv>
  <rv s="6">
    <fb>181.36</fb>
    <v>10</v>
  </rv>
  <rv s="6">
    <fb>186.52</fb>
    <v>10</v>
  </rv>
  <rv s="6">
    <fb>180.64</fb>
    <v>10</v>
  </rv>
  <rv s="6">
    <fb>178.88</fb>
    <v>10</v>
  </rv>
  <rv s="6">
    <fb>182.55</fb>
    <v>10</v>
  </rv>
  <rv s="6">
    <fb>180.26</fb>
    <v>10</v>
  </rv>
  <rv s="6">
    <fb>179.92</fb>
    <v>10</v>
  </rv>
  <rv s="6">
    <fb>183.38</fb>
    <v>10</v>
  </rv>
  <rv s="6">
    <fb>182.41</fb>
    <v>10</v>
  </rv>
  <rv s="6">
    <fb>185.55</fb>
    <v>10</v>
  </rv>
  <rv s="6">
    <fb>184.97</fb>
    <v>10</v>
  </rv>
  <rv s="6">
    <fb>183.78</fb>
    <v>10</v>
  </rv>
  <rv s="6">
    <fb>180.93</fb>
    <v>10</v>
  </rv>
  <rv s="6">
    <fb>175.02</fb>
    <v>10</v>
  </rv>
  <rv s="6">
    <fb>176.29</fb>
    <v>10</v>
  </rv>
  <rv s="6">
    <fb>177.72</fb>
    <v>10</v>
  </rv>
  <rv s="6">
    <fb>170.94</fb>
    <v>10</v>
  </rv>
  <rv s="6">
    <fb>174.14</fb>
    <v>10</v>
  </rv>
  <rv s="6">
    <fb>180.99</fb>
    <v>10</v>
  </rv>
  <rv s="6">
    <fb>183.69</fb>
    <v>10</v>
  </rv>
  <rv s="6">
    <fb>189.21</fb>
    <v>10</v>
  </rv>
  <rv s="6">
    <fb>188.61</fb>
    <v>10</v>
  </rv>
  <rv s="6">
    <fb>190.53</fb>
    <v>10</v>
  </rv>
  <rv s="6">
    <fb>188.22</fb>
    <v>10</v>
  </rv>
  <rv s="6">
    <fb>187.54</fb>
    <v>10</v>
  </rv>
  <rv s="6">
    <fb>188.85</fb>
    <v>10</v>
  </rv>
  <rv s="6">
    <fb>188.12</fb>
    <v>10</v>
  </rv>
  <rv s="6">
    <fb>184.86</fb>
    <v>10</v>
  </rv>
  <rv s="6">
    <fb>184.94</fb>
    <v>10</v>
  </rv>
  <rv s="6">
    <fb>185.81</fb>
    <v>10</v>
  </rv>
  <rv s="6">
    <fb>183.14</fb>
    <v>10</v>
  </rv>
  <rv s="6">
    <fb>187.05</fb>
    <v>10</v>
  </rv>
  <rv s="6">
    <fb>186.23</fb>
    <v>10</v>
  </rv>
  <rv s="6">
    <fb>178.07</fb>
    <v>10</v>
  </rv>
  <rv s="6">
    <fb>183.32</fb>
    <v>10</v>
  </rv>
  <rv s="6">
    <fb>184.84</fb>
    <v>10</v>
  </rv>
  <rv s="6">
    <fb>187.67</fb>
    <v>10</v>
  </rv>
  <rv s="6">
    <fb>186.47</fb>
    <v>10</v>
  </rv>
  <rv s="6">
    <fb>188.52</fb>
    <v>10</v>
  </rv>
  <rv s="6">
    <fb>191.52</fb>
    <v>10</v>
  </rv>
  <rv s="6">
    <fb>192.51</fb>
    <v>10</v>
  </rv>
  <rv s="6">
    <fb>191.13</fb>
    <v>10</v>
  </rv>
  <rv s="6">
    <fb>185.61</fb>
    <v>10</v>
  </rv>
  <rv s="6">
    <fb>180.34</fb>
    <v>10</v>
  </rv>
  <rv s="6">
    <fb>174.19</fb>
    <v>10</v>
  </rv>
  <rv s="6">
    <fb>171.88</fb>
    <v>10</v>
  </rv>
  <rv s="6">
    <fb>185.41</fb>
    <v>10</v>
  </rv>
  <rv s="6">
    <fb>190.04</fb>
    <v>10</v>
  </rv>
  <rv s="6">
    <fb>188.54</fb>
    <v>10</v>
  </rv>
  <rv s="6">
    <fb>190.05</fb>
    <v>10</v>
  </rv>
  <rv s="6">
    <fb>186.94</fb>
    <v>10</v>
  </rv>
  <rv s="6">
    <fb>187.98</fb>
    <v>10</v>
  </rv>
  <rv s="6">
    <fb>187.9</fb>
    <v>10</v>
  </rv>
  <rv s="6">
    <fb>189.82</fb>
    <v>10</v>
  </rv>
  <rv s="6">
    <fb>191.55</fb>
    <v>10</v>
  </rv>
  <rv s="6">
    <fb>192.85</fb>
    <v>10</v>
  </rv>
  <rv s="6">
    <fb>195.56</fb>
    <v>10</v>
  </rv>
  <rv s="6">
    <fb>184.89</fb>
    <v>10</v>
  </rv>
  <rv s="6">
    <fb>177.19</fb>
    <v>10</v>
  </rv>
  <rv s="6">
    <fb>182.48</fb>
    <v>10</v>
  </rv>
  <rv s="6">
    <fb>180.05</fb>
    <v>10</v>
  </rv>
  <rv s="6">
    <fb>183.04</fb>
    <v>10</v>
  </rv>
  <rv s="6">
    <fb>183.34</fb>
    <v>10</v>
  </rv>
  <rv s="6">
    <fb>182.65</fb>
    <v>10</v>
  </rv>
  <rv s="6">
    <fb>184.77</fb>
    <v>10</v>
  </rv>
  <rv s="6">
    <fb>180.25</fb>
    <v>10</v>
  </rv>
  <rv s="6">
    <fb>181.93</fb>
    <v>10</v>
  </rv>
  <rv s="6">
    <fb>180.4</fb>
    <v>10</v>
  </rv>
  <rv s="6">
    <fb>178.56</fb>
    <v>10</v>
  </rv>
  <rv s="6">
    <fb>172.7</fb>
    <v>10</v>
  </rv>
  <rv s="6">
    <fb>175.2</fb>
    <v>10</v>
  </rv>
  <rv s="6">
    <fb>178.68</fb>
    <v>10</v>
  </rv>
  <rv s="6">
    <fb>171.24</fb>
    <v>10</v>
  </rv>
  <rv s="6">
    <fb>167.52</fb>
    <v>10</v>
  </rv>
  <rv s="6">
    <fb>165.17</fb>
    <v>10</v>
  </rv>
  <rv s="6">
    <fb>174.4</fb>
    <v>10</v>
  </rv>
  <rv s="6">
    <fb>175.75</fb>
    <v>10</v>
  </rv>
  <rv s="6">
    <fb>160.34</fb>
    <v>10</v>
  </rv>
  <rv s="6">
    <fb>167.22</fb>
    <v>10</v>
  </rv>
  <rv s="6">
    <fb>169.42</fb>
    <v>10</v>
  </rv>
  <rv s="6">
    <fb>172</fb>
    <v>10</v>
  </rv>
  <rv s="6">
    <fb>174.24</fb>
    <v>10</v>
  </rv>
  <rv s="6">
    <fb>175.1</fb>
    <v>10</v>
  </rv>
  <rv s="6">
    <fb>176.38</fb>
    <v>10</v>
  </rv>
  <rv s="6">
    <fb>174.52</fb>
    <v>10</v>
  </rv>
  <rv s="6">
    <fb>181.43</fb>
    <v>10</v>
  </rv>
  <rv s="6">
    <fb>186.61</fb>
    <v>10</v>
  </rv>
  <rv s="6">
    <fb>188.21</fb>
    <v>10</v>
  </rv>
  <rv s="6">
    <fb>193.13</fb>
    <v>10</v>
  </rv>
  <rv s="6">
    <fb>195.39</fb>
    <v>10</v>
  </rv>
  <rv s="6">
    <fb>191.22</fb>
    <v>10</v>
  </rv>
  <rv s="6">
    <fb>190.58</fb>
    <v>10</v>
  </rv>
  <rv s="6">
    <fb>192.24</fb>
    <v>10</v>
  </rv>
  <rv s="6">
    <fb>192.48</fb>
    <v>10</v>
  </rv>
  <rv s="6">
    <fb>188.9</fb>
    <v>10</v>
  </rv>
  <rv s="6">
    <fb>187.92</fb>
    <v>10</v>
  </rv>
  <rv s="6">
    <fb>187.53</fb>
    <v>10</v>
  </rv>
  <rv s="6">
    <fb>192.32</fb>
    <v>10</v>
  </rv>
  <rv s="6">
    <fb>193.97</fb>
    <v>10</v>
  </rv>
  <rv s="6">
    <fb>187</fb>
    <v>10</v>
  </rv>
  <rv s="6">
    <fb>183.45</fb>
    <v>10</v>
  </rv>
  <rv s="6">
    <fb>183.19</fb>
    <v>10</v>
  </rv>
  <rv s="6">
    <fb>185.32</fb>
    <v>10</v>
  </rv>
  <rv s="6">
    <fb>186.36</fb>
    <v>10</v>
  </rv>
  <rv s="6">
    <fb>184.47</fb>
    <v>10</v>
  </rv>
  <rv s="6">
    <fb>182.82</fb>
    <v>10</v>
  </rv>
  <rv s="6">
    <fb>182.3</fb>
    <v>10</v>
  </rv>
  <rv s="6">
    <fb>186.68</fb>
    <v>10</v>
  </rv>
  <rv s="6">
    <fb>182.88</fb>
    <v>10</v>
  </rv>
  <rv s="6">
    <fb>186.11</fb>
    <v>10</v>
  </rv>
  <rv s="6">
    <fb>190.57</fb>
    <v>10</v>
  </rv>
  <rv s="6">
    <fb>189.14</fb>
    <v>10</v>
  </rv>
  <rv s="6">
    <fb>191.4</fb>
    <v>10</v>
  </rv>
  <rv s="6">
    <fb>187.96</fb>
    <v>10</v>
  </rv>
  <rv s="6">
    <fb>185.14</fb>
    <v>10</v>
  </rv>
  <rv s="6">
    <fb>183.94</fb>
    <v>10</v>
  </rv>
  <rv s="6">
    <fb>185.25</fb>
    <v>10</v>
  </rv>
  <rv s="6">
    <fb>182.61</fb>
    <v>10</v>
  </rv>
  <rv s="6">
    <fb>181.99</fb>
    <v>10</v>
  </rv>
  <rv s="6">
    <fb>178.75</fb>
    <v>10</v>
  </rv>
  <rv s="6">
    <fb>177.67</fb>
    <v>10</v>
  </rv>
  <rv s="6">
    <fb>173.95</fb>
    <v>10</v>
  </rv>
  <rv s="6">
    <fb>175.59</fb>
    <v>10</v>
  </rv>
  <rv s="6">
    <fb>170.88</fb>
    <v>10</v>
  </rv>
  <rv s="6">
    <fb>171.58</fb>
    <v>10</v>
  </rv>
  <rv s="6">
    <fb>169.15</fb>
    <v>10</v>
  </rv>
  <rv s="6">
    <fb>170.63</fb>
    <v>10</v>
  </rv>
  <rv s="6">
    <fb>175.74</fb>
    <v>10</v>
  </rv>
  <rv s="6">
    <fb>172.26</fb>
    <v>10</v>
  </rv>
  <rv s="6">
    <fb>171.54</fb>
    <v>10</v>
  </rv>
  <rv s="6">
    <fb>172.01</fb>
    <v>10</v>
  </rv>
  <rv s="6">
    <fb>174.89</fb>
    <v>10</v>
  </rv>
  <rv s="6">
    <fb>167.86</fb>
    <v>10</v>
  </rv>
  <rv s="6">
    <fb>170.2</fb>
    <v>10</v>
  </rv>
  <rv s="6">
    <fb>170.54</fb>
    <v>10</v>
  </rv>
  <rv s="6">
    <fb>170.39</fb>
    <v>10</v>
  </rv>
  <rv s="6">
    <fb>170.26</fb>
    <v>10</v>
  </rv>
  <rv s="6">
    <fb>172.14</fb>
    <v>10</v>
  </rv>
  <rv s="6">
    <fb>170.02</fb>
    <v>10</v>
  </rv>
  <rv s="6">
    <fb>169.88</fb>
    <v>10</v>
  </rv>
  <rv s="6">
    <fb>170.48</fb>
    <v>10</v>
  </rv>
  <rv s="6">
    <fb>168.65</fb>
    <v>10</v>
  </rv>
  <rv s="6">
    <fb>170.03</fb>
    <v>10</v>
  </rv>
  <rv s="6">
    <fb>169.99</fb>
    <v>10</v>
  </rv>
  <rv s="6">
    <fb>193.18</fb>
    <v>10</v>
  </rv>
  <rv s="6">
    <fb>191.66</fb>
    <v>10</v>
  </rv>
  <rv s="6">
    <fb>188.49</fb>
    <v>10</v>
  </rv>
  <rv s="6">
    <fb>187.18</fb>
    <v>10</v>
  </rv>
  <rv s="6">
    <fb>184.27</fb>
    <v>10</v>
  </rv>
  <rv s="6">
    <fb>182.75</fb>
    <v>10</v>
  </rv>
  <rv s="6">
    <fb>178.97</fb>
    <v>10</v>
  </rv>
  <rv s="6">
    <fb>179.69</fb>
    <v>10</v>
  </rv>
  <rv s="6">
    <fb>182.31</fb>
    <v>10</v>
  </rv>
  <rv s="6">
    <fb>181.5</fb>
    <v>10</v>
  </rv>
  <rv s="6">
    <fb>183.99</fb>
    <v>10</v>
  </rv>
  <rv s="6">
    <fb>181.49</fb>
    <v>10</v>
  </rv>
  <rv s="6">
    <fb>188.64</fb>
    <v>10</v>
  </rv>
  <rv s="6">
    <fb>189.13</fb>
    <v>10</v>
  </rv>
  <rv s="6">
    <fb>193.66</fb>
    <v>10</v>
  </rv>
  <rv s="6">
    <fb>197.83</fb>
    <v>10</v>
  </rv>
  <rv s="6">
    <fb>198.6</fb>
    <v>10</v>
  </rv>
  <rv s="6">
    <fb>197.27</fb>
    <v>10</v>
  </rv>
  <rv s="6">
    <fb>201.37</fb>
    <v>10</v>
  </rv>
  <rv s="6">
    <fb>198.37</fb>
    <v>10</v>
  </rv>
  <rv s="6">
    <fb>197.35</fb>
    <v>10</v>
  </rv>
  <rv s="6">
    <fb>196.74</fb>
    <v>10</v>
  </rv>
  <rv s="6">
    <fb>198.25</fb>
    <v>10</v>
  </rv>
  <rv s="6">
    <fb>194.57</fb>
    <v>10</v>
  </rv>
  <rv s="6">
    <fb>193.57</fb>
    <v>10</v>
  </rv>
  <rv s="6">
    <fb>193.01</fb>
    <v>10</v>
  </rv>
  <rv s="6">
    <fb>197.64</fb>
    <v>10</v>
  </rv>
  <rv s="6">
    <fb>199.62</fb>
    <v>10</v>
  </rv>
  <rv s="6">
    <fb>202.79</fb>
    <v>10</v>
  </rv>
  <rv s="6">
    <fb>200.8</fb>
    <v>10</v>
  </rv>
  <rv s="6">
    <fb>197.38</fb>
    <v>10</v>
  </rv>
  <rv s="6">
    <fb>197.63</fb>
    <v>10</v>
  </rv>
  <rv s="6">
    <fb>196.13</fb>
    <v>10</v>
  </rv>
  <rv s="6">
    <fb>201.38</fb>
    <v>10</v>
  </rv>
  <rv s="6">
    <fb>200.47</fb>
    <v>10</v>
  </rv>
  <rv s="6">
    <fb>198.95</fb>
    <v>10</v>
  </rv>
  <rv s="6">
    <fb>200.68</fb>
    <v>10</v>
  </rv>
  <rv s="6">
    <fb>200.66</fb>
    <v>10</v>
  </rv>
  <rv s="6">
    <fb>198.09</fb>
    <v>10</v>
  </rv>
  <rv s="6">
    <fb>196.44</fb>
    <v>10</v>
  </rv>
  <rv s="6">
    <fb>191.09</fb>
    <v>10</v>
  </rv>
  <rv s="6">
    <fb>191.83</fb>
    <v>10</v>
  </rv>
  <rv s="6">
    <fb>190.52</fb>
    <v>10</v>
  </rv>
  <rv s="6">
    <fb>194.59</fb>
    <v>10</v>
  </rv>
  <rv s="6">
    <fb>199.18</fb>
    <v>10</v>
  </rv>
  <rv s="6">
    <fb>199.89</fb>
    <v>10</v>
  </rv>
  <rv s="6">
    <fb>198.21</fb>
    <v>10</v>
  </rv>
  <rv s="6">
    <fb>192.33</fb>
    <v>10</v>
  </rv>
  <rv s="6">
    <fb>185.22</fb>
    <v>10</v>
  </rv>
  <rv s="6">
    <fb>187.88</fb>
    <v>10</v>
  </rv>
  <rv s="6">
    <fb>191.74</fb>
    <v>10</v>
  </rv>
  <rv s="6">
    <fb>194.33</fb>
    <v>10</v>
  </rv>
  <rv s="6">
    <fb>195.41</fb>
    <v>10</v>
  </rv>
  <rv s="6">
    <fb>200.11</fb>
    <v>10</v>
  </rv>
  <rv s="6">
    <fb>201.95</fb>
    <v>10</v>
  </rv>
  <rv s="6">
    <fb>203.51</fb>
    <v>10</v>
  </rv>
  <rv s="6">
    <fb>204.06</fb>
    <v>10</v>
  </rv>
  <rv s="6">
    <fb>209.22</fb>
    <v>10</v>
  </rv>
  <rv s="6">
    <fb>211.24</fb>
    <v>10</v>
  </rv>
  <rv s="6">
    <fb>207.09</fb>
    <v>10</v>
  </rv>
  <rv s="6">
    <fb>207.21</fb>
    <v>10</v>
  </rv>
  <rv s="6">
    <fb>204.19</fb>
    <v>10</v>
  </rv>
  <rv s="6">
    <fb>205.72</fb>
    <v>10</v>
  </rv>
  <rv s="6">
    <fb>203.89</fb>
    <v>10</v>
  </rv>
  <rv s="6">
    <fb>199.15</fb>
    <v>10</v>
  </rv>
  <rv s="6">
    <fb>202.94</fb>
    <v>10</v>
  </rv>
  <rv s="6">
    <fb>201.98</fb>
    <v>10</v>
  </rv>
  <rv s="6">
    <fb>203.94</fb>
    <v>10</v>
  </rv>
  <rv s="6">
    <fb>205.99</fb>
    <v>10</v>
  </rv>
  <rv s="6">
    <fb>207.29</fb>
    <v>10</v>
  </rv>
  <rv s="6">
    <fb>203.26</fb>
    <v>10</v>
  </rv>
  <rv s="6">
    <fb>199</fb>
    <v>10</v>
  </rv>
  <rv s="6">
    <fb>195.96</fb>
    <v>10</v>
  </rv>
  <rv s="6">
    <fb>196.78</fb>
    <v>10</v>
  </rv>
  <rv s="6">
    <fb>191.25</fb>
    <v>10</v>
  </rv>
  <rv s="6">
    <fb>197.62</fb>
    <v>10</v>
  </rv>
  <rv s="6">
    <fb>199.06</fb>
    <v>10</v>
  </rv>
  <rv s="6">
    <fb>200.26</fb>
    <v>10</v>
  </rv>
  <rv s="6">
    <fb>202.44</fb>
    <v>10</v>
  </rv>
  <rv s="6">
    <fb>201.87</fb>
    <v>10</v>
  </rv>
  <rv s="6">
    <fb>199.22</fb>
    <v>10</v>
  </rv>
  <rv s="6">
    <fb>196.99</fb>
    <v>10</v>
  </rv>
  <rv s="6">
    <fb>195.44</fb>
    <v>10</v>
  </rv>
  <rv s="6">
    <fb>198.27</fb>
    <v>10</v>
  </rv>
  <rv s="6">
    <fb>196.56</fb>
    <v>10</v>
  </rv>
  <rv s="6">
    <fb>196.34</fb>
    <v>10</v>
  </rv>
  <rv s="6">
    <fb>200.78</fb>
    <v>10</v>
  </rv>
  <rv s="6">
    <fb>203.56</fb>
    <v>10</v>
  </rv>
  <rv s="6">
    <fb>208.12</fb>
    <v>10</v>
  </rv>
  <rv s="6">
    <fb>214.81</fb>
    <v>10</v>
  </rv>
  <rv s="6">
    <fb>214.42</fb>
    <v>10</v>
  </rv>
  <rv s="6">
    <fb>216.08</fb>
    <v>10</v>
  </rv>
  <rv s="6">
    <fb>219.38</fb>
    <v>10</v>
  </rv>
  <rv s="6">
    <fb>219.24</fb>
    <v>10</v>
  </rv>
  <rv s="6">
    <fb>216.73</fb>
    <v>10</v>
  </rv>
  <rv s="6">
    <fb>216.62</fb>
    <v>10</v>
  </rv>
  <rv s="6">
    <fb>216.44</fb>
    <v>10</v>
  </rv>
  <rv s="6">
    <fb>214.85</fb>
    <v>10</v>
  </rv>
  <rv s="6">
    <fb>214.06</fb>
    <v>10</v>
  </rv>
  <rv s="6">
    <fb>217.87</fb>
    <v>10</v>
  </rv>
  <rv s="6">
    <fb>218.86</fb>
    <v>10</v>
  </rv>
  <rv s="6">
    <fb>215.27</fb>
    <v>10</v>
  </rv>
  <rv s="6">
    <fb>213.33</fb>
    <v>10</v>
  </rv>
  <rv s="6">
    <fb>214.73</fb>
    <v>10</v>
  </rv>
  <rv s="6">
    <fb>221.52</fb>
    <v>10</v>
  </rv>
  <rv s="6">
    <fb>222.59</fb>
    <v>10</v>
  </rv>
  <rv s="6">
    <fb>229.03</fb>
    <v>10</v>
  </rv>
  <rv s="6">
    <fb>227.3</fb>
    <v>10</v>
  </rv>
  <rv s="6">
    <fb>231.42</fb>
    <v>10</v>
  </rv>
  <rv s="6">
    <fb>220.47</fb>
    <v>10</v>
  </rv>
  <rv s="6">
    <fb>227.04</fb>
    <v>10</v>
  </rv>
  <rv s="6">
    <fb>225.62</fb>
    <v>10</v>
  </rv>
  <rv s="6">
    <fb>224.12</fb>
    <v>10</v>
  </rv>
  <rv s="6">
    <fb>218.89</fb>
    <v>10</v>
  </rv>
  <rv s="6">
    <fb>227.07</fb>
    <v>10</v>
  </rv>
  <rv s="6">
    <fb>226.86</fb>
    <v>10</v>
  </rv>
  <rv s="6">
    <fb>231.58</fb>
    <v>10</v>
  </rv>
  <rv s="6">
    <fb>241.39</fb>
    <v>10</v>
  </rv>
  <rv s="6">
    <fb>237.19</fb>
    <v>10</v>
  </rv>
  <rv s="6">
    <fb>242.39</fb>
    <v>10</v>
  </rv>
  <rv s="6">
    <fb>242.81</fb>
    <v>10</v>
  </rv>
  <rv s="6">
    <fb>241.64</fb>
    <v>10</v>
  </rv>
  <rv s="6">
    <fb>248.29</fb>
    <v>10</v>
  </rv>
  <rv s="6">
    <fb>245.51</fb>
    <v>10</v>
  </rv>
  <rv s="6">
    <fb>243.2</fb>
    <v>10</v>
  </rv>
  <rv s="6">
    <fb>241.65</fb>
    <v>10</v>
  </rv>
  <rv s="6">
    <fb>239.6</fb>
    <v>10</v>
  </rv>
  <rv s="6">
    <fb>238.64</fb>
    <v>10</v>
  </rv>
  <rv s="6">
    <fb>242.62</fb>
    <v>10</v>
  </rv>
  <rv s="6">
    <fb>242.38</fb>
    <v>10</v>
  </rv>
  <rv s="6">
    <fb>243.66</fb>
    <v>10</v>
  </rv>
  <rv s="6">
    <fb>232.17</fb>
    <v>10</v>
  </rv>
  <rv s="6">
    <fb>232.81</fb>
    <v>10</v>
  </rv>
  <rv s="6">
    <fb>221.48</fb>
    <v>10</v>
  </rv>
  <rv s="6">
    <fb>219.14</fb>
    <v>10</v>
  </rv>
  <rv s="6">
    <fb>219.53</fb>
    <v>10</v>
  </rv>
  <rv s="6">
    <fb>221.01</fb>
    <v>10</v>
  </rv>
  <rv s="6">
    <fb>220.77</fb>
    <v>10</v>
  </rv>
  <rv s="6">
    <fb>216.59</fb>
    <v>10</v>
  </rv>
  <rv s="6">
    <fb>210.84</fb>
    <v>10</v>
  </rv>
  <rv s="6">
    <fb>213.23</fb>
    <v>10</v>
  </rv>
  <rv s="6">
    <fb>213.07</fb>
    <v>10</v>
  </rv>
  <rv s="6">
    <fb>208.93</fb>
    <v>10</v>
  </rv>
  <rv s="6">
    <fb>205.02</fb>
    <v>10</v>
  </rv>
  <rv s="6">
    <fb>209.78</fb>
    <v>10</v>
  </rv>
  <rv s="6">
    <fb>210.93</fb>
    <v>10</v>
  </rv>
  <rv s="6">
    <fb>209.93</fb>
    <v>10</v>
  </rv>
  <rv s="6">
    <fb>206.73</fb>
    <v>10</v>
  </rv>
  <rv s="6">
    <fb>206.09</fb>
    <v>10</v>
  </rv>
  <rv s="6">
    <fb>209.67</fb>
    <v>10</v>
  </rv>
  <rv s="6">
    <fb>207.01</fb>
    <v>10</v>
  </rv>
  <rv s="6">
    <fb>83.83</fb>
    <v>10</v>
  </rv>
  <rv s="6">
    <fb>81.790000000000006</fb>
    <v>10</v>
  </rv>
  <rv s="6">
    <fb>89.6</fb>
    <v>10</v>
  </rv>
  <rv s="6">
    <fb>90.61</fb>
    <v>10</v>
  </rv>
  <rv s="6">
    <fb>92.8</fb>
    <v>10</v>
  </rv>
  <rv s="6">
    <fb>94.73</fb>
    <v>10</v>
  </rv>
  <rv s="6">
    <fb>93.97</fb>
    <v>10</v>
  </rv>
  <rv s="6">
    <fb>91.19</fb>
    <v>10</v>
  </rv>
  <rv s="6">
    <fb>93.22</fb>
    <v>10</v>
  </rv>
  <rv s="6">
    <fb>92.41</fb>
    <v>10</v>
  </rv>
  <rv s="6">
    <fb>94.85</fb>
    <v>10</v>
  </rv>
  <rv s="6">
    <fb>94.96</fb>
    <v>10</v>
  </rv>
  <rv s="6">
    <fb>95.84</fb>
    <v>10</v>
  </rv>
  <rv s="6">
    <fb>95.09</fb>
    <v>10</v>
  </rv>
  <rv s="6">
    <fb>95.22</fb>
    <v>10</v>
  </rv>
  <rv s="6">
    <fb>96.04</fb>
    <v>10</v>
  </rv>
  <rv s="6">
    <fb>97.25</fb>
    <v>10</v>
  </rv>
  <rv s="6">
    <fb>97.41</fb>
    <v>10</v>
  </rv>
  <rv s="6">
    <fb>98.75</fb>
    <v>10</v>
  </rv>
  <rv s="6">
    <fb>99.33</fb>
    <v>10</v>
  </rv>
  <rv s="6">
    <fb>98.55</fb>
    <v>10</v>
  </rv>
  <rv s="6">
    <fb>98.83</fb>
    <v>10</v>
  </rv>
  <rv s="6">
    <fb>97.43</fb>
    <v>10</v>
  </rv>
  <rv s="6">
    <fb>96.72</fb>
    <v>10</v>
  </rv>
  <rv s="6">
    <fb>96.75</fb>
    <v>10</v>
  </rv>
  <rv s="6">
    <fb>95.88</fb>
    <v>10</v>
  </rv>
  <rv s="6">
    <fb>96.83</fb>
    <v>10</v>
  </rv>
  <rv s="6">
    <fb>96.35</fb>
    <v>10</v>
  </rv>
  <rv s="6">
    <fb>98.24</fb>
    <v>10</v>
  </rv>
  <rv s="6">
    <fb>98.12</fb>
    <v>10</v>
  </rv>
  <rv s="6">
    <fb>96.43</fb>
    <v>10</v>
  </rv>
  <rv s="6">
    <fb>95.93</fb>
    <v>10</v>
  </rv>
  <rv s="6">
    <fb>96.34</fb>
    <v>10</v>
  </rv>
  <rv s="6">
    <fb>97.58</fb>
    <v>10</v>
  </rv>
  <rv s="6">
    <fb>97.24</fb>
    <v>10</v>
  </rv>
  <rv s="6">
    <fb>97.1</fb>
    <v>10</v>
  </rv>
  <rv s="6">
    <fb>98.72</fb>
    <v>10</v>
  </rv>
  <rv s="6">
    <fb>99.77</fb>
    <v>10</v>
  </rv>
  <rv s="6">
    <fb>99.98</fb>
    <v>10</v>
  </rv>
  <rv s="6">
    <fb>99.35</fb>
    <v>10</v>
  </rv>
  <rv s="6">
    <fb>97.96</fb>
    <v>10</v>
  </rv>
  <rv s="6">
    <fb>97.47</fb>
    <v>10</v>
  </rv>
  <rv s="6">
    <fb>97.45</fb>
    <v>10</v>
  </rv>
  <rv s="6">
    <fb>97.32</fb>
    <v>10</v>
  </rv>
  <rv s="6">
    <fb>95.8</fb>
    <v>10</v>
  </rv>
  <rv s="6">
    <fb>94.83</fb>
    <v>10</v>
  </rv>
  <rv s="6">
    <fb>94.44</fb>
    <v>10</v>
  </rv>
  <rv s="6">
    <fb>94.29</fb>
    <v>10</v>
  </rv>
  <rv s="6">
    <fb>94.25</fb>
    <v>10</v>
  </rv>
  <rv s="6">
    <fb>96.12</fb>
    <v>10</v>
  </rv>
  <rv s="6">
    <fb>97.87</fb>
    <v>10</v>
  </rv>
  <rv s="6">
    <fb>98</fb>
    <v>10</v>
  </rv>
  <rv s="6">
    <fb>97.26</fb>
    <v>10</v>
  </rv>
  <rv s="6">
    <fb>96.02</fb>
    <v>10</v>
  </rv>
  <rv s="6">
    <fb>97.27</fb>
    <v>10</v>
  </rv>
  <rv s="6">
    <fb>97.78</fb>
    <v>10</v>
  </rv>
  <rv s="6">
    <fb>97.61</fb>
    <v>10</v>
  </rv>
  <rv s="6">
    <fb>98.36</fb>
    <v>10</v>
  </rv>
  <rv s="6">
    <fb>97.09</fb>
    <v>10</v>
  </rv>
  <rv s="6">
    <fb>96.81</fb>
    <v>10</v>
  </rv>
  <rv s="6">
    <fb>94.86</fb>
    <v>10</v>
  </rv>
  <rv s="6">
    <fb>94.4</fb>
    <v>10</v>
  </rv>
  <rv s="6">
    <fb>95.78</fb>
    <v>10</v>
  </rv>
  <rv s="6">
    <fb>95.15</fb>
    <v>10</v>
  </rv>
  <rv s="6">
    <fb>95.05</fb>
    <v>10</v>
  </rv>
  <rv s="6">
    <fb>95.67</fb>
    <v>10</v>
  </rv>
  <rv s="6">
    <fb>95.85</fb>
    <v>10</v>
  </rv>
  <rv s="6">
    <fb>95.68</fb>
    <v>10</v>
  </rv>
  <rv s="6">
    <fb>96.6</fb>
    <v>10</v>
  </rv>
  <rv s="6">
    <fb>98.33</fb>
    <v>10</v>
  </rv>
  <rv s="6">
    <fb>97.59</fb>
    <v>10</v>
  </rv>
  <rv s="6">
    <fb>97.98</fb>
    <v>10</v>
  </rv>
  <rv s="6">
    <fb>98.49</fb>
    <v>10</v>
  </rv>
  <rv s="6">
    <fb>99.59</fb>
    <v>10</v>
  </rv>
  <rv s="6">
    <fb>99.31</fb>
    <v>10</v>
  </rv>
  <rv s="6">
    <fb>103.36</fb>
    <v>10</v>
  </rv>
  <rv s="6">
    <fb>103.12</fb>
    <v>10</v>
  </rv>
  <rv s="6">
    <fb>103.73</fb>
    <v>10</v>
  </rv>
  <rv s="6">
    <fb>103.93</fb>
    <v>10</v>
  </rv>
  <rv s="6">
    <fb>103.62</fb>
    <v>10</v>
  </rv>
  <rv s="6">
    <fb>100</fb>
    <v>10</v>
  </rv>
  <rv s="6">
    <fb>100.7</fb>
    <v>10</v>
  </rv>
  <rv s="6">
    <fb>101.29</fb>
    <v>10</v>
  </rv>
  <rv s="6">
    <fb>102.57</fb>
    <v>10</v>
  </rv>
  <rv s="6">
    <fb>96.05</fb>
    <v>10</v>
  </rv>
  <rv s="6">
    <fb>96.08</fb>
    <v>10</v>
  </rv>
  <rv s="6">
    <fb>96.11</fb>
    <v>10</v>
  </rv>
  <rv s="6">
    <fb>96.98</fb>
    <v>10</v>
  </rv>
  <rv s="6">
    <fb>97.85</fb>
    <v>10</v>
  </rv>
  <rv s="6">
    <fb>100.93</fb>
    <v>10</v>
  </rv>
  <rv s="6">
    <fb>100.51</fb>
    <v>10</v>
  </rv>
  <rv s="6">
    <fb>102.28</fb>
    <v>10</v>
  </rv>
  <rv s="6">
    <fb>102.29</fb>
    <v>10</v>
  </rv>
  <rv s="6">
    <fb>100.41</fb>
    <v>10</v>
  </rv>
  <rv s="6">
    <fb>102.65</fb>
    <v>10</v>
  </rv>
  <rv s="6">
    <fb>103.69</fb>
    <v>10</v>
  </rv>
  <rv s="6">
    <fb>104.27</fb>
    <v>10</v>
  </rv>
  <rv s="6">
    <fb>102.33</fb>
    <v>10</v>
  </rv>
  <rv s="6">
    <fb>102.82</fb>
    <v>10</v>
  </rv>
  <rv s="6">
    <fb>102.52</fb>
    <v>10</v>
  </rv>
  <rv s="6">
    <fb>102.73</fb>
    <v>10</v>
  </rv>
  <rv s="6">
    <fb>103.05</fb>
    <v>10</v>
  </rv>
  <rv s="6">
    <fb>103.08</fb>
    <v>10</v>
  </rv>
  <rv s="6">
    <fb>103.06</fb>
    <v>10</v>
  </rv>
  <rv s="6">
    <fb>101.96</fb>
    <v>10</v>
  </rv>
  <rv s="6">
    <fb>102.07</fb>
    <v>10</v>
  </rv>
  <rv s="6">
    <fb>102.7</fb>
    <v>10</v>
  </rv>
  <rv s="6">
    <fb>103.24</fb>
    <v>10</v>
  </rv>
  <rv s="6">
    <fb>102.9</fb>
    <v>10</v>
  </rv>
  <rv s="6">
    <fb>101.77</fb>
    <v>10</v>
  </rv>
  <rv s="6">
    <fb>101.84</fb>
    <v>10</v>
  </rv>
  <rv s="6">
    <fb>102.12</fb>
    <v>10</v>
  </rv>
  <rv s="6">
    <fb>107.21</fb>
    <v>10</v>
  </rv>
  <rv s="6">
    <fb>109.03</fb>
    <v>10</v>
  </rv>
  <rv s="6">
    <fb>106.47</fb>
    <v>10</v>
  </rv>
  <rv s="6">
    <fb>107.73</fb>
    <v>10</v>
  </rv>
  <rv s="6">
    <fb>107.05</fb>
    <v>10</v>
  </rv>
  <rv s="6">
    <fb>106.22</fb>
    <v>10</v>
  </rv>
  <rv s="6">
    <fb>107.14</fb>
    <v>10</v>
  </rv>
  <rv s="6">
    <fb>106.86</fb>
    <v>10</v>
  </rv>
  <rv s="6">
    <fb>106.17</fb>
    <v>10</v>
  </rv>
  <rv s="6">
    <fb>104.47</fb>
    <v>10</v>
  </rv>
  <rv s="6">
    <fb>103.17</fb>
    <v>10</v>
  </rv>
  <rv s="6">
    <fb>102.46</fb>
    <v>10</v>
  </rv>
  <rv s="6">
    <fb>102.23</fb>
    <v>10</v>
  </rv>
  <rv s="6">
    <fb>101.18</fb>
    <v>10</v>
  </rv>
  <rv s="6">
    <fb>101.59</fb>
    <v>10</v>
  </rv>
  <rv s="6">
    <fb>102.27</fb>
    <v>10</v>
  </rv>
  <rv s="6">
    <fb>101.47</fb>
    <v>10</v>
  </rv>
  <rv s="6">
    <fb>101.68</fb>
    <v>10</v>
  </rv>
  <rv s="6">
    <fb>102.59</fb>
    <v>10</v>
  </rv>
  <rv s="6">
    <fb>102.42</fb>
    <v>10</v>
  </rv>
  <rv s="6">
    <fb>103.44</fb>
    <v>10</v>
  </rv>
  <rv s="6">
    <fb>102.54</fb>
    <v>10</v>
  </rv>
  <rv s="6">
    <fb>102.48</fb>
    <v>10</v>
  </rv>
  <rv s="6">
    <fb>102.95</fb>
    <v>10</v>
  </rv>
  <rv s="6">
    <fb>100.61</fb>
    <v>10</v>
  </rv>
  <rv s="6">
    <fb>107.11</fb>
    <v>10</v>
  </rv>
  <rv s="6">
    <fb>105.32</fb>
    <v>10</v>
  </rv>
  <rv s="6">
    <fb>104.06</fb>
    <v>10</v>
  </rv>
  <rv s="6">
    <fb>107</fb>
    <v>10</v>
  </rv>
  <rv s="6">
    <fb>109.1</fb>
    <v>10</v>
  </rv>
  <rv s="6">
    <fb>110.51</fb>
    <v>10</v>
  </rv>
  <rv s="6">
    <fb>111.53</fb>
    <v>10</v>
  </rv>
  <rv s="6">
    <fb>114.41</fb>
    <v>10</v>
  </rv>
  <rv s="6">
    <fb>114.84</fb>
    <v>10</v>
  </rv>
  <rv s="6">
    <fb>115.11</fb>
    <v>10</v>
  </rv>
  <rv s="6">
    <fb>113.56</fb>
    <v>10</v>
  </rv>
  <rv s="6">
    <fb>115.06</fb>
    <v>10</v>
  </rv>
  <rv s="6">
    <fb>113.18</fb>
    <v>10</v>
  </rv>
  <rv s="6">
    <fb>115.52</fb>
    <v>10</v>
  </rv>
  <rv s="6">
    <fb>116.7</fb>
    <v>10</v>
  </rv>
  <rv s="6">
    <fb>116.79</fb>
    <v>10</v>
  </rv>
  <rv s="6">
    <fb>115.42</fb>
    <v>10</v>
  </rv>
  <rv s="6">
    <fb>114.83</fb>
    <v>10</v>
  </rv>
  <rv s="6">
    <fb>114.36</fb>
    <v>10</v>
  </rv>
  <rv s="6">
    <fb>112.6</fb>
    <v>10</v>
  </rv>
  <rv s="6">
    <fb>110.9</fb>
    <v>10</v>
  </rv>
  <rv s="6">
    <fb>112.53</fb>
    <v>10</v>
  </rv>
  <rv s="6">
    <fb>111.92</fb>
    <v>10</v>
  </rv>
  <rv s="6">
    <fb>111.41</fb>
    <v>10</v>
  </rv>
  <rv s="6">
    <fb>112.76</fb>
    <v>10</v>
  </rv>
  <rv s="6">
    <fb>112.71</fb>
    <v>10</v>
  </rv>
  <rv s="6">
    <fb>112.72</fb>
    <v>10</v>
  </rv>
  <rv s="6">
    <fb>113.07</fb>
    <v>10</v>
  </rv>
  <rv s="6">
    <fb>114.53</fb>
    <v>10</v>
  </rv>
  <rv s="6">
    <fb>117.97</fb>
    <v>10</v>
  </rv>
  <rv s="6">
    <fb>120.36</fb>
    <v>10</v>
  </rv>
  <rv s="6">
    <fb>120.04</fb>
    <v>10</v>
  </rv>
  <rv s="6">
    <fb>119.2</fb>
    <v>10</v>
  </rv>
  <rv s="6">
    <fb>119.7</fb>
    <v>10</v>
  </rv>
  <rv s="6">
    <fb>118.71</fb>
    <v>10</v>
  </rv>
  <rv s="6">
    <fb>119.36</fb>
    <v>10</v>
  </rv>
  <rv s="6">
    <fb>117.83</fb>
    <v>10</v>
  </rv>
  <rv s="6">
    <fb>117.73</fb>
    <v>10</v>
  </rv>
  <rv s="6">
    <fb>117.64</fb>
    <v>10</v>
  </rv>
  <rv s="6">
    <fb>116.94</fb>
    <v>10</v>
  </rv>
  <rv s="6">
    <fb>116.57</fb>
    <v>10</v>
  </rv>
  <rv s="6">
    <fb>117.41</fb>
    <v>10</v>
  </rv>
  <rv s="6">
    <fb>119.14</fb>
    <v>10</v>
  </rv>
  <rv s="6">
    <fb>124.06</fb>
    <v>10</v>
  </rv>
  <rv s="6">
    <fb>127.71</fb>
    <v>10</v>
  </rv>
  <rv s="6">
    <fb>126.94</fb>
    <v>10</v>
  </rv>
  <rv s="6">
    <fb>131.18</fb>
    <v>10</v>
  </rv>
  <rv s="6">
    <fb>129.02000000000001</fb>
    <v>10</v>
  </rv>
  <rv s="6">
    <fb>128.77000000000001</fb>
    <v>10</v>
  </rv>
  <rv s="6">
    <fb>133.63999999999999</fb>
    <v>10</v>
  </rv>
  <rv s="6">
    <fb>133.88999999999999</fb>
    <v>10</v>
  </rv>
  <rv s="6">
    <fb>128.85</fb>
    <v>10</v>
  </rv>
  <rv s="6">
    <fb>126.62</fb>
    <v>10</v>
  </rv>
  <rv s="6">
    <fb>124.87</fb>
    <v>10</v>
  </rv>
  <rv s="6">
    <fb>122.99</fb>
    <v>10</v>
  </rv>
  <rv s="6">
    <fb>125.81</fb>
    <v>10</v>
  </rv>
  <rv s="6">
    <fb>126.75</fb>
    <v>10</v>
  </rv>
  <rv s="6">
    <fb>125.75</fb>
    <v>10</v>
  </rv>
  <rv s="6">
    <fb>124.42</fb>
    <v>10</v>
  </rv>
  <rv s="6">
    <fb>127.95</fb>
    <v>10</v>
  </rv>
  <rv s="6">
    <fb>127.91</fb>
    <v>10</v>
  </rv>
  <rv s="6">
    <fb>127.81</fb>
    <v>10</v>
  </rv>
  <rv s="6">
    <fb>123.31</fb>
    <v>10</v>
  </rv>
  <rv s="6">
    <fb>123.8</fb>
    <v>10</v>
  </rv>
  <rv s="6">
    <fb>124.34</fb>
    <v>10</v>
  </rv>
  <rv s="6">
    <fb>125.12</fb>
    <v>10</v>
  </rv>
  <rv s="6">
    <fb>123.49</fb>
    <v>10</v>
  </rv>
  <rv s="6">
    <fb>125.33</fb>
    <v>10</v>
  </rv>
  <rv s="6">
    <fb>126.52</fb>
    <v>10</v>
  </rv>
  <rv s="6">
    <fb>125.99</fb>
    <v>10</v>
  </rv>
  <rv s="6">
    <fb>125.08</fb>
    <v>10</v>
  </rv>
  <rv s="6">
    <fb>121.98</fb>
    <v>10</v>
  </rv>
  <rv s="6">
    <fb>121.09</fb>
    <v>10</v>
  </rv>
  <rv s="6">
    <fb>119.02</fb>
    <v>10</v>
  </rv>
  <rv s="6">
    <fb>120.72</fb>
    <v>10</v>
  </rv>
  <rv s="6">
    <fb>122.05</fb>
    <v>10</v>
  </rv>
  <rv s="6">
    <fb>123.06</fb>
    <v>10</v>
  </rv>
  <rv s="6">
    <fb>122.18</fb>
    <v>10</v>
  </rv>
  <rv s="6">
    <fb>122.89</fb>
    <v>10</v>
  </rv>
  <rv s="6">
    <fb>123.5</fb>
    <v>10</v>
  </rv>
  <rv s="6">
    <fb>124.28</fb>
    <v>10</v>
  </rv>
  <rv s="6">
    <fb>124.74</fb>
    <v>10</v>
  </rv>
  <rv s="6">
    <fb>125.79</fb>
    <v>10</v>
  </rv>
  <rv s="0">
    <v>https://www.bing.com/financeapi/forcetrigger?t=a1waa2&amp;q=XNYS%3aJPM&amp;form=skydnc</v>
    <v>Learn more on Bing</v>
  </rv>
  <rv s="1">
    <v>en-US</v>
    <v>a1waa2</v>
    <v>268435456</v>
    <v>1</v>
    <v>Powered by Refinitiv</v>
    <v>0</v>
    <v>JPMORGAN CHASE &amp; CO. (XNYS:JPM)</v>
    <v>2</v>
    <v>3</v>
    <v>Finance</v>
    <v>4</v>
    <v>337.25</v>
    <v>202.16</v>
    <v>1.0615000000000001</v>
    <v>2.62</v>
    <v>8.9390000000000008E-3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296.76</v>
    <v>Banking Services</v>
    <v>Stock</v>
    <v>46118.657491481252</v>
    <v>3615</v>
    <v>293.19499999999999</v>
    <v>797566303040</v>
    <v>JPMORGAN CHASE &amp; CO.</v>
    <v>JPMORGAN CHASE &amp; CO.</v>
    <v>294.60000000000002</v>
    <v>14.778</v>
    <v>293.10000000000002</v>
    <v>295.72000000000003</v>
    <v>2697032000</v>
    <v>JPM</v>
    <v>JPMORGAN CHASE &amp; CO. (XNYS:JPM)</v>
    <v>1880008</v>
    <v>11228284</v>
    <v>1968</v>
  </rv>
  <rv s="2">
    <v>3616</v>
  </rv>
  <rv s="0">
    <v>https://www.bing.com/financeapi/forcetrigger?t=a1om4c&amp;q=XNYS%3aBLK&amp;form=skydnc</v>
    <v>Learn more on Bing</v>
  </rv>
  <rv s="1">
    <v>en-US</v>
    <v>a1om4c</v>
    <v>268435456</v>
    <v>1</v>
    <v>Powered by Refinitiv</v>
    <v>0</v>
    <v>BLACKROCK, INC. (XNYS:BLK)</v>
    <v>2</v>
    <v>3</v>
    <v>Finance</v>
    <v>4</v>
    <v>1219.9399000000001</v>
    <v>773.74009999999998</v>
    <v>1.4875</v>
    <v>-2.2799999999999998</v>
    <v>-2.359E-3</v>
    <v>USD</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24900</v>
    <v>New York Stock Exchange</v>
    <v>XNYS</v>
    <v>XNYS</v>
    <v>50 Hudson Yards, NEW YORK, NY, 10001 US</v>
    <v>966.08989999999994</v>
    <v>Investment Banking &amp; Investment Services</v>
    <v>Stock</v>
    <v>46118.657508865625</v>
    <v>3618</v>
    <v>955</v>
    <v>149985557620</v>
    <v>BLACKROCK, INC.</v>
    <v>BLACKROCK, INC.</v>
    <v>965.04</v>
    <v>27.823799999999999</v>
    <v>966.56</v>
    <v>964.28</v>
    <v>155541500</v>
    <v>BLK</v>
    <v>BLACKROCK, INC. (XNYS:BLK)</v>
    <v>170678</v>
    <v>984845</v>
    <v>2024</v>
  </rv>
  <rv s="2">
    <v>3619</v>
  </rv>
  <rv s="0">
    <v>https://www.bing.com/financeapi/forcetrigger?t=a1o4ec&amp;q=XNYS%3aBA&amp;form=skydnc</v>
    <v>Learn more on Bing</v>
  </rv>
  <rv s="1">
    <v>en-US</v>
    <v>a1o4ec</v>
    <v>268435456</v>
    <v>1</v>
    <v>Powered by Refinitiv</v>
    <v>0</v>
    <v>THE BOEING COMPANY (XNYS:BA)</v>
    <v>2</v>
    <v>3</v>
    <v>Finance</v>
    <v>4</v>
    <v>254.34989999999999</v>
    <v>128.8801</v>
    <v>1.1786000000000001</v>
    <v>2.4700000000000002</v>
    <v>1.1861999999999999E-2</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182000</v>
    <v>New York Stock Exchange</v>
    <v>XNYS</v>
    <v>XNYS</v>
    <v>929 Long Bridge Drive, ARLINGTON, VA, 22202 US</v>
    <v>211.74</v>
    <v>Aerospace &amp; Defense</v>
    <v>Stock</v>
    <v>46118.657507546093</v>
    <v>3621</v>
    <v>207.37</v>
    <v>165569493429</v>
    <v>THE BOEING COMPANY</v>
    <v>THE BOEING COMPANY</v>
    <v>207.84</v>
    <v>94.854100000000003</v>
    <v>208.22</v>
    <v>210.69</v>
    <v>785844100</v>
    <v>BA</v>
    <v>THE BOEING COMPANY (XNYS:BA)</v>
    <v>1682278</v>
    <v>7611814</v>
    <v>1934</v>
  </rv>
  <rv s="2">
    <v>3622</v>
  </rv>
  <rv s="0">
    <v>https://www.bing.com/financeapi/forcetrigger?t=a1slm7&amp;q=XNAS%3aMETA&amp;form=skydnc</v>
    <v>Learn more on Bing</v>
  </rv>
  <rv s="1">
    <v>en-US</v>
    <v>a1slm7</v>
    <v>268435456</v>
    <v>1</v>
    <v>Powered by Refinitiv</v>
    <v>0</v>
    <v>META PLATFORMS, INC. (XNAS:META)</v>
    <v>2</v>
    <v>3</v>
    <v>Finance</v>
    <v>4</v>
    <v>796.25</v>
    <v>479.8</v>
    <v>1.2983</v>
    <v>3.55</v>
    <v>6.1799999999999997E-3</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582.79</v>
    <v>Software &amp; IT Services</v>
    <v>Stock</v>
    <v>46118.657487707809</v>
    <v>3624</v>
    <v>573.55999999999995</v>
    <v>1462108085550</v>
    <v>META PLATFORMS, INC.</v>
    <v>META PLATFORMS, INC.</v>
    <v>577.59</v>
    <v>19.774100000000001</v>
    <v>574.46</v>
    <v>578.01</v>
    <v>2529555000</v>
    <v>META</v>
    <v>META PLATFORMS, INC. (XNAS:META)</v>
    <v>3226599</v>
    <v>16214540</v>
    <v>2004</v>
  </rv>
  <rv s="2">
    <v>3625</v>
  </rv>
  <rv s="0">
    <v>https://www.bing.com/financeapi/forcetrigger?t=a1u3p2&amp;q=XNAS%3aGOOG&amp;form=skydnc</v>
    <v>Learn more on Bing</v>
  </rv>
  <rv s="1">
    <v>en-US</v>
    <v>a1u3p2</v>
    <v>268435456</v>
    <v>1</v>
    <v>Powered by Refinitiv</v>
    <v>0</v>
    <v>ALPHABET INC. (XNAS:GOOG)</v>
    <v>2</v>
    <v>3</v>
    <v>Finance</v>
    <v>4</v>
    <v>350.15</v>
    <v>142.66</v>
    <v>1.1004</v>
    <v>1.42</v>
    <v>4.8219999999999999E-3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297.19</v>
    <v>Software &amp; IT Services</v>
    <v>Stock</v>
    <v>46118.657519988279</v>
    <v>3627</v>
    <v>293.8</v>
    <v>3579260360000</v>
    <v>ALPHABET INC.</v>
    <v>ALPHABET INC.</v>
    <v>294.7</v>
    <v>27.411799999999999</v>
    <v>294.45999999999998</v>
    <v>295.88</v>
    <v>12097000000</v>
    <v>GOOG</v>
    <v>ALPHABET INC. (XNAS:GOOG)</v>
    <v>3785903</v>
    <v>21125606</v>
    <v>2015</v>
  </rv>
  <rv s="2">
    <v>3628</v>
  </rv>
  <rv s="0">
    <v>https://www.bing.com/financeapi/forcetrigger?t=a1yv52&amp;q=XNAS%3aNVDA&amp;form=skydnc</v>
    <v>Learn more on Bing</v>
  </rv>
  <rv s="1">
    <v>en-US</v>
    <v>a1yv52</v>
    <v>268435456</v>
    <v>1</v>
    <v>Powered by Refinitiv</v>
    <v>0</v>
    <v>NVIDIA CORPORATION (XNAS:NVDA)</v>
    <v>2</v>
    <v>3</v>
    <v>Finance</v>
    <v>4</v>
    <v>212.18989999999999</v>
    <v>86.62</v>
    <v>2.3466999999999998</v>
    <v>-0.3</v>
    <v>-1.691E-3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177.79</v>
    <v>Semiconductors &amp; Semiconductor Equipment</v>
    <v>Stock</v>
    <v>46118.65752329844</v>
    <v>3630</v>
    <v>175.76</v>
    <v>4303287000000</v>
    <v>NVIDIA CORPORATION</v>
    <v>NVIDIA CORPORATION</v>
    <v>177.2</v>
    <v>36.127499999999998</v>
    <v>177.39</v>
    <v>177.09</v>
    <v>24300000000</v>
    <v>NVDA</v>
    <v>NVIDIA CORPORATION (XNAS:NVDA)</v>
    <v>49343314</v>
    <v>186002504</v>
    <v>1998</v>
  </rv>
  <rv s="2">
    <v>3631</v>
  </rv>
  <rv s="0">
    <v>https://www.bing.com/financeapi/forcetrigger?t=a1mou2&amp;q=XNAS%3aAAPL&amp;form=skydnc</v>
    <v>Learn more on Bing</v>
  </rv>
  <rv s="1">
    <v>en-US</v>
    <v>a1mou2</v>
    <v>268435456</v>
    <v>1</v>
    <v>Powered by Refinitiv</v>
    <v>0</v>
    <v>APPLE INC. (XNAS:AAPL)</v>
    <v>2</v>
    <v>3</v>
    <v>Finance</v>
    <v>4</v>
    <v>288.62</v>
    <v>169.21010000000001</v>
    <v>1.1034999999999999</v>
    <v>3.26</v>
    <v>1.2738000000000001E-2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262.16000000000003</v>
    <v>Computers, Phones &amp; Household Electronics</v>
    <v>Stock</v>
    <v>46118.657510867968</v>
    <v>3633</v>
    <v>256.48</v>
    <v>3805057865200</v>
    <v>APPLE INC.</v>
    <v>APPLE INC.</v>
    <v>256.89999999999998</v>
    <v>32.928100000000001</v>
    <v>255.92</v>
    <v>259.18</v>
    <v>14681140000</v>
    <v>AAPL</v>
    <v>APPLE INC. (XNAS:AAPL)</v>
    <v>11395668</v>
    <v>41750043</v>
    <v>1977</v>
  </rv>
  <rv s="2">
    <v>3634</v>
  </rv>
  <rv s="0">
    <v>https://www.bing.com/financeapi/forcetrigger?t=a1qlz2&amp;q=XNYS%3aCVX&amp;form=skydnc</v>
    <v>Learn more on Bing</v>
  </rv>
  <rv s="1">
    <v>en-US</v>
    <v>a1qlz2</v>
    <v>268435456</v>
    <v>1</v>
    <v>Powered by Refinitiv</v>
    <v>0</v>
    <v>CHEVRON CORPORATION (XNYS:CVX)</v>
    <v>2</v>
    <v>3</v>
    <v>Finance</v>
    <v>4</v>
    <v>214.71</v>
    <v>132.04</v>
    <v>0.60919999999999996</v>
    <v>-1.7649999999999999</v>
    <v>-8.8710000000000004E-3</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43039</v>
    <v>New York Stock Exchange</v>
    <v>XNYS</v>
    <v>XNYS</v>
    <v>1400 SMITH STREET, HOUSTON, TX, 77002 US</v>
    <v>199.76990000000001</v>
    <v>Oil &amp; Gas</v>
    <v>Stock</v>
    <v>46118.657499085159</v>
    <v>3636</v>
    <v>196.351</v>
    <v>393499898925</v>
    <v>CHEVRON CORPORATION</v>
    <v>CHEVRON CORPORATION</v>
    <v>198.67</v>
    <v>29.673200000000001</v>
    <v>198.97</v>
    <v>197.20500000000001</v>
    <v>1995385000</v>
    <v>CVX</v>
    <v>CHEVRON CORPORATION (XNYS:CVX)</v>
    <v>2700359</v>
    <v>15221156</v>
    <v>1926</v>
  </rv>
  <rv s="2">
    <v>3637</v>
  </rv>
  <rv s="0">
    <v>https://www.bing.com/financeapi/forcetrigger?t=a1p3ww&amp;q=XNYS%3aC&amp;form=skydnc</v>
    <v>Learn more on Bing</v>
  </rv>
  <rv s="1">
    <v>en-US</v>
    <v>a1p3ww</v>
    <v>268435456</v>
    <v>1</v>
    <v>Powered by Refinitiv</v>
    <v>0</v>
    <v>CITIGROUP INC. (XNYS:C)</v>
    <v>2</v>
    <v>3</v>
    <v>Finance</v>
    <v>4</v>
    <v>125.16</v>
    <v>55.51</v>
    <v>1.1154999999999999</v>
    <v>1.3</v>
    <v>1.1279999999999998E-2</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226000</v>
    <v>New York Stock Exchange</v>
    <v>XNYS</v>
    <v>XNYS</v>
    <v>388 Greenwich Street, 17th Floor, NEW YORK, NY, 10013 US</v>
    <v>117.69</v>
    <v>Investment Banking &amp; Investment Services</v>
    <v>Stock</v>
    <v>46118.657507661715</v>
    <v>3639</v>
    <v>116.075</v>
    <v>199872410850</v>
    <v>CITIGROUP INC.</v>
    <v>CITIGROUP INC.</v>
    <v>116.35</v>
    <v>16.7209</v>
    <v>115.25</v>
    <v>116.55</v>
    <v>1714907000</v>
    <v>C</v>
    <v>CITIGROUP INC. (XNYS:C)</v>
    <v>2321581</v>
    <v>16422958</v>
    <v>1988</v>
  </rv>
  <rv s="2">
    <v>3640</v>
  </rv>
  <rv s="0">
    <v>https://www.bing.com/financeapi/forcetrigger?t=by9i27&amp;q=XLON%3a0R2N&amp;form=skydnc</v>
    <v>Learn more on Bing</v>
  </rv>
  <rv s="8">
    <v>en-US</v>
    <v>by9i27</v>
    <v>268435456</v>
    <v>1</v>
    <v>Powered by Refinitiv</v>
    <v>12</v>
    <v>RTX CORPORATION (XLON:0R2N)</v>
    <v>2</v>
    <v>13</v>
    <v>Finance</v>
    <v>14</v>
    <v>226</v>
    <v>110.5</v>
    <v>0.41199999999999998</v>
    <v>1</v>
    <v>5.1149999999999998E-3</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180000</v>
    <v>London Stock Exchange</v>
    <v>XLON</v>
    <v>XLON</v>
    <v>1000 Wilson Blvd, ARLINGTON, VA, 22209 US</v>
    <v>Aerospace &amp; Defense</v>
    <v>Stock</v>
    <v>46114.760413888282</v>
    <v>3642</v>
    <v>260217000000</v>
    <v>RTX CORPORATION</v>
    <v>RTX CORPORATION</v>
    <v>194.5</v>
    <v>39.390700000000002</v>
    <v>195.5</v>
    <v>196.5</v>
    <v>1345974000</v>
    <v>0R2N</v>
    <v>RTX CORPORATION (XLON:0R2N)</v>
    <v>18735</v>
    <v>4992410</v>
    <v>1934</v>
  </rv>
  <rv s="2">
    <v>3643</v>
  </rv>
  <rv s="0">
    <v>https://www.bing.com/financeapi/forcetrigger?t=a1nhlh&amp;q=XNAS%3aAMZN&amp;form=skydnc</v>
    <v>Learn more on Bing</v>
  </rv>
  <rv s="1">
    <v>en-US</v>
    <v>a1nhlh</v>
    <v>268435456</v>
    <v>1</v>
    <v>Powered by Refinitiv</v>
    <v>0</v>
    <v>AMAZON.COM, INC. (XNAS:AMZN)</v>
    <v>2</v>
    <v>3</v>
    <v>Finance</v>
    <v>4</v>
    <v>258.60000000000002</v>
    <v>161.38</v>
    <v>1.3631</v>
    <v>2.6749999999999998</v>
    <v>1.2751999999999999E-2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212.95</v>
    <v>Diversified Retail</v>
    <v>Stock</v>
    <v>46118.657527731251</v>
    <v>3645</v>
    <v>209.59</v>
    <v>2280580079400</v>
    <v>AMAZON.COM, INC.</v>
    <v>AMAZON.COM, INC.</v>
    <v>209.7</v>
    <v>29.6206</v>
    <v>209.77</v>
    <v>212.44499999999999</v>
    <v>10734920000</v>
    <v>AMZN</v>
    <v>AMAZON.COM, INC. (XNAS:AMZN)</v>
    <v>8846128</v>
    <v>45766217</v>
    <v>1996</v>
  </rv>
  <rv s="2">
    <v>3646</v>
  </rv>
  <rv s="0">
    <v>https://www.bing.com/financeapi/forcetrigger?t=a25ya2&amp;q=XNYS%3aWMT&amp;form=skydnc</v>
    <v>Learn more on Bing</v>
  </rv>
  <rv s="1">
    <v>en-US</v>
    <v>a25ya2</v>
    <v>268435456</v>
    <v>1</v>
    <v>Powered by Refinitiv</v>
    <v>0</v>
    <v>WALMART INC. (XNAS:WMT)</v>
    <v>2</v>
    <v>3</v>
    <v>Finance</v>
    <v>4</v>
    <v>134.69</v>
    <v>79.81</v>
    <v>0.66820000000000002</v>
    <v>0.64</v>
    <v>5.0880000000000005E-3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126.98</v>
    <v>Food &amp; Drug Retailing</v>
    <v>Stock</v>
    <v>46118.657522928122</v>
    <v>3648</v>
    <v>125.37</v>
    <v>1007950784860</v>
    <v>WALMART INC.</v>
    <v>WALMART INC.</v>
    <v>125.98</v>
    <v>46.316400000000002</v>
    <v>125.79</v>
    <v>126.43</v>
    <v>7972402000</v>
    <v>WMT</v>
    <v>WALMART INC. (XNAS:WMT)</v>
    <v>3753145</v>
    <v>20718360</v>
    <v>1969</v>
  </rv>
  <rv s="2">
    <v>3649</v>
  </rv>
  <rv s="0">
    <v>http://en.wikipedia.org/wiki/Ford_Motor_Company</v>
    <v>Wikipedia</v>
  </rv>
  <rv s="3">
    <v>3</v>
    <v>3651</v>
  </rv>
  <rv s="4">
    <v>9</v>
    <v>https://www.bing.com/th?id=AMMS_cf0311a5f2d2dcb3110aca1404330618&amp;qlt=95</v>
    <v>3652</v>
    <v>0</v>
    <v>https://www.bing.com/images/search?form=xlimg&amp;q=ford+motor+company</v>
    <v>Image of FORD MOTOR COMPANY</v>
  </rv>
  <rv s="0">
    <v>https://www.bing.com/financeapi/forcetrigger?t=a1sjw7&amp;q=XNYS%3aF&amp;form=skydnc</v>
    <v>Learn more on Bing</v>
  </rv>
  <rv s="5">
    <v>en-US</v>
    <v>a1sjw7</v>
    <v>268435456</v>
    <v>1</v>
    <v>Powered by Refinitiv</v>
    <v>5</v>
    <v>FORD MOTOR COMPANY (XNYS:F)</v>
    <v>7</v>
    <v>8</v>
    <v>Finance</v>
    <v>4</v>
    <v>14.795</v>
    <v>8.4405999999999999</v>
    <v>1.7561</v>
    <v>-2.5000000000000001E-2</v>
    <v>-2.1549999999999998E-3</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169000</v>
    <v>New York Stock Exchange</v>
    <v>XNYS</v>
    <v>XNYS</v>
    <v>One American Road, DEARBORN, MI, 48126-2701 US</v>
    <v>11.63</v>
    <v>3653</v>
    <v>Automobiles &amp; Auto Parts</v>
    <v>Stock</v>
    <v>46118.65752780078</v>
    <v>3654</v>
    <v>11.5</v>
    <v>46428274150</v>
    <v>FORD MOTOR COMPANY</v>
    <v>FORD MOTOR COMPANY</v>
    <v>11.57</v>
    <v>0</v>
    <v>11.6</v>
    <v>11.574999999999999</v>
    <v>4011082000</v>
    <v>F</v>
    <v>FORD MOTOR COMPANY (XNYS:F)</v>
    <v>7478130</v>
    <v>57941030</v>
    <v>1919</v>
  </rv>
  <rv s="2">
    <v>3655</v>
  </rv>
  <rv s="0">
    <v>http://en.wikipedia.org/wiki/Honda</v>
    <v>Wikipedia</v>
  </rv>
  <rv s="3">
    <v>3</v>
    <v>3657</v>
  </rv>
  <rv s="4">
    <v>9</v>
    <v>https://www.bing.com/th?id=AMMS_c0d58c8e4f696e2ded6f7419ca250bd7&amp;qlt=95</v>
    <v>3658</v>
    <v>0</v>
    <v>https://www.bing.com/images/search?form=xlimg&amp;q=honda</v>
    <v>Image of HONDA MOTOR CO., LTD.</v>
  </rv>
  <rv s="0">
    <v>https://www.bing.com/financeapi/forcetrigger?t=a1uqyc&amp;q=XNYS%3aHMC&amp;form=skydnc</v>
    <v>Learn more on Bing</v>
  </rv>
  <rv s="5">
    <v>en-US</v>
    <v>a1uqyc</v>
    <v>268435456</v>
    <v>1</v>
    <v>Powered by Refinitiv</v>
    <v>5</v>
    <v>HONDA MOTOR CO., LTD. (XNYS:HMC)</v>
    <v>7</v>
    <v>8</v>
    <v>Finance</v>
    <v>4</v>
    <v>34.89</v>
    <v>23.62</v>
    <v>0.46800000000000003</v>
    <v>-0.28999999999999998</v>
    <v>-1.2008000000000001E-2</v>
    <v>USD</v>
    <v>Honda Motor Co Ltd is a Japan-based company principally engaged in the motorcycle business, the automobile business, the financial service business and the life creation business. The Company operates through four business segments. The Motorcycle segment is engaged in the research and development, production and sale of motorcycles, all-terrain vehicles (ATVs), side-by-side vehicles and related parts. The Automobile segment is engaged in the research and development, production and sale of automobiles and related parts. The Financial Service segment is engaged in the sales financing and leasing of its products. The Power Products and Other Business segment is engaged in the research and development, production and sale of power products and related parts.</v>
    <v>194173</v>
    <v>New York Stock Exchange</v>
    <v>XNYS</v>
    <v>XNYS</v>
    <v>Toranomon Alcea Tower, 2-2-3, Toranomon, MINATO-KU, TOKYO-TO, 105-8404 JP</v>
    <v>23.99</v>
    <v>3659</v>
    <v>Automobiles &amp; Auto Parts</v>
    <v>Stock</v>
    <v>46118.657437291404</v>
    <v>3660</v>
    <v>23.83</v>
    <v>36052460000</v>
    <v>HONDA MOTOR CO., LTD.</v>
    <v>HONDA MOTOR CO., LTD.</v>
    <v>23.86</v>
    <v>10.218</v>
    <v>24.15</v>
    <v>23.86</v>
    <v>1511000000</v>
    <v>HMC</v>
    <v>HONDA MOTOR CO., LTD. (XNYS:HMC)</v>
    <v>450279</v>
    <v>1821812</v>
    <v>1948</v>
  </rv>
  <rv s="2">
    <v>3661</v>
  </rv>
  <rv s="0">
    <v>https://www.bing.com/financeapi/forcetrigger?t=a24bh7&amp;q=XNYS%3aTM&amp;form=skydnc</v>
    <v>Learn more on Bing</v>
  </rv>
  <rv s="1">
    <v>en-US</v>
    <v>a24bh7</v>
    <v>268435456</v>
    <v>1</v>
    <v>Powered by Refinitiv</v>
    <v>0</v>
    <v>TOYOTA MOTOR CORPORATION (XNYS:TM)</v>
    <v>2</v>
    <v>3</v>
    <v>Finance</v>
    <v>4</v>
    <v>248.9</v>
    <v>155</v>
    <v>0.7046</v>
    <v>-2.5182000000000002</v>
    <v>-1.2164999999999999E-2</v>
    <v>USD</v>
    <v>Toyota Motor Corp is a Japan-based company mainly engaged in the automotive business, as well as financial services and other businesses. It operates through three business segments. The Automotive segment designs, manufactures, and sells automobiles, including sedans, minivans, compact cars, sport utility vehicles (SUVs), and trucks, as well as related parts and accessories. The Financial Services segment provides financing and vehicle leasing services to complement the sales of automobiles and other products manufactured by itself and its affiliates. The Other segment engages in information and communications services. It also oversees manufacturing and sales companies, conducts public relations and research activities, oversees financial companies, and develops various mobility products, primarily software.</v>
    <v>383853</v>
    <v>New York Stock Exchange</v>
    <v>XNYS</v>
    <v>XNYS</v>
    <v>1, Toyota-cho, TOYOTA-SHI, AICHI-KEN, 471-8571 JP</v>
    <v>206</v>
    <v>Automobiles &amp; Auto Parts</v>
    <v>Stock</v>
    <v>46118.657465057811</v>
    <v>3663</v>
    <v>204.2903</v>
    <v>322994593608</v>
    <v>TOYOTA MOTOR CORPORATION</v>
    <v>TOYOTA MOTOR CORPORATION</v>
    <v>204.87</v>
    <v>11.302300000000001</v>
    <v>207.01</v>
    <v>204.49180000000001</v>
    <v>1579499000</v>
    <v>TM</v>
    <v>TOYOTA MOTOR CORPORATION (XNYS:TM)</v>
    <v>69692</v>
    <v>310689</v>
    <v>1937</v>
  </rv>
  <rv s="2">
    <v>3664</v>
  </rv>
  <rv s="6">
    <fb>46090</fb>
    <v>15</v>
  </rv>
  <rv s="6">
    <fb>38877220</fb>
    <v>16</v>
  </rv>
  <rv s="6">
    <fb>189.36</fb>
    <v>10</v>
  </rv>
  <rv s="6">
    <fb>202.97</fb>
    <v>10</v>
  </rv>
  <rv s="6">
    <fb>189.02</fb>
    <v>10</v>
  </rv>
  <rv s="6">
    <fb>46091</fb>
    <v>15</v>
  </rv>
  <rv s="6">
    <fb>29139162</fb>
    <v>16</v>
  </rv>
  <rv s="6">
    <fb>202.51</fb>
    <v>10</v>
  </rv>
  <rv s="6">
    <fb>206.59</fb>
    <v>10</v>
  </rv>
  <rv s="6">
    <fb>202.2</fb>
    <v>10</v>
  </rv>
  <rv s="6">
    <fb>46092</fb>
    <v>15</v>
  </rv>
  <rv s="6">
    <fb>23076366</fb>
    <v>16</v>
  </rv>
  <rv s="6">
    <fb>205.11</fb>
    <v>10</v>
  </rv>
  <rv s="6">
    <fb>209.21</fb>
    <v>10</v>
  </rv>
  <rv s="6">
    <fb>203.63</fb>
    <v>10</v>
  </rv>
  <rv s="6">
    <fb>46093</fb>
    <v>15</v>
  </rv>
  <rv s="6">
    <fb>28886913</fb>
    <v>16</v>
  </rv>
  <rv s="6">
    <fb>202.82499999999999</fb>
    <v>10</v>
  </rv>
  <rv s="6">
    <fb>203.62</fb>
    <v>10</v>
  </rv>
  <rv s="6">
    <fb>196.67</fb>
    <v>10</v>
  </rv>
  <rv s="6">
    <fb>46094</fb>
    <v>15</v>
  </rv>
  <rv s="6">
    <fb>27561888</fb>
    <v>16</v>
  </rv>
  <rv s="6">
    <fb>199.68</fb>
    <v>10</v>
  </rv>
  <rv s="6">
    <fb>192.27</fb>
    <v>10</v>
  </rv>
  <rv s="6">
    <fb>46097</fb>
    <v>15</v>
  </rv>
  <rv s="6">
    <fb>30285170</fb>
    <v>16</v>
  </rv>
  <rv s="6">
    <fb>194.97499999999999</fb>
    <v>10</v>
  </rv>
  <rv s="6">
    <fb>200.17</fb>
    <v>10</v>
  </rv>
  <rv s="6">
    <fb>194.8</fb>
    <v>10</v>
  </rv>
  <rv s="6">
    <fb>46098</fb>
    <v>15</v>
  </rv>
  <rv s="6">
    <fb>22779675</fb>
    <v>16</v>
  </rv>
  <rv s="6">
    <fb>196.68</fb>
    <v>10</v>
  </rv>
  <rv s="6">
    <fb>199.21</fb>
    <v>10</v>
  </rv>
  <rv s="6">
    <fb>195.26</fb>
    <v>10</v>
  </rv>
  <rv s="6">
    <fb>46099</fb>
    <v>15</v>
  </rv>
  <rv s="6">
    <fb>28569135</fb>
    <v>16</v>
  </rv>
  <rv s="6">
    <fb>196</fb>
    <v>10</v>
  </rv>
  <rv s="6">
    <fb>202.86</fb>
    <v>10</v>
  </rv>
  <rv s="6">
    <fb>46100</fb>
    <v>15</v>
  </rv>
  <rv s="6">
    <fb>32245329</fb>
    <v>16</v>
  </rv>
  <rv s="6">
    <fb>195.03200000000001</fb>
    <v>10</v>
  </rv>
  <rv s="6">
    <fb>205.88</fb>
    <v>10</v>
  </rv>
  <rv s="6">
    <fb>192.83</fb>
    <v>10</v>
  </rv>
  <rv s="6">
    <fb>46101</fb>
    <v>15</v>
  </rv>
  <rv s="6">
    <fb>37265103</fb>
    <v>16</v>
  </rv>
  <rv s="6">
    <fb>204.88499999999999</fb>
    <v>10</v>
  </rv>
  <rv s="6">
    <fb>206.3</fb>
    <v>10</v>
  </rv>
  <rv s="6">
    <fb>198.26</fb>
    <v>10</v>
  </rv>
  <rv s="6">
    <fb>46104</fb>
    <v>15</v>
  </rv>
  <rv s="6">
    <fb>31857752</fb>
    <v>16</v>
  </rv>
  <rv s="6">
    <fb>206.39500000000001</fb>
    <v>10</v>
  </rv>
  <rv s="6">
    <fb>209.10900000000001</fb>
    <v>10</v>
  </rv>
  <rv s="6">
    <fb>201.71</fb>
    <v>10</v>
  </rv>
  <rv s="6">
    <fb>46105</fb>
    <v>15</v>
  </rv>
  <rv s="6">
    <fb>27258849</fb>
    <v>16</v>
  </rv>
  <rv s="6">
    <fb>201.39</fb>
    <v>10</v>
  </rv>
  <rv s="6">
    <fb>206.43</fb>
    <v>10</v>
  </rv>
  <rv s="6">
    <fb>200.13</fb>
    <v>10</v>
  </rv>
  <rv s="6">
    <fb>46106</fb>
    <v>15</v>
  </rv>
  <rv s="6">
    <fb>48518269</fb>
    <v>16</v>
  </rv>
  <rv s="6">
    <fb>211.505</fb>
    <v>10</v>
  </rv>
  <rv s="6">
    <fb>221.33</fb>
    <v>10</v>
  </rv>
  <rv s="6">
    <fb>46107</fb>
    <v>15</v>
  </rv>
  <rv s="6">
    <fb>49212976</fb>
    <v>16</v>
  </rv>
  <rv s="6">
    <fb>217.97900000000001</fb>
    <v>10</v>
  </rv>
  <rv s="6">
    <fb>221</fb>
    <v>10</v>
  </rv>
  <rv s="6">
    <fb>46108</fb>
    <v>15</v>
  </rv>
  <rv s="6">
    <fb>29206578</fb>
    <v>16</v>
  </rv>
  <rv s="6">
    <fb>201.77</fb>
    <v>10</v>
  </rv>
  <rv s="6">
    <fb>203.26990000000001</fb>
    <v>10</v>
  </rv>
  <rv s="6">
    <fb>197.69</fb>
    <v>10</v>
  </rv>
  <rv s="6">
    <fb>46111</fb>
    <v>15</v>
  </rv>
  <rv s="6">
    <fb>41053298</fb>
    <v>16</v>
  </rv>
  <rv s="6">
    <fb>204.95</fb>
    <v>10</v>
  </rv>
  <rv s="6">
    <fb>208.43</fb>
    <v>10</v>
  </rv>
  <rv s="6">
    <fb>192.86500000000001</fb>
    <v>10</v>
  </rv>
  <rv s="6">
    <fb>46112</fb>
    <v>15</v>
  </rv>
  <rv s="6">
    <fb>42318748</fb>
    <v>16</v>
  </rv>
  <rv s="6">
    <fb>198.05</fb>
    <v>10</v>
  </rv>
  <rv s="6">
    <fb>204</fb>
    <v>10</v>
  </rv>
  <rv s="6">
    <fb>196.41</fb>
    <v>10</v>
  </rv>
  <rv s="6">
    <fb>46113</fb>
    <v>15</v>
  </rv>
  <rv s="6">
    <fb>40835794</fb>
    <v>16</v>
  </rv>
  <rv s="6">
    <fb>207.58500000000001</fb>
    <v>10</v>
  </rv>
  <rv s="6">
    <fb>213.83</fb>
    <v>10</v>
  </rv>
  <rv s="6">
    <fb>205.84</fb>
    <v>10</v>
  </rv>
  <rv s="6">
    <fb>46114</fb>
    <v>15</v>
  </rv>
  <rv s="6">
    <fb>38463484</fb>
    <v>16</v>
  </rv>
  <rv s="6">
    <fb>204.05</fb>
    <v>10</v>
  </rv>
  <rv s="6">
    <fb>217.78</fb>
    <v>10</v>
  </rv>
  <rv s="6">
    <fb>105.1438</fb>
    <v>10</v>
  </rv>
  <rv s="6">
    <fb>98.585999999999999</fb>
    <v>10</v>
  </rv>
  <rv s="6">
    <fb>103.9533</fb>
    <v>10</v>
  </rv>
  <rv s="6">
    <fb>103.358</fb>
    <v>10</v>
  </rv>
  <rv s="6">
    <fb>106.88</fb>
    <v>10</v>
  </rv>
  <rv s="6">
    <fb>113.07080000000001</fb>
    <v>10</v>
  </rv>
  <rv s="6">
    <fb>111.39409999999999</fb>
    <v>10</v>
  </rv>
  <rv s="6">
    <fb>105.90770000000001</fb>
    <v>10</v>
  </rv>
  <rv s="6">
    <fb>108.011</fb>
    <v>10</v>
  </rv>
  <rv s="6">
    <fb>109.2809</fb>
    <v>10</v>
  </rv>
  <rv s="6">
    <fb>114.9657</fb>
    <v>10</v>
  </rv>
  <rv s="6">
    <fb>118.0313</fb>
    <v>10</v>
  </rv>
  <rv s="6">
    <fb>118.3488</fb>
    <v>10</v>
  </rv>
  <rv s="6">
    <fb>119.331</fb>
    <v>10</v>
  </rv>
  <rv s="6">
    <fb>117.4361</fb>
    <v>10</v>
  </rv>
  <rv s="6">
    <fb>117.94199999999999</fb>
    <v>10</v>
  </rv>
  <rv s="6">
    <fb>118.4877</fb>
    <v>10</v>
  </rv>
  <rv s="6">
    <fb>119.57899999999999</fb>
    <v>10</v>
  </rv>
  <rv s="6">
    <fb>124.76779999999999</fb>
    <v>10</v>
  </rv>
  <rv s="6">
    <fb>125.5714</fb>
    <v>10</v>
  </rv>
  <rv s="6">
    <fb>126.6528</fb>
    <v>10</v>
  </rv>
  <rv s="6">
    <fb>122.2577</fb>
    <v>10</v>
  </rv>
  <rv s="6">
    <fb>124.7975</fb>
    <v>10</v>
  </rv>
  <rv s="6">
    <fb>124.3411</fb>
    <v>10</v>
  </rv>
  <rv s="6">
    <fb>131.5042</fb>
    <v>10</v>
  </rv>
  <rv s="6">
    <fb>130.6113</fb>
    <v>10</v>
  </rv>
  <rv s="6">
    <fb>132.9923</fb>
    <v>10</v>
  </rv>
  <rv s="6">
    <fb>122.9224</fb>
    <v>10</v>
  </rv>
  <rv s="6">
    <fb>122.4859</fb>
    <v>10</v>
  </rv>
  <rv s="6">
    <fb>121.9898</fb>
    <v>10</v>
  </rv>
  <rv s="6">
    <fb>124.1725</fb>
    <v>10</v>
  </rv>
  <rv s="6">
    <fb>122.61490000000001</fb>
    <v>10</v>
  </rv>
  <rv s="6">
    <fb>120.5215</fb>
    <v>10</v>
  </rv>
  <rv s="6">
    <fb>119.7774</fb>
    <v>10</v>
  </rv>
  <rv s="6">
    <fb>118.577</fb>
    <v>10</v>
  </rv>
  <rv s="6">
    <fb>115.8189</fb>
    <v>10</v>
  </rv>
  <rv s="6">
    <fb>116.25539999999999</fb>
    <v>10</v>
  </rv>
  <rv s="6">
    <fb>112.9418</fb>
    <v>10</v>
  </rv>
  <rv s="6">
    <fb>113.8446</fb>
    <v>10</v>
  </rv>
  <rv s="6">
    <fb>114.0629</fb>
    <v>10</v>
  </rv>
  <rv s="6">
    <fb>118.50749999999999</fb>
    <v>10</v>
  </rv>
  <rv s="6">
    <fb>119.01349999999999</fb>
    <v>10</v>
  </rv>
  <rv s="6">
    <fb>118.43810000000001</fb>
    <v>10</v>
  </rv>
  <rv s="6">
    <fb>120.91840000000001</fb>
    <v>10</v>
  </rv>
  <rv s="6">
    <fb>119.3806</fb>
    <v>10</v>
  </rv>
  <rv s="6">
    <fb>116.62</fb>
    <v>10</v>
  </rv>
  <rv s="6">
    <fb>112.87</fb>
    <v>10</v>
  </rv>
  <rv s="6">
    <fb>115.96</fb>
    <v>10</v>
  </rv>
  <rv s="6">
    <fb>115.03</fb>
    <v>10</v>
  </rv>
  <rv s="6">
    <fb>113.49</fb>
    <v>10</v>
  </rv>
  <rv s="6">
    <fb>113.01</fb>
    <v>10</v>
  </rv>
  <rv s="6">
    <fb>113.09</fb>
    <v>10</v>
  </rv>
  <rv s="6">
    <fb>117.01</fb>
    <v>10</v>
  </rv>
  <rv s="6">
    <fb>114.55</fb>
    <v>10</v>
  </rv>
  <rv s="6">
    <fb>113.93</fb>
    <v>10</v>
  </rv>
  <rv s="6">
    <fb>114.08</fb>
    <v>10</v>
  </rv>
  <rv s="6">
    <fb>113.97</fb>
    <v>10</v>
  </rv>
  <rv s="6">
    <fb>108.7</fb>
    <v>10</v>
  </rv>
  <rv s="6">
    <fb>106.27</fb>
    <v>10</v>
  </rv>
  <rv s="6">
    <fb>107.99</fb>
    <v>10</v>
  </rv>
  <rv s="6">
    <fb>103.83</fb>
    <v>10</v>
  </rv>
  <rv s="6">
    <fb>106.64</fb>
    <v>10</v>
  </rv>
  <rv s="6">
    <fb>108.22</fb>
    <v>10</v>
  </rv>
  <rv s="6">
    <fb>116.97</fb>
    <v>10</v>
  </rv>
  <rv s="6">
    <fb>115.73</fb>
    <v>10</v>
  </rv>
  <rv s="6">
    <fb>117.3</fb>
    <v>10</v>
  </rv>
  <rv s="6">
    <fb>120.23</fb>
    <v>10</v>
  </rv>
  <rv s="6">
    <fb>120.27</fb>
    <v>10</v>
  </rv>
  <rv s="6">
    <fb>120.71</fb>
    <v>10</v>
  </rv>
  <rv s="6">
    <fb>122.58</fb>
    <v>10</v>
  </rv>
  <rv s="6">
    <fb>121.15</fb>
    <v>10</v>
  </rv>
  <rv s="6">
    <fb>120.03</fb>
    <v>10</v>
  </rv>
  <rv s="6">
    <fb>117.38</fb>
    <v>10</v>
  </rv>
  <rv s="6">
    <fb>120.63</fb>
    <v>10</v>
  </rv>
  <rv s="6">
    <fb>117.07</fb>
    <v>10</v>
  </rv>
  <rv s="6">
    <fb>117.5</fb>
    <v>10</v>
  </rv>
  <rv s="6">
    <fb>117.04</fb>
    <v>10</v>
  </rv>
  <rv s="6">
    <fb>120.86</fb>
    <v>10</v>
  </rv>
  <rv s="6">
    <fb>120.96</fb>
    <v>10</v>
  </rv>
  <rv s="6">
    <fb>118.64</fb>
    <v>10</v>
  </rv>
  <rv s="6">
    <fb>122.42</fb>
    <v>10</v>
  </rv>
  <rv s="6">
    <fb>126.86</fb>
    <v>10</v>
  </rv>
  <rv s="6">
    <fb>122.28</fb>
    <v>10</v>
  </rv>
  <rv s="6">
    <fb>121.26</fb>
    <v>10</v>
  </rv>
  <rv s="6">
    <fb>119.99</fb>
    <v>10</v>
  </rv>
  <rv s="6">
    <fb>119.49</fb>
    <v>10</v>
  </rv>
  <rv s="6">
    <fb>122.94</fb>
    <v>10</v>
  </rv>
  <rv s="6">
    <fb>124.35</fb>
    <v>10</v>
  </rv>
  <rv s="6">
    <fb>124.19</fb>
    <v>10</v>
  </rv>
  <rv s="6">
    <fb>122.23</fb>
    <v>10</v>
  </rv>
  <rv s="6">
    <fb>119.57</fb>
    <v>10</v>
  </rv>
  <rv s="6">
    <fb>135</fb>
    <v>10</v>
  </rv>
  <rv s="6">
    <fb>138.55000000000001</fb>
    <v>10</v>
  </rv>
  <rv s="6">
    <fb>136.44999999999999</fb>
    <v>10</v>
  </rv>
  <rv s="6">
    <fb>130.91999999999999</fb>
    <v>10</v>
  </rv>
  <rv s="6">
    <fb>135.58000000000001</fb>
    <v>10</v>
  </rv>
  <rv s="6">
    <fb>141.19999999999999</fb>
    <v>10</v>
  </rv>
  <rv s="6">
    <fb>147.1</fb>
    <v>10</v>
  </rv>
  <rv s="6">
    <fb>143.93</fb>
    <v>10</v>
  </rv>
  <rv s="6">
    <fb>155.44</fb>
    <v>10</v>
  </rv>
  <rv s="6">
    <fb>155.06</fb>
    <v>10</v>
  </rv>
  <rv s="6">
    <fb>158.04</fb>
    <v>10</v>
  </rv>
  <rv s="6">
    <fb>162.21</fb>
    <v>10</v>
  </rv>
  <rv s="6">
    <fb>166.17</fb>
    <v>10</v>
  </rv>
  <rv s="6">
    <fb>162.47999999999999</fb>
    <v>10</v>
  </rv>
  <rv s="6">
    <fb>162.81</fb>
    <v>10</v>
  </rv>
  <rv s="6">
    <fb>164.25</fb>
    <v>10</v>
  </rv>
  <rv s="6">
    <fb>163.08000000000001</fb>
    <v>10</v>
  </rv>
  <rv s="6">
    <fb>176.44</fb>
    <v>10</v>
  </rv>
  <rv s="6">
    <fb>175.47</fb>
    <v>10</v>
  </rv>
  <rv s="6">
    <fb>171.91</fb>
    <v>10</v>
  </rv>
  <rv s="6">
    <fb>179.9</fb>
    <v>10</v>
  </rv>
  <rv s="6">
    <fb>178.73</fb>
    <v>10</v>
  </rv>
  <rv s="6">
    <fb>182.78</fb>
    <v>10</v>
  </rv>
  <rv s="6">
    <fb>189.34</fb>
    <v>10</v>
  </rv>
  <rv s="6">
    <fb>188.03</fb>
    <v>10</v>
  </rv>
  <rv s="6">
    <fb>187.22</fb>
    <v>10</v>
  </rv>
  <rv s="6">
    <fb>181.33</fb>
    <v>10</v>
  </rv>
  <rv s="6">
    <fb>173.68</fb>
    <v>10</v>
  </rv>
  <rv s="6">
    <fb>159.01</fb>
    <v>10</v>
  </rv>
  <rv s="6">
    <fb>162.86000000000001</fb>
    <v>10</v>
  </rv>
  <rv s="6">
    <fb>165.91</fb>
    <v>10</v>
  </rv>
  <rv s="6">
    <fb>165.09</fb>
    <v>10</v>
  </rv>
  <rv s="6">
    <fb>167.05</fb>
    <v>10</v>
  </rv>
  <rv s="6">
    <fb>173.47</fb>
    <v>10</v>
  </rv>
  <rv s="6">
    <fb>166.67</fb>
    <v>10</v>
  </rv>
  <rv s="6">
    <fb>165.86</fb>
    <v>10</v>
  </rv>
  <rv s="6">
    <fb>171.9</fb>
    <v>10</v>
  </rv>
  <rv s="6">
    <fb>174.7</fb>
    <v>10</v>
  </rv>
  <rv s="6">
    <fb>179.45</fb>
    <v>10</v>
  </rv>
  <rv s="6">
    <fb>176.72</fb>
    <v>10</v>
  </rv>
  <rv s="6">
    <fb>179.97</fb>
    <v>10</v>
  </rv>
  <rv s="6">
    <fb>173.93</fb>
    <v>10</v>
  </rv>
  <rv s="6">
    <fb>170.43</fb>
    <v>10</v>
  </rv>
  <rv s="6">
    <fb>167.69</fb>
    <v>10</v>
  </rv>
  <rv s="6">
    <fb>164.3</fb>
    <v>10</v>
  </rv>
  <rv s="6">
    <fb>164.82</fb>
    <v>10</v>
  </rv>
  <rv s="6">
    <fb>167.61</fb>
    <v>10</v>
  </rv>
  <rv s="6">
    <fb>166.34</fb>
    <v>10</v>
  </rv>
  <rv s="6">
    <fb>165.89</fb>
    <v>10</v>
  </rv>
  <rv s="6">
    <fb>157.91</fb>
    <v>10</v>
  </rv>
  <rv s="6">
    <fb>159.84</fb>
    <v>10</v>
  </rv>
  <rv s="6">
    <fb>157.71</fb>
    <v>10</v>
  </rv>
  <rv s="6">
    <fb>159.72</fb>
    <v>10</v>
  </rv>
  <rv s="6">
    <fb>158.88999999999999</fb>
    <v>10</v>
  </rv>
  <rv s="6">
    <fb>153.28</fb>
    <v>10</v>
  </rv>
  <rv s="6">
    <fb>152.93</fb>
    <v>10</v>
  </rv>
  <rv s="6">
    <fb>160.72999999999999</fb>
    <v>10</v>
  </rv>
  <rv s="6">
    <fb>157.01</fb>
    <v>10</v>
  </rv>
  <rv s="6">
    <fb>157.30000000000001</fb>
    <v>10</v>
  </rv>
  <rv s="6">
    <fb>164.26</fb>
    <v>10</v>
  </rv>
  <rv s="6">
    <fb>161.13</fb>
    <v>10</v>
  </rv>
  <rv s="6">
    <fb>158.08000000000001</fb>
    <v>10</v>
  </rv>
  <rv s="6">
    <fb>157.44</fb>
    <v>10</v>
  </rv>
  <rv s="6">
    <fb>158.32</fb>
    <v>10</v>
  </rv>
  <rv s="6">
    <fb>158.13</fb>
    <v>10</v>
  </rv>
  <rv s="6">
    <fb>155.96</fb>
    <v>10</v>
  </rv>
  <rv s="6">
    <fb>158.82</fb>
    <v>10</v>
  </rv>
  <rv s="6">
    <fb>156.9</fb>
    <v>10</v>
  </rv>
  <rv s="6">
    <fb>155.68</fb>
    <v>10</v>
  </rv>
  <rv s="6">
    <fb>150.09</fb>
    <v>10</v>
  </rv>
  <rv s="6">
    <fb>149.29</fb>
    <v>10</v>
  </rv>
  <rv s="6">
    <fb>147.09</fb>
    <v>10</v>
  </rv>
  <rv s="6">
    <fb>147.32</fb>
    <v>10</v>
  </rv>
  <rv s="6">
    <fb>149.79</fb>
    <v>10</v>
  </rv>
  <rv s="6">
    <fb>150.96</fb>
    <v>10</v>
  </rv>
  <rv s="6">
    <fb>151.22999999999999</fb>
    <v>10</v>
  </rv>
  <rv s="6">
    <fb>150.06</fb>
    <v>10</v>
  </rv>
  <rv s="6">
    <fb>152.24</fb>
    <v>10</v>
  </rv>
  <rv s="6">
    <fb>147.36000000000001</fb>
    <v>10</v>
  </rv>
  <rv s="6">
    <fb>155.74</fb>
    <v>10</v>
  </rv>
  <rv s="6">
    <fb>156.26</fb>
    <v>10</v>
  </rv>
  <rv s="6">
    <fb>154.47</fb>
    <v>10</v>
  </rv>
  <rv s="6">
    <fb>166.31</fb>
    <v>10</v>
  </rv>
  <rv s="6">
    <fb>167.01</fb>
    <v>10</v>
  </rv>
  <rv s="6">
    <fb>169.9</fb>
    <v>10</v>
  </rv>
  <rv s="6">
    <fb>170.93</fb>
    <v>10</v>
  </rv>
  <rv s="6">
    <fb>162.38999999999999</fb>
    <v>10</v>
  </rv>
  <rv s="6">
    <fb>168.67</fb>
    <v>10</v>
  </rv>
  <rv s="6">
    <fb>177.18</fb>
    <v>10</v>
  </rv>
  <rv s="6">
    <fb>173.23</fb>
    <v>10</v>
  </rv>
  <rv s="6">
    <fb>172.72</fb>
    <v>10</v>
  </rv>
  <rv s="6">
    <fb>175.66</fb>
    <v>10</v>
  </rv>
  <rv s="6">
    <fb>174.25</fb>
    <v>10</v>
  </rv>
  <rv s="6">
    <fb>169.56</fb>
    <v>10</v>
  </rv>
  <rv s="6">
    <fb>168.39</fb>
    <v>10</v>
  </rv>
  <rv s="6">
    <fb>163.65</fb>
    <v>10</v>
  </rv>
  <rv s="6">
    <fb>159.13999999999999</fb>
    <v>10</v>
  </rv>
  <rv s="6">
    <fb>157.76</fb>
    <v>10</v>
  </rv>
  <rv s="6">
    <fb>162.51</fb>
    <v>10</v>
  </rv>
  <rv s="6">
    <fb>163</fb>
    <v>10</v>
  </rv>
  <rv s="6">
    <fb>166.51</fb>
    <v>10</v>
  </rv>
  <rv s="6">
    <fb>164.32</fb>
    <v>10</v>
  </rv>
  <rv s="6">
    <fb>158.72999999999999</fb>
    <v>10</v>
  </rv>
  <rv s="6">
    <fb>155.72999999999999</fb>
    <v>10</v>
  </rv>
  <rv s="6">
    <fb>155.43</fb>
    <v>10</v>
  </rv>
  <rv s="6">
    <fb>155.77000000000001</fb>
    <v>10</v>
  </rv>
  <rv s="6">
    <fb>154.27000000000001</fb>
    <v>10</v>
  </rv>
  <rv s="6">
    <fb>154.44999999999999</fb>
    <v>10</v>
  </rv>
  <rv s="6">
    <fb>153.11000000000001</fb>
    <v>10</v>
  </rv>
  <rv s="6">
    <fb>152.28</fb>
    <v>10</v>
  </rv>
  <rv s="6">
    <fb>148.05000000000001</fb>
    <v>10</v>
  </rv>
  <rv s="6">
    <fb>144.11000000000001</fb>
    <v>10</v>
  </rv>
  <rv s="6">
    <fb>142.56</fb>
    <v>10</v>
  </rv>
  <rv s="6">
    <fb>135.59</fb>
    <v>10</v>
  </rv>
  <rv s="6">
    <fb>133.27000000000001</fb>
    <v>10</v>
  </rv>
  <rv s="6">
    <fb>130.35</fb>
    <v>10</v>
  </rv>
  <rv s="6">
    <fb>130.79</fb>
    <v>10</v>
  </rv>
  <rv s="6">
    <fb>132.63999999999999</fb>
    <v>10</v>
  </rv>
  <rv s="6">
    <fb>136.85</fb>
    <v>10</v>
  </rv>
  <rv s="6">
    <fb>136.29</fb>
    <v>10</v>
  </rv>
  <rv s="6">
    <fb>134.19999999999999</fb>
    <v>10</v>
  </rv>
  <rv s="6">
    <fb>135.21</fb>
    <v>10</v>
  </rv>
  <rv s="6">
    <fb>136.71</fb>
    <v>10</v>
  </rv>
  <rv s="6">
    <fb>136.57</fb>
    <v>10</v>
  </rv>
  <rv s="6">
    <fb>134.43</fb>
    <v>10</v>
  </rv>
  <rv s="6">
    <fb>124.9</fb>
    <v>10</v>
  </rv>
  <rv s="6">
    <fb>122.41</fb>
    <v>10</v>
  </rv>
  <rv s="6">
    <fb>126.06</fb>
    <v>10</v>
  </rv>
  <rv s="6">
    <fb>125.48</fb>
    <v>10</v>
  </rv>
  <rv s="6">
    <fb>129.87</fb>
    <v>10</v>
  </rv>
  <rv s="6">
    <fb>125.41</fb>
    <v>10</v>
  </rv>
  <rv s="6">
    <fb>125.46</fb>
    <v>10</v>
  </rv>
  <rv s="6">
    <fb>123.73</fb>
    <v>10</v>
  </rv>
  <rv s="6">
    <fb>10072449</fb>
    <v>16</v>
  </rv>
  <rv s="6">
    <fb>130.24</fb>
    <v>10</v>
  </rv>
  <rv s="6">
    <fb>132.91</fb>
    <v>10</v>
  </rv>
  <rv s="6">
    <fb>128.55000000000001</fb>
    <v>10</v>
  </rv>
  <rv s="6">
    <fb>15264286</fb>
    <v>16</v>
  </rv>
  <rv s="6">
    <fb>135.71</fb>
    <v>10</v>
  </rv>
  <rv s="6">
    <fb>139.22</fb>
    <v>10</v>
  </rv>
  <rv s="6">
    <fb>134.56</fb>
    <v>10</v>
  </rv>
  <rv s="6">
    <fb>6685065</fb>
    <v>16</v>
  </rv>
  <rv s="6">
    <fb>136.74</fb>
    <v>10</v>
  </rv>
  <rv s="6">
    <fb>134.82</fb>
    <v>10</v>
  </rv>
  <rv s="6">
    <fb>7591786</fb>
    <v>16</v>
  </rv>
  <rv s="6">
    <fb>135.38</fb>
    <v>10</v>
  </rv>
  <rv s="6">
    <fb>136</fb>
    <v>10</v>
  </rv>
  <rv s="6">
    <fb>133.44999999999999</fb>
    <v>10</v>
  </rv>
  <rv s="6">
    <fb>6438401</fb>
    <v>16</v>
  </rv>
  <rv s="6">
    <fb>136.07</fb>
    <v>10</v>
  </rv>
  <rv s="6">
    <fb>134.69999999999999</fb>
    <v>10</v>
  </rv>
  <rv s="6">
    <fb>9972344</fb>
    <v>16</v>
  </rv>
  <rv s="6">
    <fb>138.80000000000001</fb>
    <v>10</v>
  </rv>
  <rv s="6">
    <fb>136.5</fb>
    <v>10</v>
  </rv>
  <rv s="6">
    <fb>10005699</fb>
    <v>16</v>
  </rv>
  <rv s="6">
    <fb>137.875</fb>
    <v>10</v>
  </rv>
  <rv s="6">
    <fb>138.22</fb>
    <v>10</v>
  </rv>
  <rv s="6">
    <fb>135.97</fb>
    <v>10</v>
  </rv>
  <rv s="6">
    <fb>17158597</fb>
    <v>16</v>
  </rv>
  <rv s="6">
    <fb>138.44499999999999</fb>
    <v>10</v>
  </rv>
  <rv s="6">
    <fb>139.16</fb>
    <v>10</v>
  </rv>
  <rv s="6">
    <fb>134.37</fb>
    <v>10</v>
  </rv>
  <rv s="6">
    <fb>33440469</fb>
    <v>16</v>
  </rv>
  <rv s="6">
    <fb>123.02</fb>
    <v>10</v>
  </rv>
  <rv s="6">
    <fb>126.92</fb>
    <v>10</v>
  </rv>
  <rv s="6">
    <fb>121.16</fb>
    <v>10</v>
  </rv>
  <rv s="6">
    <fb>15479264</fb>
    <v>16</v>
  </rv>
  <rv s="6">
    <fb>125.715</fb>
    <v>10</v>
  </rv>
  <rv s="6">
    <fb>126.48</fb>
    <v>10</v>
  </rv>
  <rv s="6">
    <fb>122.09</fb>
    <v>10</v>
  </rv>
  <rv s="6">
    <fb>15583917</fb>
    <v>16</v>
  </rv>
  <rv s="6">
    <fb>127.27</fb>
    <v>10</v>
  </rv>
  <rv s="6">
    <fb>123.1</fb>
    <v>10</v>
  </rv>
  <rv s="6">
    <fb>8516233</fb>
    <v>16</v>
  </rv>
  <rv s="6">
    <fb>124.36</fb>
    <v>10</v>
  </rv>
  <rv s="6">
    <fb>123.92</fb>
    <v>10</v>
  </rv>
  <rv s="6">
    <fb>12843020</fb>
    <v>16</v>
  </rv>
  <rv s="6">
    <fb>129.47999999999999</fb>
    <v>10</v>
  </rv>
  <rv s="6">
    <fb>130.65</fb>
    <v>10</v>
  </rv>
  <rv s="6">
    <fb>128.34</fb>
    <v>10</v>
  </rv>
  <rv s="6">
    <fb>9239994</fb>
    <v>16</v>
  </rv>
  <rv s="6">
    <fb>126.72</fb>
    <v>10</v>
  </rv>
  <rv s="6">
    <fb>127.05</fb>
    <v>10</v>
  </rv>
  <rv s="6">
    <fb>124.59</fb>
    <v>10</v>
  </rv>
  <rv s="6">
    <fb>8104989</fb>
    <v>16</v>
  </rv>
  <rv s="6">
    <fb>123.97</fb>
    <v>10</v>
  </rv>
  <rv s="6">
    <fb>124.44</fb>
    <v>10</v>
  </rv>
  <rv s="6">
    <fb>122.23009999999999</fb>
    <v>10</v>
  </rv>
  <rv s="6">
    <fb>7226650</fb>
    <v>16</v>
  </rv>
  <rv s="6">
    <fb>123.28</fb>
    <v>10</v>
  </rv>
  <rv s="6">
    <fb>123.78</fb>
    <v>10</v>
  </rv>
  <rv s="6">
    <fb>121.55</fb>
    <v>10</v>
  </rv>
  <rv s="6">
    <fb>9486079</fb>
    <v>16</v>
  </rv>
  <rv s="6">
    <fb>121.99</fb>
    <v>10</v>
  </rv>
  <rv s="6">
    <fb>125.78</fb>
    <v>10</v>
  </rv>
  <rv s="6">
    <fb>121.38</fb>
    <v>10</v>
  </rv>
  <rv s="6">
    <fb>10297423</fb>
    <v>16</v>
  </rv>
  <rv s="6">
    <fb>123.12</fb>
    <v>10</v>
  </rv>
  <rv s="6">
    <fb>8830234</fb>
    <v>16</v>
  </rv>
  <rv s="6">
    <fb>122.8479</fb>
    <v>10</v>
  </rv>
  <rv s="6">
    <fb>120.14</fb>
    <v>10</v>
  </rv>
  <rv s="6">
    <fb>35.58</fb>
    <v>10</v>
  </rv>
  <rv s="6">
    <fb>35.03</fb>
    <v>10</v>
  </rv>
  <rv s="6">
    <fb>37.15</fb>
    <v>10</v>
  </rv>
  <rv s="6">
    <fb>35.85</fb>
    <v>10</v>
  </rv>
  <rv s="6">
    <fb>35.950000000000003</fb>
    <v>10</v>
  </rv>
  <rv s="6">
    <fb>36.67</fb>
    <v>10</v>
  </rv>
  <rv s="6">
    <fb>37.99</fb>
    <v>10</v>
  </rv>
  <rv s="6">
    <fb>37.33</fb>
    <v>10</v>
  </rv>
  <rv s="6">
    <fb>37.409999999999997</fb>
    <v>10</v>
  </rv>
  <rv s="6">
    <fb>36.92</fb>
    <v>10</v>
  </rv>
  <rv s="6">
    <fb>38.32</fb>
    <v>10</v>
  </rv>
  <rv s="6">
    <fb>38.75</fb>
    <v>10</v>
  </rv>
  <rv s="6">
    <fb>39.58</fb>
    <v>10</v>
  </rv>
  <rv s="6">
    <fb>39.69</fb>
    <v>10</v>
  </rv>
  <rv s="6">
    <fb>39.78</fb>
    <v>10</v>
  </rv>
  <rv s="6">
    <fb>39.99</fb>
    <v>10</v>
  </rv>
  <rv s="6">
    <fb>39.880000000000003</fb>
    <v>10</v>
  </rv>
  <rv s="6">
    <fb>40.17</fb>
    <v>10</v>
  </rv>
  <rv s="6">
    <fb>41.07</fb>
    <v>10</v>
  </rv>
  <rv s="6">
    <fb>41.12</fb>
    <v>10</v>
  </rv>
  <rv s="6">
    <fb>40.840000000000003</fb>
    <v>10</v>
  </rv>
  <rv s="6">
    <fb>40.93</fb>
    <v>10</v>
  </rv>
  <rv s="6">
    <fb>41.6</fb>
    <v>10</v>
  </rv>
  <rv s="6">
    <fb>41.79</fb>
    <v>10</v>
  </rv>
  <rv s="6">
    <fb>43.36</fb>
    <v>10</v>
  </rv>
  <rv s="6">
    <fb>44.28</fb>
    <v>10</v>
  </rv>
  <rv s="6">
    <fb>44.74</fb>
    <v>10</v>
  </rv>
  <rv s="6">
    <fb>44.38</fb>
    <v>10</v>
  </rv>
  <rv s="6">
    <fb>44.69</fb>
    <v>10</v>
  </rv>
  <rv s="6">
    <fb>44.77</fb>
    <v>10</v>
  </rv>
  <rv s="6">
    <fb>43.25</fb>
    <v>10</v>
  </rv>
  <rv s="6">
    <fb>43.31</fb>
    <v>10</v>
  </rv>
  <rv s="6">
    <fb>43.2</fb>
    <v>10</v>
  </rv>
  <rv s="6">
    <fb>44.22</fb>
    <v>10</v>
  </rv>
  <rv s="6">
    <fb>44.06</fb>
    <v>10</v>
  </rv>
  <rv s="6">
    <fb>44.24</fb>
    <v>10</v>
  </rv>
  <rv s="6">
    <fb>44.13</fb>
    <v>10</v>
  </rv>
  <rv s="6">
    <fb>44.08</fb>
    <v>10</v>
  </rv>
  <rv s="6">
    <fb>44.65</fb>
    <v>10</v>
  </rv>
  <rv s="6">
    <fb>44.36</fb>
    <v>10</v>
  </rv>
  <rv s="6">
    <fb>44.97</fb>
    <v>10</v>
  </rv>
  <rv s="6">
    <fb>44.87</fb>
    <v>10</v>
  </rv>
  <rv s="6">
    <fb>45.09</fb>
    <v>10</v>
  </rv>
  <rv s="6">
    <fb>44.73</fb>
    <v>10</v>
  </rv>
  <rv s="6">
    <fb>44.62</fb>
    <v>10</v>
  </rv>
  <rv s="6">
    <fb>44.09</fb>
    <v>10</v>
  </rv>
  <rv s="6">
    <fb>44.41</fb>
    <v>10</v>
  </rv>
  <rv s="6">
    <fb>44.23</fb>
    <v>10</v>
  </rv>
  <rv s="6">
    <fb>45.06</fb>
    <v>10</v>
  </rv>
  <rv s="6">
    <fb>45.5</fb>
    <v>10</v>
  </rv>
  <rv s="6">
    <fb>46.3</fb>
    <v>10</v>
  </rv>
  <rv s="6">
    <fb>46.66</fb>
    <v>10</v>
  </rv>
  <rv s="6">
    <fb>46.85</fb>
    <v>10</v>
  </rv>
  <rv s="6">
    <fb>47.46</fb>
    <v>10</v>
  </rv>
  <rv s="6">
    <fb>47.12</fb>
    <v>10</v>
  </rv>
  <rv s="6">
    <fb>47.32</fb>
    <v>10</v>
  </rv>
  <rv s="6">
    <fb>48.15</fb>
    <v>10</v>
  </rv>
  <rv s="6">
    <fb>48.71</fb>
    <v>10</v>
  </rv>
  <rv s="6">
    <fb>48.93</fb>
    <v>10</v>
  </rv>
  <rv s="6">
    <fb>48.66</fb>
    <v>10</v>
  </rv>
  <rv s="6">
    <fb>47.15</fb>
    <v>10</v>
  </rv>
  <rv s="6">
    <fb>46.84</fb>
    <v>10</v>
  </rv>
  <rv s="6">
    <fb>46.97</fb>
    <v>10</v>
  </rv>
  <rv s="6">
    <fb>46.73</fb>
    <v>10</v>
  </rv>
  <rv s="6">
    <fb>47.07</fb>
    <v>10</v>
  </rv>
  <rv s="6">
    <fb>46.15</fb>
    <v>10</v>
  </rv>
  <rv s="6">
    <fb>46.03</fb>
    <v>10</v>
  </rv>
  <rv s="6">
    <fb>47.02</fb>
    <v>10</v>
  </rv>
  <rv s="6">
    <fb>47.48</fb>
    <v>10</v>
  </rv>
  <rv s="6">
    <fb>47.77</fb>
    <v>10</v>
  </rv>
  <rv s="6">
    <fb>48.14</fb>
    <v>10</v>
  </rv>
  <rv s="6">
    <fb>48.39</fb>
    <v>10</v>
  </rv>
  <rv s="6">
    <fb>48.45</fb>
    <v>10</v>
  </rv>
  <rv s="6">
    <fb>48.23</fb>
    <v>10</v>
  </rv>
  <rv s="6">
    <fb>47.95</fb>
    <v>10</v>
  </rv>
  <rv s="6">
    <fb>47.96</fb>
    <v>10</v>
  </rv>
  <rv s="6">
    <fb>47.27</fb>
    <v>10</v>
  </rv>
  <rv s="6">
    <fb>45.66</fb>
    <v>10</v>
  </rv>
  <rv s="6">
    <fb>45.85</fb>
    <v>10</v>
  </rv>
  <rv s="6">
    <fb>45.56</fb>
    <v>10</v>
  </rv>
  <rv s="6">
    <fb>45.42</fb>
    <v>10</v>
  </rv>
  <rv s="6">
    <fb>44.92</fb>
    <v>10</v>
  </rv>
  <rv s="6">
    <fb>46.01</fb>
    <v>10</v>
  </rv>
  <rv s="6">
    <fb>46.16</fb>
    <v>10</v>
  </rv>
  <rv s="6">
    <fb>47.5</fb>
    <v>10</v>
  </rv>
  <rv s="6">
    <fb>47.24</fb>
    <v>10</v>
  </rv>
  <rv s="6">
    <fb>47.71</fb>
    <v>10</v>
  </rv>
  <rv s="6">
    <fb>46.94</fb>
    <v>10</v>
  </rv>
  <rv s="6">
    <fb>47.92</fb>
    <v>10</v>
  </rv>
  <rv s="6">
    <fb>48.08</fb>
    <v>10</v>
  </rv>
  <rv s="6">
    <fb>48.35</fb>
    <v>10</v>
  </rv>
  <rv s="6">
    <fb>48.26</fb>
    <v>10</v>
  </rv>
  <rv s="6">
    <fb>49.48</fb>
    <v>10</v>
  </rv>
  <rv s="6">
    <fb>50.25</fb>
    <v>10</v>
  </rv>
  <rv s="6">
    <fb>50.38</fb>
    <v>10</v>
  </rv>
  <rv s="6">
    <fb>50.49</fb>
    <v>10</v>
  </rv>
  <rv s="6">
    <fb>50.74</fb>
    <v>10</v>
  </rv>
  <rv s="6">
    <fb>50.42</fb>
    <v>10</v>
  </rv>
  <rv s="6">
    <fb>50.06</fb>
    <v>10</v>
  </rv>
  <rv s="6">
    <fb>50.62</fb>
    <v>10</v>
  </rv>
  <rv s="6">
    <fb>49.77</fb>
    <v>10</v>
  </rv>
  <rv s="6">
    <fb>49.46</fb>
    <v>10</v>
  </rv>
  <rv s="6">
    <fb>50.29</fb>
    <v>10</v>
  </rv>
  <rv s="6">
    <fb>50.13</fb>
    <v>10</v>
  </rv>
  <rv s="6">
    <fb>50.75</fb>
    <v>10</v>
  </rv>
  <rv s="6">
    <fb>50.58</fb>
    <v>10</v>
  </rv>
  <rv s="6">
    <fb>50.59</fb>
    <v>10</v>
  </rv>
  <rv s="6">
    <fb>50.66</fb>
    <v>10</v>
  </rv>
  <rv s="6">
    <fb>51.4</fb>
    <v>10</v>
  </rv>
  <rv s="6">
    <fb>52.13</fb>
    <v>10</v>
  </rv>
  <rv s="6">
    <fb>52.25</fb>
    <v>10</v>
  </rv>
  <rv s="6">
    <fb>51.92</fb>
    <v>10</v>
  </rv>
  <rv s="6">
    <fb>51.7</fb>
    <v>10</v>
  </rv>
  <rv s="6">
    <fb>51.85</fb>
    <v>10</v>
  </rv>
  <rv s="6">
    <fb>52.21</fb>
    <v>10</v>
  </rv>
  <rv s="6">
    <fb>52.42</fb>
    <v>10</v>
  </rv>
  <rv s="6">
    <fb>51.59</fb>
    <v>10</v>
  </rv>
  <rv s="6">
    <fb>50.68</fb>
    <v>10</v>
  </rv>
  <rv s="6">
    <fb>50.48</fb>
    <v>10</v>
  </rv>
  <rv s="6">
    <fb>50.64</fb>
    <v>10</v>
  </rv>
  <rv s="6">
    <fb>50.39</fb>
    <v>10</v>
  </rv>
  <rv s="6">
    <fb>49.84</fb>
    <v>10</v>
  </rv>
  <rv s="6">
    <fb>49.79</fb>
    <v>10</v>
  </rv>
  <rv s="6">
    <fb>48.65</fb>
    <v>10</v>
  </rv>
  <rv s="6">
    <fb>48.86</fb>
    <v>10</v>
  </rv>
  <rv s="6">
    <fb>50.09</fb>
    <v>10</v>
  </rv>
  <rv s="6">
    <fb>52.28</fb>
    <v>10</v>
  </rv>
  <rv s="6">
    <fb>50.44</fb>
    <v>10</v>
  </rv>
  <rv s="6">
    <fb>51.28</fb>
    <v>10</v>
  </rv>
  <rv s="6">
    <fb>52.04</fb>
    <v>10</v>
  </rv>
  <rv s="6">
    <fb>51.52</fb>
    <v>10</v>
  </rv>
  <rv s="6">
    <fb>51.1</fb>
    <v>10</v>
  </rv>
  <rv s="6">
    <fb>51.76</fb>
    <v>10</v>
  </rv>
  <rv s="6">
    <fb>52.57</fb>
    <v>10</v>
  </rv>
  <rv s="6">
    <fb>53.02</fb>
    <v>10</v>
  </rv>
  <rv s="6">
    <fb>52.87</fb>
    <v>10</v>
  </rv>
  <rv s="6">
    <fb>52.58</fb>
    <v>10</v>
  </rv>
  <rv s="6">
    <fb>53.03</fb>
    <v>10</v>
  </rv>
  <rv s="6">
    <fb>53.45</fb>
    <v>10</v>
  </rv>
  <rv s="6">
    <fb>53.56</fb>
    <v>10</v>
  </rv>
  <rv s="6">
    <fb>53.54</fb>
    <v>10</v>
  </rv>
  <rv s="6">
    <fb>52.45</fb>
    <v>10</v>
  </rv>
  <rv s="6">
    <fb>53.29</fb>
    <v>10</v>
  </rv>
  <rv s="6">
    <fb>53.2</fb>
    <v>10</v>
  </rv>
  <rv s="6">
    <fb>53.42</fb>
    <v>10</v>
  </rv>
  <rv s="6">
    <fb>53.63</fb>
    <v>10</v>
  </rv>
  <rv s="6">
    <fb>54.11</fb>
    <v>10</v>
  </rv>
  <rv s="6">
    <fb>52.61</fb>
    <v>10</v>
  </rv>
  <rv s="6">
    <fb>51.48</fb>
    <v>10</v>
  </rv>
  <rv s="6">
    <fb>51.64</fb>
    <v>10</v>
  </rv>
  <rv s="6">
    <fb>52.02</fb>
    <v>10</v>
  </rv>
  <rv s="6">
    <fb>51</fb>
    <v>10</v>
  </rv>
  <rv s="6">
    <fb>51.56</fb>
    <v>10</v>
  </rv>
  <rv s="6">
    <fb>51.93</fb>
    <v>10</v>
  </rv>
  <rv s="6">
    <fb>52.48</fb>
    <v>10</v>
  </rv>
  <rv s="6">
    <fb>52.99</fb>
    <v>10</v>
  </rv>
  <rv s="6">
    <fb>53.65</fb>
    <v>10</v>
  </rv>
  <rv s="6">
    <fb>53.24</fb>
    <v>10</v>
  </rv>
  <rv s="6">
    <fb>53.19</fb>
    <v>10</v>
  </rv>
  <rv s="6">
    <fb>54.09</fb>
    <v>10</v>
  </rv>
  <rv s="6">
    <fb>54.16</fb>
    <v>10</v>
  </rv>
  <rv s="6">
    <fb>53.95</fb>
    <v>10</v>
  </rv>
  <rv s="6">
    <fb>53.9</fb>
    <v>10</v>
  </rv>
  <rv s="6">
    <fb>54.08</fb>
    <v>10</v>
  </rv>
  <rv s="6">
    <fb>54.56</fb>
    <v>10</v>
  </rv>
  <rv s="6">
    <fb>55.14</fb>
    <v>10</v>
  </rv>
  <rv s="6">
    <fb>55.33</fb>
    <v>10</v>
  </rv>
  <rv s="6">
    <fb>54.81</fb>
    <v>10</v>
  </rv>
  <rv s="6">
    <fb>54.55</fb>
    <v>10</v>
  </rv>
  <rv s="6">
    <fb>54.26</fb>
    <v>10</v>
  </rv>
  <rv s="6">
    <fb>55.27</fb>
    <v>10</v>
  </rv>
  <rv s="6">
    <fb>55.88</fb>
    <v>10</v>
  </rv>
  <rv s="6">
    <fb>55.97</fb>
    <v>10</v>
  </rv>
  <rv s="6">
    <fb>56.25</fb>
    <v>10</v>
  </rv>
  <rv s="6">
    <fb>56.17</fb>
    <v>10</v>
  </rv>
  <rv s="6">
    <fb>55.35</fb>
    <v>10</v>
  </rv>
  <rv s="6">
    <fb>55.28</fb>
    <v>10</v>
  </rv>
  <rv s="6">
    <fb>55</fb>
    <v>10</v>
  </rv>
  <rv s="6">
    <fb>55.95</fb>
    <v>10</v>
  </rv>
  <rv s="6">
    <fb>56.89</fb>
    <v>10</v>
  </rv>
  <rv s="6">
    <fb>57.25</fb>
    <v>10</v>
  </rv>
  <rv s="6">
    <fb>55.64</fb>
    <v>10</v>
  </rv>
  <rv s="6">
    <fb>56.18</fb>
    <v>10</v>
  </rv>
  <rv s="6">
    <fb>55.85</fb>
    <v>10</v>
  </rv>
  <rv s="6">
    <fb>55.19</fb>
    <v>10</v>
  </rv>
  <rv s="6">
    <fb>54.54</fb>
    <v>10</v>
  </rv>
  <rv s="6">
    <fb>52.59</fb>
    <v>10</v>
  </rv>
  <rv s="6">
    <fb>52.97</fb>
    <v>10</v>
  </rv>
  <rv s="6">
    <fb>52.1</fb>
    <v>10</v>
  </rv>
  <rv s="6">
    <fb>52.07</fb>
    <v>10</v>
  </rv>
  <rv s="6">
    <fb>51.72</fb>
    <v>10</v>
  </rv>
  <rv s="6">
    <fb>52.17</fb>
    <v>10</v>
  </rv>
  <rv s="6">
    <fb>51.81</fb>
    <v>10</v>
  </rv>
  <rv s="6">
    <fb>53.08</fb>
    <v>10</v>
  </rv>
  <rv s="6">
    <fb>54.03</fb>
    <v>10</v>
  </rv>
  <rv s="6">
    <fb>54.45</fb>
    <v>10</v>
  </rv>
  <rv s="6">
    <fb>55.38</fb>
    <v>10</v>
  </rv>
  <rv s="6">
    <fb>54.94</fb>
    <v>10</v>
  </rv>
  <rv s="6">
    <fb>56.53</fb>
    <v>10</v>
  </rv>
  <rv s="6">
    <fb>56.41</fb>
    <v>10</v>
  </rv>
  <rv s="6">
    <fb>55.39</fb>
    <v>10</v>
  </rv>
  <rv s="6">
    <fb>53.85</fb>
    <v>10</v>
  </rv>
  <rv s="6">
    <fb>52.52</fb>
    <v>10</v>
  </rv>
  <rv s="6">
    <fb>52.55</fb>
    <v>10</v>
  </rv>
  <rv s="6">
    <fb>52.74</fb>
    <v>10</v>
  </rv>
  <rv s="6">
    <fb>53.36</fb>
    <v>10</v>
  </rv>
  <rv s="6">
    <fb>52.77</fb>
    <v>10</v>
  </rv>
  <rv s="6">
    <fb>53.06</fb>
    <v>10</v>
  </rv>
  <rv s="6">
    <fb>51.07</fb>
    <v>10</v>
  </rv>
  <rv s="6">
    <fb>50.41</fb>
    <v>10</v>
  </rv>
  <rv s="6">
    <fb>51.69</fb>
    <v>10</v>
  </rv>
  <rv s="6">
    <fb>52.3</fb>
    <v>10</v>
  </rv>
  <rv s="6">
    <fb>49.83</fb>
    <v>10</v>
  </rv>
  <rv s="6">
    <fb>49.81</fb>
    <v>10</v>
  </rv>
  <rv s="6">
    <fb>49.97</fb>
    <v>10</v>
  </rv>
  <rv s="6">
    <fb>50.3</fb>
    <v>10</v>
  </rv>
  <rv s="6">
    <fb>48.64</fb>
    <v>10</v>
  </rv>
  <rv s="6">
    <fb>47.9</fb>
    <v>10</v>
  </rv>
  <rv s="6">
    <fb>48.56</fb>
    <v>10</v>
  </rv>
  <rv s="6">
    <fb>48.52</fb>
    <v>10</v>
  </rv>
  <rv s="6">
    <fb>47.13</fb>
    <v>10</v>
  </rv>
  <rv s="6">
    <fb>46.72</fb>
    <v>10</v>
  </rv>
  <rv s="6">
    <fb>47.06</fb>
    <v>10</v>
  </rv>
  <rv s="6">
    <fb>47.28</fb>
    <v>10</v>
  </rv>
  <rv s="6">
    <fb>46.83</fb>
    <v>10</v>
  </rv>
  <rv s="6">
    <fb>47.01</fb>
    <v>10</v>
  </rv>
  <rv s="6">
    <fb>47.16</fb>
    <v>10</v>
  </rv>
  <rv s="6">
    <fb>47.52</fb>
    <v>10</v>
  </rv>
  <rv s="6">
    <fb>48.75</fb>
    <v>10</v>
  </rv>
  <rv s="6">
    <fb>48.24</fb>
    <v>10</v>
  </rv>
  <rv s="6">
    <fb>47.23</fb>
    <v>10</v>
  </rv>
  <rv s="6">
    <fb>49.27</fb>
    <v>10</v>
  </rv>
  <rv s="6">
    <fb>49.38</fb>
    <v>10</v>
  </rv>
  <rv s="6">
    <fb>62752798</fb>
    <v>16</v>
  </rv>
  <rv s="6">
    <fb>47.94</fb>
    <v>10</v>
  </rv>
  <rv s="6">
    <fb>46.77</fb>
    <v>10</v>
  </rv>
  <rv s="6">
    <fb>50271136</fb>
    <v>16</v>
  </rv>
  <rv s="6">
    <fb>48.28</fb>
    <v>10</v>
  </rv>
  <rv s="6">
    <fb>49.15</fb>
    <v>10</v>
  </rv>
  <rv s="6">
    <fb>47.594999999999999</fb>
    <v>10</v>
  </rv>
  <rv s="6">
    <fb>42185812</fb>
    <v>16</v>
  </rv>
  <rv s="6">
    <fb>48.36</fb>
    <v>10</v>
  </rv>
  <rv s="6">
    <fb>47.78</fb>
    <v>10</v>
  </rv>
  <rv s="6">
    <fb>58354534</fb>
    <v>16</v>
  </rv>
  <rv s="6">
    <fb>47.7</fb>
    <v>10</v>
  </rv>
  <rv s="6">
    <fb>47.782400000000003</fb>
    <v>10</v>
  </rv>
  <rv s="6">
    <fb>46.79</fb>
    <v>10</v>
  </rv>
  <rv s="6">
    <fb>45473073</fb>
    <v>16</v>
  </rv>
  <rv s="6">
    <fb>47.820099999999996</fb>
    <v>10</v>
  </rv>
  <rv s="6">
    <fb>46.655000000000001</fb>
    <v>10</v>
  </rv>
  <rv s="6">
    <fb>38055608</fb>
    <v>16</v>
  </rv>
  <rv s="6">
    <fb>47.68</fb>
    <v>10</v>
  </rv>
  <rv s="6">
    <fb>46.900100000000002</fb>
    <v>10</v>
  </rv>
  <rv s="6">
    <fb>33427815</fb>
    <v>16</v>
  </rv>
  <rv s="6">
    <fb>47.66</fb>
    <v>10</v>
  </rv>
  <rv s="6">
    <fb>47.2</fb>
    <v>10</v>
  </rv>
  <rv s="6">
    <fb>40251811</fb>
    <v>16</v>
  </rv>
  <rv s="6">
    <fb>47.22</fb>
    <v>10</v>
  </rv>
  <rv s="6">
    <fb>47.88</fb>
    <v>10</v>
  </rv>
  <rv s="6">
    <fb>46.69</fb>
    <v>10</v>
  </rv>
  <rv s="6">
    <fb>38601377</fb>
    <v>16</v>
  </rv>
  <rv s="6">
    <fb>46.42</fb>
    <v>10</v>
  </rv>
  <rv s="6">
    <fb>47.19</fb>
    <v>10</v>
  </rv>
  <rv s="6">
    <fb>46.115000000000002</fb>
    <v>10</v>
  </rv>
  <rv s="6">
    <fb>78060881</fb>
    <v>16</v>
  </rv>
  <rv s="6">
    <fb>46.685000000000002</fb>
    <v>10</v>
  </rv>
  <rv s="6">
    <fb>42333241</fb>
    <v>16</v>
  </rv>
  <rv s="6">
    <fb>48.34</fb>
    <v>10</v>
  </rv>
  <rv s="6">
    <fb>39804103</fb>
    <v>16</v>
  </rv>
  <rv s="6">
    <fb>47.05</fb>
    <v>10</v>
  </rv>
  <rv s="6">
    <fb>48.46</fb>
    <v>10</v>
  </rv>
  <rv s="6">
    <fb>29988292</fb>
    <v>16</v>
  </rv>
  <rv s="6">
    <fb>49.11</fb>
    <v>10</v>
  </rv>
  <rv s="6">
    <fb>48.18</fb>
    <v>10</v>
  </rv>
  <rv s="6">
    <fb>32502597</fb>
    <v>16</v>
  </rv>
  <rv s="6">
    <fb>48.869900000000001</fb>
    <v>10</v>
  </rv>
  <rv s="6">
    <fb>48.024999999999999</fb>
    <v>10</v>
  </rv>
  <rv s="6">
    <fb>36781861</fb>
    <v>16</v>
  </rv>
  <rv s="6">
    <fb>48.07</fb>
    <v>10</v>
  </rv>
  <rv s="6">
    <fb>48.25</fb>
    <v>10</v>
  </rv>
  <rv s="6">
    <fb>43375850</fb>
    <v>16</v>
  </rv>
  <rv s="6">
    <fb>47.55</fb>
    <v>10</v>
  </rv>
  <rv s="6">
    <fb>47.854999999999997</fb>
    <v>10</v>
  </rv>
  <rv s="6">
    <fb>46.93</fb>
    <v>10</v>
  </rv>
  <rv s="6">
    <fb>49060591</fb>
    <v>16</v>
  </rv>
  <rv s="6">
    <fb>48.77</fb>
    <v>10</v>
  </rv>
  <rv s="6">
    <fb>47.37</fb>
    <v>10</v>
  </rv>
  <rv s="6">
    <fb>32947016</fb>
    <v>16</v>
  </rv>
  <rv s="6">
    <fb>49.7</fb>
    <v>10</v>
  </rv>
  <rv s="6">
    <fb>50.05</fb>
    <v>10</v>
  </rv>
  <rv s="6">
    <fb>48.774999999999999</fb>
    <v>10</v>
  </rv>
  <rv s="6">
    <fb>27548242</fb>
    <v>16</v>
  </rv>
  <rv s="6">
    <fb>49.564999999999998</fb>
    <v>10</v>
  </rv>
  <rv s="6">
    <fb>48.16</fb>
    <v>10</v>
  </rv>
  <rv s="6">
    <fb>908.13</fb>
    <v>10</v>
  </rv>
  <rv s="6">
    <fb>908.75</fb>
    <v>10</v>
  </rv>
  <rv s="6">
    <fb>965.19</fb>
    <v>10</v>
  </rv>
  <rv s="6">
    <fb>964.31</fb>
    <v>10</v>
  </rv>
  <rv s="6">
    <fb>963.41</fb>
    <v>10</v>
  </rv>
  <rv s="6">
    <fb>979.32</fb>
    <v>10</v>
  </rv>
  <rv s="6">
    <fb>976.92</fb>
    <v>10</v>
  </rv>
  <rv s="6">
    <fb>967.75</fb>
    <v>10</v>
  </rv>
  <rv s="6">
    <fb>994.5</fb>
    <v>10</v>
  </rv>
  <rv s="6">
    <fb>957.77</fb>
    <v>10</v>
  </rv>
  <rv s="6">
    <fb>979.23</fb>
    <v>10</v>
  </rv>
  <rv s="6">
    <fb>975.84</fb>
    <v>10</v>
  </rv>
  <rv s="6">
    <fb>975.48</fb>
    <v>10</v>
  </rv>
  <rv s="6">
    <fb>977.16</fb>
    <v>10</v>
  </rv>
  <rv s="6">
    <fb>978.54</fb>
    <v>10</v>
  </rv>
  <rv s="6">
    <fb>991.7</fb>
    <v>10</v>
  </rv>
  <rv s="6">
    <fb>999.04</fb>
    <v>10</v>
  </rv>
  <rv s="6">
    <fb>1008.3</fb>
    <v>10</v>
  </rv>
  <rv s="6">
    <fb>1014.89</fb>
    <v>10</v>
  </rv>
  <rv s="6">
    <fb>1010.5</fb>
    <v>10</v>
  </rv>
  <rv s="6">
    <fb>1007.15</fb>
    <v>10</v>
  </rv>
  <rv s="6">
    <fb>1007.71</fb>
    <v>10</v>
  </rv>
  <rv s="6">
    <fb>1008.09</fb>
    <v>10</v>
  </rv>
  <rv s="6">
    <fb>1016.15</fb>
    <v>10</v>
  </rv>
  <rv s="6">
    <fb>999.03</fb>
    <v>10</v>
  </rv>
  <rv s="6">
    <fb>991.54</fb>
    <v>10</v>
  </rv>
  <rv s="6">
    <fb>1010.47</fb>
    <v>10</v>
  </rv>
  <rv s="6">
    <fb>1025.83</fb>
    <v>10</v>
  </rv>
  <rv s="6">
    <fb>1034.3399999999999</fb>
    <v>10</v>
  </rv>
  <rv s="6">
    <fb>1036.82</fb>
    <v>10</v>
  </rv>
  <rv s="6">
    <fb>1025.3</fb>
    <v>10</v>
  </rv>
  <rv s="6">
    <fb>1018.13</fb>
    <v>10</v>
  </rv>
  <rv s="6">
    <fb>1008.5</fb>
    <v>10</v>
  </rv>
  <rv s="6">
    <fb>1017.79</fb>
    <v>10</v>
  </rv>
  <rv s="6">
    <fb>1013.14</fb>
    <v>10</v>
  </rv>
  <rv s="6">
    <fb>1008.74</fb>
    <v>10</v>
  </rv>
  <rv s="6">
    <fb>1040.18</fb>
    <v>10</v>
  </rv>
  <rv s="6">
    <fb>1056.8499999999999</fb>
    <v>10</v>
  </rv>
  <rv s="6">
    <fb>1055.5899999999999</fb>
    <v>10</v>
  </rv>
  <rv s="6">
    <fb>1051.69</fb>
    <v>10</v>
  </rv>
  <rv s="6">
    <fb>1010.81</fb>
    <v>10</v>
  </rv>
  <rv s="6">
    <fb>1014.94</fb>
    <v>10</v>
  </rv>
  <rv s="6">
    <fb>1006.18</fb>
    <v>10</v>
  </rv>
  <rv s="6">
    <fb>1007.27</fb>
    <v>10</v>
  </rv>
  <rv s="6">
    <fb>996.78</fb>
    <v>10</v>
  </rv>
  <rv s="6">
    <fb>1002.71</fb>
    <v>10</v>
  </rv>
  <rv s="6">
    <fb>990.21</fb>
    <v>10</v>
  </rv>
  <rv s="6">
    <fb>984.36</fb>
    <v>10</v>
  </rv>
  <rv s="6">
    <fb>977.72</fb>
    <v>10</v>
  </rv>
  <rv s="6">
    <fb>974.9</fb>
    <v>10</v>
  </rv>
  <rv s="6">
    <fb>980.29</fb>
    <v>10</v>
  </rv>
  <rv s="6">
    <fb>1004.48</fb>
    <v>10</v>
  </rv>
  <rv s="6">
    <fb>1001.92</fb>
    <v>10</v>
  </rv>
  <rv s="6">
    <fb>986.54</fb>
    <v>10</v>
  </rv>
  <rv s="6">
    <fb>982.91</fb>
    <v>10</v>
  </rv>
  <rv s="6">
    <fb>985.14</fb>
    <v>10</v>
  </rv>
  <rv s="6">
    <fb>989.94</fb>
    <v>10</v>
  </rv>
  <rv s="6">
    <fb>985.96</fb>
    <v>10</v>
  </rv>
  <rv s="6">
    <fb>982.36</fb>
    <v>10</v>
  </rv>
  <rv s="6">
    <fb>987.02</fb>
    <v>10</v>
  </rv>
  <rv s="6">
    <fb>992.18</fb>
    <v>10</v>
  </rv>
  <rv s="6">
    <fb>985.84</fb>
    <v>10</v>
  </rv>
  <rv s="6">
    <fb>982.09</fb>
    <v>10</v>
  </rv>
  <rv s="6">
    <fb>970.17</fb>
    <v>10</v>
  </rv>
  <rv s="6">
    <fb>970.33</fb>
    <v>10</v>
  </rv>
  <rv s="6">
    <fb>980.91</fb>
    <v>10</v>
  </rv>
  <rv s="6">
    <fb>967.68</fb>
    <v>10</v>
  </rv>
  <rv s="6">
    <fb>951.37</fb>
    <v>10</v>
  </rv>
  <rv s="6">
    <fb>953.91</fb>
    <v>10</v>
  </rv>
  <rv s="6">
    <fb>950.95</fb>
    <v>10</v>
  </rv>
  <rv s="6">
    <fb>947.56</fb>
    <v>10</v>
  </rv>
  <rv s="6">
    <fb>941.61</fb>
    <v>10</v>
  </rv>
  <rv s="6">
    <fb>941.19</fb>
    <v>10</v>
  </rv>
  <rv s="6">
    <fb>933.8</fb>
    <v>10</v>
  </rv>
  <rv s="6">
    <fb>935.48</fb>
    <v>10</v>
  </rv>
  <rv s="6">
    <fb>933.99</fb>
    <v>10</v>
  </rv>
  <rv s="6">
    <fb>934.57</fb>
    <v>10</v>
  </rv>
  <rv s="6">
    <fb>927.51</fb>
    <v>10</v>
  </rv>
  <rv s="6">
    <fb>939.64</fb>
    <v>10</v>
  </rv>
  <rv s="6">
    <fb>952.52</fb>
    <v>10</v>
  </rv>
  <rv s="6">
    <fb>955.37</fb>
    <v>10</v>
  </rv>
  <rv s="6">
    <fb>943.63</fb>
    <v>10</v>
  </rv>
  <rv s="6">
    <fb>968.56</fb>
    <v>10</v>
  </rv>
  <rv s="6">
    <fb>977.45</fb>
    <v>10</v>
  </rv>
  <rv s="6">
    <fb>980.98</fb>
    <v>10</v>
  </rv>
  <rv s="6">
    <fb>988.74</fb>
    <v>10</v>
  </rv>
  <rv s="6">
    <fb>991.25</fb>
    <v>10</v>
  </rv>
  <rv s="6">
    <fb>978.85</fb>
    <v>10</v>
  </rv>
  <rv s="6">
    <fb>975.39</fb>
    <v>10</v>
  </rv>
  <rv s="6">
    <fb>972.04</fb>
    <v>10</v>
  </rv>
  <rv s="6">
    <fb>979.35</fb>
    <v>10</v>
  </rv>
  <rv s="6">
    <fb>980.85</fb>
    <v>10</v>
  </rv>
  <rv s="6">
    <fb>994.57</fb>
    <v>10</v>
  </rv>
  <rv s="6">
    <fb>969.68</fb>
    <v>10</v>
  </rv>
  <rv s="6">
    <fb>958.54</fb>
    <v>10</v>
  </rv>
  <rv s="6">
    <fb>941.58</fb>
    <v>10</v>
  </rv>
  <rv s="6">
    <fb>941.34</fb>
    <v>10</v>
  </rv>
  <rv s="6">
    <fb>949.52</fb>
    <v>10</v>
  </rv>
  <rv s="6">
    <fb>944.96</fb>
    <v>10</v>
  </rv>
  <rv s="6">
    <fb>943.32</fb>
    <v>10</v>
  </rv>
  <rv s="6">
    <fb>938.82</fb>
    <v>10</v>
  </rv>
  <rv s="6">
    <fb>949.78</fb>
    <v>10</v>
  </rv>
  <rv s="6">
    <fb>955.9</fb>
    <v>10</v>
  </rv>
  <rv s="6">
    <fb>963.48</fb>
    <v>10</v>
  </rv>
  <rv s="6">
    <fb>971.85</fb>
    <v>10</v>
  </rv>
  <rv s="6">
    <fb>979.25</fb>
    <v>10</v>
  </rv>
  <rv s="6">
    <fb>956.29</fb>
    <v>10</v>
  </rv>
  <rv s="6">
    <fb>964.32</fb>
    <v>10</v>
  </rv>
  <rv s="6">
    <fb>967.9</fb>
    <v>10</v>
  </rv>
  <rv s="6">
    <fb>960.1</fb>
    <v>10</v>
  </rv>
  <rv s="6">
    <fb>952.07</fb>
    <v>10</v>
  </rv>
  <rv s="6">
    <fb>963.03</fb>
    <v>10</v>
  </rv>
  <rv s="6">
    <fb>952.36</fb>
    <v>10</v>
  </rv>
  <rv s="6">
    <fb>951.16</fb>
    <v>10</v>
  </rv>
  <rv s="6">
    <fb>943.6</fb>
    <v>10</v>
  </rv>
  <rv s="6">
    <fb>945.27</fb>
    <v>10</v>
  </rv>
  <rv s="6">
    <fb>943.31</fb>
    <v>10</v>
  </rv>
  <rv s="6">
    <fb>915.95</fb>
    <v>10</v>
  </rv>
  <rv s="6">
    <fb>916.87</fb>
    <v>10</v>
  </rv>
  <rv s="6">
    <fb>925.63</fb>
    <v>10</v>
  </rv>
  <rv s="6">
    <fb>917.34</fb>
    <v>10</v>
  </rv>
  <rv s="6">
    <fb>916.77</fb>
    <v>10</v>
  </rv>
  <rv s="6">
    <fb>915.38</fb>
    <v>10</v>
  </rv>
  <rv s="6">
    <fb>910.94</fb>
    <v>10</v>
  </rv>
  <rv s="6">
    <fb>914.8</fb>
    <v>10</v>
  </rv>
  <rv s="6">
    <fb>942.89</fb>
    <v>10</v>
  </rv>
  <rv s="6">
    <fb>930.01</fb>
    <v>10</v>
  </rv>
  <rv s="6">
    <fb>935.56</fb>
    <v>10</v>
  </rv>
  <rv s="6">
    <fb>946.51</fb>
    <v>10</v>
  </rv>
  <rv s="6">
    <fb>954.99</fb>
    <v>10</v>
  </rv>
  <rv s="6">
    <fb>925.62</fb>
    <v>10</v>
  </rv>
  <rv s="6">
    <fb>936.33</fb>
    <v>10</v>
  </rv>
  <rv s="6">
    <fb>936.11</fb>
    <v>10</v>
  </rv>
  <rv s="6">
    <fb>937.5</fb>
    <v>10</v>
  </rv>
  <rv s="6">
    <fb>944.68</fb>
    <v>10</v>
  </rv>
  <rv s="6">
    <fb>942.05</fb>
    <v>10</v>
  </rv>
  <rv s="6">
    <fb>932.14</fb>
    <v>10</v>
  </rv>
  <rv s="6">
    <fb>929.85</fb>
    <v>10</v>
  </rv>
  <rv s="6">
    <fb>924.16</fb>
    <v>10</v>
  </rv>
  <rv s="6">
    <fb>912.42</fb>
    <v>10</v>
  </rv>
  <rv s="6">
    <fb>920.18</fb>
    <v>10</v>
  </rv>
  <rv s="6">
    <fb>911.45</fb>
    <v>10</v>
  </rv>
  <rv s="6">
    <fb>928.04</fb>
    <v>10</v>
  </rv>
  <rv s="6">
    <fb>940.74</fb>
    <v>10</v>
  </rv>
  <rv s="6">
    <fb>935.03</fb>
    <v>10</v>
  </rv>
  <rv s="6">
    <fb>923.58</fb>
    <v>10</v>
  </rv>
  <rv s="6">
    <fb>922.74</fb>
    <v>10</v>
  </rv>
  <rv s="6">
    <fb>915.56</fb>
    <v>10</v>
  </rv>
  <rv s="6">
    <fb>913.86</fb>
    <v>10</v>
  </rv>
  <rv s="6">
    <fb>914</fb>
    <v>10</v>
  </rv>
  <rv s="6">
    <fb>925.08</fb>
    <v>10</v>
  </rv>
  <rv s="6">
    <fb>922.98</fb>
    <v>10</v>
  </rv>
  <rv s="6">
    <fb>912.59</fb>
    <v>10</v>
  </rv>
  <rv s="6">
    <fb>895.08</fb>
    <v>10</v>
  </rv>
  <rv s="6">
    <fb>890.6</fb>
    <v>10</v>
  </rv>
  <rv s="6">
    <fb>893.29</fb>
    <v>10</v>
  </rv>
  <rv s="6">
    <fb>899.01</fb>
    <v>10</v>
  </rv>
  <rv s="6">
    <fb>886.12</fb>
    <v>10</v>
  </rv>
  <rv s="6">
    <fb>894.33</fb>
    <v>10</v>
  </rv>
  <rv s="6">
    <fb>908.26</fb>
    <v>10</v>
  </rv>
  <rv s="6">
    <fb>913.59</fb>
    <v>10</v>
  </rv>
  <rv s="6">
    <fb>911.96</fb>
    <v>10</v>
  </rv>
  <rv s="6">
    <fb>922.03</fb>
    <v>10</v>
  </rv>
  <rv s="6">
    <fb>922.26</fb>
    <v>10</v>
  </rv>
  <rv s="6">
    <fb>895.85500000000002</fb>
    <v>10</v>
  </rv>
  <rv s="6">
    <fb>894.68</fb>
    <v>10</v>
  </rv>
  <rv s="6">
    <fb>887.52</fb>
    <v>10</v>
  </rv>
  <rv s="6">
    <fb>874.41</fb>
    <v>10</v>
  </rv>
  <rv s="6">
    <fb>884.48</fb>
    <v>10</v>
  </rv>
  <rv s="6">
    <fb>884.47</fb>
    <v>10</v>
  </rv>
  <rv s="6">
    <fb>860.56</fb>
    <v>10</v>
  </rv>
  <rv s="6">
    <fb>860.39</fb>
    <v>10</v>
  </rv>
  <rv s="6">
    <fb>862.65</fb>
    <v>10</v>
  </rv>
  <rv s="6">
    <fb>857.59</fb>
    <v>10</v>
  </rv>
  <rv s="6">
    <fb>855.62</fb>
    <v>10</v>
  </rv>
  <rv s="6">
    <fb>850</fb>
    <v>10</v>
  </rv>
  <rv s="6">
    <fb>854.79</fb>
    <v>10</v>
  </rv>
  <rv s="6">
    <fb>871.86</fb>
    <v>10</v>
  </rv>
  <rv s="6">
    <fb>873.35</fb>
    <v>10</v>
  </rv>
  <rv s="6">
    <fb>867.84</fb>
    <v>10</v>
  </rv>
  <rv s="6">
    <fb>865.65</fb>
    <v>10</v>
  </rv>
  <rv s="6">
    <fb>862.34</fb>
    <v>10</v>
  </rv>
  <rv s="6">
    <fb>854.5</fb>
    <v>10</v>
  </rv>
  <rv s="6">
    <fb>875.74</fb>
    <v>10</v>
  </rv>
  <rv s="6">
    <fb>889.1</fb>
    <v>10</v>
  </rv>
  <rv s="6">
    <fb>882.58</fb>
    <v>10</v>
  </rv>
  <rv s="6">
    <fb>915.31</fb>
    <v>10</v>
  </rv>
  <rv s="6">
    <fb>924.88</fb>
    <v>10</v>
  </rv>
  <rv s="6">
    <fb>943.08</fb>
    <v>10</v>
  </rv>
  <rv s="6">
    <fb>941.93</fb>
    <v>10</v>
  </rv>
  <rv s="6">
    <fb>950.98</fb>
    <v>10</v>
  </rv>
  <rv s="6">
    <fb>956.75</fb>
    <v>10</v>
  </rv>
  <rv s="6">
    <fb>963.61</fb>
    <v>10</v>
  </rv>
  <rv s="6">
    <fb>964.26</fb>
    <v>10</v>
  </rv>
  <rv s="6">
    <fb>982.86</fb>
    <v>10</v>
  </rv>
  <rv s="6">
    <fb>976.17</fb>
    <v>10</v>
  </rv>
  <rv s="6">
    <fb>983.25</fb>
    <v>10</v>
  </rv>
  <rv s="6">
    <fb>977.67</fb>
    <v>10</v>
  </rv>
  <rv s="6">
    <fb>970.28</fb>
    <v>10</v>
  </rv>
  <rv s="6">
    <fb>960.78</fb>
    <v>10</v>
  </rv>
  <rv s="6">
    <fb>952.89</fb>
    <v>10</v>
  </rv>
  <rv s="6">
    <fb>940.25</fb>
    <v>10</v>
  </rv>
  <rv s="6">
    <fb>968.36</fb>
    <v>10</v>
  </rv>
  <rv s="6">
    <fb>977.92</fb>
    <v>10</v>
  </rv>
  <rv s="6">
    <fb>978.35</fb>
    <v>10</v>
  </rv>
  <rv s="6">
    <fb>989.29</fb>
    <v>10</v>
  </rv>
  <rv s="6">
    <fb>1001.16</fb>
    <v>10</v>
  </rv>
  <rv s="6">
    <fb>997.59</fb>
    <v>10</v>
  </rv>
  <rv s="6">
    <fb>971.23</fb>
    <v>10</v>
  </rv>
  <rv s="6">
    <fb>978.14</fb>
    <v>10</v>
  </rv>
  <rv s="6">
    <fb>998.86</fb>
    <v>10</v>
  </rv>
  <rv s="6">
    <fb>1018.48</fb>
    <v>10</v>
  </rv>
  <rv s="6">
    <fb>1012.05</fb>
    <v>10</v>
  </rv>
  <rv s="6">
    <fb>996.08</fb>
    <v>10</v>
  </rv>
  <rv s="6">
    <fb>987.82</fb>
    <v>10</v>
  </rv>
  <rv s="6">
    <fb>985.27</fb>
    <v>10</v>
  </rv>
  <rv s="6">
    <fb>986.02</fb>
    <v>10</v>
  </rv>
  <rv s="6">
    <fb>998.43</fb>
    <v>10</v>
  </rv>
  <rv s="6">
    <fb>994.76</fb>
    <v>10</v>
  </rv>
  <rv s="6">
    <fb>986.74</fb>
    <v>10</v>
  </rv>
  <rv s="6">
    <fb>1010.79</fb>
    <v>10</v>
  </rv>
  <rv s="6">
    <fb>1002.77</fb>
    <v>10</v>
  </rv>
  <rv s="6">
    <fb>1007.77</fb>
    <v>10</v>
  </rv>
  <rv s="6">
    <fb>1006.74</fb>
    <v>10</v>
  </rv>
  <rv s="6">
    <fb>982.57</fb>
    <v>10</v>
  </rv>
  <rv s="6">
    <fb>998.1</fb>
    <v>10</v>
  </rv>
  <rv s="6">
    <fb>1005.3</fb>
    <v>10</v>
  </rv>
  <rv s="6">
    <fb>997.36</fb>
    <v>10</v>
  </rv>
  <rv s="6">
    <fb>992.23</fb>
    <v>10</v>
  </rv>
  <rv s="6">
    <fb>1003.32</fb>
    <v>10</v>
  </rv>
  <rv s="6">
    <fb>1008.43</fb>
    <v>10</v>
  </rv>
  <rv s="6">
    <fb>1001.74</fb>
    <v>10</v>
  </rv>
  <rv s="6">
    <fb>996.16</fb>
    <v>10</v>
  </rv>
  <rv s="6">
    <fb>979.92</fb>
    <v>10</v>
  </rv>
  <rv s="6">
    <fb>974.78</fb>
    <v>10</v>
  </rv>
  <rv s="6">
    <fb>972.33</fb>
    <v>10</v>
  </rv>
  <rv s="6">
    <fb>965.73</fb>
    <v>10</v>
  </rv>
  <rv s="6">
    <fb>973.82</fb>
    <v>10</v>
  </rv>
  <rv s="6">
    <fb>974.86</fb>
    <v>10</v>
  </rv>
  <rv s="6">
    <fb>979.65</fb>
    <v>10</v>
  </rv>
  <rv s="6">
    <fb>983.86</fb>
    <v>10</v>
  </rv>
  <rv s="6">
    <fb>996.58</fb>
    <v>10</v>
  </rv>
  <rv s="6">
    <fb>996.43</fb>
    <v>10</v>
  </rv>
  <rv s="6">
    <fb>996.56</fb>
    <v>10</v>
  </rv>
  <rv s="6">
    <fb>1014.96</fb>
    <v>10</v>
  </rv>
  <rv s="6">
    <fb>2348212</fb>
    <v>16</v>
  </rv>
  <rv s="6">
    <fb>999.63</fb>
    <v>10</v>
  </rv>
  <rv s="6">
    <fb>1007.41</fb>
    <v>10</v>
  </rv>
  <rv s="6">
    <fb>987.99</fb>
    <v>10</v>
  </rv>
  <rv s="6">
    <fb>1613381</fb>
    <v>16</v>
  </rv>
  <rv s="6">
    <fb>1000.5</fb>
    <v>10</v>
  </rv>
  <rv s="6">
    <fb>1010.1</fb>
    <v>10</v>
  </rv>
  <rv s="6">
    <fb>996</fb>
    <v>10</v>
  </rv>
  <rv s="6">
    <fb>1262006</fb>
    <v>16</v>
  </rv>
  <rv s="6">
    <fb>996.32</fb>
    <v>10</v>
  </rv>
  <rv s="6">
    <fb>997.39</fb>
    <v>10</v>
  </rv>
  <rv s="6">
    <fb>987.89</fb>
    <v>10</v>
  </rv>
  <rv s="6">
    <fb>1669248</fb>
    <v>16</v>
  </rv>
  <rv s="6">
    <fb>988.61</fb>
    <v>10</v>
  </rv>
  <rv s="6">
    <fb>1006.21</fb>
    <v>10</v>
  </rv>
  <rv s="6">
    <fb>984</fb>
    <v>10</v>
  </rv>
  <rv s="6">
    <fb>1469672</fb>
    <v>16</v>
  </rv>
  <rv s="6">
    <fb>1005.9</fb>
    <v>10</v>
  </rv>
  <rv s="6">
    <fb>1012.83</fb>
    <v>10</v>
  </rv>
  <rv s="6">
    <fb>1002</fb>
    <v>10</v>
  </rv>
  <rv s="6">
    <fb>1243752</fb>
    <v>16</v>
  </rv>
  <rv s="6">
    <fb>1012.65</fb>
    <v>10</v>
  </rv>
  <rv s="6">
    <fb>995.43010000000004</fb>
    <v>10</v>
  </rv>
  <rv s="6">
    <fb>1210414</fb>
    <v>16</v>
  </rv>
  <rv s="6">
    <fb>1006.49</fb>
    <v>10</v>
  </rv>
  <rv s="6">
    <fb>1008.095</fb>
    <v>10</v>
  </rv>
  <rv s="6">
    <fb>994.75</fb>
    <v>10</v>
  </rv>
  <rv s="6">
    <fb>1434421</fb>
    <v>16</v>
  </rv>
  <rv s="6">
    <fb>990.37</fb>
    <v>10</v>
  </rv>
  <rv s="6">
    <fb>993.9819</fb>
    <v>10</v>
  </rv>
  <rv s="6">
    <fb>1340173</fb>
    <v>16</v>
  </rv>
  <rv s="6">
    <fb>988.79</fb>
    <v>10</v>
  </rv>
  <rv s="6">
    <fb>970.41</fb>
    <v>10</v>
  </rv>
  <rv s="6">
    <fb>2621555</fb>
    <v>16</v>
  </rv>
  <rv s="6">
    <fb>975.08</fb>
    <v>10</v>
  </rv>
  <rv s="6">
    <fb>980.76</fb>
    <v>10</v>
  </rv>
  <rv s="6">
    <fb>970.54</fb>
    <v>10</v>
  </rv>
  <rv s="6">
    <fb>1779094</fb>
    <v>16</v>
  </rv>
  <rv s="6">
    <fb>985.66499999999996</fb>
    <v>10</v>
  </rv>
  <rv s="6">
    <fb>986.64</fb>
    <v>10</v>
  </rv>
  <rv s="6">
    <fb>964.53</fb>
    <v>10</v>
  </rv>
  <rv s="6">
    <fb>1259325</fb>
    <v>16</v>
  </rv>
  <rv s="6">
    <fb>962.06</fb>
    <v>10</v>
  </rv>
  <rv s="6">
    <fb>981.28</fb>
    <v>10</v>
  </rv>
  <rv s="6">
    <fb>961</fb>
    <v>10</v>
  </rv>
  <rv s="6">
    <fb>1067386</fb>
    <v>16</v>
  </rv>
  <rv s="6">
    <fb>978</fb>
    <v>10</v>
  </rv>
  <rv s="6">
    <fb>980.81</fb>
    <v>10</v>
  </rv>
  <rv s="6">
    <fb>968.05039999999997</fb>
    <v>10</v>
  </rv>
  <rv s="6">
    <fb>1498250</fb>
    <v>16</v>
  </rv>
  <rv s="6">
    <fb>975.69</fb>
    <v>10</v>
  </rv>
  <rv s="6">
    <fb>987.19</fb>
    <v>10</v>
  </rv>
  <rv s="6">
    <fb>972.7201</fb>
    <v>10</v>
  </rv>
  <rv s="6">
    <fb>1540925</fb>
    <v>16</v>
  </rv>
  <rv s="6">
    <fb>982.01499999999999</fb>
    <v>10</v>
  </rv>
  <rv s="6">
    <fb>987.11</fb>
    <v>10</v>
  </rv>
  <rv s="6">
    <fb>978.11</fb>
    <v>10</v>
  </rv>
  <rv s="6">
    <fb>2129129</fb>
    <v>16</v>
  </rv>
  <rv s="6">
    <fb>987.65</fb>
    <v>10</v>
  </rv>
  <rv s="6">
    <fb>1005.54</fb>
    <v>10</v>
  </rv>
  <rv s="6">
    <fb>985.01</fb>
    <v>10</v>
  </rv>
  <rv s="6">
    <fb>2447853</fb>
    <v>16</v>
  </rv>
  <rv s="6">
    <fb>997</fb>
    <v>10</v>
  </rv>
  <rv s="6">
    <fb>1008.6</fb>
    <v>10</v>
  </rv>
  <rv s="6">
    <fb>985.85</fb>
    <v>10</v>
  </rv>
  <rv s="6">
    <fb>1769848</fb>
    <v>16</v>
  </rv>
  <rv s="6">
    <fb>995.02499999999998</fb>
    <v>10</v>
  </rv>
  <rv s="6">
    <fb>1003.13</fb>
    <v>10</v>
  </rv>
  <rv s="6">
    <fb>990.59</fb>
    <v>10</v>
  </rv>
  <rv s="6">
    <fb>1828612</fb>
    <v>16</v>
  </rv>
  <rv s="6">
    <fb>1008</fb>
    <v>10</v>
  </rv>
  <rv s="6">
    <fb>1016</fb>
    <v>10</v>
  </rv>
  <rv s="6">
    <fb>999.21</fb>
    <v>10</v>
  </rv>
  <rv s="6">
    <fb>75</fb>
    <v>10</v>
  </rv>
  <rv s="6">
    <fb>72.59</fb>
    <v>10</v>
  </rv>
  <rv s="6">
    <fb>84.19</fb>
    <v>10</v>
  </rv>
  <rv s="6">
    <fb>78.94</fb>
    <v>10</v>
  </rv>
  <rv s="6">
    <fb>81.93</fb>
    <v>10</v>
  </rv>
  <rv s="6">
    <fb>85.19</fb>
    <v>10</v>
  </rv>
  <rv s="6">
    <fb>85.49</fb>
    <v>10</v>
  </rv>
  <rv s="6">
    <fb>83.36</fb>
    <v>10</v>
  </rv>
  <rv s="6">
    <fb>84.8</fb>
    <v>10</v>
  </rv>
  <rv s="6">
    <fb>82.39</fb>
    <v>10</v>
  </rv>
  <rv s="6">
    <fb>84.08</fb>
    <v>10</v>
  </rv>
  <rv s="6">
    <fb>89.16</fb>
    <v>10</v>
  </rv>
  <rv s="6">
    <fb>94.89</fb>
    <v>10</v>
  </rv>
  <rv s="6">
    <fb>93.78</fb>
    <v>10</v>
  </rv>
  <rv s="6">
    <fb>91.76</fb>
    <v>10</v>
  </rv>
  <rv s="6">
    <fb>91.95</fb>
    <v>10</v>
  </rv>
  <rv s="6">
    <fb>94.59</fb>
    <v>10</v>
  </rv>
  <rv s="6">
    <fb>94.36</fb>
    <v>10</v>
  </rv>
  <rv s="6">
    <fb>93.95</fb>
    <v>10</v>
  </rv>
  <rv s="6">
    <fb>95.79</fb>
    <v>10</v>
  </rv>
  <rv s="6">
    <fb>96.22</fb>
    <v>10</v>
  </rv>
  <rv s="6">
    <fb>95.91</fb>
    <v>10</v>
  </rv>
  <rv s="6">
    <fb>107.85</fb>
    <v>10</v>
  </rv>
  <rv s="6">
    <fb>111.02</fb>
    <v>10</v>
  </rv>
  <rv s="6">
    <fb>110.87</fb>
    <v>10</v>
  </rv>
  <rv s="6">
    <fb>114.19</fb>
    <v>10</v>
  </rv>
  <rv s="6">
    <fb>114.28</fb>
    <v>10</v>
  </rv>
  <rv s="6">
    <fb>114.23</fb>
    <v>10</v>
  </rv>
  <rv s="6">
    <fb>111.93</fb>
    <v>10</v>
  </rv>
  <rv s="6">
    <fb>111.95</fb>
    <v>10</v>
  </rv>
  <rv s="6">
    <fb>112.11</fb>
    <v>10</v>
  </rv>
  <rv s="6">
    <fb>113.99</fb>
    <v>10</v>
  </rv>
  <rv s="6">
    <fb>113.77</fb>
    <v>10</v>
  </rv>
  <rv s="6">
    <fb>113.63</fb>
    <v>10</v>
  </rv>
  <rv s="6">
    <fb>111.27</fb>
    <v>10</v>
  </rv>
  <rv s="6">
    <fb>108.08</fb>
    <v>10</v>
  </rv>
  <rv s="6">
    <fb>111.9</fb>
    <v>10</v>
  </rv>
  <rv s="6">
    <fb>112.7</fb>
    <v>10</v>
  </rv>
  <rv s="6">
    <fb>111.82</fb>
    <v>10</v>
  </rv>
  <rv s="6">
    <fb>113.75</fb>
    <v>10</v>
  </rv>
  <rv s="6">
    <fb>114.22</fb>
    <v>10</v>
  </rv>
  <rv s="6">
    <fb>113.25</fb>
    <v>10</v>
  </rv>
  <rv s="6">
    <fb>111.24</fb>
    <v>10</v>
  </rv>
  <rv s="6">
    <fb>113.4</fb>
    <v>10</v>
  </rv>
  <rv s="6">
    <fb>115.93</fb>
    <v>10</v>
  </rv>
  <rv s="6">
    <fb>116.56</fb>
    <v>10</v>
  </rv>
  <rv s="6">
    <fb>119.37</fb>
    <v>10</v>
  </rv>
  <rv s="6">
    <fb>118.02</fb>
    <v>10</v>
  </rv>
  <rv s="6">
    <fb>120.59</fb>
    <v>10</v>
  </rv>
  <rv s="6">
    <fb>120.46</fb>
    <v>10</v>
  </rv>
  <rv s="6">
    <fb>125.98</fb>
    <v>10</v>
  </rv>
  <rv s="6">
    <fb>123.99</fb>
    <v>10</v>
  </rv>
  <rv s="6">
    <fb>122.6</fb>
    <v>10</v>
  </rv>
  <rv s="6">
    <fb>123.48</fb>
    <v>10</v>
  </rv>
  <rv s="6">
    <fb>125.22</fb>
    <v>10</v>
  </rv>
  <rv s="6">
    <fb>124.77</fb>
    <v>10</v>
  </rv>
  <rv s="6">
    <fb>124.39</fb>
    <v>10</v>
  </rv>
  <rv s="6">
    <fb>126.63</fb>
    <v>10</v>
  </rv>
  <rv s="6">
    <fb>126.83</fb>
    <v>10</v>
  </rv>
  <rv s="6">
    <fb>125.67</fb>
    <v>10</v>
  </rv>
  <rv s="6">
    <fb>125.69</fb>
    <v>10</v>
  </rv>
  <rv s="6">
    <fb>123.57</fb>
    <v>10</v>
  </rv>
  <rv s="6">
    <fb>123.88</fb>
    <v>10</v>
  </rv>
  <rv s="6">
    <fb>131.24</fb>
    <v>10</v>
  </rv>
  <rv s="6">
    <fb>128.96</fb>
    <v>10</v>
  </rv>
  <rv s="6">
    <fb>124.33</fb>
    <v>10</v>
  </rv>
  <rv s="6">
    <fb>127.22</fb>
    <v>10</v>
  </rv>
  <rv s="6">
    <fb>128.35</fb>
    <v>10</v>
  </rv>
  <rv s="6">
    <fb>131.22</fb>
    <v>10</v>
  </rv>
  <rv s="6">
    <fb>133.86000000000001</fb>
    <v>10</v>
  </rv>
  <rv s="6">
    <fb>133.51</fb>
    <v>10</v>
  </rv>
  <rv s="6">
    <fb>133.54</fb>
    <v>10</v>
  </rv>
  <rv s="6">
    <fb>132.69</fb>
    <v>10</v>
  </rv>
  <rv s="6">
    <fb>127.32</fb>
    <v>10</v>
  </rv>
  <rv s="6">
    <fb>130.22999999999999</fb>
    <v>10</v>
  </rv>
  <rv s="6">
    <fb>130.47999999999999</fb>
    <v>10</v>
  </rv>
  <rv s="6">
    <fb>128.13999999999999</fb>
    <v>10</v>
  </rv>
  <rv s="6">
    <fb>133.93</fb>
    <v>10</v>
  </rv>
  <rv s="6">
    <fb>137.61000000000001</fb>
    <v>10</v>
  </rv>
  <rv s="6">
    <fb>138.32</fb>
    <v>10</v>
  </rv>
  <rv s="6">
    <fb>141.63999999999999</fb>
    <v>10</v>
  </rv>
  <rv s="6">
    <fb>139.13999999999999</fb>
    <v>10</v>
  </rv>
  <rv s="6">
    <fb>138.86000000000001</fb>
    <v>10</v>
  </rv>
  <rv s="6">
    <fb>138.28</fb>
    <v>10</v>
  </rv>
  <rv s="6">
    <fb>138.13</fb>
    <v>10</v>
  </rv>
  <rv s="6">
    <fb>135.19999999999999</fb>
    <v>10</v>
  </rv>
  <rv s="6">
    <fb>128.47999999999999</fb>
    <v>10</v>
  </rv>
  <rv s="6">
    <fb>127.83</fb>
    <v>10</v>
  </rv>
  <rv s="6">
    <fb>130.84</fb>
    <v>10</v>
  </rv>
  <rv s="6">
    <fb>131.01</fb>
    <v>10</v>
  </rv>
  <rv s="6">
    <fb>130.99</fb>
    <v>10</v>
  </rv>
  <rv s="6">
    <fb>132.5</fb>
    <v>10</v>
  </rv>
  <rv s="6">
    <fb>134.05000000000001</fb>
    <v>10</v>
  </rv>
  <rv s="6">
    <fb>124.02</fb>
    <v>10</v>
  </rv>
  <rv s="6">
    <fb>126.67</fb>
    <v>10</v>
  </rv>
  <rv s="6">
    <fb>124.83</fb>
    <v>10</v>
  </rv>
  <rv s="6">
    <fb>121.29</fb>
    <v>10</v>
  </rv>
  <rv s="6">
    <fb>124.45</fb>
    <v>10</v>
  </rv>
  <rv s="6">
    <fb>125.37</fb>
    <v>10</v>
  </rv>
  <rv s="6">
    <fb>125.04</fb>
    <v>10</v>
  </rv>
  <rv s="6">
    <fb>126.8</fb>
    <v>10</v>
  </rv>
  <rv s="6">
    <fb>127.68</fb>
    <v>10</v>
  </rv>
  <rv s="6">
    <fb>130.34</fb>
    <v>10</v>
  </rv>
  <rv s="6">
    <fb>132.11000000000001</fb>
    <v>10</v>
  </rv>
  <rv s="6">
    <fb>131.94</fb>
    <v>10</v>
  </rv>
  <rv s="6">
    <fb>135.69</fb>
    <v>10</v>
  </rv>
  <rv s="6">
    <fb>134.34</fb>
    <v>10</v>
  </rv>
  <rv s="6">
    <fb>132.09</fb>
    <v>10</v>
  </rv>
  <rv s="6">
    <fb>130.96</fb>
    <v>10</v>
  </rv>
  <rv s="6">
    <fb>130.76</fb>
    <v>10</v>
  </rv>
  <rv s="6">
    <fb>133.9</fb>
    <v>10</v>
  </rv>
  <rv s="6">
    <fb>141.77000000000001</fb>
    <v>10</v>
  </rv>
  <rv s="6">
    <fb>147.37</fb>
    <v>10</v>
  </rv>
  <rv s="6">
    <fb>140.74</fb>
    <v>10</v>
  </rv>
  <rv s="6">
    <fb>145.76</fb>
    <v>10</v>
  </rv>
  <rv s="6">
    <fb>150.87</fb>
    <v>10</v>
  </rv>
  <rv s="6">
    <fb>164.53</fb>
    <v>10</v>
  </rv>
  <rv s="6">
    <fb>155.94999999999999</fb>
    <v>10</v>
  </rv>
  <rv s="6">
    <fb>150.57</fb>
    <v>10</v>
  </rv>
  <rv s="6">
    <fb>148.77000000000001</fb>
    <v>10</v>
  </rv>
  <rv s="6">
    <fb>153.69999999999999</fb>
    <v>10</v>
  </rv>
  <rv s="6">
    <fb>151.31</fb>
    <v>10</v>
  </rv>
  <rv s="6">
    <fb>149.59</fb>
    <v>10</v>
  </rv>
  <rv s="6">
    <fb>147.87</fb>
    <v>10</v>
  </rv>
  <rv s="6">
    <fb>149.43</fb>
    <v>10</v>
  </rv>
  <rv s="6">
    <fb>150.13</fb>
    <v>10</v>
  </rv>
  <rv s="6">
    <fb>154.22999999999999</fb>
    <v>10</v>
  </rv>
  <rv s="6">
    <fb>158.63999999999999</fb>
    <v>10</v>
  </rv>
  <rv s="6">
    <fb>162.19</fb>
    <v>10</v>
  </rv>
  <rv s="6">
    <fb>164.88</fb>
    <v>10</v>
  </rv>
  <rv s="6">
    <fb>163.6</fb>
    <v>10</v>
  </rv>
  <rv s="6">
    <fb>161.01</fb>
    <v>10</v>
  </rv>
  <rv s="6">
    <fb>162.01</fb>
    <v>10</v>
  </rv>
  <rv s="6">
    <fb>160.11000000000001</fb>
    <v>10</v>
  </rv>
  <rv s="6">
    <fb>154.63999999999999</fb>
    <v>10</v>
  </rv>
  <rv s="6">
    <fb>149.18</fb>
    <v>10</v>
  </rv>
  <rv s="6">
    <fb>142.69</fb>
    <v>10</v>
  </rv>
  <rv s="6">
    <fb>138.76</fb>
    <v>10</v>
  </rv>
  <rv s="6">
    <fb>140.71</fb>
    <v>10</v>
  </rv>
  <rv s="6">
    <fb>133.94</fb>
    <v>10</v>
  </rv>
  <rv s="6">
    <fb>133.76</fb>
    <v>10</v>
  </rv>
  <rv s="6">
    <fb>122.48</fb>
    <v>10</v>
  </rv>
  <rv s="6">
    <fb>119.38</fb>
    <v>10</v>
  </rv>
  <rv s="6">
    <fb>117.4</fb>
    <v>10</v>
  </rv>
  <rv s="6">
    <fb>122.51</fb>
    <v>10</v>
  </rv>
  <rv s="6">
    <fb>125.92</fb>
    <v>10</v>
  </rv>
  <rv s="6">
    <fb>133.26</fb>
    <v>10</v>
  </rv>
  <rv s="6">
    <fb>133.35</fb>
    <v>10</v>
  </rv>
  <rv s="6">
    <fb>135.94999999999999</fb>
    <v>10</v>
  </rv>
  <rv s="6">
    <fb>133.63</fb>
    <v>10</v>
  </rv>
  <rv s="6">
    <fb>138.99</fb>
    <v>10</v>
  </rv>
  <rv s="6">
    <fb>138.91</fb>
    <v>10</v>
  </rv>
  <rv s="6">
    <fb>140.41</fb>
    <v>10</v>
  </rv>
  <rv s="6">
    <fb>140.63</fb>
    <v>10</v>
  </rv>
  <rv s="6">
    <fb>138.6</fb>
    <v>10</v>
  </rv>
  <rv s="6">
    <fb>129.97999999999999</fb>
    <v>10</v>
  </rv>
  <rv s="6">
    <fb>130.51</fb>
    <v>10</v>
  </rv>
  <rv s="6">
    <fb>133.75</fb>
    <v>10</v>
  </rv>
  <rv s="6">
    <fb>127.89</fb>
    <v>10</v>
  </rv>
  <rv s="6">
    <fb>126.42</fb>
    <v>10</v>
  </rv>
  <rv s="6">
    <fb>126.61</fb>
    <v>10</v>
  </rv>
  <rv s="6">
    <fb>127.62</fb>
    <v>10</v>
  </rv>
  <rv s="6">
    <fb>128.38</fb>
    <v>10</v>
  </rv>
  <rv s="6">
    <fb>129.24</fb>
    <v>10</v>
  </rv>
  <rv s="6">
    <fb>127.46</fb>
    <v>10</v>
  </rv>
  <rv s="6">
    <fb>127.92</fb>
    <v>10</v>
  </rv>
  <rv s="6">
    <fb>125.88</fb>
    <v>10</v>
  </rv>
  <rv s="6">
    <fb>127.8</fb>
    <v>10</v>
  </rv>
  <rv s="6">
    <fb>124.01</fb>
    <v>10</v>
  </rv>
  <rv s="6">
    <fb>123.93</fb>
    <v>10</v>
  </rv>
  <rv s="6">
    <fb>120.07</fb>
    <v>10</v>
  </rv>
  <rv s="6">
    <fb>120.62</fb>
    <v>10</v>
  </rv>
  <rv s="6">
    <fb>120.47</fb>
    <v>10</v>
  </rv>
  <rv s="6">
    <fb>119.66</fb>
    <v>10</v>
  </rv>
  <rv s="6">
    <fb>118.69</fb>
    <v>10</v>
  </rv>
  <rv s="6">
    <fb>120.53</fb>
    <v>10</v>
  </rv>
  <rv s="6">
    <fb>111.07</fb>
    <v>10</v>
  </rv>
  <rv s="6">
    <fb>113.26</fb>
    <v>10</v>
  </rv>
  <rv s="6">
    <fb>115.43</fb>
    <v>10</v>
  </rv>
  <rv s="6">
    <fb>114.66</fb>
    <v>10</v>
  </rv>
  <rv s="6">
    <fb>117.32</fb>
    <v>10</v>
  </rv>
  <rv s="6">
    <fb>118.49</fb>
    <v>10</v>
  </rv>
  <rv s="6">
    <fb>114.44</fb>
    <v>10</v>
  </rv>
  <rv s="6">
    <fb>119.16</fb>
    <v>10</v>
  </rv>
  <rv s="6">
    <fb>117.15</fb>
    <v>10</v>
  </rv>
  <rv s="6">
    <fb>122.04</fb>
    <v>10</v>
  </rv>
  <rv s="6">
    <fb>115.39</fb>
    <v>10</v>
  </rv>
  <rv s="6">
    <fb>121.05</fb>
    <v>10</v>
  </rv>
  <rv s="6">
    <fb>120.91</fb>
    <v>10</v>
  </rv>
  <rv s="6">
    <fb>126.01</fb>
    <v>10</v>
  </rv>
  <rv s="6">
    <fb>124.16</fb>
    <v>10</v>
  </rv>
  <rv s="6">
    <fb>112.82</fb>
    <v>10</v>
  </rv>
  <rv s="6">
    <fb>117.49</fb>
    <v>10</v>
  </rv>
  <rv s="6">
    <fb>116.09</fb>
    <v>10</v>
  </rv>
  <rv s="6">
    <fb>116.78</fb>
    <v>10</v>
  </rv>
  <rv s="6">
    <fb>119.06</fb>
    <v>10</v>
  </rv>
  <rv s="6">
    <fb>122.27</fb>
    <v>10</v>
  </rv>
  <rv s="6">
    <fb>119.78</fb>
    <v>10</v>
  </rv>
  <rv s="6">
    <fb>121.45</fb>
    <v>10</v>
  </rv>
  <rv s="6">
    <fb>148.08000000000001</fb>
    <v>10</v>
  </rv>
  <rv s="6">
    <fb>145.18</fb>
    <v>10</v>
  </rv>
  <rv s="6">
    <fb>146.52000000000001</fb>
    <v>10</v>
  </rv>
  <rv s="6">
    <fb>146.47999999999999</fb>
    <v>10</v>
  </rv>
  <rv s="6">
    <fb>146.51</fb>
    <v>10</v>
  </rv>
  <rv s="6">
    <fb>143.80000000000001</fb>
    <v>10</v>
  </rv>
  <rv s="6">
    <fb>149.91</fb>
    <v>10</v>
  </rv>
  <rv s="6">
    <fb>151.62</fb>
    <v>10</v>
  </rv>
  <rv s="6">
    <fb>153.01</fb>
    <v>10</v>
  </rv>
  <rv s="6">
    <fb>149.21</fb>
    <v>10</v>
  </rv>
  <rv s="6">
    <fb>156.76</fb>
    <v>10</v>
  </rv>
  <rv s="6">
    <fb>157.66999999999999</fb>
    <v>10</v>
  </rv>
  <rv s="6">
    <fb>164.59</fb>
    <v>10</v>
  </rv>
  <rv s="6">
    <fb>184.01</fb>
    <v>10</v>
  </rv>
  <rv s="6">
    <fb>175.82</fb>
    <v>10</v>
  </rv>
  <rv s="6">
    <fb>171.81</fb>
    <v>10</v>
  </rv>
  <rv s="6">
    <fb>164.66</fb>
    <v>10</v>
  </rv>
  <rv s="6">
    <fb>164.13</fb>
    <v>10</v>
  </rv>
  <rv s="6">
    <fb>169.38</fb>
    <v>10</v>
  </rv>
  <rv s="6">
    <fb>174.37</fb>
    <v>10</v>
  </rv>
  <rv s="6">
    <fb>7400609</fb>
    <v>16</v>
  </rv>
  <rv s="6">
    <fb>144.6</fb>
    <v>10</v>
  </rv>
  <rv s="6">
    <fb>141.36000000000001</fb>
    <v>10</v>
  </rv>
  <rv s="6">
    <fb>7518682</fb>
    <v>16</v>
  </rv>
  <rv s="6">
    <fb>146.285</fb>
    <v>10</v>
  </rv>
  <rv s="6">
    <fb>146.88999999999999</fb>
    <v>10</v>
  </rv>
  <rv s="6">
    <fb>137.495</fb>
    <v>10</v>
  </rv>
  <rv s="6">
    <fb>5405664</fb>
    <v>16</v>
  </rv>
  <rv s="6">
    <fb>145.66</fb>
    <v>10</v>
  </rv>
  <rv s="6">
    <fb>149.4699</fb>
    <v>10</v>
  </rv>
  <rv s="6">
    <fb>145.15</fb>
    <v>10</v>
  </rv>
  <rv s="6">
    <fb>7340868</fb>
    <v>16</v>
  </rv>
  <rv s="6">
    <fb>147.15</fb>
    <v>10</v>
  </rv>
  <rv s="6">
    <fb>151.85</fb>
    <v>10</v>
  </rv>
  <rv s="6">
    <fb>147.08500000000001</fb>
    <v>10</v>
  </rv>
  <rv s="6">
    <fb>6441089</fb>
    <v>16</v>
  </rv>
  <rv s="6">
    <fb>151</fb>
    <v>10</v>
  </rv>
  <rv s="6">
    <fb>152.94999999999999</fb>
    <v>10</v>
  </rv>
  <rv s="6">
    <fb>146.82</fb>
    <v>10</v>
  </rv>
  <rv s="6">
    <fb>7923360</fb>
    <v>16</v>
  </rv>
  <rv s="6">
    <fb>153.05000000000001</fb>
    <v>10</v>
  </rv>
  <rv s="6">
    <fb>152.68</fb>
    <v>10</v>
  </rv>
  <rv s="6">
    <fb>6675798</fb>
    <v>16</v>
  </rv>
  <rv s="6">
    <fb>154.75</fb>
    <v>10</v>
  </rv>
  <rv s="6">
    <fb>151.80000000000001</fb>
    <v>10</v>
  </rv>
  <rv s="6">
    <fb>5460722</fb>
    <v>16</v>
  </rv>
  <rv s="6">
    <fb>152.71</fb>
    <v>10</v>
  </rv>
  <rv s="6">
    <fb>148.93</fb>
    <v>10</v>
  </rv>
  <rv s="6">
    <fb>7715340</fb>
    <v>16</v>
  </rv>
  <rv s="6">
    <fb>146.58500000000001</fb>
    <v>10</v>
  </rv>
  <rv s="6">
    <fb>157.07</fb>
    <v>10</v>
  </rv>
  <rv s="6">
    <fb>146.57</fb>
    <v>10</v>
  </rv>
  <rv s="6">
    <fb>23135869</fb>
    <v>16</v>
  </rv>
  <rv s="6">
    <fb>163.5</fb>
    <v>10</v>
  </rv>
  <rv s="6">
    <fb>10721325</fb>
    <v>16</v>
  </rv>
  <rv s="6">
    <fb>165.42</fb>
    <v>10</v>
  </rv>
  <rv s="6">
    <fb>158.63</fb>
    <v>10</v>
  </rv>
  <rv s="6">
    <fb>15886495</fb>
    <v>16</v>
  </rv>
  <rv s="6">
    <fb>163.62</fb>
    <v>10</v>
  </rv>
  <rv s="6">
    <fb>178.31</fb>
    <v>10</v>
  </rv>
  <rv s="6">
    <fb>163.37</fb>
    <v>10</v>
  </rv>
  <rv s="6">
    <fb>11330772</fb>
    <v>16</v>
  </rv>
  <rv s="6">
    <fb>177.76</fb>
    <v>10</v>
  </rv>
  <rv s="6">
    <fb>177.62</fb>
    <v>10</v>
  </rv>
  <rv s="6">
    <fb>11061283</fb>
    <v>16</v>
  </rv>
  <rv s="6">
    <fb>182.71</fb>
    <v>10</v>
  </rv>
  <rv s="6">
    <fb>175.55</fb>
    <v>10</v>
  </rv>
  <rv s="6">
    <fb>8011470</fb>
    <v>16</v>
  </rv>
  <rv s="6">
    <fb>175.13</fb>
    <v>10</v>
  </rv>
  <rv s="6">
    <fb>170.345</fb>
    <v>10</v>
  </rv>
  <rv s="6">
    <fb>10135271</fb>
    <v>16</v>
  </rv>
  <rv s="6">
    <fb>172.77</fb>
    <v>10</v>
  </rv>
  <rv s="6">
    <fb>174</fb>
    <v>10</v>
  </rv>
  <rv s="6">
    <fb>13713718</fb>
    <v>16</v>
  </rv>
  <rv s="6">
    <fb>164.29</fb>
    <v>10</v>
  </rv>
  <rv s="6">
    <fb>167.99</fb>
    <v>10</v>
  </rv>
  <rv s="6">
    <fb>7311128</fb>
    <v>16</v>
  </rv>
  <rv s="6">
    <fb>166.98</fb>
    <v>10</v>
  </rv>
  <rv s="6">
    <fb>171.33</fb>
    <v>10</v>
  </rv>
  <rv s="6">
    <fb>164.76</fb>
    <v>10</v>
  </rv>
  <rv s="6">
    <fb>5217126</fb>
    <v>16</v>
  </rv>
  <rv s="6">
    <fb>166.99</fb>
    <v>10</v>
  </rv>
  <rv s="6">
    <fb>166.495</fb>
    <v>10</v>
  </rv>
  <rv s="6">
    <fb>102.94</fb>
    <v>10</v>
  </rv>
  <rv s="6">
    <fb>100.77</fb>
    <v>10</v>
  </rv>
  <rv s="6">
    <fb>105.8</fb>
    <v>10</v>
  </rv>
  <rv s="6">
    <fb>99.93</fb>
    <v>10</v>
  </rv>
  <rv s="6">
    <fb>103.14</fb>
    <v>10</v>
  </rv>
  <rv s="6">
    <fb>103.39</fb>
    <v>10</v>
  </rv>
  <rv s="6">
    <fb>103.1</fb>
    <v>10</v>
  </rv>
  <rv s="6">
    <fb>104.19</fb>
    <v>10</v>
  </rv>
  <rv s="6">
    <fb>106.92</fb>
    <v>10</v>
  </rv>
  <rv s="6">
    <fb>105.35</fb>
    <v>10</v>
  </rv>
  <rv s="6">
    <fb>108.3</fb>
    <v>10</v>
  </rv>
  <rv s="6">
    <fb>107.37</fb>
    <v>10</v>
  </rv>
  <rv s="6">
    <fb>108.63</fb>
    <v>10</v>
  </rv>
  <rv s="6">
    <fb>108.57</fb>
    <v>10</v>
  </rv>
  <rv s="6">
    <fb>108.36</fb>
    <v>10</v>
  </rv>
  <rv s="6">
    <fb>105.63</fb>
    <v>10</v>
  </rv>
  <rv s="6">
    <fb>105.78</fb>
    <v>10</v>
  </rv>
  <rv s="6">
    <fb>106.21</fb>
    <v>10</v>
  </rv>
  <rv s="6">
    <fb>103.27</fb>
    <v>10</v>
  </rv>
  <rv s="6">
    <fb>104.71</fb>
    <v>10</v>
  </rv>
  <rv s="6">
    <fb>104.61</fb>
    <v>10</v>
  </rv>
  <rv s="6">
    <fb>106.07</fb>
    <v>10</v>
  </rv>
  <rv s="6">
    <fb>107.31</fb>
    <v>10</v>
  </rv>
  <rv s="6">
    <fb>109.16</fb>
    <v>10</v>
  </rv>
  <rv s="6">
    <fb>109.46</fb>
    <v>10</v>
  </rv>
  <rv s="6">
    <fb>108.48</fb>
    <v>10</v>
  </rv>
  <rv s="6">
    <fb>108.58</fb>
    <v>10</v>
  </rv>
  <rv s="6">
    <fb>108.19</fb>
    <v>10</v>
  </rv>
  <rv s="6">
    <fb>104.95</fb>
    <v>10</v>
  </rv>
  <rv s="6">
    <fb>103.66</fb>
    <v>10</v>
  </rv>
  <rv s="6">
    <fb>102.97</fb>
    <v>10</v>
  </rv>
  <rv s="6">
    <fb>103.03</fb>
    <v>10</v>
  </rv>
  <rv s="6">
    <fb>103.52</fb>
    <v>10</v>
  </rv>
  <rv s="6">
    <fb>102.69</fb>
    <v>10</v>
  </rv>
  <rv s="6">
    <fb>102.3</fb>
    <v>10</v>
  </rv>
  <rv s="6">
    <fb>103.8</fb>
    <v>10</v>
  </rv>
  <rv s="6">
    <fb>101.83</fb>
    <v>10</v>
  </rv>
  <rv s="6">
    <fb>104.97</fb>
    <v>10</v>
  </rv>
  <rv s="6">
    <fb>107.22</fb>
    <v>10</v>
  </rv>
  <rv s="6">
    <fb>109.31</fb>
    <v>10</v>
  </rv>
  <rv s="6">
    <fb>109.73</fb>
    <v>10</v>
  </rv>
  <rv s="6">
    <fb>112.12</fb>
    <v>10</v>
  </rv>
  <rv s="6">
    <fb>112.48</fb>
    <v>10</v>
  </rv>
  <rv s="6">
    <fb>114</fb>
    <v>10</v>
  </rv>
  <rv s="6">
    <fb>113.19</fb>
    <v>10</v>
  </rv>
  <rv s="6">
    <fb>114.7</fb>
    <v>10</v>
  </rv>
  <rv s="6">
    <fb>108.34</fb>
    <v>10</v>
  </rv>
  <rv s="6">
    <fb>108.37</fb>
    <v>10</v>
  </rv>
  <rv s="6">
    <fb>109.99</fb>
    <v>10</v>
  </rv>
  <rv s="6">
    <fb>109.38</fb>
    <v>10</v>
  </rv>
  <rv s="6">
    <fb>107.8</fb>
    <v>10</v>
  </rv>
  <rv s="6">
    <fb>109.24</fb>
    <v>10</v>
  </rv>
  <rv s="6">
    <fb>111.05</fb>
    <v>10</v>
  </rv>
  <rv s="6">
    <fb>111.11</fb>
    <v>10</v>
  </rv>
  <rv s="6">
    <fb>113.8</fb>
    <v>10</v>
  </rv>
  <rv s="6">
    <fb>114.93</fb>
    <v>10</v>
  </rv>
  <rv s="6">
    <fb>113.92</fb>
    <v>10</v>
  </rv>
  <rv s="6">
    <fb>112.91</fb>
    <v>10</v>
  </rv>
  <rv s="6">
    <fb>112.23</fb>
    <v>10</v>
  </rv>
  <rv s="6">
    <fb>111.66</fb>
    <v>10</v>
  </rv>
  <rv s="6">
    <fb>107.77</fb>
    <v>10</v>
  </rv>
  <rv s="6">
    <fb>108.05</fb>
    <v>10</v>
  </rv>
  <rv s="6">
    <fb>108.54</fb>
    <v>10</v>
  </rv>
  <rv s="6">
    <fb>109.93</fb>
    <v>10</v>
  </rv>
  <rv s="6">
    <fb>110.79</fb>
    <v>10</v>
  </rv>
  <rv s="6">
    <fb>110.4</fb>
    <v>10</v>
  </rv>
  <rv s="6">
    <fb>111.44</fb>
    <v>10</v>
  </rv>
  <rv s="6">
    <fb>112.88</fb>
    <v>10</v>
  </rv>
  <rv s="6">
    <fb>109.64</fb>
    <v>10</v>
  </rv>
  <rv s="6">
    <fb>107.24</fb>
    <v>10</v>
  </rv>
  <rv s="6">
    <fb>106.51</fb>
    <v>10</v>
  </rv>
  <rv s="6">
    <fb>105.95</fb>
    <v>10</v>
  </rv>
  <rv s="6">
    <fb>106.8</fb>
    <v>10</v>
  </rv>
  <rv s="6">
    <fb>105.83</fb>
    <v>10</v>
  </rv>
  <rv s="6">
    <fb>106.13</fb>
    <v>10</v>
  </rv>
  <rv s="6">
    <fb>107.6</fb>
    <v>10</v>
  </rv>
  <rv s="6">
    <fb>106.49</fb>
    <v>10</v>
  </rv>
  <rv s="6">
    <fb>107.42</fb>
    <v>10</v>
  </rv>
  <rv s="6">
    <fb>108.53</fb>
    <v>10</v>
  </rv>
  <rv s="6">
    <fb>109.23</fb>
    <v>10</v>
  </rv>
  <rv s="6">
    <fb>111.49</fb>
    <v>10</v>
  </rv>
  <rv s="6">
    <fb>112.75</fb>
    <v>10</v>
  </rv>
  <rv s="6">
    <fb>113.35</fb>
    <v>10</v>
  </rv>
  <rv s="6">
    <fb>114.29</fb>
    <v>10</v>
  </rv>
  <rv s="6">
    <fb>114.69</fb>
    <v>10</v>
  </rv>
  <rv s="6">
    <fb>111.91</fb>
    <v>10</v>
  </rv>
  <rv s="6">
    <fb>112.4</fb>
    <v>10</v>
  </rv>
  <rv s="6">
    <fb>110.65</fb>
    <v>10</v>
  </rv>
  <rv s="6">
    <fb>112.5</fb>
    <v>10</v>
  </rv>
  <rv s="6">
    <fb>112.14</fb>
    <v>10</v>
  </rv>
  <rv s="6">
    <fb>112.16</fb>
    <v>10</v>
  </rv>
  <rv s="6">
    <fb>112.35</fb>
    <v>10</v>
  </rv>
  <rv s="6">
    <fb>114.68</fb>
    <v>10</v>
  </rv>
  <rv s="6">
    <fb>115.29</fb>
    <v>10</v>
  </rv>
  <rv s="6">
    <fb>112.02</fb>
    <v>10</v>
  </rv>
  <rv s="6">
    <fb>113.95</fb>
    <v>10</v>
  </rv>
  <rv s="6">
    <fb>115.59</fb>
    <v>10</v>
  </rv>
  <rv s="6">
    <fb>117.22</fb>
    <v>10</v>
  </rv>
  <rv s="6">
    <fb>111.99</fb>
    <v>10</v>
  </rv>
  <rv s="6">
    <fb>111.29</fb>
    <v>10</v>
  </rv>
  <rv s="6">
    <fb>114.26</fb>
    <v>10</v>
  </rv>
  <rv s="6">
    <fb>114.02</fb>
    <v>10</v>
  </rv>
  <rv s="6">
    <fb>112.24</fb>
    <v>10</v>
  </rv>
  <rv s="6">
    <fb>112.29</fb>
    <v>10</v>
  </rv>
  <rv s="6">
    <fb>110.64</fb>
    <v>10</v>
  </rv>
  <rv s="6">
    <fb>114.71</fb>
    <v>10</v>
  </rv>
  <rv s="6">
    <fb>115.98</fb>
    <v>10</v>
  </rv>
  <rv s="6">
    <fb>115.94</fb>
    <v>10</v>
  </rv>
  <rv s="6">
    <fb>116.45</fb>
    <v>10</v>
  </rv>
  <rv s="6">
    <fb>113.76</fb>
    <v>10</v>
  </rv>
  <rv s="6">
    <fb>114.14</fb>
    <v>10</v>
  </rv>
  <rv s="6">
    <fb>113.68</fb>
    <v>10</v>
  </rv>
  <rv s="6">
    <fb>118.22</fb>
    <v>10</v>
  </rv>
  <rv s="6">
    <fb>118.12</fb>
    <v>10</v>
  </rv>
  <rv s="6">
    <fb>118.79</fb>
    <v>10</v>
  </rv>
  <rv s="6">
    <fb>119.29</fb>
    <v>10</v>
  </rv>
  <rv s="6">
    <fb>117.68</fb>
    <v>10</v>
  </rv>
  <rv s="6">
    <fb>119.03</fb>
    <v>10</v>
  </rv>
  <rv s="6">
    <fb>117.35</fb>
    <v>10</v>
  </rv>
  <rv s="6">
    <fb>117.02</fb>
    <v>10</v>
  </rv>
  <rv s="6">
    <fb>117.08</fb>
    <v>10</v>
  </rv>
  <rv s="6">
    <fb>115.97</fb>
    <v>10</v>
  </rv>
  <rv s="6">
    <fb>114.51</fb>
    <v>10</v>
  </rv>
  <rv s="6">
    <fb>114.77</fb>
    <v>10</v>
  </rv>
  <rv s="6">
    <fb>115.92</fb>
    <v>10</v>
  </rv>
  <rv s="6">
    <fb>116.63</fb>
    <v>10</v>
  </rv>
  <rv s="6">
    <fb>115.38</fb>
    <v>10</v>
  </rv>
  <rv s="6">
    <fb>117.8</fb>
    <v>10</v>
  </rv>
  <rv s="6">
    <fb>117.14</fb>
    <v>10</v>
  </rv>
  <rv s="6">
    <fb>116.54</fb>
    <v>10</v>
  </rv>
  <rv s="6">
    <fb>118.25</fb>
    <v>10</v>
  </rv>
  <rv s="6">
    <fb>119.54</fb>
    <v>10</v>
  </rv>
  <rv s="6">
    <fb>118.82</fb>
    <v>10</v>
  </rv>
  <rv s="6">
    <fb>117.76</fb>
    <v>10</v>
  </rv>
  <rv s="6">
    <fb>118.15</fb>
    <v>10</v>
  </rv>
  <rv s="6">
    <fb>119.42</fb>
    <v>10</v>
  </rv>
  <rv s="6">
    <fb>119.22</fb>
    <v>10</v>
  </rv>
  <rv s="6">
    <fb>119.11</fb>
    <v>10</v>
  </rv>
  <rv s="6">
    <fb>120.99</fb>
    <v>10</v>
  </rv>
  <rv s="6">
    <fb>120.34</fb>
    <v>10</v>
  </rv>
  <rv s="6">
    <fb>122.65</fb>
    <v>10</v>
  </rv>
  <rv s="6">
    <fb>125.36</fb>
    <v>10</v>
  </rv>
  <rv s="6">
    <fb>122.91</fb>
    <v>10</v>
  </rv>
  <rv s="6">
    <fb>124.61</fb>
    <v>10</v>
  </rv>
  <rv s="6">
    <fb>124.03</fb>
    <v>10</v>
  </rv>
  <rv s="6">
    <fb>126.54</fb>
    <v>10</v>
  </rv>
  <rv s="6">
    <fb>130.19999999999999</fb>
    <v>10</v>
  </rv>
  <rv s="6">
    <fb>129.13</fb>
    <v>10</v>
  </rv>
  <rv s="6">
    <fb>129.88999999999999</fb>
    <v>10</v>
  </rv>
  <rv s="6">
    <fb>130.46</fb>
    <v>10</v>
  </rv>
  <rv s="6">
    <fb>133.61000000000001</fb>
    <v>10</v>
  </rv>
  <rv s="6">
    <fb>134.97</fb>
    <v>10</v>
  </rv>
  <rv s="6">
    <fb>134.84</fb>
    <v>10</v>
  </rv>
  <rv s="6">
    <fb>136.83000000000001</fb>
    <v>10</v>
  </rv>
  <rv s="6">
    <fb>137.58000000000001</fb>
    <v>10</v>
  </rv>
  <rv s="6">
    <fb>140.51</fb>
    <v>10</v>
  </rv>
  <rv s="6">
    <fb>138.4</fb>
    <v>10</v>
  </rv>
  <rv s="6">
    <fb>143.72999999999999</fb>
    <v>10</v>
  </rv>
  <rv s="6">
    <fb>147.59</fb>
    <v>10</v>
  </rv>
  <rv s="6">
    <fb>146.08000000000001</fb>
    <v>10</v>
  </rv>
  <rv s="6">
    <fb>149.05000000000001</fb>
    <v>10</v>
  </rv>
  <rv s="6">
    <fb>151.21</fb>
    <v>10</v>
  </rv>
  <rv s="6">
    <fb>149.93</fb>
    <v>10</v>
  </rv>
  <rv s="6">
    <fb>148.44999999999999</fb>
    <v>10</v>
  </rv>
  <rv s="6">
    <fb>146.19</fb>
    <v>10</v>
  </rv>
  <rv s="6">
    <fb>150.68</fb>
    <v>10</v>
  </rv>
  <rv s="6">
    <fb>150.97</fb>
    <v>10</v>
  </rv>
  <rv s="6">
    <fb>147.28</fb>
    <v>10</v>
  </rv>
  <rv s="6">
    <fb>150.76</fb>
    <v>10</v>
  </rv>
  <rv s="6">
    <fb>149.26</fb>
    <v>10</v>
  </rv>
  <rv s="6">
    <fb>149.06</fb>
    <v>10</v>
  </rv>
  <rv s="6">
    <fb>148.54</fb>
    <v>10</v>
  </rv>
  <rv s="6">
    <fb>152.5</fb>
    <v>10</v>
  </rv>
  <rv s="6">
    <fb>154.22</fb>
    <v>10</v>
  </rv>
  <rv s="6">
    <fb>151.83000000000001</fb>
    <v>10</v>
  </rv>
  <rv s="6">
    <fb>149.82</fb>
    <v>10</v>
  </rv>
  <rv s="6">
    <fb>150.44</fb>
    <v>10</v>
  </rv>
  <rv s="6">
    <fb>148.13</fb>
    <v>10</v>
  </rv>
  <rv s="6">
    <fb>151.58000000000001</fb>
    <v>10</v>
  </rv>
  <rv s="6">
    <fb>153.53</fb>
    <v>10</v>
  </rv>
  <rv s="6">
    <fb>156.12</fb>
    <v>10</v>
  </rv>
  <rv s="6">
    <fb>157.22999999999999</fb>
    <v>10</v>
  </rv>
  <rv s="6">
    <fb>158.81</fb>
    <v>10</v>
  </rv>
  <rv s="6">
    <fb>157.59</fb>
    <v>10</v>
  </rv>
  <rv s="6">
    <fb>158.16</fb>
    <v>10</v>
  </rv>
  <rv s="6">
    <fb>159.66999999999999</fb>
    <v>10</v>
  </rv>
  <rv s="6">
    <fb>165.38</fb>
    <v>10</v>
  </rv>
  <rv s="6">
    <fb>163.26</fb>
    <v>10</v>
  </rv>
  <rv s="6">
    <fb>165.43</fb>
    <v>10</v>
  </rv>
  <rv s="6">
    <fb>170.99</fb>
    <v>10</v>
  </rv>
  <rv s="6">
    <fb>171.47</fb>
    <v>10</v>
  </rv>
  <rv s="6">
    <fb>169.66</fb>
    <v>10</v>
  </rv>
  <rv s="6">
    <fb>160.78</fb>
    <v>10</v>
  </rv>
  <rv s="6">
    <fb>160.69</fb>
    <v>10</v>
  </rv>
  <rv s="6">
    <fb>25532656</fb>
    <v>16</v>
  </rv>
  <rv s="6">
    <fb>152.01499999999999</fb>
    <v>10</v>
  </rv>
  <rv s="6">
    <fb>153.88990000000001</fb>
    <v>10</v>
  </rv>
  <rv s="6">
    <fb>149.47</fb>
    <v>10</v>
  </rv>
  <rv s="6">
    <fb>19617590</fb>
    <v>16</v>
  </rv>
  <rv s="6">
    <fb>149.25</fb>
    <v>10</v>
  </rv>
  <rv s="6">
    <fb>150.4</fb>
    <v>10</v>
  </rv>
  <rv s="6">
    <fb>15297412</fb>
    <v>16</v>
  </rv>
  <rv s="6">
    <fb>147.99</fb>
    <v>10</v>
  </rv>
  <rv s="6">
    <fb>151.81</fb>
    <v>10</v>
  </rv>
  <rv s="6">
    <fb>147.66</fb>
    <v>10</v>
  </rv>
  <rv s="6">
    <fb>26053965</fb>
    <v>16</v>
  </rv>
  <rv s="6">
    <fb>152.26499999999999</fb>
    <v>10</v>
  </rv>
  <rv s="6">
    <fb>155</fb>
    <v>10</v>
  </rv>
  <rv s="6">
    <fb>151.63</fb>
    <v>10</v>
  </rv>
  <rv s="6">
    <fb>22414094</fb>
    <v>16</v>
  </rv>
  <rv s="6">
    <fb>156.88999999999999</fb>
    <v>10</v>
  </rv>
  <rv s="6">
    <fb>152.97499999999999</fb>
    <v>10</v>
  </rv>
  <rv s="6">
    <fb>22835633</fb>
    <v>16</v>
  </rv>
  <rv s="6">
    <fb>157.78</fb>
    <v>10</v>
  </rv>
  <rv s="6">
    <fb>154.76</fb>
    <v>10</v>
  </rv>
  <rv s="6">
    <fb>21592171</fb>
    <v>16</v>
  </rv>
  <rv s="6">
    <fb>160.44999999999999</fb>
    <v>10</v>
  </rv>
  <rv s="6">
    <fb>18947142</fb>
    <v>16</v>
  </rv>
  <rv s="6">
    <fb>159.66</fb>
    <v>10</v>
  </rv>
  <rv s="6">
    <fb>160.18</fb>
    <v>10</v>
  </rv>
  <rv s="6">
    <fb>157.53</fb>
    <v>10</v>
  </rv>
  <rv s="6">
    <fb>27082733</fb>
    <v>16</v>
  </rv>
  <rv s="6">
    <fb>158.26</fb>
    <v>10</v>
  </rv>
  <rv s="6">
    <fb>159.56</fb>
    <v>10</v>
  </rv>
  <rv s="6">
    <fb>53942142</fb>
    <v>16</v>
  </rv>
  <rv s="6">
    <fb>159.35</fb>
    <v>10</v>
  </rv>
  <rv s="6">
    <fb>162.44</fb>
    <v>10</v>
  </rv>
  <rv s="6">
    <fb>25021288</fb>
    <v>16</v>
  </rv>
  <rv s="6">
    <fb>156.11500000000001</fb>
    <v>10</v>
  </rv>
  <rv s="6">
    <fb>161.41999999999999</fb>
    <v>10</v>
  </rv>
  <rv s="6">
    <fb>26131824</fb>
    <v>16</v>
  </rv>
  <rv s="6">
    <fb>161.71</fb>
    <v>10</v>
  </rv>
  <rv s="6">
    <fb>167.48</fb>
    <v>10</v>
  </rv>
  <rv s="6">
    <fb>161.25</fb>
    <v>10</v>
  </rv>
  <rv s="6">
    <fb>17192333</fb>
    <v>16</v>
  </rv>
  <rv s="6">
    <fb>165</fb>
    <v>10</v>
  </rv>
  <rv s="6">
    <fb>162.93</fb>
    <v>10</v>
  </rv>
  <rv s="6">
    <fb>18625249</fb>
    <v>16</v>
  </rv>
  <rv s="6">
    <fb>164.09</fb>
    <v>10</v>
  </rv>
  <rv s="6">
    <fb>165.68</fb>
    <v>10</v>
  </rv>
  <rv s="6">
    <fb>30338313</fb>
    <v>16</v>
  </rv>
  <rv s="6">
    <fb>165.58</fb>
    <v>10</v>
  </rv>
  <rv s="6">
    <fb>171.23</fb>
    <v>10</v>
  </rv>
  <rv s="6">
    <fb>164.8</fb>
    <v>10</v>
  </rv>
  <rv s="6">
    <fb>29813504</fb>
    <v>16</v>
  </rv>
  <rv s="6">
    <fb>172.505</fb>
    <v>10</v>
  </rv>
  <rv s="6">
    <fb>176.41</fb>
    <v>10</v>
  </rv>
  <rv s="6">
    <fb>171.05</fb>
    <v>10</v>
  </rv>
  <rv s="6">
    <fb>32006724</fb>
    <v>16</v>
  </rv>
  <rv s="6">
    <fb>172.67</fb>
    <v>10</v>
  </rv>
  <rv s="6">
    <fb>174.38</fb>
    <v>10</v>
  </rv>
  <rv s="6">
    <fb>165.97</fb>
    <v>10</v>
  </rv>
  <rv s="6">
    <fb>37927639</fb>
    <v>16</v>
  </rv>
  <rv s="6">
    <fb>165.77</fb>
    <v>10</v>
  </rv>
  <rv s="6">
    <fb>168</fb>
    <v>10</v>
  </rv>
  <rv s="6">
    <fb>159.53</fb>
    <v>10</v>
  </rv>
  <rv s="6">
    <fb>25377657</fb>
    <v>16</v>
  </rv>
  <rv s="6">
    <fb>164.49</fb>
    <v>10</v>
  </rv>
  <rv s="6">
    <fb>166.9</fb>
    <v>10</v>
  </rv>
  <rv s="6">
    <fb>159.59</fb>
    <v>10</v>
  </rv>
  <rv s="6">
    <fb>43.53</fb>
    <v>10</v>
  </rv>
  <rv s="6">
    <fb>42.48</fb>
    <v>10</v>
  </rv>
  <rv s="6">
    <fb>45.74</fb>
    <v>10</v>
  </rv>
  <rv s="6">
    <fb>43.73</fb>
    <v>10</v>
  </rv>
  <rv s="6">
    <fb>43.63</fb>
    <v>10</v>
  </rv>
  <rv s="6">
    <fb>45.14</fb>
    <v>10</v>
  </rv>
  <rv s="6">
    <fb>44.54</fb>
    <v>10</v>
  </rv>
  <rv s="6">
    <fb>44.57</fb>
    <v>10</v>
  </rv>
  <rv s="6">
    <fb>44.39</fb>
    <v>10</v>
  </rv>
  <rv s="6">
    <fb>45.16</fb>
    <v>10</v>
  </rv>
  <rv s="6">
    <fb>45.84</fb>
    <v>10</v>
  </rv>
  <rv s="6">
    <fb>46.88</fb>
    <v>10</v>
  </rv>
  <rv s="6">
    <fb>47.11</fb>
    <v>10</v>
  </rv>
  <rv s="6">
    <fb>45.24</fb>
    <v>10</v>
  </rv>
  <rv s="6">
    <fb>45.05</fb>
    <v>10</v>
  </rv>
  <rv s="6">
    <fb>45.3</fb>
    <v>10</v>
  </rv>
  <rv s="6">
    <fb>45.38</fb>
    <v>10</v>
  </rv>
  <rv s="6">
    <fb>45.46</fb>
    <v>10</v>
  </rv>
  <rv s="6">
    <fb>45.47</fb>
    <v>10</v>
  </rv>
  <rv s="6">
    <fb>47.35</fb>
    <v>10</v>
  </rv>
  <rv s="6">
    <fb>49.61</fb>
    <v>10</v>
  </rv>
  <rv s="6">
    <fb>50.46</fb>
    <v>10</v>
  </rv>
  <rv s="6">
    <fb>50.31</fb>
    <v>10</v>
  </rv>
  <rv s="6">
    <fb>50.12</fb>
    <v>10</v>
  </rv>
  <rv s="6">
    <fb>50.37</fb>
    <v>10</v>
  </rv>
  <rv s="6">
    <fb>50.03</fb>
    <v>10</v>
  </rv>
  <rv s="6">
    <fb>50.21</fb>
    <v>10</v>
  </rv>
  <rv s="6">
    <fb>49.37</fb>
    <v>10</v>
  </rv>
  <rv s="6">
    <fb>49.28</fb>
    <v>10</v>
  </rv>
  <rv s="6">
    <fb>48.69</fb>
    <v>10</v>
  </rv>
  <rv s="6">
    <fb>49.09</fb>
    <v>10</v>
  </rv>
  <rv s="6">
    <fb>48.13</fb>
    <v>10</v>
  </rv>
  <rv s="6">
    <fb>48.59</fb>
    <v>10</v>
  </rv>
  <rv s="6">
    <fb>47.69</fb>
    <v>10</v>
  </rv>
  <rv s="6">
    <fb>49.06</fb>
    <v>10</v>
  </rv>
  <rv s="6">
    <fb>47.67</fb>
    <v>10</v>
  </rv>
  <rv s="6">
    <fb>47.25</fb>
    <v>10</v>
  </rv>
  <rv s="6">
    <fb>47.47</fb>
    <v>10</v>
  </rv>
  <rv s="6">
    <fb>47.93</fb>
    <v>10</v>
  </rv>
  <rv s="6">
    <fb>49.87</fb>
    <v>10</v>
  </rv>
  <rv s="6">
    <fb>49.26</fb>
    <v>10</v>
  </rv>
  <rv s="6">
    <fb>48.09</fb>
    <v>10</v>
  </rv>
  <rv s="6">
    <fb>48.2</fb>
    <v>10</v>
  </rv>
  <rv s="6">
    <fb>49</fb>
    <v>10</v>
  </rv>
  <rv s="6">
    <fb>49.16</fb>
    <v>10</v>
  </rv>
  <rv s="6">
    <fb>49.68</fb>
    <v>10</v>
  </rv>
  <rv s="6">
    <fb>49.21</fb>
    <v>10</v>
  </rv>
  <rv s="6">
    <fb>52.03</fb>
    <v>10</v>
  </rv>
  <rv s="6">
    <fb>52.68</fb>
    <v>10</v>
  </rv>
  <rv s="6">
    <fb>52.89</fb>
    <v>10</v>
  </rv>
  <rv s="6">
    <fb>51.82</fb>
    <v>10</v>
  </rv>
  <rv s="6">
    <fb>52.19</fb>
    <v>10</v>
  </rv>
  <rv s="6">
    <fb>53.15</fb>
    <v>10</v>
  </rv>
  <rv s="6">
    <fb>53.39</fb>
    <v>10</v>
  </rv>
  <rv s="6">
    <fb>53.33</fb>
    <v>10</v>
  </rv>
  <rv s="6">
    <fb>52.71</fb>
    <v>10</v>
  </rv>
  <rv s="6">
    <fb>53.18</fb>
    <v>10</v>
  </rv>
  <rv s="6">
    <fb>53.21</fb>
    <v>10</v>
  </rv>
  <rv s="6">
    <fb>53.22</fb>
    <v>10</v>
  </rv>
  <rv s="6">
    <fb>48.89</fb>
    <v>10</v>
  </rv>
  <rv s="6">
    <fb>53.13</fb>
    <v>10</v>
  </rv>
  <rv s="6">
    <fb>52.34</fb>
    <v>10</v>
  </rv>
  <rv s="6">
    <fb>53.4</fb>
    <v>10</v>
  </rv>
  <rv s="6">
    <fb>52.11</fb>
    <v>10</v>
  </rv>
  <rv s="6">
    <fb>53.34</fb>
    <v>10</v>
  </rv>
  <rv s="6">
    <fb>52.53</fb>
    <v>10</v>
  </rv>
  <rv s="6">
    <fb>52.47</fb>
    <v>10</v>
  </rv>
  <rv s="6">
    <fb>52.95</fb>
    <v>10</v>
  </rv>
  <rv s="6">
    <fb>53.53</fb>
    <v>10</v>
  </rv>
  <rv s="6">
    <fb>54.01</fb>
    <v>10</v>
  </rv>
  <rv s="6">
    <fb>55.58</fb>
    <v>10</v>
  </rv>
  <rv s="6">
    <fb>56.42</fb>
    <v>10</v>
  </rv>
  <rv s="6">
    <fb>56.31</fb>
    <v>10</v>
  </rv>
  <rv s="6">
    <fb>56.23</fb>
    <v>10</v>
  </rv>
  <rv s="6">
    <fb>57.06</fb>
    <v>10</v>
  </rv>
  <rv s="6">
    <fb>56.77</fb>
    <v>10</v>
  </rv>
  <rv s="6">
    <fb>56.51</fb>
    <v>10</v>
  </rv>
  <rv s="6">
    <fb>58.37</fb>
    <v>10</v>
  </rv>
  <rv s="6">
    <fb>58.28</fb>
    <v>10</v>
  </rv>
  <rv s="6">
    <fb>58.8</fb>
    <v>10</v>
  </rv>
  <rv s="6">
    <fb>58.75</fb>
    <v>10</v>
  </rv>
  <rv s="6">
    <fb>58.49</fb>
    <v>10</v>
  </rv>
  <rv s="6">
    <fb>58.59</fb>
    <v>10</v>
  </rv>
  <rv s="6">
    <fb>58.53</fb>
    <v>10</v>
  </rv>
  <rv s="6">
    <fb>57.75</fb>
    <v>10</v>
  </rv>
  <rv s="6">
    <fb>58.15</fb>
    <v>10</v>
  </rv>
  <rv s="6">
    <fb>58.27</fb>
    <v>10</v>
  </rv>
  <rv s="6">
    <fb>58.2</fb>
    <v>10</v>
  </rv>
  <rv s="6">
    <fb>58.01</fb>
    <v>10</v>
  </rv>
  <rv s="6">
    <fb>57.34</fb>
    <v>10</v>
  </rv>
  <rv s="6">
    <fb>58.71</fb>
    <v>10</v>
  </rv>
  <rv s="6">
    <fb>58.5</fb>
    <v>10</v>
  </rv>
  <rv s="6">
    <fb>58.95</fb>
    <v>10</v>
  </rv>
  <rv s="6">
    <fb>58.46</fb>
    <v>10</v>
  </rv>
  <rv s="6">
    <fb>58.73</fb>
    <v>10</v>
  </rv>
  <rv s="6">
    <fb>59.26</fb>
    <v>10</v>
  </rv>
  <rv s="6">
    <fb>58.98</fb>
    <v>10</v>
  </rv>
  <rv s="6">
    <fb>58.88</fb>
    <v>10</v>
  </rv>
  <rv s="6">
    <fb>58.58</fb>
    <v>10</v>
  </rv>
  <rv s="6">
    <fb>59.92</fb>
    <v>10</v>
  </rv>
  <rv s="6">
    <fb>60.59</fb>
    <v>10</v>
  </rv>
  <rv s="6">
    <fb>61.24</fb>
    <v>10</v>
  </rv>
  <rv s="6">
    <fb>61.12</fb>
    <v>10</v>
  </rv>
  <rv s="6">
    <fb>60.97</fb>
    <v>10</v>
  </rv>
  <rv s="6">
    <fb>61.34</fb>
    <v>10</v>
  </rv>
  <rv s="6">
    <fb>59.36</fb>
    <v>10</v>
  </rv>
  <rv s="6">
    <fb>60.13</fb>
    <v>10</v>
  </rv>
  <rv s="6">
    <fb>58.19</fb>
    <v>10</v>
  </rv>
  <rv s="6">
    <fb>57.26</fb>
    <v>10</v>
  </rv>
  <rv s="6">
    <fb>56.4</fb>
    <v>10</v>
  </rv>
  <rv s="6">
    <fb>55.92</fb>
    <v>10</v>
  </rv>
  <rv s="6">
    <fb>55.62</fb>
    <v>10</v>
  </rv>
  <rv s="6">
    <fb>57.15</fb>
    <v>10</v>
  </rv>
  <rv s="6">
    <fb>57.8</fb>
    <v>10</v>
  </rv>
  <rv s="6">
    <fb>58.38</fb>
    <v>10</v>
  </rv>
  <rv s="6">
    <fb>58</fb>
    <v>10</v>
  </rv>
  <rv s="6">
    <fb>66.62</fb>
    <v>10</v>
  </rv>
  <rv s="6">
    <fb>67.31</fb>
    <v>10</v>
  </rv>
  <rv s="6">
    <fb>66.849999999999994</fb>
    <v>10</v>
  </rv>
  <rv s="6">
    <fb>69.66</fb>
    <v>10</v>
  </rv>
  <rv s="6">
    <fb>69.38</fb>
    <v>10</v>
  </rv>
  <rv s="6">
    <fb>69.87</fb>
    <v>10</v>
  </rv>
  <rv s="6">
    <fb>69.13</fb>
    <v>10</v>
  </rv>
  <rv s="6">
    <fb>68.67</fb>
    <v>10</v>
  </rv>
  <rv s="6">
    <fb>69.09</fb>
    <v>10</v>
  </rv>
  <rv s="6">
    <fb>68.22</fb>
    <v>10</v>
  </rv>
  <rv s="6">
    <fb>66.87</fb>
    <v>10</v>
  </rv>
  <rv s="6">
    <fb>68.77</fb>
    <v>10</v>
  </rv>
  <rv s="6">
    <fb>68.84</fb>
    <v>10</v>
  </rv>
  <rv s="6">
    <fb>70.75</fb>
    <v>10</v>
  </rv>
  <rv s="6">
    <fb>71.05</fb>
    <v>10</v>
  </rv>
  <rv s="6">
    <fb>71.22</fb>
    <v>10</v>
  </rv>
  <rv s="6">
    <fb>71.84</fb>
    <v>10</v>
  </rv>
  <rv s="6">
    <fb>71.89</fb>
    <v>10</v>
  </rv>
  <rv s="6">
    <fb>70.52</fb>
    <v>10</v>
  </rv>
  <rv s="6">
    <fb>67.91</fb>
    <v>10</v>
  </rv>
  <rv s="6">
    <fb>67.930000000000007</fb>
    <v>10</v>
  </rv>
  <rv s="6">
    <fb>68.5</fb>
    <v>10</v>
  </rv>
  <rv s="6">
    <fb>68.040000000000006</fb>
    <v>10</v>
  </rv>
  <rv s="6">
    <fb>70.33</fb>
    <v>10</v>
  </rv>
  <rv s="6">
    <fb>71</fb>
    <v>10</v>
  </rv>
  <rv s="6">
    <fb>72.78</fb>
    <v>10</v>
  </rv>
  <rv s="6">
    <fb>72.81</fb>
    <v>10</v>
  </rv>
  <rv s="6">
    <fb>73.52</fb>
    <v>10</v>
  </rv>
  <rv s="6">
    <fb>72.95</fb>
    <v>10</v>
  </rv>
  <rv s="6">
    <fb>73.66</fb>
    <v>10</v>
  </rv>
  <rv s="6">
    <fb>74.69</fb>
    <v>10</v>
  </rv>
  <rv s="6">
    <fb>76.05</fb>
    <v>10</v>
  </rv>
  <rv s="6">
    <fb>75.709999999999994</fb>
    <v>10</v>
  </rv>
  <rv s="6">
    <fb>77.16</fb>
    <v>10</v>
  </rv>
  <rv s="6">
    <fb>80.8</fb>
    <v>10</v>
  </rv>
  <rv s="6">
    <fb>80.849999999999994</fb>
    <v>10</v>
  </rv>
  <rv s="6">
    <fb>80.89</fb>
    <v>10</v>
  </rv>
  <rv s="6">
    <fb>81.98</fb>
    <v>10</v>
  </rv>
  <rv s="6">
    <fb>81.760000000000005</fb>
    <v>10</v>
  </rv>
  <rv s="6">
    <fb>80.510000000000005</fb>
    <v>10</v>
  </rv>
  <rv s="6">
    <fb>81.17</fb>
    <v>10</v>
  </rv>
  <rv s="6">
    <fb>82.35</fb>
    <v>10</v>
  </rv>
  <rv s="6">
    <fb>83.03</fb>
    <v>10</v>
  </rv>
  <rv s="6">
    <fb>82.75</fb>
    <v>10</v>
  </rv>
  <rv s="6">
    <fb>82.88</fb>
    <v>10</v>
  </rv>
  <rv s="6">
    <fb>83.06</fb>
    <v>10</v>
  </rv>
  <rv s="6">
    <fb>82.93</fb>
    <v>10</v>
  </rv>
  <rv s="6">
    <fb>82.33</fb>
    <v>10</v>
  </rv>
  <rv s="6">
    <fb>81.319999999999993</fb>
    <v>10</v>
  </rv>
  <rv s="6">
    <fb>80.98</fb>
    <v>10</v>
  </rv>
  <rv s="6">
    <fb>83.15</fb>
    <v>10</v>
  </rv>
  <rv s="6">
    <fb>82.18</fb>
    <v>10</v>
  </rv>
  <rv s="6">
    <fb>81.91</fb>
    <v>10</v>
  </rv>
  <rv s="6">
    <fb>85.13</fb>
    <v>10</v>
  </rv>
  <rv s="6">
    <fb>82.87</fb>
    <v>10</v>
  </rv>
  <rv s="6">
    <fb>82.9</fb>
    <v>10</v>
  </rv>
  <rv s="6">
    <fb>83.24</fb>
    <v>10</v>
  </rv>
  <rv s="6">
    <fb>81.23</fb>
    <v>10</v>
  </rv>
  <rv s="6">
    <fb>80.91</fb>
    <v>10</v>
  </rv>
  <rv s="6">
    <fb>80.819999999999993</fb>
    <v>10</v>
  </rv>
  <rv s="6">
    <fb>77.81</fb>
    <v>10</v>
  </rv>
  <rv s="6">
    <fb>80.930000000000007</fb>
    <v>10</v>
  </rv>
  <rv s="6">
    <fb>79.680000000000007</fb>
    <v>10</v>
  </rv>
  <rv s="6">
    <fb>79.430000000000007</fb>
    <v>10</v>
  </rv>
  <rv s="6">
    <fb>86.38</fb>
    <v>10</v>
  </rv>
  <rv s="6">
    <fb>84.9</fb>
    <v>10</v>
  </rv>
  <rv s="6">
    <fb>84</fb>
    <v>10</v>
  </rv>
  <rv s="6">
    <fb>84.27</fb>
    <v>10</v>
  </rv>
  <rv s="6">
    <fb>85.71</fb>
    <v>10</v>
  </rv>
  <rv s="6">
    <fb>86.29</fb>
    <v>10</v>
  </rv>
  <rv s="6">
    <fb>83.3</fb>
    <v>10</v>
  </rv>
  <rv s="6">
    <fb>84.24</fb>
    <v>10</v>
  </rv>
  <rv s="6">
    <fb>80.680000000000007</fb>
    <v>10</v>
  </rv>
  <rv s="6">
    <fb>80.27</fb>
    <v>10</v>
  </rv>
  <rv s="6">
    <fb>79.819999999999993</fb>
    <v>10</v>
  </rv>
  <rv s="6">
    <fb>79.930000000000007</fb>
    <v>10</v>
  </rv>
  <rv s="6">
    <fb>81.08</fb>
    <v>10</v>
  </rv>
  <rv s="6">
    <fb>81.22</fb>
    <v>10</v>
  </rv>
  <rv s="6">
    <fb>83.67</fb>
    <v>10</v>
  </rv>
  <rv s="6">
    <fb>81.47</fb>
    <v>10</v>
  </rv>
  <rv s="6">
    <fb>81.510000000000005</fb>
    <v>10</v>
  </rv>
  <rv s="6">
    <fb>79.66</fb>
    <v>10</v>
  </rv>
  <rv s="6">
    <fb>81.290000000000006</fb>
    <v>10</v>
  </rv>
  <rv s="6">
    <fb>82.43</fb>
    <v>10</v>
  </rv>
  <rv s="6">
    <fb>80.790000000000006</fb>
    <v>10</v>
  </rv>
  <rv s="6">
    <fb>78.709999999999994</fb>
    <v>10</v>
  </rv>
  <rv s="6">
    <fb>77.760000000000005</fb>
    <v>10</v>
  </rv>
  <rv s="6">
    <fb>77.27</fb>
    <v>10</v>
  </rv>
  <rv s="6">
    <fb>78.599999999999994</fb>
    <v>10</v>
  </rv>
  <rv s="6">
    <fb>76.2</fb>
    <v>10</v>
  </rv>
  <rv s="6">
    <fb>75.209999999999994</fb>
    <v>10</v>
  </rv>
  <rv s="6">
    <fb>74.930000000000007</fb>
    <v>10</v>
  </rv>
  <rv s="6">
    <fb>74.790000000000006</fb>
    <v>10</v>
  </rv>
  <rv s="6">
    <fb>73.45</fb>
    <v>10</v>
  </rv>
  <rv s="6">
    <fb>72.39</fb>
    <v>10</v>
  </rv>
  <rv s="6">
    <fb>74.040000000000006</fb>
    <v>10</v>
  </rv>
  <rv s="6">
    <fb>73.53</fb>
    <v>10</v>
  </rv>
  <rv s="6">
    <fb>73.790000000000006</fb>
    <v>10</v>
  </rv>
  <rv s="6">
    <fb>76.569999999999993</fb>
    <v>10</v>
  </rv>
  <rv s="6">
    <fb>76.61</fb>
    <v>10</v>
  </rv>
  <rv s="6">
    <fb>75.599999999999994</fb>
    <v>10</v>
  </rv>
  <rv s="6">
    <fb>72.98</fb>
    <v>10</v>
  </rv>
  <rv s="6">
    <fb>72.760000000000005</fb>
    <v>10</v>
  </rv>
  <rv s="6">
    <fb>74.5</fb>
    <v>10</v>
  </rv>
  <rv s="6">
    <fb>75.040000000000006</fb>
    <v>10</v>
  </rv>
  <rv s="6">
    <fb>72.540000000000006</fb>
    <v>10</v>
  </rv>
  <rv s="6">
    <fb>8829631</fb>
    <v>16</v>
  </rv>
  <rv s="6">
    <fb>73.400000000000006</fb>
    <v>10</v>
  </rv>
  <rv s="6">
    <fb>74.7</fb>
    <v>10</v>
  </rv>
  <rv s="6">
    <fb>71.921999999999997</fb>
    <v>10</v>
  </rv>
  <rv s="6">
    <fb>8915571</fb>
    <v>16</v>
  </rv>
  <rv s="6">
    <fb>74.84</fb>
    <v>10</v>
  </rv>
  <rv s="6">
    <fb>77.2</fb>
    <v>10</v>
  </rv>
  <rv s="6">
    <fb>5637485</fb>
    <v>16</v>
  </rv>
  <rv s="6">
    <fb>75.459999999999994</fb>
    <v>10</v>
  </rv>
  <rv s="6">
    <fb>76.58</fb>
    <v>10</v>
  </rv>
  <rv s="6">
    <fb>74.37</fb>
    <v>10</v>
  </rv>
  <rv s="6">
    <fb>7340971</fb>
    <v>16</v>
  </rv>
  <rv s="6">
    <fb>73.239999999999995</fb>
    <v>10</v>
  </rv>
  <rv s="6">
    <fb>74.02</fb>
    <v>10</v>
  </rv>
  <rv s="6">
    <fb>73.099999999999994</fb>
    <v>10</v>
  </rv>
  <rv s="6">
    <fb>7229709</fb>
    <v>16</v>
  </rv>
  <rv s="6">
    <fb>73.59</fb>
    <v>10</v>
  </rv>
  <rv s="6">
    <fb>73.94</fb>
    <v>10</v>
  </rv>
  <rv s="6">
    <fb>72.09</fb>
    <v>10</v>
  </rv>
  <rv s="6">
    <fb>7471711</fb>
    <v>16</v>
  </rv>
  <rv s="6">
    <fb>73.319999999999993</fb>
    <v>10</v>
  </rv>
  <rv s="6">
    <fb>73.849999999999994</fb>
    <v>10</v>
  </rv>
  <rv s="6">
    <fb>72.430000000000007</fb>
    <v>10</v>
  </rv>
  <rv s="6">
    <fb>4690135</fb>
    <v>16</v>
  </rv>
  <rv s="6">
    <fb>74.569999999999993</fb>
    <v>10</v>
  </rv>
  <rv s="6">
    <fb>73.545000000000002</fb>
    <v>10</v>
  </rv>
  <rv s="6">
    <fb>6000865</fb>
    <v>16</v>
  </rv>
  <rv s="6">
    <fb>74.81</fb>
    <v>10</v>
  </rv>
  <rv s="6">
    <fb>73.415000000000006</fb>
    <v>10</v>
  </rv>
  <rv s="6">
    <fb>9495200</fb>
    <v>16</v>
  </rv>
  <rv s="6">
    <fb>72.5</fb>
    <v>10</v>
  </rv>
  <rv s="6">
    <fb>74.400000000000006</fb>
    <v>10</v>
  </rv>
  <rv s="6">
    <fb>17760032</fb>
    <v>16</v>
  </rv>
  <rv s="6">
    <fb>73.900000000000006</fb>
    <v>10</v>
  </rv>
  <rv s="6">
    <fb>72.094999999999999</fb>
    <v>10</v>
  </rv>
  <rv s="6">
    <fb>7694773</fb>
    <v>16</v>
  </rv>
  <rv s="6">
    <fb>74.75</fb>
    <v>10</v>
  </rv>
  <rv s="6">
    <fb>76.849999999999994</fb>
    <v>10</v>
  </rv>
  <rv s="6">
    <fb>74.599999999999994</fb>
    <v>10</v>
  </rv>
  <rv s="6">
    <fb>7122238</fb>
    <v>16</v>
  </rv>
  <rv s="6">
    <fb>74.98</fb>
    <v>10</v>
  </rv>
  <rv s="6">
    <fb>76.87</fb>
    <v>10</v>
  </rv>
  <rv s="6">
    <fb>74.77</fb>
    <v>10</v>
  </rv>
  <rv s="6">
    <fb>7191117</fb>
    <v>16</v>
  </rv>
  <rv s="6">
    <fb>77.900000000000006</fb>
    <v>10</v>
  </rv>
  <rv s="6">
    <fb>78.290000000000006</fb>
    <v>10</v>
  </rv>
  <rv s="6">
    <fb>76.39</fb>
    <v>10</v>
  </rv>
  <rv s="6">
    <fb>8471308</fb>
    <v>16</v>
  </rv>
  <rv s="6">
    <fb>75.97</fb>
    <v>10</v>
  </rv>
  <rv s="6">
    <fb>77.17</fb>
    <v>10</v>
  </rv>
  <rv s="6">
    <fb>74.905000000000001</fb>
    <v>10</v>
  </rv>
  <rv s="6">
    <fb>7563228</fb>
    <v>16</v>
  </rv>
  <rv s="6">
    <fb>75.260000000000005</fb>
    <v>10</v>
  </rv>
  <rv s="6">
    <fb>72.680000000000007</fb>
    <v>10</v>
  </rv>
  <rv s="6">
    <fb>7192312</fb>
    <v>16</v>
  </rv>
  <rv s="6">
    <fb>73.709999999999994</fb>
    <v>10</v>
  </rv>
  <rv s="6">
    <fb>74.23</fb>
    <v>10</v>
  </rv>
  <rv s="6">
    <fb>72.42</fb>
    <v>10</v>
  </rv>
  <rv s="6">
    <fb>5778164</fb>
    <v>16</v>
  </rv>
  <rv s="6">
    <fb>74.05</fb>
    <v>10</v>
  </rv>
  <rv s="6">
    <fb>75.09</fb>
    <v>10</v>
  </rv>
  <rv s="6">
    <fb>73.405000000000001</fb>
    <v>10</v>
  </rv>
  <rv s="6">
    <fb>5147737</fb>
    <v>16</v>
  </rv>
  <rv s="6">
    <fb>75.2</fb>
    <v>10</v>
  </rv>
  <rv s="6">
    <fb>75.87</fb>
    <v>10</v>
  </rv>
  <rv s="6">
    <fb>74.715000000000003</fb>
    <v>10</v>
  </rv>
  <rv s="6">
    <fb>8182839</fb>
    <v>16</v>
  </rv>
  <rv s="6">
    <fb>73.34</fb>
    <v>10</v>
  </rv>
  <rv s="6">
    <fb>73.680000000000007</fb>
    <v>10</v>
  </rv>
  <rv s="6">
    <fb>71.67</fb>
    <v>10</v>
  </rv>
  <rv s="6">
    <fb>430.82</fb>
    <v>10</v>
  </rv>
  <rv s="6">
    <fb>443.36</fb>
    <v>10</v>
  </rv>
  <rv s="6">
    <fb>462.24</fb>
    <v>10</v>
  </rv>
  <rv s="6">
    <fb>463.7</fb>
    <v>10</v>
  </rv>
  <rv s="6">
    <fb>474.9</fb>
    <v>10</v>
  </rv>
  <rv s="6">
    <fb>475.34</fb>
    <v>10</v>
  </rv>
  <rv s="6">
    <fb>469.58</fb>
    <v>10</v>
  </rv>
  <rv s="6">
    <fb>477.08</fb>
    <v>10</v>
  </rv>
  <rv s="6">
    <fb>464.08</fb>
    <v>10</v>
  </rv>
  <rv s="6">
    <fb>458.33</fb>
    <v>10</v>
  </rv>
  <rv s="6">
    <fb>462.08</fb>
    <v>10</v>
  </rv>
  <rv s="6">
    <fb>463.55</fb>
    <v>10</v>
  </rv>
  <rv s="6">
    <fb>466.81</fb>
    <v>10</v>
  </rv>
  <rv s="6">
    <fb>477.64</fb>
    <v>10</v>
  </rv>
  <rv s="6">
    <fb>476.29</fb>
    <v>10</v>
  </rv>
  <rv s="6">
    <fb>475.88</fb>
    <v>10</v>
  </rv>
  <rv s="6">
    <fb>477.75</fb>
    <v>10</v>
  </rv>
  <rv s="6">
    <fb>477.72</fb>
    <v>10</v>
  </rv>
  <rv s="6">
    <fb>472.8</fb>
    <v>10</v>
  </rv>
  <rv s="6">
    <fb>471.56</fb>
    <v>10</v>
  </rv>
  <rv s="6">
    <fb>468.21</fb>
    <v>10</v>
  </rv>
  <rv s="6">
    <fb>471.32</fb>
    <v>10</v>
  </rv>
  <rv s="6">
    <fb>474.53</fb>
    <v>10</v>
  </rv>
  <rv s="6">
    <fb>473.52</fb>
    <v>10</v>
  </rv>
  <rv s="6">
    <fb>473.16</fb>
    <v>10</v>
  </rv>
  <rv s="6">
    <fb>459.83</fb>
    <v>10</v>
  </rv>
  <rv s="6">
    <fb>449.18</fb>
    <v>10</v>
  </rv>
  <rv s="6">
    <fb>465.14</fb>
    <v>10</v>
  </rv>
  <rv s="6">
    <fb>468.32</fb>
    <v>10</v>
  </rv>
  <rv s="6">
    <fb>473.06</fb>
    <v>10</v>
  </rv>
  <rv s="6">
    <fb>475.82</fb>
    <v>10</v>
  </rv>
  <rv s="6">
    <fb>470.28</fb>
    <v>10</v>
  </rv>
  <rv s="6">
    <fb>470.45</fb>
    <v>10</v>
  </rv>
  <rv s="6">
    <fb>468.88</fb>
    <v>10</v>
  </rv>
  <rv s="6">
    <fb>476.85</fb>
    <v>10</v>
  </rv>
  <rv s="6">
    <fb>469.98</fb>
    <v>10</v>
  </rv>
  <rv s="6">
    <fb>473.69</fb>
    <v>10</v>
  </rv>
  <rv s="6">
    <fb>482.38</fb>
    <v>10</v>
  </rv>
  <rv s="6">
    <fb>478.82</fb>
    <v>10</v>
  </rv>
  <rv s="6">
    <fb>480.17</fb>
    <v>10</v>
  </rv>
  <rv s="6">
    <fb>482.21</fb>
    <v>10</v>
  </rv>
  <rv s="6">
    <fb>478.03</fb>
    <v>10</v>
  </rv>
  <rv s="6">
    <fb>481.69</fb>
    <v>10</v>
  </rv>
  <rv s="6">
    <fb>480.83</fb>
    <v>10</v>
  </rv>
  <rv s="6">
    <fb>476.9</fb>
    <v>10</v>
  </rv>
  <rv s="6">
    <fb>456.6</fb>
    <v>10</v>
  </rv>
  <rv s="6">
    <fb>469.27</fb>
    <v>10</v>
  </rv>
  <rv s="6">
    <fb>486.45</fb>
    <v>10</v>
  </rv>
  <rv s="6">
    <fb>467.06</fb>
    <v>10</v>
  </rv>
  <rv s="6">
    <fb>479.34</fb>
    <v>10</v>
  </rv>
  <rv s="6">
    <fb>468.6</fb>
    <v>10</v>
  </rv>
  <rv s="6">
    <fb>470.56</fb>
    <v>10</v>
  </rv>
  <rv s="6">
    <fb>472.46</fb>
    <v>10</v>
  </rv>
  <rv s="6">
    <fb>460.2</fb>
    <v>10</v>
  </rv>
  <rv s="6">
    <fb>458.39</fb>
    <v>10</v>
  </rv>
  <rv s="6">
    <fb>457.9</fb>
    <v>10</v>
  </rv>
  <rv s="6">
    <fb>458.59</fb>
    <v>10</v>
  </rv>
  <rv s="6">
    <fb>463.14</fb>
    <v>10</v>
  </rv>
  <rv s="6">
    <fb>465.94</fb>
    <v>10</v>
  </rv>
  <rv s="6">
    <fb>462.55</fb>
    <v>10</v>
  </rv>
  <rv s="6">
    <fb>462.52</fb>
    <v>10</v>
  </rv>
  <rv s="6">
    <fb>469.06</fb>
    <v>10</v>
  </rv>
  <rv s="6">
    <fb>463.01</fb>
    <v>10</v>
  </rv>
  <rv s="6">
    <fb>463.06</fb>
    <v>10</v>
  </rv>
  <rv s="6">
    <fb>464.31</fb>
    <v>10</v>
  </rv>
  <rv s="6">
    <fb>467.51</fb>
    <v>10</v>
  </rv>
  <rv s="6">
    <fb>473.57</fb>
    <v>10</v>
  </rv>
  <rv s="6">
    <fb>470.12</fb>
    <v>10</v>
  </rv>
  <rv s="6">
    <fb>471.47</fb>
    <v>10</v>
  </rv>
  <rv s="6">
    <fb>469.2</fb>
    <v>10</v>
  </rv>
  <rv s="6">
    <fb>463.96</fb>
    <v>10</v>
  </rv>
  <rv s="6">
    <fb>460.53</fb>
    <v>10</v>
  </rv>
  <rv s="6">
    <fb>410.74</fb>
    <v>10</v>
  </rv>
  <rv s="6">
    <fb>419.39</fb>
    <v>10</v>
  </rv>
  <rv s="6">
    <fb>420.55</fb>
    <v>10</v>
  </rv>
  <rv s="6">
    <fb>421.17</fb>
    <v>10</v>
  </rv>
  <rv s="6">
    <fb>421.34</fb>
    <v>10</v>
  </rv>
  <rv s="6">
    <fb>420.13</fb>
    <v>10</v>
  </rv>
  <rv s="6">
    <fb>418.68</fb>
    <v>10</v>
  </rv>
  <rv s="6">
    <fb>420.98</fb>
    <v>10</v>
  </rv>
  <rv s="6">
    <fb>421.01</fb>
    <v>10</v>
  </rv>
  <rv s="6">
    <fb>423.7</fb>
    <v>10</v>
  </rv>
  <rv s="6">
    <fb>428.24</fb>
    <v>10</v>
  </rv>
  <rv s="6">
    <fb>434.85</fb>
    <v>10</v>
  </rv>
  <rv s="6">
    <fb>430.75</fb>
    <v>10</v>
  </rv>
  <rv s="6">
    <fb>425.63</fb>
    <v>10</v>
  </rv>
  <rv s="6">
    <fb>426.26</fb>
    <v>10</v>
  </rv>
  <rv s="6">
    <fb>431.56</fb>
    <v>10</v>
  </rv>
  <rv s="6">
    <fb>442.57</fb>
    <v>10</v>
  </rv>
  <rv s="6">
    <fb>437.32</fb>
    <v>10</v>
  </rv>
  <rv s="6">
    <fb>437.56</fb>
    <v>10</v>
  </rv>
  <rv s="6">
    <fb>440.64</fb>
    <v>10</v>
  </rv>
  <rv s="6">
    <fb>441.1</fb>
    <v>10</v>
  </rv>
  <rv s="6">
    <fb>446</fb>
    <v>10</v>
  </rv>
  <rv s="6">
    <fb>447.2</fb>
    <v>10</v>
  </rv>
  <rv s="6">
    <fb>446.2</fb>
    <v>10</v>
  </rv>
  <rv s="6">
    <fb>447.72</fb>
    <v>10</v>
  </rv>
  <rv s="6">
    <fb>455.46</fb>
    <v>10</v>
  </rv>
  <rv s="6">
    <fb>454.47</fb>
    <v>10</v>
  </rv>
  <rv s="6">
    <fb>456.18</fb>
    <v>10</v>
  </rv>
  <rv s="6">
    <fb>455.63</fb>
    <v>10</v>
  </rv>
  <rv s="6">
    <fb>452.5</fb>
    <v>10</v>
  </rv>
  <rv s="6">
    <fb>449.06</fb>
    <v>10</v>
  </rv>
  <rv s="6">
    <fb>456.85</fb>
    <v>10</v>
  </rv>
  <rv s="6">
    <fb>463.9</fb>
    <v>10</v>
  </rv>
  <rv s="6">
    <fb>459.11</fb>
    <v>10</v>
  </rv>
  <rv s="6">
    <fb>457.06</fb>
    <v>10</v>
  </rv>
  <rv s="6">
    <fb>463.87</fb>
    <v>10</v>
  </rv>
  <rv s="6">
    <fb>470.73</fb>
    <v>10</v>
  </rv>
  <rv s="6">
    <fb>471.31</fb>
    <v>10</v>
  </rv>
  <rv s="6">
    <fb>473.25</fb>
    <v>10</v>
  </rv>
  <rv s="6">
    <fb>474.32</fb>
    <v>10</v>
  </rv>
  <rv s="6">
    <fb>473.12</fb>
    <v>10</v>
  </rv>
  <rv s="6">
    <fb>473.62</fb>
    <v>10</v>
  </rv>
  <rv s="6">
    <fb>472.94</fb>
    <v>10</v>
  </rv>
  <rv s="6">
    <fb>480.39</fb>
    <v>10</v>
  </rv>
  <rv s="6">
    <fb>486.67</fb>
    <v>10</v>
  </rv>
  <rv s="6">
    <fb>486.25</fb>
    <v>10</v>
  </rv>
  <rv s="6">
    <fb>484.34</fb>
    <v>10</v>
  </rv>
  <rv s="6">
    <fb>487.44</fb>
    <v>10</v>
  </rv>
  <rv s="6">
    <fb>491.98</fb>
    <v>10</v>
  </rv>
  <rv s="6">
    <fb>499.21</fb>
    <v>10</v>
  </rv>
  <rv s="6">
    <fb>499</fb>
    <v>10</v>
  </rv>
  <rv s="6">
    <fb>499.36</fb>
    <v>10</v>
  </rv>
  <rv s="6">
    <fb>504.49</fb>
    <v>10</v>
  </rv>
  <rv s="6">
    <fb>514.24</fb>
    <v>10</v>
  </rv>
  <rv s="6">
    <fb>511.07</fb>
    <v>10</v>
  </rv>
  <rv s="6">
    <fb>514.02</fb>
    <v>10</v>
  </rv>
  <rv s="6">
    <fb>507.76</fb>
    <v>10</v>
  </rv>
  <rv s="6">
    <fb>505.05</fb>
    <v>10</v>
  </rv>
  <rv s="6">
    <fb>503.83</fb>
    <v>10</v>
  </rv>
  <rv s="6">
    <fb>505.18</fb>
    <v>10</v>
  </rv>
  <rv s="6">
    <fb>499.41</fb>
    <v>10</v>
  </rv>
  <rv s="6">
    <fb>493.25</fb>
    <v>10</v>
  </rv>
  <rv s="6">
    <fb>495.15</fb>
    <v>10</v>
  </rv>
  <rv s="6">
    <fb>505.9</fb>
    <v>10</v>
  </rv>
  <rv s="6">
    <fb>489.5</fb>
    <v>10</v>
  </rv>
  <rv s="6">
    <fb>487.14</fb>
    <v>10</v>
  </rv>
  <rv s="6">
    <fb>488.05</fb>
    <v>10</v>
  </rv>
  <rv s="6">
    <fb>485.41</fb>
    <v>10</v>
  </rv>
  <rv s="6">
    <fb>486.91</fb>
    <v>10</v>
  </rv>
  <rv s="6">
    <fb>485.77</fb>
    <v>10</v>
  </rv>
  <rv s="6">
    <fb>485.33</fb>
    <v>10</v>
  </rv>
  <rv s="6">
    <fb>489.72</fb>
    <v>10</v>
  </rv>
  <rv s="6">
    <fb>491.88</fb>
    <v>10</v>
  </rv>
  <rv s="6">
    <fb>487.94</fb>
    <v>10</v>
  </rv>
  <rv s="6">
    <fb>484.98</fb>
    <v>10</v>
  </rv>
  <rv s="6">
    <fb>473.14</fb>
    <v>10</v>
  </rv>
  <rv s="6">
    <fb>468.92</fb>
    <v>10</v>
  </rv>
  <rv s="6">
    <fb>458.35</fb>
    <v>10</v>
  </rv>
  <rv s="6">
    <fb>452.1</fb>
    <v>10</v>
  </rv>
  <rv s="6">
    <fb>457.07</fb>
    <v>10</v>
  </rv>
  <rv s="6">
    <fb>457.04</fb>
    <v>10</v>
  </rv>
  <rv s="6">
    <fb>455.85</fb>
    <v>10</v>
  </rv>
  <rv s="6">
    <fb>465.77</fb>
    <v>10</v>
  </rv>
  <rv s="6">
    <fb>470.78</fb>
    <v>10</v>
  </rv>
  <rv s="6">
    <fb>474.72</fb>
    <v>10</v>
  </rv>
  <rv s="6">
    <fb>469.91</fb>
    <v>10</v>
  </rv>
  <rv s="6">
    <fb>468.26</fb>
    <v>10</v>
  </rv>
  <rv s="6">
    <fb>460.78</fb>
    <v>10</v>
  </rv>
  <rv s="6">
    <fb>451.06</fb>
    <v>10</v>
  </rv>
  <rv s="6">
    <fb>452.41</fb>
    <v>10</v>
  </rv>
  <rv s="6">
    <fb>454.16</fb>
    <v>10</v>
  </rv>
  <rv s="6">
    <fb>457.86</fb>
    <v>10</v>
  </rv>
  <rv s="6">
    <fb>439.19</fb>
    <v>10</v>
  </rv>
  <rv s="6">
    <fb>441.82</fb>
    <v>10</v>
  </rv>
  <rv s="6">
    <fb>446.8</fb>
    <v>10</v>
  </rv>
  <rv s="6">
    <fb>448.35</fb>
    <v>10</v>
  </rv>
  <rv s="6">
    <fb>452.2</fb>
    <v>10</v>
  </rv>
  <rv s="6">
    <fb>465.38</fb>
    <v>10</v>
  </rv>
  <rv s="6">
    <fb>466.89</fb>
    <v>10</v>
  </rv>
  <rv s="6">
    <fb>467.94</fb>
    <v>10</v>
  </rv>
  <rv s="6">
    <fb>474.88</fb>
    <v>10</v>
  </rv>
  <rv s="6">
    <fb>480.25</fb>
    <v>10</v>
  </rv>
  <rv s="6">
    <fb>484.42</fb>
    <v>10</v>
  </rv>
  <rv s="6">
    <fb>477.06</fb>
    <v>10</v>
  </rv>
  <rv s="6">
    <fb>474.79</fb>
    <v>10</v>
  </rv>
  <rv s="6">
    <fb>470.14</fb>
    <v>10</v>
  </rv>
  <rv s="6">
    <fb>474.13</fb>
    <v>10</v>
  </rv>
  <rv s="6">
    <fb>483.57</fb>
    <v>10</v>
  </rv>
  <rv s="6">
    <fb>482.55</fb>
    <v>10</v>
  </rv>
  <rv s="6">
    <fb>485.75</fb>
    <v>10</v>
  </rv>
  <rv s="6">
    <fb>483.03</fb>
    <v>10</v>
  </rv>
  <rv s="6">
    <fb>488.87</fb>
    <v>10</v>
  </rv>
  <rv s="6">
    <fb>488</fb>
    <v>10</v>
  </rv>
  <rv s="6">
    <fb>483.67</fb>
    <v>10</v>
  </rv>
  <rv s="6">
    <fb>497.07</fb>
    <v>10</v>
  </rv>
  <rv s="6">
    <fb>511.57</fb>
    <v>10</v>
  </rv>
  <rv s="6">
    <fb>522.04</fb>
    <v>10</v>
  </rv>
  <rv s="6">
    <fb>496.87</fb>
    <v>10</v>
  </rv>
  <rv s="6">
    <fb>518.44000000000005</fb>
    <v>10</v>
  </rv>
  <rv s="6">
    <fb>542.91999999999996</fb>
    <v>10</v>
  </rv>
  <rv s="6">
    <fb>551.24</fb>
    <v>10</v>
  </rv>
  <rv s="6">
    <fb>558.29999999999995</fb>
    <v>10</v>
  </rv>
  <rv s="6">
    <fb>572.70000000000005</fb>
    <v>10</v>
  </rv>
  <rv s="6">
    <fb>577.89</fb>
    <v>10</v>
  </rv>
  <rv s="6">
    <fb>582.42999999999995</fb>
    <v>10</v>
  </rv>
  <rv s="6">
    <fb>576.05999999999995</fb>
    <v>10</v>
  </rv>
  <rv s="6">
    <fb>586.23</fb>
    <v>10</v>
  </rv>
  <rv s="6">
    <fb>593.91</fb>
    <v>10</v>
  </rv>
  <rv s="6">
    <fb>590.82000000000005</fb>
    <v>10</v>
  </rv>
  <rv s="6">
    <fb>581.66</fb>
    <v>10</v>
  </rv>
  <rv s="6">
    <fb>594.95000000000005</fb>
    <v>10</v>
  </rv>
  <rv s="6">
    <fb>597.27</fb>
    <v>10</v>
  </rv>
  <rv s="6">
    <fb>622.51</fb>
    <v>10</v>
  </rv>
  <rv s="6">
    <fb>634.22</fb>
    <v>10</v>
  </rv>
  <rv s="6">
    <fb>636</fb>
    <v>10</v>
  </rv>
  <rv s="6">
    <fb>628.26</fb>
    <v>10</v>
  </rv>
  <rv s="6">
    <fb>602.76</fb>
    <v>10</v>
  </rv>
  <rv s="6">
    <fb>609.17999999999995</fb>
    <v>10</v>
  </rv>
  <rv s="6">
    <fb>623.58000000000004</fb>
    <v>10</v>
  </rv>
  <rv s="6">
    <fb>638.29</fb>
    <v>10</v>
  </rv>
  <rv s="6">
    <fb>629.55999999999995</fb>
    <v>10</v>
  </rv>
  <rv s="6">
    <fb>628.70000000000005</fb>
    <v>10</v>
  </rv>
  <rv s="6">
    <fb>637.42999999999995</fb>
    <v>10</v>
  </rv>
  <rv s="6">
    <fb>652.58000000000004</fb>
    <v>10</v>
  </rv>
  <rv s="6">
    <fb>649.58000000000004</fb>
    <v>10</v>
  </rv>
  <rv s="6">
    <fb>666.51</fb>
    <v>10</v>
  </rv>
  <rv s="6">
    <fb>658.26</fb>
    <v>10</v>
  </rv>
  <rv s="6">
    <fb>664.43</fb>
    <v>10</v>
  </rv>
  <rv s="6">
    <fb>647.5</fb>
    <v>10</v>
  </rv>
  <rv s="6">
    <fb>641.63</fb>
    <v>10</v>
  </rv>
  <rv s="6">
    <fb>658.08</fb>
    <v>10</v>
  </rv>
  <rv s="6">
    <fb>676.7</fb>
    <v>10</v>
  </rv>
  <rv s="6">
    <fb>667.82</fb>
    <v>10</v>
  </rv>
  <rv s="6">
    <fb>664.48</fb>
    <v>10</v>
  </rv>
  <rv s="6">
    <fb>655</fb>
    <v>10</v>
  </rv>
  <rv s="6">
    <fb>671.77</fb>
    <v>10</v>
  </rv>
  <rv s="6">
    <fb>664.15</fb>
    <v>10</v>
  </rv>
  <rv s="6">
    <fb>651.22</fb>
    <v>10</v>
  </rv>
  <rv s="6">
    <fb>649.47</fb>
    <v>10</v>
  </rv>
  <rv s="6">
    <fb>652.83000000000004</fb>
    <v>10</v>
  </rv>
  <rv s="6">
    <fb>646</fb>
    <v>10</v>
  </rv>
  <rv s="6">
    <fb>645.20000000000005</fb>
    <v>10</v>
  </rv>
  <rv s="6">
    <fb>636.33000000000004</fb>
    <v>10</v>
  </rv>
  <rv s="6">
    <fb>642.28</fb>
    <v>10</v>
  </rv>
  <rv s="6">
    <fb>637.51</fb>
    <v>10</v>
  </rv>
  <rv s="6">
    <fb>627.42999999999995</fb>
    <v>10</v>
  </rv>
  <rv s="6">
    <fb>616.25</fb>
    <v>10</v>
  </rv>
  <rv s="6">
    <fb>610.16999999999996</fb>
    <v>10</v>
  </rv>
  <rv s="6">
    <fb>624.20000000000005</fb>
    <v>10</v>
  </rv>
  <rv s="6">
    <fb>627.33000000000004</fb>
    <v>10</v>
  </rv>
  <rv s="6">
    <fb>615.84</fb>
    <v>10</v>
  </rv>
  <rv s="6">
    <fb>598.57000000000005</fb>
    <v>10</v>
  </rv>
  <rv s="6">
    <fb>604.39</fb>
    <v>10</v>
  </rv>
  <rv s="6">
    <fb>617.64</fb>
    <v>10</v>
  </rv>
  <rv s="6">
    <fb>622.79</fb>
    <v>10</v>
  </rv>
  <rv s="6">
    <fb>2369743</fb>
    <v>16</v>
  </rv>
  <rv s="6">
    <fb>675.58</fb>
    <v>10</v>
  </rv>
  <rv s="6">
    <fb>676.07500000000005</fb>
    <v>10</v>
  </rv>
  <rv s="6">
    <fb>657.34500000000003</fb>
    <v>10</v>
  </rv>
  <rv s="6">
    <fb>1653018</fb>
    <v>16</v>
  </rv>
  <rv s="6">
    <fb>657.95</fb>
    <v>10</v>
  </rv>
  <rv s="6">
    <fb>659.89</fb>
    <v>10</v>
  </rv>
  <rv s="6">
    <fb>646.20000000000005</fb>
    <v>10</v>
  </rv>
  <rv s="6">
    <fb>1365219</fb>
    <v>16</v>
  </rv>
  <rv s="6">
    <fb>645.32000000000005</fb>
    <v>10</v>
  </rv>
  <rv s="6">
    <fb>656.99990000000003</fb>
    <v>10</v>
  </rv>
  <rv s="6">
    <fb>644.13</fb>
    <v>10</v>
  </rv>
  <rv s="6">
    <fb>1411169</fb>
    <v>16</v>
  </rv>
  <rv s="6">
    <fb>651.95000000000005</fb>
    <v>10</v>
  </rv>
  <rv s="6">
    <fb>661</fb>
    <v>10</v>
  </rv>
  <rv s="6">
    <fb>646.63</fb>
    <v>10</v>
  </rv>
  <rv s="6">
    <fb>1071344</fb>
    <v>16</v>
  </rv>
  <rv s="6">
    <fb>652.66999999999996</fb>
    <v>10</v>
  </rv>
  <rv s="6">
    <fb>660</fb>
    <v>10</v>
  </rv>
  <rv s="6">
    <fb>640.5</fb>
    <v>10</v>
  </rv>
  <rv s="6">
    <fb>1180980</fb>
    <v>16</v>
  </rv>
  <rv s="6">
    <fb>645.22500000000002</fb>
    <v>10</v>
  </rv>
  <rv s="6">
    <fb>651.54999999999995</fb>
    <v>10</v>
  </rv>
  <rv s="6">
    <fb>639</fb>
    <v>10</v>
  </rv>
  <rv s="6">
    <fb>1389066</fb>
    <v>16</v>
  </rv>
  <rv s="6">
    <fb>644.96</fb>
    <v>10</v>
  </rv>
  <rv s="6">
    <fb>645</fb>
    <v>10</v>
  </rv>
  <rv s="6">
    <fb>632.78899999999999</fb>
    <v>10</v>
  </rv>
  <rv s="6">
    <fb>1026183</fb>
    <v>16</v>
  </rv>
  <rv s="6">
    <fb>641.11</fb>
    <v>10</v>
  </rv>
  <rv s="6">
    <fb>645.85</fb>
    <v>10</v>
  </rv>
  <rv s="6">
    <fb>636.45000000000005</fb>
    <v>10</v>
  </rv>
  <rv s="6">
    <fb>1540841</fb>
    <v>16</v>
  </rv>
  <rv s="6">
    <fb>639.05999999999995</fb>
    <v>10</v>
  </rv>
  <rv s="6">
    <fb>640</fb>
    <v>10</v>
  </rv>
  <rv s="6">
    <fb>623.75</fb>
    <v>10</v>
  </rv>
  <rv s="6">
    <fb>6511253</fb>
    <v>16</v>
  </rv>
  <rv s="6">
    <fb>635.86</fb>
    <v>10</v>
  </rv>
  <rv s="6">
    <fb>638.50990000000002</fb>
    <v>10</v>
  </rv>
  <rv s="6">
    <fb>622.37</fb>
    <v>10</v>
  </rv>
  <rv s="6">
    <fb>1386641</fb>
    <v>16</v>
  </rv>
  <rv s="6">
    <fb>629.07000000000005</fb>
    <v>10</v>
  </rv>
  <rv s="6">
    <fb>629.65790000000004</fb>
    <v>10</v>
  </rv>
  <rv s="6">
    <fb>610.63</fb>
    <v>10</v>
  </rv>
  <rv s="6">
    <fb>1078188</fb>
    <v>16</v>
  </rv>
  <rv s="6">
    <fb>612.95000000000005</fb>
    <v>10</v>
  </rv>
  <rv s="6">
    <fb>615.29999999999995</fb>
    <v>10</v>
  </rv>
  <rv s="6">
    <fb>605.00009999999997</fb>
    <v>10</v>
  </rv>
  <rv s="6">
    <fb>1190275</fb>
    <v>16</v>
  </rv>
  <rv s="6">
    <fb>612.5</fb>
    <v>10</v>
  </rv>
  <rv s="6">
    <fb>626.92999999999995</fb>
    <v>10</v>
  </rv>
  <rv s="6">
    <fb>612.41999999999996</fb>
    <v>10</v>
  </rv>
  <rv s="6">
    <fb>1262434</fb>
    <v>16</v>
  </rv>
  <rv s="6">
    <fb>619.79999999999995</fb>
    <v>10</v>
  </rv>
  <rv s="6">
    <fb>632.91999999999996</fb>
    <v>10</v>
  </rv>
  <rv s="6">
    <fb>1061125</fb>
    <v>16</v>
  </rv>
  <rv s="6">
    <fb>625.70000000000005</fb>
    <v>10</v>
  </rv>
  <rv s="6">
    <fb>631.44500000000005</fb>
    <v>10</v>
  </rv>
  <rv s="6">
    <fb>613.65509999999995</fb>
    <v>10</v>
  </rv>
  <rv s="6">
    <fb>1849318</fb>
    <v>16</v>
  </rv>
  <rv s="6">
    <fb>621.03</fb>
    <v>10</v>
  </rv>
  <rv s="6">
    <fb>623.32000000000005</fb>
    <v>10</v>
  </rv>
  <rv s="6">
    <fb>593.88</fb>
    <v>10</v>
  </rv>
  <rv s="6">
    <fb>1327800</fb>
    <v>16</v>
  </rv>
  <rv s="6">
    <fb>604.5</fb>
    <v>10</v>
  </rv>
  <rv s="6">
    <fb>610</fb>
    <v>10</v>
  </rv>
  <rv s="6">
    <fb>598.70000000000005</fb>
    <v>10</v>
  </rv>
  <rv s="6">
    <fb>1118050</fb>
    <v>16</v>
  </rv>
  <rv s="6">
    <fb>608.82000000000005</fb>
    <v>10</v>
  </rv>
  <rv s="6">
    <fb>619.1</fb>
    <v>10</v>
  </rv>
  <rv s="6">
    <fb>606.11</fb>
    <v>10</v>
  </rv>
  <rv s="6">
    <fb>1116763</fb>
    <v>16</v>
  </rv>
  <rv s="6">
    <fb>616.70000000000005</fb>
    <v>10</v>
  </rv>
  <rv s="6">
    <fb>626.51</fb>
    <v>10</v>
  </rv>
  <rv s="6">
    <fb>616.01</fb>
    <v>10</v>
  </rv>
  <rv s="6">
    <fb>357.86</fb>
    <v>10</v>
  </rv>
  <rv s="6">
    <fb>354.56</fb>
    <v>10</v>
  </rv>
  <rv s="6">
    <fb>390.49</fb>
    <v>10</v>
  </rv>
  <rv s="6">
    <fb>381.35</fb>
    <v>10</v>
  </rv>
  <rv s="6">
    <fb>388.45</fb>
    <v>10</v>
  </rv>
  <rv s="6">
    <fb>387.81</fb>
    <v>10</v>
  </rv>
  <rv s="6">
    <fb>385.73</fb>
    <v>10</v>
  </rv>
  <rv s="6">
    <fb>371.61</fb>
    <v>10</v>
  </rv>
  <rv s="6">
    <fb>367.78</fb>
    <v>10</v>
  </rv>
  <rv s="6">
    <fb>359.12</fb>
    <v>10</v>
  </rv>
  <rv s="6">
    <fb>366.82</fb>
    <v>10</v>
  </rv>
  <rv s="6">
    <fb>374.39</fb>
    <v>10</v>
  </rv>
  <rv s="6">
    <fb>387.3</fb>
    <v>10</v>
  </rv>
  <rv s="6">
    <fb>391.85</fb>
    <v>10</v>
  </rv>
  <rv s="6">
    <fb>391.16</fb>
    <v>10</v>
  </rv>
  <rv s="6">
    <fb>394.04</fb>
    <v>10</v>
  </rv>
  <rv s="6">
    <fb>395.26</fb>
    <v>10</v>
  </rv>
  <rv s="6">
    <fb>425.4</fb>
    <v>10</v>
  </rv>
  <rv s="6">
    <fb>435.28</fb>
    <v>10</v>
  </rv>
  <rv s="6">
    <fb>436.17</fb>
    <v>10</v>
  </rv>
  <rv s="6">
    <fb>433.31</fb>
    <v>10</v>
  </rv>
  <rv s="6">
    <fb>433.35</fb>
    <v>10</v>
  </rv>
  <rv s="6">
    <fb>438.17</fb>
    <v>10</v>
  </rv>
  <rv s="6">
    <fb>438.73</fb>
    <v>10</v>
  </rv>
  <rv s="6">
    <fb>449.26</fb>
    <v>10</v>
  </rv>
  <rv s="6">
    <fb>449.14</fb>
    <v>10</v>
  </rv>
  <rv s="6">
    <fb>452.94</fb>
    <v>10</v>
  </rv>
  <rv s="6">
    <fb>453.13</fb>
    <v>10</v>
  </rv>
  <rv s="6">
    <fb>454.27</fb>
    <v>10</v>
  </rv>
  <rv s="6">
    <fb>458.87</fb>
    <v>10</v>
  </rv>
  <rv s="6">
    <fb>458.17</fb>
    <v>10</v>
  </rv>
  <rv s="6">
    <fb>452.57</fb>
    <v>10</v>
  </rv>
  <rv s="6">
    <fb>454.86</fb>
    <v>10</v>
  </rv>
  <rv s="6">
    <fb>450.18</fb>
    <v>10</v>
  </rv>
  <rv s="6">
    <fb>460.69</fb>
    <v>10</v>
  </rv>
  <rv s="6">
    <fb>457.36</fb>
    <v>10</v>
  </rv>
  <rv s="6">
    <fb>458.68</fb>
    <v>10</v>
  </rv>
  <rv s="6">
    <fb>460.36</fb>
    <v>10</v>
  </rv>
  <rv s="6">
    <fb>461.97</fb>
    <v>10</v>
  </rv>
  <rv s="6">
    <fb>462.97</fb>
    <v>10</v>
  </rv>
  <rv s="6">
    <fb>467.68</fb>
    <v>10</v>
  </rv>
  <rv s="6">
    <fb>470.38</fb>
    <v>10</v>
  </rv>
  <rv s="6">
    <fb>472.75</fb>
    <v>10</v>
  </rv>
  <rv s="6">
    <fb>470.92</fb>
    <v>10</v>
  </rv>
  <rv s="6">
    <fb>472.62</fb>
    <v>10</v>
  </rv>
  <rv s="6">
    <fb>478.87</fb>
    <v>10</v>
  </rv>
  <rv s="6">
    <fb>474.96</fb>
    <v>10</v>
  </rv>
  <rv s="6">
    <fb>479.14</fb>
    <v>10</v>
  </rv>
  <rv s="6">
    <fb>478.04</fb>
    <v>10</v>
  </rv>
  <rv s="6">
    <fb>480.24</fb>
    <v>10</v>
  </rv>
  <rv s="6">
    <fb>477.4</fb>
    <v>10</v>
  </rv>
  <rv s="6">
    <fb>486</fb>
    <v>10</v>
  </rv>
  <rv s="6">
    <fb>490.11</fb>
    <v>10</v>
  </rv>
  <rv s="6">
    <fb>492.27</fb>
    <v>10</v>
  </rv>
  <rv s="6">
    <fb>497.45</fb>
    <v>10</v>
  </rv>
  <rv s="6">
    <fb>495.94</fb>
    <v>10</v>
  </rv>
  <rv s="6">
    <fb>497.41</fb>
    <v>10</v>
  </rv>
  <rv s="6">
    <fb>492.05</fb>
    <v>10</v>
  </rv>
  <rv s="6">
    <fb>491.09</fb>
    <v>10</v>
  </rv>
  <rv s="6">
    <fb>498.84</fb>
    <v>10</v>
  </rv>
  <rv s="6">
    <fb>497.72</fb>
    <v>10</v>
  </rv>
  <rv s="6">
    <fb>496.62</fb>
    <v>10</v>
  </rv>
  <rv s="6">
    <fb>503.51</fb>
    <v>10</v>
  </rv>
  <rv s="6">
    <fb>503.32</fb>
    <v>10</v>
  </rv>
  <rv s="6">
    <fb>503.02</fb>
    <v>10</v>
  </rv>
  <rv s="6">
    <fb>505.82</fb>
    <v>10</v>
  </rv>
  <rv s="6">
    <fb>505.62</fb>
    <v>10</v>
  </rv>
  <rv s="6">
    <fb>511.7</fb>
    <v>10</v>
  </rv>
  <rv s="6">
    <fb>510.05</fb>
    <v>10</v>
  </rv>
  <rv s="6">
    <fb>510.06</fb>
    <v>10</v>
  </rv>
  <rv s="6">
    <fb>505.27</fb>
    <v>10</v>
  </rv>
  <rv s="6">
    <fb>505.87</fb>
    <v>10</v>
  </rv>
  <rv s="6">
    <fb>510.88</fb>
    <v>10</v>
  </rv>
  <rv s="6">
    <fb>513.71</fb>
    <v>10</v>
  </rv>
  <rv s="6">
    <fb>512.5</fb>
    <v>10</v>
  </rv>
  <rv s="6">
    <fb>512.57000000000005</fb>
    <v>10</v>
  </rv>
  <rv s="6">
    <fb>513.24</fb>
    <v>10</v>
  </rv>
  <rv s="6">
    <fb>533.5</fb>
    <v>10</v>
  </rv>
  <rv s="6">
    <fb>524.11</fb>
    <v>10</v>
  </rv>
  <rv s="6">
    <fb>535.64</fb>
    <v>10</v>
  </rv>
  <rv s="6">
    <fb>527.75</fb>
    <v>10</v>
  </rv>
  <rv s="6">
    <fb>524.94000000000005</fb>
    <v>10</v>
  </rv>
  <rv s="6">
    <fb>520.84</fb>
    <v>10</v>
  </rv>
  <rv s="6">
    <fb>521.77</fb>
    <v>10</v>
  </rv>
  <rv s="6">
    <fb>529.24</fb>
    <v>10</v>
  </rv>
  <rv s="6">
    <fb>520.58000000000004</fb>
    <v>10</v>
  </rv>
  <rv s="6">
    <fb>522.48</fb>
    <v>10</v>
  </rv>
  <rv s="6">
    <fb>520.16999999999996</fb>
    <v>10</v>
  </rv>
  <rv s="6">
    <fb>517.1</fb>
    <v>10</v>
  </rv>
  <rv s="6">
    <fb>509.77</fb>
    <v>10</v>
  </rv>
  <rv s="6">
    <fb>505.72</fb>
    <v>10</v>
  </rv>
  <rv s="6">
    <fb>504.24</fb>
    <v>10</v>
  </rv>
  <rv s="6">
    <fb>507.23</fb>
    <v>10</v>
  </rv>
  <rv s="6">
    <fb>504.26</fb>
    <v>10</v>
  </rv>
  <rv s="6">
    <fb>502.04</fb>
    <v>10</v>
  </rv>
  <rv s="6">
    <fb>506.74</fb>
    <v>10</v>
  </rv>
  <rv s="6">
    <fb>509.64</fb>
    <v>10</v>
  </rv>
  <rv s="6">
    <fb>506.69</fb>
    <v>10</v>
  </rv>
  <rv s="6">
    <fb>505.12</fb>
    <v>10</v>
  </rv>
  <rv s="6">
    <fb>505.35</fb>
    <v>10</v>
  </rv>
  <rv s="6">
    <fb>507.97</fb>
    <v>10</v>
  </rv>
  <rv s="6">
    <fb>495</fb>
    <v>10</v>
  </rv>
  <rv s="6">
    <fb>498.2</fb>
    <v>10</v>
  </rv>
  <rv s="6">
    <fb>498.41</fb>
    <v>10</v>
  </rv>
  <rv s="6">
    <fb>500.37</fb>
    <v>10</v>
  </rv>
  <rv s="6">
    <fb>501.01</fb>
    <v>10</v>
  </rv>
  <rv s="6">
    <fb>509.9</fb>
    <v>10</v>
  </rv>
  <rv s="6">
    <fb>515.36</fb>
    <v>10</v>
  </rv>
  <rv s="6">
    <fb>509.04</fb>
    <v>10</v>
  </rv>
  <rv s="6">
    <fb>510.02</fb>
    <v>10</v>
  </rv>
  <rv s="6">
    <fb>508.45</fb>
    <v>10</v>
  </rv>
  <rv s="6">
    <fb>517.92999999999995</fb>
    <v>10</v>
  </rv>
  <rv s="6">
    <fb>514.45000000000005</fb>
    <v>10</v>
  </rv>
  <rv s="6">
    <fb>509.23</fb>
    <v>10</v>
  </rv>
  <rv s="6">
    <fb>510.15</fb>
    <v>10</v>
  </rv>
  <rv s="6">
    <fb>507.03</fb>
    <v>10</v>
  </rv>
  <rv s="6">
    <fb>511.46</fb>
    <v>10</v>
  </rv>
  <rv s="6">
    <fb>514.6</fb>
    <v>10</v>
  </rv>
  <rv s="6">
    <fb>517.95000000000005</fb>
    <v>10</v>
  </rv>
  <rv s="6">
    <fb>519.71</fb>
    <v>10</v>
  </rv>
  <rv s="6">
    <fb>515.74</fb>
    <v>10</v>
  </rv>
  <rv s="6">
    <fb>517.35</fb>
    <v>10</v>
  </rv>
  <rv s="6">
    <fb>528.57000000000005</fb>
    <v>10</v>
  </rv>
  <rv s="6">
    <fb>523.98</fb>
    <v>10</v>
  </rv>
  <rv s="6">
    <fb>524.85</fb>
    <v>10</v>
  </rv>
  <rv s="6">
    <fb>522.4</fb>
    <v>10</v>
  </rv>
  <rv s="6">
    <fb>510.96</fb>
    <v>10</v>
  </rv>
  <rv s="6">
    <fb>514.04999999999995</fb>
    <v>10</v>
  </rv>
  <rv s="6">
    <fb>513.57000000000005</fb>
    <v>10</v>
  </rv>
  <rv s="6">
    <fb>513.42999999999995</fb>
    <v>10</v>
  </rv>
  <rv s="6">
    <fb>511.61</fb>
    <v>10</v>
  </rv>
  <rv s="6">
    <fb>513.58000000000004</fb>
    <v>10</v>
  </rv>
  <rv s="6">
    <fb>516.79</fb>
    <v>10</v>
  </rv>
  <rv s="6">
    <fb>517.66</fb>
    <v>10</v>
  </rv>
  <rv s="6">
    <fb>520.54</fb>
    <v>10</v>
  </rv>
  <rv s="6">
    <fb>520.55999999999995</fb>
    <v>10</v>
  </rv>
  <rv s="6">
    <fb>523.61</fb>
    <v>10</v>
  </rv>
  <rv s="6">
    <fb>531.52</fb>
    <v>10</v>
  </rv>
  <rv s="6">
    <fb>542.07000000000005</fb>
    <v>10</v>
  </rv>
  <rv s="6">
    <fb>541.54999999999995</fb>
    <v>10</v>
  </rv>
  <rv s="6">
    <fb>525.76</fb>
    <v>10</v>
  </rv>
  <rv s="6">
    <fb>517.80999999999995</fb>
    <v>10</v>
  </rv>
  <rv s="6">
    <fb>517.03</fb>
    <v>10</v>
  </rv>
  <rv s="6">
    <fb>514.33000000000004</fb>
    <v>10</v>
  </rv>
  <rv s="6">
    <fb>507.16</fb>
    <v>10</v>
  </rv>
  <rv s="6">
    <fb>497.1</fb>
    <v>10</v>
  </rv>
  <rv s="6">
    <fb>496.82</fb>
    <v>10</v>
  </rv>
  <rv s="6">
    <fb>506</fb>
    <v>10</v>
  </rv>
  <rv s="6">
    <fb>508.68</fb>
    <v>10</v>
  </rv>
  <rv s="6">
    <fb>511.14</fb>
    <v>10</v>
  </rv>
  <rv s="6">
    <fb>503.29</fb>
    <v>10</v>
  </rv>
  <rv s="6">
    <fb>510.18</fb>
    <v>10</v>
  </rv>
  <rv s="6">
    <fb>507.49</fb>
    <v>10</v>
  </rv>
  <rv s="6">
    <fb>493.79</fb>
    <v>10</v>
  </rv>
  <rv s="6">
    <fb>487.12</fb>
    <v>10</v>
  </rv>
  <rv s="6">
    <fb>478.43</fb>
    <v>10</v>
  </rv>
  <rv s="6">
    <fb>472.12</fb>
    <v>10</v>
  </rv>
  <rv s="6">
    <fb>474</fb>
    <v>10</v>
  </rv>
  <rv s="6">
    <fb>476.99</fb>
    <v>10</v>
  </rv>
  <rv s="6">
    <fb>485.5</fb>
    <v>10</v>
  </rv>
  <rv s="6">
    <fb>492.01</fb>
    <v>10</v>
  </rv>
  <rv s="6">
    <fb>486.74</fb>
    <v>10</v>
  </rv>
  <rv s="6">
    <fb>490</fb>
    <v>10</v>
  </rv>
  <rv s="6">
    <fb>477.73</fb>
    <v>10</v>
  </rv>
  <rv s="6">
    <fb>480.84</fb>
    <v>10</v>
  </rv>
  <rv s="6">
    <fb>483.16</fb>
    <v>10</v>
  </rv>
  <rv s="6">
    <fb>491.02</fb>
    <v>10</v>
  </rv>
  <rv s="6">
    <fb>492.02</fb>
    <v>10</v>
  </rv>
  <rv s="6">
    <fb>478.56</fb>
    <v>10</v>
  </rv>
  <rv s="6">
    <fb>483.47</fb>
    <v>10</v>
  </rv>
  <rv s="6">
    <fb>478.53</fb>
    <v>10</v>
  </rv>
  <rv s="6">
    <fb>474.82</fb>
    <v>10</v>
  </rv>
  <rv s="6">
    <fb>476.39</fb>
    <v>10</v>
  </rv>
  <rv s="6">
    <fb>476.12</fb>
    <v>10</v>
  </rv>
  <rv s="6">
    <fb>483.98</fb>
    <v>10</v>
  </rv>
  <rv s="6">
    <fb>485.92</fb>
    <v>10</v>
  </rv>
  <rv s="6">
    <fb>484.92</fb>
    <v>10</v>
  </rv>
  <rv s="6">
    <fb>486.85</fb>
    <v>10</v>
  </rv>
  <rv s="6">
    <fb>488.02</fb>
    <v>10</v>
  </rv>
  <rv s="6">
    <fb>487.71</fb>
    <v>10</v>
  </rv>
  <rv s="6">
    <fb>487.1</fb>
    <v>10</v>
  </rv>
  <rv s="6">
    <fb>487.48</fb>
    <v>10</v>
  </rv>
  <rv s="6">
    <fb>483.62</fb>
    <v>10</v>
  </rv>
  <rv s="6">
    <fb>472.85</fb>
    <v>10</v>
  </rv>
  <rv s="6">
    <fb>478.51</fb>
    <v>10</v>
  </rv>
  <rv s="6">
    <fb>478.11</fb>
    <v>10</v>
  </rv>
  <rv s="6">
    <fb>479.28</fb>
    <v>10</v>
  </rv>
  <rv s="6">
    <fb>477.18</fb>
    <v>10</v>
  </rv>
  <rv s="6">
    <fb>470.67</fb>
    <v>10</v>
  </rv>
  <rv s="6">
    <fb>459.38</fb>
    <v>10</v>
  </rv>
  <rv s="6">
    <fb>456.66</fb>
    <v>10</v>
  </rv>
  <rv s="6">
    <fb>459.86</fb>
    <v>10</v>
  </rv>
  <rv s="6">
    <fb>454.52</fb>
    <v>10</v>
  </rv>
  <rv s="6">
    <fb>444.11</fb>
    <v>10</v>
  </rv>
  <rv s="6">
    <fb>451.14</fb>
    <v>10</v>
  </rv>
  <rv s="6">
    <fb>465.95</fb>
    <v>10</v>
  </rv>
  <rv s="6">
    <fb>480.58</fb>
    <v>10</v>
  </rv>
  <rv s="6">
    <fb>481.63</fb>
    <v>10</v>
  </rv>
  <rv s="6">
    <fb>433.5</fb>
    <v>10</v>
  </rv>
  <rv s="6">
    <fb>430.29</fb>
    <v>10</v>
  </rv>
  <rv s="6">
    <fb>423.37</fb>
    <v>10</v>
  </rv>
  <rv s="6">
    <fb>411.21</fb>
    <v>10</v>
  </rv>
  <rv s="6">
    <fb>414.19</fb>
    <v>10</v>
  </rv>
  <rv s="6">
    <fb>393.67</fb>
    <v>10</v>
  </rv>
  <rv s="6">
    <fb>401.14</fb>
    <v>10</v>
  </rv>
  <rv s="6">
    <fb>413.6</fb>
    <v>10</v>
  </rv>
  <rv s="6">
    <fb>413.27</fb>
    <v>10</v>
  </rv>
  <rv s="6">
    <fb>404.37</fb>
    <v>10</v>
  </rv>
  <rv s="6">
    <fb>401.84</fb>
    <v>10</v>
  </rv>
  <rv s="6">
    <fb>401.32</fb>
    <v>10</v>
  </rv>
  <rv s="6">
    <fb>396.86</fb>
    <v>10</v>
  </rv>
  <rv s="6">
    <fb>399.6</fb>
    <v>10</v>
  </rv>
  <rv s="6">
    <fb>398.46</fb>
    <v>10</v>
  </rv>
  <rv s="6">
    <fb>397.23</fb>
    <v>10</v>
  </rv>
  <rv s="6">
    <fb>384.47</fb>
    <v>10</v>
  </rv>
  <rv s="6">
    <fb>389</fb>
    <v>10</v>
  </rv>
  <rv s="6">
    <fb>400.6</fb>
    <v>10</v>
  </rv>
  <rv s="6">
    <fb>401.72</fb>
    <v>10</v>
  </rv>
  <rv s="6">
    <fb>392.74</fb>
    <v>10</v>
  </rv>
  <rv s="6">
    <fb>398.55</fb>
    <v>10</v>
  </rv>
  <rv s="6">
    <fb>403.93</fb>
    <v>10</v>
  </rv>
  <rv s="6">
    <fb>405.2</fb>
    <v>10</v>
  </rv>
  <rv s="6">
    <fb>410.68</fb>
    <v>10</v>
  </rv>
  <rv s="6">
    <fb>408.96</fb>
    <v>10</v>
  </rv>
  <rv s="6">
    <fb>409.41</fb>
    <v>10</v>
  </rv>
  <rv s="6">
    <fb>405.76</fb>
    <v>10</v>
  </rv>
  <rv s="6">
    <fb>404.88</fb>
    <v>10</v>
  </rv>
  <rv s="6">
    <fb>401.86</fb>
    <v>10</v>
  </rv>
  <rv s="6">
    <fb>395.55</fb>
    <v>10</v>
  </rv>
  <rv s="6">
    <fb>399.95</fb>
    <v>10</v>
  </rv>
  <rv s="6">
    <fb>399.41</fb>
    <v>10</v>
  </rv>
  <rv s="6">
    <fb>391.79</fb>
    <v>10</v>
  </rv>
  <rv s="6">
    <fb>389.02</fb>
    <v>10</v>
  </rv>
  <rv s="6">
    <fb>381.87</fb>
    <v>10</v>
  </rv>
  <rv s="6">
    <fb>383</fb>
    <v>10</v>
  </rv>
  <rv s="6">
    <fb>372.74</fb>
    <v>10</v>
  </rv>
  <rv s="6">
    <fb>371.04</fb>
    <v>10</v>
  </rv>
  <rv s="6">
    <fb>365.97</fb>
    <v>10</v>
  </rv>
  <rv s="6">
    <fb>356.77</fb>
    <v>10</v>
  </rv>
  <rv s="6">
    <fb>358.96</fb>
    <v>10</v>
  </rv>
  <rv s="6">
    <fb>370.17</fb>
    <v>10</v>
  </rv>
  <rv s="6">
    <fb>369.37</fb>
    <v>10</v>
  </rv>
  <rv s="6">
    <fb>373.46</fb>
    <v>10</v>
  </rv>
  <rv s="6">
    <fb>30131854</fb>
    <v>16</v>
  </rv>
  <rv s="6">
    <fb>404.91500000000002</fb>
    <v>10</v>
  </rv>
  <rv s="6">
    <fb>410.21</fb>
    <v>10</v>
  </rv>
  <rv s="6">
    <fb>403.5</fb>
    <v>10</v>
  </rv>
  <rv s="6">
    <fb>31706375</fb>
    <v>16</v>
  </rv>
  <rv s="6">
    <fb>410.03</fb>
    <v>10</v>
  </rv>
  <rv s="6">
    <fb>410.2</fb>
    <v>10</v>
  </rv>
  <rv s="6">
    <fb>402.93</fb>
    <v>10</v>
  </rv>
  <rv s="6">
    <fb>25512139</fb>
    <v>16</v>
  </rv>
  <rv s="6">
    <fb>405.57</fb>
    <v>10</v>
  </rv>
  <rv s="6">
    <fb>409.01</fb>
    <v>10</v>
  </rv>
  <rv s="6">
    <fb>401.59</fb>
    <v>10</v>
  </rv>
  <rv s="6">
    <fb>27263886</fb>
    <v>16</v>
  </rv>
  <rv s="6">
    <fb>404.63</fb>
    <v>10</v>
  </rv>
  <rv s="6">
    <fb>406.12</fb>
    <v>10</v>
  </rv>
  <rv s="6">
    <fb>401.71</fb>
    <v>10</v>
  </rv>
  <rv s="6">
    <fb>26848000</fb>
    <v>16</v>
  </rv>
  <rv s="6">
    <fb>401</fb>
    <v>10</v>
  </rv>
  <rv s="6">
    <fb>404.8</fb>
    <v>10</v>
  </rv>
  <rv s="6">
    <fb>394.25</fb>
    <v>10</v>
  </rv>
  <rv s="6">
    <fb>27733721</fb>
    <v>16</v>
  </rv>
  <rv s="6">
    <fb>398.07</fb>
    <v>10</v>
  </rv>
  <rv s="6">
    <fb>400.63</fb>
    <v>10</v>
  </rv>
  <rv s="6">
    <fb>394.79</fb>
    <v>10</v>
  </rv>
  <rv s="6">
    <fb>26228279</fb>
    <v>16</v>
  </rv>
  <rv s="6">
    <fb>400.27</fb>
    <v>10</v>
  </rv>
  <rv s="6">
    <fb>404.4</fb>
    <v>10</v>
  </rv>
  <rv s="6">
    <fb>397.745</fb>
    <v>10</v>
  </rv>
  <rv s="6">
    <fb>25908484</fb>
    <v>16</v>
  </rv>
  <rv s="6">
    <fb>397.125</fb>
    <v>10</v>
  </rv>
  <rv s="6">
    <fb>398</fb>
    <v>10</v>
  </rv>
  <rv s="6">
    <fb>391</fb>
    <v>10</v>
  </rv>
  <rv s="6">
    <fb>25138772</fb>
    <v>16</v>
  </rv>
  <rv s="6">
    <fb>390.1</fb>
    <v>10</v>
  </rv>
  <rv s="6">
    <fb>392.49</fb>
    <v>10</v>
  </rv>
  <rv s="6">
    <fb>387.06</fb>
    <v>10</v>
  </rv>
  <rv s="6">
    <fb>50853154</fb>
    <v>16</v>
  </rv>
  <rv s="6">
    <fb>386.79</fb>
    <v>10</v>
  </rv>
  <rv s="6">
    <fb>387</fb>
    <v>10</v>
  </rv>
  <rv s="6">
    <fb>380.12</fb>
    <v>10</v>
  </rv>
  <rv s="6">
    <fb>29680059</fb>
    <v>16</v>
  </rv>
  <rv s="6">
    <fb>383.9</fb>
    <v>10</v>
  </rv>
  <rv s="6">
    <fb>387.21</fb>
    <v>10</v>
  </rv>
  <rv s="6">
    <fb>381.68</fb>
    <v>10</v>
  </rv>
  <rv s="6">
    <fb>42733625</fb>
    <v>16</v>
  </rv>
  <rv s="6">
    <fb>382.36</fb>
    <v>10</v>
  </rv>
  <rv s="6">
    <fb>382.47</fb>
    <v>10</v>
  </rv>
  <rv s="6">
    <fb>371.85</fb>
    <v>10</v>
  </rv>
  <rv s="6">
    <fb>31181163</fb>
    <v>16</v>
  </rv>
  <rv s="6">
    <fb>376.92</fb>
    <v>10</v>
  </rv>
  <rv s="6">
    <fb>377.06</fb>
    <v>10</v>
  </rv>
  <rv s="6">
    <fb>369.63</fb>
    <v>10</v>
  </rv>
  <rv s="6">
    <fb>36836574</fb>
    <v>16</v>
  </rv>
  <rv s="6">
    <fb>370.815</fb>
    <v>10</v>
  </rv>
  <rv s="6">
    <fb>374.7199</fb>
    <v>10</v>
  </rv>
  <rv s="6">
    <fb>365.19</fb>
    <v>10</v>
  </rv>
  <rv s="6">
    <fb>37883400</fb>
    <v>16</v>
  </rv>
  <rv s="6">
    <fb>361.9</fb>
    <v>10</v>
  </rv>
  <rv s="6">
    <fb>362.45</fb>
    <v>10</v>
  </rv>
  <rv s="6">
    <fb>356.51</fb>
    <v>10</v>
  </rv>
  <rv s="6">
    <fb>44797002</fb>
    <v>16</v>
  </rv>
  <rv s="6">
    <fb>361.89499999999998</fb>
    <v>10</v>
  </rv>
  <rv s="6">
    <fb>365.36</fb>
    <v>10</v>
  </rv>
  <rv s="6">
    <fb>356.28</fb>
    <v>10</v>
  </rv>
  <rv s="6">
    <fb>45244365</fb>
    <v>16</v>
  </rv>
  <rv s="6">
    <fb>364.55</fb>
    <v>10</v>
  </rv>
  <rv s="6">
    <fb>372.9</fb>
    <v>10</v>
  </rv>
  <rv s="6">
    <fb>363.07</fb>
    <v>10</v>
  </rv>
  <rv s="6">
    <fb>29417206</fb>
    <v>16</v>
  </rv>
  <rv s="6">
    <fb>373.49</fb>
    <v>10</v>
  </rv>
  <rv s="6">
    <fb>373.99</fb>
    <v>10</v>
  </rv>
  <rv s="6">
    <fb>368.2</fb>
    <v>10</v>
  </rv>
  <rv s="6">
    <fb>24099067</fb>
    <v>16</v>
  </rv>
  <rv s="6">
    <fb>367.20499999999998</fb>
    <v>10</v>
  </rv>
  <rv s="6">
    <fb>373.64</fb>
    <v>10</v>
  </rv>
  <rv s="6">
    <fb>364.15</fb>
    <v>10</v>
  </rv>
  <rv s="6">
    <fb>465.51</fb>
    <v>10</v>
  </rv>
  <rv s="6">
    <fb>462.22</fb>
    <v>10</v>
  </rv>
  <rv s="6">
    <fb>516.87</fb>
    <v>10</v>
  </rv>
  <rv s="6">
    <fb>489.8</fb>
    <v>10</v>
  </rv>
  <rv s="6">
    <fb>494.44</fb>
    <v>10</v>
  </rv>
  <rv s="6">
    <fb>503.98</fb>
    <v>10</v>
  </rv>
  <rv s="6">
    <fb>507.89</fb>
    <v>10</v>
  </rv>
  <rv s="6">
    <fb>499.05</fb>
    <v>10</v>
  </rv>
  <rv s="6">
    <fb>509.49</fb>
    <v>10</v>
  </rv>
  <rv s="6">
    <fb>501.36</fb>
    <v>10</v>
  </rv>
  <rv s="6">
    <fb>519.99</fb>
    <v>10</v>
  </rv>
  <rv s="6">
    <fb>529.30999999999995</fb>
    <v>10</v>
  </rv>
  <rv s="6">
    <fb>545.37</fb>
    <v>10</v>
  </rv>
  <rv s="6">
    <fb>544.86</fb>
    <v>10</v>
  </rv>
  <rv s="6">
    <fb>546.4</fb>
    <v>10</v>
  </rv>
  <rv s="6">
    <fb>548.91999999999996</fb>
    <v>10</v>
  </rv>
  <rv s="6">
    <fb>547.54999999999995</fb>
    <v>10</v>
  </rv>
  <rv s="6">
    <fb>553.83000000000004</fb>
    <v>10</v>
  </rv>
  <rv s="6">
    <fb>566.1</fb>
    <v>10</v>
  </rv>
  <rv s="6">
    <fb>559.55999999999995</fb>
    <v>10</v>
  </rv>
  <rv s="6">
    <fb>549.36</fb>
    <v>10</v>
  </rv>
  <rv s="6">
    <fb>551.91999999999996</fb>
    <v>10</v>
  </rv>
  <rv s="6">
    <fb>565.70000000000005</fb>
    <v>10</v>
  </rv>
  <rv s="6">
    <fb>567.1</fb>
    <v>10</v>
  </rv>
  <rv s="6">
    <fb>591.34</fb>
    <v>10</v>
  </rv>
  <rv s="6">
    <fb>603.80999999999995</fb>
    <v>10</v>
  </rv>
  <rv s="6">
    <fb>611.6</fb>
    <v>10</v>
  </rv>
  <rv s="6">
    <fb>615.9</fb>
    <v>10</v>
  </rv>
  <rv s="6">
    <fb>619.03</fb>
    <v>10</v>
  </rv>
  <rv s="6">
    <fb>612.29999999999995</fb>
    <v>10</v>
  </rv>
  <rv s="6">
    <fb>606.52</fb>
    <v>10</v>
  </rv>
  <rv s="6">
    <fb>593.46</fb>
    <v>10</v>
  </rv>
  <rv s="6">
    <fb>598.23</fb>
    <v>10</v>
  </rv>
  <rv s="6">
    <fb>598.54</fb>
    <v>10</v>
  </rv>
  <rv s="6">
    <fb>615.73</fb>
    <v>10</v>
  </rv>
  <rv s="6">
    <fb>608.44000000000005</fb>
    <v>10</v>
  </rv>
  <rv s="6">
    <fb>604.86</fb>
    <v>10</v>
  </rv>
  <rv s="6">
    <fb>600.45000000000005</fb>
    <v>10</v>
  </rv>
  <rv s="6">
    <fb>598.72</fb>
    <v>10</v>
  </rv>
  <rv s="6">
    <fb>603.83000000000004</fb>
    <v>10</v>
  </rv>
  <rv s="6">
    <fb>599.21</fb>
    <v>10</v>
  </rv>
  <rv s="6">
    <fb>605.88</fb>
    <v>10</v>
  </rv>
  <rv s="6">
    <fb>614</fb>
    <v>10</v>
  </rv>
  <rv s="6">
    <fb>613.52</fb>
    <v>10</v>
  </rv>
  <rv s="6">
    <fb>614.87</fb>
    <v>10</v>
  </rv>
  <rv s="6">
    <fb>624.16999999999996</fb>
    <v>10</v>
  </rv>
  <rv s="6">
    <fb>625.11</fb>
    <v>10</v>
  </rv>
  <rv s="6">
    <fb>613.54</fb>
    <v>10</v>
  </rv>
  <rv s="6">
    <fb>627.85</fb>
    <v>10</v>
  </rv>
  <rv s="6">
    <fb>624.64</fb>
    <v>10</v>
  </rv>
  <rv s="6">
    <fb>635.24</fb>
    <v>10</v>
  </rv>
  <rv s="6">
    <fb>640.79999999999995</fb>
    <v>10</v>
  </rv>
  <rv s="6">
    <fb>646.88</fb>
    <v>10</v>
  </rv>
  <rv s="6">
    <fb>662.11</fb>
    <v>10</v>
  </rv>
  <rv s="6">
    <fb>669.87</fb>
    <v>10</v>
  </rv>
  <rv s="6">
    <fb>687.16</fb>
    <v>10</v>
  </rv>
  <rv s="6">
    <fb>690.81</fb>
    <v>10</v>
  </rv>
  <rv s="6">
    <fb>707.75</fb>
    <v>10</v>
  </rv>
  <rv s="6">
    <fb>706.46</fb>
    <v>10</v>
  </rv>
  <rv s="6">
    <fb>715.89</fb>
    <v>10</v>
  </rv>
  <rv s="6">
    <fb>723.68</fb>
    <v>10</v>
  </rv>
  <rv s="6">
    <fb>710.93</fb>
    <v>10</v>
  </rv>
  <rv s="6">
    <fb>697.28</fb>
    <v>10</v>
  </rv>
  <rv s="6">
    <fb>696.56</fb>
    <v>10</v>
  </rv>
  <rv s="6">
    <fb>709.12</fb>
    <v>10</v>
  </rv>
  <rv s="6">
    <fb>704.95</fb>
    <v>10</v>
  </rv>
  <rv s="6">
    <fb>713.3</fb>
    <v>10</v>
  </rv>
  <rv s="6">
    <fb>702.51</fb>
    <v>10</v>
  </rv>
  <rv s="6">
    <fb>708.82</fb>
    <v>10</v>
  </rv>
  <rv s="6">
    <fb>705.84</fb>
    <v>10</v>
  </rv>
  <rv s="6">
    <fb>708.26</fb>
    <v>10</v>
  </rv>
  <rv s="6">
    <fb>706</fb>
    <v>10</v>
  </rv>
  <rv s="6">
    <fb>700.41</fb>
    <v>10</v>
  </rv>
  <rv s="6">
    <fb>717.52</fb>
    <v>10</v>
  </rv>
  <rv s="6">
    <fb>719.18</fb>
    <v>10</v>
  </rv>
  <rv s="6">
    <fb>728.98</fb>
    <v>10</v>
  </rv>
  <rv s="6">
    <fb>723.65</fb>
    <v>10</v>
  </rv>
  <rv s="6">
    <fb>731.98</fb>
    <v>10</v>
  </rv>
  <rv s="6">
    <fb>730.75</fb>
    <v>10</v>
  </rv>
  <rv s="6">
    <fb>723.59</fb>
    <v>10</v>
  </rv>
  <rv s="6">
    <fb>709.57</fb>
    <v>10</v>
  </rv>
  <rv s="6">
    <fb>726.03</fb>
    <v>10</v>
  </rv>
  <rv s="6">
    <fb>720.91</fb>
    <v>10</v>
  </rv>
  <rv s="6">
    <fb>724.74</fb>
    <v>10</v>
  </rv>
  <rv s="6">
    <fb>719.74</fb>
    <v>10</v>
  </rv>
  <rv s="6">
    <fb>721.27</fb>
    <v>10</v>
  </rv>
  <rv s="6">
    <fb>719.24</fb>
    <v>10</v>
  </rv>
  <rv s="6">
    <fb>743.38</fb>
    <v>10</v>
  </rv>
  <rv s="6">
    <fb>744.69</fb>
    <v>10</v>
  </rv>
  <rv s="6">
    <fb>747.2</fb>
    <v>10</v>
  </rv>
  <rv s="6">
    <fb>730.72</fb>
    <v>10</v>
  </rv>
  <rv s="6">
    <fb>730.96</fb>
    <v>10</v>
  </rv>
  <rv s="6">
    <fb>721.38</fb>
    <v>10</v>
  </rv>
  <rv s="6">
    <fb>720.68</fb>
    <v>10</v>
  </rv>
  <rv s="6">
    <fb>715.95</fb>
    <v>10</v>
  </rv>
  <rv s="6">
    <fb>741.89</fb>
    <v>10</v>
  </rv>
  <rv s="6">
    <fb>738.79</fb>
    <v>10</v>
  </rv>
  <rv s="6">
    <fb>748.95</fb>
    <v>10</v>
  </rv>
  <rv s="6">
    <fb>749.67</fb>
    <v>10</v>
  </rv>
  <rv s="6">
    <fb>751.22</fb>
    <v>10</v>
  </rv>
  <rv s="6">
    <fb>745.25</fb>
    <v>10</v>
  </rv>
  <rv s="6">
    <fb>730.85</fb>
    <v>10</v>
  </rv>
  <rv s="6">
    <fb>730.56</fb>
    <v>10</v>
  </rv>
  <rv s="6">
    <fb>748.9</fb>
    <v>10</v>
  </rv>
  <rv s="6">
    <fb>738.21</fb>
    <v>10</v>
  </rv>
  <rv s="6">
    <fb>741.85</fb>
    <v>10</v>
  </rv>
  <rv s="6">
    <fb>763.92</fb>
    <v>10</v>
  </rv>
  <rv s="6">
    <fb>769.58</fb>
    <v>10</v>
  </rv>
  <rv s="6">
    <fb>784.73</fb>
    <v>10</v>
  </rv>
  <rv s="6">
    <fb>780.06</fb>
    <v>10</v>
  </rv>
  <rv s="6">
    <fb>786.76</fb>
    <v>10</v>
  </rv>
  <rv s="6">
    <fb>785.53</fb>
    <v>10</v>
  </rv>
  <rv s="6">
    <fb>794.22</fb>
    <v>10</v>
  </rv>
  <rv s="6">
    <fb>804.31</fb>
    <v>10</v>
  </rv>
  <rv s="6">
    <fb>805</fb>
    <v>10</v>
  </rv>
  <rv s="6">
    <fb>805.56</fb>
    <v>10</v>
  </rv>
  <rv s="6">
    <fb>806.32</fb>
    <v>10</v>
  </rv>
  <rv s="6">
    <fb>792.43</fb>
    <v>10</v>
  </rv>
  <rv s="6">
    <fb>794.76</fb>
    <v>10</v>
  </rv>
  <rv s="6">
    <fb>802.51</fb>
    <v>10</v>
  </rv>
  <rv s="6">
    <fb>804.12</fb>
    <v>10</v>
  </rv>
  <rv s="6">
    <fb>796.35</fb>
    <v>10</v>
  </rv>
  <rv s="6">
    <fb>785.51</fb>
    <v>10</v>
  </rv>
  <rv s="6">
    <fb>779.38</fb>
    <v>10</v>
  </rv>
  <rv s="6">
    <fb>789.98</fb>
    <v>10</v>
  </rv>
  <rv s="6">
    <fb>796.78</fb>
    <v>10</v>
  </rv>
  <rv s="6">
    <fb>789.65</fb>
    <v>10</v>
  </rv>
  <rv s="6">
    <fb>776.51</fb>
    <v>10</v>
  </rv>
  <rv s="6">
    <fb>779.96</fb>
    <v>10</v>
  </rv>
  <rv s="6">
    <fb>764.36</fb>
    <v>10</v>
  </rv>
  <rv s="6">
    <fb>786.78</fb>
    <v>10</v>
  </rv>
  <rv s="6">
    <fb>770.76</fb>
    <v>10</v>
  </rv>
  <rv s="6">
    <fb>767.93</fb>
    <v>10</v>
  </rv>
  <rv s="6">
    <fb>758.09</fb>
    <v>10</v>
  </rv>
  <rv s="6">
    <fb>750.77</fb>
    <v>10</v>
  </rv>
  <rv s="6">
    <fb>763.32</fb>
    <v>10</v>
  </rv>
  <rv s="6">
    <fb>758.98</fb>
    <v>10</v>
  </rv>
  <rv s="6">
    <fb>744.6</fb>
    <v>10</v>
  </rv>
  <rv s="6">
    <fb>750.78</fb>
    <v>10</v>
  </rv>
  <rv s="6">
    <fb>783.88</fb>
    <v>10</v>
  </rv>
  <rv s="6">
    <fb>789.99</fb>
    <v>10</v>
  </rv>
  <rv s="6">
    <fb>792.09</fb>
    <v>10</v>
  </rv>
  <rv s="6">
    <fb>783.06</fb>
    <v>10</v>
  </rv>
  <rv s="6">
    <fb>790.16</fb>
    <v>10</v>
  </rv>
  <rv s="6">
    <fb>789.37</fb>
    <v>10</v>
  </rv>
  <rv s="6">
    <fb>785.52</fb>
    <v>10</v>
  </rv>
  <rv s="6">
    <fb>790.83</fb>
    <v>10</v>
  </rv>
  <rv s="6">
    <fb>793.09</fb>
    <v>10</v>
  </rv>
  <rv s="6">
    <fb>787.58</fb>
    <v>10</v>
  </rv>
  <rv s="6">
    <fb>786.34</fb>
    <v>10</v>
  </rv>
  <rv s="6">
    <fb>797.2</fb>
    <v>10</v>
  </rv>
  <rv s="6">
    <fb>810.31</fb>
    <v>10</v>
  </rv>
  <rv s="6">
    <fb>838.97</fb>
    <v>10</v>
  </rv>
  <rv s="6">
    <fb>805.5</fb>
    <v>10</v>
  </rv>
  <rv s="6">
    <fb>790.91</fb>
    <v>10</v>
  </rv>
  <rv s="6">
    <fb>775.56</fb>
    <v>10</v>
  </rv>
  <rv s="6">
    <fb>776.3</fb>
    <v>10</v>
  </rv>
  <rv s="6">
    <fb>785.99</fb>
    <v>10</v>
  </rv>
  <rv s="6">
    <fb>773.7</fb>
    <v>10</v>
  </rv>
  <rv s="6">
    <fb>774.03</fb>
    <v>10</v>
  </rv>
  <rv s="6">
    <fb>790.71</fb>
    <v>10</v>
  </rv>
  <rv s="6">
    <fb>802.32</fb>
    <v>10</v>
  </rv>
  <rv s="6">
    <fb>816.01</fb>
    <v>10</v>
  </rv>
  <rv s="6">
    <fb>826.04</fb>
    <v>10</v>
  </rv>
  <rv s="6">
    <fb>810.86</fb>
    <v>10</v>
  </rv>
  <rv s="6">
    <fb>815.21</fb>
    <v>10</v>
  </rv>
  <rv s="6">
    <fb>836.57</fb>
    <v>10</v>
  </rv>
  <rv s="6">
    <fb>837.83</fb>
    <v>10</v>
  </rv>
  <rv s="6">
    <fb>854.56</fb>
    <v>10</v>
  </rv>
  <rv s="6">
    <fb>866.69</fb>
    <v>10</v>
  </rv>
  <rv s="6">
    <fb>876.58</fb>
    <v>10</v>
  </rv>
  <rv s="6">
    <fb>889.24</fb>
    <v>10</v>
  </rv>
  <rv s="6">
    <fb>911.03</fb>
    <v>10</v>
  </rv>
  <rv s="6">
    <fb>887.96</fb>
    <v>10</v>
  </rv>
  <rv s="6">
    <fb>889.59</fb>
    <v>10</v>
  </rv>
  <rv s="6">
    <fb>879.15</fb>
    <v>10</v>
  </rv>
  <rv s="6">
    <fb>872.33</fb>
    <v>10</v>
  </rv>
  <rv s="6">
    <fb>876.3</fb>
    <v>10</v>
  </rv>
  <rv s="6">
    <fb>893.48</fb>
    <v>10</v>
  </rv>
  <rv s="6">
    <fb>899</fb>
    <v>10</v>
  </rv>
  <rv s="6">
    <fb>901.71</fb>
    <v>10</v>
  </rv>
  <rv s="6">
    <fb>910.78</fb>
    <v>10</v>
  </rv>
  <rv s="6">
    <fb>907.04</fb>
    <v>10</v>
  </rv>
  <rv s="6">
    <fb>892.18</fb>
    <v>10</v>
  </rv>
  <rv s="6">
    <fb>884.42</fb>
    <v>10</v>
  </rv>
  <rv s="6">
    <fb>879</fb>
    <v>10</v>
  </rv>
  <rv s="6">
    <fb>914.34</fb>
    <v>10</v>
  </rv>
  <rv s="6">
    <fb>948.44</fb>
    <v>10</v>
  </rv>
  <rv s="6">
    <fb>955.47</fb>
    <v>10</v>
  </rv>
  <rv s="6">
    <fb>941.02</fb>
    <v>10</v>
  </rv>
  <rv s="6">
    <fb>934.83</fb>
    <v>10</v>
  </rv>
  <rv s="6">
    <fb>938.98</fb>
    <v>10</v>
  </rv>
  <rv s="6">
    <fb>949.55</fb>
    <v>10</v>
  </rv>
  <rv s="6">
    <fb>938.15</fb>
    <v>10</v>
  </rv>
  <rv s="6">
    <fb>932.67</fb>
    <v>10</v>
  </rv>
  <rv s="6">
    <fb>975.86</fb>
    <v>10</v>
  </rv>
  <rv s="6">
    <fb>962</fb>
    <v>10</v>
  </rv>
  <rv s="6">
    <fb>943.37</fb>
    <v>10</v>
  </rv>
  <rv s="6">
    <fb>953.01</fb>
    <v>10</v>
  </rv>
  <rv s="6">
    <fb>954.65</fb>
    <v>10</v>
  </rv>
  <rv s="6">
    <fb>918.88</fb>
    <v>10</v>
  </rv>
  <rv s="6">
    <fb>931.86</fb>
    <v>10</v>
  </rv>
  <rv s="6">
    <fb>929.72</fb>
    <v>10</v>
  </rv>
  <rv s="6">
    <fb>936.81</fb>
    <v>10</v>
  </rv>
  <rv s="6">
    <fb>940.12</fb>
    <v>10</v>
  </rv>
  <rv s="6">
    <fb>935.41</fb>
    <v>10</v>
  </rv>
  <rv s="6">
    <fb>946.33</fb>
    <v>10</v>
  </rv>
  <rv s="6">
    <fb>938.99</fb>
    <v>10</v>
  </rv>
  <rv s="6">
    <fb>913.3</fb>
    <v>10</v>
  </rv>
  <rv s="6">
    <fb>890.41</fb>
    <v>10</v>
  </rv>
  <rv s="6">
    <fb>928.75</fb>
    <v>10</v>
  </rv>
  <rv s="6">
    <fb>943.62</fb>
    <v>10</v>
  </rv>
  <rv s="6">
    <fb>948.99</fb>
    <v>10</v>
  </rv>
  <rv s="6">
    <fb>944.59</fb>
    <v>10</v>
  </rv>
  <rv s="6">
    <fb>904.55</fb>
    <v>10</v>
  </rv>
  <rv s="6">
    <fb>905.14</fb>
    <v>10</v>
  </rv>
  <rv s="6">
    <fb>916.04</fb>
    <v>10</v>
  </rv>
  <rv s="6">
    <fb>933.73</fb>
    <v>10</v>
  </rv>
  <rv s="6">
    <fb>916.65</fb>
    <v>10</v>
  </rv>
  <rv s="6">
    <fb>922.24</fb>
    <v>10</v>
  </rv>
  <rv s="6">
    <fb>892.31</fb>
    <v>10</v>
  </rv>
  <rv s="6">
    <fb>902.27</fb>
    <v>10</v>
  </rv>
  <rv s="6">
    <fb>921.38</fb>
    <v>10</v>
  </rv>
  <rv s="6">
    <fb>929</fb>
    <v>10</v>
  </rv>
  <rv s="6">
    <fb>859.57</fb>
    <v>10</v>
  </rv>
  <rv s="6">
    <fb>861.7</fb>
    <v>10</v>
  </rv>
  <rv s="6">
    <fb>862.58</fb>
    <v>10</v>
  </rv>
  <rv s="6">
    <fb>867.25</fb>
    <v>10</v>
  </rv>
  <rv s="6">
    <fb>835.46</fb>
    <v>10</v>
  </rv>
  <rv s="6">
    <fb>821.42</fb>
    <v>10</v>
  </rv>
  <rv s="6">
    <fb>832.03</fb>
    <v>10</v>
  </rv>
  <rv s="6">
    <fb>833.81</fb>
    <v>10</v>
  </rv>
  <rv s="6">
    <fb>823.76</fb>
    <v>10</v>
  </rv>
  <rv s="6">
    <fb>787.52</fb>
    <v>10</v>
  </rv>
  <rv s="6">
    <fb>782.21</fb>
    <v>10</v>
  </rv>
  <rv s="6">
    <fb>794.77</fb>
    <v>10</v>
  </rv>
  <rv s="6">
    <fb>807.04</fb>
    <v>10</v>
  </rv>
  <rv s="6">
    <fb>805.48</fb>
    <v>10</v>
  </rv>
  <rv s="6">
    <fb>809.5</fb>
    <v>10</v>
  </rv>
  <rv s="6">
    <fb>813.53</fb>
    <v>10</v>
  </rv>
  <rv s="6">
    <fb>831.27</fb>
    <v>10</v>
  </rv>
  <rv s="6">
    <fb>835.72</fb>
    <v>10</v>
  </rv>
  <rv s="6">
    <fb>841.84</fb>
    <v>10</v>
  </rv>
  <rv s="6">
    <fb>822.64</fb>
    <v>10</v>
  </rv>
  <rv s="6">
    <fb>802.89</fb>
    <v>10</v>
  </rv>
  <rv s="6">
    <fb>807.6</fb>
    <v>10</v>
  </rv>
  <rv s="6">
    <fb>845.99</fb>
    <v>10</v>
  </rv>
  <rv s="6">
    <fb>860.21</fb>
    <v>10</v>
  </rv>
  <rv s="6">
    <fb>863.04</fb>
    <v>10</v>
  </rv>
  <rv s="6">
    <fb>3258185</fb>
    <v>16</v>
  </rv>
  <rv s="6">
    <fb>810</fb>
    <v>10</v>
  </rv>
  <rv s="6">
    <fb>836.68</fb>
    <v>10</v>
  </rv>
  <rv s="6">
    <fb>795</fb>
    <v>10</v>
  </rv>
  <rv s="6">
    <fb>1871901</fb>
    <v>16</v>
  </rv>
  <rv s="6">
    <fb>834.68</fb>
    <v>10</v>
  </rv>
  <rv s="6">
    <fb>846.09</fb>
    <v>10</v>
  </rv>
  <rv s="6">
    <fb>826.35</fb>
    <v>10</v>
  </rv>
  <rv s="6">
    <fb>2236531</fb>
    <v>16</v>
  </rv>
  <rv s="6">
    <fb>829.95</fb>
    <v>10</v>
  </rv>
  <rv s="6">
    <fb>832.80250000000001</fb>
    <v>10</v>
  </rv>
  <rv s="6">
    <fb>810.54</fb>
    <v>10</v>
  </rv>
  <rv s="6">
    <fb>3533042</fb>
    <v>16</v>
  </rv>
  <rv s="6">
    <fb>805.32</fb>
    <v>10</v>
  </rv>
  <rv s="6">
    <fb>807.21</fb>
    <v>10</v>
  </rv>
  <rv s="6">
    <fb>784.1</fb>
    <v>10</v>
  </rv>
  <rv s="6">
    <fb>2567411</fb>
    <v>16</v>
  </rv>
  <rv s="6">
    <fb>789.36</fb>
    <v>10</v>
  </rv>
  <rv s="6">
    <fb>798</fb>
    <v>10</v>
  </rv>
  <rv s="6">
    <fb>780.5</fb>
    <v>10</v>
  </rv>
  <rv s="6">
    <fb>2082689</fb>
    <v>16</v>
  </rv>
  <rv s="6">
    <fb>792</fb>
    <v>10</v>
  </rv>
  <rv s="6">
    <fb>805.45500000000004</fb>
    <v>10</v>
  </rv>
  <rv s="6">
    <fb>1955568</fb>
    <v>16</v>
  </rv>
  <rv s="6">
    <fb>806.3</fb>
    <v>10</v>
  </rv>
  <rv s="6">
    <fb>820.44</fb>
    <v>10</v>
  </rv>
  <rv s="6">
    <fb>803.47</fb>
    <v>10</v>
  </rv>
  <rv s="6">
    <fb>1541291</fb>
    <v>16</v>
  </rv>
  <rv s="6">
    <fb>801</fb>
    <v>10</v>
  </rv>
  <rv s="6">
    <fb>816.19</fb>
    <v>10</v>
  </rv>
  <rv s="6">
    <fb>1765919</fb>
    <v>16</v>
  </rv>
  <rv s="6">
    <fb>792.93</fb>
    <v>10</v>
  </rv>
  <rv s="6">
    <fb>816.18</fb>
    <v>10</v>
  </rv>
  <rv s="6">
    <fb>790.59</fb>
    <v>10</v>
  </rv>
  <rv s="6">
    <fb>3918407</fb>
    <v>16</v>
  </rv>
  <rv s="6">
    <fb>807</fb>
    <v>10</v>
  </rv>
  <rv s="6">
    <fb>827.23</fb>
    <v>10</v>
  </rv>
  <rv s="6">
    <fb>804.92650000000003</fb>
    <v>10</v>
  </rv>
  <rv s="6">
    <fb>2190280</fb>
    <v>16</v>
  </rv>
  <rv s="6">
    <fb>833</fb>
    <v>10</v>
  </rv>
  <rv s="6">
    <fb>849.53</fb>
    <v>10</v>
  </rv>
  <rv s="6">
    <fb>829</fb>
    <v>10</v>
  </rv>
  <rv s="6">
    <fb>1656051</fb>
    <v>16</v>
  </rv>
  <rv s="6">
    <fb>824.93</fb>
    <v>10</v>
  </rv>
  <rv s="6">
    <fb>844.5</fb>
    <v>10</v>
  </rv>
  <rv s="6">
    <fb>818</fb>
    <v>10</v>
  </rv>
  <rv s="6">
    <fb>1628908</fb>
    <v>16</v>
  </rv>
  <rv s="6">
    <fb>845.01</fb>
    <v>10</v>
  </rv>
  <rv s="6">
    <fb>854.75</fb>
    <v>10</v>
  </rv>
  <rv s="6">
    <fb>833.90009999999995</fb>
    <v>10</v>
  </rv>
  <rv s="6">
    <fb>2052166</fb>
    <v>16</v>
  </rv>
  <rv s="6">
    <fb>833.79</fb>
    <v>10</v>
  </rv>
  <rv s="6">
    <fb>844.8</fb>
    <v>10</v>
  </rv>
  <rv s="6">
    <fb>816.11</fb>
    <v>10</v>
  </rv>
  <rv s="6">
    <fb>2106773</fb>
    <v>16</v>
  </rv>
  <rv s="6">
    <fb>813.67</fb>
    <v>10</v>
  </rv>
  <rv s="6">
    <fb>817.1</fb>
    <v>10</v>
  </rv>
  <rv s="6">
    <fb>797.78</fb>
    <v>10</v>
  </rv>
  <rv s="6">
    <fb>1621403</fb>
    <v>16</v>
  </rv>
  <rv s="6">
    <fb>811.12</fb>
    <v>10</v>
  </rv>
  <rv s="6">
    <fb>818.63250000000005</fb>
    <v>10</v>
  </rv>
  <rv s="6">
    <fb>801.88</fb>
    <v>10</v>
  </rv>
  <rv s="6">
    <fb>2689828</fb>
    <v>16</v>
  </rv>
  <rv s="6">
    <fb>823.9</fb>
    <v>10</v>
  </rv>
  <rv s="6">
    <fb>848.5</fb>
    <v>10</v>
  </rv>
  <rv s="6">
    <fb>1803625</fb>
    <v>16</v>
  </rv>
  <rv s="6">
    <fb>859.95</fb>
    <v>10</v>
  </rv>
  <rv s="6">
    <fb>870.2</fb>
    <v>10</v>
  </rv>
  <rv s="6">
    <fb>850.15</fb>
    <v>10</v>
  </rv>
  <rv s="6">
    <fb>1717678</fb>
    <v>16</v>
  </rv>
  <rv s="6">
    <fb>838.39</fb>
    <v>10</v>
  </rv>
  <rv s="6">
    <fb>867.3</fb>
    <v>10</v>
  </rv>
  <rv s="6">
    <fb>831</fb>
    <v>10</v>
  </rv>
  <rv s="9">
    <v>17</v>
    <v>GOOG</v>
    <v>Daily</v>
    <v>45753</v>
    <v>46118</v>
    <v>0</v>
    <v>1</v>
    <v>639106848000000000,639110203131086205,0</v>
    <v>0</v>
    <v>a1u3p2</v>
    <v>XNAS:GOOG</v>
    <v>1</v>
  </rv>
  <rv s="10">
    <v>18</v>
    <v>XNAS:AMD</v>
    <v>Daily</v>
    <v>46088</v>
    <v>46118</v>
    <v>0</v>
    <v>1</v>
    <v>639106848000000000,639110198821272358,0</v>
    <v>2</v>
    <v>a1ndww</v>
    <v/>
    <v>3</v>
    <v>4</v>
    <v>5</v>
    <v>6</v>
    <v>7</v>
  </rv>
  <rv s="9">
    <v>17</v>
    <v>XNAS:AMD</v>
    <v>Daily</v>
    <v>45753</v>
    <v>46118</v>
    <v>0</v>
    <v>1</v>
    <v>639106848000000000,639110198817279280,0</v>
    <v>0</v>
    <v>a1ndww</v>
    <v/>
    <v>8</v>
  </rv>
  <rv s="9">
    <v>17</v>
    <v>JPM</v>
    <v>Daily</v>
    <v>45753</v>
    <v>46118</v>
    <v>0</v>
    <v>1</v>
    <v>639106848000000000,639110203245886877,0</v>
    <v>0</v>
    <v>a1waa2</v>
    <v>XNYS:JPM</v>
    <v>9</v>
  </rv>
  <rv s="9">
    <v>17</v>
    <v>XNYS:BABA</v>
    <v>Daily</v>
    <v>45753</v>
    <v>46118</v>
    <v>0</v>
    <v>1</v>
    <v>639106848000000000,639110198818739974,0</v>
    <v>0</v>
    <v>a1o4mw</v>
    <v/>
    <v>10</v>
  </rv>
  <rv s="10">
    <v>18</v>
    <v>XNYS:BABA</v>
    <v>Daily</v>
    <v>46088</v>
    <v>46118</v>
    <v>0</v>
    <v>1</v>
    <v>639106848000000000,639110198827648175,0</v>
    <v>2</v>
    <v>a1o4mw</v>
    <v/>
    <v>11</v>
    <v>12</v>
    <v>13</v>
    <v>14</v>
    <v>15</v>
  </rv>
  <rv s="9">
    <v>17</v>
    <v>AMD</v>
    <v>Daily</v>
    <v>45753</v>
    <v>46118</v>
    <v>0</v>
    <v>1</v>
    <v>639106848000000000,639110203132322522,0</v>
    <v>0</v>
    <v>a1ndww</v>
    <v>XNAS:AMD</v>
    <v>8</v>
  </rv>
  <rv s="9">
    <v>17</v>
    <v>AAPL</v>
    <v>Daily</v>
    <v>45753</v>
    <v>46118</v>
    <v>0</v>
    <v>1</v>
    <v>639106848000000000,639110213932729532,0</v>
    <v>0</v>
    <v>a1mou2</v>
    <v>XNAS:AAPL</v>
    <v>16</v>
  </rv>
  <rv s="9">
    <v>17</v>
    <v>XNYS:BAC</v>
    <v>Daily</v>
    <v>45753</v>
    <v>46118</v>
    <v>0</v>
    <v>1</v>
    <v>639106848000000000,639110198822512849,0</v>
    <v>0</v>
    <v>a1o4sm</v>
    <v/>
    <v>17</v>
  </rv>
  <rv s="10">
    <v>18</v>
    <v>XNYS:BAC</v>
    <v>Daily</v>
    <v>46088</v>
    <v>46118</v>
    <v>0</v>
    <v>1</v>
    <v>639106848000000000,639110198823777301,0</v>
    <v>2</v>
    <v>a1o4sm</v>
    <v/>
    <v>18</v>
    <v>19</v>
    <v>20</v>
    <v>21</v>
    <v>22</v>
  </rv>
  <rv s="10">
    <v>18</v>
    <v>XNAS:COST</v>
    <v>Daily</v>
    <v>46088</v>
    <v>46118</v>
    <v>0</v>
    <v>1</v>
    <v>639106848000000000,639110198817504308,0</v>
    <v>2</v>
    <v>a1q6k2</v>
    <v/>
    <v>23</v>
    <v>24</v>
    <v>25</v>
    <v>26</v>
    <v>27</v>
  </rv>
  <rv s="9">
    <v>17</v>
    <v>XNAS:COST</v>
    <v>Daily</v>
    <v>45753</v>
    <v>46118</v>
    <v>0</v>
    <v>1</v>
    <v>639106848000000000,639110198826056719,0</v>
    <v>0</v>
    <v>a1q6k2</v>
    <v/>
    <v>28</v>
  </rv>
  <rv s="9">
    <v>17</v>
    <v>XNYS:DELL</v>
    <v>Daily</v>
    <v>45753</v>
    <v>46118</v>
    <v>0</v>
    <v>1</v>
    <v>639106848000000000,639110198820010558,0</v>
    <v>0</v>
    <v>a1retc</v>
    <v/>
    <v>29</v>
  </rv>
  <rv s="10">
    <v>18</v>
    <v>XNYS:DELL</v>
    <v>Daily</v>
    <v>46088</v>
    <v>46118</v>
    <v>0</v>
    <v>1</v>
    <v>639106848000000000,639110198826352713,0</v>
    <v>2</v>
    <v>a1retc</v>
    <v/>
    <v>30</v>
    <v>31</v>
    <v>32</v>
    <v>33</v>
    <v>34</v>
  </rv>
  <rv s="9">
    <v>17</v>
    <v>F</v>
    <v>Daily</v>
    <v>45753</v>
    <v>46118</v>
    <v>0</v>
    <v>1</v>
    <v>639106848000000000,639110203128218233,0</v>
    <v>0</v>
    <v>a1sjw7</v>
    <v>XNYS:F</v>
    <v>35</v>
  </rv>
  <rv s="10">
    <v>18</v>
    <v>XNYS:XOM</v>
    <v>Daily</v>
    <v>46088</v>
    <v>46118</v>
    <v>0</v>
    <v>1</v>
    <v>639106848000000000,639110198818577957,0</v>
    <v>2</v>
    <v>a269ec</v>
    <v/>
    <v>36</v>
    <v>37</v>
    <v>38</v>
    <v>39</v>
    <v>40</v>
  </rv>
  <rv s="9">
    <v>17</v>
    <v>XNYS:XOM</v>
    <v>Daily</v>
    <v>45753</v>
    <v>46118</v>
    <v>0</v>
    <v>1</v>
    <v>639106848000000000,639110198822351409,0</v>
    <v>0</v>
    <v>a269ec</v>
    <v/>
    <v>41</v>
  </rv>
  <rv s="9">
    <v>17</v>
    <v>WMT</v>
    <v>Daily</v>
    <v>45753</v>
    <v>46118</v>
    <v>0</v>
    <v>1</v>
    <v>639106848000000000,639110203128455954,0</v>
    <v>0</v>
    <v>a25ya2</v>
    <v>XNAS:WMT</v>
    <v>42</v>
  </rv>
  <rv s="10">
    <v>18</v>
    <v>XNYS:GM</v>
    <v>Daily</v>
    <v>46088</v>
    <v>46118</v>
    <v>0</v>
    <v>1</v>
    <v>639106848000000000,639110198825070607,0</v>
    <v>2</v>
    <v>a1tyrw</v>
    <v/>
    <v>43</v>
    <v>44</v>
    <v>45</v>
    <v>46</v>
    <v>47</v>
  </rv>
  <rv s="9">
    <v>17</v>
    <v>XNYS:GM</v>
    <v>Daily</v>
    <v>45753</v>
    <v>46118</v>
    <v>0</v>
    <v>1</v>
    <v>639106848000000000,639110198824817762,0</v>
    <v>0</v>
    <v>a1tyrw</v>
    <v/>
    <v>48</v>
  </rv>
  <rv s="10">
    <v>18</v>
    <v>XNYS:LMT</v>
    <v>Daily</v>
    <v>46088</v>
    <v>46118</v>
    <v>0</v>
    <v>1</v>
    <v>639106848000000000,639110198816035534,0</v>
    <v>2</v>
    <v>a1wzw7</v>
    <v/>
    <v>49</v>
    <v>50</v>
    <v>51</v>
    <v>52</v>
    <v>53</v>
  </rv>
  <rv s="9">
    <v>17</v>
    <v>XNYS:LMT</v>
    <v>Daily</v>
    <v>45753</v>
    <v>46118</v>
    <v>0</v>
    <v>1</v>
    <v>639106848000000000,639110198819867072,0</v>
    <v>0</v>
    <v>a1wzw7</v>
    <v/>
    <v>54</v>
  </rv>
  <rv s="9">
    <v>17</v>
    <v>XNAS:MSFT</v>
    <v>Daily</v>
    <v>45753</v>
    <v>46118</v>
    <v>0</v>
    <v>1</v>
    <v>639106848000000000,639110198816214829,0</v>
    <v>0</v>
    <v>a1xzim</v>
    <v/>
    <v>55</v>
  </rv>
  <rv s="10">
    <v>18</v>
    <v>XNAS:MSFT</v>
    <v>Daily</v>
    <v>46088</v>
    <v>46118</v>
    <v>0</v>
    <v>1</v>
    <v>639106848000000000,639110198827345880,0</v>
    <v>2</v>
    <v>a1xzim</v>
    <v/>
    <v>56</v>
    <v>57</v>
    <v>58</v>
    <v>59</v>
    <v>60</v>
  </rv>
  <rv s="9">
    <v>17</v>
    <v>BLK</v>
    <v>Daily</v>
    <v>45753</v>
    <v>46118</v>
    <v>0</v>
    <v>1</v>
    <v>639106848000000000,639110203119147968,0</v>
    <v>0</v>
    <v>a1om4c</v>
    <v>XNYS:BLK</v>
    <v>61</v>
  </rv>
  <rv s="9">
    <v>17</v>
    <v>XNYS:GS</v>
    <v>Daily</v>
    <v>45753</v>
    <v>46118</v>
    <v>0</v>
    <v>1</v>
    <v>639106848000000000,639110198821105776,0</v>
    <v>0</v>
    <v>a1u7xm</v>
    <v/>
    <v>62</v>
  </rv>
  <rv s="10">
    <v>18</v>
    <v>XNYS:GS</v>
    <v>Daily</v>
    <v>46088</v>
    <v>46118</v>
    <v>0</v>
    <v>1</v>
    <v>639106848000000000,639110198823574955,0</v>
    <v>2</v>
    <v>a1u7xm</v>
    <v/>
    <v>63</v>
    <v>64</v>
    <v>65</v>
    <v>66</v>
    <v>67</v>
  </rv>
  <rv s="9">
    <v>17</v>
    <v>TM</v>
    <v>Daily</v>
    <v>45753</v>
    <v>46118</v>
    <v>0</v>
    <v>1</v>
    <v>639106848000000000,639110203130759394,0</v>
    <v>0</v>
    <v>a24bh7</v>
    <v>XNYS:TM</v>
    <v>68</v>
  </rv>
  <rv s="9">
    <v>17</v>
    <v>0R2N</v>
    <v>Daily</v>
    <v>45753</v>
    <v>46118</v>
    <v>0</v>
    <v>1</v>
    <v>639106848000000000,639110203121662375,0</v>
    <v>69</v>
    <v>by9i27</v>
    <v>XLON:0R2N</v>
    <v>70</v>
  </rv>
  <rv s="9">
    <v>17</v>
    <v>BA</v>
    <v>Daily</v>
    <v>45753</v>
    <v>46118</v>
    <v>0</v>
    <v>1</v>
    <v>639106848000000000,639110203122973598,0</v>
    <v>69</v>
    <v>ca2bec</v>
    <v>XLON:0BOE</v>
    <v>71</v>
  </rv>
  <rv s="9">
    <v>17</v>
    <v>META</v>
    <v>Daily</v>
    <v>45753</v>
    <v>46118</v>
    <v>0</v>
    <v>1</v>
    <v>639106848000000000,639110203124266352,0</v>
    <v>0</v>
    <v>a1slm7</v>
    <v>XNAS:META</v>
    <v>72</v>
  </rv>
  <rv s="9">
    <v>17</v>
    <v>AMZN</v>
    <v>Daily</v>
    <v>45753</v>
    <v>46118</v>
    <v>0</v>
    <v>1</v>
    <v>639106848000000000,639110203125558963,0</v>
    <v>0</v>
    <v>a1nhlh</v>
    <v>XNAS:AMZN</v>
    <v>73</v>
  </rv>
  <rv s="9">
    <v>17</v>
    <v>CVX</v>
    <v>Daily</v>
    <v>45753</v>
    <v>46118</v>
    <v>0</v>
    <v>1</v>
    <v>639106848000000000,639110203126864951,0</v>
    <v>0</v>
    <v>a1qlz2</v>
    <v>XNYS:CVX</v>
    <v>74</v>
  </rv>
  <rv s="9">
    <v>17</v>
    <v>C</v>
    <v>Daily</v>
    <v>45753</v>
    <v>46118</v>
    <v>0</v>
    <v>1</v>
    <v>639106848000000000,639110203129473505,0</v>
    <v>0</v>
    <v>a1p3ww</v>
    <v>XNYS:C</v>
    <v>75</v>
  </rv>
  <rv s="9">
    <v>19</v>
    <v>HMC</v>
    <v>Daily</v>
    <v>45753</v>
    <v>46118</v>
    <v>0</v>
    <v>1</v>
    <v>639106848000000000,639110203129766388,0</v>
    <v>76</v>
    <v>bsg68m</v>
    <v>XASX:HMC</v>
    <v>77</v>
  </rv>
  <rv s="9">
    <v>17</v>
    <v>NVDA</v>
    <v>Daily</v>
    <v>45753</v>
    <v>46118</v>
    <v>0</v>
    <v>1</v>
    <v>639106848000000000,639110712775320782,0</v>
    <v>0</v>
    <v>a1yv52</v>
    <v>XNAS:NVDA</v>
    <v>78</v>
  </rv>
  <rv s="11">
    <v>en-US</v>
    <v>a1ndww</v>
    <v>268435456</v>
    <v>1</v>
    <v>Powered by Refinitiv</v>
    <v>21</v>
    <v>ADVANCED MICRO DEVICES, INC. (XNAS:AMD)</v>
    <v>2</v>
    <v>22</v>
    <v>Finance</v>
    <v>23</v>
    <v>267.07990000000001</v>
    <v>76.48</v>
    <v>1.9919</v>
    <v>7.29</v>
    <v>-1.6489999999999999E-3</v>
    <v>3.4680000000000002E-2</v>
    <v>-0.35859999999999997</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217.78</v>
    <v>Semiconductors &amp; Semiconductor Equipment</v>
    <v>Stock</v>
    <v>46114.99997155078</v>
    <v>0</v>
    <v>200.62</v>
    <v>354598732500</v>
    <v>ADVANCED MICRO DEVICES, INC.</v>
    <v>ADVANCED MICRO DEVICES, INC.</v>
    <v>204.05</v>
    <v>80.712800000000001</v>
    <v>210.21</v>
    <v>217.5</v>
    <v>217.1414</v>
    <v>1630339000</v>
    <v>AMD</v>
    <v>ADVANCED MICRO DEVICES, INC. (XNAS:AMD)</v>
    <v>38463484</v>
    <v>34320558</v>
    <v>1969</v>
  </rv>
  <rv s="2">
    <v>6493</v>
  </rv>
  <rv s="12">
    <v>en-US</v>
    <v>a1xzim</v>
    <v>268435456</v>
    <v>1</v>
    <v>Powered by Refinitiv</v>
    <v>24</v>
    <v>MICROSOFT CORPORATION (XNAS:MSFT)</v>
    <v>7</v>
    <v>25</v>
    <v>Finance</v>
    <v>23</v>
    <v>555.45000000000005</v>
    <v>344.79</v>
    <v>1.103</v>
    <v>4.09</v>
    <v>-1.607E-4</v>
    <v>1.1073E-2</v>
    <v>-0.06</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373.64</v>
    <v>6</v>
    <v>Software &amp; IT Services</v>
    <v>Stock</v>
    <v>46114.999996435159</v>
    <v>7</v>
    <v>364.15</v>
    <v>2773175406340</v>
    <v>MICROSOFT CORPORATION</v>
    <v>MICROSOFT CORPORATION</v>
    <v>367.20499999999998</v>
    <v>23.111000000000001</v>
    <v>369.37</v>
    <v>373.46</v>
    <v>373.4</v>
    <v>7425629000</v>
    <v>MSFT</v>
    <v>MICROSOFT CORPORATION (XNAS:MSFT)</v>
    <v>24099067</v>
    <v>34419136</v>
    <v>1993</v>
  </rv>
  <rv s="2">
    <v>6495</v>
  </rv>
  <rv s="11">
    <v>en-US</v>
    <v>a1o4mw</v>
    <v>268435456</v>
    <v>1</v>
    <v>Powered by Refinitiv</v>
    <v>21</v>
    <v>Alibaba Group Holding Limited (XNYS:BABA)</v>
    <v>2</v>
    <v>22</v>
    <v>Finance</v>
    <v>23</v>
    <v>192.67</v>
    <v>94.974199999999996</v>
    <v>0.49490000000000001</v>
    <v>-1.68</v>
    <v>-1.059E-3</v>
    <v>-1.3578E-2</v>
    <v>-0.1293</v>
    <v>USD</v>
    <v>Alibaba Group Holding Ltd is an investment holding company mainly engaged in the provision of technology infrastructure and marketing platforms. The Company operates its business through nine segments. The China Commerce Retail segment is engaged in the China commerce retail business. The China Commerce Wholesale segment is mainly engaged in the operation of 1688.com. The Cloud Intelligence segment provides cloud services. The International Commerce Retail segment provides customer management services, sales of goods and logistics services. The International Commerce Wholesale segment is mainly engaged in the operation of Alibaba.com. The Cainiao Represents Logistics Services segment provides fulfilment services. The Local Services segment’s revenue includes platform commissions, logistics services revenue. The Digital Media and Entertainment segment engages in the operation of Youku and Alibaba. The All Others segment is mainly engaged in the Sun Art, Freshippo and other business.</v>
    <v>128197</v>
    <v>New York Stock Exchange</v>
    <v>XNYS</v>
    <v>XNYS</v>
    <v>26/F Tower One, Times Square 1 Matheson Street Causeway Bay, Shedden Road HK</v>
    <v>122.8479</v>
    <v>Software &amp; IT Services</v>
    <v>Stock</v>
    <v>46114.999846782033</v>
    <v>10</v>
    <v>120.14</v>
    <v>291383756650</v>
    <v>Alibaba Group Holding Limited</v>
    <v>Alibaba Group Holding Limited</v>
    <v>120.27</v>
    <v>16.8276</v>
    <v>123.73</v>
    <v>122.05</v>
    <v>121.9207</v>
    <v>2387413000</v>
    <v>BABA</v>
    <v>Alibaba Group Holding Limited (XNYS:BABA)</v>
    <v>8830234</v>
    <v>12208490</v>
    <v>1999</v>
  </rv>
  <rv s="2">
    <v>6497</v>
  </rv>
  <rv s="11">
    <v>en-US</v>
    <v>a1retc</v>
    <v>268435456</v>
    <v>1</v>
    <v>Powered by Refinitiv</v>
    <v>21</v>
    <v>DELL TECHNOLOGIES INC. (XNYS:DELL)</v>
    <v>2</v>
    <v>22</v>
    <v>Finance</v>
    <v>23</v>
    <v>186.39</v>
    <v>66.245000000000005</v>
    <v>0.85729999999999995</v>
    <v>4.99</v>
    <v>3.4410000000000002E-4</v>
    <v>2.946E-2</v>
    <v>0.06</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97000</v>
    <v>New York Stock Exchange</v>
    <v>XNYS</v>
    <v>XNYS</v>
    <v>ONE DELL WAY, ROUND ROCK, TX, 78682 US</v>
    <v>174.37</v>
    <v>Computers, Phones &amp; Household Electronics</v>
    <v>Stock</v>
    <v>46114.999913645312</v>
    <v>13</v>
    <v>166.495</v>
    <v>112599165945</v>
    <v>DELL TECHNOLOGIES INC.</v>
    <v>DELL TECHNOLOGIES INC.</v>
    <v>166.99</v>
    <v>19.4253</v>
    <v>169.38</v>
    <v>174.37</v>
    <v>174.43</v>
    <v>645748500</v>
    <v>DELL</v>
    <v>DELL TECHNOLOGIES INC. (XNYS:DELL)</v>
    <v>5217126</v>
    <v>10861357</v>
    <v>2013</v>
  </rv>
  <rv s="2">
    <v>6499</v>
  </rv>
  <rv s="11">
    <v>en-US</v>
    <v>a1u7xm</v>
    <v>268435456</v>
    <v>1</v>
    <v>Powered by Refinitiv</v>
    <v>21</v>
    <v>THE GOLDMAN SACHS GROUP, INC. (XNYS:GS)</v>
    <v>2</v>
    <v>22</v>
    <v>Finance</v>
    <v>23</v>
    <v>984.7</v>
    <v>439.38</v>
    <v>1.3147</v>
    <v>2.83</v>
    <v>1.054E-3</v>
    <v>3.29E-3</v>
    <v>0.91</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47400</v>
    <v>New York Stock Exchange</v>
    <v>XNYS</v>
    <v>XNYS</v>
    <v>200 West St, NEW YORK, NY, 10282 US</v>
    <v>867.3</v>
    <v>Investment Banking &amp; Investment Services</v>
    <v>Stock</v>
    <v>46114.999939721878</v>
    <v>16</v>
    <v>831</v>
    <v>254591535456</v>
    <v>THE GOLDMAN SACHS GROUP, INC.</v>
    <v>THE GOLDMAN SACHS GROUP, INC.</v>
    <v>838.39</v>
    <v>16.7681</v>
    <v>860.21</v>
    <v>863.04</v>
    <v>863.95</v>
    <v>294993900</v>
    <v>GS</v>
    <v>THE GOLDMAN SACHS GROUP, INC. (XNYS:GS)</v>
    <v>1717678</v>
    <v>2502391</v>
    <v>1998</v>
  </rv>
  <rv s="2">
    <v>6501</v>
  </rv>
  <rv s="11">
    <v>en-US</v>
    <v>a269ec</v>
    <v>268435456</v>
    <v>1</v>
    <v>Powered by Refinitiv</v>
    <v>21</v>
    <v>EXXON MOBIL CORPORATION (XNYS:XOM)</v>
    <v>2</v>
    <v>22</v>
    <v>Finance</v>
    <v>23</v>
    <v>176.41</v>
    <v>97.8</v>
    <v>0.29189999999999999</v>
    <v>-0.09</v>
    <v>-1.2439999999999999E-3</v>
    <v>-5.5980000000000005E-4</v>
    <v>-0.19989999999999999</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166.9</v>
    <v>Oil &amp; Gas</v>
    <v>Stock</v>
    <v>46114.999861318749</v>
    <v>19</v>
    <v>159.59</v>
    <v>669557307160</v>
    <v>EXXON MOBIL CORPORATION</v>
    <v>EXXON MOBIL CORPORATION</v>
    <v>164.49</v>
    <v>24.0672</v>
    <v>160.78</v>
    <v>160.69</v>
    <v>160.49010000000001</v>
    <v>4166764000</v>
    <v>XOM</v>
    <v>EXXON MOBIL CORPORATION (XNYS:XOM)</v>
    <v>25377657</v>
    <v>25353682</v>
    <v>1882</v>
  </rv>
  <rv s="2">
    <v>6503</v>
  </rv>
  <rv s="11">
    <v>en-US</v>
    <v>a1tyrw</v>
    <v>268435456</v>
    <v>1</v>
    <v>Powered by Refinitiv</v>
    <v>21</v>
    <v>GENERAL MOTORS COMPANY (XNYS:GM)</v>
    <v>2</v>
    <v>22</v>
    <v>Finance</v>
    <v>23</v>
    <v>87.62</v>
    <v>41.6</v>
    <v>1.3733</v>
    <v>-2.5</v>
    <v>1.103E-3</v>
    <v>-3.3315999999999998E-2</v>
    <v>0.08</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156000</v>
    <v>New York Stock Exchange</v>
    <v>XNYS</v>
    <v>XNYS</v>
    <v>P.O. Box 33170, DETROIT, MI, 48232-5170 US</v>
    <v>73.680000000000007</v>
    <v>Automobiles &amp; Auto Parts</v>
    <v>Stock</v>
    <v>46114.999659628906</v>
    <v>22</v>
    <v>71.67</v>
    <v>65573824212</v>
    <v>GENERAL MOTORS COMPANY</v>
    <v>GENERAL MOTORS COMPANY</v>
    <v>73.34</v>
    <v>22.9604</v>
    <v>75.040000000000006</v>
    <v>72.540000000000006</v>
    <v>72.62</v>
    <v>903967800</v>
    <v>GM</v>
    <v>GENERAL MOTORS COMPANY (XNYS:GM)</v>
    <v>8182839</v>
    <v>8114098</v>
    <v>2009</v>
  </rv>
  <rv s="2">
    <v>6505</v>
  </rv>
  <rv s="11">
    <v>en-US</v>
    <v>a1o4sm</v>
    <v>268435456</v>
    <v>1</v>
    <v>Powered by Refinitiv</v>
    <v>21</v>
    <v>BANK OF AMERICA CORPORATION (XNYS:BAC)</v>
    <v>2</v>
    <v>22</v>
    <v>Finance</v>
    <v>23</v>
    <v>57.55</v>
    <v>33.064999999999998</v>
    <v>1.2422</v>
    <v>0.11</v>
    <v>4.0500000000000003E-4</v>
    <v>2.2330000000000002E-3</v>
    <v>0.02</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213207</v>
    <v>New York Stock Exchange</v>
    <v>XNYS</v>
    <v>XNYS</v>
    <v>Bank Of America Corporate Center, 100 N Tryon St, CHARLOTTE, NC, 28255 US</v>
    <v>49.564999999999998</v>
    <v>Banking Services</v>
    <v>Stock</v>
    <v>46114.99887854141</v>
    <v>25</v>
    <v>48.16</v>
    <v>352855110420</v>
    <v>BANK OF AMERICA CORPORATION</v>
    <v>BANK OF AMERICA CORPORATION</v>
    <v>48.75</v>
    <v>13.024900000000001</v>
    <v>49.27</v>
    <v>49.38</v>
    <v>49.4</v>
    <v>7145709000</v>
    <v>BAC</v>
    <v>BANK OF AMERICA CORPORATION (XNYS:BAC)</v>
    <v>27548242</v>
    <v>45460486</v>
    <v>1998</v>
  </rv>
  <rv s="2">
    <v>6507</v>
  </rv>
  <rv s="11">
    <v>en-US</v>
    <v>a1wzw7</v>
    <v>268435456</v>
    <v>1</v>
    <v>Powered by Refinitiv</v>
    <v>21</v>
    <v>LOCKHEED MARTIN CORPORATION (XNYS:LMT)</v>
    <v>2</v>
    <v>22</v>
    <v>Finance</v>
    <v>23</v>
    <v>692</v>
    <v>410.11</v>
    <v>0.23669999999999999</v>
    <v>5.15</v>
    <v>1.67E-3</v>
    <v>8.3379999999999999E-3</v>
    <v>1.04</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626.51</v>
    <v>Aerospace &amp; Defense</v>
    <v>Stock</v>
    <v>46114.999743818749</v>
    <v>28</v>
    <v>616.01</v>
    <v>143529491259</v>
    <v>LOCKHEED MARTIN CORPORATION</v>
    <v>LOCKHEED MARTIN CORPORATION</v>
    <v>616.70000000000005</v>
    <v>28.746099999999998</v>
    <v>617.64</v>
    <v>622.79</v>
    <v>623.83000000000004</v>
    <v>230462100</v>
    <v>LMT</v>
    <v>LOCKHEED MARTIN CORPORATION (XNYS:LMT)</v>
    <v>1116763</v>
    <v>1772719</v>
    <v>1994</v>
  </rv>
  <rv s="2">
    <v>6509</v>
  </rv>
  <rv s="11">
    <v>en-US</v>
    <v>a1q6k2</v>
    <v>268435456</v>
    <v>1</v>
    <v>Powered by Refinitiv</v>
    <v>21</v>
    <v>COSTCO WHOLESALE CORPORATION (XNAS:COST)</v>
    <v>2</v>
    <v>22</v>
    <v>Finance</v>
    <v>23</v>
    <v>1067.08</v>
    <v>844.06</v>
    <v>0.98899999999999999</v>
    <v>18.399999999999999</v>
    <v>-1.044E-3</v>
    <v>1.8464000000000001E-2</v>
    <v>-1.06</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1016</v>
    <v>Diversified Retail</v>
    <v>Stock</v>
    <v>46114.999898263282</v>
    <v>31</v>
    <v>999.21</v>
    <v>450289541400</v>
    <v>COSTCO WHOLESALE CORPORATION</v>
    <v>COSTCO WHOLESALE CORPORATION</v>
    <v>1008</v>
    <v>53.382899999999999</v>
    <v>996.56</v>
    <v>1014.96</v>
    <v>1013.9</v>
    <v>443652500</v>
    <v>COST</v>
    <v>COSTCO WHOLESALE CORPORATION (XNAS:COST)</v>
    <v>1828612</v>
    <v>1866728</v>
    <v>1987</v>
  </rv>
  <rv s="2">
    <v>6511</v>
  </rv>
  <rv s="13">
    <v>79</v>
  </rv>
  <rv s="14">
    <v>{C95F8C75-B2E0-4221-B4F5-DB6040B91045}</v>
    <v>0</v>
    <v>20</v>
    <v>6513</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formattednumber">
    <k n="_Format" t="spb"/>
  </s>
  <s t="_error">
    <k n="errorType" t="i"/>
    <k n="subType" t="i"/>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Open"/>
    <k n="P/E"/>
    <k n="Previous close"/>
    <k n="Price"/>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s t="_stockhistorycache">
    <k n="_Format" t="spb"/>
    <k n="Symbol" t="s"/>
    <k n="Interval" t="s"/>
    <k n="StartDate" t="i"/>
    <k n="EndDate" t="i"/>
    <k n="f1904" t="b"/>
    <k n="fdcompat" t="b"/>
    <k n="etag" t="s"/>
    <k n="Date" t="a"/>
    <k n="EntityId" t="s"/>
    <k n="Instrument" t="s"/>
    <k n="Close" t="a"/>
    <k n="Open" t="a"/>
    <k n="High" t="a"/>
    <k n="Low" t="a"/>
    <k n="Volume" t="a"/>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array">
    <k n="array" t="a"/>
  </s>
  <s t="_datasourcecontainer">
    <k n="%XLUID" t="s"/>
    <k n="_CRID" t="i"/>
    <k n="_Display" t="spb"/>
    <k n="Stock" t="r"/>
  </s>
</rvStructures>
</file>

<file path=xl/richData/rdsupportingpropertybag.xml><?xml version="1.0" encoding="utf-8"?>
<supportingPropertyBags xmlns="http://schemas.microsoft.com/office/spreadsheetml/2017/richdata2">
  <spbArrays count="6">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
      <v t="s">Stock</v>
      <v t="s">_CRID</v>
      <v t="s">%XLUID</v>
      <v t="s">_Display</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26">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0">
      <v>1</v>
      <v>Name</v>
      <v>LearnMoreOnLink</v>
    </spb>
    <spb s="5">
      <v>0</v>
      <v>0</v>
    </spb>
    <spb s="6">
      <v>6</v>
      <v>1</v>
      <v>1</v>
      <v>1</v>
      <v>1</v>
    </spb>
    <spb s="7">
      <v>1</v>
      <v>2</v>
      <v>2</v>
      <v>1</v>
      <v>3</v>
      <v>1</v>
      <v>10</v>
      <v>1</v>
      <v>1</v>
      <v>4</v>
      <v>4</v>
      <v>5</v>
      <v>6</v>
      <v>1</v>
      <v>1</v>
      <v>1</v>
      <v>4</v>
      <v>7</v>
      <v>8</v>
      <v>9</v>
      <v>4</v>
    </spb>
    <spb s="8">
      <v>Powered by Refinitiv</v>
    </spb>
    <spb s="9">
      <v>1</v>
    </spb>
    <spb s="9">
      <v>11</v>
    </spb>
    <spb s="0">
      <v>2</v>
      <v>Name</v>
      <v>LearnMoreOnLink</v>
    </spb>
    <spb s="10">
      <v>2</v>
      <v>2</v>
      <v>3</v>
      <v>1</v>
      <v>1</v>
      <v>1</v>
      <v>4</v>
      <v>4</v>
      <v>5</v>
      <v>6</v>
      <v>1</v>
      <v>1</v>
      <v>1</v>
      <v>4</v>
      <v>7</v>
      <v>8</v>
      <v>9</v>
      <v>4</v>
    </spb>
    <spb s="4">
      <v>Delayed 15 minutes</v>
      <v>from previous close</v>
      <v>from previous close</v>
      <v>LSE</v>
      <v>GMT</v>
    </spb>
    <spb s="9">
      <v>12</v>
    </spb>
    <spb s="9">
      <v>4</v>
    </spb>
    <spb s="11">
      <v>12</v>
      <v>1</v>
    </spb>
    <spb s="12">
      <v>1</v>
      <v>12</v>
      <v>1</v>
      <v>1</v>
      <v>1</v>
      <v>4</v>
    </spb>
    <spb s="11">
      <v>12</v>
      <v>11</v>
    </spb>
    <spb s="13">
      <v>3</v>
    </spb>
    <spb s="0">
      <v>4</v>
      <v>Name</v>
      <v>LearnMoreOnLink</v>
    </spb>
    <spb s="14">
      <v>1</v>
      <v>2</v>
      <v>2</v>
      <v>1</v>
      <v>3</v>
      <v>1</v>
      <v>1</v>
      <v>1</v>
      <v>4</v>
      <v>4</v>
      <v>5</v>
      <v>6</v>
      <v>1</v>
      <v>1</v>
      <v>1</v>
      <v>4</v>
      <v>7</v>
      <v>8</v>
      <v>9</v>
      <v>4</v>
      <v>1</v>
      <v>1</v>
      <v>5</v>
    </spb>
    <spb s="15">
      <v>at close</v>
      <v>from previous close</v>
      <v>from previous close</v>
      <v>Source: Nasdaq</v>
      <v>GMT</v>
      <v>Delayed 15 minutes</v>
      <v>from close</v>
      <v>from close</v>
    </spb>
    <spb s="0">
      <v>5</v>
      <v>Name</v>
      <v>LearnMoreOnLink</v>
    </spb>
    <spb s="16">
      <v>1</v>
      <v>2</v>
      <v>2</v>
      <v>1</v>
      <v>3</v>
      <v>1</v>
      <v>10</v>
      <v>1</v>
      <v>1</v>
      <v>4</v>
      <v>4</v>
      <v>5</v>
      <v>6</v>
      <v>1</v>
      <v>1</v>
      <v>1</v>
      <v>4</v>
      <v>7</v>
      <v>8</v>
      <v>9</v>
      <v>4</v>
      <v>1</v>
      <v>1</v>
      <v>5</v>
    </spb>
  </spbData>
</supportingPropertyBags>
</file>

<file path=xl/richData/rdsupportingpropertybagstructure.xml><?xml version="1.0" encoding="utf-8"?>
<spbStructures xmlns="http://schemas.microsoft.com/office/spreadsheetml/2017/richdata2" count="1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_Self" t="i"/>
  </s>
  <s>
    <k n="P/E" t="i"/>
    <k n="Beta"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Date" t="i"/>
    <k n="Close" t="i"/>
  </s>
  <s>
    <k n="Low" t="i"/>
    <k n="Date" t="i"/>
    <k n="High" t="i"/>
    <k n="Open" t="i"/>
    <k n="Close" t="i"/>
    <k n="Volume" t="i"/>
  </s>
  <s>
    <k n="^Order" t="spba"/>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Sty dxfid="1">
      <rpv i="0">_-[$$-en-AU]* #,##0.00_-;-[$$-en-AU]* #,##0.00_-;_-[$$-en-AU]* "-"??_-;_-@_-</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CE9A1E-333C-406A-B3FD-1C761AEEC348}" name="Table2" displayName="Table2" ref="A1:L11" totalsRowShown="0" headerRowDxfId="53" dataDxfId="51" headerRowBorderDxfId="52" tableBorderDxfId="50" totalsRowBorderDxfId="49">
  <autoFilter ref="A1:L11" xr:uid="{60CE9A1E-333C-406A-B3FD-1C761AEEC348}"/>
  <tableColumns count="12">
    <tableColumn id="3" xr3:uid="{E8AEE88F-2942-48AC-8B1C-8E8810CAFAC5}" name="Stock" dataDxfId="48"/>
    <tableColumn id="4" xr3:uid="{DE336B69-F745-40B4-82C4-57DD94E0C080}" name="Ticker symbol" dataDxfId="47">
      <calculatedColumnFormula array="1">_FV(Table2[[#This Row],[Stock]],"Ticker symbol",TRUE)</calculatedColumnFormula>
    </tableColumn>
    <tableColumn id="5" xr3:uid="{F5D7E1F7-D3D6-401A-AD50-8E4899FF66DE}" name="52 week high" dataDxfId="46">
      <calculatedColumnFormula array="1">_FV(Table2[[#This Row],[Stock]],"52 week high",TRUE)</calculatedColumnFormula>
    </tableColumn>
    <tableColumn id="6" xr3:uid="{440DC7BE-F616-421B-ADA3-838C34E9D15A}" name="52 week low" dataDxfId="45">
      <calculatedColumnFormula array="1">_FV(Table2[[#This Row],[Stock]],"52 week low",TRUE)</calculatedColumnFormula>
    </tableColumn>
    <tableColumn id="7" xr3:uid="{12CE8BED-E2DE-4599-AE5A-18A21F5AABFA}" name="Beta" dataDxfId="44">
      <calculatedColumnFormula array="1">_FV(Table2[[#This Row],[Stock]],"Beta")</calculatedColumnFormula>
    </tableColumn>
    <tableColumn id="9" xr3:uid="{E3B1BD9F-B8A7-400A-ABBE-962B9D2708AA}" name="P/E" dataDxfId="43">
      <calculatedColumnFormula array="1">_FV(Table2[[#This Row],[Stock]],"P/E",TRUE)</calculatedColumnFormula>
    </tableColumn>
    <tableColumn id="10" xr3:uid="{72B81329-389E-4C05-ADF5-FB1C44A7A6A0}" name="Change" dataDxfId="42">
      <calculatedColumnFormula array="1">_FV(Table2[[#This Row],[Stock]],"Change")</calculatedColumnFormula>
    </tableColumn>
    <tableColumn id="11" xr3:uid="{35B33FE8-BC08-4240-AA0A-580BC484F81B}" name="High" dataDxfId="41">
      <calculatedColumnFormula array="1">_FV(Table2[[#This Row],[Stock]],"High")</calculatedColumnFormula>
    </tableColumn>
    <tableColumn id="12" xr3:uid="{1F9AD851-C9F0-4F37-AB5E-294CC6CCF9C3}" name="Low" dataDxfId="40">
      <calculatedColumnFormula array="1">_FV(Table2[[#This Row],[Stock]],"Low")</calculatedColumnFormula>
    </tableColumn>
    <tableColumn id="13" xr3:uid="{94E1203A-56DC-4E2B-8F60-B9FAF044E345}" name="Market cap" dataDxfId="39">
      <calculatedColumnFormula array="1">_FV(Table2[[#This Row],[Stock]],"Market cap",TRUE)</calculatedColumnFormula>
    </tableColumn>
    <tableColumn id="14" xr3:uid="{68256EF8-572B-4195-BB92-ABDF38E7A527}" name="Industry" dataDxfId="38">
      <calculatedColumnFormula array="1">_FV(Table2[[#This Row],[Stock]],"Industry")</calculatedColumnFormula>
    </tableColumn>
    <tableColumn id="16" xr3:uid="{9C453AE8-868B-4961-BBF0-8D32C0EA552B}" name="Exchange abbreviation" dataDxfId="37">
      <calculatedColumnFormula array="1">_FV(Table2[[#This Row],[Stock]],"Exchange abbreviation",TRUE)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121A6A-45F0-4D7F-B1EC-F9874D598968}" name="Ledger" displayName="Ledger" ref="B2:J114" totalsRowShown="0" headerRowDxfId="242" headerRowBorderDxfId="241" tableBorderDxfId="240" totalsRowBorderDxfId="239">
  <autoFilter ref="B2:J114" xr:uid="{AF121A6A-45F0-4D7F-B1EC-F9874D598968}"/>
  <tableColumns count="9">
    <tableColumn id="1" xr3:uid="{1AFFF42E-3FE1-4FEA-AC5B-DC58EC4E67FC}" name="Date" dataDxfId="238"/>
    <tableColumn id="2" xr3:uid="{F6D81D1F-7B09-4663-8C34-FE4137230D89}" name="Stock" dataDxfId="237"/>
    <tableColumn id="3" xr3:uid="{BCB2D1C8-1594-4C0D-A1D9-F67FE3ED2EEF}" name="Transaction Type" dataDxfId="236"/>
    <tableColumn id="4" xr3:uid="{0780C279-6B06-4EBD-8955-24A4CB3DF0F3}" name="Price" dataDxfId="235"/>
    <tableColumn id="5" xr3:uid="{E086C102-9EB7-4931-895A-66375AF61BF9}" name="Units" dataDxfId="234"/>
    <tableColumn id="6" xr3:uid="{70BDA7E6-E059-4AE0-8054-7E96ED0B2C08}" name="Transaction Amount" dataDxfId="233">
      <calculatedColumnFormula>E3*F3</calculatedColumnFormula>
    </tableColumn>
    <tableColumn id="7" xr3:uid="{26E239BE-2112-458D-92DF-818BC9884901}" name="Ticker" dataDxfId="232">
      <calculatedColumnFormula array="1">_FV(Ledger[[#This Row],[Stock]],"Ticker symbol",TRUE)</calculatedColumnFormula>
    </tableColumn>
    <tableColumn id="8" xr3:uid="{C3A41929-0B8C-403A-9B0A-789530919771}" name="Holding Days"/>
    <tableColumn id="9" xr3:uid="{168BB0EB-4CCF-470B-B328-A6684986C881}" name="Tax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 dT="2026-03-21T14:29:23.14" personId="{B501DFE9-12CB-4589-BE40-9625E6D75A56}" id="{66467F6D-DABC-45D1-B614-591E4386DF82}">
    <text>Source: Historical closing prices (split-adjusted) for first trading day of each year. Data from Nasdaq.com and Yahoo Finance historical data.</text>
  </threadedComment>
  <threadedComment ref="E10" dT="2026-03-21T14:29:23.20" personId="{B501DFE9-12CB-4589-BE40-9625E6D75A56}" id="{A3D7E361-DF7D-462B-9512-A07692D75D73}">
    <text>Source: Historical closing prices (split-adjusted) for first trading day of each year. Data from Nasdaq.com and Yahoo Finance historical data.</text>
  </threadedComment>
  <threadedComment ref="E17" dT="2026-03-21T14:29:23.22" personId="{B501DFE9-12CB-4589-BE40-9625E6D75A56}" id="{776F7F36-7336-4CB3-800A-957F560E1950}">
    <text>Source: Historical closing prices (split-adjusted) for first trading day of each year. Data from Nasdaq.com and Yahoo Finance historical data.</text>
  </threadedComment>
  <threadedComment ref="E24" dT="2026-03-21T14:29:23.24" personId="{B501DFE9-12CB-4589-BE40-9625E6D75A56}" id="{57596535-F847-4820-A7E2-BD1AB08797F1}">
    <text>Source: Historical closing prices (split-adjusted) for first trading day of each year. Data from Nasdaq.com and Yahoo Finance historical data.</text>
  </threadedComment>
  <threadedComment ref="E31" dT="2026-03-21T14:29:23.26" personId="{B501DFE9-12CB-4589-BE40-9625E6D75A56}" id="{2B352DEA-3806-415A-9D3A-CC4FBFF81028}">
    <text>Source: Historical closing prices (split-adjusted) for first trading day of each year. Data from Nasdaq.com and Yahoo Finance historical data.</text>
  </threadedComment>
  <threadedComment ref="E38" dT="2026-03-21T14:29:23.27" personId="{B501DFE9-12CB-4589-BE40-9625E6D75A56}" id="{A71A3EF7-FD6B-4424-91AF-F1A05924C6F1}">
    <text>Source: Historical closing prices (split-adjusted) for first trading day of each year. Data from Nasdaq.com and Yahoo Finance historical data.</text>
  </threadedComment>
  <threadedComment ref="E45" dT="2026-03-21T14:29:23.29" personId="{B501DFE9-12CB-4589-BE40-9625E6D75A56}" id="{39B24EC7-2523-4CF7-91BE-E41FDB249421}">
    <text>Source: Historical closing prices (split-adjusted) for first trading day of each year. Data from Nasdaq.com and Yahoo Finance historical data.</text>
  </threadedComment>
  <threadedComment ref="E52" dT="2026-03-21T14:29:23.30" personId="{B501DFE9-12CB-4589-BE40-9625E6D75A56}" id="{698966FD-6A35-4DEF-91B0-DD474F0E8922}">
    <text>Source: Historical closing prices (split-adjusted) for first trading day of each year. Data from Nasdaq.com and Yahoo Finance historical data.</text>
  </threadedComment>
  <threadedComment ref="E59" dT="2026-03-21T14:29:23.32" personId="{B501DFE9-12CB-4589-BE40-9625E6D75A56}" id="{79C1DF0A-1431-4A66-945A-B4391E50131B}">
    <text>Source: Historical closing prices (split-adjusted) for first trading day of each year. Data from Nasdaq.com and Yahoo Finance historical data.</text>
  </threadedComment>
  <threadedComment ref="E66" dT="2026-03-21T14:29:23.48" personId="{B501DFE9-12CB-4589-BE40-9625E6D75A56}" id="{BCA9D662-D0E1-4ADA-A7A1-1D8CEF0D6099}">
    <text>Source: Historical closing prices (split-adjusted) for first trading day of each year. Data from Nasdaq.com and Yahoo Finance historical data.</text>
  </threadedComment>
  <threadedComment ref="E73" dT="2026-03-21T14:29:23.52" personId="{B501DFE9-12CB-4589-BE40-9625E6D75A56}" id="{B1922484-F502-4206-83DC-87FDE9C2C985}">
    <text>Source: Historical closing prices (split-adjusted) for first trading day of each year. Data from Nasdaq.com and Yahoo Finance historical data.</text>
  </threadedComment>
  <threadedComment ref="E80" dT="2026-03-21T14:29:23.53" personId="{B501DFE9-12CB-4589-BE40-9625E6D75A56}" id="{2CD90182-CBE6-4725-AB97-2C08A2469AA3}">
    <text>Source: Historical closing prices (split-adjusted) for first trading day of each year. Data from Nasdaq.com and Yahoo Finance historical data.</text>
  </threadedComment>
  <threadedComment ref="E87" dT="2026-03-21T14:29:23.54" personId="{B501DFE9-12CB-4589-BE40-9625E6D75A56}" id="{A61CA121-1B3E-4104-9E4F-392D00D1AB7B}">
    <text>Source: Historical closing prices (split-adjusted) for first trading day of each year. Data from Nasdaq.com and Yahoo Finance historical data.</text>
  </threadedComment>
  <threadedComment ref="E94" dT="2026-03-21T14:29:23.55" personId="{B501DFE9-12CB-4589-BE40-9625E6D75A56}" id="{3FDAAE89-7E25-455E-AF5F-BCE2AD0EFF52}">
    <text>Source: Historical closing prices (split-adjusted) for first trading day of each year. Data from Nasdaq.com and Yahoo Finance historical data.</text>
  </threadedComment>
  <threadedComment ref="E101" dT="2026-03-21T14:29:23.56" personId="{B501DFE9-12CB-4589-BE40-9625E6D75A56}" id="{99F7585A-F853-412B-A3B2-2708EDD4CD92}">
    <text>Source: Historical closing prices (split-adjusted) for first trading day of each year. Data from Nasdaq.com and Yahoo Finance historical data.</text>
  </threadedComment>
  <threadedComment ref="E108" dT="2026-03-21T14:29:23.57" personId="{B501DFE9-12CB-4589-BE40-9625E6D75A56}" id="{D233A964-621A-4BD1-BC1D-4A8E285712AC}">
    <text>Source: Historical closing prices (split-adjusted) for first trading day of each year. Data from Nasdaq.com and Yahoo Finance historical data.</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7.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EC34-E899-48AE-B0EA-0B1E59FF2077}">
  <dimension ref="A1:F50"/>
  <sheetViews>
    <sheetView workbookViewId="0"/>
  </sheetViews>
  <sheetFormatPr defaultRowHeight="14.5" x14ac:dyDescent="0.35"/>
  <cols>
    <col min="1" max="1" width="5.453125" customWidth="1"/>
    <col min="2" max="2" width="45.453125" customWidth="1"/>
    <col min="3" max="3" width="21.81640625" customWidth="1"/>
    <col min="4" max="4" width="27.26953125" customWidth="1"/>
    <col min="5" max="5" width="54.54296875" customWidth="1"/>
    <col min="6" max="6" width="21.81640625" customWidth="1"/>
  </cols>
  <sheetData>
    <row r="1" spans="1:6" ht="21" x14ac:dyDescent="0.5">
      <c r="A1" s="331" t="s">
        <v>470</v>
      </c>
      <c r="B1" s="302"/>
      <c r="C1" s="302"/>
      <c r="D1" s="302"/>
      <c r="E1" s="302"/>
      <c r="F1" s="302"/>
    </row>
    <row r="2" spans="1:6" x14ac:dyDescent="0.35">
      <c r="A2" s="332" t="s">
        <v>471</v>
      </c>
    </row>
    <row r="4" spans="1:6" x14ac:dyDescent="0.35">
      <c r="A4" s="312" t="s">
        <v>472</v>
      </c>
      <c r="B4" s="312" t="s">
        <v>473</v>
      </c>
      <c r="C4" s="312" t="s">
        <v>106</v>
      </c>
      <c r="D4" s="312" t="s">
        <v>474</v>
      </c>
      <c r="E4" s="312" t="s">
        <v>81</v>
      </c>
      <c r="F4" s="312" t="s">
        <v>475</v>
      </c>
    </row>
    <row r="5" spans="1:6" x14ac:dyDescent="0.35">
      <c r="A5" s="333">
        <v>1</v>
      </c>
      <c r="B5" s="334" t="s">
        <v>476</v>
      </c>
      <c r="C5" s="335" t="s">
        <v>477</v>
      </c>
      <c r="D5" s="335" t="s">
        <v>478</v>
      </c>
      <c r="E5" s="334" t="s">
        <v>479</v>
      </c>
      <c r="F5" s="336" t="s">
        <v>77</v>
      </c>
    </row>
    <row r="6" spans="1:6" x14ac:dyDescent="0.35">
      <c r="A6" s="337">
        <v>2</v>
      </c>
      <c r="B6" s="338" t="s">
        <v>480</v>
      </c>
      <c r="C6" s="339" t="s">
        <v>481</v>
      </c>
      <c r="D6" s="339" t="s">
        <v>482</v>
      </c>
      <c r="E6" s="338" t="s">
        <v>483</v>
      </c>
      <c r="F6" s="340" t="s">
        <v>484</v>
      </c>
    </row>
    <row r="7" spans="1:6" x14ac:dyDescent="0.35">
      <c r="A7" s="333">
        <v>3</v>
      </c>
      <c r="B7" s="334" t="s">
        <v>485</v>
      </c>
      <c r="C7" s="335" t="s">
        <v>109</v>
      </c>
      <c r="D7" s="335" t="s">
        <v>486</v>
      </c>
      <c r="E7" s="334" t="s">
        <v>487</v>
      </c>
      <c r="F7" s="336" t="s">
        <v>488</v>
      </c>
    </row>
    <row r="8" spans="1:6" x14ac:dyDescent="0.35">
      <c r="A8" s="337">
        <v>4</v>
      </c>
      <c r="B8" s="338" t="s">
        <v>489</v>
      </c>
      <c r="C8" s="339" t="s">
        <v>490</v>
      </c>
      <c r="D8" s="339" t="s">
        <v>491</v>
      </c>
      <c r="E8" s="338" t="s">
        <v>492</v>
      </c>
      <c r="F8" s="340" t="s">
        <v>493</v>
      </c>
    </row>
    <row r="9" spans="1:6" x14ac:dyDescent="0.35">
      <c r="A9" s="333">
        <v>5</v>
      </c>
      <c r="B9" s="334" t="s">
        <v>494</v>
      </c>
      <c r="C9" s="335" t="s">
        <v>495</v>
      </c>
      <c r="D9" s="335" t="s">
        <v>496</v>
      </c>
      <c r="E9" s="334" t="s">
        <v>497</v>
      </c>
      <c r="F9" s="336" t="s">
        <v>498</v>
      </c>
    </row>
    <row r="10" spans="1:6" x14ac:dyDescent="0.35">
      <c r="A10" s="337">
        <v>6</v>
      </c>
      <c r="B10" s="338" t="s">
        <v>499</v>
      </c>
      <c r="C10" s="339" t="s">
        <v>500</v>
      </c>
      <c r="D10" s="339" t="s">
        <v>501</v>
      </c>
      <c r="E10" s="338" t="s">
        <v>502</v>
      </c>
      <c r="F10" s="340" t="s">
        <v>366</v>
      </c>
    </row>
    <row r="11" spans="1:6" x14ac:dyDescent="0.35">
      <c r="A11" s="333">
        <v>7</v>
      </c>
      <c r="B11" s="334" t="s">
        <v>503</v>
      </c>
      <c r="C11" s="335" t="s">
        <v>504</v>
      </c>
      <c r="D11" s="335" t="s">
        <v>505</v>
      </c>
      <c r="E11" s="334" t="s">
        <v>506</v>
      </c>
      <c r="F11" s="336" t="s">
        <v>507</v>
      </c>
    </row>
    <row r="12" spans="1:6" x14ac:dyDescent="0.35">
      <c r="A12" s="337">
        <v>8</v>
      </c>
      <c r="B12" s="338" t="s">
        <v>508</v>
      </c>
      <c r="C12" s="339" t="s">
        <v>509</v>
      </c>
      <c r="D12" s="339" t="s">
        <v>496</v>
      </c>
      <c r="E12" s="338" t="s">
        <v>510</v>
      </c>
      <c r="F12" s="340" t="s">
        <v>511</v>
      </c>
    </row>
    <row r="13" spans="1:6" x14ac:dyDescent="0.35">
      <c r="A13" s="333">
        <v>9</v>
      </c>
      <c r="B13" s="334" t="s">
        <v>309</v>
      </c>
      <c r="C13" s="335" t="s">
        <v>509</v>
      </c>
      <c r="D13" s="335" t="s">
        <v>512</v>
      </c>
      <c r="E13" s="334" t="s">
        <v>513</v>
      </c>
      <c r="F13" s="336" t="s">
        <v>514</v>
      </c>
    </row>
    <row r="14" spans="1:6" x14ac:dyDescent="0.35">
      <c r="A14" s="337">
        <v>10</v>
      </c>
      <c r="B14" s="338" t="s">
        <v>515</v>
      </c>
      <c r="C14" s="339" t="s">
        <v>509</v>
      </c>
      <c r="D14" s="339" t="s">
        <v>512</v>
      </c>
      <c r="E14" s="338" t="s">
        <v>516</v>
      </c>
      <c r="F14" s="340" t="s">
        <v>517</v>
      </c>
    </row>
    <row r="15" spans="1:6" x14ac:dyDescent="0.35">
      <c r="A15" s="333">
        <v>11</v>
      </c>
      <c r="B15" s="334" t="s">
        <v>518</v>
      </c>
      <c r="C15" s="335" t="s">
        <v>519</v>
      </c>
      <c r="D15" s="335" t="s">
        <v>520</v>
      </c>
      <c r="E15" s="334" t="s">
        <v>521</v>
      </c>
      <c r="F15" s="336" t="s">
        <v>522</v>
      </c>
    </row>
    <row r="16" spans="1:6" x14ac:dyDescent="0.35">
      <c r="A16" s="337">
        <v>12</v>
      </c>
      <c r="B16" s="338" t="s">
        <v>312</v>
      </c>
      <c r="C16" s="339" t="s">
        <v>523</v>
      </c>
      <c r="D16" s="339" t="s">
        <v>524</v>
      </c>
      <c r="E16" s="338" t="s">
        <v>525</v>
      </c>
      <c r="F16" s="340" t="s">
        <v>526</v>
      </c>
    </row>
    <row r="17" spans="1:6" x14ac:dyDescent="0.35">
      <c r="A17" s="333">
        <v>13</v>
      </c>
      <c r="B17" s="334" t="s">
        <v>527</v>
      </c>
      <c r="C17" s="335" t="s">
        <v>509</v>
      </c>
      <c r="D17" s="335" t="s">
        <v>512</v>
      </c>
      <c r="E17" s="334" t="s">
        <v>528</v>
      </c>
      <c r="F17" s="336" t="s">
        <v>529</v>
      </c>
    </row>
    <row r="18" spans="1:6" x14ac:dyDescent="0.35">
      <c r="A18" s="337">
        <v>14</v>
      </c>
      <c r="B18" s="338" t="s">
        <v>530</v>
      </c>
      <c r="C18" s="339" t="s">
        <v>188</v>
      </c>
      <c r="D18" s="339" t="s">
        <v>531</v>
      </c>
      <c r="E18" s="338" t="s">
        <v>532</v>
      </c>
      <c r="F18" s="340" t="s">
        <v>533</v>
      </c>
    </row>
    <row r="19" spans="1:6" x14ac:dyDescent="0.35">
      <c r="A19" s="333">
        <v>15</v>
      </c>
      <c r="B19" s="334" t="s">
        <v>534</v>
      </c>
      <c r="C19" s="335" t="s">
        <v>188</v>
      </c>
      <c r="D19" s="335" t="s">
        <v>535</v>
      </c>
      <c r="E19" s="334" t="s">
        <v>536</v>
      </c>
      <c r="F19" s="336" t="s">
        <v>537</v>
      </c>
    </row>
    <row r="20" spans="1:6" x14ac:dyDescent="0.35">
      <c r="A20" s="337">
        <v>16</v>
      </c>
      <c r="B20" s="338" t="s">
        <v>538</v>
      </c>
      <c r="C20" s="339" t="s">
        <v>188</v>
      </c>
      <c r="D20" s="339" t="s">
        <v>539</v>
      </c>
      <c r="E20" s="338" t="s">
        <v>540</v>
      </c>
      <c r="F20" s="340" t="s">
        <v>541</v>
      </c>
    </row>
    <row r="21" spans="1:6" x14ac:dyDescent="0.35">
      <c r="A21" s="333">
        <v>17</v>
      </c>
      <c r="B21" s="334" t="s">
        <v>542</v>
      </c>
      <c r="C21" s="335" t="s">
        <v>188</v>
      </c>
      <c r="D21" s="335" t="s">
        <v>520</v>
      </c>
      <c r="E21" s="334" t="s">
        <v>543</v>
      </c>
      <c r="F21" s="336" t="s">
        <v>544</v>
      </c>
    </row>
    <row r="22" spans="1:6" x14ac:dyDescent="0.35">
      <c r="A22" s="337">
        <v>18</v>
      </c>
      <c r="B22" s="338" t="s">
        <v>545</v>
      </c>
      <c r="C22" s="339" t="s">
        <v>188</v>
      </c>
      <c r="D22" s="339" t="s">
        <v>524</v>
      </c>
      <c r="E22" s="338" t="s">
        <v>546</v>
      </c>
      <c r="F22" s="340" t="s">
        <v>547</v>
      </c>
    </row>
    <row r="23" spans="1:6" x14ac:dyDescent="0.35">
      <c r="A23" s="333">
        <v>19</v>
      </c>
      <c r="B23" s="334" t="s">
        <v>548</v>
      </c>
      <c r="C23" s="335" t="s">
        <v>188</v>
      </c>
      <c r="D23" s="335" t="s">
        <v>549</v>
      </c>
      <c r="E23" s="334" t="s">
        <v>550</v>
      </c>
      <c r="F23" s="336" t="s">
        <v>551</v>
      </c>
    </row>
    <row r="24" spans="1:6" x14ac:dyDescent="0.35">
      <c r="A24" s="337">
        <v>20</v>
      </c>
      <c r="B24" s="338" t="s">
        <v>552</v>
      </c>
      <c r="C24" s="339" t="s">
        <v>553</v>
      </c>
      <c r="D24" s="339" t="s">
        <v>554</v>
      </c>
      <c r="E24" s="338" t="s">
        <v>555</v>
      </c>
      <c r="F24" s="340" t="s">
        <v>556</v>
      </c>
    </row>
    <row r="25" spans="1:6" x14ac:dyDescent="0.35">
      <c r="A25" s="333">
        <v>21</v>
      </c>
      <c r="B25" s="334" t="s">
        <v>557</v>
      </c>
      <c r="C25" s="335" t="s">
        <v>558</v>
      </c>
      <c r="D25" s="335" t="s">
        <v>554</v>
      </c>
      <c r="E25" s="334" t="s">
        <v>559</v>
      </c>
      <c r="F25" s="336" t="s">
        <v>560</v>
      </c>
    </row>
    <row r="26" spans="1:6" x14ac:dyDescent="0.35">
      <c r="A26" s="337">
        <v>22</v>
      </c>
      <c r="B26" s="338" t="s">
        <v>561</v>
      </c>
      <c r="C26" s="339" t="s">
        <v>562</v>
      </c>
      <c r="D26" s="339" t="s">
        <v>496</v>
      </c>
      <c r="E26" s="338" t="s">
        <v>563</v>
      </c>
      <c r="F26" s="340" t="s">
        <v>564</v>
      </c>
    </row>
    <row r="27" spans="1:6" x14ac:dyDescent="0.35">
      <c r="A27" s="333">
        <v>23</v>
      </c>
      <c r="B27" s="334" t="s">
        <v>565</v>
      </c>
      <c r="C27" s="335" t="s">
        <v>566</v>
      </c>
      <c r="D27" s="335" t="s">
        <v>491</v>
      </c>
      <c r="E27" s="334" t="s">
        <v>567</v>
      </c>
      <c r="F27" s="336" t="s">
        <v>568</v>
      </c>
    </row>
    <row r="28" spans="1:6" x14ac:dyDescent="0.35">
      <c r="A28" s="337">
        <v>24</v>
      </c>
      <c r="B28" s="338" t="s">
        <v>569</v>
      </c>
      <c r="C28" s="339" t="s">
        <v>570</v>
      </c>
      <c r="D28" s="339" t="s">
        <v>491</v>
      </c>
      <c r="E28" s="338" t="s">
        <v>571</v>
      </c>
      <c r="F28" s="340" t="s">
        <v>572</v>
      </c>
    </row>
    <row r="29" spans="1:6" x14ac:dyDescent="0.35">
      <c r="A29" s="333">
        <v>25</v>
      </c>
      <c r="B29" s="334" t="s">
        <v>573</v>
      </c>
      <c r="C29" s="335" t="s">
        <v>189</v>
      </c>
      <c r="D29" s="335" t="s">
        <v>496</v>
      </c>
      <c r="E29" s="334" t="s">
        <v>574</v>
      </c>
      <c r="F29" s="336" t="s">
        <v>575</v>
      </c>
    </row>
    <row r="30" spans="1:6" x14ac:dyDescent="0.35">
      <c r="A30" s="337">
        <v>26</v>
      </c>
      <c r="B30" s="338" t="s">
        <v>576</v>
      </c>
      <c r="C30" s="339" t="s">
        <v>519</v>
      </c>
      <c r="D30" s="339" t="s">
        <v>520</v>
      </c>
      <c r="E30" s="338" t="s">
        <v>577</v>
      </c>
      <c r="F30" s="340" t="s">
        <v>578</v>
      </c>
    </row>
    <row r="31" spans="1:6" x14ac:dyDescent="0.35">
      <c r="A31" s="333">
        <v>27</v>
      </c>
      <c r="B31" s="334" t="s">
        <v>579</v>
      </c>
      <c r="C31" s="335" t="s">
        <v>580</v>
      </c>
      <c r="D31" s="335" t="s">
        <v>581</v>
      </c>
      <c r="E31" s="334" t="s">
        <v>582</v>
      </c>
      <c r="F31" s="336" t="s">
        <v>366</v>
      </c>
    </row>
    <row r="32" spans="1:6" x14ac:dyDescent="0.35">
      <c r="A32" s="337">
        <v>28</v>
      </c>
      <c r="B32" s="338" t="s">
        <v>583</v>
      </c>
      <c r="C32" s="339" t="s">
        <v>584</v>
      </c>
      <c r="D32" s="339" t="s">
        <v>491</v>
      </c>
      <c r="E32" s="338" t="s">
        <v>585</v>
      </c>
      <c r="F32" s="340" t="s">
        <v>586</v>
      </c>
    </row>
    <row r="33" spans="1:6" x14ac:dyDescent="0.35">
      <c r="A33" s="333">
        <v>29</v>
      </c>
      <c r="B33" s="334" t="s">
        <v>587</v>
      </c>
      <c r="C33" s="335" t="s">
        <v>109</v>
      </c>
      <c r="D33" s="335" t="s">
        <v>588</v>
      </c>
      <c r="E33" s="334" t="s">
        <v>589</v>
      </c>
      <c r="F33" s="336" t="s">
        <v>590</v>
      </c>
    </row>
    <row r="34" spans="1:6" x14ac:dyDescent="0.35">
      <c r="A34" s="337">
        <v>30</v>
      </c>
      <c r="B34" s="338" t="s">
        <v>591</v>
      </c>
      <c r="C34" s="339" t="s">
        <v>592</v>
      </c>
      <c r="D34" s="339" t="s">
        <v>593</v>
      </c>
      <c r="E34" s="338" t="s">
        <v>594</v>
      </c>
      <c r="F34" s="340" t="s">
        <v>369</v>
      </c>
    </row>
    <row r="36" spans="1:6" ht="16" x14ac:dyDescent="0.4">
      <c r="A36" s="311" t="s">
        <v>595</v>
      </c>
    </row>
    <row r="37" spans="1:6" x14ac:dyDescent="0.35">
      <c r="A37" s="312" t="s">
        <v>106</v>
      </c>
      <c r="B37" s="312" t="s">
        <v>596</v>
      </c>
      <c r="C37" s="312" t="s">
        <v>597</v>
      </c>
      <c r="D37" s="312" t="s">
        <v>598</v>
      </c>
    </row>
    <row r="38" spans="1:6" x14ac:dyDescent="0.35">
      <c r="A38" s="310" t="s">
        <v>188</v>
      </c>
      <c r="B38" s="310">
        <v>6</v>
      </c>
      <c r="C38" s="310" t="s">
        <v>599</v>
      </c>
      <c r="D38" s="310" t="s">
        <v>600</v>
      </c>
    </row>
    <row r="39" spans="1:6" x14ac:dyDescent="0.35">
      <c r="A39" s="307" t="s">
        <v>601</v>
      </c>
      <c r="B39" s="307">
        <v>5</v>
      </c>
      <c r="C39" s="307" t="s">
        <v>602</v>
      </c>
      <c r="D39" s="307" t="s">
        <v>603</v>
      </c>
    </row>
    <row r="40" spans="1:6" x14ac:dyDescent="0.35">
      <c r="A40" s="310" t="s">
        <v>604</v>
      </c>
      <c r="B40" s="310">
        <v>5</v>
      </c>
      <c r="C40" s="310" t="s">
        <v>602</v>
      </c>
      <c r="D40" s="310" t="s">
        <v>600</v>
      </c>
    </row>
    <row r="41" spans="1:6" x14ac:dyDescent="0.35">
      <c r="A41" s="307" t="s">
        <v>605</v>
      </c>
      <c r="B41" s="307">
        <v>2</v>
      </c>
      <c r="C41" s="307" t="s">
        <v>606</v>
      </c>
      <c r="D41" s="307" t="s">
        <v>607</v>
      </c>
    </row>
    <row r="42" spans="1:6" x14ac:dyDescent="0.35">
      <c r="A42" s="310" t="s">
        <v>109</v>
      </c>
      <c r="B42" s="310">
        <v>3</v>
      </c>
      <c r="C42" s="310" t="s">
        <v>608</v>
      </c>
      <c r="D42" s="310" t="s">
        <v>609</v>
      </c>
    </row>
    <row r="43" spans="1:6" x14ac:dyDescent="0.35">
      <c r="A43" s="307" t="s">
        <v>610</v>
      </c>
      <c r="B43" s="307">
        <v>3</v>
      </c>
      <c r="C43" s="307" t="s">
        <v>611</v>
      </c>
      <c r="D43" s="307" t="s">
        <v>612</v>
      </c>
    </row>
    <row r="44" spans="1:6" x14ac:dyDescent="0.35">
      <c r="A44" s="310" t="s">
        <v>613</v>
      </c>
      <c r="B44" s="310">
        <v>3</v>
      </c>
      <c r="C44" s="310" t="s">
        <v>599</v>
      </c>
      <c r="D44" s="310" t="s">
        <v>614</v>
      </c>
    </row>
    <row r="45" spans="1:6" x14ac:dyDescent="0.35">
      <c r="A45" s="307" t="s">
        <v>615</v>
      </c>
      <c r="B45" s="307">
        <v>3</v>
      </c>
      <c r="C45" s="307" t="s">
        <v>616</v>
      </c>
      <c r="D45" s="307" t="s">
        <v>617</v>
      </c>
    </row>
    <row r="47" spans="1:6" ht="15.5" x14ac:dyDescent="0.35">
      <c r="A47" s="167" t="s">
        <v>618</v>
      </c>
    </row>
    <row r="48" spans="1:6" ht="409.6" x14ac:dyDescent="0.35">
      <c r="A48" s="341" t="s">
        <v>619</v>
      </c>
    </row>
    <row r="50" spans="1:1" ht="409.6" x14ac:dyDescent="0.35">
      <c r="A50" s="341" t="s">
        <v>620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8125-B5B7-4275-887D-4D1B851C552E}">
  <sheetPr>
    <tabColor rgb="FF059669"/>
  </sheetPr>
  <dimension ref="A1:B93"/>
  <sheetViews>
    <sheetView showGridLines="0" topLeftCell="A53" workbookViewId="0">
      <selection activeCell="A93" sqref="A93"/>
    </sheetView>
  </sheetViews>
  <sheetFormatPr defaultRowHeight="14.5" x14ac:dyDescent="0.35"/>
  <cols>
    <col min="1" max="1" width="32.7265625" customWidth="1"/>
    <col min="2" max="2" width="112.7265625" customWidth="1"/>
  </cols>
  <sheetData>
    <row r="1" spans="1:2" ht="45" customHeight="1" x14ac:dyDescent="0.6">
      <c r="A1" s="145" t="s">
        <v>621</v>
      </c>
      <c r="B1" s="353"/>
    </row>
    <row r="2" spans="1:2" x14ac:dyDescent="0.35">
      <c r="A2" s="146" t="s">
        <v>699</v>
      </c>
      <c r="B2" s="354"/>
    </row>
    <row r="3" spans="1:2" x14ac:dyDescent="0.35">
      <c r="B3" s="8"/>
    </row>
    <row r="4" spans="1:2" ht="18.5" x14ac:dyDescent="0.45">
      <c r="A4" s="69" t="s">
        <v>69</v>
      </c>
      <c r="B4" s="353"/>
    </row>
    <row r="5" spans="1:2" ht="43.5" x14ac:dyDescent="0.35">
      <c r="A5" s="48" t="s">
        <v>70</v>
      </c>
      <c r="B5" s="151" t="s">
        <v>700</v>
      </c>
    </row>
    <row r="6" spans="1:2" ht="29" x14ac:dyDescent="0.35">
      <c r="A6" s="86" t="s">
        <v>71</v>
      </c>
      <c r="B6" s="45" t="s">
        <v>622</v>
      </c>
    </row>
    <row r="7" spans="1:2" ht="29" x14ac:dyDescent="0.35">
      <c r="A7" s="48" t="s">
        <v>72</v>
      </c>
      <c r="B7" s="151" t="s">
        <v>623</v>
      </c>
    </row>
    <row r="8" spans="1:2" ht="29" x14ac:dyDescent="0.35">
      <c r="A8" s="86" t="s">
        <v>73</v>
      </c>
      <c r="B8" s="45" t="s">
        <v>624</v>
      </c>
    </row>
    <row r="9" spans="1:2" x14ac:dyDescent="0.35">
      <c r="A9" s="48"/>
      <c r="B9" s="151"/>
    </row>
    <row r="10" spans="1:2" ht="18.5" x14ac:dyDescent="0.45">
      <c r="A10" s="152" t="s">
        <v>84</v>
      </c>
      <c r="B10" s="45"/>
    </row>
    <row r="11" spans="1:2" ht="15" thickBot="1" x14ac:dyDescent="0.4">
      <c r="A11" s="153" t="s">
        <v>74</v>
      </c>
      <c r="B11" s="154" t="s">
        <v>28</v>
      </c>
    </row>
    <row r="12" spans="1:2" ht="43.5" x14ac:dyDescent="0.35">
      <c r="A12" s="46" t="s">
        <v>75</v>
      </c>
      <c r="B12" s="44" t="s">
        <v>625</v>
      </c>
    </row>
    <row r="13" spans="1:2" ht="30" x14ac:dyDescent="0.45">
      <c r="A13" s="69" t="s">
        <v>76</v>
      </c>
      <c r="B13" s="45" t="s">
        <v>626</v>
      </c>
    </row>
    <row r="14" spans="1:2" ht="29.5" thickBot="1" x14ac:dyDescent="0.4">
      <c r="A14" s="149" t="s">
        <v>77</v>
      </c>
      <c r="B14" s="150" t="s">
        <v>627</v>
      </c>
    </row>
    <row r="15" spans="1:2" x14ac:dyDescent="0.35">
      <c r="A15" s="155" t="s">
        <v>78</v>
      </c>
      <c r="B15" s="151" t="s">
        <v>85</v>
      </c>
    </row>
    <row r="16" spans="1:2" ht="58" x14ac:dyDescent="0.35">
      <c r="A16" s="47" t="s">
        <v>366</v>
      </c>
      <c r="B16" s="45" t="s">
        <v>628</v>
      </c>
    </row>
    <row r="17" spans="1:2" ht="29" x14ac:dyDescent="0.35">
      <c r="A17" s="155" t="s">
        <v>367</v>
      </c>
      <c r="B17" s="151" t="s">
        <v>368</v>
      </c>
    </row>
    <row r="18" spans="1:2" ht="29" x14ac:dyDescent="0.35">
      <c r="A18" s="47" t="s">
        <v>369</v>
      </c>
      <c r="B18" s="45" t="s">
        <v>632</v>
      </c>
    </row>
    <row r="19" spans="1:2" ht="43.5" x14ac:dyDescent="0.35">
      <c r="A19" s="155" t="s">
        <v>568</v>
      </c>
      <c r="B19" s="151" t="s">
        <v>629</v>
      </c>
    </row>
    <row r="20" spans="1:2" ht="29" x14ac:dyDescent="0.35">
      <c r="A20" s="47" t="s">
        <v>630</v>
      </c>
      <c r="B20" s="45" t="s">
        <v>631</v>
      </c>
    </row>
    <row r="21" spans="1:2" x14ac:dyDescent="0.35">
      <c r="A21" s="155" t="s">
        <v>79</v>
      </c>
      <c r="B21" s="151" t="s">
        <v>86</v>
      </c>
    </row>
    <row r="22" spans="1:2" x14ac:dyDescent="0.35">
      <c r="A22" s="47" t="s">
        <v>87</v>
      </c>
      <c r="B22" s="45" t="s">
        <v>88</v>
      </c>
    </row>
    <row r="23" spans="1:2" x14ac:dyDescent="0.35">
      <c r="A23" s="155"/>
      <c r="B23" s="151"/>
    </row>
    <row r="24" spans="1:2" ht="18.5" x14ac:dyDescent="0.45">
      <c r="A24" s="156" t="s">
        <v>89</v>
      </c>
      <c r="B24" s="45"/>
    </row>
    <row r="25" spans="1:2" ht="15" thickBot="1" x14ac:dyDescent="0.4">
      <c r="A25" s="157" t="s">
        <v>80</v>
      </c>
      <c r="B25" s="154" t="s">
        <v>81</v>
      </c>
    </row>
    <row r="26" spans="1:2" x14ac:dyDescent="0.35">
      <c r="A26" s="41" t="s">
        <v>82</v>
      </c>
      <c r="B26" s="44" t="s">
        <v>91</v>
      </c>
    </row>
    <row r="27" spans="1:2" ht="18.5" x14ac:dyDescent="0.45">
      <c r="A27" s="69" t="s">
        <v>83</v>
      </c>
      <c r="B27" s="148" t="s">
        <v>92</v>
      </c>
    </row>
    <row r="28" spans="1:2" ht="15" thickBot="1" x14ac:dyDescent="0.4">
      <c r="A28" s="149" t="s">
        <v>93</v>
      </c>
      <c r="B28" s="150" t="s">
        <v>94</v>
      </c>
    </row>
    <row r="29" spans="1:2" x14ac:dyDescent="0.35">
      <c r="A29" s="48" t="s">
        <v>95</v>
      </c>
      <c r="B29" s="151" t="s">
        <v>96</v>
      </c>
    </row>
    <row r="30" spans="1:2" x14ac:dyDescent="0.35">
      <c r="A30" s="86" t="s">
        <v>97</v>
      </c>
      <c r="B30" s="45" t="s">
        <v>98</v>
      </c>
    </row>
    <row r="31" spans="1:2" x14ac:dyDescent="0.35">
      <c r="A31" s="48" t="s">
        <v>90</v>
      </c>
      <c r="B31" s="151" t="s">
        <v>99</v>
      </c>
    </row>
    <row r="32" spans="1:2" x14ac:dyDescent="0.35">
      <c r="A32" s="86" t="s">
        <v>100</v>
      </c>
      <c r="B32" s="45" t="s">
        <v>101</v>
      </c>
    </row>
    <row r="33" spans="1:2" x14ac:dyDescent="0.35">
      <c r="A33" s="48" t="s">
        <v>102</v>
      </c>
      <c r="B33" s="151" t="s">
        <v>103</v>
      </c>
    </row>
    <row r="34" spans="1:2" x14ac:dyDescent="0.35">
      <c r="A34" s="86" t="s">
        <v>104</v>
      </c>
      <c r="B34" s="45" t="s">
        <v>139</v>
      </c>
    </row>
    <row r="35" spans="1:2" ht="29" x14ac:dyDescent="0.35">
      <c r="A35" s="41" t="s">
        <v>633</v>
      </c>
      <c r="B35" s="44" t="s">
        <v>634</v>
      </c>
    </row>
    <row r="36" spans="1:2" x14ac:dyDescent="0.35">
      <c r="A36" s="342" t="s">
        <v>635</v>
      </c>
      <c r="B36" s="45" t="s">
        <v>636</v>
      </c>
    </row>
    <row r="37" spans="1:2" ht="29" x14ac:dyDescent="0.35">
      <c r="A37" s="41" t="s">
        <v>637</v>
      </c>
      <c r="B37" s="44" t="s">
        <v>638</v>
      </c>
    </row>
    <row r="38" spans="1:2" ht="29" x14ac:dyDescent="0.35">
      <c r="A38" s="342" t="s">
        <v>639</v>
      </c>
      <c r="B38" s="45" t="s">
        <v>640</v>
      </c>
    </row>
    <row r="39" spans="1:2" ht="29" x14ac:dyDescent="0.35">
      <c r="A39" s="41" t="s">
        <v>641</v>
      </c>
      <c r="B39" s="44" t="s">
        <v>642</v>
      </c>
    </row>
    <row r="40" spans="1:2" ht="29" x14ac:dyDescent="0.35">
      <c r="A40" s="342" t="s">
        <v>643</v>
      </c>
      <c r="B40" s="45" t="s">
        <v>644</v>
      </c>
    </row>
    <row r="41" spans="1:2" ht="29" x14ac:dyDescent="0.35">
      <c r="A41" s="41" t="s">
        <v>645</v>
      </c>
      <c r="B41" s="44" t="s">
        <v>646</v>
      </c>
    </row>
    <row r="42" spans="1:2" ht="29" x14ac:dyDescent="0.35">
      <c r="A42" s="342" t="s">
        <v>647</v>
      </c>
      <c r="B42" s="45" t="s">
        <v>648</v>
      </c>
    </row>
    <row r="43" spans="1:2" ht="29" x14ac:dyDescent="0.35">
      <c r="A43" s="41" t="s">
        <v>545</v>
      </c>
      <c r="B43" s="44" t="s">
        <v>649</v>
      </c>
    </row>
    <row r="44" spans="1:2" ht="29" x14ac:dyDescent="0.35">
      <c r="A44" s="342" t="s">
        <v>650</v>
      </c>
      <c r="B44" s="45" t="s">
        <v>651</v>
      </c>
    </row>
    <row r="45" spans="1:2" x14ac:dyDescent="0.35">
      <c r="A45" s="48"/>
      <c r="B45" s="151"/>
    </row>
    <row r="46" spans="1:2" ht="18.5" x14ac:dyDescent="0.45">
      <c r="A46" s="152" t="s">
        <v>105</v>
      </c>
      <c r="B46" s="45"/>
    </row>
    <row r="47" spans="1:2" x14ac:dyDescent="0.35">
      <c r="A47" s="48" t="s">
        <v>106</v>
      </c>
      <c r="B47" s="158" t="s">
        <v>107</v>
      </c>
    </row>
    <row r="48" spans="1:2" ht="29" x14ac:dyDescent="0.35">
      <c r="A48" s="7" t="s">
        <v>108</v>
      </c>
      <c r="B48" s="343" t="s">
        <v>652</v>
      </c>
    </row>
    <row r="49" spans="1:2" ht="29" x14ac:dyDescent="0.35">
      <c r="A49" s="4" t="s">
        <v>109</v>
      </c>
      <c r="B49" s="344" t="s">
        <v>653</v>
      </c>
    </row>
    <row r="50" spans="1:2" ht="29" x14ac:dyDescent="0.35">
      <c r="A50" s="7" t="s">
        <v>110</v>
      </c>
      <c r="B50" s="343" t="s">
        <v>654</v>
      </c>
    </row>
    <row r="51" spans="1:2" ht="29" x14ac:dyDescent="0.35">
      <c r="A51" s="4" t="s">
        <v>111</v>
      </c>
      <c r="B51" s="344" t="s">
        <v>655</v>
      </c>
    </row>
    <row r="52" spans="1:2" ht="29" x14ac:dyDescent="0.35">
      <c r="A52" s="7" t="s">
        <v>112</v>
      </c>
      <c r="B52" s="343" t="s">
        <v>656</v>
      </c>
    </row>
    <row r="53" spans="1:2" ht="29" x14ac:dyDescent="0.35">
      <c r="A53" s="4" t="s">
        <v>113</v>
      </c>
      <c r="B53" s="344" t="s">
        <v>657</v>
      </c>
    </row>
    <row r="54" spans="1:2" ht="29" x14ac:dyDescent="0.35">
      <c r="A54" s="345" t="s">
        <v>566</v>
      </c>
      <c r="B54" s="343" t="s">
        <v>658</v>
      </c>
    </row>
    <row r="55" spans="1:2" ht="29" x14ac:dyDescent="0.35">
      <c r="A55" s="346" t="s">
        <v>659</v>
      </c>
      <c r="B55" s="344" t="s">
        <v>660</v>
      </c>
    </row>
    <row r="56" spans="1:2" ht="29" x14ac:dyDescent="0.35">
      <c r="A56" s="345" t="s">
        <v>592</v>
      </c>
      <c r="B56" s="343" t="s">
        <v>661</v>
      </c>
    </row>
    <row r="57" spans="1:2" ht="29" x14ac:dyDescent="0.35">
      <c r="A57" s="346" t="s">
        <v>662</v>
      </c>
      <c r="B57" s="344" t="s">
        <v>663</v>
      </c>
    </row>
    <row r="58" spans="1:2" x14ac:dyDescent="0.35">
      <c r="B58" s="8"/>
    </row>
    <row r="59" spans="1:2" ht="18.5" x14ac:dyDescent="0.45">
      <c r="A59" s="3" t="s">
        <v>114</v>
      </c>
      <c r="B59" s="9"/>
    </row>
    <row r="60" spans="1:2" x14ac:dyDescent="0.35">
      <c r="A60" s="6" t="s">
        <v>115</v>
      </c>
      <c r="B60" s="10" t="s">
        <v>116</v>
      </c>
    </row>
    <row r="61" spans="1:2" ht="29" x14ac:dyDescent="0.35">
      <c r="A61" s="5" t="s">
        <v>117</v>
      </c>
      <c r="B61" s="8" t="s">
        <v>118</v>
      </c>
    </row>
    <row r="62" spans="1:2" x14ac:dyDescent="0.35">
      <c r="A62" s="6" t="s">
        <v>119</v>
      </c>
      <c r="B62" s="10" t="s">
        <v>120</v>
      </c>
    </row>
    <row r="63" spans="1:2" x14ac:dyDescent="0.35">
      <c r="A63" s="5" t="s">
        <v>121</v>
      </c>
      <c r="B63" s="8" t="s">
        <v>122</v>
      </c>
    </row>
    <row r="64" spans="1:2" x14ac:dyDescent="0.35">
      <c r="A64" s="6" t="s">
        <v>123</v>
      </c>
      <c r="B64" s="10" t="s">
        <v>124</v>
      </c>
    </row>
    <row r="65" spans="1:2" ht="29" x14ac:dyDescent="0.35">
      <c r="A65" s="347" t="s">
        <v>664</v>
      </c>
      <c r="B65" s="343" t="s">
        <v>665</v>
      </c>
    </row>
    <row r="66" spans="1:2" ht="29" x14ac:dyDescent="0.35">
      <c r="A66" s="348" t="s">
        <v>666</v>
      </c>
      <c r="B66" s="344" t="s">
        <v>667</v>
      </c>
    </row>
    <row r="67" spans="1:2" ht="29" x14ac:dyDescent="0.35">
      <c r="A67" s="347" t="s">
        <v>668</v>
      </c>
      <c r="B67" s="343" t="s">
        <v>669</v>
      </c>
    </row>
    <row r="68" spans="1:2" x14ac:dyDescent="0.35">
      <c r="A68" s="6"/>
      <c r="B68" s="10"/>
    </row>
    <row r="69" spans="1:2" ht="18.5" x14ac:dyDescent="0.45">
      <c r="A69" s="69" t="s">
        <v>670</v>
      </c>
      <c r="B69" s="349"/>
    </row>
    <row r="70" spans="1:2" x14ac:dyDescent="0.35">
      <c r="A70" s="48" t="s">
        <v>671</v>
      </c>
      <c r="B70" s="158" t="s">
        <v>672</v>
      </c>
    </row>
    <row r="71" spans="1:2" ht="29" x14ac:dyDescent="0.35">
      <c r="A71" s="46" t="s">
        <v>673</v>
      </c>
      <c r="B71" s="44" t="s">
        <v>674</v>
      </c>
    </row>
    <row r="72" spans="1:2" ht="29" x14ac:dyDescent="0.35">
      <c r="A72" s="47" t="s">
        <v>675</v>
      </c>
      <c r="B72" s="45" t="s">
        <v>676</v>
      </c>
    </row>
    <row r="73" spans="1:2" ht="29" x14ac:dyDescent="0.35">
      <c r="A73" s="350"/>
      <c r="B73" s="151" t="s">
        <v>677</v>
      </c>
    </row>
    <row r="74" spans="1:2" ht="29" x14ac:dyDescent="0.35">
      <c r="A74" s="351"/>
      <c r="B74" s="45" t="s">
        <v>678</v>
      </c>
    </row>
    <row r="75" spans="1:2" ht="29" x14ac:dyDescent="0.35">
      <c r="A75" s="350"/>
      <c r="B75" s="151" t="s">
        <v>679</v>
      </c>
    </row>
    <row r="76" spans="1:2" ht="29" x14ac:dyDescent="0.35">
      <c r="A76" s="351"/>
      <c r="B76" s="45" t="s">
        <v>680</v>
      </c>
    </row>
    <row r="77" spans="1:2" ht="29" x14ac:dyDescent="0.35">
      <c r="A77" s="350"/>
      <c r="B77" s="151" t="s">
        <v>681</v>
      </c>
    </row>
    <row r="78" spans="1:2" ht="29" x14ac:dyDescent="0.35">
      <c r="A78" s="351"/>
      <c r="B78" s="45" t="s">
        <v>682</v>
      </c>
    </row>
    <row r="79" spans="1:2" x14ac:dyDescent="0.35">
      <c r="A79" s="6"/>
      <c r="B79" s="10"/>
    </row>
    <row r="80" spans="1:2" ht="18.5" x14ac:dyDescent="0.45">
      <c r="A80" s="69" t="s">
        <v>683</v>
      </c>
      <c r="B80" s="349"/>
    </row>
    <row r="81" spans="1:2" x14ac:dyDescent="0.35">
      <c r="A81" s="48" t="s">
        <v>684</v>
      </c>
      <c r="B81" s="158" t="s">
        <v>685</v>
      </c>
    </row>
    <row r="82" spans="1:2" x14ac:dyDescent="0.35">
      <c r="A82" s="41" t="s">
        <v>633</v>
      </c>
      <c r="B82" s="44" t="s">
        <v>686</v>
      </c>
    </row>
    <row r="83" spans="1:2" ht="29" x14ac:dyDescent="0.35">
      <c r="A83" s="342" t="s">
        <v>687</v>
      </c>
      <c r="B83" s="45" t="s">
        <v>688</v>
      </c>
    </row>
    <row r="84" spans="1:2" ht="29" x14ac:dyDescent="0.35">
      <c r="A84" s="41" t="s">
        <v>635</v>
      </c>
      <c r="B84" s="44" t="s">
        <v>689</v>
      </c>
    </row>
    <row r="85" spans="1:2" ht="29" x14ac:dyDescent="0.35">
      <c r="A85" s="342" t="s">
        <v>637</v>
      </c>
      <c r="B85" s="45" t="s">
        <v>690</v>
      </c>
    </row>
    <row r="86" spans="1:2" ht="29" x14ac:dyDescent="0.35">
      <c r="A86" s="41" t="s">
        <v>691</v>
      </c>
      <c r="B86" s="44" t="s">
        <v>692</v>
      </c>
    </row>
    <row r="87" spans="1:2" x14ac:dyDescent="0.35">
      <c r="A87" s="342" t="s">
        <v>643</v>
      </c>
      <c r="B87" s="45" t="s">
        <v>693</v>
      </c>
    </row>
    <row r="88" spans="1:2" ht="29" x14ac:dyDescent="0.35">
      <c r="A88" s="41" t="s">
        <v>647</v>
      </c>
      <c r="B88" s="44" t="s">
        <v>694</v>
      </c>
    </row>
    <row r="89" spans="1:2" ht="29" x14ac:dyDescent="0.35">
      <c r="A89" s="342" t="s">
        <v>695</v>
      </c>
      <c r="B89" s="45" t="s">
        <v>696</v>
      </c>
    </row>
    <row r="90" spans="1:2" ht="29" x14ac:dyDescent="0.35">
      <c r="A90" s="41" t="s">
        <v>697</v>
      </c>
      <c r="B90" s="44" t="s">
        <v>698</v>
      </c>
    </row>
    <row r="91" spans="1:2" x14ac:dyDescent="0.35">
      <c r="A91" s="6"/>
      <c r="B91" s="10"/>
    </row>
    <row r="92" spans="1:2" x14ac:dyDescent="0.35">
      <c r="A92" s="12"/>
      <c r="B92" s="8"/>
    </row>
    <row r="93" spans="1:2" x14ac:dyDescent="0.35">
      <c r="A93" s="352" t="s">
        <v>701</v>
      </c>
      <c r="B93"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8741D-E943-4A06-AD74-1D448F8C269F}">
  <dimension ref="A1:E38"/>
  <sheetViews>
    <sheetView showGridLines="0" workbookViewId="0">
      <selection activeCell="C32" sqref="C32"/>
    </sheetView>
  </sheetViews>
  <sheetFormatPr defaultRowHeight="14.5" x14ac:dyDescent="0.35"/>
  <cols>
    <col min="1" max="1" width="49.08984375" customWidth="1"/>
    <col min="2" max="4" width="18.1796875" customWidth="1"/>
    <col min="5" max="5" width="67.26953125" customWidth="1"/>
  </cols>
  <sheetData>
    <row r="1" spans="1:5" ht="21" x14ac:dyDescent="0.5">
      <c r="A1" s="84" t="s">
        <v>316</v>
      </c>
      <c r="B1" s="166"/>
      <c r="C1" s="166"/>
      <c r="D1" s="166"/>
      <c r="E1" s="166"/>
    </row>
    <row r="2" spans="1:5" x14ac:dyDescent="0.35">
      <c r="A2" s="85" t="s">
        <v>702</v>
      </c>
      <c r="B2" s="166"/>
      <c r="C2" s="166"/>
      <c r="D2" s="166"/>
      <c r="E2" s="166"/>
    </row>
    <row r="3" spans="1:5" x14ac:dyDescent="0.35">
      <c r="A3" s="159"/>
      <c r="B3" s="159"/>
      <c r="C3" s="159"/>
      <c r="D3" s="159"/>
      <c r="E3" s="159"/>
    </row>
    <row r="4" spans="1:5" ht="15.5" x14ac:dyDescent="0.35">
      <c r="A4" s="167" t="s">
        <v>317</v>
      </c>
      <c r="B4" s="159"/>
      <c r="C4" s="159"/>
      <c r="D4" s="159"/>
      <c r="E4" s="159"/>
    </row>
    <row r="5" spans="1:5" ht="15" thickBot="1" x14ac:dyDescent="0.4">
      <c r="A5" s="56" t="s">
        <v>318</v>
      </c>
      <c r="B5" s="56" t="s">
        <v>319</v>
      </c>
      <c r="C5" s="56" t="s">
        <v>320</v>
      </c>
      <c r="D5" s="56" t="s">
        <v>60</v>
      </c>
      <c r="E5" s="56" t="s">
        <v>321</v>
      </c>
    </row>
    <row r="6" spans="1:5" x14ac:dyDescent="0.35">
      <c r="A6" s="48" t="s">
        <v>322</v>
      </c>
      <c r="B6" s="168">
        <v>1</v>
      </c>
      <c r="C6" s="168">
        <f ca="1">SUM(Dashboard!M7:M22)</f>
        <v>0.99999999999999956</v>
      </c>
      <c r="D6" s="169" t="str">
        <f ca="1">IF(ABS(C6-1)&lt;0.001,"✅ PASS","❌ FAIL")</f>
        <v>✅ PASS</v>
      </c>
      <c r="E6" s="170" t="s">
        <v>323</v>
      </c>
    </row>
    <row r="7" spans="1:5" x14ac:dyDescent="0.35">
      <c r="A7" s="171" t="s">
        <v>324</v>
      </c>
      <c r="B7" s="299">
        <f ca="1">Dashboard!B3</f>
        <v>303680.38595600007</v>
      </c>
      <c r="C7" s="299">
        <f ca="1">SUM(Dashboard!G7:G22)</f>
        <v>303680.38595600007</v>
      </c>
      <c r="D7" s="160" t="str">
        <f ca="1">IF(ABS(B7-C7)&lt;1,"✅ PASS","❌ FAIL")</f>
        <v>✅ PASS</v>
      </c>
      <c r="E7" s="161" t="s">
        <v>325</v>
      </c>
    </row>
    <row r="8" spans="1:5" x14ac:dyDescent="0.35">
      <c r="A8" s="174" t="s">
        <v>326</v>
      </c>
      <c r="B8" s="300">
        <f ca="1">Dashboard!E3</f>
        <v>132051.4212000001</v>
      </c>
      <c r="C8" s="300">
        <f ca="1">SUM(Dashboard!O7:O22)</f>
        <v>132051.42120000001</v>
      </c>
      <c r="D8" s="172" t="str">
        <f ca="1">IF(ABS(B8-C8)&lt;1,"✅ PASS","❌ FAIL")</f>
        <v>✅ PASS</v>
      </c>
      <c r="E8" s="173" t="s">
        <v>327</v>
      </c>
    </row>
    <row r="9" spans="1:5" x14ac:dyDescent="0.35">
      <c r="A9" s="171" t="s">
        <v>328</v>
      </c>
      <c r="B9" s="299">
        <f ca="1">Dashboard!F3</f>
        <v>171628.96475599997</v>
      </c>
      <c r="C9" s="299">
        <f ca="1">Dashboard!B3-Dashboard!E3</f>
        <v>171628.96475599997</v>
      </c>
      <c r="D9" s="160" t="str">
        <f ca="1">IF(ABS(B9-C9)&lt;1,"✅ PASS","❌ FAIL")</f>
        <v>✅ PASS</v>
      </c>
      <c r="E9" s="161" t="s">
        <v>329</v>
      </c>
    </row>
    <row r="10" spans="1:5" x14ac:dyDescent="0.35">
      <c r="A10" s="174" t="s">
        <v>330</v>
      </c>
      <c r="B10" s="175">
        <v>16</v>
      </c>
      <c r="C10" s="175">
        <f ca="1">COUNTA(Dashboard!B7:B22)</f>
        <v>16</v>
      </c>
      <c r="D10" s="172" t="str">
        <f ca="1">IF(B10=C10,"✅ PASS","❌ FAIL")</f>
        <v>✅ PASS</v>
      </c>
      <c r="E10" s="173" t="s">
        <v>331</v>
      </c>
    </row>
    <row r="11" spans="1:5" x14ac:dyDescent="0.35">
      <c r="A11" s="171" t="s">
        <v>332</v>
      </c>
      <c r="B11" s="162">
        <v>1</v>
      </c>
      <c r="C11" s="162">
        <f ca="1">SUM(Dashboard!E30:E39)</f>
        <v>0.99999999999999967</v>
      </c>
      <c r="D11" s="160" t="str">
        <f ca="1">IF(ABS(C11-1)&lt;0.001,"✅ PASS","❌ FAIL")</f>
        <v>✅ PASS</v>
      </c>
      <c r="E11" s="161" t="s">
        <v>333</v>
      </c>
    </row>
    <row r="12" spans="1:5" x14ac:dyDescent="0.35">
      <c r="A12" s="174" t="s">
        <v>334</v>
      </c>
      <c r="B12" s="176">
        <f ca="1">Dashboard!K3</f>
        <v>0.18756227674873593</v>
      </c>
      <c r="C12" s="176">
        <f ca="1">Dashboard!L25</f>
        <v>0.18756227674873593</v>
      </c>
      <c r="D12" s="172" t="str">
        <f ca="1">IF(ABS(B12-C12)&lt;0.001,"✅ PASS","❌ FAIL")</f>
        <v>✅ PASS</v>
      </c>
      <c r="E12" s="173" t="s">
        <v>335</v>
      </c>
    </row>
    <row r="13" spans="1:5" x14ac:dyDescent="0.35">
      <c r="A13" s="171" t="s">
        <v>336</v>
      </c>
      <c r="B13" s="163">
        <f ca="1">Dashboard!K3</f>
        <v>0.18756227674873593</v>
      </c>
      <c r="C13" s="163">
        <f ca="1">SUM(Dashboard!F30:F39)</f>
        <v>0.18756227674873593</v>
      </c>
      <c r="D13" s="160" t="str">
        <f ca="1">IF(ABS(B13-C13)&lt;0.001,"✅ PASS","❌ FAIL")</f>
        <v>✅ PASS</v>
      </c>
      <c r="E13" s="161" t="s">
        <v>337</v>
      </c>
    </row>
    <row r="14" spans="1:5" x14ac:dyDescent="0.35">
      <c r="A14" s="174" t="s">
        <v>338</v>
      </c>
      <c r="B14" s="177">
        <f ca="1">Dashboard!P3</f>
        <v>0.875</v>
      </c>
      <c r="C14" s="177">
        <f ca="1">COUNTIF(Dashboard!J7:J22,"&gt;0")/COUNTA(Dashboard!J7:J22)</f>
        <v>0.875</v>
      </c>
      <c r="D14" s="172" t="str">
        <f ca="1">IF(ABS(B14-C14)&lt;0.001,"✅ PASS","❌ FAIL")</f>
        <v>✅ PASS</v>
      </c>
      <c r="E14" s="173" t="s">
        <v>339</v>
      </c>
    </row>
    <row r="15" spans="1:5" x14ac:dyDescent="0.35">
      <c r="A15" s="171" t="s">
        <v>340</v>
      </c>
      <c r="B15" s="162">
        <f>1/16</f>
        <v>6.25E-2</v>
      </c>
      <c r="C15" s="162">
        <f ca="1">Dashboard!J30</f>
        <v>6.25E-2</v>
      </c>
      <c r="D15" s="160" t="str">
        <f ca="1">IF(ABS(B15-C15)&lt;0.001,"✅ PASS","❌ FAIL")</f>
        <v>✅ PASS</v>
      </c>
      <c r="E15" s="161" t="s">
        <v>341</v>
      </c>
    </row>
    <row r="16" spans="1:5" x14ac:dyDescent="0.35">
      <c r="A16" s="180" t="s">
        <v>342</v>
      </c>
      <c r="B16" s="301">
        <f ca="1">Dashboard!B3</f>
        <v>303680.38595600007</v>
      </c>
      <c r="C16" s="301">
        <f ca="1">SUM(Dashboard!D30:D39)</f>
        <v>303680.38595600007</v>
      </c>
      <c r="D16" s="178" t="str">
        <f ca="1">IF(ABS(B16-C16)&lt;1,"✅ PASS","❌ FAIL")</f>
        <v>✅ PASS</v>
      </c>
      <c r="E16" s="179" t="s">
        <v>343</v>
      </c>
    </row>
    <row r="17" spans="1:5" x14ac:dyDescent="0.35">
      <c r="A17" s="159"/>
      <c r="B17" s="159"/>
      <c r="C17" s="159"/>
      <c r="D17" s="159"/>
      <c r="E17" s="159"/>
    </row>
    <row r="18" spans="1:5" ht="15.5" x14ac:dyDescent="0.35">
      <c r="A18" s="167" t="s">
        <v>344</v>
      </c>
      <c r="B18" s="159"/>
      <c r="C18" s="159"/>
      <c r="D18" s="159"/>
      <c r="E18" s="159"/>
    </row>
    <row r="19" spans="1:5" ht="15" thickBot="1" x14ac:dyDescent="0.4">
      <c r="A19" s="56" t="s">
        <v>318</v>
      </c>
      <c r="B19" s="56" t="s">
        <v>345</v>
      </c>
      <c r="C19" s="56" t="s">
        <v>320</v>
      </c>
      <c r="D19" s="56" t="s">
        <v>60</v>
      </c>
      <c r="E19" s="56" t="s">
        <v>346</v>
      </c>
    </row>
    <row r="20" spans="1:5" x14ac:dyDescent="0.35">
      <c r="A20" s="48" t="s">
        <v>347</v>
      </c>
      <c r="B20" s="181" t="s">
        <v>348</v>
      </c>
      <c r="C20" s="182">
        <f ca="1">Dashboard!O3</f>
        <v>0.46593001654794325</v>
      </c>
      <c r="D20" s="169" t="str">
        <f ca="1">IF(AND(C20&gt;=-3,C20&lt;=5),"✅ PASS","⚠️ CHECK")</f>
        <v>✅ PASS</v>
      </c>
      <c r="E20" s="170" t="s">
        <v>349</v>
      </c>
    </row>
    <row r="21" spans="1:5" x14ac:dyDescent="0.35">
      <c r="A21" s="171" t="s">
        <v>350</v>
      </c>
      <c r="B21" s="164" t="s">
        <v>351</v>
      </c>
      <c r="C21" s="165">
        <f ca="1">Dashboard!S3</f>
        <v>1.4726693833465256</v>
      </c>
      <c r="D21" s="160" t="str">
        <f ca="1">IF(AND(C21&gt;=0.3,C21&lt;=2.5),"✅ PASS","⚠️ CHECK")</f>
        <v>✅ PASS</v>
      </c>
      <c r="E21" s="161" t="s">
        <v>352</v>
      </c>
    </row>
    <row r="22" spans="1:5" x14ac:dyDescent="0.35">
      <c r="A22" s="174" t="s">
        <v>353</v>
      </c>
      <c r="B22" s="175" t="s">
        <v>354</v>
      </c>
      <c r="C22" s="176">
        <f ca="1">Dashboard!T3</f>
        <v>7.2219152564931208E-2</v>
      </c>
      <c r="D22" s="172" t="str">
        <f ca="1">IF(AND(C22&gt;=-0.5,C22&lt;=1),"✅ PASS","⚠️ CHECK")</f>
        <v>✅ PASS</v>
      </c>
      <c r="E22" s="173" t="s">
        <v>355</v>
      </c>
    </row>
    <row r="23" spans="1:5" x14ac:dyDescent="0.35">
      <c r="A23" s="171" t="s">
        <v>706</v>
      </c>
      <c r="B23" s="164" t="s">
        <v>356</v>
      </c>
      <c r="C23" s="162">
        <f ca="1">Dashboard!R3</f>
        <v>-0.13381727679594252</v>
      </c>
      <c r="D23" s="160" t="str">
        <f ca="1">IF(C23&lt;=0,"✅ PASS","❌ FAIL")</f>
        <v>✅ PASS</v>
      </c>
      <c r="E23" s="161" t="s">
        <v>357</v>
      </c>
    </row>
    <row r="24" spans="1:5" x14ac:dyDescent="0.35">
      <c r="A24" s="180" t="s">
        <v>358</v>
      </c>
      <c r="B24" s="183" t="s">
        <v>359</v>
      </c>
      <c r="C24" s="184">
        <f ca="1">Dashboard!S25</f>
        <v>1.112374563566962</v>
      </c>
      <c r="D24" s="178" t="str">
        <f ca="1">IF(C24&gt;0,"✅ PASS","⚠️ CHECK")</f>
        <v>✅ PASS</v>
      </c>
      <c r="E24" s="179" t="s">
        <v>360</v>
      </c>
    </row>
    <row r="25" spans="1:5" x14ac:dyDescent="0.35">
      <c r="A25" s="159"/>
      <c r="B25" s="159"/>
      <c r="C25" s="159"/>
      <c r="D25" s="159"/>
      <c r="E25" s="159"/>
    </row>
    <row r="26" spans="1:5" ht="15.5" x14ac:dyDescent="0.35">
      <c r="A26" s="167" t="s">
        <v>361</v>
      </c>
      <c r="B26" s="159"/>
      <c r="C26" s="159"/>
      <c r="D26" s="159"/>
      <c r="E26" s="159"/>
    </row>
    <row r="27" spans="1:5" ht="15" thickBot="1" x14ac:dyDescent="0.4">
      <c r="A27" s="56" t="s">
        <v>362</v>
      </c>
      <c r="B27" s="56" t="s">
        <v>363</v>
      </c>
      <c r="C27" s="56" t="s">
        <v>364</v>
      </c>
      <c r="D27" s="56" t="s">
        <v>365</v>
      </c>
      <c r="E27" s="159"/>
    </row>
    <row r="28" spans="1:5" ht="23.5" x14ac:dyDescent="0.55000000000000004">
      <c r="A28" s="191">
        <f ca="1">COUNTIF(D6:D16,"✅*")+COUNTIF(D20:D24,"✅*")+COUNTIF(D32:D38,"✅*")</f>
        <v>23</v>
      </c>
      <c r="B28" s="185">
        <f ca="1">COUNTIF(D6:D16,"❌*")+COUNTIF(D20:D24,"❌*")+COUNTIF(D32:D38,"❌*")</f>
        <v>0</v>
      </c>
      <c r="C28" s="192">
        <f ca="1">COUNTIF(D6:D16,"⚠️*")+COUNTIF(D20:D24,"⚠️*")+COUNTIF(D32:D38,"⚠️*")</f>
        <v>0</v>
      </c>
      <c r="D28" s="186" t="str">
        <f ca="1">IF(B28=0,IF(C28=0,"✅ ALL PASS","⚠️ WARNINGS"),"❌ FAILURES")</f>
        <v>✅ ALL PASS</v>
      </c>
      <c r="E28" s="159"/>
    </row>
    <row r="30" spans="1:5" ht="15.5" x14ac:dyDescent="0.35">
      <c r="A30" s="167" t="s">
        <v>370</v>
      </c>
    </row>
    <row r="31" spans="1:5" ht="15" thickBot="1" x14ac:dyDescent="0.4">
      <c r="A31" s="193" t="s">
        <v>318</v>
      </c>
      <c r="B31" s="193" t="s">
        <v>371</v>
      </c>
      <c r="C31" s="193" t="s">
        <v>372</v>
      </c>
      <c r="D31" s="193" t="s">
        <v>60</v>
      </c>
      <c r="E31" s="193" t="s">
        <v>284</v>
      </c>
    </row>
    <row r="32" spans="1:5" x14ac:dyDescent="0.35">
      <c r="A32" s="194" t="s">
        <v>373</v>
      </c>
      <c r="B32" s="195">
        <f ca="1">Dashboard!H3</f>
        <v>0.1488549348736059</v>
      </c>
      <c r="C32" s="195">
        <f ca="1">Analytics!E6</f>
        <v>0.1488549348736059</v>
      </c>
      <c r="D32" s="196" t="str">
        <f ca="1">IF(ABS(B32-C32)&lt;0.0001,"✅ PASS","❌ FAIL")</f>
        <v>✅ PASS</v>
      </c>
      <c r="E32" s="197" t="s">
        <v>374</v>
      </c>
    </row>
    <row r="33" spans="1:5" x14ac:dyDescent="0.35">
      <c r="A33" s="198" t="s">
        <v>375</v>
      </c>
      <c r="B33" s="199">
        <f ca="1">Dashboard!S3</f>
        <v>1.4726693833465256</v>
      </c>
      <c r="C33" s="199">
        <f ca="1">'Risk Analytics'!C9</f>
        <v>1.4726693833465256</v>
      </c>
      <c r="D33" s="200" t="str">
        <f ca="1">IF(ABS(B33-C33)&lt;0.001,"✅ PASS","❌ FAIL")</f>
        <v>✅ PASS</v>
      </c>
      <c r="E33" s="201" t="s">
        <v>376</v>
      </c>
    </row>
    <row r="34" spans="1:5" x14ac:dyDescent="0.35">
      <c r="A34" s="205" t="s">
        <v>377</v>
      </c>
      <c r="B34" s="206">
        <f ca="1">Dashboard!O3</f>
        <v>0.46593001654794325</v>
      </c>
      <c r="C34" s="206">
        <f ca="1">'Risk Analytics'!C18</f>
        <v>0.46593001654794325</v>
      </c>
      <c r="D34" s="207" t="str">
        <f ca="1">IF(ABS(B34-C34)&lt;0.001,"✅ PASS","❌ FAIL")</f>
        <v>✅ PASS</v>
      </c>
      <c r="E34" s="208" t="s">
        <v>378</v>
      </c>
    </row>
    <row r="35" spans="1:5" x14ac:dyDescent="0.35">
      <c r="A35" s="198" t="s">
        <v>379</v>
      </c>
      <c r="B35" s="209">
        <f ca="1">Dashboard!T3</f>
        <v>7.2219152564931208E-2</v>
      </c>
      <c r="C35" s="209">
        <f ca="1">'Risk Analytics'!C15</f>
        <v>7.2219152564931208E-2</v>
      </c>
      <c r="D35" s="200" t="str">
        <f ca="1">IF(ABS(B35-C35)&lt;0.0001,"✅ PASS","❌ FAIL")</f>
        <v>✅ PASS</v>
      </c>
      <c r="E35" s="201" t="s">
        <v>380</v>
      </c>
    </row>
    <row r="36" spans="1:5" x14ac:dyDescent="0.35">
      <c r="A36" s="205" t="s">
        <v>381</v>
      </c>
      <c r="B36" s="210">
        <f ca="1">'Risk Analytics'!C10</f>
        <v>0.12717848954242522</v>
      </c>
      <c r="C36" s="210">
        <f ca="1">'Risk Analytics'!C6+'Risk Analytics'!C9*('Risk Analytics'!C7-'Risk Analytics'!C6)</f>
        <v>0.12717848954242522</v>
      </c>
      <c r="D36" s="207" t="str">
        <f ca="1">IF(ABS(B36-C36)&lt;0.0001,"✅ PASS","❌ FAIL")</f>
        <v>✅ PASS</v>
      </c>
      <c r="E36" s="208" t="s">
        <v>382</v>
      </c>
    </row>
    <row r="37" spans="1:5" x14ac:dyDescent="0.35">
      <c r="A37" s="198" t="s">
        <v>383</v>
      </c>
      <c r="B37" s="211">
        <f ca="1">'Risk Analytics'!C11</f>
        <v>2.1676445331180683E-2</v>
      </c>
      <c r="C37" s="211">
        <f ca="1">Analytics!E6-'Risk Analytics'!C10</f>
        <v>2.1676445331180683E-2</v>
      </c>
      <c r="D37" s="200" t="str">
        <f ca="1">IF(ABS(B37-C37)&lt;0.0001,"✅ PASS","❌ FAIL")</f>
        <v>✅ PASS</v>
      </c>
      <c r="E37" s="201" t="s">
        <v>384</v>
      </c>
    </row>
    <row r="38" spans="1:5" x14ac:dyDescent="0.35">
      <c r="A38" s="202" t="s">
        <v>385</v>
      </c>
      <c r="B38" s="212">
        <v>1</v>
      </c>
      <c r="C38" s="212">
        <f ca="1">'Risk Analytics'!C55</f>
        <v>0.99999999999999956</v>
      </c>
      <c r="D38" s="203" t="str">
        <f ca="1">IF(ABS(C38-1)&lt;0.001,"✅ PASS","❌ FAIL")</f>
        <v>✅ PASS</v>
      </c>
      <c r="E38" s="204" t="s">
        <v>386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EA56-F511-44F7-A4C7-AE43F91A3118}">
  <dimension ref="A1:H54"/>
  <sheetViews>
    <sheetView workbookViewId="0">
      <selection activeCell="A18" sqref="A18"/>
    </sheetView>
  </sheetViews>
  <sheetFormatPr defaultRowHeight="14.5" x14ac:dyDescent="0.35"/>
  <cols>
    <col min="1" max="1" width="36.36328125" customWidth="1"/>
    <col min="2" max="2" width="18.1796875" customWidth="1"/>
    <col min="3" max="3" width="49.90625" bestFit="1" customWidth="1"/>
    <col min="4" max="4" width="21.81640625" customWidth="1"/>
    <col min="5" max="5" width="23.6328125" customWidth="1"/>
    <col min="6" max="6" width="21.81640625" customWidth="1"/>
    <col min="7" max="7" width="18.1796875" customWidth="1"/>
  </cols>
  <sheetData>
    <row r="1" spans="1:8" ht="18.5" x14ac:dyDescent="0.45">
      <c r="A1" s="315" t="s">
        <v>426</v>
      </c>
      <c r="B1" s="302"/>
      <c r="C1" s="302"/>
      <c r="D1" s="302"/>
      <c r="E1" s="302"/>
      <c r="F1" s="302"/>
      <c r="G1" s="302"/>
      <c r="H1" s="302"/>
    </row>
    <row r="2" spans="1:8" x14ac:dyDescent="0.35">
      <c r="A2" s="316" t="s">
        <v>427</v>
      </c>
    </row>
    <row r="4" spans="1:8" ht="16" x14ac:dyDescent="0.4">
      <c r="A4" s="311" t="s">
        <v>428</v>
      </c>
    </row>
    <row r="5" spans="1:8" x14ac:dyDescent="0.35">
      <c r="A5" s="312" t="s">
        <v>429</v>
      </c>
      <c r="B5" s="312" t="s">
        <v>59</v>
      </c>
      <c r="C5" s="312" t="s">
        <v>28</v>
      </c>
    </row>
    <row r="6" spans="1:8" x14ac:dyDescent="0.35">
      <c r="A6" s="308" t="s">
        <v>228</v>
      </c>
      <c r="B6" s="317">
        <f>'Risk Analytics'!C6</f>
        <v>4.2500000000000003E-2</v>
      </c>
      <c r="C6" s="310" t="s">
        <v>430</v>
      </c>
    </row>
    <row r="7" spans="1:8" x14ac:dyDescent="0.35">
      <c r="A7" s="305" t="s">
        <v>431</v>
      </c>
      <c r="B7" s="318">
        <v>2.5</v>
      </c>
      <c r="C7" s="307" t="s">
        <v>432</v>
      </c>
    </row>
    <row r="8" spans="1:8" x14ac:dyDescent="0.35">
      <c r="A8" s="308" t="s">
        <v>433</v>
      </c>
      <c r="B8" s="319">
        <v>0.05</v>
      </c>
      <c r="C8" s="310" t="s">
        <v>434</v>
      </c>
    </row>
    <row r="10" spans="1:8" ht="16" x14ac:dyDescent="0.4">
      <c r="A10" s="311" t="s">
        <v>435</v>
      </c>
    </row>
    <row r="11" spans="1:8" x14ac:dyDescent="0.35">
      <c r="A11" s="312" t="s">
        <v>13</v>
      </c>
      <c r="B11" s="312" t="s">
        <v>436</v>
      </c>
      <c r="C11" s="312" t="s">
        <v>274</v>
      </c>
      <c r="D11" s="312" t="s">
        <v>277</v>
      </c>
      <c r="E11" s="312" t="s">
        <v>437</v>
      </c>
      <c r="F11" s="312" t="s">
        <v>438</v>
      </c>
      <c r="G11" s="312" t="s">
        <v>439</v>
      </c>
    </row>
    <row r="12" spans="1:8" x14ac:dyDescent="0.35">
      <c r="A12" s="147" t="str">
        <f ca="1">Dashboard!N7</f>
        <v>0R2N</v>
      </c>
      <c r="B12" s="309">
        <f ca="1">Dashboard!M7</f>
        <v>5.1357301035107744E-2</v>
      </c>
      <c r="C12" s="313">
        <f ca="1">'Risk Analytics'!D39</f>
        <v>0.41199999999999998</v>
      </c>
      <c r="D12" s="309">
        <f ca="1">'Risk Analytics'!H39</f>
        <v>6.6189999999999999E-2</v>
      </c>
      <c r="E12" s="309">
        <f ca="1">$B$6+$B$7*C12*0.155^2</f>
        <v>6.7245750000000007E-2</v>
      </c>
      <c r="F12" s="309">
        <f ca="1">B12*(1+(D12-E12)*10)</f>
        <v>5.0815096329429592E-2</v>
      </c>
      <c r="G12" s="320">
        <f ca="1">F12-B12</f>
        <v>-5.4220470567815232E-4</v>
      </c>
    </row>
    <row r="13" spans="1:8" x14ac:dyDescent="0.35">
      <c r="A13" s="147" t="str">
        <f ca="1">Dashboard!N8</f>
        <v>AAPL</v>
      </c>
      <c r="B13" s="309">
        <f ca="1">Dashboard!M8</f>
        <v>4.6889262061406645E-2</v>
      </c>
      <c r="C13" s="313">
        <f ca="1">'Risk Analytics'!D40</f>
        <v>1.1034999999999999</v>
      </c>
      <c r="D13" s="309">
        <f ca="1">'Risk Analytics'!H40</f>
        <v>0.10595125</v>
      </c>
      <c r="E13" s="309">
        <f t="shared" ref="E13:E27" ca="1" si="0">$B$6+$B$7*C13*0.155^2</f>
        <v>0.10877896875000001</v>
      </c>
      <c r="F13" s="309">
        <f t="shared" ref="F13:F27" ca="1" si="1">B13*(1+(D13-E13)*10)</f>
        <v>4.556336560635961E-2</v>
      </c>
      <c r="G13" s="320">
        <f t="shared" ref="G13:G27" ca="1" si="2">F13-B13</f>
        <v>-1.3258964550470348E-3</v>
      </c>
    </row>
    <row r="14" spans="1:8" x14ac:dyDescent="0.35">
      <c r="A14" s="147" t="str">
        <f ca="1">Dashboard!N9</f>
        <v>AMD</v>
      </c>
      <c r="B14" s="309">
        <f ca="1">Dashboard!M9</f>
        <v>7.7751595071474472E-2</v>
      </c>
      <c r="C14" s="313">
        <f ca="1">'Risk Analytics'!D41</f>
        <v>1.9919</v>
      </c>
      <c r="D14" s="309">
        <f ca="1">'Risk Analytics'!H41</f>
        <v>0.15703425000000001</v>
      </c>
      <c r="E14" s="309">
        <f t="shared" ca="1" si="0"/>
        <v>0.16213849375</v>
      </c>
      <c r="F14" s="309">
        <f t="shared" ca="1" si="1"/>
        <v>7.3782964139513449E-2</v>
      </c>
      <c r="G14" s="320">
        <f t="shared" ca="1" si="2"/>
        <v>-3.968630931961023E-3</v>
      </c>
    </row>
    <row r="15" spans="1:8" x14ac:dyDescent="0.35">
      <c r="A15" s="147" t="str">
        <f ca="1">Dashboard!N10</f>
        <v>AMZN</v>
      </c>
      <c r="B15" s="309">
        <f ca="1">Dashboard!M10</f>
        <v>3.1795353590597028E-2</v>
      </c>
      <c r="C15" s="313">
        <f ca="1">'Risk Analytics'!D42</f>
        <v>1.3631</v>
      </c>
      <c r="D15" s="309">
        <f ca="1">'Risk Analytics'!H42</f>
        <v>0.12087824999999999</v>
      </c>
      <c r="E15" s="309">
        <f t="shared" ca="1" si="0"/>
        <v>0.12437119375</v>
      </c>
      <c r="F15" s="309">
        <f t="shared" ca="1" si="1"/>
        <v>3.068475977456387E-2</v>
      </c>
      <c r="G15" s="320">
        <f t="shared" ca="1" si="2"/>
        <v>-1.1105938160331577E-3</v>
      </c>
    </row>
    <row r="16" spans="1:8" x14ac:dyDescent="0.35">
      <c r="A16" s="147" t="str">
        <f ca="1">Dashboard!N11</f>
        <v>BA</v>
      </c>
      <c r="B16" s="309">
        <f ca="1">Dashboard!M11</f>
        <v>3.176858152899547E-2</v>
      </c>
      <c r="C16" s="313">
        <f ca="1">'Risk Analytics'!D43</f>
        <v>1.1786000000000001</v>
      </c>
      <c r="D16" s="309">
        <f ca="1">'Risk Analytics'!H43</f>
        <v>0.11026950000000002</v>
      </c>
      <c r="E16" s="309">
        <f t="shared" ca="1" si="0"/>
        <v>0.11328966250000003</v>
      </c>
      <c r="F16" s="309">
        <f t="shared" ca="1" si="1"/>
        <v>3.0809118742874817E-2</v>
      </c>
      <c r="G16" s="320">
        <f t="shared" ca="1" si="2"/>
        <v>-9.5946278612065242E-4</v>
      </c>
    </row>
    <row r="17" spans="1:7" x14ac:dyDescent="0.35">
      <c r="A17" s="147" t="str">
        <f ca="1">Dashboard!N12</f>
        <v>BLK</v>
      </c>
      <c r="B17" s="309">
        <f ca="1">Dashboard!M12</f>
        <v>3.6674854600631641E-2</v>
      </c>
      <c r="C17" s="313">
        <f ca="1">'Risk Analytics'!D44</f>
        <v>1.4875</v>
      </c>
      <c r="D17" s="309">
        <f ca="1">'Risk Analytics'!H44</f>
        <v>0.12803125000000001</v>
      </c>
      <c r="E17" s="309">
        <f t="shared" ca="1" si="0"/>
        <v>0.13184296875000001</v>
      </c>
      <c r="F17" s="309">
        <f t="shared" ca="1" si="1"/>
        <v>3.5276912291284129E-2</v>
      </c>
      <c r="G17" s="320">
        <f t="shared" ca="1" si="2"/>
        <v>-1.3979423093475121E-3</v>
      </c>
    </row>
    <row r="18" spans="1:7" x14ac:dyDescent="0.35">
      <c r="A18" s="147" t="str">
        <f ca="1">Dashboard!N13</f>
        <v>C</v>
      </c>
      <c r="B18" s="309">
        <f ca="1">Dashboard!M13</f>
        <v>5.3780725576285153E-2</v>
      </c>
      <c r="C18" s="313">
        <f ca="1">'Risk Analytics'!D45</f>
        <v>1.1154999999999999</v>
      </c>
      <c r="D18" s="309">
        <f ca="1">'Risk Analytics'!H45</f>
        <v>0.10664124999999999</v>
      </c>
      <c r="E18" s="309">
        <f t="shared" ca="1" si="0"/>
        <v>0.10949971875</v>
      </c>
      <c r="F18" s="309">
        <f t="shared" ca="1" si="1"/>
        <v>5.2243420342163782E-2</v>
      </c>
      <c r="G18" s="320">
        <f t="shared" ca="1" si="2"/>
        <v>-1.5373052341213708E-3</v>
      </c>
    </row>
    <row r="19" spans="1:7" x14ac:dyDescent="0.35">
      <c r="A19" s="147" t="str">
        <f ca="1">Dashboard!N14</f>
        <v>CVX</v>
      </c>
      <c r="B19" s="309">
        <f ca="1">Dashboard!M14</f>
        <v>4.8281655411635274E-2</v>
      </c>
      <c r="C19" s="313">
        <f ca="1">'Risk Analytics'!D46</f>
        <v>0.60919999999999996</v>
      </c>
      <c r="D19" s="309">
        <f ca="1">'Risk Analytics'!H46</f>
        <v>7.7529000000000001E-2</v>
      </c>
      <c r="E19" s="309">
        <f t="shared" ca="1" si="0"/>
        <v>7.909007500000001E-2</v>
      </c>
      <c r="F19" s="309">
        <f t="shared" ca="1" si="1"/>
        <v>4.7527942559418085E-2</v>
      </c>
      <c r="G19" s="320">
        <f t="shared" ca="1" si="2"/>
        <v>-7.5371285221718931E-4</v>
      </c>
    </row>
    <row r="20" spans="1:7" x14ac:dyDescent="0.35">
      <c r="A20" s="147" t="str">
        <f ca="1">Dashboard!N15</f>
        <v>F</v>
      </c>
      <c r="B20" s="309">
        <f ca="1">Dashboard!M15</f>
        <v>2.8354673690541222E-2</v>
      </c>
      <c r="C20" s="313">
        <f ca="1">'Risk Analytics'!D47</f>
        <v>1.7561</v>
      </c>
      <c r="D20" s="309">
        <f ca="1">'Risk Analytics'!H47</f>
        <v>0.14347575000000001</v>
      </c>
      <c r="E20" s="309">
        <f t="shared" ca="1" si="0"/>
        <v>0.14797575625000001</v>
      </c>
      <c r="F20" s="309">
        <f t="shared" ca="1" si="1"/>
        <v>2.7078711602299761E-2</v>
      </c>
      <c r="G20" s="320">
        <f t="shared" ca="1" si="2"/>
        <v>-1.2759620882414613E-3</v>
      </c>
    </row>
    <row r="21" spans="1:7" x14ac:dyDescent="0.35">
      <c r="A21" s="147" t="str">
        <f ca="1">Dashboard!N16</f>
        <v>GOOG</v>
      </c>
      <c r="B21" s="309">
        <f ca="1">Dashboard!M16</f>
        <v>6.5883101198701888E-2</v>
      </c>
      <c r="C21" s="313">
        <f ca="1">'Risk Analytics'!D48</f>
        <v>1.1004</v>
      </c>
      <c r="D21" s="309">
        <f ca="1">'Risk Analytics'!H48</f>
        <v>0.10577300000000001</v>
      </c>
      <c r="E21" s="309">
        <f t="shared" ca="1" si="0"/>
        <v>0.108592775</v>
      </c>
      <c r="F21" s="309">
        <f t="shared" ca="1" si="1"/>
        <v>6.4025345981876203E-2</v>
      </c>
      <c r="G21" s="320">
        <f t="shared" ca="1" si="2"/>
        <v>-1.857755216825685E-3</v>
      </c>
    </row>
    <row r="22" spans="1:7" x14ac:dyDescent="0.35">
      <c r="A22" s="147" t="str">
        <f ca="1">Dashboard!N17</f>
        <v>HMC</v>
      </c>
      <c r="B22" s="309">
        <f ca="1">Dashboard!M17</f>
        <v>2.0306273586248254E-2</v>
      </c>
      <c r="C22" s="313">
        <f ca="1">'Risk Analytics'!D49</f>
        <v>0.46800000000000003</v>
      </c>
      <c r="D22" s="309">
        <f ca="1">'Risk Analytics'!H49</f>
        <v>6.9409999999999999E-2</v>
      </c>
      <c r="E22" s="309">
        <f t="shared" ca="1" si="0"/>
        <v>7.0609250000000012E-2</v>
      </c>
      <c r="F22" s="309">
        <f t="shared" ca="1" si="1"/>
        <v>2.0062750600265172E-2</v>
      </c>
      <c r="G22" s="320">
        <f t="shared" ca="1" si="2"/>
        <v>-2.4352298598308286E-4</v>
      </c>
    </row>
    <row r="23" spans="1:7" x14ac:dyDescent="0.35">
      <c r="A23" s="147" t="str">
        <f ca="1">Dashboard!N18</f>
        <v>JPM</v>
      </c>
      <c r="B23" s="309">
        <f ca="1">Dashboard!M18</f>
        <v>5.5350050834153633E-2</v>
      </c>
      <c r="C23" s="313">
        <f ca="1">'Risk Analytics'!D50</f>
        <v>1.0615000000000001</v>
      </c>
      <c r="D23" s="309">
        <f ca="1">'Risk Analytics'!H50</f>
        <v>0.10353625000000001</v>
      </c>
      <c r="E23" s="309">
        <f t="shared" ca="1" si="0"/>
        <v>0.10625634375000001</v>
      </c>
      <c r="F23" s="309">
        <f t="shared" ca="1" si="1"/>
        <v>5.3844477560791998E-2</v>
      </c>
      <c r="G23" s="320">
        <f t="shared" ca="1" si="2"/>
        <v>-1.505573273361635E-3</v>
      </c>
    </row>
    <row r="24" spans="1:7" x14ac:dyDescent="0.35">
      <c r="A24" s="147" t="str">
        <f ca="1">Dashboard!N19</f>
        <v>META</v>
      </c>
      <c r="B24" s="309">
        <f ca="1">Dashboard!M19</f>
        <v>5.4302569618010527E-2</v>
      </c>
      <c r="C24" s="313">
        <f ca="1">'Risk Analytics'!D51</f>
        <v>1.2983</v>
      </c>
      <c r="D24" s="309">
        <f ca="1">'Risk Analytics'!H51</f>
        <v>0.11715225000000001</v>
      </c>
      <c r="E24" s="309">
        <f t="shared" ca="1" si="0"/>
        <v>0.12047914375000002</v>
      </c>
      <c r="F24" s="309">
        <f t="shared" ca="1" si="1"/>
        <v>5.249598082329953E-2</v>
      </c>
      <c r="G24" s="320">
        <f t="shared" ca="1" si="2"/>
        <v>-1.8065887947109963E-3</v>
      </c>
    </row>
    <row r="25" spans="1:7" x14ac:dyDescent="0.35">
      <c r="A25" s="147" t="str">
        <f ca="1">Dashboard!N20</f>
        <v>NVDA</v>
      </c>
      <c r="B25" s="309">
        <f ca="1">Dashboard!M20</f>
        <v>0.29339824308873702</v>
      </c>
      <c r="C25" s="313">
        <f ca="1">'Risk Analytics'!D52</f>
        <v>2.3466999999999998</v>
      </c>
      <c r="D25" s="309">
        <f ca="1">'Risk Analytics'!H52</f>
        <v>0.17743525000000002</v>
      </c>
      <c r="E25" s="309">
        <f t="shared" ca="1" si="0"/>
        <v>0.18344866875000002</v>
      </c>
      <c r="F25" s="309">
        <f t="shared" ca="1" si="1"/>
        <v>0.27575497812666833</v>
      </c>
      <c r="G25" s="320">
        <f t="shared" ca="1" si="2"/>
        <v>-1.7643264962068694E-2</v>
      </c>
    </row>
    <row r="26" spans="1:7" x14ac:dyDescent="0.35">
      <c r="A26" s="147" t="str">
        <f ca="1">Dashboard!N21</f>
        <v>TM</v>
      </c>
      <c r="B26" s="309">
        <f ca="1">Dashboard!M21</f>
        <v>2.8059676225630933E-2</v>
      </c>
      <c r="C26" s="313">
        <f ca="1">'Risk Analytics'!D53</f>
        <v>0.7046</v>
      </c>
      <c r="D26" s="309">
        <f ca="1">'Risk Analytics'!H53</f>
        <v>8.3014500000000005E-2</v>
      </c>
      <c r="E26" s="309">
        <f t="shared" ca="1" si="0"/>
        <v>8.4820037500000001E-2</v>
      </c>
      <c r="F26" s="309">
        <f t="shared" ca="1" si="1"/>
        <v>2.7553048248998582E-2</v>
      </c>
      <c r="G26" s="320">
        <f t="shared" ca="1" si="2"/>
        <v>-5.0662797663235046E-4</v>
      </c>
    </row>
    <row r="27" spans="1:7" x14ac:dyDescent="0.35">
      <c r="A27" s="147" t="str">
        <f ca="1">Dashboard!N22</f>
        <v>WMT</v>
      </c>
      <c r="B27" s="309">
        <f ca="1">Dashboard!M22</f>
        <v>7.6046082881842822E-2</v>
      </c>
      <c r="C27" s="313">
        <f ca="1">'Risk Analytics'!D54</f>
        <v>0.66820000000000002</v>
      </c>
      <c r="D27" s="309">
        <f ca="1">'Risk Analytics'!H54</f>
        <v>8.0921500000000007E-2</v>
      </c>
      <c r="E27" s="309">
        <f t="shared" ca="1" si="0"/>
        <v>8.2633762500000013E-2</v>
      </c>
      <c r="F27" s="309">
        <f t="shared" ca="1" si="1"/>
        <v>7.4743974321938106E-2</v>
      </c>
      <c r="G27" s="320">
        <f t="shared" ca="1" si="2"/>
        <v>-1.3021085599047161E-3</v>
      </c>
    </row>
    <row r="29" spans="1:7" ht="16" x14ac:dyDescent="0.4">
      <c r="A29" s="311" t="s">
        <v>440</v>
      </c>
    </row>
    <row r="30" spans="1:7" x14ac:dyDescent="0.35">
      <c r="A30" s="312" t="s">
        <v>441</v>
      </c>
      <c r="B30" s="312" t="s">
        <v>28</v>
      </c>
      <c r="C30" s="312" t="s">
        <v>442</v>
      </c>
      <c r="D30" s="312" t="s">
        <v>443</v>
      </c>
      <c r="E30" s="312" t="s">
        <v>60</v>
      </c>
    </row>
    <row r="31" spans="1:7" x14ac:dyDescent="0.35">
      <c r="A31" s="310" t="s">
        <v>444</v>
      </c>
      <c r="B31" s="321" t="s">
        <v>445</v>
      </c>
      <c r="C31" s="322">
        <v>0.1</v>
      </c>
      <c r="D31" s="323">
        <v>0.75</v>
      </c>
      <c r="E31" s="310" t="s">
        <v>446</v>
      </c>
    </row>
    <row r="32" spans="1:7" x14ac:dyDescent="0.35">
      <c r="A32" s="307" t="s">
        <v>447</v>
      </c>
      <c r="B32" s="324" t="s">
        <v>448</v>
      </c>
      <c r="C32" s="325">
        <v>0.05</v>
      </c>
      <c r="D32" s="326">
        <v>0.6</v>
      </c>
      <c r="E32" s="307" t="s">
        <v>446</v>
      </c>
    </row>
    <row r="33" spans="1:6" x14ac:dyDescent="0.35">
      <c r="A33" s="310" t="s">
        <v>449</v>
      </c>
      <c r="B33" s="321" t="s">
        <v>450</v>
      </c>
      <c r="C33" s="322">
        <v>0.08</v>
      </c>
      <c r="D33" s="323">
        <v>0.5</v>
      </c>
      <c r="E33" s="310" t="s">
        <v>446</v>
      </c>
    </row>
    <row r="34" spans="1:6" x14ac:dyDescent="0.35">
      <c r="A34" s="307" t="s">
        <v>451</v>
      </c>
      <c r="B34" s="324" t="s">
        <v>452</v>
      </c>
      <c r="C34" s="325">
        <v>0</v>
      </c>
      <c r="D34" s="326">
        <v>0</v>
      </c>
      <c r="E34" s="307" t="s">
        <v>453</v>
      </c>
    </row>
    <row r="35" spans="1:6" x14ac:dyDescent="0.35">
      <c r="A35" s="310" t="s">
        <v>454</v>
      </c>
      <c r="B35" s="321" t="s">
        <v>452</v>
      </c>
      <c r="C35" s="322">
        <v>0</v>
      </c>
      <c r="D35" s="323">
        <v>0</v>
      </c>
      <c r="E35" s="310" t="s">
        <v>453</v>
      </c>
    </row>
    <row r="37" spans="1:6" ht="16" x14ac:dyDescent="0.4">
      <c r="A37" s="311" t="s">
        <v>455</v>
      </c>
    </row>
    <row r="38" spans="1:6" x14ac:dyDescent="0.35">
      <c r="A38" s="312" t="s">
        <v>13</v>
      </c>
      <c r="B38" s="312" t="s">
        <v>456</v>
      </c>
      <c r="C38" s="312" t="s">
        <v>457</v>
      </c>
      <c r="D38" s="312" t="s">
        <v>458</v>
      </c>
      <c r="E38" s="312" t="s">
        <v>459</v>
      </c>
      <c r="F38" s="312" t="s">
        <v>223</v>
      </c>
    </row>
    <row r="39" spans="1:6" x14ac:dyDescent="0.35">
      <c r="A39" s="147" t="str">
        <f ca="1">A12</f>
        <v>0R2N</v>
      </c>
      <c r="B39" s="327">
        <f ca="1">B12*SUM(Dashboard!G7:'Dashboard'!G22)</f>
        <v>15596.205000000002</v>
      </c>
      <c r="C39" s="309">
        <f ca="1">F12/SUM(F$12:F$27)</f>
        <v>5.2807916761122793E-2</v>
      </c>
      <c r="D39" s="327">
        <f ca="1">C39*SUM(Dashboard!G7:'Dashboard'!G22)</f>
        <v>16036.728543550094</v>
      </c>
      <c r="E39" s="328">
        <f ca="1">D39-B39</f>
        <v>440.52354355009265</v>
      </c>
      <c r="F39" s="310" t="str">
        <f ca="1">IF(ABS(E39)&lt;500,"HOLD",IF(E39&gt;0,"BUY "&amp;TEXT(E39,"$#,##0"),"SELL "&amp;TEXT(ABS(E39),"$#,##0")))</f>
        <v>HOLD</v>
      </c>
    </row>
    <row r="40" spans="1:6" x14ac:dyDescent="0.35">
      <c r="A40" s="12" t="str">
        <f t="shared" ref="A40:A54" ca="1" si="3">A13</f>
        <v>AAPL</v>
      </c>
      <c r="B40" s="329">
        <f ca="1">B13*SUM(Dashboard!G7:'Dashboard'!G22)</f>
        <v>14239.349200000001</v>
      </c>
      <c r="C40" s="306">
        <f t="shared" ref="C40:C54" ca="1" si="4">F13/SUM(F$12:F$27)</f>
        <v>4.7350228418316417E-2</v>
      </c>
      <c r="D40" s="329">
        <f ca="1">C40*SUM(Dashboard!G7:'Dashboard'!G22)</f>
        <v>14379.335641179092</v>
      </c>
      <c r="E40" s="330">
        <f t="shared" ref="E40:E54" ca="1" si="5">D40-B40</f>
        <v>139.98644117909134</v>
      </c>
      <c r="F40" s="307" t="str">
        <f t="shared" ref="F40:F54" ca="1" si="6">IF(ABS(E40)&lt;500,"HOLD",IF(E40&gt;0,"BUY "&amp;TEXT(E40,"$#,##0"),"SELL "&amp;TEXT(ABS(E40),"$#,##0")))</f>
        <v>HOLD</v>
      </c>
    </row>
    <row r="41" spans="1:6" x14ac:dyDescent="0.35">
      <c r="A41" s="147" t="str">
        <f t="shared" ca="1" si="3"/>
        <v>AMD</v>
      </c>
      <c r="B41" s="327">
        <f ca="1">B14*SUM(Dashboard!G7:'Dashboard'!G22)</f>
        <v>23611.634399999999</v>
      </c>
      <c r="C41" s="309">
        <f t="shared" ca="1" si="4"/>
        <v>7.6676517612183998E-2</v>
      </c>
      <c r="D41" s="327">
        <f ca="1">C41*SUM(Dashboard!G7:'Dashboard'!G22)</f>
        <v>23285.154462230072</v>
      </c>
      <c r="E41" s="328">
        <f t="shared" ca="1" si="5"/>
        <v>-326.47993776992735</v>
      </c>
      <c r="F41" s="310" t="str">
        <f t="shared" ca="1" si="6"/>
        <v>HOLD</v>
      </c>
    </row>
    <row r="42" spans="1:6" x14ac:dyDescent="0.35">
      <c r="A42" s="12" t="str">
        <f t="shared" ca="1" si="3"/>
        <v>AMZN</v>
      </c>
      <c r="B42" s="329">
        <f ca="1">B15*SUM(Dashboard!G7:'Dashboard'!G22)</f>
        <v>9655.6252499999973</v>
      </c>
      <c r="C42" s="306">
        <f t="shared" ca="1" si="4"/>
        <v>3.1888126896490072E-2</v>
      </c>
      <c r="D42" s="329">
        <f ca="1">C42*SUM(Dashboard!G7:'Dashboard'!G22)</f>
        <v>9683.7986833400118</v>
      </c>
      <c r="E42" s="330">
        <f t="shared" ca="1" si="5"/>
        <v>28.173433340014526</v>
      </c>
      <c r="F42" s="307" t="str">
        <f t="shared" ca="1" si="6"/>
        <v>HOLD</v>
      </c>
    </row>
    <row r="43" spans="1:6" x14ac:dyDescent="0.35">
      <c r="A43" s="147" t="str">
        <f t="shared" ca="1" si="3"/>
        <v>BA</v>
      </c>
      <c r="B43" s="327">
        <f ca="1">B16*SUM(Dashboard!G7:'Dashboard'!G22)</f>
        <v>9647.4950999999983</v>
      </c>
      <c r="C43" s="309">
        <f t="shared" ca="1" si="4"/>
        <v>3.2017362862205648E-2</v>
      </c>
      <c r="D43" s="327">
        <f ca="1">C43*SUM(Dashboard!G7:'Dashboard'!G22)</f>
        <v>9723.0451112879146</v>
      </c>
      <c r="E43" s="328">
        <f t="shared" ca="1" si="5"/>
        <v>75.550011287916277</v>
      </c>
      <c r="F43" s="310" t="str">
        <f t="shared" ca="1" si="6"/>
        <v>HOLD</v>
      </c>
    </row>
    <row r="44" spans="1:6" x14ac:dyDescent="0.35">
      <c r="A44" s="12" t="str">
        <f t="shared" ca="1" si="3"/>
        <v>BLK</v>
      </c>
      <c r="B44" s="329">
        <f ca="1">B17*SUM(Dashboard!G7:'Dashboard'!G22)</f>
        <v>11137.434000000001</v>
      </c>
      <c r="C44" s="306">
        <f t="shared" ca="1" si="4"/>
        <v>3.6660370292138207E-2</v>
      </c>
      <c r="D44" s="329">
        <f ca="1">C44*SUM(Dashboard!G7:'Dashboard'!G22)</f>
        <v>11133.03539960641</v>
      </c>
      <c r="E44" s="330">
        <f t="shared" ca="1" si="5"/>
        <v>-4.3986003935915505</v>
      </c>
      <c r="F44" s="307" t="str">
        <f t="shared" ca="1" si="6"/>
        <v>HOLD</v>
      </c>
    </row>
    <row r="45" spans="1:6" x14ac:dyDescent="0.35">
      <c r="A45" s="147" t="str">
        <f t="shared" ca="1" si="3"/>
        <v>C</v>
      </c>
      <c r="B45" s="327">
        <f ca="1">B18*SUM(Dashboard!G7:'Dashboard'!G22)</f>
        <v>16332.1515</v>
      </c>
      <c r="C45" s="309">
        <f t="shared" ca="1" si="4"/>
        <v>5.4292255491554295E-2</v>
      </c>
      <c r="D45" s="327">
        <f ca="1">C45*SUM(Dashboard!G7:'Dashboard'!G22)</f>
        <v>16487.493102096974</v>
      </c>
      <c r="E45" s="328">
        <f t="shared" ca="1" si="5"/>
        <v>155.34160209697438</v>
      </c>
      <c r="F45" s="310" t="str">
        <f t="shared" ca="1" si="6"/>
        <v>HOLD</v>
      </c>
    </row>
    <row r="46" spans="1:6" x14ac:dyDescent="0.35">
      <c r="A46" s="12" t="str">
        <f t="shared" ca="1" si="3"/>
        <v>CVX</v>
      </c>
      <c r="B46" s="329">
        <f ca="1">B19*SUM(Dashboard!G7:'Dashboard'!G22)</f>
        <v>14662.19175</v>
      </c>
      <c r="C46" s="306">
        <f t="shared" ca="1" si="4"/>
        <v>4.9391850371276254E-2</v>
      </c>
      <c r="D46" s="329">
        <f ca="1">C46*SUM(Dashboard!G7:'Dashboard'!G22)</f>
        <v>14999.336183830179</v>
      </c>
      <c r="E46" s="330">
        <f t="shared" ca="1" si="5"/>
        <v>337.14443383017897</v>
      </c>
      <c r="F46" s="307" t="str">
        <f t="shared" ca="1" si="6"/>
        <v>HOLD</v>
      </c>
    </row>
    <row r="47" spans="1:6" x14ac:dyDescent="0.35">
      <c r="A47" s="147" t="str">
        <f t="shared" ca="1" si="3"/>
        <v>F</v>
      </c>
      <c r="B47" s="327">
        <f ca="1">B20*SUM(Dashboard!G7:'Dashboard'!G22)</f>
        <v>8610.758249999999</v>
      </c>
      <c r="C47" s="309">
        <f t="shared" ca="1" si="4"/>
        <v>2.8140659992501631E-2</v>
      </c>
      <c r="D47" s="327">
        <f ca="1">C47*SUM(Dashboard!G7:'Dashboard'!G22)</f>
        <v>8545.7664875794653</v>
      </c>
      <c r="E47" s="328">
        <f t="shared" ca="1" si="5"/>
        <v>-64.991762420533632</v>
      </c>
      <c r="F47" s="310" t="str">
        <f t="shared" ca="1" si="6"/>
        <v>HOLD</v>
      </c>
    </row>
    <row r="48" spans="1:6" x14ac:dyDescent="0.35">
      <c r="A48" s="12" t="str">
        <f t="shared" ca="1" si="3"/>
        <v>GOOG</v>
      </c>
      <c r="B48" s="329">
        <f ca="1">B21*SUM(Dashboard!G7:'Dashboard'!G22)</f>
        <v>20007.405600000002</v>
      </c>
      <c r="C48" s="306">
        <f t="shared" ca="1" si="4"/>
        <v>6.6536234021756097E-2</v>
      </c>
      <c r="D48" s="329">
        <f ca="1">C48*SUM(Dashboard!G7:'Dashboard'!G22)</f>
        <v>20205.749227785633</v>
      </c>
      <c r="E48" s="330">
        <f t="shared" ca="1" si="5"/>
        <v>198.34362778563082</v>
      </c>
      <c r="F48" s="307" t="str">
        <f t="shared" ca="1" si="6"/>
        <v>HOLD</v>
      </c>
    </row>
    <row r="49" spans="1:6" x14ac:dyDescent="0.35">
      <c r="A49" s="147" t="str">
        <f t="shared" ca="1" si="3"/>
        <v>HMC</v>
      </c>
      <c r="B49" s="327">
        <f ca="1">B22*SUM(Dashboard!G7:'Dashboard'!G22)</f>
        <v>6166.6169999999993</v>
      </c>
      <c r="C49" s="309">
        <f t="shared" ca="1" si="4"/>
        <v>2.0849553385267828E-2</v>
      </c>
      <c r="D49" s="327">
        <f ca="1">C49*SUM(Dashboard!G7:'Dashboard'!G22)</f>
        <v>6331.6004190483618</v>
      </c>
      <c r="E49" s="328">
        <f t="shared" ca="1" si="5"/>
        <v>164.98341904836252</v>
      </c>
      <c r="F49" s="310" t="str">
        <f t="shared" ca="1" si="6"/>
        <v>HOLD</v>
      </c>
    </row>
    <row r="50" spans="1:6" x14ac:dyDescent="0.35">
      <c r="A50" s="12" t="str">
        <f t="shared" ca="1" si="3"/>
        <v>JPM</v>
      </c>
      <c r="B50" s="329">
        <f ca="1">B23*SUM(Dashboard!G7:'Dashboard'!G22)</f>
        <v>16808.7248</v>
      </c>
      <c r="C50" s="306">
        <f t="shared" ca="1" si="4"/>
        <v>5.5956101522328175E-2</v>
      </c>
      <c r="D50" s="329">
        <f ca="1">C50*SUM(Dashboard!G7:'Dashboard'!G22)</f>
        <v>16992.770506893743</v>
      </c>
      <c r="E50" s="330">
        <f t="shared" ca="1" si="5"/>
        <v>184.04570689374304</v>
      </c>
      <c r="F50" s="307" t="str">
        <f t="shared" ca="1" si="6"/>
        <v>HOLD</v>
      </c>
    </row>
    <row r="51" spans="1:6" x14ac:dyDescent="0.35">
      <c r="A51" s="147" t="str">
        <f t="shared" ca="1" si="3"/>
        <v>META</v>
      </c>
      <c r="B51" s="327">
        <f ca="1">B24*SUM(Dashboard!G7:'Dashboard'!G22)</f>
        <v>16490.6253</v>
      </c>
      <c r="C51" s="309">
        <f t="shared" ca="1" si="4"/>
        <v>5.4554720660930381E-2</v>
      </c>
      <c r="D51" s="327">
        <f ca="1">C51*SUM(Dashboard!G7:'Dashboard'!G22)</f>
        <v>16567.19862603311</v>
      </c>
      <c r="E51" s="328">
        <f t="shared" ca="1" si="5"/>
        <v>76.573326033110789</v>
      </c>
      <c r="F51" s="310" t="str">
        <f t="shared" ca="1" si="6"/>
        <v>HOLD</v>
      </c>
    </row>
    <row r="52" spans="1:6" x14ac:dyDescent="0.35">
      <c r="A52" s="12" t="str">
        <f t="shared" ca="1" si="3"/>
        <v>NVDA</v>
      </c>
      <c r="B52" s="329">
        <f ca="1">B25*SUM(Dashboard!G7:'Dashboard'!G22)</f>
        <v>89099.291699999987</v>
      </c>
      <c r="C52" s="306">
        <f t="shared" ca="1" si="4"/>
        <v>0.28656928714596808</v>
      </c>
      <c r="D52" s="329">
        <f ca="1">C52*SUM(Dashboard!G7:'Dashboard'!G22)</f>
        <v>87025.471723623399</v>
      </c>
      <c r="E52" s="330">
        <f t="shared" ca="1" si="5"/>
        <v>-2073.8199763765879</v>
      </c>
      <c r="F52" s="307" t="str">
        <f t="shared" ca="1" si="6"/>
        <v>SELL $2,074</v>
      </c>
    </row>
    <row r="53" spans="1:6" x14ac:dyDescent="0.35">
      <c r="A53" s="147" t="str">
        <f t="shared" ca="1" si="3"/>
        <v>TM</v>
      </c>
      <c r="B53" s="327">
        <f ca="1">B26*SUM(Dashboard!G7:'Dashboard'!G22)</f>
        <v>8521.1733060000006</v>
      </c>
      <c r="C53" s="309">
        <f t="shared" ca="1" si="4"/>
        <v>2.8633598744270058E-2</v>
      </c>
      <c r="D53" s="327">
        <f ca="1">C53*SUM(Dashboard!G7:'Dashboard'!G22)</f>
        <v>8695.4623179691698</v>
      </c>
      <c r="E53" s="328">
        <f t="shared" ca="1" si="5"/>
        <v>174.28901196916922</v>
      </c>
      <c r="F53" s="310" t="str">
        <f t="shared" ca="1" si="6"/>
        <v>HOLD</v>
      </c>
    </row>
    <row r="54" spans="1:6" x14ac:dyDescent="0.35">
      <c r="A54" s="12" t="str">
        <f t="shared" ca="1" si="3"/>
        <v>WMT</v>
      </c>
      <c r="B54" s="329">
        <f ca="1">B27*SUM(Dashboard!G7:'Dashboard'!G22)</f>
        <v>23093.703799999999</v>
      </c>
      <c r="C54" s="306">
        <f t="shared" ca="1" si="4"/>
        <v>7.767521582168993E-2</v>
      </c>
      <c r="D54" s="329">
        <f ca="1">C54*SUM(Dashboard!G7:'Dashboard'!G22)</f>
        <v>23588.439519946402</v>
      </c>
      <c r="E54" s="330">
        <f t="shared" ca="1" si="5"/>
        <v>494.73571994640224</v>
      </c>
      <c r="F54" s="307" t="str">
        <f t="shared" ca="1" si="6"/>
        <v>HOLD</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C8D6-B0A3-47BE-A2F1-FC93F05BAEC7}">
  <sheetPr>
    <tabColor rgb="FF0D7377"/>
  </sheetPr>
  <dimension ref="A1:AG114"/>
  <sheetViews>
    <sheetView showGridLines="0" zoomScale="60" zoomScaleNormal="60" workbookViewId="0">
      <selection activeCell="P25" sqref="P25"/>
    </sheetView>
  </sheetViews>
  <sheetFormatPr defaultRowHeight="14.5" outlineLevelCol="2" x14ac:dyDescent="0.35"/>
  <cols>
    <col min="2" max="2" width="38.54296875" bestFit="1" customWidth="1"/>
    <col min="3" max="3" width="32.54296875" bestFit="1" customWidth="1"/>
    <col min="4" max="4" width="35.81640625" bestFit="1" customWidth="1"/>
    <col min="5" max="5" width="17.26953125" customWidth="1"/>
    <col min="6" max="6" width="16.26953125" bestFit="1" customWidth="1"/>
    <col min="7" max="7" width="15.453125" customWidth="1"/>
    <col min="8" max="8" width="11.81640625" customWidth="1"/>
    <col min="9" max="9" width="14.90625" bestFit="1" customWidth="1"/>
    <col min="10" max="11" width="14.54296875" customWidth="1"/>
    <col min="12" max="12" width="11.81640625" customWidth="1"/>
    <col min="13" max="13" width="12.7265625" customWidth="1"/>
    <col min="14" max="14" width="25.453125" customWidth="1"/>
    <col min="15" max="20" width="19.08984375" customWidth="1"/>
    <col min="21" max="21" width="3.6328125" customWidth="1"/>
    <col min="22" max="32" width="0.1796875" hidden="1" customWidth="1" outlineLevel="2"/>
    <col min="33" max="33" width="8.7265625" collapsed="1"/>
  </cols>
  <sheetData>
    <row r="1" spans="1:32" ht="15" thickBot="1" x14ac:dyDescent="0.4">
      <c r="A1" s="229"/>
      <c r="B1" s="229"/>
      <c r="C1" s="229"/>
      <c r="D1" s="229"/>
      <c r="E1" s="229"/>
      <c r="F1" s="229"/>
      <c r="G1" s="229"/>
      <c r="H1" s="229"/>
      <c r="I1" s="229"/>
      <c r="J1" s="229"/>
      <c r="K1" s="229"/>
      <c r="L1" s="229"/>
      <c r="M1" s="229"/>
      <c r="N1" s="229"/>
      <c r="O1" s="229"/>
      <c r="P1" s="229"/>
      <c r="Q1" s="229"/>
      <c r="R1" s="229"/>
      <c r="S1" s="229"/>
      <c r="T1" s="229"/>
      <c r="U1" s="229"/>
      <c r="V1" s="241" t="s">
        <v>13</v>
      </c>
      <c r="W1" s="293" t="s">
        <v>50</v>
      </c>
      <c r="X1" s="241" t="s">
        <v>51</v>
      </c>
      <c r="Y1" s="293" t="s">
        <v>164</v>
      </c>
      <c r="Z1" s="293" t="s">
        <v>53</v>
      </c>
      <c r="AA1" s="241" t="s">
        <v>13</v>
      </c>
      <c r="AB1" s="293" t="s">
        <v>164</v>
      </c>
      <c r="AC1" s="293" t="s">
        <v>13</v>
      </c>
      <c r="AD1" s="241" t="s">
        <v>53</v>
      </c>
      <c r="AE1" s="241" t="s">
        <v>13</v>
      </c>
      <c r="AF1" s="241" t="s">
        <v>165</v>
      </c>
    </row>
    <row r="2" spans="1:32" ht="20" customHeight="1" x14ac:dyDescent="0.35">
      <c r="A2" s="229"/>
      <c r="B2" s="355" t="s">
        <v>125</v>
      </c>
      <c r="C2" s="355"/>
      <c r="D2" s="237"/>
      <c r="E2" s="355" t="s">
        <v>129</v>
      </c>
      <c r="F2" s="355" t="s">
        <v>126</v>
      </c>
      <c r="G2" s="355" t="s">
        <v>127</v>
      </c>
      <c r="H2" s="554" t="str">
        <f>"CAGR ("&amp;TEXT((MAX(Ledger[Date])-MIN(Ledger[Date]))/365.25,"0")&amp;"YR)"</f>
        <v>CAGR (6YR)</v>
      </c>
      <c r="I2" s="355" t="s">
        <v>135</v>
      </c>
      <c r="J2" s="355" t="s">
        <v>128</v>
      </c>
      <c r="K2" s="355" t="s">
        <v>134</v>
      </c>
      <c r="L2" s="355"/>
      <c r="M2" s="355"/>
      <c r="N2" s="355" t="s">
        <v>158</v>
      </c>
      <c r="O2" s="355" t="s">
        <v>304</v>
      </c>
      <c r="P2" s="355" t="s">
        <v>159</v>
      </c>
      <c r="Q2" s="355" t="s">
        <v>132</v>
      </c>
      <c r="R2" s="355" t="s">
        <v>704</v>
      </c>
      <c r="S2" s="355" t="s">
        <v>302</v>
      </c>
      <c r="T2" s="355" t="s">
        <v>303</v>
      </c>
      <c r="U2" s="229"/>
      <c r="V2" s="243" t="str">
        <f t="shared" ref="V2:V17" ca="1" si="0">N7</f>
        <v>0R2N</v>
      </c>
      <c r="W2" s="294">
        <f t="shared" ref="W2:W17" ca="1" si="1">L7</f>
        <v>0.97044958281370131</v>
      </c>
      <c r="X2" s="244">
        <f t="shared" ref="X2:X17" ca="1" si="2">M7</f>
        <v>5.1357301035107744E-2</v>
      </c>
      <c r="Y2" s="294">
        <f t="shared" ref="Y2:Y17" ca="1" si="3">J7</f>
        <v>7681.1560000000027</v>
      </c>
      <c r="Z2" s="294">
        <f t="shared" ref="Z2:Z17" ca="1" si="4">R7</f>
        <v>0.11965190332092024</v>
      </c>
      <c r="AA2" s="243" t="str">
        <f t="shared" ref="AA2:AA17" ca="1" si="5">N7</f>
        <v>0R2N</v>
      </c>
      <c r="AB2" s="294">
        <f t="shared" ref="AB2:AB17" ca="1" si="6">J7</f>
        <v>7681.1560000000027</v>
      </c>
      <c r="AC2" s="294" t="str">
        <f t="shared" ref="AC2:AC17" ca="1" si="7">N7</f>
        <v>0R2N</v>
      </c>
      <c r="AD2" s="244">
        <f t="shared" ref="AD2:AD17" ca="1" si="8">R7</f>
        <v>0.11965190332092024</v>
      </c>
      <c r="AE2" s="243" t="str">
        <f t="shared" ref="AE2:AE17" ca="1" si="9">N7</f>
        <v>0R2N</v>
      </c>
      <c r="AF2" s="244">
        <f t="shared" ref="AF2:AF17" ca="1" si="10">M7</f>
        <v>5.1357301035107744E-2</v>
      </c>
    </row>
    <row r="3" spans="1:32" ht="42" customHeight="1" thickBot="1" x14ac:dyDescent="0.6">
      <c r="A3" s="229"/>
      <c r="B3" s="356">
        <f ca="1">SUM(_xlfn.ANCHORARRAY(G7))</f>
        <v>303680.38595600007</v>
      </c>
      <c r="C3" s="356"/>
      <c r="D3" s="238"/>
      <c r="E3" s="356">
        <f ca="1">SUM(G7:G22)-SUM(J7:J22)</f>
        <v>132051.4212000001</v>
      </c>
      <c r="F3" s="357">
        <f ca="1">SUM(J7:J22)</f>
        <v>171628.96475599997</v>
      </c>
      <c r="G3" s="358">
        <f ca="1">F3/E3</f>
        <v>1.2997131208156951</v>
      </c>
      <c r="H3" s="358">
        <f ca="1">(B3/E3)^(1/((MAX(Ledger[Date])-MIN(Ledger[Date]))/365.25))-1</f>
        <v>0.1488549348736059</v>
      </c>
      <c r="I3" s="359" t="str">
        <f ca="1">"▲ "&amp;INDEX(_xlfn.ANCHORARRAY(B7),MATCH(MAX(J7:J22),J7:J22,0))</f>
        <v>▲ NVDA</v>
      </c>
      <c r="J3" s="360" t="str">
        <f ca="1">"▼ "&amp;INDEX(_xlfn.ANCHORARRAY(B7),MATCH(MIN(J7:J22),J7:J22,0))</f>
        <v>▼ HMC</v>
      </c>
      <c r="K3" s="361" cm="1">
        <f t="array" aca="1" ref="K3" ca="1">SUMPRODUCT((SUMIF(_xlfn.ANCHORARRAY(D7),_xlfn.UNIQUE(_xlfn.ANCHORARRAY(D7)),_xlfn.ANCHORARRAY(G7))/SUM(_xlfn.ANCHORARRAY(G7)))^2)</f>
        <v>0.18756227674873593</v>
      </c>
      <c r="L3" s="238"/>
      <c r="M3" s="238"/>
      <c r="N3" s="362">
        <f ca="1">SUM(H7:H22)</f>
        <v>14.596800000000059</v>
      </c>
      <c r="O3" s="363">
        <f ca="1">'Risk Analytics'!C18</f>
        <v>0.46593001654794325</v>
      </c>
      <c r="P3" s="364">
        <f ca="1">COUNTIF(J7:J22,"&gt;0")/COUNTA(J7:J22)</f>
        <v>0.875</v>
      </c>
      <c r="Q3" s="364">
        <f ca="1">AVERAGE(L7:L22)</f>
        <v>1.2685149845403316</v>
      </c>
      <c r="R3" s="365">
        <f ca="1">MIN(L7:L22)</f>
        <v>-0.13381727679594252</v>
      </c>
      <c r="S3" s="366">
        <f ca="1">'Risk Analytics'!C9</f>
        <v>1.4726693833465256</v>
      </c>
      <c r="T3" s="367">
        <f ca="1">'Risk Analytics'!C15</f>
        <v>7.2219152564931208E-2</v>
      </c>
      <c r="U3" s="229"/>
      <c r="V3" s="247" t="str">
        <f t="shared" ca="1" si="0"/>
        <v>AAPL</v>
      </c>
      <c r="W3" s="295">
        <f t="shared" ca="1" si="1"/>
        <v>0.92640660558217514</v>
      </c>
      <c r="X3" s="248">
        <f t="shared" ca="1" si="2"/>
        <v>4.6889262061406645E-2</v>
      </c>
      <c r="Y3" s="295">
        <f t="shared" ca="1" si="3"/>
        <v>6847.6858000000002</v>
      </c>
      <c r="Z3" s="295">
        <f t="shared" ca="1" si="4"/>
        <v>0.11544244895388989</v>
      </c>
      <c r="AA3" s="247" t="str">
        <f t="shared" ca="1" si="5"/>
        <v>AAPL</v>
      </c>
      <c r="AB3" s="295">
        <f t="shared" ca="1" si="6"/>
        <v>6847.6858000000002</v>
      </c>
      <c r="AC3" s="295" t="str">
        <f t="shared" ca="1" si="7"/>
        <v>AAPL</v>
      </c>
      <c r="AD3" s="248">
        <f t="shared" ca="1" si="8"/>
        <v>0.11544244895388989</v>
      </c>
      <c r="AE3" s="247" t="str">
        <f t="shared" ca="1" si="9"/>
        <v>AAPL</v>
      </c>
      <c r="AF3" s="248">
        <f t="shared" ca="1" si="10"/>
        <v>4.6889262061406645E-2</v>
      </c>
    </row>
    <row r="4" spans="1:32" ht="32" customHeight="1" x14ac:dyDescent="0.35">
      <c r="A4" s="229"/>
      <c r="B4" s="368" t="s">
        <v>463</v>
      </c>
      <c r="C4" s="368"/>
      <c r="D4" s="369">
        <f ca="1">'Risk Analytics'!C19</f>
        <v>3.0962338842978809</v>
      </c>
      <c r="E4" s="368" t="s">
        <v>464</v>
      </c>
      <c r="F4" s="370">
        <f ca="1">'Risk Analytics'!C16</f>
        <v>0.187708606709201</v>
      </c>
      <c r="G4" s="368" t="s">
        <v>465</v>
      </c>
      <c r="H4" s="371">
        <f ca="1">'Risk Analytics'!C62</f>
        <v>0.2630790222407563</v>
      </c>
      <c r="I4" s="368" t="s">
        <v>466</v>
      </c>
      <c r="J4" s="372">
        <f ca="1">'Risk Analytics'!C11</f>
        <v>2.1676445331180683E-2</v>
      </c>
      <c r="K4" s="368" t="s">
        <v>467</v>
      </c>
      <c r="L4" s="373">
        <f ca="1">'Risk Analytics'!C68</f>
        <v>1.4719152564931198E-2</v>
      </c>
      <c r="M4" s="374"/>
      <c r="N4" s="368" t="s">
        <v>303</v>
      </c>
      <c r="O4" s="375">
        <f ca="1">'Risk Analytics'!C15</f>
        <v>7.2219152564931208E-2</v>
      </c>
      <c r="P4" s="368" t="s">
        <v>468</v>
      </c>
      <c r="Q4" s="376">
        <f ca="1">'Risk Analytics'!C20</f>
        <v>1.112374563566962</v>
      </c>
      <c r="R4" s="368" t="s">
        <v>469</v>
      </c>
      <c r="S4" s="377">
        <f ca="1">'Risk Analytics'!C75</f>
        <v>-0.27855524868978998</v>
      </c>
      <c r="T4" s="229"/>
      <c r="U4" s="229"/>
      <c r="V4" s="249" t="str">
        <f t="shared" ca="1" si="0"/>
        <v>AMD</v>
      </c>
      <c r="W4" s="296">
        <f t="shared" ca="1" si="1"/>
        <v>2.1931095923095127</v>
      </c>
      <c r="X4" s="250">
        <f t="shared" ca="1" si="2"/>
        <v>7.7751595071474472E-2</v>
      </c>
      <c r="Y4" s="296">
        <f t="shared" ca="1" si="3"/>
        <v>16217.076300000001</v>
      </c>
      <c r="Z4" s="296">
        <f t="shared" ca="1" si="4"/>
        <v>0.21343486372950538</v>
      </c>
      <c r="AA4" s="249" t="str">
        <f t="shared" ca="1" si="5"/>
        <v>AMD</v>
      </c>
      <c r="AB4" s="296">
        <f t="shared" ca="1" si="6"/>
        <v>16217.076300000001</v>
      </c>
      <c r="AC4" s="296" t="str">
        <f t="shared" ca="1" si="7"/>
        <v>AMD</v>
      </c>
      <c r="AD4" s="250">
        <f t="shared" ca="1" si="8"/>
        <v>0.21343486372950538</v>
      </c>
      <c r="AE4" s="249" t="str">
        <f t="shared" ca="1" si="9"/>
        <v>AMD</v>
      </c>
      <c r="AF4" s="250">
        <f t="shared" ca="1" si="10"/>
        <v>7.7751595071474472E-2</v>
      </c>
    </row>
    <row r="5" spans="1:32" ht="22" customHeight="1" thickBot="1" x14ac:dyDescent="0.4">
      <c r="A5" s="229"/>
      <c r="B5" s="557" t="str">
        <f ca="1">"CURRENT HOLDINGS  ·  "&amp;COUNTA(B7:B22)&amp;" STOCKS  ·  "&amp;COUNTA(_xlfn.UNIQUE(D7:D22))&amp;" INDUSTRIES"</f>
        <v>CURRENT HOLDINGS  ·  16 STOCKS  ·  10 INDUSTRIES</v>
      </c>
      <c r="C5" s="557"/>
      <c r="D5" s="558"/>
      <c r="E5" s="558"/>
      <c r="F5" s="559"/>
      <c r="G5" s="559"/>
      <c r="H5" s="559"/>
      <c r="I5" s="559"/>
      <c r="J5" s="559"/>
      <c r="K5" s="559"/>
      <c r="L5" s="230"/>
      <c r="M5" s="230"/>
      <c r="N5" s="556" t="s">
        <v>160</v>
      </c>
      <c r="O5" s="556"/>
      <c r="P5" s="556"/>
      <c r="Q5" s="556"/>
      <c r="R5" s="556"/>
      <c r="S5" s="556"/>
      <c r="T5" s="231"/>
      <c r="U5" s="229"/>
      <c r="V5" s="241" t="str">
        <f t="shared" ca="1" si="0"/>
        <v>AMZN</v>
      </c>
      <c r="W5" s="293">
        <f t="shared" ca="1" si="1"/>
        <v>0.49216603290934874</v>
      </c>
      <c r="X5" s="242">
        <f t="shared" ca="1" si="2"/>
        <v>3.1795353590597028E-2</v>
      </c>
      <c r="Y5" s="293">
        <f t="shared" ca="1" si="3"/>
        <v>3184.74665</v>
      </c>
      <c r="Z5" s="293">
        <f t="shared" ca="1" si="4"/>
        <v>6.8963599812633891E-2</v>
      </c>
      <c r="AA5" s="241" t="str">
        <f t="shared" ca="1" si="5"/>
        <v>AMZN</v>
      </c>
      <c r="AB5" s="293">
        <f t="shared" ca="1" si="6"/>
        <v>3184.74665</v>
      </c>
      <c r="AC5" s="293" t="str">
        <f t="shared" ca="1" si="7"/>
        <v>AMZN</v>
      </c>
      <c r="AD5" s="242">
        <f t="shared" ca="1" si="8"/>
        <v>6.8963599812633891E-2</v>
      </c>
      <c r="AE5" s="241" t="str">
        <f t="shared" ca="1" si="9"/>
        <v>AMZN</v>
      </c>
      <c r="AF5" s="242">
        <f t="shared" ca="1" si="10"/>
        <v>3.1795353590597028E-2</v>
      </c>
    </row>
    <row r="6" spans="1:32" ht="16" thickBot="1" x14ac:dyDescent="0.4">
      <c r="A6" s="229"/>
      <c r="B6" s="378" t="s">
        <v>13</v>
      </c>
      <c r="C6" s="379" t="s">
        <v>703</v>
      </c>
      <c r="D6" s="379" t="s">
        <v>0</v>
      </c>
      <c r="E6" s="379" t="s">
        <v>1</v>
      </c>
      <c r="F6" s="379" t="s">
        <v>2</v>
      </c>
      <c r="G6" s="379" t="s">
        <v>3</v>
      </c>
      <c r="H6" s="379" t="s">
        <v>4</v>
      </c>
      <c r="I6" s="379"/>
      <c r="J6" s="379" t="s">
        <v>5</v>
      </c>
      <c r="K6" s="379" t="s">
        <v>6</v>
      </c>
      <c r="L6" s="379" t="s">
        <v>50</v>
      </c>
      <c r="M6" s="379" t="s">
        <v>51</v>
      </c>
      <c r="N6" s="379" t="s">
        <v>7</v>
      </c>
      <c r="O6" s="379" t="s">
        <v>49</v>
      </c>
      <c r="P6" s="379" t="s">
        <v>52</v>
      </c>
      <c r="Q6" s="379" t="s">
        <v>161</v>
      </c>
      <c r="R6" s="379" t="s">
        <v>53</v>
      </c>
      <c r="S6" s="379" t="s">
        <v>162</v>
      </c>
      <c r="T6" s="379" t="s">
        <v>163</v>
      </c>
      <c r="U6" s="229"/>
      <c r="V6" s="243" t="str">
        <f t="shared" ca="1" si="0"/>
        <v>BA</v>
      </c>
      <c r="W6" s="294">
        <f t="shared" ca="1" si="1"/>
        <v>-3.1168064744497764E-2</v>
      </c>
      <c r="X6" s="244">
        <f t="shared" ca="1" si="2"/>
        <v>3.176858152899547E-2</v>
      </c>
      <c r="Y6" s="294">
        <f t="shared" ca="1" si="3"/>
        <v>-310.36729999999989</v>
      </c>
      <c r="Z6" s="294">
        <f t="shared" ca="1" si="4"/>
        <v>-5.2622557180604934E-3</v>
      </c>
      <c r="AA6" s="243" t="str">
        <f t="shared" ca="1" si="5"/>
        <v>BA</v>
      </c>
      <c r="AB6" s="294">
        <f t="shared" ca="1" si="6"/>
        <v>-310.36729999999989</v>
      </c>
      <c r="AC6" s="294" t="str">
        <f t="shared" ca="1" si="7"/>
        <v>BA</v>
      </c>
      <c r="AD6" s="244">
        <f t="shared" ca="1" si="8"/>
        <v>-5.2622557180604934E-3</v>
      </c>
      <c r="AE6" s="243" t="str">
        <f t="shared" ca="1" si="9"/>
        <v>BA</v>
      </c>
      <c r="AF6" s="244">
        <f t="shared" ca="1" si="10"/>
        <v>3.176858152899547E-2</v>
      </c>
    </row>
    <row r="7" spans="1:32" ht="15.5" x14ac:dyDescent="0.35">
      <c r="A7" s="229"/>
      <c r="B7" s="380" t="str" cm="1">
        <f t="array" aca="1" ref="B7:B22" ca="1">_xlfn._xlws.SORT(_xlfn.UNIQUE(Ledger[Ticker]))</f>
        <v>0R2N</v>
      </c>
      <c r="C7" s="428" t="str" cm="1">
        <f t="array" aca="1" ref="C7:C22" ca="1">_FV(INDEX(Ledger[Stock],MATCH(_xlfn.ANCHORARRAY(B7),Ledger[Ticker],0)),"Name")</f>
        <v>RTX CORPORATION</v>
      </c>
      <c r="D7" s="422" t="str" cm="1">
        <f t="array" aca="1" ref="D7:D22" ca="1">_FV(INDEX(Ledger[Stock],MATCH(_xlfn.ANCHORARRAY(B7),Ledger[Ticker],0)),"Industry")</f>
        <v>Aerospace &amp; Defense</v>
      </c>
      <c r="E7" s="423" cm="1">
        <f t="array" aca="1" ref="E7:E22" ca="1">SUMIF(Ledger[Ticker],_xlfn.ANCHORARRAY(B7),Ledger[Units])</f>
        <v>79.37</v>
      </c>
      <c r="F7" s="424" cm="1">
        <f t="array" aca="1" ref="F7:F22" ca="1">_FV(INDEX(Ledger[Stock],MATCH(_xlfn.ANCHORARRAY(B7),Ledger[Ticker],0)),"Price")</f>
        <v>196.5</v>
      </c>
      <c r="G7" s="425" cm="1">
        <f t="array" aca="1" ref="G7:G22" ca="1">_xlfn.ANCHORARRAY(E7)*_xlfn.ANCHORARRAY(F7)</f>
        <v>15596.205000000002</v>
      </c>
      <c r="H7" s="426" cm="1">
        <f t="array" aca="1" ref="H7:H22" ca="1">_xlfn.ANCHORARRAY(F7)-_FV(INDEX(Ledger[Stock],MATCH(_xlfn.ANCHORARRAY(B7),Ledger[Ticker],0)),"Previous close",TRUE)</f>
        <v>1</v>
      </c>
      <c r="I7" s="427" cm="1">
        <f t="array" aca="1" ref="I7:I22" ca="1">_xlfn.ANCHORARRAY(H7)/(_xlfn.ANCHORARRAY(G7)-_xlfn.ANCHORARRAY(H7))</f>
        <v>6.412227348085517E-5</v>
      </c>
      <c r="J7" s="381" cm="1">
        <f t="array" aca="1" ref="J7:J22" ca="1">_xlfn.ANCHORARRAY(G7)-SUMIF(Ledger[Ticker],_xlfn.ANCHORARRAY(B7),Ledger[Transaction Amount])</f>
        <v>7681.1560000000027</v>
      </c>
      <c r="K7" s="428"/>
      <c r="L7" s="382">
        <f t="shared" ref="L7:L22" ca="1" si="11">IF((G7-J7)=0,0,J7/(G7-J7))</f>
        <v>0.97044958281370131</v>
      </c>
      <c r="M7" s="383">
        <f ca="1">G7/SUM(G7:G22)</f>
        <v>5.1357301035107744E-2</v>
      </c>
      <c r="N7" s="384" t="str" cm="1">
        <f t="array" aca="1" ref="N7:N22" ca="1">_xlfn.ANCHORARRAY(B7)</f>
        <v>0R2N</v>
      </c>
      <c r="O7" s="425">
        <f t="shared" ref="O7:O22" ca="1" si="12">G7-J7</f>
        <v>7915.0489999999991</v>
      </c>
      <c r="P7" s="424">
        <f t="shared" ref="P7:P22" ca="1" si="13">O7/E7</f>
        <v>99.723434547058062</v>
      </c>
      <c r="Q7" s="429">
        <f t="shared" ref="Q7:Q22" ca="1" si="14">F7/P7</f>
        <v>1.9704495828137012</v>
      </c>
      <c r="R7" s="430">
        <f ca="1">(F7/P7)^(1/((MAX(Ledger[Date])-MIN(Ledger[Date]))/365.25))-1</f>
        <v>0.11965190332092024</v>
      </c>
      <c r="S7" s="431" t="str">
        <f ca="1">IF(OR(L7&lt;0,R7&lt;0,M7&gt;0.2),"HIGH",IF(OR(L7&lt;0.5,R7&lt;0.05,M7&gt;0.15),"MEDIUM","LOW"))</f>
        <v>LOW</v>
      </c>
      <c r="T7" s="386" t="str">
        <f ca="1">IF(AND(R7&gt;0.1,L7&gt;1,Q7&gt;1.5,S7="LOW"),"▲ STRONG",IF(OR(L7&lt;0,R7&lt;0),"▼ REVIEW","▶ HOLD"))</f>
        <v>▶ HOLD</v>
      </c>
      <c r="U7" s="229"/>
      <c r="V7" s="247" t="str">
        <f t="shared" ca="1" si="0"/>
        <v>BLK</v>
      </c>
      <c r="W7" s="295">
        <f t="shared" ca="1" si="1"/>
        <v>0.28303688352866035</v>
      </c>
      <c r="X7" s="248">
        <f t="shared" ca="1" si="2"/>
        <v>3.6674854600631641E-2</v>
      </c>
      <c r="Y7" s="295">
        <f t="shared" ca="1" si="3"/>
        <v>2456.9088000000011</v>
      </c>
      <c r="Z7" s="295">
        <f t="shared" ca="1" si="4"/>
        <v>4.2403214463831551E-2</v>
      </c>
      <c r="AA7" s="247" t="str">
        <f t="shared" ca="1" si="5"/>
        <v>BLK</v>
      </c>
      <c r="AB7" s="295">
        <f t="shared" ca="1" si="6"/>
        <v>2456.9088000000011</v>
      </c>
      <c r="AC7" s="295" t="str">
        <f t="shared" ca="1" si="7"/>
        <v>BLK</v>
      </c>
      <c r="AD7" s="248">
        <f t="shared" ca="1" si="8"/>
        <v>4.2403214463831551E-2</v>
      </c>
      <c r="AE7" s="247" t="str">
        <f t="shared" ca="1" si="9"/>
        <v>BLK</v>
      </c>
      <c r="AF7" s="248">
        <f t="shared" ca="1" si="10"/>
        <v>3.6674854600631641E-2</v>
      </c>
    </row>
    <row r="8" spans="1:32" ht="15.5" x14ac:dyDescent="0.35">
      <c r="A8" s="229"/>
      <c r="B8" s="387" t="str">
        <f ca="1"/>
        <v>AAPL</v>
      </c>
      <c r="C8" s="438" t="str">
        <f ca="1"/>
        <v>APPLE INC.</v>
      </c>
      <c r="D8" s="432" t="str">
        <f ca="1"/>
        <v>Computers, Phones &amp; Household Electronics</v>
      </c>
      <c r="E8" s="433">
        <f ca="1"/>
        <v>54.94</v>
      </c>
      <c r="F8" s="434">
        <f ca="1"/>
        <v>259.18</v>
      </c>
      <c r="G8" s="435">
        <f ca="1"/>
        <v>14239.349200000001</v>
      </c>
      <c r="H8" s="436">
        <f ca="1"/>
        <v>3.2600000000000193</v>
      </c>
      <c r="I8" s="437">
        <f ca="1"/>
        <v>2.2899547440318225E-4</v>
      </c>
      <c r="J8" s="388">
        <f ca="1"/>
        <v>6847.6858000000002</v>
      </c>
      <c r="K8" s="438"/>
      <c r="L8" s="389">
        <f t="shared" ca="1" si="11"/>
        <v>0.92640660558217514</v>
      </c>
      <c r="M8" s="390">
        <f ca="1">G8/SUM(G7:G22)</f>
        <v>4.6889262061406645E-2</v>
      </c>
      <c r="N8" s="391" t="str">
        <f ca="1"/>
        <v>AAPL</v>
      </c>
      <c r="O8" s="435">
        <f t="shared" ca="1" si="12"/>
        <v>7391.6634000000004</v>
      </c>
      <c r="P8" s="434">
        <f t="shared" ca="1" si="13"/>
        <v>134.54065161994905</v>
      </c>
      <c r="Q8" s="439">
        <f t="shared" ca="1" si="14"/>
        <v>1.9264066055821751</v>
      </c>
      <c r="R8" s="440">
        <f ca="1">(F8/P8)^(1/((MAX(Ledger[Date])-MIN(Ledger[Date]))/365.25))-1</f>
        <v>0.11544244895388989</v>
      </c>
      <c r="S8" s="441" t="str">
        <f t="shared" ref="S8:S22" ca="1" si="15">IF(OR(L8&lt;0,R8&lt;0,M8&gt;0.2),"HIGH",IF(OR(L8&lt;0.5,R8&lt;0.05,M8&gt;0.15),"MEDIUM","LOW"))</f>
        <v>LOW</v>
      </c>
      <c r="T8" s="393" t="str">
        <f t="shared" ref="T8:T22" ca="1" si="16">IF(AND(R8&gt;0.1,L8&gt;1,Q8&gt;1.5,S8="LOW"),"▲ STRONG",IF(OR(L8&lt;0,R8&lt;0),"▼ REVIEW","▶ HOLD"))</f>
        <v>▶ HOLD</v>
      </c>
      <c r="U8" s="229"/>
      <c r="V8" s="251" t="str">
        <f t="shared" ca="1" si="0"/>
        <v>C</v>
      </c>
      <c r="W8" s="297">
        <f t="shared" ca="1" si="1"/>
        <v>0.96659915485426673</v>
      </c>
      <c r="X8" s="252">
        <f t="shared" ca="1" si="2"/>
        <v>5.3780725576285153E-2</v>
      </c>
      <c r="Y8" s="297">
        <f t="shared" ca="1" si="3"/>
        <v>8027.382599999999</v>
      </c>
      <c r="Z8" s="297">
        <f t="shared" ca="1" si="4"/>
        <v>0.119287039945986</v>
      </c>
      <c r="AA8" s="251" t="str">
        <f t="shared" ca="1" si="5"/>
        <v>C</v>
      </c>
      <c r="AB8" s="297">
        <f t="shared" ca="1" si="6"/>
        <v>8027.382599999999</v>
      </c>
      <c r="AC8" s="297" t="str">
        <f t="shared" ca="1" si="7"/>
        <v>C</v>
      </c>
      <c r="AD8" s="252">
        <f t="shared" ca="1" si="8"/>
        <v>0.119287039945986</v>
      </c>
      <c r="AE8" s="251" t="str">
        <f t="shared" ca="1" si="9"/>
        <v>C</v>
      </c>
      <c r="AF8" s="252">
        <f t="shared" ca="1" si="10"/>
        <v>5.3780725576285153E-2</v>
      </c>
    </row>
    <row r="9" spans="1:32" ht="15.5" x14ac:dyDescent="0.35">
      <c r="A9" s="229"/>
      <c r="B9" s="394" t="str">
        <f ca="1"/>
        <v>AMD</v>
      </c>
      <c r="C9" s="448" t="str">
        <f ca="1"/>
        <v>ADVANCED MICRO DEVICES, INC.</v>
      </c>
      <c r="D9" s="442" t="str">
        <f ca="1"/>
        <v>Semiconductors &amp; Semiconductor Equipment</v>
      </c>
      <c r="E9" s="443">
        <f ca="1"/>
        <v>107.16</v>
      </c>
      <c r="F9" s="444">
        <f ca="1"/>
        <v>220.34</v>
      </c>
      <c r="G9" s="445">
        <f ca="1"/>
        <v>23611.634399999999</v>
      </c>
      <c r="H9" s="446">
        <f ca="1"/>
        <v>2.8400000000000034</v>
      </c>
      <c r="I9" s="447">
        <f ca="1"/>
        <v>1.2029415614716876E-4</v>
      </c>
      <c r="J9" s="395">
        <f ca="1"/>
        <v>16217.076300000001</v>
      </c>
      <c r="K9" s="448"/>
      <c r="L9" s="396">
        <f t="shared" ca="1" si="11"/>
        <v>2.1931095923095127</v>
      </c>
      <c r="M9" s="397">
        <f ca="1">G9/SUM(G7:G22)</f>
        <v>7.7751595071474472E-2</v>
      </c>
      <c r="N9" s="398" t="str">
        <f ca="1"/>
        <v>AMD</v>
      </c>
      <c r="O9" s="445">
        <f t="shared" ca="1" si="12"/>
        <v>7394.5580999999984</v>
      </c>
      <c r="P9" s="444">
        <f t="shared" ca="1" si="13"/>
        <v>69.004834826427754</v>
      </c>
      <c r="Q9" s="449">
        <f t="shared" ca="1" si="14"/>
        <v>3.1931095923095127</v>
      </c>
      <c r="R9" s="450">
        <f ca="1">(F9/P9)^(1/((MAX(Ledger[Date])-MIN(Ledger[Date]))/365.25))-1</f>
        <v>0.21343486372950538</v>
      </c>
      <c r="S9" s="451" t="str">
        <f t="shared" ca="1" si="15"/>
        <v>LOW</v>
      </c>
      <c r="T9" s="400" t="str">
        <f t="shared" ca="1" si="16"/>
        <v>▲ STRONG</v>
      </c>
      <c r="U9" s="229"/>
      <c r="V9" s="247" t="str">
        <f t="shared" ca="1" si="0"/>
        <v>CVX</v>
      </c>
      <c r="W9" s="295">
        <f t="shared" ca="1" si="1"/>
        <v>0.48414782919141541</v>
      </c>
      <c r="X9" s="248">
        <f t="shared" ca="1" si="2"/>
        <v>4.8281655411635274E-2</v>
      </c>
      <c r="Y9" s="295">
        <f t="shared" ca="1" si="3"/>
        <v>4782.9927500000013</v>
      </c>
      <c r="Z9" s="295">
        <f t="shared" ca="1" si="4"/>
        <v>6.8004316130137354E-2</v>
      </c>
      <c r="AA9" s="247" t="str">
        <f t="shared" ca="1" si="5"/>
        <v>CVX</v>
      </c>
      <c r="AB9" s="295">
        <f t="shared" ca="1" si="6"/>
        <v>4782.9927500000013</v>
      </c>
      <c r="AC9" s="295" t="str">
        <f t="shared" ca="1" si="7"/>
        <v>CVX</v>
      </c>
      <c r="AD9" s="248">
        <f t="shared" ca="1" si="8"/>
        <v>6.8004316130137354E-2</v>
      </c>
      <c r="AE9" s="247" t="str">
        <f t="shared" ca="1" si="9"/>
        <v>CVX</v>
      </c>
      <c r="AF9" s="248">
        <f t="shared" ca="1" si="10"/>
        <v>4.8281655411635274E-2</v>
      </c>
    </row>
    <row r="10" spans="1:32" ht="15.5" x14ac:dyDescent="0.35">
      <c r="A10" s="229"/>
      <c r="B10" s="387" t="str">
        <f ca="1"/>
        <v>AMZN</v>
      </c>
      <c r="C10" s="438" t="str">
        <f ca="1"/>
        <v>AMAZON.COM, INC.</v>
      </c>
      <c r="D10" s="432" t="str">
        <f ca="1"/>
        <v>Diversified Retail</v>
      </c>
      <c r="E10" s="433">
        <f ca="1"/>
        <v>45.449999999999996</v>
      </c>
      <c r="F10" s="434">
        <f ca="1"/>
        <v>212.44499999999999</v>
      </c>
      <c r="G10" s="435">
        <f ca="1"/>
        <v>9655.6252499999991</v>
      </c>
      <c r="H10" s="452">
        <f ca="1"/>
        <v>2.6749999999999829</v>
      </c>
      <c r="I10" s="453">
        <f ca="1"/>
        <v>2.7711735072911861E-4</v>
      </c>
      <c r="J10" s="388">
        <f ca="1"/>
        <v>3184.74665</v>
      </c>
      <c r="K10" s="438"/>
      <c r="L10" s="389">
        <f t="shared" ca="1" si="11"/>
        <v>0.49216603290934874</v>
      </c>
      <c r="M10" s="390">
        <f ca="1">G10/SUM(G7:G22)</f>
        <v>3.1795353590597028E-2</v>
      </c>
      <c r="N10" s="391" t="str">
        <f ca="1"/>
        <v>AMZN</v>
      </c>
      <c r="O10" s="435">
        <f t="shared" ca="1" si="12"/>
        <v>6470.8785999999991</v>
      </c>
      <c r="P10" s="434">
        <f t="shared" ca="1" si="13"/>
        <v>142.37356655665565</v>
      </c>
      <c r="Q10" s="439">
        <f t="shared" ca="1" si="14"/>
        <v>1.4921660329093489</v>
      </c>
      <c r="R10" s="440">
        <f ca="1">(F10/P10)^(1/((MAX(Ledger[Date])-MIN(Ledger[Date]))/365.25))-1</f>
        <v>6.8963599812633891E-2</v>
      </c>
      <c r="S10" s="441" t="str">
        <f t="shared" ca="1" si="15"/>
        <v>MEDIUM</v>
      </c>
      <c r="T10" s="401" t="str">
        <f t="shared" ca="1" si="16"/>
        <v>▶ HOLD</v>
      </c>
      <c r="U10" s="229"/>
      <c r="V10" s="249" t="str">
        <f t="shared" ca="1" si="0"/>
        <v>F</v>
      </c>
      <c r="W10" s="296">
        <f t="shared" ca="1" si="1"/>
        <v>8.8062562207436537E-2</v>
      </c>
      <c r="X10" s="250">
        <f t="shared" ca="1" si="2"/>
        <v>2.8354673690541222E-2</v>
      </c>
      <c r="Y10" s="296">
        <f t="shared" ca="1" si="3"/>
        <v>696.91344999999819</v>
      </c>
      <c r="Z10" s="296">
        <f t="shared" ca="1" si="4"/>
        <v>1.4162585334254851E-2</v>
      </c>
      <c r="AA10" s="249" t="str">
        <f t="shared" ca="1" si="5"/>
        <v>F</v>
      </c>
      <c r="AB10" s="296">
        <f t="shared" ca="1" si="6"/>
        <v>696.91344999999819</v>
      </c>
      <c r="AC10" s="296" t="str">
        <f t="shared" ca="1" si="7"/>
        <v>F</v>
      </c>
      <c r="AD10" s="250">
        <f t="shared" ca="1" si="8"/>
        <v>1.4162585334254851E-2</v>
      </c>
      <c r="AE10" s="249" t="str">
        <f t="shared" ca="1" si="9"/>
        <v>F</v>
      </c>
      <c r="AF10" s="250">
        <f t="shared" ca="1" si="10"/>
        <v>2.8354673690541222E-2</v>
      </c>
    </row>
    <row r="11" spans="1:32" ht="16" thickBot="1" x14ac:dyDescent="0.4">
      <c r="A11" s="229"/>
      <c r="B11" s="394" t="str">
        <f ca="1"/>
        <v>BA</v>
      </c>
      <c r="C11" s="448" t="str">
        <f ca="1"/>
        <v>THE BOEING COMPANY</v>
      </c>
      <c r="D11" s="442" t="str">
        <f ca="1"/>
        <v>Aerospace &amp; Defense</v>
      </c>
      <c r="E11" s="443">
        <f ca="1"/>
        <v>45.79</v>
      </c>
      <c r="F11" s="444">
        <f ca="1"/>
        <v>210.69</v>
      </c>
      <c r="G11" s="445">
        <f ca="1"/>
        <v>9647.4951000000001</v>
      </c>
      <c r="H11" s="454">
        <f ca="1"/>
        <v>2.4699999999999989</v>
      </c>
      <c r="I11" s="455">
        <f ca="1"/>
        <v>2.5609057253775304E-4</v>
      </c>
      <c r="J11" s="395">
        <f ca="1"/>
        <v>-310.36729999999989</v>
      </c>
      <c r="K11" s="448"/>
      <c r="L11" s="396">
        <f t="shared" ca="1" si="11"/>
        <v>-3.1168064744497764E-2</v>
      </c>
      <c r="M11" s="397">
        <f ca="1">G11/SUM(G7:G22)</f>
        <v>3.176858152899547E-2</v>
      </c>
      <c r="N11" s="398" t="str">
        <f ca="1"/>
        <v>BA</v>
      </c>
      <c r="O11" s="445">
        <f t="shared" ca="1" si="12"/>
        <v>9957.8624</v>
      </c>
      <c r="P11" s="444">
        <f t="shared" ca="1" si="13"/>
        <v>217.4680585280629</v>
      </c>
      <c r="Q11" s="449">
        <f t="shared" ca="1" si="14"/>
        <v>0.96883193525550215</v>
      </c>
      <c r="R11" s="450">
        <f ca="1">(F11/P11)^(1/((MAX(Ledger[Date])-MIN(Ledger[Date]))/365.25))-1</f>
        <v>-5.2622557180604934E-3</v>
      </c>
      <c r="S11" s="451" t="str">
        <f t="shared" ca="1" si="15"/>
        <v>HIGH</v>
      </c>
      <c r="T11" s="400" t="str">
        <f t="shared" ca="1" si="16"/>
        <v>▼ REVIEW</v>
      </c>
      <c r="U11" s="229"/>
      <c r="V11" s="241" t="str">
        <f t="shared" ca="1" si="0"/>
        <v>GOOG</v>
      </c>
      <c r="W11" s="293">
        <f t="shared" ca="1" si="1"/>
        <v>1.5472762896163494</v>
      </c>
      <c r="X11" s="242">
        <f t="shared" ca="1" si="2"/>
        <v>6.5883101198701888E-2</v>
      </c>
      <c r="Y11" s="293">
        <f t="shared" ca="1" si="3"/>
        <v>12152.974700000002</v>
      </c>
      <c r="Z11" s="293">
        <f t="shared" ca="1" si="4"/>
        <v>0.16859467871402645</v>
      </c>
      <c r="AA11" s="241" t="str">
        <f t="shared" ca="1" si="5"/>
        <v>GOOG</v>
      </c>
      <c r="AB11" s="293">
        <f t="shared" ca="1" si="6"/>
        <v>12152.974700000002</v>
      </c>
      <c r="AC11" s="293" t="str">
        <f t="shared" ca="1" si="7"/>
        <v>GOOG</v>
      </c>
      <c r="AD11" s="242">
        <f t="shared" ca="1" si="8"/>
        <v>0.16859467871402645</v>
      </c>
      <c r="AE11" s="241" t="str">
        <f t="shared" ca="1" si="9"/>
        <v>GOOG</v>
      </c>
      <c r="AF11" s="242">
        <f t="shared" ca="1" si="10"/>
        <v>6.5883101198701888E-2</v>
      </c>
    </row>
    <row r="12" spans="1:32" ht="15.5" x14ac:dyDescent="0.35">
      <c r="A12" s="229"/>
      <c r="B12" s="387" t="str">
        <f ca="1"/>
        <v>BLK</v>
      </c>
      <c r="C12" s="438" t="str">
        <f ca="1"/>
        <v>BLACKROCK, INC.</v>
      </c>
      <c r="D12" s="432" t="str">
        <f ca="1"/>
        <v>Investment Banking &amp; Investment Services</v>
      </c>
      <c r="E12" s="433">
        <f ca="1"/>
        <v>11.55</v>
      </c>
      <c r="F12" s="434">
        <f ca="1"/>
        <v>964.28</v>
      </c>
      <c r="G12" s="435">
        <f ca="1"/>
        <v>11137.434000000001</v>
      </c>
      <c r="H12" s="452">
        <f ca="1"/>
        <v>-2.2799999999999727</v>
      </c>
      <c r="I12" s="453">
        <f ca="1"/>
        <v>-2.0467311817879457E-4</v>
      </c>
      <c r="J12" s="388">
        <f ca="1"/>
        <v>2456.9088000000011</v>
      </c>
      <c r="K12" s="438"/>
      <c r="L12" s="389">
        <f t="shared" ca="1" si="11"/>
        <v>0.28303688352866035</v>
      </c>
      <c r="M12" s="390">
        <f ca="1">G12/SUM(G7:G22)</f>
        <v>3.6674854600631641E-2</v>
      </c>
      <c r="N12" s="391" t="str">
        <f ca="1"/>
        <v>BLK</v>
      </c>
      <c r="O12" s="435">
        <f t="shared" ca="1" si="12"/>
        <v>8680.5252</v>
      </c>
      <c r="P12" s="434">
        <f t="shared" ca="1" si="13"/>
        <v>751.56062337662331</v>
      </c>
      <c r="Q12" s="439">
        <f t="shared" ca="1" si="14"/>
        <v>1.2830368835286603</v>
      </c>
      <c r="R12" s="440">
        <f ca="1">(F12/P12)^(1/((MAX(Ledger[Date])-MIN(Ledger[Date]))/365.25))-1</f>
        <v>4.2403214463831551E-2</v>
      </c>
      <c r="S12" s="441" t="str">
        <f t="shared" ca="1" si="15"/>
        <v>MEDIUM</v>
      </c>
      <c r="T12" s="401" t="str">
        <f t="shared" ca="1" si="16"/>
        <v>▶ HOLD</v>
      </c>
      <c r="U12" s="229"/>
      <c r="V12" s="243" t="str">
        <f t="shared" ca="1" si="0"/>
        <v>HMC</v>
      </c>
      <c r="W12" s="294">
        <f t="shared" ca="1" si="1"/>
        <v>-0.13381727679594252</v>
      </c>
      <c r="X12" s="244">
        <f t="shared" ca="1" si="2"/>
        <v>2.0306273586248254E-2</v>
      </c>
      <c r="Y12" s="294">
        <f t="shared" ca="1" si="3"/>
        <v>-952.68570000000091</v>
      </c>
      <c r="Z12" s="294">
        <f t="shared" ca="1" si="4"/>
        <v>-2.3653535211861865E-2</v>
      </c>
      <c r="AA12" s="243" t="str">
        <f t="shared" ca="1" si="5"/>
        <v>HMC</v>
      </c>
      <c r="AB12" s="294">
        <f t="shared" ca="1" si="6"/>
        <v>-952.68570000000091</v>
      </c>
      <c r="AC12" s="294" t="str">
        <f t="shared" ca="1" si="7"/>
        <v>HMC</v>
      </c>
      <c r="AD12" s="244">
        <f t="shared" ca="1" si="8"/>
        <v>-2.3653535211861865E-2</v>
      </c>
      <c r="AE12" s="243" t="str">
        <f t="shared" ca="1" si="9"/>
        <v>HMC</v>
      </c>
      <c r="AF12" s="244">
        <f t="shared" ca="1" si="10"/>
        <v>2.0306273586248254E-2</v>
      </c>
    </row>
    <row r="13" spans="1:32" ht="15.5" x14ac:dyDescent="0.35">
      <c r="A13" s="229"/>
      <c r="B13" s="394" t="str">
        <f ca="1"/>
        <v>C</v>
      </c>
      <c r="C13" s="448" t="str">
        <f ca="1"/>
        <v>CITIGROUP INC.</v>
      </c>
      <c r="D13" s="442" t="str">
        <f ca="1"/>
        <v>Investment Banking &amp; Investment Services</v>
      </c>
      <c r="E13" s="443">
        <f ca="1"/>
        <v>140.13</v>
      </c>
      <c r="F13" s="444">
        <f ca="1"/>
        <v>116.55</v>
      </c>
      <c r="G13" s="445">
        <f ca="1"/>
        <v>16332.1515</v>
      </c>
      <c r="H13" s="446">
        <f ca="1"/>
        <v>1.2999999999999972</v>
      </c>
      <c r="I13" s="447">
        <f ca="1"/>
        <v>7.9603932471004169E-5</v>
      </c>
      <c r="J13" s="395">
        <f ca="1"/>
        <v>8027.382599999999</v>
      </c>
      <c r="K13" s="448"/>
      <c r="L13" s="396">
        <f t="shared" ca="1" si="11"/>
        <v>0.96659915485426673</v>
      </c>
      <c r="M13" s="397">
        <f ca="1">G13/SUM(G7:G22)</f>
        <v>5.3780725576285153E-2</v>
      </c>
      <c r="N13" s="398" t="str">
        <f ca="1"/>
        <v>C</v>
      </c>
      <c r="O13" s="445">
        <f t="shared" ca="1" si="12"/>
        <v>8304.7689000000009</v>
      </c>
      <c r="P13" s="444">
        <f t="shared" ca="1" si="13"/>
        <v>59.264746307000649</v>
      </c>
      <c r="Q13" s="449">
        <f t="shared" ca="1" si="14"/>
        <v>1.9665991548542667</v>
      </c>
      <c r="R13" s="450">
        <f ca="1">(F13/P13)^(1/((MAX(Ledger[Date])-MIN(Ledger[Date]))/365.25))-1</f>
        <v>0.119287039945986</v>
      </c>
      <c r="S13" s="451" t="str">
        <f t="shared" ca="1" si="15"/>
        <v>LOW</v>
      </c>
      <c r="T13" s="400" t="str">
        <f t="shared" ca="1" si="16"/>
        <v>▶ HOLD</v>
      </c>
      <c r="U13" s="229"/>
      <c r="V13" s="247" t="str">
        <f t="shared" ca="1" si="0"/>
        <v>JPM</v>
      </c>
      <c r="W13" s="295">
        <f t="shared" ca="1" si="1"/>
        <v>0.78225846264823873</v>
      </c>
      <c r="X13" s="248">
        <f t="shared" ca="1" si="2"/>
        <v>5.5350050834153633E-2</v>
      </c>
      <c r="Y13" s="295">
        <f t="shared" ca="1" si="3"/>
        <v>7377.5871999999999</v>
      </c>
      <c r="Z13" s="295">
        <f t="shared" ca="1" si="4"/>
        <v>0.101080081734644</v>
      </c>
      <c r="AA13" s="247" t="str">
        <f t="shared" ca="1" si="5"/>
        <v>JPM</v>
      </c>
      <c r="AB13" s="295">
        <f t="shared" ca="1" si="6"/>
        <v>7377.5871999999999</v>
      </c>
      <c r="AC13" s="295" t="str">
        <f t="shared" ca="1" si="7"/>
        <v>JPM</v>
      </c>
      <c r="AD13" s="248">
        <f t="shared" ca="1" si="8"/>
        <v>0.101080081734644</v>
      </c>
      <c r="AE13" s="247" t="str">
        <f t="shared" ca="1" si="9"/>
        <v>JPM</v>
      </c>
      <c r="AF13" s="248">
        <f t="shared" ca="1" si="10"/>
        <v>5.5350050834153633E-2</v>
      </c>
    </row>
    <row r="14" spans="1:32" ht="15.5" x14ac:dyDescent="0.35">
      <c r="A14" s="229"/>
      <c r="B14" s="387" t="str">
        <f ca="1"/>
        <v>CVX</v>
      </c>
      <c r="C14" s="438" t="str">
        <f ca="1"/>
        <v>CHEVRON CORPORATION</v>
      </c>
      <c r="D14" s="432" t="str">
        <f ca="1"/>
        <v>Oil &amp; Gas</v>
      </c>
      <c r="E14" s="433">
        <f ca="1"/>
        <v>74.349999999999994</v>
      </c>
      <c r="F14" s="434">
        <f ca="1"/>
        <v>197.20500000000001</v>
      </c>
      <c r="G14" s="435">
        <f ca="1"/>
        <v>14662.19175</v>
      </c>
      <c r="H14" s="436">
        <f ca="1"/>
        <v>-1.7649999999999864</v>
      </c>
      <c r="I14" s="437">
        <f ca="1"/>
        <v>-1.20363148234189E-4</v>
      </c>
      <c r="J14" s="388">
        <f ca="1"/>
        <v>4782.9927500000013</v>
      </c>
      <c r="K14" s="438"/>
      <c r="L14" s="389">
        <f t="shared" ca="1" si="11"/>
        <v>0.48414782919141541</v>
      </c>
      <c r="M14" s="390">
        <f ca="1">G14/SUM(G7:G22)</f>
        <v>4.8281655411635274E-2</v>
      </c>
      <c r="N14" s="391" t="str">
        <f ca="1"/>
        <v>CVX</v>
      </c>
      <c r="O14" s="435">
        <f t="shared" ca="1" si="12"/>
        <v>9879.1989999999987</v>
      </c>
      <c r="P14" s="434">
        <f t="shared" ca="1" si="13"/>
        <v>132.87422999327504</v>
      </c>
      <c r="Q14" s="439">
        <f t="shared" ca="1" si="14"/>
        <v>1.4841478291914154</v>
      </c>
      <c r="R14" s="440">
        <f ca="1">(F14/P14)^(1/((MAX(Ledger[Date])-MIN(Ledger[Date]))/365.25))-1</f>
        <v>6.8004316130137354E-2</v>
      </c>
      <c r="S14" s="441" t="str">
        <f t="shared" ca="1" si="15"/>
        <v>MEDIUM</v>
      </c>
      <c r="T14" s="401" t="str">
        <f t="shared" ca="1" si="16"/>
        <v>▶ HOLD</v>
      </c>
      <c r="U14" s="229"/>
      <c r="V14" s="249" t="str">
        <f t="shared" ca="1" si="0"/>
        <v>META</v>
      </c>
      <c r="W14" s="296">
        <f t="shared" ca="1" si="1"/>
        <v>0.98269702554061766</v>
      </c>
      <c r="X14" s="250">
        <f t="shared" ca="1" si="2"/>
        <v>5.4302569618010527E-2</v>
      </c>
      <c r="Y14" s="296">
        <f t="shared" ca="1" si="3"/>
        <v>8173.3558999999987</v>
      </c>
      <c r="Z14" s="296">
        <f t="shared" ca="1" si="4"/>
        <v>0.1208085235913201</v>
      </c>
      <c r="AA14" s="249" t="str">
        <f t="shared" ca="1" si="5"/>
        <v>META</v>
      </c>
      <c r="AB14" s="296">
        <f t="shared" ca="1" si="6"/>
        <v>8173.3558999999987</v>
      </c>
      <c r="AC14" s="296" t="str">
        <f t="shared" ca="1" si="7"/>
        <v>META</v>
      </c>
      <c r="AD14" s="250">
        <f t="shared" ca="1" si="8"/>
        <v>0.1208085235913201</v>
      </c>
      <c r="AE14" s="249" t="str">
        <f t="shared" ca="1" si="9"/>
        <v>META</v>
      </c>
      <c r="AF14" s="250">
        <f t="shared" ca="1" si="10"/>
        <v>5.4302569618010527E-2</v>
      </c>
    </row>
    <row r="15" spans="1:32" ht="16" thickBot="1" x14ac:dyDescent="0.4">
      <c r="A15" s="229"/>
      <c r="B15" s="394" t="str">
        <f ca="1"/>
        <v>F</v>
      </c>
      <c r="C15" s="448" t="str">
        <f ca="1"/>
        <v>FORD MOTOR COMPANY</v>
      </c>
      <c r="D15" s="442" t="str">
        <f ca="1"/>
        <v>Automobiles &amp; Auto Parts</v>
      </c>
      <c r="E15" s="443">
        <f ca="1"/>
        <v>743.91</v>
      </c>
      <c r="F15" s="444">
        <f ca="1"/>
        <v>11.574999999999999</v>
      </c>
      <c r="G15" s="445">
        <f ca="1"/>
        <v>8610.758249999999</v>
      </c>
      <c r="H15" s="446">
        <f ca="1"/>
        <v>-2.5000000000000355E-2</v>
      </c>
      <c r="I15" s="447">
        <f ca="1"/>
        <v>-2.903336348641729E-6</v>
      </c>
      <c r="J15" s="402">
        <f ca="1"/>
        <v>696.91344999999819</v>
      </c>
      <c r="K15" s="448"/>
      <c r="L15" s="403">
        <f t="shared" ca="1" si="11"/>
        <v>8.8062562207436537E-2</v>
      </c>
      <c r="M15" s="397">
        <f ca="1">G15/SUM(G7:G22)</f>
        <v>2.8354673690541222E-2</v>
      </c>
      <c r="N15" s="398" t="str">
        <f ca="1"/>
        <v>F</v>
      </c>
      <c r="O15" s="445">
        <f t="shared" ca="1" si="12"/>
        <v>7913.8448000000008</v>
      </c>
      <c r="P15" s="444">
        <f t="shared" ca="1" si="13"/>
        <v>10.63817504805689</v>
      </c>
      <c r="Q15" s="456">
        <f t="shared" ca="1" si="14"/>
        <v>1.0880625622074365</v>
      </c>
      <c r="R15" s="457">
        <f ca="1">(F15/P15)^(1/((MAX(Ledger[Date])-MIN(Ledger[Date]))/365.25))-1</f>
        <v>1.4162585334254851E-2</v>
      </c>
      <c r="S15" s="451" t="str">
        <f t="shared" ca="1" si="15"/>
        <v>MEDIUM</v>
      </c>
      <c r="T15" s="404" t="str">
        <f t="shared" ca="1" si="16"/>
        <v>▶ HOLD</v>
      </c>
      <c r="U15" s="229"/>
      <c r="V15" s="241" t="str">
        <f t="shared" ca="1" si="0"/>
        <v>NVDA</v>
      </c>
      <c r="W15" s="293">
        <f t="shared" ca="1" si="1"/>
        <v>9.1481213457076294</v>
      </c>
      <c r="X15" s="242">
        <f t="shared" ca="1" si="2"/>
        <v>0.29339824308873702</v>
      </c>
      <c r="Y15" s="293">
        <f t="shared" ca="1" si="3"/>
        <v>80319.411299999992</v>
      </c>
      <c r="Z15" s="293">
        <f t="shared" ca="1" si="4"/>
        <v>0.47127102507432395</v>
      </c>
      <c r="AA15" s="241" t="str">
        <f t="shared" ca="1" si="5"/>
        <v>NVDA</v>
      </c>
      <c r="AB15" s="293">
        <f t="shared" ca="1" si="6"/>
        <v>80319.411299999992</v>
      </c>
      <c r="AC15" s="293" t="str">
        <f t="shared" ca="1" si="7"/>
        <v>NVDA</v>
      </c>
      <c r="AD15" s="242">
        <f t="shared" ca="1" si="8"/>
        <v>0.47127102507432395</v>
      </c>
      <c r="AE15" s="241" t="str">
        <f t="shared" ca="1" si="9"/>
        <v>NVDA</v>
      </c>
      <c r="AF15" s="242">
        <f t="shared" ca="1" si="10"/>
        <v>0.29339824308873702</v>
      </c>
    </row>
    <row r="16" spans="1:32" ht="15.5" x14ac:dyDescent="0.35">
      <c r="A16" s="229"/>
      <c r="B16" s="387" t="str">
        <f ca="1"/>
        <v>GOOG</v>
      </c>
      <c r="C16" s="438" t="str">
        <f ca="1"/>
        <v>ALPHABET INC.</v>
      </c>
      <c r="D16" s="432" t="str">
        <f ca="1"/>
        <v>Software &amp; IT Services</v>
      </c>
      <c r="E16" s="433">
        <f ca="1"/>
        <v>67.62</v>
      </c>
      <c r="F16" s="434">
        <f ca="1"/>
        <v>295.88</v>
      </c>
      <c r="G16" s="435">
        <f ca="1"/>
        <v>20007.405600000002</v>
      </c>
      <c r="H16" s="436">
        <f ca="1"/>
        <v>1.4200000000000159</v>
      </c>
      <c r="I16" s="437">
        <f ca="1"/>
        <v>7.0978757477462926E-5</v>
      </c>
      <c r="J16" s="388">
        <f ca="1"/>
        <v>12152.974700000002</v>
      </c>
      <c r="K16" s="438"/>
      <c r="L16" s="389">
        <f t="shared" ca="1" si="11"/>
        <v>1.5472762896163494</v>
      </c>
      <c r="M16" s="390">
        <f ca="1">G16/SUM(G7:G22)</f>
        <v>6.5883101198701888E-2</v>
      </c>
      <c r="N16" s="391" t="str">
        <f ca="1"/>
        <v>GOOG</v>
      </c>
      <c r="O16" s="435">
        <f t="shared" ca="1" si="12"/>
        <v>7854.4308999999994</v>
      </c>
      <c r="P16" s="434">
        <f t="shared" ca="1" si="13"/>
        <v>116.15544069801832</v>
      </c>
      <c r="Q16" s="439">
        <f t="shared" ca="1" si="14"/>
        <v>2.5472762896163492</v>
      </c>
      <c r="R16" s="440">
        <f ca="1">(F16/P16)^(1/((MAX(Ledger[Date])-MIN(Ledger[Date]))/365.25))-1</f>
        <v>0.16859467871402645</v>
      </c>
      <c r="S16" s="441" t="str">
        <f t="shared" ca="1" si="15"/>
        <v>LOW</v>
      </c>
      <c r="T16" s="401" t="str">
        <f t="shared" ca="1" si="16"/>
        <v>▲ STRONG</v>
      </c>
      <c r="U16" s="229"/>
      <c r="V16" s="243" t="str">
        <f t="shared" ca="1" si="0"/>
        <v>TM</v>
      </c>
      <c r="W16" s="294">
        <f t="shared" ca="1" si="1"/>
        <v>0.26358853595433163</v>
      </c>
      <c r="X16" s="244">
        <f t="shared" ca="1" si="2"/>
        <v>2.8059676225630933E-2</v>
      </c>
      <c r="Y16" s="294">
        <f t="shared" ca="1" si="3"/>
        <v>1777.5435060000018</v>
      </c>
      <c r="Z16" s="294">
        <f t="shared" ca="1" si="4"/>
        <v>3.9753561794573899E-2</v>
      </c>
      <c r="AA16" s="243" t="str">
        <f t="shared" ca="1" si="5"/>
        <v>TM</v>
      </c>
      <c r="AB16" s="294">
        <f t="shared" ca="1" si="6"/>
        <v>1777.5435060000018</v>
      </c>
      <c r="AC16" s="294" t="str">
        <f t="shared" ca="1" si="7"/>
        <v>TM</v>
      </c>
      <c r="AD16" s="244">
        <f t="shared" ca="1" si="8"/>
        <v>3.9753561794573899E-2</v>
      </c>
      <c r="AE16" s="243" t="str">
        <f t="shared" ca="1" si="9"/>
        <v>TM</v>
      </c>
      <c r="AF16" s="244">
        <f t="shared" ca="1" si="10"/>
        <v>2.8059676225630933E-2</v>
      </c>
    </row>
    <row r="17" spans="1:32" ht="15.5" x14ac:dyDescent="0.35">
      <c r="A17" s="229"/>
      <c r="B17" s="394" t="str">
        <f ca="1"/>
        <v>HMC</v>
      </c>
      <c r="C17" s="448" t="str">
        <f ca="1"/>
        <v>HONDA MOTOR CO., LTD.</v>
      </c>
      <c r="D17" s="442" t="str">
        <f ca="1"/>
        <v>Automobiles &amp; Auto Parts</v>
      </c>
      <c r="E17" s="443">
        <f ca="1"/>
        <v>258.45</v>
      </c>
      <c r="F17" s="444">
        <f ca="1"/>
        <v>23.86</v>
      </c>
      <c r="G17" s="445">
        <f ca="1"/>
        <v>6166.6169999999993</v>
      </c>
      <c r="H17" s="446">
        <f ca="1"/>
        <v>-0.28999999999999915</v>
      </c>
      <c r="I17" s="447">
        <f ca="1"/>
        <v>-4.7025194315399794E-5</v>
      </c>
      <c r="J17" s="395">
        <f ca="1"/>
        <v>-952.68570000000091</v>
      </c>
      <c r="K17" s="448"/>
      <c r="L17" s="396">
        <f t="shared" ca="1" si="11"/>
        <v>-0.13381727679594252</v>
      </c>
      <c r="M17" s="397">
        <f ca="1">G17/SUM(G7:G22)</f>
        <v>2.0306273586248254E-2</v>
      </c>
      <c r="N17" s="398" t="str">
        <f ca="1"/>
        <v>HMC</v>
      </c>
      <c r="O17" s="445">
        <f t="shared" ca="1" si="12"/>
        <v>7119.3027000000002</v>
      </c>
      <c r="P17" s="444">
        <f t="shared" ca="1" si="13"/>
        <v>27.546150899593734</v>
      </c>
      <c r="Q17" s="449">
        <f t="shared" ca="1" si="14"/>
        <v>0.86618272320405754</v>
      </c>
      <c r="R17" s="450">
        <f ca="1">(F17/P17)^(1/((MAX(Ledger[Date])-MIN(Ledger[Date]))/365.25))-1</f>
        <v>-2.3653535211861865E-2</v>
      </c>
      <c r="S17" s="451" t="str">
        <f t="shared" ca="1" si="15"/>
        <v>HIGH</v>
      </c>
      <c r="T17" s="400" t="str">
        <f t="shared" ca="1" si="16"/>
        <v>▼ REVIEW</v>
      </c>
      <c r="U17" s="229"/>
      <c r="V17" s="245" t="str">
        <f t="shared" ca="1" si="0"/>
        <v>WMT</v>
      </c>
      <c r="W17" s="298">
        <f t="shared" ca="1" si="1"/>
        <v>1.3333051913220624</v>
      </c>
      <c r="X17" s="246">
        <f t="shared" ca="1" si="2"/>
        <v>7.6046082881842822E-2</v>
      </c>
      <c r="Y17" s="298">
        <f t="shared" ca="1" si="3"/>
        <v>13196.282799999999</v>
      </c>
      <c r="Z17" s="298">
        <f t="shared" ca="1" si="4"/>
        <v>0.15163432839692415</v>
      </c>
      <c r="AA17" s="245" t="str">
        <f t="shared" ca="1" si="5"/>
        <v>WMT</v>
      </c>
      <c r="AB17" s="298">
        <f t="shared" ca="1" si="6"/>
        <v>13196.282799999999</v>
      </c>
      <c r="AC17" s="298" t="str">
        <f t="shared" ca="1" si="7"/>
        <v>WMT</v>
      </c>
      <c r="AD17" s="246">
        <f t="shared" ca="1" si="8"/>
        <v>0.15163432839692415</v>
      </c>
      <c r="AE17" s="245" t="str">
        <f t="shared" ca="1" si="9"/>
        <v>WMT</v>
      </c>
      <c r="AF17" s="246">
        <f t="shared" ca="1" si="10"/>
        <v>7.6046082881842822E-2</v>
      </c>
    </row>
    <row r="18" spans="1:32" ht="15.5" x14ac:dyDescent="0.35">
      <c r="A18" s="229"/>
      <c r="B18" s="387" t="str">
        <f ca="1"/>
        <v>JPM</v>
      </c>
      <c r="C18" s="438" t="str">
        <f ca="1"/>
        <v>JPMORGAN CHASE &amp; CO.</v>
      </c>
      <c r="D18" s="432" t="str">
        <f ca="1"/>
        <v>Banking Services</v>
      </c>
      <c r="E18" s="433">
        <f ca="1"/>
        <v>56.839999999999996</v>
      </c>
      <c r="F18" s="434">
        <f ca="1"/>
        <v>295.72000000000003</v>
      </c>
      <c r="G18" s="435">
        <f ca="1"/>
        <v>16808.7248</v>
      </c>
      <c r="H18" s="452">
        <f ca="1"/>
        <v>2.6200000000000045</v>
      </c>
      <c r="I18" s="453">
        <f ca="1"/>
        <v>1.5589573141302823E-4</v>
      </c>
      <c r="J18" s="388">
        <f ca="1"/>
        <v>7377.5871999999999</v>
      </c>
      <c r="K18" s="438"/>
      <c r="L18" s="389">
        <f t="shared" ca="1" si="11"/>
        <v>0.78225846264823873</v>
      </c>
      <c r="M18" s="390">
        <f ca="1">G18/SUM(G7:G22)</f>
        <v>5.5350050834153633E-2</v>
      </c>
      <c r="N18" s="391" t="str">
        <f ca="1"/>
        <v>JPM</v>
      </c>
      <c r="O18" s="435">
        <f t="shared" ca="1" si="12"/>
        <v>9431.1376</v>
      </c>
      <c r="P18" s="434">
        <f t="shared" ca="1" si="13"/>
        <v>165.92430682617876</v>
      </c>
      <c r="Q18" s="439">
        <f t="shared" ca="1" si="14"/>
        <v>1.7822584626482387</v>
      </c>
      <c r="R18" s="440">
        <f ca="1">(F18/P18)^(1/((MAX(Ledger[Date])-MIN(Ledger[Date]))/365.25))-1</f>
        <v>0.101080081734644</v>
      </c>
      <c r="S18" s="441" t="str">
        <f t="shared" ca="1" si="15"/>
        <v>LOW</v>
      </c>
      <c r="T18" s="401" t="str">
        <f t="shared" ca="1" si="16"/>
        <v>▶ HOLD</v>
      </c>
      <c r="U18" s="229"/>
      <c r="V18" s="229"/>
      <c r="W18" s="229"/>
      <c r="X18" s="229"/>
      <c r="Y18" s="229"/>
      <c r="Z18" s="229"/>
      <c r="AA18" s="229"/>
      <c r="AB18" s="229"/>
      <c r="AC18" s="229"/>
      <c r="AD18" s="229"/>
      <c r="AE18" s="229"/>
      <c r="AF18" s="229"/>
    </row>
    <row r="19" spans="1:32" ht="15.5" x14ac:dyDescent="0.35">
      <c r="A19" s="229"/>
      <c r="B19" s="394" t="str">
        <f ca="1"/>
        <v>META</v>
      </c>
      <c r="C19" s="448" t="str">
        <f ca="1"/>
        <v>META PLATFORMS, INC.</v>
      </c>
      <c r="D19" s="442" t="str">
        <f ca="1"/>
        <v>Software &amp; IT Services</v>
      </c>
      <c r="E19" s="443">
        <f ca="1"/>
        <v>28.53</v>
      </c>
      <c r="F19" s="444">
        <f ca="1"/>
        <v>578.01</v>
      </c>
      <c r="G19" s="445">
        <f ca="1"/>
        <v>16490.6253</v>
      </c>
      <c r="H19" s="454">
        <f ca="1"/>
        <v>3.5499999999999545</v>
      </c>
      <c r="I19" s="455">
        <f ca="1"/>
        <v>2.1532017870992283E-4</v>
      </c>
      <c r="J19" s="395">
        <f ca="1"/>
        <v>8173.3558999999987</v>
      </c>
      <c r="K19" s="448"/>
      <c r="L19" s="396">
        <f t="shared" ca="1" si="11"/>
        <v>0.98269702554061766</v>
      </c>
      <c r="M19" s="397">
        <f ca="1">G19/SUM(G7:G22)</f>
        <v>5.4302569618010527E-2</v>
      </c>
      <c r="N19" s="398" t="str">
        <f ca="1"/>
        <v>META</v>
      </c>
      <c r="O19" s="445">
        <f t="shared" ca="1" si="12"/>
        <v>8317.269400000001</v>
      </c>
      <c r="P19" s="444">
        <f t="shared" ca="1" si="13"/>
        <v>291.52714335786891</v>
      </c>
      <c r="Q19" s="449">
        <f t="shared" ca="1" si="14"/>
        <v>1.982697025540618</v>
      </c>
      <c r="R19" s="450">
        <f ca="1">(F19/P19)^(1/((MAX(Ledger[Date])-MIN(Ledger[Date]))/365.25))-1</f>
        <v>0.1208085235913201</v>
      </c>
      <c r="S19" s="451" t="str">
        <f t="shared" ca="1" si="15"/>
        <v>LOW</v>
      </c>
      <c r="T19" s="400" t="str">
        <f t="shared" ca="1" si="16"/>
        <v>▶ HOLD</v>
      </c>
      <c r="U19" s="229"/>
      <c r="V19" s="229"/>
      <c r="W19" s="229"/>
      <c r="X19" s="229"/>
      <c r="Y19" s="229"/>
      <c r="Z19" s="229"/>
      <c r="AA19" s="229"/>
      <c r="AB19" s="229"/>
      <c r="AC19" s="229"/>
      <c r="AD19" s="229"/>
      <c r="AE19" s="229"/>
      <c r="AF19" s="229"/>
    </row>
    <row r="20" spans="1:32" ht="15.5" x14ac:dyDescent="0.35">
      <c r="A20" s="229"/>
      <c r="B20" s="387" t="str">
        <f ca="1"/>
        <v>NVDA</v>
      </c>
      <c r="C20" s="438" t="str">
        <f ca="1"/>
        <v>NVIDIA CORPORATION</v>
      </c>
      <c r="D20" s="432" t="str">
        <f ca="1"/>
        <v>Semiconductors &amp; Semiconductor Equipment</v>
      </c>
      <c r="E20" s="433">
        <f ca="1"/>
        <v>503.12999999999994</v>
      </c>
      <c r="F20" s="434">
        <f ca="1"/>
        <v>177.09</v>
      </c>
      <c r="G20" s="435">
        <f ca="1"/>
        <v>89099.291699999987</v>
      </c>
      <c r="H20" s="452">
        <f ca="1"/>
        <v>-0.29999999999998295</v>
      </c>
      <c r="I20" s="453">
        <f ca="1"/>
        <v>-3.3670187963384681E-6</v>
      </c>
      <c r="J20" s="405">
        <f ca="1"/>
        <v>80319.411299999992</v>
      </c>
      <c r="K20" s="438"/>
      <c r="L20" s="406">
        <f t="shared" ca="1" si="11"/>
        <v>9.1481213457076294</v>
      </c>
      <c r="M20" s="390">
        <f ca="1">G20/SUM(G7:G22)</f>
        <v>0.29339824308873702</v>
      </c>
      <c r="N20" s="391" t="str">
        <f ca="1"/>
        <v>NVDA</v>
      </c>
      <c r="O20" s="435">
        <f t="shared" ca="1" si="12"/>
        <v>8779.8803999999946</v>
      </c>
      <c r="P20" s="434">
        <f t="shared" ca="1" si="13"/>
        <v>17.450520541410761</v>
      </c>
      <c r="Q20" s="458">
        <f t="shared" ca="1" si="14"/>
        <v>10.148121345707629</v>
      </c>
      <c r="R20" s="459">
        <f ca="1">(F20/P20)^(1/((MAX(Ledger[Date])-MIN(Ledger[Date]))/365.25))-1</f>
        <v>0.47127102507432395</v>
      </c>
      <c r="S20" s="441" t="str">
        <f t="shared" ca="1" si="15"/>
        <v>HIGH</v>
      </c>
      <c r="T20" s="407" t="str">
        <f t="shared" ca="1" si="16"/>
        <v>▶ HOLD</v>
      </c>
      <c r="U20" s="229"/>
      <c r="V20" s="229"/>
      <c r="W20" s="229"/>
      <c r="X20" s="229"/>
      <c r="Y20" s="229"/>
      <c r="Z20" s="229"/>
      <c r="AA20" s="229"/>
      <c r="AB20" s="229"/>
      <c r="AC20" s="229"/>
      <c r="AD20" s="229"/>
      <c r="AE20" s="229"/>
      <c r="AF20" s="229"/>
    </row>
    <row r="21" spans="1:32" ht="15.5" x14ac:dyDescent="0.35">
      <c r="A21" s="229"/>
      <c r="B21" s="394" t="str">
        <f ca="1"/>
        <v>TM</v>
      </c>
      <c r="C21" s="448" t="str">
        <f ca="1"/>
        <v>TOYOTA MOTOR CORPORATION</v>
      </c>
      <c r="D21" s="442" t="str">
        <f ca="1"/>
        <v>Automobiles &amp; Auto Parts</v>
      </c>
      <c r="E21" s="443">
        <f ca="1"/>
        <v>41.67</v>
      </c>
      <c r="F21" s="444">
        <f ca="1"/>
        <v>204.49180000000001</v>
      </c>
      <c r="G21" s="445">
        <f ca="1"/>
        <v>8521.1733060000006</v>
      </c>
      <c r="H21" s="446">
        <f ca="1"/>
        <v>-2.5181999999999789</v>
      </c>
      <c r="I21" s="447">
        <f ca="1"/>
        <v>-2.9543537541537802E-4</v>
      </c>
      <c r="J21" s="395">
        <f ca="1"/>
        <v>1777.5435060000018</v>
      </c>
      <c r="K21" s="448"/>
      <c r="L21" s="396">
        <f t="shared" ca="1" si="11"/>
        <v>0.26358853595433163</v>
      </c>
      <c r="M21" s="397">
        <f ca="1">G21/SUM(G7:G22)</f>
        <v>2.8059676225630933E-2</v>
      </c>
      <c r="N21" s="398" t="str">
        <f ca="1"/>
        <v>TM</v>
      </c>
      <c r="O21" s="445">
        <f t="shared" ca="1" si="12"/>
        <v>6743.6297999999988</v>
      </c>
      <c r="P21" s="444">
        <f t="shared" ca="1" si="13"/>
        <v>161.83416846652264</v>
      </c>
      <c r="Q21" s="449">
        <f t="shared" ca="1" si="14"/>
        <v>1.2635885359543317</v>
      </c>
      <c r="R21" s="450">
        <f ca="1">(F21/P21)^(1/((MAX(Ledger[Date])-MIN(Ledger[Date]))/365.25))-1</f>
        <v>3.9753561794573899E-2</v>
      </c>
      <c r="S21" s="451" t="str">
        <f t="shared" ca="1" si="15"/>
        <v>MEDIUM</v>
      </c>
      <c r="T21" s="400" t="str">
        <f t="shared" ca="1" si="16"/>
        <v>▶ HOLD</v>
      </c>
      <c r="U21" s="229"/>
      <c r="V21" s="229"/>
      <c r="W21" s="229"/>
      <c r="X21" s="229"/>
      <c r="Y21" s="229"/>
      <c r="Z21" s="229"/>
      <c r="AA21" s="229"/>
      <c r="AB21" s="229"/>
      <c r="AC21" s="229"/>
      <c r="AD21" s="229"/>
      <c r="AE21" s="229"/>
      <c r="AF21" s="229"/>
    </row>
    <row r="22" spans="1:32" ht="15.5" x14ac:dyDescent="0.35">
      <c r="A22" s="229"/>
      <c r="B22" s="408" t="str">
        <f ca="1"/>
        <v>WMT</v>
      </c>
      <c r="C22" s="466" t="str">
        <f ca="1"/>
        <v>WALMART INC.</v>
      </c>
      <c r="D22" s="460" t="str">
        <f ca="1"/>
        <v>Food &amp; Drug Retailing</v>
      </c>
      <c r="E22" s="461">
        <f ca="1"/>
        <v>182.66</v>
      </c>
      <c r="F22" s="462">
        <f ca="1"/>
        <v>126.43</v>
      </c>
      <c r="G22" s="463">
        <f ca="1"/>
        <v>23093.703799999999</v>
      </c>
      <c r="H22" s="464">
        <f ca="1"/>
        <v>0.64000000000000057</v>
      </c>
      <c r="I22" s="465">
        <f ca="1"/>
        <v>2.7713949328802381E-5</v>
      </c>
      <c r="J22" s="409">
        <f ca="1"/>
        <v>13196.282799999999</v>
      </c>
      <c r="K22" s="466"/>
      <c r="L22" s="410">
        <f t="shared" ca="1" si="11"/>
        <v>1.3333051913220624</v>
      </c>
      <c r="M22" s="411">
        <f ca="1">G22/SUM(G7:G22)</f>
        <v>7.6046082881842822E-2</v>
      </c>
      <c r="N22" s="412" t="str">
        <f ca="1"/>
        <v>WMT</v>
      </c>
      <c r="O22" s="463">
        <f t="shared" ca="1" si="12"/>
        <v>9897.4210000000003</v>
      </c>
      <c r="P22" s="462">
        <f t="shared" ca="1" si="13"/>
        <v>54.184939231358811</v>
      </c>
      <c r="Q22" s="467">
        <f t="shared" ca="1" si="14"/>
        <v>2.3333051913220628</v>
      </c>
      <c r="R22" s="468">
        <f ca="1">(F22/P22)^(1/((MAX(Ledger[Date])-MIN(Ledger[Date]))/365.25))-1</f>
        <v>0.15163432839692415</v>
      </c>
      <c r="S22" s="469" t="str">
        <f t="shared" ca="1" si="15"/>
        <v>LOW</v>
      </c>
      <c r="T22" s="413" t="str">
        <f t="shared" ca="1" si="16"/>
        <v>▲ STRONG</v>
      </c>
      <c r="U22" s="229"/>
      <c r="V22" s="229"/>
      <c r="W22" s="229"/>
      <c r="X22" s="229"/>
      <c r="Y22" s="229"/>
      <c r="Z22" s="229"/>
      <c r="AA22" s="229"/>
      <c r="AB22" s="229"/>
      <c r="AC22" s="229"/>
      <c r="AD22" s="229"/>
      <c r="AE22" s="229"/>
      <c r="AF22" s="229"/>
    </row>
    <row r="23" spans="1:32" ht="4" customHeight="1" x14ac:dyDescent="0.35">
      <c r="A23" s="229"/>
      <c r="B23" s="470"/>
      <c r="C23" s="470"/>
      <c r="D23" s="470"/>
      <c r="E23" s="470"/>
      <c r="F23" s="471"/>
      <c r="G23" s="471"/>
      <c r="H23" s="471"/>
      <c r="I23" s="472"/>
      <c r="J23" s="471"/>
      <c r="K23" s="470"/>
      <c r="L23" s="470"/>
      <c r="M23" s="470"/>
      <c r="N23" s="470"/>
      <c r="O23" s="470"/>
      <c r="P23" s="470"/>
      <c r="Q23" s="470"/>
      <c r="R23" s="470"/>
      <c r="S23" s="470"/>
      <c r="T23" s="470"/>
      <c r="U23" s="229"/>
      <c r="V23" s="229"/>
      <c r="W23" s="229"/>
      <c r="X23" s="229"/>
      <c r="Y23" s="229"/>
      <c r="Z23" s="229"/>
      <c r="AA23" s="229"/>
      <c r="AB23" s="229"/>
      <c r="AC23" s="229"/>
      <c r="AD23" s="229"/>
      <c r="AE23" s="229"/>
      <c r="AF23" s="229"/>
    </row>
    <row r="24" spans="1:32" ht="16" customHeight="1" thickBot="1" x14ac:dyDescent="0.4">
      <c r="A24" s="229"/>
      <c r="B24" s="416" t="s">
        <v>129</v>
      </c>
      <c r="C24" s="416"/>
      <c r="D24" s="416" t="s">
        <v>130</v>
      </c>
      <c r="E24" s="416"/>
      <c r="F24" s="416" t="s">
        <v>131</v>
      </c>
      <c r="G24" s="416"/>
      <c r="H24" s="416" t="s">
        <v>132</v>
      </c>
      <c r="I24" s="416"/>
      <c r="J24" s="416" t="s">
        <v>133</v>
      </c>
      <c r="K24" s="416"/>
      <c r="L24" s="416" t="s">
        <v>134</v>
      </c>
      <c r="M24" s="416"/>
      <c r="N24" s="416" t="s">
        <v>193</v>
      </c>
      <c r="O24" s="416" t="s">
        <v>194</v>
      </c>
      <c r="P24" s="416" t="s">
        <v>195</v>
      </c>
      <c r="Q24" s="416" t="s">
        <v>196</v>
      </c>
      <c r="R24" s="416" t="s">
        <v>197</v>
      </c>
      <c r="S24" s="416" t="s">
        <v>198</v>
      </c>
      <c r="T24" s="473" t="s">
        <v>199</v>
      </c>
      <c r="U24" s="229"/>
      <c r="V24" s="229"/>
      <c r="W24" s="229"/>
      <c r="X24" s="229"/>
      <c r="Y24" s="229"/>
      <c r="Z24" s="229"/>
      <c r="AA24" s="229"/>
      <c r="AB24" s="229"/>
      <c r="AC24" s="229"/>
      <c r="AD24" s="229"/>
      <c r="AE24" s="229"/>
      <c r="AF24" s="229"/>
    </row>
    <row r="25" spans="1:32" ht="24" customHeight="1" thickTop="1" thickBot="1" x14ac:dyDescent="0.6">
      <c r="A25" s="229"/>
      <c r="B25" s="474">
        <f ca="1">SUM(_xlfn.ANCHORARRAY(G7))-SUM(_xlfn.ANCHORARRAY(J7))</f>
        <v>132051.4212000001</v>
      </c>
      <c r="C25" s="507"/>
      <c r="D25" s="475" t="str">
        <f ca="1">INDEX(_xlfn.ANCHORARRAY(B7),MATCH(MAX(M7:M22),M7:M22,0))&amp;" "&amp;TEXT(MAX(M7:M22),"0.0%")</f>
        <v>NVDA 29.3%</v>
      </c>
      <c r="E25" s="475"/>
      <c r="F25" s="476">
        <f ca="1">LARGE(M7:M22,1)+LARGE(M7:M22,2)+LARGE(M7:M22,3)</f>
        <v>0.44719592104205436</v>
      </c>
      <c r="G25" s="477"/>
      <c r="H25" s="476">
        <f ca="1">AVERAGE(L7:L22)</f>
        <v>1.2685149845403316</v>
      </c>
      <c r="I25" s="478"/>
      <c r="J25" s="479" t="str">
        <f ca="1">COUNTIF(J7:J22,"&gt;0")&amp;" / "&amp;COUNTA(J7:J22)</f>
        <v>14 / 16</v>
      </c>
      <c r="K25" s="475"/>
      <c r="L25" s="480" cm="1">
        <f t="array" aca="1" ref="L25" ca="1">SUMPRODUCT((SUMIF(_xlfn.ANCHORARRAY(D7),_xlfn.UNIQUE(_xlfn.ANCHORARRAY(D7)),_xlfn.ANCHORARRAY(G7))/SUM(_xlfn.ANCHORARRAY(G7)))^2)</f>
        <v>0.18756227674873593</v>
      </c>
      <c r="M25" s="476"/>
      <c r="N25" s="475">
        <f ca="1">COUNTIF(T7:T22,"*STRONG*")</f>
        <v>3</v>
      </c>
      <c r="O25" s="481">
        <f ca="1">COUNTIF(T7:T22,"*HOLD*")</f>
        <v>11</v>
      </c>
      <c r="P25" s="482">
        <f ca="1">COUNTIF(T7:T22,"*REVIEW*")</f>
        <v>2</v>
      </c>
      <c r="Q25" s="483">
        <f ca="1">SUMIF(J7:J22,"&gt;0")/ABS(SUMIF(J7:J22,"&lt;0"))</f>
        <v>136.88421448347765</v>
      </c>
      <c r="R25" s="482" cm="1">
        <f t="array" aca="1" ref="R25" ca="1">(AVERAGE(L7:L22)-0.05)/SQRT(SUMPRODUCT((L7:L22&lt;0)*(L7:L22)^2)/COUNTA(L7:L22))</f>
        <v>35.47374071680035</v>
      </c>
      <c r="S25" s="484">
        <f ca="1">H3/ABS(R3)</f>
        <v>1.112374563566962</v>
      </c>
      <c r="T25" s="485" t="str">
        <f ca="1">Analytics!H44</f>
        <v>B+</v>
      </c>
      <c r="U25" s="229"/>
      <c r="V25" s="229"/>
      <c r="W25" s="229"/>
      <c r="X25" s="229"/>
      <c r="Y25" s="229"/>
      <c r="Z25" s="229"/>
      <c r="AA25" s="229"/>
      <c r="AB25" s="229"/>
      <c r="AC25" s="229"/>
      <c r="AD25" s="229"/>
      <c r="AE25" s="229"/>
      <c r="AF25" s="229"/>
    </row>
    <row r="26" spans="1:32" ht="4" customHeight="1" x14ac:dyDescent="0.35">
      <c r="A26" s="229"/>
      <c r="B26" s="229"/>
      <c r="C26" s="229"/>
      <c r="D26" s="229"/>
      <c r="E26" s="229"/>
      <c r="F26" s="232"/>
      <c r="G26" s="232"/>
      <c r="H26" s="232"/>
      <c r="I26" s="233"/>
      <c r="J26" s="232"/>
      <c r="K26" s="229"/>
      <c r="L26" s="229"/>
      <c r="M26" s="229"/>
      <c r="N26" s="229"/>
      <c r="O26" s="229"/>
      <c r="P26" s="229"/>
      <c r="Q26" s="229"/>
      <c r="R26" s="229"/>
      <c r="S26" s="229"/>
      <c r="T26" s="229"/>
      <c r="U26" s="229"/>
      <c r="V26" s="229"/>
      <c r="W26" s="229"/>
      <c r="X26" s="229"/>
      <c r="Y26" s="229"/>
      <c r="Z26" s="229"/>
      <c r="AA26" s="229"/>
      <c r="AB26" s="229"/>
      <c r="AC26" s="229"/>
      <c r="AD26" s="229"/>
      <c r="AE26" s="229"/>
      <c r="AF26" s="229"/>
    </row>
    <row r="27" spans="1:32" ht="8" customHeight="1" thickBot="1" x14ac:dyDescent="0.4">
      <c r="A27" s="229"/>
      <c r="B27" s="239"/>
      <c r="C27" s="239"/>
      <c r="D27" s="234"/>
      <c r="E27" s="234"/>
      <c r="F27" s="235"/>
      <c r="G27" s="232"/>
      <c r="H27" s="240"/>
      <c r="I27" s="236"/>
      <c r="J27" s="235"/>
      <c r="K27" s="234"/>
      <c r="L27" s="234"/>
      <c r="M27" s="234"/>
      <c r="N27" s="229"/>
      <c r="O27" s="229"/>
      <c r="P27" s="229"/>
      <c r="Q27" s="229"/>
      <c r="R27" s="229"/>
      <c r="S27" s="229"/>
      <c r="T27" s="229"/>
      <c r="U27" s="229"/>
      <c r="V27" s="229"/>
      <c r="W27" s="229"/>
      <c r="X27" s="229"/>
      <c r="Y27" s="229"/>
      <c r="Z27" s="229"/>
      <c r="AA27" s="229"/>
      <c r="AB27" s="229"/>
      <c r="AC27" s="229"/>
      <c r="AD27" s="229"/>
      <c r="AE27" s="229"/>
      <c r="AF27" s="229"/>
    </row>
    <row r="28" spans="1:32" ht="22" customHeight="1" thickBot="1" x14ac:dyDescent="0.5">
      <c r="A28" s="229"/>
      <c r="B28" s="486" t="s">
        <v>136</v>
      </c>
      <c r="C28" s="486"/>
      <c r="D28" s="229"/>
      <c r="E28" s="229"/>
      <c r="F28" s="232"/>
      <c r="G28" s="232"/>
      <c r="H28" s="486" t="s">
        <v>219</v>
      </c>
      <c r="I28" s="233"/>
      <c r="J28" s="232"/>
      <c r="K28" s="229"/>
      <c r="L28" s="229"/>
      <c r="M28" s="229"/>
      <c r="N28" s="551"/>
      <c r="O28" s="551"/>
      <c r="P28" s="229"/>
      <c r="Q28" s="229"/>
      <c r="R28" s="229"/>
      <c r="S28" s="229"/>
      <c r="T28" s="229"/>
      <c r="U28" s="229"/>
      <c r="V28" s="229"/>
      <c r="W28" s="229"/>
      <c r="X28" s="229"/>
      <c r="Y28" s="229"/>
      <c r="Z28" s="229"/>
      <c r="AA28" s="229"/>
      <c r="AB28" s="229"/>
      <c r="AC28" s="229"/>
      <c r="AD28" s="229"/>
      <c r="AE28" s="229"/>
      <c r="AF28" s="229"/>
    </row>
    <row r="29" spans="1:32" ht="18" customHeight="1" thickBot="1" x14ac:dyDescent="0.4">
      <c r="A29" s="229"/>
      <c r="B29" s="379" t="s">
        <v>0</v>
      </c>
      <c r="C29" s="379"/>
      <c r="D29" s="379" t="s">
        <v>3</v>
      </c>
      <c r="E29" s="379" t="s">
        <v>51</v>
      </c>
      <c r="F29" s="487" t="s">
        <v>137</v>
      </c>
      <c r="G29" s="415"/>
      <c r="H29" s="487" t="s">
        <v>7</v>
      </c>
      <c r="I29" s="488" t="s">
        <v>220</v>
      </c>
      <c r="J29" s="487" t="s">
        <v>221</v>
      </c>
      <c r="K29" s="379" t="s">
        <v>222</v>
      </c>
      <c r="L29" s="379" t="s">
        <v>223</v>
      </c>
      <c r="M29" s="379" t="s">
        <v>460</v>
      </c>
      <c r="N29" s="550" t="s">
        <v>461</v>
      </c>
      <c r="O29" s="550" t="s">
        <v>462</v>
      </c>
      <c r="P29" s="229"/>
      <c r="Q29" s="229"/>
      <c r="R29" s="229"/>
      <c r="S29" s="229"/>
      <c r="T29" s="229"/>
      <c r="U29" s="229"/>
      <c r="V29" s="229"/>
      <c r="W29" s="229"/>
      <c r="X29" s="229"/>
      <c r="Y29" s="229"/>
      <c r="Z29" s="229"/>
      <c r="AA29" s="229"/>
      <c r="AB29" s="229"/>
      <c r="AC29" s="229"/>
      <c r="AD29" s="229"/>
      <c r="AE29" s="229"/>
      <c r="AF29" s="229"/>
    </row>
    <row r="30" spans="1:32" ht="16" customHeight="1" x14ac:dyDescent="0.35">
      <c r="A30" s="229"/>
      <c r="B30" s="380" t="str" cm="1">
        <f t="array" aca="1" ref="B30:B39" ca="1">_xlfn.UNIQUE(_xlfn.ANCHORARRAY(D7))</f>
        <v>Aerospace &amp; Defense</v>
      </c>
      <c r="C30" s="380"/>
      <c r="D30" s="425" cm="1">
        <f t="array" aca="1" ref="D30:D39" ca="1">SUMIF(_xlfn.ANCHORARRAY(D7),_xlfn.ANCHORARRAY(B30),_xlfn.ANCHORARRAY(G7))</f>
        <v>25243.700100000002</v>
      </c>
      <c r="E30" s="497">
        <f t="shared" ref="E30:E39" ca="1" si="17">D30/SUM(D$30:D$39)</f>
        <v>8.3125882564103221E-2</v>
      </c>
      <c r="F30" s="498">
        <f t="shared" ref="F30:F39" ca="1" si="18">E30^2</f>
        <v>6.9099123520610798E-3</v>
      </c>
      <c r="G30" s="415"/>
      <c r="H30" s="490" t="str">
        <f ca="1">N7</f>
        <v>0R2N</v>
      </c>
      <c r="I30" s="430">
        <f ca="1">M7</f>
        <v>5.1357301035107744E-2</v>
      </c>
      <c r="J30" s="497">
        <f ca="1">1/COUNTA(M$7:M$22)</f>
        <v>6.25E-2</v>
      </c>
      <c r="K30" s="382">
        <f ca="1">M7-(1/COUNTA(M$7:M$22))</f>
        <v>-1.1142698964892256E-2</v>
      </c>
      <c r="L30" s="386" t="str">
        <f ca="1">IF(ABS(K30)&gt;0.1,IF(K30&gt;0,"🔻 TRIM","🔺 ADD"),IF(ABS(K30)&gt;0.03,IF(K30&gt;0,"▿ trim","▵ add"),"✔ OK"))</f>
        <v>✔ OK</v>
      </c>
      <c r="M30" s="497">
        <f ca="1">0.5*IFERROR(INDEX('Risk Analytics'!D$39:D$54,MATCH(H30,'Risk Analytics'!B$39:B$54,0))*0.155,0.08)</f>
        <v>3.193E-2</v>
      </c>
      <c r="N30" s="549" t="str">
        <f ca="1">IF(AND(L30&lt;&gt;"✔ OK",COUNTIFS(Ledger[Ticker],H30,Ledger[Transaction Type],"Buy",Ledger[Holding Days],"&lt;365")&gt;0),"⚠ HIGH TAX","")</f>
        <v/>
      </c>
      <c r="O30" s="552" t="str">
        <f t="shared" ref="O30:O45" ca="1" si="19">IF(ABS(K30)&gt;M30,IF(K30&gt;0,"🔻 VOL-TRIM","🔺 VOL-ADD"),"✔ WITHIN BAND")</f>
        <v>✔ WITHIN BAND</v>
      </c>
      <c r="P30" s="229"/>
      <c r="Q30" s="229"/>
      <c r="R30" s="229"/>
      <c r="S30" s="229"/>
      <c r="T30" s="229"/>
      <c r="U30" s="229"/>
      <c r="V30" s="229"/>
      <c r="W30" s="229"/>
      <c r="X30" s="229"/>
      <c r="Y30" s="229"/>
      <c r="Z30" s="229"/>
      <c r="AA30" s="229"/>
      <c r="AB30" s="229"/>
      <c r="AC30" s="229"/>
      <c r="AD30" s="229"/>
      <c r="AE30" s="229"/>
      <c r="AF30" s="229"/>
    </row>
    <row r="31" spans="1:32" ht="16" customHeight="1" x14ac:dyDescent="0.35">
      <c r="A31" s="229"/>
      <c r="B31" s="387" t="str">
        <f ca="1"/>
        <v>Computers, Phones &amp; Household Electronics</v>
      </c>
      <c r="C31" s="387"/>
      <c r="D31" s="435">
        <f ca="1"/>
        <v>14239.349200000001</v>
      </c>
      <c r="E31" s="499">
        <f t="shared" ca="1" si="17"/>
        <v>4.6889262061406645E-2</v>
      </c>
      <c r="F31" s="500">
        <f t="shared" ca="1" si="18"/>
        <v>2.1986028966632684E-3</v>
      </c>
      <c r="G31" s="415"/>
      <c r="H31" s="492" t="str">
        <f t="shared" ref="H31:H45" ca="1" si="20">N8</f>
        <v>AAPL</v>
      </c>
      <c r="I31" s="440">
        <f t="shared" ref="I31:I45" ca="1" si="21">M8</f>
        <v>4.6889262061406645E-2</v>
      </c>
      <c r="J31" s="499">
        <f t="shared" ref="J31:J45" ca="1" si="22">1/COUNTA(M$7:M$22)</f>
        <v>6.25E-2</v>
      </c>
      <c r="K31" s="389">
        <f t="shared" ref="K31:K45" ca="1" si="23">M8-(1/COUNTA(M$7:M$22))</f>
        <v>-1.5610737938593355E-2</v>
      </c>
      <c r="L31" s="393" t="str">
        <f t="shared" ref="L31:L45" ca="1" si="24">IF(ABS(K31)&gt;0.1,IF(K31&gt;0,"🔻 TRIM","🔺 ADD"),IF(ABS(K31)&gt;0.03,IF(K31&gt;0,"▿ trim","▵ add"),"✔ OK"))</f>
        <v>✔ OK</v>
      </c>
      <c r="M31" s="499">
        <f ca="1">0.5*IFERROR(INDEX('Risk Analytics'!D$39:D$54,MATCH(H31,'Risk Analytics'!B$39:B$54,0))*0.155,0.08)</f>
        <v>8.5521249999999993E-2</v>
      </c>
      <c r="N31" s="546" t="str">
        <f ca="1">IF(AND(L31&lt;&gt;"✔ OK",COUNTIFS(Ledger[Ticker],H31,Ledger[Transaction Type],"Buy",Ledger[Holding Days],"&lt;365")&gt;0),"⚠ HIGH TAX","")</f>
        <v/>
      </c>
      <c r="O31" s="393" t="str">
        <f t="shared" ca="1" si="19"/>
        <v>✔ WITHIN BAND</v>
      </c>
      <c r="P31" s="229"/>
      <c r="Q31" s="229"/>
      <c r="R31" s="229"/>
      <c r="S31" s="229"/>
      <c r="T31" s="229"/>
      <c r="U31" s="229"/>
      <c r="V31" s="229"/>
      <c r="W31" s="229"/>
      <c r="X31" s="229"/>
      <c r="Y31" s="229"/>
      <c r="Z31" s="229"/>
      <c r="AA31" s="229"/>
      <c r="AB31" s="229"/>
      <c r="AC31" s="229"/>
      <c r="AD31" s="229"/>
      <c r="AE31" s="229"/>
      <c r="AF31" s="229"/>
    </row>
    <row r="32" spans="1:32" ht="16" customHeight="1" x14ac:dyDescent="0.35">
      <c r="A32" s="229"/>
      <c r="B32" s="394" t="str">
        <f ca="1"/>
        <v>Semiconductors &amp; Semiconductor Equipment</v>
      </c>
      <c r="C32" s="394"/>
      <c r="D32" s="445">
        <f ca="1"/>
        <v>112710.92609999998</v>
      </c>
      <c r="E32" s="501">
        <f t="shared" ca="1" si="17"/>
        <v>0.37114983816021146</v>
      </c>
      <c r="F32" s="502">
        <f t="shared" ca="1" si="18"/>
        <v>0.13775220236635116</v>
      </c>
      <c r="G32" s="415"/>
      <c r="H32" s="494" t="str">
        <f t="shared" ca="1" si="20"/>
        <v>AMD</v>
      </c>
      <c r="I32" s="450">
        <f t="shared" ca="1" si="21"/>
        <v>7.7751595071474472E-2</v>
      </c>
      <c r="J32" s="501">
        <f t="shared" ca="1" si="22"/>
        <v>6.25E-2</v>
      </c>
      <c r="K32" s="403">
        <f t="shared" ca="1" si="23"/>
        <v>1.5251595071474472E-2</v>
      </c>
      <c r="L32" s="400" t="str">
        <f t="shared" ca="1" si="24"/>
        <v>✔ OK</v>
      </c>
      <c r="M32" s="501">
        <f ca="1">0.5*IFERROR(INDEX('Risk Analytics'!D$39:D$54,MATCH(H32,'Risk Analytics'!B$39:B$54,0))*0.155,0.08)</f>
        <v>0.15437224999999999</v>
      </c>
      <c r="N32" s="548" t="str">
        <f ca="1">IF(AND(L32&lt;&gt;"✔ OK",COUNTIFS(Ledger[Ticker],H32,Ledger[Transaction Type],"Buy",Ledger[Holding Days],"&lt;365")&gt;0),"⚠ HIGH TAX","")</f>
        <v/>
      </c>
      <c r="O32" s="505" t="str">
        <f t="shared" ca="1" si="19"/>
        <v>✔ WITHIN BAND</v>
      </c>
      <c r="P32" s="229"/>
      <c r="Q32" s="229"/>
      <c r="R32" s="229"/>
      <c r="S32" s="229"/>
      <c r="T32" s="229"/>
      <c r="U32" s="229"/>
      <c r="V32" s="229"/>
      <c r="W32" s="229"/>
      <c r="X32" s="229"/>
      <c r="Y32" s="229"/>
      <c r="Z32" s="229"/>
      <c r="AA32" s="229"/>
      <c r="AB32" s="229"/>
      <c r="AC32" s="229"/>
      <c r="AD32" s="229"/>
      <c r="AE32" s="229"/>
      <c r="AF32" s="229"/>
    </row>
    <row r="33" spans="1:32" ht="16" customHeight="1" x14ac:dyDescent="0.35">
      <c r="A33" s="229"/>
      <c r="B33" s="387" t="str">
        <f ca="1"/>
        <v>Diversified Retail</v>
      </c>
      <c r="C33" s="387"/>
      <c r="D33" s="435">
        <f ca="1"/>
        <v>9655.6252499999991</v>
      </c>
      <c r="E33" s="499">
        <f t="shared" ca="1" si="17"/>
        <v>3.1795353590597028E-2</v>
      </c>
      <c r="F33" s="500">
        <f t="shared" ca="1" si="18"/>
        <v>1.0109445099510913E-3</v>
      </c>
      <c r="G33" s="415"/>
      <c r="H33" s="492" t="str">
        <f t="shared" ca="1" si="20"/>
        <v>AMZN</v>
      </c>
      <c r="I33" s="440">
        <f t="shared" ca="1" si="21"/>
        <v>3.1795353590597028E-2</v>
      </c>
      <c r="J33" s="499">
        <f t="shared" ca="1" si="22"/>
        <v>6.25E-2</v>
      </c>
      <c r="K33" s="406">
        <f t="shared" ca="1" si="23"/>
        <v>-3.0704646409402972E-2</v>
      </c>
      <c r="L33" s="393" t="str">
        <f t="shared" ca="1" si="24"/>
        <v>▵ add</v>
      </c>
      <c r="M33" s="499">
        <f ca="1">0.5*IFERROR(INDEX('Risk Analytics'!D$39:D$54,MATCH(H33,'Risk Analytics'!B$39:B$54,0))*0.155,0.08)</f>
        <v>0.10564024999999999</v>
      </c>
      <c r="N33" s="546" t="str">
        <f ca="1">IF(AND(L33&lt;&gt;"✔ OK",COUNTIFS(Ledger[Ticker],H33,Ledger[Transaction Type],"Buy",Ledger[Holding Days],"&lt;365")&gt;0),"⚠ HIGH TAX","")</f>
        <v/>
      </c>
      <c r="O33" s="393" t="str">
        <f t="shared" ca="1" si="19"/>
        <v>✔ WITHIN BAND</v>
      </c>
      <c r="P33" s="229"/>
      <c r="Q33" s="229"/>
      <c r="R33" s="229"/>
      <c r="S33" s="229"/>
      <c r="T33" s="229"/>
      <c r="U33" s="229"/>
      <c r="V33" s="229"/>
      <c r="W33" s="229"/>
      <c r="X33" s="229"/>
      <c r="Y33" s="229"/>
      <c r="Z33" s="229"/>
      <c r="AA33" s="229"/>
      <c r="AB33" s="229"/>
      <c r="AC33" s="229"/>
      <c r="AD33" s="229"/>
      <c r="AE33" s="229"/>
      <c r="AF33" s="229"/>
    </row>
    <row r="34" spans="1:32" ht="16" customHeight="1" x14ac:dyDescent="0.35">
      <c r="A34" s="229"/>
      <c r="B34" s="394" t="str">
        <f ca="1"/>
        <v>Investment Banking &amp; Investment Services</v>
      </c>
      <c r="C34" s="394"/>
      <c r="D34" s="445">
        <f ca="1"/>
        <v>27469.585500000001</v>
      </c>
      <c r="E34" s="501">
        <f t="shared" ca="1" si="17"/>
        <v>9.0455580176916794E-2</v>
      </c>
      <c r="F34" s="502">
        <f t="shared" ca="1" si="18"/>
        <v>8.182211985142622E-3</v>
      </c>
      <c r="G34" s="415"/>
      <c r="H34" s="494" t="str">
        <f t="shared" ca="1" si="20"/>
        <v>BA</v>
      </c>
      <c r="I34" s="450">
        <f t="shared" ca="1" si="21"/>
        <v>3.176858152899547E-2</v>
      </c>
      <c r="J34" s="501">
        <f t="shared" ca="1" si="22"/>
        <v>6.25E-2</v>
      </c>
      <c r="K34" s="403">
        <f t="shared" ca="1" si="23"/>
        <v>-3.073141847100453E-2</v>
      </c>
      <c r="L34" s="505" t="str">
        <f t="shared" ca="1" si="24"/>
        <v>▵ add</v>
      </c>
      <c r="M34" s="501">
        <f ca="1">0.5*IFERROR(INDEX('Risk Analytics'!D$39:D$54,MATCH(H34,'Risk Analytics'!B$39:B$54,0))*0.155,0.08)</f>
        <v>9.1341500000000006E-2</v>
      </c>
      <c r="N34" s="548" t="str">
        <f ca="1">IF(AND(L34&lt;&gt;"✔ OK",COUNTIFS(Ledger[Ticker],H34,Ledger[Transaction Type],"Buy",Ledger[Holding Days],"&lt;365")&gt;0),"⚠ HIGH TAX","")</f>
        <v/>
      </c>
      <c r="O34" s="505" t="str">
        <f t="shared" ca="1" si="19"/>
        <v>✔ WITHIN BAND</v>
      </c>
      <c r="P34" s="229"/>
      <c r="Q34" s="229"/>
      <c r="R34" s="229"/>
      <c r="S34" s="229"/>
      <c r="T34" s="229"/>
      <c r="U34" s="229"/>
      <c r="V34" s="229"/>
      <c r="W34" s="229"/>
      <c r="X34" s="229"/>
      <c r="Y34" s="229"/>
      <c r="Z34" s="229"/>
      <c r="AA34" s="229"/>
      <c r="AB34" s="229"/>
      <c r="AC34" s="229"/>
      <c r="AD34" s="229"/>
      <c r="AE34" s="229"/>
      <c r="AF34" s="229"/>
    </row>
    <row r="35" spans="1:32" ht="16" customHeight="1" x14ac:dyDescent="0.35">
      <c r="A35" s="229"/>
      <c r="B35" s="387" t="str">
        <f ca="1"/>
        <v>Oil &amp; Gas</v>
      </c>
      <c r="C35" s="387"/>
      <c r="D35" s="435">
        <f ca="1"/>
        <v>14662.19175</v>
      </c>
      <c r="E35" s="499">
        <f t="shared" ca="1" si="17"/>
        <v>4.8281655411635274E-2</v>
      </c>
      <c r="F35" s="500">
        <f t="shared" ca="1" si="18"/>
        <v>2.3311182492878899E-3</v>
      </c>
      <c r="G35" s="415"/>
      <c r="H35" s="492" t="str">
        <f t="shared" ca="1" si="20"/>
        <v>BLK</v>
      </c>
      <c r="I35" s="440">
        <f t="shared" ca="1" si="21"/>
        <v>3.6674854600631641E-2</v>
      </c>
      <c r="J35" s="499">
        <f t="shared" ca="1" si="22"/>
        <v>6.25E-2</v>
      </c>
      <c r="K35" s="406">
        <f t="shared" ca="1" si="23"/>
        <v>-2.5825145399368359E-2</v>
      </c>
      <c r="L35" s="393" t="str">
        <f t="shared" ca="1" si="24"/>
        <v>✔ OK</v>
      </c>
      <c r="M35" s="499">
        <f ca="1">0.5*IFERROR(INDEX('Risk Analytics'!D$39:D$54,MATCH(H35,'Risk Analytics'!B$39:B$54,0))*0.155,0.08)</f>
        <v>0.11528125</v>
      </c>
      <c r="N35" s="546" t="str">
        <f ca="1">IF(AND(L35&lt;&gt;"✔ OK",COUNTIFS(Ledger[Ticker],H35,Ledger[Transaction Type],"Buy",Ledger[Holding Days],"&lt;365")&gt;0),"⚠ HIGH TAX","")</f>
        <v/>
      </c>
      <c r="O35" s="393" t="str">
        <f t="shared" ca="1" si="19"/>
        <v>✔ WITHIN BAND</v>
      </c>
      <c r="P35" s="229"/>
      <c r="Q35" s="229"/>
      <c r="R35" s="229"/>
      <c r="S35" s="229"/>
      <c r="T35" s="229"/>
      <c r="U35" s="229"/>
      <c r="V35" s="229"/>
      <c r="W35" s="229"/>
      <c r="X35" s="229"/>
      <c r="Y35" s="229"/>
      <c r="Z35" s="229"/>
      <c r="AA35" s="229"/>
      <c r="AB35" s="229"/>
      <c r="AC35" s="229"/>
      <c r="AD35" s="229"/>
      <c r="AE35" s="229"/>
      <c r="AF35" s="229"/>
    </row>
    <row r="36" spans="1:32" ht="16" customHeight="1" x14ac:dyDescent="0.35">
      <c r="A36" s="229"/>
      <c r="B36" s="394" t="str">
        <f ca="1"/>
        <v>Automobiles &amp; Auto Parts</v>
      </c>
      <c r="C36" s="394"/>
      <c r="D36" s="445">
        <f ca="1"/>
        <v>23298.548555999998</v>
      </c>
      <c r="E36" s="501">
        <f t="shared" ca="1" si="17"/>
        <v>7.6720623502420399E-2</v>
      </c>
      <c r="F36" s="502">
        <f t="shared" ca="1" si="18"/>
        <v>5.8860540706001411E-3</v>
      </c>
      <c r="G36" s="415"/>
      <c r="H36" s="494" t="str">
        <f t="shared" ca="1" si="20"/>
        <v>C</v>
      </c>
      <c r="I36" s="450">
        <f t="shared" ca="1" si="21"/>
        <v>5.3780725576285153E-2</v>
      </c>
      <c r="J36" s="501">
        <f t="shared" ca="1" si="22"/>
        <v>6.25E-2</v>
      </c>
      <c r="K36" s="403">
        <f t="shared" ca="1" si="23"/>
        <v>-8.719274423714847E-3</v>
      </c>
      <c r="L36" s="505" t="str">
        <f t="shared" ca="1" si="24"/>
        <v>✔ OK</v>
      </c>
      <c r="M36" s="501">
        <f ca="1">0.5*IFERROR(INDEX('Risk Analytics'!D$39:D$54,MATCH(H36,'Risk Analytics'!B$39:B$54,0))*0.155,0.08)</f>
        <v>8.6451249999999993E-2</v>
      </c>
      <c r="N36" s="548" t="str">
        <f ca="1">IF(AND(L36&lt;&gt;"✔ OK",COUNTIFS(Ledger[Ticker],H36,Ledger[Transaction Type],"Buy",Ledger[Holding Days],"&lt;365")&gt;0),"⚠ HIGH TAX","")</f>
        <v/>
      </c>
      <c r="O36" s="505" t="str">
        <f t="shared" ca="1" si="19"/>
        <v>✔ WITHIN BAND</v>
      </c>
      <c r="P36" s="229"/>
      <c r="Q36" s="229"/>
      <c r="R36" s="229"/>
      <c r="S36" s="229"/>
      <c r="T36" s="229"/>
      <c r="U36" s="229"/>
      <c r="V36" s="229"/>
      <c r="W36" s="229"/>
      <c r="X36" s="229"/>
      <c r="Y36" s="229"/>
      <c r="Z36" s="229"/>
      <c r="AA36" s="229"/>
      <c r="AB36" s="229"/>
      <c r="AC36" s="229"/>
      <c r="AD36" s="229"/>
      <c r="AE36" s="229"/>
      <c r="AF36" s="229"/>
    </row>
    <row r="37" spans="1:32" ht="16" customHeight="1" x14ac:dyDescent="0.35">
      <c r="A37" s="229"/>
      <c r="B37" s="387" t="str">
        <f ca="1"/>
        <v>Software &amp; IT Services</v>
      </c>
      <c r="C37" s="387"/>
      <c r="D37" s="435">
        <f ca="1"/>
        <v>36498.030899999998</v>
      </c>
      <c r="E37" s="499">
        <f t="shared" ca="1" si="17"/>
        <v>0.1201856708167124</v>
      </c>
      <c r="F37" s="500">
        <f t="shared" ca="1" si="18"/>
        <v>1.4444595469663155E-2</v>
      </c>
      <c r="G37" s="415"/>
      <c r="H37" s="492" t="str">
        <f t="shared" ca="1" si="20"/>
        <v>CVX</v>
      </c>
      <c r="I37" s="440">
        <f t="shared" ca="1" si="21"/>
        <v>4.8281655411635274E-2</v>
      </c>
      <c r="J37" s="499">
        <f t="shared" ca="1" si="22"/>
        <v>6.25E-2</v>
      </c>
      <c r="K37" s="406">
        <f t="shared" ca="1" si="23"/>
        <v>-1.4218344588364726E-2</v>
      </c>
      <c r="L37" s="401" t="str">
        <f t="shared" ca="1" si="24"/>
        <v>✔ OK</v>
      </c>
      <c r="M37" s="499">
        <f ca="1">0.5*IFERROR(INDEX('Risk Analytics'!D$39:D$54,MATCH(H37,'Risk Analytics'!B$39:B$54,0))*0.155,0.08)</f>
        <v>4.7212999999999998E-2</v>
      </c>
      <c r="N37" s="546" t="str">
        <f ca="1">IF(AND(L37&lt;&gt;"✔ OK",COUNTIFS(Ledger[Ticker],H37,Ledger[Transaction Type],"Buy",Ledger[Holding Days],"&lt;365")&gt;0),"⚠ HIGH TAX","")</f>
        <v/>
      </c>
      <c r="O37" s="393" t="str">
        <f t="shared" ca="1" si="19"/>
        <v>✔ WITHIN BAND</v>
      </c>
      <c r="P37" s="229"/>
      <c r="Q37" s="229"/>
      <c r="R37" s="229"/>
      <c r="S37" s="229"/>
      <c r="T37" s="229"/>
      <c r="U37" s="229"/>
      <c r="V37" s="229"/>
      <c r="W37" s="229"/>
      <c r="X37" s="229"/>
      <c r="Y37" s="229"/>
      <c r="Z37" s="229"/>
      <c r="AA37" s="229"/>
      <c r="AB37" s="229"/>
      <c r="AC37" s="229"/>
      <c r="AD37" s="229"/>
      <c r="AE37" s="229"/>
      <c r="AF37" s="229"/>
    </row>
    <row r="38" spans="1:32" ht="16" customHeight="1" x14ac:dyDescent="0.35">
      <c r="A38" s="229"/>
      <c r="B38" s="394" t="str">
        <f ca="1"/>
        <v>Banking Services</v>
      </c>
      <c r="C38" s="394"/>
      <c r="D38" s="445">
        <f ca="1"/>
        <v>16808.7248</v>
      </c>
      <c r="E38" s="501">
        <f t="shared" ca="1" si="17"/>
        <v>5.5350050834153633E-2</v>
      </c>
      <c r="F38" s="502">
        <f t="shared" ca="1" si="18"/>
        <v>3.0636281273433911E-3</v>
      </c>
      <c r="G38" s="415"/>
      <c r="H38" s="494" t="str">
        <f t="shared" ca="1" si="20"/>
        <v>F</v>
      </c>
      <c r="I38" s="450">
        <f t="shared" ca="1" si="21"/>
        <v>2.8354673690541222E-2</v>
      </c>
      <c r="J38" s="501">
        <f t="shared" ca="1" si="22"/>
        <v>6.25E-2</v>
      </c>
      <c r="K38" s="403">
        <f t="shared" ca="1" si="23"/>
        <v>-3.4145326309458782E-2</v>
      </c>
      <c r="L38" s="400" t="str">
        <f t="shared" ca="1" si="24"/>
        <v>▵ add</v>
      </c>
      <c r="M38" s="501">
        <f ca="1">0.5*IFERROR(INDEX('Risk Analytics'!D$39:D$54,MATCH(H38,'Risk Analytics'!B$39:B$54,0))*0.155,0.08)</f>
        <v>0.13609774999999999</v>
      </c>
      <c r="N38" s="548" t="str">
        <f ca="1">IF(AND(L38&lt;&gt;"✔ OK",COUNTIFS(Ledger[Ticker],H38,Ledger[Transaction Type],"Buy",Ledger[Holding Days],"&lt;365")&gt;0),"⚠ HIGH TAX","")</f>
        <v/>
      </c>
      <c r="O38" s="505" t="str">
        <f t="shared" ca="1" si="19"/>
        <v>✔ WITHIN BAND</v>
      </c>
      <c r="P38" s="229"/>
      <c r="Q38" s="229"/>
      <c r="R38" s="229"/>
      <c r="S38" s="229"/>
      <c r="T38" s="229"/>
      <c r="U38" s="229"/>
      <c r="V38" s="229"/>
      <c r="W38" s="229"/>
      <c r="X38" s="229"/>
      <c r="Y38" s="229"/>
      <c r="Z38" s="229"/>
      <c r="AA38" s="229"/>
      <c r="AB38" s="229"/>
      <c r="AC38" s="229"/>
      <c r="AD38" s="229"/>
      <c r="AE38" s="229"/>
      <c r="AF38" s="229"/>
    </row>
    <row r="39" spans="1:32" ht="16" customHeight="1" x14ac:dyDescent="0.35">
      <c r="A39" s="229"/>
      <c r="B39" s="408" t="str">
        <f ca="1"/>
        <v>Food &amp; Drug Retailing</v>
      </c>
      <c r="C39" s="408"/>
      <c r="D39" s="463">
        <f ca="1"/>
        <v>23093.703799999999</v>
      </c>
      <c r="E39" s="503">
        <f t="shared" ca="1" si="17"/>
        <v>7.6046082881842822E-2</v>
      </c>
      <c r="F39" s="504">
        <f t="shared" ca="1" si="18"/>
        <v>5.7830067216721077E-3</v>
      </c>
      <c r="G39" s="414"/>
      <c r="H39" s="492" t="str">
        <f t="shared" ca="1" si="20"/>
        <v>GOOG</v>
      </c>
      <c r="I39" s="440">
        <f t="shared" ca="1" si="21"/>
        <v>6.5883101198701888E-2</v>
      </c>
      <c r="J39" s="499">
        <f t="shared" ca="1" si="22"/>
        <v>6.25E-2</v>
      </c>
      <c r="K39" s="406">
        <f t="shared" ca="1" si="23"/>
        <v>3.3831011987018877E-3</v>
      </c>
      <c r="L39" s="393" t="str">
        <f t="shared" ca="1" si="24"/>
        <v>✔ OK</v>
      </c>
      <c r="M39" s="499">
        <f ca="1">0.5*IFERROR(INDEX('Risk Analytics'!D$39:D$54,MATCH(H39,'Risk Analytics'!B$39:B$54,0))*0.155,0.08)</f>
        <v>8.528100000000001E-2</v>
      </c>
      <c r="N39" s="546" t="str">
        <f ca="1">IF(AND(L39&lt;&gt;"✔ OK",COUNTIFS(Ledger[Ticker],H39,Ledger[Transaction Type],"Buy",Ledger[Holding Days],"&lt;365")&gt;0),"⚠ HIGH TAX","")</f>
        <v/>
      </c>
      <c r="O39" s="393" t="str">
        <f t="shared" ca="1" si="19"/>
        <v>✔ WITHIN BAND</v>
      </c>
      <c r="P39" s="229"/>
      <c r="Q39" s="229"/>
      <c r="R39" s="229"/>
      <c r="S39" s="229"/>
      <c r="T39" s="229"/>
      <c r="U39" s="229"/>
      <c r="V39" s="229"/>
      <c r="W39" s="229"/>
      <c r="X39" s="229"/>
      <c r="Y39" s="229"/>
      <c r="Z39" s="229"/>
      <c r="AA39" s="229"/>
      <c r="AB39" s="229"/>
      <c r="AC39" s="229"/>
      <c r="AD39" s="229"/>
      <c r="AE39" s="229"/>
      <c r="AF39" s="229"/>
    </row>
    <row r="40" spans="1:32" ht="15.5" x14ac:dyDescent="0.35">
      <c r="A40" s="229"/>
      <c r="B40" s="414"/>
      <c r="C40" s="414"/>
      <c r="D40" s="414"/>
      <c r="E40" s="414"/>
      <c r="F40" s="414"/>
      <c r="G40" s="414"/>
      <c r="H40" s="494" t="str">
        <f t="shared" ca="1" si="20"/>
        <v>HMC</v>
      </c>
      <c r="I40" s="450">
        <f t="shared" ca="1" si="21"/>
        <v>2.0306273586248254E-2</v>
      </c>
      <c r="J40" s="501">
        <f t="shared" ca="1" si="22"/>
        <v>6.25E-2</v>
      </c>
      <c r="K40" s="403">
        <f t="shared" ca="1" si="23"/>
        <v>-4.2193726413751742E-2</v>
      </c>
      <c r="L40" s="505" t="str">
        <f t="shared" ca="1" si="24"/>
        <v>▵ add</v>
      </c>
      <c r="M40" s="501">
        <f ca="1">0.5*IFERROR(INDEX('Risk Analytics'!D$39:D$54,MATCH(H40,'Risk Analytics'!B$39:B$54,0))*0.155,0.08)</f>
        <v>3.6270000000000004E-2</v>
      </c>
      <c r="N40" s="548" t="str">
        <f ca="1">IF(AND(L40&lt;&gt;"✔ OK",COUNTIFS(Ledger[Ticker],H40,Ledger[Transaction Type],"Buy",Ledger[Holding Days],"&lt;365")&gt;0),"⚠ HIGH TAX","")</f>
        <v/>
      </c>
      <c r="O40" s="400" t="str">
        <f t="shared" ca="1" si="19"/>
        <v>🔺 VOL-ADD</v>
      </c>
      <c r="P40" s="229"/>
      <c r="Q40" s="229"/>
      <c r="R40" s="229"/>
      <c r="S40" s="229"/>
      <c r="T40" s="229"/>
      <c r="U40" s="229"/>
      <c r="V40" s="229"/>
      <c r="W40" s="229"/>
      <c r="X40" s="229"/>
      <c r="Y40" s="229"/>
      <c r="Z40" s="229"/>
      <c r="AA40" s="229"/>
      <c r="AB40" s="229"/>
      <c r="AC40" s="229"/>
      <c r="AD40" s="229"/>
      <c r="AE40" s="229"/>
      <c r="AF40" s="229"/>
    </row>
    <row r="41" spans="1:32" ht="14.5" customHeight="1" x14ac:dyDescent="0.35">
      <c r="A41" s="229"/>
      <c r="B41" s="555" t="str">
        <f ca="1">"📊 Portfolio: "&amp;TEXT(B3,"$#,##0")&amp;" | "&amp;TEXT(G3,"0.0%")&amp;" total return ("&amp;TEXT(H3,"0.0%")&amp;" CAGR) | Sharpe "&amp;TEXT(O3,"0.00")&amp;" | Sortino "&amp;TEXT(D4,"0.00")&amp;" | "&amp;COUNTIF(T7:T22,"▲ STRONG")&amp;" strong, "&amp;COUNTIF(T7:T22,"▼ REVIEW")&amp;" review | "&amp;TEXT(S4,"0.0%")&amp;" CF VaR95 | "&amp;IF(J4&gt;0,"Positive","Negative")&amp;" alpha"</f>
        <v>📊 Portfolio: $303,680 | 130.0% total return (14.9% CAGR) | Sharpe 0.47 | Sortino 3.10 | 3 strong, 2 review | -27.9% CF VaR95 | Positive alpha</v>
      </c>
      <c r="C41" s="555"/>
      <c r="D41" s="555"/>
      <c r="E41" s="555"/>
      <c r="F41" s="555"/>
      <c r="G41" s="414"/>
      <c r="H41" s="492" t="str">
        <f t="shared" ca="1" si="20"/>
        <v>JPM</v>
      </c>
      <c r="I41" s="440">
        <f t="shared" ca="1" si="21"/>
        <v>5.5350050834153633E-2</v>
      </c>
      <c r="J41" s="499">
        <f t="shared" ca="1" si="22"/>
        <v>6.25E-2</v>
      </c>
      <c r="K41" s="389">
        <f t="shared" ca="1" si="23"/>
        <v>-7.1499491658463671E-3</v>
      </c>
      <c r="L41" s="407" t="str">
        <f t="shared" ca="1" si="24"/>
        <v>✔ OK</v>
      </c>
      <c r="M41" s="499">
        <f ca="1">0.5*IFERROR(INDEX('Risk Analytics'!D$39:D$54,MATCH(H41,'Risk Analytics'!B$39:B$54,0))*0.155,0.08)</f>
        <v>8.2266250000000013E-2</v>
      </c>
      <c r="N41" s="546" t="str">
        <f ca="1">IF(AND(L41&lt;&gt;"✔ OK",COUNTIFS(Ledger[Ticker],H41,Ledger[Transaction Type],"Buy",Ledger[Holding Days],"&lt;365")&gt;0),"⚠ HIGH TAX","")</f>
        <v/>
      </c>
      <c r="O41" s="393" t="str">
        <f t="shared" ca="1" si="19"/>
        <v>✔ WITHIN BAND</v>
      </c>
      <c r="P41" s="229"/>
      <c r="Q41" s="229"/>
      <c r="R41" s="229"/>
      <c r="S41" s="229"/>
      <c r="T41" s="229"/>
      <c r="U41" s="229"/>
      <c r="V41" s="229"/>
      <c r="W41" s="229"/>
      <c r="X41" s="229"/>
      <c r="Y41" s="229"/>
      <c r="Z41" s="229"/>
      <c r="AA41" s="229"/>
      <c r="AB41" s="229"/>
      <c r="AC41" s="229"/>
      <c r="AD41" s="229"/>
      <c r="AE41" s="229"/>
      <c r="AF41" s="229"/>
    </row>
    <row r="42" spans="1:32" ht="14.5" customHeight="1" x14ac:dyDescent="0.35">
      <c r="A42" s="229"/>
      <c r="B42" s="555"/>
      <c r="C42" s="555"/>
      <c r="D42" s="555"/>
      <c r="E42" s="555"/>
      <c r="F42" s="555"/>
      <c r="G42" s="414"/>
      <c r="H42" s="494" t="str">
        <f t="shared" ca="1" si="20"/>
        <v>META</v>
      </c>
      <c r="I42" s="450">
        <f t="shared" ca="1" si="21"/>
        <v>5.4302569618010527E-2</v>
      </c>
      <c r="J42" s="501">
        <f t="shared" ca="1" si="22"/>
        <v>6.25E-2</v>
      </c>
      <c r="K42" s="403">
        <f t="shared" ca="1" si="23"/>
        <v>-8.1974303819894734E-3</v>
      </c>
      <c r="L42" s="505" t="str">
        <f t="shared" ca="1" si="24"/>
        <v>✔ OK</v>
      </c>
      <c r="M42" s="501">
        <f ca="1">0.5*IFERROR(INDEX('Risk Analytics'!D$39:D$54,MATCH(H42,'Risk Analytics'!B$39:B$54,0))*0.155,0.08)</f>
        <v>0.10061825000000001</v>
      </c>
      <c r="N42" s="548" t="str">
        <f ca="1">IF(AND(L42&lt;&gt;"✔ OK",COUNTIFS(Ledger[Ticker],H42,Ledger[Transaction Type],"Buy",Ledger[Holding Days],"&lt;365")&gt;0),"⚠ HIGH TAX","")</f>
        <v/>
      </c>
      <c r="O42" s="505" t="str">
        <f t="shared" ca="1" si="19"/>
        <v>✔ WITHIN BAND</v>
      </c>
      <c r="P42" s="229"/>
      <c r="Q42" s="229"/>
      <c r="R42" s="229"/>
      <c r="S42" s="229"/>
      <c r="T42" s="229"/>
      <c r="U42" s="229"/>
      <c r="V42" s="229"/>
      <c r="W42" s="229"/>
      <c r="X42" s="229"/>
      <c r="Y42" s="229"/>
      <c r="Z42" s="229"/>
      <c r="AA42" s="229"/>
      <c r="AB42" s="229"/>
      <c r="AC42" s="229"/>
      <c r="AD42" s="229"/>
      <c r="AE42" s="229"/>
      <c r="AF42" s="229"/>
    </row>
    <row r="43" spans="1:32" ht="15.5" x14ac:dyDescent="0.35">
      <c r="A43" s="229"/>
      <c r="B43" s="555"/>
      <c r="C43" s="555"/>
      <c r="D43" s="555"/>
      <c r="E43" s="555"/>
      <c r="F43" s="555"/>
      <c r="G43" s="414"/>
      <c r="H43" s="492" t="str">
        <f t="shared" ca="1" si="20"/>
        <v>NVDA</v>
      </c>
      <c r="I43" s="440">
        <f t="shared" ca="1" si="21"/>
        <v>0.29339824308873702</v>
      </c>
      <c r="J43" s="499">
        <f t="shared" ca="1" si="22"/>
        <v>6.25E-2</v>
      </c>
      <c r="K43" s="406">
        <f t="shared" ca="1" si="23"/>
        <v>0.23089824308873702</v>
      </c>
      <c r="L43" s="401" t="str">
        <f t="shared" ca="1" si="24"/>
        <v>🔻 TRIM</v>
      </c>
      <c r="M43" s="499">
        <f ca="1">0.5*IFERROR(INDEX('Risk Analytics'!D$39:D$54,MATCH(H43,'Risk Analytics'!B$39:B$54,0))*0.155,0.08)</f>
        <v>0.18186924999999998</v>
      </c>
      <c r="N43" s="546" t="str">
        <f ca="1">IF(AND(L43&lt;&gt;"✔ OK",COUNTIFS(Ledger[Ticker],H43,Ledger[Transaction Type],"Buy",Ledger[Holding Days],"&lt;365")&gt;0),"⚠ HIGH TAX","")</f>
        <v/>
      </c>
      <c r="O43" s="407" t="str">
        <f t="shared" ca="1" si="19"/>
        <v>🔻 VOL-TRIM</v>
      </c>
      <c r="P43" s="229"/>
      <c r="Q43" s="229"/>
      <c r="R43" s="229"/>
      <c r="S43" s="229"/>
      <c r="T43" s="229"/>
      <c r="U43" s="229"/>
      <c r="V43" s="229"/>
      <c r="W43" s="229"/>
      <c r="X43" s="229"/>
      <c r="Y43" s="229"/>
      <c r="Z43" s="229"/>
      <c r="AA43" s="229"/>
      <c r="AB43" s="229"/>
      <c r="AC43" s="229"/>
      <c r="AD43" s="229"/>
      <c r="AE43" s="229"/>
      <c r="AF43" s="229"/>
    </row>
    <row r="44" spans="1:32" ht="14.5" customHeight="1" x14ac:dyDescent="0.35">
      <c r="A44" s="229"/>
      <c r="B44" s="414"/>
      <c r="C44" s="414"/>
      <c r="D44" s="414"/>
      <c r="E44" s="414"/>
      <c r="F44" s="414"/>
      <c r="G44" s="414"/>
      <c r="H44" s="494" t="str">
        <f t="shared" ca="1" si="20"/>
        <v>TM</v>
      </c>
      <c r="I44" s="450">
        <f t="shared" ca="1" si="21"/>
        <v>2.8059676225630933E-2</v>
      </c>
      <c r="J44" s="501">
        <f t="shared" ca="1" si="22"/>
        <v>6.25E-2</v>
      </c>
      <c r="K44" s="403">
        <f t="shared" ca="1" si="23"/>
        <v>-3.4440323774369064E-2</v>
      </c>
      <c r="L44" s="400" t="str">
        <f t="shared" ca="1" si="24"/>
        <v>▵ add</v>
      </c>
      <c r="M44" s="501">
        <f ca="1">0.5*IFERROR(INDEX('Risk Analytics'!D$39:D$54,MATCH(H44,'Risk Analytics'!B$39:B$54,0))*0.155,0.08)</f>
        <v>5.4606500000000002E-2</v>
      </c>
      <c r="N44" s="548" t="str">
        <f ca="1">IF(AND(L44&lt;&gt;"✔ OK",COUNTIFS(Ledger[Ticker],H44,Ledger[Transaction Type],"Buy",Ledger[Holding Days],"&lt;365")&gt;0),"⚠ HIGH TAX","")</f>
        <v/>
      </c>
      <c r="O44" s="505" t="str">
        <f t="shared" ca="1" si="19"/>
        <v>✔ WITHIN BAND</v>
      </c>
      <c r="P44" s="229"/>
      <c r="Q44" s="229"/>
      <c r="R44" s="229"/>
      <c r="S44" s="229"/>
      <c r="T44" s="229"/>
      <c r="U44" s="229"/>
      <c r="V44" s="229"/>
      <c r="W44" s="229"/>
      <c r="X44" s="229"/>
      <c r="Y44" s="229"/>
      <c r="Z44" s="229"/>
      <c r="AA44" s="229"/>
      <c r="AB44" s="229"/>
      <c r="AC44" s="229"/>
      <c r="AD44" s="229"/>
      <c r="AE44" s="229"/>
      <c r="AF44" s="229"/>
    </row>
    <row r="45" spans="1:32" ht="15" customHeight="1" x14ac:dyDescent="0.35">
      <c r="A45" s="229"/>
      <c r="B45" s="414"/>
      <c r="C45" s="414"/>
      <c r="D45" s="414"/>
      <c r="E45" s="414"/>
      <c r="F45" s="414"/>
      <c r="G45" s="414"/>
      <c r="H45" s="496" t="str">
        <f t="shared" ca="1" si="20"/>
        <v>WMT</v>
      </c>
      <c r="I45" s="468">
        <f t="shared" ca="1" si="21"/>
        <v>7.6046082881842822E-2</v>
      </c>
      <c r="J45" s="503">
        <f t="shared" ca="1" si="22"/>
        <v>6.25E-2</v>
      </c>
      <c r="K45" s="410">
        <f t="shared" ca="1" si="23"/>
        <v>1.3546082881842822E-2</v>
      </c>
      <c r="L45" s="413" t="str">
        <f t="shared" ca="1" si="24"/>
        <v>✔ OK</v>
      </c>
      <c r="M45" s="503">
        <f ca="1">0.5*IFERROR(INDEX('Risk Analytics'!D$39:D$54,MATCH(H45,'Risk Analytics'!B$39:B$54,0))*0.155,0.08)</f>
        <v>5.1785499999999998E-2</v>
      </c>
      <c r="N45" s="547" t="str">
        <f ca="1">IF(AND(L45&lt;&gt;"✔ OK",COUNTIFS(Ledger[Ticker],H45,Ledger[Transaction Type],"Buy",Ledger[Holding Days],"&lt;365")&gt;0),"⚠ HIGH TAX","")</f>
        <v/>
      </c>
      <c r="O45" s="413" t="str">
        <f t="shared" ca="1" si="19"/>
        <v>✔ WITHIN BAND</v>
      </c>
      <c r="P45" s="229"/>
      <c r="Q45" s="229"/>
      <c r="R45" s="229"/>
      <c r="S45" s="229"/>
      <c r="T45" s="229"/>
      <c r="U45" s="229"/>
      <c r="V45" s="229"/>
      <c r="W45" s="229"/>
      <c r="X45" s="229"/>
      <c r="Y45" s="229"/>
      <c r="Z45" s="229"/>
      <c r="AA45" s="229"/>
      <c r="AB45" s="229"/>
      <c r="AC45" s="229"/>
      <c r="AD45" s="229"/>
      <c r="AE45" s="229"/>
      <c r="AF45" s="229"/>
    </row>
    <row r="46" spans="1:32" x14ac:dyDescent="0.35">
      <c r="A46" s="229"/>
      <c r="B46" s="229"/>
      <c r="C46" s="229"/>
      <c r="D46" s="229" t="s">
        <v>138</v>
      </c>
      <c r="E46" s="229"/>
      <c r="F46" s="229"/>
      <c r="G46" s="229"/>
      <c r="H46" s="229"/>
      <c r="I46" s="506"/>
      <c r="J46" s="506"/>
      <c r="K46" s="506"/>
      <c r="L46" s="506"/>
      <c r="M46" s="506"/>
      <c r="N46" s="506"/>
      <c r="O46" s="506"/>
      <c r="P46" s="229"/>
      <c r="Q46" s="229"/>
      <c r="R46" s="229"/>
      <c r="S46" s="229"/>
      <c r="T46" s="229"/>
      <c r="U46" s="229"/>
      <c r="V46" s="229"/>
      <c r="W46" s="229"/>
      <c r="X46" s="229"/>
      <c r="Y46" s="229"/>
      <c r="Z46" s="229"/>
      <c r="AA46" s="229"/>
      <c r="AB46" s="229"/>
      <c r="AC46" s="229"/>
      <c r="AD46" s="229"/>
      <c r="AE46" s="229"/>
      <c r="AF46" s="229"/>
    </row>
    <row r="47" spans="1:32" x14ac:dyDescent="0.35">
      <c r="A47" s="229"/>
      <c r="B47" s="229"/>
      <c r="C47" s="229"/>
      <c r="D47" s="229"/>
      <c r="E47" s="229"/>
      <c r="F47" s="229"/>
      <c r="G47" s="229"/>
      <c r="H47" s="229"/>
      <c r="I47" s="229"/>
      <c r="J47" s="229"/>
      <c r="K47" s="229"/>
      <c r="L47" s="229"/>
      <c r="M47" s="229"/>
      <c r="N47" s="229"/>
      <c r="O47" s="229"/>
      <c r="P47" s="229"/>
      <c r="Q47" s="229"/>
      <c r="R47" s="229"/>
      <c r="S47" s="229"/>
      <c r="T47" s="229"/>
      <c r="U47" s="229"/>
      <c r="V47" s="229"/>
      <c r="W47" s="229"/>
      <c r="X47" s="229"/>
      <c r="Y47" s="229"/>
      <c r="Z47" s="229"/>
      <c r="AA47" s="229"/>
      <c r="AB47" s="229"/>
      <c r="AC47" s="229"/>
      <c r="AD47" s="229"/>
      <c r="AE47" s="229"/>
      <c r="AF47" s="229"/>
    </row>
    <row r="48" spans="1:32" x14ac:dyDescent="0.35">
      <c r="A48" s="229"/>
      <c r="B48" s="229"/>
      <c r="C48" s="229"/>
      <c r="D48" s="229"/>
      <c r="E48" s="229"/>
      <c r="F48" s="229"/>
      <c r="G48" s="229"/>
      <c r="H48" s="229"/>
      <c r="I48" s="229"/>
      <c r="J48" s="229"/>
      <c r="K48" s="229"/>
      <c r="L48" s="229"/>
      <c r="M48" s="229"/>
      <c r="N48" s="229"/>
      <c r="O48" s="229"/>
      <c r="P48" s="229"/>
      <c r="Q48" s="229"/>
      <c r="R48" s="229"/>
      <c r="S48" s="229"/>
      <c r="T48" s="229"/>
      <c r="U48" s="229"/>
      <c r="V48" s="229"/>
      <c r="W48" s="229"/>
      <c r="X48" s="229"/>
      <c r="Y48" s="229"/>
      <c r="Z48" s="229"/>
      <c r="AA48" s="229"/>
      <c r="AB48" s="229"/>
      <c r="AC48" s="229"/>
      <c r="AD48" s="229"/>
      <c r="AE48" s="229"/>
      <c r="AF48" s="229"/>
    </row>
    <row r="49" spans="1:32" x14ac:dyDescent="0.35">
      <c r="A49" s="229"/>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c r="Z49" s="229"/>
      <c r="AA49" s="229"/>
      <c r="AB49" s="229"/>
      <c r="AC49" s="229"/>
      <c r="AD49" s="229"/>
      <c r="AE49" s="229"/>
      <c r="AF49" s="229"/>
    </row>
    <row r="50" spans="1:32" x14ac:dyDescent="0.35">
      <c r="A50" s="229"/>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row>
    <row r="51" spans="1:32" x14ac:dyDescent="0.35">
      <c r="A51" s="229"/>
      <c r="B51" s="229"/>
      <c r="C51" s="229"/>
      <c r="D51" s="229"/>
      <c r="E51" s="229"/>
      <c r="F51" s="229"/>
      <c r="G51" s="229"/>
      <c r="H51" s="229"/>
      <c r="I51" s="229"/>
      <c r="J51" s="229"/>
      <c r="K51" s="229"/>
      <c r="L51" s="229"/>
      <c r="M51" s="229"/>
      <c r="N51" s="229"/>
      <c r="O51" s="229"/>
      <c r="P51" s="229"/>
      <c r="Q51" s="229"/>
      <c r="R51" s="229"/>
      <c r="S51" s="229"/>
      <c r="T51" s="229"/>
      <c r="U51" s="229"/>
      <c r="V51" s="229"/>
      <c r="W51" s="229"/>
      <c r="X51" s="229"/>
      <c r="Y51" s="229"/>
      <c r="Z51" s="229"/>
      <c r="AA51" s="229"/>
      <c r="AB51" s="229"/>
      <c r="AC51" s="229"/>
      <c r="AD51" s="229"/>
      <c r="AE51" s="229"/>
      <c r="AF51" s="229"/>
    </row>
    <row r="52" spans="1:32" x14ac:dyDescent="0.35">
      <c r="A52" s="229"/>
      <c r="B52" s="229"/>
      <c r="C52" s="229"/>
      <c r="D52" s="229"/>
      <c r="E52" s="229"/>
      <c r="F52" s="229"/>
      <c r="G52" s="229"/>
      <c r="H52" s="229"/>
      <c r="I52" s="229"/>
      <c r="J52" s="229"/>
      <c r="K52" s="229"/>
      <c r="L52" s="229"/>
      <c r="M52" s="229"/>
      <c r="N52" s="229"/>
      <c r="O52" s="229"/>
      <c r="P52" s="229"/>
      <c r="Q52" s="229"/>
      <c r="R52" s="229"/>
      <c r="S52" s="229"/>
      <c r="T52" s="229"/>
      <c r="U52" s="229"/>
      <c r="V52" s="229"/>
      <c r="W52" s="229"/>
      <c r="X52" s="229"/>
      <c r="Y52" s="229"/>
      <c r="Z52" s="229"/>
      <c r="AA52" s="229"/>
      <c r="AB52" s="229"/>
      <c r="AC52" s="229"/>
      <c r="AD52" s="229"/>
      <c r="AE52" s="229"/>
      <c r="AF52" s="229"/>
    </row>
    <row r="53" spans="1:32" x14ac:dyDescent="0.35">
      <c r="A53" s="229"/>
      <c r="B53" s="229"/>
      <c r="C53" s="229"/>
      <c r="D53" s="229"/>
      <c r="E53" s="229"/>
      <c r="F53" s="229"/>
      <c r="G53" s="229"/>
      <c r="H53" s="229"/>
      <c r="I53" s="229"/>
      <c r="J53" s="229"/>
      <c r="K53" s="229"/>
      <c r="L53" s="229"/>
      <c r="M53" s="229"/>
      <c r="N53" s="229"/>
      <c r="O53" s="229"/>
      <c r="P53" s="229"/>
      <c r="Q53" s="229"/>
      <c r="R53" s="229"/>
      <c r="S53" s="229"/>
      <c r="T53" s="229"/>
      <c r="U53" s="229"/>
      <c r="V53" s="229"/>
      <c r="W53" s="229"/>
      <c r="X53" s="229"/>
      <c r="Y53" s="229"/>
      <c r="Z53" s="229"/>
      <c r="AA53" s="229"/>
      <c r="AB53" s="229"/>
      <c r="AC53" s="229"/>
      <c r="AD53" s="229"/>
      <c r="AE53" s="229"/>
      <c r="AF53" s="229"/>
    </row>
    <row r="54" spans="1:32" x14ac:dyDescent="0.35">
      <c r="A54" s="229"/>
      <c r="B54" s="229"/>
      <c r="C54" s="229"/>
      <c r="D54" s="229"/>
      <c r="E54" s="229"/>
      <c r="F54" s="229"/>
      <c r="G54" s="229"/>
      <c r="H54" s="229"/>
      <c r="I54" s="229"/>
      <c r="J54" s="229"/>
      <c r="K54" s="229"/>
      <c r="L54" s="229"/>
      <c r="M54" s="229"/>
      <c r="N54" s="229"/>
      <c r="O54" s="229"/>
      <c r="P54" s="229"/>
      <c r="Q54" s="229"/>
      <c r="R54" s="229"/>
      <c r="S54" s="229"/>
      <c r="T54" s="229"/>
      <c r="U54" s="229"/>
      <c r="V54" s="229"/>
      <c r="W54" s="229"/>
      <c r="X54" s="229"/>
      <c r="Y54" s="229"/>
      <c r="Z54" s="229"/>
      <c r="AA54" s="229"/>
      <c r="AB54" s="229"/>
      <c r="AC54" s="229"/>
      <c r="AD54" s="229"/>
      <c r="AE54" s="229"/>
      <c r="AF54" s="229"/>
    </row>
    <row r="55" spans="1:32" x14ac:dyDescent="0.35">
      <c r="A55" s="229"/>
      <c r="B55" s="229"/>
      <c r="C55" s="229"/>
      <c r="D55" s="229"/>
      <c r="E55" s="229"/>
      <c r="F55" s="229"/>
      <c r="G55" s="229"/>
      <c r="H55" s="229"/>
      <c r="I55" s="229"/>
      <c r="J55" s="229"/>
      <c r="K55" s="229"/>
      <c r="L55" s="229"/>
      <c r="M55" s="229"/>
      <c r="N55" s="229"/>
      <c r="O55" s="229"/>
      <c r="P55" s="229"/>
      <c r="Q55" s="229"/>
      <c r="R55" s="229"/>
      <c r="S55" s="229"/>
      <c r="T55" s="229"/>
      <c r="U55" s="229"/>
      <c r="V55" s="229"/>
      <c r="W55" s="229"/>
      <c r="X55" s="229"/>
      <c r="Y55" s="229"/>
      <c r="Z55" s="229"/>
      <c r="AA55" s="229"/>
      <c r="AB55" s="229"/>
      <c r="AC55" s="229"/>
      <c r="AD55" s="229"/>
      <c r="AE55" s="229"/>
      <c r="AF55" s="229"/>
    </row>
    <row r="56" spans="1:32" x14ac:dyDescent="0.35">
      <c r="A56" s="229"/>
      <c r="B56" s="229"/>
      <c r="C56" s="229"/>
      <c r="D56" s="229"/>
      <c r="E56" s="229"/>
      <c r="F56" s="229"/>
      <c r="G56" s="229"/>
      <c r="H56" s="229"/>
      <c r="I56" s="229"/>
      <c r="J56" s="229"/>
      <c r="K56" s="229"/>
      <c r="L56" s="229"/>
      <c r="M56" s="229"/>
      <c r="N56" s="229"/>
      <c r="O56" s="229"/>
      <c r="P56" s="229"/>
      <c r="Q56" s="229"/>
      <c r="R56" s="229"/>
      <c r="S56" s="229"/>
      <c r="T56" s="229"/>
      <c r="U56" s="229"/>
      <c r="V56" s="229"/>
      <c r="W56" s="229"/>
      <c r="X56" s="229"/>
      <c r="Y56" s="229"/>
      <c r="Z56" s="229"/>
      <c r="AA56" s="229"/>
      <c r="AB56" s="229"/>
      <c r="AC56" s="229"/>
      <c r="AD56" s="229"/>
      <c r="AE56" s="229"/>
      <c r="AF56" s="229"/>
    </row>
    <row r="57" spans="1:32" x14ac:dyDescent="0.35">
      <c r="A57" s="229"/>
      <c r="B57" s="229"/>
      <c r="C57" s="229"/>
      <c r="D57" s="229"/>
      <c r="E57" s="229"/>
      <c r="F57" s="229"/>
      <c r="G57" s="229"/>
      <c r="H57" s="229"/>
      <c r="I57" s="229"/>
      <c r="J57" s="229"/>
      <c r="K57" s="229"/>
      <c r="L57" s="229"/>
      <c r="M57" s="229"/>
      <c r="N57" s="229"/>
      <c r="O57" s="229"/>
      <c r="P57" s="229"/>
      <c r="Q57" s="229"/>
      <c r="R57" s="229"/>
      <c r="S57" s="229"/>
      <c r="T57" s="229"/>
      <c r="U57" s="229"/>
      <c r="V57" s="229"/>
      <c r="W57" s="229"/>
      <c r="X57" s="229"/>
      <c r="Y57" s="229"/>
      <c r="Z57" s="229"/>
      <c r="AA57" s="229"/>
      <c r="AB57" s="229"/>
      <c r="AC57" s="229"/>
      <c r="AD57" s="229"/>
      <c r="AE57" s="229"/>
      <c r="AF57" s="229"/>
    </row>
    <row r="58" spans="1:32" x14ac:dyDescent="0.35">
      <c r="A58" s="229"/>
      <c r="B58" s="229"/>
      <c r="C58" s="229"/>
      <c r="D58" s="229"/>
      <c r="E58" s="229"/>
      <c r="F58" s="229"/>
      <c r="G58" s="229"/>
      <c r="H58" s="229"/>
      <c r="I58" s="229"/>
      <c r="J58" s="229"/>
      <c r="K58" s="229"/>
      <c r="L58" s="229"/>
      <c r="M58" s="229"/>
      <c r="N58" s="229"/>
      <c r="O58" s="229"/>
      <c r="P58" s="229"/>
      <c r="Q58" s="229"/>
      <c r="R58" s="229"/>
      <c r="S58" s="229"/>
      <c r="T58" s="229"/>
      <c r="U58" s="229"/>
      <c r="V58" s="229"/>
      <c r="W58" s="229"/>
      <c r="X58" s="229"/>
      <c r="Y58" s="229"/>
      <c r="Z58" s="229"/>
      <c r="AA58" s="229"/>
      <c r="AB58" s="229"/>
      <c r="AC58" s="229"/>
      <c r="AD58" s="229"/>
      <c r="AE58" s="229"/>
      <c r="AF58" s="229"/>
    </row>
    <row r="59" spans="1:32" x14ac:dyDescent="0.35">
      <c r="A59" s="229"/>
      <c r="B59" s="229"/>
      <c r="C59" s="229"/>
      <c r="D59" s="229"/>
      <c r="E59" s="229"/>
      <c r="F59" s="229"/>
      <c r="G59" s="229"/>
      <c r="H59" s="229"/>
      <c r="I59" s="229"/>
      <c r="J59" s="229"/>
      <c r="K59" s="229"/>
      <c r="L59" s="229"/>
      <c r="M59" s="229"/>
      <c r="N59" s="229"/>
      <c r="O59" s="229"/>
      <c r="P59" s="229"/>
      <c r="Q59" s="229"/>
      <c r="R59" s="229"/>
      <c r="S59" s="229"/>
      <c r="T59" s="229"/>
      <c r="U59" s="229"/>
      <c r="V59" s="229"/>
      <c r="W59" s="229"/>
      <c r="X59" s="229"/>
      <c r="Y59" s="229"/>
      <c r="Z59" s="229"/>
      <c r="AA59" s="229"/>
      <c r="AB59" s="229"/>
      <c r="AC59" s="229"/>
      <c r="AD59" s="229"/>
      <c r="AE59" s="229"/>
      <c r="AF59" s="229"/>
    </row>
    <row r="60" spans="1:32" x14ac:dyDescent="0.35">
      <c r="A60" s="229"/>
      <c r="B60" s="229"/>
      <c r="C60" s="229"/>
      <c r="D60" s="229"/>
      <c r="E60" s="229"/>
      <c r="F60" s="229"/>
      <c r="G60" s="229"/>
      <c r="H60" s="229"/>
      <c r="I60" s="229"/>
      <c r="J60" s="229"/>
      <c r="K60" s="229"/>
      <c r="L60" s="229"/>
      <c r="M60" s="229"/>
      <c r="N60" s="229"/>
      <c r="O60" s="229"/>
      <c r="P60" s="229"/>
      <c r="Q60" s="229"/>
      <c r="R60" s="229"/>
      <c r="S60" s="229"/>
      <c r="T60" s="229"/>
      <c r="U60" s="229"/>
      <c r="V60" s="229"/>
      <c r="W60" s="229"/>
      <c r="X60" s="229"/>
      <c r="Y60" s="229"/>
      <c r="Z60" s="229"/>
      <c r="AA60" s="229"/>
      <c r="AB60" s="229"/>
      <c r="AC60" s="229"/>
      <c r="AD60" s="229"/>
      <c r="AE60" s="229"/>
      <c r="AF60" s="229"/>
    </row>
    <row r="61" spans="1:32" x14ac:dyDescent="0.35">
      <c r="A61" s="229"/>
      <c r="B61" s="229"/>
      <c r="C61" s="229"/>
      <c r="D61" s="229"/>
      <c r="E61" s="229"/>
      <c r="F61" s="229"/>
      <c r="G61" s="229"/>
      <c r="H61" s="229"/>
      <c r="I61" s="229"/>
      <c r="J61" s="229"/>
      <c r="K61" s="229"/>
      <c r="L61" s="229"/>
      <c r="M61" s="229"/>
      <c r="N61" s="229"/>
      <c r="O61" s="229"/>
      <c r="P61" s="229"/>
      <c r="Q61" s="229"/>
      <c r="R61" s="229"/>
      <c r="S61" s="229"/>
      <c r="T61" s="229"/>
      <c r="U61" s="229"/>
      <c r="V61" s="229"/>
      <c r="W61" s="229"/>
      <c r="X61" s="229"/>
      <c r="Y61" s="229"/>
      <c r="Z61" s="229"/>
      <c r="AA61" s="229"/>
      <c r="AB61" s="229"/>
      <c r="AC61" s="229"/>
      <c r="AD61" s="229"/>
      <c r="AE61" s="229"/>
      <c r="AF61" s="229"/>
    </row>
    <row r="62" spans="1:32" x14ac:dyDescent="0.35">
      <c r="A62" s="229"/>
      <c r="B62" s="229"/>
      <c r="C62" s="229"/>
      <c r="D62" s="229"/>
      <c r="E62" s="229"/>
      <c r="F62" s="229"/>
      <c r="G62" s="229"/>
      <c r="H62" s="229"/>
      <c r="I62" s="229"/>
      <c r="J62" s="229"/>
      <c r="K62" s="229"/>
      <c r="L62" s="229"/>
      <c r="M62" s="229"/>
      <c r="N62" s="229"/>
      <c r="O62" s="229"/>
      <c r="P62" s="229"/>
      <c r="Q62" s="229"/>
      <c r="R62" s="229"/>
      <c r="S62" s="229"/>
      <c r="T62" s="229"/>
      <c r="U62" s="229"/>
      <c r="V62" s="229"/>
      <c r="W62" s="229"/>
      <c r="X62" s="229"/>
      <c r="Y62" s="229"/>
      <c r="Z62" s="229"/>
      <c r="AA62" s="229"/>
      <c r="AB62" s="229"/>
      <c r="AC62" s="229"/>
      <c r="AD62" s="229"/>
      <c r="AE62" s="229"/>
      <c r="AF62" s="229"/>
    </row>
    <row r="63" spans="1:32" x14ac:dyDescent="0.35">
      <c r="A63" s="229"/>
      <c r="B63" s="229"/>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29"/>
      <c r="AA63" s="229"/>
      <c r="AB63" s="229"/>
      <c r="AC63" s="229"/>
      <c r="AD63" s="229"/>
      <c r="AE63" s="229"/>
      <c r="AF63" s="229"/>
    </row>
    <row r="64" spans="1:32" x14ac:dyDescent="0.35">
      <c r="A64" s="229"/>
      <c r="B64" s="229"/>
      <c r="C64" s="229"/>
      <c r="D64" s="229"/>
      <c r="E64" s="229"/>
      <c r="F64" s="229"/>
      <c r="G64" s="229"/>
      <c r="H64" s="229"/>
      <c r="I64" s="229"/>
      <c r="J64" s="229"/>
      <c r="K64" s="229"/>
      <c r="L64" s="229"/>
      <c r="M64" s="229"/>
      <c r="N64" s="229"/>
      <c r="O64" s="229"/>
      <c r="P64" s="229"/>
      <c r="Q64" s="229"/>
      <c r="R64" s="229"/>
      <c r="S64" s="229"/>
      <c r="T64" s="229"/>
      <c r="U64" s="229"/>
      <c r="V64" s="229"/>
      <c r="W64" s="229"/>
      <c r="X64" s="229"/>
      <c r="Y64" s="229"/>
      <c r="Z64" s="229"/>
      <c r="AA64" s="229"/>
      <c r="AB64" s="229"/>
      <c r="AC64" s="229"/>
      <c r="AD64" s="229"/>
      <c r="AE64" s="229"/>
      <c r="AF64" s="229"/>
    </row>
    <row r="65" spans="1:32" x14ac:dyDescent="0.35">
      <c r="A65" s="229"/>
      <c r="B65" s="229"/>
      <c r="C65" s="229"/>
      <c r="D65" s="229"/>
      <c r="E65" s="229"/>
      <c r="F65" s="229"/>
      <c r="G65" s="229"/>
      <c r="H65" s="229"/>
      <c r="I65" s="229"/>
      <c r="J65" s="229"/>
      <c r="K65" s="229"/>
      <c r="L65" s="229"/>
      <c r="M65" s="229"/>
      <c r="N65" s="229"/>
      <c r="O65" s="229"/>
      <c r="P65" s="229"/>
      <c r="Q65" s="229"/>
      <c r="R65" s="229"/>
      <c r="S65" s="229"/>
      <c r="T65" s="229"/>
      <c r="U65" s="229"/>
      <c r="V65" s="229"/>
      <c r="W65" s="229"/>
      <c r="X65" s="229"/>
      <c r="Y65" s="229"/>
      <c r="Z65" s="229"/>
      <c r="AA65" s="229"/>
      <c r="AB65" s="229"/>
      <c r="AC65" s="229"/>
      <c r="AD65" s="229"/>
      <c r="AE65" s="229"/>
      <c r="AF65" s="229"/>
    </row>
    <row r="66" spans="1:32" x14ac:dyDescent="0.35">
      <c r="A66" s="229"/>
      <c r="B66" s="229"/>
      <c r="C66" s="229"/>
      <c r="D66" s="229"/>
      <c r="E66" s="229"/>
      <c r="F66" s="229"/>
      <c r="G66" s="229"/>
      <c r="H66" s="229"/>
      <c r="I66" s="229"/>
      <c r="J66" s="229"/>
      <c r="K66" s="229"/>
      <c r="L66" s="229"/>
      <c r="M66" s="229"/>
      <c r="N66" s="229"/>
      <c r="O66" s="229"/>
      <c r="P66" s="229"/>
      <c r="Q66" s="229"/>
      <c r="R66" s="229"/>
      <c r="S66" s="229"/>
      <c r="T66" s="229"/>
      <c r="U66" s="229"/>
      <c r="V66" s="229"/>
      <c r="W66" s="229"/>
      <c r="X66" s="229"/>
      <c r="Y66" s="229"/>
      <c r="Z66" s="229"/>
      <c r="AA66" s="229"/>
      <c r="AB66" s="229"/>
      <c r="AC66" s="229"/>
      <c r="AD66" s="229"/>
      <c r="AE66" s="229"/>
      <c r="AF66" s="229"/>
    </row>
    <row r="67" spans="1:32" x14ac:dyDescent="0.35">
      <c r="A67" s="229"/>
      <c r="B67" s="229"/>
      <c r="C67" s="229"/>
      <c r="D67" s="229"/>
      <c r="E67" s="229"/>
      <c r="F67" s="229"/>
      <c r="G67" s="229"/>
      <c r="H67" s="229"/>
      <c r="I67" s="229"/>
      <c r="J67" s="229"/>
      <c r="K67" s="229"/>
      <c r="L67" s="229"/>
      <c r="M67" s="229"/>
      <c r="N67" s="229"/>
      <c r="O67" s="229"/>
      <c r="P67" s="229"/>
      <c r="Q67" s="229"/>
      <c r="R67" s="229"/>
      <c r="S67" s="229"/>
      <c r="T67" s="229"/>
      <c r="U67" s="229"/>
      <c r="V67" s="229"/>
      <c r="W67" s="229"/>
      <c r="X67" s="229"/>
      <c r="Y67" s="229"/>
      <c r="Z67" s="229"/>
      <c r="AA67" s="229"/>
      <c r="AB67" s="229"/>
      <c r="AC67" s="229"/>
      <c r="AD67" s="229"/>
      <c r="AE67" s="229"/>
      <c r="AF67" s="229"/>
    </row>
    <row r="68" spans="1:32" x14ac:dyDescent="0.35">
      <c r="A68" s="229"/>
      <c r="B68" s="229"/>
      <c r="C68" s="229"/>
      <c r="D68" s="229"/>
      <c r="E68" s="229"/>
      <c r="F68" s="229"/>
      <c r="G68" s="229"/>
      <c r="H68" s="229"/>
      <c r="I68" s="229"/>
      <c r="J68" s="229"/>
      <c r="K68" s="229"/>
      <c r="L68" s="229"/>
      <c r="M68" s="229"/>
      <c r="N68" s="229"/>
      <c r="O68" s="229"/>
      <c r="P68" s="229"/>
      <c r="Q68" s="229"/>
      <c r="R68" s="229"/>
      <c r="S68" s="229"/>
      <c r="T68" s="229"/>
      <c r="U68" s="229"/>
      <c r="V68" s="229"/>
      <c r="W68" s="229"/>
      <c r="X68" s="229"/>
      <c r="Y68" s="229"/>
      <c r="Z68" s="229"/>
      <c r="AA68" s="229"/>
      <c r="AB68" s="229"/>
      <c r="AC68" s="229"/>
      <c r="AD68" s="229"/>
      <c r="AE68" s="229"/>
      <c r="AF68" s="229"/>
    </row>
    <row r="69" spans="1:32" x14ac:dyDescent="0.35">
      <c r="A69" s="229"/>
      <c r="B69" s="229"/>
      <c r="C69" s="229"/>
      <c r="D69" s="229"/>
      <c r="E69" s="229"/>
      <c r="F69" s="229"/>
      <c r="G69" s="229"/>
      <c r="H69" s="229"/>
      <c r="I69" s="229"/>
      <c r="J69" s="229"/>
      <c r="K69" s="229"/>
      <c r="L69" s="229"/>
      <c r="M69" s="229"/>
      <c r="N69" s="229"/>
      <c r="O69" s="229"/>
      <c r="P69" s="229"/>
      <c r="Q69" s="229"/>
      <c r="R69" s="229"/>
      <c r="S69" s="229"/>
      <c r="T69" s="229"/>
      <c r="U69" s="229"/>
      <c r="V69" s="229"/>
      <c r="W69" s="229"/>
      <c r="X69" s="229"/>
      <c r="Y69" s="229"/>
      <c r="Z69" s="229"/>
      <c r="AA69" s="229"/>
      <c r="AB69" s="229"/>
      <c r="AC69" s="229"/>
      <c r="AD69" s="229"/>
      <c r="AE69" s="229"/>
      <c r="AF69" s="229"/>
    </row>
    <row r="70" spans="1:32" x14ac:dyDescent="0.35">
      <c r="A70" s="229"/>
      <c r="B70" s="229"/>
      <c r="C70" s="229"/>
      <c r="D70" s="229"/>
      <c r="E70" s="229"/>
      <c r="F70" s="229"/>
      <c r="G70" s="229"/>
      <c r="H70" s="229"/>
      <c r="I70" s="229"/>
      <c r="J70" s="229"/>
      <c r="K70" s="229"/>
      <c r="L70" s="229"/>
      <c r="M70" s="229"/>
      <c r="N70" s="229"/>
      <c r="O70" s="229"/>
      <c r="P70" s="229"/>
      <c r="Q70" s="229"/>
      <c r="R70" s="229"/>
      <c r="S70" s="229"/>
      <c r="T70" s="229"/>
      <c r="U70" s="229"/>
      <c r="V70" s="229"/>
      <c r="W70" s="229"/>
      <c r="X70" s="229"/>
      <c r="Y70" s="229"/>
      <c r="Z70" s="229"/>
      <c r="AA70" s="229"/>
      <c r="AB70" s="229"/>
      <c r="AC70" s="229"/>
      <c r="AD70" s="229"/>
      <c r="AE70" s="229"/>
      <c r="AF70" s="229"/>
    </row>
    <row r="71" spans="1:32" x14ac:dyDescent="0.35">
      <c r="A71" s="229"/>
      <c r="B71" s="229"/>
      <c r="C71" s="229"/>
      <c r="D71" s="229"/>
      <c r="E71" s="229"/>
      <c r="F71" s="229"/>
      <c r="G71" s="229"/>
      <c r="H71" s="229"/>
      <c r="I71" s="229"/>
      <c r="J71" s="229"/>
      <c r="K71" s="229"/>
      <c r="L71" s="229"/>
      <c r="M71" s="229"/>
      <c r="N71" s="229"/>
      <c r="O71" s="229"/>
      <c r="P71" s="229"/>
      <c r="Q71" s="229"/>
      <c r="R71" s="229"/>
      <c r="S71" s="229"/>
      <c r="T71" s="229"/>
      <c r="U71" s="229"/>
      <c r="V71" s="229"/>
      <c r="W71" s="229"/>
      <c r="X71" s="229"/>
      <c r="Y71" s="229"/>
      <c r="Z71" s="229"/>
      <c r="AA71" s="229"/>
      <c r="AB71" s="229"/>
      <c r="AC71" s="229"/>
      <c r="AD71" s="229"/>
      <c r="AE71" s="229"/>
      <c r="AF71" s="229"/>
    </row>
    <row r="90" ht="8" customHeight="1" x14ac:dyDescent="0.35"/>
    <row r="92" ht="3" customHeight="1" x14ac:dyDescent="0.35"/>
    <row r="93" ht="18" customHeight="1" x14ac:dyDescent="0.35"/>
    <row r="94" ht="35" customHeight="1" x14ac:dyDescent="0.35"/>
    <row r="95" ht="8" customHeight="1" x14ac:dyDescent="0.35"/>
    <row r="98" ht="20" customHeight="1" x14ac:dyDescent="0.35"/>
    <row r="99" ht="20" customHeight="1" x14ac:dyDescent="0.35"/>
    <row r="100" ht="20" customHeight="1" x14ac:dyDescent="0.35"/>
    <row r="101" ht="20" customHeight="1" x14ac:dyDescent="0.35"/>
    <row r="102" ht="20" customHeight="1" x14ac:dyDescent="0.35"/>
    <row r="103" ht="20" customHeight="1" x14ac:dyDescent="0.35"/>
    <row r="104" ht="20" customHeight="1" x14ac:dyDescent="0.35"/>
    <row r="105" ht="20" customHeight="1" x14ac:dyDescent="0.35"/>
    <row r="106" ht="20" customHeight="1" x14ac:dyDescent="0.35"/>
    <row r="107" ht="20" customHeight="1" x14ac:dyDescent="0.35"/>
    <row r="108" ht="20" customHeight="1" x14ac:dyDescent="0.35"/>
    <row r="109" ht="20" customHeight="1" x14ac:dyDescent="0.35"/>
    <row r="110" ht="20" customHeight="1" x14ac:dyDescent="0.35"/>
    <row r="111" ht="20" customHeight="1" x14ac:dyDescent="0.35"/>
    <row r="112" ht="20" customHeight="1" x14ac:dyDescent="0.35"/>
    <row r="113" ht="20" customHeight="1" x14ac:dyDescent="0.35"/>
    <row r="114" ht="8" customHeight="1" x14ac:dyDescent="0.35"/>
  </sheetData>
  <mergeCells count="5">
    <mergeCell ref="B41:F43"/>
    <mergeCell ref="N5:S5"/>
    <mergeCell ref="B5:E5"/>
    <mergeCell ref="F5:H5"/>
    <mergeCell ref="I5:K5"/>
  </mergeCells>
  <conditionalFormatting sqref="E30:E39">
    <cfRule type="dataBar" priority="11">
      <dataBar>
        <cfvo type="min"/>
        <cfvo type="max"/>
        <color rgb="FF0D7377"/>
      </dataBar>
      <extLst>
        <ext xmlns:x14="http://schemas.microsoft.com/office/spreadsheetml/2009/9/main" uri="{B025F937-C7B1-47D3-B67F-A62EFF666E3E}">
          <x14:id>{146712A4-B862-4776-AD19-C532BB34C0F9}</x14:id>
        </ext>
      </extLst>
    </cfRule>
  </conditionalFormatting>
  <conditionalFormatting sqref="G7:G23 G26:G34">
    <cfRule type="dataBar" priority="2">
      <dataBar>
        <cfvo type="min"/>
        <cfvo type="max"/>
        <color rgb="FF417A85"/>
      </dataBar>
      <extLst>
        <ext xmlns:x14="http://schemas.microsoft.com/office/spreadsheetml/2009/9/main" uri="{B025F937-C7B1-47D3-B67F-A62EFF666E3E}">
          <x14:id>{4099D4CC-28EC-425F-87C3-9120CEC8D5A8}</x14:id>
        </ext>
      </extLst>
    </cfRule>
  </conditionalFormatting>
  <conditionalFormatting sqref="H7:J22">
    <cfRule type="cellIs" dxfId="36" priority="22" operator="greaterThan">
      <formula>0</formula>
    </cfRule>
    <cfRule type="cellIs" dxfId="35" priority="23" operator="lessThan">
      <formula>0</formula>
    </cfRule>
  </conditionalFormatting>
  <conditionalFormatting sqref="I7:I23 I25:I45">
    <cfRule type="cellIs" dxfId="34" priority="5" operator="lessThan">
      <formula>0</formula>
    </cfRule>
  </conditionalFormatting>
  <conditionalFormatting sqref="K30:K45">
    <cfRule type="cellIs" dxfId="33" priority="39" operator="greaterThan">
      <formula>0</formula>
    </cfRule>
    <cfRule type="cellIs" dxfId="32" priority="40" operator="lessThan">
      <formula>0</formula>
    </cfRule>
  </conditionalFormatting>
  <conditionalFormatting sqref="L7:L22">
    <cfRule type="cellIs" dxfId="31" priority="24" operator="greaterThan">
      <formula>0</formula>
    </cfRule>
    <cfRule type="cellIs" dxfId="30" priority="25" operator="lessThan">
      <formula>0</formula>
    </cfRule>
  </conditionalFormatting>
  <conditionalFormatting sqref="M7:M22">
    <cfRule type="dataBar" priority="10">
      <dataBar>
        <cfvo type="min"/>
        <cfvo type="max"/>
        <color rgb="FF0D7377"/>
      </dataBar>
      <extLst>
        <ext xmlns:x14="http://schemas.microsoft.com/office/spreadsheetml/2009/9/main" uri="{B025F937-C7B1-47D3-B67F-A62EFF666E3E}">
          <x14:id>{40E0C34C-90DA-4D1F-A6D9-15D238A69B99}</x14:id>
        </ext>
      </extLst>
    </cfRule>
    <cfRule type="dataBar" priority="38">
      <dataBar>
        <cfvo type="min"/>
        <cfvo type="max"/>
        <color rgb="FF38BDF8"/>
      </dataBar>
      <extLst>
        <ext xmlns:x14="http://schemas.microsoft.com/office/spreadsheetml/2009/9/main" uri="{B025F937-C7B1-47D3-B67F-A62EFF666E3E}">
          <x14:id>{DB9068C3-BB3F-4DF2-A731-F61A8198A199}</x14:id>
        </ext>
      </extLst>
    </cfRule>
  </conditionalFormatting>
  <conditionalFormatting sqref="Q7:Q22">
    <cfRule type="cellIs" dxfId="29" priority="20" operator="greaterThan">
      <formula>1.5</formula>
    </cfRule>
    <cfRule type="cellIs" dxfId="28" priority="21" operator="lessThan">
      <formula>1</formula>
    </cfRule>
    <cfRule type="cellIs" dxfId="27" priority="30" operator="greaterThanOrEqual">
      <formula>1.5</formula>
    </cfRule>
    <cfRule type="cellIs" dxfId="26" priority="31" operator="lessThan">
      <formula>1</formula>
    </cfRule>
  </conditionalFormatting>
  <conditionalFormatting sqref="R7:R22">
    <cfRule type="cellIs" dxfId="25" priority="18" operator="greaterThan">
      <formula>0</formula>
    </cfRule>
    <cfRule type="cellIs" dxfId="24" priority="19" operator="lessThan">
      <formula>0</formula>
    </cfRule>
  </conditionalFormatting>
  <conditionalFormatting sqref="S7:S22">
    <cfRule type="containsText" dxfId="23" priority="15" operator="containsText" text="HIGH">
      <formula>NOT(ISERROR(SEARCH("HIGH",S7)))</formula>
    </cfRule>
    <cfRule type="containsText" dxfId="22" priority="16" operator="containsText" text="MEDIUM">
      <formula>NOT(ISERROR(SEARCH("MEDIUM",S7)))</formula>
    </cfRule>
    <cfRule type="containsText" dxfId="21" priority="17" operator="containsText" text="LOW">
      <formula>NOT(ISERROR(SEARCH("LOW",S7)))</formula>
    </cfRule>
    <cfRule type="containsText" dxfId="20" priority="32" operator="containsText" text="LOW">
      <formula>NOT(ISERROR(SEARCH("LOW",S7)))</formula>
    </cfRule>
    <cfRule type="containsText" dxfId="19" priority="33" operator="containsText" text="MEDIUM">
      <formula>NOT(ISERROR(SEARCH("MEDIUM",S7)))</formula>
    </cfRule>
    <cfRule type="containsText" dxfId="18" priority="34" operator="containsText" text="HIGH">
      <formula>NOT(ISERROR(SEARCH("HIGH",S7)))</formula>
    </cfRule>
  </conditionalFormatting>
  <conditionalFormatting sqref="T7:T22">
    <cfRule type="containsText" dxfId="17" priority="12" operator="containsText" text="STRONG">
      <formula>NOT(ISERROR(SEARCH("STRONG",T7)))</formula>
    </cfRule>
    <cfRule type="containsText" dxfId="16" priority="13" operator="containsText" text="HOLD">
      <formula>NOT(ISERROR(SEARCH("HOLD",T7)))</formula>
    </cfRule>
    <cfRule type="containsText" dxfId="15" priority="14" operator="containsText" text="REVIEW">
      <formula>NOT(ISERROR(SEARCH("REVIEW",T7)))</formula>
    </cfRule>
    <cfRule type="containsText" dxfId="14" priority="35" operator="containsText" text="STRONG">
      <formula>NOT(ISERROR(SEARCH("STRONG",T7)))</formula>
    </cfRule>
    <cfRule type="containsText" dxfId="13" priority="36" operator="containsText" text="HOLD">
      <formula>NOT(ISERROR(SEARCH("HOLD",T7)))</formula>
    </cfRule>
    <cfRule type="containsText" dxfId="12" priority="37" operator="containsText" text="REVIEW">
      <formula>NOT(ISERROR(SEARCH("REVIEW",T7)))</formula>
    </cfRule>
  </conditionalFormatting>
  <pageMargins left="0.7" right="0.7" top="0.75" bottom="0.75" header="0.3" footer="0.3"/>
  <pageSetup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146712A4-B862-4776-AD19-C532BB34C0F9}">
            <x14:dataBar minLength="0" maxLength="100" direction="leftToRight" negativeBarColorSameAsPositive="1" axisPosition="none">
              <x14:cfvo type="min"/>
              <x14:cfvo type="max"/>
            </x14:dataBar>
          </x14:cfRule>
          <xm:sqref>E30:E39</xm:sqref>
        </x14:conditionalFormatting>
        <x14:conditionalFormatting xmlns:xm="http://schemas.microsoft.com/office/excel/2006/main">
          <x14:cfRule type="dataBar" id="{4099D4CC-28EC-425F-87C3-9120CEC8D5A8}">
            <x14:dataBar minLength="0" maxLength="100" gradient="0">
              <x14:cfvo type="autoMin"/>
              <x14:cfvo type="autoMax"/>
              <x14:negativeFillColor rgb="FFFF0000"/>
              <x14:axisColor rgb="FF000000"/>
            </x14:dataBar>
          </x14:cfRule>
          <xm:sqref>G7:G23 G26:G34</xm:sqref>
        </x14:conditionalFormatting>
        <x14:conditionalFormatting xmlns:xm="http://schemas.microsoft.com/office/excel/2006/main">
          <x14:cfRule type="iconSet" priority="4" id="{44104EAB-A027-4C50-8969-224B4F57005B}">
            <x14:iconSet iconSet="3Triangles">
              <x14:cfvo type="percent">
                <xm:f>0</xm:f>
              </x14:cfvo>
              <x14:cfvo type="num">
                <xm:f>0</xm:f>
              </x14:cfvo>
              <x14:cfvo type="num" gte="0">
                <xm:f>0</xm:f>
              </x14:cfvo>
            </x14:iconSet>
          </x14:cfRule>
          <xm:sqref>I3</xm:sqref>
        </x14:conditionalFormatting>
        <x14:conditionalFormatting xmlns:xm="http://schemas.microsoft.com/office/excel/2006/main">
          <x14:cfRule type="iconSet" priority="3" id="{A18E37FF-A616-4A88-B712-48A9254CB1D1}">
            <x14:iconSet iconSet="3Triangles">
              <x14:cfvo type="percent">
                <xm:f>0</xm:f>
              </x14:cfvo>
              <x14:cfvo type="num">
                <xm:f>0</xm:f>
              </x14:cfvo>
              <x14:cfvo type="num" gte="0">
                <xm:f>0</xm:f>
              </x14:cfvo>
            </x14:iconSet>
          </x14:cfRule>
          <xm:sqref>I7:I23 I25:I45</xm:sqref>
        </x14:conditionalFormatting>
        <x14:conditionalFormatting xmlns:xm="http://schemas.microsoft.com/office/excel/2006/main">
          <x14:cfRule type="dataBar" id="{40E0C34C-90DA-4D1F-A6D9-15D238A69B99}">
            <x14:dataBar minLength="0" maxLength="100" direction="leftToRight" negativeBarColorSameAsPositive="1" axisPosition="none">
              <x14:cfvo type="min"/>
              <x14:cfvo type="max"/>
            </x14:dataBar>
          </x14:cfRule>
          <x14:cfRule type="dataBar" id="{DB9068C3-BB3F-4DF2-A731-F61A8198A199}">
            <x14:dataBar minLength="0" maxLength="100" border="1" direction="leftToRight" negativeBarColorSameAsPositive="1" axisPosition="none">
              <x14:cfvo type="min"/>
              <x14:cfvo type="max"/>
              <x14:borderColor rgb="FF38BDF8"/>
            </x14:dataBar>
          </x14:cfRule>
          <xm:sqref>M7:M22</xm:sqref>
        </x14:conditionalFormatting>
      </x14:conditionalFormattings>
    </ext>
    <ext xmlns:x14="http://schemas.microsoft.com/office/spreadsheetml/2009/9/main" uri="{05C60535-1F16-4fd2-B633-F4F36F0B64E0}">
      <x14:sparklineGroups xmlns:xm="http://schemas.microsoft.com/office/excel/2006/main">
        <x14:sparklineGroup lineWeight="1.5" displayEmptyCellsAs="gap" xr2:uid="{2FA3F864-2D56-4E99-8977-4933E35A8194}">
          <x14:colorSeries rgb="FF417A85"/>
          <x14:colorNegative rgb="FFD00000"/>
          <x14:colorAxis rgb="FF000000"/>
          <x14:colorMarkers rgb="FFD00000"/>
          <x14:colorFirst rgb="FFD00000"/>
          <x14:colorLast rgb="FFD00000"/>
          <x14:colorHigh rgb="FFD00000"/>
          <x14:colorLow rgb="FFD00000"/>
          <x14:sparklines>
            <x14:sparkline>
              <xm:f>Sparkline!B27:IR27</xm:f>
              <xm:sqref>K31</xm:sqref>
            </x14:sparkline>
            <x14:sparkline>
              <xm:f>Sparkline!B28:IR28</xm:f>
              <xm:sqref>K32</xm:sqref>
            </x14:sparkline>
            <x14:sparkline>
              <xm:f>Sparkline!B29:IR29</xm:f>
              <xm:sqref>K33</xm:sqref>
            </x14:sparkline>
            <x14:sparkline>
              <xm:f>Sparkline!B30:IR30</xm:f>
              <xm:sqref>K34</xm:sqref>
            </x14:sparkline>
            <x14:sparkline>
              <xm:f>Sparkline!B31:IR31</xm:f>
              <xm:sqref>K35</xm:sqref>
            </x14:sparkline>
            <x14:sparkline>
              <xm:f>Sparkline!B32:IR32</xm:f>
              <xm:sqref>K36</xm:sqref>
            </x14:sparkline>
            <x14:sparkline>
              <xm:f>Sparkline!B33:IR33</xm:f>
              <xm:sqref>K37</xm:sqref>
            </x14:sparkline>
            <x14:sparkline>
              <xm:f>Sparkline!B34:IR34</xm:f>
              <xm:sqref>K38</xm:sqref>
            </x14:sparkline>
            <x14:sparkline>
              <xm:f>Sparkline!B35:IR35</xm:f>
              <xm:sqref>K39</xm:sqref>
            </x14:sparkline>
            <x14:sparkline>
              <xm:f>Sparkline!B36:IR36</xm:f>
              <xm:sqref>K40</xm:sqref>
            </x14:sparkline>
            <x14:sparkline>
              <xm:f>Sparkline!B37:IR37</xm:f>
              <xm:sqref>K41</xm:sqref>
            </x14:sparkline>
            <x14:sparkline>
              <xm:f>Sparkline!B38:IR38</xm:f>
              <xm:sqref>K42</xm:sqref>
            </x14:sparkline>
            <x14:sparkline>
              <xm:f>Sparkline!B39:IR39</xm:f>
              <xm:sqref>K43</xm:sqref>
            </x14:sparkline>
            <x14:sparkline>
              <xm:f>Sparkline!B40:IR40</xm:f>
              <xm:sqref>K44</xm:sqref>
            </x14:sparkline>
            <x14:sparkline>
              <xm:f>Sparkline!B41:IR41</xm:f>
              <xm:sqref>K45</xm:sqref>
            </x14:sparkline>
          </x14:sparklines>
        </x14:sparklineGroup>
        <x14:sparklineGroup lineWeight="1.5" displayEmptyCellsAs="gap" xr2:uid="{7E8AC964-3D4E-4CA0-9F31-1266610E4703}">
          <x14:colorSeries rgb="FF417A85"/>
          <x14:colorNegative rgb="FFD00000"/>
          <x14:colorAxis rgb="FF000000"/>
          <x14:colorMarkers rgb="FFD00000"/>
          <x14:colorFirst rgb="FFD00000"/>
          <x14:colorLast rgb="FFD00000"/>
          <x14:colorHigh rgb="FFD00000"/>
          <x14:colorLow rgb="FFD00000"/>
          <x14:sparklines>
            <x14:sparkline>
              <xm:f>Sparkline!B3:IR3</xm:f>
              <xm:sqref>K7</xm:sqref>
            </x14:sparkline>
            <x14:sparkline>
              <xm:f>Sparkline!B4:IR4</xm:f>
              <xm:sqref>K8</xm:sqref>
            </x14:sparkline>
            <x14:sparkline>
              <xm:f>Sparkline!B5:IR5</xm:f>
              <xm:sqref>K9</xm:sqref>
            </x14:sparkline>
            <x14:sparkline>
              <xm:f>Sparkline!B6:IR6</xm:f>
              <xm:sqref>K10</xm:sqref>
            </x14:sparkline>
            <x14:sparkline>
              <xm:f>Sparkline!B7:IR7</xm:f>
              <xm:sqref>K11</xm:sqref>
            </x14:sparkline>
            <x14:sparkline>
              <xm:f>Sparkline!B8:IR8</xm:f>
              <xm:sqref>K12</xm:sqref>
            </x14:sparkline>
            <x14:sparkline>
              <xm:f>Sparkline!B9:IR9</xm:f>
              <xm:sqref>K13</xm:sqref>
            </x14:sparkline>
            <x14:sparkline>
              <xm:f>Sparkline!B10:IR10</xm:f>
              <xm:sqref>K14</xm:sqref>
            </x14:sparkline>
            <x14:sparkline>
              <xm:f>Sparkline!B11:IR11</xm:f>
              <xm:sqref>K15</xm:sqref>
            </x14:sparkline>
            <x14:sparkline>
              <xm:f>Sparkline!B12:IR12</xm:f>
              <xm:sqref>K16</xm:sqref>
            </x14:sparkline>
            <x14:sparkline>
              <xm:f>Sparkline!B13:IR13</xm:f>
              <xm:sqref>K17</xm:sqref>
            </x14:sparkline>
            <x14:sparkline>
              <xm:f>Sparkline!B14:IR14</xm:f>
              <xm:sqref>K18</xm:sqref>
            </x14:sparkline>
            <x14:sparkline>
              <xm:f>Sparkline!B15:IR15</xm:f>
              <xm:sqref>K19</xm:sqref>
            </x14:sparkline>
            <x14:sparkline>
              <xm:f>Sparkline!B16:IR16</xm:f>
              <xm:sqref>K20</xm:sqref>
            </x14:sparkline>
            <x14:sparkline>
              <xm:f>Sparkline!B17:IR17</xm:f>
              <xm:sqref>K21</xm:sqref>
            </x14:sparkline>
            <x14:sparkline>
              <xm:f>Sparkline!B18:IR18</xm:f>
              <xm:sqref>K22</xm:sqref>
            </x14:sparkline>
            <x14:sparkline>
              <xm:f>Sparkline!B19:IR19</xm:f>
              <xm:sqref>K23</xm:sqref>
            </x14:sparkline>
            <x14:sparkline>
              <xm:f>Sparkline!B20:IR20</xm:f>
              <xm:sqref>K24</xm:sqref>
            </x14:sparkline>
            <x14:sparkline>
              <xm:f>Sparkline!B21:IR21</xm:f>
              <xm:sqref>K25</xm:sqref>
            </x14:sparkline>
            <x14:sparkline>
              <xm:f>Sparkline!B22:IR22</xm:f>
              <xm:sqref>K26</xm:sqref>
            </x14:sparkline>
            <x14:sparkline>
              <xm:f>Sparkline!B23:IR23</xm:f>
              <xm:sqref>K27</xm:sqref>
            </x14:sparkline>
            <x14:sparkline>
              <xm:f>Sparkline!B24:IR24</xm:f>
              <xm:sqref>K28</xm:sqref>
            </x14:sparkline>
            <x14:sparkline>
              <xm:f>Sparkline!B25:IR25</xm:f>
              <xm:sqref>K29</xm:sqref>
            </x14:sparkline>
            <x14:sparkline>
              <xm:f>Sparkline!B26:IR26</xm:f>
              <xm:sqref>K30</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8FF23-F610-404D-B6A2-8CF278D0DADF}">
  <sheetPr>
    <tabColor rgb="FF0D7377"/>
  </sheetPr>
  <dimension ref="A1:N85"/>
  <sheetViews>
    <sheetView showGridLines="0" tabSelected="1" zoomScale="50" zoomScaleNormal="50" workbookViewId="0">
      <pane ySplit="1" topLeftCell="A2" activePane="bottomLeft" state="frozen"/>
      <selection pane="bottomLeft" activeCell="N38" sqref="N38"/>
    </sheetView>
  </sheetViews>
  <sheetFormatPr defaultRowHeight="14.5" outlineLevelRow="2" x14ac:dyDescent="0.35"/>
  <cols>
    <col min="1" max="1" width="2.7265625" customWidth="1"/>
    <col min="2" max="2" width="79.36328125" bestFit="1" customWidth="1"/>
    <col min="3" max="3" width="42.81640625" bestFit="1" customWidth="1"/>
    <col min="4" max="4" width="15.36328125" bestFit="1" customWidth="1"/>
    <col min="5" max="5" width="21.7265625" bestFit="1" customWidth="1"/>
    <col min="6" max="6" width="23.7265625" bestFit="1" customWidth="1"/>
    <col min="7" max="7" width="23.54296875" bestFit="1" customWidth="1"/>
    <col min="8" max="8" width="21.36328125" bestFit="1" customWidth="1"/>
    <col min="9" max="9" width="23.7265625" bestFit="1" customWidth="1"/>
    <col min="10" max="10" width="30.26953125" bestFit="1" customWidth="1"/>
    <col min="11" max="11" width="27.54296875" bestFit="1" customWidth="1"/>
    <col min="12" max="12" width="12.08984375" bestFit="1" customWidth="1"/>
    <col min="13" max="13" width="7.1796875" bestFit="1" customWidth="1"/>
    <col min="14" max="14" width="13.1796875" bestFit="1" customWidth="1"/>
  </cols>
  <sheetData>
    <row r="1" spans="1:14" x14ac:dyDescent="0.35">
      <c r="A1" s="213"/>
      <c r="B1" s="213"/>
      <c r="C1" s="213"/>
      <c r="D1" s="213"/>
      <c r="E1" s="213"/>
      <c r="F1" s="213"/>
      <c r="G1" s="213"/>
      <c r="H1" s="213"/>
      <c r="I1" s="213"/>
      <c r="J1" s="213"/>
      <c r="K1" s="213"/>
      <c r="L1" s="213"/>
      <c r="M1" s="213"/>
    </row>
    <row r="2" spans="1:14" ht="23.5" x14ac:dyDescent="0.55000000000000004">
      <c r="A2" s="215"/>
      <c r="B2" s="508" t="s">
        <v>141</v>
      </c>
      <c r="C2" s="215"/>
      <c r="D2" s="215"/>
      <c r="E2" s="215"/>
      <c r="F2" s="215"/>
      <c r="G2" s="215"/>
      <c r="H2" s="215"/>
      <c r="I2" s="215"/>
      <c r="J2" s="215"/>
      <c r="K2" s="215"/>
      <c r="L2" s="215"/>
      <c r="M2" s="215"/>
      <c r="N2" s="215"/>
    </row>
    <row r="3" spans="1:14" ht="15.5" x14ac:dyDescent="0.35">
      <c r="A3" s="213"/>
      <c r="B3" s="509" t="s">
        <v>142</v>
      </c>
      <c r="C3" s="509" t="s">
        <v>143</v>
      </c>
      <c r="D3" s="509" t="s">
        <v>144</v>
      </c>
      <c r="E3" s="509" t="s">
        <v>145</v>
      </c>
      <c r="F3" s="509" t="s">
        <v>146</v>
      </c>
      <c r="G3" s="509" t="s">
        <v>147</v>
      </c>
      <c r="H3" s="509" t="s">
        <v>148</v>
      </c>
      <c r="I3" s="509" t="s">
        <v>200</v>
      </c>
      <c r="J3" s="509" t="s">
        <v>201</v>
      </c>
      <c r="K3" s="509" t="s">
        <v>149</v>
      </c>
      <c r="L3" s="213"/>
      <c r="M3" s="213"/>
      <c r="N3" s="213"/>
    </row>
    <row r="4" spans="1:14" ht="24" thickBot="1" x14ac:dyDescent="0.6">
      <c r="A4" s="213"/>
      <c r="B4" s="510">
        <f ca="1">SUM(Watchlist!J2:INDEX(Watchlist!J:J,COUNTA(Watchlist!J:J)))</f>
        <v>5465783557158</v>
      </c>
      <c r="C4" s="511">
        <f ca="1">AVERAGE(Watchlist!F2:INDEX(Watchlist!F:F,COUNTA(Watchlist!F:F)))</f>
        <v>30.446530000000003</v>
      </c>
      <c r="D4" s="366">
        <f ca="1">AVERAGE(Watchlist!E2:INDEX(Watchlist!E:E,COUNTA(Watchlist!E:E)))</f>
        <v>0.9894900000000002</v>
      </c>
      <c r="E4" s="512" t="str" cm="1">
        <f t="array" aca="1" ref="E4" ca="1">INDEX(Watchlist!B:B,MATCH(MAX(Watchlist!F$2:INDEX(Watchlist!F:F,COUNTA(Watchlist!F:F))),Watchlist!F$2:INDEX(Watchlist!F:F,COUNTA(Watchlist!F:F)),0)+1)&amp;" "&amp;TEXT(MAX(Watchlist!F$2:INDEX(Watchlist!F:F,COUNTA(Watchlist!F:F))),"0.0x")</f>
        <v>AMD 84.6x</v>
      </c>
      <c r="F4" s="512" t="str" cm="1">
        <f t="array" aca="1" ref="F4" ca="1">INDEX(Watchlist!B:B,MATCH(MIN(Watchlist!F$2:INDEX(Watchlist!F:F,COUNTA(Watchlist!F:F))),Watchlist!F$2:INDEX(Watchlist!F:F,COUNTA(Watchlist!F:F)),0)+1)&amp;" "&amp;TEXT(MIN(Watchlist!F$2:INDEX(Watchlist!F:F,COUNTA(Watchlist!F:F))),"0.0x")</f>
        <v>BAC 13.2x</v>
      </c>
      <c r="G4" s="512" t="str" cm="1">
        <f t="array" aca="1" ref="G4" ca="1">"▲ "&amp;INDEX(Watchlist!B:B,MATCH(MAX(Watchlist!G$2:INDEX(Watchlist!G:G,COUNTA(Watchlist!G:G))),Watchlist!G$2:INDEX(Watchlist!G:G,COUNTA(Watchlist!G:G)),0)+1)</f>
        <v>▲ AMD</v>
      </c>
      <c r="H4" s="512" t="str" cm="1">
        <f t="array" aca="1" ref="H4" ca="1">"▼ "&amp;INDEX(Watchlist!B:B,MATCH(MIN(Watchlist!G$2:INDEX(Watchlist!G:G,COUNTA(Watchlist!G:G))),Watchlist!G$2:INDEX(Watchlist!G:G,COUNTA(Watchlist!G:G)),0)+1)</f>
        <v>▼ MSFT</v>
      </c>
      <c r="I4" s="512">
        <f ca="1">COUNTA(Watchlist!B2:INDEX(Watchlist!B:B,COUNTA(Watchlist!B:B)))</f>
        <v>10</v>
      </c>
      <c r="J4" s="512">
        <f ca="1">COUNTA(_xlfn.UNIQUE(Watchlist!K2:INDEX(Watchlist!K:K,COUNTA(Watchlist!K:K))))</f>
        <v>9</v>
      </c>
      <c r="K4" s="511">
        <f ca="1">MEDIAN(Watchlist!F2:INDEX(Watchlist!F:F,COUNTA(Watchlist!F:F)))</f>
        <v>22.813000000000002</v>
      </c>
      <c r="L4" s="213"/>
      <c r="M4" s="213"/>
      <c r="N4" s="213"/>
    </row>
    <row r="5" spans="1:14" x14ac:dyDescent="0.35">
      <c r="A5" s="213"/>
      <c r="B5" s="213"/>
      <c r="C5" s="213"/>
      <c r="D5" s="213"/>
      <c r="E5" s="213"/>
      <c r="F5" s="213"/>
      <c r="G5" s="213"/>
      <c r="H5" s="213"/>
      <c r="I5" s="213"/>
      <c r="J5" s="213"/>
      <c r="K5" s="213"/>
      <c r="L5" s="213"/>
      <c r="M5" s="213"/>
      <c r="N5" s="213"/>
    </row>
    <row r="6" spans="1:14" ht="19" thickBot="1" x14ac:dyDescent="0.5">
      <c r="A6" s="213"/>
      <c r="B6" s="513" t="str">
        <f ca="1">"WATCHLIST  ·  "&amp;COUNTA(Watchlist!B2:B100)&amp;" STOCKS  ·  LIVE MARKET DATA  ·  52-WEEK ANALYSIS"</f>
        <v>WATCHLIST  ·  10 STOCKS  ·  LIVE MARKET DATA  ·  52-WEEK ANALYSIS</v>
      </c>
      <c r="C6" s="213"/>
      <c r="D6" s="213"/>
      <c r="E6" s="213"/>
      <c r="F6" s="213"/>
      <c r="G6" s="213"/>
      <c r="H6" s="213"/>
      <c r="I6" s="213"/>
      <c r="J6" s="213"/>
      <c r="K6" s="213"/>
      <c r="L6" s="234"/>
      <c r="M6" s="213"/>
      <c r="N6" s="213"/>
    </row>
    <row r="7" spans="1:14" ht="15.5" x14ac:dyDescent="0.35">
      <c r="A7" s="213"/>
      <c r="B7" s="379" t="s">
        <v>13</v>
      </c>
      <c r="C7" s="379" t="s">
        <v>0</v>
      </c>
      <c r="D7" s="379" t="s">
        <v>2</v>
      </c>
      <c r="E7" s="379" t="s">
        <v>150</v>
      </c>
      <c r="F7" s="379" t="s">
        <v>151</v>
      </c>
      <c r="G7" s="379" t="s">
        <v>27</v>
      </c>
      <c r="H7" s="379" t="s">
        <v>152</v>
      </c>
      <c r="I7" s="379" t="s">
        <v>153</v>
      </c>
      <c r="J7" s="379" t="s">
        <v>154</v>
      </c>
      <c r="K7" s="379" t="s">
        <v>155</v>
      </c>
      <c r="L7" s="553" t="s">
        <v>705</v>
      </c>
      <c r="M7" s="13"/>
      <c r="N7" s="13"/>
    </row>
    <row r="8" spans="1:14" ht="15.5" x14ac:dyDescent="0.35">
      <c r="A8" s="213"/>
      <c r="B8" s="391" t="str">
        <f ca="1">Watchlist!B3</f>
        <v>MSFT</v>
      </c>
      <c r="C8" s="522" t="str">
        <f ca="1">Watchlist!K3</f>
        <v>Software &amp; IT Services</v>
      </c>
      <c r="D8" s="434" cm="1">
        <f t="array" aca="1" ref="D8" ca="1">_FV(Watchlist!A3,"Price")</f>
        <v>371.44</v>
      </c>
      <c r="E8" s="452">
        <f ca="1">Watchlist!G3</f>
        <v>-2.02</v>
      </c>
      <c r="F8" s="523">
        <f ca="1">Watchlist!F3</f>
        <v>23.240600000000001</v>
      </c>
      <c r="G8" s="524">
        <f ca="1">Watchlist!E3</f>
        <v>1.103</v>
      </c>
      <c r="H8" s="525">
        <f ca="1">Watchlist!J3</f>
        <v>2758175635760</v>
      </c>
      <c r="I8" s="434">
        <f ca="1">Watchlist!C3</f>
        <v>555.45000000000005</v>
      </c>
      <c r="J8" s="434">
        <f ca="1">Watchlist!D3</f>
        <v>344.79</v>
      </c>
      <c r="K8" s="518" cm="1">
        <f t="array" aca="1" ref="K8" ca="1">(_FV(Watchlist!A3,"Price")-Watchlist!D3)/(Watchlist!C3-Watchlist!D3)</f>
        <v>0.12650716794835268</v>
      </c>
      <c r="L8" s="393" t="str">
        <f ca="1">IF(COUNTIF(Ledger[Ticker],B8)&gt;0,"⚠ IN PORTFOLIO","✔ UNIQUE")</f>
        <v>✔ UNIQUE</v>
      </c>
      <c r="M8" s="228" t="str">
        <f t="shared" ref="M8:M16" ca="1" si="0">B8</f>
        <v>MSFT</v>
      </c>
      <c r="N8" s="228">
        <f t="shared" ref="N8:N16" ca="1" si="1">K8</f>
        <v>0.12650716794835268</v>
      </c>
    </row>
    <row r="9" spans="1:14" ht="15.5" x14ac:dyDescent="0.35">
      <c r="A9" s="213"/>
      <c r="B9" s="398" t="str">
        <f ca="1">Watchlist!B4</f>
        <v>BABA</v>
      </c>
      <c r="C9" s="526" t="str">
        <f ca="1">Watchlist!K4</f>
        <v>Software &amp; IT Services</v>
      </c>
      <c r="D9" s="444" cm="1">
        <f t="array" aca="1" ref="D9" ca="1">_FV(Watchlist!A4,"Price")</f>
        <v>122.68</v>
      </c>
      <c r="E9" s="446">
        <f ca="1">Watchlist!G4</f>
        <v>0.63</v>
      </c>
      <c r="F9" s="527">
        <f ca="1">Watchlist!F4</f>
        <v>16.684799999999999</v>
      </c>
      <c r="G9" s="528">
        <f ca="1">Watchlist!E4</f>
        <v>0.49490000000000001</v>
      </c>
      <c r="H9" s="529">
        <f ca="1">Watchlist!J4</f>
        <v>292887826840</v>
      </c>
      <c r="I9" s="444">
        <f ca="1">Watchlist!C4</f>
        <v>192.67</v>
      </c>
      <c r="J9" s="444">
        <f ca="1">Watchlist!D4</f>
        <v>94.974199999999996</v>
      </c>
      <c r="K9" s="518" cm="1">
        <f t="array" aca="1" ref="K9" ca="1">(_FV(Watchlist!A4,"Price")-Watchlist!D4)/(Watchlist!C4-Watchlist!D4)</f>
        <v>0.28359253929032785</v>
      </c>
      <c r="L9" s="505" t="str">
        <f ca="1">IF(COUNTIF(Ledger[Ticker],B9)&gt;0,"⚠ IN PORTFOLIO","✔ UNIQUE")</f>
        <v>✔ UNIQUE</v>
      </c>
      <c r="M9" s="227" t="str">
        <f t="shared" ca="1" si="0"/>
        <v>BABA</v>
      </c>
      <c r="N9" s="227">
        <f t="shared" ca="1" si="1"/>
        <v>0.28359253929032785</v>
      </c>
    </row>
    <row r="10" spans="1:14" ht="15.5" x14ac:dyDescent="0.35">
      <c r="A10" s="213"/>
      <c r="B10" s="391" t="str">
        <f ca="1">Watchlist!B5</f>
        <v>DELL</v>
      </c>
      <c r="C10" s="522" t="str">
        <f ca="1">Watchlist!K5</f>
        <v>Computers, Phones &amp; Household Electronics</v>
      </c>
      <c r="D10" s="434" cm="1">
        <f t="array" aca="1" ref="D10" ca="1">_FV(Watchlist!A5,"Price")</f>
        <v>173.15</v>
      </c>
      <c r="E10" s="452">
        <f ca="1">Watchlist!G5</f>
        <v>-1.22</v>
      </c>
      <c r="F10" s="523">
        <f ca="1">Watchlist!F5</f>
        <v>19.857800000000001</v>
      </c>
      <c r="G10" s="524">
        <f ca="1">Watchlist!E5</f>
        <v>0.85729999999999995</v>
      </c>
      <c r="H10" s="525">
        <f ca="1">Watchlist!J5</f>
        <v>111811352775</v>
      </c>
      <c r="I10" s="434">
        <f ca="1">Watchlist!C5</f>
        <v>186.39</v>
      </c>
      <c r="J10" s="434">
        <f ca="1">Watchlist!D5</f>
        <v>66.245000000000005</v>
      </c>
      <c r="K10" s="518" cm="1">
        <f t="array" aca="1" ref="K10" ca="1">(_FV(Watchlist!A5,"Price")-Watchlist!D5)/(Watchlist!C5-Watchlist!D5)</f>
        <v>0.88979982521120327</v>
      </c>
      <c r="L10" s="393" t="str">
        <f ca="1">IF(COUNTIF(Ledger[Ticker],B10)&gt;0,"⚠ IN PORTFOLIO","✔ UNIQUE")</f>
        <v>✔ UNIQUE</v>
      </c>
      <c r="M10" s="228" t="str">
        <f t="shared" ca="1" si="0"/>
        <v>DELL</v>
      </c>
      <c r="N10" s="228">
        <f t="shared" ca="1" si="1"/>
        <v>0.88979982521120327</v>
      </c>
    </row>
    <row r="11" spans="1:14" ht="15.5" x14ac:dyDescent="0.35">
      <c r="A11" s="213"/>
      <c r="B11" s="398" t="str">
        <f ca="1">Watchlist!B6</f>
        <v>GS</v>
      </c>
      <c r="C11" s="526" t="str">
        <f ca="1">Watchlist!K6</f>
        <v>Investment Banking &amp; Investment Services</v>
      </c>
      <c r="D11" s="444" cm="1">
        <f t="array" aca="1" ref="D11" ca="1">_FV(Watchlist!A6,"Price")</f>
        <v>865.74270000000001</v>
      </c>
      <c r="E11" s="454">
        <f ca="1">Watchlist!G6</f>
        <v>2.7027000000000001</v>
      </c>
      <c r="F11" s="527">
        <f ca="1">Watchlist!F6</f>
        <v>16.875900000000001</v>
      </c>
      <c r="G11" s="528">
        <f ca="1">Watchlist!E6</f>
        <v>1.3147</v>
      </c>
      <c r="H11" s="529">
        <f ca="1">Watchlist!J6</f>
        <v>255388815469</v>
      </c>
      <c r="I11" s="444">
        <f ca="1">Watchlist!C6</f>
        <v>984.7</v>
      </c>
      <c r="J11" s="444">
        <f ca="1">Watchlist!D6</f>
        <v>439.38</v>
      </c>
      <c r="K11" s="518" cm="1">
        <f t="array" aca="1" ref="K11" ca="1">(_FV(Watchlist!A6,"Price")-Watchlist!D6)/(Watchlist!C6-Watchlist!D6)</f>
        <v>0.78185780825937057</v>
      </c>
      <c r="L11" s="505" t="str">
        <f ca="1">IF(COUNTIF(Ledger[Ticker],B11)&gt;0,"⚠ IN PORTFOLIO","✔ UNIQUE")</f>
        <v>✔ UNIQUE</v>
      </c>
      <c r="M11" s="227" t="str">
        <f t="shared" ca="1" si="0"/>
        <v>GS</v>
      </c>
      <c r="N11" s="227">
        <f t="shared" ca="1" si="1"/>
        <v>0.78185780825937057</v>
      </c>
    </row>
    <row r="12" spans="1:14" ht="15.5" x14ac:dyDescent="0.35">
      <c r="A12" s="213"/>
      <c r="B12" s="391" t="str">
        <f ca="1">Watchlist!B7</f>
        <v>XOM</v>
      </c>
      <c r="C12" s="522" t="str">
        <f ca="1">Watchlist!K7</f>
        <v>Oil &amp; Gas</v>
      </c>
      <c r="D12" s="434" cm="1">
        <f t="array" aca="1" ref="D12" ca="1">_FV(Watchlist!A7,"Price")</f>
        <v>161.03</v>
      </c>
      <c r="E12" s="436">
        <f ca="1">Watchlist!G7</f>
        <v>0.34</v>
      </c>
      <c r="F12" s="523">
        <f ca="1">Watchlist!F7</f>
        <v>24.104500000000002</v>
      </c>
      <c r="G12" s="524">
        <f ca="1">Watchlist!E7</f>
        <v>0.29189999999999999</v>
      </c>
      <c r="H12" s="525">
        <f ca="1">Watchlist!J7</f>
        <v>670974006920</v>
      </c>
      <c r="I12" s="434">
        <f ca="1">Watchlist!C7</f>
        <v>176.41</v>
      </c>
      <c r="J12" s="434">
        <f ca="1">Watchlist!D7</f>
        <v>97.8</v>
      </c>
      <c r="K12" s="518" cm="1">
        <f t="array" aca="1" ref="K12" ca="1">(_FV(Watchlist!A7,"Price")-Watchlist!D7)/(Watchlist!C7-Watchlist!D7)</f>
        <v>0.80435059152779553</v>
      </c>
      <c r="L12" s="393" t="str">
        <f ca="1">IF(COUNTIF(Ledger[Ticker],B12)&gt;0,"⚠ IN PORTFOLIO","✔ UNIQUE")</f>
        <v>✔ UNIQUE</v>
      </c>
      <c r="M12" s="228" t="str">
        <f t="shared" ca="1" si="0"/>
        <v>XOM</v>
      </c>
      <c r="N12" s="228">
        <f t="shared" ca="1" si="1"/>
        <v>0.80435059152779553</v>
      </c>
    </row>
    <row r="13" spans="1:14" ht="15.5" x14ac:dyDescent="0.35">
      <c r="A13" s="213"/>
      <c r="B13" s="398" t="str">
        <f ca="1">Watchlist!B8</f>
        <v>GM</v>
      </c>
      <c r="C13" s="526" t="str">
        <f ca="1">Watchlist!K8</f>
        <v>Automobiles &amp; Auto Parts</v>
      </c>
      <c r="D13" s="444" cm="1">
        <f t="array" aca="1" ref="D13" ca="1">_FV(Watchlist!A8,"Price")</f>
        <v>73.16</v>
      </c>
      <c r="E13" s="446">
        <f ca="1">Watchlist!G8</f>
        <v>0.62</v>
      </c>
      <c r="F13" s="527">
        <f ca="1">Watchlist!F8</f>
        <v>22.385400000000001</v>
      </c>
      <c r="G13" s="528">
        <f ca="1">Watchlist!E8</f>
        <v>1.3733</v>
      </c>
      <c r="H13" s="529">
        <f ca="1">Watchlist!J8</f>
        <v>66134284248</v>
      </c>
      <c r="I13" s="444">
        <f ca="1">Watchlist!C8</f>
        <v>87.62</v>
      </c>
      <c r="J13" s="444">
        <f ca="1">Watchlist!D8</f>
        <v>41.6</v>
      </c>
      <c r="K13" s="518" cm="1">
        <f t="array" aca="1" ref="K13" ca="1">(_FV(Watchlist!A8,"Price")-Watchlist!D8)/(Watchlist!C8-Watchlist!D8)</f>
        <v>0.68578878748370253</v>
      </c>
      <c r="L13" s="505" t="str">
        <f ca="1">IF(COUNTIF(Ledger[Ticker],B13)&gt;0,"⚠ IN PORTFOLIO","✔ UNIQUE")</f>
        <v>✔ UNIQUE</v>
      </c>
      <c r="M13" s="227" t="str">
        <f t="shared" ca="1" si="0"/>
        <v>GM</v>
      </c>
      <c r="N13" s="227">
        <f t="shared" ca="1" si="1"/>
        <v>0.68578878748370253</v>
      </c>
    </row>
    <row r="14" spans="1:14" ht="15.5" x14ac:dyDescent="0.35">
      <c r="A14" s="213"/>
      <c r="B14" s="391" t="str">
        <f ca="1">Watchlist!B9</f>
        <v>BAC</v>
      </c>
      <c r="C14" s="522" t="str">
        <f ca="1">Watchlist!K9</f>
        <v>Banking Services</v>
      </c>
      <c r="D14" s="434" cm="1">
        <f t="array" aca="1" ref="D14" ca="1">_FV(Watchlist!A9,"Price")</f>
        <v>49.835000000000001</v>
      </c>
      <c r="E14" s="452">
        <f ca="1">Watchlist!G9</f>
        <v>0.45500000000000002</v>
      </c>
      <c r="F14" s="523">
        <f ca="1">Watchlist!F9</f>
        <v>13.174099999999999</v>
      </c>
      <c r="G14" s="524">
        <f ca="1">Watchlist!E9</f>
        <v>1.2422</v>
      </c>
      <c r="H14" s="525">
        <f ca="1">Watchlist!J9</f>
        <v>356106408015</v>
      </c>
      <c r="I14" s="434">
        <f ca="1">Watchlist!C9</f>
        <v>57.55</v>
      </c>
      <c r="J14" s="434">
        <f ca="1">Watchlist!D9</f>
        <v>33.064999999999998</v>
      </c>
      <c r="K14" s="518" cm="1">
        <f t="array" aca="1" ref="K14" ca="1">(_FV(Watchlist!A9,"Price")-Watchlist!D9)/(Watchlist!C9-Watchlist!D9)</f>
        <v>0.6849091280375742</v>
      </c>
      <c r="L14" s="393" t="str">
        <f ca="1">IF(COUNTIF(Ledger[Ticker],B14)&gt;0,"⚠ IN PORTFOLIO","✔ UNIQUE")</f>
        <v>✔ UNIQUE</v>
      </c>
      <c r="M14" s="228" t="str">
        <f t="shared" ca="1" si="0"/>
        <v>BAC</v>
      </c>
      <c r="N14" s="228">
        <f t="shared" ca="1" si="1"/>
        <v>0.6849091280375742</v>
      </c>
    </row>
    <row r="15" spans="1:14" ht="15.5" x14ac:dyDescent="0.35">
      <c r="A15" s="213"/>
      <c r="B15" s="398" t="str">
        <f ca="1">Watchlist!B10</f>
        <v>LMT</v>
      </c>
      <c r="C15" s="526" t="str">
        <f ca="1">Watchlist!K10</f>
        <v>Aerospace &amp; Defense</v>
      </c>
      <c r="D15" s="444" cm="1">
        <f t="array" aca="1" ref="D15" ca="1">_FV(Watchlist!A10,"Price")</f>
        <v>624.56870000000004</v>
      </c>
      <c r="E15" s="454">
        <f ca="1">Watchlist!G10</f>
        <v>1.7786999999999999</v>
      </c>
      <c r="F15" s="527">
        <f ca="1">Watchlist!F10</f>
        <v>29.0685</v>
      </c>
      <c r="G15" s="528">
        <f ca="1">Watchlist!E10</f>
        <v>0.23669999999999999</v>
      </c>
      <c r="H15" s="529">
        <f ca="1">Watchlist!J10</f>
        <v>143939414196</v>
      </c>
      <c r="I15" s="444">
        <f ca="1">Watchlist!C10</f>
        <v>692</v>
      </c>
      <c r="J15" s="444">
        <f ca="1">Watchlist!D10</f>
        <v>410.11</v>
      </c>
      <c r="K15" s="518" cm="1">
        <f t="array" aca="1" ref="K15" ca="1">(_FV(Watchlist!A10,"Price")-Watchlist!D10)/(Watchlist!C10-Watchlist!D10)</f>
        <v>0.76078860548440896</v>
      </c>
      <c r="L15" s="505" t="str">
        <f ca="1">IF(COUNTIF(Ledger[Ticker],B15)&gt;0,"⚠ IN PORTFOLIO","✔ UNIQUE")</f>
        <v>✔ UNIQUE</v>
      </c>
      <c r="M15" s="226" t="str">
        <f t="shared" ca="1" si="0"/>
        <v>LMT</v>
      </c>
      <c r="N15" s="226">
        <f t="shared" ca="1" si="1"/>
        <v>0.76078860548440896</v>
      </c>
    </row>
    <row r="16" spans="1:14" ht="15.5" x14ac:dyDescent="0.35">
      <c r="A16" s="213"/>
      <c r="B16" s="412" t="str">
        <f ca="1">Watchlist!B11</f>
        <v>COST</v>
      </c>
      <c r="C16" s="530" t="str">
        <f ca="1">Watchlist!K11</f>
        <v>Diversified Retail</v>
      </c>
      <c r="D16" s="462" cm="1">
        <f t="array" aca="1" ref="D16" ca="1">_FV(Watchlist!A11,"Price")</f>
        <v>1016.87</v>
      </c>
      <c r="E16" s="464">
        <f ca="1">Watchlist!G11</f>
        <v>1.91</v>
      </c>
      <c r="F16" s="531">
        <f ca="1">Watchlist!F11</f>
        <v>54.470700000000001</v>
      </c>
      <c r="G16" s="532">
        <f ca="1">Watchlist!E11</f>
        <v>0.98899999999999999</v>
      </c>
      <c r="H16" s="533">
        <f ca="1">Watchlist!J11</f>
        <v>451136917675</v>
      </c>
      <c r="I16" s="462">
        <f ca="1">Watchlist!C11</f>
        <v>1067.08</v>
      </c>
      <c r="J16" s="462">
        <f ca="1">Watchlist!D11</f>
        <v>844.06</v>
      </c>
      <c r="K16" s="521" cm="1">
        <f t="array" aca="1" ref="K16" ca="1">(_FV(Watchlist!A11,"Price")-Watchlist!D11)/(Watchlist!C11-Watchlist!D11)</f>
        <v>0.7748632409649362</v>
      </c>
      <c r="L16" s="413" t="str">
        <f ca="1">IF(COUNTIF(Ledger[Ticker],B16)&gt;0,"⚠ IN PORTFOLIO","✔ UNIQUE")</f>
        <v>✔ UNIQUE</v>
      </c>
      <c r="M16" s="213" t="str">
        <f t="shared" ca="1" si="0"/>
        <v>COST</v>
      </c>
      <c r="N16" s="213">
        <f t="shared" ca="1" si="1"/>
        <v>0.7748632409649362</v>
      </c>
    </row>
    <row r="17" spans="1:14" ht="15.5" x14ac:dyDescent="0.35">
      <c r="A17" s="213"/>
      <c r="B17" s="398" t="str">
        <f ca="1">Watchlist!B2</f>
        <v>AMD</v>
      </c>
      <c r="C17" s="526" t="str">
        <f ca="1">Watchlist!K2</f>
        <v>Semiconductors &amp; Semiconductor Equipment</v>
      </c>
      <c r="D17" s="444" cm="1">
        <f t="array" aca="1" ref="D17" ca="1">_FV(Watchlist!A2,"Price")</f>
        <v>220.34</v>
      </c>
      <c r="E17" s="446">
        <f ca="1">Watchlist!G2</f>
        <v>2.84</v>
      </c>
      <c r="F17" s="527">
        <f ca="1">Watchlist!F2</f>
        <v>84.602999999999994</v>
      </c>
      <c r="G17" s="528">
        <f ca="1">Watchlist!E2</f>
        <v>1.9919</v>
      </c>
      <c r="H17" s="529">
        <f ca="1">Watchlist!J2</f>
        <v>359228895260</v>
      </c>
      <c r="I17" s="444">
        <f ca="1">Watchlist!C2</f>
        <v>267.07990000000001</v>
      </c>
      <c r="J17" s="444">
        <f ca="1">Watchlist!D2</f>
        <v>76.48</v>
      </c>
      <c r="K17" s="518" cm="1">
        <f t="array" aca="1" ref="K17" ca="1">(_FV(Watchlist!A2,"Price")-Watchlist!D2)/(Watchlist!C2-Watchlist!D2)</f>
        <v>0.75477479264154923</v>
      </c>
      <c r="L17" s="505" t="str">
        <f ca="1">IF(COUNTIF(Ledger[Ticker],B17)&gt;0,"⚠ IN PORTFOLIO","✔ UNIQUE")</f>
        <v>⚠ IN PORTFOLIO</v>
      </c>
      <c r="M17" s="226" t="str">
        <f ca="1">B17</f>
        <v>AMD</v>
      </c>
      <c r="N17" s="226">
        <f ca="1">K17</f>
        <v>0.75477479264154923</v>
      </c>
    </row>
    <row r="18" spans="1:14" x14ac:dyDescent="0.35">
      <c r="A18" s="213"/>
      <c r="B18" s="213" t="s">
        <v>156</v>
      </c>
      <c r="C18" s="213"/>
      <c r="D18" s="213"/>
      <c r="E18" s="213"/>
      <c r="F18" s="213"/>
      <c r="G18" s="213"/>
      <c r="H18" s="213"/>
      <c r="I18" s="213"/>
      <c r="J18" s="213"/>
      <c r="K18" s="213"/>
      <c r="L18" s="213"/>
      <c r="M18" s="213"/>
      <c r="N18" s="213"/>
    </row>
    <row r="19" spans="1:14" x14ac:dyDescent="0.35">
      <c r="A19" s="213"/>
      <c r="B19" s="213"/>
      <c r="C19" s="213"/>
      <c r="D19" s="213"/>
      <c r="E19" s="213"/>
      <c r="F19" s="213"/>
      <c r="G19" s="213"/>
      <c r="H19" s="213"/>
      <c r="I19" s="213"/>
      <c r="J19" s="213"/>
      <c r="K19" s="213"/>
      <c r="L19" s="213"/>
      <c r="M19" s="213"/>
      <c r="N19" s="213"/>
    </row>
    <row r="20" spans="1:14" x14ac:dyDescent="0.35">
      <c r="A20" s="213"/>
      <c r="B20" s="213"/>
      <c r="C20" s="213"/>
      <c r="D20" s="213"/>
      <c r="E20" s="213"/>
      <c r="F20" s="213"/>
      <c r="G20" s="213"/>
      <c r="H20" s="213"/>
      <c r="I20" s="213"/>
      <c r="J20" s="213"/>
      <c r="K20" s="213"/>
      <c r="L20" s="213"/>
      <c r="M20" s="213"/>
      <c r="N20" s="213"/>
    </row>
    <row r="21" spans="1:14" x14ac:dyDescent="0.35">
      <c r="A21" s="213"/>
      <c r="B21" s="213"/>
      <c r="C21" s="213"/>
      <c r="D21" s="213"/>
      <c r="E21" s="213"/>
      <c r="F21" s="213"/>
      <c r="G21" s="213"/>
      <c r="H21" s="213"/>
      <c r="I21" s="213"/>
      <c r="J21" s="213"/>
      <c r="K21" s="213"/>
      <c r="L21" s="213"/>
      <c r="M21" s="213"/>
      <c r="N21" s="213"/>
    </row>
    <row r="22" spans="1:14" x14ac:dyDescent="0.35">
      <c r="A22" s="213"/>
      <c r="B22" s="213"/>
      <c r="C22" s="213"/>
      <c r="D22" s="213"/>
      <c r="E22" s="213"/>
      <c r="F22" s="213"/>
      <c r="G22" s="213"/>
      <c r="H22" s="213"/>
      <c r="I22" s="213"/>
      <c r="J22" s="213"/>
      <c r="K22" s="213"/>
      <c r="L22" s="213"/>
      <c r="M22" s="213"/>
      <c r="N22" s="213"/>
    </row>
    <row r="23" spans="1:14" x14ac:dyDescent="0.35">
      <c r="A23" s="213"/>
      <c r="B23" s="213"/>
      <c r="C23" s="213"/>
      <c r="D23" s="213"/>
      <c r="E23" s="213"/>
      <c r="F23" s="213"/>
      <c r="G23" s="213"/>
      <c r="H23" s="213"/>
      <c r="I23" s="213"/>
      <c r="J23" s="213"/>
      <c r="K23" s="213"/>
      <c r="L23" s="213"/>
      <c r="M23" s="213"/>
      <c r="N23" s="213"/>
    </row>
    <row r="24" spans="1:14" x14ac:dyDescent="0.35">
      <c r="A24" s="213"/>
      <c r="B24" s="213"/>
      <c r="C24" s="213"/>
      <c r="D24" s="213"/>
      <c r="E24" s="213"/>
      <c r="F24" s="213"/>
      <c r="G24" s="213"/>
      <c r="H24" s="213"/>
      <c r="I24" s="213"/>
      <c r="J24" s="213"/>
      <c r="K24" s="213"/>
      <c r="L24" s="213"/>
      <c r="M24" s="213"/>
      <c r="N24" s="213"/>
    </row>
    <row r="25" spans="1:14" x14ac:dyDescent="0.35">
      <c r="A25" s="213"/>
      <c r="B25" s="213"/>
      <c r="C25" s="213"/>
      <c r="D25" s="213"/>
      <c r="E25" s="213"/>
      <c r="F25" s="213"/>
      <c r="G25" s="213"/>
      <c r="H25" s="213"/>
      <c r="I25" s="213"/>
      <c r="J25" s="213"/>
      <c r="K25" s="213"/>
      <c r="L25" s="213"/>
      <c r="M25" s="213"/>
      <c r="N25" s="213"/>
    </row>
    <row r="26" spans="1:14" x14ac:dyDescent="0.35">
      <c r="A26" s="213"/>
      <c r="B26" s="213"/>
      <c r="C26" s="213"/>
      <c r="D26" s="213"/>
      <c r="E26" s="213"/>
      <c r="F26" s="213"/>
      <c r="G26" s="213"/>
      <c r="H26" s="213"/>
      <c r="I26" s="213"/>
      <c r="J26" s="213"/>
      <c r="K26" s="213"/>
      <c r="L26" s="213"/>
      <c r="M26" s="213"/>
      <c r="N26" s="213"/>
    </row>
    <row r="27" spans="1:14" x14ac:dyDescent="0.35">
      <c r="A27" s="213"/>
      <c r="B27" s="213"/>
      <c r="C27" s="213"/>
      <c r="D27" s="213"/>
      <c r="E27" s="213"/>
      <c r="F27" s="213"/>
      <c r="G27" s="213"/>
      <c r="H27" s="213"/>
      <c r="I27" s="213"/>
      <c r="J27" s="213"/>
      <c r="K27" s="213"/>
      <c r="L27" s="213"/>
      <c r="M27" s="213"/>
      <c r="N27" s="213"/>
    </row>
    <row r="28" spans="1:14" x14ac:dyDescent="0.35">
      <c r="A28" s="213"/>
      <c r="B28" s="213"/>
      <c r="C28" s="213"/>
      <c r="D28" s="213"/>
      <c r="E28" s="213"/>
      <c r="F28" s="213"/>
      <c r="G28" s="213"/>
      <c r="H28" s="213"/>
      <c r="I28" s="213"/>
      <c r="J28" s="213"/>
      <c r="K28" s="213"/>
      <c r="L28" s="213"/>
      <c r="M28" s="213"/>
      <c r="N28" s="213"/>
    </row>
    <row r="29" spans="1:14" x14ac:dyDescent="0.35">
      <c r="A29" s="213"/>
      <c r="B29" s="213"/>
      <c r="C29" s="213"/>
      <c r="D29" s="213"/>
      <c r="E29" s="213"/>
      <c r="F29" s="213"/>
      <c r="G29" s="213"/>
      <c r="H29" s="213"/>
      <c r="I29" s="213"/>
      <c r="J29" s="213"/>
      <c r="K29" s="213"/>
      <c r="L29" s="213"/>
      <c r="M29" s="213"/>
      <c r="N29" s="213"/>
    </row>
    <row r="30" spans="1:14" x14ac:dyDescent="0.35">
      <c r="A30" s="213"/>
      <c r="B30" s="213"/>
      <c r="C30" s="213"/>
      <c r="D30" s="213"/>
      <c r="E30" s="213"/>
      <c r="F30" s="213"/>
      <c r="G30" s="213"/>
      <c r="H30" s="213"/>
      <c r="I30" s="213"/>
      <c r="J30" s="213"/>
      <c r="K30" s="213"/>
      <c r="L30" s="213"/>
      <c r="M30" s="213"/>
      <c r="N30" s="213"/>
    </row>
    <row r="31" spans="1:14" x14ac:dyDescent="0.35">
      <c r="A31" s="213"/>
      <c r="B31" s="213"/>
      <c r="C31" s="213"/>
      <c r="D31" s="213"/>
      <c r="E31" s="213"/>
      <c r="F31" s="213"/>
      <c r="G31" s="213"/>
      <c r="H31" s="213"/>
      <c r="I31" s="213"/>
      <c r="J31" s="213"/>
      <c r="K31" s="213"/>
      <c r="L31" s="213"/>
      <c r="M31" s="213"/>
      <c r="N31" s="213"/>
    </row>
    <row r="32" spans="1:14" x14ac:dyDescent="0.35">
      <c r="A32" s="213"/>
      <c r="B32" s="213"/>
      <c r="C32" s="213"/>
      <c r="D32" s="213"/>
      <c r="E32" s="213"/>
      <c r="F32" s="213"/>
      <c r="G32" s="213"/>
      <c r="H32" s="213"/>
      <c r="I32" s="213"/>
      <c r="J32" s="213"/>
      <c r="K32" s="213"/>
      <c r="L32" s="213"/>
      <c r="M32" s="213"/>
      <c r="N32" s="213"/>
    </row>
    <row r="33" spans="1:14" x14ac:dyDescent="0.35">
      <c r="A33" s="213"/>
      <c r="B33" s="213"/>
      <c r="C33" s="213"/>
      <c r="D33" s="213"/>
      <c r="E33" s="213"/>
      <c r="F33" s="213"/>
      <c r="G33" s="213"/>
      <c r="H33" s="213"/>
      <c r="I33" s="213"/>
      <c r="J33" s="213"/>
      <c r="K33" s="213"/>
      <c r="L33" s="213"/>
      <c r="M33" s="213"/>
      <c r="N33" s="213"/>
    </row>
    <row r="34" spans="1:14" x14ac:dyDescent="0.35">
      <c r="A34" s="213"/>
      <c r="B34" s="213"/>
      <c r="C34" s="213"/>
      <c r="D34" s="213"/>
      <c r="E34" s="213"/>
      <c r="F34" s="213"/>
      <c r="G34" s="213"/>
      <c r="H34" s="213"/>
      <c r="I34" s="213"/>
      <c r="J34" s="213"/>
      <c r="K34" s="213"/>
      <c r="L34" s="213"/>
      <c r="M34" s="213"/>
      <c r="N34" s="213"/>
    </row>
    <row r="35" spans="1:14" x14ac:dyDescent="0.35">
      <c r="A35" s="213"/>
      <c r="B35" s="213"/>
      <c r="C35" s="213"/>
      <c r="D35" s="213"/>
      <c r="E35" s="213"/>
      <c r="F35" s="213"/>
      <c r="G35" s="213"/>
      <c r="H35" s="213"/>
      <c r="I35" s="213"/>
      <c r="J35" s="213"/>
      <c r="K35" s="213"/>
      <c r="L35" s="213"/>
      <c r="M35" s="213"/>
      <c r="N35" s="213"/>
    </row>
    <row r="36" spans="1:14" x14ac:dyDescent="0.35">
      <c r="A36" s="213"/>
      <c r="B36" s="213"/>
      <c r="C36" s="213"/>
      <c r="D36" s="213"/>
      <c r="E36" s="213"/>
      <c r="F36" s="213"/>
      <c r="G36" s="213"/>
      <c r="H36" s="213"/>
      <c r="I36" s="213"/>
      <c r="J36" s="213"/>
      <c r="K36" s="213"/>
      <c r="L36" s="213"/>
      <c r="M36" s="213"/>
      <c r="N36" s="213"/>
    </row>
    <row r="37" spans="1:14" x14ac:dyDescent="0.35">
      <c r="A37" s="213"/>
      <c r="B37" s="213"/>
      <c r="C37" s="213"/>
      <c r="D37" s="213"/>
      <c r="E37" s="213"/>
      <c r="F37" s="213"/>
      <c r="G37" s="213"/>
      <c r="H37" s="213"/>
      <c r="I37" s="213"/>
      <c r="J37" s="213"/>
      <c r="K37" s="213"/>
      <c r="L37" s="213"/>
      <c r="M37" s="213"/>
      <c r="N37" s="213"/>
    </row>
    <row r="38" spans="1:14" x14ac:dyDescent="0.35">
      <c r="A38" s="213"/>
      <c r="B38" s="213"/>
      <c r="C38" s="213"/>
      <c r="D38" s="213"/>
      <c r="E38" s="213"/>
      <c r="F38" s="213"/>
      <c r="G38" s="213"/>
      <c r="H38" s="213"/>
      <c r="I38" s="213"/>
      <c r="J38" s="213"/>
      <c r="K38" s="213"/>
      <c r="L38" s="213"/>
      <c r="M38" s="213"/>
      <c r="N38" s="213"/>
    </row>
    <row r="39" spans="1:14" x14ac:dyDescent="0.35">
      <c r="A39" s="213"/>
      <c r="B39" s="213"/>
      <c r="C39" s="213"/>
      <c r="D39" s="213"/>
      <c r="E39" s="213"/>
      <c r="F39" s="213"/>
      <c r="G39" s="213"/>
      <c r="H39" s="213"/>
      <c r="I39" s="213"/>
      <c r="J39" s="213"/>
      <c r="K39" s="213"/>
      <c r="L39" s="213"/>
      <c r="M39" s="213"/>
      <c r="N39" s="213"/>
    </row>
    <row r="40" spans="1:14" x14ac:dyDescent="0.35">
      <c r="A40" s="213"/>
      <c r="B40" s="213"/>
      <c r="C40" s="213"/>
      <c r="D40" s="213"/>
      <c r="E40" s="213"/>
      <c r="F40" s="213"/>
      <c r="G40" s="213"/>
      <c r="H40" s="213"/>
      <c r="I40" s="213"/>
      <c r="J40" s="213"/>
      <c r="K40" s="213"/>
      <c r="L40" s="213"/>
      <c r="M40" s="213"/>
      <c r="N40" s="213"/>
    </row>
    <row r="41" spans="1:14" x14ac:dyDescent="0.35">
      <c r="A41" s="213"/>
      <c r="B41" s="213"/>
      <c r="C41" s="213"/>
      <c r="D41" s="213"/>
      <c r="E41" s="213"/>
      <c r="F41" s="213"/>
      <c r="G41" s="213"/>
      <c r="H41" s="213"/>
      <c r="I41" s="213"/>
      <c r="J41" s="213"/>
      <c r="K41" s="213"/>
      <c r="L41" s="213"/>
      <c r="M41" s="213"/>
      <c r="N41" s="213"/>
    </row>
    <row r="42" spans="1:14" x14ac:dyDescent="0.35">
      <c r="A42" s="213"/>
      <c r="B42" s="213"/>
      <c r="C42" s="213"/>
      <c r="D42" s="213"/>
      <c r="E42" s="213"/>
      <c r="F42" s="213"/>
      <c r="G42" s="213"/>
      <c r="H42" s="213"/>
      <c r="I42" s="213"/>
      <c r="J42" s="213"/>
      <c r="K42" s="213"/>
      <c r="L42" s="213"/>
      <c r="M42" s="213"/>
      <c r="N42" s="213"/>
    </row>
    <row r="43" spans="1:14" x14ac:dyDescent="0.35">
      <c r="A43" s="213"/>
      <c r="B43" s="213"/>
      <c r="C43" s="213"/>
      <c r="D43" s="213"/>
      <c r="E43" s="213"/>
      <c r="F43" s="213"/>
      <c r="G43" s="213"/>
      <c r="H43" s="213"/>
      <c r="I43" s="213"/>
      <c r="J43" s="213"/>
      <c r="K43" s="213"/>
      <c r="L43" s="213"/>
      <c r="M43" s="213"/>
      <c r="N43" s="213"/>
    </row>
    <row r="44" spans="1:14" x14ac:dyDescent="0.35">
      <c r="A44" s="213"/>
      <c r="B44" s="213"/>
      <c r="C44" s="213"/>
      <c r="D44" s="213"/>
      <c r="E44" s="213"/>
      <c r="F44" s="213"/>
      <c r="G44" s="213"/>
      <c r="H44" s="213"/>
      <c r="I44" s="213"/>
      <c r="J44" s="213"/>
      <c r="K44" s="213"/>
      <c r="L44" s="213"/>
      <c r="M44" s="213"/>
      <c r="N44" s="213"/>
    </row>
    <row r="45" spans="1:14" x14ac:dyDescent="0.35">
      <c r="A45" s="213"/>
      <c r="B45" s="213"/>
      <c r="C45" s="213"/>
      <c r="D45" s="213"/>
      <c r="E45" s="213"/>
      <c r="F45" s="213"/>
      <c r="G45" s="213"/>
      <c r="H45" s="213"/>
      <c r="I45" s="213"/>
      <c r="J45" s="213"/>
      <c r="K45" s="213"/>
      <c r="L45" s="213"/>
      <c r="M45" s="213"/>
      <c r="N45" s="213"/>
    </row>
    <row r="46" spans="1:14" x14ac:dyDescent="0.35">
      <c r="A46" s="213"/>
      <c r="B46" s="213"/>
      <c r="C46" s="213"/>
      <c r="D46" s="213"/>
      <c r="E46" s="213"/>
      <c r="F46" s="213"/>
      <c r="G46" s="213"/>
      <c r="H46" s="213"/>
      <c r="I46" s="213"/>
      <c r="J46" s="213"/>
      <c r="K46" s="213"/>
      <c r="L46" s="213"/>
      <c r="M46" s="213"/>
      <c r="N46" s="213"/>
    </row>
    <row r="47" spans="1:14" x14ac:dyDescent="0.35">
      <c r="A47" s="213"/>
      <c r="B47" s="213"/>
      <c r="C47" s="213"/>
      <c r="D47" s="213"/>
      <c r="E47" s="213"/>
      <c r="F47" s="213"/>
      <c r="G47" s="213"/>
      <c r="H47" s="213"/>
      <c r="I47" s="213"/>
      <c r="J47" s="213"/>
      <c r="K47" s="213"/>
      <c r="L47" s="213"/>
      <c r="M47" s="213"/>
      <c r="N47" s="213"/>
    </row>
    <row r="48" spans="1:14" x14ac:dyDescent="0.35">
      <c r="A48" s="213"/>
      <c r="B48" s="213"/>
      <c r="C48" s="213"/>
      <c r="D48" s="213"/>
      <c r="E48" s="213"/>
      <c r="F48" s="213"/>
      <c r="G48" s="213"/>
      <c r="H48" s="213"/>
      <c r="I48" s="213"/>
      <c r="J48" s="213"/>
      <c r="K48" s="213"/>
      <c r="L48" s="213"/>
      <c r="M48" s="213"/>
      <c r="N48" s="213"/>
    </row>
    <row r="49" spans="1:14" ht="15.5" x14ac:dyDescent="0.35">
      <c r="A49" s="213"/>
      <c r="B49" s="216"/>
      <c r="C49" s="213"/>
      <c r="D49" s="213"/>
      <c r="E49" s="213"/>
      <c r="F49" s="213"/>
      <c r="G49" s="213"/>
      <c r="H49" s="213"/>
      <c r="I49" s="213"/>
      <c r="J49" s="213"/>
      <c r="K49" s="213"/>
      <c r="L49" s="213"/>
      <c r="M49" s="213"/>
      <c r="N49" s="213"/>
    </row>
    <row r="50" spans="1:14" x14ac:dyDescent="0.35">
      <c r="A50" s="213"/>
      <c r="B50" s="40" t="s">
        <v>157</v>
      </c>
      <c r="C50" s="213"/>
      <c r="D50" s="213"/>
      <c r="E50" s="213"/>
      <c r="F50" s="213"/>
      <c r="G50" s="213"/>
      <c r="H50" s="213"/>
      <c r="I50" s="213"/>
      <c r="J50" s="213"/>
      <c r="K50" s="213"/>
      <c r="L50" s="213"/>
      <c r="M50" s="213"/>
      <c r="N50" s="213"/>
    </row>
    <row r="51" spans="1:14" ht="15" thickBot="1" x14ac:dyDescent="0.4">
      <c r="A51" s="213"/>
      <c r="B51" s="55"/>
      <c r="C51" s="55"/>
      <c r="D51" s="213"/>
      <c r="E51" s="213"/>
      <c r="F51" s="213"/>
      <c r="G51" s="213"/>
      <c r="H51" s="213"/>
      <c r="I51" s="213"/>
      <c r="J51" s="213"/>
      <c r="K51" s="213"/>
      <c r="L51" s="213"/>
      <c r="M51" s="213"/>
      <c r="N51" s="213"/>
    </row>
    <row r="52" spans="1:14" outlineLevel="2" x14ac:dyDescent="0.35">
      <c r="A52" s="213"/>
      <c r="B52" s="217" t="s">
        <v>0</v>
      </c>
      <c r="C52" s="218" t="s">
        <v>152</v>
      </c>
      <c r="D52" s="213"/>
      <c r="E52" s="213"/>
      <c r="F52" s="213"/>
      <c r="G52" s="213"/>
      <c r="H52" s="213"/>
      <c r="I52" s="213"/>
      <c r="J52" s="213"/>
      <c r="K52" s="213"/>
      <c r="L52" s="213"/>
      <c r="M52" s="213"/>
      <c r="N52" s="213"/>
    </row>
    <row r="53" spans="1:14" outlineLevel="2" x14ac:dyDescent="0.35">
      <c r="A53" s="213"/>
      <c r="B53" s="219" t="str" cm="1">
        <f t="array" aca="1" ref="B53:B60" ca="1">_xlfn.UNIQUE(C8:C16)</f>
        <v>Software &amp; IT Services</v>
      </c>
      <c r="C53" s="220" cm="1">
        <f t="array" aca="1" ref="C53:C60" ca="1">SUMIF(C8:C16,_xlfn.ANCHORARRAY(B53),H8:H16)</f>
        <v>3051063462600</v>
      </c>
      <c r="D53" s="213"/>
      <c r="E53" s="213"/>
      <c r="F53" s="213"/>
      <c r="G53" s="213"/>
      <c r="H53" s="213"/>
      <c r="I53" s="213"/>
      <c r="J53" s="213"/>
      <c r="K53" s="213"/>
      <c r="L53" s="213"/>
      <c r="M53" s="213"/>
      <c r="N53" s="213"/>
    </row>
    <row r="54" spans="1:14" outlineLevel="2" x14ac:dyDescent="0.35">
      <c r="A54" s="213"/>
      <c r="B54" s="223" t="str">
        <f ca="1"/>
        <v>Computers, Phones &amp; Household Electronics</v>
      </c>
      <c r="C54" s="224">
        <f ca="1"/>
        <v>111811352775</v>
      </c>
      <c r="D54" s="213"/>
      <c r="E54" s="213"/>
      <c r="F54" s="213"/>
      <c r="G54" s="213"/>
      <c r="H54" s="213"/>
      <c r="I54" s="213"/>
      <c r="J54" s="213"/>
      <c r="K54" s="213"/>
      <c r="L54" s="213"/>
      <c r="M54" s="213"/>
      <c r="N54" s="213"/>
    </row>
    <row r="55" spans="1:14" outlineLevel="2" x14ac:dyDescent="0.35">
      <c r="A55" s="213"/>
      <c r="B55" s="219" t="str">
        <f ca="1"/>
        <v>Investment Banking &amp; Investment Services</v>
      </c>
      <c r="C55" s="220">
        <f ca="1"/>
        <v>255388815469</v>
      </c>
      <c r="D55" s="213"/>
      <c r="E55" s="213"/>
      <c r="F55" s="213"/>
      <c r="G55" s="213"/>
      <c r="H55" s="213"/>
      <c r="I55" s="213"/>
      <c r="J55" s="213"/>
      <c r="K55" s="213"/>
      <c r="L55" s="213"/>
      <c r="M55" s="213"/>
      <c r="N55" s="213"/>
    </row>
    <row r="56" spans="1:14" outlineLevel="2" x14ac:dyDescent="0.35">
      <c r="A56" s="213"/>
      <c r="B56" s="223" t="str">
        <f ca="1"/>
        <v>Oil &amp; Gas</v>
      </c>
      <c r="C56" s="224">
        <f ca="1"/>
        <v>670974006920</v>
      </c>
      <c r="D56" s="213"/>
      <c r="E56" s="213"/>
      <c r="F56" s="213"/>
      <c r="G56" s="213"/>
      <c r="H56" s="213"/>
      <c r="I56" s="213"/>
      <c r="J56" s="213"/>
      <c r="K56" s="213"/>
      <c r="L56" s="213"/>
      <c r="M56" s="213"/>
      <c r="N56" s="213"/>
    </row>
    <row r="57" spans="1:14" outlineLevel="2" x14ac:dyDescent="0.35">
      <c r="A57" s="213"/>
      <c r="B57" s="219" t="str">
        <f ca="1"/>
        <v>Automobiles &amp; Auto Parts</v>
      </c>
      <c r="C57" s="220">
        <f ca="1"/>
        <v>66134284248</v>
      </c>
      <c r="D57" s="213"/>
      <c r="E57" s="213"/>
      <c r="F57" s="213"/>
      <c r="G57" s="213"/>
      <c r="H57" s="213"/>
      <c r="I57" s="213"/>
      <c r="J57" s="213"/>
      <c r="K57" s="213"/>
      <c r="L57" s="213"/>
      <c r="M57" s="213"/>
      <c r="N57" s="213"/>
    </row>
    <row r="58" spans="1:14" outlineLevel="2" x14ac:dyDescent="0.35">
      <c r="A58" s="213"/>
      <c r="B58" s="223" t="str">
        <f ca="1"/>
        <v>Banking Services</v>
      </c>
      <c r="C58" s="224">
        <f ca="1"/>
        <v>356106408015</v>
      </c>
      <c r="D58" s="213"/>
      <c r="E58" s="213"/>
      <c r="F58" s="213"/>
      <c r="G58" s="213"/>
      <c r="H58" s="213"/>
      <c r="I58" s="213"/>
      <c r="J58" s="213"/>
      <c r="K58" s="213"/>
      <c r="L58" s="213"/>
      <c r="M58" s="213"/>
      <c r="N58" s="213"/>
    </row>
    <row r="59" spans="1:14" outlineLevel="2" x14ac:dyDescent="0.35">
      <c r="A59" s="213"/>
      <c r="B59" s="219" t="str">
        <f ca="1"/>
        <v>Aerospace &amp; Defense</v>
      </c>
      <c r="C59" s="220">
        <f ca="1"/>
        <v>143939414196</v>
      </c>
      <c r="D59" s="213"/>
      <c r="E59" s="213"/>
      <c r="F59" s="213"/>
      <c r="G59" s="213"/>
      <c r="H59" s="213"/>
      <c r="I59" s="213"/>
      <c r="J59" s="213"/>
      <c r="K59" s="213"/>
      <c r="L59" s="213"/>
      <c r="M59" s="213"/>
      <c r="N59" s="213"/>
    </row>
    <row r="60" spans="1:14" outlineLevel="2" x14ac:dyDescent="0.35">
      <c r="A60" s="213"/>
      <c r="B60" s="221" t="str">
        <f ca="1"/>
        <v>Diversified Retail</v>
      </c>
      <c r="C60" s="222">
        <f ca="1"/>
        <v>451136917675</v>
      </c>
      <c r="D60" s="213"/>
      <c r="E60" s="213"/>
      <c r="F60" s="213"/>
      <c r="G60" s="213"/>
      <c r="H60" s="213"/>
      <c r="I60" s="213"/>
      <c r="J60" s="213"/>
      <c r="K60" s="213"/>
      <c r="L60" s="213"/>
      <c r="M60" s="213"/>
      <c r="N60" s="213"/>
    </row>
    <row r="61" spans="1:14" outlineLevel="2" x14ac:dyDescent="0.35">
      <c r="A61" s="213"/>
      <c r="B61" s="213"/>
      <c r="C61" s="214"/>
      <c r="D61" s="213"/>
      <c r="E61" s="213"/>
      <c r="F61" s="213"/>
      <c r="G61" s="213"/>
      <c r="H61" s="213"/>
      <c r="I61" s="213"/>
      <c r="J61" s="213"/>
      <c r="K61" s="213"/>
      <c r="L61" s="213"/>
      <c r="M61" s="213"/>
      <c r="N61" s="213"/>
    </row>
    <row r="62" spans="1:14" ht="15.5" x14ac:dyDescent="0.35">
      <c r="A62" s="213"/>
      <c r="B62" s="216"/>
      <c r="C62" s="213"/>
      <c r="D62" s="213"/>
      <c r="E62" s="213"/>
      <c r="F62" s="213"/>
      <c r="G62" s="213"/>
      <c r="H62" s="213"/>
      <c r="I62" s="213"/>
      <c r="J62" s="213"/>
      <c r="K62" s="213"/>
      <c r="L62" s="213"/>
      <c r="M62" s="213"/>
      <c r="N62" s="213"/>
    </row>
    <row r="63" spans="1:14" ht="15.5" x14ac:dyDescent="0.35">
      <c r="A63" s="213"/>
      <c r="B63" s="534" t="s">
        <v>202</v>
      </c>
      <c r="C63" s="213"/>
      <c r="D63" s="213"/>
      <c r="E63" s="213"/>
      <c r="F63" s="213"/>
      <c r="G63" s="213"/>
      <c r="H63" s="213"/>
      <c r="I63" s="213"/>
      <c r="J63" s="213"/>
      <c r="K63" s="213"/>
      <c r="L63" s="213"/>
      <c r="M63" s="213"/>
      <c r="N63" s="213"/>
    </row>
    <row r="64" spans="1:14" ht="16" thickBot="1" x14ac:dyDescent="0.4">
      <c r="A64" s="213"/>
      <c r="B64" s="535" t="s">
        <v>203</v>
      </c>
      <c r="C64" s="535"/>
      <c r="D64" s="535"/>
      <c r="E64" s="535"/>
      <c r="F64" s="535"/>
      <c r="G64" s="535"/>
      <c r="H64" s="535"/>
      <c r="I64" s="535"/>
      <c r="J64" s="535"/>
      <c r="K64" s="535"/>
      <c r="L64" s="213"/>
      <c r="M64" s="213"/>
      <c r="N64" s="213"/>
    </row>
    <row r="65" spans="1:14" ht="16" thickBot="1" x14ac:dyDescent="0.4">
      <c r="A65" s="213"/>
      <c r="B65" s="536" t="s">
        <v>13</v>
      </c>
      <c r="C65" s="537" t="s">
        <v>29</v>
      </c>
      <c r="D65" s="536" t="s">
        <v>204</v>
      </c>
      <c r="E65" s="538" t="s">
        <v>27</v>
      </c>
      <c r="F65" s="536" t="s">
        <v>205</v>
      </c>
      <c r="G65" s="539" t="s">
        <v>155</v>
      </c>
      <c r="H65" s="536" t="s">
        <v>206</v>
      </c>
      <c r="I65" s="537" t="s">
        <v>207</v>
      </c>
      <c r="J65" s="536" t="s">
        <v>208</v>
      </c>
      <c r="K65" s="536" t="s">
        <v>163</v>
      </c>
      <c r="L65" s="213"/>
      <c r="M65" s="213"/>
      <c r="N65" s="213"/>
    </row>
    <row r="66" spans="1:14" ht="15.5" x14ac:dyDescent="0.35">
      <c r="A66" s="213"/>
      <c r="B66" s="384" t="str">
        <f t="shared" ref="B66:B75" ca="1" si="2">B8</f>
        <v>MSFT</v>
      </c>
      <c r="C66" s="514">
        <f t="shared" ref="C66:C75" ca="1" si="3">F8</f>
        <v>23.240600000000001</v>
      </c>
      <c r="D66" s="385">
        <f t="shared" ref="D66:D75" ca="1" si="4">RANK(F8,F$8:F$17,1)</f>
        <v>6</v>
      </c>
      <c r="E66" s="515">
        <f t="shared" ref="E66:E75" ca="1" si="5">G8</f>
        <v>1.103</v>
      </c>
      <c r="F66" s="385">
        <f t="shared" ref="F66:F75" ca="1" si="6">RANK(G8,G$8:G$17,1)</f>
        <v>6</v>
      </c>
      <c r="G66" s="489">
        <f t="shared" ref="G66:G75" ca="1" si="7">K8</f>
        <v>0.12650716794835268</v>
      </c>
      <c r="H66" s="540" t="str">
        <f t="shared" ref="H66:H75" ca="1" si="8">IF(K8&gt;0.7,"▲ STRONG",IF(K8&gt;0.3,"▶ NEUTRAL","▼ WEAK"))</f>
        <v>▼ WEAK</v>
      </c>
      <c r="I66" s="514">
        <f t="shared" ref="I66:I75" ca="1" si="9">(RANK(F8,F$8:F$17,1)*0.4)+(RANK(G8,G$8:G$17,1)*0.3)+(RANK(K8,K$8:K$17,0)*0.3)</f>
        <v>7.2</v>
      </c>
      <c r="J66" s="385">
        <f t="shared" ref="J66:J75" ca="1" si="10">RANK(I66,I$66:I$75,1)</f>
        <v>9</v>
      </c>
      <c r="K66" s="541" t="str">
        <f t="shared" ref="K66:K75" ca="1" si="11">IF(J66&lt;=3,"⭐ BUY",IF(J66&lt;=7,"🔍 WATCH","⚠️ AVOID"))</f>
        <v>⚠️ AVOID</v>
      </c>
      <c r="L66" s="213"/>
      <c r="M66" s="213"/>
      <c r="N66" s="213"/>
    </row>
    <row r="67" spans="1:14" ht="15.5" x14ac:dyDescent="0.35">
      <c r="A67" s="213"/>
      <c r="B67" s="391" t="str">
        <f t="shared" ca="1" si="2"/>
        <v>BABA</v>
      </c>
      <c r="C67" s="516">
        <f t="shared" ca="1" si="3"/>
        <v>16.684799999999999</v>
      </c>
      <c r="D67" s="392">
        <f t="shared" ca="1" si="4"/>
        <v>2</v>
      </c>
      <c r="E67" s="517">
        <f t="shared" ca="1" si="5"/>
        <v>0.49490000000000001</v>
      </c>
      <c r="F67" s="392">
        <f t="shared" ca="1" si="6"/>
        <v>3</v>
      </c>
      <c r="G67" s="491">
        <f t="shared" ca="1" si="7"/>
        <v>0.28359253929032785</v>
      </c>
      <c r="H67" s="421" t="str">
        <f t="shared" ca="1" si="8"/>
        <v>▼ WEAK</v>
      </c>
      <c r="I67" s="516">
        <f t="shared" ca="1" si="9"/>
        <v>4.3999999999999995</v>
      </c>
      <c r="J67" s="392">
        <f t="shared" ca="1" si="10"/>
        <v>3</v>
      </c>
      <c r="K67" s="407" t="str">
        <f t="shared" ca="1" si="11"/>
        <v>⭐ BUY</v>
      </c>
      <c r="L67" s="213"/>
      <c r="M67" s="213"/>
      <c r="N67" s="213"/>
    </row>
    <row r="68" spans="1:14" ht="15.5" x14ac:dyDescent="0.35">
      <c r="A68" s="213"/>
      <c r="B68" s="398" t="str">
        <f t="shared" ca="1" si="2"/>
        <v>DELL</v>
      </c>
      <c r="C68" s="519">
        <f t="shared" ca="1" si="3"/>
        <v>19.857800000000001</v>
      </c>
      <c r="D68" s="399">
        <f t="shared" ca="1" si="4"/>
        <v>4</v>
      </c>
      <c r="E68" s="520">
        <f t="shared" ca="1" si="5"/>
        <v>0.85729999999999995</v>
      </c>
      <c r="F68" s="399">
        <f t="shared" ca="1" si="6"/>
        <v>4</v>
      </c>
      <c r="G68" s="493">
        <f t="shared" ca="1" si="7"/>
        <v>0.88979982521120327</v>
      </c>
      <c r="H68" s="420" t="str">
        <f t="shared" ca="1" si="8"/>
        <v>▲ STRONG</v>
      </c>
      <c r="I68" s="519">
        <f t="shared" ca="1" si="9"/>
        <v>3.0999999999999996</v>
      </c>
      <c r="J68" s="399">
        <f t="shared" ca="1" si="10"/>
        <v>1</v>
      </c>
      <c r="K68" s="400" t="str">
        <f t="shared" ca="1" si="11"/>
        <v>⭐ BUY</v>
      </c>
      <c r="L68" s="213"/>
      <c r="M68" s="213"/>
      <c r="N68" s="213"/>
    </row>
    <row r="69" spans="1:14" ht="15.5" x14ac:dyDescent="0.35">
      <c r="A69" s="213"/>
      <c r="B69" s="391" t="str">
        <f t="shared" ca="1" si="2"/>
        <v>GS</v>
      </c>
      <c r="C69" s="516">
        <f t="shared" ca="1" si="3"/>
        <v>16.875900000000001</v>
      </c>
      <c r="D69" s="392">
        <f t="shared" ca="1" si="4"/>
        <v>3</v>
      </c>
      <c r="E69" s="517">
        <f t="shared" ca="1" si="5"/>
        <v>1.3147</v>
      </c>
      <c r="F69" s="392">
        <f t="shared" ca="1" si="6"/>
        <v>8</v>
      </c>
      <c r="G69" s="491">
        <f t="shared" ca="1" si="7"/>
        <v>0.78185780825937057</v>
      </c>
      <c r="H69" s="417" t="str">
        <f t="shared" ca="1" si="8"/>
        <v>▲ STRONG</v>
      </c>
      <c r="I69" s="516">
        <f t="shared" ca="1" si="9"/>
        <v>4.5</v>
      </c>
      <c r="J69" s="392">
        <f t="shared" ca="1" si="10"/>
        <v>4</v>
      </c>
      <c r="K69" s="393" t="str">
        <f t="shared" ca="1" si="11"/>
        <v>🔍 WATCH</v>
      </c>
      <c r="L69" s="213"/>
      <c r="M69" s="213"/>
      <c r="N69" s="213"/>
    </row>
    <row r="70" spans="1:14" ht="15.5" x14ac:dyDescent="0.35">
      <c r="A70" s="213"/>
      <c r="B70" s="398" t="str">
        <f t="shared" ca="1" si="2"/>
        <v>XOM</v>
      </c>
      <c r="C70" s="519">
        <f t="shared" ca="1" si="3"/>
        <v>24.104500000000002</v>
      </c>
      <c r="D70" s="399">
        <f t="shared" ca="1" si="4"/>
        <v>7</v>
      </c>
      <c r="E70" s="520">
        <f t="shared" ca="1" si="5"/>
        <v>0.29189999999999999</v>
      </c>
      <c r="F70" s="399">
        <f t="shared" ca="1" si="6"/>
        <v>2</v>
      </c>
      <c r="G70" s="493">
        <f t="shared" ca="1" si="7"/>
        <v>0.80435059152779553</v>
      </c>
      <c r="H70" s="495" t="str">
        <f t="shared" ca="1" si="8"/>
        <v>▲ STRONG</v>
      </c>
      <c r="I70" s="519">
        <f t="shared" ca="1" si="9"/>
        <v>4</v>
      </c>
      <c r="J70" s="399">
        <f t="shared" ca="1" si="10"/>
        <v>2</v>
      </c>
      <c r="K70" s="505" t="str">
        <f t="shared" ca="1" si="11"/>
        <v>⭐ BUY</v>
      </c>
      <c r="L70" s="213"/>
      <c r="M70" s="213"/>
      <c r="N70" s="213"/>
    </row>
    <row r="71" spans="1:14" ht="15.5" x14ac:dyDescent="0.35">
      <c r="A71" s="213"/>
      <c r="B71" s="391" t="str">
        <f t="shared" ca="1" si="2"/>
        <v>GM</v>
      </c>
      <c r="C71" s="516">
        <f t="shared" ca="1" si="3"/>
        <v>22.385400000000001</v>
      </c>
      <c r="D71" s="392">
        <f t="shared" ca="1" si="4"/>
        <v>5</v>
      </c>
      <c r="E71" s="517">
        <f t="shared" ca="1" si="5"/>
        <v>1.3733</v>
      </c>
      <c r="F71" s="392">
        <f t="shared" ca="1" si="6"/>
        <v>9</v>
      </c>
      <c r="G71" s="491">
        <f t="shared" ca="1" si="7"/>
        <v>0.68578878748370253</v>
      </c>
      <c r="H71" s="417" t="str">
        <f t="shared" ca="1" si="8"/>
        <v>▶ NEUTRAL</v>
      </c>
      <c r="I71" s="516">
        <f t="shared" ca="1" si="9"/>
        <v>6.7999999999999989</v>
      </c>
      <c r="J71" s="392">
        <f t="shared" ca="1" si="10"/>
        <v>8</v>
      </c>
      <c r="K71" s="393" t="str">
        <f t="shared" ca="1" si="11"/>
        <v>⚠️ AVOID</v>
      </c>
      <c r="L71" s="213"/>
      <c r="M71" s="213"/>
      <c r="N71" s="213"/>
    </row>
    <row r="72" spans="1:14" ht="15.5" x14ac:dyDescent="0.35">
      <c r="A72" s="213"/>
      <c r="B72" s="398" t="str">
        <f t="shared" ca="1" si="2"/>
        <v>BAC</v>
      </c>
      <c r="C72" s="519">
        <f t="shared" ca="1" si="3"/>
        <v>13.174099999999999</v>
      </c>
      <c r="D72" s="399">
        <f t="shared" ca="1" si="4"/>
        <v>1</v>
      </c>
      <c r="E72" s="520">
        <f t="shared" ca="1" si="5"/>
        <v>1.2422</v>
      </c>
      <c r="F72" s="399">
        <f t="shared" ca="1" si="6"/>
        <v>7</v>
      </c>
      <c r="G72" s="493">
        <f t="shared" ca="1" si="7"/>
        <v>0.6849091280375742</v>
      </c>
      <c r="H72" s="418" t="str">
        <f t="shared" ca="1" si="8"/>
        <v>▶ NEUTRAL</v>
      </c>
      <c r="I72" s="519">
        <f t="shared" ca="1" si="9"/>
        <v>4.9000000000000004</v>
      </c>
      <c r="J72" s="399">
        <f t="shared" ca="1" si="10"/>
        <v>5</v>
      </c>
      <c r="K72" s="404" t="str">
        <f t="shared" ca="1" si="11"/>
        <v>🔍 WATCH</v>
      </c>
      <c r="L72" s="213"/>
      <c r="M72" s="213"/>
      <c r="N72" s="213"/>
    </row>
    <row r="73" spans="1:14" ht="15.5" x14ac:dyDescent="0.35">
      <c r="A73" s="213"/>
      <c r="B73" s="391" t="str">
        <f t="shared" ca="1" si="2"/>
        <v>LMT</v>
      </c>
      <c r="C73" s="516">
        <f t="shared" ca="1" si="3"/>
        <v>29.0685</v>
      </c>
      <c r="D73" s="392">
        <f t="shared" ca="1" si="4"/>
        <v>8</v>
      </c>
      <c r="E73" s="517">
        <f t="shared" ca="1" si="5"/>
        <v>0.23669999999999999</v>
      </c>
      <c r="F73" s="392">
        <f t="shared" ca="1" si="6"/>
        <v>1</v>
      </c>
      <c r="G73" s="491">
        <f t="shared" ca="1" si="7"/>
        <v>0.76078860548440896</v>
      </c>
      <c r="H73" s="419" t="str">
        <f t="shared" ca="1" si="8"/>
        <v>▲ STRONG</v>
      </c>
      <c r="I73" s="516">
        <f t="shared" ca="1" si="9"/>
        <v>5</v>
      </c>
      <c r="J73" s="392">
        <f t="shared" ca="1" si="10"/>
        <v>6</v>
      </c>
      <c r="K73" s="401" t="str">
        <f t="shared" ca="1" si="11"/>
        <v>🔍 WATCH</v>
      </c>
      <c r="L73" s="213"/>
      <c r="M73" s="213"/>
      <c r="N73" s="213"/>
    </row>
    <row r="74" spans="1:14" ht="15.5" x14ac:dyDescent="0.35">
      <c r="A74" s="213"/>
      <c r="B74" s="398" t="str">
        <f t="shared" ca="1" si="2"/>
        <v>COST</v>
      </c>
      <c r="C74" s="519">
        <f t="shared" ca="1" si="3"/>
        <v>54.470700000000001</v>
      </c>
      <c r="D74" s="399">
        <f t="shared" ca="1" si="4"/>
        <v>9</v>
      </c>
      <c r="E74" s="520">
        <f t="shared" ca="1" si="5"/>
        <v>0.98899999999999999</v>
      </c>
      <c r="F74" s="399">
        <f t="shared" ca="1" si="6"/>
        <v>5</v>
      </c>
      <c r="G74" s="493">
        <f t="shared" ca="1" si="7"/>
        <v>0.7748632409649362</v>
      </c>
      <c r="H74" s="495" t="str">
        <f t="shared" ca="1" si="8"/>
        <v>▲ STRONG</v>
      </c>
      <c r="I74" s="519">
        <f t="shared" ca="1" si="9"/>
        <v>6.3</v>
      </c>
      <c r="J74" s="399">
        <f t="shared" ca="1" si="10"/>
        <v>7</v>
      </c>
      <c r="K74" s="400" t="str">
        <f t="shared" ca="1" si="11"/>
        <v>🔍 WATCH</v>
      </c>
      <c r="L74" s="213"/>
      <c r="M74" s="213"/>
      <c r="N74" s="213"/>
    </row>
    <row r="75" spans="1:14" ht="15.5" x14ac:dyDescent="0.35">
      <c r="A75" s="213"/>
      <c r="B75" s="391" t="str">
        <f t="shared" ca="1" si="2"/>
        <v>AMD</v>
      </c>
      <c r="C75" s="516">
        <f t="shared" ca="1" si="3"/>
        <v>84.602999999999994</v>
      </c>
      <c r="D75" s="392">
        <f t="shared" ca="1" si="4"/>
        <v>10</v>
      </c>
      <c r="E75" s="517">
        <f t="shared" ca="1" si="5"/>
        <v>1.9919</v>
      </c>
      <c r="F75" s="392">
        <f t="shared" ca="1" si="6"/>
        <v>10</v>
      </c>
      <c r="G75" s="491">
        <f t="shared" ca="1" si="7"/>
        <v>0.75477479264154923</v>
      </c>
      <c r="H75" s="419" t="str">
        <f t="shared" ca="1" si="8"/>
        <v>▲ STRONG</v>
      </c>
      <c r="I75" s="516">
        <f t="shared" ca="1" si="9"/>
        <v>8.8000000000000007</v>
      </c>
      <c r="J75" s="392">
        <f t="shared" ca="1" si="10"/>
        <v>10</v>
      </c>
      <c r="K75" s="401" t="str">
        <f t="shared" ca="1" si="11"/>
        <v>⚠️ AVOID</v>
      </c>
      <c r="L75" s="213"/>
      <c r="M75" s="213"/>
      <c r="N75" s="213"/>
    </row>
    <row r="76" spans="1:14" x14ac:dyDescent="0.35">
      <c r="A76" s="213"/>
      <c r="B76" s="225"/>
      <c r="C76" s="225"/>
      <c r="D76" s="225"/>
      <c r="E76" s="225"/>
      <c r="F76" s="225"/>
      <c r="G76" s="225"/>
      <c r="H76" s="225"/>
      <c r="I76" s="225"/>
      <c r="J76" s="225"/>
      <c r="K76" s="225"/>
      <c r="L76" s="213"/>
      <c r="M76" s="213"/>
      <c r="N76" s="213"/>
    </row>
    <row r="77" spans="1:14" ht="21.5" thickBot="1" x14ac:dyDescent="0.55000000000000004">
      <c r="A77" s="213"/>
      <c r="B77" s="542" t="s">
        <v>209</v>
      </c>
      <c r="C77" s="542" t="s">
        <v>210</v>
      </c>
      <c r="D77" s="542" t="s">
        <v>211</v>
      </c>
      <c r="E77" s="542" t="s">
        <v>212</v>
      </c>
      <c r="F77" s="542" t="s">
        <v>213</v>
      </c>
      <c r="G77" s="542" t="s">
        <v>214</v>
      </c>
      <c r="H77" s="542" t="s">
        <v>215</v>
      </c>
      <c r="I77" s="542" t="s">
        <v>216</v>
      </c>
      <c r="J77" s="542" t="s">
        <v>217</v>
      </c>
      <c r="K77" s="542" t="s">
        <v>218</v>
      </c>
      <c r="L77" s="213"/>
      <c r="M77" s="213"/>
      <c r="N77" s="213"/>
    </row>
    <row r="78" spans="1:14" ht="18.5" x14ac:dyDescent="0.45">
      <c r="A78" s="213"/>
      <c r="B78" s="543">
        <f ca="1">COUNTIF(K66:K75,"*BUY*")</f>
        <v>3</v>
      </c>
      <c r="C78" s="543">
        <f ca="1">COUNTIF(K66:K75,"*WATCH*")</f>
        <v>4</v>
      </c>
      <c r="D78" s="543">
        <f ca="1">COUNTIF(K66:K75,"*AVOID*")</f>
        <v>3</v>
      </c>
      <c r="E78" s="544">
        <f ca="1">AVERAGEIF(K66:K75,"*BUY*",C66:C75)</f>
        <v>20.215700000000002</v>
      </c>
      <c r="F78" s="545">
        <f ca="1">AVERAGEIF(K66:K75,"*BUY*",E66:E75)</f>
        <v>0.54803333333333326</v>
      </c>
      <c r="G78" s="543" t="str">
        <f ca="1">INDEX(B66:B75,MATCH(MIN(C66:C75),C66:C75,0))</f>
        <v>BAC</v>
      </c>
      <c r="H78" s="543" t="str">
        <f ca="1">INDEX(B66:B75,MATCH(MAX(E66:E75),E66:E75,0))</f>
        <v>AMD</v>
      </c>
      <c r="I78" s="543" t="str">
        <f ca="1">INDEX(B66:B75,MATCH(1,J66:J75,0))</f>
        <v>DELL</v>
      </c>
      <c r="J78" s="543">
        <f ca="1">COUNTIF(H66:H75,"*STRONG*")</f>
        <v>6</v>
      </c>
      <c r="K78" s="543">
        <f ca="1">COUNTIF(H66:H75,"*WEAK*")</f>
        <v>2</v>
      </c>
      <c r="L78" s="213"/>
      <c r="M78" s="213"/>
      <c r="N78" s="213"/>
    </row>
    <row r="79" spans="1:14" x14ac:dyDescent="0.35">
      <c r="A79" s="213"/>
      <c r="B79" s="213"/>
      <c r="C79" s="213"/>
      <c r="D79" s="213"/>
      <c r="E79" s="213"/>
      <c r="F79" s="213"/>
      <c r="G79" s="213"/>
      <c r="H79" s="213"/>
      <c r="I79" s="213"/>
      <c r="J79" s="213"/>
      <c r="K79" s="213"/>
      <c r="L79" s="213"/>
      <c r="M79" s="213"/>
      <c r="N79" s="213"/>
    </row>
    <row r="80" spans="1:14" x14ac:dyDescent="0.35">
      <c r="A80" s="213"/>
      <c r="B80" s="213"/>
      <c r="C80" s="213"/>
      <c r="D80" s="213"/>
      <c r="E80" s="213"/>
      <c r="F80" s="213"/>
      <c r="G80" s="213"/>
      <c r="H80" s="213"/>
      <c r="I80" s="213"/>
      <c r="J80" s="213"/>
      <c r="K80" s="213"/>
      <c r="L80" s="213"/>
      <c r="M80" s="213"/>
      <c r="N80" s="213"/>
    </row>
    <row r="81" spans="1:14" x14ac:dyDescent="0.35">
      <c r="A81" s="213"/>
      <c r="B81" s="213"/>
      <c r="C81" s="213"/>
      <c r="D81" s="213"/>
      <c r="E81" s="213"/>
      <c r="F81" s="213"/>
      <c r="G81" s="213"/>
      <c r="H81" s="213"/>
      <c r="I81" s="213"/>
      <c r="J81" s="213"/>
      <c r="K81" s="213"/>
      <c r="L81" s="213"/>
      <c r="M81" s="213"/>
      <c r="N81" s="213"/>
    </row>
    <row r="82" spans="1:14" x14ac:dyDescent="0.35">
      <c r="A82" s="213"/>
      <c r="B82" s="213"/>
      <c r="C82" s="213"/>
      <c r="D82" s="213"/>
      <c r="E82" s="213"/>
      <c r="F82" s="213"/>
      <c r="G82" s="213"/>
      <c r="H82" s="213"/>
      <c r="I82" s="213"/>
      <c r="J82" s="213"/>
      <c r="K82" s="213"/>
      <c r="L82" s="213"/>
      <c r="M82" s="213"/>
      <c r="N82" s="213"/>
    </row>
    <row r="83" spans="1:14" x14ac:dyDescent="0.35">
      <c r="A83" s="213"/>
      <c r="B83" s="213"/>
      <c r="C83" s="213"/>
      <c r="D83" s="213"/>
      <c r="E83" s="213"/>
      <c r="F83" s="213"/>
      <c r="G83" s="213"/>
      <c r="H83" s="213"/>
      <c r="I83" s="213"/>
      <c r="J83" s="213"/>
      <c r="K83" s="213"/>
      <c r="L83" s="213"/>
      <c r="M83" s="213"/>
      <c r="N83" s="213"/>
    </row>
    <row r="84" spans="1:14" x14ac:dyDescent="0.35">
      <c r="A84" s="213"/>
      <c r="B84" s="213"/>
      <c r="C84" s="213"/>
      <c r="D84" s="213"/>
      <c r="E84" s="213"/>
      <c r="F84" s="213"/>
      <c r="G84" s="213"/>
      <c r="H84" s="213"/>
      <c r="I84" s="213"/>
      <c r="J84" s="213"/>
      <c r="K84" s="213"/>
      <c r="L84" s="213"/>
      <c r="M84" s="213"/>
      <c r="N84" s="213"/>
    </row>
    <row r="85" spans="1:14" x14ac:dyDescent="0.35">
      <c r="A85" s="213"/>
      <c r="B85" s="213"/>
      <c r="C85" s="213"/>
      <c r="D85" s="213"/>
      <c r="E85" s="213"/>
      <c r="F85" s="213"/>
      <c r="G85" s="213"/>
      <c r="H85" s="213"/>
      <c r="I85" s="213"/>
      <c r="J85" s="213"/>
      <c r="K85" s="213"/>
      <c r="L85" s="213"/>
      <c r="M85" s="213"/>
      <c r="N85" s="213"/>
    </row>
  </sheetData>
  <conditionalFormatting sqref="E8:E17">
    <cfRule type="cellIs" dxfId="11" priority="1" operator="greaterThan">
      <formula>0</formula>
    </cfRule>
    <cfRule type="cellIs" dxfId="10" priority="2" operator="lessThan">
      <formula>0</formula>
    </cfRule>
  </conditionalFormatting>
  <conditionalFormatting sqref="H65:H75">
    <cfRule type="containsText" dxfId="9" priority="9" operator="containsText" text="STRONG">
      <formula>NOT(ISERROR(SEARCH("STRONG",H65)))</formula>
    </cfRule>
    <cfRule type="containsText" dxfId="8" priority="10" operator="containsText" text="WEAK">
      <formula>NOT(ISERROR(SEARCH("WEAK",H65)))</formula>
    </cfRule>
  </conditionalFormatting>
  <conditionalFormatting sqref="K8:K17">
    <cfRule type="cellIs" dxfId="7" priority="43" operator="greaterThan">
      <formula>0.7</formula>
    </cfRule>
    <cfRule type="cellIs" dxfId="6" priority="44" operator="lessThan">
      <formula>0.3</formula>
    </cfRule>
    <cfRule type="cellIs" dxfId="5" priority="45" operator="between">
      <formula>0.3</formula>
      <formula>0.7</formula>
    </cfRule>
    <cfRule type="colorScale" priority="46">
      <colorScale>
        <cfvo type="min"/>
        <cfvo type="percentile" val="50"/>
        <cfvo type="max"/>
        <color rgb="FFEF4444"/>
        <color rgb="FFF59E0B"/>
        <color rgb="FF10B981"/>
      </colorScale>
    </cfRule>
  </conditionalFormatting>
  <conditionalFormatting sqref="K65:K75">
    <cfRule type="containsText" dxfId="4" priority="6" operator="containsText" text="BUY">
      <formula>NOT(ISERROR(SEARCH("BUY",K65)))</formula>
    </cfRule>
    <cfRule type="containsText" dxfId="3" priority="7" operator="containsText" text="WATCH">
      <formula>NOT(ISERROR(SEARCH("WATCH",K65)))</formula>
    </cfRule>
    <cfRule type="containsText" dxfId="2" priority="8" operator="containsText" text="AVOID">
      <formula>NOT(ISERROR(SEARCH("AVOID",K65)))</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55B92-573B-4306-9F7E-DAF3CC4BEB6C}">
  <sheetPr>
    <tabColor rgb="FF0D7377"/>
  </sheetPr>
  <dimension ref="A1:H64"/>
  <sheetViews>
    <sheetView showGridLines="0" workbookViewId="0"/>
  </sheetViews>
  <sheetFormatPr defaultRowHeight="14.5" x14ac:dyDescent="0.35"/>
  <cols>
    <col min="1" max="1" width="50.90625" customWidth="1"/>
    <col min="2" max="3" width="21.81640625" customWidth="1"/>
    <col min="4" max="4" width="23.6328125" customWidth="1"/>
    <col min="5" max="6" width="16.36328125" customWidth="1"/>
    <col min="7" max="7" width="29.08984375" customWidth="1"/>
    <col min="8" max="8" width="30.90625" customWidth="1"/>
  </cols>
  <sheetData>
    <row r="1" spans="1:8" ht="21" x14ac:dyDescent="0.5">
      <c r="A1" s="84" t="s">
        <v>38</v>
      </c>
      <c r="B1" s="84"/>
      <c r="C1" s="84"/>
      <c r="D1" s="84"/>
      <c r="E1" s="84"/>
      <c r="F1" s="84"/>
      <c r="G1" s="84"/>
      <c r="H1" s="84"/>
    </row>
    <row r="2" spans="1:8" x14ac:dyDescent="0.35">
      <c r="A2" s="85" t="s">
        <v>39</v>
      </c>
      <c r="B2" s="85"/>
      <c r="C2" s="85"/>
      <c r="D2" s="85"/>
      <c r="E2" s="85"/>
      <c r="F2" s="85"/>
      <c r="G2" s="85"/>
      <c r="H2" s="85"/>
    </row>
    <row r="3" spans="1:8" x14ac:dyDescent="0.35">
      <c r="A3" s="25"/>
      <c r="B3" s="25"/>
      <c r="C3" s="25"/>
      <c r="D3" s="25"/>
      <c r="E3" s="25"/>
      <c r="F3" s="25"/>
      <c r="G3" s="25"/>
      <c r="H3" s="25"/>
    </row>
    <row r="4" spans="1:8" ht="15.5" x14ac:dyDescent="0.35">
      <c r="A4" s="54" t="s">
        <v>40</v>
      </c>
      <c r="B4" s="25"/>
      <c r="C4" s="25"/>
      <c r="D4" s="25"/>
      <c r="E4" s="25"/>
      <c r="F4" s="25"/>
      <c r="G4" s="25"/>
      <c r="H4" s="25"/>
    </row>
    <row r="5" spans="1:8" ht="15" thickBot="1" x14ac:dyDescent="0.4">
      <c r="A5" s="55" t="s">
        <v>41</v>
      </c>
      <c r="B5" s="55" t="s">
        <v>42</v>
      </c>
      <c r="C5" s="55" t="s">
        <v>43</v>
      </c>
      <c r="D5" s="55" t="s">
        <v>44</v>
      </c>
      <c r="E5" s="55" t="s">
        <v>275</v>
      </c>
      <c r="F5" s="55" t="s">
        <v>45</v>
      </c>
      <c r="G5" s="55" t="s">
        <v>46</v>
      </c>
      <c r="H5" s="55" t="s">
        <v>47</v>
      </c>
    </row>
    <row r="6" spans="1:8" ht="17" x14ac:dyDescent="0.4">
      <c r="A6" s="257">
        <f ca="1">SUM(Dashboard!G7:G22)-SUM(Dashboard!J7:J22)</f>
        <v>132051.4212000001</v>
      </c>
      <c r="B6" s="258">
        <f ca="1">SUM(Dashboard!G7:G22)</f>
        <v>303680.38595600007</v>
      </c>
      <c r="C6" s="258">
        <f ca="1">SUM(Dashboard!J7:J22)</f>
        <v>171628.96475599997</v>
      </c>
      <c r="D6" s="87">
        <f ca="1">C6/A6</f>
        <v>1.2997131208156951</v>
      </c>
      <c r="E6" s="87">
        <f ca="1">(B6/A6)^(1/((MAX(Ledger[Date])-MIN(Ledger[Date]))/365.25))-1</f>
        <v>0.1488549348736059</v>
      </c>
      <c r="F6" s="88">
        <f ca="1">COUNTA(Dashboard!N7:N22)</f>
        <v>16</v>
      </c>
      <c r="G6" s="89" t="str">
        <f ca="1">INDEX(Dashboard!N7:N22,MATCH(MAX(Dashboard!J7:J22),Dashboard!J7:J22,0))</f>
        <v>NVDA</v>
      </c>
      <c r="H6" s="89" t="str">
        <f ca="1">INDEX(Dashboard!N7:N22,MATCH(MIN(Dashboard!J7:J22),Dashboard!J7:J22,0))</f>
        <v>HMC</v>
      </c>
    </row>
    <row r="7" spans="1:8" x14ac:dyDescent="0.35">
      <c r="A7" s="25"/>
      <c r="B7" s="25"/>
      <c r="C7" s="25"/>
      <c r="D7" s="25"/>
      <c r="E7" s="25"/>
      <c r="F7" s="25"/>
      <c r="G7" s="25"/>
      <c r="H7" s="25"/>
    </row>
    <row r="8" spans="1:8" ht="15.5" x14ac:dyDescent="0.35">
      <c r="A8" s="54" t="s">
        <v>48</v>
      </c>
      <c r="B8" s="25"/>
      <c r="C8" s="25"/>
      <c r="D8" s="25"/>
      <c r="E8" s="25"/>
      <c r="F8" s="25"/>
      <c r="G8" s="25"/>
      <c r="H8" s="25"/>
    </row>
    <row r="9" spans="1:8" ht="15" thickBot="1" x14ac:dyDescent="0.4">
      <c r="A9" s="55" t="s">
        <v>7</v>
      </c>
      <c r="B9" s="55" t="s">
        <v>49</v>
      </c>
      <c r="C9" s="55" t="s">
        <v>3</v>
      </c>
      <c r="D9" s="55" t="s">
        <v>5</v>
      </c>
      <c r="E9" s="55" t="s">
        <v>50</v>
      </c>
      <c r="F9" s="55" t="s">
        <v>51</v>
      </c>
      <c r="G9" s="55" t="s">
        <v>52</v>
      </c>
      <c r="H9" s="55" t="str">
        <f>"CAGR ("&amp;TEXT((MAX(Ledger[Date])-MIN(Ledger[Date]))/365.25,"0")&amp;"yr)"</f>
        <v>CAGR (6yr)</v>
      </c>
    </row>
    <row r="10" spans="1:8" x14ac:dyDescent="0.35">
      <c r="A10" s="49" t="str">
        <f ca="1">Dashboard!N7</f>
        <v>0R2N</v>
      </c>
      <c r="B10" s="259">
        <f ca="1">Dashboard!G7-Dashboard!J7</f>
        <v>7915.0489999999991</v>
      </c>
      <c r="C10" s="259">
        <f ca="1">Dashboard!G7</f>
        <v>15596.205000000002</v>
      </c>
      <c r="D10" s="269">
        <f ca="1">Dashboard!J7</f>
        <v>7681.1560000000027</v>
      </c>
      <c r="E10" s="270">
        <f ca="1">Dashboard!L7</f>
        <v>0.97044958281370131</v>
      </c>
      <c r="F10" s="57">
        <f ca="1">Dashboard!M7</f>
        <v>5.1357301035107744E-2</v>
      </c>
      <c r="G10" s="263">
        <f ca="1">Dashboard!P7</f>
        <v>99.723434547058062</v>
      </c>
      <c r="H10" s="57">
        <f ca="1">Dashboard!R7</f>
        <v>0.11965190332092024</v>
      </c>
    </row>
    <row r="11" spans="1:8" x14ac:dyDescent="0.35">
      <c r="A11" s="51" t="str">
        <f ca="1">Dashboard!N8</f>
        <v>AAPL</v>
      </c>
      <c r="B11" s="260">
        <f ca="1">Dashboard!G8-Dashboard!J8</f>
        <v>7391.6634000000004</v>
      </c>
      <c r="C11" s="260">
        <f ca="1">Dashboard!G8</f>
        <v>14239.349200000001</v>
      </c>
      <c r="D11" s="271">
        <f ca="1">Dashboard!J8</f>
        <v>6847.6858000000002</v>
      </c>
      <c r="E11" s="272">
        <f ca="1">Dashboard!L8</f>
        <v>0.92640660558217514</v>
      </c>
      <c r="F11" s="29">
        <f ca="1">Dashboard!M8</f>
        <v>4.6889262061406645E-2</v>
      </c>
      <c r="G11" s="264">
        <f ca="1">Dashboard!P8</f>
        <v>134.54065161994905</v>
      </c>
      <c r="H11" s="29">
        <f ca="1">Dashboard!R8</f>
        <v>0.11544244895388989</v>
      </c>
    </row>
    <row r="12" spans="1:8" x14ac:dyDescent="0.35">
      <c r="A12" s="53" t="str">
        <f ca="1">Dashboard!N9</f>
        <v>AMD</v>
      </c>
      <c r="B12" s="261">
        <f ca="1">Dashboard!G9-Dashboard!J9</f>
        <v>7394.5580999999984</v>
      </c>
      <c r="C12" s="261">
        <f ca="1">Dashboard!G9</f>
        <v>23611.634399999999</v>
      </c>
      <c r="D12" s="273">
        <f ca="1">Dashboard!J9</f>
        <v>16217.076300000001</v>
      </c>
      <c r="E12" s="274">
        <f ca="1">Dashboard!L9</f>
        <v>2.1931095923095127</v>
      </c>
      <c r="F12" s="65">
        <f ca="1">Dashboard!M9</f>
        <v>7.7751595071474472E-2</v>
      </c>
      <c r="G12" s="265">
        <f ca="1">Dashboard!P9</f>
        <v>69.004834826427754</v>
      </c>
      <c r="H12" s="65">
        <f ca="1">Dashboard!R9</f>
        <v>0.21343486372950538</v>
      </c>
    </row>
    <row r="13" spans="1:8" x14ac:dyDescent="0.35">
      <c r="A13" s="51" t="str">
        <f ca="1">Dashboard!N10</f>
        <v>AMZN</v>
      </c>
      <c r="B13" s="260">
        <f ca="1">Dashboard!G10-Dashboard!J10</f>
        <v>6470.8785999999991</v>
      </c>
      <c r="C13" s="260">
        <f ca="1">Dashboard!G10</f>
        <v>9655.6252499999991</v>
      </c>
      <c r="D13" s="271">
        <f ca="1">Dashboard!J10</f>
        <v>3184.74665</v>
      </c>
      <c r="E13" s="272">
        <f ca="1">Dashboard!L10</f>
        <v>0.49216603290934874</v>
      </c>
      <c r="F13" s="29">
        <f ca="1">Dashboard!M10</f>
        <v>3.1795353590597028E-2</v>
      </c>
      <c r="G13" s="264">
        <f ca="1">Dashboard!P10</f>
        <v>142.37356655665565</v>
      </c>
      <c r="H13" s="29">
        <f ca="1">Dashboard!R10</f>
        <v>6.8963599812633891E-2</v>
      </c>
    </row>
    <row r="14" spans="1:8" x14ac:dyDescent="0.35">
      <c r="A14" s="53" t="str">
        <f ca="1">Dashboard!N11</f>
        <v>BA</v>
      </c>
      <c r="B14" s="261">
        <f ca="1">Dashboard!G11-Dashboard!J11</f>
        <v>9957.8624</v>
      </c>
      <c r="C14" s="261">
        <f ca="1">Dashboard!G11</f>
        <v>9647.4951000000001</v>
      </c>
      <c r="D14" s="273">
        <f ca="1">Dashboard!J11</f>
        <v>-310.36729999999989</v>
      </c>
      <c r="E14" s="274">
        <f ca="1">Dashboard!L11</f>
        <v>-3.1168064744497764E-2</v>
      </c>
      <c r="F14" s="65">
        <f ca="1">Dashboard!M11</f>
        <v>3.176858152899547E-2</v>
      </c>
      <c r="G14" s="265">
        <f ca="1">Dashboard!P11</f>
        <v>217.4680585280629</v>
      </c>
      <c r="H14" s="65">
        <f ca="1">Dashboard!R11</f>
        <v>-5.2622557180604934E-3</v>
      </c>
    </row>
    <row r="15" spans="1:8" x14ac:dyDescent="0.35">
      <c r="A15" s="51" t="str">
        <f ca="1">Dashboard!N12</f>
        <v>BLK</v>
      </c>
      <c r="B15" s="260">
        <f ca="1">Dashboard!G12-Dashboard!J12</f>
        <v>8680.5252</v>
      </c>
      <c r="C15" s="260">
        <f ca="1">Dashboard!G12</f>
        <v>11137.434000000001</v>
      </c>
      <c r="D15" s="271">
        <f ca="1">Dashboard!J12</f>
        <v>2456.9088000000011</v>
      </c>
      <c r="E15" s="272">
        <f ca="1">Dashboard!L12</f>
        <v>0.28303688352866035</v>
      </c>
      <c r="F15" s="29">
        <f ca="1">Dashboard!M12</f>
        <v>3.6674854600631641E-2</v>
      </c>
      <c r="G15" s="264">
        <f ca="1">Dashboard!P12</f>
        <v>751.56062337662331</v>
      </c>
      <c r="H15" s="29">
        <f ca="1">Dashboard!R12</f>
        <v>4.2403214463831551E-2</v>
      </c>
    </row>
    <row r="16" spans="1:8" x14ac:dyDescent="0.35">
      <c r="A16" s="53" t="str">
        <f ca="1">Dashboard!N13</f>
        <v>C</v>
      </c>
      <c r="B16" s="261">
        <f ca="1">Dashboard!G13-Dashboard!J13</f>
        <v>8304.7689000000009</v>
      </c>
      <c r="C16" s="261">
        <f ca="1">Dashboard!G13</f>
        <v>16332.1515</v>
      </c>
      <c r="D16" s="273">
        <f ca="1">Dashboard!J13</f>
        <v>8027.382599999999</v>
      </c>
      <c r="E16" s="274">
        <f ca="1">Dashboard!L13</f>
        <v>0.96659915485426673</v>
      </c>
      <c r="F16" s="65">
        <f ca="1">Dashboard!M13</f>
        <v>5.3780725576285153E-2</v>
      </c>
      <c r="G16" s="265">
        <f ca="1">Dashboard!P13</f>
        <v>59.264746307000649</v>
      </c>
      <c r="H16" s="65">
        <f ca="1">Dashboard!R13</f>
        <v>0.119287039945986</v>
      </c>
    </row>
    <row r="17" spans="1:8" x14ac:dyDescent="0.35">
      <c r="A17" s="51" t="str">
        <f ca="1">Dashboard!N14</f>
        <v>CVX</v>
      </c>
      <c r="B17" s="260">
        <f ca="1">Dashboard!G14-Dashboard!J14</f>
        <v>9879.1989999999987</v>
      </c>
      <c r="C17" s="260">
        <f ca="1">Dashboard!G14</f>
        <v>14662.19175</v>
      </c>
      <c r="D17" s="271">
        <f ca="1">Dashboard!J14</f>
        <v>4782.9927500000013</v>
      </c>
      <c r="E17" s="272">
        <f ca="1">Dashboard!L14</f>
        <v>0.48414782919141541</v>
      </c>
      <c r="F17" s="29">
        <f ca="1">Dashboard!M14</f>
        <v>4.8281655411635274E-2</v>
      </c>
      <c r="G17" s="264">
        <f ca="1">Dashboard!P14</f>
        <v>132.87422999327504</v>
      </c>
      <c r="H17" s="29">
        <f ca="1">Dashboard!R14</f>
        <v>6.8004316130137354E-2</v>
      </c>
    </row>
    <row r="18" spans="1:8" x14ac:dyDescent="0.35">
      <c r="A18" s="53" t="str">
        <f ca="1">Dashboard!N15</f>
        <v>F</v>
      </c>
      <c r="B18" s="261">
        <f ca="1">Dashboard!G15-Dashboard!J15</f>
        <v>7913.8448000000008</v>
      </c>
      <c r="C18" s="261">
        <f ca="1">Dashboard!G15</f>
        <v>8610.758249999999</v>
      </c>
      <c r="D18" s="275">
        <f ca="1">Dashboard!J15</f>
        <v>696.91344999999819</v>
      </c>
      <c r="E18" s="276">
        <f ca="1">Dashboard!L15</f>
        <v>8.8062562207436537E-2</v>
      </c>
      <c r="F18" s="65">
        <f ca="1">Dashboard!M15</f>
        <v>2.8354673690541222E-2</v>
      </c>
      <c r="G18" s="265">
        <f ca="1">Dashboard!P15</f>
        <v>10.63817504805689</v>
      </c>
      <c r="H18" s="65">
        <f ca="1">Dashboard!R15</f>
        <v>1.4162585334254851E-2</v>
      </c>
    </row>
    <row r="19" spans="1:8" x14ac:dyDescent="0.35">
      <c r="A19" s="51" t="str">
        <f ca="1">Dashboard!N16</f>
        <v>GOOG</v>
      </c>
      <c r="B19" s="260">
        <f ca="1">Dashboard!G16-Dashboard!J16</f>
        <v>7854.4308999999994</v>
      </c>
      <c r="C19" s="260">
        <f ca="1">Dashboard!G16</f>
        <v>20007.405600000002</v>
      </c>
      <c r="D19" s="271">
        <f ca="1">Dashboard!J16</f>
        <v>12152.974700000002</v>
      </c>
      <c r="E19" s="272">
        <f ca="1">Dashboard!L16</f>
        <v>1.5472762896163494</v>
      </c>
      <c r="F19" s="29">
        <f ca="1">Dashboard!M16</f>
        <v>6.5883101198701888E-2</v>
      </c>
      <c r="G19" s="264">
        <f ca="1">Dashboard!P16</f>
        <v>116.15544069801832</v>
      </c>
      <c r="H19" s="29">
        <f ca="1">Dashboard!R16</f>
        <v>0.16859467871402645</v>
      </c>
    </row>
    <row r="20" spans="1:8" x14ac:dyDescent="0.35">
      <c r="A20" s="53" t="str">
        <f ca="1">Dashboard!N17</f>
        <v>HMC</v>
      </c>
      <c r="B20" s="261">
        <f ca="1">Dashboard!G17-Dashboard!J17</f>
        <v>7119.3027000000002</v>
      </c>
      <c r="C20" s="261">
        <f ca="1">Dashboard!G17</f>
        <v>6166.6169999999993</v>
      </c>
      <c r="D20" s="273">
        <f ca="1">Dashboard!J17</f>
        <v>-952.68570000000091</v>
      </c>
      <c r="E20" s="274">
        <f ca="1">Dashboard!L17</f>
        <v>-0.13381727679594252</v>
      </c>
      <c r="F20" s="65">
        <f ca="1">Dashboard!M17</f>
        <v>2.0306273586248254E-2</v>
      </c>
      <c r="G20" s="265">
        <f ca="1">Dashboard!P17</f>
        <v>27.546150899593734</v>
      </c>
      <c r="H20" s="65">
        <f ca="1">Dashboard!R17</f>
        <v>-2.3653535211861865E-2</v>
      </c>
    </row>
    <row r="21" spans="1:8" x14ac:dyDescent="0.35">
      <c r="A21" s="51" t="str">
        <f ca="1">Dashboard!N18</f>
        <v>JPM</v>
      </c>
      <c r="B21" s="260">
        <f ca="1">Dashboard!G18-Dashboard!J18</f>
        <v>9431.1376</v>
      </c>
      <c r="C21" s="260">
        <f ca="1">Dashboard!G18</f>
        <v>16808.7248</v>
      </c>
      <c r="D21" s="271">
        <f ca="1">Dashboard!J18</f>
        <v>7377.5871999999999</v>
      </c>
      <c r="E21" s="272">
        <f ca="1">Dashboard!L18</f>
        <v>0.78225846264823873</v>
      </c>
      <c r="F21" s="29">
        <f ca="1">Dashboard!M18</f>
        <v>5.5350050834153633E-2</v>
      </c>
      <c r="G21" s="264">
        <f ca="1">Dashboard!P18</f>
        <v>165.92430682617876</v>
      </c>
      <c r="H21" s="29">
        <f ca="1">Dashboard!R18</f>
        <v>0.101080081734644</v>
      </c>
    </row>
    <row r="22" spans="1:8" x14ac:dyDescent="0.35">
      <c r="A22" s="53" t="str">
        <f ca="1">Dashboard!N19</f>
        <v>META</v>
      </c>
      <c r="B22" s="261">
        <f ca="1">Dashboard!G19-Dashboard!J19</f>
        <v>8317.269400000001</v>
      </c>
      <c r="C22" s="261">
        <f ca="1">Dashboard!G19</f>
        <v>16490.6253</v>
      </c>
      <c r="D22" s="273">
        <f ca="1">Dashboard!J19</f>
        <v>8173.3558999999987</v>
      </c>
      <c r="E22" s="274">
        <f ca="1">Dashboard!L19</f>
        <v>0.98269702554061766</v>
      </c>
      <c r="F22" s="65">
        <f ca="1">Dashboard!M19</f>
        <v>5.4302569618010527E-2</v>
      </c>
      <c r="G22" s="265">
        <f ca="1">Dashboard!P19</f>
        <v>291.52714335786891</v>
      </c>
      <c r="H22" s="65">
        <f ca="1">Dashboard!R19</f>
        <v>0.1208085235913201</v>
      </c>
    </row>
    <row r="23" spans="1:8" x14ac:dyDescent="0.35">
      <c r="A23" s="51" t="str">
        <f ca="1">Dashboard!N20</f>
        <v>NVDA</v>
      </c>
      <c r="B23" s="260">
        <f ca="1">Dashboard!G20-Dashboard!J20</f>
        <v>8779.8803999999946</v>
      </c>
      <c r="C23" s="260">
        <f ca="1">Dashboard!G20</f>
        <v>89099.291699999987</v>
      </c>
      <c r="D23" s="277">
        <f ca="1">Dashboard!J20</f>
        <v>80319.411299999992</v>
      </c>
      <c r="E23" s="278">
        <f ca="1">Dashboard!L20</f>
        <v>9.1481213457076294</v>
      </c>
      <c r="F23" s="29">
        <f ca="1">Dashboard!M20</f>
        <v>0.29339824308873702</v>
      </c>
      <c r="G23" s="264">
        <f ca="1">Dashboard!P20</f>
        <v>17.450520541410761</v>
      </c>
      <c r="H23" s="29">
        <f ca="1">Dashboard!R20</f>
        <v>0.47127102507432395</v>
      </c>
    </row>
    <row r="24" spans="1:8" x14ac:dyDescent="0.35">
      <c r="A24" s="53" t="str">
        <f ca="1">Dashboard!N21</f>
        <v>TM</v>
      </c>
      <c r="B24" s="261">
        <f ca="1">Dashboard!G21-Dashboard!J21</f>
        <v>6743.6297999999988</v>
      </c>
      <c r="C24" s="261">
        <f ca="1">Dashboard!G21</f>
        <v>8521.1733060000006</v>
      </c>
      <c r="D24" s="273">
        <f ca="1">Dashboard!J21</f>
        <v>1777.5435060000018</v>
      </c>
      <c r="E24" s="274">
        <f ca="1">Dashboard!L21</f>
        <v>0.26358853595433163</v>
      </c>
      <c r="F24" s="65">
        <f ca="1">Dashboard!M21</f>
        <v>2.8059676225630933E-2</v>
      </c>
      <c r="G24" s="265">
        <f ca="1">Dashboard!P21</f>
        <v>161.83416846652264</v>
      </c>
      <c r="H24" s="65">
        <f ca="1">Dashboard!R21</f>
        <v>3.9753561794573899E-2</v>
      </c>
    </row>
    <row r="25" spans="1:8" x14ac:dyDescent="0.35">
      <c r="A25" s="50" t="str">
        <f ca="1">Dashboard!N22</f>
        <v>WMT</v>
      </c>
      <c r="B25" s="262">
        <f ca="1">Dashboard!G22-Dashboard!J22</f>
        <v>9897.4210000000003</v>
      </c>
      <c r="C25" s="262">
        <f ca="1">Dashboard!G22</f>
        <v>23093.703799999999</v>
      </c>
      <c r="D25" s="279">
        <f ca="1">Dashboard!J22</f>
        <v>13196.282799999999</v>
      </c>
      <c r="E25" s="280">
        <f ca="1">Dashboard!L22</f>
        <v>1.3333051913220624</v>
      </c>
      <c r="F25" s="32">
        <f ca="1">Dashboard!M22</f>
        <v>7.6046082881842822E-2</v>
      </c>
      <c r="G25" s="266">
        <f ca="1">Dashboard!P22</f>
        <v>54.184939231358811</v>
      </c>
      <c r="H25" s="32">
        <f ca="1">Dashboard!R22</f>
        <v>0.15163432839692415</v>
      </c>
    </row>
    <row r="26" spans="1:8" x14ac:dyDescent="0.35">
      <c r="A26" s="25"/>
      <c r="B26" s="25"/>
      <c r="C26" s="25"/>
      <c r="D26" s="25"/>
      <c r="E26" s="25"/>
      <c r="F26" s="25"/>
      <c r="G26" s="25"/>
      <c r="H26" s="25"/>
    </row>
    <row r="27" spans="1:8" ht="15.5" x14ac:dyDescent="0.35">
      <c r="A27" s="54" t="s">
        <v>54</v>
      </c>
      <c r="B27" s="25"/>
      <c r="C27" s="25"/>
      <c r="D27" s="25"/>
      <c r="E27" s="25"/>
      <c r="F27" s="54" t="s">
        <v>57</v>
      </c>
      <c r="G27" s="25"/>
      <c r="H27" s="25"/>
    </row>
    <row r="28" spans="1:8" ht="15" thickBot="1" x14ac:dyDescent="0.4">
      <c r="A28" s="56" t="s">
        <v>0</v>
      </c>
      <c r="B28" s="56" t="s">
        <v>3</v>
      </c>
      <c r="C28" s="56" t="s">
        <v>51</v>
      </c>
      <c r="D28" s="56" t="s">
        <v>137</v>
      </c>
      <c r="E28" s="25"/>
      <c r="F28" s="56" t="s">
        <v>58</v>
      </c>
      <c r="G28" s="56" t="s">
        <v>59</v>
      </c>
      <c r="H28" s="56" t="s">
        <v>60</v>
      </c>
    </row>
    <row r="29" spans="1:8" x14ac:dyDescent="0.35">
      <c r="A29" s="48" t="str" cm="1">
        <f t="array" aca="1" ref="A29" ca="1">IFERROR(INDEX(_xlfn.UNIQUE(Dashboard!D7:D22),1),"")</f>
        <v>Aerospace &amp; Defense</v>
      </c>
      <c r="B29" s="267">
        <f ca="1">IF(A29="","",SUMIF(Dashboard!D7:D22,A29,Dashboard!G7:G22))</f>
        <v>25243.700100000002</v>
      </c>
      <c r="C29" s="90">
        <f t="shared" ref="C29:C38" ca="1" si="0">IF(A29="","",B29/SUM($B$29:$B$38))</f>
        <v>8.3125882564103221E-2</v>
      </c>
      <c r="D29" s="91">
        <f t="shared" ref="D29:D38" ca="1" si="1">IF(A29="","",C29^2)</f>
        <v>6.9099123520610798E-3</v>
      </c>
      <c r="E29" s="25"/>
      <c r="F29" s="48" t="s">
        <v>61</v>
      </c>
      <c r="G29" s="93">
        <f ca="1">A6</f>
        <v>132051.4212000001</v>
      </c>
      <c r="H29" s="94" t="str">
        <f ca="1">IF(B6&gt;A6,"✅ Positive","⚠️ Loss")</f>
        <v>✅ Positive</v>
      </c>
    </row>
    <row r="30" spans="1:8" x14ac:dyDescent="0.35">
      <c r="A30" s="86" t="str" cm="1">
        <f t="array" aca="1" ref="A30" ca="1">IFERROR(INDEX(_xlfn.UNIQUE(Dashboard!D7:D22),2),"")</f>
        <v>Computers, Phones &amp; Household Electronics</v>
      </c>
      <c r="B30" s="268">
        <f ca="1">IF(A30="","",SUMIF(Dashboard!D7:D22,A30,Dashboard!G7:G22))</f>
        <v>14239.349200000001</v>
      </c>
      <c r="C30" s="26">
        <f t="shared" ca="1" si="0"/>
        <v>4.6889262061406645E-2</v>
      </c>
      <c r="D30" s="27">
        <f t="shared" ca="1" si="1"/>
        <v>2.1986028966632684E-3</v>
      </c>
      <c r="E30" s="25"/>
      <c r="F30" s="86" t="s">
        <v>62</v>
      </c>
      <c r="G30" s="28">
        <f ca="1">B6</f>
        <v>303680.38595600007</v>
      </c>
      <c r="H30" s="25" t="str">
        <f ca="1">IF(G30&gt;G29*1.5,"✅ Strong Growth",IF(G30&gt;G29,"🟢 Positive","🔴 Drawdown"))</f>
        <v>✅ Strong Growth</v>
      </c>
    </row>
    <row r="31" spans="1:8" x14ac:dyDescent="0.35">
      <c r="A31" s="48" t="str" cm="1">
        <f t="array" aca="1" ref="A31" ca="1">IFERROR(INDEX(_xlfn.UNIQUE(Dashboard!D7:D22),3),"")</f>
        <v>Semiconductors &amp; Semiconductor Equipment</v>
      </c>
      <c r="B31" s="267">
        <f ca="1">IF(A31="","",SUMIF(Dashboard!D7:D22,A31,Dashboard!G7:G22))</f>
        <v>112710.92609999998</v>
      </c>
      <c r="C31" s="90">
        <f t="shared" ca="1" si="0"/>
        <v>0.37114983816021146</v>
      </c>
      <c r="D31" s="91">
        <f t="shared" ca="1" si="1"/>
        <v>0.13775220236635116</v>
      </c>
      <c r="E31" s="25"/>
      <c r="F31" s="48" t="s">
        <v>63</v>
      </c>
      <c r="G31" s="90">
        <f ca="1">MIN(E10:E25)</f>
        <v>-0.13381727679594252</v>
      </c>
      <c r="H31" s="94" t="str">
        <f ca="1">IF(G31&lt;-0.2,"🔴 High Risk",IF(G31&lt;-0.1,"🟡 Moderate","🟢 Low Risk"))</f>
        <v>🟡 Moderate</v>
      </c>
    </row>
    <row r="32" spans="1:8" x14ac:dyDescent="0.35">
      <c r="A32" s="51" t="str" cm="1">
        <f t="array" aca="1" ref="A32" ca="1">IFERROR(INDEX(_xlfn.UNIQUE(Dashboard!D7:D22),4),"")</f>
        <v>Diversified Retail</v>
      </c>
      <c r="B32" s="260">
        <f ca="1">IF(A32="","",SUMIF(Dashboard!D7:D22,A32,Dashboard!G7:G22))</f>
        <v>9655.6252499999991</v>
      </c>
      <c r="C32" s="29">
        <f t="shared" ca="1" si="0"/>
        <v>3.1795353590597028E-2</v>
      </c>
      <c r="D32" s="30">
        <f t="shared" ca="1" si="1"/>
        <v>1.0109445099510913E-3</v>
      </c>
      <c r="E32" s="25"/>
      <c r="F32" s="86" t="s">
        <v>64</v>
      </c>
      <c r="G32" s="26">
        <f ca="1">MAX(F10:F25)</f>
        <v>0.29339824308873702</v>
      </c>
      <c r="H32" s="25" t="str">
        <f ca="1">IF(G32&gt;0.5,"🔴 Over-concentrated",IF(G32&gt;0.3,"🟡 Monitor","🟢 Balanced"))</f>
        <v>🟢 Balanced</v>
      </c>
    </row>
    <row r="33" spans="1:8" x14ac:dyDescent="0.35">
      <c r="A33" s="53" t="str" cm="1">
        <f t="array" aca="1" ref="A33" ca="1">IFERROR(INDEX(_xlfn.UNIQUE(Dashboard!D7:D22),5),"")</f>
        <v>Investment Banking &amp; Investment Services</v>
      </c>
      <c r="B33" s="261">
        <f ca="1">IF(A33="","",SUMIF(Dashboard!D7:D22,A33,Dashboard!G7:G22))</f>
        <v>27469.585500000001</v>
      </c>
      <c r="C33" s="65">
        <f t="shared" ca="1" si="0"/>
        <v>9.0455580176916794E-2</v>
      </c>
      <c r="D33" s="92">
        <f t="shared" ca="1" si="1"/>
        <v>8.182211985142622E-3</v>
      </c>
      <c r="E33" s="25"/>
      <c r="F33" s="48" t="s">
        <v>65</v>
      </c>
      <c r="G33" s="90">
        <f ca="1">LARGE(F10:F25,1)+LARGE(F10:F25,2)+LARGE(F10:F25,3)</f>
        <v>0.44719592104205436</v>
      </c>
      <c r="H33" s="94" t="str">
        <f ca="1">IF(G33&gt;0.7,"🔴 Top-heavy",IF(G33&gt;0.5,"🟡 Monitor","🟢 Balanced"))</f>
        <v>🟢 Balanced</v>
      </c>
    </row>
    <row r="34" spans="1:8" x14ac:dyDescent="0.35">
      <c r="A34" s="51" t="str" cm="1">
        <f t="array" aca="1" ref="A34" ca="1">IFERROR(INDEX(_xlfn.UNIQUE(Dashboard!D7:D22),6),"")</f>
        <v>Oil &amp; Gas</v>
      </c>
      <c r="B34" s="260">
        <f ca="1">IF(A34="","",SUMIF(Dashboard!D7:D22,A34,Dashboard!G7:G22))</f>
        <v>14662.19175</v>
      </c>
      <c r="C34" s="29">
        <f t="shared" ca="1" si="0"/>
        <v>4.8281655411635274E-2</v>
      </c>
      <c r="D34" s="30">
        <f t="shared" ca="1" si="1"/>
        <v>2.3311182492878899E-3</v>
      </c>
      <c r="E34" s="25"/>
      <c r="F34" s="86" t="s">
        <v>66</v>
      </c>
      <c r="G34" s="26">
        <f ca="1">AVERAGE(E10:E25)</f>
        <v>1.2685149845403316</v>
      </c>
      <c r="H34" s="25" t="str">
        <f ca="1">IF(G34&gt;1,"✅ Strong",IF(G34&gt;0.5,"🟢 Positive","🟡 Weak"))</f>
        <v>✅ Strong</v>
      </c>
    </row>
    <row r="35" spans="1:8" x14ac:dyDescent="0.35">
      <c r="A35" s="53" t="str" cm="1">
        <f t="array" aca="1" ref="A35" ca="1">IFERROR(INDEX(_xlfn.UNIQUE(Dashboard!D7:D22),7),"")</f>
        <v>Automobiles &amp; Auto Parts</v>
      </c>
      <c r="B35" s="261">
        <f ca="1">IF(A35="","",SUMIF(Dashboard!D7:D22,A35,Dashboard!G7:G22))</f>
        <v>23298.548555999998</v>
      </c>
      <c r="C35" s="65">
        <f t="shared" ca="1" si="0"/>
        <v>7.6720623502420399E-2</v>
      </c>
      <c r="D35" s="92">
        <f t="shared" ca="1" si="1"/>
        <v>5.8860540706001411E-3</v>
      </c>
      <c r="E35" s="25"/>
      <c r="F35" s="48" t="s">
        <v>67</v>
      </c>
      <c r="G35" s="95" t="str">
        <f ca="1">COUNTIF(D10:D25,"&gt;0")&amp;"/"&amp;COUNTA(D10:D25)</f>
        <v>14/16</v>
      </c>
      <c r="H35" s="94" t="str">
        <f ca="1">IF(COUNTIF(D10:D25,"&gt;0")/COUNTA(D10:D25)&gt;0.8,"✅ High Win Rate",IF(COUNTIF(D10:D25,"&gt;0")/COUNTA(D10:D25)&gt;0.5,"🟢 Above 50%","🔴 Below 50%"))</f>
        <v>✅ High Win Rate</v>
      </c>
    </row>
    <row r="36" spans="1:8" x14ac:dyDescent="0.35">
      <c r="A36" s="51" t="str" cm="1">
        <f t="array" aca="1" ref="A36" ca="1">IFERROR(INDEX(_xlfn.UNIQUE(Dashboard!D7:D22),8),"")</f>
        <v>Software &amp; IT Services</v>
      </c>
      <c r="B36" s="260">
        <f ca="1">IF(A36="","",SUMIF(Dashboard!D7:D22,A36,Dashboard!G7:G22))</f>
        <v>36498.030899999998</v>
      </c>
      <c r="C36" s="29">
        <f t="shared" ca="1" si="0"/>
        <v>0.1201856708167124</v>
      </c>
      <c r="D36" s="30">
        <f t="shared" ca="1" si="1"/>
        <v>1.4444595469663155E-2</v>
      </c>
      <c r="E36" s="25"/>
      <c r="F36" s="25"/>
      <c r="G36" s="25"/>
      <c r="H36" s="25"/>
    </row>
    <row r="37" spans="1:8" ht="15.5" x14ac:dyDescent="0.35">
      <c r="A37" s="53" t="str" cm="1">
        <f t="array" aca="1" ref="A37" ca="1">IFERROR(INDEX(_xlfn.UNIQUE(Dashboard!D7:D22),9),"")</f>
        <v>Banking Services</v>
      </c>
      <c r="B37" s="261">
        <f ca="1">IF(A37="","",SUMIF(Dashboard!D7:D22,A37,Dashboard!G7:G22))</f>
        <v>16808.7248</v>
      </c>
      <c r="C37" s="65">
        <f t="shared" ca="1" si="0"/>
        <v>5.5350050834153633E-2</v>
      </c>
      <c r="D37" s="92">
        <f t="shared" ca="1" si="1"/>
        <v>3.0636281273433911E-3</v>
      </c>
      <c r="E37" s="25"/>
      <c r="F37" s="54" t="s">
        <v>184</v>
      </c>
      <c r="G37" s="25"/>
      <c r="H37" s="25"/>
    </row>
    <row r="38" spans="1:8" x14ac:dyDescent="0.35">
      <c r="A38" s="50" t="str" cm="1">
        <f t="array" aca="1" ref="A38" ca="1">IFERROR(INDEX(_xlfn.UNIQUE(Dashboard!D7:D22),10),"")</f>
        <v>Food &amp; Drug Retailing</v>
      </c>
      <c r="B38" s="262">
        <f ca="1">IF(A38="","",SUMIF(Dashboard!D7:D22,A38,Dashboard!G7:G22))</f>
        <v>23093.703799999999</v>
      </c>
      <c r="C38" s="32">
        <f t="shared" ca="1" si="0"/>
        <v>7.6046082881842822E-2</v>
      </c>
      <c r="D38" s="33">
        <f t="shared" ca="1" si="1"/>
        <v>5.7830067216721077E-3</v>
      </c>
      <c r="E38" s="25"/>
      <c r="F38" s="55" t="s">
        <v>106</v>
      </c>
      <c r="G38" s="55" t="s">
        <v>185</v>
      </c>
      <c r="H38" s="55" t="s">
        <v>186</v>
      </c>
    </row>
    <row r="39" spans="1:8" x14ac:dyDescent="0.35">
      <c r="A39" s="14" t="s">
        <v>55</v>
      </c>
      <c r="B39" s="14"/>
      <c r="C39" s="14"/>
      <c r="D39" s="15">
        <f ca="1">SUM(D29:D38)</f>
        <v>0.18756227674873593</v>
      </c>
      <c r="E39" s="25"/>
      <c r="F39" s="48" t="s">
        <v>187</v>
      </c>
      <c r="G39" s="189">
        <f ca="1">IF(E6&gt;0.15,10,IF(E6&gt;0.1,8,IF(E6&gt;0.05,6,IF(E6&gt;0,4,2))))</f>
        <v>8</v>
      </c>
      <c r="H39" s="95" t="str">
        <f ca="1">IF(G39&gt;=8,"A",IF(G39&gt;=6,"B",IF(G39&gt;=4,"C","D")))</f>
        <v>A</v>
      </c>
    </row>
    <row r="40" spans="1:8" x14ac:dyDescent="0.35">
      <c r="A40" s="42" t="s">
        <v>56</v>
      </c>
      <c r="B40" s="42" t="str">
        <f ca="1">IF(D39&lt;0.15,"Well Diversified",IF(D39&lt;0.25,"Moderately Concentrated","Highly Concentrated"))</f>
        <v>Moderately Concentrated</v>
      </c>
      <c r="C40" s="42"/>
      <c r="D40" s="42"/>
      <c r="E40" s="25"/>
      <c r="F40" s="86" t="s">
        <v>188</v>
      </c>
      <c r="G40" s="38">
        <f ca="1">IF(G31&gt;-0.05,10,IF(G31&gt;-0.1,8,IF(G31&gt;-0.2,6,IF(G31&gt;-0.5,4,2))))</f>
        <v>6</v>
      </c>
      <c r="H40" s="31" t="str">
        <f ca="1">IF(G40&gt;=8,"A",IF(G40&gt;=6,"B",IF(G40&gt;=4,"C","D")))</f>
        <v>B</v>
      </c>
    </row>
    <row r="41" spans="1:8" x14ac:dyDescent="0.35">
      <c r="A41" s="25"/>
      <c r="B41" s="25"/>
      <c r="C41" s="25"/>
      <c r="D41" s="25"/>
      <c r="E41" s="25"/>
      <c r="F41" s="48" t="s">
        <v>189</v>
      </c>
      <c r="G41" s="189">
        <f ca="1">IF(D39&lt;0.1,10,IF(D39&lt;0.15,8,IF(D39&lt;0.25,6,IF(D39&lt;0.5,4,2))))</f>
        <v>6</v>
      </c>
      <c r="H41" s="95" t="str">
        <f ca="1">IF(G41&gt;=8,"A",IF(G41&gt;=6,"B",IF(G41&gt;=4,"C","D")))</f>
        <v>B</v>
      </c>
    </row>
    <row r="42" spans="1:8" ht="15.5" x14ac:dyDescent="0.35">
      <c r="A42" s="54" t="s">
        <v>166</v>
      </c>
      <c r="B42" s="25"/>
      <c r="C42" s="25"/>
      <c r="D42" s="25"/>
      <c r="E42" s="25"/>
      <c r="F42" s="86" t="s">
        <v>190</v>
      </c>
      <c r="G42" s="38">
        <f ca="1">IF(COUNTIF(D10:D25,"&gt;0")/COUNTA(D10:D25)&gt;0.9,10,IF(COUNTIF(D10:D25,"&gt;0")/COUNTA(D10:D25)&gt;0.75,8,IF(COUNTIF(D10:D25,"&gt;0")/COUNTA(D10:D25)&gt;0.5,6,4)))</f>
        <v>8</v>
      </c>
      <c r="H42" s="31" t="str">
        <f ca="1">IF(G42&gt;=8,"A",IF(G42&gt;=6,"B",IF(G42&gt;=4,"C","D")))</f>
        <v>A</v>
      </c>
    </row>
    <row r="43" spans="1:8" x14ac:dyDescent="0.35">
      <c r="A43" s="43" t="s">
        <v>167</v>
      </c>
      <c r="B43" s="34"/>
      <c r="C43" s="34"/>
      <c r="D43" s="34"/>
      <c r="E43" s="34"/>
      <c r="F43" s="48" t="s">
        <v>191</v>
      </c>
      <c r="G43" s="189">
        <f ca="1">IF(COUNTA(A29:A38)&gt;=8,10,IF(COUNTA(A29:A38)&gt;=6,8,IF(COUNTA(A29:A38)&gt;=4,6,4)))</f>
        <v>10</v>
      </c>
      <c r="H43" s="95" t="str">
        <f ca="1">IF(G43&gt;=8,"A",IF(G43&gt;=6,"B",IF(G43&gt;=4,"C","D")))</f>
        <v>A</v>
      </c>
    </row>
    <row r="44" spans="1:8" ht="15.5" x14ac:dyDescent="0.35">
      <c r="A44" s="25"/>
      <c r="B44" s="25"/>
      <c r="C44" s="25"/>
      <c r="D44" s="25"/>
      <c r="E44" s="25"/>
      <c r="F44" s="96" t="s">
        <v>192</v>
      </c>
      <c r="G44" s="190">
        <f ca="1">AVERAGE(G39:G43)</f>
        <v>7.6</v>
      </c>
      <c r="H44" s="97" t="str">
        <f ca="1">IF(G44&gt;=8,"A",IF(G44&gt;=6,"B+",IF(G44&gt;=5,"B",IF(G44&gt;=4,"C","D"))))</f>
        <v>B+</v>
      </c>
    </row>
    <row r="45" spans="1:8" ht="15.5" x14ac:dyDescent="0.35">
      <c r="A45" s="54" t="s">
        <v>168</v>
      </c>
      <c r="B45" s="25"/>
      <c r="C45" s="25"/>
      <c r="D45" s="25"/>
      <c r="E45" s="25"/>
      <c r="F45" s="25"/>
      <c r="G45" s="25"/>
      <c r="H45" s="25"/>
    </row>
    <row r="46" spans="1:8" ht="15" thickBot="1" x14ac:dyDescent="0.4">
      <c r="A46" s="55" t="s">
        <v>58</v>
      </c>
      <c r="B46" s="55" t="s">
        <v>59</v>
      </c>
      <c r="C46" s="55" t="s">
        <v>169</v>
      </c>
      <c r="D46" s="55" t="s">
        <v>170</v>
      </c>
      <c r="E46" s="25"/>
      <c r="F46" s="25"/>
      <c r="G46" s="25"/>
      <c r="H46" s="25"/>
    </row>
    <row r="47" spans="1:8" x14ac:dyDescent="0.35">
      <c r="A47" s="98" t="s">
        <v>171</v>
      </c>
      <c r="B47" s="117">
        <f ca="1">E6</f>
        <v>0.1488549348736059</v>
      </c>
      <c r="C47" s="99">
        <v>0.1</v>
      </c>
      <c r="D47" s="100" t="str">
        <f ca="1">IF(B47&gt;C47,"✅ Outperforming","⚠️ Underperforming")</f>
        <v>✅ Outperforming</v>
      </c>
      <c r="E47" s="25"/>
      <c r="F47" s="25"/>
      <c r="G47" s="25"/>
      <c r="H47" s="25"/>
    </row>
    <row r="48" spans="1:8" x14ac:dyDescent="0.35">
      <c r="A48" s="53" t="s">
        <v>235</v>
      </c>
      <c r="B48" s="102">
        <f ca="1">'Risk Analytics'!C9</f>
        <v>1.4726693833465256</v>
      </c>
      <c r="C48" s="67" t="s">
        <v>236</v>
      </c>
      <c r="D48" s="67" t="str">
        <f ca="1">IF(B48&gt;1.3,"🔴 Aggressive",IF(B48&gt;1,"🟡 Above Market",IF(B48&gt;0.7,"🟢 Moderate","🔵 Defensive")))</f>
        <v>🔴 Aggressive</v>
      </c>
      <c r="E48" s="25"/>
      <c r="F48" s="25"/>
      <c r="G48" s="25"/>
      <c r="H48" s="25"/>
    </row>
    <row r="49" spans="1:8" x14ac:dyDescent="0.35">
      <c r="A49" s="51" t="s">
        <v>305</v>
      </c>
      <c r="B49" s="104">
        <f ca="1">'Risk Analytics'!C11</f>
        <v>2.1676445331180683E-2</v>
      </c>
      <c r="C49" s="37" t="s">
        <v>240</v>
      </c>
      <c r="D49" s="37" t="str">
        <f ca="1">IF(B49&gt;0.03,"✅ Significant Alpha",IF(B49&gt;0,"🟢 Positive Alpha","🔴 Negative Alpha"))</f>
        <v>🟢 Positive Alpha</v>
      </c>
      <c r="E49" s="25"/>
      <c r="F49" s="25"/>
      <c r="G49" s="25"/>
      <c r="H49" s="25"/>
    </row>
    <row r="50" spans="1:8" x14ac:dyDescent="0.35">
      <c r="A50" s="53" t="s">
        <v>306</v>
      </c>
      <c r="B50" s="102">
        <f ca="1">'Risk Analytics'!C18</f>
        <v>0.46593001654794325</v>
      </c>
      <c r="C50" s="67" t="s">
        <v>307</v>
      </c>
      <c r="D50" s="67" t="str">
        <f ca="1">IF(B50&gt;2,"✅ Exceptional",IF(B50&gt;1,"🟢 Good",IF(B50&gt;0.5,"🟡 Adequate","🔴 Poor")))</f>
        <v>🔴 Poor</v>
      </c>
      <c r="E50" s="25"/>
      <c r="F50" s="25"/>
      <c r="G50" s="25"/>
      <c r="H50" s="25"/>
    </row>
    <row r="51" spans="1:8" x14ac:dyDescent="0.35">
      <c r="A51" s="51" t="s">
        <v>308</v>
      </c>
      <c r="B51" s="30">
        <f ca="1">'Risk Analytics'!C15</f>
        <v>7.2219152564931208E-2</v>
      </c>
      <c r="C51" s="37" t="s">
        <v>244</v>
      </c>
      <c r="D51" s="37" t="str">
        <f ca="1">IF(B51&gt;0.1,"✅ Excellent",IF(B51&gt;0.05,"🟢 Good","🟡 Weak"))</f>
        <v>🟢 Good</v>
      </c>
      <c r="E51" s="25"/>
      <c r="F51" s="25"/>
      <c r="G51" s="25"/>
      <c r="H51" s="25"/>
    </row>
    <row r="52" spans="1:8" x14ac:dyDescent="0.35">
      <c r="A52" s="53" t="s">
        <v>309</v>
      </c>
      <c r="B52" s="102">
        <f ca="1">'Risk Analytics'!C19</f>
        <v>3.0962338842978809</v>
      </c>
      <c r="C52" s="67" t="s">
        <v>310</v>
      </c>
      <c r="D52" s="67" t="str">
        <f ca="1">IF(B52&gt;3,"✅ Excellent",IF(B52&gt;2,"🟢 Good",IF(B52&gt;1,"🟡 Adequate","🔴 Poor")))</f>
        <v>✅ Excellent</v>
      </c>
      <c r="E52" s="25"/>
      <c r="F52" s="25"/>
      <c r="G52" s="25"/>
      <c r="H52" s="25"/>
    </row>
    <row r="53" spans="1:8" x14ac:dyDescent="0.35">
      <c r="A53" s="51" t="s">
        <v>311</v>
      </c>
      <c r="B53" s="104">
        <f ca="1">'Risk Analytics'!C68</f>
        <v>1.4719152564931198E-2</v>
      </c>
      <c r="C53" s="37" t="s">
        <v>299</v>
      </c>
      <c r="D53" s="37" t="str">
        <f ca="1">IF(B53&gt;0,"✅ Risk-Adj. Outperformance","🔴 Underperformance")</f>
        <v>✅ Risk-Adj. Outperformance</v>
      </c>
      <c r="E53" s="25"/>
      <c r="F53" s="25"/>
      <c r="G53" s="25"/>
      <c r="H53" s="25"/>
    </row>
    <row r="54" spans="1:8" x14ac:dyDescent="0.35">
      <c r="A54" s="53" t="s">
        <v>312</v>
      </c>
      <c r="B54" s="102">
        <f ca="1">'Risk Analytics'!C20</f>
        <v>1.112374563566962</v>
      </c>
      <c r="C54" s="67" t="s">
        <v>172</v>
      </c>
      <c r="D54" s="67" t="str">
        <f ca="1">IF(B54&gt;3,"✅ Excellent",IF(B54&gt;1,"🟢 Good","🟡 Monitor"))</f>
        <v>🟢 Good</v>
      </c>
      <c r="E54" s="25"/>
      <c r="F54" s="25"/>
      <c r="G54" s="25"/>
      <c r="H54" s="25"/>
    </row>
    <row r="55" spans="1:8" x14ac:dyDescent="0.35">
      <c r="A55" s="51" t="s">
        <v>173</v>
      </c>
      <c r="B55" s="187" cm="1">
        <f t="array" aca="1" ref="B55" ca="1">AVERAGE(IF(E10:E25&gt;0,E10:E25))/ABS(AVERAGE(IF(E10:E25&lt;0,E10:E25)))</f>
        <v>17.716920358017212</v>
      </c>
      <c r="C55" s="37" t="s">
        <v>174</v>
      </c>
      <c r="D55" s="37" t="str">
        <f ca="1">IF(B55&gt;5,"✅ Excellent Asymmetry",IF(B55&gt;3,"✅ Strong",IF(B55&gt;1.5,"🟢 Good","🟡 Thin")))</f>
        <v>✅ Excellent Asymmetry</v>
      </c>
      <c r="E55" s="25"/>
      <c r="F55" s="25"/>
      <c r="G55" s="25"/>
      <c r="H55" s="25"/>
    </row>
    <row r="56" spans="1:8" x14ac:dyDescent="0.35">
      <c r="A56" s="52" t="s">
        <v>175</v>
      </c>
      <c r="B56" s="188">
        <f ca="1">SUMIF(D10:D25,"&gt;0")/ABS(SUMIF(D10:D25,"&lt;0"))</f>
        <v>136.88421448347765</v>
      </c>
      <c r="C56" s="63" t="s">
        <v>176</v>
      </c>
      <c r="D56" s="64" t="str">
        <f ca="1">IF(B56&gt;10,"✅ Overwhelming Gains",IF(B56&gt;3,"✅ Excellent",IF(B56&gt;1.5,"🟢 Profitable",IF(B56&gt;1,"🟡 Marginal","🔴 Losing"))))</f>
        <v>✅ Overwhelming Gains</v>
      </c>
      <c r="E56" s="25"/>
      <c r="F56" s="25"/>
      <c r="G56" s="25"/>
      <c r="H56" s="25"/>
    </row>
    <row r="57" spans="1:8" x14ac:dyDescent="0.35">
      <c r="A57" s="25" t="s">
        <v>179</v>
      </c>
      <c r="B57" s="36">
        <f ca="1">1/D39</f>
        <v>5.3315624939850252</v>
      </c>
      <c r="C57" s="25" t="s">
        <v>180</v>
      </c>
      <c r="D57" s="25" t="str">
        <f ca="1">IF(B57&gt;=10,"✅ Well Diversified",IF(B57&gt;=5,"🟡 Moderate","🔴 Concentrated"))</f>
        <v>🟡 Moderate</v>
      </c>
      <c r="E57" s="25"/>
      <c r="F57" s="25"/>
      <c r="G57" s="25"/>
      <c r="H57" s="25"/>
    </row>
    <row r="58" spans="1:8" ht="15.5" x14ac:dyDescent="0.35">
      <c r="A58" s="54" t="s">
        <v>177</v>
      </c>
      <c r="B58" s="35"/>
      <c r="C58" s="25"/>
      <c r="D58" s="25"/>
      <c r="E58" s="25"/>
      <c r="F58" s="25"/>
      <c r="G58" s="25"/>
      <c r="H58" s="25"/>
    </row>
    <row r="59" spans="1:8" ht="15" thickBot="1" x14ac:dyDescent="0.4">
      <c r="A59" s="55" t="s">
        <v>58</v>
      </c>
      <c r="B59" s="105" t="s">
        <v>59</v>
      </c>
      <c r="C59" s="55" t="s">
        <v>178</v>
      </c>
      <c r="D59" s="55" t="s">
        <v>170</v>
      </c>
      <c r="E59" s="25"/>
      <c r="F59" s="25"/>
      <c r="G59" s="25"/>
      <c r="H59" s="25"/>
    </row>
    <row r="60" spans="1:8" x14ac:dyDescent="0.35">
      <c r="A60" s="49" t="s">
        <v>179</v>
      </c>
      <c r="B60" s="106">
        <f ca="1">1/D39</f>
        <v>5.3315624939850252</v>
      </c>
      <c r="C60" s="59" t="s">
        <v>270</v>
      </c>
      <c r="D60" s="59" t="str">
        <f ca="1">IF(B60&gt;=10,"✅ Well Diversified",IF(B60&gt;=5,"🟡 Moderate","🔴 Concentrated"))</f>
        <v>🟡 Moderate</v>
      </c>
      <c r="E60" s="25"/>
      <c r="F60" s="25"/>
      <c r="G60" s="25"/>
      <c r="H60" s="25"/>
    </row>
    <row r="61" spans="1:8" x14ac:dyDescent="0.35">
      <c r="A61" s="51" t="s">
        <v>181</v>
      </c>
      <c r="B61" s="187">
        <f ca="1">MAX(F10:F25)/MIN(F10:F25)</f>
        <v>14.44865015939858</v>
      </c>
      <c r="C61" s="37" t="s">
        <v>272</v>
      </c>
      <c r="D61" s="37" t="str">
        <f ca="1">IF(B61&gt;10,"🔴 Extreme Dispersion",IF(B61&gt;5,"🟡 Skewed","🟢 Balanced"))</f>
        <v>🔴 Extreme Dispersion</v>
      </c>
      <c r="E61" s="25"/>
      <c r="F61" s="25"/>
      <c r="G61" s="25"/>
      <c r="H61" s="25"/>
    </row>
    <row r="62" spans="1:8" x14ac:dyDescent="0.35">
      <c r="A62" s="53" t="s">
        <v>182</v>
      </c>
      <c r="B62" s="65">
        <f ca="1">MAX(C29:C38)</f>
        <v>0.37114983816021146</v>
      </c>
      <c r="C62" s="67" t="s">
        <v>313</v>
      </c>
      <c r="D62" s="67" t="str">
        <f ca="1">IF(B62&gt;0.4,"🔴 Sector Risk",IF(B62&gt;0.3,"🟡 Monitor","🟢 Balanced"))</f>
        <v>🟡 Monitor</v>
      </c>
      <c r="E62" s="25"/>
      <c r="F62" s="25"/>
      <c r="G62" s="25"/>
      <c r="H62" s="25"/>
    </row>
    <row r="63" spans="1:8" x14ac:dyDescent="0.35">
      <c r="A63" s="51" t="s">
        <v>314</v>
      </c>
      <c r="B63" s="29">
        <f ca="1">'Risk Analytics'!C62</f>
        <v>0.2630790222407563</v>
      </c>
      <c r="C63" s="37" t="s">
        <v>291</v>
      </c>
      <c r="D63" s="37" t="str">
        <f ca="1">IF(B63&gt;0.6,"✅ Stock Picker",IF(B63&gt;0.3,"🟢 Active","🟡 Closet Indexer"))</f>
        <v>🟡 Closet Indexer</v>
      </c>
      <c r="E63" s="25"/>
      <c r="F63" s="25"/>
      <c r="G63" s="25"/>
      <c r="H63" s="25"/>
    </row>
    <row r="64" spans="1:8" x14ac:dyDescent="0.35">
      <c r="A64" s="52" t="s">
        <v>183</v>
      </c>
      <c r="B64" s="62">
        <f ca="1">SUMPRODUCT(F10:F25,E10:E25)</f>
        <v>3.3554062004941496</v>
      </c>
      <c r="C64" s="64" t="s">
        <v>315</v>
      </c>
      <c r="D64" s="64" t="str">
        <f ca="1">IF(B64&gt;1,"✅ Large caps pulling weight",IF(B64&gt;0.5,"🟢 Positive","🟡 Weak"))</f>
        <v>✅ Large caps pulling weight</v>
      </c>
      <c r="E64" s="25"/>
      <c r="F64" s="25"/>
      <c r="G64" s="25"/>
      <c r="H64" s="25"/>
    </row>
  </sheetData>
  <conditionalFormatting sqref="D10:E25">
    <cfRule type="cellIs" dxfId="1" priority="1" operator="greaterThan">
      <formula>0</formula>
    </cfRule>
    <cfRule type="cellIs" dxfId="0" priority="2" operator="lessThan">
      <formula>0</formula>
    </cfRule>
  </conditionalFormatting>
  <conditionalFormatting sqref="F10:F25">
    <cfRule type="dataBar" priority="5">
      <dataBar>
        <cfvo type="min"/>
        <cfvo type="max"/>
        <color rgb="FF38BDF8"/>
      </dataBar>
      <extLst>
        <ext xmlns:x14="http://schemas.microsoft.com/office/spreadsheetml/2009/9/main" uri="{B025F937-C7B1-47D3-B67F-A62EFF666E3E}">
          <x14:id>{61A356C8-E328-4969-9FAC-2DADC6D3324B}</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61A356C8-E328-4969-9FAC-2DADC6D3324B}">
            <x14:dataBar minLength="0" maxLength="100" border="1" direction="leftToRight" negativeBarColorSameAsPositive="1" axisPosition="none">
              <x14:cfvo type="min"/>
              <x14:cfvo type="max"/>
              <x14:borderColor rgb="FF38BDF8"/>
            </x14:dataBar>
          </x14:cfRule>
          <xm:sqref>F10:F25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D37A-EBD7-492F-8870-82C2B61A6E58}">
  <dimension ref="A1:N95"/>
  <sheetViews>
    <sheetView showGridLines="0" workbookViewId="0">
      <selection activeCell="G23" sqref="G23"/>
    </sheetView>
  </sheetViews>
  <sheetFormatPr defaultRowHeight="14.5" x14ac:dyDescent="0.35"/>
  <cols>
    <col min="1" max="1" width="1.453125" customWidth="1"/>
    <col min="2" max="2" width="45.453125" customWidth="1"/>
    <col min="3" max="3" width="15.453125" customWidth="1"/>
    <col min="4" max="5" width="23.6328125" customWidth="1"/>
    <col min="6" max="6" width="14.54296875" customWidth="1"/>
    <col min="7" max="8" width="16.36328125" customWidth="1"/>
    <col min="9" max="9" width="14.54296875" customWidth="1"/>
    <col min="10" max="14" width="13.6328125" customWidth="1"/>
  </cols>
  <sheetData>
    <row r="1" spans="1:14" ht="21" x14ac:dyDescent="0.5">
      <c r="A1" s="109"/>
      <c r="B1" s="84" t="s">
        <v>224</v>
      </c>
      <c r="C1" s="108"/>
      <c r="D1" s="108"/>
      <c r="E1" s="108"/>
      <c r="F1" s="108"/>
      <c r="G1" s="108"/>
      <c r="H1" s="108"/>
      <c r="I1" s="108"/>
      <c r="J1" s="108"/>
      <c r="K1" s="39"/>
      <c r="L1" s="39"/>
      <c r="M1" s="39"/>
      <c r="N1" s="39"/>
    </row>
    <row r="2" spans="1:14" x14ac:dyDescent="0.35">
      <c r="A2" s="110"/>
      <c r="B2" s="85" t="s">
        <v>225</v>
      </c>
      <c r="C2" s="108"/>
      <c r="D2" s="108"/>
      <c r="E2" s="108"/>
      <c r="F2" s="108"/>
      <c r="G2" s="108"/>
      <c r="H2" s="108"/>
      <c r="I2" s="108"/>
      <c r="J2" s="108"/>
      <c r="K2" s="39"/>
      <c r="L2" s="39"/>
      <c r="M2" s="39"/>
      <c r="N2" s="39"/>
    </row>
    <row r="3" spans="1:14" x14ac:dyDescent="0.35">
      <c r="A3" s="25"/>
      <c r="B3" s="25"/>
      <c r="C3" s="25"/>
      <c r="D3" s="25"/>
      <c r="E3" s="25"/>
      <c r="F3" s="25"/>
      <c r="G3" s="25"/>
      <c r="H3" s="25"/>
      <c r="I3" s="25"/>
      <c r="J3" s="25"/>
      <c r="K3" s="25"/>
      <c r="L3" s="25"/>
      <c r="M3" s="25"/>
      <c r="N3" s="25"/>
    </row>
    <row r="4" spans="1:14" ht="15.5" x14ac:dyDescent="0.35">
      <c r="A4" s="25"/>
      <c r="B4" s="54" t="s">
        <v>226</v>
      </c>
      <c r="C4" s="25"/>
      <c r="D4" s="25"/>
      <c r="E4" s="25"/>
      <c r="F4" s="25"/>
      <c r="G4" s="25"/>
      <c r="H4" s="25"/>
      <c r="I4" s="25"/>
      <c r="J4" s="25"/>
      <c r="K4" s="25"/>
      <c r="L4" s="25"/>
      <c r="M4" s="25"/>
      <c r="N4" s="25"/>
    </row>
    <row r="5" spans="1:14" ht="15" thickBot="1" x14ac:dyDescent="0.4">
      <c r="A5" s="25"/>
      <c r="B5" s="55" t="s">
        <v>58</v>
      </c>
      <c r="C5" s="55" t="s">
        <v>59</v>
      </c>
      <c r="D5" s="55" t="s">
        <v>227</v>
      </c>
      <c r="E5" s="55" t="s">
        <v>170</v>
      </c>
      <c r="F5" s="25"/>
      <c r="G5" s="25"/>
      <c r="H5" s="25"/>
      <c r="I5" s="25"/>
      <c r="J5" s="25"/>
      <c r="K5" s="25"/>
      <c r="L5" s="25"/>
      <c r="M5" s="25"/>
      <c r="N5" s="25"/>
    </row>
    <row r="6" spans="1:14" x14ac:dyDescent="0.35">
      <c r="A6" s="25"/>
      <c r="B6" s="49" t="s">
        <v>228</v>
      </c>
      <c r="C6" s="111">
        <v>4.2500000000000003E-2</v>
      </c>
      <c r="D6" s="58" t="s">
        <v>229</v>
      </c>
      <c r="E6" s="58" t="s">
        <v>230</v>
      </c>
      <c r="F6" s="25"/>
      <c r="G6" s="25"/>
      <c r="H6" s="25"/>
      <c r="I6" s="25"/>
      <c r="J6" s="25"/>
      <c r="K6" s="25"/>
      <c r="L6" s="25"/>
      <c r="M6" s="25"/>
      <c r="N6" s="25"/>
    </row>
    <row r="7" spans="1:14" x14ac:dyDescent="0.35">
      <c r="A7" s="25"/>
      <c r="B7" s="51" t="s">
        <v>231</v>
      </c>
      <c r="C7" s="29">
        <v>0.1</v>
      </c>
      <c r="D7" s="61" t="s">
        <v>232</v>
      </c>
      <c r="E7" s="61" t="s">
        <v>230</v>
      </c>
      <c r="F7" s="25"/>
      <c r="G7" s="25"/>
      <c r="H7" s="25"/>
      <c r="I7" s="25"/>
      <c r="J7" s="25"/>
      <c r="K7" s="25"/>
      <c r="L7" s="25"/>
      <c r="M7" s="25"/>
      <c r="N7" s="25"/>
    </row>
    <row r="8" spans="1:14" x14ac:dyDescent="0.35">
      <c r="A8" s="25"/>
      <c r="B8" s="53" t="s">
        <v>233</v>
      </c>
      <c r="C8" s="112">
        <f>C7-C6</f>
        <v>5.7500000000000002E-2</v>
      </c>
      <c r="D8" s="66" t="s">
        <v>234</v>
      </c>
      <c r="E8" s="66" t="str">
        <f>IF(C8&gt;0.06,"✅ Above Average",IF(C8&gt;0.04,"🟢 Normal Range","🟡 Below Average"))</f>
        <v>🟢 Normal Range</v>
      </c>
      <c r="F8" s="25"/>
      <c r="G8" s="25"/>
      <c r="H8" s="25"/>
      <c r="I8" s="25"/>
      <c r="J8" s="25"/>
      <c r="K8" s="25"/>
      <c r="L8" s="25"/>
      <c r="M8" s="25"/>
      <c r="N8" s="25"/>
    </row>
    <row r="9" spans="1:14" x14ac:dyDescent="0.35">
      <c r="A9" s="25"/>
      <c r="B9" s="51" t="s">
        <v>235</v>
      </c>
      <c r="C9" s="113">
        <f ca="1">SUMPRODUCT(C39:C54,D39:D54)</f>
        <v>1.4726693833465256</v>
      </c>
      <c r="D9" s="61" t="s">
        <v>236</v>
      </c>
      <c r="E9" s="61" t="str">
        <f ca="1">IF(C9&gt;1.3,"🔴 Aggressive",IF(C9&gt;1,"🟡 Above Market",IF(C9&gt;0.7,"🟢 Moderate","🔵 Defensive")))</f>
        <v>🔴 Aggressive</v>
      </c>
      <c r="F9" s="25"/>
      <c r="G9" s="25"/>
      <c r="H9" s="25"/>
      <c r="I9" s="25"/>
      <c r="J9" s="25"/>
      <c r="K9" s="25"/>
      <c r="L9" s="25"/>
      <c r="M9" s="25"/>
      <c r="N9" s="25"/>
    </row>
    <row r="10" spans="1:14" x14ac:dyDescent="0.35">
      <c r="A10" s="25"/>
      <c r="B10" s="53" t="s">
        <v>237</v>
      </c>
      <c r="C10" s="65">
        <f ca="1">C6+C9*(C7-C6)</f>
        <v>0.12717848954242522</v>
      </c>
      <c r="D10" s="66" t="s">
        <v>238</v>
      </c>
      <c r="E10" s="66" t="str">
        <f ca="1">IF(C10&gt;0.12,"✅ High Expected",IF(C10&gt;0.08,"🟢 Moderate","🟡 Conservative"))</f>
        <v>✅ High Expected</v>
      </c>
      <c r="F10" s="25"/>
      <c r="G10" s="25"/>
      <c r="H10" s="25"/>
      <c r="I10" s="25"/>
      <c r="J10" s="25"/>
      <c r="K10" s="25"/>
      <c r="L10" s="25"/>
      <c r="M10" s="25"/>
      <c r="N10" s="25"/>
    </row>
    <row r="11" spans="1:14" x14ac:dyDescent="0.35">
      <c r="A11" s="25"/>
      <c r="B11" s="50" t="s">
        <v>239</v>
      </c>
      <c r="C11" s="103">
        <f ca="1">Analytics!E6-C10</f>
        <v>2.1676445331180683E-2</v>
      </c>
      <c r="D11" s="60" t="s">
        <v>240</v>
      </c>
      <c r="E11" s="60" t="str">
        <f ca="1">IF(C11&gt;0.03,"✅ Significant Alpha",IF(C11&gt;0,"🟢 Positive Alpha","🔴 Negative Alpha"))</f>
        <v>🟢 Positive Alpha</v>
      </c>
      <c r="F11" s="25"/>
      <c r="G11" s="25"/>
      <c r="H11" s="25"/>
      <c r="I11" s="25"/>
      <c r="J11" s="25"/>
      <c r="K11" s="25"/>
      <c r="L11" s="25"/>
      <c r="M11" s="25"/>
      <c r="N11" s="25"/>
    </row>
    <row r="12" spans="1:14" x14ac:dyDescent="0.35">
      <c r="A12" s="25"/>
      <c r="B12" s="25"/>
      <c r="C12" s="25"/>
      <c r="D12" s="25"/>
      <c r="E12" s="25"/>
      <c r="F12" s="25"/>
      <c r="G12" s="25"/>
      <c r="H12" s="25"/>
      <c r="I12" s="25"/>
      <c r="J12" s="25"/>
      <c r="K12" s="25"/>
      <c r="L12" s="25"/>
      <c r="M12" s="25"/>
      <c r="N12" s="25"/>
    </row>
    <row r="13" spans="1:14" ht="15.5" x14ac:dyDescent="0.35">
      <c r="A13" s="25"/>
      <c r="B13" s="54" t="s">
        <v>241</v>
      </c>
      <c r="C13" s="25"/>
      <c r="D13" s="25"/>
      <c r="E13" s="25"/>
      <c r="F13" s="25"/>
      <c r="G13" s="25"/>
      <c r="H13" s="25"/>
      <c r="I13" s="25"/>
      <c r="J13" s="25"/>
      <c r="K13" s="25"/>
      <c r="L13" s="25"/>
      <c r="M13" s="25"/>
      <c r="N13" s="25"/>
    </row>
    <row r="14" spans="1:14" ht="15" thickBot="1" x14ac:dyDescent="0.4">
      <c r="A14" s="25"/>
      <c r="B14" s="55" t="s">
        <v>58</v>
      </c>
      <c r="C14" s="55" t="s">
        <v>59</v>
      </c>
      <c r="D14" s="55" t="s">
        <v>242</v>
      </c>
      <c r="E14" s="55" t="s">
        <v>170</v>
      </c>
      <c r="F14" s="25"/>
      <c r="G14" s="25"/>
      <c r="H14" s="25"/>
      <c r="I14" s="25"/>
      <c r="J14" s="25"/>
      <c r="K14" s="25"/>
      <c r="L14" s="25"/>
      <c r="M14" s="25"/>
      <c r="N14" s="25"/>
    </row>
    <row r="15" spans="1:14" x14ac:dyDescent="0.35">
      <c r="A15" s="25"/>
      <c r="B15" s="98" t="s">
        <v>243</v>
      </c>
      <c r="C15" s="119">
        <f ca="1">IF(C9=0,"N/A",(Analytics!E6-C6)/C9)</f>
        <v>7.2219152564931208E-2</v>
      </c>
      <c r="D15" s="114" t="s">
        <v>244</v>
      </c>
      <c r="E15" s="114" t="str">
        <f ca="1">IF(C9=0,"⚠️ Awaiting Beta",IF(C15&gt;0.1,"✅ Excellent",IF(C15&gt;0.05,"🟢 Good","🟡 Weak")))</f>
        <v>🟢 Good</v>
      </c>
      <c r="F15" s="25"/>
      <c r="G15" s="25"/>
      <c r="H15" s="25"/>
      <c r="I15" s="25"/>
      <c r="J15" s="25"/>
      <c r="K15" s="25"/>
      <c r="L15" s="25"/>
      <c r="M15" s="25"/>
      <c r="N15" s="25"/>
    </row>
    <row r="16" spans="1:14" x14ac:dyDescent="0.35">
      <c r="A16" s="25"/>
      <c r="B16" s="53" t="s">
        <v>245</v>
      </c>
      <c r="C16" s="92">
        <f ca="1">IF(C17=0,"N/A",C11/C17)</f>
        <v>0.187708606709201</v>
      </c>
      <c r="D16" s="66" t="s">
        <v>246</v>
      </c>
      <c r="E16" s="66" t="str">
        <f ca="1">IF(C17=0,"⚠️ N/A",IF(C16&gt;1,"✅ Exceptional",IF(C16&gt;0.5,"🟢 Good",IF(C16&gt;0,"🟡 Marginal","🔴 Negative"))))</f>
        <v>🟡 Marginal</v>
      </c>
      <c r="F16" s="25"/>
      <c r="G16" s="25"/>
      <c r="H16" s="25"/>
      <c r="I16" s="25"/>
      <c r="J16" s="25"/>
      <c r="K16" s="25"/>
      <c r="L16" s="25"/>
      <c r="M16" s="25"/>
      <c r="N16" s="25"/>
    </row>
    <row r="17" spans="1:14" x14ac:dyDescent="0.35">
      <c r="A17" s="25"/>
      <c r="B17" s="51" t="s">
        <v>247</v>
      </c>
      <c r="C17" s="29" cm="1">
        <f t="array" aca="1" ref="C17" ca="1">STDEV(Analytics!H10:H25-Analytics!E6)</f>
        <v>0.11547922980836955</v>
      </c>
      <c r="D17" s="61" t="s">
        <v>248</v>
      </c>
      <c r="E17" s="61" t="str">
        <f ca="1">IF(ABS(C17)&gt;0.05,"🔴 High Active Risk",IF(ABS(C17)&gt;0.02,"🟡 Moderate","🟢 Index-Like"))</f>
        <v>🔴 High Active Risk</v>
      </c>
      <c r="F17" s="25"/>
      <c r="G17" s="25"/>
      <c r="H17" s="25"/>
      <c r="I17" s="25"/>
      <c r="J17" s="25"/>
      <c r="K17" s="25"/>
      <c r="L17" s="25"/>
      <c r="M17" s="25"/>
      <c r="N17" s="25"/>
    </row>
    <row r="18" spans="1:14" x14ac:dyDescent="0.35">
      <c r="A18" s="25"/>
      <c r="B18" s="53" t="s">
        <v>249</v>
      </c>
      <c r="C18" s="102">
        <f ca="1">(Analytics!E6-C6)/C25</f>
        <v>0.46593001654794325</v>
      </c>
      <c r="D18" s="66" t="s">
        <v>250</v>
      </c>
      <c r="E18" s="66" t="str">
        <f ca="1">IF(C18&gt;2,"✅ Exceptional",IF(C18&gt;1,"🟢 Good",IF(C18&gt;0.5,"🟡 Adequate","🔴 Poor")))</f>
        <v>🔴 Poor</v>
      </c>
      <c r="F18" s="25"/>
      <c r="G18" s="25"/>
      <c r="H18" s="25"/>
      <c r="I18" s="25"/>
      <c r="J18" s="25"/>
      <c r="K18" s="25"/>
      <c r="L18" s="25"/>
      <c r="M18" s="25"/>
      <c r="N18" s="25"/>
    </row>
    <row r="19" spans="1:14" x14ac:dyDescent="0.35">
      <c r="A19" s="25"/>
      <c r="B19" s="51" t="s">
        <v>251</v>
      </c>
      <c r="C19" s="113" cm="1">
        <f t="array" aca="1" ref="C19" ca="1">(Analytics!E6-C6)/SQRT(SUMPRODUCT((Analytics!E10:E25&lt;0)*(Analytics!E10:E25)^2)/COUNT(Analytics!E10:E25))</f>
        <v>3.0962338842978809</v>
      </c>
      <c r="D19" s="61" t="s">
        <v>252</v>
      </c>
      <c r="E19" s="61" t="str">
        <f ca="1">IF(C19&gt;3,"✅ Excellent",IF(C19&gt;2,"🟢 Good",IF(C19&gt;1,"🟡 Adequate","🔴 Poor")))</f>
        <v>✅ Excellent</v>
      </c>
      <c r="F19" s="25"/>
      <c r="G19" s="25"/>
      <c r="H19" s="25"/>
      <c r="I19" s="25"/>
      <c r="J19" s="25"/>
      <c r="K19" s="25"/>
      <c r="L19" s="25"/>
      <c r="M19" s="25"/>
      <c r="N19" s="25"/>
    </row>
    <row r="20" spans="1:14" x14ac:dyDescent="0.35">
      <c r="A20" s="25"/>
      <c r="B20" s="52" t="s">
        <v>253</v>
      </c>
      <c r="C20" s="101">
        <f ca="1">Analytics!E6/ABS(MIN(Analytics!E10:E25))</f>
        <v>1.112374563566962</v>
      </c>
      <c r="D20" s="63" t="s">
        <v>254</v>
      </c>
      <c r="E20" s="63" t="str">
        <f ca="1">IF(C20&gt;3,"✅ Excellent",IF(C20&gt;1,"🟢 Good","🟡 Monitor"))</f>
        <v>🟢 Good</v>
      </c>
      <c r="F20" s="25"/>
      <c r="G20" s="25"/>
      <c r="H20" s="25"/>
      <c r="I20" s="25"/>
      <c r="J20" s="25"/>
      <c r="K20" s="25"/>
      <c r="L20" s="25"/>
      <c r="M20" s="25"/>
      <c r="N20" s="25"/>
    </row>
    <row r="21" spans="1:14" x14ac:dyDescent="0.35">
      <c r="A21" s="25"/>
      <c r="B21" s="25"/>
      <c r="C21" s="25"/>
      <c r="D21" s="25"/>
      <c r="E21" s="25"/>
      <c r="F21" s="25"/>
      <c r="G21" s="25"/>
      <c r="H21" s="25"/>
      <c r="I21" s="25"/>
      <c r="J21" s="25"/>
      <c r="K21" s="25"/>
      <c r="L21" s="25"/>
      <c r="M21" s="25"/>
      <c r="N21" s="25"/>
    </row>
    <row r="22" spans="1:14" ht="15.5" x14ac:dyDescent="0.35">
      <c r="A22" s="25"/>
      <c r="B22" s="54" t="s">
        <v>255</v>
      </c>
      <c r="C22" s="25"/>
      <c r="D22" s="25"/>
      <c r="E22" s="25"/>
      <c r="F22" s="25"/>
      <c r="G22" s="25"/>
      <c r="H22" s="25"/>
      <c r="I22" s="25"/>
      <c r="J22" s="25"/>
      <c r="K22" s="25"/>
      <c r="L22" s="25"/>
      <c r="M22" s="25"/>
      <c r="N22" s="25"/>
    </row>
    <row r="23" spans="1:14" ht="15" thickBot="1" x14ac:dyDescent="0.4">
      <c r="A23" s="25"/>
      <c r="B23" s="55" t="s">
        <v>58</v>
      </c>
      <c r="C23" s="55" t="s">
        <v>59</v>
      </c>
      <c r="D23" s="55" t="s">
        <v>227</v>
      </c>
      <c r="E23" s="55" t="s">
        <v>256</v>
      </c>
      <c r="F23" s="25"/>
      <c r="G23" s="25"/>
      <c r="H23" s="25"/>
      <c r="I23" s="25"/>
      <c r="J23" s="25"/>
      <c r="K23" s="25"/>
      <c r="L23" s="25"/>
      <c r="M23" s="25"/>
      <c r="N23" s="25"/>
    </row>
    <row r="24" spans="1:14" x14ac:dyDescent="0.35">
      <c r="A24" s="25"/>
      <c r="B24" s="49" t="s">
        <v>257</v>
      </c>
      <c r="C24" s="57">
        <f ca="1">Analytics!E6</f>
        <v>0.1488549348736059</v>
      </c>
      <c r="D24" s="58" t="str">
        <f>"CAGR ("&amp;TEXT((MAX(Ledger[Date])-MIN(Ledger[Date]))/365.25,"0")&amp;"yr)"</f>
        <v>CAGR (6yr)</v>
      </c>
      <c r="E24" s="58" t="s">
        <v>258</v>
      </c>
      <c r="F24" s="25"/>
      <c r="G24" s="25"/>
      <c r="H24" s="25"/>
      <c r="I24" s="25"/>
      <c r="J24" s="25"/>
      <c r="K24" s="25"/>
      <c r="L24" s="25"/>
      <c r="M24" s="25"/>
      <c r="N24" s="25"/>
    </row>
    <row r="25" spans="1:14" x14ac:dyDescent="0.35">
      <c r="A25" s="25"/>
      <c r="B25" s="51" t="s">
        <v>301</v>
      </c>
      <c r="C25" s="29">
        <f ca="1">C9*0.155</f>
        <v>0.22826375441871147</v>
      </c>
      <c r="D25" s="61" t="s">
        <v>300</v>
      </c>
      <c r="E25" s="61" t="str">
        <f ca="1">IF(C25&gt;0.3,"🔴 High Dispersion",IF(C25&gt;0.15,"🟡 Moderate","🟢 Low"))</f>
        <v>🟡 Moderate</v>
      </c>
      <c r="F25" s="25"/>
      <c r="G25" s="25"/>
      <c r="H25" s="25"/>
      <c r="I25" s="25"/>
      <c r="J25" s="25"/>
      <c r="K25" s="25"/>
      <c r="L25" s="25"/>
      <c r="M25" s="25"/>
      <c r="N25" s="25"/>
    </row>
    <row r="26" spans="1:14" x14ac:dyDescent="0.35">
      <c r="A26" s="25"/>
      <c r="B26" s="53" t="s">
        <v>259</v>
      </c>
      <c r="C26" s="65">
        <f ca="1">C24-1.645*C25</f>
        <v>-0.22663894114517447</v>
      </c>
      <c r="D26" s="66" t="s">
        <v>260</v>
      </c>
      <c r="E26" s="66" t="str">
        <f ca="1">"Max 1Y loss: "&amp;TEXT(ABS(C26)*SUM(Dashboard!G7:G22),"$#,##0")</f>
        <v>Max 1Y loss: $68,826</v>
      </c>
      <c r="F26" s="25"/>
      <c r="G26" s="25"/>
      <c r="H26" s="25"/>
      <c r="I26" s="25"/>
      <c r="J26" s="25"/>
      <c r="K26" s="25"/>
      <c r="L26" s="25"/>
      <c r="M26" s="25"/>
      <c r="N26" s="25"/>
    </row>
    <row r="27" spans="1:14" x14ac:dyDescent="0.35">
      <c r="A27" s="25"/>
      <c r="B27" s="51" t="s">
        <v>261</v>
      </c>
      <c r="C27" s="29">
        <f ca="1">C24-2.326*C25</f>
        <v>-0.382086557904317</v>
      </c>
      <c r="D27" s="61" t="s">
        <v>262</v>
      </c>
      <c r="E27" s="61" t="str">
        <f ca="1">"Max 1Y loss: "&amp;TEXT(ABS(C27)*SUM(Dashboard!G7:G22),"$#,##0")</f>
        <v>Max 1Y loss: $116,032</v>
      </c>
      <c r="F27" s="25"/>
      <c r="G27" s="25"/>
      <c r="H27" s="25"/>
      <c r="I27" s="25"/>
      <c r="J27" s="25"/>
      <c r="K27" s="25"/>
      <c r="L27" s="25"/>
      <c r="M27" s="25"/>
      <c r="N27" s="25"/>
    </row>
    <row r="28" spans="1:14" x14ac:dyDescent="0.35">
      <c r="A28" s="25"/>
      <c r="B28" s="53" t="s">
        <v>263</v>
      </c>
      <c r="C28" s="65">
        <f ca="1">C24-2.063*C25</f>
        <v>-0.32205319049219588</v>
      </c>
      <c r="D28" s="66" t="s">
        <v>264</v>
      </c>
      <c r="E28" s="66" t="str">
        <f ca="1">"Tail loss: "&amp;TEXT(ABS(C28)*SUM(Dashboard!G7:G22),"$#,##0")</f>
        <v>Tail loss: $97,801</v>
      </c>
      <c r="F28" s="25"/>
      <c r="G28" s="25"/>
      <c r="H28" s="25"/>
      <c r="I28" s="25"/>
      <c r="J28" s="25"/>
      <c r="K28" s="25"/>
      <c r="L28" s="25"/>
      <c r="M28" s="25"/>
      <c r="N28" s="25"/>
    </row>
    <row r="29" spans="1:14" x14ac:dyDescent="0.35">
      <c r="A29" s="25"/>
      <c r="B29" s="51" t="s">
        <v>265</v>
      </c>
      <c r="C29" s="29">
        <f ca="1">MIN(Analytics!E10:E25)</f>
        <v>-0.13381727679594252</v>
      </c>
      <c r="D29" s="61" t="str">
        <f ca="1">INDEX(Analytics!A10:A25,MATCH(MIN(Analytics!E10:E25),Analytics!E10:E25,0))</f>
        <v>HMC</v>
      </c>
      <c r="E29" s="61" t="str">
        <f ca="1">"$ Loss: "&amp;TEXT(ABS(MIN(Analytics!D10:D25)),"$#,##0")</f>
        <v>$ Loss: $953</v>
      </c>
      <c r="F29" s="25"/>
      <c r="G29" s="25"/>
      <c r="H29" s="25"/>
      <c r="I29" s="25"/>
      <c r="J29" s="25"/>
      <c r="K29" s="25"/>
      <c r="L29" s="25"/>
      <c r="M29" s="25"/>
      <c r="N29" s="25"/>
    </row>
    <row r="30" spans="1:14" x14ac:dyDescent="0.35">
      <c r="A30" s="25"/>
      <c r="B30" s="52" t="s">
        <v>266</v>
      </c>
      <c r="C30" s="62" cm="1">
        <f t="array" aca="1" ref="C30" ca="1">SQRT(SUMPRODUCT((Analytics!E10:E25&lt;0)*(Analytics!E10:E25)^2)/COUNT(Analytics!E10:E25))</f>
        <v>3.4349774225057784E-2</v>
      </c>
      <c r="D30" s="63" t="s">
        <v>267</v>
      </c>
      <c r="E30" s="63" t="str">
        <f ca="1">IF(C30&lt;C25/2,"✅ Low Downside",IF(C30&lt;C25,"🟢 Acceptable","🔴 High Downside"))</f>
        <v>✅ Low Downside</v>
      </c>
      <c r="F30" s="25"/>
      <c r="G30" s="25"/>
      <c r="H30" s="25"/>
      <c r="I30" s="25"/>
      <c r="J30" s="25"/>
      <c r="K30" s="25"/>
      <c r="L30" s="25"/>
      <c r="M30" s="25"/>
      <c r="N30" s="25"/>
    </row>
    <row r="31" spans="1:14" x14ac:dyDescent="0.35">
      <c r="A31" s="25"/>
      <c r="B31" s="25"/>
      <c r="C31" s="25"/>
      <c r="D31" s="25"/>
      <c r="E31" s="25"/>
      <c r="F31" s="25"/>
      <c r="G31" s="25"/>
      <c r="H31" s="25"/>
      <c r="I31" s="25"/>
      <c r="J31" s="25"/>
      <c r="K31" s="25"/>
      <c r="L31" s="25"/>
      <c r="M31" s="25"/>
      <c r="N31" s="25"/>
    </row>
    <row r="32" spans="1:14" ht="15.5" x14ac:dyDescent="0.35">
      <c r="A32" s="25"/>
      <c r="B32" s="54" t="s">
        <v>268</v>
      </c>
      <c r="C32" s="25"/>
      <c r="D32" s="25"/>
      <c r="E32" s="25"/>
      <c r="F32" s="25"/>
      <c r="G32" s="25"/>
      <c r="H32" s="25"/>
      <c r="I32" s="25"/>
      <c r="J32" s="25"/>
      <c r="K32" s="25"/>
      <c r="L32" s="25"/>
      <c r="M32" s="25"/>
      <c r="N32" s="25"/>
    </row>
    <row r="33" spans="1:14" ht="15" thickBot="1" x14ac:dyDescent="0.4">
      <c r="A33" s="25"/>
      <c r="B33" s="55" t="s">
        <v>58</v>
      </c>
      <c r="C33" s="55" t="s">
        <v>59</v>
      </c>
      <c r="D33" s="55" t="s">
        <v>178</v>
      </c>
      <c r="E33" s="55" t="s">
        <v>170</v>
      </c>
      <c r="F33" s="25"/>
      <c r="G33" s="25"/>
      <c r="H33" s="25"/>
      <c r="I33" s="25"/>
      <c r="J33" s="25"/>
      <c r="K33" s="25"/>
      <c r="L33" s="25"/>
      <c r="M33" s="25"/>
      <c r="N33" s="25"/>
    </row>
    <row r="34" spans="1:14" x14ac:dyDescent="0.35">
      <c r="A34" s="25"/>
      <c r="B34" s="49" t="s">
        <v>269</v>
      </c>
      <c r="C34" s="106" cm="1">
        <f t="array" aca="1" ref="C34" ca="1">1/SUMPRODUCT((Dashboard!M7:'Dashboard'!M22)^2)</f>
        <v>8.0845713150433287</v>
      </c>
      <c r="D34" s="58" t="s">
        <v>270</v>
      </c>
      <c r="E34" s="58" t="str">
        <f ca="1">IF(C34&gt;=10,"✅ Well Diversified",IF(C34&gt;=5,"🟡 Moderate","🔴 Concentrated"))</f>
        <v>🟡 Moderate</v>
      </c>
      <c r="F34" s="25"/>
      <c r="G34" s="25"/>
      <c r="H34" s="25"/>
      <c r="I34" s="25"/>
      <c r="J34" s="25"/>
      <c r="K34" s="25"/>
      <c r="L34" s="25"/>
      <c r="M34" s="25"/>
      <c r="N34" s="25"/>
    </row>
    <row r="35" spans="1:14" x14ac:dyDescent="0.35">
      <c r="A35" s="25"/>
      <c r="B35" s="50" t="s">
        <v>271</v>
      </c>
      <c r="C35" s="115">
        <f ca="1">MAX(Dashboard!M7:'Dashboard'!M22)/MIN(Dashboard!M7:'Dashboard'!M22)</f>
        <v>14.44865015939858</v>
      </c>
      <c r="D35" s="60" t="s">
        <v>272</v>
      </c>
      <c r="E35" s="60" t="str">
        <f ca="1">IF(C35&gt;10,"🔴 Extreme Dispersion",IF(C35&gt;5,"🟡 Skewed","🟢 Balanced"))</f>
        <v>🔴 Extreme Dispersion</v>
      </c>
      <c r="F35" s="25"/>
      <c r="G35" s="25"/>
      <c r="H35" s="25"/>
      <c r="I35" s="25"/>
      <c r="J35" s="25"/>
      <c r="K35" s="25"/>
      <c r="L35" s="25"/>
      <c r="M35" s="25"/>
      <c r="N35" s="25"/>
    </row>
    <row r="36" spans="1:14" x14ac:dyDescent="0.35">
      <c r="A36" s="25"/>
      <c r="B36" s="25"/>
      <c r="C36" s="25"/>
      <c r="D36" s="25"/>
      <c r="E36" s="25"/>
      <c r="F36" s="25"/>
      <c r="G36" s="25"/>
      <c r="H36" s="25"/>
      <c r="I36" s="25"/>
      <c r="J36" s="25"/>
      <c r="K36" s="25"/>
      <c r="L36" s="25"/>
      <c r="M36" s="25"/>
      <c r="N36" s="25"/>
    </row>
    <row r="37" spans="1:14" ht="15.5" x14ac:dyDescent="0.35">
      <c r="A37" s="25"/>
      <c r="B37" s="54" t="s">
        <v>273</v>
      </c>
      <c r="C37" s="25"/>
      <c r="D37" s="25"/>
      <c r="E37" s="25"/>
      <c r="F37" s="25"/>
      <c r="G37" s="25"/>
      <c r="H37" s="25"/>
      <c r="I37" s="25"/>
      <c r="J37" s="25"/>
      <c r="K37" s="25"/>
      <c r="L37" s="25"/>
      <c r="M37" s="25"/>
      <c r="N37" s="25"/>
    </row>
    <row r="38" spans="1:14" ht="15" thickBot="1" x14ac:dyDescent="0.4">
      <c r="A38" s="25"/>
      <c r="B38" s="55" t="s">
        <v>13</v>
      </c>
      <c r="C38" s="55" t="s">
        <v>165</v>
      </c>
      <c r="D38" s="55" t="s">
        <v>274</v>
      </c>
      <c r="E38" s="55" t="s">
        <v>275</v>
      </c>
      <c r="F38" s="55" t="s">
        <v>50</v>
      </c>
      <c r="G38" s="55" t="s">
        <v>276</v>
      </c>
      <c r="H38" s="55" t="s">
        <v>277</v>
      </c>
      <c r="I38" s="55" t="s">
        <v>278</v>
      </c>
      <c r="J38" s="55" t="s">
        <v>279</v>
      </c>
      <c r="K38" s="25"/>
      <c r="L38" s="25"/>
      <c r="M38" s="25"/>
      <c r="N38" s="25"/>
    </row>
    <row r="39" spans="1:14" ht="15" thickBot="1" x14ac:dyDescent="0.4">
      <c r="A39" s="25"/>
      <c r="B39" s="116" t="str">
        <f ca="1">Dashboard!N7</f>
        <v>0R2N</v>
      </c>
      <c r="C39" s="117">
        <f ca="1">Dashboard!M7</f>
        <v>5.1357301035107744E-2</v>
      </c>
      <c r="D39" s="118" cm="1">
        <f t="array" aca="1" ref="D39" ca="1">IFERROR(_FV(INDEX(Ledger[Stock],MATCH(B39,Ledger[Ticker],0)),"Beta"),1)</f>
        <v>0.41199999999999998</v>
      </c>
      <c r="E39" s="117">
        <f ca="1">Dashboard!R7</f>
        <v>0.11965190332092024</v>
      </c>
      <c r="F39" s="289">
        <f ca="1">Dashboard!L7</f>
        <v>0.97044958281370131</v>
      </c>
      <c r="G39" s="119">
        <f ca="1">C39*D39</f>
        <v>2.1159208026464389E-2</v>
      </c>
      <c r="H39" s="117">
        <f ca="1">$C$6+D39*($C$7-$C$6)</f>
        <v>6.6189999999999999E-2</v>
      </c>
      <c r="I39" s="289">
        <f ca="1">E39-H39</f>
        <v>5.346190332092024E-2</v>
      </c>
      <c r="J39" s="114" t="str">
        <f ca="1">IF(F39&gt;1.5,"Growth",IF(F39&gt;0.5,"Blend",IF(F39&gt;0,"Value","Distressed")))</f>
        <v>Blend</v>
      </c>
      <c r="K39" s="25"/>
      <c r="L39" s="25"/>
      <c r="M39" s="25"/>
      <c r="N39" s="25"/>
    </row>
    <row r="40" spans="1:14" ht="15" thickBot="1" x14ac:dyDescent="0.4">
      <c r="A40" s="25"/>
      <c r="B40" s="122" t="str">
        <f ca="1">Dashboard!N8</f>
        <v>AAPL</v>
      </c>
      <c r="C40" s="65">
        <f ca="1">Dashboard!M8</f>
        <v>4.6889262061406645E-2</v>
      </c>
      <c r="D40" s="118" cm="1">
        <f t="array" aca="1" ref="D40" ca="1">IFERROR(_FV(INDEX(Ledger[Stock],MATCH(B40,Ledger[Ticker],0)),"Beta"),1)</f>
        <v>1.1034999999999999</v>
      </c>
      <c r="E40" s="65">
        <f ca="1">Dashboard!R8</f>
        <v>0.11544244895388989</v>
      </c>
      <c r="F40" s="274">
        <f ca="1">Dashboard!L8</f>
        <v>0.92640660558217514</v>
      </c>
      <c r="G40" s="92">
        <f ca="1">C40*D40</f>
        <v>5.1742300684762231E-2</v>
      </c>
      <c r="H40" s="65">
        <f ca="1">$C$6+D40*($C$7-$C$6)</f>
        <v>0.10595125</v>
      </c>
      <c r="I40" s="274">
        <f ca="1">E40-H40</f>
        <v>9.49119895388989E-3</v>
      </c>
      <c r="J40" s="66" t="str">
        <f ca="1">IF(F40&gt;1.5,"Growth",IF(F40&gt;0.5,"Blend",IF(F40&gt;0,"Value","Distressed")))</f>
        <v>Blend</v>
      </c>
      <c r="K40" s="25"/>
      <c r="L40" s="25"/>
      <c r="M40" s="25"/>
      <c r="N40" s="25"/>
    </row>
    <row r="41" spans="1:14" ht="15" thickBot="1" x14ac:dyDescent="0.4">
      <c r="A41" s="25"/>
      <c r="B41" s="123" t="str">
        <f ca="1">Dashboard!N9</f>
        <v>AMD</v>
      </c>
      <c r="C41" s="29">
        <f ca="1">Dashboard!M9</f>
        <v>7.7751595071474472E-2</v>
      </c>
      <c r="D41" s="118" cm="1">
        <f t="array" aca="1" ref="D41" ca="1">IFERROR(_FV(INDEX(Ledger[Stock],MATCH(B41,Ledger[Ticker],0)),"Beta"),1)</f>
        <v>1.9919</v>
      </c>
      <c r="E41" s="29">
        <f ca="1">Dashboard!R9</f>
        <v>0.21343486372950538</v>
      </c>
      <c r="F41" s="272">
        <f ca="1">Dashboard!L9</f>
        <v>2.1931095923095127</v>
      </c>
      <c r="G41" s="30">
        <f t="shared" ref="G41:G54" ca="1" si="0">C41*D41</f>
        <v>0.15487340222286999</v>
      </c>
      <c r="H41" s="29">
        <f t="shared" ref="H41:H54" ca="1" si="1">$C$6+D41*($C$7-$C$6)</f>
        <v>0.15703425000000001</v>
      </c>
      <c r="I41" s="278">
        <f t="shared" ref="I41:I54" ca="1" si="2">E41-H41</f>
        <v>5.6400613729505361E-2</v>
      </c>
      <c r="J41" s="61" t="str">
        <f t="shared" ref="J41:J54" ca="1" si="3">IF(F41&gt;1.5,"Growth",IF(F41&gt;0.5,"Blend",IF(F41&gt;0,"Value","Distressed")))</f>
        <v>Growth</v>
      </c>
      <c r="K41" s="25"/>
      <c r="L41" s="25"/>
      <c r="M41" s="25"/>
      <c r="N41" s="25"/>
    </row>
    <row r="42" spans="1:14" ht="15" thickBot="1" x14ac:dyDescent="0.4">
      <c r="A42" s="25"/>
      <c r="B42" s="122" t="str">
        <f ca="1">Dashboard!N10</f>
        <v>AMZN</v>
      </c>
      <c r="C42" s="65">
        <f ca="1">Dashboard!M10</f>
        <v>3.1795353590597028E-2</v>
      </c>
      <c r="D42" s="118" cm="1">
        <f t="array" aca="1" ref="D42" ca="1">IFERROR(_FV(INDEX(Ledger[Stock],MATCH(B42,Ledger[Ticker],0)),"Beta"),1)</f>
        <v>1.3631</v>
      </c>
      <c r="E42" s="65">
        <f ca="1">Dashboard!R10</f>
        <v>6.8963599812633891E-2</v>
      </c>
      <c r="F42" s="274">
        <f ca="1">Dashboard!L10</f>
        <v>0.49216603290934874</v>
      </c>
      <c r="G42" s="92">
        <f t="shared" ca="1" si="0"/>
        <v>4.3340246479342807E-2</v>
      </c>
      <c r="H42" s="65">
        <f t="shared" ca="1" si="1"/>
        <v>0.12087824999999999</v>
      </c>
      <c r="I42" s="276">
        <f t="shared" ca="1" si="2"/>
        <v>-5.1914650187366101E-2</v>
      </c>
      <c r="J42" s="66" t="str">
        <f t="shared" ca="1" si="3"/>
        <v>Value</v>
      </c>
      <c r="K42" s="25"/>
      <c r="L42" s="25"/>
      <c r="M42" s="25"/>
      <c r="N42" s="25"/>
    </row>
    <row r="43" spans="1:14" ht="15" thickBot="1" x14ac:dyDescent="0.4">
      <c r="A43" s="25"/>
      <c r="B43" s="123" t="str">
        <f ca="1">Dashboard!N11</f>
        <v>BA</v>
      </c>
      <c r="C43" s="29">
        <f ca="1">Dashboard!M11</f>
        <v>3.176858152899547E-2</v>
      </c>
      <c r="D43" s="118" cm="1">
        <f t="array" aca="1" ref="D43" ca="1">IFERROR(_FV(INDEX(Ledger[Stock],MATCH(B43,Ledger[Ticker],0)),"Beta"),1)</f>
        <v>1.1786000000000001</v>
      </c>
      <c r="E43" s="29">
        <f ca="1">Dashboard!R11</f>
        <v>-5.2622557180604934E-3</v>
      </c>
      <c r="F43" s="272">
        <f ca="1">Dashboard!L11</f>
        <v>-3.1168064744497764E-2</v>
      </c>
      <c r="G43" s="30">
        <f t="shared" ca="1" si="0"/>
        <v>3.7442450190074063E-2</v>
      </c>
      <c r="H43" s="29">
        <f t="shared" ca="1" si="1"/>
        <v>0.11026950000000002</v>
      </c>
      <c r="I43" s="278">
        <f t="shared" ca="1" si="2"/>
        <v>-0.11553175571806051</v>
      </c>
      <c r="J43" s="61" t="str">
        <f t="shared" ca="1" si="3"/>
        <v>Distressed</v>
      </c>
      <c r="K43" s="25"/>
      <c r="L43" s="25"/>
      <c r="M43" s="25"/>
      <c r="N43" s="25"/>
    </row>
    <row r="44" spans="1:14" ht="15" thickBot="1" x14ac:dyDescent="0.4">
      <c r="A44" s="25"/>
      <c r="B44" s="122" t="str">
        <f ca="1">Dashboard!N12</f>
        <v>BLK</v>
      </c>
      <c r="C44" s="65">
        <f ca="1">Dashboard!M12</f>
        <v>3.6674854600631641E-2</v>
      </c>
      <c r="D44" s="118" cm="1">
        <f t="array" aca="1" ref="D44" ca="1">IFERROR(_FV(INDEX(Ledger[Stock],MATCH(B44,Ledger[Ticker],0)),"Beta"),1)</f>
        <v>1.4875</v>
      </c>
      <c r="E44" s="65">
        <f ca="1">Dashboard!R12</f>
        <v>4.2403214463831551E-2</v>
      </c>
      <c r="F44" s="274">
        <f ca="1">Dashboard!L12</f>
        <v>0.28303688352866035</v>
      </c>
      <c r="G44" s="92">
        <f t="shared" ca="1" si="0"/>
        <v>5.4553846218439568E-2</v>
      </c>
      <c r="H44" s="65">
        <f t="shared" ca="1" si="1"/>
        <v>0.12803125000000001</v>
      </c>
      <c r="I44" s="276">
        <f t="shared" ca="1" si="2"/>
        <v>-8.5628035536168462E-2</v>
      </c>
      <c r="J44" s="66" t="str">
        <f t="shared" ca="1" si="3"/>
        <v>Value</v>
      </c>
      <c r="K44" s="25"/>
      <c r="L44" s="25"/>
      <c r="M44" s="25"/>
      <c r="N44" s="25"/>
    </row>
    <row r="45" spans="1:14" ht="15" thickBot="1" x14ac:dyDescent="0.4">
      <c r="A45" s="25"/>
      <c r="B45" s="123" t="str">
        <f ca="1">Dashboard!N13</f>
        <v>C</v>
      </c>
      <c r="C45" s="29">
        <f ca="1">Dashboard!M13</f>
        <v>5.3780725576285153E-2</v>
      </c>
      <c r="D45" s="118" cm="1">
        <f t="array" aca="1" ref="D45" ca="1">IFERROR(_FV(INDEX(Ledger[Stock],MATCH(B45,Ledger[Ticker],0)),"Beta"),1)</f>
        <v>1.1154999999999999</v>
      </c>
      <c r="E45" s="29">
        <f ca="1">Dashboard!R13</f>
        <v>0.119287039945986</v>
      </c>
      <c r="F45" s="272">
        <f ca="1">Dashboard!L13</f>
        <v>0.96659915485426673</v>
      </c>
      <c r="G45" s="30">
        <f t="shared" ca="1" si="0"/>
        <v>5.9992399380346083E-2</v>
      </c>
      <c r="H45" s="29">
        <f t="shared" ca="1" si="1"/>
        <v>0.10664124999999999</v>
      </c>
      <c r="I45" s="278">
        <f t="shared" ca="1" si="2"/>
        <v>1.2645789945986002E-2</v>
      </c>
      <c r="J45" s="61" t="str">
        <f t="shared" ca="1" si="3"/>
        <v>Blend</v>
      </c>
      <c r="K45" s="25"/>
      <c r="L45" s="25"/>
      <c r="M45" s="25"/>
      <c r="N45" s="25"/>
    </row>
    <row r="46" spans="1:14" ht="15" thickBot="1" x14ac:dyDescent="0.4">
      <c r="A46" s="25"/>
      <c r="B46" s="122" t="str">
        <f ca="1">Dashboard!N14</f>
        <v>CVX</v>
      </c>
      <c r="C46" s="65">
        <f ca="1">Dashboard!M14</f>
        <v>4.8281655411635274E-2</v>
      </c>
      <c r="D46" s="118" cm="1">
        <f t="array" aca="1" ref="D46" ca="1">IFERROR(_FV(INDEX(Ledger[Stock],MATCH(B46,Ledger[Ticker],0)),"Beta"),1)</f>
        <v>0.60919999999999996</v>
      </c>
      <c r="E46" s="65">
        <f ca="1">Dashboard!R14</f>
        <v>6.8004316130137354E-2</v>
      </c>
      <c r="F46" s="274">
        <f ca="1">Dashboard!L14</f>
        <v>0.48414782919141541</v>
      </c>
      <c r="G46" s="92">
        <f t="shared" ca="1" si="0"/>
        <v>2.9413184476768207E-2</v>
      </c>
      <c r="H46" s="65">
        <f t="shared" ca="1" si="1"/>
        <v>7.7529000000000001E-2</v>
      </c>
      <c r="I46" s="276">
        <f t="shared" ca="1" si="2"/>
        <v>-9.5246838698626463E-3</v>
      </c>
      <c r="J46" s="66" t="str">
        <f t="shared" ca="1" si="3"/>
        <v>Value</v>
      </c>
      <c r="K46" s="25"/>
      <c r="L46" s="25"/>
      <c r="M46" s="25"/>
      <c r="N46" s="25"/>
    </row>
    <row r="47" spans="1:14" ht="15" thickBot="1" x14ac:dyDescent="0.4">
      <c r="A47" s="25"/>
      <c r="B47" s="123" t="str">
        <f ca="1">Dashboard!N15</f>
        <v>F</v>
      </c>
      <c r="C47" s="29">
        <f ca="1">Dashboard!M15</f>
        <v>2.8354673690541222E-2</v>
      </c>
      <c r="D47" s="118" cm="1">
        <f t="array" aca="1" ref="D47" ca="1">IFERROR(_FV(INDEX(Ledger[Stock],MATCH(B47,Ledger[Ticker],0)),"Beta"),1)</f>
        <v>1.7561</v>
      </c>
      <c r="E47" s="29">
        <f ca="1">Dashboard!R15</f>
        <v>1.4162585334254851E-2</v>
      </c>
      <c r="F47" s="278">
        <f ca="1">Dashboard!L15</f>
        <v>8.8062562207436537E-2</v>
      </c>
      <c r="G47" s="30">
        <f t="shared" ca="1" si="0"/>
        <v>4.9793642467959441E-2</v>
      </c>
      <c r="H47" s="29">
        <f t="shared" ca="1" si="1"/>
        <v>0.14347575000000001</v>
      </c>
      <c r="I47" s="278">
        <f t="shared" ca="1" si="2"/>
        <v>-0.12931316466574516</v>
      </c>
      <c r="J47" s="61" t="str">
        <f t="shared" ca="1" si="3"/>
        <v>Value</v>
      </c>
      <c r="K47" s="25"/>
      <c r="L47" s="25"/>
      <c r="M47" s="25"/>
      <c r="N47" s="25"/>
    </row>
    <row r="48" spans="1:14" ht="15" thickBot="1" x14ac:dyDescent="0.4">
      <c r="A48" s="25"/>
      <c r="B48" s="122" t="str">
        <f ca="1">Dashboard!N16</f>
        <v>GOOG</v>
      </c>
      <c r="C48" s="65">
        <f ca="1">Dashboard!M16</f>
        <v>6.5883101198701888E-2</v>
      </c>
      <c r="D48" s="118" cm="1">
        <f t="array" aca="1" ref="D48" ca="1">IFERROR(_FV(INDEX(Ledger[Stock],MATCH(B48,Ledger[Ticker],0)),"Beta"),1)</f>
        <v>1.1004</v>
      </c>
      <c r="E48" s="65">
        <f ca="1">Dashboard!R16</f>
        <v>0.16859467871402645</v>
      </c>
      <c r="F48" s="274">
        <f ca="1">Dashboard!L16</f>
        <v>1.5472762896163494</v>
      </c>
      <c r="G48" s="92">
        <f t="shared" ca="1" si="0"/>
        <v>7.2497764559051561E-2</v>
      </c>
      <c r="H48" s="65">
        <f t="shared" ca="1" si="1"/>
        <v>0.10577300000000001</v>
      </c>
      <c r="I48" s="276">
        <f t="shared" ca="1" si="2"/>
        <v>6.2821678714026441E-2</v>
      </c>
      <c r="J48" s="66" t="str">
        <f t="shared" ca="1" si="3"/>
        <v>Growth</v>
      </c>
      <c r="K48" s="25"/>
      <c r="L48" s="25"/>
      <c r="M48" s="25"/>
      <c r="N48" s="25"/>
    </row>
    <row r="49" spans="1:14" ht="15" thickBot="1" x14ac:dyDescent="0.4">
      <c r="A49" s="25"/>
      <c r="B49" s="123" t="str">
        <f ca="1">Dashboard!N17</f>
        <v>HMC</v>
      </c>
      <c r="C49" s="29">
        <f ca="1">Dashboard!M17</f>
        <v>2.0306273586248254E-2</v>
      </c>
      <c r="D49" s="118" cm="1">
        <f t="array" aca="1" ref="D49" ca="1">IFERROR(_FV(INDEX(Ledger[Stock],MATCH(B49,Ledger[Ticker],0)),"Beta"),1)</f>
        <v>0.46800000000000003</v>
      </c>
      <c r="E49" s="29">
        <f ca="1">Dashboard!R17</f>
        <v>-2.3653535211861865E-2</v>
      </c>
      <c r="F49" s="272">
        <f ca="1">Dashboard!L17</f>
        <v>-0.13381727679594252</v>
      </c>
      <c r="G49" s="30">
        <f t="shared" ca="1" si="0"/>
        <v>9.5033360383641845E-3</v>
      </c>
      <c r="H49" s="29">
        <f t="shared" ca="1" si="1"/>
        <v>6.9409999999999999E-2</v>
      </c>
      <c r="I49" s="278">
        <f t="shared" ca="1" si="2"/>
        <v>-9.3063535211861864E-2</v>
      </c>
      <c r="J49" s="61" t="str">
        <f t="shared" ca="1" si="3"/>
        <v>Distressed</v>
      </c>
      <c r="K49" s="25"/>
      <c r="L49" s="25"/>
      <c r="M49" s="25"/>
      <c r="N49" s="25"/>
    </row>
    <row r="50" spans="1:14" ht="15" thickBot="1" x14ac:dyDescent="0.4">
      <c r="A50" s="25"/>
      <c r="B50" s="122" t="str">
        <f ca="1">Dashboard!N18</f>
        <v>JPM</v>
      </c>
      <c r="C50" s="65">
        <f ca="1">Dashboard!M18</f>
        <v>5.5350050834153633E-2</v>
      </c>
      <c r="D50" s="118" cm="1">
        <f t="array" aca="1" ref="D50" ca="1">IFERROR(_FV(INDEX(Ledger[Stock],MATCH(B50,Ledger[Ticker],0)),"Beta"),1)</f>
        <v>1.0615000000000001</v>
      </c>
      <c r="E50" s="65">
        <f ca="1">Dashboard!R18</f>
        <v>0.101080081734644</v>
      </c>
      <c r="F50" s="274">
        <f ca="1">Dashboard!L18</f>
        <v>0.78225846264823873</v>
      </c>
      <c r="G50" s="92">
        <f t="shared" ca="1" si="0"/>
        <v>5.8754078960454086E-2</v>
      </c>
      <c r="H50" s="65">
        <f t="shared" ca="1" si="1"/>
        <v>0.10353625000000001</v>
      </c>
      <c r="I50" s="274">
        <f t="shared" ca="1" si="2"/>
        <v>-2.4561682653560096E-3</v>
      </c>
      <c r="J50" s="66" t="str">
        <f t="shared" ca="1" si="3"/>
        <v>Blend</v>
      </c>
      <c r="K50" s="25"/>
      <c r="L50" s="25"/>
      <c r="M50" s="25"/>
      <c r="N50" s="25"/>
    </row>
    <row r="51" spans="1:14" ht="15" thickBot="1" x14ac:dyDescent="0.4">
      <c r="A51" s="25"/>
      <c r="B51" s="123" t="str">
        <f ca="1">Dashboard!N19</f>
        <v>META</v>
      </c>
      <c r="C51" s="29">
        <f ca="1">Dashboard!M19</f>
        <v>5.4302569618010527E-2</v>
      </c>
      <c r="D51" s="118" cm="1">
        <f t="array" aca="1" ref="D51" ca="1">IFERROR(_FV(INDEX(Ledger[Stock],MATCH(B51,Ledger[Ticker],0)),"Beta"),1)</f>
        <v>1.2983</v>
      </c>
      <c r="E51" s="29">
        <f ca="1">Dashboard!R19</f>
        <v>0.1208085235913201</v>
      </c>
      <c r="F51" s="272">
        <f ca="1">Dashboard!L19</f>
        <v>0.98269702554061766</v>
      </c>
      <c r="G51" s="30">
        <f t="shared" ca="1" si="0"/>
        <v>7.0501026135063066E-2</v>
      </c>
      <c r="H51" s="29">
        <f t="shared" ca="1" si="1"/>
        <v>0.11715225000000001</v>
      </c>
      <c r="I51" s="272">
        <f t="shared" ca="1" si="2"/>
        <v>3.6562735913200917E-3</v>
      </c>
      <c r="J51" s="61" t="str">
        <f t="shared" ca="1" si="3"/>
        <v>Blend</v>
      </c>
      <c r="K51" s="25"/>
      <c r="L51" s="25"/>
      <c r="M51" s="25"/>
      <c r="N51" s="25"/>
    </row>
    <row r="52" spans="1:14" ht="15" thickBot="1" x14ac:dyDescent="0.4">
      <c r="A52" s="25"/>
      <c r="B52" s="122" t="str">
        <f ca="1">Dashboard!N20</f>
        <v>NVDA</v>
      </c>
      <c r="C52" s="65">
        <f ca="1">Dashboard!M20</f>
        <v>0.29339824308873702</v>
      </c>
      <c r="D52" s="118" cm="1">
        <f t="array" aca="1" ref="D52" ca="1">IFERROR(_FV(INDEX(Ledger[Stock],MATCH(B52,Ledger[Ticker],0)),"Beta"),1)</f>
        <v>2.3466999999999998</v>
      </c>
      <c r="E52" s="65">
        <f ca="1">Dashboard!R20</f>
        <v>0.47127102507432395</v>
      </c>
      <c r="F52" s="276">
        <f ca="1">Dashboard!L20</f>
        <v>9.1481213457076294</v>
      </c>
      <c r="G52" s="92">
        <f t="shared" ca="1" si="0"/>
        <v>0.68851765705633905</v>
      </c>
      <c r="H52" s="65">
        <f t="shared" ca="1" si="1"/>
        <v>0.17743525000000002</v>
      </c>
      <c r="I52" s="276">
        <f t="shared" ca="1" si="2"/>
        <v>0.2938357750743239</v>
      </c>
      <c r="J52" s="66" t="str">
        <f t="shared" ca="1" si="3"/>
        <v>Growth</v>
      </c>
      <c r="K52" s="25"/>
      <c r="L52" s="25"/>
      <c r="M52" s="25"/>
      <c r="N52" s="25"/>
    </row>
    <row r="53" spans="1:14" ht="15" thickBot="1" x14ac:dyDescent="0.4">
      <c r="A53" s="25"/>
      <c r="B53" s="123" t="str">
        <f ca="1">Dashboard!N21</f>
        <v>TM</v>
      </c>
      <c r="C53" s="29">
        <f ca="1">Dashboard!M21</f>
        <v>2.8059676225630933E-2</v>
      </c>
      <c r="D53" s="118" cm="1">
        <f t="array" aca="1" ref="D53" ca="1">IFERROR(_FV(INDEX(Ledger[Stock],MATCH(B53,Ledger[Ticker],0)),"Beta"),1)</f>
        <v>0.7046</v>
      </c>
      <c r="E53" s="29">
        <f ca="1">Dashboard!R21</f>
        <v>3.9753561794573899E-2</v>
      </c>
      <c r="F53" s="272">
        <f ca="1">Dashboard!L21</f>
        <v>0.26358853595433163</v>
      </c>
      <c r="G53" s="30">
        <f t="shared" ca="1" si="0"/>
        <v>1.9770847868579557E-2</v>
      </c>
      <c r="H53" s="29">
        <f t="shared" ca="1" si="1"/>
        <v>8.3014500000000005E-2</v>
      </c>
      <c r="I53" s="278">
        <f t="shared" ca="1" si="2"/>
        <v>-4.3260938205426105E-2</v>
      </c>
      <c r="J53" s="61" t="str">
        <f t="shared" ca="1" si="3"/>
        <v>Value</v>
      </c>
      <c r="K53" s="25"/>
      <c r="L53" s="25"/>
      <c r="M53" s="25"/>
      <c r="N53" s="25"/>
    </row>
    <row r="54" spans="1:14" x14ac:dyDescent="0.35">
      <c r="A54" s="25"/>
      <c r="B54" s="120" t="str">
        <f ca="1">Dashboard!N22</f>
        <v>WMT</v>
      </c>
      <c r="C54" s="62">
        <f ca="1">Dashboard!M22</f>
        <v>7.6046082881842822E-2</v>
      </c>
      <c r="D54" s="118" cm="1">
        <f t="array" aca="1" ref="D54" ca="1">IFERROR(_FV(INDEX(Ledger[Stock],MATCH(B54,Ledger[Ticker],0)),"Beta"),1)</f>
        <v>0.66820000000000002</v>
      </c>
      <c r="E54" s="62">
        <f ca="1">Dashboard!R22</f>
        <v>0.15163432839692415</v>
      </c>
      <c r="F54" s="290">
        <f ca="1">Dashboard!L22</f>
        <v>1.3333051913220624</v>
      </c>
      <c r="G54" s="121">
        <f t="shared" ca="1" si="0"/>
        <v>5.0813992581647371E-2</v>
      </c>
      <c r="H54" s="62">
        <f t="shared" ca="1" si="1"/>
        <v>8.0921500000000007E-2</v>
      </c>
      <c r="I54" s="290">
        <f t="shared" ca="1" si="2"/>
        <v>7.0712828396924138E-2</v>
      </c>
      <c r="J54" s="63" t="str">
        <f t="shared" ca="1" si="3"/>
        <v>Blend</v>
      </c>
      <c r="K54" s="25"/>
      <c r="L54" s="25"/>
      <c r="M54" s="25"/>
      <c r="N54" s="25"/>
    </row>
    <row r="55" spans="1:14" x14ac:dyDescent="0.35">
      <c r="A55" s="25"/>
      <c r="B55" s="124" t="s">
        <v>280</v>
      </c>
      <c r="C55" s="125">
        <f ca="1">SUM(C39:C54)</f>
        <v>0.99999999999999956</v>
      </c>
      <c r="D55" s="126">
        <f ca="1">C9</f>
        <v>1.4726693833465256</v>
      </c>
      <c r="E55" s="125">
        <f ca="1">Analytics!E6</f>
        <v>0.1488549348736059</v>
      </c>
      <c r="F55" s="291">
        <f ca="1">Analytics!D6</f>
        <v>1.2997131208156951</v>
      </c>
      <c r="G55" s="127">
        <f ca="1">SUM(G39:G54)</f>
        <v>1.4726693833465256</v>
      </c>
      <c r="H55" s="125">
        <f ca="1">C10</f>
        <v>0.12717848954242522</v>
      </c>
      <c r="I55" s="292">
        <f ca="1">C11</f>
        <v>2.1676445331180683E-2</v>
      </c>
      <c r="J55" s="124" t="str">
        <f ca="1">IF(COUNTIF(J39:J54,"Growth")&gt;COUNTIF(J39:J54,"Value"),"Growth Tilt",IF(COUNTIF(J39:J54,"Value")&gt;COUNTIF(J39:J54,"Growth"),"Value Tilt","Blend"))</f>
        <v>Value Tilt</v>
      </c>
      <c r="K55" s="25"/>
      <c r="L55" s="25"/>
      <c r="M55" s="25"/>
      <c r="N55" s="25"/>
    </row>
    <row r="56" spans="1:14" x14ac:dyDescent="0.35">
      <c r="A56" s="25"/>
      <c r="B56" s="25"/>
      <c r="C56" s="25"/>
      <c r="D56" s="25"/>
      <c r="E56" s="25"/>
      <c r="F56" s="25"/>
      <c r="G56" s="25"/>
      <c r="H56" s="25"/>
      <c r="I56" s="25"/>
      <c r="J56" s="25"/>
      <c r="K56" s="25"/>
      <c r="L56" s="25"/>
      <c r="M56" s="25"/>
      <c r="N56" s="25"/>
    </row>
    <row r="57" spans="1:14" ht="15.5" x14ac:dyDescent="0.35">
      <c r="A57" s="25"/>
      <c r="B57" s="54" t="s">
        <v>281</v>
      </c>
      <c r="C57" s="25"/>
      <c r="D57" s="25"/>
      <c r="E57" s="25"/>
      <c r="F57" s="25"/>
      <c r="G57" s="25"/>
      <c r="H57" s="25"/>
      <c r="I57" s="25"/>
      <c r="J57" s="25"/>
      <c r="K57" s="25"/>
      <c r="L57" s="25"/>
      <c r="M57" s="25"/>
      <c r="N57" s="25"/>
    </row>
    <row r="58" spans="1:14" ht="15" thickBot="1" x14ac:dyDescent="0.4">
      <c r="A58" s="25"/>
      <c r="B58" s="55" t="s">
        <v>282</v>
      </c>
      <c r="C58" s="55" t="s">
        <v>283</v>
      </c>
      <c r="D58" s="55" t="s">
        <v>284</v>
      </c>
      <c r="E58" s="55" t="s">
        <v>170</v>
      </c>
      <c r="F58" s="25"/>
      <c r="G58" s="25"/>
      <c r="H58" s="25"/>
      <c r="I58" s="25"/>
      <c r="J58" s="25"/>
      <c r="K58" s="25"/>
      <c r="L58" s="25"/>
      <c r="M58" s="25"/>
      <c r="N58" s="25"/>
    </row>
    <row r="59" spans="1:14" x14ac:dyDescent="0.35">
      <c r="A59" s="25"/>
      <c r="B59" s="98" t="s">
        <v>285</v>
      </c>
      <c r="C59" s="114" t="str">
        <f ca="1">COUNTIF(J39:J54,"Growth")&amp;" Growth / "&amp;COUNTIF(J39:J54,"Blend")&amp;" Blend / "&amp;COUNTIF(J39:J54,"Value")&amp;" Value"</f>
        <v>3 Growth / 6 Blend / 5 Value</v>
      </c>
      <c r="D59" s="114" t="str">
        <f ca="1">J55</f>
        <v>Value Tilt</v>
      </c>
      <c r="E59" s="114" t="str">
        <f ca="1">IF(COUNTIF(J39:J54,"Growth")&gt;8,"🟡 Growth Heavy",IF(COUNTIF(J39:J54,"Value")&gt;8,"🟡 Value Heavy","🟢 Balanced Mix"))</f>
        <v>🟢 Balanced Mix</v>
      </c>
      <c r="F59" s="25"/>
      <c r="G59" s="25"/>
      <c r="H59" s="25"/>
      <c r="I59" s="25"/>
      <c r="J59" s="25"/>
      <c r="K59" s="25"/>
      <c r="L59" s="25"/>
      <c r="M59" s="25"/>
      <c r="N59" s="25"/>
    </row>
    <row r="60" spans="1:14" x14ac:dyDescent="0.35">
      <c r="A60" s="25"/>
      <c r="B60" s="53" t="s">
        <v>286</v>
      </c>
      <c r="C60" s="102">
        <f ca="1">C9</f>
        <v>1.4726693833465256</v>
      </c>
      <c r="D60" s="66" t="s">
        <v>287</v>
      </c>
      <c r="E60" s="66" t="str">
        <f ca="1">IF(C9&gt;1.3,"🟡 Momentum/Growth",IF(C9&gt;0.7,"🟢 Core","🔵 Defensive"))</f>
        <v>🟡 Momentum/Growth</v>
      </c>
      <c r="F60" s="25"/>
      <c r="G60" s="25"/>
      <c r="H60" s="25"/>
      <c r="I60" s="25"/>
      <c r="J60" s="25"/>
      <c r="K60" s="25"/>
      <c r="L60" s="25"/>
      <c r="M60" s="25"/>
      <c r="N60" s="25"/>
    </row>
    <row r="61" spans="1:14" x14ac:dyDescent="0.35">
      <c r="A61" s="25"/>
      <c r="B61" s="51" t="s">
        <v>288</v>
      </c>
      <c r="C61" s="30" cm="1">
        <f t="array" aca="1" ref="C61" ca="1">SUMPRODUCT((Dashboard!E30:'Dashboard'!E39)^2)</f>
        <v>0.18756227674873593</v>
      </c>
      <c r="D61" s="61" t="s">
        <v>289</v>
      </c>
      <c r="E61" s="61" t="str">
        <f ca="1">IF(C61&gt;0.25,"🔴 Concentrated",IF(C61&gt;0.15,"🟡 Moderate","🟢 Diversified"))</f>
        <v>🟡 Moderate</v>
      </c>
      <c r="F61" s="25"/>
      <c r="G61" s="25"/>
      <c r="H61" s="25"/>
      <c r="I61" s="25"/>
      <c r="J61" s="25"/>
      <c r="K61" s="25"/>
      <c r="L61" s="25"/>
      <c r="M61" s="25"/>
      <c r="N61" s="25"/>
    </row>
    <row r="62" spans="1:14" x14ac:dyDescent="0.35">
      <c r="A62" s="25"/>
      <c r="B62" s="52" t="s">
        <v>290</v>
      </c>
      <c r="C62" s="62" cm="1">
        <f t="array" aca="1" ref="C62" ca="1">0.5*SUMPRODUCT(ABS(Dashboard!M7:'Dashboard'!M22-1/16))</f>
        <v>0.2630790222407563</v>
      </c>
      <c r="D62" s="63" t="s">
        <v>291</v>
      </c>
      <c r="E62" s="63" t="str">
        <f ca="1">IF(C62&gt;0.6,"✅ Stock Picker",IF(C62&gt;0.3,"🟢 Active","🟡 Closet Indexer"))</f>
        <v>🟡 Closet Indexer</v>
      </c>
      <c r="F62" s="25"/>
      <c r="G62" s="25"/>
      <c r="H62" s="25"/>
      <c r="I62" s="25"/>
      <c r="J62" s="25"/>
      <c r="K62" s="25"/>
      <c r="L62" s="25"/>
      <c r="M62" s="25"/>
      <c r="N62" s="25"/>
    </row>
    <row r="63" spans="1:14" x14ac:dyDescent="0.35">
      <c r="A63" s="25"/>
      <c r="B63" s="25"/>
      <c r="C63" s="25"/>
      <c r="D63" s="25"/>
      <c r="E63" s="25"/>
      <c r="F63" s="25"/>
      <c r="G63" s="25"/>
      <c r="H63" s="25"/>
      <c r="I63" s="25"/>
      <c r="J63" s="25"/>
      <c r="K63" s="25"/>
      <c r="L63" s="25"/>
      <c r="M63" s="25"/>
      <c r="N63" s="25"/>
    </row>
    <row r="64" spans="1:14" ht="15.5" x14ac:dyDescent="0.35">
      <c r="A64" s="25"/>
      <c r="B64" s="54" t="s">
        <v>292</v>
      </c>
      <c r="C64" s="25"/>
      <c r="D64" s="25"/>
      <c r="E64" s="25"/>
      <c r="F64" s="25"/>
      <c r="G64" s="25"/>
      <c r="H64" s="25"/>
      <c r="I64" s="25"/>
      <c r="J64" s="25"/>
      <c r="K64" s="25"/>
      <c r="L64" s="25"/>
      <c r="M64" s="25"/>
      <c r="N64" s="25"/>
    </row>
    <row r="65" spans="1:14" ht="15" thickBot="1" x14ac:dyDescent="0.4">
      <c r="A65" s="25"/>
      <c r="B65" s="55" t="s">
        <v>58</v>
      </c>
      <c r="C65" s="55" t="s">
        <v>59</v>
      </c>
      <c r="D65" s="55" t="s">
        <v>293</v>
      </c>
      <c r="E65" s="55" t="s">
        <v>170</v>
      </c>
      <c r="F65" s="25"/>
      <c r="G65" s="25"/>
      <c r="H65" s="25"/>
      <c r="I65" s="25"/>
      <c r="J65" s="25"/>
      <c r="K65" s="25"/>
      <c r="L65" s="25"/>
      <c r="M65" s="25"/>
      <c r="N65" s="25"/>
    </row>
    <row r="66" spans="1:14" x14ac:dyDescent="0.35">
      <c r="A66" s="25"/>
      <c r="B66" s="49" t="s">
        <v>294</v>
      </c>
      <c r="C66" s="57">
        <f ca="1">C6+(C7-C6)/0.155*C25</f>
        <v>0.12717848954242522</v>
      </c>
      <c r="D66" s="58" t="s">
        <v>295</v>
      </c>
      <c r="E66" s="58" t="str">
        <f ca="1">IF(Analytics!E6&gt;C66,"✅ Above CML","🔴 Below CML")</f>
        <v>✅ Above CML</v>
      </c>
      <c r="F66" s="25"/>
      <c r="G66" s="25"/>
      <c r="H66" s="25"/>
      <c r="I66" s="25"/>
      <c r="J66" s="25"/>
      <c r="K66" s="25"/>
      <c r="L66" s="25"/>
      <c r="M66" s="25"/>
      <c r="N66" s="25"/>
    </row>
    <row r="67" spans="1:14" x14ac:dyDescent="0.35">
      <c r="A67" s="25"/>
      <c r="B67" s="51" t="s">
        <v>296</v>
      </c>
      <c r="C67" s="104">
        <f ca="1">Analytics!E6-C66</f>
        <v>2.1676445331180683E-2</v>
      </c>
      <c r="D67" s="61" t="s">
        <v>297</v>
      </c>
      <c r="E67" s="61" t="str">
        <f ca="1">IF(C67&gt;0,"✅ Efficient Allocation","🔴 Suboptimal")</f>
        <v>✅ Efficient Allocation</v>
      </c>
      <c r="F67" s="25"/>
      <c r="G67" s="25"/>
      <c r="H67" s="25"/>
      <c r="I67" s="25"/>
      <c r="J67" s="25"/>
      <c r="K67" s="25"/>
      <c r="L67" s="25"/>
      <c r="M67" s="25"/>
      <c r="N67" s="25"/>
    </row>
    <row r="68" spans="1:14" x14ac:dyDescent="0.35">
      <c r="A68" s="25"/>
      <c r="B68" s="52" t="s">
        <v>298</v>
      </c>
      <c r="C68" s="107">
        <f ca="1">C18*0.155+C6-C7</f>
        <v>1.4719152564931198E-2</v>
      </c>
      <c r="D68" s="63" t="s">
        <v>299</v>
      </c>
      <c r="E68" s="63" t="str">
        <f ca="1">IF(C68&gt;0,"✅ Risk-Adj. Outperformance","🔴 Underperformance")</f>
        <v>✅ Risk-Adj. Outperformance</v>
      </c>
      <c r="F68" s="25"/>
      <c r="G68" s="25"/>
      <c r="H68" s="25"/>
      <c r="I68" s="25"/>
      <c r="J68" s="25"/>
      <c r="K68" s="25"/>
      <c r="L68" s="25"/>
      <c r="M68" s="25"/>
      <c r="N68" s="25"/>
    </row>
    <row r="69" spans="1:14" x14ac:dyDescent="0.35">
      <c r="A69" s="25"/>
      <c r="B69" s="25"/>
      <c r="C69" s="25"/>
      <c r="D69" s="25"/>
      <c r="E69" s="25"/>
      <c r="F69" s="25"/>
      <c r="G69" s="25"/>
      <c r="H69" s="25"/>
      <c r="I69" s="25"/>
      <c r="J69" s="25"/>
      <c r="K69" s="25"/>
      <c r="L69" s="25"/>
      <c r="M69" s="25"/>
      <c r="N69" s="25"/>
    </row>
    <row r="70" spans="1:14" ht="15.5" x14ac:dyDescent="0.35">
      <c r="A70" s="25"/>
      <c r="B70" s="54" t="s">
        <v>389</v>
      </c>
      <c r="C70" s="25"/>
      <c r="D70" s="25"/>
      <c r="E70" s="25"/>
      <c r="F70" s="25"/>
      <c r="G70" s="25"/>
      <c r="H70" s="25"/>
      <c r="I70" s="25"/>
      <c r="J70" s="25"/>
      <c r="K70" s="25"/>
      <c r="L70" s="25"/>
      <c r="M70" s="25"/>
      <c r="N70" s="25"/>
    </row>
    <row r="71" spans="1:14" x14ac:dyDescent="0.35">
      <c r="A71" s="25"/>
      <c r="B71" s="304" t="s">
        <v>58</v>
      </c>
      <c r="C71" s="304" t="s">
        <v>59</v>
      </c>
      <c r="D71" s="304" t="s">
        <v>227</v>
      </c>
      <c r="E71" s="304" t="s">
        <v>170</v>
      </c>
      <c r="F71" s="25"/>
      <c r="G71" s="25"/>
      <c r="H71" s="25"/>
      <c r="I71" s="25"/>
      <c r="J71" s="25"/>
      <c r="K71" s="25"/>
      <c r="L71" s="25"/>
      <c r="M71" s="25"/>
      <c r="N71" s="25"/>
    </row>
    <row r="72" spans="1:14" x14ac:dyDescent="0.35">
      <c r="A72" s="25"/>
      <c r="B72" s="48" t="s">
        <v>390</v>
      </c>
      <c r="C72" s="91" cm="1">
        <f t="array" aca="1" ref="C72" ca="1">SUMPRODUCT(C39:C54*(F39:F54-AVERAGE(F39:F54))^3)/COUNT(F39:F54)/STDEV(F39:F54)^3</f>
        <v>0.85373571967642514</v>
      </c>
      <c r="D72" s="95" t="s">
        <v>391</v>
      </c>
      <c r="E72" s="95" t="str">
        <f ca="1">IF(C72&lt;-0.5,"🔴 Left-Skewed",IF(C72&lt;0,"🟡 Slight Left Skew","🟢 Positive Skew"))</f>
        <v>🟢 Positive Skew</v>
      </c>
      <c r="F72" s="25"/>
      <c r="G72" s="25"/>
      <c r="H72" s="25"/>
      <c r="I72" s="25"/>
      <c r="J72" s="25"/>
      <c r="K72" s="25"/>
      <c r="L72" s="25"/>
      <c r="M72" s="25"/>
      <c r="N72" s="25"/>
    </row>
    <row r="73" spans="1:14" x14ac:dyDescent="0.35">
      <c r="A73" s="25"/>
      <c r="B73" s="86" t="s">
        <v>392</v>
      </c>
      <c r="C73" s="27" cm="1">
        <f t="array" aca="1" ref="C73" ca="1">SUMPRODUCT(C39:C54*(F39:F54-AVERAGE(F39:F54))^4)/COUNT(F39:F54)/STDEV(F39:F54)^4-3</f>
        <v>7.8698129944033024E-2</v>
      </c>
      <c r="D73" s="31" t="s">
        <v>393</v>
      </c>
      <c r="E73" s="31" t="str">
        <f ca="1">IF(C73&gt;3,"🔴 Extreme Fat Tails",IF(C73&gt;0,"🟡 Fat Tails","🟢 Thin Tails"))</f>
        <v>🟡 Fat Tails</v>
      </c>
      <c r="F73" s="25"/>
      <c r="G73" s="25"/>
      <c r="H73" s="25"/>
      <c r="I73" s="25"/>
      <c r="J73" s="25"/>
      <c r="K73" s="25"/>
      <c r="L73" s="25"/>
      <c r="M73" s="25"/>
      <c r="N73" s="25"/>
    </row>
    <row r="74" spans="1:14" x14ac:dyDescent="0.35">
      <c r="A74" s="25"/>
      <c r="B74" s="48" t="s">
        <v>394</v>
      </c>
      <c r="C74" s="91">
        <f ca="1">1.645+(1.645^2-1)/6*C72+(1.645^3-3*1.645)/24*C73-(2*1.645^3-5*1.645)/36*C72^2</f>
        <v>1.8724399966688701</v>
      </c>
      <c r="D74" s="95" t="s">
        <v>395</v>
      </c>
      <c r="E74" s="95" t="str">
        <f ca="1">IF(ABS(C74-1.645)&gt;0.3,"🟡 Material Adjustment","🟢 Near-Normal")</f>
        <v>🟢 Near-Normal</v>
      </c>
      <c r="F74" s="25"/>
      <c r="G74" s="25"/>
      <c r="H74" s="25"/>
      <c r="I74" s="25"/>
      <c r="J74" s="25"/>
      <c r="K74" s="25"/>
      <c r="L74" s="25"/>
      <c r="M74" s="25"/>
      <c r="N74" s="25"/>
    </row>
    <row r="75" spans="1:14" x14ac:dyDescent="0.35">
      <c r="A75" s="25"/>
      <c r="B75" s="86" t="s">
        <v>396</v>
      </c>
      <c r="C75" s="26">
        <f ca="1">C24-C74*C25</f>
        <v>-0.27855524868978998</v>
      </c>
      <c r="D75" s="31" t="s">
        <v>397</v>
      </c>
      <c r="E75" s="31" t="str">
        <f ca="1">"CF VaR Loss: "&amp;TEXT(ABS(C75)*SUM(Dashboard!G7:G22),"$#,##0")</f>
        <v>CF VaR Loss: $84,592</v>
      </c>
      <c r="F75" s="25"/>
      <c r="G75" s="25"/>
      <c r="H75" s="25"/>
      <c r="I75" s="25"/>
      <c r="J75" s="25"/>
      <c r="K75" s="25"/>
      <c r="L75" s="25"/>
      <c r="M75" s="25"/>
      <c r="N75" s="25"/>
    </row>
    <row r="76" spans="1:14" x14ac:dyDescent="0.35">
      <c r="A76" s="25"/>
      <c r="B76" s="48" t="s">
        <v>398</v>
      </c>
      <c r="C76" s="90">
        <f ca="1">C24-(2.326+(2.326^2-1)/6*C72+(2.326^3-3*2.326)/24*C73-(2*2.326^3-5*2.326)/36*C72^2)*C25</f>
        <v>-0.46695793169611843</v>
      </c>
      <c r="D76" s="95" t="s">
        <v>399</v>
      </c>
      <c r="E76" s="95" t="str">
        <f ca="1">"CF VaR Loss: "&amp;TEXT(ABS(C76)*SUM(Dashboard!G7:G22),"$#,##0")</f>
        <v>CF VaR Loss: $141,806</v>
      </c>
      <c r="F76" s="25"/>
      <c r="G76" s="25"/>
      <c r="H76" s="25"/>
      <c r="I76" s="25"/>
      <c r="J76" s="25"/>
      <c r="K76" s="25"/>
      <c r="L76" s="25"/>
      <c r="M76" s="25"/>
      <c r="N76" s="25"/>
    </row>
    <row r="77" spans="1:14" x14ac:dyDescent="0.35">
      <c r="A77" s="25"/>
      <c r="B77" s="25"/>
      <c r="C77" s="25"/>
      <c r="D77" s="25"/>
      <c r="E77" s="25"/>
      <c r="F77" s="25"/>
      <c r="G77" s="25"/>
      <c r="H77" s="25"/>
      <c r="I77" s="25"/>
      <c r="J77" s="25"/>
      <c r="K77" s="25"/>
      <c r="L77" s="25"/>
      <c r="M77" s="25"/>
      <c r="N77" s="25"/>
    </row>
    <row r="78" spans="1:14" ht="15.5" x14ac:dyDescent="0.35">
      <c r="A78" s="25"/>
      <c r="B78" s="54" t="s">
        <v>400</v>
      </c>
      <c r="C78" s="25"/>
      <c r="D78" s="25"/>
      <c r="E78" s="25"/>
      <c r="F78" s="25"/>
      <c r="G78" s="25"/>
      <c r="H78" s="25"/>
      <c r="I78" s="25"/>
      <c r="J78" s="25"/>
      <c r="K78" s="25"/>
      <c r="L78" s="25"/>
      <c r="M78" s="25"/>
      <c r="N78" s="25"/>
    </row>
    <row r="79" spans="1:14" x14ac:dyDescent="0.35">
      <c r="A79" s="25"/>
      <c r="B79" s="304" t="s">
        <v>58</v>
      </c>
      <c r="C79" s="304" t="s">
        <v>59</v>
      </c>
      <c r="D79" s="304" t="s">
        <v>227</v>
      </c>
      <c r="E79" s="304" t="s">
        <v>170</v>
      </c>
      <c r="F79" s="25"/>
      <c r="G79" s="25"/>
      <c r="H79" s="25"/>
      <c r="I79" s="25"/>
      <c r="J79" s="25"/>
      <c r="K79" s="25"/>
      <c r="L79" s="25"/>
      <c r="M79" s="25"/>
      <c r="N79" s="25"/>
    </row>
    <row r="80" spans="1:14" x14ac:dyDescent="0.35">
      <c r="A80" s="25"/>
      <c r="B80" s="48" t="s">
        <v>401</v>
      </c>
      <c r="C80" s="90">
        <f ca="1">PERCENTILE(E39:E54,0.05)</f>
        <v>-9.8600755915108362E-3</v>
      </c>
      <c r="D80" s="95" t="s">
        <v>402</v>
      </c>
      <c r="E80" s="95" t="str">
        <f ca="1">"Worst 5%ile CAGR: "&amp;TEXT(C80,"0.0%")</f>
        <v>Worst 5%ile CAGR: -1.0%</v>
      </c>
      <c r="F80" s="25"/>
      <c r="G80" s="25"/>
      <c r="H80" s="25"/>
      <c r="I80" s="25"/>
      <c r="J80" s="25"/>
      <c r="K80" s="25"/>
      <c r="L80" s="25"/>
      <c r="M80" s="25"/>
      <c r="N80" s="25"/>
    </row>
    <row r="81" spans="2:6" x14ac:dyDescent="0.35">
      <c r="B81" s="305" t="s">
        <v>403</v>
      </c>
      <c r="C81" s="306">
        <f ca="1">PERCENTILE(E39:E54,0.01)</f>
        <v>-2.0894843287791662E-2</v>
      </c>
      <c r="D81" s="31" t="s">
        <v>404</v>
      </c>
      <c r="E81" s="307" t="str">
        <f ca="1">"Extreme tail: "&amp;TEXT(C81,"0.0%")</f>
        <v>Extreme tail: -2.1%</v>
      </c>
    </row>
    <row r="82" spans="2:6" x14ac:dyDescent="0.35">
      <c r="B82" s="308" t="s">
        <v>263</v>
      </c>
      <c r="C82" s="309">
        <f ca="1">AVERAGEIF(E39:E54,"&lt;="&amp;C80)</f>
        <v>-2.3653535211861865E-2</v>
      </c>
      <c r="D82" s="95" t="s">
        <v>264</v>
      </c>
      <c r="E82" s="310" t="str">
        <f ca="1">IF(ISERROR(C82),"No obs below VaR","Tail avg: "&amp;TEXT(C82,"0.0%"))</f>
        <v>Tail avg: -2.4%</v>
      </c>
    </row>
    <row r="84" spans="2:6" ht="16" x14ac:dyDescent="0.4">
      <c r="B84" s="311" t="s">
        <v>405</v>
      </c>
    </row>
    <row r="85" spans="2:6" x14ac:dyDescent="0.35">
      <c r="B85" s="312" t="s">
        <v>58</v>
      </c>
      <c r="C85" s="312" t="s">
        <v>59</v>
      </c>
      <c r="D85" s="312" t="s">
        <v>227</v>
      </c>
      <c r="E85" s="312" t="s">
        <v>170</v>
      </c>
      <c r="F85" s="312" t="s">
        <v>406</v>
      </c>
    </row>
    <row r="86" spans="2:6" x14ac:dyDescent="0.35">
      <c r="B86" s="308" t="s">
        <v>407</v>
      </c>
      <c r="C86" s="309">
        <f ca="1">MIN(E39:E54)</f>
        <v>-2.3653535211861865E-2</v>
      </c>
      <c r="D86" s="310" t="str">
        <f ca="1">INDEX(B39:B54,MATCH(MIN(E39:E54),E39:E54,0))&amp;" — deepest peak-to-trough"</f>
        <v>HMC — deepest peak-to-trough</v>
      </c>
      <c r="E86" s="310" t="str">
        <f ca="1">IF(C86&lt;-0.2,"🔴 Severe",IF(C86&lt;-0.1,"🟡 Moderate","🟢 Shallow"))</f>
        <v>🟢 Shallow</v>
      </c>
      <c r="F86" s="310" t="s">
        <v>408</v>
      </c>
    </row>
    <row r="87" spans="2:6" x14ac:dyDescent="0.35">
      <c r="B87" s="305" t="s">
        <v>409</v>
      </c>
      <c r="C87" s="306">
        <f ca="1">AVERAGEIF(E39:E54,"&lt;0")</f>
        <v>-1.4457895464961179E-2</v>
      </c>
      <c r="D87" s="307" t="s">
        <v>410</v>
      </c>
      <c r="E87" s="307" t="str">
        <f ca="1">IF(ISERROR(C87),"🟢 No Losers",IF(C87&lt;-0.1,"🔴 Deep","🟡 Contained"))</f>
        <v>🟡 Contained</v>
      </c>
      <c r="F87" s="307"/>
    </row>
    <row r="88" spans="2:6" x14ac:dyDescent="0.35">
      <c r="B88" s="308" t="s">
        <v>312</v>
      </c>
      <c r="C88" s="313">
        <f ca="1">C24/ABS(MIN(E39:E54))</f>
        <v>6.2931368837820729</v>
      </c>
      <c r="D88" s="310" t="s">
        <v>411</v>
      </c>
      <c r="E88" s="310" t="str">
        <f ca="1">IF(C88&gt;3,"✅ Excellent",IF(C88&gt;1,"🟢 Good","🟡 Monitor"))</f>
        <v>✅ Excellent</v>
      </c>
      <c r="F88" s="310"/>
    </row>
    <row r="89" spans="2:6" x14ac:dyDescent="0.35">
      <c r="B89" s="305" t="s">
        <v>412</v>
      </c>
      <c r="C89" s="314" cm="1">
        <f t="array" aca="1" ref="C89" ca="1">SQRT(SUMPRODUCT(IF(E39:E54&lt;0,(E39:E54)^2,0))/COUNT(E39:E54))</f>
        <v>6.057954807838664E-3</v>
      </c>
      <c r="D89" s="307" t="s">
        <v>413</v>
      </c>
      <c r="E89" s="307" t="str">
        <f ca="1">IF(C89&gt;0.1,"🔴 High Pain",IF(C89&gt;0.05,"🟡 Moderate","🟢 Low Pain"))</f>
        <v>🟢 Low Pain</v>
      </c>
      <c r="F89" s="307"/>
    </row>
    <row r="91" spans="2:6" ht="16" x14ac:dyDescent="0.4">
      <c r="B91" s="311" t="s">
        <v>414</v>
      </c>
    </row>
    <row r="92" spans="2:6" x14ac:dyDescent="0.35">
      <c r="B92" s="312" t="s">
        <v>415</v>
      </c>
      <c r="C92" s="312" t="s">
        <v>416</v>
      </c>
      <c r="D92" s="312" t="s">
        <v>417</v>
      </c>
      <c r="E92" s="312" t="s">
        <v>418</v>
      </c>
      <c r="F92" s="312" t="s">
        <v>419</v>
      </c>
    </row>
    <row r="93" spans="2:6" x14ac:dyDescent="0.35">
      <c r="B93" s="308" t="s">
        <v>420</v>
      </c>
      <c r="C93" s="310" t="s">
        <v>421</v>
      </c>
      <c r="D93" s="309">
        <f ca="1">-0.18*C9</f>
        <v>-0.26508048900237463</v>
      </c>
      <c r="E93" s="310" t="str">
        <f ca="1">TEXT(D93*SUM(Dashboard!G7:G22),"$#,##0")</f>
        <v>-$80,500</v>
      </c>
      <c r="F93" s="310" t="str">
        <f ca="1">IF(ABS(D93)&gt;0.25,"🔴 Severe",IF(ABS(D93)&gt;0.15,"🟡 Significant","🟢 Manageable"))</f>
        <v>🔴 Severe</v>
      </c>
    </row>
    <row r="94" spans="2:6" x14ac:dyDescent="0.35">
      <c r="B94" s="305" t="s">
        <v>422</v>
      </c>
      <c r="C94" s="307" t="s">
        <v>423</v>
      </c>
      <c r="D94" s="306">
        <f ca="1">-0.2*(SUMIF(Dashboard!D7:'Dashboard'!D22,"Semiconductors &amp; Semiconductor Equipment",Dashboard!M7:'Dashboard'!M22)+SUMIF(Dashboard!D7:'Dashboard'!D22,"Software &amp; IT Services",Dashboard!M7:'Dashboard'!M22))</f>
        <v>-9.8267101795384781E-2</v>
      </c>
      <c r="E94" s="307" t="str">
        <f ca="1">TEXT(D94*SUM(Dashboard!G7:G22),"$#,##0")</f>
        <v>-$29,842</v>
      </c>
      <c r="F94" s="307" t="str">
        <f ca="1">IF(ABS(D94)&gt;0.15,"🔴 Severe",IF(ABS(D94)&gt;0.08,"🟡 Significant","🟢 Manageable"))</f>
        <v>🟡 Significant</v>
      </c>
    </row>
    <row r="95" spans="2:6" x14ac:dyDescent="0.35">
      <c r="B95" s="308" t="s">
        <v>424</v>
      </c>
      <c r="C95" s="310" t="s">
        <v>425</v>
      </c>
      <c r="D95" s="309" cm="1">
        <f t="array" aca="1" ref="D95" ca="1">-0.015*SUMPRODUCT(C39:C54,IF(J39:J54="Growth",D39:D54,IF(J39:J54="Distressed",D39:D54*0.5,-D39:D54*0.3)))</f>
        <v>-1.1796169274527975E-2</v>
      </c>
      <c r="E95" s="310" t="str">
        <f ca="1">TEXT(D95*SUM(Dashboard!G7:G22),"$#,##0")</f>
        <v>-$3,582</v>
      </c>
      <c r="F95" s="310" t="str">
        <f ca="1">IF(ABS(D95)&gt;0.1,"🔴 Severe",IF(ABS(D95)&gt;0.05,"🟡 Significant","🟢 Manageable"))</f>
        <v>🟢 Manageable</v>
      </c>
    </row>
  </sheetData>
  <conditionalFormatting sqref="C39:C54">
    <cfRule type="dataBar" priority="4">
      <dataBar>
        <cfvo type="num" val="0"/>
        <cfvo type="num" val="0.35"/>
        <color rgb="FFFBBF24"/>
      </dataBar>
      <extLst>
        <ext xmlns:x14="http://schemas.microsoft.com/office/spreadsheetml/2009/9/main" uri="{B025F937-C7B1-47D3-B67F-A62EFF666E3E}">
          <x14:id>{A94817B7-BC50-4026-A5D6-CA76FDC437BD}</x14:id>
        </ext>
      </extLst>
    </cfRule>
  </conditionalFormatting>
  <conditionalFormatting sqref="D39:D54">
    <cfRule type="dataBar" priority="1">
      <dataBar>
        <cfvo type="num" val="0"/>
        <cfvo type="num" val="2.5"/>
        <color rgb="FFF87171"/>
      </dataBar>
      <extLst>
        <ext xmlns:x14="http://schemas.microsoft.com/office/spreadsheetml/2009/9/main" uri="{B025F937-C7B1-47D3-B67F-A62EFF666E3E}">
          <x14:id>{11870A7F-23D7-4543-98B6-E2C355B1C9BB}</x14:id>
        </ext>
      </extLst>
    </cfRule>
  </conditionalFormatting>
  <conditionalFormatting sqref="E39:E54">
    <cfRule type="dataBar" priority="3">
      <dataBar>
        <cfvo type="min"/>
        <cfvo type="max"/>
        <color rgb="FF60A5FA"/>
      </dataBar>
      <extLst>
        <ext xmlns:x14="http://schemas.microsoft.com/office/spreadsheetml/2009/9/main" uri="{B025F937-C7B1-47D3-B67F-A62EFF666E3E}">
          <x14:id>{8438F2BB-3723-4C56-8079-E652F338F33D}</x14:id>
        </ext>
      </extLst>
    </cfRule>
  </conditionalFormatting>
  <conditionalFormatting sqref="I39:I54">
    <cfRule type="dataBar" priority="2">
      <dataBar>
        <cfvo type="min"/>
        <cfvo type="max"/>
        <color rgb="FF4ADE80"/>
      </dataBar>
      <extLst>
        <ext xmlns:x14="http://schemas.microsoft.com/office/spreadsheetml/2009/9/main" uri="{B025F937-C7B1-47D3-B67F-A62EFF666E3E}">
          <x14:id>{1118B855-EB5C-4270-BBA8-C60F8CC91EEF}</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A94817B7-BC50-4026-A5D6-CA76FDC437BD}">
            <x14:dataBar minLength="0" maxLength="100" border="1" direction="leftToRight" negativeBarColorSameAsPositive="1" axisPosition="none">
              <x14:cfvo type="num">
                <xm:f>0</xm:f>
              </x14:cfvo>
              <x14:cfvo type="num">
                <xm:f>0.35</xm:f>
              </x14:cfvo>
              <x14:borderColor rgb="FFF59E0B"/>
            </x14:dataBar>
          </x14:cfRule>
          <xm:sqref>C39:C54</xm:sqref>
        </x14:conditionalFormatting>
        <x14:conditionalFormatting xmlns:xm="http://schemas.microsoft.com/office/excel/2006/main">
          <x14:cfRule type="dataBar" id="{11870A7F-23D7-4543-98B6-E2C355B1C9BB}">
            <x14:dataBar minLength="0" maxLength="100" border="1" direction="leftToRight" negativeBarColorSameAsPositive="1" axisPosition="none">
              <x14:cfvo type="num">
                <xm:f>0</xm:f>
              </x14:cfvo>
              <x14:cfvo type="num">
                <xm:f>2.5</xm:f>
              </x14:cfvo>
              <x14:borderColor rgb="FFEF4444"/>
            </x14:dataBar>
          </x14:cfRule>
          <xm:sqref>D39:D54</xm:sqref>
        </x14:conditionalFormatting>
        <x14:conditionalFormatting xmlns:xm="http://schemas.microsoft.com/office/excel/2006/main">
          <x14:cfRule type="dataBar" id="{8438F2BB-3723-4C56-8079-E652F338F33D}">
            <x14:dataBar minLength="0" maxLength="100" border="1" direction="leftToRight" negativeBarBorderColorSameAsPositive="0" axisPosition="none">
              <x14:cfvo type="min"/>
              <x14:cfvo type="max"/>
              <x14:borderColor rgb="FF3B82F6"/>
              <x14:negativeFillColor rgb="FFF87171"/>
              <x14:negativeBorderColor rgb="FFEF4444"/>
            </x14:dataBar>
          </x14:cfRule>
          <xm:sqref>E39:E54</xm:sqref>
        </x14:conditionalFormatting>
        <x14:conditionalFormatting xmlns:xm="http://schemas.microsoft.com/office/excel/2006/main">
          <x14:cfRule type="dataBar" id="{1118B855-EB5C-4270-BBA8-C60F8CC91EEF}">
            <x14:dataBar minLength="0" maxLength="100" border="1" direction="leftToRight" negativeBarBorderColorSameAsPositive="0" axisPosition="none">
              <x14:cfvo type="min"/>
              <x14:cfvo type="max"/>
              <x14:borderColor rgb="FF22C55E"/>
              <x14:negativeFillColor rgb="FFF87171"/>
              <x14:negativeBorderColor rgb="FFEF4444"/>
            </x14:dataBar>
          </x14:cfRule>
          <xm:sqref>I39:I54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D240-CCE5-4D70-A4F9-80D2AE88485F}">
  <sheetPr>
    <tabColor rgb="FFD4AF37"/>
  </sheetPr>
  <dimension ref="A1:O13"/>
  <sheetViews>
    <sheetView showGridLines="0" workbookViewId="0">
      <selection activeCell="P52" sqref="P52"/>
    </sheetView>
  </sheetViews>
  <sheetFormatPr defaultRowHeight="14.5" x14ac:dyDescent="0.35"/>
  <cols>
    <col min="1" max="1" width="45.1796875" bestFit="1" customWidth="1"/>
    <col min="2" max="2" width="15.7265625" bestFit="1" customWidth="1"/>
    <col min="3" max="3" width="14.6328125" bestFit="1" customWidth="1"/>
    <col min="4" max="4" width="13.90625" bestFit="1" customWidth="1"/>
    <col min="5" max="5" width="7.1796875" bestFit="1" customWidth="1"/>
    <col min="6" max="6" width="6.08984375" bestFit="1" customWidth="1"/>
    <col min="7" max="7" width="10" bestFit="1" customWidth="1"/>
    <col min="8" max="8" width="10.1796875" bestFit="1" customWidth="1"/>
    <col min="9" max="9" width="9.26953125" bestFit="1" customWidth="1"/>
    <col min="10" max="10" width="21.08984375" bestFit="1" customWidth="1"/>
    <col min="11" max="11" width="39.08984375" bestFit="1" customWidth="1"/>
    <col min="13" max="14" width="47.26953125" bestFit="1" customWidth="1"/>
    <col min="15" max="15" width="13.54296875" bestFit="1" customWidth="1"/>
    <col min="16" max="16" width="14.6328125" bestFit="1" customWidth="1"/>
  </cols>
  <sheetData>
    <row r="1" spans="1:15" ht="15" thickBot="1" x14ac:dyDescent="0.4">
      <c r="A1" s="128" t="s">
        <v>7</v>
      </c>
      <c r="B1" s="129" t="s">
        <v>24</v>
      </c>
      <c r="C1" s="129" t="s">
        <v>25</v>
      </c>
      <c r="D1" s="129" t="s">
        <v>26</v>
      </c>
      <c r="E1" s="129" t="s">
        <v>27</v>
      </c>
      <c r="F1" s="129" t="s">
        <v>29</v>
      </c>
      <c r="G1" s="129" t="s">
        <v>30</v>
      </c>
      <c r="H1" s="129" t="s">
        <v>31</v>
      </c>
      <c r="I1" s="129" t="s">
        <v>32</v>
      </c>
      <c r="J1" s="129" t="s">
        <v>33</v>
      </c>
      <c r="K1" s="129" t="s">
        <v>0</v>
      </c>
      <c r="L1" s="129" t="s">
        <v>34</v>
      </c>
      <c r="M1" s="25"/>
      <c r="N1" s="25" t="s">
        <v>7</v>
      </c>
      <c r="O1" s="25" t="s">
        <v>37</v>
      </c>
    </row>
    <row r="2" spans="1:15" x14ac:dyDescent="0.35">
      <c r="A2" s="77" t="e" vm="1">
        <v>#VALUE!</v>
      </c>
      <c r="B2" s="49" t="str" cm="1">
        <f t="array" aca="1" ref="B2" ca="1">_FV(Table2[[#This Row],[Stock]],"Ticker symbol",TRUE)</f>
        <v>AMD</v>
      </c>
      <c r="C2" s="281" cm="1">
        <f t="array" aca="1" ref="C2" ca="1">_FV(Table2[[#This Row],[Stock]],"52 week high",TRUE)</f>
        <v>267.07990000000001</v>
      </c>
      <c r="D2" s="281" cm="1">
        <f t="array" aca="1" ref="D2" ca="1">_FV(Table2[[#This Row],[Stock]],"52 week low",TRUE)</f>
        <v>76.48</v>
      </c>
      <c r="E2" s="130" cm="1">
        <f t="array" aca="1" ref="E2" ca="1">_FV(Table2[[#This Row],[Stock]],"Beta")</f>
        <v>1.9919</v>
      </c>
      <c r="F2" s="131" cm="1">
        <f t="array" aca="1" ref="F2" ca="1">_FV(Table2[[#This Row],[Stock]],"P/E",TRUE)</f>
        <v>84.602999999999994</v>
      </c>
      <c r="G2" s="281" cm="1">
        <f t="array" aca="1" ref="G2" ca="1">_FV(Table2[[#This Row],[Stock]],"Change")</f>
        <v>2.84</v>
      </c>
      <c r="H2" s="281" cm="1">
        <f t="array" aca="1" ref="H2" ca="1">_FV(Table2[[#This Row],[Stock]],"High")</f>
        <v>226.31</v>
      </c>
      <c r="I2" s="281" cm="1">
        <f t="array" aca="1" ref="I2" ca="1">_FV(Table2[[#This Row],[Stock]],"Low")</f>
        <v>219.3</v>
      </c>
      <c r="J2" s="285" cm="1">
        <f t="array" aca="1" ref="J2" ca="1">_FV(Table2[[#This Row],[Stock]],"Market cap",TRUE)</f>
        <v>359228895260</v>
      </c>
      <c r="K2" s="132" t="str" cm="1">
        <f t="array" aca="1" ref="K2" ca="1">_FV(Table2[[#This Row],[Stock]],"Industry")</f>
        <v>Semiconductors &amp; Semiconductor Equipment</v>
      </c>
      <c r="L2" s="132" t="str" cm="1">
        <f t="array" aca="1" ref="L2" ca="1">_FV(Table2[[#This Row],[Stock]],"Exchange abbreviation",TRUE)</f>
        <v>XNAS</v>
      </c>
      <c r="M2" s="25"/>
      <c r="N2" s="68"/>
      <c r="O2" s="68"/>
    </row>
    <row r="3" spans="1:15" x14ac:dyDescent="0.35">
      <c r="A3" s="137" t="e" vm="2">
        <v>#VALUE!</v>
      </c>
      <c r="B3" s="51" t="str" cm="1">
        <f t="array" aca="1" ref="B3" ca="1">_FV(Table2[[#This Row],[Stock]],"Ticker symbol",TRUE)</f>
        <v>MSFT</v>
      </c>
      <c r="C3" s="282" cm="1">
        <f t="array" aca="1" ref="C3" ca="1">_FV(Table2[[#This Row],[Stock]],"52 week high",TRUE)</f>
        <v>555.45000000000005</v>
      </c>
      <c r="D3" s="282" cm="1">
        <f t="array" aca="1" ref="D3" ca="1">_FV(Table2[[#This Row],[Stock]],"52 week low",TRUE)</f>
        <v>344.79</v>
      </c>
      <c r="E3" s="138" cm="1">
        <f t="array" aca="1" ref="E3" ca="1">_FV(Table2[[#This Row],[Stock]],"Beta")</f>
        <v>1.103</v>
      </c>
      <c r="F3" s="139" cm="1">
        <f t="array" aca="1" ref="F3" ca="1">_FV(Table2[[#This Row],[Stock]],"P/E",TRUE)</f>
        <v>23.240600000000001</v>
      </c>
      <c r="G3" s="282" cm="1">
        <f t="array" aca="1" ref="G3" ca="1">_FV(Table2[[#This Row],[Stock]],"Change")</f>
        <v>-2.02</v>
      </c>
      <c r="H3" s="282" cm="1">
        <f t="array" aca="1" ref="H3" ca="1">_FV(Table2[[#This Row],[Stock]],"High")</f>
        <v>373.73</v>
      </c>
      <c r="I3" s="282" cm="1">
        <f t="array" aca="1" ref="I3" ca="1">_FV(Table2[[#This Row],[Stock]],"Low")</f>
        <v>369.50139999999999</v>
      </c>
      <c r="J3" s="286" cm="1">
        <f t="array" aca="1" ref="J3" ca="1">_FV(Table2[[#This Row],[Stock]],"Market cap",TRUE)</f>
        <v>2758175635760</v>
      </c>
      <c r="K3" s="140" t="str" cm="1">
        <f t="array" aca="1" ref="K3" ca="1">_FV(Table2[[#This Row],[Stock]],"Industry")</f>
        <v>Software &amp; IT Services</v>
      </c>
      <c r="L3" s="140" t="str" cm="1">
        <f t="array" aca="1" ref="L3" ca="1">_FV(Table2[[#This Row],[Stock]],"Exchange abbreviation",TRUE)</f>
        <v>XNAS</v>
      </c>
      <c r="M3" s="25"/>
      <c r="N3" s="16" t="s">
        <v>34</v>
      </c>
      <c r="O3" s="16" t="s">
        <v>24</v>
      </c>
    </row>
    <row r="4" spans="1:15" x14ac:dyDescent="0.35">
      <c r="A4" s="141" t="e" vm="3">
        <v>#VALUE!</v>
      </c>
      <c r="B4" s="53" t="str" cm="1">
        <f t="array" aca="1" ref="B4" ca="1">_FV(Table2[[#This Row],[Stock]],"Ticker symbol",TRUE)</f>
        <v>BABA</v>
      </c>
      <c r="C4" s="283" cm="1">
        <f t="array" aca="1" ref="C4" ca="1">_FV(Table2[[#This Row],[Stock]],"52 week high",TRUE)</f>
        <v>192.67</v>
      </c>
      <c r="D4" s="283" cm="1">
        <f t="array" aca="1" ref="D4" ca="1">_FV(Table2[[#This Row],[Stock]],"52 week low",TRUE)</f>
        <v>94.974199999999996</v>
      </c>
      <c r="E4" s="142" cm="1">
        <f t="array" aca="1" ref="E4" ca="1">_FV(Table2[[#This Row],[Stock]],"Beta")</f>
        <v>0.49490000000000001</v>
      </c>
      <c r="F4" s="143" cm="1">
        <f t="array" aca="1" ref="F4" ca="1">_FV(Table2[[#This Row],[Stock]],"P/E",TRUE)</f>
        <v>16.684799999999999</v>
      </c>
      <c r="G4" s="283" cm="1">
        <f t="array" aca="1" ref="G4" ca="1">_FV(Table2[[#This Row],[Stock]],"Change")</f>
        <v>0.63</v>
      </c>
      <c r="H4" s="283" cm="1">
        <f t="array" aca="1" ref="H4" ca="1">_FV(Table2[[#This Row],[Stock]],"High")</f>
        <v>123.65</v>
      </c>
      <c r="I4" s="283" cm="1">
        <f t="array" aca="1" ref="I4" ca="1">_FV(Table2[[#This Row],[Stock]],"Low")</f>
        <v>122</v>
      </c>
      <c r="J4" s="287" cm="1">
        <f t="array" aca="1" ref="J4" ca="1">_FV(Table2[[#This Row],[Stock]],"Market cap",TRUE)</f>
        <v>292887826840</v>
      </c>
      <c r="K4" s="144" t="str" cm="1">
        <f t="array" aca="1" ref="K4" ca="1">_FV(Table2[[#This Row],[Stock]],"Industry")</f>
        <v>Software &amp; IT Services</v>
      </c>
      <c r="L4" s="144" t="str" cm="1">
        <f t="array" aca="1" ref="L4" ca="1">_FV(Table2[[#This Row],[Stock]],"Exchange abbreviation",TRUE)</f>
        <v>XNYS</v>
      </c>
      <c r="M4" s="25"/>
      <c r="N4" s="68" t="s">
        <v>35</v>
      </c>
      <c r="O4" s="68" t="s">
        <v>14</v>
      </c>
    </row>
    <row r="5" spans="1:15" x14ac:dyDescent="0.35">
      <c r="A5" s="137" t="e" vm="4">
        <v>#VALUE!</v>
      </c>
      <c r="B5" s="51" t="str" cm="1">
        <f t="array" aca="1" ref="B5" ca="1">_FV(Table2[[#This Row],[Stock]],"Ticker symbol",TRUE)</f>
        <v>DELL</v>
      </c>
      <c r="C5" s="282" cm="1">
        <f t="array" aca="1" ref="C5" ca="1">_FV(Table2[[#This Row],[Stock]],"52 week high",TRUE)</f>
        <v>186.39</v>
      </c>
      <c r="D5" s="282" cm="1">
        <f t="array" aca="1" ref="D5" ca="1">_FV(Table2[[#This Row],[Stock]],"52 week low",TRUE)</f>
        <v>66.245000000000005</v>
      </c>
      <c r="E5" s="138" cm="1">
        <f t="array" aca="1" ref="E5" ca="1">_FV(Table2[[#This Row],[Stock]],"Beta")</f>
        <v>0.85729999999999995</v>
      </c>
      <c r="F5" s="139" cm="1">
        <f t="array" aca="1" ref="F5" ca="1">_FV(Table2[[#This Row],[Stock]],"P/E",TRUE)</f>
        <v>19.857800000000001</v>
      </c>
      <c r="G5" s="282" cm="1">
        <f t="array" aca="1" ref="G5" ca="1">_FV(Table2[[#This Row],[Stock]],"Change")</f>
        <v>-1.22</v>
      </c>
      <c r="H5" s="282" cm="1">
        <f t="array" aca="1" ref="H5" ca="1">_FV(Table2[[#This Row],[Stock]],"High")</f>
        <v>176.5</v>
      </c>
      <c r="I5" s="282" cm="1">
        <f t="array" aca="1" ref="I5" ca="1">_FV(Table2[[#This Row],[Stock]],"Low")</f>
        <v>172.9</v>
      </c>
      <c r="J5" s="286" cm="1">
        <f t="array" aca="1" ref="J5" ca="1">_FV(Table2[[#This Row],[Stock]],"Market cap",TRUE)</f>
        <v>111811352775</v>
      </c>
      <c r="K5" s="140" t="str" cm="1">
        <f t="array" aca="1" ref="K5" ca="1">_FV(Table2[[#This Row],[Stock]],"Industry")</f>
        <v>Computers, Phones &amp; Household Electronics</v>
      </c>
      <c r="L5" s="140" t="str" cm="1">
        <f t="array" aca="1" ref="L5" ca="1">_FV(Table2[[#This Row],[Stock]],"Exchange abbreviation",TRUE)</f>
        <v>XNYS</v>
      </c>
      <c r="M5" s="25"/>
      <c r="N5" s="16" t="s">
        <v>35</v>
      </c>
      <c r="O5" s="25" t="s">
        <v>23</v>
      </c>
    </row>
    <row r="6" spans="1:15" x14ac:dyDescent="0.35">
      <c r="A6" s="141" t="e" vm="5">
        <v>#VALUE!</v>
      </c>
      <c r="B6" s="53" t="str" cm="1">
        <f t="array" aca="1" ref="B6" ca="1">_FV(Table2[[#This Row],[Stock]],"Ticker symbol",TRUE)</f>
        <v>GS</v>
      </c>
      <c r="C6" s="283" cm="1">
        <f t="array" aca="1" ref="C6" ca="1">_FV(Table2[[#This Row],[Stock]],"52 week high",TRUE)</f>
        <v>984.7</v>
      </c>
      <c r="D6" s="283" cm="1">
        <f t="array" aca="1" ref="D6" ca="1">_FV(Table2[[#This Row],[Stock]],"52 week low",TRUE)</f>
        <v>439.38</v>
      </c>
      <c r="E6" s="142" cm="1">
        <f t="array" aca="1" ref="E6" ca="1">_FV(Table2[[#This Row],[Stock]],"Beta")</f>
        <v>1.3147</v>
      </c>
      <c r="F6" s="143" cm="1">
        <f t="array" aca="1" ref="F6" ca="1">_FV(Table2[[#This Row],[Stock]],"P/E",TRUE)</f>
        <v>16.875900000000001</v>
      </c>
      <c r="G6" s="283" cm="1">
        <f t="array" aca="1" ref="G6" ca="1">_FV(Table2[[#This Row],[Stock]],"Change")</f>
        <v>2.7027000000000001</v>
      </c>
      <c r="H6" s="283" cm="1">
        <f t="array" aca="1" ref="H6" ca="1">_FV(Table2[[#This Row],[Stock]],"High")</f>
        <v>873.21</v>
      </c>
      <c r="I6" s="283" cm="1">
        <f t="array" aca="1" ref="I6" ca="1">_FV(Table2[[#This Row],[Stock]],"Low")</f>
        <v>859.83</v>
      </c>
      <c r="J6" s="287" cm="1">
        <f t="array" aca="1" ref="J6" ca="1">_FV(Table2[[#This Row],[Stock]],"Market cap",TRUE)</f>
        <v>255388815469</v>
      </c>
      <c r="K6" s="144" t="str" cm="1">
        <f t="array" aca="1" ref="K6" ca="1">_FV(Table2[[#This Row],[Stock]],"Industry")</f>
        <v>Investment Banking &amp; Investment Services</v>
      </c>
      <c r="L6" s="144" t="str" cm="1">
        <f t="array" aca="1" ref="L6" ca="1">_FV(Table2[[#This Row],[Stock]],"Exchange abbreviation",TRUE)</f>
        <v>XNYS</v>
      </c>
      <c r="M6" s="25"/>
      <c r="N6" s="68" t="s">
        <v>35</v>
      </c>
      <c r="O6" s="68" t="s">
        <v>15</v>
      </c>
    </row>
    <row r="7" spans="1:15" x14ac:dyDescent="0.35">
      <c r="A7" s="137" t="e" vm="6">
        <v>#VALUE!</v>
      </c>
      <c r="B7" s="51" t="str" cm="1">
        <f t="array" aca="1" ref="B7" ca="1">_FV(Table2[[#This Row],[Stock]],"Ticker symbol",TRUE)</f>
        <v>XOM</v>
      </c>
      <c r="C7" s="282" cm="1">
        <f t="array" aca="1" ref="C7" ca="1">_FV(Table2[[#This Row],[Stock]],"52 week high",TRUE)</f>
        <v>176.41</v>
      </c>
      <c r="D7" s="282" cm="1">
        <f t="array" aca="1" ref="D7" ca="1">_FV(Table2[[#This Row],[Stock]],"52 week low",TRUE)</f>
        <v>97.8</v>
      </c>
      <c r="E7" s="138" cm="1">
        <f t="array" aca="1" ref="E7" ca="1">_FV(Table2[[#This Row],[Stock]],"Beta")</f>
        <v>0.29189999999999999</v>
      </c>
      <c r="F7" s="139" cm="1">
        <f t="array" aca="1" ref="F7" ca="1">_FV(Table2[[#This Row],[Stock]],"P/E",TRUE)</f>
        <v>24.104500000000002</v>
      </c>
      <c r="G7" s="282" cm="1">
        <f t="array" aca="1" ref="G7" ca="1">_FV(Table2[[#This Row],[Stock]],"Change")</f>
        <v>0.34</v>
      </c>
      <c r="H7" s="282" cm="1">
        <f t="array" aca="1" ref="H7" ca="1">_FV(Table2[[#This Row],[Stock]],"High")</f>
        <v>161.94</v>
      </c>
      <c r="I7" s="282" cm="1">
        <f t="array" aca="1" ref="I7" ca="1">_FV(Table2[[#This Row],[Stock]],"Low")</f>
        <v>159.53</v>
      </c>
      <c r="J7" s="286" cm="1">
        <f t="array" aca="1" ref="J7" ca="1">_FV(Table2[[#This Row],[Stock]],"Market cap",TRUE)</f>
        <v>670974006920</v>
      </c>
      <c r="K7" s="140" t="str" cm="1">
        <f t="array" aca="1" ref="K7" ca="1">_FV(Table2[[#This Row],[Stock]],"Industry")</f>
        <v>Oil &amp; Gas</v>
      </c>
      <c r="L7" s="140" t="str" cm="1">
        <f t="array" aca="1" ref="L7" ca="1">_FV(Table2[[#This Row],[Stock]],"Exchange abbreviation",TRUE)</f>
        <v>XNYS</v>
      </c>
      <c r="M7" s="25"/>
      <c r="N7" s="16" t="s">
        <v>36</v>
      </c>
      <c r="O7" s="16" t="s">
        <v>16</v>
      </c>
    </row>
    <row r="8" spans="1:15" x14ac:dyDescent="0.35">
      <c r="A8" s="141" t="e" vm="7">
        <v>#VALUE!</v>
      </c>
      <c r="B8" s="53" t="str" cm="1">
        <f t="array" aca="1" ref="B8" ca="1">_FV(Table2[[#This Row],[Stock]],"Ticker symbol",TRUE)</f>
        <v>GM</v>
      </c>
      <c r="C8" s="283" cm="1">
        <f t="array" aca="1" ref="C8" ca="1">_FV(Table2[[#This Row],[Stock]],"52 week high",TRUE)</f>
        <v>87.62</v>
      </c>
      <c r="D8" s="283" cm="1">
        <f t="array" aca="1" ref="D8" ca="1">_FV(Table2[[#This Row],[Stock]],"52 week low",TRUE)</f>
        <v>41.6</v>
      </c>
      <c r="E8" s="142" cm="1">
        <f t="array" aca="1" ref="E8" ca="1">_FV(Table2[[#This Row],[Stock]],"Beta")</f>
        <v>1.3733</v>
      </c>
      <c r="F8" s="143" cm="1">
        <f t="array" aca="1" ref="F8" ca="1">_FV(Table2[[#This Row],[Stock]],"P/E",TRUE)</f>
        <v>22.385400000000001</v>
      </c>
      <c r="G8" s="283" cm="1">
        <f t="array" aca="1" ref="G8" ca="1">_FV(Table2[[#This Row],[Stock]],"Change")</f>
        <v>0.62</v>
      </c>
      <c r="H8" s="283" cm="1">
        <f t="array" aca="1" ref="H8" ca="1">_FV(Table2[[#This Row],[Stock]],"High")</f>
        <v>73.314999999999998</v>
      </c>
      <c r="I8" s="283" cm="1">
        <f t="array" aca="1" ref="I8" ca="1">_FV(Table2[[#This Row],[Stock]],"Low")</f>
        <v>72.150000000000006</v>
      </c>
      <c r="J8" s="287" cm="1">
        <f t="array" aca="1" ref="J8" ca="1">_FV(Table2[[#This Row],[Stock]],"Market cap",TRUE)</f>
        <v>66134284248</v>
      </c>
      <c r="K8" s="144" t="str" cm="1">
        <f t="array" aca="1" ref="K8" ca="1">_FV(Table2[[#This Row],[Stock]],"Industry")</f>
        <v>Automobiles &amp; Auto Parts</v>
      </c>
      <c r="L8" s="144" t="str" cm="1">
        <f t="array" aca="1" ref="L8" ca="1">_FV(Table2[[#This Row],[Stock]],"Exchange abbreviation",TRUE)</f>
        <v>XNYS</v>
      </c>
      <c r="M8" s="25"/>
      <c r="N8" s="68" t="s">
        <v>36</v>
      </c>
      <c r="O8" s="94" t="s">
        <v>21</v>
      </c>
    </row>
    <row r="9" spans="1:15" x14ac:dyDescent="0.35">
      <c r="A9" s="137" t="e" vm="8">
        <v>#VALUE!</v>
      </c>
      <c r="B9" s="51" t="str" cm="1">
        <f t="array" aca="1" ref="B9" ca="1">_FV(Table2[[#This Row],[Stock]],"Ticker symbol",TRUE)</f>
        <v>BAC</v>
      </c>
      <c r="C9" s="282" cm="1">
        <f t="array" aca="1" ref="C9" ca="1">_FV(Table2[[#This Row],[Stock]],"52 week high",TRUE)</f>
        <v>57.55</v>
      </c>
      <c r="D9" s="282" cm="1">
        <f t="array" aca="1" ref="D9" ca="1">_FV(Table2[[#This Row],[Stock]],"52 week low",TRUE)</f>
        <v>33.064999999999998</v>
      </c>
      <c r="E9" s="138" cm="1">
        <f t="array" aca="1" ref="E9" ca="1">_FV(Table2[[#This Row],[Stock]],"Beta")</f>
        <v>1.2422</v>
      </c>
      <c r="F9" s="139" cm="1">
        <f t="array" aca="1" ref="F9" ca="1">_FV(Table2[[#This Row],[Stock]],"P/E",TRUE)</f>
        <v>13.174099999999999</v>
      </c>
      <c r="G9" s="282" cm="1">
        <f t="array" aca="1" ref="G9" ca="1">_FV(Table2[[#This Row],[Stock]],"Change")</f>
        <v>0.45500000000000002</v>
      </c>
      <c r="H9" s="282" cm="1">
        <f t="array" aca="1" ref="H9" ca="1">_FV(Table2[[#This Row],[Stock]],"High")</f>
        <v>50.08</v>
      </c>
      <c r="I9" s="282" cm="1">
        <f t="array" aca="1" ref="I9" ca="1">_FV(Table2[[#This Row],[Stock]],"Low")</f>
        <v>49.25</v>
      </c>
      <c r="J9" s="286" cm="1">
        <f t="array" aca="1" ref="J9" ca="1">_FV(Table2[[#This Row],[Stock]],"Market cap",TRUE)</f>
        <v>356106408015</v>
      </c>
      <c r="K9" s="140" t="str" cm="1">
        <f t="array" aca="1" ref="K9" ca="1">_FV(Table2[[#This Row],[Stock]],"Industry")</f>
        <v>Banking Services</v>
      </c>
      <c r="L9" s="140" t="str" cm="1">
        <f t="array" aca="1" ref="L9" ca="1">_FV(Table2[[#This Row],[Stock]],"Exchange abbreviation",TRUE)</f>
        <v>XNYS</v>
      </c>
      <c r="M9" s="25"/>
      <c r="N9" s="16" t="s">
        <v>36</v>
      </c>
      <c r="O9" s="25" t="s">
        <v>17</v>
      </c>
    </row>
    <row r="10" spans="1:15" x14ac:dyDescent="0.35">
      <c r="A10" s="141" t="e" vm="9">
        <v>#VALUE!</v>
      </c>
      <c r="B10" s="53" t="str" cm="1">
        <f t="array" aca="1" ref="B10" ca="1">_FV(Table2[[#This Row],[Stock]],"Ticker symbol",TRUE)</f>
        <v>LMT</v>
      </c>
      <c r="C10" s="283" cm="1">
        <f t="array" aca="1" ref="C10" ca="1">_FV(Table2[[#This Row],[Stock]],"52 week high",TRUE)</f>
        <v>692</v>
      </c>
      <c r="D10" s="283" cm="1">
        <f t="array" aca="1" ref="D10" ca="1">_FV(Table2[[#This Row],[Stock]],"52 week low",TRUE)</f>
        <v>410.11</v>
      </c>
      <c r="E10" s="142" cm="1">
        <f t="array" aca="1" ref="E10" ca="1">_FV(Table2[[#This Row],[Stock]],"Beta")</f>
        <v>0.23669999999999999</v>
      </c>
      <c r="F10" s="143" cm="1">
        <f t="array" aca="1" ref="F10" ca="1">_FV(Table2[[#This Row],[Stock]],"P/E",TRUE)</f>
        <v>29.0685</v>
      </c>
      <c r="G10" s="283" cm="1">
        <f t="array" aca="1" ref="G10" ca="1">_FV(Table2[[#This Row],[Stock]],"Change")</f>
        <v>1.7786999999999999</v>
      </c>
      <c r="H10" s="283" cm="1">
        <f t="array" aca="1" ref="H10" ca="1">_FV(Table2[[#This Row],[Stock]],"High")</f>
        <v>627.22</v>
      </c>
      <c r="I10" s="283" cm="1">
        <f t="array" aca="1" ref="I10" ca="1">_FV(Table2[[#This Row],[Stock]],"Low")</f>
        <v>621.36500000000001</v>
      </c>
      <c r="J10" s="287" cm="1">
        <f t="array" aca="1" ref="J10" ca="1">_FV(Table2[[#This Row],[Stock]],"Market cap",TRUE)</f>
        <v>143939414196</v>
      </c>
      <c r="K10" s="144" t="str" cm="1">
        <f t="array" aca="1" ref="K10" ca="1">_FV(Table2[[#This Row],[Stock]],"Industry")</f>
        <v>Aerospace &amp; Defense</v>
      </c>
      <c r="L10" s="144" t="str" cm="1">
        <f t="array" aca="1" ref="L10" ca="1">_FV(Table2[[#This Row],[Stock]],"Exchange abbreviation",TRUE)</f>
        <v>XNYS</v>
      </c>
      <c r="M10" s="25"/>
      <c r="N10" s="68" t="s">
        <v>36</v>
      </c>
      <c r="O10" s="94" t="s">
        <v>20</v>
      </c>
    </row>
    <row r="11" spans="1:15" x14ac:dyDescent="0.35">
      <c r="A11" s="133" t="e" vm="10">
        <v>#VALUE!</v>
      </c>
      <c r="B11" s="50" t="str" cm="1">
        <f t="array" aca="1" ref="B11" ca="1">_FV(Table2[[#This Row],[Stock]],"Ticker symbol",TRUE)</f>
        <v>COST</v>
      </c>
      <c r="C11" s="284" cm="1">
        <f t="array" aca="1" ref="C11" ca="1">_FV(Table2[[#This Row],[Stock]],"52 week high",TRUE)</f>
        <v>1067.08</v>
      </c>
      <c r="D11" s="284" cm="1">
        <f t="array" aca="1" ref="D11" ca="1">_FV(Table2[[#This Row],[Stock]],"52 week low",TRUE)</f>
        <v>844.06</v>
      </c>
      <c r="E11" s="134" cm="1">
        <f t="array" aca="1" ref="E11" ca="1">_FV(Table2[[#This Row],[Stock]],"Beta")</f>
        <v>0.98899999999999999</v>
      </c>
      <c r="F11" s="135" cm="1">
        <f t="array" aca="1" ref="F11" ca="1">_FV(Table2[[#This Row],[Stock]],"P/E",TRUE)</f>
        <v>54.470700000000001</v>
      </c>
      <c r="G11" s="284" cm="1">
        <f t="array" aca="1" ref="G11" ca="1">_FV(Table2[[#This Row],[Stock]],"Change")</f>
        <v>1.91</v>
      </c>
      <c r="H11" s="284" cm="1">
        <f t="array" aca="1" ref="H11" ca="1">_FV(Table2[[#This Row],[Stock]],"High")</f>
        <v>1017.46</v>
      </c>
      <c r="I11" s="284" cm="1">
        <f t="array" aca="1" ref="I11" ca="1">_FV(Table2[[#This Row],[Stock]],"Low")</f>
        <v>1004.01</v>
      </c>
      <c r="J11" s="288" cm="1">
        <f t="array" aca="1" ref="J11" ca="1">_FV(Table2[[#This Row],[Stock]],"Market cap",TRUE)</f>
        <v>451136917675</v>
      </c>
      <c r="K11" s="136" t="str" cm="1">
        <f t="array" aca="1" ref="K11" ca="1">_FV(Table2[[#This Row],[Stock]],"Industry")</f>
        <v>Diversified Retail</v>
      </c>
      <c r="L11" s="136" t="str" cm="1">
        <f t="array" aca="1" ref="L11" ca="1">_FV(Table2[[#This Row],[Stock]],"Exchange abbreviation",TRUE)</f>
        <v>XNAS</v>
      </c>
      <c r="M11" s="25"/>
      <c r="N11" s="16" t="s">
        <v>36</v>
      </c>
      <c r="O11" s="25" t="s">
        <v>18</v>
      </c>
    </row>
    <row r="12" spans="1:15" x14ac:dyDescent="0.35">
      <c r="A12" s="25"/>
      <c r="B12" s="25"/>
      <c r="C12" s="25"/>
      <c r="D12" s="25"/>
      <c r="E12" s="25"/>
      <c r="F12" s="25"/>
      <c r="G12" s="25"/>
      <c r="H12" s="25"/>
      <c r="I12" s="25"/>
      <c r="J12" s="25"/>
      <c r="K12" s="25"/>
      <c r="L12" s="25"/>
      <c r="M12" s="25"/>
      <c r="N12" s="68" t="s">
        <v>36</v>
      </c>
      <c r="O12" s="94" t="s">
        <v>22</v>
      </c>
    </row>
    <row r="13" spans="1:15" x14ac:dyDescent="0.35">
      <c r="A13" s="25"/>
      <c r="B13" s="25"/>
      <c r="C13" s="25"/>
      <c r="D13" s="25"/>
      <c r="E13" s="25"/>
      <c r="F13" s="25"/>
      <c r="G13" s="25"/>
      <c r="H13" s="25"/>
      <c r="I13" s="25"/>
      <c r="J13" s="25"/>
      <c r="K13" s="25"/>
      <c r="L13" s="25"/>
      <c r="M13" s="25"/>
      <c r="N13" s="16" t="s">
        <v>36</v>
      </c>
      <c r="O13" s="16" t="s">
        <v>19</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4CBBC-4506-4AAC-9EEA-E5952AD8653A}">
  <dimension ref="A3:IU18"/>
  <sheetViews>
    <sheetView topLeftCell="IJ1" workbookViewId="0">
      <selection activeCell="A3" sqref="A3"/>
    </sheetView>
  </sheetViews>
  <sheetFormatPr defaultRowHeight="14.5" x14ac:dyDescent="0.35"/>
  <cols>
    <col min="1" max="1" width="41.1796875" bestFit="1" customWidth="1"/>
    <col min="2" max="252" width="10.08984375" bestFit="1" customWidth="1"/>
  </cols>
  <sheetData>
    <row r="3" spans="1:255" x14ac:dyDescent="0.35">
      <c r="A3" t="str">
        <f ca="1">Dashboard!B7</f>
        <v>0R2N</v>
      </c>
      <c r="B3" cm="1" vm="11">
        <f t="array" aca="1" ref="B3:IU3" ca="1">TRANSPOSE(_xlfn.STOCKHISTORY(A3,TODAY()-365,TODAY(),0,0,1))</f>
        <v>115.3</v>
      </c>
      <c r="C3" vm="12">
        <f ca="1"/>
        <v>122.1</v>
      </c>
      <c r="D3" vm="13">
        <f ca="1"/>
        <v>120.8</v>
      </c>
      <c r="E3" vm="14">
        <f ca="1"/>
        <v>126.9</v>
      </c>
      <c r="F3" vm="15">
        <f ca="1"/>
        <v>125.6</v>
      </c>
      <c r="G3" vm="16">
        <f ca="1"/>
        <v>129.6</v>
      </c>
      <c r="H3" vm="16">
        <f ca="1"/>
        <v>129.6</v>
      </c>
      <c r="I3" vm="16">
        <f ca="1"/>
        <v>129.6</v>
      </c>
      <c r="J3" vm="17">
        <f ca="1"/>
        <v>128.6</v>
      </c>
      <c r="K3" vm="18">
        <f ca="1"/>
        <v>115.1</v>
      </c>
      <c r="L3" vm="19">
        <f ca="1"/>
        <v>121.4</v>
      </c>
      <c r="M3" vm="20">
        <f ca="1"/>
        <v>120.2</v>
      </c>
      <c r="N3" vm="21">
        <f ca="1"/>
        <v>123.7</v>
      </c>
      <c r="O3" vm="22">
        <f ca="1"/>
        <v>125.2</v>
      </c>
      <c r="P3" vm="22">
        <f ca="1"/>
        <v>125.2</v>
      </c>
      <c r="Q3" vm="23">
        <f ca="1"/>
        <v>124.4</v>
      </c>
      <c r="R3" vm="24">
        <f ca="1"/>
        <v>126.7</v>
      </c>
      <c r="S3" vm="25">
        <f ca="1"/>
        <v>129.19999999999999</v>
      </c>
      <c r="T3" vm="26">
        <f ca="1"/>
        <v>128.95599999999999</v>
      </c>
      <c r="U3" vm="27">
        <f ca="1"/>
        <v>128</v>
      </c>
      <c r="V3" vm="28">
        <f ca="1"/>
        <v>128.80000000000001</v>
      </c>
      <c r="W3" vm="29">
        <f ca="1"/>
        <v>129</v>
      </c>
      <c r="X3" vm="24">
        <f ca="1"/>
        <v>126.7</v>
      </c>
      <c r="Y3" vm="30">
        <f ca="1"/>
        <v>130.5</v>
      </c>
      <c r="Z3" vm="31">
        <f ca="1"/>
        <v>131.30000000000001</v>
      </c>
      <c r="AA3" vm="32">
        <f ca="1"/>
        <v>130.30000000000001</v>
      </c>
      <c r="AB3" vm="33">
        <f ca="1"/>
        <v>133</v>
      </c>
      <c r="AC3" vm="34">
        <f ca="1"/>
        <v>135.30000000000001</v>
      </c>
      <c r="AD3" vm="35">
        <f ca="1"/>
        <v>136.4</v>
      </c>
      <c r="AE3" vm="36">
        <f ca="1"/>
        <v>137.19999999999999</v>
      </c>
      <c r="AF3" vm="37">
        <f ca="1"/>
        <v>137.4</v>
      </c>
      <c r="AG3" vm="38">
        <f ca="1"/>
        <v>134.9</v>
      </c>
      <c r="AH3" vm="39">
        <f ca="1"/>
        <v>132</v>
      </c>
      <c r="AI3" t="e" vm="40">
        <f ca="1"/>
        <v>#N/A</v>
      </c>
      <c r="AJ3" vm="41">
        <f ca="1"/>
        <v>132.4</v>
      </c>
      <c r="AK3" vm="39">
        <f ca="1"/>
        <v>132</v>
      </c>
      <c r="AL3" vm="42">
        <f ca="1"/>
        <v>133.6</v>
      </c>
      <c r="AM3" vm="38">
        <f ca="1"/>
        <v>134.9</v>
      </c>
      <c r="AN3" vm="43">
        <f ca="1"/>
        <v>136.19999999999999</v>
      </c>
      <c r="AO3" vm="44">
        <f ca="1"/>
        <v>137.6</v>
      </c>
      <c r="AP3" vm="37">
        <f ca="1"/>
        <v>137.4</v>
      </c>
      <c r="AQ3" vm="45">
        <f ca="1"/>
        <v>138.69999999999999</v>
      </c>
      <c r="AR3" vm="46">
        <f ca="1"/>
        <v>139.5</v>
      </c>
      <c r="AS3" vm="47">
        <f ca="1"/>
        <v>139.30000000000001</v>
      </c>
      <c r="AT3" vm="48">
        <f ca="1"/>
        <v>138.1</v>
      </c>
      <c r="AU3" vm="49">
        <f ca="1"/>
        <v>138.5</v>
      </c>
      <c r="AV3" vm="50">
        <f ca="1"/>
        <v>141.4</v>
      </c>
      <c r="AW3" vm="51">
        <f ca="1"/>
        <v>144.4</v>
      </c>
      <c r="AX3" vm="52">
        <f ca="1"/>
        <v>146.9</v>
      </c>
      <c r="AY3" vm="53">
        <f ca="1"/>
        <v>147.69999999999999</v>
      </c>
      <c r="AZ3" vm="54">
        <f ca="1"/>
        <v>147.30000000000001</v>
      </c>
      <c r="BA3" vm="54">
        <f ca="1"/>
        <v>147.30000000000001</v>
      </c>
      <c r="BB3" vm="55">
        <f ca="1"/>
        <v>146.69999999999999</v>
      </c>
      <c r="BC3" vm="56">
        <f ca="1"/>
        <v>145.80000000000001</v>
      </c>
      <c r="BD3" vm="57">
        <f ca="1"/>
        <v>142.30000000000001</v>
      </c>
      <c r="BE3" vm="58">
        <f ca="1"/>
        <v>142.1</v>
      </c>
      <c r="BF3" vm="59">
        <f ca="1"/>
        <v>141.80000000000001</v>
      </c>
      <c r="BG3" vm="60">
        <f ca="1"/>
        <v>144</v>
      </c>
      <c r="BH3" vm="61">
        <f ca="1"/>
        <v>146.1</v>
      </c>
      <c r="BI3" vm="60">
        <f ca="1"/>
        <v>144</v>
      </c>
      <c r="BJ3" vm="62">
        <f ca="1"/>
        <v>142.9</v>
      </c>
      <c r="BK3" vm="63">
        <f ca="1"/>
        <v>145.4</v>
      </c>
      <c r="BL3" vm="64">
        <f ca="1"/>
        <v>145</v>
      </c>
      <c r="BM3" vm="55">
        <f ca="1"/>
        <v>146.69999999999999</v>
      </c>
      <c r="BN3" vm="65">
        <f ca="1"/>
        <v>144.19999999999999</v>
      </c>
      <c r="BO3" vm="56">
        <f ca="1"/>
        <v>145.80000000000001</v>
      </c>
      <c r="BP3" vm="64">
        <f ca="1"/>
        <v>145</v>
      </c>
      <c r="BQ3" vm="66">
        <f ca="1"/>
        <v>146.30000000000001</v>
      </c>
      <c r="BR3" vm="67">
        <f ca="1"/>
        <v>149.19999999999999</v>
      </c>
      <c r="BS3" vm="68">
        <f ca="1"/>
        <v>149.80000000000001</v>
      </c>
      <c r="BT3" vm="69">
        <f ca="1"/>
        <v>148.80000000000001</v>
      </c>
      <c r="BU3" vm="70">
        <f ca="1"/>
        <v>150.9</v>
      </c>
      <c r="BV3" vm="71">
        <f ca="1"/>
        <v>151.5</v>
      </c>
      <c r="BW3" vm="72">
        <f ca="1"/>
        <v>152.6</v>
      </c>
      <c r="BX3" vm="73">
        <f ca="1"/>
        <v>149.6</v>
      </c>
      <c r="BY3" vm="71">
        <f ca="1"/>
        <v>151.5</v>
      </c>
      <c r="BZ3" vm="74">
        <f ca="1"/>
        <v>155.69999999999999</v>
      </c>
      <c r="CA3" vm="75">
        <f ca="1"/>
        <v>154.30000000000001</v>
      </c>
      <c r="CB3" vm="76">
        <f ca="1"/>
        <v>156.6</v>
      </c>
      <c r="CC3" vm="77">
        <f ca="1"/>
        <v>156.4</v>
      </c>
      <c r="CD3" vm="78">
        <f ca="1"/>
        <v>157.6</v>
      </c>
      <c r="CE3" vm="79">
        <f ca="1"/>
        <v>157.80000000000001</v>
      </c>
      <c r="CF3" vm="80">
        <f ca="1"/>
        <v>155.5</v>
      </c>
      <c r="CG3" vm="81">
        <f ca="1"/>
        <v>157.19999999999999</v>
      </c>
      <c r="CH3" vm="76">
        <f ca="1"/>
        <v>156.6</v>
      </c>
      <c r="CI3" vm="82">
        <f ca="1"/>
        <v>157</v>
      </c>
      <c r="CJ3" vm="83">
        <f ca="1"/>
        <v>153.4</v>
      </c>
      <c r="CK3" vm="84">
        <f ca="1"/>
        <v>156.19999999999999</v>
      </c>
      <c r="CL3" vm="85">
        <f ca="1"/>
        <v>154.9</v>
      </c>
      <c r="CM3" vm="74">
        <f ca="1"/>
        <v>155.69999999999999</v>
      </c>
      <c r="CN3" vm="86">
        <f ca="1"/>
        <v>154.1</v>
      </c>
      <c r="CO3" vm="84">
        <f ca="1"/>
        <v>156.19999999999999</v>
      </c>
      <c r="CP3" vm="87">
        <f ca="1"/>
        <v>153.80000000000001</v>
      </c>
      <c r="CQ3" vm="88">
        <f ca="1"/>
        <v>154.69999999999999</v>
      </c>
      <c r="CR3" vm="86">
        <f ca="1"/>
        <v>154.1</v>
      </c>
      <c r="CS3" vm="88">
        <f ca="1"/>
        <v>154.69999999999999</v>
      </c>
      <c r="CT3" vm="82">
        <f ca="1"/>
        <v>157</v>
      </c>
      <c r="CU3" vm="79">
        <f ca="1"/>
        <v>157.80000000000001</v>
      </c>
      <c r="CV3" vm="89">
        <f ca="1"/>
        <v>156.66999999999999</v>
      </c>
      <c r="CW3" vm="90">
        <f ca="1"/>
        <v>158.1</v>
      </c>
      <c r="CX3" vm="91">
        <f ca="1"/>
        <v>159.5</v>
      </c>
      <c r="CY3" vm="92">
        <f ca="1"/>
        <v>159.30000000000001</v>
      </c>
      <c r="CZ3" vm="93">
        <f ca="1"/>
        <v>160</v>
      </c>
      <c r="DA3" vm="94">
        <f ca="1"/>
        <v>159.1</v>
      </c>
      <c r="DB3" vm="95">
        <f ca="1"/>
        <v>157.4</v>
      </c>
      <c r="DC3" vm="79">
        <f ca="1"/>
        <v>157.80000000000001</v>
      </c>
      <c r="DD3" vm="96">
        <f ca="1"/>
        <v>158.5</v>
      </c>
      <c r="DE3" vm="81">
        <f ca="1"/>
        <v>157.19999999999999</v>
      </c>
      <c r="DF3" vm="97">
        <f ca="1"/>
        <v>156</v>
      </c>
      <c r="DG3" vm="98">
        <f ca="1"/>
        <v>151.69999999999999</v>
      </c>
      <c r="DH3" vm="72">
        <f ca="1"/>
        <v>152.6</v>
      </c>
      <c r="DI3" vm="99">
        <f ca="1"/>
        <v>155.30000000000001</v>
      </c>
      <c r="DJ3" vm="81">
        <f ca="1"/>
        <v>157.19999999999999</v>
      </c>
      <c r="DK3" vm="95">
        <f ca="1"/>
        <v>157.4</v>
      </c>
      <c r="DL3" vm="78">
        <f ca="1"/>
        <v>157.6</v>
      </c>
      <c r="DM3" vm="96">
        <f ca="1"/>
        <v>158.5</v>
      </c>
      <c r="DN3" vm="78">
        <f ca="1"/>
        <v>157.6</v>
      </c>
      <c r="DO3" vm="100">
        <f ca="1"/>
        <v>156.80000000000001</v>
      </c>
      <c r="DP3" vm="101">
        <f ca="1"/>
        <v>158.9</v>
      </c>
      <c r="DQ3" vm="102">
        <f ca="1"/>
        <v>160.80000000000001</v>
      </c>
      <c r="DR3" vm="103">
        <f ca="1"/>
        <v>162.9</v>
      </c>
      <c r="DS3" vm="104">
        <f ca="1"/>
        <v>160.19999999999999</v>
      </c>
      <c r="DT3" vm="105">
        <f ca="1"/>
        <v>164.6</v>
      </c>
      <c r="DU3" vm="106">
        <f ca="1"/>
        <v>165.6</v>
      </c>
      <c r="DV3" vm="107">
        <f ca="1"/>
        <v>166.7</v>
      </c>
      <c r="DW3" vm="107">
        <f ca="1"/>
        <v>166.7</v>
      </c>
      <c r="DX3" vm="108">
        <f ca="1"/>
        <v>166.1</v>
      </c>
      <c r="DY3" vm="109">
        <f ca="1"/>
        <v>165.8</v>
      </c>
      <c r="DZ3" vm="110">
        <f ca="1"/>
        <v>169</v>
      </c>
      <c r="EA3" vm="111">
        <f ca="1"/>
        <v>168.8</v>
      </c>
      <c r="EB3" vm="112">
        <f ca="1"/>
        <v>170.7</v>
      </c>
      <c r="EC3" vm="113">
        <f ca="1"/>
        <v>167.1</v>
      </c>
      <c r="ED3" vm="93">
        <f ca="1"/>
        <v>160</v>
      </c>
      <c r="EE3" vm="92">
        <f ca="1"/>
        <v>159.30000000000001</v>
      </c>
      <c r="EF3" vm="114">
        <f ca="1"/>
        <v>158.30000000000001</v>
      </c>
      <c r="EG3" vm="115">
        <f ca="1"/>
        <v>160.4</v>
      </c>
      <c r="EH3" vm="95">
        <f ca="1"/>
        <v>157.4</v>
      </c>
      <c r="EI3" vm="81">
        <f ca="1"/>
        <v>157.19999999999999</v>
      </c>
      <c r="EJ3" vm="102">
        <f ca="1"/>
        <v>160.80000000000001</v>
      </c>
      <c r="EK3" vm="116">
        <f ca="1"/>
        <v>173.6</v>
      </c>
      <c r="EL3" vm="117">
        <f ca="1"/>
        <v>176.4</v>
      </c>
      <c r="EM3" vm="118">
        <f ca="1"/>
        <v>179.1</v>
      </c>
      <c r="EN3" vm="119">
        <f ca="1"/>
        <v>179.5</v>
      </c>
      <c r="EO3" vm="120">
        <f ca="1"/>
        <v>178.1</v>
      </c>
      <c r="EP3" vm="121">
        <f ca="1"/>
        <v>180.6</v>
      </c>
      <c r="EQ3" vm="122">
        <f ca="1"/>
        <v>177.6</v>
      </c>
      <c r="ER3" vm="122">
        <f ca="1"/>
        <v>177.6</v>
      </c>
      <c r="ES3" vm="123">
        <f ca="1"/>
        <v>176.8</v>
      </c>
      <c r="ET3" vm="124">
        <f ca="1"/>
        <v>176.6</v>
      </c>
      <c r="EU3" vm="124">
        <f ca="1"/>
        <v>176.6</v>
      </c>
      <c r="EV3" vm="125">
        <f ca="1"/>
        <v>175.7</v>
      </c>
      <c r="EW3" vm="126">
        <f ca="1"/>
        <v>174.3</v>
      </c>
      <c r="EX3" vm="127">
        <f ca="1"/>
        <v>174.1</v>
      </c>
      <c r="EY3" vm="128">
        <f ca="1"/>
        <v>177.8</v>
      </c>
      <c r="EZ3" vm="129">
        <f ca="1"/>
        <v>178.5</v>
      </c>
      <c r="FA3" vm="118">
        <f ca="1"/>
        <v>179.1</v>
      </c>
      <c r="FB3" vm="130">
        <f ca="1"/>
        <v>174.5</v>
      </c>
      <c r="FC3" vm="130">
        <f ca="1"/>
        <v>174.5</v>
      </c>
      <c r="FD3" vm="131">
        <f ca="1"/>
        <v>175.5</v>
      </c>
      <c r="FE3" vm="132">
        <f ca="1"/>
        <v>176</v>
      </c>
      <c r="FF3" vm="133">
        <f ca="1"/>
        <v>173</v>
      </c>
      <c r="FG3" vm="134">
        <f ca="1"/>
        <v>177</v>
      </c>
      <c r="FH3" vm="135">
        <f ca="1"/>
        <v>170.1</v>
      </c>
      <c r="FI3" vm="136">
        <f ca="1"/>
        <v>171.1</v>
      </c>
      <c r="FJ3" vm="136">
        <f ca="1"/>
        <v>171.1</v>
      </c>
      <c r="FK3" vm="137">
        <f ca="1"/>
        <v>172.8</v>
      </c>
      <c r="FL3" vm="133">
        <f ca="1"/>
        <v>173</v>
      </c>
      <c r="FM3" vm="116">
        <f ca="1"/>
        <v>173.6</v>
      </c>
      <c r="FN3" vm="138">
        <f ca="1"/>
        <v>170.5</v>
      </c>
      <c r="FO3" vm="110">
        <f ca="1"/>
        <v>169</v>
      </c>
      <c r="FP3" vm="139">
        <f ca="1"/>
        <v>168.2</v>
      </c>
      <c r="FQ3" vm="112">
        <f ca="1"/>
        <v>170.7</v>
      </c>
      <c r="FR3" vm="140">
        <f ca="1"/>
        <v>170.3</v>
      </c>
      <c r="FS3" vm="141">
        <f ca="1"/>
        <v>171.5</v>
      </c>
      <c r="FT3" vm="142">
        <f ca="1"/>
        <v>174.9</v>
      </c>
      <c r="FU3" vm="143">
        <f ca="1"/>
        <v>172.4</v>
      </c>
      <c r="FV3" vm="122">
        <f ca="1"/>
        <v>177.6</v>
      </c>
      <c r="FW3" vm="134">
        <f ca="1"/>
        <v>177</v>
      </c>
      <c r="FX3" vm="144">
        <f ca="1"/>
        <v>180</v>
      </c>
      <c r="FY3" vm="145">
        <f ca="1"/>
        <v>181.2</v>
      </c>
      <c r="FZ3" vm="119">
        <f ca="1"/>
        <v>179.5</v>
      </c>
      <c r="GA3" vm="118">
        <f ca="1"/>
        <v>179.1</v>
      </c>
      <c r="GB3" vm="146">
        <f ca="1"/>
        <v>181</v>
      </c>
      <c r="GC3" vm="147">
        <f ca="1"/>
        <v>184.8</v>
      </c>
      <c r="GD3" vm="148">
        <f ca="1"/>
        <v>187.7</v>
      </c>
      <c r="GE3" vm="149">
        <f ca="1"/>
        <v>186.5</v>
      </c>
      <c r="GF3" vm="150">
        <f ca="1"/>
        <v>184.4</v>
      </c>
      <c r="GG3" vm="151">
        <f ca="1"/>
        <v>184</v>
      </c>
      <c r="GH3" vm="151">
        <f ca="1"/>
        <v>184</v>
      </c>
      <c r="GI3" vm="152">
        <f ca="1"/>
        <v>183.1</v>
      </c>
      <c r="GJ3" vm="153">
        <f ca="1"/>
        <v>187.1</v>
      </c>
      <c r="GK3" vm="154">
        <f ca="1"/>
        <v>188.6</v>
      </c>
      <c r="GL3" vm="155">
        <f ca="1"/>
        <v>191.15</v>
      </c>
      <c r="GM3" vm="156">
        <f ca="1"/>
        <v>189.6</v>
      </c>
      <c r="GN3" vm="157">
        <f ca="1"/>
        <v>187.5</v>
      </c>
      <c r="GO3" vm="158">
        <f ca="1"/>
        <v>191.05</v>
      </c>
      <c r="GP3" vm="159">
        <f ca="1"/>
        <v>196.3</v>
      </c>
      <c r="GQ3" vm="160">
        <f ca="1"/>
        <v>195.85</v>
      </c>
      <c r="GR3" vm="161">
        <f ca="1"/>
        <v>197.2</v>
      </c>
      <c r="GS3" vm="162">
        <f ca="1"/>
        <v>199.65</v>
      </c>
      <c r="GT3" vm="163">
        <f ca="1"/>
        <v>202.45</v>
      </c>
      <c r="GU3" vm="164">
        <f ca="1"/>
        <v>201.1</v>
      </c>
      <c r="GV3" vm="165">
        <f ca="1"/>
        <v>196.75</v>
      </c>
      <c r="GW3" vm="161">
        <f ca="1"/>
        <v>197.2</v>
      </c>
      <c r="GX3" vm="166">
        <f ca="1"/>
        <v>195.4</v>
      </c>
      <c r="GY3" vm="167">
        <f ca="1"/>
        <v>194.4</v>
      </c>
      <c r="GZ3" vm="168">
        <f ca="1"/>
        <v>196.85</v>
      </c>
      <c r="HA3" vm="169">
        <f ca="1"/>
        <v>201.45</v>
      </c>
      <c r="HB3" vm="170">
        <f ca="1"/>
        <v>200.2</v>
      </c>
      <c r="HC3" vm="171">
        <f ca="1"/>
        <v>199.2</v>
      </c>
      <c r="HD3" vm="171">
        <f ca="1"/>
        <v>199.2</v>
      </c>
      <c r="HE3" vm="172">
        <f ca="1"/>
        <v>203.35</v>
      </c>
      <c r="HF3" vm="173">
        <f ca="1"/>
        <v>197.75</v>
      </c>
      <c r="HG3" vm="174">
        <f ca="1"/>
        <v>196.2</v>
      </c>
      <c r="HH3" vm="171">
        <f ca="1"/>
        <v>199.2</v>
      </c>
      <c r="HI3" vm="175">
        <f ca="1"/>
        <v>198.65</v>
      </c>
      <c r="HJ3" vm="176">
        <f ca="1"/>
        <v>193.85</v>
      </c>
      <c r="HK3" vm="159">
        <f ca="1"/>
        <v>196.3</v>
      </c>
      <c r="HL3" vm="177">
        <f ca="1"/>
        <v>200.55</v>
      </c>
      <c r="HM3" vm="178">
        <f ca="1"/>
        <v>202.55</v>
      </c>
      <c r="HN3" vm="179">
        <f ca="1"/>
        <v>199.55</v>
      </c>
      <c r="HO3" vm="164">
        <f ca="1"/>
        <v>201.1</v>
      </c>
      <c r="HP3" vm="180">
        <f ca="1"/>
        <v>202.9</v>
      </c>
      <c r="HQ3" vm="181">
        <f ca="1"/>
        <v>204.9</v>
      </c>
      <c r="HR3" vm="181">
        <f ca="1"/>
        <v>204.9</v>
      </c>
      <c r="HS3" vm="172">
        <f ca="1"/>
        <v>203.35</v>
      </c>
      <c r="HT3" vm="182">
        <f ca="1"/>
        <v>199.1</v>
      </c>
      <c r="HU3" vm="183">
        <f ca="1"/>
        <v>193.5</v>
      </c>
      <c r="HV3" vm="161">
        <f ca="1"/>
        <v>197.2</v>
      </c>
      <c r="HW3" vm="173">
        <f ca="1"/>
        <v>197.75</v>
      </c>
      <c r="HX3" vm="184">
        <f ca="1"/>
        <v>212</v>
      </c>
      <c r="HY3" vm="185">
        <f ca="1"/>
        <v>209.25</v>
      </c>
      <c r="HZ3" vm="186">
        <f ca="1"/>
        <v>207.35</v>
      </c>
      <c r="IA3" vm="180">
        <f ca="1"/>
        <v>202.9</v>
      </c>
      <c r="IB3" vm="187">
        <f ca="1"/>
        <v>206.7</v>
      </c>
      <c r="IC3" vm="188">
        <f ca="1"/>
        <v>209.15</v>
      </c>
      <c r="ID3" vm="189">
        <f ca="1"/>
        <v>207.8</v>
      </c>
      <c r="IE3" vm="190">
        <f ca="1"/>
        <v>207.25</v>
      </c>
      <c r="IF3" vm="181">
        <f ca="1"/>
        <v>204.9</v>
      </c>
      <c r="IG3" vm="191">
        <f ca="1"/>
        <v>205.45</v>
      </c>
      <c r="IH3" vm="192">
        <f ca="1"/>
        <v>207.15</v>
      </c>
      <c r="II3" vm="193">
        <f ca="1"/>
        <v>201</v>
      </c>
      <c r="IJ3" vm="194">
        <f ca="1"/>
        <v>204.45</v>
      </c>
      <c r="IK3" vm="171">
        <f ca="1"/>
        <v>199.2</v>
      </c>
      <c r="IL3" vm="171">
        <f ca="1"/>
        <v>199.2</v>
      </c>
      <c r="IM3" vm="195">
        <f ca="1"/>
        <v>198.1</v>
      </c>
      <c r="IN3" vm="183">
        <f ca="1"/>
        <v>193.5</v>
      </c>
      <c r="IO3" vm="196">
        <f ca="1"/>
        <v>194.5</v>
      </c>
      <c r="IP3" vm="197">
        <f ca="1"/>
        <v>192.5</v>
      </c>
      <c r="IQ3" vm="198">
        <f ca="1"/>
        <v>191.5</v>
      </c>
      <c r="IR3" vm="199">
        <f ca="1"/>
        <v>190.5</v>
      </c>
      <c r="IS3" vm="199">
        <f ca="1"/>
        <v>190.5</v>
      </c>
      <c r="IT3" vm="200">
        <f ca="1"/>
        <v>195.5</v>
      </c>
      <c r="IU3" vm="201">
        <f ca="1"/>
        <v>196.5</v>
      </c>
    </row>
    <row r="4" spans="1:255" x14ac:dyDescent="0.35">
      <c r="A4" t="str">
        <f ca="1">Dashboard!B8</f>
        <v>AAPL</v>
      </c>
      <c r="B4" cm="1" vm="202">
        <f t="array" aca="1" ref="B4:IP4" ca="1">TRANSPOSE(_xlfn.STOCKHISTORY(A4,TODAY()-365,TODAY(),0,0,1))</f>
        <v>181.46</v>
      </c>
      <c r="C4" vm="203">
        <f ca="1"/>
        <v>172.42</v>
      </c>
      <c r="D4" vm="204">
        <f ca="1"/>
        <v>198.85</v>
      </c>
      <c r="E4" vm="205">
        <f ca="1"/>
        <v>190.42</v>
      </c>
      <c r="F4" vm="206">
        <f ca="1"/>
        <v>198.15</v>
      </c>
      <c r="G4" vm="207">
        <f ca="1"/>
        <v>202.52</v>
      </c>
      <c r="H4" vm="208">
        <f ca="1"/>
        <v>202.14</v>
      </c>
      <c r="I4" vm="209">
        <f ca="1"/>
        <v>194.27</v>
      </c>
      <c r="J4" vm="210">
        <f ca="1"/>
        <v>196.98</v>
      </c>
      <c r="K4" vm="211">
        <f ca="1"/>
        <v>193.16</v>
      </c>
      <c r="L4" vm="212">
        <f ca="1"/>
        <v>199.74</v>
      </c>
      <c r="M4" vm="213">
        <f ca="1"/>
        <v>204.6</v>
      </c>
      <c r="N4" vm="214">
        <f ca="1"/>
        <v>208.37</v>
      </c>
      <c r="O4" vm="215">
        <f ca="1"/>
        <v>209.28</v>
      </c>
      <c r="P4" vm="216">
        <f ca="1"/>
        <v>210.14</v>
      </c>
      <c r="Q4" vm="217">
        <f ca="1"/>
        <v>211.21</v>
      </c>
      <c r="R4" vm="218">
        <f ca="1"/>
        <v>212.5</v>
      </c>
      <c r="S4" vm="219">
        <f ca="1"/>
        <v>213.32</v>
      </c>
      <c r="T4" vm="220">
        <f ca="1"/>
        <v>205.35</v>
      </c>
      <c r="U4" vm="221">
        <f ca="1"/>
        <v>198.89</v>
      </c>
      <c r="V4" vm="222">
        <f ca="1"/>
        <v>198.51</v>
      </c>
      <c r="W4" vm="223">
        <f ca="1"/>
        <v>196.25</v>
      </c>
      <c r="X4" vm="224">
        <f ca="1"/>
        <v>197.49</v>
      </c>
      <c r="Y4" vm="225">
        <f ca="1"/>
        <v>198.53</v>
      </c>
      <c r="Z4" vm="226">
        <f ca="1"/>
        <v>210.79</v>
      </c>
      <c r="AA4" vm="227">
        <f ca="1"/>
        <v>212.93</v>
      </c>
      <c r="AB4" vm="228">
        <f ca="1"/>
        <v>212.33</v>
      </c>
      <c r="AC4" vm="229">
        <f ca="1"/>
        <v>211.45</v>
      </c>
      <c r="AD4" vm="230">
        <f ca="1"/>
        <v>211.26</v>
      </c>
      <c r="AE4" vm="231">
        <f ca="1"/>
        <v>208.78</v>
      </c>
      <c r="AF4" vm="232">
        <f ca="1"/>
        <v>206.86</v>
      </c>
      <c r="AG4" vm="233">
        <f ca="1"/>
        <v>202.09</v>
      </c>
      <c r="AH4" vm="234">
        <f ca="1"/>
        <v>201.36</v>
      </c>
      <c r="AI4" vm="235">
        <f ca="1"/>
        <v>195.27</v>
      </c>
      <c r="AJ4" vm="236">
        <f ca="1"/>
        <v>200.21</v>
      </c>
      <c r="AK4" vm="237">
        <f ca="1"/>
        <v>200.42</v>
      </c>
      <c r="AL4" vm="238">
        <f ca="1"/>
        <v>199.95</v>
      </c>
      <c r="AM4" vm="239">
        <f ca="1"/>
        <v>200.85</v>
      </c>
      <c r="AN4" vm="240">
        <f ca="1"/>
        <v>201.7</v>
      </c>
      <c r="AO4" vm="241">
        <f ca="1"/>
        <v>203.27</v>
      </c>
      <c r="AP4" vm="242">
        <f ca="1"/>
        <v>202.82</v>
      </c>
      <c r="AQ4" vm="243">
        <f ca="1"/>
        <v>200.63</v>
      </c>
      <c r="AR4" vm="244">
        <f ca="1"/>
        <v>203.92</v>
      </c>
      <c r="AS4" vm="169">
        <f ca="1"/>
        <v>201.45</v>
      </c>
      <c r="AT4" vm="245">
        <f ca="1"/>
        <v>202.67</v>
      </c>
      <c r="AU4" vm="246">
        <f ca="1"/>
        <v>198.78</v>
      </c>
      <c r="AV4" vm="171">
        <f ca="1"/>
        <v>199.2</v>
      </c>
      <c r="AW4" vm="247">
        <f ca="1"/>
        <v>196.45</v>
      </c>
      <c r="AX4" vm="248">
        <f ca="1"/>
        <v>198.42</v>
      </c>
      <c r="AY4" vm="249">
        <f ca="1"/>
        <v>195.64</v>
      </c>
      <c r="AZ4" vm="250">
        <f ca="1"/>
        <v>196.58</v>
      </c>
      <c r="BA4" vm="193">
        <f ca="1"/>
        <v>201</v>
      </c>
      <c r="BB4" vm="251">
        <f ca="1"/>
        <v>201.5</v>
      </c>
      <c r="BC4" vm="252">
        <f ca="1"/>
        <v>200.3</v>
      </c>
      <c r="BD4" vm="253">
        <f ca="1"/>
        <v>201.56</v>
      </c>
      <c r="BE4" vm="193">
        <f ca="1"/>
        <v>201</v>
      </c>
      <c r="BF4" vm="254">
        <f ca="1"/>
        <v>201.08</v>
      </c>
      <c r="BG4" vm="255">
        <f ca="1"/>
        <v>205.17</v>
      </c>
      <c r="BH4" vm="256">
        <f ca="1"/>
        <v>207.82</v>
      </c>
      <c r="BI4" vm="257">
        <f ca="1"/>
        <v>212.44</v>
      </c>
      <c r="BJ4" vm="258">
        <f ca="1"/>
        <v>213.55</v>
      </c>
      <c r="BK4" vm="259">
        <f ca="1"/>
        <v>209.95</v>
      </c>
      <c r="BL4" vm="260">
        <f ca="1"/>
        <v>210.01</v>
      </c>
      <c r="BM4" vm="261">
        <f ca="1"/>
        <v>211.14</v>
      </c>
      <c r="BN4" vm="262">
        <f ca="1"/>
        <v>212.41</v>
      </c>
      <c r="BO4" vm="263">
        <f ca="1"/>
        <v>211.16</v>
      </c>
      <c r="BP4" vm="264">
        <f ca="1"/>
        <v>208.62</v>
      </c>
      <c r="BQ4" vm="265">
        <f ca="1"/>
        <v>209.11</v>
      </c>
      <c r="BR4" vm="266">
        <f ca="1"/>
        <v>210.16</v>
      </c>
      <c r="BS4" vm="267">
        <f ca="1"/>
        <v>210.02</v>
      </c>
      <c r="BT4" vm="268">
        <f ca="1"/>
        <v>211.18</v>
      </c>
      <c r="BU4" vm="269">
        <f ca="1"/>
        <v>212.48</v>
      </c>
      <c r="BV4" vm="270">
        <f ca="1"/>
        <v>214.4</v>
      </c>
      <c r="BW4" vm="271">
        <f ca="1"/>
        <v>214.15</v>
      </c>
      <c r="BX4" vm="272">
        <f ca="1"/>
        <v>213.76</v>
      </c>
      <c r="BY4" vm="273">
        <f ca="1"/>
        <v>213.88</v>
      </c>
      <c r="BZ4" vm="274">
        <f ca="1"/>
        <v>214.05</v>
      </c>
      <c r="CA4" vm="275">
        <f ca="1"/>
        <v>211.27</v>
      </c>
      <c r="CB4" vm="276">
        <f ca="1"/>
        <v>209.05</v>
      </c>
      <c r="CC4" vm="277">
        <f ca="1"/>
        <v>207.57</v>
      </c>
      <c r="CD4" vm="278">
        <f ca="1"/>
        <v>202.38</v>
      </c>
      <c r="CE4" vm="172">
        <f ca="1"/>
        <v>203.35</v>
      </c>
      <c r="CF4" vm="279">
        <f ca="1"/>
        <v>202.92</v>
      </c>
      <c r="CG4" vm="280">
        <f ca="1"/>
        <v>213.25</v>
      </c>
      <c r="CH4" vm="281">
        <f ca="1"/>
        <v>220.03</v>
      </c>
      <c r="CI4" vm="282">
        <f ca="1"/>
        <v>229.35</v>
      </c>
      <c r="CJ4" vm="283">
        <f ca="1"/>
        <v>227.18</v>
      </c>
      <c r="CK4" vm="284">
        <f ca="1"/>
        <v>229.65</v>
      </c>
      <c r="CL4" vm="285">
        <f ca="1"/>
        <v>233.33</v>
      </c>
      <c r="CM4" vm="286">
        <f ca="1"/>
        <v>232.78</v>
      </c>
      <c r="CN4" vm="287">
        <f ca="1"/>
        <v>231.59</v>
      </c>
      <c r="CO4" vm="288">
        <f ca="1"/>
        <v>230.89</v>
      </c>
      <c r="CP4" vm="289">
        <f ca="1"/>
        <v>230.56</v>
      </c>
      <c r="CQ4" vm="290">
        <f ca="1"/>
        <v>226.01</v>
      </c>
      <c r="CR4" vm="291">
        <f ca="1"/>
        <v>224.9</v>
      </c>
      <c r="CS4" vm="292">
        <f ca="1"/>
        <v>227.76</v>
      </c>
      <c r="CT4" vm="293">
        <f ca="1"/>
        <v>227.16</v>
      </c>
      <c r="CU4" vm="294">
        <f ca="1"/>
        <v>229.31</v>
      </c>
      <c r="CV4" vm="295">
        <f ca="1"/>
        <v>230.49</v>
      </c>
      <c r="CW4" vm="296">
        <f ca="1"/>
        <v>232.56</v>
      </c>
      <c r="CX4" vm="297">
        <f ca="1"/>
        <v>232.14</v>
      </c>
      <c r="CY4" vm="298">
        <f ca="1"/>
        <v>229.72</v>
      </c>
      <c r="CZ4" vm="299">
        <f ca="1"/>
        <v>238.47</v>
      </c>
      <c r="DA4" vm="300">
        <f ca="1"/>
        <v>239.78</v>
      </c>
      <c r="DB4" vm="301">
        <f ca="1"/>
        <v>239.69</v>
      </c>
      <c r="DC4" vm="302">
        <f ca="1"/>
        <v>237.88</v>
      </c>
      <c r="DD4" vm="303">
        <f ca="1"/>
        <v>234.35</v>
      </c>
      <c r="DE4" vm="304">
        <f ca="1"/>
        <v>226.79</v>
      </c>
      <c r="DF4" vm="305">
        <f ca="1"/>
        <v>230.03</v>
      </c>
      <c r="DG4" vm="306">
        <f ca="1"/>
        <v>234.07</v>
      </c>
      <c r="DH4" vm="307">
        <f ca="1"/>
        <v>236.7</v>
      </c>
      <c r="DI4" vm="308">
        <f ca="1"/>
        <v>238.15</v>
      </c>
      <c r="DJ4" vm="309">
        <f ca="1"/>
        <v>238.99</v>
      </c>
      <c r="DK4" vm="302">
        <f ca="1"/>
        <v>237.88</v>
      </c>
      <c r="DL4" vm="310">
        <f ca="1"/>
        <v>245.5</v>
      </c>
      <c r="DM4" vm="311">
        <f ca="1"/>
        <v>256.08</v>
      </c>
      <c r="DN4" vm="312">
        <f ca="1"/>
        <v>254.43</v>
      </c>
      <c r="DO4" vm="313">
        <f ca="1"/>
        <v>252.31</v>
      </c>
      <c r="DP4" vm="314">
        <f ca="1"/>
        <v>256.87</v>
      </c>
      <c r="DQ4" vm="315">
        <f ca="1"/>
        <v>255.46</v>
      </c>
      <c r="DR4" vm="312">
        <f ca="1"/>
        <v>254.43</v>
      </c>
      <c r="DS4" vm="316">
        <f ca="1"/>
        <v>254.63</v>
      </c>
      <c r="DT4" vm="317">
        <f ca="1"/>
        <v>255.45</v>
      </c>
      <c r="DU4" vm="318">
        <f ca="1"/>
        <v>257.13</v>
      </c>
      <c r="DV4" vm="319">
        <f ca="1"/>
        <v>258.02</v>
      </c>
      <c r="DW4" vm="320">
        <f ca="1"/>
        <v>256.69</v>
      </c>
      <c r="DX4" vm="321">
        <f ca="1"/>
        <v>256.48</v>
      </c>
      <c r="DY4" vm="322">
        <f ca="1"/>
        <v>258.06</v>
      </c>
      <c r="DZ4" vm="323">
        <f ca="1"/>
        <v>254.04</v>
      </c>
      <c r="EA4" vm="324">
        <f ca="1"/>
        <v>245.27</v>
      </c>
      <c r="EB4" vm="325">
        <f ca="1"/>
        <v>247.66</v>
      </c>
      <c r="EC4" vm="326">
        <f ca="1"/>
        <v>247.77</v>
      </c>
      <c r="ED4" vm="327">
        <f ca="1"/>
        <v>249.34</v>
      </c>
      <c r="EE4" vm="328">
        <f ca="1"/>
        <v>247.45</v>
      </c>
      <c r="EF4" vm="329">
        <f ca="1"/>
        <v>252.29</v>
      </c>
      <c r="EG4" vm="330">
        <f ca="1"/>
        <v>262.24</v>
      </c>
      <c r="EH4" vm="331">
        <f ca="1"/>
        <v>262.77</v>
      </c>
      <c r="EI4" vm="332">
        <f ca="1"/>
        <v>258.45</v>
      </c>
      <c r="EJ4" vm="333">
        <f ca="1"/>
        <v>259.58</v>
      </c>
      <c r="EK4" vm="334">
        <f ca="1"/>
        <v>262.82</v>
      </c>
      <c r="EL4" vm="335">
        <f ca="1"/>
        <v>268.81</v>
      </c>
      <c r="EM4" vm="336">
        <f ca="1"/>
        <v>269</v>
      </c>
      <c r="EN4" vm="337">
        <f ca="1"/>
        <v>269.7</v>
      </c>
      <c r="EO4" vm="338">
        <f ca="1"/>
        <v>271.39999999999998</v>
      </c>
      <c r="EP4" vm="339">
        <f ca="1"/>
        <v>270.37</v>
      </c>
      <c r="EQ4" vm="340">
        <f ca="1"/>
        <v>269.05</v>
      </c>
      <c r="ER4" vm="341">
        <f ca="1"/>
        <v>270.04000000000002</v>
      </c>
      <c r="ES4" vm="342">
        <f ca="1"/>
        <v>270.14</v>
      </c>
      <c r="ET4" vm="343">
        <f ca="1"/>
        <v>269.77</v>
      </c>
      <c r="EU4" vm="344">
        <f ca="1"/>
        <v>268.47000000000003</v>
      </c>
      <c r="EV4" vm="345">
        <f ca="1"/>
        <v>269.43</v>
      </c>
      <c r="EW4" vm="346">
        <f ca="1"/>
        <v>275.25</v>
      </c>
      <c r="EX4" vm="347">
        <f ca="1"/>
        <v>273.47000000000003</v>
      </c>
      <c r="EY4" vm="348">
        <f ca="1"/>
        <v>272.95</v>
      </c>
      <c r="EZ4" vm="349">
        <f ca="1"/>
        <v>272.41000000000003</v>
      </c>
      <c r="FA4" vm="350">
        <f ca="1"/>
        <v>267.45999999999998</v>
      </c>
      <c r="FB4" vm="351">
        <f ca="1"/>
        <v>267.44</v>
      </c>
      <c r="FC4" vm="352">
        <f ca="1"/>
        <v>268.56</v>
      </c>
      <c r="FD4" vm="353">
        <f ca="1"/>
        <v>266.25</v>
      </c>
      <c r="FE4" vm="354">
        <f ca="1"/>
        <v>271.49</v>
      </c>
      <c r="FF4" vm="355">
        <f ca="1"/>
        <v>275.92</v>
      </c>
      <c r="FG4" vm="356">
        <f ca="1"/>
        <v>276.97000000000003</v>
      </c>
      <c r="FH4" vm="357">
        <f ca="1"/>
        <v>277.55</v>
      </c>
      <c r="FI4" vm="358">
        <f ca="1"/>
        <v>278.85000000000002</v>
      </c>
      <c r="FJ4" vm="359">
        <f ca="1"/>
        <v>283.10000000000002</v>
      </c>
      <c r="FK4" vm="360">
        <f ca="1"/>
        <v>286.19</v>
      </c>
      <c r="FL4" vm="361">
        <f ca="1"/>
        <v>284.14999999999998</v>
      </c>
      <c r="FM4" vm="362">
        <f ca="1"/>
        <v>280.7</v>
      </c>
      <c r="FN4" vm="363">
        <f ca="1"/>
        <v>278.77999999999997</v>
      </c>
      <c r="FO4" vm="364">
        <f ca="1"/>
        <v>277.89</v>
      </c>
      <c r="FP4" vm="365">
        <f ca="1"/>
        <v>277.18</v>
      </c>
      <c r="FQ4" vm="363">
        <f ca="1"/>
        <v>278.77999999999997</v>
      </c>
      <c r="FR4" vm="366">
        <f ca="1"/>
        <v>278.02999999999997</v>
      </c>
      <c r="FS4" vm="367">
        <f ca="1"/>
        <v>278.27999999999997</v>
      </c>
      <c r="FT4" vm="368">
        <f ca="1"/>
        <v>274.11</v>
      </c>
      <c r="FU4" vm="369">
        <f ca="1"/>
        <v>274.61</v>
      </c>
      <c r="FV4" vm="370">
        <f ca="1"/>
        <v>271.83999999999997</v>
      </c>
      <c r="FW4" vm="371">
        <f ca="1"/>
        <v>272.19</v>
      </c>
      <c r="FX4" vm="372">
        <f ca="1"/>
        <v>273.67</v>
      </c>
      <c r="FY4" vm="373">
        <f ca="1"/>
        <v>270.97000000000003</v>
      </c>
      <c r="FZ4" vm="374">
        <f ca="1"/>
        <v>272.36</v>
      </c>
      <c r="GA4" vm="375">
        <f ca="1"/>
        <v>273.81</v>
      </c>
      <c r="GB4" vm="376">
        <f ca="1"/>
        <v>273.39999999999998</v>
      </c>
      <c r="GC4" vm="377">
        <f ca="1"/>
        <v>273.76</v>
      </c>
      <c r="GD4" vm="378">
        <f ca="1"/>
        <v>273.08</v>
      </c>
      <c r="GE4" vm="379">
        <f ca="1"/>
        <v>271.86</v>
      </c>
      <c r="GF4" vm="380">
        <f ca="1"/>
        <v>271.01</v>
      </c>
      <c r="GG4" vm="381">
        <f ca="1"/>
        <v>267.26</v>
      </c>
      <c r="GH4" vm="382">
        <f ca="1"/>
        <v>262.36</v>
      </c>
      <c r="GI4" vm="383">
        <f ca="1"/>
        <v>260.33</v>
      </c>
      <c r="GJ4" vm="384">
        <f ca="1"/>
        <v>259.04000000000002</v>
      </c>
      <c r="GK4" vm="385">
        <f ca="1"/>
        <v>259.37</v>
      </c>
      <c r="GL4" vm="386">
        <f ca="1"/>
        <v>260.25</v>
      </c>
      <c r="GM4" vm="387">
        <f ca="1"/>
        <v>261.05</v>
      </c>
      <c r="GN4" vm="388">
        <f ca="1"/>
        <v>259.95999999999998</v>
      </c>
      <c r="GO4" vm="389">
        <f ca="1"/>
        <v>258.20999999999998</v>
      </c>
      <c r="GP4" vm="390">
        <f ca="1"/>
        <v>255.53</v>
      </c>
      <c r="GQ4" vm="391">
        <f ca="1"/>
        <v>246.7</v>
      </c>
      <c r="GR4" vm="392">
        <f ca="1"/>
        <v>247.65</v>
      </c>
      <c r="GS4" vm="393">
        <f ca="1"/>
        <v>248.35</v>
      </c>
      <c r="GT4" vm="394">
        <f ca="1"/>
        <v>248.04</v>
      </c>
      <c r="GU4" vm="395">
        <f ca="1"/>
        <v>255.41</v>
      </c>
      <c r="GV4" vm="396">
        <f ca="1"/>
        <v>258.27</v>
      </c>
      <c r="GW4" vm="397">
        <f ca="1"/>
        <v>256.44</v>
      </c>
      <c r="GX4" vm="398">
        <f ca="1"/>
        <v>258.27999999999997</v>
      </c>
      <c r="GY4" vm="399">
        <f ca="1"/>
        <v>259.48</v>
      </c>
      <c r="GZ4" vm="400">
        <f ca="1"/>
        <v>270.01</v>
      </c>
      <c r="HA4" vm="401">
        <f ca="1"/>
        <v>269.48</v>
      </c>
      <c r="HB4" vm="402">
        <f ca="1"/>
        <v>276.49</v>
      </c>
      <c r="HC4" vm="403">
        <f ca="1"/>
        <v>275.91000000000003</v>
      </c>
      <c r="HD4" vm="404">
        <f ca="1"/>
        <v>278.12</v>
      </c>
      <c r="HE4" vm="405">
        <f ca="1"/>
        <v>274.62</v>
      </c>
      <c r="HF4" vm="406">
        <f ca="1"/>
        <v>273.68</v>
      </c>
      <c r="HG4" vm="407">
        <f ca="1"/>
        <v>275.5</v>
      </c>
      <c r="HH4" vm="408">
        <f ca="1"/>
        <v>261.73</v>
      </c>
      <c r="HI4" vm="409">
        <f ca="1"/>
        <v>255.78</v>
      </c>
      <c r="HJ4" vm="410">
        <f ca="1"/>
        <v>263.88</v>
      </c>
      <c r="HK4" vm="411">
        <f ca="1"/>
        <v>264.35000000000002</v>
      </c>
      <c r="HL4" vm="412">
        <f ca="1"/>
        <v>260.58</v>
      </c>
      <c r="HM4" vm="413">
        <f ca="1"/>
        <v>264.58</v>
      </c>
      <c r="HN4" vm="414">
        <f ca="1"/>
        <v>266.18</v>
      </c>
      <c r="HO4" vm="415">
        <f ca="1"/>
        <v>272.14</v>
      </c>
      <c r="HP4" vm="416">
        <f ca="1"/>
        <v>274.23</v>
      </c>
      <c r="HQ4" vm="348">
        <f ca="1"/>
        <v>272.95</v>
      </c>
      <c r="HR4" vm="417">
        <f ca="1"/>
        <v>264.18</v>
      </c>
      <c r="HS4" vm="418">
        <f ca="1"/>
        <v>264.72000000000003</v>
      </c>
      <c r="HT4" vm="419">
        <f ca="1"/>
        <v>263.75</v>
      </c>
      <c r="HU4" vm="420">
        <f ca="1"/>
        <v>262.52</v>
      </c>
      <c r="HV4" vm="421">
        <f ca="1"/>
        <v>260.29000000000002</v>
      </c>
      <c r="HW4" vm="422">
        <f ca="1"/>
        <v>257.45999999999998</v>
      </c>
      <c r="HX4" vm="423">
        <f ca="1"/>
        <v>259.88</v>
      </c>
      <c r="HY4" vm="424">
        <f ca="1"/>
        <v>260.83</v>
      </c>
      <c r="HZ4" vm="425">
        <f ca="1"/>
        <v>260.81</v>
      </c>
      <c r="IA4" vm="426">
        <f ca="1"/>
        <v>255.76</v>
      </c>
      <c r="IB4" vm="427">
        <f ca="1"/>
        <v>250.12</v>
      </c>
      <c r="IC4" vm="428">
        <f ca="1"/>
        <v>252.82</v>
      </c>
      <c r="ID4" vm="429">
        <f ca="1"/>
        <v>254.23</v>
      </c>
      <c r="IE4" vm="430">
        <f ca="1"/>
        <v>249.94</v>
      </c>
      <c r="IF4" vm="431">
        <f ca="1"/>
        <v>248.96</v>
      </c>
      <c r="IG4" vm="432">
        <f ca="1"/>
        <v>247.99</v>
      </c>
      <c r="IH4" vm="433">
        <f ca="1"/>
        <v>251.49</v>
      </c>
      <c r="II4" vm="434">
        <f ca="1"/>
        <v>251.64</v>
      </c>
      <c r="IJ4" vm="435">
        <f ca="1"/>
        <v>252.62</v>
      </c>
      <c r="IK4" vm="436">
        <f ca="1"/>
        <v>252.89</v>
      </c>
      <c r="IL4" vm="437">
        <f ca="1"/>
        <v>248.8</v>
      </c>
      <c r="IM4" vm="438">
        <f ca="1"/>
        <v>246.63</v>
      </c>
      <c r="IN4" vm="439">
        <f ca="1"/>
        <v>253.79</v>
      </c>
      <c r="IO4" vm="440">
        <f ca="1"/>
        <v>255.63</v>
      </c>
      <c r="IP4" vm="441">
        <f ca="1"/>
        <v>255.92</v>
      </c>
    </row>
    <row r="5" spans="1:255" x14ac:dyDescent="0.35">
      <c r="A5" t="str">
        <f ca="1">Dashboard!B9</f>
        <v>AMD</v>
      </c>
      <c r="B5" cm="1" vm="442">
        <f t="array" aca="1" ref="B5:IP5" ca="1">TRANSPOSE(_xlfn.STOCKHISTORY(A5,TODAY()-365,TODAY(),0,0,1))</f>
        <v>83.64</v>
      </c>
      <c r="C5" vm="443">
        <f ca="1"/>
        <v>78.209999999999994</v>
      </c>
      <c r="D5" vm="444">
        <f ca="1"/>
        <v>96.84</v>
      </c>
      <c r="E5" vm="445">
        <f ca="1"/>
        <v>88.7</v>
      </c>
      <c r="F5" vm="446">
        <f ca="1"/>
        <v>93.4</v>
      </c>
      <c r="G5" vm="447">
        <f ca="1"/>
        <v>94.5</v>
      </c>
      <c r="H5" vm="448">
        <f ca="1"/>
        <v>95.29</v>
      </c>
      <c r="I5" vm="449">
        <f ca="1"/>
        <v>88.29</v>
      </c>
      <c r="J5" vm="450">
        <f ca="1"/>
        <v>87.5</v>
      </c>
      <c r="K5" vm="451">
        <f ca="1"/>
        <v>85.56</v>
      </c>
      <c r="L5" vm="452">
        <f ca="1"/>
        <v>86.26</v>
      </c>
      <c r="M5" vm="453">
        <f ca="1"/>
        <v>90.39</v>
      </c>
      <c r="N5" vm="454">
        <f ca="1"/>
        <v>94.47</v>
      </c>
      <c r="O5" vm="455">
        <f ca="1"/>
        <v>96.644999999999996</v>
      </c>
      <c r="P5" vm="456">
        <f ca="1"/>
        <v>96.39</v>
      </c>
      <c r="Q5" vm="457">
        <f ca="1"/>
        <v>96.06</v>
      </c>
      <c r="R5" vm="458">
        <f ca="1"/>
        <v>97.35</v>
      </c>
      <c r="S5" vm="459">
        <f ca="1"/>
        <v>96.65</v>
      </c>
      <c r="T5" vm="460">
        <f ca="1"/>
        <v>98.8</v>
      </c>
      <c r="U5" vm="461">
        <f ca="1"/>
        <v>100.59</v>
      </c>
      <c r="V5" vm="462">
        <f ca="1"/>
        <v>98.62</v>
      </c>
      <c r="W5" vm="463">
        <f ca="1"/>
        <v>100.36</v>
      </c>
      <c r="X5" vm="464">
        <f ca="1"/>
        <v>101.7</v>
      </c>
      <c r="Y5" vm="465">
        <f ca="1"/>
        <v>102.84</v>
      </c>
      <c r="Z5" vm="466">
        <f ca="1"/>
        <v>108.12</v>
      </c>
      <c r="AA5" vm="467">
        <f ca="1"/>
        <v>112.46</v>
      </c>
      <c r="AB5" vm="468">
        <f ca="1"/>
        <v>117.72</v>
      </c>
      <c r="AC5" vm="469">
        <f ca="1"/>
        <v>114.99</v>
      </c>
      <c r="AD5" vm="470">
        <f ca="1"/>
        <v>117.17</v>
      </c>
      <c r="AE5" vm="471">
        <f ca="1"/>
        <v>114.74</v>
      </c>
      <c r="AF5" vm="472">
        <f ca="1"/>
        <v>113.51</v>
      </c>
      <c r="AG5" vm="473">
        <f ca="1"/>
        <v>112.06</v>
      </c>
      <c r="AH5" vm="474">
        <f ca="1"/>
        <v>110.71</v>
      </c>
      <c r="AI5" vm="475">
        <f ca="1"/>
        <v>110.31</v>
      </c>
      <c r="AJ5" vm="476">
        <f ca="1"/>
        <v>114.56</v>
      </c>
      <c r="AK5" vm="477">
        <f ca="1"/>
        <v>112.86</v>
      </c>
      <c r="AL5" vm="478">
        <f ca="1"/>
        <v>113.03</v>
      </c>
      <c r="AM5" vm="479">
        <f ca="1"/>
        <v>110.73</v>
      </c>
      <c r="AN5" vm="480">
        <f ca="1"/>
        <v>114.63</v>
      </c>
      <c r="AO5" vm="481">
        <f ca="1"/>
        <v>117.31</v>
      </c>
      <c r="AP5" vm="482">
        <f ca="1"/>
        <v>118.58</v>
      </c>
      <c r="AQ5" vm="483">
        <f ca="1"/>
        <v>115.69</v>
      </c>
      <c r="AR5" vm="484">
        <f ca="1"/>
        <v>116.19</v>
      </c>
      <c r="AS5" vm="485">
        <f ca="1"/>
        <v>121.73</v>
      </c>
      <c r="AT5" vm="486">
        <f ca="1"/>
        <v>123.24</v>
      </c>
      <c r="AU5" vm="487">
        <f ca="1"/>
        <v>121.14</v>
      </c>
      <c r="AV5" vm="488">
        <f ca="1"/>
        <v>118.5</v>
      </c>
      <c r="AW5" vm="489">
        <f ca="1"/>
        <v>116.16</v>
      </c>
      <c r="AX5" vm="490">
        <f ca="1"/>
        <v>126.39</v>
      </c>
      <c r="AY5" vm="491">
        <f ca="1"/>
        <v>127.1</v>
      </c>
      <c r="AZ5" vm="492">
        <f ca="1"/>
        <v>126.79</v>
      </c>
      <c r="BA5" vm="493">
        <f ca="1"/>
        <v>128.24</v>
      </c>
      <c r="BB5" vm="494">
        <f ca="1"/>
        <v>129.58000000000001</v>
      </c>
      <c r="BC5" vm="495">
        <f ca="1"/>
        <v>138.43</v>
      </c>
      <c r="BD5" vm="496">
        <f ca="1"/>
        <v>143.4</v>
      </c>
      <c r="BE5" vm="497">
        <f ca="1"/>
        <v>143.68</v>
      </c>
      <c r="BF5" vm="498">
        <f ca="1"/>
        <v>143.81</v>
      </c>
      <c r="BG5" vm="499">
        <f ca="1"/>
        <v>141.9</v>
      </c>
      <c r="BH5" vm="500">
        <f ca="1"/>
        <v>136.11000000000001</v>
      </c>
      <c r="BI5" vm="501">
        <f ca="1"/>
        <v>138.52000000000001</v>
      </c>
      <c r="BJ5" vm="502">
        <f ca="1"/>
        <v>137.91</v>
      </c>
      <c r="BK5" vm="503">
        <f ca="1"/>
        <v>134.80000000000001</v>
      </c>
      <c r="BL5" vm="504">
        <f ca="1"/>
        <v>137.82</v>
      </c>
      <c r="BM5" vm="505">
        <f ca="1"/>
        <v>138.41</v>
      </c>
      <c r="BN5" vm="506">
        <f ca="1"/>
        <v>144.16</v>
      </c>
      <c r="BO5" vm="507">
        <f ca="1"/>
        <v>146.41999999999999</v>
      </c>
      <c r="BP5" vm="508">
        <f ca="1"/>
        <v>146.24</v>
      </c>
      <c r="BQ5" vm="509">
        <f ca="1"/>
        <v>155.61000000000001</v>
      </c>
      <c r="BR5" vm="510">
        <f ca="1"/>
        <v>160.08000000000001</v>
      </c>
      <c r="BS5" vm="511">
        <f ca="1"/>
        <v>160.41</v>
      </c>
      <c r="BT5" vm="512">
        <f ca="1"/>
        <v>156.99</v>
      </c>
      <c r="BU5" vm="82">
        <f ca="1"/>
        <v>157</v>
      </c>
      <c r="BV5" vm="513">
        <f ca="1"/>
        <v>154.72</v>
      </c>
      <c r="BW5" vm="514">
        <f ca="1"/>
        <v>158.65</v>
      </c>
      <c r="BX5" vm="515">
        <f ca="1"/>
        <v>162.12</v>
      </c>
      <c r="BY5" vm="516">
        <f ca="1"/>
        <v>166.47</v>
      </c>
      <c r="BZ5" vm="517">
        <f ca="1"/>
        <v>173.66</v>
      </c>
      <c r="CA5" vm="518">
        <f ca="1"/>
        <v>177.44</v>
      </c>
      <c r="CB5" vm="519">
        <f ca="1"/>
        <v>179.51</v>
      </c>
      <c r="CC5" vm="520">
        <f ca="1"/>
        <v>176.31</v>
      </c>
      <c r="CD5" vm="521">
        <f ca="1"/>
        <v>171.7</v>
      </c>
      <c r="CE5" vm="522">
        <f ca="1"/>
        <v>176.78</v>
      </c>
      <c r="CF5" vm="523">
        <f ca="1"/>
        <v>174.31</v>
      </c>
      <c r="CG5" vm="524">
        <f ca="1"/>
        <v>163.12</v>
      </c>
      <c r="CH5" vm="143">
        <f ca="1"/>
        <v>172.4</v>
      </c>
      <c r="CI5" vm="525">
        <f ca="1"/>
        <v>172.76</v>
      </c>
      <c r="CJ5" vm="526">
        <f ca="1"/>
        <v>172.28</v>
      </c>
      <c r="CK5" vm="527">
        <f ca="1"/>
        <v>174.95</v>
      </c>
      <c r="CL5" vm="528">
        <f ca="1"/>
        <v>184.42</v>
      </c>
      <c r="CM5" vm="529">
        <f ca="1"/>
        <v>180.95</v>
      </c>
      <c r="CN5" vm="530">
        <f ca="1"/>
        <v>177.51</v>
      </c>
      <c r="CO5" vm="531">
        <f ca="1"/>
        <v>176.14</v>
      </c>
      <c r="CP5" vm="532">
        <f ca="1"/>
        <v>166.55</v>
      </c>
      <c r="CQ5" vm="533">
        <f ca="1"/>
        <v>165.2</v>
      </c>
      <c r="CR5" vm="534">
        <f ca="1"/>
        <v>163.71</v>
      </c>
      <c r="CS5" vm="535">
        <f ca="1"/>
        <v>167.76</v>
      </c>
      <c r="CT5" vm="536">
        <f ca="1"/>
        <v>163.36000000000001</v>
      </c>
      <c r="CU5" vm="537">
        <f ca="1"/>
        <v>166.62</v>
      </c>
      <c r="CV5" vm="538">
        <f ca="1"/>
        <v>167.13</v>
      </c>
      <c r="CW5" vm="539">
        <f ca="1"/>
        <v>168.58</v>
      </c>
      <c r="CX5" vm="540">
        <f ca="1"/>
        <v>162.63</v>
      </c>
      <c r="CY5" vm="541">
        <f ca="1"/>
        <v>162.32</v>
      </c>
      <c r="CZ5" vm="542">
        <f ca="1"/>
        <v>162.13</v>
      </c>
      <c r="DA5" vm="543">
        <f ca="1"/>
        <v>161.79</v>
      </c>
      <c r="DB5" vm="544">
        <f ca="1"/>
        <v>151.13999999999999</v>
      </c>
      <c r="DC5" vm="545">
        <f ca="1"/>
        <v>151.41</v>
      </c>
      <c r="DD5" vm="546">
        <f ca="1"/>
        <v>155.82</v>
      </c>
      <c r="DE5" vm="547">
        <f ca="1"/>
        <v>159.54</v>
      </c>
      <c r="DF5" vm="548">
        <f ca="1"/>
        <v>155.66999999999999</v>
      </c>
      <c r="DG5" vm="549">
        <f ca="1"/>
        <v>158.57</v>
      </c>
      <c r="DH5" vm="550">
        <f ca="1"/>
        <v>161.16</v>
      </c>
      <c r="DI5" vm="551">
        <f ca="1"/>
        <v>160.46</v>
      </c>
      <c r="DJ5" vm="552">
        <f ca="1"/>
        <v>159.16</v>
      </c>
      <c r="DK5" vm="553">
        <f ca="1"/>
        <v>157.91999999999999</v>
      </c>
      <c r="DL5" vm="554">
        <f ca="1"/>
        <v>157.38999999999999</v>
      </c>
      <c r="DM5" vm="555">
        <f ca="1"/>
        <v>159.79</v>
      </c>
      <c r="DN5" vm="556">
        <f ca="1"/>
        <v>160.9</v>
      </c>
      <c r="DO5" vm="557">
        <f ca="1"/>
        <v>160.88</v>
      </c>
      <c r="DP5" vm="558">
        <f ca="1"/>
        <v>161.27000000000001</v>
      </c>
      <c r="DQ5" vm="559">
        <f ca="1"/>
        <v>159.46</v>
      </c>
      <c r="DR5" vm="560">
        <f ca="1"/>
        <v>161.36000000000001</v>
      </c>
      <c r="DS5" vm="543">
        <f ca="1"/>
        <v>161.79</v>
      </c>
      <c r="DT5" vm="561">
        <f ca="1"/>
        <v>164.01</v>
      </c>
      <c r="DU5" vm="562">
        <f ca="1"/>
        <v>169.73</v>
      </c>
      <c r="DV5" vm="563">
        <f ca="1"/>
        <v>164.67</v>
      </c>
      <c r="DW5" vm="564">
        <f ca="1"/>
        <v>203.71</v>
      </c>
      <c r="DX5" vm="565">
        <f ca="1"/>
        <v>211.51</v>
      </c>
      <c r="DY5" vm="566">
        <f ca="1"/>
        <v>235.56</v>
      </c>
      <c r="DZ5" vm="567">
        <f ca="1"/>
        <v>232.89</v>
      </c>
      <c r="EA5" vm="568">
        <f ca="1"/>
        <v>214.9</v>
      </c>
      <c r="EB5" vm="569">
        <f ca="1"/>
        <v>216.42</v>
      </c>
      <c r="EC5" vm="570">
        <f ca="1"/>
        <v>218.09</v>
      </c>
      <c r="ED5" vm="571">
        <f ca="1"/>
        <v>238.6</v>
      </c>
      <c r="EE5" vm="572">
        <f ca="1"/>
        <v>234.56</v>
      </c>
      <c r="EF5" vm="573">
        <f ca="1"/>
        <v>233.08</v>
      </c>
      <c r="EG5" vm="574">
        <f ca="1"/>
        <v>240.56</v>
      </c>
      <c r="EH5" vm="575">
        <f ca="1"/>
        <v>238.03</v>
      </c>
      <c r="EI5" vm="576">
        <f ca="1"/>
        <v>230.23</v>
      </c>
      <c r="EJ5" vm="577">
        <f ca="1"/>
        <v>234.99</v>
      </c>
      <c r="EK5" vm="578">
        <f ca="1"/>
        <v>252.92</v>
      </c>
      <c r="EL5" vm="579">
        <f ca="1"/>
        <v>259.67</v>
      </c>
      <c r="EM5" vm="580">
        <f ca="1"/>
        <v>258.01</v>
      </c>
      <c r="EN5" vm="581">
        <f ca="1"/>
        <v>264.33</v>
      </c>
      <c r="EO5" vm="582">
        <f ca="1"/>
        <v>254.84</v>
      </c>
      <c r="EP5" vm="583">
        <f ca="1"/>
        <v>256.12</v>
      </c>
      <c r="EQ5" vm="584">
        <f ca="1"/>
        <v>259.64999999999998</v>
      </c>
      <c r="ER5" vm="585">
        <f ca="1"/>
        <v>250.05</v>
      </c>
      <c r="ES5" vm="586">
        <f ca="1"/>
        <v>256.33</v>
      </c>
      <c r="ET5" vm="587">
        <f ca="1"/>
        <v>237.7</v>
      </c>
      <c r="EU5" vm="588">
        <f ca="1"/>
        <v>233.54</v>
      </c>
      <c r="EV5" vm="589">
        <f ca="1"/>
        <v>243.98</v>
      </c>
      <c r="EW5" vm="590">
        <f ca="1"/>
        <v>237.52</v>
      </c>
      <c r="EX5" vm="591">
        <f ca="1"/>
        <v>258.89</v>
      </c>
      <c r="EY5" vm="592">
        <f ca="1"/>
        <v>247.96</v>
      </c>
      <c r="EZ5" vm="593">
        <f ca="1"/>
        <v>246.81</v>
      </c>
      <c r="FA5" vm="594">
        <f ca="1"/>
        <v>240.52</v>
      </c>
      <c r="FB5" vm="595">
        <f ca="1"/>
        <v>230.29</v>
      </c>
      <c r="FC5" vm="596">
        <f ca="1"/>
        <v>223.55</v>
      </c>
      <c r="FD5" vm="597">
        <f ca="1"/>
        <v>206.02</v>
      </c>
      <c r="FE5" vm="598">
        <f ca="1"/>
        <v>203.78</v>
      </c>
      <c r="FF5" vm="599">
        <f ca="1"/>
        <v>215.05</v>
      </c>
      <c r="FG5" vm="600">
        <f ca="1"/>
        <v>206.13</v>
      </c>
      <c r="FH5" vm="601">
        <f ca="1"/>
        <v>214.24</v>
      </c>
      <c r="FI5" vm="602">
        <f ca="1"/>
        <v>217.53</v>
      </c>
      <c r="FJ5" vm="603">
        <f ca="1"/>
        <v>219.76</v>
      </c>
      <c r="FK5" vm="604">
        <f ca="1"/>
        <v>215.24</v>
      </c>
      <c r="FL5" vm="605">
        <f ca="1"/>
        <v>217.6</v>
      </c>
      <c r="FM5" vm="606">
        <f ca="1"/>
        <v>215.98</v>
      </c>
      <c r="FN5" vm="607">
        <f ca="1"/>
        <v>217.97</v>
      </c>
      <c r="FO5" vm="608">
        <f ca="1"/>
        <v>221.11</v>
      </c>
      <c r="FP5" vm="609">
        <f ca="1"/>
        <v>221.62</v>
      </c>
      <c r="FQ5" vm="610">
        <f ca="1"/>
        <v>221.42</v>
      </c>
      <c r="FR5" vm="611">
        <f ca="1"/>
        <v>221.43</v>
      </c>
      <c r="FS5" vm="612">
        <f ca="1"/>
        <v>210.78</v>
      </c>
      <c r="FT5" vm="613">
        <f ca="1"/>
        <v>207.58</v>
      </c>
      <c r="FU5" vm="614">
        <f ca="1"/>
        <v>209.17</v>
      </c>
      <c r="FV5" vm="615">
        <f ca="1"/>
        <v>198.11</v>
      </c>
      <c r="FW5" vm="616">
        <f ca="1"/>
        <v>201.06</v>
      </c>
      <c r="FX5" vm="617">
        <f ca="1"/>
        <v>213.43</v>
      </c>
      <c r="FY5" vm="618">
        <f ca="1"/>
        <v>214.95</v>
      </c>
      <c r="FZ5" vm="568">
        <f ca="1"/>
        <v>214.9</v>
      </c>
      <c r="GA5" vm="619">
        <f ca="1"/>
        <v>215.04</v>
      </c>
      <c r="GB5" vm="620">
        <f ca="1"/>
        <v>214.99</v>
      </c>
      <c r="GC5" vm="621">
        <f ca="1"/>
        <v>215.61</v>
      </c>
      <c r="GD5" vm="622">
        <f ca="1"/>
        <v>215.34</v>
      </c>
      <c r="GE5" vm="623">
        <f ca="1"/>
        <v>214.16</v>
      </c>
      <c r="GF5" vm="624">
        <f ca="1"/>
        <v>223.47</v>
      </c>
      <c r="GG5" vm="625">
        <f ca="1"/>
        <v>221.08</v>
      </c>
      <c r="GH5" vm="626">
        <f ca="1"/>
        <v>214.35</v>
      </c>
      <c r="GI5" vm="267">
        <f ca="1"/>
        <v>210.02</v>
      </c>
      <c r="GJ5" vm="627">
        <f ca="1"/>
        <v>204.68</v>
      </c>
      <c r="GK5" vm="628">
        <f ca="1"/>
        <v>203.17</v>
      </c>
      <c r="GL5" vm="629">
        <f ca="1"/>
        <v>207.69</v>
      </c>
      <c r="GM5" vm="630">
        <f ca="1"/>
        <v>220.97</v>
      </c>
      <c r="GN5" vm="631">
        <f ca="1"/>
        <v>223.6</v>
      </c>
      <c r="GO5" vm="632">
        <f ca="1"/>
        <v>227.92</v>
      </c>
      <c r="GP5" vm="633">
        <f ca="1"/>
        <v>231.83</v>
      </c>
      <c r="GQ5" vm="634">
        <f ca="1"/>
        <v>231.92</v>
      </c>
      <c r="GR5" vm="635">
        <f ca="1"/>
        <v>249.8</v>
      </c>
      <c r="GS5" vm="636">
        <f ca="1"/>
        <v>253.73</v>
      </c>
      <c r="GT5" vm="637">
        <f ca="1"/>
        <v>259.68</v>
      </c>
      <c r="GU5" vm="638">
        <f ca="1"/>
        <v>251.31</v>
      </c>
      <c r="GV5" vm="639">
        <f ca="1"/>
        <v>252.03</v>
      </c>
      <c r="GW5" vm="640">
        <f ca="1"/>
        <v>252.74</v>
      </c>
      <c r="GX5" vm="641">
        <f ca="1"/>
        <v>252.18</v>
      </c>
      <c r="GY5" vm="642">
        <f ca="1"/>
        <v>236.73</v>
      </c>
      <c r="GZ5" vm="643">
        <f ca="1"/>
        <v>246.27</v>
      </c>
      <c r="HA5" vm="644">
        <f ca="1"/>
        <v>242.11</v>
      </c>
      <c r="HB5" vm="645">
        <f ca="1"/>
        <v>200.19</v>
      </c>
      <c r="HC5" vm="197">
        <f ca="1"/>
        <v>192.5</v>
      </c>
      <c r="HD5" vm="646">
        <f ca="1"/>
        <v>208.44</v>
      </c>
      <c r="HE5" vm="647">
        <f ca="1"/>
        <v>216</v>
      </c>
      <c r="HF5" vm="648">
        <f ca="1"/>
        <v>213.57</v>
      </c>
      <c r="HG5" vm="649">
        <f ca="1"/>
        <v>213.58</v>
      </c>
      <c r="HH5" vm="650">
        <f ca="1"/>
        <v>205.94</v>
      </c>
      <c r="HI5" vm="651">
        <f ca="1"/>
        <v>207.32</v>
      </c>
      <c r="HJ5" vm="652">
        <f ca="1"/>
        <v>203.08</v>
      </c>
      <c r="HK5" vm="653">
        <f ca="1"/>
        <v>200.12</v>
      </c>
      <c r="HL5" vm="654">
        <f ca="1"/>
        <v>203.37</v>
      </c>
      <c r="HM5" vm="655">
        <f ca="1"/>
        <v>200.15</v>
      </c>
      <c r="HN5" vm="656">
        <f ca="1"/>
        <v>196.6</v>
      </c>
      <c r="HO5" vm="657">
        <f ca="1"/>
        <v>213.84</v>
      </c>
      <c r="HP5" vm="658">
        <f ca="1"/>
        <v>210.86</v>
      </c>
      <c r="HQ5" vm="659">
        <f ca="1"/>
        <v>203.68</v>
      </c>
      <c r="HR5" vm="236">
        <f ca="1"/>
        <v>200.21</v>
      </c>
      <c r="HS5" vm="660">
        <f ca="1"/>
        <v>198.62</v>
      </c>
      <c r="HT5" vm="661">
        <f ca="1"/>
        <v>190.95</v>
      </c>
      <c r="HU5" vm="662">
        <f ca="1"/>
        <v>202.07</v>
      </c>
      <c r="HV5" vm="663">
        <f ca="1"/>
        <v>199.45</v>
      </c>
      <c r="HW5" vm="664">
        <f ca="1"/>
        <v>192.43</v>
      </c>
      <c r="HX5" vm="665">
        <f ca="1"/>
        <v>202.68</v>
      </c>
      <c r="HY5" vm="666">
        <f ca="1"/>
        <v>203.23</v>
      </c>
      <c r="HZ5" vm="667">
        <f ca="1"/>
        <v>204.83</v>
      </c>
      <c r="IA5" vm="668">
        <f ca="1"/>
        <v>197.74</v>
      </c>
      <c r="IB5" vm="669">
        <f ca="1"/>
        <v>193.39</v>
      </c>
      <c r="IC5" vm="250">
        <f ca="1"/>
        <v>196.58</v>
      </c>
      <c r="ID5" vm="670">
        <f ca="1"/>
        <v>196.31</v>
      </c>
      <c r="IE5" vm="671">
        <f ca="1"/>
        <v>199.46</v>
      </c>
      <c r="IF5" vm="672">
        <f ca="1"/>
        <v>205.27</v>
      </c>
      <c r="IG5" vm="673">
        <f ca="1"/>
        <v>201.33</v>
      </c>
      <c r="IH5" vm="665">
        <f ca="1"/>
        <v>202.68</v>
      </c>
      <c r="II5" vm="674">
        <f ca="1"/>
        <v>205.37</v>
      </c>
      <c r="IJ5" vm="675">
        <f ca="1"/>
        <v>220.27</v>
      </c>
      <c r="IK5" vm="676">
        <f ca="1"/>
        <v>203.77</v>
      </c>
      <c r="IL5" vm="677">
        <f ca="1"/>
        <v>201.99</v>
      </c>
      <c r="IM5" vm="678">
        <f ca="1"/>
        <v>196.04</v>
      </c>
      <c r="IN5" vm="679">
        <f ca="1"/>
        <v>203.43</v>
      </c>
      <c r="IO5" vm="680">
        <f ca="1"/>
        <v>210.21</v>
      </c>
      <c r="IP5" vm="681">
        <f ca="1"/>
        <v>217.5</v>
      </c>
    </row>
    <row r="6" spans="1:255" x14ac:dyDescent="0.35">
      <c r="A6" t="str">
        <f ca="1">Dashboard!B10</f>
        <v>AMZN</v>
      </c>
      <c r="B6" cm="1" vm="682">
        <f t="array" aca="1" ref="B6:IP6" ca="1">TRANSPOSE(_xlfn.STOCKHISTORY(A6,TODAY()-365,TODAY(),0,0,1))</f>
        <v>175.26</v>
      </c>
      <c r="C6" vm="683">
        <f ca="1"/>
        <v>170.66</v>
      </c>
      <c r="D6" vm="684">
        <f ca="1"/>
        <v>191.1</v>
      </c>
      <c r="E6" vm="685">
        <f ca="1"/>
        <v>181.22</v>
      </c>
      <c r="F6" vm="686">
        <f ca="1"/>
        <v>184.87</v>
      </c>
      <c r="G6" vm="687">
        <f ca="1"/>
        <v>182.12</v>
      </c>
      <c r="H6" vm="688">
        <f ca="1"/>
        <v>179.59</v>
      </c>
      <c r="I6" vm="689">
        <f ca="1"/>
        <v>174.33</v>
      </c>
      <c r="J6" vm="690">
        <f ca="1"/>
        <v>172.61</v>
      </c>
      <c r="K6" vm="691">
        <f ca="1"/>
        <v>167.32</v>
      </c>
      <c r="L6" vm="692">
        <f ca="1"/>
        <v>173.18</v>
      </c>
      <c r="M6" vm="121">
        <f ca="1"/>
        <v>180.6</v>
      </c>
      <c r="N6" vm="693">
        <f ca="1"/>
        <v>186.54</v>
      </c>
      <c r="O6" vm="694">
        <f ca="1"/>
        <v>188.99</v>
      </c>
      <c r="P6" vm="148">
        <f ca="1"/>
        <v>187.7</v>
      </c>
      <c r="Q6" vm="695">
        <f ca="1"/>
        <v>187.39</v>
      </c>
      <c r="R6" vm="528">
        <f ca="1"/>
        <v>184.42</v>
      </c>
      <c r="S6" vm="696">
        <f ca="1"/>
        <v>190.2</v>
      </c>
      <c r="T6" vm="697">
        <f ca="1"/>
        <v>189.98</v>
      </c>
      <c r="U6" vm="698">
        <f ca="1"/>
        <v>186.35</v>
      </c>
      <c r="V6" vm="699">
        <f ca="1"/>
        <v>185.01</v>
      </c>
      <c r="W6" vm="700">
        <f ca="1"/>
        <v>188.71</v>
      </c>
      <c r="X6" vm="701">
        <f ca="1"/>
        <v>192.08</v>
      </c>
      <c r="Y6" vm="702">
        <f ca="1"/>
        <v>193.06</v>
      </c>
      <c r="Z6" vm="703">
        <f ca="1"/>
        <v>208.64</v>
      </c>
      <c r="AA6" vm="704">
        <f ca="1"/>
        <v>211.37</v>
      </c>
      <c r="AB6" vm="705">
        <f ca="1"/>
        <v>210.25</v>
      </c>
      <c r="AC6" vm="255">
        <f ca="1"/>
        <v>205.17</v>
      </c>
      <c r="AD6" vm="706">
        <f ca="1"/>
        <v>205.59</v>
      </c>
      <c r="AE6" vm="707">
        <f ca="1"/>
        <v>206.16</v>
      </c>
      <c r="AF6" vm="708">
        <f ca="1"/>
        <v>204.07</v>
      </c>
      <c r="AG6" vm="709">
        <f ca="1"/>
        <v>201.12</v>
      </c>
      <c r="AH6" vm="710">
        <f ca="1"/>
        <v>203.1</v>
      </c>
      <c r="AI6" vm="711">
        <f ca="1"/>
        <v>200.99</v>
      </c>
      <c r="AJ6" vm="597">
        <f ca="1"/>
        <v>206.02</v>
      </c>
      <c r="AK6" vm="712">
        <f ca="1"/>
        <v>204.72</v>
      </c>
      <c r="AL6" vm="713">
        <f ca="1"/>
        <v>205.7</v>
      </c>
      <c r="AM6" vm="714">
        <f ca="1"/>
        <v>205.01</v>
      </c>
      <c r="AN6" vm="715">
        <f ca="1"/>
        <v>206.65</v>
      </c>
      <c r="AO6" vm="716">
        <f ca="1"/>
        <v>205.71</v>
      </c>
      <c r="AP6" vm="717">
        <f ca="1"/>
        <v>207.23</v>
      </c>
      <c r="AQ6" vm="718">
        <f ca="1"/>
        <v>207.91</v>
      </c>
      <c r="AR6" vm="648">
        <f ca="1"/>
        <v>213.57</v>
      </c>
      <c r="AS6" vm="719">
        <f ca="1"/>
        <v>216.98</v>
      </c>
      <c r="AT6" vm="720">
        <f ca="1"/>
        <v>217.61</v>
      </c>
      <c r="AU6" vm="721">
        <f ca="1"/>
        <v>213.2</v>
      </c>
      <c r="AV6" vm="722">
        <f ca="1"/>
        <v>213.24</v>
      </c>
      <c r="AW6" vm="723">
        <f ca="1"/>
        <v>212.1</v>
      </c>
      <c r="AX6" vm="724">
        <f ca="1"/>
        <v>216.1</v>
      </c>
      <c r="AY6" vm="725">
        <f ca="1"/>
        <v>214.82</v>
      </c>
      <c r="AZ6" vm="726">
        <f ca="1"/>
        <v>212.52</v>
      </c>
      <c r="BA6" vm="727">
        <f ca="1"/>
        <v>209.69</v>
      </c>
      <c r="BB6" vm="728">
        <f ca="1"/>
        <v>208.47</v>
      </c>
      <c r="BC6" vm="729">
        <f ca="1"/>
        <v>212.77</v>
      </c>
      <c r="BD6" vm="730">
        <f ca="1"/>
        <v>211.99</v>
      </c>
      <c r="BE6" vm="731">
        <f ca="1"/>
        <v>217.12</v>
      </c>
      <c r="BF6" vm="732">
        <f ca="1"/>
        <v>223.3</v>
      </c>
      <c r="BG6" vm="733">
        <f ca="1"/>
        <v>219.39</v>
      </c>
      <c r="BH6" vm="734">
        <f ca="1"/>
        <v>220.46</v>
      </c>
      <c r="BI6" vm="735">
        <f ca="1"/>
        <v>219.92</v>
      </c>
      <c r="BJ6" vm="736">
        <f ca="1"/>
        <v>223.41</v>
      </c>
      <c r="BK6" vm="624">
        <f ca="1"/>
        <v>223.47</v>
      </c>
      <c r="BL6" vm="737">
        <f ca="1"/>
        <v>219.36</v>
      </c>
      <c r="BM6" vm="738">
        <f ca="1"/>
        <v>222.54</v>
      </c>
      <c r="BN6" vm="739">
        <f ca="1"/>
        <v>222.26</v>
      </c>
      <c r="BO6" vm="740">
        <f ca="1"/>
        <v>225.02</v>
      </c>
      <c r="BP6" vm="741">
        <f ca="1"/>
        <v>225.69</v>
      </c>
      <c r="BQ6" vm="742">
        <f ca="1"/>
        <v>226.35</v>
      </c>
      <c r="BR6" vm="743">
        <f ca="1"/>
        <v>223.19</v>
      </c>
      <c r="BS6" vm="744">
        <f ca="1"/>
        <v>223.88</v>
      </c>
      <c r="BT6" vm="745">
        <f ca="1"/>
        <v>226.13</v>
      </c>
      <c r="BU6" vm="746">
        <f ca="1"/>
        <v>229.3</v>
      </c>
      <c r="BV6" vm="747">
        <f ca="1"/>
        <v>227.47</v>
      </c>
      <c r="BW6" vm="748">
        <f ca="1"/>
        <v>228.29</v>
      </c>
      <c r="BX6" vm="749">
        <f ca="1"/>
        <v>232.23</v>
      </c>
      <c r="BY6" vm="750">
        <f ca="1"/>
        <v>231.44</v>
      </c>
      <c r="BZ6" vm="751">
        <f ca="1"/>
        <v>232.79</v>
      </c>
      <c r="CA6" vm="752">
        <f ca="1"/>
        <v>231.01</v>
      </c>
      <c r="CB6" vm="753">
        <f ca="1"/>
        <v>230.19</v>
      </c>
      <c r="CC6" vm="754">
        <f ca="1"/>
        <v>234.11</v>
      </c>
      <c r="CD6" vm="755">
        <f ca="1"/>
        <v>214.75</v>
      </c>
      <c r="CE6" vm="756">
        <f ca="1"/>
        <v>211.65</v>
      </c>
      <c r="CF6" vm="757">
        <f ca="1"/>
        <v>213.75</v>
      </c>
      <c r="CG6" vm="758">
        <f ca="1"/>
        <v>222.31</v>
      </c>
      <c r="CH6" vm="759">
        <f ca="1"/>
        <v>223.13</v>
      </c>
      <c r="CI6" vm="760">
        <f ca="1"/>
        <v>222.69</v>
      </c>
      <c r="CJ6" vm="761">
        <f ca="1"/>
        <v>221.3</v>
      </c>
      <c r="CK6" vm="762">
        <f ca="1"/>
        <v>221.47</v>
      </c>
      <c r="CL6" vm="763">
        <f ca="1"/>
        <v>224.56</v>
      </c>
      <c r="CM6" vm="764">
        <f ca="1"/>
        <v>230.98</v>
      </c>
      <c r="CN6" vm="765">
        <f ca="1"/>
        <v>231.03</v>
      </c>
      <c r="CO6" vm="766">
        <f ca="1"/>
        <v>231.49</v>
      </c>
      <c r="CP6" vm="767">
        <f ca="1"/>
        <v>228.01</v>
      </c>
      <c r="CQ6" vm="768">
        <f ca="1"/>
        <v>223.81</v>
      </c>
      <c r="CR6" vm="769">
        <f ca="1"/>
        <v>221.95</v>
      </c>
      <c r="CS6" vm="770">
        <f ca="1"/>
        <v>228.84</v>
      </c>
      <c r="CT6" vm="771">
        <f ca="1"/>
        <v>227.94</v>
      </c>
      <c r="CU6" vm="772">
        <f ca="1"/>
        <v>228.71</v>
      </c>
      <c r="CV6" vm="773">
        <f ca="1"/>
        <v>229.12</v>
      </c>
      <c r="CW6" vm="774">
        <f ca="1"/>
        <v>231.6</v>
      </c>
      <c r="CX6" vm="775">
        <f ca="1"/>
        <v>229</v>
      </c>
      <c r="CY6" vm="776">
        <f ca="1"/>
        <v>225.34</v>
      </c>
      <c r="CZ6" vm="777">
        <f ca="1"/>
        <v>225.99</v>
      </c>
      <c r="DA6" vm="778">
        <f ca="1"/>
        <v>235.68</v>
      </c>
      <c r="DB6" vm="779">
        <f ca="1"/>
        <v>232.33</v>
      </c>
      <c r="DC6" vm="780">
        <f ca="1"/>
        <v>235.84</v>
      </c>
      <c r="DD6" vm="781">
        <f ca="1"/>
        <v>238.24</v>
      </c>
      <c r="DE6" vm="782">
        <f ca="1"/>
        <v>230.33</v>
      </c>
      <c r="DF6" vm="783">
        <f ca="1"/>
        <v>229.95</v>
      </c>
      <c r="DG6" vm="784">
        <f ca="1"/>
        <v>228.15</v>
      </c>
      <c r="DH6" vm="785">
        <f ca="1"/>
        <v>231.43</v>
      </c>
      <c r="DI6" vm="786">
        <f ca="1"/>
        <v>234.05</v>
      </c>
      <c r="DJ6" vm="787">
        <f ca="1"/>
        <v>231.62</v>
      </c>
      <c r="DK6" vm="788">
        <f ca="1"/>
        <v>231.23</v>
      </c>
      <c r="DL6" vm="789">
        <f ca="1"/>
        <v>231.48</v>
      </c>
      <c r="DM6" vm="790">
        <f ca="1"/>
        <v>227.63</v>
      </c>
      <c r="DN6" vm="791">
        <f ca="1"/>
        <v>220.71</v>
      </c>
      <c r="DO6" vm="792">
        <f ca="1"/>
        <v>220.21</v>
      </c>
      <c r="DP6" vm="793">
        <f ca="1"/>
        <v>218.15</v>
      </c>
      <c r="DQ6" vm="794">
        <f ca="1"/>
        <v>219.78</v>
      </c>
      <c r="DR6" vm="795">
        <f ca="1"/>
        <v>222.17</v>
      </c>
      <c r="DS6" vm="796">
        <f ca="1"/>
        <v>219.57</v>
      </c>
      <c r="DT6" vm="797">
        <f ca="1"/>
        <v>220.63</v>
      </c>
      <c r="DU6" vm="798">
        <f ca="1"/>
        <v>222.41</v>
      </c>
      <c r="DV6" vm="799">
        <f ca="1"/>
        <v>219.51</v>
      </c>
      <c r="DW6" vm="800">
        <f ca="1"/>
        <v>220.9</v>
      </c>
      <c r="DX6" vm="801">
        <f ca="1"/>
        <v>221.78</v>
      </c>
      <c r="DY6" vm="802">
        <f ca="1"/>
        <v>225.22</v>
      </c>
      <c r="DZ6" vm="803">
        <f ca="1"/>
        <v>227.74</v>
      </c>
      <c r="EA6" vm="804">
        <f ca="1"/>
        <v>216.37</v>
      </c>
      <c r="EB6" vm="805">
        <f ca="1"/>
        <v>220.07</v>
      </c>
      <c r="EC6" vm="806">
        <f ca="1"/>
        <v>216.39</v>
      </c>
      <c r="ED6" vm="807">
        <f ca="1"/>
        <v>215.57</v>
      </c>
      <c r="EE6" vm="808">
        <f ca="1"/>
        <v>214.47</v>
      </c>
      <c r="EF6" vm="809">
        <f ca="1"/>
        <v>213.04</v>
      </c>
      <c r="EG6" vm="810">
        <f ca="1"/>
        <v>216.48</v>
      </c>
      <c r="EH6" vm="811">
        <f ca="1"/>
        <v>222.03</v>
      </c>
      <c r="EI6" vm="812">
        <f ca="1"/>
        <v>217.95</v>
      </c>
      <c r="EJ6" vm="813">
        <f ca="1"/>
        <v>221.09</v>
      </c>
      <c r="EK6" vm="814">
        <f ca="1"/>
        <v>224.21</v>
      </c>
      <c r="EL6" vm="815">
        <f ca="1"/>
        <v>226.97</v>
      </c>
      <c r="EM6" vm="816">
        <f ca="1"/>
        <v>229.25</v>
      </c>
      <c r="EN6" vm="817">
        <f ca="1"/>
        <v>230.3</v>
      </c>
      <c r="EO6" vm="818">
        <f ca="1"/>
        <v>222.86</v>
      </c>
      <c r="EP6" vm="819">
        <f ca="1"/>
        <v>244.22</v>
      </c>
      <c r="EQ6" vm="820">
        <f ca="1"/>
        <v>254</v>
      </c>
      <c r="ER6" vm="821">
        <f ca="1"/>
        <v>249.32</v>
      </c>
      <c r="ES6" vm="822">
        <f ca="1"/>
        <v>250.2</v>
      </c>
      <c r="ET6" vm="823">
        <f ca="1"/>
        <v>243.04</v>
      </c>
      <c r="EU6" vm="824">
        <f ca="1"/>
        <v>244.41</v>
      </c>
      <c r="EV6" vm="825">
        <f ca="1"/>
        <v>248.4</v>
      </c>
      <c r="EW6" vm="826">
        <f ca="1"/>
        <v>249.1</v>
      </c>
      <c r="EX6" vm="827">
        <f ca="1"/>
        <v>244.2</v>
      </c>
      <c r="EY6" vm="828">
        <f ca="1"/>
        <v>237.58</v>
      </c>
      <c r="EZ6" vm="829">
        <f ca="1"/>
        <v>234.69</v>
      </c>
      <c r="FA6" vm="830">
        <f ca="1"/>
        <v>232.87</v>
      </c>
      <c r="FB6" vm="831">
        <f ca="1"/>
        <v>222.55</v>
      </c>
      <c r="FC6" vm="760">
        <f ca="1"/>
        <v>222.69</v>
      </c>
      <c r="FD6" vm="832">
        <f ca="1"/>
        <v>217.14</v>
      </c>
      <c r="FE6" vm="833">
        <f ca="1"/>
        <v>220.69</v>
      </c>
      <c r="FF6" vm="834">
        <f ca="1"/>
        <v>226.28</v>
      </c>
      <c r="FG6" vm="835">
        <f ca="1"/>
        <v>229.67</v>
      </c>
      <c r="FH6" vm="836">
        <f ca="1"/>
        <v>229.16</v>
      </c>
      <c r="FI6" vm="837">
        <f ca="1"/>
        <v>233.22</v>
      </c>
      <c r="FJ6" vm="838">
        <f ca="1"/>
        <v>233.88</v>
      </c>
      <c r="FK6" vm="839">
        <f ca="1"/>
        <v>234.42</v>
      </c>
      <c r="FL6" vm="840">
        <f ca="1"/>
        <v>232.38</v>
      </c>
      <c r="FM6" vm="841">
        <f ca="1"/>
        <v>229.11</v>
      </c>
      <c r="FN6" vm="842">
        <f ca="1"/>
        <v>229.53</v>
      </c>
      <c r="FO6" vm="843">
        <f ca="1"/>
        <v>226.89</v>
      </c>
      <c r="FP6" vm="632">
        <f ca="1"/>
        <v>227.92</v>
      </c>
      <c r="FQ6" vm="844">
        <f ca="1"/>
        <v>231.78</v>
      </c>
      <c r="FR6" vm="845">
        <f ca="1"/>
        <v>230.28</v>
      </c>
      <c r="FS6" vm="846">
        <f ca="1"/>
        <v>226.19</v>
      </c>
      <c r="FT6" vm="738">
        <f ca="1"/>
        <v>222.54</v>
      </c>
      <c r="FU6" vm="847">
        <f ca="1"/>
        <v>222.56</v>
      </c>
      <c r="FV6" vm="848">
        <f ca="1"/>
        <v>221.27</v>
      </c>
      <c r="FW6" vm="849">
        <f ca="1"/>
        <v>226.76</v>
      </c>
      <c r="FX6" vm="850">
        <f ca="1"/>
        <v>227.35</v>
      </c>
      <c r="FY6" vm="851">
        <f ca="1"/>
        <v>228.43</v>
      </c>
      <c r="FZ6" vm="297">
        <f ca="1"/>
        <v>232.14</v>
      </c>
      <c r="GA6" vm="840">
        <f ca="1"/>
        <v>232.38</v>
      </c>
      <c r="GB6" vm="852">
        <f ca="1"/>
        <v>232.52</v>
      </c>
      <c r="GC6" vm="853">
        <f ca="1"/>
        <v>232.07</v>
      </c>
      <c r="GD6" vm="854">
        <f ca="1"/>
        <v>232.53</v>
      </c>
      <c r="GE6" vm="855">
        <f ca="1"/>
        <v>230.82</v>
      </c>
      <c r="GF6" vm="856">
        <f ca="1"/>
        <v>226.5</v>
      </c>
      <c r="GG6" vm="857">
        <f ca="1"/>
        <v>233.06</v>
      </c>
      <c r="GH6" vm="858">
        <f ca="1"/>
        <v>240.93</v>
      </c>
      <c r="GI6" vm="859">
        <f ca="1"/>
        <v>241.56</v>
      </c>
      <c r="GJ6" vm="860">
        <f ca="1"/>
        <v>246.29</v>
      </c>
      <c r="GK6" vm="861">
        <f ca="1"/>
        <v>247.38</v>
      </c>
      <c r="GL6" vm="862">
        <f ca="1"/>
        <v>246.47</v>
      </c>
      <c r="GM6" vm="863">
        <f ca="1"/>
        <v>242.6</v>
      </c>
      <c r="GN6" vm="864">
        <f ca="1"/>
        <v>236.65</v>
      </c>
      <c r="GO6" vm="865">
        <f ca="1"/>
        <v>238.18</v>
      </c>
      <c r="GP6" vm="866">
        <f ca="1"/>
        <v>239.12</v>
      </c>
      <c r="GQ6" vm="867">
        <f ca="1"/>
        <v>231</v>
      </c>
      <c r="GR6" vm="868">
        <f ca="1"/>
        <v>231.31</v>
      </c>
      <c r="GS6" vm="869">
        <f ca="1"/>
        <v>234.34</v>
      </c>
      <c r="GT6" vm="870">
        <f ca="1"/>
        <v>239.16</v>
      </c>
      <c r="GU6" vm="871">
        <f ca="1"/>
        <v>238.42</v>
      </c>
      <c r="GV6" vm="872">
        <f ca="1"/>
        <v>244.68</v>
      </c>
      <c r="GW6" vm="873">
        <f ca="1"/>
        <v>243.01</v>
      </c>
      <c r="GX6" vm="874">
        <f ca="1"/>
        <v>241.73</v>
      </c>
      <c r="GY6" vm="875">
        <f ca="1"/>
        <v>239.3</v>
      </c>
      <c r="GZ6" vm="876">
        <f ca="1"/>
        <v>242.96</v>
      </c>
      <c r="HA6" vm="877">
        <f ca="1"/>
        <v>238.62</v>
      </c>
      <c r="HB6" vm="878">
        <f ca="1"/>
        <v>232.99</v>
      </c>
      <c r="HC6" vm="760">
        <f ca="1"/>
        <v>222.69</v>
      </c>
      <c r="HD6" vm="879">
        <f ca="1"/>
        <v>210.32</v>
      </c>
      <c r="HE6" vm="880">
        <f ca="1"/>
        <v>208.72</v>
      </c>
      <c r="HF6" vm="881">
        <f ca="1"/>
        <v>206.96</v>
      </c>
      <c r="HG6" vm="882">
        <f ca="1"/>
        <v>204.08</v>
      </c>
      <c r="HH6" vm="883">
        <f ca="1"/>
        <v>199.6</v>
      </c>
      <c r="HI6" vm="884">
        <f ca="1"/>
        <v>198.79</v>
      </c>
      <c r="HJ6" vm="885">
        <f ca="1"/>
        <v>201.15</v>
      </c>
      <c r="HK6" vm="886">
        <f ca="1"/>
        <v>204.79</v>
      </c>
      <c r="HL6" vm="887">
        <f ca="1"/>
        <v>204.86</v>
      </c>
      <c r="HM6" vm="888">
        <f ca="1"/>
        <v>210.11</v>
      </c>
      <c r="HN6" vm="672">
        <f ca="1"/>
        <v>205.27</v>
      </c>
      <c r="HO6" vm="889">
        <f ca="1"/>
        <v>208.56</v>
      </c>
      <c r="HP6" vm="890">
        <f ca="1"/>
        <v>210.64</v>
      </c>
      <c r="HQ6" vm="891">
        <f ca="1"/>
        <v>207.92</v>
      </c>
      <c r="HR6" vm="892">
        <f ca="1"/>
        <v>210</v>
      </c>
      <c r="HS6" vm="893">
        <f ca="1"/>
        <v>208.39</v>
      </c>
      <c r="HT6" vm="894">
        <f ca="1"/>
        <v>208.73</v>
      </c>
      <c r="HU6" vm="895">
        <f ca="1"/>
        <v>216.82</v>
      </c>
      <c r="HV6" vm="896">
        <f ca="1"/>
        <v>218.94</v>
      </c>
      <c r="HW6" vm="897">
        <f ca="1"/>
        <v>213.21</v>
      </c>
      <c r="HX6" vm="898">
        <f ca="1"/>
        <v>213.49</v>
      </c>
      <c r="HY6" vm="899">
        <f ca="1"/>
        <v>214.33</v>
      </c>
      <c r="HZ6" vm="900">
        <f ca="1"/>
        <v>212.65</v>
      </c>
      <c r="IA6" vm="901">
        <f ca="1"/>
        <v>209.53</v>
      </c>
      <c r="IB6" vm="902">
        <f ca="1"/>
        <v>207.67</v>
      </c>
      <c r="IC6" vm="903">
        <f ca="1"/>
        <v>211.74</v>
      </c>
      <c r="ID6" vm="904">
        <f ca="1"/>
        <v>215.2</v>
      </c>
      <c r="IE6" vm="905">
        <f ca="1"/>
        <v>209.87</v>
      </c>
      <c r="IF6" vm="906">
        <f ca="1"/>
        <v>208.76</v>
      </c>
      <c r="IG6" vm="674">
        <f ca="1"/>
        <v>205.37</v>
      </c>
      <c r="IH6" vm="216">
        <f ca="1"/>
        <v>210.14</v>
      </c>
      <c r="II6" vm="907">
        <f ca="1"/>
        <v>207.24</v>
      </c>
      <c r="IJ6" vm="908">
        <f ca="1"/>
        <v>211.71</v>
      </c>
      <c r="IK6" vm="909">
        <f ca="1"/>
        <v>207.54</v>
      </c>
      <c r="IL6" vm="910">
        <f ca="1"/>
        <v>199.34</v>
      </c>
      <c r="IM6" vm="911">
        <f ca="1"/>
        <v>200.95</v>
      </c>
      <c r="IN6" vm="912">
        <f ca="1"/>
        <v>208.27</v>
      </c>
      <c r="IO6" vm="913">
        <f ca="1"/>
        <v>210.57</v>
      </c>
      <c r="IP6" vm="914">
        <f ca="1"/>
        <v>209.77</v>
      </c>
    </row>
    <row r="7" spans="1:255" x14ac:dyDescent="0.35">
      <c r="A7" t="str">
        <f ca="1">Dashboard!B11</f>
        <v>BA</v>
      </c>
      <c r="B7" cm="1" vm="915">
        <f t="array" aca="1" ref="B7:IU7" ca="1">TRANSPOSE(_xlfn.STOCKHISTORY(A7,TODAY()-365,TODAY(),0,0,1))</f>
        <v>129.79</v>
      </c>
      <c r="C7" vm="916">
        <f ca="1"/>
        <v>145.99</v>
      </c>
      <c r="D7" vm="917">
        <f ca="1"/>
        <v>156.94220000000001</v>
      </c>
      <c r="E7" vm="918">
        <f ca="1"/>
        <v>153</v>
      </c>
      <c r="F7" vm="919">
        <f ca="1"/>
        <v>156.38999999999999</v>
      </c>
      <c r="G7" vm="920">
        <f ca="1"/>
        <v>158.77000000000001</v>
      </c>
      <c r="H7" vm="76">
        <f ca="1"/>
        <v>156.6</v>
      </c>
      <c r="I7" vm="921">
        <f ca="1"/>
        <v>155.47</v>
      </c>
      <c r="J7" vm="922">
        <f ca="1"/>
        <v>163.77000000000001</v>
      </c>
      <c r="K7" vm="923">
        <f ca="1"/>
        <v>160.75</v>
      </c>
      <c r="L7" vm="924">
        <f ca="1"/>
        <v>173.09809999999999</v>
      </c>
      <c r="M7" vm="925">
        <f ca="1"/>
        <v>177.02</v>
      </c>
      <c r="N7" vm="926">
        <f ca="1"/>
        <v>176.83</v>
      </c>
      <c r="O7" vm="927">
        <f ca="1"/>
        <v>181.12</v>
      </c>
      <c r="P7" vm="928">
        <f ca="1"/>
        <v>182.23</v>
      </c>
      <c r="Q7" vm="929">
        <f ca="1"/>
        <v>182.17670000000001</v>
      </c>
      <c r="R7" vm="930">
        <f ca="1"/>
        <v>183.55670000000001</v>
      </c>
      <c r="S7" vm="931">
        <f ca="1"/>
        <v>186.39</v>
      </c>
      <c r="T7" vm="932">
        <f ca="1"/>
        <v>185.85</v>
      </c>
      <c r="U7" vm="933">
        <f ca="1"/>
        <v>184.31</v>
      </c>
      <c r="V7" vm="934">
        <f ca="1"/>
        <v>183.685</v>
      </c>
      <c r="W7" vm="935">
        <f ca="1"/>
        <v>192.25</v>
      </c>
      <c r="X7" vm="936">
        <f ca="1"/>
        <v>194.37</v>
      </c>
      <c r="Y7" vm="937">
        <f ca="1"/>
        <v>198.36070000000001</v>
      </c>
      <c r="Z7" vm="938">
        <f ca="1"/>
        <v>204.0822</v>
      </c>
      <c r="AA7" vm="939">
        <f ca="1"/>
        <v>204.8655</v>
      </c>
      <c r="AB7" vm="940">
        <f ca="1"/>
        <v>207.1</v>
      </c>
      <c r="AC7" vm="941">
        <f ca="1"/>
        <v>205.12049999999999</v>
      </c>
      <c r="AD7" vm="942">
        <f ca="1"/>
        <v>205.0471</v>
      </c>
      <c r="AE7" vm="943">
        <f ca="1"/>
        <v>208.1</v>
      </c>
      <c r="AF7" vm="944">
        <f ca="1"/>
        <v>204.04</v>
      </c>
      <c r="AG7" vm="945">
        <f ca="1"/>
        <v>203.99</v>
      </c>
      <c r="AH7" vm="234">
        <f ca="1"/>
        <v>201.36</v>
      </c>
      <c r="AI7" t="e" vm="40">
        <f ca="1"/>
        <v>#N/A</v>
      </c>
      <c r="AJ7" vm="946">
        <f ca="1"/>
        <v>202.04</v>
      </c>
      <c r="AK7" vm="947">
        <f ca="1"/>
        <v>201.29</v>
      </c>
      <c r="AL7" vm="948">
        <f ca="1"/>
        <v>206.99</v>
      </c>
      <c r="AM7" vm="949">
        <f ca="1"/>
        <v>206.5376</v>
      </c>
      <c r="AN7" vm="950">
        <f ca="1"/>
        <v>208.89</v>
      </c>
      <c r="AO7" vm="951">
        <f ca="1"/>
        <v>215.43</v>
      </c>
      <c r="AP7" vm="952">
        <f ca="1"/>
        <v>212.71</v>
      </c>
      <c r="AQ7" vm="953">
        <f ca="1"/>
        <v>210.72909999999999</v>
      </c>
      <c r="AR7" vm="954">
        <f ca="1"/>
        <v>208.73750000000001</v>
      </c>
      <c r="AS7" vm="955">
        <f ca="1"/>
        <v>213.17</v>
      </c>
      <c r="AT7" vm="956">
        <f ca="1"/>
        <v>214.84</v>
      </c>
      <c r="AU7" vm="957">
        <f ca="1"/>
        <v>212.89930000000001</v>
      </c>
      <c r="AV7" vm="676">
        <f ca="1"/>
        <v>203.77</v>
      </c>
      <c r="AW7" vm="958">
        <f ca="1"/>
        <v>200.24</v>
      </c>
      <c r="AX7" vm="959">
        <f ca="1"/>
        <v>203.03</v>
      </c>
      <c r="AY7" vm="960">
        <f ca="1"/>
        <v>199.29</v>
      </c>
      <c r="AZ7" vm="961">
        <f ca="1"/>
        <v>198.41</v>
      </c>
      <c r="BA7" t="e" vm="40">
        <f ca="1"/>
        <v>#N/A</v>
      </c>
      <c r="BB7" vm="962">
        <f ca="1"/>
        <v>199.5</v>
      </c>
      <c r="BC7" vm="963">
        <f ca="1"/>
        <v>199.19</v>
      </c>
      <c r="BD7" vm="964">
        <f ca="1"/>
        <v>200.58</v>
      </c>
      <c r="BE7" vm="965">
        <f ca="1"/>
        <v>198.73</v>
      </c>
      <c r="BF7" vm="966">
        <f ca="1"/>
        <v>202.48</v>
      </c>
      <c r="BG7" vm="967">
        <f ca="1"/>
        <v>211.53</v>
      </c>
      <c r="BH7" vm="968">
        <f ca="1"/>
        <v>210.95</v>
      </c>
      <c r="BI7" vm="969">
        <f ca="1"/>
        <v>210.55</v>
      </c>
      <c r="BJ7" vm="970">
        <f ca="1"/>
        <v>211.17</v>
      </c>
      <c r="BK7" vm="971">
        <f ca="1"/>
        <v>216.66</v>
      </c>
      <c r="BL7" t="e" vm="40">
        <f ca="1"/>
        <v>#N/A</v>
      </c>
      <c r="BM7" vm="972">
        <f ca="1"/>
        <v>215.9</v>
      </c>
      <c r="BN7" vm="973">
        <f ca="1"/>
        <v>216.23</v>
      </c>
      <c r="BO7" vm="974">
        <f ca="1"/>
        <v>227.45189999999999</v>
      </c>
      <c r="BP7" vm="975">
        <f ca="1"/>
        <v>224.08019999999999</v>
      </c>
      <c r="BQ7" vm="976">
        <f ca="1"/>
        <v>227.68719999999999</v>
      </c>
      <c r="BR7" vm="977">
        <f ca="1"/>
        <v>229.98</v>
      </c>
      <c r="BS7" vm="978">
        <f ca="1"/>
        <v>232.13499999999999</v>
      </c>
      <c r="BT7" vm="979">
        <f ca="1"/>
        <v>229.11500000000001</v>
      </c>
      <c r="BU7" vm="775">
        <f ca="1"/>
        <v>229</v>
      </c>
      <c r="BV7" vm="980">
        <f ca="1"/>
        <v>228.48929999999999</v>
      </c>
      <c r="BW7" vm="981">
        <f ca="1"/>
        <v>230.81</v>
      </c>
      <c r="BX7" vm="982">
        <f ca="1"/>
        <v>226.57</v>
      </c>
      <c r="BY7" vm="983">
        <f ca="1"/>
        <v>231.15</v>
      </c>
      <c r="BZ7" vm="837">
        <f ca="1"/>
        <v>233.22</v>
      </c>
      <c r="CA7" vm="984">
        <f ca="1"/>
        <v>231.51</v>
      </c>
      <c r="CB7" vm="985">
        <f ca="1"/>
        <v>235.29</v>
      </c>
      <c r="CC7" vm="986">
        <f ca="1"/>
        <v>228.2</v>
      </c>
      <c r="CD7" vm="987">
        <f ca="1"/>
        <v>226.98</v>
      </c>
      <c r="CE7" vm="988">
        <f ca="1"/>
        <v>222.81</v>
      </c>
      <c r="CF7" vm="989">
        <f ca="1"/>
        <v>219.88499999999999</v>
      </c>
      <c r="CG7" vm="990">
        <f ca="1"/>
        <v>219.41</v>
      </c>
      <c r="CH7" vm="991">
        <f ca="1"/>
        <v>225.33</v>
      </c>
      <c r="CI7" vm="802">
        <f ca="1"/>
        <v>225.22</v>
      </c>
      <c r="CJ7" vm="992">
        <f ca="1"/>
        <v>225.42</v>
      </c>
      <c r="CK7" vm="993">
        <f ca="1"/>
        <v>229.79</v>
      </c>
      <c r="CL7" vm="994">
        <f ca="1"/>
        <v>226.12350000000001</v>
      </c>
      <c r="CM7" vm="995">
        <f ca="1"/>
        <v>231.11</v>
      </c>
      <c r="CN7" vm="996">
        <f ca="1"/>
        <v>231.35</v>
      </c>
      <c r="CO7" vm="286">
        <f ca="1"/>
        <v>232.78</v>
      </c>
      <c r="CP7" vm="997">
        <f ca="1"/>
        <v>235.4425</v>
      </c>
      <c r="CQ7" vm="998">
        <f ca="1"/>
        <v>230.5872</v>
      </c>
      <c r="CR7" vm="999">
        <f ca="1"/>
        <v>228.62</v>
      </c>
      <c r="CS7" vm="1000">
        <f ca="1"/>
        <v>224.36</v>
      </c>
      <c r="CT7" vm="1001">
        <f ca="1"/>
        <v>225.17</v>
      </c>
      <c r="CU7" vm="1002">
        <f ca="1"/>
        <v>232.11</v>
      </c>
      <c r="CV7" vm="1003">
        <f ca="1"/>
        <v>227.46850000000001</v>
      </c>
      <c r="CW7" vm="1004">
        <f ca="1"/>
        <v>234.0488</v>
      </c>
      <c r="CX7" vm="1005">
        <f ca="1"/>
        <v>234.55</v>
      </c>
      <c r="CY7" vm="1006">
        <f ca="1"/>
        <v>235.72</v>
      </c>
      <c r="CZ7" vm="1007">
        <f ca="1"/>
        <v>234.65</v>
      </c>
      <c r="DA7" t="e" vm="40">
        <f ca="1"/>
        <v>#N/A</v>
      </c>
      <c r="DB7" vm="642">
        <f ca="1"/>
        <v>236.73</v>
      </c>
      <c r="DC7" vm="1008">
        <f ca="1"/>
        <v>231.94</v>
      </c>
      <c r="DD7" vm="1009">
        <f ca="1"/>
        <v>230.9845</v>
      </c>
      <c r="DE7" vm="1010">
        <f ca="1"/>
        <v>226.47</v>
      </c>
      <c r="DF7" vm="816">
        <f ca="1"/>
        <v>229.25</v>
      </c>
      <c r="DG7" vm="284">
        <f ca="1"/>
        <v>229.65</v>
      </c>
      <c r="DH7" vm="1011">
        <f ca="1"/>
        <v>226.83</v>
      </c>
      <c r="DI7" vm="1012">
        <f ca="1"/>
        <v>228.75</v>
      </c>
      <c r="DJ7" vm="1013">
        <f ca="1"/>
        <v>217.16</v>
      </c>
      <c r="DK7" vm="1014">
        <f ca="1"/>
        <v>216.18</v>
      </c>
      <c r="DL7" vm="1015">
        <f ca="1"/>
        <v>214</v>
      </c>
      <c r="DM7" vm="1016">
        <f ca="1"/>
        <v>215.09</v>
      </c>
      <c r="DN7" vm="1017">
        <f ca="1"/>
        <v>215.39</v>
      </c>
      <c r="DO7" vm="1018">
        <f ca="1"/>
        <v>214.7029</v>
      </c>
      <c r="DP7" vm="1019">
        <f ca="1"/>
        <v>212.22</v>
      </c>
      <c r="DQ7" vm="1020">
        <f ca="1"/>
        <v>215.2062</v>
      </c>
      <c r="DR7" vm="1021">
        <f ca="1"/>
        <v>215.48</v>
      </c>
      <c r="DS7" vm="1022">
        <f ca="1"/>
        <v>213.2132</v>
      </c>
      <c r="DT7" vm="1023">
        <f ca="1"/>
        <v>222.5</v>
      </c>
      <c r="DU7" vm="1024">
        <f ca="1"/>
        <v>217.35</v>
      </c>
      <c r="DV7" vm="1025">
        <f ca="1"/>
        <v>214.79</v>
      </c>
      <c r="DW7" vm="1026">
        <f ca="1"/>
        <v>215.22</v>
      </c>
      <c r="DX7" vm="1027">
        <f ca="1"/>
        <v>217.98</v>
      </c>
      <c r="DY7" vm="1028">
        <f ca="1"/>
        <v>217.92</v>
      </c>
      <c r="DZ7" vm="1029">
        <f ca="1"/>
        <v>218.88</v>
      </c>
      <c r="EA7" vm="1030">
        <f ca="1"/>
        <v>219.6</v>
      </c>
      <c r="EB7" vm="1031">
        <f ca="1"/>
        <v>225.54150000000001</v>
      </c>
      <c r="EC7" vm="1032">
        <f ca="1"/>
        <v>217.58</v>
      </c>
      <c r="ED7" vm="1033">
        <f ca="1"/>
        <v>212.27</v>
      </c>
      <c r="EE7" vm="1034">
        <f ca="1"/>
        <v>215.4</v>
      </c>
      <c r="EF7" vm="951">
        <f ca="1"/>
        <v>215.43</v>
      </c>
      <c r="EG7" vm="1035">
        <f ca="1"/>
        <v>215.6</v>
      </c>
      <c r="EH7" vm="1036">
        <f ca="1"/>
        <v>212.16</v>
      </c>
      <c r="EI7" vm="1037">
        <f ca="1"/>
        <v>213.38</v>
      </c>
      <c r="EJ7" vm="1038">
        <f ca="1"/>
        <v>216.96</v>
      </c>
      <c r="EK7" vm="1039">
        <f ca="1"/>
        <v>216.73500000000001</v>
      </c>
      <c r="EL7" vm="1015">
        <f ca="1"/>
        <v>214</v>
      </c>
      <c r="EM7" vm="1040">
        <f ca="1"/>
        <v>218.72499999999999</v>
      </c>
      <c r="EN7" vm="610">
        <f ca="1"/>
        <v>221.42</v>
      </c>
      <c r="EO7" vm="1041">
        <f ca="1"/>
        <v>222.53</v>
      </c>
      <c r="EP7" vm="1042">
        <f ca="1"/>
        <v>223.7</v>
      </c>
      <c r="EQ7" vm="1037">
        <f ca="1"/>
        <v>213.38</v>
      </c>
      <c r="ER7" vm="1043">
        <f ca="1"/>
        <v>202.66499999999999</v>
      </c>
      <c r="ES7" vm="1044">
        <f ca="1"/>
        <v>200.375</v>
      </c>
      <c r="ET7" vm="1045">
        <f ca="1"/>
        <v>204.88570000000001</v>
      </c>
      <c r="EU7" vm="1046">
        <f ca="1"/>
        <v>198.93</v>
      </c>
      <c r="EV7" vm="165">
        <f ca="1"/>
        <v>196.75</v>
      </c>
      <c r="EW7" vm="1047">
        <f ca="1"/>
        <v>196.96</v>
      </c>
      <c r="EX7" vm="1048">
        <f ca="1"/>
        <v>193.4615</v>
      </c>
      <c r="EY7" vm="1049">
        <f ca="1"/>
        <v>194.3058</v>
      </c>
      <c r="EZ7" vm="1050">
        <f ca="1"/>
        <v>195.71129999999999</v>
      </c>
      <c r="FA7" vm="1051">
        <f ca="1"/>
        <v>195.65</v>
      </c>
      <c r="FB7" vm="1052">
        <f ca="1"/>
        <v>194.65</v>
      </c>
      <c r="FC7" vm="1053">
        <f ca="1"/>
        <v>194.12</v>
      </c>
      <c r="FD7" vm="1054">
        <f ca="1"/>
        <v>191.745</v>
      </c>
      <c r="FE7" vm="1055">
        <f ca="1"/>
        <v>190.25</v>
      </c>
      <c r="FF7" vm="1056">
        <f ca="1"/>
        <v>184.2</v>
      </c>
      <c r="FG7" vm="1057">
        <f ca="1"/>
        <v>179.2998</v>
      </c>
      <c r="FH7" vm="1058">
        <f ca="1"/>
        <v>179.57</v>
      </c>
      <c r="FI7" vm="1059">
        <f ca="1"/>
        <v>178.49</v>
      </c>
      <c r="FJ7" vm="1060">
        <f ca="1"/>
        <v>182.41499999999999</v>
      </c>
      <c r="FK7" vm="1061">
        <f ca="1"/>
        <v>187.518</v>
      </c>
      <c r="FL7" t="e" vm="40">
        <f ca="1"/>
        <v>#N/A</v>
      </c>
      <c r="FM7" vm="1062">
        <f ca="1"/>
        <v>189.39</v>
      </c>
      <c r="FN7" vm="1063">
        <f ca="1"/>
        <v>188.1773</v>
      </c>
      <c r="FO7" vm="1064">
        <f ca="1"/>
        <v>203.85</v>
      </c>
      <c r="FP7" vm="1065">
        <f ca="1"/>
        <v>199.35</v>
      </c>
      <c r="FQ7" vm="959">
        <f ca="1"/>
        <v>203.03</v>
      </c>
      <c r="FR7" vm="1066">
        <f ca="1"/>
        <v>201.59</v>
      </c>
      <c r="FS7" vm="1067">
        <f ca="1"/>
        <v>206.04</v>
      </c>
      <c r="FT7" vm="1068">
        <f ca="1"/>
        <v>200.71</v>
      </c>
      <c r="FU7" vm="1069">
        <f ca="1"/>
        <v>199.46950000000001</v>
      </c>
      <c r="FV7" vm="1070">
        <f ca="1"/>
        <v>201.24</v>
      </c>
      <c r="FW7" vm="1071">
        <f ca="1"/>
        <v>204.36869999999999</v>
      </c>
      <c r="FX7" vm="1072">
        <f ca="1"/>
        <v>204.33699999999999</v>
      </c>
      <c r="FY7" vm="1073">
        <f ca="1"/>
        <v>205.85</v>
      </c>
      <c r="FZ7" vm="891">
        <f ca="1"/>
        <v>207.92</v>
      </c>
      <c r="GA7" vm="259">
        <f ca="1"/>
        <v>209.95</v>
      </c>
      <c r="GB7" vm="1074">
        <f ca="1"/>
        <v>215.36</v>
      </c>
      <c r="GC7" vm="1075">
        <f ca="1"/>
        <v>216.02</v>
      </c>
      <c r="GD7" vm="1076">
        <f ca="1"/>
        <v>216.75</v>
      </c>
      <c r="GE7" vm="1077">
        <f ca="1"/>
        <v>218.46690000000001</v>
      </c>
      <c r="GF7" vm="1078">
        <f ca="1"/>
        <v>217.24</v>
      </c>
      <c r="GG7" vm="1079">
        <f ca="1"/>
        <v>221.1</v>
      </c>
      <c r="GH7" vm="1080">
        <f ca="1"/>
        <v>217.26</v>
      </c>
      <c r="GI7" vm="1081">
        <f ca="1"/>
        <v>225.19579999999999</v>
      </c>
      <c r="GJ7" vm="1082">
        <f ca="1"/>
        <v>229.39</v>
      </c>
      <c r="GK7" vm="1083">
        <f ca="1"/>
        <v>230.18</v>
      </c>
      <c r="GL7" vm="783">
        <f ca="1"/>
        <v>229.95</v>
      </c>
      <c r="GM7" vm="1084">
        <f ca="1"/>
        <v>226.43</v>
      </c>
      <c r="GN7" vm="1085">
        <f ca="1"/>
        <v>233.23</v>
      </c>
      <c r="GO7" vm="1086">
        <f ca="1"/>
        <v>239.35</v>
      </c>
      <c r="GP7" vm="1087">
        <f ca="1"/>
        <v>243.49</v>
      </c>
      <c r="GQ7" vm="1088">
        <f ca="1"/>
        <v>241.83</v>
      </c>
      <c r="GR7" vm="1089">
        <f ca="1"/>
        <v>248.01</v>
      </c>
      <c r="GS7" vm="1090">
        <f ca="1"/>
        <v>247.55</v>
      </c>
      <c r="GT7" t="e" vm="40">
        <f ca="1"/>
        <v>#N/A</v>
      </c>
      <c r="GU7" vm="1091">
        <f ca="1"/>
        <v>247.33</v>
      </c>
      <c r="GV7" vm="1092">
        <f ca="1"/>
        <v>247.85</v>
      </c>
      <c r="GW7" vm="1093">
        <f ca="1"/>
        <v>253.61150000000001</v>
      </c>
      <c r="GX7" vm="1094">
        <f ca="1"/>
        <v>252.67</v>
      </c>
      <c r="GY7" vm="1095">
        <f ca="1"/>
        <v>250.19</v>
      </c>
      <c r="GZ7" vm="1096">
        <f ca="1"/>
        <v>246.53</v>
      </c>
      <c r="HA7" vm="1097">
        <f ca="1"/>
        <v>243.05</v>
      </c>
      <c r="HB7" vm="1098">
        <f ca="1"/>
        <v>237.03</v>
      </c>
      <c r="HC7" vm="1099">
        <f ca="1"/>
        <v>230.93960000000001</v>
      </c>
      <c r="HD7" vm="1100">
        <f ca="1"/>
        <v>235.63</v>
      </c>
      <c r="HE7" vm="1101">
        <f ca="1"/>
        <v>230</v>
      </c>
      <c r="HF7" vm="1102">
        <f ca="1"/>
        <v>232.35</v>
      </c>
      <c r="HG7" vm="1103">
        <f ca="1"/>
        <v>239.08</v>
      </c>
      <c r="HH7" vm="1104">
        <f ca="1"/>
        <v>243.61</v>
      </c>
      <c r="HI7" vm="827">
        <f ca="1"/>
        <v>244.2</v>
      </c>
      <c r="HJ7" vm="1105">
        <f ca="1"/>
        <v>241.88</v>
      </c>
      <c r="HK7" vm="1106">
        <f ca="1"/>
        <v>237.97</v>
      </c>
      <c r="HL7" vm="1107">
        <f ca="1"/>
        <v>240.9</v>
      </c>
      <c r="HM7" vm="1108">
        <f ca="1"/>
        <v>241.53</v>
      </c>
      <c r="HN7" t="e" vm="40">
        <f ca="1"/>
        <v>#N/A</v>
      </c>
      <c r="HO7" vm="1109">
        <f ca="1"/>
        <v>242.41</v>
      </c>
      <c r="HP7" vm="1110">
        <f ca="1"/>
        <v>240.25</v>
      </c>
      <c r="HQ7" vm="839">
        <f ca="1"/>
        <v>234.42</v>
      </c>
      <c r="HR7" vm="1111">
        <f ca="1"/>
        <v>233.98</v>
      </c>
      <c r="HS7" vm="1112">
        <f ca="1"/>
        <v>229.6</v>
      </c>
      <c r="HT7" vm="1113">
        <f ca="1"/>
        <v>234.387</v>
      </c>
      <c r="HU7" vm="1114">
        <f ca="1"/>
        <v>229.64</v>
      </c>
      <c r="HV7" vm="1115">
        <f ca="1"/>
        <v>229.22</v>
      </c>
      <c r="HW7" vm="1116">
        <f ca="1"/>
        <v>225</v>
      </c>
      <c r="HX7" vm="1117">
        <f ca="1"/>
        <v>228.7</v>
      </c>
      <c r="HY7" vm="1118">
        <f ca="1"/>
        <v>224.13</v>
      </c>
      <c r="HZ7" vm="293">
        <f ca="1"/>
        <v>227.16</v>
      </c>
      <c r="IA7" vm="1119">
        <f ca="1"/>
        <v>220.81</v>
      </c>
      <c r="IB7" vm="1120">
        <f ca="1"/>
        <v>219.08</v>
      </c>
      <c r="IC7" vm="1121">
        <f ca="1"/>
        <v>221.29</v>
      </c>
      <c r="ID7" vm="1122">
        <f ca="1"/>
        <v>220.26</v>
      </c>
      <c r="IE7" vm="1123">
        <f ca="1"/>
        <v>213.86</v>
      </c>
      <c r="IF7" vm="1124">
        <f ca="1"/>
        <v>204.58</v>
      </c>
      <c r="IG7" vm="1125">
        <f ca="1"/>
        <v>210.2516</v>
      </c>
      <c r="IH7" vm="1126">
        <f ca="1"/>
        <v>213.93</v>
      </c>
      <c r="II7" vm="1127">
        <f ca="1"/>
        <v>211.05</v>
      </c>
      <c r="IJ7" vm="1128">
        <f ca="1"/>
        <v>206.4</v>
      </c>
      <c r="IK7" vm="1129">
        <f ca="1"/>
        <v>201.31</v>
      </c>
      <c r="IL7" vm="209">
        <f ca="1"/>
        <v>194.27</v>
      </c>
      <c r="IM7" vm="1130">
        <f ca="1"/>
        <v>199.64</v>
      </c>
      <c r="IN7" vm="1131">
        <f ca="1"/>
        <v>197</v>
      </c>
      <c r="IO7" vm="1132">
        <f ca="1"/>
        <v>199.83</v>
      </c>
      <c r="IP7" vm="1133">
        <f ca="1"/>
        <v>194.44</v>
      </c>
      <c r="IQ7" vm="1134">
        <f ca="1"/>
        <v>189.43</v>
      </c>
      <c r="IR7" vm="1135">
        <f ca="1"/>
        <v>189.7</v>
      </c>
      <c r="IS7" vm="1136">
        <f ca="1"/>
        <v>197.86</v>
      </c>
      <c r="IT7" vm="1137">
        <f ca="1"/>
        <v>207.95</v>
      </c>
      <c r="IU7" vm="1138">
        <f ca="1"/>
        <v>206.34</v>
      </c>
    </row>
    <row r="8" spans="1:255" x14ac:dyDescent="0.35">
      <c r="A8" t="str">
        <f ca="1">Dashboard!B12</f>
        <v>BLK</v>
      </c>
      <c r="B8" cm="1" vm="1139">
        <f t="array" aca="1" ref="B8:IP8" ca="1">TRANSPOSE(_xlfn.STOCKHISTORY(A8,TODAY()-365,TODAY(),0,0,1))</f>
        <v>817.5</v>
      </c>
      <c r="C8" vm="1140">
        <f ca="1"/>
        <v>815.72</v>
      </c>
      <c r="D8" vm="1141">
        <f ca="1"/>
        <v>897.08</v>
      </c>
      <c r="E8" vm="1142">
        <f ca="1"/>
        <v>858.78</v>
      </c>
      <c r="F8" vm="1143">
        <f ca="1"/>
        <v>878.78</v>
      </c>
      <c r="G8" vm="1144">
        <f ca="1"/>
        <v>889.95</v>
      </c>
      <c r="H8" vm="1145">
        <f ca="1"/>
        <v>888.44</v>
      </c>
      <c r="I8" vm="1146">
        <f ca="1"/>
        <v>865.78</v>
      </c>
      <c r="J8" vm="1147">
        <f ca="1"/>
        <v>875.78</v>
      </c>
      <c r="K8" vm="1148">
        <f ca="1"/>
        <v>854</v>
      </c>
      <c r="L8" vm="1149">
        <f ca="1"/>
        <v>887.22</v>
      </c>
      <c r="M8" vm="1150">
        <f ca="1"/>
        <v>892.54</v>
      </c>
      <c r="N8" vm="1151">
        <f ca="1"/>
        <v>916.26</v>
      </c>
      <c r="O8" vm="1152">
        <f ca="1"/>
        <v>907.69</v>
      </c>
      <c r="P8" vm="1153">
        <f ca="1"/>
        <v>913.74</v>
      </c>
      <c r="Q8" vm="1154">
        <f ca="1"/>
        <v>920.52</v>
      </c>
      <c r="R8" vm="1155">
        <f ca="1"/>
        <v>914.26</v>
      </c>
      <c r="S8" vm="1156">
        <f ca="1"/>
        <v>916.14</v>
      </c>
      <c r="T8" vm="1157">
        <f ca="1"/>
        <v>929.2</v>
      </c>
      <c r="U8" vm="1158">
        <f ca="1"/>
        <v>920.53</v>
      </c>
      <c r="V8" vm="1159">
        <f ca="1"/>
        <v>914.97</v>
      </c>
      <c r="W8" vm="1160">
        <f ca="1"/>
        <v>920.36</v>
      </c>
      <c r="X8" vm="1161">
        <f ca="1"/>
        <v>928.64</v>
      </c>
      <c r="Y8" vm="1162">
        <f ca="1"/>
        <v>923.44</v>
      </c>
      <c r="Z8" vm="1163">
        <f ca="1"/>
        <v>958.03</v>
      </c>
      <c r="AA8" vm="1164">
        <f ca="1"/>
        <v>959.18</v>
      </c>
      <c r="AB8" vm="1165">
        <f ca="1"/>
        <v>967.06</v>
      </c>
      <c r="AC8" vm="1166">
        <f ca="1"/>
        <v>983.08</v>
      </c>
      <c r="AD8" vm="1167">
        <f ca="1"/>
        <v>989.71</v>
      </c>
      <c r="AE8" vm="1168">
        <f ca="1"/>
        <v>993.66</v>
      </c>
      <c r="AF8" vm="1169">
        <f ca="1"/>
        <v>997.71</v>
      </c>
      <c r="AG8" vm="1170">
        <f ca="1"/>
        <v>972.83</v>
      </c>
      <c r="AH8" vm="1171">
        <f ca="1"/>
        <v>969.9</v>
      </c>
      <c r="AI8" vm="1172">
        <f ca="1"/>
        <v>963.18</v>
      </c>
      <c r="AJ8" vm="1173">
        <f ca="1"/>
        <v>981.32</v>
      </c>
      <c r="AK8" vm="1174">
        <f ca="1"/>
        <v>971.28</v>
      </c>
      <c r="AL8" vm="1175">
        <f ca="1"/>
        <v>976.32</v>
      </c>
      <c r="AM8" vm="1176">
        <f ca="1"/>
        <v>979.89</v>
      </c>
      <c r="AN8" vm="1177">
        <f ca="1"/>
        <v>978.07</v>
      </c>
      <c r="AO8" vm="1178">
        <f ca="1"/>
        <v>982.13</v>
      </c>
      <c r="AP8" vm="1179">
        <f ca="1"/>
        <v>988.97</v>
      </c>
      <c r="AQ8" vm="1180">
        <f ca="1"/>
        <v>985.46</v>
      </c>
      <c r="AR8" vm="1181">
        <f ca="1"/>
        <v>989.05</v>
      </c>
      <c r="AS8" vm="1182">
        <f ca="1"/>
        <v>988.84</v>
      </c>
      <c r="AT8" vm="1183">
        <f ca="1"/>
        <v>991.9</v>
      </c>
      <c r="AU8" vm="1184">
        <f ca="1"/>
        <v>993.3</v>
      </c>
      <c r="AV8" vm="1185">
        <f ca="1"/>
        <v>988.25</v>
      </c>
      <c r="AW8" vm="1186">
        <f ca="1"/>
        <v>971.82</v>
      </c>
      <c r="AX8" vm="1187">
        <f ca="1"/>
        <v>982.1</v>
      </c>
      <c r="AY8" vm="1188">
        <f ca="1"/>
        <v>969.18</v>
      </c>
      <c r="AZ8" vm="1189">
        <f ca="1"/>
        <v>979.52</v>
      </c>
      <c r="BA8" vm="1190">
        <f ca="1"/>
        <v>974.44</v>
      </c>
      <c r="BB8" vm="1191">
        <f ca="1"/>
        <v>986.3</v>
      </c>
      <c r="BC8" vm="1192">
        <f ca="1"/>
        <v>1004.97</v>
      </c>
      <c r="BD8" vm="1193">
        <f ca="1"/>
        <v>1018.08</v>
      </c>
      <c r="BE8" vm="1194">
        <f ca="1"/>
        <v>1030.79</v>
      </c>
      <c r="BF8" vm="1195">
        <f ca="1"/>
        <v>1047.82</v>
      </c>
      <c r="BG8" vm="1196">
        <f ca="1"/>
        <v>1049.25</v>
      </c>
      <c r="BH8" vm="1197">
        <f ca="1"/>
        <v>1054.27</v>
      </c>
      <c r="BI8" vm="1198">
        <f ca="1"/>
        <v>1070.57</v>
      </c>
      <c r="BJ8" vm="1199">
        <f ca="1"/>
        <v>1082.1500000000001</v>
      </c>
      <c r="BK8" vm="1200">
        <f ca="1"/>
        <v>1075.97</v>
      </c>
      <c r="BL8" vm="1201">
        <f ca="1"/>
        <v>1075.02</v>
      </c>
      <c r="BM8" vm="1202">
        <f ca="1"/>
        <v>1088.75</v>
      </c>
      <c r="BN8" vm="1203">
        <f ca="1"/>
        <v>1104.05</v>
      </c>
      <c r="BO8" vm="1204">
        <f ca="1"/>
        <v>1101.6400000000001</v>
      </c>
      <c r="BP8" vm="1205">
        <f ca="1"/>
        <v>1111.46</v>
      </c>
      <c r="BQ8" vm="1206">
        <f ca="1"/>
        <v>1046.1600000000001</v>
      </c>
      <c r="BR8" vm="1207">
        <f ca="1"/>
        <v>1082.24</v>
      </c>
      <c r="BS8" vm="1208">
        <f ca="1"/>
        <v>1105.3800000000001</v>
      </c>
      <c r="BT8" vm="1209">
        <f ca="1"/>
        <v>1103.5899999999999</v>
      </c>
      <c r="BU8" vm="1210">
        <f ca="1"/>
        <v>1093.02</v>
      </c>
      <c r="BV8" vm="1211">
        <f ca="1"/>
        <v>1100.3900000000001</v>
      </c>
      <c r="BW8" vm="1212">
        <f ca="1"/>
        <v>1120.3699999999999</v>
      </c>
      <c r="BX8" vm="1213">
        <f ca="1"/>
        <v>1118.3699999999999</v>
      </c>
      <c r="BY8" vm="1214">
        <f ca="1"/>
        <v>1123.28</v>
      </c>
      <c r="BZ8" vm="1215">
        <f ca="1"/>
        <v>1117.82</v>
      </c>
      <c r="CA8" vm="1216">
        <f ca="1"/>
        <v>1121.53</v>
      </c>
      <c r="CB8" vm="1217">
        <f ca="1"/>
        <v>1114.6500000000001</v>
      </c>
      <c r="CC8" vm="1218">
        <f ca="1"/>
        <v>1106.01</v>
      </c>
      <c r="CD8" vm="1219">
        <f ca="1"/>
        <v>1091.8</v>
      </c>
      <c r="CE8" vm="1220">
        <f ca="1"/>
        <v>1116.06</v>
      </c>
      <c r="CF8" vm="1221">
        <f ca="1"/>
        <v>1109.6400000000001</v>
      </c>
      <c r="CG8" vm="1222">
        <f ca="1"/>
        <v>1120.54</v>
      </c>
      <c r="CH8" vm="1223">
        <f ca="1"/>
        <v>1112.83</v>
      </c>
      <c r="CI8" vm="1224">
        <f ca="1"/>
        <v>1124.97</v>
      </c>
      <c r="CJ8" vm="1225">
        <f ca="1"/>
        <v>1127.93</v>
      </c>
      <c r="CK8" vm="1226">
        <f ca="1"/>
        <v>1159.6099999999999</v>
      </c>
      <c r="CL8" vm="1227">
        <f ca="1"/>
        <v>1160.03</v>
      </c>
      <c r="CM8" vm="1228">
        <f ca="1"/>
        <v>1160.1600000000001</v>
      </c>
      <c r="CN8" vm="1229">
        <f ca="1"/>
        <v>1135.01</v>
      </c>
      <c r="CO8" vm="1230">
        <f ca="1"/>
        <v>1136.1199999999999</v>
      </c>
      <c r="CP8" vm="1231">
        <f ca="1"/>
        <v>1128.47</v>
      </c>
      <c r="CQ8" vm="1232">
        <f ca="1"/>
        <v>1128.46</v>
      </c>
      <c r="CR8" vm="1233">
        <f ca="1"/>
        <v>1124.75</v>
      </c>
      <c r="CS8" vm="1234">
        <f ca="1"/>
        <v>1148.17</v>
      </c>
      <c r="CT8" vm="1235">
        <f ca="1"/>
        <v>1137.0999999999999</v>
      </c>
      <c r="CU8" vm="1236">
        <f ca="1"/>
        <v>1139.8</v>
      </c>
      <c r="CV8" vm="1237">
        <f ca="1"/>
        <v>1131.6300000000001</v>
      </c>
      <c r="CW8" vm="1238">
        <f ca="1"/>
        <v>1130.48</v>
      </c>
      <c r="CX8" vm="1239">
        <f ca="1"/>
        <v>1127.1400000000001</v>
      </c>
      <c r="CY8" vm="1240">
        <f ca="1"/>
        <v>1114.77</v>
      </c>
      <c r="CZ8" vm="1241">
        <f ca="1"/>
        <v>1099.49</v>
      </c>
      <c r="DA8" vm="1242">
        <f ca="1"/>
        <v>1108.76</v>
      </c>
      <c r="DB8" vm="1243">
        <f ca="1"/>
        <v>1099.1500000000001</v>
      </c>
      <c r="DC8" vm="1244">
        <f ca="1"/>
        <v>1104.92</v>
      </c>
      <c r="DD8" vm="1245">
        <f ca="1"/>
        <v>1105.67</v>
      </c>
      <c r="DE8" vm="1246">
        <f ca="1"/>
        <v>1102.8900000000001</v>
      </c>
      <c r="DF8" vm="1247">
        <f ca="1"/>
        <v>1134.18</v>
      </c>
      <c r="DG8" vm="1248">
        <f ca="1"/>
        <v>1123.4100000000001</v>
      </c>
      <c r="DH8" vm="1249">
        <f ca="1"/>
        <v>1115.1099999999999</v>
      </c>
      <c r="DI8" vm="1250">
        <f ca="1"/>
        <v>1118.8900000000001</v>
      </c>
      <c r="DJ8" vm="1251">
        <f ca="1"/>
        <v>1131.78</v>
      </c>
      <c r="DK8" vm="1252">
        <f ca="1"/>
        <v>1137.1300000000001</v>
      </c>
      <c r="DL8" vm="1253">
        <f ca="1"/>
        <v>1142.8499999999999</v>
      </c>
      <c r="DM8" vm="1254">
        <f ca="1"/>
        <v>1136.21</v>
      </c>
      <c r="DN8" vm="1255">
        <f ca="1"/>
        <v>1131.75</v>
      </c>
      <c r="DO8" vm="1256">
        <f ca="1"/>
        <v>1127.98</v>
      </c>
      <c r="DP8" vm="1257">
        <f ca="1"/>
        <v>1147.29</v>
      </c>
      <c r="DQ8" vm="1258">
        <f ca="1"/>
        <v>1156.45</v>
      </c>
      <c r="DR8" vm="1259">
        <f ca="1"/>
        <v>1175.56</v>
      </c>
      <c r="DS8" vm="1260">
        <f ca="1"/>
        <v>1165.8699999999999</v>
      </c>
      <c r="DT8" vm="1261">
        <f ca="1"/>
        <v>1141.07</v>
      </c>
      <c r="DU8" vm="1262">
        <f ca="1"/>
        <v>1160.54</v>
      </c>
      <c r="DV8" vm="1263">
        <f ca="1"/>
        <v>1160.69</v>
      </c>
      <c r="DW8" vm="1264">
        <f ca="1"/>
        <v>1179.27</v>
      </c>
      <c r="DX8" vm="1265">
        <f ca="1"/>
        <v>1166.23</v>
      </c>
      <c r="DY8" vm="1266">
        <f ca="1"/>
        <v>1165</v>
      </c>
      <c r="DZ8" vm="1267">
        <f ca="1"/>
        <v>1167.43</v>
      </c>
      <c r="EA8" vm="1268">
        <f ca="1"/>
        <v>1132.3599999999999</v>
      </c>
      <c r="EB8" vm="1269">
        <f ca="1"/>
        <v>1155.1199999999999</v>
      </c>
      <c r="EC8" vm="1270">
        <f ca="1"/>
        <v>1194.26</v>
      </c>
      <c r="ED8" vm="1271">
        <f ca="1"/>
        <v>1202.5899999999999</v>
      </c>
      <c r="EE8" vm="1272">
        <f ca="1"/>
        <v>1171.3599999999999</v>
      </c>
      <c r="EF8" vm="1273">
        <f ca="1"/>
        <v>1161.1600000000001</v>
      </c>
      <c r="EG8" vm="1274">
        <f ca="1"/>
        <v>1160</v>
      </c>
      <c r="EH8" vm="1275">
        <f ca="1"/>
        <v>1130</v>
      </c>
      <c r="EI8" vm="1276">
        <f ca="1"/>
        <v>1129.68</v>
      </c>
      <c r="EJ8" vm="1277">
        <f ca="1"/>
        <v>1125</v>
      </c>
      <c r="EK8" vm="1278">
        <f ca="1"/>
        <v>1136.6300000000001</v>
      </c>
      <c r="EL8" vm="1279">
        <f ca="1"/>
        <v>1131.31</v>
      </c>
      <c r="EM8" vm="1280">
        <f ca="1"/>
        <v>1124.95</v>
      </c>
      <c r="EN8" vm="1281">
        <f ca="1"/>
        <v>1098</v>
      </c>
      <c r="EO8" vm="1282">
        <f ca="1"/>
        <v>1098.05</v>
      </c>
      <c r="EP8" vm="1283">
        <f ca="1"/>
        <v>1082.81</v>
      </c>
      <c r="EQ8" vm="1284">
        <f ca="1"/>
        <v>1068.83</v>
      </c>
      <c r="ER8" vm="1285">
        <f ca="1"/>
        <v>1059.9100000000001</v>
      </c>
      <c r="ES8" vm="1286">
        <f ca="1"/>
        <v>1073.57</v>
      </c>
      <c r="ET8" vm="1287">
        <f ca="1"/>
        <v>1069.44</v>
      </c>
      <c r="EU8" vm="1288">
        <f ca="1"/>
        <v>1082.2</v>
      </c>
      <c r="EV8" vm="1289">
        <f ca="1"/>
        <v>1082.6300000000001</v>
      </c>
      <c r="EW8" vm="1290">
        <f ca="1"/>
        <v>1085.76</v>
      </c>
      <c r="EX8" vm="1291">
        <f ca="1"/>
        <v>1093.93</v>
      </c>
      <c r="EY8" vm="1292">
        <f ca="1"/>
        <v>1069.6500000000001</v>
      </c>
      <c r="EZ8" vm="1293">
        <f ca="1"/>
        <v>1057.94</v>
      </c>
      <c r="FA8" vm="1294">
        <f ca="1"/>
        <v>1023.8</v>
      </c>
      <c r="FB8" vm="1295">
        <f ca="1"/>
        <v>1019.14</v>
      </c>
      <c r="FC8" vm="1296">
        <f ca="1"/>
        <v>1014.68</v>
      </c>
      <c r="FD8" vm="1297">
        <f ca="1"/>
        <v>992.52</v>
      </c>
      <c r="FE8" vm="1298">
        <f ca="1"/>
        <v>1014.72</v>
      </c>
      <c r="FF8" vm="1299">
        <f ca="1"/>
        <v>1019.49</v>
      </c>
      <c r="FG8" vm="1300">
        <f ca="1"/>
        <v>1029.77</v>
      </c>
      <c r="FH8" vm="1301">
        <f ca="1"/>
        <v>1040.06</v>
      </c>
      <c r="FI8" vm="1302">
        <f ca="1"/>
        <v>1047.3</v>
      </c>
      <c r="FJ8" vm="1303">
        <f ca="1"/>
        <v>1039.94</v>
      </c>
      <c r="FK8" vm="1304">
        <f ca="1"/>
        <v>1038.6199999999999</v>
      </c>
      <c r="FL8" vm="1305">
        <f ca="1"/>
        <v>1079.8699999999999</v>
      </c>
      <c r="FM8" vm="1306">
        <f ca="1"/>
        <v>1075.58</v>
      </c>
      <c r="FN8" vm="1307">
        <f ca="1"/>
        <v>1072.1600000000001</v>
      </c>
      <c r="FO8" vm="1308">
        <f ca="1"/>
        <v>1062.02</v>
      </c>
      <c r="FP8" vm="1309">
        <f ca="1"/>
        <v>1071.31</v>
      </c>
      <c r="FQ8" vm="1310">
        <f ca="1"/>
        <v>1083.3599999999999</v>
      </c>
      <c r="FR8" vm="1311">
        <f ca="1"/>
        <v>1101.8399999999999</v>
      </c>
      <c r="FS8" vm="1312">
        <f ca="1"/>
        <v>1089.0899999999999</v>
      </c>
      <c r="FT8" vm="1313">
        <f ca="1"/>
        <v>1082.1600000000001</v>
      </c>
      <c r="FU8" vm="1314">
        <f ca="1"/>
        <v>1068.1400000000001</v>
      </c>
      <c r="FV8" vm="1315">
        <f ca="1"/>
        <v>1065</v>
      </c>
      <c r="FW8" vm="1316">
        <f ca="1"/>
        <v>1064.99</v>
      </c>
      <c r="FX8" vm="1317">
        <f ca="1"/>
        <v>1060.17</v>
      </c>
      <c r="FY8" vm="1318">
        <f ca="1"/>
        <v>1088.21</v>
      </c>
      <c r="FZ8" vm="1319">
        <f ca="1"/>
        <v>1086.55</v>
      </c>
      <c r="GA8" vm="1320">
        <f ca="1"/>
        <v>1088.96</v>
      </c>
      <c r="GB8" vm="1321">
        <f ca="1"/>
        <v>1088.1099999999999</v>
      </c>
      <c r="GC8" vm="1322">
        <f ca="1"/>
        <v>1088.4000000000001</v>
      </c>
      <c r="GD8" vm="1323">
        <f ca="1"/>
        <v>1083.31</v>
      </c>
      <c r="GE8" vm="1324">
        <f ca="1"/>
        <v>1070.3399999999999</v>
      </c>
      <c r="GF8" vm="1325">
        <f ca="1"/>
        <v>1085.06</v>
      </c>
      <c r="GG8" vm="1326">
        <f ca="1"/>
        <v>1119.76</v>
      </c>
      <c r="GH8" vm="1327">
        <f ca="1"/>
        <v>1112.28</v>
      </c>
      <c r="GI8" vm="1328">
        <f ca="1"/>
        <v>1075.0899999999999</v>
      </c>
      <c r="GJ8" vm="1329">
        <f ca="1"/>
        <v>1087.92</v>
      </c>
      <c r="GK8" vm="1330">
        <f ca="1"/>
        <v>1085.0999999999999</v>
      </c>
      <c r="GL8" vm="1331">
        <f ca="1"/>
        <v>1089.26</v>
      </c>
      <c r="GM8" vm="1332">
        <f ca="1"/>
        <v>1089.54</v>
      </c>
      <c r="GN8" vm="1333">
        <f ca="1"/>
        <v>1091.8499999999999</v>
      </c>
      <c r="GO8" vm="1334">
        <f ca="1"/>
        <v>1156.6500000000001</v>
      </c>
      <c r="GP8" vm="1335">
        <f ca="1"/>
        <v>1163.17</v>
      </c>
      <c r="GQ8" vm="1336">
        <f ca="1"/>
        <v>1110.05</v>
      </c>
      <c r="GR8" vm="1337">
        <f ca="1"/>
        <v>1127.8499999999999</v>
      </c>
      <c r="GS8" vm="1338">
        <f ca="1"/>
        <v>1139.72</v>
      </c>
      <c r="GT8" vm="1339">
        <f ca="1"/>
        <v>1129.9100000000001</v>
      </c>
      <c r="GU8" vm="1340">
        <f ca="1"/>
        <v>1121.54</v>
      </c>
      <c r="GV8" vm="1341">
        <f ca="1"/>
        <v>1106.69</v>
      </c>
      <c r="GW8" vm="1342">
        <f ca="1"/>
        <v>1121.67</v>
      </c>
      <c r="GX8" vm="1343">
        <f ca="1"/>
        <v>1127.78</v>
      </c>
      <c r="GY8" vm="1344">
        <f ca="1"/>
        <v>1118.94</v>
      </c>
      <c r="GZ8" vm="1345">
        <f ca="1"/>
        <v>1119.6600000000001</v>
      </c>
      <c r="HA8" vm="1346">
        <f ca="1"/>
        <v>1070.08</v>
      </c>
      <c r="HB8" vm="1347">
        <f ca="1"/>
        <v>1076.1600000000001</v>
      </c>
      <c r="HC8" vm="1348">
        <f ca="1"/>
        <v>1054.8</v>
      </c>
      <c r="HD8" vm="1349">
        <f ca="1"/>
        <v>1056.3800000000001</v>
      </c>
      <c r="HE8" vm="1350">
        <f ca="1"/>
        <v>1079.9000000000001</v>
      </c>
      <c r="HF8" vm="1351">
        <f ca="1"/>
        <v>1087.78</v>
      </c>
      <c r="HG8" vm="1352">
        <f ca="1"/>
        <v>1082.8800000000001</v>
      </c>
      <c r="HH8" vm="1353">
        <f ca="1"/>
        <v>1055.6300000000001</v>
      </c>
      <c r="HI8" vm="1354">
        <f ca="1"/>
        <v>1071.51</v>
      </c>
      <c r="HJ8" vm="1355">
        <f ca="1"/>
        <v>1072.67</v>
      </c>
      <c r="HK8" vm="1356">
        <f ca="1"/>
        <v>1092.26</v>
      </c>
      <c r="HL8" vm="1357">
        <f ca="1"/>
        <v>1081.28</v>
      </c>
      <c r="HM8" vm="1358">
        <f ca="1"/>
        <v>1093.6400000000001</v>
      </c>
      <c r="HN8" vm="1359">
        <f ca="1"/>
        <v>1071.01</v>
      </c>
      <c r="HO8" vm="1360">
        <f ca="1"/>
        <v>1081.05</v>
      </c>
      <c r="HP8" vm="1361">
        <f ca="1"/>
        <v>1093.78</v>
      </c>
      <c r="HQ8" vm="1362">
        <f ca="1"/>
        <v>1090.27</v>
      </c>
      <c r="HR8" vm="1363">
        <f ca="1"/>
        <v>1063.23</v>
      </c>
      <c r="HS8" vm="1364">
        <f ca="1"/>
        <v>1068.31</v>
      </c>
      <c r="HT8" vm="1365">
        <f ca="1"/>
        <v>1052.5899999999999</v>
      </c>
      <c r="HU8" vm="1366">
        <f ca="1"/>
        <v>1049.23</v>
      </c>
      <c r="HV8" vm="1367">
        <f ca="1"/>
        <v>1035</v>
      </c>
      <c r="HW8" vm="1368">
        <f ca="1"/>
        <v>955.45</v>
      </c>
      <c r="HX8" vm="1369">
        <f ca="1"/>
        <v>957.67</v>
      </c>
      <c r="HY8" vm="1370">
        <f ca="1"/>
        <v>967.36</v>
      </c>
      <c r="HZ8" vm="1371">
        <f ca="1"/>
        <v>951.17</v>
      </c>
      <c r="IA8" vm="1372">
        <f ca="1"/>
        <v>922.9</v>
      </c>
      <c r="IB8" vm="1373">
        <f ca="1"/>
        <v>924.11</v>
      </c>
      <c r="IC8" vm="1374">
        <f ca="1"/>
        <v>943.26</v>
      </c>
      <c r="ID8" vm="1375">
        <f ca="1"/>
        <v>971.01</v>
      </c>
      <c r="IE8" vm="1376">
        <f ca="1"/>
        <v>968.31</v>
      </c>
      <c r="IF8" vm="1377">
        <f ca="1"/>
        <v>969.6</v>
      </c>
      <c r="IG8" vm="1378">
        <f ca="1"/>
        <v>957.91</v>
      </c>
      <c r="IH8" vm="1379">
        <f ca="1"/>
        <v>974.58</v>
      </c>
      <c r="II8" vm="1380">
        <f ca="1"/>
        <v>976.06</v>
      </c>
      <c r="IJ8" vm="1381">
        <f ca="1"/>
        <v>981.35</v>
      </c>
      <c r="IK8" vm="1382">
        <f ca="1"/>
        <v>968.46</v>
      </c>
      <c r="IL8" vm="1383">
        <f ca="1"/>
        <v>933.85</v>
      </c>
      <c r="IM8" vm="1384">
        <f ca="1"/>
        <v>934.06</v>
      </c>
      <c r="IN8" vm="1385">
        <f ca="1"/>
        <v>961.71</v>
      </c>
      <c r="IO8" vm="1386">
        <f ca="1"/>
        <v>957.4</v>
      </c>
      <c r="IP8" vm="1387">
        <f ca="1"/>
        <v>966.56</v>
      </c>
    </row>
    <row r="9" spans="1:255" x14ac:dyDescent="0.35">
      <c r="A9" t="str">
        <f ca="1">Dashboard!B13</f>
        <v>C</v>
      </c>
      <c r="B9" cm="1" vm="1388">
        <f t="array" aca="1" ref="B9:IP9" ca="1">TRANSPOSE(_xlfn.STOCKHISTORY(A9,TODAY()-365,TODAY(),0,0,1))</f>
        <v>58.85</v>
      </c>
      <c r="C9" vm="1389">
        <f ca="1"/>
        <v>58.77</v>
      </c>
      <c r="D9" vm="1390">
        <f ca="1"/>
        <v>64.150000000000006</v>
      </c>
      <c r="E9" vm="1391">
        <f ca="1"/>
        <v>61.59</v>
      </c>
      <c r="F9" vm="1392">
        <f ca="1"/>
        <v>61.64</v>
      </c>
      <c r="G9" vm="1393">
        <f ca="1"/>
        <v>63.22</v>
      </c>
      <c r="H9" vm="1394">
        <f ca="1"/>
        <v>64.33</v>
      </c>
      <c r="I9" vm="1395">
        <f ca="1"/>
        <v>62.1</v>
      </c>
      <c r="J9" vm="1396">
        <f ca="1"/>
        <v>63.25</v>
      </c>
      <c r="K9" vm="1397">
        <f ca="1"/>
        <v>62.69</v>
      </c>
      <c r="L9" vm="1398">
        <f ca="1"/>
        <v>64.55</v>
      </c>
      <c r="M9" vm="1399">
        <f ca="1"/>
        <v>66.3</v>
      </c>
      <c r="N9" vm="1400">
        <f ca="1"/>
        <v>68.16</v>
      </c>
      <c r="O9" vm="1401">
        <f ca="1"/>
        <v>68.430000000000007</v>
      </c>
      <c r="P9" vm="1402">
        <f ca="1"/>
        <v>68.28</v>
      </c>
      <c r="Q9" vm="1403">
        <f ca="1"/>
        <v>68.88</v>
      </c>
      <c r="R9" vm="1404">
        <f ca="1"/>
        <v>68.38</v>
      </c>
      <c r="S9" vm="1405">
        <f ca="1"/>
        <v>68.14</v>
      </c>
      <c r="T9" vm="1406">
        <f ca="1"/>
        <v>70.59</v>
      </c>
      <c r="U9" vm="1407">
        <f ca="1"/>
        <v>70.239999999999995</v>
      </c>
      <c r="V9" vm="1408">
        <f ca="1"/>
        <v>69.47</v>
      </c>
      <c r="W9" vm="1409">
        <f ca="1"/>
        <v>70.25</v>
      </c>
      <c r="X9" vm="1410">
        <f ca="1"/>
        <v>71.64</v>
      </c>
      <c r="Y9" vm="1411">
        <f ca="1"/>
        <v>71.45</v>
      </c>
      <c r="Z9" vm="1412">
        <f ca="1"/>
        <v>74.91</v>
      </c>
      <c r="AA9" vm="1413">
        <f ca="1"/>
        <v>75.569999999999993</v>
      </c>
      <c r="AB9" vm="1414">
        <f ca="1"/>
        <v>75.290000000000006</v>
      </c>
      <c r="AC9" vm="1415">
        <f ca="1"/>
        <v>75.959999999999994</v>
      </c>
      <c r="AD9" vm="1416">
        <f ca="1"/>
        <v>75.72</v>
      </c>
      <c r="AE9" vm="1417">
        <f ca="1"/>
        <v>76.13</v>
      </c>
      <c r="AF9" vm="1418">
        <f ca="1"/>
        <v>75.900000000000006</v>
      </c>
      <c r="AG9" vm="1419">
        <f ca="1"/>
        <v>73.42</v>
      </c>
      <c r="AH9" vm="1419">
        <f ca="1"/>
        <v>73.42</v>
      </c>
      <c r="AI9" vm="1420">
        <f ca="1"/>
        <v>73.09</v>
      </c>
      <c r="AJ9" vm="1421">
        <f ca="1"/>
        <v>75.47</v>
      </c>
      <c r="AK9" vm="1422">
        <f ca="1"/>
        <v>75.03</v>
      </c>
      <c r="AL9" vm="1423">
        <f ca="1"/>
        <v>75.53</v>
      </c>
      <c r="AM9" vm="1424">
        <f ca="1"/>
        <v>75.319999999999993</v>
      </c>
      <c r="AN9" vm="1425">
        <f ca="1"/>
        <v>75.8</v>
      </c>
      <c r="AO9" vm="1426">
        <f ca="1"/>
        <v>76.53</v>
      </c>
      <c r="AP9" vm="1427">
        <f ca="1"/>
        <v>76.400000000000006</v>
      </c>
      <c r="AQ9" vm="1428">
        <f ca="1"/>
        <v>76.67</v>
      </c>
      <c r="AR9" vm="1429">
        <f ca="1"/>
        <v>78.260000000000005</v>
      </c>
      <c r="AS9" vm="1430">
        <f ca="1"/>
        <v>78.17</v>
      </c>
      <c r="AT9" vm="1431">
        <f ca="1"/>
        <v>78.03</v>
      </c>
      <c r="AU9" vm="1432">
        <f ca="1"/>
        <v>78.38</v>
      </c>
      <c r="AV9" vm="1433">
        <f ca="1"/>
        <v>78.23</v>
      </c>
      <c r="AW9" vm="1434">
        <f ca="1"/>
        <v>76.36</v>
      </c>
      <c r="AX9" vm="1435">
        <f ca="1"/>
        <v>78.069999999999993</v>
      </c>
      <c r="AY9" vm="1436">
        <f ca="1"/>
        <v>77.36</v>
      </c>
      <c r="AZ9" vm="1437">
        <f ca="1"/>
        <v>78.349999999999994</v>
      </c>
      <c r="BA9" vm="1438">
        <f ca="1"/>
        <v>78.45</v>
      </c>
      <c r="BB9" vm="1439">
        <f ca="1"/>
        <v>79.36</v>
      </c>
      <c r="BC9" vm="1440">
        <f ca="1"/>
        <v>81.14</v>
      </c>
      <c r="BD9" vm="1441">
        <f ca="1"/>
        <v>82.63</v>
      </c>
      <c r="BE9" vm="1442">
        <f ca="1"/>
        <v>84.37</v>
      </c>
      <c r="BF9" vm="1443">
        <f ca="1"/>
        <v>84.38</v>
      </c>
      <c r="BG9" vm="1444">
        <f ca="1"/>
        <v>85.12</v>
      </c>
      <c r="BH9" vm="1445">
        <f ca="1"/>
        <v>86.27</v>
      </c>
      <c r="BI9" vm="1446">
        <f ca="1"/>
        <v>86.76</v>
      </c>
      <c r="BJ9" vm="1447">
        <f ca="1"/>
        <v>88.72</v>
      </c>
      <c r="BK9" vm="1448">
        <f ca="1"/>
        <v>87.6</v>
      </c>
      <c r="BL9" vm="1449">
        <f ca="1"/>
        <v>85.57</v>
      </c>
      <c r="BM9" vm="1450">
        <f ca="1"/>
        <v>85.79</v>
      </c>
      <c r="BN9" vm="1451">
        <f ca="1"/>
        <v>87.08</v>
      </c>
      <c r="BO9" vm="1452">
        <f ca="1"/>
        <v>86.73</v>
      </c>
      <c r="BP9" vm="450">
        <f ca="1"/>
        <v>87.5</v>
      </c>
      <c r="BQ9" vm="1453">
        <f ca="1"/>
        <v>90.72</v>
      </c>
      <c r="BR9" vm="1454">
        <f ca="1"/>
        <v>90.02</v>
      </c>
      <c r="BS9" vm="1455">
        <f ca="1"/>
        <v>93.09</v>
      </c>
      <c r="BT9" vm="1456">
        <f ca="1"/>
        <v>93.45</v>
      </c>
      <c r="BU9" vm="1457">
        <f ca="1"/>
        <v>92.65</v>
      </c>
      <c r="BV9" vm="1458">
        <f ca="1"/>
        <v>94</v>
      </c>
      <c r="BW9" vm="1459">
        <f ca="1"/>
        <v>95.99</v>
      </c>
      <c r="BX9" vm="1460">
        <f ca="1"/>
        <v>95.39</v>
      </c>
      <c r="BY9" vm="1461">
        <f ca="1"/>
        <v>96.07</v>
      </c>
      <c r="BZ9" vm="1462">
        <f ca="1"/>
        <v>95.55</v>
      </c>
      <c r="CA9" vm="1463">
        <f ca="1"/>
        <v>94.48</v>
      </c>
      <c r="CB9" vm="1464">
        <f ca="1"/>
        <v>95.81</v>
      </c>
      <c r="CC9" vm="1465">
        <f ca="1"/>
        <v>93.7</v>
      </c>
      <c r="CD9" vm="1466">
        <f ca="1"/>
        <v>91.83</v>
      </c>
      <c r="CE9" vm="1467">
        <f ca="1"/>
        <v>92.08</v>
      </c>
      <c r="CF9" vm="1468">
        <f ca="1"/>
        <v>91.52</v>
      </c>
      <c r="CG9" vm="1469">
        <f ca="1"/>
        <v>92.23</v>
      </c>
      <c r="CH9" vm="1470">
        <f ca="1"/>
        <v>91.23</v>
      </c>
      <c r="CI9" vm="1471">
        <f ca="1"/>
        <v>92.73</v>
      </c>
      <c r="CJ9" vm="1472">
        <f ca="1"/>
        <v>92.31</v>
      </c>
      <c r="CK9" vm="1473">
        <f ca="1"/>
        <v>95.74</v>
      </c>
      <c r="CL9" vm="1474">
        <f ca="1"/>
        <v>94.65</v>
      </c>
      <c r="CM9" vm="1475">
        <f ca="1"/>
        <v>95.46</v>
      </c>
      <c r="CN9" vm="1476">
        <f ca="1"/>
        <v>93.69</v>
      </c>
      <c r="CO9" vm="1477">
        <f ca="1"/>
        <v>94.22</v>
      </c>
      <c r="CP9" vm="1478">
        <f ca="1"/>
        <v>93.74</v>
      </c>
      <c r="CQ9" vm="1479">
        <f ca="1"/>
        <v>93.17</v>
      </c>
      <c r="CR9" vm="1480">
        <f ca="1"/>
        <v>92.59</v>
      </c>
      <c r="CS9" vm="1481">
        <f ca="1"/>
        <v>95.26</v>
      </c>
      <c r="CT9" vm="1482">
        <f ca="1"/>
        <v>95</v>
      </c>
      <c r="CU9" vm="1483">
        <f ca="1"/>
        <v>95.72</v>
      </c>
      <c r="CV9" vm="1484">
        <f ca="1"/>
        <v>96.87</v>
      </c>
      <c r="CW9" vm="1485">
        <f ca="1"/>
        <v>96.82</v>
      </c>
      <c r="CX9" vm="1486">
        <f ca="1"/>
        <v>96.57</v>
      </c>
      <c r="CY9" vm="1487">
        <f ca="1"/>
        <v>94.78</v>
      </c>
      <c r="CZ9" vm="1488">
        <f ca="1"/>
        <v>95.03</v>
      </c>
      <c r="DA9" vm="1489">
        <f ca="1"/>
        <v>97.08</v>
      </c>
      <c r="DB9" vm="1490">
        <f ca="1"/>
        <v>95.4</v>
      </c>
      <c r="DC9" vm="1491">
        <f ca="1"/>
        <v>95.87</v>
      </c>
      <c r="DD9" vm="1492">
        <f ca="1"/>
        <v>97.34</v>
      </c>
      <c r="DE9" vm="1493">
        <f ca="1"/>
        <v>97.17</v>
      </c>
      <c r="DF9" vm="1494">
        <f ca="1"/>
        <v>98.82</v>
      </c>
      <c r="DG9" vm="1495">
        <f ca="1"/>
        <v>99.44</v>
      </c>
      <c r="DH9" vm="1496">
        <f ca="1"/>
        <v>99.79</v>
      </c>
      <c r="DI9" vm="1497">
        <f ca="1"/>
        <v>100.64</v>
      </c>
      <c r="DJ9" vm="1498">
        <f ca="1"/>
        <v>101.76</v>
      </c>
      <c r="DK9" vm="1499">
        <f ca="1"/>
        <v>102.41</v>
      </c>
      <c r="DL9" vm="1500">
        <f ca="1"/>
        <v>102.68</v>
      </c>
      <c r="DM9" vm="1501">
        <f ca="1"/>
        <v>103.49</v>
      </c>
      <c r="DN9" vm="1502">
        <f ca="1"/>
        <v>103</v>
      </c>
      <c r="DO9" vm="1503">
        <f ca="1"/>
        <v>101.65</v>
      </c>
      <c r="DP9" vm="1504">
        <f ca="1"/>
        <v>102.11</v>
      </c>
      <c r="DQ9" vm="1505">
        <f ca="1"/>
        <v>103.42</v>
      </c>
      <c r="DR9" vm="1506">
        <f ca="1"/>
        <v>103.16</v>
      </c>
      <c r="DS9" vm="1507">
        <f ca="1"/>
        <v>101.5</v>
      </c>
      <c r="DT9" vm="1508">
        <f ca="1"/>
        <v>98.71</v>
      </c>
      <c r="DU9" vm="1492">
        <f ca="1"/>
        <v>97.34</v>
      </c>
      <c r="DV9" vm="1509">
        <f ca="1"/>
        <v>97.74</v>
      </c>
      <c r="DW9" vm="1510">
        <f ca="1"/>
        <v>98.05</v>
      </c>
      <c r="DX9" vm="1511">
        <f ca="1"/>
        <v>97.8</v>
      </c>
      <c r="DY9" vm="1512">
        <f ca="1"/>
        <v>96.7</v>
      </c>
      <c r="DZ9" vm="1513">
        <f ca="1"/>
        <v>95.92</v>
      </c>
      <c r="EA9" vm="1514">
        <f ca="1"/>
        <v>93.93</v>
      </c>
      <c r="EB9" vm="1515">
        <f ca="1"/>
        <v>96.1</v>
      </c>
      <c r="EC9" vm="1516">
        <f ca="1"/>
        <v>99.84</v>
      </c>
      <c r="ED9" vm="1517">
        <f ca="1"/>
        <v>99.78</v>
      </c>
      <c r="EE9" vm="1518">
        <f ca="1"/>
        <v>96.26</v>
      </c>
      <c r="EF9" vm="1519">
        <f ca="1"/>
        <v>97.07</v>
      </c>
      <c r="EG9" vm="1520">
        <f ca="1"/>
        <v>99.3</v>
      </c>
      <c r="EH9" vm="1521">
        <f ca="1"/>
        <v>98.25</v>
      </c>
      <c r="EI9" vm="1522">
        <f ca="1"/>
        <v>96.3</v>
      </c>
      <c r="EJ9" vm="1523">
        <f ca="1"/>
        <v>96.69</v>
      </c>
      <c r="EK9" vm="1524">
        <f ca="1"/>
        <v>98.78</v>
      </c>
      <c r="EL9" vm="1525">
        <f ca="1"/>
        <v>100.99</v>
      </c>
      <c r="EM9" vm="1526">
        <f ca="1"/>
        <v>101.39</v>
      </c>
      <c r="EN9" vm="1527">
        <f ca="1"/>
        <v>99.12</v>
      </c>
      <c r="EO9" vm="1528">
        <f ca="1"/>
        <v>100.22</v>
      </c>
      <c r="EP9" vm="1529">
        <f ca="1"/>
        <v>101.23</v>
      </c>
      <c r="EQ9" vm="1530">
        <f ca="1"/>
        <v>101.61</v>
      </c>
      <c r="ER9" vm="1531">
        <f ca="1"/>
        <v>101.01</v>
      </c>
      <c r="ES9" vm="1532">
        <f ca="1"/>
        <v>101.69</v>
      </c>
      <c r="ET9" vm="1533">
        <f ca="1"/>
        <v>100.85</v>
      </c>
      <c r="EU9" vm="1534">
        <f ca="1"/>
        <v>100.79</v>
      </c>
      <c r="EV9" vm="1535">
        <f ca="1"/>
        <v>101.49</v>
      </c>
      <c r="EW9" vm="1536">
        <f ca="1"/>
        <v>100.76</v>
      </c>
      <c r="EX9" vm="1537">
        <f ca="1"/>
        <v>102.87</v>
      </c>
      <c r="EY9" vm="1538">
        <f ca="1"/>
        <v>100.67</v>
      </c>
      <c r="EZ9" vm="1539">
        <f ca="1"/>
        <v>100.3</v>
      </c>
      <c r="FA9" vm="1540">
        <f ca="1"/>
        <v>98.19</v>
      </c>
      <c r="FB9" vm="1541">
        <f ca="1"/>
        <v>98.32</v>
      </c>
      <c r="FC9" vm="1542">
        <f ca="1"/>
        <v>99.83</v>
      </c>
      <c r="FD9" vm="1543">
        <f ca="1"/>
        <v>97.63</v>
      </c>
      <c r="FE9" vm="1544">
        <f ca="1"/>
        <v>98.7</v>
      </c>
      <c r="FF9" vm="1545">
        <f ca="1"/>
        <v>99.69</v>
      </c>
      <c r="FG9" vm="1546">
        <f ca="1"/>
        <v>101.17</v>
      </c>
      <c r="FH9" vm="1547">
        <f ca="1"/>
        <v>102.5</v>
      </c>
      <c r="FI9" vm="1548">
        <f ca="1"/>
        <v>103.6</v>
      </c>
      <c r="FJ9" vm="1500">
        <f ca="1"/>
        <v>102.68</v>
      </c>
      <c r="FK9" vm="1549">
        <f ca="1"/>
        <v>103.19</v>
      </c>
      <c r="FL9" vm="1550">
        <f ca="1"/>
        <v>106.72</v>
      </c>
      <c r="FM9" vm="1551">
        <f ca="1"/>
        <v>107.79</v>
      </c>
      <c r="FN9" vm="1552">
        <f ca="1"/>
        <v>108.88</v>
      </c>
      <c r="FO9" vm="1553">
        <f ca="1"/>
        <v>108.92</v>
      </c>
      <c r="FP9" vm="1554">
        <f ca="1"/>
        <v>109.43</v>
      </c>
      <c r="FQ9" vm="1555">
        <f ca="1"/>
        <v>111.09</v>
      </c>
      <c r="FR9" vm="1556">
        <f ca="1"/>
        <v>111.74</v>
      </c>
      <c r="FS9" vm="1557">
        <f ca="1"/>
        <v>111.8</v>
      </c>
      <c r="FT9" vm="1558">
        <f ca="1"/>
        <v>112.8</v>
      </c>
      <c r="FU9" vm="1559">
        <f ca="1"/>
        <v>111.28</v>
      </c>
      <c r="FV9" vm="1560">
        <f ca="1"/>
        <v>111.46</v>
      </c>
      <c r="FW9" vm="1561">
        <f ca="1"/>
        <v>112.83</v>
      </c>
      <c r="FX9" vm="1562">
        <f ca="1"/>
        <v>114.86</v>
      </c>
      <c r="FY9" vm="1563">
        <f ca="1"/>
        <v>118.09</v>
      </c>
      <c r="FZ9" vm="1564">
        <f ca="1"/>
        <v>119.4</v>
      </c>
      <c r="GA9" vm="1565">
        <f ca="1"/>
        <v>121.56</v>
      </c>
      <c r="GB9" vm="1566">
        <f ca="1"/>
        <v>120.42</v>
      </c>
      <c r="GC9" vm="1567">
        <f ca="1"/>
        <v>118.13</v>
      </c>
      <c r="GD9" vm="1568">
        <f ca="1"/>
        <v>117.21</v>
      </c>
      <c r="GE9" vm="1569">
        <f ca="1"/>
        <v>116.69</v>
      </c>
      <c r="GF9" vm="1570">
        <f ca="1"/>
        <v>118.7</v>
      </c>
      <c r="GG9" vm="1571">
        <f ca="1"/>
        <v>123.3</v>
      </c>
      <c r="GH9" vm="1572">
        <f ca="1"/>
        <v>122.5</v>
      </c>
      <c r="GI9" vm="1573">
        <f ca="1"/>
        <v>121.37</v>
      </c>
      <c r="GJ9" vm="1574">
        <f ca="1"/>
        <v>120.6</v>
      </c>
      <c r="GK9" vm="1575">
        <f ca="1"/>
        <v>121.32</v>
      </c>
      <c r="GL9" vm="1576">
        <f ca="1"/>
        <v>117.7</v>
      </c>
      <c r="GM9" vm="1577">
        <f ca="1"/>
        <v>116.3</v>
      </c>
      <c r="GN9" vm="1578">
        <f ca="1"/>
        <v>112.41</v>
      </c>
      <c r="GO9" vm="1579">
        <f ca="1"/>
        <v>117.46</v>
      </c>
      <c r="GP9" vm="1580">
        <f ca="1"/>
        <v>118.04</v>
      </c>
      <c r="GQ9" vm="1558">
        <f ca="1"/>
        <v>112.8</v>
      </c>
      <c r="GR9" vm="1581">
        <f ca="1"/>
        <v>113.86</v>
      </c>
      <c r="GS9" vm="1582">
        <f ca="1"/>
        <v>115.66</v>
      </c>
      <c r="GT9" vm="1583">
        <f ca="1"/>
        <v>113.59</v>
      </c>
      <c r="GU9" vm="1584">
        <f ca="1"/>
        <v>114.82</v>
      </c>
      <c r="GV9" vm="1585">
        <f ca="1"/>
        <v>114.79</v>
      </c>
      <c r="GW9" vm="1586">
        <f ca="1"/>
        <v>114.2</v>
      </c>
      <c r="GX9" vm="1587">
        <f ca="1"/>
        <v>115.2</v>
      </c>
      <c r="GY9" vm="1588">
        <f ca="1"/>
        <v>115.71</v>
      </c>
      <c r="GZ9" vm="1589">
        <f ca="1"/>
        <v>116.23</v>
      </c>
      <c r="HA9" vm="1590">
        <f ca="1"/>
        <v>117.71</v>
      </c>
      <c r="HB9" vm="1591">
        <f ca="1"/>
        <v>117.43</v>
      </c>
      <c r="HC9" vm="1592">
        <f ca="1"/>
        <v>115.74</v>
      </c>
      <c r="HD9" vm="1593">
        <f ca="1"/>
        <v>122.69</v>
      </c>
      <c r="HE9" vm="1594">
        <f ca="1"/>
        <v>123.77</v>
      </c>
      <c r="HF9" vm="1595">
        <f ca="1"/>
        <v>122.15</v>
      </c>
      <c r="HG9" vm="1596">
        <f ca="1"/>
        <v>117.39</v>
      </c>
      <c r="HH9" vm="1597">
        <f ca="1"/>
        <v>111.15</v>
      </c>
      <c r="HI9" vm="1598">
        <f ca="1"/>
        <v>110.86</v>
      </c>
      <c r="HJ9" vm="1599">
        <f ca="1"/>
        <v>113.78</v>
      </c>
      <c r="HK9" vm="1600">
        <f ca="1"/>
        <v>116.27</v>
      </c>
      <c r="HL9" vm="1601">
        <f ca="1"/>
        <v>115.55</v>
      </c>
      <c r="HM9" vm="1602">
        <f ca="1"/>
        <v>116</v>
      </c>
      <c r="HN9" vm="1603">
        <f ca="1"/>
        <v>110.75</v>
      </c>
      <c r="HO9" vm="1604">
        <f ca="1"/>
        <v>109.56</v>
      </c>
      <c r="HP9" vm="1605">
        <f ca="1"/>
        <v>114.34</v>
      </c>
      <c r="HQ9" vm="484">
        <f ca="1"/>
        <v>116.19</v>
      </c>
      <c r="HR9" vm="1606">
        <f ca="1"/>
        <v>110.19</v>
      </c>
      <c r="HS9" vm="1607">
        <f ca="1"/>
        <v>111.45</v>
      </c>
      <c r="HT9" vm="1608">
        <f ca="1"/>
        <v>110.76</v>
      </c>
      <c r="HU9" vm="1609">
        <f ca="1"/>
        <v>111.32</v>
      </c>
      <c r="HV9" vm="1610">
        <f ca="1"/>
        <v>108.95</v>
      </c>
      <c r="HW9" vm="1611">
        <f ca="1"/>
        <v>106.53</v>
      </c>
      <c r="HX9" vm="1612">
        <f ca="1"/>
        <v>106.59</v>
      </c>
      <c r="HY9" vm="1613">
        <f ca="1"/>
        <v>108.97</v>
      </c>
      <c r="HZ9" vm="1614">
        <f ca="1"/>
        <v>109.19</v>
      </c>
      <c r="IA9" vm="1615">
        <f ca="1"/>
        <v>105.5</v>
      </c>
      <c r="IB9" vm="1616">
        <f ca="1"/>
        <v>105.69</v>
      </c>
      <c r="IC9" vm="1617">
        <f ca="1"/>
        <v>107.35</v>
      </c>
      <c r="ID9" vm="1618">
        <f ca="1"/>
        <v>107.71</v>
      </c>
      <c r="IE9" vm="1619">
        <f ca="1"/>
        <v>108.67</v>
      </c>
      <c r="IF9" vm="1620">
        <f ca="1"/>
        <v>109.85</v>
      </c>
      <c r="IG9" vm="1621">
        <f ca="1"/>
        <v>109.52</v>
      </c>
      <c r="IH9" vm="1622">
        <f ca="1"/>
        <v>111.64</v>
      </c>
      <c r="II9" vm="1623">
        <f ca="1"/>
        <v>113.74</v>
      </c>
      <c r="IJ9" vm="1624">
        <f ca="1"/>
        <v>114.48</v>
      </c>
      <c r="IK9" vm="1578">
        <f ca="1"/>
        <v>112.41</v>
      </c>
      <c r="IL9" vm="1625">
        <f ca="1"/>
        <v>107.38</v>
      </c>
      <c r="IM9" vm="1626">
        <f ca="1"/>
        <v>107.27</v>
      </c>
      <c r="IN9" vm="1627">
        <f ca="1"/>
        <v>113.41</v>
      </c>
      <c r="IO9" vm="11">
        <f ca="1"/>
        <v>115.3</v>
      </c>
      <c r="IP9" vm="1628">
        <f ca="1"/>
        <v>115.25</v>
      </c>
    </row>
    <row r="10" spans="1:255" x14ac:dyDescent="0.35">
      <c r="A10" t="str">
        <f ca="1">Dashboard!B14</f>
        <v>CVX</v>
      </c>
      <c r="B10" cm="1" vm="1629">
        <f t="array" aca="1" ref="B10:IP10" ca="1">TRANSPOSE(_xlfn.STOCKHISTORY(A10,TODAY()-365,TODAY(),0,0,1))</f>
        <v>140.15</v>
      </c>
      <c r="C10" vm="1630">
        <f ca="1"/>
        <v>136.93</v>
      </c>
      <c r="D10" vm="1631">
        <f ca="1"/>
        <v>146.03</v>
      </c>
      <c r="E10" vm="1632">
        <f ca="1"/>
        <v>134.97999999999999</v>
      </c>
      <c r="F10" vm="1633">
        <f ca="1"/>
        <v>135.63</v>
      </c>
      <c r="G10" vm="1634">
        <f ca="1"/>
        <v>135.32</v>
      </c>
      <c r="H10" vm="1635">
        <f ca="1"/>
        <v>134.54</v>
      </c>
      <c r="I10" vm="1636">
        <f ca="1"/>
        <v>135.36000000000001</v>
      </c>
      <c r="J10" vm="1637">
        <f ca="1"/>
        <v>137.87</v>
      </c>
      <c r="K10" vm="1638">
        <f ca="1"/>
        <v>133.72999999999999</v>
      </c>
      <c r="L10" vm="1639">
        <f ca="1"/>
        <v>137.30000000000001</v>
      </c>
      <c r="M10" vm="1640">
        <f ca="1"/>
        <v>136.68</v>
      </c>
      <c r="N10" vm="1641">
        <f ca="1"/>
        <v>139.07</v>
      </c>
      <c r="O10" vm="1642">
        <f ca="1"/>
        <v>138.72999999999999</v>
      </c>
      <c r="P10" vm="1643">
        <f ca="1"/>
        <v>140.1</v>
      </c>
      <c r="Q10" vm="47">
        <f ca="1"/>
        <v>139.30000000000001</v>
      </c>
      <c r="R10" vm="1644">
        <f ca="1"/>
        <v>136.06</v>
      </c>
      <c r="S10" vm="1645">
        <f ca="1"/>
        <v>136.26</v>
      </c>
      <c r="T10" vm="49">
        <f ca="1"/>
        <v>138.5</v>
      </c>
      <c r="U10" vm="1646">
        <f ca="1"/>
        <v>135.5</v>
      </c>
      <c r="V10" vm="1647">
        <f ca="1"/>
        <v>135.6</v>
      </c>
      <c r="W10" vm="1648">
        <f ca="1"/>
        <v>135.79</v>
      </c>
      <c r="X10" vm="1649">
        <f ca="1"/>
        <v>137.04</v>
      </c>
      <c r="Y10" vm="1650">
        <f ca="1"/>
        <v>138.49</v>
      </c>
      <c r="Z10" vm="1651">
        <f ca="1"/>
        <v>141.62</v>
      </c>
      <c r="AA10" vm="1652">
        <f ca="1"/>
        <v>142.35</v>
      </c>
      <c r="AB10" vm="1653">
        <f ca="1"/>
        <v>141.66999999999999</v>
      </c>
      <c r="AC10" vm="1654">
        <f ca="1"/>
        <v>142.26</v>
      </c>
      <c r="AD10" vm="58">
        <f ca="1"/>
        <v>142.1</v>
      </c>
      <c r="AE10" vm="1650">
        <f ca="1"/>
        <v>138.49</v>
      </c>
      <c r="AF10" vm="1655">
        <f ca="1"/>
        <v>137.27000000000001</v>
      </c>
      <c r="AG10" vm="1656">
        <f ca="1"/>
        <v>135.56</v>
      </c>
      <c r="AH10" vm="1657">
        <f ca="1"/>
        <v>135.29</v>
      </c>
      <c r="AI10" vm="1658">
        <f ca="1"/>
        <v>136.54</v>
      </c>
      <c r="AJ10" vm="1659">
        <f ca="1"/>
        <v>137.83000000000001</v>
      </c>
      <c r="AK10" vm="1660">
        <f ca="1"/>
        <v>136.02000000000001</v>
      </c>
      <c r="AL10" vm="502">
        <f ca="1"/>
        <v>137.91</v>
      </c>
      <c r="AM10" vm="1661">
        <f ca="1"/>
        <v>136.69999999999999</v>
      </c>
      <c r="AN10" vm="1662">
        <f ca="1"/>
        <v>137.84</v>
      </c>
      <c r="AO10" vm="1663">
        <f ca="1"/>
        <v>139.55000000000001</v>
      </c>
      <c r="AP10" vm="1664">
        <f ca="1"/>
        <v>137.37</v>
      </c>
      <c r="AQ10" vm="1665">
        <f ca="1"/>
        <v>136.9</v>
      </c>
      <c r="AR10" vm="1666">
        <f ca="1"/>
        <v>140.21</v>
      </c>
      <c r="AS10" vm="1667">
        <f ca="1"/>
        <v>140.76</v>
      </c>
      <c r="AT10" vm="1668">
        <f ca="1"/>
        <v>143.35</v>
      </c>
      <c r="AU10" vm="1669">
        <f ca="1"/>
        <v>144.78</v>
      </c>
      <c r="AV10" vm="1670">
        <f ca="1"/>
        <v>144.97</v>
      </c>
      <c r="AW10" vm="1671">
        <f ca="1"/>
        <v>145.91</v>
      </c>
      <c r="AX10" vm="1631">
        <f ca="1"/>
        <v>146.03</v>
      </c>
      <c r="AY10" vm="1672">
        <f ca="1"/>
        <v>148.85</v>
      </c>
      <c r="AZ10" vm="1673">
        <f ca="1"/>
        <v>148.19</v>
      </c>
      <c r="BA10" vm="1674">
        <f ca="1"/>
        <v>149.55000000000001</v>
      </c>
      <c r="BB10" vm="1675">
        <f ca="1"/>
        <v>146.86000000000001</v>
      </c>
      <c r="BC10" vm="1676">
        <f ca="1"/>
        <v>143.55000000000001</v>
      </c>
      <c r="BD10" vm="1677">
        <f ca="1"/>
        <v>143.22999999999999</v>
      </c>
      <c r="BE10" vm="1678">
        <f ca="1"/>
        <v>144.44</v>
      </c>
      <c r="BF10" vm="1679">
        <f ca="1"/>
        <v>143.79</v>
      </c>
      <c r="BG10" vm="1680">
        <f ca="1"/>
        <v>143.19</v>
      </c>
      <c r="BH10" vm="1681">
        <f ca="1"/>
        <v>145.57</v>
      </c>
      <c r="BI10" vm="1682">
        <f ca="1"/>
        <v>147.97999999999999</v>
      </c>
      <c r="BJ10" vm="1683">
        <f ca="1"/>
        <v>148.37</v>
      </c>
      <c r="BK10" vm="1684">
        <f ca="1"/>
        <v>147.4</v>
      </c>
      <c r="BL10" vm="1685">
        <f ca="1"/>
        <v>153.24</v>
      </c>
      <c r="BM10" vm="1686">
        <f ca="1"/>
        <v>153.02000000000001</v>
      </c>
      <c r="BN10" vm="1687">
        <f ca="1"/>
        <v>154.16999999999999</v>
      </c>
      <c r="BO10" vm="1688">
        <f ca="1"/>
        <v>155.31</v>
      </c>
      <c r="BP10" vm="1689">
        <f ca="1"/>
        <v>151.65</v>
      </c>
      <c r="BQ10" vm="1690">
        <f ca="1"/>
        <v>150.69</v>
      </c>
      <c r="BR10" vm="1691">
        <f ca="1"/>
        <v>149.91999999999999</v>
      </c>
      <c r="BS10" vm="1692">
        <f ca="1"/>
        <v>151.38</v>
      </c>
      <c r="BT10" vm="1693">
        <f ca="1"/>
        <v>150.04</v>
      </c>
      <c r="BU10" vm="1694">
        <f ca="1"/>
        <v>149.68</v>
      </c>
      <c r="BV10" vm="1693">
        <f ca="1"/>
        <v>150.04</v>
      </c>
      <c r="BW10" vm="1695">
        <f ca="1"/>
        <v>153.12</v>
      </c>
      <c r="BX10" vm="1696">
        <f ca="1"/>
        <v>155.83000000000001</v>
      </c>
      <c r="BY10" vm="1697">
        <f ca="1"/>
        <v>154.84</v>
      </c>
      <c r="BZ10" vm="1698">
        <f ca="1"/>
        <v>156.28</v>
      </c>
      <c r="CA10" vm="1699">
        <f ca="1"/>
        <v>157.03</v>
      </c>
      <c r="CB10" vm="1700">
        <f ca="1"/>
        <v>153.56</v>
      </c>
      <c r="CC10" vm="1701">
        <f ca="1"/>
        <v>151.63999999999999</v>
      </c>
      <c r="CD10" vm="1702">
        <f ca="1"/>
        <v>151.4</v>
      </c>
      <c r="CE10" vm="1703">
        <f ca="1"/>
        <v>151.04</v>
      </c>
      <c r="CF10" vm="1704">
        <f ca="1"/>
        <v>153.04</v>
      </c>
      <c r="CG10" vm="1705">
        <f ca="1"/>
        <v>152.78</v>
      </c>
      <c r="CH10" vm="1706">
        <f ca="1"/>
        <v>153.16</v>
      </c>
      <c r="CI10" vm="1707">
        <f ca="1"/>
        <v>155.01</v>
      </c>
      <c r="CJ10" vm="1708">
        <f ca="1"/>
        <v>153.44999999999999</v>
      </c>
      <c r="CK10" vm="1709">
        <f ca="1"/>
        <v>154.44</v>
      </c>
      <c r="CL10" vm="1710">
        <f ca="1"/>
        <v>155.87</v>
      </c>
      <c r="CM10" vm="1711">
        <f ca="1"/>
        <v>155.16</v>
      </c>
      <c r="CN10" vm="1712">
        <f ca="1"/>
        <v>156.55000000000001</v>
      </c>
      <c r="CO10" vm="1713">
        <f ca="1"/>
        <v>155.32</v>
      </c>
      <c r="CP10" vm="1714">
        <f ca="1"/>
        <v>152</v>
      </c>
      <c r="CQ10" vm="1715">
        <f ca="1"/>
        <v>153.22</v>
      </c>
      <c r="CR10" vm="1716">
        <f ca="1"/>
        <v>155.55000000000001</v>
      </c>
      <c r="CS10" vm="1717">
        <f ca="1"/>
        <v>158.18</v>
      </c>
      <c r="CT10" vm="1718">
        <f ca="1"/>
        <v>158.19999999999999</v>
      </c>
      <c r="CU10" vm="1719">
        <f ca="1"/>
        <v>157.36000000000001</v>
      </c>
      <c r="CV10" vm="1720">
        <f ca="1"/>
        <v>159.24</v>
      </c>
      <c r="CW10" vm="1721">
        <f ca="1"/>
        <v>159.32</v>
      </c>
      <c r="CX10" vm="1722">
        <f ca="1"/>
        <v>160.6</v>
      </c>
      <c r="CY10" vm="1723">
        <f ca="1"/>
        <v>161.83000000000001</v>
      </c>
      <c r="CZ10" vm="1724">
        <f ca="1"/>
        <v>158.06</v>
      </c>
      <c r="DA10" vm="1725">
        <f ca="1"/>
        <v>157.69</v>
      </c>
      <c r="DB10" vm="1726">
        <f ca="1"/>
        <v>153.66</v>
      </c>
      <c r="DC10" vm="1727">
        <f ca="1"/>
        <v>154</v>
      </c>
      <c r="DD10" vm="1728">
        <f ca="1"/>
        <v>154.85</v>
      </c>
      <c r="DE10" vm="1729">
        <f ca="1"/>
        <v>157.79</v>
      </c>
      <c r="DF10" vm="1730">
        <f ca="1"/>
        <v>158.25</v>
      </c>
      <c r="DG10" vm="1731">
        <f ca="1"/>
        <v>157.11000000000001</v>
      </c>
      <c r="DH10" vm="1732">
        <f ca="1"/>
        <v>157.31</v>
      </c>
      <c r="DI10" vm="547">
        <f ca="1"/>
        <v>159.54</v>
      </c>
      <c r="DJ10" vm="1733">
        <f ca="1"/>
        <v>160.09</v>
      </c>
      <c r="DK10" vm="1734">
        <f ca="1"/>
        <v>158.84</v>
      </c>
      <c r="DL10" vm="1735">
        <f ca="1"/>
        <v>156.21</v>
      </c>
      <c r="DM10" vm="1736">
        <f ca="1"/>
        <v>156.05000000000001</v>
      </c>
      <c r="DN10" vm="1737">
        <f ca="1"/>
        <v>157.41999999999999</v>
      </c>
      <c r="DO10" vm="1738">
        <f ca="1"/>
        <v>159.18</v>
      </c>
      <c r="DP10" vm="1739">
        <f ca="1"/>
        <v>160.72</v>
      </c>
      <c r="DQ10" vm="1740">
        <f ca="1"/>
        <v>160.16</v>
      </c>
      <c r="DR10" vm="1741">
        <f ca="1"/>
        <v>156.1</v>
      </c>
      <c r="DS10" vm="1742">
        <f ca="1"/>
        <v>155.29</v>
      </c>
      <c r="DT10" vm="1743">
        <f ca="1"/>
        <v>154.58000000000001</v>
      </c>
      <c r="DU10" vm="1744">
        <f ca="1"/>
        <v>153.37</v>
      </c>
      <c r="DV10" vm="1745">
        <f ca="1"/>
        <v>153.55000000000001</v>
      </c>
      <c r="DW10" vm="1746">
        <f ca="1"/>
        <v>154.02000000000001</v>
      </c>
      <c r="DX10" vm="1747">
        <f ca="1"/>
        <v>154.91</v>
      </c>
      <c r="DY10" vm="1748">
        <f ca="1"/>
        <v>153.74</v>
      </c>
      <c r="DZ10" vm="1701">
        <f ca="1"/>
        <v>151.63999999999999</v>
      </c>
      <c r="EA10" vm="1749">
        <f ca="1"/>
        <v>148.9</v>
      </c>
      <c r="EB10" vm="1750">
        <f ca="1"/>
        <v>151.94</v>
      </c>
      <c r="EC10" vm="1751">
        <f ca="1"/>
        <v>152.38999999999999</v>
      </c>
      <c r="ED10" vm="1752">
        <f ca="1"/>
        <v>152.11000000000001</v>
      </c>
      <c r="EE10" vm="1753">
        <f ca="1"/>
        <v>151.71</v>
      </c>
      <c r="EF10" vm="1754">
        <f ca="1"/>
        <v>153.08000000000001</v>
      </c>
      <c r="EG10" vm="1755">
        <f ca="1"/>
        <v>154.47999999999999</v>
      </c>
      <c r="EH10" vm="1756">
        <f ca="1"/>
        <v>153.79</v>
      </c>
      <c r="EI10" vm="1757">
        <f ca="1"/>
        <v>155.57</v>
      </c>
      <c r="EJ10" vm="1758">
        <f ca="1"/>
        <v>156.56</v>
      </c>
      <c r="EK10" vm="1759">
        <f ca="1"/>
        <v>155.56</v>
      </c>
      <c r="EL10" vm="1760">
        <f ca="1"/>
        <v>155.28</v>
      </c>
      <c r="EM10" vm="1761">
        <f ca="1"/>
        <v>154.13</v>
      </c>
      <c r="EN10" vm="1762">
        <f ca="1"/>
        <v>155.1</v>
      </c>
      <c r="EO10" vm="1763">
        <f ca="1"/>
        <v>153.52000000000001</v>
      </c>
      <c r="EP10" vm="1764">
        <f ca="1"/>
        <v>157.72</v>
      </c>
      <c r="EQ10" vm="1765">
        <f ca="1"/>
        <v>154.04</v>
      </c>
      <c r="ER10" vm="1766">
        <f ca="1"/>
        <v>153.38999999999999</v>
      </c>
      <c r="ES10" vm="1767">
        <f ca="1"/>
        <v>152.66</v>
      </c>
      <c r="ET10" vm="1768">
        <f ca="1"/>
        <v>152.94</v>
      </c>
      <c r="EU10" vm="1769">
        <f ca="1"/>
        <v>155.02000000000001</v>
      </c>
      <c r="EV10" vm="1770">
        <f ca="1"/>
        <v>155.65</v>
      </c>
      <c r="EW10" vm="1771">
        <f ca="1"/>
        <v>156.24</v>
      </c>
      <c r="EX10" vm="1772">
        <f ca="1"/>
        <v>153.32</v>
      </c>
      <c r="EY10" vm="1773">
        <f ca="1"/>
        <v>155.58000000000001</v>
      </c>
      <c r="EZ10" vm="1774">
        <f ca="1"/>
        <v>157.62</v>
      </c>
      <c r="FA10" vm="1775">
        <f ca="1"/>
        <v>154.82</v>
      </c>
      <c r="FB10" vm="1776">
        <f ca="1"/>
        <v>153.62</v>
      </c>
      <c r="FC10" vm="98">
        <f ca="1"/>
        <v>151.69999999999999</v>
      </c>
      <c r="FD10" vm="1777">
        <f ca="1"/>
        <v>150.31</v>
      </c>
      <c r="FE10" vm="1778">
        <f ca="1"/>
        <v>149.97999999999999</v>
      </c>
      <c r="FF10" vm="1779">
        <f ca="1"/>
        <v>149.75</v>
      </c>
      <c r="FG10" vm="1780">
        <f ca="1"/>
        <v>148.53</v>
      </c>
      <c r="FH10" vm="1781">
        <f ca="1"/>
        <v>149.51</v>
      </c>
      <c r="FI10" vm="1782">
        <f ca="1"/>
        <v>151.13</v>
      </c>
      <c r="FJ10" vm="1783">
        <f ca="1"/>
        <v>152.54</v>
      </c>
      <c r="FK10" vm="1784">
        <f ca="1"/>
        <v>150.25</v>
      </c>
      <c r="FL10" vm="1785">
        <f ca="1"/>
        <v>151.59</v>
      </c>
      <c r="FM10" vm="1786">
        <f ca="1"/>
        <v>152.26</v>
      </c>
      <c r="FN10" vm="1787">
        <f ca="1"/>
        <v>150</v>
      </c>
      <c r="FO10" vm="1788">
        <f ca="1"/>
        <v>148.71</v>
      </c>
      <c r="FP10" vm="1789">
        <f ca="1"/>
        <v>148.49</v>
      </c>
      <c r="FQ10" vm="545">
        <f ca="1"/>
        <v>151.41</v>
      </c>
      <c r="FR10" vm="1790">
        <f ca="1"/>
        <v>150.72</v>
      </c>
      <c r="FS10" vm="1791">
        <f ca="1"/>
        <v>149.99</v>
      </c>
      <c r="FT10" vm="68">
        <f ca="1"/>
        <v>149.80000000000001</v>
      </c>
      <c r="FU10" vm="1792">
        <f ca="1"/>
        <v>146.75</v>
      </c>
      <c r="FV10" vm="1793">
        <f ca="1"/>
        <v>149.52000000000001</v>
      </c>
      <c r="FW10" vm="1794">
        <f ca="1"/>
        <v>147.69</v>
      </c>
      <c r="FX10" vm="1795">
        <f ca="1"/>
        <v>147.75</v>
      </c>
      <c r="FY10" vm="68">
        <f ca="1"/>
        <v>149.80000000000001</v>
      </c>
      <c r="FZ10" vm="1796">
        <f ca="1"/>
        <v>150.51</v>
      </c>
      <c r="GA10" vm="1797">
        <f ca="1"/>
        <v>150.5</v>
      </c>
      <c r="GB10" vm="1798">
        <f ca="1"/>
        <v>150.02000000000001</v>
      </c>
      <c r="GC10" vm="1799">
        <f ca="1"/>
        <v>150.99</v>
      </c>
      <c r="GD10" vm="1800">
        <f ca="1"/>
        <v>152.31</v>
      </c>
      <c r="GE10" vm="1801">
        <f ca="1"/>
        <v>152.41</v>
      </c>
      <c r="GF10" vm="1802">
        <f ca="1"/>
        <v>155.9</v>
      </c>
      <c r="GG10" vm="1803">
        <f ca="1"/>
        <v>163.85</v>
      </c>
      <c r="GH10" vm="1804">
        <f ca="1"/>
        <v>156.54</v>
      </c>
      <c r="GI10" vm="1805">
        <f ca="1"/>
        <v>155.19999999999999</v>
      </c>
      <c r="GJ10" vm="1806">
        <f ca="1"/>
        <v>159.25</v>
      </c>
      <c r="GK10" vm="1807">
        <f ca="1"/>
        <v>162.11000000000001</v>
      </c>
      <c r="GL10" vm="1808">
        <f ca="1"/>
        <v>162.34</v>
      </c>
      <c r="GM10" vm="1809">
        <f ca="1"/>
        <v>163.87</v>
      </c>
      <c r="GN10" vm="1810">
        <f ca="1"/>
        <v>167.24</v>
      </c>
      <c r="GO10" vm="1811">
        <f ca="1"/>
        <v>166.16</v>
      </c>
      <c r="GP10" vm="1812">
        <f ca="1"/>
        <v>166.26</v>
      </c>
      <c r="GQ10" vm="1813">
        <f ca="1"/>
        <v>165.3</v>
      </c>
      <c r="GR10" vm="1814">
        <f ca="1"/>
        <v>166.73</v>
      </c>
      <c r="GS10" vm="1815">
        <f ca="1"/>
        <v>166.66</v>
      </c>
      <c r="GT10" vm="1816">
        <f ca="1"/>
        <v>166.72</v>
      </c>
      <c r="GU10" vm="1817">
        <f ca="1"/>
        <v>167.5</v>
      </c>
      <c r="GV10" vm="1818">
        <f ca="1"/>
        <v>169.05</v>
      </c>
      <c r="GW10" vm="1819">
        <f ca="1"/>
        <v>169.93</v>
      </c>
      <c r="GX10" vm="1820">
        <f ca="1"/>
        <v>171.19</v>
      </c>
      <c r="GY10" vm="1821">
        <f ca="1"/>
        <v>176.9</v>
      </c>
      <c r="GZ10" vm="1822">
        <f ca="1"/>
        <v>174.03</v>
      </c>
      <c r="HA10" vm="1823">
        <f ca="1"/>
        <v>178.04</v>
      </c>
      <c r="HB10" vm="1824">
        <f ca="1"/>
        <v>181.23</v>
      </c>
      <c r="HC10" vm="1825">
        <f ca="1"/>
        <v>179.23</v>
      </c>
      <c r="HD10" vm="1826">
        <f ca="1"/>
        <v>180.86</v>
      </c>
      <c r="HE10" vm="1827">
        <f ca="1"/>
        <v>182.6</v>
      </c>
      <c r="HF10" vm="1828">
        <f ca="1"/>
        <v>182.26</v>
      </c>
      <c r="HG10" vm="1829">
        <f ca="1"/>
        <v>185.82</v>
      </c>
      <c r="HH10" vm="1830">
        <f ca="1"/>
        <v>182.4</v>
      </c>
      <c r="HI10" vm="1831">
        <f ca="1"/>
        <v>183.74</v>
      </c>
      <c r="HJ10" vm="1832">
        <f ca="1"/>
        <v>180.55</v>
      </c>
      <c r="HK10" vm="1833">
        <f ca="1"/>
        <v>183.87</v>
      </c>
      <c r="HL10" vm="1834">
        <f ca="1"/>
        <v>184.78</v>
      </c>
      <c r="HM10" vm="1835">
        <f ca="1"/>
        <v>183.93</v>
      </c>
      <c r="HN10" vm="1836">
        <f ca="1"/>
        <v>184.91</v>
      </c>
      <c r="HO10" vm="1837">
        <f ca="1"/>
        <v>185.34</v>
      </c>
      <c r="HP10" vm="1838">
        <f ca="1"/>
        <v>184.22</v>
      </c>
      <c r="HQ10" vm="1839">
        <f ca="1"/>
        <v>184.16</v>
      </c>
      <c r="HR10" vm="1840">
        <f ca="1"/>
        <v>186.76</v>
      </c>
      <c r="HS10" vm="156">
        <f ca="1"/>
        <v>189.6</v>
      </c>
      <c r="HT10" vm="1841">
        <f ca="1"/>
        <v>188.77</v>
      </c>
      <c r="HU10" vm="1842">
        <f ca="1"/>
        <v>186.03</v>
      </c>
      <c r="HV10" vm="1843">
        <f ca="1"/>
        <v>189.9</v>
      </c>
      <c r="HW10" vm="1844">
        <f ca="1"/>
        <v>189.94</v>
      </c>
      <c r="HX10" vm="1845">
        <f ca="1"/>
        <v>189.44</v>
      </c>
      <c r="HY10" vm="1846">
        <f ca="1"/>
        <v>186.29</v>
      </c>
      <c r="HZ10" vm="1847">
        <f ca="1"/>
        <v>191.79</v>
      </c>
      <c r="IA10" vm="1848">
        <f ca="1"/>
        <v>196.97</v>
      </c>
      <c r="IB10" vm="1849">
        <f ca="1"/>
        <v>196.82</v>
      </c>
      <c r="IC10" vm="1850">
        <f ca="1"/>
        <v>196.84</v>
      </c>
      <c r="ID10" vm="1851">
        <f ca="1"/>
        <v>197.97</v>
      </c>
      <c r="IE10" vm="1852">
        <f ca="1"/>
        <v>198.61</v>
      </c>
      <c r="IF10" vm="1853">
        <f ca="1"/>
        <v>201.44</v>
      </c>
      <c r="IG10" vm="1854">
        <f ca="1"/>
        <v>201.73</v>
      </c>
      <c r="IH10" vm="1855">
        <f ca="1"/>
        <v>205.21</v>
      </c>
      <c r="II10" vm="1856">
        <f ca="1"/>
        <v>206.79</v>
      </c>
      <c r="IJ10" vm="1857">
        <f ca="1"/>
        <v>205.15</v>
      </c>
      <c r="IK10" vm="1858">
        <f ca="1"/>
        <v>207.79</v>
      </c>
      <c r="IL10" vm="1859">
        <f ca="1"/>
        <v>211.15</v>
      </c>
      <c r="IM10" vm="1860">
        <f ca="1"/>
        <v>210.71</v>
      </c>
      <c r="IN10" vm="1861">
        <f ca="1"/>
        <v>206.9</v>
      </c>
      <c r="IO10" vm="1862">
        <f ca="1"/>
        <v>197.41</v>
      </c>
      <c r="IP10" vm="1863">
        <f ca="1"/>
        <v>198.97</v>
      </c>
    </row>
    <row r="11" spans="1:255" x14ac:dyDescent="0.35">
      <c r="A11" t="str">
        <f ca="1">Dashboard!B15</f>
        <v>F</v>
      </c>
      <c r="B11" cm="1" vm="1864">
        <f t="array" aca="1" ref="B11:IP11" ca="1">TRANSPOSE(_xlfn.STOCKHISTORY(A11,TODAY()-365,TODAY(),0,0,1))</f>
        <v>9.24</v>
      </c>
      <c r="C11" vm="1865">
        <f ca="1"/>
        <v>8.69</v>
      </c>
      <c r="D11" vm="1866">
        <f ca="1"/>
        <v>9.5</v>
      </c>
      <c r="E11" vm="1867">
        <f ca="1"/>
        <v>9.14</v>
      </c>
      <c r="F11" vm="1868">
        <f ca="1"/>
        <v>9.33</v>
      </c>
      <c r="G11" vm="1869">
        <f ca="1"/>
        <v>9.7100000000000009</v>
      </c>
      <c r="H11" vm="1870">
        <f ca="1"/>
        <v>9.4499999999999993</v>
      </c>
      <c r="I11" vm="1871">
        <f ca="1"/>
        <v>9.4</v>
      </c>
      <c r="J11" vm="1872">
        <f ca="1"/>
        <v>9.6300000000000008</v>
      </c>
      <c r="K11" vm="1873">
        <f ca="1"/>
        <v>9.4700000000000006</v>
      </c>
      <c r="L11" vm="1874">
        <f ca="1"/>
        <v>9.65</v>
      </c>
      <c r="M11" vm="1875">
        <f ca="1"/>
        <v>9.7799999999999994</v>
      </c>
      <c r="N11" vm="1876">
        <f ca="1"/>
        <v>10.06</v>
      </c>
      <c r="O11" vm="1877">
        <f ca="1"/>
        <v>10.039999999999999</v>
      </c>
      <c r="P11" vm="1878">
        <f ca="1"/>
        <v>10.02</v>
      </c>
      <c r="Q11" vm="1879">
        <f ca="1"/>
        <v>10.15</v>
      </c>
      <c r="R11" vm="1880">
        <f ca="1"/>
        <v>10.01</v>
      </c>
      <c r="S11" vm="1881">
        <f ca="1"/>
        <v>10.18</v>
      </c>
      <c r="T11" vm="1882">
        <f ca="1"/>
        <v>10.28</v>
      </c>
      <c r="U11" vm="1883">
        <f ca="1"/>
        <v>10.17</v>
      </c>
      <c r="V11" vm="1884">
        <f ca="1"/>
        <v>10.44</v>
      </c>
      <c r="W11" vm="1882">
        <f ca="1"/>
        <v>10.28</v>
      </c>
      <c r="X11" vm="1882">
        <f ca="1"/>
        <v>10.28</v>
      </c>
      <c r="Y11" vm="1885">
        <f ca="1"/>
        <v>10.43</v>
      </c>
      <c r="Z11" vm="1886">
        <f ca="1"/>
        <v>10.55</v>
      </c>
      <c r="AA11" vm="1887">
        <f ca="1"/>
        <v>10.6</v>
      </c>
      <c r="AB11" vm="1888">
        <f ca="1"/>
        <v>10.65</v>
      </c>
      <c r="AC11" vm="1889">
        <f ca="1"/>
        <v>10.75</v>
      </c>
      <c r="AD11" vm="1890">
        <f ca="1"/>
        <v>10.8</v>
      </c>
      <c r="AE11" vm="1889">
        <f ca="1"/>
        <v>10.75</v>
      </c>
      <c r="AF11" vm="1891">
        <f ca="1"/>
        <v>10.72</v>
      </c>
      <c r="AG11" vm="1892">
        <f ca="1"/>
        <v>10.48</v>
      </c>
      <c r="AH11" vm="1884">
        <f ca="1"/>
        <v>10.44</v>
      </c>
      <c r="AI11" vm="1893">
        <f ca="1"/>
        <v>10.36</v>
      </c>
      <c r="AJ11" vm="1894">
        <f ca="1"/>
        <v>10.31</v>
      </c>
      <c r="AK11" vm="1883">
        <f ca="1"/>
        <v>10.17</v>
      </c>
      <c r="AL11" vm="1895">
        <f ca="1"/>
        <v>10.220000000000001</v>
      </c>
      <c r="AM11" vm="1896">
        <f ca="1"/>
        <v>10.38</v>
      </c>
      <c r="AN11" vm="1897">
        <f ca="1"/>
        <v>9.98</v>
      </c>
      <c r="AO11" vm="1898">
        <f ca="1"/>
        <v>10.19</v>
      </c>
      <c r="AP11" vm="1899">
        <f ca="1"/>
        <v>10.24</v>
      </c>
      <c r="AQ11" vm="1900">
        <f ca="1"/>
        <v>10.1</v>
      </c>
      <c r="AR11" vm="1901">
        <f ca="1"/>
        <v>10.26</v>
      </c>
      <c r="AS11" vm="1902">
        <f ca="1"/>
        <v>10.34</v>
      </c>
      <c r="AT11" vm="1887">
        <f ca="1"/>
        <v>10.6</v>
      </c>
      <c r="AU11" vm="1903">
        <f ca="1"/>
        <v>10.66</v>
      </c>
      <c r="AV11" vm="1904">
        <f ca="1"/>
        <v>10.53</v>
      </c>
      <c r="AW11" vm="1885">
        <f ca="1"/>
        <v>10.43</v>
      </c>
      <c r="AX11" vm="1905">
        <f ca="1"/>
        <v>10.62</v>
      </c>
      <c r="AY11" vm="1906">
        <f ca="1"/>
        <v>10.42</v>
      </c>
      <c r="AZ11" vm="1885">
        <f ca="1"/>
        <v>10.43</v>
      </c>
      <c r="BA11" vm="1907">
        <f ca="1"/>
        <v>10.59</v>
      </c>
      <c r="BB11" vm="1889">
        <f ca="1"/>
        <v>10.75</v>
      </c>
      <c r="BC11" vm="1908">
        <f ca="1"/>
        <v>10.73</v>
      </c>
      <c r="BD11" vm="1892">
        <f ca="1"/>
        <v>10.48</v>
      </c>
      <c r="BE11" vm="1909">
        <f ca="1"/>
        <v>10.63</v>
      </c>
      <c r="BF11" vm="1890">
        <f ca="1"/>
        <v>10.8</v>
      </c>
      <c r="BG11" vm="1910">
        <f ca="1"/>
        <v>10.85</v>
      </c>
      <c r="BH11" vm="1911">
        <f ca="1"/>
        <v>11.35</v>
      </c>
      <c r="BI11" vm="1912">
        <f ca="1"/>
        <v>11.77</v>
      </c>
      <c r="BJ11" vm="1913">
        <f ca="1"/>
        <v>11.81</v>
      </c>
      <c r="BK11" vm="1914">
        <f ca="1"/>
        <v>11.59</v>
      </c>
      <c r="BL11" vm="1915">
        <f ca="1"/>
        <v>11.68</v>
      </c>
      <c r="BM11" vm="1916">
        <f ca="1"/>
        <v>11.83</v>
      </c>
      <c r="BN11" vm="1917">
        <f ca="1"/>
        <v>11.91</v>
      </c>
      <c r="BO11" vm="1918">
        <f ca="1"/>
        <v>11.78</v>
      </c>
      <c r="BP11" vm="1919">
        <f ca="1"/>
        <v>11.88</v>
      </c>
      <c r="BQ11" vm="1920">
        <f ca="1"/>
        <v>11.57</v>
      </c>
      <c r="BR11" vm="1921">
        <f ca="1"/>
        <v>11.24</v>
      </c>
      <c r="BS11" vm="1922">
        <f ca="1"/>
        <v>11.15</v>
      </c>
      <c r="BT11" vm="1923">
        <f ca="1"/>
        <v>11.16</v>
      </c>
      <c r="BU11" vm="1924">
        <f ca="1"/>
        <v>11.31</v>
      </c>
      <c r="BV11" vm="1925">
        <f ca="1"/>
        <v>11.19</v>
      </c>
      <c r="BW11" vm="1926">
        <f ca="1"/>
        <v>11.38</v>
      </c>
      <c r="BX11" vm="1927">
        <f ca="1"/>
        <v>11.26</v>
      </c>
      <c r="BY11" vm="1928">
        <f ca="1"/>
        <v>11.47</v>
      </c>
      <c r="BZ11" vm="1929">
        <f ca="1"/>
        <v>11.28</v>
      </c>
      <c r="CA11" vm="1930">
        <f ca="1"/>
        <v>11.08</v>
      </c>
      <c r="CB11" vm="1931">
        <f ca="1"/>
        <v>10.87</v>
      </c>
      <c r="CC11" vm="1932">
        <f ca="1"/>
        <v>11.07</v>
      </c>
      <c r="CD11" vm="1933">
        <f ca="1"/>
        <v>10.82</v>
      </c>
      <c r="CE11" vm="1934">
        <f ca="1"/>
        <v>10.95</v>
      </c>
      <c r="CF11" vm="1935">
        <f ca="1"/>
        <v>11.06</v>
      </c>
      <c r="CG11" vm="1936">
        <f ca="1"/>
        <v>11.21</v>
      </c>
      <c r="CH11" vm="1929">
        <f ca="1"/>
        <v>11.28</v>
      </c>
      <c r="CI11" vm="1937">
        <f ca="1"/>
        <v>11.32</v>
      </c>
      <c r="CJ11" vm="1938">
        <f ca="1"/>
        <v>11.14</v>
      </c>
      <c r="CK11" vm="1939">
        <f ca="1"/>
        <v>11.25</v>
      </c>
      <c r="CL11" vm="1940">
        <f ca="1"/>
        <v>11.44</v>
      </c>
      <c r="CM11" vm="1940">
        <f ca="1"/>
        <v>11.44</v>
      </c>
      <c r="CN11" vm="1940">
        <f ca="1"/>
        <v>11.44</v>
      </c>
      <c r="CO11" vm="1941">
        <f ca="1"/>
        <v>11.46</v>
      </c>
      <c r="CP11" vm="1942">
        <f ca="1"/>
        <v>11.58</v>
      </c>
      <c r="CQ11" vm="1943">
        <f ca="1"/>
        <v>11.49</v>
      </c>
      <c r="CR11" vm="1944">
        <f ca="1"/>
        <v>11.33</v>
      </c>
      <c r="CS11" vm="1945">
        <f ca="1"/>
        <v>11.74</v>
      </c>
      <c r="CT11" vm="1946">
        <f ca="1"/>
        <v>11.82</v>
      </c>
      <c r="CU11" vm="1947">
        <f ca="1"/>
        <v>11.84</v>
      </c>
      <c r="CV11" vm="1917">
        <f ca="1"/>
        <v>11.91</v>
      </c>
      <c r="CW11" vm="1948">
        <f ca="1"/>
        <v>11.71</v>
      </c>
      <c r="CX11" vm="1912">
        <f ca="1"/>
        <v>11.77</v>
      </c>
      <c r="CY11" vm="1949">
        <f ca="1"/>
        <v>11.72</v>
      </c>
      <c r="CZ11" vm="1950">
        <f ca="1"/>
        <v>11.62</v>
      </c>
      <c r="DA11" vm="1915">
        <f ca="1"/>
        <v>11.68</v>
      </c>
      <c r="DB11" vm="1945">
        <f ca="1"/>
        <v>11.74</v>
      </c>
      <c r="DC11" vm="1951">
        <f ca="1"/>
        <v>11.69</v>
      </c>
      <c r="DD11" vm="1943">
        <f ca="1"/>
        <v>11.49</v>
      </c>
      <c r="DE11" vm="1952">
        <f ca="1"/>
        <v>11.42</v>
      </c>
      <c r="DF11" vm="1953">
        <f ca="1"/>
        <v>11.76</v>
      </c>
      <c r="DG11" vm="1915">
        <f ca="1"/>
        <v>11.68</v>
      </c>
      <c r="DH11" vm="1915">
        <f ca="1"/>
        <v>11.68</v>
      </c>
      <c r="DI11" vm="1954">
        <f ca="1"/>
        <v>11.61</v>
      </c>
      <c r="DJ11" vm="1955">
        <f ca="1"/>
        <v>11.66</v>
      </c>
      <c r="DK11" vm="1945">
        <f ca="1"/>
        <v>11.74</v>
      </c>
      <c r="DL11" vm="1950">
        <f ca="1"/>
        <v>11.62</v>
      </c>
      <c r="DM11" vm="1955">
        <f ca="1"/>
        <v>11.66</v>
      </c>
      <c r="DN11" vm="1956">
        <f ca="1"/>
        <v>11.73</v>
      </c>
      <c r="DO11" vm="1957">
        <f ca="1"/>
        <v>11.63</v>
      </c>
      <c r="DP11" vm="1950">
        <f ca="1"/>
        <v>11.62</v>
      </c>
      <c r="DQ11" vm="1958">
        <f ca="1"/>
        <v>12.01</v>
      </c>
      <c r="DR11" vm="1959">
        <f ca="1"/>
        <v>12.09</v>
      </c>
      <c r="DS11" vm="1960">
        <f ca="1"/>
        <v>11.96</v>
      </c>
      <c r="DT11" vm="1961">
        <f ca="1"/>
        <v>12.27</v>
      </c>
      <c r="DU11" vm="1962">
        <f ca="1"/>
        <v>12.22</v>
      </c>
      <c r="DV11" vm="1963">
        <f ca="1"/>
        <v>12.67</v>
      </c>
      <c r="DW11" vm="1964">
        <f ca="1"/>
        <v>12.7</v>
      </c>
      <c r="DX11" vm="1965">
        <f ca="1"/>
        <v>11.92</v>
      </c>
      <c r="DY11" vm="1945">
        <f ca="1"/>
        <v>11.74</v>
      </c>
      <c r="DZ11" vm="1966">
        <f ca="1"/>
        <v>11.5</v>
      </c>
      <c r="EA11" vm="1967">
        <f ca="1"/>
        <v>11.41</v>
      </c>
      <c r="EB11" vm="1968">
        <f ca="1"/>
        <v>11.54</v>
      </c>
      <c r="EC11" vm="1969">
        <f ca="1"/>
        <v>11.65</v>
      </c>
      <c r="ED11" vm="1953">
        <f ca="1"/>
        <v>11.76</v>
      </c>
      <c r="EE11" vm="1945">
        <f ca="1"/>
        <v>11.74</v>
      </c>
      <c r="EF11" vm="1965">
        <f ca="1"/>
        <v>11.92</v>
      </c>
      <c r="EG11" vm="1970">
        <f ca="1"/>
        <v>11.99</v>
      </c>
      <c r="EH11" vm="1971">
        <f ca="1"/>
        <v>12.56</v>
      </c>
      <c r="EI11" vm="1972">
        <f ca="1"/>
        <v>12.43</v>
      </c>
      <c r="EJ11" vm="1973">
        <f ca="1"/>
        <v>12.34</v>
      </c>
      <c r="EK11" vm="1974">
        <f ca="1"/>
        <v>13.84</v>
      </c>
      <c r="EL11" vm="1975">
        <f ca="1"/>
        <v>13.26</v>
      </c>
      <c r="EM11" vm="1976">
        <f ca="1"/>
        <v>13.13</v>
      </c>
      <c r="EN11" vm="1977">
        <f ca="1"/>
        <v>13.24</v>
      </c>
      <c r="EO11" vm="1978">
        <f ca="1"/>
        <v>13.06</v>
      </c>
      <c r="EP11" vm="1976">
        <f ca="1"/>
        <v>13.13</v>
      </c>
      <c r="EQ11" vm="1979">
        <f ca="1"/>
        <v>13.01</v>
      </c>
      <c r="ER11" vm="1980">
        <f ca="1"/>
        <v>12.79</v>
      </c>
      <c r="ES11" vm="1981">
        <f ca="1"/>
        <v>13.11</v>
      </c>
      <c r="ET11" vm="1982">
        <f ca="1"/>
        <v>13.12</v>
      </c>
      <c r="EU11" vm="1983">
        <f ca="1"/>
        <v>13.21</v>
      </c>
      <c r="EV11" vm="1984">
        <f ca="1"/>
        <v>13.16</v>
      </c>
      <c r="EW11" vm="1985">
        <f ca="1"/>
        <v>13.3</v>
      </c>
      <c r="EX11" vm="1986">
        <f ca="1"/>
        <v>13.45</v>
      </c>
      <c r="EY11" vm="1987">
        <f ca="1"/>
        <v>13.28</v>
      </c>
      <c r="EZ11" vm="1988">
        <f ca="1"/>
        <v>13.19</v>
      </c>
      <c r="FA11" vm="1989">
        <f ca="1"/>
        <v>12.88</v>
      </c>
      <c r="FB11" vm="1990">
        <f ca="1"/>
        <v>13.02</v>
      </c>
      <c r="FC11" vm="1991">
        <f ca="1"/>
        <v>12.9</v>
      </c>
      <c r="FD11" vm="1992">
        <f ca="1"/>
        <v>12.41</v>
      </c>
      <c r="FE11" vm="1993">
        <f ca="1"/>
        <v>12.83</v>
      </c>
      <c r="FF11" vm="1994">
        <f ca="1"/>
        <v>12.96</v>
      </c>
      <c r="FG11" vm="1995">
        <f ca="1"/>
        <v>13.17</v>
      </c>
      <c r="FH11" vm="1988">
        <f ca="1"/>
        <v>13.19</v>
      </c>
      <c r="FI11" vm="1987">
        <f ca="1"/>
        <v>13.28</v>
      </c>
      <c r="FJ11" vm="1984">
        <f ca="1"/>
        <v>13.16</v>
      </c>
      <c r="FK11" vm="1994">
        <f ca="1"/>
        <v>12.96</v>
      </c>
      <c r="FL11" vm="1996">
        <f ca="1"/>
        <v>13.09</v>
      </c>
      <c r="FM11" vm="1997">
        <f ca="1"/>
        <v>13.14</v>
      </c>
      <c r="FN11" vm="1998">
        <f ca="1"/>
        <v>13.03</v>
      </c>
      <c r="FO11" vm="1997">
        <f ca="1"/>
        <v>13.14</v>
      </c>
      <c r="FP11" vm="1999">
        <f ca="1"/>
        <v>13.08</v>
      </c>
      <c r="FQ11" vm="2000">
        <f ca="1"/>
        <v>13.41</v>
      </c>
      <c r="FR11" vm="2001">
        <f ca="1"/>
        <v>13.63</v>
      </c>
      <c r="FS11" vm="2002">
        <f ca="1"/>
        <v>13.76</v>
      </c>
      <c r="FT11" vm="2003">
        <f ca="1"/>
        <v>13.65</v>
      </c>
      <c r="FU11" vm="2004">
        <f ca="1"/>
        <v>13.67</v>
      </c>
      <c r="FV11" vm="2005">
        <f ca="1"/>
        <v>13.31</v>
      </c>
      <c r="FW11" vm="2006">
        <f ca="1"/>
        <v>13.32</v>
      </c>
      <c r="FX11" vm="2007">
        <f ca="1"/>
        <v>13.47</v>
      </c>
      <c r="FY11" vm="2008">
        <f ca="1"/>
        <v>13.46</v>
      </c>
      <c r="FZ11" vm="2009">
        <f ca="1"/>
        <v>13.29</v>
      </c>
      <c r="GA11" vm="2010">
        <f ca="1"/>
        <v>13.36</v>
      </c>
      <c r="GB11" vm="2005">
        <f ca="1"/>
        <v>13.31</v>
      </c>
      <c r="GC11" vm="1987">
        <f ca="1"/>
        <v>13.28</v>
      </c>
      <c r="GD11" vm="2011">
        <f ca="1"/>
        <v>13.23</v>
      </c>
      <c r="GE11" vm="1982">
        <f ca="1"/>
        <v>13.12</v>
      </c>
      <c r="GF11" vm="2012">
        <f ca="1"/>
        <v>13.34</v>
      </c>
      <c r="GG11" vm="2007">
        <f ca="1"/>
        <v>13.47</v>
      </c>
      <c r="GH11" vm="2013">
        <f ca="1"/>
        <v>13.8</v>
      </c>
      <c r="GI11" vm="2014">
        <f ca="1"/>
        <v>13.74</v>
      </c>
      <c r="GJ11" vm="2015">
        <f ca="1"/>
        <v>14.4</v>
      </c>
      <c r="GK11" vm="2016">
        <f ca="1"/>
        <v>14.2</v>
      </c>
      <c r="GL11" vm="2017">
        <f ca="1"/>
        <v>14.03</v>
      </c>
      <c r="GM11" vm="2018">
        <f ca="1"/>
        <v>13.98</v>
      </c>
      <c r="GN11" vm="1974">
        <f ca="1"/>
        <v>13.84</v>
      </c>
      <c r="GO11" vm="2019">
        <f ca="1"/>
        <v>13.81</v>
      </c>
      <c r="GP11" vm="2020">
        <f ca="1"/>
        <v>13.6</v>
      </c>
      <c r="GQ11" vm="1987">
        <f ca="1"/>
        <v>13.28</v>
      </c>
      <c r="GR11" vm="2021">
        <f ca="1"/>
        <v>13.77</v>
      </c>
      <c r="GS11" vm="2022">
        <f ca="1"/>
        <v>13.71</v>
      </c>
      <c r="GT11" vm="2023">
        <f ca="1"/>
        <v>13.56</v>
      </c>
      <c r="GU11" vm="2024">
        <f ca="1"/>
        <v>13.44</v>
      </c>
      <c r="GV11" vm="2025">
        <f ca="1"/>
        <v>13.93</v>
      </c>
      <c r="GW11" vm="2026">
        <f ca="1"/>
        <v>13.82</v>
      </c>
      <c r="GX11" vm="2027">
        <f ca="1"/>
        <v>14</v>
      </c>
      <c r="GY11" vm="2028">
        <f ca="1"/>
        <v>13.88</v>
      </c>
      <c r="GZ11" vm="2019">
        <f ca="1"/>
        <v>13.81</v>
      </c>
      <c r="HA11" vm="2029">
        <f ca="1"/>
        <v>13.73</v>
      </c>
      <c r="HB11" vm="2026">
        <f ca="1"/>
        <v>13.82</v>
      </c>
      <c r="HC11" vm="2030">
        <f ca="1"/>
        <v>13.72</v>
      </c>
      <c r="HD11" vm="2013">
        <f ca="1"/>
        <v>13.8</v>
      </c>
      <c r="HE11" vm="2031">
        <f ca="1"/>
        <v>13.59</v>
      </c>
      <c r="HF11" vm="2032">
        <f ca="1"/>
        <v>13.57</v>
      </c>
      <c r="HG11" vm="2033">
        <f ca="1"/>
        <v>13.85</v>
      </c>
      <c r="HH11" vm="2027">
        <f ca="1"/>
        <v>14</v>
      </c>
      <c r="HI11" vm="2034">
        <f ca="1"/>
        <v>14.12</v>
      </c>
      <c r="HJ11" vm="2035">
        <f ca="1"/>
        <v>14.13</v>
      </c>
      <c r="HK11" vm="2033">
        <f ca="1"/>
        <v>13.85</v>
      </c>
      <c r="HL11" vm="2036">
        <f ca="1"/>
        <v>13.78</v>
      </c>
      <c r="HM11" vm="2037">
        <f ca="1"/>
        <v>14.01</v>
      </c>
      <c r="HN11" vm="2038">
        <f ca="1"/>
        <v>13.64</v>
      </c>
      <c r="HO11" vm="2016">
        <f ca="1"/>
        <v>14.2</v>
      </c>
      <c r="HP11" vm="2039">
        <f ca="1"/>
        <v>14.43</v>
      </c>
      <c r="HQ11" vm="2040">
        <f ca="1"/>
        <v>14.41</v>
      </c>
      <c r="HR11" vm="2041">
        <f ca="1"/>
        <v>14.09</v>
      </c>
      <c r="HS11" vm="2042">
        <f ca="1"/>
        <v>13.39</v>
      </c>
      <c r="HT11" vm="1964">
        <f ca="1"/>
        <v>12.7</v>
      </c>
      <c r="HU11" vm="2043">
        <f ca="1"/>
        <v>12.81</v>
      </c>
      <c r="HV11" vm="1973">
        <f ca="1"/>
        <v>12.34</v>
      </c>
      <c r="HW11" vm="2044">
        <f ca="1"/>
        <v>12.15</v>
      </c>
      <c r="HX11" vm="2045">
        <f ca="1"/>
        <v>12.19</v>
      </c>
      <c r="HY11" vm="2046">
        <f ca="1"/>
        <v>12.24</v>
      </c>
      <c r="HZ11" vm="2047">
        <f ca="1"/>
        <v>12.11</v>
      </c>
      <c r="IA11" vm="2048">
        <f ca="1"/>
        <v>12.04</v>
      </c>
      <c r="IB11" vm="2049">
        <f ca="1"/>
        <v>11.67</v>
      </c>
      <c r="IC11" vm="1948">
        <f ca="1"/>
        <v>11.71</v>
      </c>
      <c r="ID11" vm="2050">
        <f ca="1"/>
        <v>11.94</v>
      </c>
      <c r="IE11" vm="2051">
        <f ca="1"/>
        <v>11.79</v>
      </c>
      <c r="IF11" vm="2052">
        <f ca="1"/>
        <v>11.64</v>
      </c>
      <c r="IG11" vm="2053">
        <f ca="1"/>
        <v>11.52</v>
      </c>
      <c r="IH11" vm="1953">
        <f ca="1"/>
        <v>11.76</v>
      </c>
      <c r="II11" vm="1947">
        <f ca="1"/>
        <v>11.84</v>
      </c>
      <c r="IJ11" vm="2049">
        <f ca="1"/>
        <v>11.67</v>
      </c>
      <c r="IK11" vm="2054">
        <f ca="1"/>
        <v>11.6</v>
      </c>
      <c r="IL11" vm="2055">
        <f ca="1"/>
        <v>11.37</v>
      </c>
      <c r="IM11" vm="1936">
        <f ca="1"/>
        <v>11.21</v>
      </c>
      <c r="IN11" vm="1968">
        <f ca="1"/>
        <v>11.54</v>
      </c>
      <c r="IO11" vm="1915">
        <f ca="1"/>
        <v>11.68</v>
      </c>
      <c r="IP11" vm="2054">
        <f ca="1"/>
        <v>11.6</v>
      </c>
    </row>
    <row r="12" spans="1:255" x14ac:dyDescent="0.35">
      <c r="A12" t="str">
        <f ca="1">Dashboard!B16</f>
        <v>GOOG</v>
      </c>
      <c r="B12" cm="1" vm="2056">
        <f t="array" aca="1" ref="B12:IP12" ca="1">TRANSPOSE(_xlfn.STOCKHISTORY(A12,TODAY()-365,TODAY(),0,0,1))</f>
        <v>149.24</v>
      </c>
      <c r="C12" vm="2057">
        <f ca="1"/>
        <v>146.58000000000001</v>
      </c>
      <c r="D12" vm="2058">
        <f ca="1"/>
        <v>161.06</v>
      </c>
      <c r="E12" vm="2059">
        <f ca="1"/>
        <v>155.37</v>
      </c>
      <c r="F12" vm="2060">
        <f ca="1"/>
        <v>159.4</v>
      </c>
      <c r="G12" vm="2061">
        <f ca="1"/>
        <v>161.47</v>
      </c>
      <c r="H12" vm="2062">
        <f ca="1"/>
        <v>158.68</v>
      </c>
      <c r="I12" vm="80">
        <f ca="1"/>
        <v>155.5</v>
      </c>
      <c r="J12" vm="2063">
        <f ca="1"/>
        <v>153.36000000000001</v>
      </c>
      <c r="K12" vm="2064">
        <f ca="1"/>
        <v>149.86000000000001</v>
      </c>
      <c r="L12" vm="2065">
        <f ca="1"/>
        <v>153.9</v>
      </c>
      <c r="M12" vm="1764">
        <f ca="1"/>
        <v>157.72</v>
      </c>
      <c r="N12" vm="2061">
        <f ca="1"/>
        <v>161.47</v>
      </c>
      <c r="O12" vm="1803">
        <f ca="1"/>
        <v>163.85</v>
      </c>
      <c r="P12" vm="2066">
        <f ca="1"/>
        <v>162.41999999999999</v>
      </c>
      <c r="Q12" vm="2067">
        <f ca="1"/>
        <v>162.06</v>
      </c>
      <c r="R12" vm="2068">
        <f ca="1"/>
        <v>160.88999999999999</v>
      </c>
      <c r="S12" vm="2069">
        <f ca="1"/>
        <v>162.79</v>
      </c>
      <c r="T12" vm="2070">
        <f ca="1"/>
        <v>165.81</v>
      </c>
      <c r="U12" vm="2071">
        <f ca="1"/>
        <v>166.05</v>
      </c>
      <c r="V12" vm="533">
        <f ca="1"/>
        <v>165.2</v>
      </c>
      <c r="W12" vm="2072">
        <f ca="1"/>
        <v>152.80000000000001</v>
      </c>
      <c r="X12" vm="2073">
        <f ca="1"/>
        <v>155.75</v>
      </c>
      <c r="Y12" vm="2074">
        <f ca="1"/>
        <v>154.38</v>
      </c>
      <c r="Z12" vm="2075">
        <f ca="1"/>
        <v>159.58000000000001</v>
      </c>
      <c r="AA12" vm="2068">
        <f ca="1"/>
        <v>160.88999999999999</v>
      </c>
      <c r="AB12" vm="2076">
        <f ca="1"/>
        <v>166.81</v>
      </c>
      <c r="AC12" vm="2077">
        <f ca="1"/>
        <v>165.4</v>
      </c>
      <c r="AD12" vm="2078">
        <f ca="1"/>
        <v>167.43</v>
      </c>
      <c r="AE12" vm="2079">
        <f ca="1"/>
        <v>167.87</v>
      </c>
      <c r="AF12" vm="2080">
        <f ca="1"/>
        <v>165.32</v>
      </c>
      <c r="AG12" vm="2081">
        <f ca="1"/>
        <v>170.06</v>
      </c>
      <c r="AH12" vm="2082">
        <f ca="1"/>
        <v>171.98</v>
      </c>
      <c r="AI12" vm="2083">
        <f ca="1"/>
        <v>169.59</v>
      </c>
      <c r="AJ12" vm="2084">
        <f ca="1"/>
        <v>173.98</v>
      </c>
      <c r="AK12" vm="2085">
        <f ca="1"/>
        <v>173.38</v>
      </c>
      <c r="AL12" vm="2086">
        <f ca="1"/>
        <v>172.96</v>
      </c>
      <c r="AM12" vm="2087">
        <f ca="1"/>
        <v>172.85</v>
      </c>
      <c r="AN12" vm="2088">
        <f ca="1"/>
        <v>170.37</v>
      </c>
      <c r="AO12" vm="2089">
        <f ca="1"/>
        <v>167.71</v>
      </c>
      <c r="AP12" vm="2090">
        <f ca="1"/>
        <v>169.39</v>
      </c>
      <c r="AQ12" vm="2091">
        <f ca="1"/>
        <v>169.81</v>
      </c>
      <c r="AR12" vm="2092">
        <f ca="1"/>
        <v>174.92</v>
      </c>
      <c r="AS12" vm="2093">
        <f ca="1"/>
        <v>177.63</v>
      </c>
      <c r="AT12" vm="2094">
        <f ca="1"/>
        <v>180.01</v>
      </c>
      <c r="AU12" vm="2095">
        <f ca="1"/>
        <v>178.79</v>
      </c>
      <c r="AV12" vm="2096">
        <f ca="1"/>
        <v>176.97</v>
      </c>
      <c r="AW12" vm="2097">
        <f ca="1"/>
        <v>175.88</v>
      </c>
      <c r="AX12" vm="2098">
        <f ca="1"/>
        <v>177.94</v>
      </c>
      <c r="AY12" vm="2099">
        <f ca="1"/>
        <v>177.23</v>
      </c>
      <c r="AZ12" vm="2084">
        <f ca="1"/>
        <v>173.98</v>
      </c>
      <c r="BA12" vm="2100">
        <f ca="1"/>
        <v>167.73</v>
      </c>
      <c r="BB12" vm="2101">
        <f ca="1"/>
        <v>166.01</v>
      </c>
      <c r="BC12" vm="2102">
        <f ca="1"/>
        <v>167.74</v>
      </c>
      <c r="BD12" vm="2103">
        <f ca="1"/>
        <v>171.49</v>
      </c>
      <c r="BE12" vm="2104">
        <f ca="1"/>
        <v>174.43</v>
      </c>
      <c r="BF12" vm="2105">
        <f ca="1"/>
        <v>178.27</v>
      </c>
      <c r="BG12" vm="2106">
        <f ca="1"/>
        <v>177.39</v>
      </c>
      <c r="BH12" vm="2107">
        <f ca="1"/>
        <v>176.91</v>
      </c>
      <c r="BI12" vm="2108">
        <f ca="1"/>
        <v>179.76</v>
      </c>
      <c r="BJ12" vm="1832">
        <f ca="1"/>
        <v>180.55</v>
      </c>
      <c r="BK12" vm="2109">
        <f ca="1"/>
        <v>177.56</v>
      </c>
      <c r="BL12" vm="2110">
        <f ca="1"/>
        <v>175.16</v>
      </c>
      <c r="BM12" vm="2111">
        <f ca="1"/>
        <v>177.66</v>
      </c>
      <c r="BN12" vm="2112">
        <f ca="1"/>
        <v>178.7</v>
      </c>
      <c r="BO12" vm="2113">
        <f ca="1"/>
        <v>181.31</v>
      </c>
      <c r="BP12" vm="2114">
        <f ca="1"/>
        <v>182.81</v>
      </c>
      <c r="BQ12" vm="152">
        <f ca="1"/>
        <v>183.1</v>
      </c>
      <c r="BR12" vm="2115">
        <f ca="1"/>
        <v>183.77</v>
      </c>
      <c r="BS12" vm="2116">
        <f ca="1"/>
        <v>184.7</v>
      </c>
      <c r="BT12" vm="2117">
        <f ca="1"/>
        <v>185.94</v>
      </c>
      <c r="BU12" vm="155">
        <f ca="1"/>
        <v>191.15</v>
      </c>
      <c r="BV12" vm="2118">
        <f ca="1"/>
        <v>192.11</v>
      </c>
      <c r="BW12" vm="2119">
        <f ca="1"/>
        <v>191.51</v>
      </c>
      <c r="BX12" vm="2120">
        <f ca="1"/>
        <v>193.2</v>
      </c>
      <c r="BY12" vm="2121">
        <f ca="1"/>
        <v>194.08</v>
      </c>
      <c r="BZ12" vm="2122">
        <f ca="1"/>
        <v>193.42</v>
      </c>
      <c r="CA12" vm="2123">
        <f ca="1"/>
        <v>196.43</v>
      </c>
      <c r="CB12" vm="2124">
        <f ca="1"/>
        <v>197.44</v>
      </c>
      <c r="CC12" vm="2125">
        <f ca="1"/>
        <v>192.86</v>
      </c>
      <c r="CD12" vm="2126">
        <f ca="1"/>
        <v>189.95</v>
      </c>
      <c r="CE12" vm="2127">
        <f ca="1"/>
        <v>195.75</v>
      </c>
      <c r="CF12" vm="2128">
        <f ca="1"/>
        <v>195.32</v>
      </c>
      <c r="CG12" vm="2129">
        <f ca="1"/>
        <v>196.92</v>
      </c>
      <c r="CH12" vm="2130">
        <f ca="1"/>
        <v>197.28</v>
      </c>
      <c r="CI12" vm="233">
        <f ca="1"/>
        <v>202.09</v>
      </c>
      <c r="CJ12" vm="2131">
        <f ca="1"/>
        <v>201.63</v>
      </c>
      <c r="CK12" vm="2132">
        <f ca="1"/>
        <v>204.16</v>
      </c>
      <c r="CL12" vm="959">
        <f ca="1"/>
        <v>203.03</v>
      </c>
      <c r="CM12" vm="2133">
        <f ca="1"/>
        <v>203.82</v>
      </c>
      <c r="CN12" vm="2134">
        <f ca="1"/>
        <v>204.91</v>
      </c>
      <c r="CO12" vm="2135">
        <f ca="1"/>
        <v>204.29</v>
      </c>
      <c r="CP12" vm="2136">
        <f ca="1"/>
        <v>202.49</v>
      </c>
      <c r="CQ12" vm="645">
        <f ca="1"/>
        <v>200.19</v>
      </c>
      <c r="CR12" vm="2137">
        <f ca="1"/>
        <v>200.62</v>
      </c>
      <c r="CS12" vm="2138">
        <f ca="1"/>
        <v>206.72</v>
      </c>
      <c r="CT12" vm="2139">
        <f ca="1"/>
        <v>209.16</v>
      </c>
      <c r="CU12" vm="1137">
        <f ca="1"/>
        <v>207.95</v>
      </c>
      <c r="CV12" vm="2140">
        <f ca="1"/>
        <v>208.21</v>
      </c>
      <c r="CW12" vm="2141">
        <f ca="1"/>
        <v>212.37</v>
      </c>
      <c r="CX12" vm="2142">
        <f ca="1"/>
        <v>213.53</v>
      </c>
      <c r="CY12" vm="730">
        <f ca="1"/>
        <v>211.99</v>
      </c>
      <c r="CZ12" vm="2143">
        <f ca="1"/>
        <v>231.1</v>
      </c>
      <c r="DA12" vm="2144">
        <f ca="1"/>
        <v>232.66</v>
      </c>
      <c r="DB12" vm="2145">
        <f ca="1"/>
        <v>235.17</v>
      </c>
      <c r="DC12" vm="2146">
        <f ca="1"/>
        <v>234.16</v>
      </c>
      <c r="DD12" vm="2147">
        <f ca="1"/>
        <v>239.94</v>
      </c>
      <c r="DE12" vm="2148">
        <f ca="1"/>
        <v>239.56</v>
      </c>
      <c r="DF12" vm="2149">
        <f ca="1"/>
        <v>240.78</v>
      </c>
      <c r="DG12" vm="2150">
        <f ca="1"/>
        <v>241.38</v>
      </c>
      <c r="DH12" vm="2151">
        <f ca="1"/>
        <v>251.76</v>
      </c>
      <c r="DI12" vm="2152">
        <f ca="1"/>
        <v>251.42</v>
      </c>
      <c r="DJ12" vm="2153">
        <f ca="1"/>
        <v>249.85</v>
      </c>
      <c r="DK12" vm="2154">
        <f ca="1"/>
        <v>252.33</v>
      </c>
      <c r="DL12" vm="2155">
        <f ca="1"/>
        <v>255.24</v>
      </c>
      <c r="DM12" vm="2156">
        <f ca="1"/>
        <v>252.88</v>
      </c>
      <c r="DN12" vm="2157">
        <f ca="1"/>
        <v>252.34</v>
      </c>
      <c r="DO12" vm="2158">
        <f ca="1"/>
        <v>247.83</v>
      </c>
      <c r="DP12" vm="2159">
        <f ca="1"/>
        <v>246.57</v>
      </c>
      <c r="DQ12" vm="2160">
        <f ca="1"/>
        <v>247.18</v>
      </c>
      <c r="DR12" vm="2161">
        <f ca="1"/>
        <v>244.36</v>
      </c>
      <c r="DS12" vm="2162">
        <f ca="1"/>
        <v>243.55</v>
      </c>
      <c r="DT12" vm="2163">
        <f ca="1"/>
        <v>245.54</v>
      </c>
      <c r="DU12" vm="2164">
        <f ca="1"/>
        <v>246.43</v>
      </c>
      <c r="DV12" vm="2165">
        <f ca="1"/>
        <v>246.45</v>
      </c>
      <c r="DW12" vm="2166">
        <f ca="1"/>
        <v>251.51</v>
      </c>
      <c r="DX12" vm="2167">
        <f ca="1"/>
        <v>247.13</v>
      </c>
      <c r="DY12" vm="2168">
        <f ca="1"/>
        <v>245.46</v>
      </c>
      <c r="DZ12" vm="2169">
        <f ca="1"/>
        <v>242.21</v>
      </c>
      <c r="EA12" vm="2170">
        <f ca="1"/>
        <v>237.49</v>
      </c>
      <c r="EB12" vm="2171">
        <f ca="1"/>
        <v>244.64</v>
      </c>
      <c r="EC12" vm="2172">
        <f ca="1"/>
        <v>246.19</v>
      </c>
      <c r="ED12" vm="2173">
        <f ca="1"/>
        <v>251.71</v>
      </c>
      <c r="EE12" vm="2174">
        <f ca="1"/>
        <v>251.88</v>
      </c>
      <c r="EF12" vm="439">
        <f ca="1"/>
        <v>253.79</v>
      </c>
      <c r="EG12" vm="2175">
        <f ca="1"/>
        <v>257.02</v>
      </c>
      <c r="EH12" vm="2176">
        <f ca="1"/>
        <v>251.34</v>
      </c>
      <c r="EI12" vm="2177">
        <f ca="1"/>
        <v>252.53</v>
      </c>
      <c r="EJ12" vm="636">
        <f ca="1"/>
        <v>253.73</v>
      </c>
      <c r="EK12" vm="2178">
        <f ca="1"/>
        <v>260.51</v>
      </c>
      <c r="EL12" vm="2179">
        <f ca="1"/>
        <v>269.93</v>
      </c>
      <c r="EM12" vm="2180">
        <f ca="1"/>
        <v>268.43</v>
      </c>
      <c r="EN12" vm="2181">
        <f ca="1"/>
        <v>275.17</v>
      </c>
      <c r="EO12" vm="2182">
        <f ca="1"/>
        <v>281.89999999999998</v>
      </c>
      <c r="EP12" vm="2183">
        <f ca="1"/>
        <v>281.82</v>
      </c>
      <c r="EQ12" vm="2184">
        <f ca="1"/>
        <v>284.12</v>
      </c>
      <c r="ER12" vm="2185">
        <f ca="1"/>
        <v>278.06</v>
      </c>
      <c r="ES12" vm="2186">
        <f ca="1"/>
        <v>284.75</v>
      </c>
      <c r="ET12" vm="2187">
        <f ca="1"/>
        <v>285.33999999999997</v>
      </c>
      <c r="EU12" vm="2188">
        <f ca="1"/>
        <v>279.7</v>
      </c>
      <c r="EV12" vm="2189">
        <f ca="1"/>
        <v>290.58999999999997</v>
      </c>
      <c r="EW12" vm="2190">
        <f ca="1"/>
        <v>291.74</v>
      </c>
      <c r="EX12" vm="2191">
        <f ca="1"/>
        <v>287.43</v>
      </c>
      <c r="EY12" vm="2192">
        <f ca="1"/>
        <v>279.12</v>
      </c>
      <c r="EZ12" vm="2193">
        <f ca="1"/>
        <v>276.98</v>
      </c>
      <c r="FA12" vm="2194">
        <f ca="1"/>
        <v>285.60000000000002</v>
      </c>
      <c r="FB12" vm="2195">
        <f ca="1"/>
        <v>284.95999999999998</v>
      </c>
      <c r="FC12" vm="2196">
        <f ca="1"/>
        <v>292.99</v>
      </c>
      <c r="FD12" vm="2197">
        <f ca="1"/>
        <v>289.98</v>
      </c>
      <c r="FE12" vm="2198">
        <f ca="1"/>
        <v>299.64999999999998</v>
      </c>
      <c r="FF12" vm="2199">
        <f ca="1"/>
        <v>318.47000000000003</v>
      </c>
      <c r="FG12" vm="2200">
        <f ca="1"/>
        <v>323.64</v>
      </c>
      <c r="FH12" vm="2201">
        <f ca="1"/>
        <v>320.27999999999997</v>
      </c>
      <c r="FI12" vm="2202">
        <f ca="1"/>
        <v>320.12</v>
      </c>
      <c r="FJ12" vm="2203">
        <f ca="1"/>
        <v>315.12</v>
      </c>
      <c r="FK12" vm="2204">
        <f ca="1"/>
        <v>316.02</v>
      </c>
      <c r="FL12" vm="2205">
        <f ca="1"/>
        <v>320.62</v>
      </c>
      <c r="FM12" vm="2206">
        <f ca="1"/>
        <v>318.39</v>
      </c>
      <c r="FN12" vm="2207">
        <f ca="1"/>
        <v>322.08999999999997</v>
      </c>
      <c r="FO12" vm="2208">
        <f ca="1"/>
        <v>314.45</v>
      </c>
      <c r="FP12" vm="2209">
        <f ca="1"/>
        <v>317.75</v>
      </c>
      <c r="FQ12" vm="2210">
        <f ca="1"/>
        <v>321</v>
      </c>
      <c r="FR12" vm="2211">
        <f ca="1"/>
        <v>313.7</v>
      </c>
      <c r="FS12" vm="2212">
        <f ca="1"/>
        <v>310.52</v>
      </c>
      <c r="FT12" vm="2213">
        <f ca="1"/>
        <v>309.32</v>
      </c>
      <c r="FU12" vm="2214">
        <f ca="1"/>
        <v>307.73</v>
      </c>
      <c r="FV12" vm="2215">
        <f ca="1"/>
        <v>298.06</v>
      </c>
      <c r="FW12" vm="2216">
        <f ca="1"/>
        <v>303.75</v>
      </c>
      <c r="FX12" vm="2217">
        <f ca="1"/>
        <v>308.61</v>
      </c>
      <c r="FY12" vm="2218">
        <f ca="1"/>
        <v>311.33</v>
      </c>
      <c r="FZ12" vm="2219">
        <f ca="1"/>
        <v>315.68</v>
      </c>
      <c r="GA12" vm="2220">
        <f ca="1"/>
        <v>315.67</v>
      </c>
      <c r="GB12" vm="2221">
        <f ca="1"/>
        <v>314.95999999999998</v>
      </c>
      <c r="GC12" vm="2222">
        <f ca="1"/>
        <v>314.39</v>
      </c>
      <c r="GD12" vm="2223">
        <f ca="1"/>
        <v>314.55</v>
      </c>
      <c r="GE12" vm="2224">
        <f ca="1"/>
        <v>313.8</v>
      </c>
      <c r="GF12" vm="2225">
        <f ca="1"/>
        <v>315.32</v>
      </c>
      <c r="GG12" vm="2226">
        <f ca="1"/>
        <v>317.32</v>
      </c>
      <c r="GH12" vm="2223">
        <f ca="1"/>
        <v>314.55</v>
      </c>
      <c r="GI12" vm="2227">
        <f ca="1"/>
        <v>322.43</v>
      </c>
      <c r="GJ12" vm="2228">
        <f ca="1"/>
        <v>326.01</v>
      </c>
      <c r="GK12" vm="2229">
        <f ca="1"/>
        <v>329.14</v>
      </c>
      <c r="GL12" vm="2230">
        <f ca="1"/>
        <v>332.73</v>
      </c>
      <c r="GM12" vm="2231">
        <f ca="1"/>
        <v>336.43</v>
      </c>
      <c r="GN12" vm="2232">
        <f ca="1"/>
        <v>336.31</v>
      </c>
      <c r="GO12" vm="2233">
        <f ca="1"/>
        <v>333.16</v>
      </c>
      <c r="GP12" vm="2234">
        <f ca="1"/>
        <v>330.34</v>
      </c>
      <c r="GQ12" vm="2235">
        <f ca="1"/>
        <v>322.16000000000003</v>
      </c>
      <c r="GR12" vm="2236">
        <f ca="1"/>
        <v>328.38</v>
      </c>
      <c r="GS12" vm="2237">
        <f ca="1"/>
        <v>330.84</v>
      </c>
      <c r="GT12" vm="2238">
        <f ca="1"/>
        <v>328.43</v>
      </c>
      <c r="GU12" vm="2239">
        <f ca="1"/>
        <v>333.59</v>
      </c>
      <c r="GV12" vm="2240">
        <f ca="1"/>
        <v>335</v>
      </c>
      <c r="GW12" vm="2241">
        <f ca="1"/>
        <v>336.28</v>
      </c>
      <c r="GX12" vm="2242">
        <f ca="1"/>
        <v>338.66</v>
      </c>
      <c r="GY12" vm="2243">
        <f ca="1"/>
        <v>338.53</v>
      </c>
      <c r="GZ12" vm="2244">
        <f ca="1"/>
        <v>344.9</v>
      </c>
      <c r="HA12" vm="2245">
        <f ca="1"/>
        <v>340.7</v>
      </c>
      <c r="HB12" vm="2246">
        <f ca="1"/>
        <v>333.34</v>
      </c>
      <c r="HC12" vm="2247">
        <f ca="1"/>
        <v>331.33</v>
      </c>
      <c r="HD12" vm="2248">
        <f ca="1"/>
        <v>323.10000000000002</v>
      </c>
      <c r="HE12" vm="2249">
        <f ca="1"/>
        <v>324.39999999999998</v>
      </c>
      <c r="HF12" vm="2250">
        <f ca="1"/>
        <v>318.63</v>
      </c>
      <c r="HG12" vm="2218">
        <f ca="1"/>
        <v>311.33</v>
      </c>
      <c r="HH12" vm="2251">
        <f ca="1"/>
        <v>309.37</v>
      </c>
      <c r="HI12" vm="2252">
        <f ca="1"/>
        <v>306.02</v>
      </c>
      <c r="HJ12" vm="2253">
        <f ca="1"/>
        <v>302.82</v>
      </c>
      <c r="HK12" vm="2254">
        <f ca="1"/>
        <v>303.94</v>
      </c>
      <c r="HL12" vm="2255">
        <f ca="1"/>
        <v>303.56</v>
      </c>
      <c r="HM12" vm="2256">
        <f ca="1"/>
        <v>314.89999999999998</v>
      </c>
      <c r="HN12" vm="2257">
        <f ca="1"/>
        <v>311.69</v>
      </c>
      <c r="HO12" vm="2258">
        <f ca="1"/>
        <v>310.92</v>
      </c>
      <c r="HP12" vm="2259">
        <f ca="1"/>
        <v>313.02999999999997</v>
      </c>
      <c r="HQ12" vm="2260">
        <f ca="1"/>
        <v>307.14999999999998</v>
      </c>
      <c r="HR12" vm="2261">
        <f ca="1"/>
        <v>311.43</v>
      </c>
      <c r="HS12" vm="2262">
        <f ca="1"/>
        <v>306.36</v>
      </c>
      <c r="HT12" vm="2255">
        <f ca="1"/>
        <v>303.56</v>
      </c>
      <c r="HU12" vm="2263">
        <f ca="1"/>
        <v>303.45</v>
      </c>
      <c r="HV12" vm="2264">
        <f ca="1"/>
        <v>300.91000000000003</v>
      </c>
      <c r="HW12" vm="2265">
        <f ca="1"/>
        <v>298.3</v>
      </c>
      <c r="HX12" vm="2266">
        <f ca="1"/>
        <v>306.01</v>
      </c>
      <c r="HY12" vm="2267">
        <f ca="1"/>
        <v>306.93</v>
      </c>
      <c r="HZ12" vm="2268">
        <f ca="1"/>
        <v>308.42</v>
      </c>
      <c r="IA12" vm="2269">
        <f ca="1"/>
        <v>303.20999999999998</v>
      </c>
      <c r="IB12" vm="2270">
        <f ca="1"/>
        <v>301.45999999999998</v>
      </c>
      <c r="IC12" vm="2271">
        <f ca="1"/>
        <v>304.42</v>
      </c>
      <c r="ID12" vm="2272">
        <f ca="1"/>
        <v>309.41000000000003</v>
      </c>
      <c r="IE12" vm="2273">
        <f ca="1"/>
        <v>306.3</v>
      </c>
      <c r="IF12" vm="2274">
        <f ca="1"/>
        <v>305.73</v>
      </c>
      <c r="IG12" vm="2275">
        <f ca="1"/>
        <v>298.79000000000002</v>
      </c>
      <c r="IH12" vm="2276">
        <f ca="1"/>
        <v>299.02</v>
      </c>
      <c r="II12" vm="2277">
        <f ca="1"/>
        <v>289.2</v>
      </c>
      <c r="IJ12" vm="2278">
        <f ca="1"/>
        <v>289.58999999999997</v>
      </c>
      <c r="IK12" vm="2279">
        <f ca="1"/>
        <v>280.74</v>
      </c>
      <c r="IL12" vm="377">
        <f ca="1"/>
        <v>273.76</v>
      </c>
      <c r="IM12" vm="2280">
        <f ca="1"/>
        <v>273.14</v>
      </c>
      <c r="IN12" vm="2281">
        <f ca="1"/>
        <v>286.86</v>
      </c>
      <c r="IO12" vm="2282">
        <f ca="1"/>
        <v>294.89999999999998</v>
      </c>
      <c r="IP12" vm="2283">
        <f ca="1"/>
        <v>294.45999999999998</v>
      </c>
    </row>
    <row r="13" spans="1:255" x14ac:dyDescent="0.35">
      <c r="A13" t="str">
        <f ca="1">Dashboard!B17</f>
        <v>HMC</v>
      </c>
      <c r="B13" cm="1" vm="2284">
        <f t="array" aca="1" ref="B13:IR13" ca="1">TRANSPOSE(_xlfn.STOCKHISTORY(A13,TODAY()-365,TODAY(),0,0,1))</f>
        <v>4.96</v>
      </c>
      <c r="C13" vm="2285">
        <f ca="1"/>
        <v>4.78</v>
      </c>
      <c r="D13" vm="2286">
        <f ca="1"/>
        <v>4.59</v>
      </c>
      <c r="E13" vm="2287">
        <f ca="1"/>
        <v>4.9400000000000004</v>
      </c>
      <c r="F13" vm="2288">
        <f ca="1"/>
        <v>4.63</v>
      </c>
      <c r="G13" vm="2289">
        <f ca="1"/>
        <v>4.75</v>
      </c>
      <c r="H13" vm="2290">
        <f ca="1"/>
        <v>4.62</v>
      </c>
      <c r="I13" vm="2291">
        <f ca="1"/>
        <v>4.53</v>
      </c>
      <c r="J13" vm="2292">
        <f ca="1"/>
        <v>4.57</v>
      </c>
      <c r="K13" vm="2293">
        <f ca="1"/>
        <v>4.41</v>
      </c>
      <c r="L13" vm="2294">
        <f ca="1"/>
        <v>4.5999999999999996</v>
      </c>
      <c r="M13" vm="2295">
        <f ca="1"/>
        <v>4.67</v>
      </c>
      <c r="N13" vm="2296">
        <f ca="1"/>
        <v>4.68</v>
      </c>
      <c r="O13" vm="2297">
        <f ca="1"/>
        <v>4.93</v>
      </c>
      <c r="P13" vm="2298">
        <f ca="1"/>
        <v>4.8600000000000003</v>
      </c>
      <c r="Q13" vm="2299">
        <f ca="1"/>
        <v>5.26</v>
      </c>
      <c r="R13" vm="2299">
        <f ca="1"/>
        <v>5.26</v>
      </c>
      <c r="S13" vm="2300">
        <f ca="1"/>
        <v>5.17</v>
      </c>
      <c r="T13" vm="2301">
        <f ca="1"/>
        <v>4.87</v>
      </c>
      <c r="U13" vm="2302">
        <f ca="1"/>
        <v>5.09</v>
      </c>
      <c r="V13" vm="2303">
        <f ca="1"/>
        <v>5.23</v>
      </c>
      <c r="W13" vm="2304">
        <f ca="1"/>
        <v>5.21</v>
      </c>
      <c r="X13" vm="2305">
        <f ca="1"/>
        <v>5.38</v>
      </c>
      <c r="Y13" vm="2306">
        <f ca="1"/>
        <v>5.58</v>
      </c>
      <c r="Z13" vm="2307">
        <f ca="1"/>
        <v>5.64</v>
      </c>
      <c r="AA13" vm="2308">
        <f ca="1"/>
        <v>5.56</v>
      </c>
      <c r="AB13" vm="2309">
        <f ca="1"/>
        <v>5.73</v>
      </c>
      <c r="AC13" vm="2306">
        <f ca="1"/>
        <v>5.58</v>
      </c>
      <c r="AD13" vm="2310">
        <f ca="1"/>
        <v>5.7</v>
      </c>
      <c r="AE13" vm="2311">
        <f ca="1"/>
        <v>5.29</v>
      </c>
      <c r="AF13" vm="2299">
        <f ca="1"/>
        <v>5.26</v>
      </c>
      <c r="AG13" vm="2312">
        <f ca="1"/>
        <v>5.27</v>
      </c>
      <c r="AH13" vm="2313">
        <f ca="1"/>
        <v>5.0599999999999996</v>
      </c>
      <c r="AI13" vm="2314">
        <f ca="1"/>
        <v>5.04</v>
      </c>
      <c r="AJ13" vm="2315">
        <f ca="1"/>
        <v>4.95</v>
      </c>
      <c r="AK13" vm="2313">
        <f ca="1"/>
        <v>5.0599999999999996</v>
      </c>
      <c r="AL13" vm="2316">
        <f ca="1"/>
        <v>5.05</v>
      </c>
      <c r="AM13" vm="2317">
        <f ca="1"/>
        <v>4.8499999999999996</v>
      </c>
      <c r="AN13" vm="2318">
        <f ca="1"/>
        <v>4.79</v>
      </c>
      <c r="AO13" vm="2317">
        <f ca="1"/>
        <v>4.8499999999999996</v>
      </c>
      <c r="AP13" vm="2319">
        <f ca="1"/>
        <v>4.9000000000000004</v>
      </c>
      <c r="AQ13" vm="2320">
        <f ca="1"/>
        <v>4.82</v>
      </c>
      <c r="AR13" vm="2321">
        <f ca="1"/>
        <v>4.91</v>
      </c>
      <c r="AS13" vm="2322">
        <f ca="1"/>
        <v>4.83</v>
      </c>
      <c r="AT13" vm="2323">
        <f ca="1"/>
        <v>4.74</v>
      </c>
      <c r="AU13" vm="2295">
        <f ca="1"/>
        <v>4.67</v>
      </c>
      <c r="AV13" vm="2323">
        <f ca="1"/>
        <v>4.74</v>
      </c>
      <c r="AW13" vm="2324">
        <f ca="1"/>
        <v>4.7699999999999996</v>
      </c>
      <c r="AX13" vm="2325">
        <f ca="1"/>
        <v>4.7</v>
      </c>
      <c r="AY13" vm="2285">
        <f ca="1"/>
        <v>4.78</v>
      </c>
      <c r="AZ13" vm="2318">
        <f ca="1"/>
        <v>4.79</v>
      </c>
      <c r="BA13" vm="2326">
        <f ca="1"/>
        <v>4.6100000000000003</v>
      </c>
      <c r="BB13" vm="2297">
        <f ca="1"/>
        <v>4.93</v>
      </c>
      <c r="BC13" vm="2327">
        <f ca="1"/>
        <v>5.03</v>
      </c>
      <c r="BD13" vm="2328">
        <f ca="1"/>
        <v>5.22</v>
      </c>
      <c r="BE13" vm="2313">
        <f ca="1"/>
        <v>5.0599999999999996</v>
      </c>
      <c r="BF13" vm="2329">
        <f ca="1"/>
        <v>5.0999999999999996</v>
      </c>
      <c r="BG13" vm="2330">
        <f ca="1"/>
        <v>4.22</v>
      </c>
      <c r="BH13" vm="2331">
        <f ca="1"/>
        <v>4.08</v>
      </c>
      <c r="BI13" vm="2332">
        <f ca="1"/>
        <v>4.3499999999999996</v>
      </c>
      <c r="BJ13" vm="2333">
        <f ca="1"/>
        <v>4.37</v>
      </c>
      <c r="BK13" vm="2334">
        <f ca="1"/>
        <v>4.1100000000000003</v>
      </c>
      <c r="BL13" vm="2335">
        <f ca="1"/>
        <v>3.89</v>
      </c>
      <c r="BM13" vm="2336">
        <f ca="1"/>
        <v>3.8</v>
      </c>
      <c r="BN13" vm="2337">
        <f ca="1"/>
        <v>3.9</v>
      </c>
      <c r="BO13" vm="2338">
        <f ca="1"/>
        <v>3.75</v>
      </c>
      <c r="BP13" vm="2339">
        <f ca="1"/>
        <v>3.72</v>
      </c>
      <c r="BQ13" vm="2340">
        <f ca="1"/>
        <v>3.76</v>
      </c>
      <c r="BR13" vm="2339">
        <f ca="1"/>
        <v>3.72</v>
      </c>
      <c r="BS13" vm="2341">
        <f ca="1"/>
        <v>3.77</v>
      </c>
      <c r="BT13" vm="2342">
        <f ca="1"/>
        <v>3.85</v>
      </c>
      <c r="BU13" vm="2341">
        <f ca="1"/>
        <v>3.77</v>
      </c>
      <c r="BV13" vm="2339">
        <f ca="1"/>
        <v>3.72</v>
      </c>
      <c r="BW13" vm="2339">
        <f ca="1"/>
        <v>3.72</v>
      </c>
      <c r="BX13" vm="2343">
        <f ca="1"/>
        <v>3.63</v>
      </c>
      <c r="BY13" vm="2344">
        <f ca="1"/>
        <v>3.7</v>
      </c>
      <c r="BZ13" vm="2345">
        <f ca="1"/>
        <v>3.74</v>
      </c>
      <c r="CA13" vm="2346">
        <f ca="1"/>
        <v>3.6</v>
      </c>
      <c r="CB13" vm="2347">
        <f ca="1"/>
        <v>3.67</v>
      </c>
      <c r="CC13" vm="2348">
        <f ca="1"/>
        <v>3.59</v>
      </c>
      <c r="CD13" vm="2349">
        <f ca="1"/>
        <v>3.53</v>
      </c>
      <c r="CE13" vm="2350">
        <f ca="1"/>
        <v>3.57</v>
      </c>
      <c r="CF13" vm="2351">
        <f ca="1"/>
        <v>3.64</v>
      </c>
      <c r="CG13" vm="2352">
        <f ca="1"/>
        <v>3.61</v>
      </c>
      <c r="CH13" vm="2353">
        <f ca="1"/>
        <v>3.51</v>
      </c>
      <c r="CI13" vm="2350">
        <f ca="1"/>
        <v>3.57</v>
      </c>
      <c r="CJ13" vm="2343">
        <f ca="1"/>
        <v>3.63</v>
      </c>
      <c r="CK13" vm="2354">
        <f ca="1"/>
        <v>3.58</v>
      </c>
      <c r="CL13" vm="2350">
        <f ca="1"/>
        <v>3.57</v>
      </c>
      <c r="CM13" vm="2352">
        <f ca="1"/>
        <v>3.61</v>
      </c>
      <c r="CN13" vm="2343">
        <f ca="1"/>
        <v>3.63</v>
      </c>
      <c r="CO13" vm="2355">
        <f ca="1"/>
        <v>3.5</v>
      </c>
      <c r="CP13" vm="2356">
        <f ca="1"/>
        <v>3.27</v>
      </c>
      <c r="CQ13" vm="2342">
        <f ca="1"/>
        <v>3.85</v>
      </c>
      <c r="CR13" vm="2357">
        <f ca="1"/>
        <v>3.79</v>
      </c>
      <c r="CS13" vm="2358">
        <f ca="1"/>
        <v>3.78</v>
      </c>
      <c r="CT13" vm="2359">
        <f ca="1"/>
        <v>3.91</v>
      </c>
      <c r="CU13" vm="2342">
        <f ca="1"/>
        <v>3.85</v>
      </c>
      <c r="CV13" vm="2342">
        <f ca="1"/>
        <v>3.85</v>
      </c>
      <c r="CW13" vm="2360">
        <f ca="1"/>
        <v>3.82</v>
      </c>
      <c r="CX13" vm="2342">
        <f ca="1"/>
        <v>3.85</v>
      </c>
      <c r="CY13" vm="2340">
        <f ca="1"/>
        <v>3.76</v>
      </c>
      <c r="CZ13" vm="2351">
        <f ca="1"/>
        <v>3.64</v>
      </c>
      <c r="DA13" vm="2349">
        <f ca="1"/>
        <v>3.53</v>
      </c>
      <c r="DB13" vm="2361">
        <f ca="1"/>
        <v>3.4</v>
      </c>
      <c r="DC13" vm="2338">
        <f ca="1"/>
        <v>3.75</v>
      </c>
      <c r="DD13" vm="2362">
        <f ca="1"/>
        <v>3.71</v>
      </c>
      <c r="DE13" vm="2349">
        <f ca="1"/>
        <v>3.53</v>
      </c>
      <c r="DF13" vm="2343">
        <f ca="1"/>
        <v>3.63</v>
      </c>
      <c r="DG13" vm="2346">
        <f ca="1"/>
        <v>3.6</v>
      </c>
      <c r="DH13" vm="2363">
        <f ca="1"/>
        <v>3.83</v>
      </c>
      <c r="DI13" vm="2364">
        <f ca="1"/>
        <v>3.65</v>
      </c>
      <c r="DJ13" vm="2343">
        <f ca="1"/>
        <v>3.63</v>
      </c>
      <c r="DK13" vm="2365">
        <f ca="1"/>
        <v>3.52</v>
      </c>
      <c r="DL13" vm="2366">
        <f ca="1"/>
        <v>3.48</v>
      </c>
      <c r="DM13" vm="2367">
        <f ca="1"/>
        <v>3.43</v>
      </c>
      <c r="DN13" vm="2368">
        <f ca="1"/>
        <v>3.39</v>
      </c>
      <c r="DO13" vm="2369">
        <f ca="1"/>
        <v>3.33</v>
      </c>
      <c r="DP13" vm="2370">
        <f ca="1"/>
        <v>3.34</v>
      </c>
      <c r="DQ13" vm="2371">
        <f ca="1"/>
        <v>3.35</v>
      </c>
      <c r="DR13" vm="2372">
        <f ca="1"/>
        <v>3.28</v>
      </c>
      <c r="DS13" vm="2373">
        <f ca="1"/>
        <v>3.23</v>
      </c>
      <c r="DT13" vm="2374">
        <f ca="1"/>
        <v>3.18</v>
      </c>
      <c r="DU13" vm="2375">
        <f ca="1"/>
        <v>3.2</v>
      </c>
      <c r="DV13" vm="2376">
        <f ca="1"/>
        <v>3.13</v>
      </c>
      <c r="DW13" vm="2377">
        <f ca="1"/>
        <v>3.36</v>
      </c>
      <c r="DX13" vm="2374">
        <f ca="1"/>
        <v>3.18</v>
      </c>
      <c r="DY13" vm="2378">
        <f ca="1"/>
        <v>3.12</v>
      </c>
      <c r="DZ13" vm="2379">
        <f ca="1"/>
        <v>3.1</v>
      </c>
      <c r="EA13" vm="2380">
        <f ca="1"/>
        <v>3.09</v>
      </c>
      <c r="EB13" vm="2381">
        <f ca="1"/>
        <v>3.07</v>
      </c>
      <c r="EC13" vm="2379">
        <f ca="1"/>
        <v>3.1</v>
      </c>
      <c r="ED13" vm="2382">
        <f ca="1"/>
        <v>3.37</v>
      </c>
      <c r="EE13" vm="2383">
        <f ca="1"/>
        <v>3.62</v>
      </c>
      <c r="EF13" vm="2384">
        <f ca="1"/>
        <v>3.41</v>
      </c>
      <c r="EG13" vm="2382">
        <f ca="1"/>
        <v>3.37</v>
      </c>
      <c r="EH13" vm="2385">
        <f ca="1"/>
        <v>3.16</v>
      </c>
      <c r="EI13" vm="2386">
        <f ca="1"/>
        <v>3.22</v>
      </c>
      <c r="EJ13" vm="2372">
        <f ca="1"/>
        <v>3.28</v>
      </c>
      <c r="EK13" vm="2375">
        <f ca="1"/>
        <v>3.2</v>
      </c>
      <c r="EL13" vm="2387">
        <f ca="1"/>
        <v>3.25</v>
      </c>
      <c r="EM13" vm="2372">
        <f ca="1"/>
        <v>3.28</v>
      </c>
      <c r="EN13" vm="2388">
        <f ca="1"/>
        <v>3.17</v>
      </c>
      <c r="EO13" vm="2378">
        <f ca="1"/>
        <v>3.12</v>
      </c>
      <c r="EP13" vm="2389">
        <f ca="1"/>
        <v>3.21</v>
      </c>
      <c r="EQ13" vm="2379">
        <f ca="1"/>
        <v>3.1</v>
      </c>
      <c r="ER13" vm="2387">
        <f ca="1"/>
        <v>3.25</v>
      </c>
      <c r="ES13" vm="2390">
        <f ca="1"/>
        <v>3.24</v>
      </c>
      <c r="ET13" vm="2391">
        <f ca="1"/>
        <v>3.15</v>
      </c>
      <c r="EU13" vm="2378">
        <f ca="1"/>
        <v>3.12</v>
      </c>
      <c r="EV13" vm="2379">
        <f ca="1"/>
        <v>3.1</v>
      </c>
      <c r="EW13" vm="2391">
        <f ca="1"/>
        <v>3.15</v>
      </c>
      <c r="EX13" vm="2376">
        <f ca="1"/>
        <v>3.13</v>
      </c>
      <c r="EY13" vm="2392">
        <f ca="1"/>
        <v>3.05</v>
      </c>
      <c r="EZ13" vm="2393">
        <f ca="1"/>
        <v>2.98</v>
      </c>
      <c r="FA13" vm="2394">
        <f ca="1"/>
        <v>2.9</v>
      </c>
      <c r="FB13" vm="2395">
        <f ca="1"/>
        <v>2.94</v>
      </c>
      <c r="FC13" vm="2396">
        <f ca="1"/>
        <v>2.95</v>
      </c>
      <c r="FD13" vm="2397">
        <f ca="1"/>
        <v>2.99</v>
      </c>
      <c r="FE13" vm="2388">
        <f ca="1"/>
        <v>3.17</v>
      </c>
      <c r="FF13" vm="2386">
        <f ca="1"/>
        <v>3.22</v>
      </c>
      <c r="FG13" vm="2375">
        <f ca="1"/>
        <v>3.2</v>
      </c>
      <c r="FH13" vm="2391">
        <f ca="1"/>
        <v>3.15</v>
      </c>
      <c r="FI13" vm="2386">
        <f ca="1"/>
        <v>3.22</v>
      </c>
      <c r="FJ13" vm="2398">
        <f ca="1"/>
        <v>3.55</v>
      </c>
      <c r="FK13" vm="2399">
        <f ca="1"/>
        <v>3.87</v>
      </c>
      <c r="FL13" vm="2346">
        <f ca="1"/>
        <v>3.6</v>
      </c>
      <c r="FM13" vm="2346">
        <f ca="1"/>
        <v>3.6</v>
      </c>
      <c r="FN13" vm="2361">
        <f ca="1"/>
        <v>3.4</v>
      </c>
      <c r="FO13" vm="2350">
        <f ca="1"/>
        <v>3.57</v>
      </c>
      <c r="FP13" vm="2348">
        <f ca="1"/>
        <v>3.59</v>
      </c>
      <c r="FQ13" vm="2400">
        <f ca="1"/>
        <v>3.49</v>
      </c>
      <c r="FR13" vm="2354">
        <f ca="1"/>
        <v>3.58</v>
      </c>
      <c r="FS13" vm="2354">
        <f ca="1"/>
        <v>3.58</v>
      </c>
      <c r="FT13" vm="2346">
        <f ca="1"/>
        <v>3.6</v>
      </c>
      <c r="FU13" vm="2364">
        <f ca="1"/>
        <v>3.65</v>
      </c>
      <c r="FV13" vm="2401">
        <f ca="1"/>
        <v>3.66</v>
      </c>
      <c r="FW13" vm="2353">
        <f ca="1"/>
        <v>3.51</v>
      </c>
      <c r="FX13" vm="2401">
        <f ca="1"/>
        <v>3.66</v>
      </c>
      <c r="FY13" vm="2344">
        <f ca="1"/>
        <v>3.7</v>
      </c>
      <c r="FZ13" vm="2402">
        <f ca="1"/>
        <v>3.97</v>
      </c>
      <c r="GA13" vm="2358">
        <f ca="1"/>
        <v>3.78</v>
      </c>
      <c r="GB13" vm="2358">
        <f ca="1"/>
        <v>3.78</v>
      </c>
      <c r="GC13" vm="2403">
        <f ca="1"/>
        <v>3.96</v>
      </c>
      <c r="GD13" vm="2404">
        <f ca="1"/>
        <v>3.88</v>
      </c>
      <c r="GE13" vm="2403">
        <f ca="1"/>
        <v>3.96</v>
      </c>
      <c r="GF13" vm="2403">
        <f ca="1"/>
        <v>3.96</v>
      </c>
      <c r="GG13" vm="2405">
        <f ca="1"/>
        <v>4.03</v>
      </c>
      <c r="GH13" vm="2363">
        <f ca="1"/>
        <v>3.83</v>
      </c>
      <c r="GI13" vm="2406">
        <f ca="1"/>
        <v>3.81</v>
      </c>
      <c r="GJ13" vm="2407">
        <f ca="1"/>
        <v>4.0599999999999996</v>
      </c>
      <c r="GK13" vm="2408">
        <f ca="1"/>
        <v>4.0199999999999996</v>
      </c>
      <c r="GL13" vm="2409">
        <f ca="1"/>
        <v>4.1399999999999997</v>
      </c>
      <c r="GM13" vm="2293">
        <f ca="1"/>
        <v>4.41</v>
      </c>
      <c r="GN13" vm="2410">
        <f ca="1"/>
        <v>4.43</v>
      </c>
      <c r="GO13" vm="2332">
        <f ca="1"/>
        <v>4.3499999999999996</v>
      </c>
      <c r="GP13" vm="2411">
        <f ca="1"/>
        <v>4.3</v>
      </c>
      <c r="GQ13" vm="2412">
        <f ca="1"/>
        <v>4.46</v>
      </c>
      <c r="GR13" vm="2413">
        <f ca="1"/>
        <v>4.3899999999999997</v>
      </c>
      <c r="GS13" vm="2414">
        <f ca="1"/>
        <v>4.33</v>
      </c>
      <c r="GT13" vm="2415">
        <f ca="1"/>
        <v>4.05</v>
      </c>
      <c r="GU13" vm="2416">
        <f ca="1"/>
        <v>4.16</v>
      </c>
      <c r="GV13" vm="2417">
        <f ca="1"/>
        <v>4.32</v>
      </c>
      <c r="GW13" vm="2418">
        <f ca="1"/>
        <v>4.13</v>
      </c>
      <c r="GX13" vm="2419">
        <f ca="1"/>
        <v>4.17</v>
      </c>
      <c r="GY13" vm="2330">
        <f ca="1"/>
        <v>4.22</v>
      </c>
      <c r="GZ13" vm="2420">
        <f ca="1"/>
        <v>4.2</v>
      </c>
      <c r="HA13" vm="2421">
        <f ca="1"/>
        <v>4.1900000000000004</v>
      </c>
      <c r="HB13" vm="2422">
        <f ca="1"/>
        <v>4.25</v>
      </c>
      <c r="HC13" vm="2405">
        <f ca="1"/>
        <v>4.03</v>
      </c>
      <c r="HD13" vm="2405">
        <f ca="1"/>
        <v>4.03</v>
      </c>
      <c r="HE13" vm="2423">
        <f ca="1"/>
        <v>3.92</v>
      </c>
      <c r="HF13" vm="2339">
        <f ca="1"/>
        <v>3.72</v>
      </c>
      <c r="HG13" vm="2345">
        <f ca="1"/>
        <v>3.74</v>
      </c>
      <c r="HH13" vm="2346">
        <f ca="1"/>
        <v>3.6</v>
      </c>
      <c r="HI13" vm="2424">
        <f ca="1"/>
        <v>3.32</v>
      </c>
      <c r="HJ13" vm="2425">
        <f ca="1"/>
        <v>3.11</v>
      </c>
      <c r="HK13" vm="2376">
        <f ca="1"/>
        <v>3.13</v>
      </c>
      <c r="HL13" vm="2426">
        <f ca="1"/>
        <v>3.06</v>
      </c>
      <c r="HM13" vm="2391">
        <f ca="1"/>
        <v>3.15</v>
      </c>
      <c r="HN13" vm="2376">
        <f ca="1"/>
        <v>3.13</v>
      </c>
      <c r="HO13" vm="2426">
        <f ca="1"/>
        <v>3.06</v>
      </c>
      <c r="HP13" vm="2427">
        <f ca="1"/>
        <v>2.96</v>
      </c>
      <c r="HQ13" vm="2428">
        <f ca="1"/>
        <v>2.82</v>
      </c>
      <c r="HR13" vm="2429">
        <f ca="1"/>
        <v>2.81</v>
      </c>
      <c r="HS13" vm="2394">
        <f ca="1"/>
        <v>2.9</v>
      </c>
      <c r="HT13" vm="2430">
        <f ca="1"/>
        <v>2.78</v>
      </c>
      <c r="HU13" vm="2431">
        <f ca="1"/>
        <v>2.7</v>
      </c>
      <c r="HV13" vm="2432">
        <f ca="1"/>
        <v>2.56</v>
      </c>
      <c r="HW13" vm="2433">
        <f ca="1"/>
        <v>2.41</v>
      </c>
      <c r="HX13" vm="2434">
        <f ca="1"/>
        <v>2.46</v>
      </c>
      <c r="HY13" vm="2435">
        <f ca="1"/>
        <v>2.5299999999999998</v>
      </c>
      <c r="HZ13" vm="2436">
        <f ca="1"/>
        <v>2.42</v>
      </c>
      <c r="IA13" vm="2437">
        <f ca="1"/>
        <v>2.4700000000000002</v>
      </c>
      <c r="IB13" vm="2436">
        <f ca="1"/>
        <v>2.42</v>
      </c>
      <c r="IC13" vm="2438">
        <f ca="1"/>
        <v>2.31</v>
      </c>
      <c r="ID13" vm="2439">
        <f ca="1"/>
        <v>2.35</v>
      </c>
      <c r="IE13" vm="2440">
        <f ca="1"/>
        <v>2.37</v>
      </c>
      <c r="IF13" vm="2441">
        <f ca="1"/>
        <v>2.34</v>
      </c>
      <c r="IG13" vm="2442">
        <f ca="1"/>
        <v>2.4</v>
      </c>
      <c r="IH13" vm="2443">
        <f ca="1"/>
        <v>2.33</v>
      </c>
      <c r="II13" vm="2444">
        <f ca="1"/>
        <v>2.25</v>
      </c>
      <c r="IJ13" vm="2445">
        <f ca="1"/>
        <v>2.2599999999999998</v>
      </c>
      <c r="IK13" vm="2446">
        <f ca="1"/>
        <v>2.2000000000000002</v>
      </c>
      <c r="IL13" vm="2443">
        <f ca="1"/>
        <v>2.33</v>
      </c>
      <c r="IM13" vm="2444">
        <f ca="1"/>
        <v>2.25</v>
      </c>
      <c r="IN13" vm="2447">
        <f ca="1"/>
        <v>2.27</v>
      </c>
      <c r="IO13" vm="2446">
        <f ca="1"/>
        <v>2.2000000000000002</v>
      </c>
      <c r="IP13" vm="2441">
        <f ca="1"/>
        <v>2.34</v>
      </c>
      <c r="IQ13" vm="2448">
        <f ca="1"/>
        <v>2.72</v>
      </c>
      <c r="IR13" vm="2449">
        <f ca="1"/>
        <v>2.52</v>
      </c>
    </row>
    <row r="14" spans="1:255" x14ac:dyDescent="0.35">
      <c r="A14" t="str">
        <f ca="1">Dashboard!B18</f>
        <v>JPM</v>
      </c>
      <c r="B14" cm="1" vm="2450">
        <f t="array" aca="1" ref="B14:IP14" ca="1">TRANSPOSE(_xlfn.STOCKHISTORY(A14,TODAY()-365,TODAY(),0,0,1))</f>
        <v>214.44</v>
      </c>
      <c r="C14" vm="2451">
        <f ca="1"/>
        <v>216.87</v>
      </c>
      <c r="D14" vm="869">
        <f ca="1"/>
        <v>234.34</v>
      </c>
      <c r="E14" vm="2452">
        <f ca="1"/>
        <v>227.11</v>
      </c>
      <c r="F14" vm="2453">
        <f ca="1"/>
        <v>236.2</v>
      </c>
      <c r="G14" vm="2454">
        <f ca="1"/>
        <v>234.72</v>
      </c>
      <c r="H14" vm="2455">
        <f ca="1"/>
        <v>233.13</v>
      </c>
      <c r="I14" vm="2456">
        <f ca="1"/>
        <v>229.61</v>
      </c>
      <c r="J14" vm="2457">
        <f ca="1"/>
        <v>231.96</v>
      </c>
      <c r="K14" vm="2458">
        <f ca="1"/>
        <v>228.99</v>
      </c>
      <c r="L14" vm="2459">
        <f ca="1"/>
        <v>235.59</v>
      </c>
      <c r="M14" vm="2460">
        <f ca="1"/>
        <v>240.88</v>
      </c>
      <c r="N14" vm="2171">
        <f ca="1"/>
        <v>244.64</v>
      </c>
      <c r="O14" vm="2162">
        <f ca="1"/>
        <v>243.55</v>
      </c>
      <c r="P14" vm="2461">
        <f ca="1"/>
        <v>243.22</v>
      </c>
      <c r="Q14" vm="2462">
        <f ca="1"/>
        <v>244.62</v>
      </c>
      <c r="R14" vm="2462">
        <f ca="1"/>
        <v>244.62</v>
      </c>
      <c r="S14" vm="2463">
        <f ca="1"/>
        <v>246.89</v>
      </c>
      <c r="T14" vm="2464">
        <f ca="1"/>
        <v>252.51</v>
      </c>
      <c r="U14" vm="2465">
        <f ca="1"/>
        <v>252.56</v>
      </c>
      <c r="V14" vm="2466">
        <f ca="1"/>
        <v>249.25</v>
      </c>
      <c r="W14" vm="2467">
        <f ca="1"/>
        <v>249.39</v>
      </c>
      <c r="X14" vm="2468">
        <f ca="1"/>
        <v>253.47</v>
      </c>
      <c r="Y14" vm="2469">
        <f ca="1"/>
        <v>253.08</v>
      </c>
      <c r="Z14" vm="2470">
        <f ca="1"/>
        <v>260.05</v>
      </c>
      <c r="AA14" vm="2471">
        <f ca="1"/>
        <v>263.01</v>
      </c>
      <c r="AB14" vm="2472">
        <f ca="1"/>
        <v>265.64</v>
      </c>
      <c r="AC14" vm="2473">
        <f ca="1"/>
        <v>267.49</v>
      </c>
      <c r="AD14" vm="2474">
        <f ca="1"/>
        <v>267.56</v>
      </c>
      <c r="AE14" vm="2475">
        <f ca="1"/>
        <v>264.88</v>
      </c>
      <c r="AF14" vm="2476">
        <f ca="1"/>
        <v>265.68</v>
      </c>
      <c r="AG14" vm="2477">
        <f ca="1"/>
        <v>261.04000000000002</v>
      </c>
      <c r="AH14" vm="2478">
        <f ca="1"/>
        <v>260.67</v>
      </c>
      <c r="AI14" vm="2479">
        <f ca="1"/>
        <v>260.70999999999998</v>
      </c>
      <c r="AJ14" vm="2480">
        <f ca="1"/>
        <v>265.29000000000002</v>
      </c>
      <c r="AK14" vm="2481">
        <f ca="1"/>
        <v>263.49</v>
      </c>
      <c r="AL14" vm="2482">
        <f ca="1"/>
        <v>264.37</v>
      </c>
      <c r="AM14" vm="2483">
        <f ca="1"/>
        <v>264</v>
      </c>
      <c r="AN14" vm="2484">
        <f ca="1"/>
        <v>264.66000000000003</v>
      </c>
      <c r="AO14" vm="2485">
        <f ca="1"/>
        <v>266.27</v>
      </c>
      <c r="AP14" vm="2486">
        <f ca="1"/>
        <v>264.22000000000003</v>
      </c>
      <c r="AQ14" vm="2487">
        <f ca="1"/>
        <v>261.95</v>
      </c>
      <c r="AR14" vm="2488">
        <f ca="1"/>
        <v>265.73</v>
      </c>
      <c r="AS14" vm="2489">
        <f ca="1"/>
        <v>266.74</v>
      </c>
      <c r="AT14" vm="2490">
        <f ca="1"/>
        <v>268.60000000000002</v>
      </c>
      <c r="AU14" vm="2491">
        <f ca="1"/>
        <v>268.14999999999998</v>
      </c>
      <c r="AV14" vm="2492">
        <f ca="1"/>
        <v>268.24</v>
      </c>
      <c r="AW14" vm="2493">
        <f ca="1"/>
        <v>264.95</v>
      </c>
      <c r="AX14" vm="2494">
        <f ca="1"/>
        <v>270.36</v>
      </c>
      <c r="AY14" vm="2495">
        <f ca="1"/>
        <v>269.52</v>
      </c>
      <c r="AZ14" vm="2496">
        <f ca="1"/>
        <v>273.95999999999998</v>
      </c>
      <c r="BA14" vm="2497">
        <f ca="1"/>
        <v>275</v>
      </c>
      <c r="BB14" vm="2498">
        <f ca="1"/>
        <v>278.27</v>
      </c>
      <c r="BC14" vm="2499">
        <f ca="1"/>
        <v>281.26</v>
      </c>
      <c r="BD14" vm="2500">
        <f ca="1"/>
        <v>284.06</v>
      </c>
      <c r="BE14" vm="2501">
        <f ca="1"/>
        <v>288.75</v>
      </c>
      <c r="BF14" vm="2502">
        <f ca="1"/>
        <v>287.11</v>
      </c>
      <c r="BG14" vm="2503">
        <f ca="1"/>
        <v>289.91000000000003</v>
      </c>
      <c r="BH14" vm="2504">
        <f ca="1"/>
        <v>290.41000000000003</v>
      </c>
      <c r="BI14" vm="2505">
        <f ca="1"/>
        <v>292</v>
      </c>
      <c r="BJ14" vm="2506">
        <f ca="1"/>
        <v>296</v>
      </c>
      <c r="BK14" vm="2507">
        <f ca="1"/>
        <v>291.97000000000003</v>
      </c>
      <c r="BL14" vm="2508">
        <f ca="1"/>
        <v>282.77999999999997</v>
      </c>
      <c r="BM14" vm="2509">
        <f ca="1"/>
        <v>283.16000000000003</v>
      </c>
      <c r="BN14" vm="2510">
        <f ca="1"/>
        <v>288.19</v>
      </c>
      <c r="BO14" vm="2281">
        <f ca="1"/>
        <v>286.86</v>
      </c>
      <c r="BP14" vm="2511">
        <f ca="1"/>
        <v>288.7</v>
      </c>
      <c r="BQ14" vm="2512">
        <f ca="1"/>
        <v>286.55</v>
      </c>
      <c r="BR14" vm="2513">
        <f ca="1"/>
        <v>285.82</v>
      </c>
      <c r="BS14" vm="2514">
        <f ca="1"/>
        <v>289.89999999999998</v>
      </c>
      <c r="BT14" vm="2515">
        <f ca="1"/>
        <v>291.27</v>
      </c>
      <c r="BU14" vm="2516">
        <f ca="1"/>
        <v>290.97000000000003</v>
      </c>
      <c r="BV14" vm="2517">
        <f ca="1"/>
        <v>291.43</v>
      </c>
      <c r="BW14" vm="2518">
        <f ca="1"/>
        <v>296.76</v>
      </c>
      <c r="BX14" vm="2519">
        <f ca="1"/>
        <v>296.55</v>
      </c>
      <c r="BY14" vm="2520">
        <f ca="1"/>
        <v>298.62</v>
      </c>
      <c r="BZ14" vm="2521">
        <f ca="1"/>
        <v>298.27999999999997</v>
      </c>
      <c r="CA14" vm="2522">
        <f ca="1"/>
        <v>297.04000000000002</v>
      </c>
      <c r="CB14" vm="2523">
        <f ca="1"/>
        <v>299.63</v>
      </c>
      <c r="CC14" vm="2524">
        <f ca="1"/>
        <v>296.24</v>
      </c>
      <c r="CD14" vm="2525">
        <f ca="1"/>
        <v>289.37</v>
      </c>
      <c r="CE14" vm="2526">
        <f ca="1"/>
        <v>294.26</v>
      </c>
      <c r="CF14" vm="2527">
        <f ca="1"/>
        <v>291.37</v>
      </c>
      <c r="CG14" vm="2528">
        <f ca="1"/>
        <v>291.35000000000002</v>
      </c>
      <c r="CH14" vm="2529">
        <f ca="1"/>
        <v>286.94</v>
      </c>
      <c r="CI14" vm="2530">
        <f ca="1"/>
        <v>288.76</v>
      </c>
      <c r="CJ14" vm="2531">
        <f ca="1"/>
        <v>289.56</v>
      </c>
      <c r="CK14" vm="2532">
        <f ca="1"/>
        <v>292.85000000000002</v>
      </c>
      <c r="CL14" vm="2533">
        <f ca="1"/>
        <v>290.52999999999997</v>
      </c>
      <c r="CM14" vm="2534">
        <f ca="1"/>
        <v>294.16000000000003</v>
      </c>
      <c r="CN14" vm="2535">
        <f ca="1"/>
        <v>290.49</v>
      </c>
      <c r="CO14" vm="2536">
        <f ca="1"/>
        <v>291.52999999999997</v>
      </c>
      <c r="CP14" vm="2537">
        <f ca="1"/>
        <v>290.66000000000003</v>
      </c>
      <c r="CQ14" vm="2538">
        <f ca="1"/>
        <v>292.24</v>
      </c>
      <c r="CR14" vm="2539">
        <f ca="1"/>
        <v>291.47000000000003</v>
      </c>
      <c r="CS14" vm="2524">
        <f ca="1"/>
        <v>296.24</v>
      </c>
      <c r="CT14" vm="2282">
        <f ca="1"/>
        <v>294.89999999999998</v>
      </c>
      <c r="CU14" vm="2540">
        <f ca="1"/>
        <v>298.57</v>
      </c>
      <c r="CV14" vm="2541">
        <f ca="1"/>
        <v>299.27999999999997</v>
      </c>
      <c r="CW14" vm="2542">
        <f ca="1"/>
        <v>301.07</v>
      </c>
      <c r="CX14" vm="2543">
        <f ca="1"/>
        <v>301.42</v>
      </c>
      <c r="CY14" vm="2544">
        <f ca="1"/>
        <v>299.7</v>
      </c>
      <c r="CZ14" vm="2545">
        <f ca="1"/>
        <v>299.51</v>
      </c>
      <c r="DA14" vm="2546">
        <f ca="1"/>
        <v>303.82</v>
      </c>
      <c r="DB14" vm="2547">
        <f ca="1"/>
        <v>294.38</v>
      </c>
      <c r="DC14" vm="2548">
        <f ca="1"/>
        <v>292.91000000000003</v>
      </c>
      <c r="DD14" vm="2549">
        <f ca="1"/>
        <v>297.85000000000002</v>
      </c>
      <c r="DE14" vm="2550">
        <f ca="1"/>
        <v>300.54000000000002</v>
      </c>
      <c r="DF14" vm="2551">
        <f ca="1"/>
        <v>305.56</v>
      </c>
      <c r="DG14" vm="2552">
        <f ca="1"/>
        <v>306.91000000000003</v>
      </c>
      <c r="DH14" vm="2553">
        <f ca="1"/>
        <v>308.89999999999998</v>
      </c>
      <c r="DI14" vm="2554">
        <f ca="1"/>
        <v>309.19</v>
      </c>
      <c r="DJ14" vm="2555">
        <f ca="1"/>
        <v>311.75</v>
      </c>
      <c r="DK14" vm="2556">
        <f ca="1"/>
        <v>313.23</v>
      </c>
      <c r="DL14" vm="2557">
        <f ca="1"/>
        <v>314.77999999999997</v>
      </c>
      <c r="DM14" vm="2558">
        <f ca="1"/>
        <v>312.44</v>
      </c>
      <c r="DN14" vm="2559">
        <f ca="1"/>
        <v>312.74</v>
      </c>
      <c r="DO14" vm="2560">
        <f ca="1"/>
        <v>313.42</v>
      </c>
      <c r="DP14" vm="2561">
        <f ca="1"/>
        <v>313.45</v>
      </c>
      <c r="DQ14" vm="2562">
        <f ca="1"/>
        <v>316.06</v>
      </c>
      <c r="DR14" vm="2563">
        <f ca="1"/>
        <v>315.69</v>
      </c>
      <c r="DS14" vm="2564">
        <f ca="1"/>
        <v>315.43</v>
      </c>
      <c r="DT14" vm="2565">
        <f ca="1"/>
        <v>310.70999999999998</v>
      </c>
      <c r="DU14" vm="2566">
        <f ca="1"/>
        <v>307.55</v>
      </c>
      <c r="DV14" vm="2567">
        <f ca="1"/>
        <v>310.02999999999997</v>
      </c>
      <c r="DW14" vm="2568">
        <f ca="1"/>
        <v>309.18</v>
      </c>
      <c r="DX14" vm="2569">
        <f ca="1"/>
        <v>307.69</v>
      </c>
      <c r="DY14" vm="2570">
        <f ca="1"/>
        <v>304.02999999999997</v>
      </c>
      <c r="DZ14" vm="2571">
        <f ca="1"/>
        <v>305.52999999999997</v>
      </c>
      <c r="EA14" vm="2572">
        <f ca="1"/>
        <v>300.89</v>
      </c>
      <c r="EB14" vm="2573">
        <f ca="1"/>
        <v>307.97000000000003</v>
      </c>
      <c r="EC14" vm="2574">
        <f ca="1"/>
        <v>302.08</v>
      </c>
      <c r="ED14" vm="2575">
        <f ca="1"/>
        <v>305.69</v>
      </c>
      <c r="EE14" vm="2576">
        <f ca="1"/>
        <v>298.54000000000002</v>
      </c>
      <c r="EF14" vm="2577">
        <f ca="1"/>
        <v>297.56</v>
      </c>
      <c r="EG14" vm="2578">
        <f ca="1"/>
        <v>302.36</v>
      </c>
      <c r="EH14" vm="2579">
        <f ca="1"/>
        <v>297.08999999999997</v>
      </c>
      <c r="EI14" vm="2580">
        <f ca="1"/>
        <v>294.11</v>
      </c>
      <c r="EJ14" vm="2581">
        <f ca="1"/>
        <v>294.54000000000002</v>
      </c>
      <c r="EK14" vm="2582">
        <f ca="1"/>
        <v>300.44</v>
      </c>
      <c r="EL14" vm="2583">
        <f ca="1"/>
        <v>304.14999999999998</v>
      </c>
      <c r="EM14" vm="2584">
        <f ca="1"/>
        <v>305.36</v>
      </c>
      <c r="EN14" vm="2585">
        <f ca="1"/>
        <v>305.51</v>
      </c>
      <c r="EO14" vm="2586">
        <f ca="1"/>
        <v>309.44</v>
      </c>
      <c r="EP14" vm="2587">
        <f ca="1"/>
        <v>311.12</v>
      </c>
      <c r="EQ14" vm="2588">
        <f ca="1"/>
        <v>309.35000000000002</v>
      </c>
      <c r="ER14" vm="2589">
        <f ca="1"/>
        <v>309.25</v>
      </c>
      <c r="ES14" vm="2590">
        <f ca="1"/>
        <v>311.68</v>
      </c>
      <c r="ET14" vm="2560">
        <f ca="1"/>
        <v>313.42</v>
      </c>
      <c r="EU14" vm="2591">
        <f ca="1"/>
        <v>314.20999999999998</v>
      </c>
      <c r="EV14" vm="2592">
        <f ca="1"/>
        <v>316.89</v>
      </c>
      <c r="EW14" vm="2593">
        <f ca="1"/>
        <v>315.62</v>
      </c>
      <c r="EX14" vm="2594">
        <f ca="1"/>
        <v>320.41000000000003</v>
      </c>
      <c r="EY14" vm="2595">
        <f ca="1"/>
        <v>309.48</v>
      </c>
      <c r="EZ14" vm="2596">
        <f ca="1"/>
        <v>303.61</v>
      </c>
      <c r="FA14" vm="2597">
        <f ca="1"/>
        <v>300.37</v>
      </c>
      <c r="FB14" vm="2598">
        <f ca="1"/>
        <v>299.41000000000003</v>
      </c>
      <c r="FC14" vm="2599">
        <f ca="1"/>
        <v>303.27</v>
      </c>
      <c r="FD14" vm="2600">
        <f ca="1"/>
        <v>298.38</v>
      </c>
      <c r="FE14" vm="2601">
        <f ca="1"/>
        <v>298.02</v>
      </c>
      <c r="FF14" vm="2602">
        <f ca="1"/>
        <v>298</v>
      </c>
      <c r="FG14" vm="2603">
        <f ca="1"/>
        <v>303</v>
      </c>
      <c r="FH14" vm="2604">
        <f ca="1"/>
        <v>307.64</v>
      </c>
      <c r="FI14" vm="2605">
        <f ca="1"/>
        <v>313.08</v>
      </c>
      <c r="FJ14" vm="2606">
        <f ca="1"/>
        <v>308.92</v>
      </c>
      <c r="FK14" vm="2607">
        <f ca="1"/>
        <v>307.88</v>
      </c>
      <c r="FL14" vm="2608">
        <f ca="1"/>
        <v>312.13</v>
      </c>
      <c r="FM14" vm="2609">
        <f ca="1"/>
        <v>316.10000000000002</v>
      </c>
      <c r="FN14" vm="2610">
        <f ca="1"/>
        <v>315.04000000000002</v>
      </c>
      <c r="FO14" vm="2611">
        <f ca="1"/>
        <v>315.20999999999998</v>
      </c>
      <c r="FP14" vm="2612">
        <f ca="1"/>
        <v>300.51</v>
      </c>
      <c r="FQ14" vm="2613">
        <f ca="1"/>
        <v>310.11</v>
      </c>
      <c r="FR14" vm="2614">
        <f ca="1"/>
        <v>317.38</v>
      </c>
      <c r="FS14" vm="2615">
        <f ca="1"/>
        <v>318.52</v>
      </c>
      <c r="FT14" vm="2616">
        <f ca="1"/>
        <v>320.02</v>
      </c>
      <c r="FU14" vm="2617">
        <f ca="1"/>
        <v>315.55</v>
      </c>
      <c r="FV14" vm="2618">
        <f ca="1"/>
        <v>314.98</v>
      </c>
      <c r="FW14" vm="2619">
        <f ca="1"/>
        <v>313</v>
      </c>
      <c r="FX14" vm="2620">
        <f ca="1"/>
        <v>317.20999999999998</v>
      </c>
      <c r="FY14" vm="2621">
        <f ca="1"/>
        <v>323.08999999999997</v>
      </c>
      <c r="FZ14" vm="2622">
        <f ca="1"/>
        <v>325.93</v>
      </c>
      <c r="GA14" vm="2623">
        <f ca="1"/>
        <v>329.17</v>
      </c>
      <c r="GB14" vm="2624">
        <f ca="1"/>
        <v>327.91</v>
      </c>
      <c r="GC14" vm="2625">
        <f ca="1"/>
        <v>323.75</v>
      </c>
      <c r="GD14" vm="2626">
        <f ca="1"/>
        <v>323.42</v>
      </c>
      <c r="GE14" vm="2627">
        <f ca="1"/>
        <v>322.22000000000003</v>
      </c>
      <c r="GF14" vm="2628">
        <f ca="1"/>
        <v>325.48</v>
      </c>
      <c r="GG14" vm="2629">
        <f ca="1"/>
        <v>334.04</v>
      </c>
      <c r="GH14" vm="2630">
        <f ca="1"/>
        <v>334.61</v>
      </c>
      <c r="GI14" vm="2631">
        <f ca="1"/>
        <v>326.99</v>
      </c>
      <c r="GJ14" vm="2632">
        <f ca="1"/>
        <v>329.79</v>
      </c>
      <c r="GK14" vm="2633">
        <f ca="1"/>
        <v>329.19</v>
      </c>
      <c r="GL14" vm="2634">
        <f ca="1"/>
        <v>324.49</v>
      </c>
      <c r="GM14" vm="2635">
        <f ca="1"/>
        <v>310.89999999999998</v>
      </c>
      <c r="GN14" vm="2636">
        <f ca="1"/>
        <v>307.87</v>
      </c>
      <c r="GO14" vm="2637">
        <f ca="1"/>
        <v>309.26</v>
      </c>
      <c r="GP14" vm="2638">
        <f ca="1"/>
        <v>312.47000000000003</v>
      </c>
      <c r="GQ14" vm="2639">
        <f ca="1"/>
        <v>302.74</v>
      </c>
      <c r="GR14" vm="2640">
        <f ca="1"/>
        <v>302.04000000000002</v>
      </c>
      <c r="GS14" vm="2641">
        <f ca="1"/>
        <v>303.63</v>
      </c>
      <c r="GT14" vm="2642">
        <f ca="1"/>
        <v>297.72000000000003</v>
      </c>
      <c r="GU14" vm="2643">
        <f ca="1"/>
        <v>301.04000000000002</v>
      </c>
      <c r="GV14" vm="2644">
        <f ca="1"/>
        <v>300.31</v>
      </c>
      <c r="GW14" vm="2645">
        <f ca="1"/>
        <v>300.77</v>
      </c>
      <c r="GX14" vm="2646">
        <f ca="1"/>
        <v>306.42</v>
      </c>
      <c r="GY14" vm="2647">
        <f ca="1"/>
        <v>305.89</v>
      </c>
      <c r="GZ14" vm="2648">
        <f ca="1"/>
        <v>308.14</v>
      </c>
      <c r="HA14" vm="2649">
        <f ca="1"/>
        <v>314.85000000000002</v>
      </c>
      <c r="HB14" vm="2650">
        <f ca="1"/>
        <v>317.27</v>
      </c>
      <c r="HC14" vm="2651">
        <f ca="1"/>
        <v>310.16000000000003</v>
      </c>
      <c r="HD14" vm="2652">
        <f ca="1"/>
        <v>322.39999999999998</v>
      </c>
      <c r="HE14" vm="2653">
        <f ca="1"/>
        <v>322.10000000000002</v>
      </c>
      <c r="HF14" vm="2654">
        <f ca="1"/>
        <v>318.27999999999997</v>
      </c>
      <c r="HG14" vm="2655">
        <f ca="1"/>
        <v>310.82</v>
      </c>
      <c r="HH14" vm="2656">
        <f ca="1"/>
        <v>302.64</v>
      </c>
      <c r="HI14" vm="2657">
        <f ca="1"/>
        <v>302.55</v>
      </c>
      <c r="HJ14" vm="2658">
        <f ca="1"/>
        <v>307.13</v>
      </c>
      <c r="HK14" vm="2659">
        <f ca="1"/>
        <v>308.77999999999997</v>
      </c>
      <c r="HL14" vm="2660">
        <f ca="1"/>
        <v>308.05</v>
      </c>
      <c r="HM14" vm="2661">
        <f ca="1"/>
        <v>310.79000000000002</v>
      </c>
      <c r="HN14" vm="2662">
        <f ca="1"/>
        <v>297.67</v>
      </c>
      <c r="HO14" vm="2663">
        <f ca="1"/>
        <v>297.3</v>
      </c>
      <c r="HP14" vm="2664">
        <f ca="1"/>
        <v>303.3</v>
      </c>
      <c r="HQ14" vm="2665">
        <f ca="1"/>
        <v>306.13</v>
      </c>
      <c r="HR14" vm="2666">
        <f ca="1"/>
        <v>300.3</v>
      </c>
      <c r="HS14" vm="2577">
        <f ca="1"/>
        <v>297.56</v>
      </c>
      <c r="HT14" vm="2667">
        <f ca="1"/>
        <v>300.26</v>
      </c>
      <c r="HU14" vm="2668">
        <f ca="1"/>
        <v>299.39</v>
      </c>
      <c r="HV14" vm="2669">
        <f ca="1"/>
        <v>293.55</v>
      </c>
      <c r="HW14" vm="2670">
        <f ca="1"/>
        <v>289.48</v>
      </c>
      <c r="HX14" vm="2671">
        <f ca="1"/>
        <v>289.92</v>
      </c>
      <c r="HY14" vm="2672">
        <f ca="1"/>
        <v>288.73</v>
      </c>
      <c r="HZ14" vm="2673">
        <f ca="1"/>
        <v>287.52</v>
      </c>
      <c r="IA14" vm="2674">
        <f ca="1"/>
        <v>282.89</v>
      </c>
      <c r="IB14" vm="2675">
        <f ca="1"/>
        <v>283.44</v>
      </c>
      <c r="IC14" vm="2676">
        <f ca="1"/>
        <v>286.16000000000003</v>
      </c>
      <c r="ID14" vm="2677">
        <f ca="1"/>
        <v>286.89</v>
      </c>
      <c r="IE14" vm="2678">
        <f ca="1"/>
        <v>287.74</v>
      </c>
      <c r="IF14" vm="2679">
        <f ca="1"/>
        <v>287.97000000000003</v>
      </c>
      <c r="IG14" vm="2680">
        <f ca="1"/>
        <v>286.56</v>
      </c>
      <c r="IH14" vm="2503">
        <f ca="1"/>
        <v>289.91000000000003</v>
      </c>
      <c r="II14" vm="2681">
        <f ca="1"/>
        <v>292.39999999999998</v>
      </c>
      <c r="IJ14" vm="2682">
        <f ca="1"/>
        <v>295.42</v>
      </c>
      <c r="IK14" vm="2683">
        <f ca="1"/>
        <v>291.66000000000003</v>
      </c>
      <c r="IL14" vm="2684">
        <f ca="1"/>
        <v>282.83999999999997</v>
      </c>
      <c r="IM14" vm="2685">
        <f ca="1"/>
        <v>283.77</v>
      </c>
      <c r="IN14" vm="2534">
        <f ca="1"/>
        <v>294.16000000000003</v>
      </c>
      <c r="IO14" vm="2686">
        <f ca="1"/>
        <v>295.38</v>
      </c>
      <c r="IP14" vm="2687">
        <f ca="1"/>
        <v>294.60000000000002</v>
      </c>
    </row>
    <row r="15" spans="1:255" x14ac:dyDescent="0.35">
      <c r="A15" t="str">
        <f ca="1">Dashboard!B19</f>
        <v>META</v>
      </c>
      <c r="B15" cm="1" vm="2688">
        <f t="array" aca="1" ref="B15:IP15" ca="1">TRANSPOSE(_xlfn.STOCKHISTORY(A15,TODAY()-365,TODAY(),0,0,1))</f>
        <v>516.25</v>
      </c>
      <c r="C15" vm="2689">
        <f ca="1"/>
        <v>510.45</v>
      </c>
      <c r="D15" vm="2690">
        <f ca="1"/>
        <v>585.77</v>
      </c>
      <c r="E15" vm="2691">
        <f ca="1"/>
        <v>546.29</v>
      </c>
      <c r="F15" vm="2692">
        <f ca="1"/>
        <v>543.57000000000005</v>
      </c>
      <c r="G15" vm="2693">
        <f ca="1"/>
        <v>531.48</v>
      </c>
      <c r="H15" vm="2694">
        <f ca="1"/>
        <v>521.52</v>
      </c>
      <c r="I15" vm="2695">
        <f ca="1"/>
        <v>502.31</v>
      </c>
      <c r="J15" vm="2696">
        <f ca="1"/>
        <v>501.48</v>
      </c>
      <c r="K15" vm="2697">
        <f ca="1"/>
        <v>484.66</v>
      </c>
      <c r="L15" vm="2698">
        <f ca="1"/>
        <v>500.28</v>
      </c>
      <c r="M15" vm="2699">
        <f ca="1"/>
        <v>520.27</v>
      </c>
      <c r="N15" vm="2700">
        <f ca="1"/>
        <v>533.15</v>
      </c>
      <c r="O15" vm="2701">
        <f ca="1"/>
        <v>547.27</v>
      </c>
      <c r="P15" vm="2702">
        <f ca="1"/>
        <v>549.74</v>
      </c>
      <c r="Q15" vm="2703">
        <f ca="1"/>
        <v>554.44000000000005</v>
      </c>
      <c r="R15" vm="2704">
        <f ca="1"/>
        <v>549</v>
      </c>
      <c r="S15" vm="2705">
        <f ca="1"/>
        <v>572.21</v>
      </c>
      <c r="T15" vm="2706">
        <f ca="1"/>
        <v>597.02</v>
      </c>
      <c r="U15" vm="2707">
        <f ca="1"/>
        <v>599.27</v>
      </c>
      <c r="V15" vm="2708">
        <f ca="1"/>
        <v>587.30999999999995</v>
      </c>
      <c r="W15" vm="2709">
        <f ca="1"/>
        <v>596.80999999999995</v>
      </c>
      <c r="X15" vm="2710">
        <f ca="1"/>
        <v>598.01</v>
      </c>
      <c r="Y15" vm="2711">
        <f ca="1"/>
        <v>592.49</v>
      </c>
      <c r="Z15" vm="2712">
        <f ca="1"/>
        <v>639.42999999999995</v>
      </c>
      <c r="AA15" vm="2713">
        <f ca="1"/>
        <v>656.03</v>
      </c>
      <c r="AB15" vm="2714">
        <f ca="1"/>
        <v>659.36</v>
      </c>
      <c r="AC15" vm="2715">
        <f ca="1"/>
        <v>643.88</v>
      </c>
      <c r="AD15" vm="2716">
        <f ca="1"/>
        <v>640.34</v>
      </c>
      <c r="AE15" vm="2717">
        <f ca="1"/>
        <v>640.42999999999995</v>
      </c>
      <c r="AF15" vm="2718">
        <f ca="1"/>
        <v>637.1</v>
      </c>
      <c r="AG15" vm="2719">
        <f ca="1"/>
        <v>635.5</v>
      </c>
      <c r="AH15" vm="2720">
        <f ca="1"/>
        <v>636.57000000000005</v>
      </c>
      <c r="AI15" vm="2721">
        <f ca="1"/>
        <v>627.05999999999995</v>
      </c>
      <c r="AJ15" vm="2722">
        <f ca="1"/>
        <v>642.32000000000005</v>
      </c>
      <c r="AK15" vm="2723">
        <f ca="1"/>
        <v>643.58000000000004</v>
      </c>
      <c r="AL15" vm="2724">
        <f ca="1"/>
        <v>645.04999999999995</v>
      </c>
      <c r="AM15" vm="2725">
        <f ca="1"/>
        <v>647.49</v>
      </c>
      <c r="AN15" vm="2726">
        <f ca="1"/>
        <v>670.9</v>
      </c>
      <c r="AO15" vm="2727">
        <f ca="1"/>
        <v>666.85</v>
      </c>
      <c r="AP15" vm="2728">
        <f ca="1"/>
        <v>687.95</v>
      </c>
      <c r="AQ15" vm="2729">
        <f ca="1"/>
        <v>684.62</v>
      </c>
      <c r="AR15" vm="2730">
        <f ca="1"/>
        <v>697.71</v>
      </c>
      <c r="AS15" vm="2731">
        <f ca="1"/>
        <v>694.06</v>
      </c>
      <c r="AT15" s="1" vm="2732">
        <f ca="1"/>
        <v>702.4</v>
      </c>
      <c r="AU15" vm="2733">
        <f ca="1"/>
        <v>694.14</v>
      </c>
      <c r="AV15" vm="2734">
        <f ca="1"/>
        <v>693.36</v>
      </c>
      <c r="AW15" vm="2735">
        <f ca="1"/>
        <v>682.87</v>
      </c>
      <c r="AX15" vm="2736">
        <f ca="1"/>
        <v>702.12</v>
      </c>
      <c r="AY15" vm="2737">
        <f ca="1"/>
        <v>697.23</v>
      </c>
      <c r="AZ15" vm="2738">
        <f ca="1"/>
        <v>695.77</v>
      </c>
      <c r="BA15" vm="2739">
        <f ca="1"/>
        <v>682.35</v>
      </c>
      <c r="BB15" vm="2740">
        <f ca="1"/>
        <v>698.53</v>
      </c>
      <c r="BC15" vm="2741">
        <f ca="1"/>
        <v>712.2</v>
      </c>
      <c r="BD15" vm="2742">
        <f ca="1"/>
        <v>708.68</v>
      </c>
      <c r="BE15" vm="2743">
        <f ca="1"/>
        <v>726.09</v>
      </c>
      <c r="BF15" vm="2744">
        <f ca="1"/>
        <v>733.63</v>
      </c>
      <c r="BG15" vm="2745">
        <f ca="1"/>
        <v>738.09</v>
      </c>
      <c r="BH15" vm="2746">
        <f ca="1"/>
        <v>719.22</v>
      </c>
      <c r="BI15" vm="2747">
        <f ca="1"/>
        <v>713.57</v>
      </c>
      <c r="BJ15" vm="2748">
        <f ca="1"/>
        <v>719.01</v>
      </c>
      <c r="BK15" vm="2749">
        <f ca="1"/>
        <v>718.35</v>
      </c>
      <c r="BL15" vm="2750">
        <f ca="1"/>
        <v>720.67</v>
      </c>
      <c r="BM15" vm="2751">
        <f ca="1"/>
        <v>732.78</v>
      </c>
      <c r="BN15" vm="2752">
        <f ca="1"/>
        <v>727.24</v>
      </c>
      <c r="BO15" vm="2753">
        <f ca="1"/>
        <v>717.51</v>
      </c>
      <c r="BP15" vm="2754">
        <f ca="1"/>
        <v>720.92</v>
      </c>
      <c r="BQ15" vm="2755">
        <f ca="1"/>
        <v>710.39</v>
      </c>
      <c r="BR15" vm="2756">
        <f ca="1"/>
        <v>702.91</v>
      </c>
      <c r="BS15" vm="2757">
        <f ca="1"/>
        <v>701.41</v>
      </c>
      <c r="BT15" vm="2758">
        <f ca="1"/>
        <v>704.28</v>
      </c>
      <c r="BU15" vm="2759">
        <f ca="1"/>
        <v>712.96500000000003</v>
      </c>
      <c r="BV15" vm="2760">
        <f ca="1"/>
        <v>704.81</v>
      </c>
      <c r="BW15" vm="2761">
        <f ca="1"/>
        <v>713.58</v>
      </c>
      <c r="BX15" vm="2762">
        <f ca="1"/>
        <v>714.8</v>
      </c>
      <c r="BY15" vm="2763">
        <f ca="1"/>
        <v>712.68</v>
      </c>
      <c r="BZ15" vm="2764">
        <f ca="1"/>
        <v>717.63</v>
      </c>
      <c r="CA15" vm="2765">
        <f ca="1"/>
        <v>700</v>
      </c>
      <c r="CB15" vm="2766">
        <f ca="1"/>
        <v>695.21</v>
      </c>
      <c r="CC15" vm="2767">
        <f ca="1"/>
        <v>773.44</v>
      </c>
      <c r="CD15" vm="2768">
        <f ca="1"/>
        <v>750.01</v>
      </c>
      <c r="CE15" vm="2769">
        <f ca="1"/>
        <v>776.37</v>
      </c>
      <c r="CF15" vm="2770">
        <f ca="1"/>
        <v>763.46</v>
      </c>
      <c r="CG15" vm="2771">
        <f ca="1"/>
        <v>771.99</v>
      </c>
      <c r="CH15" vm="2772">
        <f ca="1"/>
        <v>761.83</v>
      </c>
      <c r="CI15" vm="2773">
        <f ca="1"/>
        <v>769.3</v>
      </c>
      <c r="CJ15" vm="2774">
        <f ca="1"/>
        <v>765.87</v>
      </c>
      <c r="CK15" vm="2775">
        <f ca="1"/>
        <v>790</v>
      </c>
      <c r="CL15" vm="2776">
        <f ca="1"/>
        <v>780.08</v>
      </c>
      <c r="CM15" vm="2777">
        <f ca="1"/>
        <v>782.13</v>
      </c>
      <c r="CN15" vm="2778">
        <f ca="1"/>
        <v>785.23</v>
      </c>
      <c r="CO15" vm="2779">
        <f ca="1"/>
        <v>767.37</v>
      </c>
      <c r="CP15" vm="2780">
        <f ca="1"/>
        <v>751.48</v>
      </c>
      <c r="CQ15" vm="2781">
        <f ca="1"/>
        <v>747.72</v>
      </c>
      <c r="CR15" vm="2782">
        <f ca="1"/>
        <v>739.1</v>
      </c>
      <c r="CS15" vm="2783">
        <f ca="1"/>
        <v>754.79</v>
      </c>
      <c r="CT15" vm="2784">
        <f ca="1"/>
        <v>753.3</v>
      </c>
      <c r="CU15" vm="2785">
        <f ca="1"/>
        <v>754.1</v>
      </c>
      <c r="CV15" vm="2786">
        <f ca="1"/>
        <v>747.38</v>
      </c>
      <c r="CW15" vm="2787">
        <f ca="1"/>
        <v>751.11</v>
      </c>
      <c r="CX15" vm="2788">
        <f ca="1"/>
        <v>738.7</v>
      </c>
      <c r="CY15" vm="2789">
        <f ca="1"/>
        <v>735.11</v>
      </c>
      <c r="CZ15" vm="2790">
        <f ca="1"/>
        <v>737.05</v>
      </c>
      <c r="DA15" vm="2791">
        <f ca="1"/>
        <v>748.65</v>
      </c>
      <c r="DB15" vm="2792">
        <f ca="1"/>
        <v>752.45</v>
      </c>
      <c r="DC15" vm="2793">
        <f ca="1"/>
        <v>752.3</v>
      </c>
      <c r="DD15" vm="2794">
        <f ca="1"/>
        <v>765.7</v>
      </c>
      <c r="DE15" vm="2795">
        <f ca="1"/>
        <v>751.98</v>
      </c>
      <c r="DF15" vm="2796">
        <f ca="1"/>
        <v>750.9</v>
      </c>
      <c r="DG15" vm="2797">
        <f ca="1"/>
        <v>755.59</v>
      </c>
      <c r="DH15" vm="2798">
        <f ca="1"/>
        <v>764.7</v>
      </c>
      <c r="DI15" vm="2799">
        <f ca="1"/>
        <v>779</v>
      </c>
      <c r="DJ15" vm="2800">
        <f ca="1"/>
        <v>775.71500000000003</v>
      </c>
      <c r="DK15" vm="2801">
        <f ca="1"/>
        <v>780.25</v>
      </c>
      <c r="DL15" vm="2802">
        <f ca="1"/>
        <v>778.38</v>
      </c>
      <c r="DM15" vm="2803">
        <f ca="1"/>
        <v>765.16</v>
      </c>
      <c r="DN15" vm="2804">
        <f ca="1"/>
        <v>755.4</v>
      </c>
      <c r="DO15" vm="2805">
        <f ca="1"/>
        <v>760.66</v>
      </c>
      <c r="DP15" vm="2806">
        <f ca="1"/>
        <v>748.91</v>
      </c>
      <c r="DQ15" vm="2807">
        <f ca="1"/>
        <v>743.75</v>
      </c>
      <c r="DR15" vm="2808">
        <f ca="1"/>
        <v>743.4</v>
      </c>
      <c r="DS15" vm="2809">
        <f ca="1"/>
        <v>734.38</v>
      </c>
      <c r="DT15" vm="2810">
        <f ca="1"/>
        <v>717.34</v>
      </c>
      <c r="DU15" vm="2811">
        <f ca="1"/>
        <v>727.05</v>
      </c>
      <c r="DV15" vm="2812">
        <f ca="1"/>
        <v>710.56</v>
      </c>
      <c r="DW15" vm="2813">
        <f ca="1"/>
        <v>715.66</v>
      </c>
      <c r="DX15" vm="2814">
        <f ca="1"/>
        <v>713.08</v>
      </c>
      <c r="DY15" vm="2815">
        <f ca="1"/>
        <v>717.84</v>
      </c>
      <c r="DZ15" vm="2816">
        <f ca="1"/>
        <v>733.51</v>
      </c>
      <c r="EA15" vm="2817">
        <f ca="1"/>
        <v>705.3</v>
      </c>
      <c r="EB15" vm="2818">
        <f ca="1"/>
        <v>715.7</v>
      </c>
      <c r="EC15" vm="2819">
        <f ca="1"/>
        <v>708.65</v>
      </c>
      <c r="ED15" vm="2820">
        <f ca="1"/>
        <v>717.55</v>
      </c>
      <c r="EE15" vm="2821">
        <f ca="1"/>
        <v>712.07</v>
      </c>
      <c r="EF15" vm="2822">
        <f ca="1"/>
        <v>716.91499999999996</v>
      </c>
      <c r="EG15" vm="2823">
        <f ca="1"/>
        <v>732.17</v>
      </c>
      <c r="EH15" vm="2824">
        <f ca="1"/>
        <v>733.27</v>
      </c>
      <c r="EI15" vm="2825">
        <f ca="1"/>
        <v>733.41</v>
      </c>
      <c r="EJ15" vm="2826">
        <f ca="1"/>
        <v>734</v>
      </c>
      <c r="EK15" vm="2827">
        <f ca="1"/>
        <v>738.36</v>
      </c>
      <c r="EL15" vm="2828">
        <f ca="1"/>
        <v>750.82</v>
      </c>
      <c r="EM15" vm="2829">
        <f ca="1"/>
        <v>751.44</v>
      </c>
      <c r="EN15" vm="2830">
        <f ca="1"/>
        <v>751.67</v>
      </c>
      <c r="EO15" vm="2831">
        <f ca="1"/>
        <v>666.47</v>
      </c>
      <c r="EP15" vm="2832">
        <f ca="1"/>
        <v>648.35</v>
      </c>
      <c r="EQ15" vm="2833">
        <f ca="1"/>
        <v>637.71</v>
      </c>
      <c r="ER15" vm="2834">
        <f ca="1"/>
        <v>627.32000000000005</v>
      </c>
      <c r="ES15" vm="2835">
        <f ca="1"/>
        <v>635.95000000000005</v>
      </c>
      <c r="ET15" vm="2836">
        <f ca="1"/>
        <v>618.94000000000005</v>
      </c>
      <c r="EU15" vm="2837">
        <f ca="1"/>
        <v>621.71</v>
      </c>
      <c r="EV15" vm="2838">
        <f ca="1"/>
        <v>631.76</v>
      </c>
      <c r="EW15" vm="2839">
        <f ca="1"/>
        <v>627.08000000000004</v>
      </c>
      <c r="EX15" vm="2840">
        <f ca="1"/>
        <v>609.01</v>
      </c>
      <c r="EY15" vm="2841">
        <f ca="1"/>
        <v>609.89</v>
      </c>
      <c r="EZ15" vm="2842">
        <f ca="1"/>
        <v>609.46</v>
      </c>
      <c r="FA15" vm="2843">
        <f ca="1"/>
        <v>602.01</v>
      </c>
      <c r="FB15" vm="2844">
        <f ca="1"/>
        <v>597.69000000000005</v>
      </c>
      <c r="FC15" vm="2845">
        <f ca="1"/>
        <v>590.32000000000005</v>
      </c>
      <c r="FD15" vm="2846">
        <f ca="1"/>
        <v>589.15</v>
      </c>
      <c r="FE15" vm="2847">
        <f ca="1"/>
        <v>594.25</v>
      </c>
      <c r="FF15" vm="2848">
        <f ca="1"/>
        <v>613.04999999999995</v>
      </c>
      <c r="FG15" vm="2849">
        <f ca="1"/>
        <v>636.22</v>
      </c>
      <c r="FH15" vm="2850">
        <f ca="1"/>
        <v>633.61</v>
      </c>
      <c r="FI15" vm="2851">
        <f ca="1"/>
        <v>647.95000000000005</v>
      </c>
      <c r="FJ15" vm="2852">
        <f ca="1"/>
        <v>640.87</v>
      </c>
      <c r="FK15" vm="2853">
        <f ca="1"/>
        <v>647.1</v>
      </c>
      <c r="FL15" vm="2854">
        <f ca="1"/>
        <v>639.6</v>
      </c>
      <c r="FM15" vm="2855">
        <f ca="1"/>
        <v>661.53</v>
      </c>
      <c r="FN15" vm="2856">
        <f ca="1"/>
        <v>673.42</v>
      </c>
      <c r="FO15" vm="2857">
        <f ca="1"/>
        <v>666.8</v>
      </c>
      <c r="FP15" vm="2858">
        <f ca="1"/>
        <v>656.96</v>
      </c>
      <c r="FQ15" vm="2859">
        <f ca="1"/>
        <v>650.13</v>
      </c>
      <c r="FR15" vm="2860">
        <f ca="1"/>
        <v>652.71</v>
      </c>
      <c r="FS15" vm="2861">
        <f ca="1"/>
        <v>644.23</v>
      </c>
      <c r="FT15" vm="2862">
        <f ca="1"/>
        <v>647.51</v>
      </c>
      <c r="FU15" vm="2863">
        <f ca="1"/>
        <v>657.15</v>
      </c>
      <c r="FV15" vm="2864">
        <f ca="1"/>
        <v>649.5</v>
      </c>
      <c r="FW15" vm="2865">
        <f ca="1"/>
        <v>664.45</v>
      </c>
      <c r="FX15" vm="2866">
        <f ca="1"/>
        <v>658.77</v>
      </c>
      <c r="FY15" vm="2867">
        <f ca="1"/>
        <v>661.5</v>
      </c>
      <c r="FZ15" vm="2868">
        <f ca="1"/>
        <v>664.94</v>
      </c>
      <c r="GA15" vm="2869">
        <f ca="1"/>
        <v>667.55</v>
      </c>
      <c r="GB15" vm="2870">
        <f ca="1"/>
        <v>663.29</v>
      </c>
      <c r="GC15" vm="2871">
        <f ca="1"/>
        <v>658.69</v>
      </c>
      <c r="GD15" vm="2872">
        <f ca="1"/>
        <v>665.95</v>
      </c>
      <c r="GE15" vm="2873">
        <f ca="1"/>
        <v>660.09</v>
      </c>
      <c r="GF15" vm="2874">
        <f ca="1"/>
        <v>650.41</v>
      </c>
      <c r="GG15" vm="2875">
        <f ca="1"/>
        <v>658.79</v>
      </c>
      <c r="GH15" vm="2876">
        <f ca="1"/>
        <v>660.62</v>
      </c>
      <c r="GI15" vm="2877">
        <f ca="1"/>
        <v>648.69000000000005</v>
      </c>
      <c r="GJ15" vm="2878">
        <f ca="1"/>
        <v>646.05999999999995</v>
      </c>
      <c r="GK15" vm="2879">
        <f ca="1"/>
        <v>653.05999999999995</v>
      </c>
      <c r="GL15" vm="2880">
        <f ca="1"/>
        <v>641.97</v>
      </c>
      <c r="GM15" vm="2881">
        <f ca="1"/>
        <v>631.09</v>
      </c>
      <c r="GN15" vm="2882">
        <f ca="1"/>
        <v>615.52</v>
      </c>
      <c r="GO15" vm="2883">
        <f ca="1"/>
        <v>620.79999999999995</v>
      </c>
      <c r="GP15" vm="2884">
        <f ca="1"/>
        <v>620.25</v>
      </c>
      <c r="GQ15" vm="2885">
        <f ca="1"/>
        <v>604.12</v>
      </c>
      <c r="GR15" vm="2886">
        <f ca="1"/>
        <v>612.96</v>
      </c>
      <c r="GS15" vm="2887">
        <f ca="1"/>
        <v>647.63</v>
      </c>
      <c r="GT15" vm="2888">
        <f ca="1"/>
        <v>658.76</v>
      </c>
      <c r="GU15" vm="2889">
        <f ca="1"/>
        <v>672.36</v>
      </c>
      <c r="GV15" vm="2890">
        <f ca="1"/>
        <v>672.97</v>
      </c>
      <c r="GW15" vm="2891">
        <f ca="1"/>
        <v>668.73</v>
      </c>
      <c r="GX15" vm="2892">
        <f ca="1"/>
        <v>738.31</v>
      </c>
      <c r="GY15" vm="2893">
        <f ca="1"/>
        <v>716.5</v>
      </c>
      <c r="GZ15" vm="2894">
        <f ca="1"/>
        <v>706.41</v>
      </c>
      <c r="HA15" vm="2895">
        <f ca="1"/>
        <v>691.7</v>
      </c>
      <c r="HB15" vm="2896">
        <f ca="1"/>
        <v>668.99</v>
      </c>
      <c r="HC15" vm="2897">
        <f ca="1"/>
        <v>670.21</v>
      </c>
      <c r="HD15" vm="2898">
        <f ca="1"/>
        <v>661.46</v>
      </c>
      <c r="HE15" vm="2899">
        <f ca="1"/>
        <v>677.22</v>
      </c>
      <c r="HF15" vm="2900">
        <f ca="1"/>
        <v>670.72</v>
      </c>
      <c r="HG15" vm="2901">
        <f ca="1"/>
        <v>668.69</v>
      </c>
      <c r="HH15" vm="2902">
        <f ca="1"/>
        <v>649.80999999999995</v>
      </c>
      <c r="HI15" vm="2903">
        <f ca="1"/>
        <v>639.77</v>
      </c>
      <c r="HJ15" vm="2904">
        <f ca="1"/>
        <v>639.29</v>
      </c>
      <c r="HK15" vm="2905">
        <f ca="1"/>
        <v>643.22</v>
      </c>
      <c r="HL15" vm="2906">
        <f ca="1"/>
        <v>644.78</v>
      </c>
      <c r="HM15" vm="2907">
        <f ca="1"/>
        <v>655.66</v>
      </c>
      <c r="HN15" vm="2908">
        <f ca="1"/>
        <v>637.25</v>
      </c>
      <c r="HO15" vm="2909">
        <f ca="1"/>
        <v>639.29999999999995</v>
      </c>
      <c r="HP15" vm="2910">
        <f ca="1"/>
        <v>653.69000000000005</v>
      </c>
      <c r="HQ15" vm="2911">
        <f ca="1"/>
        <v>657.01</v>
      </c>
      <c r="HR15" vm="2912">
        <f ca="1"/>
        <v>648.17999999999995</v>
      </c>
      <c r="HS15" vm="2913">
        <f ca="1"/>
        <v>653.55999999999995</v>
      </c>
      <c r="HT15" vm="2914">
        <f ca="1"/>
        <v>655.08000000000004</v>
      </c>
      <c r="HU15" vm="2915">
        <f ca="1"/>
        <v>667.73</v>
      </c>
      <c r="HV15" vm="2916">
        <f ca="1"/>
        <v>660.57</v>
      </c>
      <c r="HW15" vm="2917">
        <f ca="1"/>
        <v>644.86</v>
      </c>
      <c r="HX15" vm="2918">
        <f ca="1"/>
        <v>647.39</v>
      </c>
      <c r="HY15" vm="2919">
        <f ca="1"/>
        <v>654.07000000000005</v>
      </c>
      <c r="HZ15" vm="2920">
        <f ca="1"/>
        <v>654.86</v>
      </c>
      <c r="IA15" vm="2921">
        <f ca="1"/>
        <v>638.17999999999995</v>
      </c>
      <c r="IB15" vm="2922">
        <f ca="1"/>
        <v>613.71</v>
      </c>
      <c r="IC15" vm="2923">
        <f ca="1"/>
        <v>627.45000000000005</v>
      </c>
      <c r="ID15" vm="2924">
        <f ca="1"/>
        <v>622.66</v>
      </c>
      <c r="IE15" vm="2925">
        <f ca="1"/>
        <v>615.67999999999995</v>
      </c>
      <c r="IF15" vm="2926">
        <f ca="1"/>
        <v>606.70000000000005</v>
      </c>
      <c r="IG15" vm="2927">
        <f ca="1"/>
        <v>593.66</v>
      </c>
      <c r="IH15" vm="2928">
        <f ca="1"/>
        <v>604.05999999999995</v>
      </c>
      <c r="II15" vm="2929">
        <f ca="1"/>
        <v>592.91999999999996</v>
      </c>
      <c r="IJ15" vm="2930">
        <f ca="1"/>
        <v>594.89</v>
      </c>
      <c r="IK15" vm="2931">
        <f ca="1"/>
        <v>547.54</v>
      </c>
      <c r="IL15" vm="2932">
        <f ca="1"/>
        <v>525.72</v>
      </c>
      <c r="IM15" vm="2933">
        <f ca="1"/>
        <v>536.38</v>
      </c>
      <c r="IN15" vm="2934">
        <f ca="1"/>
        <v>572.13</v>
      </c>
      <c r="IO15" vm="2935">
        <f ca="1"/>
        <v>579.23</v>
      </c>
      <c r="IP15" vm="2936">
        <f ca="1"/>
        <v>574.46</v>
      </c>
    </row>
    <row r="16" spans="1:255" x14ac:dyDescent="0.35">
      <c r="A16" t="str">
        <f ca="1">Dashboard!B20</f>
        <v>NVDA</v>
      </c>
      <c r="B16" cm="1" vm="2937">
        <f t="array" aca="1" ref="B16:IP16" ca="1">IFERROR(TRANSPOSE(_xlfn.STOCKHISTORY(A16,TODAY()-365,TODAY(),0,0,1)),"")</f>
        <v>97.64</v>
      </c>
      <c r="C16" vm="1522">
        <f ca="1"/>
        <v>96.3</v>
      </c>
      <c r="D16" vm="2938">
        <f ca="1"/>
        <v>114.33</v>
      </c>
      <c r="E16" vm="2939">
        <f ca="1"/>
        <v>107.57</v>
      </c>
      <c r="F16" vm="2940">
        <f ca="1"/>
        <v>110.93</v>
      </c>
      <c r="G16" vm="474">
        <f ca="1"/>
        <v>110.71</v>
      </c>
      <c r="H16" vm="2941">
        <f ca="1"/>
        <v>112.2</v>
      </c>
      <c r="I16" vm="2942">
        <f ca="1"/>
        <v>104.49</v>
      </c>
      <c r="J16" vm="1535">
        <f ca="1"/>
        <v>101.49</v>
      </c>
      <c r="K16" vm="2943">
        <f ca="1"/>
        <v>96.91</v>
      </c>
      <c r="L16" vm="2944">
        <f ca="1"/>
        <v>98.89</v>
      </c>
      <c r="M16" vm="2945">
        <f ca="1"/>
        <v>102.71</v>
      </c>
      <c r="N16" vm="2946">
        <f ca="1"/>
        <v>106.43</v>
      </c>
      <c r="O16" vm="2947">
        <f ca="1"/>
        <v>111.01</v>
      </c>
      <c r="P16" vm="2948">
        <f ca="1"/>
        <v>108.73</v>
      </c>
      <c r="Q16" vm="2949">
        <f ca="1"/>
        <v>109.02</v>
      </c>
      <c r="R16" vm="1553">
        <f ca="1"/>
        <v>108.92</v>
      </c>
      <c r="S16" vm="2950">
        <f ca="1"/>
        <v>111.61</v>
      </c>
      <c r="T16" vm="2951">
        <f ca="1"/>
        <v>114.5</v>
      </c>
      <c r="U16" vm="2952">
        <f ca="1"/>
        <v>113.82</v>
      </c>
      <c r="V16" vm="2953">
        <f ca="1"/>
        <v>113.54</v>
      </c>
      <c r="W16" vm="2954">
        <f ca="1"/>
        <v>117.06</v>
      </c>
      <c r="X16" vm="2955">
        <f ca="1"/>
        <v>117.37</v>
      </c>
      <c r="Y16" vm="2956">
        <f ca="1"/>
        <v>116.65</v>
      </c>
      <c r="Z16" vm="2957">
        <f ca="1"/>
        <v>123</v>
      </c>
      <c r="AA16" vm="2958">
        <f ca="1"/>
        <v>129.93</v>
      </c>
      <c r="AB16" vm="2959">
        <f ca="1"/>
        <v>135.34</v>
      </c>
      <c r="AC16" vm="2960">
        <f ca="1"/>
        <v>134.83000000000001</v>
      </c>
      <c r="AD16" vm="2961">
        <f ca="1"/>
        <v>135.4</v>
      </c>
      <c r="AE16" vm="2962">
        <f ca="1"/>
        <v>135.57</v>
      </c>
      <c r="AF16" vm="2963">
        <f ca="1"/>
        <v>134.38</v>
      </c>
      <c r="AG16" vm="2964">
        <f ca="1"/>
        <v>131.80000000000001</v>
      </c>
      <c r="AH16" vm="2965">
        <f ca="1"/>
        <v>132.83000000000001</v>
      </c>
      <c r="AI16" vm="2966">
        <f ca="1"/>
        <v>131.29</v>
      </c>
      <c r="AJ16" vm="1646">
        <f ca="1"/>
        <v>135.5</v>
      </c>
      <c r="AK16" vm="2967">
        <f ca="1"/>
        <v>134.81</v>
      </c>
      <c r="AL16" vm="2968">
        <f ca="1"/>
        <v>139.19</v>
      </c>
      <c r="AM16" vm="2969">
        <f ca="1"/>
        <v>135.13</v>
      </c>
      <c r="AN16" vm="2970">
        <f ca="1"/>
        <v>137.38</v>
      </c>
      <c r="AO16" vm="2971">
        <f ca="1"/>
        <v>141.22</v>
      </c>
      <c r="AP16" vm="2972">
        <f ca="1"/>
        <v>141.91999999999999</v>
      </c>
      <c r="AQ16" vm="2973">
        <f ca="1"/>
        <v>139.99</v>
      </c>
      <c r="AR16" vm="2974">
        <f ca="1"/>
        <v>141.72</v>
      </c>
      <c r="AS16" vm="2975">
        <f ca="1"/>
        <v>142.63</v>
      </c>
      <c r="AT16" vm="2976">
        <f ca="1"/>
        <v>143.96</v>
      </c>
      <c r="AU16" vm="2977">
        <f ca="1"/>
        <v>142.83000000000001</v>
      </c>
      <c r="AV16" vm="64">
        <f ca="1"/>
        <v>145</v>
      </c>
      <c r="AW16" vm="2978">
        <f ca="1"/>
        <v>141.97</v>
      </c>
      <c r="AX16" vm="2979">
        <f ca="1"/>
        <v>144.69</v>
      </c>
      <c r="AY16" vm="2980">
        <f ca="1"/>
        <v>144.12</v>
      </c>
      <c r="AZ16" vm="2981">
        <f ca="1"/>
        <v>145.47999999999999</v>
      </c>
      <c r="BA16" vm="2982">
        <f ca="1"/>
        <v>143.85</v>
      </c>
      <c r="BB16" vm="2983">
        <f ca="1"/>
        <v>144.16999999999999</v>
      </c>
      <c r="BC16" vm="2984">
        <f ca="1"/>
        <v>147.9</v>
      </c>
      <c r="BD16" vm="2985">
        <f ca="1"/>
        <v>154.31</v>
      </c>
      <c r="BE16" vm="1769">
        <f ca="1"/>
        <v>155.02000000000001</v>
      </c>
      <c r="BF16" vm="2986">
        <f ca="1"/>
        <v>157.75</v>
      </c>
      <c r="BG16" vm="2987">
        <f ca="1"/>
        <v>157.99</v>
      </c>
      <c r="BH16" vm="2988">
        <f ca="1"/>
        <v>153.30000000000001</v>
      </c>
      <c r="BI16" vm="2989">
        <f ca="1"/>
        <v>157.25</v>
      </c>
      <c r="BJ16" vm="2990">
        <f ca="1"/>
        <v>159.34</v>
      </c>
      <c r="BK16" vm="2991">
        <f ca="1"/>
        <v>158.24</v>
      </c>
      <c r="BL16" vm="93">
        <f ca="1"/>
        <v>160</v>
      </c>
      <c r="BM16" vm="2992">
        <f ca="1"/>
        <v>162.88</v>
      </c>
      <c r="BN16" vm="2993">
        <f ca="1"/>
        <v>164.1</v>
      </c>
      <c r="BO16" vm="2994">
        <f ca="1"/>
        <v>164.92</v>
      </c>
      <c r="BP16" vm="2995">
        <f ca="1"/>
        <v>164.07</v>
      </c>
      <c r="BQ16" vm="112">
        <f ca="1"/>
        <v>170.7</v>
      </c>
      <c r="BR16" vm="2996">
        <f ca="1"/>
        <v>171.37</v>
      </c>
      <c r="BS16" vm="133">
        <f ca="1"/>
        <v>173</v>
      </c>
      <c r="BT16" vm="2997">
        <f ca="1"/>
        <v>172.41</v>
      </c>
      <c r="BU16" vm="2998">
        <f ca="1"/>
        <v>171.38</v>
      </c>
      <c r="BV16" vm="2999">
        <f ca="1"/>
        <v>167.03</v>
      </c>
      <c r="BW16" vm="3000">
        <f ca="1"/>
        <v>170.78</v>
      </c>
      <c r="BX16" vm="3001">
        <f ca="1"/>
        <v>173.74</v>
      </c>
      <c r="BY16" vm="3002">
        <f ca="1"/>
        <v>173.5</v>
      </c>
      <c r="BZ16" vm="3003">
        <f ca="1"/>
        <v>176.75</v>
      </c>
      <c r="CA16" vm="3004">
        <f ca="1"/>
        <v>175.51</v>
      </c>
      <c r="CB16" vm="3005">
        <f ca="1"/>
        <v>179.27</v>
      </c>
      <c r="CC16" vm="3006">
        <f ca="1"/>
        <v>177.87</v>
      </c>
      <c r="CD16" vm="3007">
        <f ca="1"/>
        <v>173.72</v>
      </c>
      <c r="CE16" vm="144">
        <f ca="1"/>
        <v>180</v>
      </c>
      <c r="CF16" vm="3008">
        <f ca="1"/>
        <v>178.26</v>
      </c>
      <c r="CG16" vm="3009">
        <f ca="1"/>
        <v>179.42</v>
      </c>
      <c r="CH16" vm="3010">
        <f ca="1"/>
        <v>180.77</v>
      </c>
      <c r="CI16" vm="3011">
        <f ca="1"/>
        <v>182.7</v>
      </c>
      <c r="CJ16" vm="3012">
        <f ca="1"/>
        <v>182.06</v>
      </c>
      <c r="CK16" vm="3013">
        <f ca="1"/>
        <v>183.16</v>
      </c>
      <c r="CL16" vm="3014">
        <f ca="1"/>
        <v>181.59</v>
      </c>
      <c r="CM16" vm="3015">
        <f ca="1"/>
        <v>182.02</v>
      </c>
      <c r="CN16" vm="3016">
        <f ca="1"/>
        <v>180.45</v>
      </c>
      <c r="CO16" vm="3017">
        <f ca="1"/>
        <v>182.01</v>
      </c>
      <c r="CP16" vm="3018">
        <f ca="1"/>
        <v>175.64</v>
      </c>
      <c r="CQ16" vm="3019">
        <f ca="1"/>
        <v>175.4</v>
      </c>
      <c r="CR16" vm="3020">
        <f ca="1"/>
        <v>174.98</v>
      </c>
      <c r="CS16" vm="3021">
        <f ca="1"/>
        <v>177.99</v>
      </c>
      <c r="CT16" vm="3022">
        <f ca="1"/>
        <v>179.81</v>
      </c>
      <c r="CU16" vm="3023">
        <f ca="1"/>
        <v>181.77</v>
      </c>
      <c r="CV16" vm="3024">
        <f ca="1"/>
        <v>181.6</v>
      </c>
      <c r="CW16" vm="3025">
        <f ca="1"/>
        <v>180.17</v>
      </c>
      <c r="CX16" vm="3026">
        <f ca="1"/>
        <v>174.18</v>
      </c>
      <c r="CY16" vm="3000">
        <f ca="1"/>
        <v>170.78</v>
      </c>
      <c r="CZ16" vm="3027">
        <f ca="1"/>
        <v>170.62</v>
      </c>
      <c r="DA16" vm="3028">
        <f ca="1"/>
        <v>171.66</v>
      </c>
      <c r="DB16" vm="3029">
        <f ca="1"/>
        <v>167.02</v>
      </c>
      <c r="DC16" vm="3030">
        <f ca="1"/>
        <v>168.31</v>
      </c>
      <c r="DD16" vm="3031">
        <f ca="1"/>
        <v>170.76</v>
      </c>
      <c r="DE16" vm="3032">
        <f ca="1"/>
        <v>177.33</v>
      </c>
      <c r="DF16" vm="3033">
        <f ca="1"/>
        <v>177.17</v>
      </c>
      <c r="DG16" vm="3034">
        <f ca="1"/>
        <v>177.82</v>
      </c>
      <c r="DH16" vm="3035">
        <f ca="1"/>
        <v>177.75</v>
      </c>
      <c r="DI16" vm="3036">
        <f ca="1"/>
        <v>174.88</v>
      </c>
      <c r="DJ16" vm="3037">
        <f ca="1"/>
        <v>170.29</v>
      </c>
      <c r="DK16" vm="3038">
        <f ca="1"/>
        <v>176.24</v>
      </c>
      <c r="DL16" vm="3039">
        <f ca="1"/>
        <v>176.67</v>
      </c>
      <c r="DM16" vm="3040">
        <f ca="1"/>
        <v>183.61</v>
      </c>
      <c r="DN16" vm="3041">
        <f ca="1"/>
        <v>178.43</v>
      </c>
      <c r="DO16" vm="2096">
        <f ca="1"/>
        <v>176.97</v>
      </c>
      <c r="DP16" vm="3042">
        <f ca="1"/>
        <v>177.69</v>
      </c>
      <c r="DQ16" vm="3043">
        <f ca="1"/>
        <v>178.19</v>
      </c>
      <c r="DR16" vm="3044">
        <f ca="1"/>
        <v>181.85</v>
      </c>
      <c r="DS16" vm="3045">
        <f ca="1"/>
        <v>186.58</v>
      </c>
      <c r="DT16" vm="3046">
        <f ca="1"/>
        <v>187.24</v>
      </c>
      <c r="DU16" vm="3047">
        <f ca="1"/>
        <v>188.89</v>
      </c>
      <c r="DV16" vm="3048">
        <f ca="1"/>
        <v>187.62</v>
      </c>
      <c r="DW16" vm="3049">
        <f ca="1"/>
        <v>185.54</v>
      </c>
      <c r="DX16" vm="3050">
        <f ca="1"/>
        <v>185.04</v>
      </c>
      <c r="DY16" vm="3051">
        <f ca="1"/>
        <v>189.11</v>
      </c>
      <c r="DZ16" vm="3052">
        <f ca="1"/>
        <v>192.57</v>
      </c>
      <c r="EA16" vm="3013">
        <f ca="1"/>
        <v>183.16</v>
      </c>
      <c r="EB16" vm="3053">
        <f ca="1"/>
        <v>188.32</v>
      </c>
      <c r="EC16" vm="3054">
        <f ca="1"/>
        <v>180.03</v>
      </c>
      <c r="ED16" vm="3055">
        <f ca="1"/>
        <v>179.83</v>
      </c>
      <c r="EE16" vm="3056">
        <f ca="1"/>
        <v>181.81</v>
      </c>
      <c r="EF16" vm="3057">
        <f ca="1"/>
        <v>183.22</v>
      </c>
      <c r="EG16" vm="3058">
        <f ca="1"/>
        <v>182.64</v>
      </c>
      <c r="EH16" vm="3059">
        <f ca="1"/>
        <v>181.16</v>
      </c>
      <c r="EI16" vm="3060">
        <f ca="1"/>
        <v>180.28</v>
      </c>
      <c r="EJ16" vm="3061">
        <f ca="1"/>
        <v>182.16</v>
      </c>
      <c r="EK16" vm="3062">
        <f ca="1"/>
        <v>186.26</v>
      </c>
      <c r="EL16" vm="3063">
        <f ca="1"/>
        <v>191.49</v>
      </c>
      <c r="EM16" vm="3064">
        <f ca="1"/>
        <v>201.03</v>
      </c>
      <c r="EN16" vm="3065">
        <f ca="1"/>
        <v>207.04</v>
      </c>
      <c r="EO16" vm="3066">
        <f ca="1"/>
        <v>202.89</v>
      </c>
      <c r="EP16" vm="2136">
        <f ca="1"/>
        <v>202.49</v>
      </c>
      <c r="EQ16" vm="3067">
        <f ca="1"/>
        <v>206.88</v>
      </c>
      <c r="ER16" vm="3068">
        <f ca="1"/>
        <v>198.69</v>
      </c>
      <c r="ES16" vm="3069">
        <f ca="1"/>
        <v>195.21</v>
      </c>
      <c r="ET16" vm="3070">
        <f ca="1"/>
        <v>188.08</v>
      </c>
      <c r="EU16" vm="3071">
        <f ca="1"/>
        <v>188.15</v>
      </c>
      <c r="EV16" vm="3072">
        <f ca="1"/>
        <v>199.05</v>
      </c>
      <c r="EW16" vm="211">
        <f ca="1"/>
        <v>193.16</v>
      </c>
      <c r="EX16" vm="3073">
        <f ca="1"/>
        <v>193.8</v>
      </c>
      <c r="EY16" vm="3074">
        <f ca="1"/>
        <v>186.86</v>
      </c>
      <c r="EZ16" vm="3075">
        <f ca="1"/>
        <v>190.17</v>
      </c>
      <c r="FA16" vm="3076">
        <f ca="1"/>
        <v>186.6</v>
      </c>
      <c r="FB16" vm="3077">
        <f ca="1"/>
        <v>181.36</v>
      </c>
      <c r="FC16" vm="3078">
        <f ca="1"/>
        <v>186.52</v>
      </c>
      <c r="FD16" vm="3079">
        <f ca="1"/>
        <v>180.64</v>
      </c>
      <c r="FE16" vm="3080">
        <f ca="1"/>
        <v>178.88</v>
      </c>
      <c r="FF16" vm="3081">
        <f ca="1"/>
        <v>182.55</v>
      </c>
      <c r="FG16" vm="3034">
        <f ca="1"/>
        <v>177.82</v>
      </c>
      <c r="FH16" vm="3082">
        <f ca="1"/>
        <v>180.26</v>
      </c>
      <c r="FI16" vm="134">
        <f ca="1"/>
        <v>177</v>
      </c>
      <c r="FJ16" vm="3083">
        <f ca="1"/>
        <v>179.92</v>
      </c>
      <c r="FK16" vm="202">
        <f ca="1"/>
        <v>181.46</v>
      </c>
      <c r="FL16" vm="688">
        <f ca="1"/>
        <v>179.59</v>
      </c>
      <c r="FM16" vm="3084">
        <f ca="1"/>
        <v>183.38</v>
      </c>
      <c r="FN16" vm="3085">
        <f ca="1"/>
        <v>182.41</v>
      </c>
      <c r="FO16" vm="3086">
        <f ca="1"/>
        <v>185.55</v>
      </c>
      <c r="FP16" vm="3087">
        <f ca="1"/>
        <v>184.97</v>
      </c>
      <c r="FQ16" vm="3088">
        <f ca="1"/>
        <v>183.78</v>
      </c>
      <c r="FR16" vm="3089">
        <f ca="1"/>
        <v>180.93</v>
      </c>
      <c r="FS16" vm="3090">
        <f ca="1"/>
        <v>175.02</v>
      </c>
      <c r="FT16" vm="3091">
        <f ca="1"/>
        <v>176.29</v>
      </c>
      <c r="FU16" vm="3092">
        <f ca="1"/>
        <v>177.72</v>
      </c>
      <c r="FV16" vm="3093">
        <f ca="1"/>
        <v>170.94</v>
      </c>
      <c r="FW16" vm="3094">
        <f ca="1"/>
        <v>174.14</v>
      </c>
      <c r="FX16" vm="3095">
        <f ca="1"/>
        <v>180.99</v>
      </c>
      <c r="FY16" vm="3096">
        <f ca="1"/>
        <v>183.69</v>
      </c>
      <c r="FZ16" vm="3097">
        <f ca="1"/>
        <v>189.21</v>
      </c>
      <c r="GA16" vm="3098">
        <f ca="1"/>
        <v>188.61</v>
      </c>
      <c r="GB16" vm="3099">
        <f ca="1"/>
        <v>190.53</v>
      </c>
      <c r="GC16" vm="3100">
        <f ca="1"/>
        <v>188.22</v>
      </c>
      <c r="GD16" vm="3101">
        <f ca="1"/>
        <v>187.54</v>
      </c>
      <c r="GE16" vm="149">
        <f ca="1"/>
        <v>186.5</v>
      </c>
      <c r="GF16" vm="3102">
        <f ca="1"/>
        <v>188.85</v>
      </c>
      <c r="GG16" vm="3103">
        <f ca="1"/>
        <v>188.12</v>
      </c>
      <c r="GH16" vm="3046">
        <f ca="1"/>
        <v>187.24</v>
      </c>
      <c r="GI16" vm="3051">
        <f ca="1"/>
        <v>189.11</v>
      </c>
      <c r="GJ16" vm="3050">
        <f ca="1"/>
        <v>185.04</v>
      </c>
      <c r="GK16" vm="3104">
        <f ca="1"/>
        <v>184.86</v>
      </c>
      <c r="GL16" vm="3105">
        <f ca="1"/>
        <v>184.94</v>
      </c>
      <c r="GM16" vm="3106">
        <f ca="1"/>
        <v>185.81</v>
      </c>
      <c r="GN16" vm="3107">
        <f ca="1"/>
        <v>183.14</v>
      </c>
      <c r="GO16" vm="3108">
        <f ca="1"/>
        <v>187.05</v>
      </c>
      <c r="GP16" vm="3109">
        <f ca="1"/>
        <v>186.23</v>
      </c>
      <c r="GQ16" vm="3110">
        <f ca="1"/>
        <v>178.07</v>
      </c>
      <c r="GR16" vm="3111">
        <f ca="1"/>
        <v>183.32</v>
      </c>
      <c r="GS16" vm="3112">
        <f ca="1"/>
        <v>184.84</v>
      </c>
      <c r="GT16" vm="3113">
        <f ca="1"/>
        <v>187.67</v>
      </c>
      <c r="GU16" vm="3114">
        <f ca="1"/>
        <v>186.47</v>
      </c>
      <c r="GV16" vm="3115">
        <f ca="1"/>
        <v>188.52</v>
      </c>
      <c r="GW16" vm="3116">
        <f ca="1"/>
        <v>191.52</v>
      </c>
      <c r="GX16" vm="3117">
        <f ca="1"/>
        <v>192.51</v>
      </c>
      <c r="GY16" vm="3118">
        <f ca="1"/>
        <v>191.13</v>
      </c>
      <c r="GZ16" vm="3119">
        <f ca="1"/>
        <v>185.61</v>
      </c>
      <c r="HA16" vm="3120">
        <f ca="1"/>
        <v>180.34</v>
      </c>
      <c r="HB16" vm="3121">
        <f ca="1"/>
        <v>174.19</v>
      </c>
      <c r="HC16" vm="3122">
        <f ca="1"/>
        <v>171.88</v>
      </c>
      <c r="HD16" vm="3123">
        <f ca="1"/>
        <v>185.41</v>
      </c>
      <c r="HE16" vm="3124">
        <f ca="1"/>
        <v>190.04</v>
      </c>
      <c r="HF16" vm="3125">
        <f ca="1"/>
        <v>188.54</v>
      </c>
      <c r="HG16" vm="3126">
        <f ca="1"/>
        <v>190.05</v>
      </c>
      <c r="HH16" vm="3127">
        <f ca="1"/>
        <v>186.94</v>
      </c>
      <c r="HI16" vm="2114">
        <f ca="1"/>
        <v>182.81</v>
      </c>
      <c r="HJ16" vm="3087">
        <f ca="1"/>
        <v>184.97</v>
      </c>
      <c r="HK16" vm="3128">
        <f ca="1"/>
        <v>187.98</v>
      </c>
      <c r="HL16" vm="3129">
        <f ca="1"/>
        <v>187.9</v>
      </c>
      <c r="HM16" vm="3130">
        <f ca="1"/>
        <v>189.82</v>
      </c>
      <c r="HN16" vm="3131">
        <f ca="1"/>
        <v>191.55</v>
      </c>
      <c r="HO16" vm="3132">
        <f ca="1"/>
        <v>192.85</v>
      </c>
      <c r="HP16" vm="3133">
        <f ca="1"/>
        <v>195.56</v>
      </c>
      <c r="HQ16" vm="3134">
        <f ca="1"/>
        <v>184.89</v>
      </c>
      <c r="HR16" vm="3135">
        <f ca="1"/>
        <v>177.19</v>
      </c>
      <c r="HS16" vm="3136">
        <f ca="1"/>
        <v>182.48</v>
      </c>
      <c r="HT16" vm="3137">
        <f ca="1"/>
        <v>180.05</v>
      </c>
      <c r="HU16" vm="3138">
        <f ca="1"/>
        <v>183.04</v>
      </c>
      <c r="HV16" vm="3139">
        <f ca="1"/>
        <v>183.34</v>
      </c>
      <c r="HW16" vm="3034">
        <f ca="1"/>
        <v>177.82</v>
      </c>
      <c r="HX16" vm="3140">
        <f ca="1"/>
        <v>182.65</v>
      </c>
      <c r="HY16" vm="3141">
        <f ca="1"/>
        <v>184.77</v>
      </c>
      <c r="HZ16" vm="1842">
        <f ca="1"/>
        <v>186.03</v>
      </c>
      <c r="IA16" vm="3107">
        <f ca="1"/>
        <v>183.14</v>
      </c>
      <c r="IB16" vm="3142">
        <f ca="1"/>
        <v>180.25</v>
      </c>
      <c r="IC16" vm="3057">
        <f ca="1"/>
        <v>183.22</v>
      </c>
      <c r="ID16" vm="3143">
        <f ca="1"/>
        <v>181.93</v>
      </c>
      <c r="IE16" vm="3144">
        <f ca="1"/>
        <v>180.4</v>
      </c>
      <c r="IF16" vm="3145">
        <f ca="1"/>
        <v>178.56</v>
      </c>
      <c r="IG16" vm="3146">
        <f ca="1"/>
        <v>172.7</v>
      </c>
      <c r="IH16" vm="3018">
        <f ca="1"/>
        <v>175.64</v>
      </c>
      <c r="II16" vm="3147">
        <f ca="1"/>
        <v>175.2</v>
      </c>
      <c r="IJ16" vm="3148">
        <f ca="1"/>
        <v>178.68</v>
      </c>
      <c r="IK16" vm="3149">
        <f ca="1"/>
        <v>171.24</v>
      </c>
      <c r="IL16" vm="3150">
        <f ca="1"/>
        <v>167.52</v>
      </c>
      <c r="IM16" vm="3151">
        <f ca="1"/>
        <v>165.17</v>
      </c>
      <c r="IN16" vm="3152">
        <f ca="1"/>
        <v>174.4</v>
      </c>
      <c r="IO16" vm="3153">
        <f ca="1"/>
        <v>175.75</v>
      </c>
      <c r="IP16" vm="2106">
        <f ca="1"/>
        <v>177.39</v>
      </c>
    </row>
    <row r="17" spans="1:250" x14ac:dyDescent="0.35">
      <c r="A17" t="str">
        <f ca="1">Dashboard!B21</f>
        <v>TM</v>
      </c>
      <c r="B17" cm="1" vm="3154">
        <f t="array" aca="1" ref="B17:IP17" ca="1">TRANSPOSE(_xlfn.STOCKHISTORY(A17,TODAY()-365,TODAY(),0,0,1))</f>
        <v>160.34</v>
      </c>
      <c r="C17" vm="1721">
        <f ca="1"/>
        <v>159.32</v>
      </c>
      <c r="D17" vm="3094">
        <f ca="1"/>
        <v>174.14</v>
      </c>
      <c r="E17" vm="3155">
        <f ca="1"/>
        <v>167.22</v>
      </c>
      <c r="F17" vm="3156">
        <f ca="1"/>
        <v>169.42</v>
      </c>
      <c r="G17" vm="3157">
        <f ca="1"/>
        <v>172</v>
      </c>
      <c r="H17" vm="3158">
        <f ca="1"/>
        <v>174.24</v>
      </c>
      <c r="I17" vm="3159">
        <f ca="1"/>
        <v>175.1</v>
      </c>
      <c r="J17" vm="3160">
        <f ca="1"/>
        <v>176.38</v>
      </c>
      <c r="K17" vm="3161">
        <f ca="1"/>
        <v>174.52</v>
      </c>
      <c r="L17" vm="2112">
        <f ca="1"/>
        <v>178.7</v>
      </c>
      <c r="M17" vm="3162">
        <f ca="1"/>
        <v>181.43</v>
      </c>
      <c r="N17" vm="3163">
        <f ca="1"/>
        <v>186.61</v>
      </c>
      <c r="O17" vm="3164">
        <f ca="1"/>
        <v>188.21</v>
      </c>
      <c r="P17" vm="3165">
        <f ca="1"/>
        <v>193.13</v>
      </c>
      <c r="Q17" vm="3166">
        <f ca="1"/>
        <v>195.39</v>
      </c>
      <c r="R17" vm="3167">
        <f ca="1"/>
        <v>191.22</v>
      </c>
      <c r="S17" vm="3168">
        <f ca="1"/>
        <v>190.58</v>
      </c>
      <c r="T17" vm="3169">
        <f ca="1"/>
        <v>192.24</v>
      </c>
      <c r="U17" vm="3170">
        <f ca="1"/>
        <v>192.48</v>
      </c>
      <c r="V17" vm="664">
        <f ca="1"/>
        <v>192.43</v>
      </c>
      <c r="W17" vm="3171">
        <f ca="1"/>
        <v>188.9</v>
      </c>
      <c r="X17" vm="3172">
        <f ca="1"/>
        <v>187.92</v>
      </c>
      <c r="Y17" vm="3173">
        <f ca="1"/>
        <v>187.53</v>
      </c>
      <c r="Z17" vm="3174">
        <f ca="1"/>
        <v>192.32</v>
      </c>
      <c r="AA17" vm="3175">
        <f ca="1"/>
        <v>193.97</v>
      </c>
      <c r="AB17" vm="3176">
        <f ca="1"/>
        <v>187</v>
      </c>
      <c r="AC17" vm="3177">
        <f ca="1"/>
        <v>183.45</v>
      </c>
      <c r="AD17" vm="3178">
        <f ca="1"/>
        <v>183.19</v>
      </c>
      <c r="AE17" vm="3179">
        <f ca="1"/>
        <v>185.32</v>
      </c>
      <c r="AF17" vm="3180">
        <f ca="1"/>
        <v>186.36</v>
      </c>
      <c r="AG17" vm="3181">
        <f ca="1"/>
        <v>184.47</v>
      </c>
      <c r="AH17" vm="3182">
        <f ca="1"/>
        <v>182.82</v>
      </c>
      <c r="AI17" vm="3183">
        <f ca="1"/>
        <v>182.3</v>
      </c>
      <c r="AJ17" vm="3184">
        <f ca="1"/>
        <v>186.68</v>
      </c>
      <c r="AK17" vm="3185">
        <f ca="1"/>
        <v>182.88</v>
      </c>
      <c r="AL17" vm="3186">
        <f ca="1"/>
        <v>186.11</v>
      </c>
      <c r="AM17" vm="3187">
        <f ca="1"/>
        <v>190.57</v>
      </c>
      <c r="AN17" vm="3188">
        <f ca="1"/>
        <v>189.14</v>
      </c>
      <c r="AO17" vm="3189">
        <f ca="1"/>
        <v>191.4</v>
      </c>
      <c r="AP17" vm="3190">
        <f ca="1"/>
        <v>187.96</v>
      </c>
      <c r="AQ17" vm="150">
        <f ca="1"/>
        <v>184.4</v>
      </c>
      <c r="AR17" vm="3191">
        <f ca="1"/>
        <v>185.14</v>
      </c>
      <c r="AS17" vm="3192">
        <f ca="1"/>
        <v>183.94</v>
      </c>
      <c r="AT17" vm="3193">
        <f ca="1"/>
        <v>185.25</v>
      </c>
      <c r="AU17" vm="3194">
        <f ca="1"/>
        <v>182.61</v>
      </c>
      <c r="AV17" vm="3195">
        <f ca="1"/>
        <v>181.99</v>
      </c>
      <c r="AW17" vm="3196">
        <f ca="1"/>
        <v>178.75</v>
      </c>
      <c r="AX17" vm="3197">
        <f ca="1"/>
        <v>177.67</v>
      </c>
      <c r="AY17" vm="3198">
        <f ca="1"/>
        <v>173.95</v>
      </c>
      <c r="AZ17" vm="3199">
        <f ca="1"/>
        <v>175.59</v>
      </c>
      <c r="BA17" vm="143">
        <f ca="1"/>
        <v>172.4</v>
      </c>
      <c r="BB17" vm="3200">
        <f ca="1"/>
        <v>170.88</v>
      </c>
      <c r="BC17" vm="3201">
        <f ca="1"/>
        <v>171.58</v>
      </c>
      <c r="BD17" vm="3202">
        <f ca="1"/>
        <v>169.15</v>
      </c>
      <c r="BE17" vm="3203">
        <f ca="1"/>
        <v>170.63</v>
      </c>
      <c r="BF17" vm="3204">
        <f ca="1"/>
        <v>175.74</v>
      </c>
      <c r="BG17" vm="3205">
        <f ca="1"/>
        <v>172.26</v>
      </c>
      <c r="BH17" vm="3206">
        <f ca="1"/>
        <v>171.54</v>
      </c>
      <c r="BI17" vm="3207">
        <f ca="1"/>
        <v>172.01</v>
      </c>
      <c r="BJ17" vm="3208">
        <f ca="1"/>
        <v>174.89</v>
      </c>
      <c r="BK17" vm="3209">
        <f ca="1"/>
        <v>167.86</v>
      </c>
      <c r="BL17" vm="3210">
        <f ca="1"/>
        <v>170.2</v>
      </c>
      <c r="BM17" vm="3211">
        <f ca="1"/>
        <v>170.54</v>
      </c>
      <c r="BN17" vm="3212">
        <f ca="1"/>
        <v>170.39</v>
      </c>
      <c r="BO17" vm="3213">
        <f ca="1"/>
        <v>170.26</v>
      </c>
      <c r="BP17" vm="3214">
        <f ca="1"/>
        <v>172.14</v>
      </c>
      <c r="BQ17" vm="3215">
        <f ca="1"/>
        <v>170.02</v>
      </c>
      <c r="BR17" vm="3216">
        <f ca="1"/>
        <v>169.88</v>
      </c>
      <c r="BS17" vm="3217">
        <f ca="1"/>
        <v>170.48</v>
      </c>
      <c r="BT17" vm="3218">
        <f ca="1"/>
        <v>168.65</v>
      </c>
      <c r="BU17" vm="3219">
        <f ca="1"/>
        <v>170.03</v>
      </c>
      <c r="BV17" vm="3220">
        <f ca="1"/>
        <v>169.99</v>
      </c>
      <c r="BW17" vm="3221">
        <f ca="1"/>
        <v>193.18</v>
      </c>
      <c r="BX17" vm="3222">
        <f ca="1"/>
        <v>191.66</v>
      </c>
      <c r="BY17" vm="3223">
        <f ca="1"/>
        <v>188.49</v>
      </c>
      <c r="BZ17" vm="3224">
        <f ca="1"/>
        <v>187.18</v>
      </c>
      <c r="CA17" vm="3225">
        <f ca="1"/>
        <v>184.27</v>
      </c>
      <c r="CB17" vm="3226">
        <f ca="1"/>
        <v>182.75</v>
      </c>
      <c r="CC17" vm="3227">
        <f ca="1"/>
        <v>178.97</v>
      </c>
      <c r="CD17" vm="3228">
        <f ca="1"/>
        <v>179.69</v>
      </c>
      <c r="CE17" vm="3229">
        <f ca="1"/>
        <v>182.31</v>
      </c>
      <c r="CF17" vm="3230">
        <f ca="1"/>
        <v>181.5</v>
      </c>
      <c r="CG17" vm="3231">
        <f ca="1"/>
        <v>183.99</v>
      </c>
      <c r="CH17" vm="3232">
        <f ca="1"/>
        <v>181.49</v>
      </c>
      <c r="CI17" vm="3233">
        <f ca="1"/>
        <v>188.64</v>
      </c>
      <c r="CJ17" vm="3234">
        <f ca="1"/>
        <v>189.13</v>
      </c>
      <c r="CK17" vm="3175">
        <f ca="1"/>
        <v>193.97</v>
      </c>
      <c r="CL17" vm="167">
        <f ca="1"/>
        <v>194.4</v>
      </c>
      <c r="CM17" vm="3170">
        <f ca="1"/>
        <v>192.48</v>
      </c>
      <c r="CN17" vm="3235">
        <f ca="1"/>
        <v>193.66</v>
      </c>
      <c r="CO17" vm="3236">
        <f ca="1"/>
        <v>197.83</v>
      </c>
      <c r="CP17" vm="3237">
        <f ca="1"/>
        <v>198.6</v>
      </c>
      <c r="CQ17" vm="963">
        <f ca="1"/>
        <v>199.19</v>
      </c>
      <c r="CR17" vm="3238">
        <f ca="1"/>
        <v>197.27</v>
      </c>
      <c r="CS17" vm="3239">
        <f ca="1"/>
        <v>201.37</v>
      </c>
      <c r="CT17" vm="3240">
        <f ca="1"/>
        <v>198.37</v>
      </c>
      <c r="CU17" vm="3241">
        <f ca="1"/>
        <v>197.35</v>
      </c>
      <c r="CV17" vm="3242">
        <f ca="1"/>
        <v>196.74</v>
      </c>
      <c r="CW17" vm="3243">
        <f ca="1"/>
        <v>198.25</v>
      </c>
      <c r="CX17" vm="3244">
        <f ca="1"/>
        <v>194.57</v>
      </c>
      <c r="CY17" vm="3245">
        <f ca="1"/>
        <v>193.57</v>
      </c>
      <c r="CZ17" vm="3246">
        <f ca="1"/>
        <v>193.01</v>
      </c>
      <c r="DA17" vm="3247">
        <f ca="1"/>
        <v>197.64</v>
      </c>
      <c r="DB17" vm="3248">
        <f ca="1"/>
        <v>199.62</v>
      </c>
      <c r="DC17" vm="3249">
        <f ca="1"/>
        <v>202.79</v>
      </c>
      <c r="DD17" vm="3250">
        <f ca="1"/>
        <v>200.8</v>
      </c>
      <c r="DE17" vm="3251">
        <f ca="1"/>
        <v>197.38</v>
      </c>
      <c r="DF17" vm="3252">
        <f ca="1"/>
        <v>197.63</v>
      </c>
      <c r="DG17" vm="3253">
        <f ca="1"/>
        <v>196.13</v>
      </c>
      <c r="DH17" vm="2130">
        <f ca="1"/>
        <v>197.28</v>
      </c>
      <c r="DI17" vm="246">
        <f ca="1"/>
        <v>198.78</v>
      </c>
      <c r="DJ17" vm="3254">
        <f ca="1"/>
        <v>201.38</v>
      </c>
      <c r="DK17" vm="3255">
        <f ca="1"/>
        <v>200.47</v>
      </c>
      <c r="DL17" vm="3256">
        <f ca="1"/>
        <v>198.95</v>
      </c>
      <c r="DM17" vm="3257">
        <f ca="1"/>
        <v>200.68</v>
      </c>
      <c r="DN17" vm="3258">
        <f ca="1"/>
        <v>200.66</v>
      </c>
      <c r="DO17" vm="3259">
        <f ca="1"/>
        <v>198.09</v>
      </c>
      <c r="DP17" vm="2130">
        <f ca="1"/>
        <v>197.28</v>
      </c>
      <c r="DQ17" vm="195">
        <f ca="1"/>
        <v>198.1</v>
      </c>
      <c r="DR17" vm="3260">
        <f ca="1"/>
        <v>196.44</v>
      </c>
      <c r="DS17" vm="3261">
        <f ca="1"/>
        <v>191.09</v>
      </c>
      <c r="DT17" vm="3262">
        <f ca="1"/>
        <v>191.83</v>
      </c>
      <c r="DU17" vm="3263">
        <f ca="1"/>
        <v>190.52</v>
      </c>
      <c r="DV17" vm="3264">
        <f ca="1"/>
        <v>194.59</v>
      </c>
      <c r="DW17" vm="3265">
        <f ca="1"/>
        <v>199.18</v>
      </c>
      <c r="DX17" vm="3266">
        <f ca="1"/>
        <v>199.89</v>
      </c>
      <c r="DY17" vm="3267">
        <f ca="1"/>
        <v>198.21</v>
      </c>
      <c r="DZ17" vm="3268">
        <f ca="1"/>
        <v>192.33</v>
      </c>
      <c r="EA17" vm="3269">
        <f ca="1"/>
        <v>185.22</v>
      </c>
      <c r="EB17" vm="3270">
        <f ca="1"/>
        <v>187.88</v>
      </c>
      <c r="EC17" vm="3271">
        <f ca="1"/>
        <v>191.74</v>
      </c>
      <c r="ED17" vm="3272">
        <f ca="1"/>
        <v>194.33</v>
      </c>
      <c r="EE17" vm="3273">
        <f ca="1"/>
        <v>195.41</v>
      </c>
      <c r="EF17" vm="3236">
        <f ca="1"/>
        <v>197.83</v>
      </c>
      <c r="EG17" vm="3274">
        <f ca="1"/>
        <v>200.11</v>
      </c>
      <c r="EH17" vm="3275">
        <f ca="1"/>
        <v>201.95</v>
      </c>
      <c r="EI17" vm="3276">
        <f ca="1"/>
        <v>203.51</v>
      </c>
      <c r="EJ17" vm="3277">
        <f ca="1"/>
        <v>204.06</v>
      </c>
      <c r="EK17" vm="674">
        <f ca="1"/>
        <v>205.37</v>
      </c>
      <c r="EL17" vm="3278">
        <f ca="1"/>
        <v>209.22</v>
      </c>
      <c r="EM17" vm="3279">
        <f ca="1"/>
        <v>211.24</v>
      </c>
      <c r="EN17" vm="3280">
        <f ca="1"/>
        <v>207.09</v>
      </c>
      <c r="EO17" vm="3281">
        <f ca="1"/>
        <v>207.21</v>
      </c>
      <c r="EP17" vm="3282">
        <f ca="1"/>
        <v>204.19</v>
      </c>
      <c r="EQ17" vm="3283">
        <f ca="1"/>
        <v>205.72</v>
      </c>
      <c r="ER17" vm="3284">
        <f ca="1"/>
        <v>203.89</v>
      </c>
      <c r="ES17" vm="3285">
        <f ca="1"/>
        <v>199.15</v>
      </c>
      <c r="ET17" vm="3286">
        <f ca="1"/>
        <v>202.94</v>
      </c>
      <c r="EU17" vm="3287">
        <f ca="1"/>
        <v>201.98</v>
      </c>
      <c r="EV17" vm="3288">
        <f ca="1"/>
        <v>203.94</v>
      </c>
      <c r="EW17" vm="3289">
        <f ca="1"/>
        <v>205.99</v>
      </c>
      <c r="EX17" vm="3290">
        <f ca="1"/>
        <v>207.29</v>
      </c>
      <c r="EY17" vm="3291">
        <f ca="1"/>
        <v>203.26</v>
      </c>
      <c r="EZ17" vm="882">
        <f ca="1"/>
        <v>204.08</v>
      </c>
      <c r="FA17" vm="3292">
        <f ca="1"/>
        <v>199</v>
      </c>
      <c r="FB17" vm="3293">
        <f ca="1"/>
        <v>195.96</v>
      </c>
      <c r="FC17" vm="3294">
        <f ca="1"/>
        <v>196.78</v>
      </c>
      <c r="FD17" vm="3295">
        <f ca="1"/>
        <v>191.25</v>
      </c>
      <c r="FE17" vm="3296">
        <f ca="1"/>
        <v>197.62</v>
      </c>
      <c r="FF17" vm="3297">
        <f ca="1"/>
        <v>199.06</v>
      </c>
      <c r="FG17" vm="3298">
        <f ca="1"/>
        <v>200.26</v>
      </c>
      <c r="FH17" vm="3299">
        <f ca="1"/>
        <v>202.44</v>
      </c>
      <c r="FI17" vm="3300">
        <f ca="1"/>
        <v>201.87</v>
      </c>
      <c r="FJ17" vm="3301">
        <f ca="1"/>
        <v>199.22</v>
      </c>
      <c r="FK17" vm="3302">
        <f ca="1"/>
        <v>196.99</v>
      </c>
      <c r="FL17" vm="3303">
        <f ca="1"/>
        <v>195.44</v>
      </c>
      <c r="FM17" vm="3304">
        <f ca="1"/>
        <v>198.27</v>
      </c>
      <c r="FN17" vm="3305">
        <f ca="1"/>
        <v>196.56</v>
      </c>
      <c r="FO17" vm="3069">
        <f ca="1"/>
        <v>195.21</v>
      </c>
      <c r="FP17" vm="3306">
        <f ca="1"/>
        <v>196.34</v>
      </c>
      <c r="FQ17" vm="3307">
        <f ca="1"/>
        <v>200.78</v>
      </c>
      <c r="FR17" vm="3308">
        <f ca="1"/>
        <v>203.56</v>
      </c>
      <c r="FS17" vm="3309">
        <f ca="1"/>
        <v>208.12</v>
      </c>
      <c r="FT17" vm="3310">
        <f ca="1"/>
        <v>214.81</v>
      </c>
      <c r="FU17" vm="3311">
        <f ca="1"/>
        <v>214.42</v>
      </c>
      <c r="FV17" vm="601">
        <f ca="1"/>
        <v>214.24</v>
      </c>
      <c r="FW17" vm="3312">
        <f ca="1"/>
        <v>216.08</v>
      </c>
      <c r="FX17" vm="3313">
        <f ca="1"/>
        <v>219.38</v>
      </c>
      <c r="FY17" vm="799">
        <f ca="1"/>
        <v>219.51</v>
      </c>
      <c r="FZ17" vm="3314">
        <f ca="1"/>
        <v>219.24</v>
      </c>
      <c r="GA17" vm="3315">
        <f ca="1"/>
        <v>216.73</v>
      </c>
      <c r="GB17" vm="3316">
        <f ca="1"/>
        <v>216.62</v>
      </c>
      <c r="GC17" vm="3317">
        <f ca="1"/>
        <v>216.44</v>
      </c>
      <c r="GD17" vm="3318">
        <f ca="1"/>
        <v>214.85</v>
      </c>
      <c r="GE17" vm="3319">
        <f ca="1"/>
        <v>214.06</v>
      </c>
      <c r="GF17" vm="3320">
        <f ca="1"/>
        <v>217.87</v>
      </c>
      <c r="GG17" vm="3321">
        <f ca="1"/>
        <v>218.86</v>
      </c>
      <c r="GH17" vm="3322">
        <f ca="1"/>
        <v>215.27</v>
      </c>
      <c r="GI17" vm="3323">
        <f ca="1"/>
        <v>213.33</v>
      </c>
      <c r="GJ17" vm="3324">
        <f ca="1"/>
        <v>214.73</v>
      </c>
      <c r="GK17" vm="3325">
        <f ca="1"/>
        <v>221.52</v>
      </c>
      <c r="GL17" vm="3326">
        <f ca="1"/>
        <v>222.59</v>
      </c>
      <c r="GM17" vm="3327">
        <f ca="1"/>
        <v>229.03</v>
      </c>
      <c r="GN17" vm="3328">
        <f ca="1"/>
        <v>227.3</v>
      </c>
      <c r="GO17" vm="779">
        <f ca="1"/>
        <v>232.33</v>
      </c>
      <c r="GP17" vm="3329">
        <f ca="1"/>
        <v>231.42</v>
      </c>
      <c r="GQ17" vm="3330">
        <f ca="1"/>
        <v>220.47</v>
      </c>
      <c r="GR17" vm="803">
        <f ca="1"/>
        <v>227.74</v>
      </c>
      <c r="GS17" vm="3331">
        <f ca="1"/>
        <v>227.04</v>
      </c>
      <c r="GT17" vm="834">
        <f ca="1"/>
        <v>226.28</v>
      </c>
      <c r="GU17" vm="3332">
        <f ca="1"/>
        <v>225.62</v>
      </c>
      <c r="GV17" vm="3333">
        <f ca="1"/>
        <v>224.12</v>
      </c>
      <c r="GW17" vm="3334">
        <f ca="1"/>
        <v>218.89</v>
      </c>
      <c r="GX17" vm="3335">
        <f ca="1"/>
        <v>227.07</v>
      </c>
      <c r="GY17" vm="3336">
        <f ca="1"/>
        <v>226.86</v>
      </c>
      <c r="GZ17" vm="3337">
        <f ca="1"/>
        <v>231.58</v>
      </c>
      <c r="HA17" vm="3329">
        <f ca="1"/>
        <v>231.42</v>
      </c>
      <c r="HB17" vm="3338">
        <f ca="1"/>
        <v>241.39</v>
      </c>
      <c r="HC17" vm="3339">
        <f ca="1"/>
        <v>237.19</v>
      </c>
      <c r="HD17" vm="819">
        <f ca="1"/>
        <v>244.22</v>
      </c>
      <c r="HE17" vm="3340">
        <f ca="1"/>
        <v>242.39</v>
      </c>
      <c r="HF17" vm="781">
        <f ca="1"/>
        <v>238.24</v>
      </c>
      <c r="HG17" vm="3341">
        <f ca="1"/>
        <v>242.81</v>
      </c>
      <c r="HH17" vm="3342">
        <f ca="1"/>
        <v>241.64</v>
      </c>
      <c r="HI17" vm="3343">
        <f ca="1"/>
        <v>248.29</v>
      </c>
      <c r="HJ17" vm="3344">
        <f ca="1"/>
        <v>245.51</v>
      </c>
      <c r="HK17" vm="3345">
        <f ca="1"/>
        <v>243.2</v>
      </c>
      <c r="HL17" vm="3346">
        <f ca="1"/>
        <v>241.65</v>
      </c>
      <c r="HM17" vm="3347">
        <f ca="1"/>
        <v>239.6</v>
      </c>
      <c r="HN17" vm="575">
        <f ca="1"/>
        <v>238.03</v>
      </c>
      <c r="HO17" vm="3348">
        <f ca="1"/>
        <v>238.64</v>
      </c>
      <c r="HP17" vm="874">
        <f ca="1"/>
        <v>241.73</v>
      </c>
      <c r="HQ17" vm="3349">
        <f ca="1"/>
        <v>242.62</v>
      </c>
      <c r="HR17" vm="3350">
        <f ca="1"/>
        <v>242.38</v>
      </c>
      <c r="HS17" vm="3351">
        <f ca="1"/>
        <v>243.66</v>
      </c>
      <c r="HT17" vm="3352">
        <f ca="1"/>
        <v>232.17</v>
      </c>
      <c r="HU17" vm="3353">
        <f ca="1"/>
        <v>232.81</v>
      </c>
      <c r="HV17" vm="3354">
        <f ca="1"/>
        <v>221.48</v>
      </c>
      <c r="HW17" vm="3355">
        <f ca="1"/>
        <v>219.14</v>
      </c>
      <c r="HX17" vm="3356">
        <f ca="1"/>
        <v>219.53</v>
      </c>
      <c r="HY17" vm="3357">
        <f ca="1"/>
        <v>221.01</v>
      </c>
      <c r="HZ17" vm="3358">
        <f ca="1"/>
        <v>220.77</v>
      </c>
      <c r="IA17" vm="3359">
        <f ca="1"/>
        <v>216.59</v>
      </c>
      <c r="IB17" vm="3360">
        <f ca="1"/>
        <v>210.84</v>
      </c>
      <c r="IC17" vm="3361">
        <f ca="1"/>
        <v>213.23</v>
      </c>
      <c r="ID17" vm="3362">
        <f ca="1"/>
        <v>213.07</v>
      </c>
      <c r="IE17" vm="265">
        <f ca="1"/>
        <v>209.11</v>
      </c>
      <c r="IF17" vm="3363">
        <f ca="1"/>
        <v>208.93</v>
      </c>
      <c r="IG17" vm="3364">
        <f ca="1"/>
        <v>205.02</v>
      </c>
      <c r="IH17" vm="890">
        <f ca="1"/>
        <v>210.64</v>
      </c>
      <c r="II17" vm="3365">
        <f ca="1"/>
        <v>209.78</v>
      </c>
      <c r="IJ17" vm="3366">
        <f ca="1"/>
        <v>210.93</v>
      </c>
      <c r="IK17" vm="3367">
        <f ca="1"/>
        <v>209.93</v>
      </c>
      <c r="IL17" vm="3368">
        <f ca="1"/>
        <v>206.73</v>
      </c>
      <c r="IM17" vm="3286">
        <f ca="1"/>
        <v>202.94</v>
      </c>
      <c r="IN17" vm="3369">
        <f ca="1"/>
        <v>206.09</v>
      </c>
      <c r="IO17" vm="3370">
        <f ca="1"/>
        <v>209.67</v>
      </c>
      <c r="IP17" vm="3371">
        <f ca="1"/>
        <v>207.01</v>
      </c>
    </row>
    <row r="18" spans="1:250" x14ac:dyDescent="0.35">
      <c r="A18" t="str">
        <f ca="1">Dashboard!B22</f>
        <v>WMT</v>
      </c>
      <c r="B18" cm="1" vm="3372">
        <f t="array" aca="1" ref="B18:IP18" ca="1">TRANSPOSE(_xlfn.STOCKHISTORY(A18,TODAY()-365,TODAY(),0,0,1))</f>
        <v>83.83</v>
      </c>
      <c r="C18" vm="3373">
        <f ca="1"/>
        <v>81.790000000000006</v>
      </c>
      <c r="D18" vm="3374">
        <f ca="1"/>
        <v>89.6</v>
      </c>
      <c r="E18" vm="3375">
        <f ca="1"/>
        <v>90.61</v>
      </c>
      <c r="F18" vm="3376">
        <f ca="1"/>
        <v>92.8</v>
      </c>
      <c r="G18" vm="3377">
        <f ca="1"/>
        <v>94.73</v>
      </c>
      <c r="H18" vm="3378">
        <f ca="1"/>
        <v>93.97</v>
      </c>
      <c r="I18" vm="3379">
        <f ca="1"/>
        <v>91.19</v>
      </c>
      <c r="J18" vm="3380">
        <f ca="1"/>
        <v>93.22</v>
      </c>
      <c r="K18" vm="3381">
        <f ca="1"/>
        <v>92.41</v>
      </c>
      <c r="L18" vm="3382">
        <f ca="1"/>
        <v>94.85</v>
      </c>
      <c r="M18" vm="3383">
        <f ca="1"/>
        <v>94.96</v>
      </c>
      <c r="N18" vm="3384">
        <f ca="1"/>
        <v>95.84</v>
      </c>
      <c r="O18" vm="3385">
        <f ca="1"/>
        <v>95.09</v>
      </c>
      <c r="P18" vm="3386">
        <f ca="1"/>
        <v>95.22</v>
      </c>
      <c r="Q18" vm="3387">
        <f ca="1"/>
        <v>96.04</v>
      </c>
      <c r="R18" vm="3388">
        <f ca="1"/>
        <v>97.25</v>
      </c>
      <c r="S18" vm="3389">
        <f ca="1"/>
        <v>97.41</v>
      </c>
      <c r="T18" vm="3390">
        <f ca="1"/>
        <v>98.75</v>
      </c>
      <c r="U18" vm="3391">
        <f ca="1"/>
        <v>99.33</v>
      </c>
      <c r="V18" vm="3392">
        <f ca="1"/>
        <v>98.55</v>
      </c>
      <c r="W18" vm="3393">
        <f ca="1"/>
        <v>98.83</v>
      </c>
      <c r="X18" vm="3394">
        <f ca="1"/>
        <v>97.43</v>
      </c>
      <c r="Y18" vm="3395">
        <f ca="1"/>
        <v>96.72</v>
      </c>
      <c r="Z18" vm="3396">
        <f ca="1"/>
        <v>96.75</v>
      </c>
      <c r="AA18" vm="3397">
        <f ca="1"/>
        <v>95.88</v>
      </c>
      <c r="AB18" vm="3398">
        <f ca="1"/>
        <v>96.83</v>
      </c>
      <c r="AC18" vm="3399">
        <f ca="1"/>
        <v>96.35</v>
      </c>
      <c r="AD18" vm="3400">
        <f ca="1"/>
        <v>98.24</v>
      </c>
      <c r="AE18" vm="3401">
        <f ca="1"/>
        <v>98.12</v>
      </c>
      <c r="AF18" vm="1511">
        <f ca="1"/>
        <v>97.8</v>
      </c>
      <c r="AG18" vm="3402">
        <f ca="1"/>
        <v>96.43</v>
      </c>
      <c r="AH18" vm="3403">
        <f ca="1"/>
        <v>95.93</v>
      </c>
      <c r="AI18" vm="3404">
        <f ca="1"/>
        <v>96.34</v>
      </c>
      <c r="AJ18" vm="3405">
        <f ca="1"/>
        <v>97.58</v>
      </c>
      <c r="AK18" vm="3406">
        <f ca="1"/>
        <v>97.24</v>
      </c>
      <c r="AL18" vm="3407">
        <f ca="1"/>
        <v>97.1</v>
      </c>
      <c r="AM18" vm="3408">
        <f ca="1"/>
        <v>98.72</v>
      </c>
      <c r="AN18" vm="3409">
        <f ca="1"/>
        <v>99.77</v>
      </c>
      <c r="AO18" vm="3410">
        <f ca="1"/>
        <v>99.98</v>
      </c>
      <c r="AP18" vm="3411">
        <f ca="1"/>
        <v>99.35</v>
      </c>
      <c r="AQ18" vm="3412">
        <f ca="1"/>
        <v>97.96</v>
      </c>
      <c r="AR18" vm="3413">
        <f ca="1"/>
        <v>97.47</v>
      </c>
      <c r="AS18" vm="3414">
        <f ca="1"/>
        <v>97.45</v>
      </c>
      <c r="AT18" vm="3415">
        <f ca="1"/>
        <v>97.32</v>
      </c>
      <c r="AU18" vm="3416">
        <f ca="1"/>
        <v>95.8</v>
      </c>
      <c r="AV18" vm="3417">
        <f ca="1"/>
        <v>94.83</v>
      </c>
      <c r="AW18" vm="3418">
        <f ca="1"/>
        <v>94.44</v>
      </c>
      <c r="AX18" vm="3419">
        <f ca="1"/>
        <v>94.29</v>
      </c>
      <c r="AY18" vm="3420">
        <f ca="1"/>
        <v>94.25</v>
      </c>
      <c r="AZ18" vm="3385">
        <f ca="1"/>
        <v>95.09</v>
      </c>
      <c r="BA18" vm="3421">
        <f ca="1"/>
        <v>96.12</v>
      </c>
      <c r="BB18" vm="3422">
        <f ca="1"/>
        <v>97.87</v>
      </c>
      <c r="BC18" vm="3423">
        <f ca="1"/>
        <v>98</v>
      </c>
      <c r="BD18" vm="3424">
        <f ca="1"/>
        <v>97.26</v>
      </c>
      <c r="BE18" vm="3425">
        <f ca="1"/>
        <v>96.02</v>
      </c>
      <c r="BF18" vm="3426">
        <f ca="1"/>
        <v>97.27</v>
      </c>
      <c r="BG18" vm="3427">
        <f ca="1"/>
        <v>97.78</v>
      </c>
      <c r="BH18" vm="3400">
        <f ca="1"/>
        <v>98.24</v>
      </c>
      <c r="BI18" vm="3428">
        <f ca="1"/>
        <v>97.61</v>
      </c>
      <c r="BJ18" vm="3429">
        <f ca="1"/>
        <v>98.36</v>
      </c>
      <c r="BK18" vm="3411">
        <f ca="1"/>
        <v>99.35</v>
      </c>
      <c r="BL18" vm="3430">
        <f ca="1"/>
        <v>97.09</v>
      </c>
      <c r="BM18" vm="3431">
        <f ca="1"/>
        <v>96.81</v>
      </c>
      <c r="BN18" vm="3432">
        <f ca="1"/>
        <v>94.86</v>
      </c>
      <c r="BO18" vm="3433">
        <f ca="1"/>
        <v>94.4</v>
      </c>
      <c r="BP18" vm="3434">
        <f ca="1"/>
        <v>95.78</v>
      </c>
      <c r="BQ18" vm="1460">
        <f ca="1"/>
        <v>95.39</v>
      </c>
      <c r="BR18" vm="3435">
        <f ca="1"/>
        <v>95.15</v>
      </c>
      <c r="BS18" vm="3385">
        <f ca="1"/>
        <v>95.09</v>
      </c>
      <c r="BT18" vm="3436">
        <f ca="1"/>
        <v>95.05</v>
      </c>
      <c r="BU18" vm="3437">
        <f ca="1"/>
        <v>95.67</v>
      </c>
      <c r="BV18" vm="3438">
        <f ca="1"/>
        <v>95.85</v>
      </c>
      <c r="BW18" vm="3439">
        <f ca="1"/>
        <v>95.68</v>
      </c>
      <c r="BX18" vm="3440">
        <f ca="1"/>
        <v>96.6</v>
      </c>
      <c r="BY18" vm="3413">
        <f ca="1"/>
        <v>97.47</v>
      </c>
      <c r="BZ18" vm="3428">
        <f ca="1"/>
        <v>97.61</v>
      </c>
      <c r="CA18" vm="3441">
        <f ca="1"/>
        <v>98.33</v>
      </c>
      <c r="CB18" vm="3442">
        <f ca="1"/>
        <v>97.59</v>
      </c>
      <c r="CC18" vm="3443">
        <f ca="1"/>
        <v>97.98</v>
      </c>
      <c r="CD18" vm="3444">
        <f ca="1"/>
        <v>98.49</v>
      </c>
      <c r="CE18" vm="3445">
        <f ca="1"/>
        <v>99.59</v>
      </c>
      <c r="CF18" vm="3446">
        <f ca="1"/>
        <v>99.31</v>
      </c>
      <c r="CG18" vm="3447">
        <f ca="1"/>
        <v>103.36</v>
      </c>
      <c r="CH18" vm="3448">
        <f ca="1"/>
        <v>103.12</v>
      </c>
      <c r="CI18" vm="3449">
        <f ca="1"/>
        <v>103.73</v>
      </c>
      <c r="CJ18" vm="3450">
        <f ca="1"/>
        <v>103.93</v>
      </c>
      <c r="CK18" vm="3451">
        <f ca="1"/>
        <v>103.62</v>
      </c>
      <c r="CL18" vm="1525">
        <f ca="1"/>
        <v>100.99</v>
      </c>
      <c r="CM18" vm="1533">
        <f ca="1"/>
        <v>100.85</v>
      </c>
      <c r="CN18" vm="3452">
        <f ca="1"/>
        <v>100</v>
      </c>
      <c r="CO18" vm="3453">
        <f ca="1"/>
        <v>100.7</v>
      </c>
      <c r="CP18" vm="3454">
        <f ca="1"/>
        <v>101.29</v>
      </c>
      <c r="CQ18" vm="3455">
        <f ca="1"/>
        <v>102.57</v>
      </c>
      <c r="CR18" vm="3412">
        <f ca="1"/>
        <v>97.96</v>
      </c>
      <c r="CS18" vm="3398">
        <f ca="1"/>
        <v>96.83</v>
      </c>
      <c r="CT18" vm="1461">
        <f ca="1"/>
        <v>96.07</v>
      </c>
      <c r="CU18" vm="3456">
        <f ca="1"/>
        <v>96.05</v>
      </c>
      <c r="CV18" vm="3457">
        <f ca="1"/>
        <v>96.08</v>
      </c>
      <c r="CW18" vm="3458">
        <f ca="1"/>
        <v>96.11</v>
      </c>
      <c r="CX18" vm="3459">
        <f ca="1"/>
        <v>96.98</v>
      </c>
      <c r="CY18" vm="3460">
        <f ca="1"/>
        <v>97.85</v>
      </c>
      <c r="CZ18" vm="1495">
        <f ca="1"/>
        <v>99.44</v>
      </c>
      <c r="DA18" vm="3461">
        <f ca="1"/>
        <v>100.93</v>
      </c>
      <c r="DB18" vm="3462">
        <f ca="1"/>
        <v>100.51</v>
      </c>
      <c r="DC18" vm="3463">
        <f ca="1"/>
        <v>102.28</v>
      </c>
      <c r="DD18" vm="3464">
        <f ca="1"/>
        <v>102.29</v>
      </c>
      <c r="DE18" vm="3465">
        <f ca="1"/>
        <v>100.41</v>
      </c>
      <c r="DF18" vm="3466">
        <f ca="1"/>
        <v>102.65</v>
      </c>
      <c r="DG18" vm="1501">
        <f ca="1"/>
        <v>103.49</v>
      </c>
      <c r="DH18" vm="3467">
        <f ca="1"/>
        <v>103.69</v>
      </c>
      <c r="DI18" vm="1505">
        <f ca="1"/>
        <v>103.42</v>
      </c>
      <c r="DJ18" vm="3468">
        <f ca="1"/>
        <v>104.27</v>
      </c>
      <c r="DK18" vm="1548">
        <f ca="1"/>
        <v>103.6</v>
      </c>
      <c r="DL18" vm="3469">
        <f ca="1"/>
        <v>102.33</v>
      </c>
      <c r="DM18" vm="3470">
        <f ca="1"/>
        <v>102.82</v>
      </c>
      <c r="DN18" vm="3471">
        <f ca="1"/>
        <v>102.52</v>
      </c>
      <c r="DO18" vm="3472">
        <f ca="1"/>
        <v>102.73</v>
      </c>
      <c r="DP18" vm="3473">
        <f ca="1"/>
        <v>103.05</v>
      </c>
      <c r="DQ18" vm="1506">
        <f ca="1"/>
        <v>103.16</v>
      </c>
      <c r="DR18" vm="3474">
        <f ca="1"/>
        <v>103.08</v>
      </c>
      <c r="DS18" vm="3475">
        <f ca="1"/>
        <v>103.06</v>
      </c>
      <c r="DT18" vm="3476">
        <f ca="1"/>
        <v>101.96</v>
      </c>
      <c r="DU18" vm="464">
        <f ca="1"/>
        <v>101.7</v>
      </c>
      <c r="DV18" vm="3477">
        <f ca="1"/>
        <v>102.07</v>
      </c>
      <c r="DW18" vm="3478">
        <f ca="1"/>
        <v>102.7</v>
      </c>
      <c r="DX18" vm="3479">
        <f ca="1"/>
        <v>103.24</v>
      </c>
      <c r="DY18" vm="3480">
        <f ca="1"/>
        <v>102.9</v>
      </c>
      <c r="DZ18" vm="3481">
        <f ca="1"/>
        <v>101.77</v>
      </c>
      <c r="EA18" vm="3482">
        <f ca="1"/>
        <v>101.84</v>
      </c>
      <c r="EB18" vm="3483">
        <f ca="1"/>
        <v>102.12</v>
      </c>
      <c r="EC18" vm="3484">
        <f ca="1"/>
        <v>107.21</v>
      </c>
      <c r="ED18" vm="3485">
        <f ca="1"/>
        <v>109.03</v>
      </c>
      <c r="EE18" vm="3486">
        <f ca="1"/>
        <v>106.47</v>
      </c>
      <c r="EF18" vm="3487">
        <f ca="1"/>
        <v>107.73</v>
      </c>
      <c r="EG18" vm="3488">
        <f ca="1"/>
        <v>107.05</v>
      </c>
      <c r="EH18" vm="3489">
        <f ca="1"/>
        <v>106.22</v>
      </c>
      <c r="EI18" vm="3490">
        <f ca="1"/>
        <v>107.14</v>
      </c>
      <c r="EJ18" vm="3491">
        <f ca="1"/>
        <v>106.86</v>
      </c>
      <c r="EK18" vm="3492">
        <f ca="1"/>
        <v>106.17</v>
      </c>
      <c r="EL18" vm="3493">
        <f ca="1"/>
        <v>104.47</v>
      </c>
      <c r="EM18" vm="3494">
        <f ca="1"/>
        <v>103.17</v>
      </c>
      <c r="EN18" vm="3495">
        <f ca="1"/>
        <v>102.46</v>
      </c>
      <c r="EO18" vm="3496">
        <f ca="1"/>
        <v>102.23</v>
      </c>
      <c r="EP18" vm="3497">
        <f ca="1"/>
        <v>101.18</v>
      </c>
      <c r="EQ18" vm="3498">
        <f ca="1"/>
        <v>101.59</v>
      </c>
      <c r="ER18" vm="3499">
        <f ca="1"/>
        <v>102.27</v>
      </c>
      <c r="ES18" vm="3500">
        <f ca="1"/>
        <v>101.47</v>
      </c>
      <c r="ET18" vm="3501">
        <f ca="1"/>
        <v>101.68</v>
      </c>
      <c r="EU18" vm="3502">
        <f ca="1"/>
        <v>102.59</v>
      </c>
      <c r="EV18" vm="3503">
        <f ca="1"/>
        <v>102.42</v>
      </c>
      <c r="EW18" vm="3504">
        <f ca="1"/>
        <v>103.44</v>
      </c>
      <c r="EX18" vm="3504">
        <f ca="1"/>
        <v>103.44</v>
      </c>
      <c r="EY18" vm="3505">
        <f ca="1"/>
        <v>102.54</v>
      </c>
      <c r="EZ18" vm="3506">
        <f ca="1"/>
        <v>102.48</v>
      </c>
      <c r="FA18" vm="3507">
        <f ca="1"/>
        <v>102.95</v>
      </c>
      <c r="FB18" vm="1526">
        <f ca="1"/>
        <v>101.39</v>
      </c>
      <c r="FC18" vm="3508">
        <f ca="1"/>
        <v>100.61</v>
      </c>
      <c r="FD18" vm="3509">
        <f ca="1"/>
        <v>107.11</v>
      </c>
      <c r="FE18" vm="3510">
        <f ca="1"/>
        <v>105.32</v>
      </c>
      <c r="FF18" vm="3511">
        <f ca="1"/>
        <v>104.06</v>
      </c>
      <c r="FG18" vm="3512">
        <f ca="1"/>
        <v>107</v>
      </c>
      <c r="FH18" vm="3513">
        <f ca="1"/>
        <v>109.1</v>
      </c>
      <c r="FI18" vm="3514">
        <f ca="1"/>
        <v>110.51</v>
      </c>
      <c r="FJ18" vm="3515">
        <f ca="1"/>
        <v>111.53</v>
      </c>
      <c r="FK18" vm="1578">
        <f ca="1"/>
        <v>112.41</v>
      </c>
      <c r="FL18" vm="3516">
        <f ca="1"/>
        <v>114.41</v>
      </c>
      <c r="FM18" vm="3517">
        <f ca="1"/>
        <v>114.84</v>
      </c>
      <c r="FN18" vm="3518">
        <f ca="1"/>
        <v>115.11</v>
      </c>
      <c r="FO18" vm="3519">
        <f ca="1"/>
        <v>113.56</v>
      </c>
      <c r="FP18" vm="3520">
        <f ca="1"/>
        <v>115.06</v>
      </c>
      <c r="FQ18" vm="3521">
        <f ca="1"/>
        <v>113.18</v>
      </c>
      <c r="FR18" vm="3522">
        <f ca="1"/>
        <v>115.52</v>
      </c>
      <c r="FS18" vm="3523">
        <f ca="1"/>
        <v>116.7</v>
      </c>
      <c r="FT18" vm="3524">
        <f ca="1"/>
        <v>116.79</v>
      </c>
      <c r="FU18" vm="3525">
        <f ca="1"/>
        <v>115.42</v>
      </c>
      <c r="FV18" vm="1582">
        <f ca="1"/>
        <v>115.66</v>
      </c>
      <c r="FW18" vm="3526">
        <f ca="1"/>
        <v>114.83</v>
      </c>
      <c r="FX18" vm="3527">
        <f ca="1"/>
        <v>114.36</v>
      </c>
      <c r="FY18" vm="3528">
        <f ca="1"/>
        <v>112.6</v>
      </c>
      <c r="FZ18" vm="3529">
        <f ca="1"/>
        <v>110.9</v>
      </c>
      <c r="GA18" vm="2950">
        <f ca="1"/>
        <v>111.61</v>
      </c>
      <c r="GB18" vm="1556">
        <f ca="1"/>
        <v>111.74</v>
      </c>
      <c r="GC18" vm="3530">
        <f ca="1"/>
        <v>112.53</v>
      </c>
      <c r="GD18" vm="3531">
        <f ca="1"/>
        <v>111.92</v>
      </c>
      <c r="GE18" vm="3532">
        <f ca="1"/>
        <v>111.41</v>
      </c>
      <c r="GF18" vm="3533">
        <f ca="1"/>
        <v>112.76</v>
      </c>
      <c r="GG18" vm="3534">
        <f ca="1"/>
        <v>112.71</v>
      </c>
      <c r="GH18" vm="1605">
        <f ca="1"/>
        <v>114.34</v>
      </c>
      <c r="GI18" vm="3535">
        <f ca="1"/>
        <v>112.72</v>
      </c>
      <c r="GJ18" vm="3536">
        <f ca="1"/>
        <v>113.07</v>
      </c>
      <c r="GK18" vm="3537">
        <f ca="1"/>
        <v>114.53</v>
      </c>
      <c r="GL18" vm="3538">
        <f ca="1"/>
        <v>117.97</v>
      </c>
      <c r="GM18" vm="3539">
        <f ca="1"/>
        <v>120.36</v>
      </c>
      <c r="GN18" vm="3540">
        <f ca="1"/>
        <v>120.04</v>
      </c>
      <c r="GO18" vm="3541">
        <f ca="1"/>
        <v>119.2</v>
      </c>
      <c r="GP18" vm="3542">
        <f ca="1"/>
        <v>119.7</v>
      </c>
      <c r="GQ18" vm="3543">
        <f ca="1"/>
        <v>118.71</v>
      </c>
      <c r="GR18" vm="3544">
        <f ca="1"/>
        <v>119.36</v>
      </c>
      <c r="GS18" vm="3545">
        <f ca="1"/>
        <v>117.83</v>
      </c>
      <c r="GT18" vm="3546">
        <f ca="1"/>
        <v>117.73</v>
      </c>
      <c r="GU18" vm="3547">
        <f ca="1"/>
        <v>117.64</v>
      </c>
      <c r="GV18" vm="3548">
        <f ca="1"/>
        <v>116.94</v>
      </c>
      <c r="GW18" vm="3549">
        <f ca="1"/>
        <v>116.57</v>
      </c>
      <c r="GX18" vm="3550">
        <f ca="1"/>
        <v>117.41</v>
      </c>
      <c r="GY18" vm="3551">
        <f ca="1"/>
        <v>119.14</v>
      </c>
      <c r="GZ18" vm="3552">
        <f ca="1"/>
        <v>124.06</v>
      </c>
      <c r="HA18" vm="3553">
        <f ca="1"/>
        <v>127.71</v>
      </c>
      <c r="HB18" vm="27">
        <f ca="1"/>
        <v>128</v>
      </c>
      <c r="HC18" vm="3554">
        <f ca="1"/>
        <v>126.94</v>
      </c>
      <c r="HD18" vm="3555">
        <f ca="1"/>
        <v>131.18</v>
      </c>
      <c r="HE18" vm="3556">
        <f ca="1"/>
        <v>129.02000000000001</v>
      </c>
      <c r="HF18" vm="24">
        <f ca="1"/>
        <v>126.7</v>
      </c>
      <c r="HG18" vm="3557">
        <f ca="1"/>
        <v>128.77000000000001</v>
      </c>
      <c r="HH18" vm="3558">
        <f ca="1"/>
        <v>133.63999999999999</v>
      </c>
      <c r="HI18" vm="3559">
        <f ca="1"/>
        <v>133.88999999999999</v>
      </c>
      <c r="HJ18" vm="3560">
        <f ca="1"/>
        <v>128.85</v>
      </c>
      <c r="HK18" vm="3561">
        <f ca="1"/>
        <v>126.62</v>
      </c>
      <c r="HL18" vm="3562">
        <f ca="1"/>
        <v>124.87</v>
      </c>
      <c r="HM18" vm="3563">
        <f ca="1"/>
        <v>122.99</v>
      </c>
      <c r="HN18" vm="3564">
        <f ca="1"/>
        <v>125.81</v>
      </c>
      <c r="HO18" vm="3565">
        <f ca="1"/>
        <v>126.75</v>
      </c>
      <c r="HP18" vm="3566">
        <f ca="1"/>
        <v>125.75</v>
      </c>
      <c r="HQ18" vm="3567">
        <f ca="1"/>
        <v>124.42</v>
      </c>
      <c r="HR18" vm="3568">
        <f ca="1"/>
        <v>127.95</v>
      </c>
      <c r="HS18" vm="491">
        <f ca="1"/>
        <v>127.1</v>
      </c>
      <c r="HT18" vm="3569">
        <f ca="1"/>
        <v>127.91</v>
      </c>
      <c r="HU18" vm="3570">
        <f ca="1"/>
        <v>127.81</v>
      </c>
      <c r="HV18" vm="3571">
        <f ca="1"/>
        <v>123.31</v>
      </c>
      <c r="HW18" vm="3572">
        <f ca="1"/>
        <v>123.8</v>
      </c>
      <c r="HX18" vm="3573">
        <f ca="1"/>
        <v>124.34</v>
      </c>
      <c r="HY18" vm="3574">
        <f ca="1"/>
        <v>125.12</v>
      </c>
      <c r="HZ18" vm="3575">
        <f ca="1"/>
        <v>123.49</v>
      </c>
      <c r="IA18" vm="3576">
        <f ca="1"/>
        <v>125.33</v>
      </c>
      <c r="IB18" vm="3577">
        <f ca="1"/>
        <v>126.52</v>
      </c>
      <c r="IC18" vm="3578">
        <f ca="1"/>
        <v>125.99</v>
      </c>
      <c r="ID18" vm="3579">
        <f ca="1"/>
        <v>125.08</v>
      </c>
      <c r="IE18" vm="3580">
        <f ca="1"/>
        <v>121.98</v>
      </c>
      <c r="IF18" vm="3581">
        <f ca="1"/>
        <v>121.09</v>
      </c>
      <c r="IG18" vm="3582">
        <f ca="1"/>
        <v>119.02</v>
      </c>
      <c r="IH18" vm="3583">
        <f ca="1"/>
        <v>120.72</v>
      </c>
      <c r="II18" vm="3584">
        <f ca="1"/>
        <v>122.05</v>
      </c>
      <c r="IJ18" vm="3585">
        <f ca="1"/>
        <v>123.06</v>
      </c>
      <c r="IK18" vm="3586">
        <f ca="1"/>
        <v>122.18</v>
      </c>
      <c r="IL18" vm="3587">
        <f ca="1"/>
        <v>122.89</v>
      </c>
      <c r="IM18" vm="3588">
        <f ca="1"/>
        <v>123.5</v>
      </c>
      <c r="IN18" vm="3589">
        <f ca="1"/>
        <v>124.28</v>
      </c>
      <c r="IO18" vm="3590">
        <f ca="1"/>
        <v>124.74</v>
      </c>
      <c r="IP18" vm="3591">
        <f ca="1"/>
        <v>125.79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49F6-1274-47EB-B8B1-84821E871FA2}">
  <sheetPr>
    <tabColor rgb="FF334155"/>
  </sheetPr>
  <dimension ref="A1:J115"/>
  <sheetViews>
    <sheetView showGridLines="0" workbookViewId="0">
      <selection activeCell="F20" sqref="F20"/>
    </sheetView>
  </sheetViews>
  <sheetFormatPr defaultRowHeight="14.5" x14ac:dyDescent="0.35"/>
  <cols>
    <col min="2" max="2" width="16.36328125" customWidth="1"/>
    <col min="3" max="3" width="32.7265625" customWidth="1"/>
    <col min="4" max="4" width="20.90625" customWidth="1"/>
    <col min="5" max="5" width="15.453125" style="1" customWidth="1"/>
    <col min="6" max="6" width="12.7265625" customWidth="1"/>
    <col min="7" max="7" width="21.81640625" style="1" customWidth="1"/>
    <col min="8" max="8" width="10.90625" customWidth="1"/>
  </cols>
  <sheetData>
    <row r="1" spans="1:10" ht="18.5" x14ac:dyDescent="0.45">
      <c r="A1" s="69" t="s">
        <v>68</v>
      </c>
      <c r="B1" s="69"/>
      <c r="C1" s="69"/>
      <c r="D1" s="69"/>
      <c r="E1" s="70"/>
      <c r="F1" s="69"/>
      <c r="G1" s="70"/>
      <c r="H1" s="71"/>
      <c r="I1" s="302"/>
      <c r="J1" s="302"/>
    </row>
    <row r="2" spans="1:10" ht="15" thickBot="1" x14ac:dyDescent="0.4">
      <c r="A2" s="12"/>
      <c r="B2" s="72" t="s">
        <v>8</v>
      </c>
      <c r="C2" s="73" t="s">
        <v>7</v>
      </c>
      <c r="D2" s="73" t="s">
        <v>11</v>
      </c>
      <c r="E2" s="74" t="s">
        <v>9</v>
      </c>
      <c r="F2" s="73" t="s">
        <v>1</v>
      </c>
      <c r="G2" s="74" t="s">
        <v>10</v>
      </c>
      <c r="H2" s="75" t="s">
        <v>13</v>
      </c>
      <c r="I2" s="73" t="s">
        <v>387</v>
      </c>
      <c r="J2" s="73" t="s">
        <v>388</v>
      </c>
    </row>
    <row r="3" spans="1:10" x14ac:dyDescent="0.35">
      <c r="A3" s="12"/>
      <c r="B3" s="76">
        <v>43466</v>
      </c>
      <c r="C3" s="77" t="e" vm="1">
        <v>#VALUE!</v>
      </c>
      <c r="D3" s="77" t="s">
        <v>12</v>
      </c>
      <c r="E3" s="253">
        <v>19.149999999999999</v>
      </c>
      <c r="F3" s="78">
        <v>29.24</v>
      </c>
      <c r="G3" s="253">
        <f t="shared" ref="G3:G34" si="0">E3*F3</f>
        <v>559.94599999999991</v>
      </c>
      <c r="H3" s="79" t="str" cm="1">
        <f t="array" aca="1" ref="H3" ca="1">_FV(Ledger[[#This Row],[Stock]],"Ticker symbol",TRUE)</f>
        <v>AMD</v>
      </c>
      <c r="I3" s="303">
        <f ca="1">IF(D3="Sell",B3-_xlfn.MAXIFS(B$3:B$114,H$3:H$114,H3,D$3:D$114,"Buy",B$3:B$114,"&lt;"&amp;B3),TODAY()-B3)</f>
        <v>2652</v>
      </c>
      <c r="J3" s="94" t="str">
        <f ca="1">IF(I3&gt;365,"LT GAIN","ST GAIN · HIGH TAX")</f>
        <v>LT GAIN</v>
      </c>
    </row>
    <row r="4" spans="1:10" x14ac:dyDescent="0.35">
      <c r="A4" s="12"/>
      <c r="B4" s="17">
        <v>43831</v>
      </c>
      <c r="C4" s="18" t="e" vm="1">
        <v>#VALUE!</v>
      </c>
      <c r="D4" s="18" t="s">
        <v>12</v>
      </c>
      <c r="E4" s="254">
        <v>30.98</v>
      </c>
      <c r="F4" s="19">
        <v>18.07</v>
      </c>
      <c r="G4" s="254">
        <f t="shared" si="0"/>
        <v>559.80860000000007</v>
      </c>
      <c r="H4" s="20" t="str" cm="1">
        <f t="array" aca="1" ref="H4" ca="1">_FV(Ledger[[#This Row],[Stock]],"Ticker symbol",TRUE)</f>
        <v>AMD</v>
      </c>
      <c r="I4" s="303">
        <f ca="1">IF(D4="Sell",B4-_xlfn.MAXIFS(B$3:B$114,H$3:H$114,H4,D$3:D$114,"Buy",B$3:B$114,"&lt;"&amp;B4),TODAY()-B4)</f>
        <v>2287</v>
      </c>
      <c r="J4" s="94" t="str">
        <f ca="1">IF(I4&gt;365,"LT GAIN","ST GAIN · HIGH TAX")</f>
        <v>LT GAIN</v>
      </c>
    </row>
    <row r="5" spans="1:10" x14ac:dyDescent="0.35">
      <c r="A5" s="12"/>
      <c r="B5" s="80">
        <v>44197</v>
      </c>
      <c r="C5" s="81" t="e" vm="1">
        <v>#VALUE!</v>
      </c>
      <c r="D5" s="81" t="s">
        <v>12</v>
      </c>
      <c r="E5" s="255">
        <v>89.33</v>
      </c>
      <c r="F5" s="82">
        <v>6.27</v>
      </c>
      <c r="G5" s="255">
        <f t="shared" si="0"/>
        <v>560.09909999999991</v>
      </c>
      <c r="H5" s="83" t="str" cm="1">
        <f t="array" aca="1" ref="H5" ca="1">_FV(Ledger[[#This Row],[Stock]],"Ticker symbol",TRUE)</f>
        <v>AMD</v>
      </c>
      <c r="I5" s="303">
        <f t="shared" ref="I5:I68" ca="1" si="1">IF(D5="Sell",B5-_xlfn.MAXIFS(B$3:B$114,H$3:H$114,H5,D$3:D$114,"Buy",B$3:B$114,"&lt;"&amp;B5),TODAY()-B5)</f>
        <v>1921</v>
      </c>
      <c r="J5" s="94" t="str">
        <f t="shared" ref="J5:J68" ca="1" si="2">IF(I5&gt;365,"LT GAIN","ST GAIN · HIGH TAX")</f>
        <v>LT GAIN</v>
      </c>
    </row>
    <row r="6" spans="1:10" x14ac:dyDescent="0.35">
      <c r="A6" s="12"/>
      <c r="B6" s="17">
        <v>44562</v>
      </c>
      <c r="C6" s="18" t="e" vm="1">
        <v>#VALUE!</v>
      </c>
      <c r="D6" s="18" t="s">
        <v>140</v>
      </c>
      <c r="E6" s="254">
        <v>110.93</v>
      </c>
      <c r="F6" s="19">
        <v>5.05</v>
      </c>
      <c r="G6" s="254">
        <f t="shared" si="0"/>
        <v>560.19650000000001</v>
      </c>
      <c r="H6" s="20" t="str" cm="1">
        <f t="array" aca="1" ref="H6" ca="1">_FV(Ledger[[#This Row],[Stock]],"Ticker symbol",TRUE)</f>
        <v>AMD</v>
      </c>
      <c r="I6" s="303">
        <f t="shared" ca="1" si="1"/>
        <v>365</v>
      </c>
      <c r="J6" s="94" t="str">
        <f t="shared" ca="1" si="2"/>
        <v>ST GAIN · HIGH TAX</v>
      </c>
    </row>
    <row r="7" spans="1:10" x14ac:dyDescent="0.35">
      <c r="A7" s="12"/>
      <c r="B7" s="80">
        <v>44927</v>
      </c>
      <c r="C7" s="81" t="e" vm="1">
        <v>#VALUE!</v>
      </c>
      <c r="D7" s="81" t="s">
        <v>12</v>
      </c>
      <c r="E7" s="255">
        <v>66.09</v>
      </c>
      <c r="F7" s="82">
        <v>8.4700000000000006</v>
      </c>
      <c r="G7" s="255">
        <f t="shared" si="0"/>
        <v>559.78230000000008</v>
      </c>
      <c r="H7" s="83" t="str" cm="1">
        <f t="array" aca="1" ref="H7" ca="1">_FV(Ledger[[#This Row],[Stock]],"Ticker symbol",TRUE)</f>
        <v>AMD</v>
      </c>
      <c r="I7" s="303">
        <f t="shared" ca="1" si="1"/>
        <v>1191</v>
      </c>
      <c r="J7" s="94" t="str">
        <f t="shared" ca="1" si="2"/>
        <v>LT GAIN</v>
      </c>
    </row>
    <row r="8" spans="1:10" x14ac:dyDescent="0.35">
      <c r="A8" s="12"/>
      <c r="B8" s="17">
        <v>45292</v>
      </c>
      <c r="C8" s="18" t="e" vm="1">
        <v>#VALUE!</v>
      </c>
      <c r="D8" s="18" t="s">
        <v>12</v>
      </c>
      <c r="E8" s="254">
        <v>104.7</v>
      </c>
      <c r="F8" s="19">
        <v>21.4</v>
      </c>
      <c r="G8" s="254">
        <f t="shared" si="0"/>
        <v>2240.58</v>
      </c>
      <c r="H8" s="20" t="str" cm="1">
        <f t="array" aca="1" ref="H8" ca="1">_FV(Ledger[[#This Row],[Stock]],"Ticker symbol",TRUE)</f>
        <v>AMD</v>
      </c>
      <c r="I8" s="303">
        <f t="shared" ca="1" si="1"/>
        <v>826</v>
      </c>
      <c r="J8" s="94" t="str">
        <f t="shared" ca="1" si="2"/>
        <v>LT GAIN</v>
      </c>
    </row>
    <row r="9" spans="1:10" x14ac:dyDescent="0.35">
      <c r="A9" s="12"/>
      <c r="B9" s="80">
        <v>45658</v>
      </c>
      <c r="C9" s="81" t="e" vm="1">
        <v>#VALUE!</v>
      </c>
      <c r="D9" s="81" t="s">
        <v>140</v>
      </c>
      <c r="E9" s="255">
        <v>126.16</v>
      </c>
      <c r="F9" s="82">
        <v>18.66</v>
      </c>
      <c r="G9" s="255">
        <f t="shared" si="0"/>
        <v>2354.1455999999998</v>
      </c>
      <c r="H9" s="83" t="str" cm="1">
        <f t="array" aca="1" ref="H9" ca="1">_FV(Ledger[[#This Row],[Stock]],"Ticker symbol",TRUE)</f>
        <v>AMD</v>
      </c>
      <c r="I9" s="303">
        <f t="shared" ca="1" si="1"/>
        <v>366</v>
      </c>
      <c r="J9" s="94" t="str">
        <f t="shared" ca="1" si="2"/>
        <v>LT GAIN</v>
      </c>
    </row>
    <row r="10" spans="1:10" x14ac:dyDescent="0.35">
      <c r="A10" s="12"/>
      <c r="B10" s="17">
        <v>43466</v>
      </c>
      <c r="C10" s="18" t="e" vm="3592">
        <v>#VALUE!</v>
      </c>
      <c r="D10" s="18" t="s">
        <v>12</v>
      </c>
      <c r="E10" s="254">
        <v>97.62</v>
      </c>
      <c r="F10" s="19">
        <v>7.32</v>
      </c>
      <c r="G10" s="254">
        <f t="shared" si="0"/>
        <v>714.5784000000001</v>
      </c>
      <c r="H10" s="20" t="str" cm="1">
        <f t="array" aca="1" ref="H10" ca="1">_FV(Ledger[[#This Row],[Stock]],"Ticker symbol",TRUE)</f>
        <v>JPM</v>
      </c>
      <c r="I10" s="303">
        <f t="shared" ca="1" si="1"/>
        <v>2652</v>
      </c>
      <c r="J10" s="94" t="str">
        <f t="shared" ca="1" si="2"/>
        <v>LT GAIN</v>
      </c>
    </row>
    <row r="11" spans="1:10" x14ac:dyDescent="0.35">
      <c r="A11" s="12"/>
      <c r="B11" s="80">
        <v>43831</v>
      </c>
      <c r="C11" s="81" t="e" vm="3592">
        <v>#VALUE!</v>
      </c>
      <c r="D11" s="81" t="s">
        <v>12</v>
      </c>
      <c r="E11" s="255">
        <v>139.4</v>
      </c>
      <c r="F11" s="82">
        <v>5.12</v>
      </c>
      <c r="G11" s="255">
        <f t="shared" si="0"/>
        <v>713.72800000000007</v>
      </c>
      <c r="H11" s="83" t="str" cm="1">
        <f t="array" aca="1" ref="H11" ca="1">_FV(Ledger[[#This Row],[Stock]],"Ticker symbol",TRUE)</f>
        <v>JPM</v>
      </c>
      <c r="I11" s="303">
        <f t="shared" ca="1" si="1"/>
        <v>2287</v>
      </c>
      <c r="J11" s="94" t="str">
        <f t="shared" ca="1" si="2"/>
        <v>LT GAIN</v>
      </c>
    </row>
    <row r="12" spans="1:10" x14ac:dyDescent="0.35">
      <c r="A12" s="12"/>
      <c r="B12" s="17">
        <v>44197</v>
      </c>
      <c r="C12" s="18" t="e" vm="3592">
        <v>#VALUE!</v>
      </c>
      <c r="D12" s="18" t="s">
        <v>12</v>
      </c>
      <c r="E12" s="254">
        <v>127.07</v>
      </c>
      <c r="F12" s="19">
        <v>5.62</v>
      </c>
      <c r="G12" s="254">
        <f t="shared" si="0"/>
        <v>714.13339999999994</v>
      </c>
      <c r="H12" s="20" t="str" cm="1">
        <f t="array" aca="1" ref="H12" ca="1">_FV(Ledger[[#This Row],[Stock]],"Ticker symbol",TRUE)</f>
        <v>JPM</v>
      </c>
      <c r="I12" s="303">
        <f t="shared" ca="1" si="1"/>
        <v>1921</v>
      </c>
      <c r="J12" s="94" t="str">
        <f t="shared" ca="1" si="2"/>
        <v>LT GAIN</v>
      </c>
    </row>
    <row r="13" spans="1:10" x14ac:dyDescent="0.35">
      <c r="A13" s="12"/>
      <c r="B13" s="80">
        <v>44562</v>
      </c>
      <c r="C13" s="81" t="e" vm="3592">
        <v>#VALUE!</v>
      </c>
      <c r="D13" s="81" t="s">
        <v>140</v>
      </c>
      <c r="E13" s="255">
        <v>167.89</v>
      </c>
      <c r="F13" s="82">
        <v>4.26</v>
      </c>
      <c r="G13" s="255">
        <f t="shared" si="0"/>
        <v>715.21139999999991</v>
      </c>
      <c r="H13" s="83" t="str" cm="1">
        <f t="array" aca="1" ref="H13" ca="1">_FV(Ledger[[#This Row],[Stock]],"Ticker symbol",TRUE)</f>
        <v>JPM</v>
      </c>
      <c r="I13" s="303">
        <f t="shared" ca="1" si="1"/>
        <v>365</v>
      </c>
      <c r="J13" s="94" t="str">
        <f t="shared" ca="1" si="2"/>
        <v>ST GAIN · HIGH TAX</v>
      </c>
    </row>
    <row r="14" spans="1:10" x14ac:dyDescent="0.35">
      <c r="A14" s="12"/>
      <c r="B14" s="17">
        <v>44927</v>
      </c>
      <c r="C14" s="18" t="e" vm="3592">
        <v>#VALUE!</v>
      </c>
      <c r="D14" s="18" t="s">
        <v>12</v>
      </c>
      <c r="E14" s="254">
        <v>134.12</v>
      </c>
      <c r="F14" s="19">
        <v>5.32</v>
      </c>
      <c r="G14" s="254">
        <f t="shared" si="0"/>
        <v>713.51840000000004</v>
      </c>
      <c r="H14" s="20" t="str" cm="1">
        <f t="array" aca="1" ref="H14" ca="1">_FV(Ledger[[#This Row],[Stock]],"Ticker symbol",TRUE)</f>
        <v>JPM</v>
      </c>
      <c r="I14" s="303">
        <f t="shared" ca="1" si="1"/>
        <v>1191</v>
      </c>
      <c r="J14" s="94" t="str">
        <f t="shared" ca="1" si="2"/>
        <v>LT GAIN</v>
      </c>
    </row>
    <row r="15" spans="1:10" x14ac:dyDescent="0.35">
      <c r="A15" s="12"/>
      <c r="B15" s="80">
        <v>45292</v>
      </c>
      <c r="C15" s="81" t="e" vm="3592">
        <v>#VALUE!</v>
      </c>
      <c r="D15" s="81" t="s">
        <v>12</v>
      </c>
      <c r="E15" s="255">
        <v>170.1</v>
      </c>
      <c r="F15" s="82">
        <v>16.8</v>
      </c>
      <c r="G15" s="255">
        <f t="shared" si="0"/>
        <v>2857.68</v>
      </c>
      <c r="H15" s="83" t="str" cm="1">
        <f t="array" aca="1" ref="H15" ca="1">_FV(Ledger[[#This Row],[Stock]],"Ticker symbol",TRUE)</f>
        <v>JPM</v>
      </c>
      <c r="I15" s="303">
        <f t="shared" ca="1" si="1"/>
        <v>826</v>
      </c>
      <c r="J15" s="94" t="str">
        <f t="shared" ca="1" si="2"/>
        <v>LT GAIN</v>
      </c>
    </row>
    <row r="16" spans="1:10" x14ac:dyDescent="0.35">
      <c r="A16" s="12"/>
      <c r="B16" s="17">
        <v>45658</v>
      </c>
      <c r="C16" s="18" t="e" vm="3592">
        <v>#VALUE!</v>
      </c>
      <c r="D16" s="18" t="s">
        <v>140</v>
      </c>
      <c r="E16" s="254">
        <v>242.12</v>
      </c>
      <c r="F16" s="19">
        <v>12.4</v>
      </c>
      <c r="G16" s="254">
        <f t="shared" si="0"/>
        <v>3002.288</v>
      </c>
      <c r="H16" s="20" t="str" cm="1">
        <f t="array" aca="1" ref="H16" ca="1">_FV(Ledger[[#This Row],[Stock]],"Ticker symbol",TRUE)</f>
        <v>JPM</v>
      </c>
      <c r="I16" s="303">
        <f t="shared" ca="1" si="1"/>
        <v>366</v>
      </c>
      <c r="J16" s="94" t="str">
        <f t="shared" ca="1" si="2"/>
        <v>LT GAIN</v>
      </c>
    </row>
    <row r="17" spans="1:10" x14ac:dyDescent="0.35">
      <c r="A17" s="12"/>
      <c r="B17" s="80">
        <v>43466</v>
      </c>
      <c r="C17" s="81" t="e" vm="3593">
        <v>#VALUE!</v>
      </c>
      <c r="D17" s="81" t="s">
        <v>12</v>
      </c>
      <c r="E17" s="255">
        <v>389.5</v>
      </c>
      <c r="F17" s="82">
        <v>1.69</v>
      </c>
      <c r="G17" s="255">
        <f t="shared" si="0"/>
        <v>658.255</v>
      </c>
      <c r="H17" s="83" t="str" cm="1">
        <f t="array" aca="1" ref="H17" ca="1">_FV(Ledger[[#This Row],[Stock]],"Ticker symbol",TRUE)</f>
        <v>BLK</v>
      </c>
      <c r="I17" s="303">
        <f t="shared" ca="1" si="1"/>
        <v>2652</v>
      </c>
      <c r="J17" s="94" t="str">
        <f t="shared" ca="1" si="2"/>
        <v>LT GAIN</v>
      </c>
    </row>
    <row r="18" spans="1:10" x14ac:dyDescent="0.35">
      <c r="A18" s="12"/>
      <c r="B18" s="17">
        <v>43831</v>
      </c>
      <c r="C18" s="18" t="e" vm="3593">
        <v>#VALUE!</v>
      </c>
      <c r="D18" s="18" t="s">
        <v>12</v>
      </c>
      <c r="E18" s="254">
        <v>502.7</v>
      </c>
      <c r="F18" s="19">
        <v>1.31</v>
      </c>
      <c r="G18" s="254">
        <f t="shared" si="0"/>
        <v>658.53700000000003</v>
      </c>
      <c r="H18" s="20" t="str" cm="1">
        <f t="array" aca="1" ref="H18" ca="1">_FV(Ledger[[#This Row],[Stock]],"Ticker symbol",TRUE)</f>
        <v>BLK</v>
      </c>
      <c r="I18" s="303">
        <f t="shared" ca="1" si="1"/>
        <v>2287</v>
      </c>
      <c r="J18" s="94" t="str">
        <f t="shared" ca="1" si="2"/>
        <v>LT GAIN</v>
      </c>
    </row>
    <row r="19" spans="1:10" x14ac:dyDescent="0.35">
      <c r="A19" s="12"/>
      <c r="B19" s="80">
        <v>44197</v>
      </c>
      <c r="C19" s="81" t="e" vm="3593">
        <v>#VALUE!</v>
      </c>
      <c r="D19" s="81" t="s">
        <v>12</v>
      </c>
      <c r="E19" s="255">
        <v>720.44</v>
      </c>
      <c r="F19" s="82">
        <v>0.91</v>
      </c>
      <c r="G19" s="255">
        <f t="shared" si="0"/>
        <v>655.60040000000004</v>
      </c>
      <c r="H19" s="83" t="str" cm="1">
        <f t="array" aca="1" ref="H19" ca="1">_FV(Ledger[[#This Row],[Stock]],"Ticker symbol",TRUE)</f>
        <v>BLK</v>
      </c>
      <c r="I19" s="303">
        <f t="shared" ca="1" si="1"/>
        <v>1921</v>
      </c>
      <c r="J19" s="94" t="str">
        <f t="shared" ca="1" si="2"/>
        <v>LT GAIN</v>
      </c>
    </row>
    <row r="20" spans="1:10" x14ac:dyDescent="0.35">
      <c r="A20" s="12"/>
      <c r="B20" s="17">
        <v>44562</v>
      </c>
      <c r="C20" s="18" t="e" vm="3593">
        <v>#VALUE!</v>
      </c>
      <c r="D20" s="18" t="s">
        <v>140</v>
      </c>
      <c r="E20" s="254">
        <v>900.84</v>
      </c>
      <c r="F20" s="19">
        <v>0.73</v>
      </c>
      <c r="G20" s="254">
        <f t="shared" si="0"/>
        <v>657.61320000000001</v>
      </c>
      <c r="H20" s="20" t="str" cm="1">
        <f t="array" aca="1" ref="H20" ca="1">_FV(Ledger[[#This Row],[Stock]],"Ticker symbol",TRUE)</f>
        <v>BLK</v>
      </c>
      <c r="I20" s="303">
        <f t="shared" ca="1" si="1"/>
        <v>365</v>
      </c>
      <c r="J20" s="94" t="str">
        <f t="shared" ca="1" si="2"/>
        <v>ST GAIN · HIGH TAX</v>
      </c>
    </row>
    <row r="21" spans="1:10" x14ac:dyDescent="0.35">
      <c r="A21" s="12"/>
      <c r="B21" s="80">
        <v>44927</v>
      </c>
      <c r="C21" s="81" t="e" vm="3593">
        <v>#VALUE!</v>
      </c>
      <c r="D21" s="81" t="s">
        <v>12</v>
      </c>
      <c r="E21" s="255">
        <v>714.77</v>
      </c>
      <c r="F21" s="82">
        <v>0.92</v>
      </c>
      <c r="G21" s="255">
        <f t="shared" si="0"/>
        <v>657.58839999999998</v>
      </c>
      <c r="H21" s="83" t="str" cm="1">
        <f t="array" aca="1" ref="H21" ca="1">_FV(Ledger[[#This Row],[Stock]],"Ticker symbol",TRUE)</f>
        <v>BLK</v>
      </c>
      <c r="I21" s="303">
        <f t="shared" ca="1" si="1"/>
        <v>1191</v>
      </c>
      <c r="J21" s="94" t="str">
        <f t="shared" ca="1" si="2"/>
        <v>LT GAIN</v>
      </c>
    </row>
    <row r="22" spans="1:10" x14ac:dyDescent="0.35">
      <c r="A22" s="12"/>
      <c r="B22" s="17">
        <v>45292</v>
      </c>
      <c r="C22" s="18" t="e" vm="3593">
        <v>#VALUE!</v>
      </c>
      <c r="D22" s="18" t="s">
        <v>12</v>
      </c>
      <c r="E22" s="254">
        <v>808.8</v>
      </c>
      <c r="F22" s="19">
        <v>3.25</v>
      </c>
      <c r="G22" s="254">
        <f t="shared" si="0"/>
        <v>2628.6</v>
      </c>
      <c r="H22" s="20" t="str" cm="1">
        <f t="array" aca="1" ref="H22" ca="1">_FV(Ledger[[#This Row],[Stock]],"Ticker symbol",TRUE)</f>
        <v>BLK</v>
      </c>
      <c r="I22" s="303">
        <f t="shared" ca="1" si="1"/>
        <v>826</v>
      </c>
      <c r="J22" s="94" t="str">
        <f t="shared" ca="1" si="2"/>
        <v>LT GAIN</v>
      </c>
    </row>
    <row r="23" spans="1:10" x14ac:dyDescent="0.35">
      <c r="A23" s="12"/>
      <c r="B23" s="80">
        <v>45658</v>
      </c>
      <c r="C23" s="81" t="e" vm="3593">
        <v>#VALUE!</v>
      </c>
      <c r="D23" s="81" t="s">
        <v>140</v>
      </c>
      <c r="E23" s="255">
        <v>1008.88</v>
      </c>
      <c r="F23" s="82">
        <v>2.74</v>
      </c>
      <c r="G23" s="255">
        <f t="shared" si="0"/>
        <v>2764.3312000000001</v>
      </c>
      <c r="H23" s="83" t="str" cm="1">
        <f t="array" aca="1" ref="H23" ca="1">_FV(Ledger[[#This Row],[Stock]],"Ticker symbol",TRUE)</f>
        <v>BLK</v>
      </c>
      <c r="I23" s="303">
        <f t="shared" ca="1" si="1"/>
        <v>366</v>
      </c>
      <c r="J23" s="94" t="str">
        <f t="shared" ca="1" si="2"/>
        <v>LT GAIN</v>
      </c>
    </row>
    <row r="24" spans="1:10" x14ac:dyDescent="0.35">
      <c r="A24" s="12"/>
      <c r="B24" s="17">
        <v>43466</v>
      </c>
      <c r="C24" s="18" t="e" vm="3594">
        <v>#VALUE!</v>
      </c>
      <c r="D24" s="18" t="s">
        <v>12</v>
      </c>
      <c r="E24" s="254">
        <v>322.5</v>
      </c>
      <c r="F24" s="19">
        <v>2.34</v>
      </c>
      <c r="G24" s="254">
        <f t="shared" si="0"/>
        <v>754.65</v>
      </c>
      <c r="H24" s="20" t="str" cm="1">
        <f t="array" aca="1" ref="H24" ca="1">_FV(Ledger[[#This Row],[Stock]],"Ticker symbol",TRUE)</f>
        <v>BA</v>
      </c>
      <c r="I24" s="303">
        <f t="shared" ca="1" si="1"/>
        <v>2652</v>
      </c>
      <c r="J24" s="94" t="str">
        <f t="shared" ca="1" si="2"/>
        <v>LT GAIN</v>
      </c>
    </row>
    <row r="25" spans="1:10" x14ac:dyDescent="0.35">
      <c r="A25" s="12"/>
      <c r="B25" s="80">
        <v>43831</v>
      </c>
      <c r="C25" s="81" t="e" vm="3594">
        <v>#VALUE!</v>
      </c>
      <c r="D25" s="81" t="s">
        <v>12</v>
      </c>
      <c r="E25" s="255">
        <v>327</v>
      </c>
      <c r="F25" s="82">
        <v>2.31</v>
      </c>
      <c r="G25" s="255">
        <f t="shared" si="0"/>
        <v>755.37</v>
      </c>
      <c r="H25" s="83" t="str" cm="1">
        <f t="array" aca="1" ref="H25" ca="1">_FV(Ledger[[#This Row],[Stock]],"Ticker symbol",TRUE)</f>
        <v>BA</v>
      </c>
      <c r="I25" s="303">
        <f t="shared" ca="1" si="1"/>
        <v>2287</v>
      </c>
      <c r="J25" s="94" t="str">
        <f t="shared" ca="1" si="2"/>
        <v>LT GAIN</v>
      </c>
    </row>
    <row r="26" spans="1:10" x14ac:dyDescent="0.35">
      <c r="A26" s="12"/>
      <c r="B26" s="17">
        <v>44197</v>
      </c>
      <c r="C26" s="18" t="e" vm="3594">
        <v>#VALUE!</v>
      </c>
      <c r="D26" s="18" t="s">
        <v>12</v>
      </c>
      <c r="E26" s="254">
        <v>214.06</v>
      </c>
      <c r="F26" s="19">
        <v>3.52</v>
      </c>
      <c r="G26" s="254">
        <f t="shared" si="0"/>
        <v>753.49120000000005</v>
      </c>
      <c r="H26" s="20" t="str" cm="1">
        <f t="array" aca="1" ref="H26" ca="1">_FV(Ledger[[#This Row],[Stock]],"Ticker symbol",TRUE)</f>
        <v>BA</v>
      </c>
      <c r="I26" s="303">
        <f t="shared" ca="1" si="1"/>
        <v>1921</v>
      </c>
      <c r="J26" s="94" t="str">
        <f t="shared" ca="1" si="2"/>
        <v>LT GAIN</v>
      </c>
    </row>
    <row r="27" spans="1:10" x14ac:dyDescent="0.35">
      <c r="A27" s="12"/>
      <c r="B27" s="80">
        <v>44562</v>
      </c>
      <c r="C27" s="81" t="e" vm="3594">
        <v>#VALUE!</v>
      </c>
      <c r="D27" s="81" t="s">
        <v>140</v>
      </c>
      <c r="E27" s="255">
        <v>202.71</v>
      </c>
      <c r="F27" s="82">
        <v>3.72</v>
      </c>
      <c r="G27" s="255">
        <f t="shared" si="0"/>
        <v>754.08120000000008</v>
      </c>
      <c r="H27" s="83" t="str" cm="1">
        <f t="array" aca="1" ref="H27" ca="1">_FV(Ledger[[#This Row],[Stock]],"Ticker symbol",TRUE)</f>
        <v>BA</v>
      </c>
      <c r="I27" s="303">
        <f t="shared" ca="1" si="1"/>
        <v>365</v>
      </c>
      <c r="J27" s="94" t="str">
        <f t="shared" ca="1" si="2"/>
        <v>ST GAIN · HIGH TAX</v>
      </c>
    </row>
    <row r="28" spans="1:10" x14ac:dyDescent="0.35">
      <c r="A28" s="12"/>
      <c r="B28" s="17">
        <v>44927</v>
      </c>
      <c r="C28" s="18" t="e" vm="3594">
        <v>#VALUE!</v>
      </c>
      <c r="D28" s="18" t="s">
        <v>12</v>
      </c>
      <c r="E28" s="254">
        <v>193.38</v>
      </c>
      <c r="F28" s="19">
        <v>3.9</v>
      </c>
      <c r="G28" s="254">
        <f t="shared" si="0"/>
        <v>754.18200000000002</v>
      </c>
      <c r="H28" s="20" t="str" cm="1">
        <f t="array" aca="1" ref="H28" ca="1">_FV(Ledger[[#This Row],[Stock]],"Ticker symbol",TRUE)</f>
        <v>BA</v>
      </c>
      <c r="I28" s="303">
        <f t="shared" ca="1" si="1"/>
        <v>1191</v>
      </c>
      <c r="J28" s="94" t="str">
        <f t="shared" ca="1" si="2"/>
        <v>LT GAIN</v>
      </c>
    </row>
    <row r="29" spans="1:10" x14ac:dyDescent="0.35">
      <c r="A29" s="12"/>
      <c r="B29" s="80">
        <v>45292</v>
      </c>
      <c r="C29" s="81" t="e" vm="3594">
        <v>#VALUE!</v>
      </c>
      <c r="D29" s="81" t="s">
        <v>12</v>
      </c>
      <c r="E29" s="255">
        <v>249.33</v>
      </c>
      <c r="F29" s="82">
        <v>12.1</v>
      </c>
      <c r="G29" s="255">
        <f t="shared" si="0"/>
        <v>3016.893</v>
      </c>
      <c r="H29" s="83" t="str" cm="1">
        <f t="array" aca="1" ref="H29" ca="1">_FV(Ledger[[#This Row],[Stock]],"Ticker symbol",TRUE)</f>
        <v>BA</v>
      </c>
      <c r="I29" s="303">
        <f t="shared" ca="1" si="1"/>
        <v>826</v>
      </c>
      <c r="J29" s="94" t="str">
        <f t="shared" ca="1" si="2"/>
        <v>LT GAIN</v>
      </c>
    </row>
    <row r="30" spans="1:10" x14ac:dyDescent="0.35">
      <c r="A30" s="12"/>
      <c r="B30" s="17">
        <v>45658</v>
      </c>
      <c r="C30" s="18" t="e" vm="3594">
        <v>#VALUE!</v>
      </c>
      <c r="D30" s="18" t="s">
        <v>140</v>
      </c>
      <c r="E30" s="254">
        <v>177.05</v>
      </c>
      <c r="F30" s="19">
        <v>17.899999999999999</v>
      </c>
      <c r="G30" s="254">
        <f t="shared" si="0"/>
        <v>3169.1950000000002</v>
      </c>
      <c r="H30" s="20" t="str" cm="1">
        <f t="array" aca="1" ref="H30" ca="1">_FV(Ledger[[#This Row],[Stock]],"Ticker symbol",TRUE)</f>
        <v>BA</v>
      </c>
      <c r="I30" s="303">
        <f t="shared" ca="1" si="1"/>
        <v>366</v>
      </c>
      <c r="J30" s="94" t="str">
        <f t="shared" ca="1" si="2"/>
        <v>LT GAIN</v>
      </c>
    </row>
    <row r="31" spans="1:10" x14ac:dyDescent="0.35">
      <c r="A31" s="12"/>
      <c r="B31" s="80">
        <v>43466</v>
      </c>
      <c r="C31" s="81" t="e" vm="3595">
        <v>#VALUE!</v>
      </c>
      <c r="D31" s="81" t="s">
        <v>12</v>
      </c>
      <c r="E31" s="255">
        <v>131.09</v>
      </c>
      <c r="F31" s="82">
        <v>4.8099999999999996</v>
      </c>
      <c r="G31" s="255">
        <f t="shared" si="0"/>
        <v>630.54289999999992</v>
      </c>
      <c r="H31" s="83" t="str" cm="1">
        <f t="array" aca="1" ref="H31" ca="1">_FV(Ledger[[#This Row],[Stock]],"Ticker symbol",TRUE)</f>
        <v>META</v>
      </c>
      <c r="I31" s="303">
        <f t="shared" ca="1" si="1"/>
        <v>2652</v>
      </c>
      <c r="J31" s="94" t="str">
        <f t="shared" ca="1" si="2"/>
        <v>LT GAIN</v>
      </c>
    </row>
    <row r="32" spans="1:10" x14ac:dyDescent="0.35">
      <c r="A32" s="12"/>
      <c r="B32" s="17">
        <v>43831</v>
      </c>
      <c r="C32" s="18" t="e" vm="3595">
        <v>#VALUE!</v>
      </c>
      <c r="D32" s="18" t="s">
        <v>12</v>
      </c>
      <c r="E32" s="254">
        <v>209.78</v>
      </c>
      <c r="F32" s="19">
        <v>3</v>
      </c>
      <c r="G32" s="254">
        <f t="shared" si="0"/>
        <v>629.34</v>
      </c>
      <c r="H32" s="20" t="str" cm="1">
        <f t="array" aca="1" ref="H32" ca="1">_FV(Ledger[[#This Row],[Stock]],"Ticker symbol",TRUE)</f>
        <v>META</v>
      </c>
      <c r="I32" s="303">
        <f t="shared" ca="1" si="1"/>
        <v>2287</v>
      </c>
      <c r="J32" s="94" t="str">
        <f t="shared" ca="1" si="2"/>
        <v>LT GAIN</v>
      </c>
    </row>
    <row r="33" spans="1:10" x14ac:dyDescent="0.35">
      <c r="A33" s="12"/>
      <c r="B33" s="80">
        <v>44197</v>
      </c>
      <c r="C33" s="81" t="e" vm="3595">
        <v>#VALUE!</v>
      </c>
      <c r="D33" s="81" t="s">
        <v>12</v>
      </c>
      <c r="E33" s="255">
        <v>273.16000000000003</v>
      </c>
      <c r="F33" s="82">
        <v>2.31</v>
      </c>
      <c r="G33" s="255">
        <f t="shared" si="0"/>
        <v>630.9996000000001</v>
      </c>
      <c r="H33" s="83" t="str" cm="1">
        <f t="array" aca="1" ref="H33" ca="1">_FV(Ledger[[#This Row],[Stock]],"Ticker symbol",TRUE)</f>
        <v>META</v>
      </c>
      <c r="I33" s="303">
        <f t="shared" ca="1" si="1"/>
        <v>1921</v>
      </c>
      <c r="J33" s="94" t="str">
        <f t="shared" ca="1" si="2"/>
        <v>LT GAIN</v>
      </c>
    </row>
    <row r="34" spans="1:10" x14ac:dyDescent="0.35">
      <c r="A34" s="12"/>
      <c r="B34" s="17">
        <v>44562</v>
      </c>
      <c r="C34" s="18" t="e" vm="3595">
        <v>#VALUE!</v>
      </c>
      <c r="D34" s="18" t="s">
        <v>140</v>
      </c>
      <c r="E34" s="254">
        <v>338.54</v>
      </c>
      <c r="F34" s="19">
        <v>1.86</v>
      </c>
      <c r="G34" s="254">
        <f t="shared" si="0"/>
        <v>629.6844000000001</v>
      </c>
      <c r="H34" s="20" t="str" cm="1">
        <f t="array" aca="1" ref="H34" ca="1">_FV(Ledger[[#This Row],[Stock]],"Ticker symbol",TRUE)</f>
        <v>META</v>
      </c>
      <c r="I34" s="303">
        <f t="shared" ca="1" si="1"/>
        <v>365</v>
      </c>
      <c r="J34" s="94" t="str">
        <f t="shared" ca="1" si="2"/>
        <v>ST GAIN · HIGH TAX</v>
      </c>
    </row>
    <row r="35" spans="1:10" x14ac:dyDescent="0.35">
      <c r="A35" s="12"/>
      <c r="B35" s="80">
        <v>44927</v>
      </c>
      <c r="C35" s="81" t="e" vm="3595">
        <v>#VALUE!</v>
      </c>
      <c r="D35" s="81" t="s">
        <v>12</v>
      </c>
      <c r="E35" s="255">
        <v>128.31</v>
      </c>
      <c r="F35" s="82">
        <v>4.91</v>
      </c>
      <c r="G35" s="255">
        <f t="shared" ref="G35:G66" si="3">E35*F35</f>
        <v>630.00210000000004</v>
      </c>
      <c r="H35" s="83" t="str" cm="1">
        <f t="array" aca="1" ref="H35" ca="1">_FV(Ledger[[#This Row],[Stock]],"Ticker symbol",TRUE)</f>
        <v>META</v>
      </c>
      <c r="I35" s="303">
        <f t="shared" ca="1" si="1"/>
        <v>1191</v>
      </c>
      <c r="J35" s="94" t="str">
        <f t="shared" ca="1" si="2"/>
        <v>LT GAIN</v>
      </c>
    </row>
    <row r="36" spans="1:10" x14ac:dyDescent="0.35">
      <c r="A36" s="12"/>
      <c r="B36" s="17">
        <v>45292</v>
      </c>
      <c r="C36" s="18" t="e" vm="3595">
        <v>#VALUE!</v>
      </c>
      <c r="D36" s="18" t="s">
        <v>12</v>
      </c>
      <c r="E36" s="254">
        <v>353.96</v>
      </c>
      <c r="F36" s="19">
        <v>7.12</v>
      </c>
      <c r="G36" s="254">
        <f t="shared" si="3"/>
        <v>2520.1952000000001</v>
      </c>
      <c r="H36" s="20" t="str" cm="1">
        <f t="array" aca="1" ref="H36" ca="1">_FV(Ledger[[#This Row],[Stock]],"Ticker symbol",TRUE)</f>
        <v>META</v>
      </c>
      <c r="I36" s="303">
        <f t="shared" ca="1" si="1"/>
        <v>826</v>
      </c>
      <c r="J36" s="94" t="str">
        <f t="shared" ca="1" si="2"/>
        <v>LT GAIN</v>
      </c>
    </row>
    <row r="37" spans="1:10" x14ac:dyDescent="0.35">
      <c r="A37" s="12"/>
      <c r="B37" s="80">
        <v>45658</v>
      </c>
      <c r="C37" s="81" t="e" vm="3595">
        <v>#VALUE!</v>
      </c>
      <c r="D37" s="81" t="s">
        <v>140</v>
      </c>
      <c r="E37" s="255">
        <v>585.51</v>
      </c>
      <c r="F37" s="82">
        <v>4.5199999999999996</v>
      </c>
      <c r="G37" s="255">
        <f t="shared" si="3"/>
        <v>2646.5051999999996</v>
      </c>
      <c r="H37" s="83" t="str" cm="1">
        <f t="array" aca="1" ref="H37" ca="1">_FV(Ledger[[#This Row],[Stock]],"Ticker symbol",TRUE)</f>
        <v>META</v>
      </c>
      <c r="I37" s="303">
        <f t="shared" ca="1" si="1"/>
        <v>366</v>
      </c>
      <c r="J37" s="94" t="str">
        <f t="shared" ca="1" si="2"/>
        <v>LT GAIN</v>
      </c>
    </row>
    <row r="38" spans="1:10" x14ac:dyDescent="0.35">
      <c r="A38" s="12"/>
      <c r="B38" s="17">
        <v>43466</v>
      </c>
      <c r="C38" s="18" t="e" vm="3596">
        <v>#VALUE!</v>
      </c>
      <c r="D38" s="18" t="s">
        <v>12</v>
      </c>
      <c r="E38" s="254">
        <v>52.28</v>
      </c>
      <c r="F38" s="19">
        <v>11.38</v>
      </c>
      <c r="G38" s="254">
        <f t="shared" si="3"/>
        <v>594.94640000000004</v>
      </c>
      <c r="H38" s="20" t="str" cm="1">
        <f t="array" aca="1" ref="H38" ca="1">_FV(Ledger[[#This Row],[Stock]],"Ticker symbol",TRUE)</f>
        <v>GOOG</v>
      </c>
      <c r="I38" s="303">
        <f t="shared" ca="1" si="1"/>
        <v>2652</v>
      </c>
      <c r="J38" s="94" t="str">
        <f t="shared" ca="1" si="2"/>
        <v>LT GAIN</v>
      </c>
    </row>
    <row r="39" spans="1:10" x14ac:dyDescent="0.35">
      <c r="A39" s="12"/>
      <c r="B39" s="80">
        <v>43831</v>
      </c>
      <c r="C39" s="81" t="e" vm="3596">
        <v>#VALUE!</v>
      </c>
      <c r="D39" s="81" t="s">
        <v>12</v>
      </c>
      <c r="E39" s="255">
        <v>68.37</v>
      </c>
      <c r="F39" s="82">
        <v>8.6999999999999993</v>
      </c>
      <c r="G39" s="255">
        <f t="shared" si="3"/>
        <v>594.81899999999996</v>
      </c>
      <c r="H39" s="83" t="str" cm="1">
        <f t="array" aca="1" ref="H39" ca="1">_FV(Ledger[[#This Row],[Stock]],"Ticker symbol",TRUE)</f>
        <v>GOOG</v>
      </c>
      <c r="I39" s="303">
        <f t="shared" ca="1" si="1"/>
        <v>2287</v>
      </c>
      <c r="J39" s="94" t="str">
        <f t="shared" ca="1" si="2"/>
        <v>LT GAIN</v>
      </c>
    </row>
    <row r="40" spans="1:10" x14ac:dyDescent="0.35">
      <c r="A40" s="12"/>
      <c r="B40" s="17">
        <v>44197</v>
      </c>
      <c r="C40" s="18" t="e" vm="3596">
        <v>#VALUE!</v>
      </c>
      <c r="D40" s="18" t="s">
        <v>12</v>
      </c>
      <c r="E40" s="254">
        <v>87.9</v>
      </c>
      <c r="F40" s="19">
        <v>6.77</v>
      </c>
      <c r="G40" s="254">
        <f t="shared" si="3"/>
        <v>595.08299999999997</v>
      </c>
      <c r="H40" s="20" t="str" cm="1">
        <f t="array" aca="1" ref="H40" ca="1">_FV(Ledger[[#This Row],[Stock]],"Ticker symbol",TRUE)</f>
        <v>GOOG</v>
      </c>
      <c r="I40" s="303">
        <f t="shared" ca="1" si="1"/>
        <v>1921</v>
      </c>
      <c r="J40" s="94" t="str">
        <f t="shared" ca="1" si="2"/>
        <v>LT GAIN</v>
      </c>
    </row>
    <row r="41" spans="1:10" x14ac:dyDescent="0.35">
      <c r="A41" s="12"/>
      <c r="B41" s="80">
        <v>44562</v>
      </c>
      <c r="C41" s="81" t="e" vm="3596">
        <v>#VALUE!</v>
      </c>
      <c r="D41" s="81" t="s">
        <v>140</v>
      </c>
      <c r="E41" s="255">
        <v>144.41</v>
      </c>
      <c r="F41" s="82">
        <v>4.12</v>
      </c>
      <c r="G41" s="255">
        <f t="shared" si="3"/>
        <v>594.9692</v>
      </c>
      <c r="H41" s="83" t="str" cm="1">
        <f t="array" aca="1" ref="H41" ca="1">_FV(Ledger[[#This Row],[Stock]],"Ticker symbol",TRUE)</f>
        <v>GOOG</v>
      </c>
      <c r="I41" s="303">
        <f t="shared" ca="1" si="1"/>
        <v>365</v>
      </c>
      <c r="J41" s="94" t="str">
        <f t="shared" ca="1" si="2"/>
        <v>ST GAIN · HIGH TAX</v>
      </c>
    </row>
    <row r="42" spans="1:10" x14ac:dyDescent="0.35">
      <c r="A42" s="12"/>
      <c r="B42" s="17">
        <v>44927</v>
      </c>
      <c r="C42" s="18" t="e" vm="3596">
        <v>#VALUE!</v>
      </c>
      <c r="D42" s="18" t="s">
        <v>12</v>
      </c>
      <c r="E42" s="254">
        <v>88.73</v>
      </c>
      <c r="F42" s="19">
        <v>6.7</v>
      </c>
      <c r="G42" s="254">
        <f t="shared" si="3"/>
        <v>594.4910000000001</v>
      </c>
      <c r="H42" s="20" t="str" cm="1">
        <f t="array" aca="1" ref="H42" ca="1">_FV(Ledger[[#This Row],[Stock]],"Ticker symbol",TRUE)</f>
        <v>GOOG</v>
      </c>
      <c r="I42" s="303">
        <f t="shared" ca="1" si="1"/>
        <v>1191</v>
      </c>
      <c r="J42" s="94" t="str">
        <f t="shared" ca="1" si="2"/>
        <v>LT GAIN</v>
      </c>
    </row>
    <row r="43" spans="1:10" x14ac:dyDescent="0.35">
      <c r="A43" s="12"/>
      <c r="B43" s="80">
        <v>45292</v>
      </c>
      <c r="C43" s="81" t="e" vm="3596">
        <v>#VALUE!</v>
      </c>
      <c r="D43" s="81" t="s">
        <v>12</v>
      </c>
      <c r="E43" s="255">
        <v>140.93</v>
      </c>
      <c r="F43" s="82">
        <v>16.89</v>
      </c>
      <c r="G43" s="255">
        <f t="shared" si="3"/>
        <v>2380.3077000000003</v>
      </c>
      <c r="H43" s="83" t="str" cm="1">
        <f t="array" aca="1" ref="H43" ca="1">_FV(Ledger[[#This Row],[Stock]],"Ticker symbol",TRUE)</f>
        <v>GOOG</v>
      </c>
      <c r="I43" s="303">
        <f t="shared" ca="1" si="1"/>
        <v>826</v>
      </c>
      <c r="J43" s="94" t="str">
        <f t="shared" ca="1" si="2"/>
        <v>LT GAIN</v>
      </c>
    </row>
    <row r="44" spans="1:10" x14ac:dyDescent="0.35">
      <c r="A44" s="12"/>
      <c r="B44" s="17">
        <v>45658</v>
      </c>
      <c r="C44" s="18" t="e" vm="3596">
        <v>#VALUE!</v>
      </c>
      <c r="D44" s="18" t="s">
        <v>140</v>
      </c>
      <c r="E44" s="254">
        <v>191.41</v>
      </c>
      <c r="F44" s="19">
        <v>13.06</v>
      </c>
      <c r="G44" s="254">
        <f t="shared" si="3"/>
        <v>2499.8146000000002</v>
      </c>
      <c r="H44" s="20" t="str" cm="1">
        <f t="array" aca="1" ref="H44" ca="1">_FV(Ledger[[#This Row],[Stock]],"Ticker symbol",TRUE)</f>
        <v>GOOG</v>
      </c>
      <c r="I44" s="303">
        <f t="shared" ca="1" si="1"/>
        <v>366</v>
      </c>
      <c r="J44" s="94" t="str">
        <f t="shared" ca="1" si="2"/>
        <v>LT GAIN</v>
      </c>
    </row>
    <row r="45" spans="1:10" x14ac:dyDescent="0.35">
      <c r="A45" s="12"/>
      <c r="B45" s="80">
        <v>43466</v>
      </c>
      <c r="C45" s="81" t="e" vm="3597">
        <v>#VALUE!</v>
      </c>
      <c r="D45" s="81" t="s">
        <v>12</v>
      </c>
      <c r="E45" s="255">
        <v>3.37</v>
      </c>
      <c r="F45" s="82">
        <v>197.32</v>
      </c>
      <c r="G45" s="255">
        <f t="shared" si="3"/>
        <v>664.96839999999997</v>
      </c>
      <c r="H45" s="83" t="str" cm="1">
        <f t="array" aca="1" ref="H45" ca="1">_FV(Ledger[[#This Row],[Stock]],"Ticker symbol",TRUE)</f>
        <v>NVDA</v>
      </c>
      <c r="I45" s="303">
        <f t="shared" ca="1" si="1"/>
        <v>2652</v>
      </c>
      <c r="J45" s="94" t="str">
        <f t="shared" ca="1" si="2"/>
        <v>LT GAIN</v>
      </c>
    </row>
    <row r="46" spans="1:10" x14ac:dyDescent="0.35">
      <c r="A46" s="12"/>
      <c r="B46" s="17">
        <v>43831</v>
      </c>
      <c r="C46" s="18" t="e" vm="3597">
        <v>#VALUE!</v>
      </c>
      <c r="D46" s="18" t="s">
        <v>12</v>
      </c>
      <c r="E46" s="254">
        <v>5.91</v>
      </c>
      <c r="F46" s="19">
        <v>112.49</v>
      </c>
      <c r="G46" s="254">
        <f t="shared" si="3"/>
        <v>664.81589999999994</v>
      </c>
      <c r="H46" s="20" t="str" cm="1">
        <f t="array" aca="1" ref="H46" ca="1">_FV(Ledger[[#This Row],[Stock]],"Ticker symbol",TRUE)</f>
        <v>NVDA</v>
      </c>
      <c r="I46" s="303">
        <f t="shared" ca="1" si="1"/>
        <v>2287</v>
      </c>
      <c r="J46" s="94" t="str">
        <f t="shared" ca="1" si="2"/>
        <v>LT GAIN</v>
      </c>
    </row>
    <row r="47" spans="1:10" x14ac:dyDescent="0.35">
      <c r="A47" s="12"/>
      <c r="B47" s="80">
        <v>44197</v>
      </c>
      <c r="C47" s="81" t="e" vm="3597">
        <v>#VALUE!</v>
      </c>
      <c r="D47" s="81" t="s">
        <v>12</v>
      </c>
      <c r="E47" s="255">
        <v>13.1</v>
      </c>
      <c r="F47" s="82">
        <v>50.77</v>
      </c>
      <c r="G47" s="255">
        <f t="shared" si="3"/>
        <v>665.08699999999999</v>
      </c>
      <c r="H47" s="83" t="str" cm="1">
        <f t="array" aca="1" ref="H47" ca="1">_FV(Ledger[[#This Row],[Stock]],"Ticker symbol",TRUE)</f>
        <v>NVDA</v>
      </c>
      <c r="I47" s="303">
        <f t="shared" ca="1" si="1"/>
        <v>1921</v>
      </c>
      <c r="J47" s="94" t="str">
        <f t="shared" ca="1" si="2"/>
        <v>LT GAIN</v>
      </c>
    </row>
    <row r="48" spans="1:10" x14ac:dyDescent="0.35">
      <c r="A48" s="12"/>
      <c r="B48" s="17">
        <v>44562</v>
      </c>
      <c r="C48" s="18" t="e" vm="3597">
        <v>#VALUE!</v>
      </c>
      <c r="D48" s="18" t="s">
        <v>140</v>
      </c>
      <c r="E48" s="254">
        <v>29.47</v>
      </c>
      <c r="F48" s="19">
        <v>22.58</v>
      </c>
      <c r="G48" s="254">
        <f t="shared" si="3"/>
        <v>665.43259999999998</v>
      </c>
      <c r="H48" s="20" t="str" cm="1">
        <f t="array" aca="1" ref="H48" ca="1">_FV(Ledger[[#This Row],[Stock]],"Ticker symbol",TRUE)</f>
        <v>NVDA</v>
      </c>
      <c r="I48" s="303">
        <f t="shared" ca="1" si="1"/>
        <v>365</v>
      </c>
      <c r="J48" s="94" t="str">
        <f t="shared" ca="1" si="2"/>
        <v>ST GAIN · HIGH TAX</v>
      </c>
    </row>
    <row r="49" spans="1:10" x14ac:dyDescent="0.35">
      <c r="A49" s="12"/>
      <c r="B49" s="80">
        <v>44927</v>
      </c>
      <c r="C49" s="81" t="e" vm="3597">
        <v>#VALUE!</v>
      </c>
      <c r="D49" s="81" t="s">
        <v>12</v>
      </c>
      <c r="E49" s="255">
        <v>14.63</v>
      </c>
      <c r="F49" s="82">
        <v>45.44</v>
      </c>
      <c r="G49" s="255">
        <f t="shared" si="3"/>
        <v>664.78719999999998</v>
      </c>
      <c r="H49" s="83" t="str" cm="1">
        <f t="array" aca="1" ref="H49" ca="1">_FV(Ledger[[#This Row],[Stock]],"Ticker symbol",TRUE)</f>
        <v>NVDA</v>
      </c>
      <c r="I49" s="303">
        <f t="shared" ca="1" si="1"/>
        <v>1191</v>
      </c>
      <c r="J49" s="94" t="str">
        <f t="shared" ca="1" si="2"/>
        <v>LT GAIN</v>
      </c>
    </row>
    <row r="50" spans="1:10" x14ac:dyDescent="0.35">
      <c r="A50" s="12"/>
      <c r="B50" s="17">
        <v>45292</v>
      </c>
      <c r="C50" s="18" t="e" vm="3597">
        <v>#VALUE!</v>
      </c>
      <c r="D50" s="18" t="s">
        <v>12</v>
      </c>
      <c r="E50" s="254">
        <v>49.52</v>
      </c>
      <c r="F50" s="19">
        <v>53.72</v>
      </c>
      <c r="G50" s="254">
        <f t="shared" si="3"/>
        <v>2660.2144000000003</v>
      </c>
      <c r="H50" s="20" t="str" cm="1">
        <f t="array" aca="1" ref="H50" ca="1">_FV(Ledger[[#This Row],[Stock]],"Ticker symbol",TRUE)</f>
        <v>NVDA</v>
      </c>
      <c r="I50" s="303">
        <f t="shared" ca="1" si="1"/>
        <v>826</v>
      </c>
      <c r="J50" s="94" t="str">
        <f t="shared" ca="1" si="2"/>
        <v>LT GAIN</v>
      </c>
    </row>
    <row r="51" spans="1:10" x14ac:dyDescent="0.35">
      <c r="A51" s="12"/>
      <c r="B51" s="80">
        <v>45658</v>
      </c>
      <c r="C51" s="81" t="e" vm="3597">
        <v>#VALUE!</v>
      </c>
      <c r="D51" s="81" t="s">
        <v>140</v>
      </c>
      <c r="E51" s="255">
        <v>134.29</v>
      </c>
      <c r="F51" s="82">
        <v>20.81</v>
      </c>
      <c r="G51" s="255">
        <f t="shared" si="3"/>
        <v>2794.5748999999996</v>
      </c>
      <c r="H51" s="83" t="str" cm="1">
        <f t="array" aca="1" ref="H51" ca="1">_FV(Ledger[[#This Row],[Stock]],"Ticker symbol",TRUE)</f>
        <v>NVDA</v>
      </c>
      <c r="I51" s="303">
        <f t="shared" ca="1" si="1"/>
        <v>366</v>
      </c>
      <c r="J51" s="94" t="str">
        <f t="shared" ca="1" si="2"/>
        <v>LT GAIN</v>
      </c>
    </row>
    <row r="52" spans="1:10" x14ac:dyDescent="0.35">
      <c r="A52" s="12"/>
      <c r="B52" s="17">
        <v>43466</v>
      </c>
      <c r="C52" s="18" t="e" vm="3598">
        <v>#VALUE!</v>
      </c>
      <c r="D52" s="18" t="s">
        <v>12</v>
      </c>
      <c r="E52" s="254">
        <v>39.479999999999997</v>
      </c>
      <c r="F52" s="19">
        <v>14.18</v>
      </c>
      <c r="G52" s="254">
        <f t="shared" si="3"/>
        <v>559.82639999999992</v>
      </c>
      <c r="H52" s="20" t="str" cm="1">
        <f t="array" aca="1" ref="H52" ca="1">_FV(Ledger[[#This Row],[Stock]],"Ticker symbol",TRUE)</f>
        <v>AAPL</v>
      </c>
      <c r="I52" s="303">
        <f t="shared" ca="1" si="1"/>
        <v>2652</v>
      </c>
      <c r="J52" s="94" t="str">
        <f t="shared" ca="1" si="2"/>
        <v>LT GAIN</v>
      </c>
    </row>
    <row r="53" spans="1:10" x14ac:dyDescent="0.35">
      <c r="A53" s="12"/>
      <c r="B53" s="80">
        <v>43831</v>
      </c>
      <c r="C53" s="81" t="e" vm="3598">
        <v>#VALUE!</v>
      </c>
      <c r="D53" s="81" t="s">
        <v>12</v>
      </c>
      <c r="E53" s="255">
        <v>75.09</v>
      </c>
      <c r="F53" s="82">
        <v>7.45</v>
      </c>
      <c r="G53" s="255">
        <f t="shared" si="3"/>
        <v>559.42050000000006</v>
      </c>
      <c r="H53" s="83" t="str" cm="1">
        <f t="array" aca="1" ref="H53" ca="1">_FV(Ledger[[#This Row],[Stock]],"Ticker symbol",TRUE)</f>
        <v>AAPL</v>
      </c>
      <c r="I53" s="303">
        <f t="shared" ca="1" si="1"/>
        <v>2287</v>
      </c>
      <c r="J53" s="94" t="str">
        <f t="shared" ca="1" si="2"/>
        <v>LT GAIN</v>
      </c>
    </row>
    <row r="54" spans="1:10" x14ac:dyDescent="0.35">
      <c r="A54" s="12"/>
      <c r="B54" s="17">
        <v>44197</v>
      </c>
      <c r="C54" s="18" t="e" vm="3598">
        <v>#VALUE!</v>
      </c>
      <c r="D54" s="18" t="s">
        <v>12</v>
      </c>
      <c r="E54" s="254">
        <v>132.69</v>
      </c>
      <c r="F54" s="19">
        <v>4.22</v>
      </c>
      <c r="G54" s="254">
        <f t="shared" si="3"/>
        <v>559.95179999999993</v>
      </c>
      <c r="H54" s="20" t="str" cm="1">
        <f t="array" aca="1" ref="H54" ca="1">_FV(Ledger[[#This Row],[Stock]],"Ticker symbol",TRUE)</f>
        <v>AAPL</v>
      </c>
      <c r="I54" s="303">
        <f t="shared" ca="1" si="1"/>
        <v>1921</v>
      </c>
      <c r="J54" s="94" t="str">
        <f t="shared" ca="1" si="2"/>
        <v>LT GAIN</v>
      </c>
    </row>
    <row r="55" spans="1:10" x14ac:dyDescent="0.35">
      <c r="A55" s="12"/>
      <c r="B55" s="80">
        <v>44562</v>
      </c>
      <c r="C55" s="81" t="e" vm="3598">
        <v>#VALUE!</v>
      </c>
      <c r="D55" s="81" t="s">
        <v>140</v>
      </c>
      <c r="E55" s="255">
        <v>182.01</v>
      </c>
      <c r="F55" s="82">
        <v>3.08</v>
      </c>
      <c r="G55" s="255">
        <f t="shared" si="3"/>
        <v>560.59079999999994</v>
      </c>
      <c r="H55" s="83" t="str" cm="1">
        <f t="array" aca="1" ref="H55" ca="1">_FV(Ledger[[#This Row],[Stock]],"Ticker symbol",TRUE)</f>
        <v>AAPL</v>
      </c>
      <c r="I55" s="303">
        <f t="shared" ca="1" si="1"/>
        <v>365</v>
      </c>
      <c r="J55" s="94" t="str">
        <f t="shared" ca="1" si="2"/>
        <v>ST GAIN · HIGH TAX</v>
      </c>
    </row>
    <row r="56" spans="1:10" x14ac:dyDescent="0.35">
      <c r="A56" s="12"/>
      <c r="B56" s="17">
        <v>44927</v>
      </c>
      <c r="C56" s="18" t="e" vm="3598">
        <v>#VALUE!</v>
      </c>
      <c r="D56" s="18" t="s">
        <v>12</v>
      </c>
      <c r="E56" s="254">
        <v>130.21</v>
      </c>
      <c r="F56" s="19">
        <v>4.3</v>
      </c>
      <c r="G56" s="254">
        <f t="shared" si="3"/>
        <v>559.90300000000002</v>
      </c>
      <c r="H56" s="20" t="str" cm="1">
        <f t="array" aca="1" ref="H56" ca="1">_FV(Ledger[[#This Row],[Stock]],"Ticker symbol",TRUE)</f>
        <v>AAPL</v>
      </c>
      <c r="I56" s="303">
        <f t="shared" ca="1" si="1"/>
        <v>1191</v>
      </c>
      <c r="J56" s="94" t="str">
        <f t="shared" ca="1" si="2"/>
        <v>LT GAIN</v>
      </c>
    </row>
    <row r="57" spans="1:10" x14ac:dyDescent="0.35">
      <c r="A57" s="12"/>
      <c r="B57" s="80">
        <v>45292</v>
      </c>
      <c r="C57" s="81" t="e" vm="3598">
        <v>#VALUE!</v>
      </c>
      <c r="D57" s="81" t="s">
        <v>12</v>
      </c>
      <c r="E57" s="255">
        <v>185.64</v>
      </c>
      <c r="F57" s="82">
        <v>12.06</v>
      </c>
      <c r="G57" s="255">
        <f t="shared" si="3"/>
        <v>2238.8184000000001</v>
      </c>
      <c r="H57" s="83" t="str" cm="1">
        <f t="array" aca="1" ref="H57" ca="1">_FV(Ledger[[#This Row],[Stock]],"Ticker symbol",TRUE)</f>
        <v>AAPL</v>
      </c>
      <c r="I57" s="303">
        <f t="shared" ca="1" si="1"/>
        <v>826</v>
      </c>
      <c r="J57" s="94" t="str">
        <f t="shared" ca="1" si="2"/>
        <v>LT GAIN</v>
      </c>
    </row>
    <row r="58" spans="1:10" x14ac:dyDescent="0.35">
      <c r="A58" s="12"/>
      <c r="B58" s="17">
        <v>45658</v>
      </c>
      <c r="C58" s="18" t="e" vm="3598">
        <v>#VALUE!</v>
      </c>
      <c r="D58" s="18" t="s">
        <v>140</v>
      </c>
      <c r="E58" s="254">
        <v>243.85</v>
      </c>
      <c r="F58" s="19">
        <v>9.65</v>
      </c>
      <c r="G58" s="254">
        <f t="shared" si="3"/>
        <v>2353.1525000000001</v>
      </c>
      <c r="H58" s="20" t="str" cm="1">
        <f t="array" aca="1" ref="H58" ca="1">_FV(Ledger[[#This Row],[Stock]],"Ticker symbol",TRUE)</f>
        <v>AAPL</v>
      </c>
      <c r="I58" s="303">
        <f t="shared" ca="1" si="1"/>
        <v>366</v>
      </c>
      <c r="J58" s="94" t="str">
        <f t="shared" ca="1" si="2"/>
        <v>LT GAIN</v>
      </c>
    </row>
    <row r="59" spans="1:10" x14ac:dyDescent="0.35">
      <c r="A59" s="12"/>
      <c r="B59" s="80">
        <v>43466</v>
      </c>
      <c r="C59" s="81" t="e" vm="3599">
        <v>#VALUE!</v>
      </c>
      <c r="D59" s="81" t="s">
        <v>12</v>
      </c>
      <c r="E59" s="255">
        <v>107.58</v>
      </c>
      <c r="F59" s="82">
        <v>6.95</v>
      </c>
      <c r="G59" s="255">
        <f t="shared" si="3"/>
        <v>747.68100000000004</v>
      </c>
      <c r="H59" s="83" t="str" cm="1">
        <f t="array" aca="1" ref="H59" ca="1">_FV(Ledger[[#This Row],[Stock]],"Ticker symbol",TRUE)</f>
        <v>CVX</v>
      </c>
      <c r="I59" s="303">
        <f t="shared" ca="1" si="1"/>
        <v>2652</v>
      </c>
      <c r="J59" s="94" t="str">
        <f t="shared" ca="1" si="2"/>
        <v>LT GAIN</v>
      </c>
    </row>
    <row r="60" spans="1:10" x14ac:dyDescent="0.35">
      <c r="A60" s="12"/>
      <c r="B60" s="17">
        <v>43831</v>
      </c>
      <c r="C60" s="18" t="e" vm="3599">
        <v>#VALUE!</v>
      </c>
      <c r="D60" s="18" t="s">
        <v>12</v>
      </c>
      <c r="E60" s="254">
        <v>120.51</v>
      </c>
      <c r="F60" s="19">
        <v>6.21</v>
      </c>
      <c r="G60" s="254">
        <f t="shared" si="3"/>
        <v>748.36710000000005</v>
      </c>
      <c r="H60" s="20" t="str" cm="1">
        <f t="array" aca="1" ref="H60" ca="1">_FV(Ledger[[#This Row],[Stock]],"Ticker symbol",TRUE)</f>
        <v>CVX</v>
      </c>
      <c r="I60" s="303">
        <f t="shared" ca="1" si="1"/>
        <v>2287</v>
      </c>
      <c r="J60" s="94" t="str">
        <f t="shared" ca="1" si="2"/>
        <v>LT GAIN</v>
      </c>
    </row>
    <row r="61" spans="1:10" x14ac:dyDescent="0.35">
      <c r="A61" s="12"/>
      <c r="B61" s="80">
        <v>44197</v>
      </c>
      <c r="C61" s="81" t="e" vm="3599">
        <v>#VALUE!</v>
      </c>
      <c r="D61" s="81" t="s">
        <v>12</v>
      </c>
      <c r="E61" s="255">
        <v>84.45</v>
      </c>
      <c r="F61" s="82">
        <v>8.86</v>
      </c>
      <c r="G61" s="255">
        <f t="shared" si="3"/>
        <v>748.22699999999998</v>
      </c>
      <c r="H61" s="83" t="str" cm="1">
        <f t="array" aca="1" ref="H61" ca="1">_FV(Ledger[[#This Row],[Stock]],"Ticker symbol",TRUE)</f>
        <v>CVX</v>
      </c>
      <c r="I61" s="303">
        <f t="shared" ca="1" si="1"/>
        <v>1921</v>
      </c>
      <c r="J61" s="94" t="str">
        <f t="shared" ca="1" si="2"/>
        <v>LT GAIN</v>
      </c>
    </row>
    <row r="62" spans="1:10" x14ac:dyDescent="0.35">
      <c r="A62" s="12"/>
      <c r="B62" s="17">
        <v>44562</v>
      </c>
      <c r="C62" s="18" t="e" vm="3599">
        <v>#VALUE!</v>
      </c>
      <c r="D62" s="18" t="s">
        <v>140</v>
      </c>
      <c r="E62" s="254">
        <v>117.35</v>
      </c>
      <c r="F62" s="19">
        <v>6.38</v>
      </c>
      <c r="G62" s="254">
        <f t="shared" si="3"/>
        <v>748.69299999999998</v>
      </c>
      <c r="H62" s="20" t="str" cm="1">
        <f t="array" aca="1" ref="H62" ca="1">_FV(Ledger[[#This Row],[Stock]],"Ticker symbol",TRUE)</f>
        <v>CVX</v>
      </c>
      <c r="I62" s="303">
        <f t="shared" ca="1" si="1"/>
        <v>365</v>
      </c>
      <c r="J62" s="94" t="str">
        <f t="shared" ca="1" si="2"/>
        <v>ST GAIN · HIGH TAX</v>
      </c>
    </row>
    <row r="63" spans="1:10" x14ac:dyDescent="0.35">
      <c r="A63" s="12"/>
      <c r="B63" s="80">
        <v>44927</v>
      </c>
      <c r="C63" s="81" t="e" vm="3599">
        <v>#VALUE!</v>
      </c>
      <c r="D63" s="81" t="s">
        <v>12</v>
      </c>
      <c r="E63" s="255">
        <v>179.49</v>
      </c>
      <c r="F63" s="82">
        <v>4.17</v>
      </c>
      <c r="G63" s="255">
        <f t="shared" si="3"/>
        <v>748.47329999999999</v>
      </c>
      <c r="H63" s="83" t="str" cm="1">
        <f t="array" aca="1" ref="H63" ca="1">_FV(Ledger[[#This Row],[Stock]],"Ticker symbol",TRUE)</f>
        <v>CVX</v>
      </c>
      <c r="I63" s="303">
        <f t="shared" ca="1" si="1"/>
        <v>1191</v>
      </c>
      <c r="J63" s="94" t="str">
        <f t="shared" ca="1" si="2"/>
        <v>LT GAIN</v>
      </c>
    </row>
    <row r="64" spans="1:10" x14ac:dyDescent="0.35">
      <c r="A64" s="12"/>
      <c r="B64" s="17">
        <v>45292</v>
      </c>
      <c r="C64" s="18" t="e" vm="3599">
        <v>#VALUE!</v>
      </c>
      <c r="D64" s="18" t="s">
        <v>12</v>
      </c>
      <c r="E64" s="254">
        <v>149.22</v>
      </c>
      <c r="F64" s="19">
        <v>20.059999999999999</v>
      </c>
      <c r="G64" s="254">
        <f t="shared" si="3"/>
        <v>2993.3531999999996</v>
      </c>
      <c r="H64" s="20" t="str" cm="1">
        <f t="array" aca="1" ref="H64" ca="1">_FV(Ledger[[#This Row],[Stock]],"Ticker symbol",TRUE)</f>
        <v>CVX</v>
      </c>
      <c r="I64" s="303">
        <f t="shared" ca="1" si="1"/>
        <v>826</v>
      </c>
      <c r="J64" s="94" t="str">
        <f t="shared" ca="1" si="2"/>
        <v>LT GAIN</v>
      </c>
    </row>
    <row r="65" spans="1:10" x14ac:dyDescent="0.35">
      <c r="A65" s="12"/>
      <c r="B65" s="80">
        <v>45658</v>
      </c>
      <c r="C65" s="81" t="e" vm="3599">
        <v>#VALUE!</v>
      </c>
      <c r="D65" s="81" t="s">
        <v>140</v>
      </c>
      <c r="E65" s="255">
        <v>144.77000000000001</v>
      </c>
      <c r="F65" s="82">
        <v>21.72</v>
      </c>
      <c r="G65" s="255">
        <f t="shared" si="3"/>
        <v>3144.4043999999999</v>
      </c>
      <c r="H65" s="83" t="str" cm="1">
        <f t="array" aca="1" ref="H65" ca="1">_FV(Ledger[[#This Row],[Stock]],"Ticker symbol",TRUE)</f>
        <v>CVX</v>
      </c>
      <c r="I65" s="303">
        <f t="shared" ca="1" si="1"/>
        <v>366</v>
      </c>
      <c r="J65" s="94" t="str">
        <f t="shared" ca="1" si="2"/>
        <v>LT GAIN</v>
      </c>
    </row>
    <row r="66" spans="1:10" x14ac:dyDescent="0.35">
      <c r="A66" s="12"/>
      <c r="B66" s="17">
        <v>43466</v>
      </c>
      <c r="C66" s="18" t="e" vm="3600">
        <v>#VALUE!</v>
      </c>
      <c r="D66" s="18" t="s">
        <v>12</v>
      </c>
      <c r="E66" s="254">
        <v>52.39</v>
      </c>
      <c r="F66" s="19">
        <v>12.01</v>
      </c>
      <c r="G66" s="254">
        <f t="shared" si="3"/>
        <v>629.20389999999998</v>
      </c>
      <c r="H66" s="20" t="str" cm="1">
        <f t="array" aca="1" ref="H66" ca="1">_FV(Ledger[[#This Row],[Stock]],"Ticker symbol",TRUE)</f>
        <v>C</v>
      </c>
      <c r="I66" s="303">
        <f t="shared" ca="1" si="1"/>
        <v>2652</v>
      </c>
      <c r="J66" s="94" t="str">
        <f t="shared" ca="1" si="2"/>
        <v>LT GAIN</v>
      </c>
    </row>
    <row r="67" spans="1:10" x14ac:dyDescent="0.35">
      <c r="A67" s="12"/>
      <c r="B67" s="80">
        <v>43831</v>
      </c>
      <c r="C67" s="81" t="e" vm="3600">
        <v>#VALUE!</v>
      </c>
      <c r="D67" s="81" t="s">
        <v>12</v>
      </c>
      <c r="E67" s="255">
        <v>79.89</v>
      </c>
      <c r="F67" s="82">
        <v>7.87</v>
      </c>
      <c r="G67" s="255">
        <f t="shared" ref="G67:G98" si="4">E67*F67</f>
        <v>628.73429999999996</v>
      </c>
      <c r="H67" s="83" t="str" cm="1">
        <f t="array" aca="1" ref="H67" ca="1">_FV(Ledger[[#This Row],[Stock]],"Ticker symbol",TRUE)</f>
        <v>C</v>
      </c>
      <c r="I67" s="303">
        <f t="shared" ca="1" si="1"/>
        <v>2287</v>
      </c>
      <c r="J67" s="94" t="str">
        <f t="shared" ca="1" si="2"/>
        <v>LT GAIN</v>
      </c>
    </row>
    <row r="68" spans="1:10" x14ac:dyDescent="0.35">
      <c r="A68" s="12"/>
      <c r="B68" s="17">
        <v>44197</v>
      </c>
      <c r="C68" s="18" t="e" vm="3600">
        <v>#VALUE!</v>
      </c>
      <c r="D68" s="18" t="s">
        <v>12</v>
      </c>
      <c r="E68" s="254">
        <v>61.63</v>
      </c>
      <c r="F68" s="19">
        <v>10.210000000000001</v>
      </c>
      <c r="G68" s="254">
        <f t="shared" si="4"/>
        <v>629.24230000000011</v>
      </c>
      <c r="H68" s="20" t="str" cm="1">
        <f t="array" aca="1" ref="H68" ca="1">_FV(Ledger[[#This Row],[Stock]],"Ticker symbol",TRUE)</f>
        <v>C</v>
      </c>
      <c r="I68" s="303">
        <f t="shared" ca="1" si="1"/>
        <v>1921</v>
      </c>
      <c r="J68" s="94" t="str">
        <f t="shared" ca="1" si="2"/>
        <v>LT GAIN</v>
      </c>
    </row>
    <row r="69" spans="1:10" x14ac:dyDescent="0.35">
      <c r="A69" s="12"/>
      <c r="B69" s="80">
        <v>44562</v>
      </c>
      <c r="C69" s="81" t="e" vm="3600">
        <v>#VALUE!</v>
      </c>
      <c r="D69" s="81" t="s">
        <v>140</v>
      </c>
      <c r="E69" s="255">
        <v>60.24</v>
      </c>
      <c r="F69" s="82">
        <v>10.45</v>
      </c>
      <c r="G69" s="255">
        <f t="shared" si="4"/>
        <v>629.50799999999992</v>
      </c>
      <c r="H69" s="83" t="str" cm="1">
        <f t="array" aca="1" ref="H69" ca="1">_FV(Ledger[[#This Row],[Stock]],"Ticker symbol",TRUE)</f>
        <v>C</v>
      </c>
      <c r="I69" s="303">
        <f t="shared" ref="I69:I114" ca="1" si="5">IF(D69="Sell",B69-_xlfn.MAXIFS(B$3:B$114,H$3:H$114,H69,D$3:D$114,"Buy",B$3:B$114,"&lt;"&amp;B69),TODAY()-B69)</f>
        <v>365</v>
      </c>
      <c r="J69" s="94" t="str">
        <f t="shared" ref="J69:J114" ca="1" si="6">IF(I69&gt;365,"LT GAIN","ST GAIN · HIGH TAX")</f>
        <v>ST GAIN · HIGH TAX</v>
      </c>
    </row>
    <row r="70" spans="1:10" x14ac:dyDescent="0.35">
      <c r="A70" s="12"/>
      <c r="B70" s="17">
        <v>44927</v>
      </c>
      <c r="C70" s="18" t="e" vm="3600">
        <v>#VALUE!</v>
      </c>
      <c r="D70" s="18" t="s">
        <v>12</v>
      </c>
      <c r="E70" s="254">
        <v>47.94</v>
      </c>
      <c r="F70" s="19">
        <v>13.12</v>
      </c>
      <c r="G70" s="254">
        <f t="shared" si="4"/>
        <v>628.97279999999989</v>
      </c>
      <c r="H70" s="20" t="str" cm="1">
        <f t="array" aca="1" ref="H70" ca="1">_FV(Ledger[[#This Row],[Stock]],"Ticker symbol",TRUE)</f>
        <v>C</v>
      </c>
      <c r="I70" s="303">
        <f t="shared" ca="1" si="5"/>
        <v>1191</v>
      </c>
      <c r="J70" s="94" t="str">
        <f t="shared" ca="1" si="6"/>
        <v>LT GAIN</v>
      </c>
    </row>
    <row r="71" spans="1:10" x14ac:dyDescent="0.35">
      <c r="A71" s="12"/>
      <c r="B71" s="80">
        <v>45292</v>
      </c>
      <c r="C71" s="81" t="e" vm="3600">
        <v>#VALUE!</v>
      </c>
      <c r="D71" s="81" t="s">
        <v>12</v>
      </c>
      <c r="E71" s="255">
        <v>51.48</v>
      </c>
      <c r="F71" s="82">
        <v>48.87</v>
      </c>
      <c r="G71" s="255">
        <f t="shared" si="4"/>
        <v>2515.8275999999996</v>
      </c>
      <c r="H71" s="83" t="str" cm="1">
        <f t="array" aca="1" ref="H71" ca="1">_FV(Ledger[[#This Row],[Stock]],"Ticker symbol",TRUE)</f>
        <v>C</v>
      </c>
      <c r="I71" s="303">
        <f t="shared" ca="1" si="5"/>
        <v>826</v>
      </c>
      <c r="J71" s="94" t="str">
        <f t="shared" ca="1" si="6"/>
        <v>LT GAIN</v>
      </c>
    </row>
    <row r="72" spans="1:10" x14ac:dyDescent="0.35">
      <c r="A72" s="12"/>
      <c r="B72" s="17">
        <v>45658</v>
      </c>
      <c r="C72" s="18" t="e" vm="3600">
        <v>#VALUE!</v>
      </c>
      <c r="D72" s="18" t="s">
        <v>140</v>
      </c>
      <c r="E72" s="254">
        <v>70.3</v>
      </c>
      <c r="F72" s="19">
        <v>37.6</v>
      </c>
      <c r="G72" s="254">
        <f t="shared" si="4"/>
        <v>2643.28</v>
      </c>
      <c r="H72" s="20" t="str" cm="1">
        <f t="array" aca="1" ref="H72" ca="1">_FV(Ledger[[#This Row],[Stock]],"Ticker symbol",TRUE)</f>
        <v>C</v>
      </c>
      <c r="I72" s="303">
        <f t="shared" ca="1" si="5"/>
        <v>366</v>
      </c>
      <c r="J72" s="94" t="str">
        <f t="shared" ca="1" si="6"/>
        <v>LT GAIN</v>
      </c>
    </row>
    <row r="73" spans="1:10" x14ac:dyDescent="0.35">
      <c r="A73" s="12"/>
      <c r="B73" s="80">
        <v>43466</v>
      </c>
      <c r="C73" s="81" t="e" vm="3601">
        <v>#VALUE!</v>
      </c>
      <c r="D73" s="81" t="s">
        <v>12</v>
      </c>
      <c r="E73" s="255">
        <v>133.31</v>
      </c>
      <c r="F73" s="82">
        <v>4.5</v>
      </c>
      <c r="G73" s="255">
        <f t="shared" si="4"/>
        <v>599.89499999999998</v>
      </c>
      <c r="H73" s="83" t="str" cm="1">
        <f t="array" aca="1" ref="H73" ca="1">_FV(Ledger[[#This Row],[Stock]],"Ticker symbol",TRUE)</f>
        <v>0R2N</v>
      </c>
      <c r="I73" s="303">
        <f t="shared" ca="1" si="5"/>
        <v>2652</v>
      </c>
      <c r="J73" s="94" t="str">
        <f t="shared" ca="1" si="6"/>
        <v>LT GAIN</v>
      </c>
    </row>
    <row r="74" spans="1:10" x14ac:dyDescent="0.35">
      <c r="A74" s="12"/>
      <c r="B74" s="17">
        <v>43831</v>
      </c>
      <c r="C74" s="18" t="e" vm="3601">
        <v>#VALUE!</v>
      </c>
      <c r="D74" s="18" t="s">
        <v>12</v>
      </c>
      <c r="E74" s="254">
        <v>149.88</v>
      </c>
      <c r="F74" s="19">
        <v>4</v>
      </c>
      <c r="G74" s="254">
        <f t="shared" si="4"/>
        <v>599.52</v>
      </c>
      <c r="H74" s="20" t="str" cm="1">
        <f t="array" aca="1" ref="H74" ca="1">_FV(Ledger[[#This Row],[Stock]],"Ticker symbol",TRUE)</f>
        <v>0R2N</v>
      </c>
      <c r="I74" s="303">
        <f t="shared" ca="1" si="5"/>
        <v>2287</v>
      </c>
      <c r="J74" s="94" t="str">
        <f t="shared" ca="1" si="6"/>
        <v>LT GAIN</v>
      </c>
    </row>
    <row r="75" spans="1:10" x14ac:dyDescent="0.35">
      <c r="A75" s="12"/>
      <c r="B75" s="80">
        <v>44197</v>
      </c>
      <c r="C75" s="81" t="e" vm="3601">
        <v>#VALUE!</v>
      </c>
      <c r="D75" s="81" t="s">
        <v>12</v>
      </c>
      <c r="E75" s="255">
        <v>71.510000000000005</v>
      </c>
      <c r="F75" s="82">
        <v>8.3800000000000008</v>
      </c>
      <c r="G75" s="255">
        <f t="shared" si="4"/>
        <v>599.25380000000007</v>
      </c>
      <c r="H75" s="83" t="str" cm="1">
        <f t="array" aca="1" ref="H75" ca="1">_FV(Ledger[[#This Row],[Stock]],"Ticker symbol",TRUE)</f>
        <v>0R2N</v>
      </c>
      <c r="I75" s="303">
        <f t="shared" ca="1" si="5"/>
        <v>1921</v>
      </c>
      <c r="J75" s="94" t="str">
        <f t="shared" ca="1" si="6"/>
        <v>LT GAIN</v>
      </c>
    </row>
    <row r="76" spans="1:10" x14ac:dyDescent="0.35">
      <c r="A76" s="12"/>
      <c r="B76" s="17">
        <v>44562</v>
      </c>
      <c r="C76" s="18" t="e" vm="3601">
        <v>#VALUE!</v>
      </c>
      <c r="D76" s="18" t="s">
        <v>140</v>
      </c>
      <c r="E76" s="254">
        <v>86.09</v>
      </c>
      <c r="F76" s="19">
        <v>6.97</v>
      </c>
      <c r="G76" s="254">
        <f t="shared" si="4"/>
        <v>600.04729999999995</v>
      </c>
      <c r="H76" s="20" t="str" cm="1">
        <f t="array" aca="1" ref="H76" ca="1">_FV(Ledger[[#This Row],[Stock]],"Ticker symbol",TRUE)</f>
        <v>0R2N</v>
      </c>
      <c r="I76" s="303">
        <f t="shared" ca="1" si="5"/>
        <v>365</v>
      </c>
      <c r="J76" s="94" t="str">
        <f t="shared" ca="1" si="6"/>
        <v>ST GAIN · HIGH TAX</v>
      </c>
    </row>
    <row r="77" spans="1:10" x14ac:dyDescent="0.35">
      <c r="A77" s="12"/>
      <c r="B77" s="80">
        <v>44927</v>
      </c>
      <c r="C77" s="81" t="e" vm="3601">
        <v>#VALUE!</v>
      </c>
      <c r="D77" s="81" t="s">
        <v>12</v>
      </c>
      <c r="E77" s="255">
        <v>100.97</v>
      </c>
      <c r="F77" s="82">
        <v>5.93</v>
      </c>
      <c r="G77" s="255">
        <f t="shared" si="4"/>
        <v>598.75209999999993</v>
      </c>
      <c r="H77" s="83" t="str" cm="1">
        <f t="array" aca="1" ref="H77" ca="1">_FV(Ledger[[#This Row],[Stock]],"Ticker symbol",TRUE)</f>
        <v>0R2N</v>
      </c>
      <c r="I77" s="303">
        <f t="shared" ca="1" si="5"/>
        <v>1191</v>
      </c>
      <c r="J77" s="94" t="str">
        <f t="shared" ca="1" si="6"/>
        <v>LT GAIN</v>
      </c>
    </row>
    <row r="78" spans="1:10" x14ac:dyDescent="0.35">
      <c r="A78" s="12"/>
      <c r="B78" s="17">
        <v>45292</v>
      </c>
      <c r="C78" s="18" t="e" vm="3601">
        <v>#VALUE!</v>
      </c>
      <c r="D78" s="18" t="s">
        <v>12</v>
      </c>
      <c r="E78" s="254">
        <v>84.26</v>
      </c>
      <c r="F78" s="19">
        <v>28.46</v>
      </c>
      <c r="G78" s="254">
        <f t="shared" si="4"/>
        <v>2398.0396000000001</v>
      </c>
      <c r="H78" s="20" t="str" cm="1">
        <f t="array" aca="1" ref="H78" ca="1">_FV(Ledger[[#This Row],[Stock]],"Ticker symbol",TRUE)</f>
        <v>0R2N</v>
      </c>
      <c r="I78" s="303">
        <f t="shared" ca="1" si="5"/>
        <v>826</v>
      </c>
      <c r="J78" s="94" t="str">
        <f t="shared" ca="1" si="6"/>
        <v>LT GAIN</v>
      </c>
    </row>
    <row r="79" spans="1:10" x14ac:dyDescent="0.35">
      <c r="A79" s="12"/>
      <c r="B79" s="80">
        <v>45658</v>
      </c>
      <c r="C79" s="81" t="e" vm="3601">
        <v>#VALUE!</v>
      </c>
      <c r="D79" s="81" t="s">
        <v>140</v>
      </c>
      <c r="E79" s="255">
        <v>119.24</v>
      </c>
      <c r="F79" s="82">
        <v>21.13</v>
      </c>
      <c r="G79" s="255">
        <f t="shared" si="4"/>
        <v>2519.5411999999997</v>
      </c>
      <c r="H79" s="83" t="str" cm="1">
        <f t="array" aca="1" ref="H79" ca="1">_FV(Ledger[[#This Row],[Stock]],"Ticker symbol",TRUE)</f>
        <v>0R2N</v>
      </c>
      <c r="I79" s="303">
        <f t="shared" ca="1" si="5"/>
        <v>366</v>
      </c>
      <c r="J79" s="94" t="str">
        <f t="shared" ca="1" si="6"/>
        <v>LT GAIN</v>
      </c>
    </row>
    <row r="80" spans="1:10" x14ac:dyDescent="0.35">
      <c r="A80" s="12"/>
      <c r="B80" s="17">
        <v>43466</v>
      </c>
      <c r="C80" s="18" t="e" vm="3602">
        <v>#VALUE!</v>
      </c>
      <c r="D80" s="18" t="s">
        <v>12</v>
      </c>
      <c r="E80" s="254">
        <v>75.77</v>
      </c>
      <c r="F80" s="19">
        <v>6.47</v>
      </c>
      <c r="G80" s="254">
        <f t="shared" si="4"/>
        <v>490.23189999999994</v>
      </c>
      <c r="H80" s="20" t="str" cm="1">
        <f t="array" aca="1" ref="H80" ca="1">_FV(Ledger[[#This Row],[Stock]],"Ticker symbol",TRUE)</f>
        <v>AMZN</v>
      </c>
      <c r="I80" s="303">
        <f t="shared" ca="1" si="5"/>
        <v>2652</v>
      </c>
      <c r="J80" s="94" t="str">
        <f t="shared" ca="1" si="6"/>
        <v>LT GAIN</v>
      </c>
    </row>
    <row r="81" spans="1:10" x14ac:dyDescent="0.35">
      <c r="A81" s="12"/>
      <c r="B81" s="80">
        <v>43831</v>
      </c>
      <c r="C81" s="81" t="e" vm="3602">
        <v>#VALUE!</v>
      </c>
      <c r="D81" s="81" t="s">
        <v>12</v>
      </c>
      <c r="E81" s="255">
        <v>93.75</v>
      </c>
      <c r="F81" s="82">
        <v>5.23</v>
      </c>
      <c r="G81" s="255">
        <f t="shared" si="4"/>
        <v>490.31250000000006</v>
      </c>
      <c r="H81" s="83" t="str" cm="1">
        <f t="array" aca="1" ref="H81" ca="1">_FV(Ledger[[#This Row],[Stock]],"Ticker symbol",TRUE)</f>
        <v>AMZN</v>
      </c>
      <c r="I81" s="303">
        <f t="shared" ca="1" si="5"/>
        <v>2287</v>
      </c>
      <c r="J81" s="94" t="str">
        <f t="shared" ca="1" si="6"/>
        <v>LT GAIN</v>
      </c>
    </row>
    <row r="82" spans="1:10" x14ac:dyDescent="0.35">
      <c r="A82" s="12"/>
      <c r="B82" s="17">
        <v>44197</v>
      </c>
      <c r="C82" s="18" t="e" vm="3602">
        <v>#VALUE!</v>
      </c>
      <c r="D82" s="18" t="s">
        <v>12</v>
      </c>
      <c r="E82" s="254">
        <v>163.5</v>
      </c>
      <c r="F82" s="19">
        <v>3</v>
      </c>
      <c r="G82" s="254">
        <f t="shared" si="4"/>
        <v>490.5</v>
      </c>
      <c r="H82" s="20" t="str" cm="1">
        <f t="array" aca="1" ref="H82" ca="1">_FV(Ledger[[#This Row],[Stock]],"Ticker symbol",TRUE)</f>
        <v>AMZN</v>
      </c>
      <c r="I82" s="303">
        <f t="shared" ca="1" si="5"/>
        <v>1921</v>
      </c>
      <c r="J82" s="94" t="str">
        <f t="shared" ca="1" si="6"/>
        <v>LT GAIN</v>
      </c>
    </row>
    <row r="83" spans="1:10" x14ac:dyDescent="0.35">
      <c r="A83" s="12"/>
      <c r="B83" s="80">
        <v>44562</v>
      </c>
      <c r="C83" s="81" t="e" vm="3602">
        <v>#VALUE!</v>
      </c>
      <c r="D83" s="81" t="s">
        <v>140</v>
      </c>
      <c r="E83" s="255">
        <v>170.4</v>
      </c>
      <c r="F83" s="82">
        <v>2.88</v>
      </c>
      <c r="G83" s="255">
        <f t="shared" si="4"/>
        <v>490.75200000000001</v>
      </c>
      <c r="H83" s="83" t="str" cm="1">
        <f t="array" aca="1" ref="H83" ca="1">_FV(Ledger[[#This Row],[Stock]],"Ticker symbol",TRUE)</f>
        <v>AMZN</v>
      </c>
      <c r="I83" s="303">
        <f t="shared" ca="1" si="5"/>
        <v>365</v>
      </c>
      <c r="J83" s="94" t="str">
        <f t="shared" ca="1" si="6"/>
        <v>ST GAIN · HIGH TAX</v>
      </c>
    </row>
    <row r="84" spans="1:10" x14ac:dyDescent="0.35">
      <c r="A84" s="12"/>
      <c r="B84" s="17">
        <v>44927</v>
      </c>
      <c r="C84" s="18" t="e" vm="3602">
        <v>#VALUE!</v>
      </c>
      <c r="D84" s="18" t="s">
        <v>12</v>
      </c>
      <c r="E84" s="254">
        <v>85.46</v>
      </c>
      <c r="F84" s="19">
        <v>5.73</v>
      </c>
      <c r="G84" s="254">
        <f t="shared" si="4"/>
        <v>489.68580000000003</v>
      </c>
      <c r="H84" s="20" t="str" cm="1">
        <f t="array" aca="1" ref="H84" ca="1">_FV(Ledger[[#This Row],[Stock]],"Ticker symbol",TRUE)</f>
        <v>AMZN</v>
      </c>
      <c r="I84" s="303">
        <f t="shared" ca="1" si="5"/>
        <v>1191</v>
      </c>
      <c r="J84" s="94" t="str">
        <f t="shared" ca="1" si="6"/>
        <v>LT GAIN</v>
      </c>
    </row>
    <row r="85" spans="1:10" x14ac:dyDescent="0.35">
      <c r="A85" s="12"/>
      <c r="B85" s="80">
        <v>45292</v>
      </c>
      <c r="C85" s="81" t="e" vm="3602">
        <v>#VALUE!</v>
      </c>
      <c r="D85" s="81" t="s">
        <v>12</v>
      </c>
      <c r="E85" s="255">
        <v>153.38</v>
      </c>
      <c r="F85" s="82">
        <v>12.78</v>
      </c>
      <c r="G85" s="255">
        <f t="shared" si="4"/>
        <v>1960.1963999999998</v>
      </c>
      <c r="H85" s="83" t="str" cm="1">
        <f t="array" aca="1" ref="H85" ca="1">_FV(Ledger[[#This Row],[Stock]],"Ticker symbol",TRUE)</f>
        <v>AMZN</v>
      </c>
      <c r="I85" s="303">
        <f t="shared" ca="1" si="5"/>
        <v>826</v>
      </c>
      <c r="J85" s="94" t="str">
        <f t="shared" ca="1" si="6"/>
        <v>LT GAIN</v>
      </c>
    </row>
    <row r="86" spans="1:10" x14ac:dyDescent="0.35">
      <c r="A86" s="12"/>
      <c r="B86" s="17">
        <v>45658</v>
      </c>
      <c r="C86" s="18" t="e" vm="3602">
        <v>#VALUE!</v>
      </c>
      <c r="D86" s="18" t="s">
        <v>140</v>
      </c>
      <c r="E86" s="254">
        <v>220</v>
      </c>
      <c r="F86" s="19">
        <v>9.36</v>
      </c>
      <c r="G86" s="254">
        <f t="shared" si="4"/>
        <v>2059.1999999999998</v>
      </c>
      <c r="H86" s="20" t="str" cm="1">
        <f t="array" aca="1" ref="H86" ca="1">_FV(Ledger[[#This Row],[Stock]],"Ticker symbol",TRUE)</f>
        <v>AMZN</v>
      </c>
      <c r="I86" s="303">
        <f t="shared" ca="1" si="5"/>
        <v>366</v>
      </c>
      <c r="J86" s="94" t="str">
        <f t="shared" ca="1" si="6"/>
        <v>LT GAIN</v>
      </c>
    </row>
    <row r="87" spans="1:10" x14ac:dyDescent="0.35">
      <c r="A87" s="12"/>
      <c r="B87" s="80">
        <v>43466</v>
      </c>
      <c r="C87" s="81" t="e" vm="3603">
        <v>#VALUE!</v>
      </c>
      <c r="D87" s="81" t="s">
        <v>12</v>
      </c>
      <c r="E87" s="255">
        <v>30.24</v>
      </c>
      <c r="F87" s="82">
        <v>24.79</v>
      </c>
      <c r="G87" s="255">
        <f t="shared" si="4"/>
        <v>749.64959999999996</v>
      </c>
      <c r="H87" s="83" t="str" cm="1">
        <f t="array" aca="1" ref="H87" ca="1">_FV(Ledger[[#This Row],[Stock]],"Ticker symbol",TRUE)</f>
        <v>WMT</v>
      </c>
      <c r="I87" s="303">
        <f t="shared" ca="1" si="5"/>
        <v>2652</v>
      </c>
      <c r="J87" s="94" t="str">
        <f t="shared" ca="1" si="6"/>
        <v>LT GAIN</v>
      </c>
    </row>
    <row r="88" spans="1:10" x14ac:dyDescent="0.35">
      <c r="A88" s="12"/>
      <c r="B88" s="17">
        <v>43831</v>
      </c>
      <c r="C88" s="18" t="e" vm="3603">
        <v>#VALUE!</v>
      </c>
      <c r="D88" s="18" t="s">
        <v>12</v>
      </c>
      <c r="E88" s="254">
        <v>39.54</v>
      </c>
      <c r="F88" s="19">
        <v>18.95</v>
      </c>
      <c r="G88" s="254">
        <f t="shared" si="4"/>
        <v>749.2829999999999</v>
      </c>
      <c r="H88" s="20" t="str" cm="1">
        <f t="array" aca="1" ref="H88" ca="1">_FV(Ledger[[#This Row],[Stock]],"Ticker symbol",TRUE)</f>
        <v>WMT</v>
      </c>
      <c r="I88" s="303">
        <f t="shared" ca="1" si="5"/>
        <v>2287</v>
      </c>
      <c r="J88" s="94" t="str">
        <f t="shared" ca="1" si="6"/>
        <v>LT GAIN</v>
      </c>
    </row>
    <row r="89" spans="1:10" x14ac:dyDescent="0.35">
      <c r="A89" s="12"/>
      <c r="B89" s="80">
        <v>44197</v>
      </c>
      <c r="C89" s="81" t="e" vm="3603">
        <v>#VALUE!</v>
      </c>
      <c r="D89" s="81" t="s">
        <v>12</v>
      </c>
      <c r="E89" s="255">
        <v>46.12</v>
      </c>
      <c r="F89" s="82">
        <v>16.260000000000002</v>
      </c>
      <c r="G89" s="255">
        <f t="shared" si="4"/>
        <v>749.91120000000001</v>
      </c>
      <c r="H89" s="83" t="str" cm="1">
        <f t="array" aca="1" ref="H89" ca="1">_FV(Ledger[[#This Row],[Stock]],"Ticker symbol",TRUE)</f>
        <v>WMT</v>
      </c>
      <c r="I89" s="303">
        <f t="shared" ca="1" si="5"/>
        <v>1921</v>
      </c>
      <c r="J89" s="94" t="str">
        <f t="shared" ca="1" si="6"/>
        <v>LT GAIN</v>
      </c>
    </row>
    <row r="90" spans="1:10" x14ac:dyDescent="0.35">
      <c r="A90" s="12"/>
      <c r="B90" s="17">
        <v>44562</v>
      </c>
      <c r="C90" s="18" t="e" vm="3603">
        <v>#VALUE!</v>
      </c>
      <c r="D90" s="18" t="s">
        <v>140</v>
      </c>
      <c r="E90" s="254">
        <v>47.57</v>
      </c>
      <c r="F90" s="19">
        <v>15.77</v>
      </c>
      <c r="G90" s="254">
        <f t="shared" si="4"/>
        <v>750.1789</v>
      </c>
      <c r="H90" s="20" t="str" cm="1">
        <f t="array" aca="1" ref="H90" ca="1">_FV(Ledger[[#This Row],[Stock]],"Ticker symbol",TRUE)</f>
        <v>WMT</v>
      </c>
      <c r="I90" s="303">
        <f t="shared" ca="1" si="5"/>
        <v>365</v>
      </c>
      <c r="J90" s="94" t="str">
        <f t="shared" ca="1" si="6"/>
        <v>ST GAIN · HIGH TAX</v>
      </c>
    </row>
    <row r="91" spans="1:10" x14ac:dyDescent="0.35">
      <c r="A91" s="12"/>
      <c r="B91" s="80">
        <v>44927</v>
      </c>
      <c r="C91" s="81" t="e" vm="3603">
        <v>#VALUE!</v>
      </c>
      <c r="D91" s="81" t="s">
        <v>12</v>
      </c>
      <c r="E91" s="255">
        <v>48.04</v>
      </c>
      <c r="F91" s="82">
        <v>15.6</v>
      </c>
      <c r="G91" s="255">
        <f t="shared" si="4"/>
        <v>749.42399999999998</v>
      </c>
      <c r="H91" s="83" t="str" cm="1">
        <f t="array" aca="1" ref="H91" ca="1">_FV(Ledger[[#This Row],[Stock]],"Ticker symbol",TRUE)</f>
        <v>WMT</v>
      </c>
      <c r="I91" s="303">
        <f t="shared" ca="1" si="5"/>
        <v>1191</v>
      </c>
      <c r="J91" s="94" t="str">
        <f t="shared" ca="1" si="6"/>
        <v>LT GAIN</v>
      </c>
    </row>
    <row r="92" spans="1:10" x14ac:dyDescent="0.35">
      <c r="A92" s="12"/>
      <c r="B92" s="17">
        <v>45292</v>
      </c>
      <c r="C92" s="18" t="e" vm="3603">
        <v>#VALUE!</v>
      </c>
      <c r="D92" s="18" t="s">
        <v>12</v>
      </c>
      <c r="E92" s="254">
        <v>52.89</v>
      </c>
      <c r="F92" s="19">
        <v>56.7</v>
      </c>
      <c r="G92" s="254">
        <f t="shared" si="4"/>
        <v>2998.8630000000003</v>
      </c>
      <c r="H92" s="20" t="str" cm="1">
        <f t="array" aca="1" ref="H92" ca="1">_FV(Ledger[[#This Row],[Stock]],"Ticker symbol",TRUE)</f>
        <v>WMT</v>
      </c>
      <c r="I92" s="303">
        <f t="shared" ca="1" si="5"/>
        <v>826</v>
      </c>
      <c r="J92" s="94" t="str">
        <f t="shared" ca="1" si="6"/>
        <v>LT GAIN</v>
      </c>
    </row>
    <row r="93" spans="1:10" x14ac:dyDescent="0.35">
      <c r="A93" s="12"/>
      <c r="B93" s="80">
        <v>45658</v>
      </c>
      <c r="C93" s="81" t="e" vm="3603">
        <v>#VALUE!</v>
      </c>
      <c r="D93" s="81" t="s">
        <v>140</v>
      </c>
      <c r="E93" s="255">
        <v>91.07</v>
      </c>
      <c r="F93" s="82">
        <v>34.590000000000003</v>
      </c>
      <c r="G93" s="255">
        <f t="shared" si="4"/>
        <v>3150.1113</v>
      </c>
      <c r="H93" s="83" t="str" cm="1">
        <f t="array" aca="1" ref="H93" ca="1">_FV(Ledger[[#This Row],[Stock]],"Ticker symbol",TRUE)</f>
        <v>WMT</v>
      </c>
      <c r="I93" s="303">
        <f t="shared" ca="1" si="5"/>
        <v>366</v>
      </c>
      <c r="J93" s="94" t="str">
        <f t="shared" ca="1" si="6"/>
        <v>LT GAIN</v>
      </c>
    </row>
    <row r="94" spans="1:10" x14ac:dyDescent="0.35">
      <c r="A94" s="12"/>
      <c r="B94" s="17">
        <v>43466</v>
      </c>
      <c r="C94" s="18" t="e" vm="3604">
        <v>#VALUE!</v>
      </c>
      <c r="D94" s="18" t="s">
        <v>12</v>
      </c>
      <c r="E94" s="254">
        <v>7.65</v>
      </c>
      <c r="F94" s="19">
        <v>78.349999999999994</v>
      </c>
      <c r="G94" s="254">
        <f t="shared" si="4"/>
        <v>599.37749999999994</v>
      </c>
      <c r="H94" s="20" t="str" cm="1">
        <f t="array" aca="1" ref="H94" ca="1">_FV(Ledger[[#This Row],[Stock]],"Ticker symbol",TRUE)</f>
        <v>F</v>
      </c>
      <c r="I94" s="303">
        <f t="shared" ca="1" si="5"/>
        <v>2652</v>
      </c>
      <c r="J94" s="94" t="str">
        <f t="shared" ca="1" si="6"/>
        <v>LT GAIN</v>
      </c>
    </row>
    <row r="95" spans="1:10" x14ac:dyDescent="0.35">
      <c r="A95" s="12"/>
      <c r="B95" s="80">
        <v>43831</v>
      </c>
      <c r="C95" s="81" t="e" vm="3604">
        <v>#VALUE!</v>
      </c>
      <c r="D95" s="81" t="s">
        <v>12</v>
      </c>
      <c r="E95" s="255">
        <v>9.3000000000000007</v>
      </c>
      <c r="F95" s="82">
        <v>64.44</v>
      </c>
      <c r="G95" s="255">
        <f t="shared" si="4"/>
        <v>599.29200000000003</v>
      </c>
      <c r="H95" s="83" t="str" cm="1">
        <f t="array" aca="1" ref="H95" ca="1">_FV(Ledger[[#This Row],[Stock]],"Ticker symbol",TRUE)</f>
        <v>F</v>
      </c>
      <c r="I95" s="303">
        <f t="shared" ca="1" si="5"/>
        <v>2287</v>
      </c>
      <c r="J95" s="94" t="str">
        <f t="shared" ca="1" si="6"/>
        <v>LT GAIN</v>
      </c>
    </row>
    <row r="96" spans="1:10" x14ac:dyDescent="0.35">
      <c r="A96" s="12"/>
      <c r="B96" s="17">
        <v>44197</v>
      </c>
      <c r="C96" s="18" t="e" vm="3604">
        <v>#VALUE!</v>
      </c>
      <c r="D96" s="18" t="s">
        <v>12</v>
      </c>
      <c r="E96" s="254">
        <v>8.91</v>
      </c>
      <c r="F96" s="19">
        <v>67.28</v>
      </c>
      <c r="G96" s="254">
        <f t="shared" si="4"/>
        <v>599.46479999999997</v>
      </c>
      <c r="H96" s="20" t="str" cm="1">
        <f t="array" aca="1" ref="H96" ca="1">_FV(Ledger[[#This Row],[Stock]],"Ticker symbol",TRUE)</f>
        <v>F</v>
      </c>
      <c r="I96" s="303">
        <f t="shared" ca="1" si="5"/>
        <v>1921</v>
      </c>
      <c r="J96" s="94" t="str">
        <f t="shared" ca="1" si="6"/>
        <v>LT GAIN</v>
      </c>
    </row>
    <row r="97" spans="1:10" x14ac:dyDescent="0.35">
      <c r="A97" s="12"/>
      <c r="B97" s="80">
        <v>44562</v>
      </c>
      <c r="C97" s="81" t="e" vm="3604">
        <v>#VALUE!</v>
      </c>
      <c r="D97" s="81" t="s">
        <v>140</v>
      </c>
      <c r="E97" s="255">
        <v>20.77</v>
      </c>
      <c r="F97" s="82">
        <v>28.87</v>
      </c>
      <c r="G97" s="255">
        <f t="shared" si="4"/>
        <v>599.62990000000002</v>
      </c>
      <c r="H97" s="83" t="str" cm="1">
        <f t="array" aca="1" ref="H97" ca="1">_FV(Ledger[[#This Row],[Stock]],"Ticker symbol",TRUE)</f>
        <v>F</v>
      </c>
      <c r="I97" s="303">
        <f t="shared" ca="1" si="5"/>
        <v>365</v>
      </c>
      <c r="J97" s="94" t="str">
        <f t="shared" ca="1" si="6"/>
        <v>ST GAIN · HIGH TAX</v>
      </c>
    </row>
    <row r="98" spans="1:10" x14ac:dyDescent="0.35">
      <c r="A98" s="12"/>
      <c r="B98" s="17">
        <v>44927</v>
      </c>
      <c r="C98" s="18" t="e" vm="3604">
        <v>#VALUE!</v>
      </c>
      <c r="D98" s="18" t="s">
        <v>12</v>
      </c>
      <c r="E98" s="254">
        <v>11.95</v>
      </c>
      <c r="F98" s="19">
        <v>50.14</v>
      </c>
      <c r="G98" s="254">
        <f t="shared" si="4"/>
        <v>599.173</v>
      </c>
      <c r="H98" s="20" t="str" cm="1">
        <f t="array" aca="1" ref="H98" ca="1">_FV(Ledger[[#This Row],[Stock]],"Ticker symbol",TRUE)</f>
        <v>F</v>
      </c>
      <c r="I98" s="303">
        <f t="shared" ca="1" si="5"/>
        <v>1191</v>
      </c>
      <c r="J98" s="94" t="str">
        <f t="shared" ca="1" si="6"/>
        <v>LT GAIN</v>
      </c>
    </row>
    <row r="99" spans="1:10" x14ac:dyDescent="0.35">
      <c r="A99" s="12"/>
      <c r="B99" s="80">
        <v>45292</v>
      </c>
      <c r="C99" s="81" t="e" vm="3604">
        <v>#VALUE!</v>
      </c>
      <c r="D99" s="81" t="s">
        <v>12</v>
      </c>
      <c r="E99" s="255">
        <v>12.06</v>
      </c>
      <c r="F99" s="82">
        <v>198.82</v>
      </c>
      <c r="G99" s="255">
        <f t="shared" ref="G99:G114" si="7">E99*F99</f>
        <v>2397.7692000000002</v>
      </c>
      <c r="H99" s="83" t="str" cm="1">
        <f t="array" aca="1" ref="H99" ca="1">_FV(Ledger[[#This Row],[Stock]],"Ticker symbol",TRUE)</f>
        <v>F</v>
      </c>
      <c r="I99" s="303">
        <f t="shared" ca="1" si="5"/>
        <v>826</v>
      </c>
      <c r="J99" s="94" t="str">
        <f t="shared" ca="1" si="6"/>
        <v>LT GAIN</v>
      </c>
    </row>
    <row r="100" spans="1:10" x14ac:dyDescent="0.35">
      <c r="A100" s="12"/>
      <c r="B100" s="17">
        <v>45658</v>
      </c>
      <c r="C100" s="18" t="e" vm="3604">
        <v>#VALUE!</v>
      </c>
      <c r="D100" s="18" t="s">
        <v>140</v>
      </c>
      <c r="E100" s="254">
        <v>9.84</v>
      </c>
      <c r="F100" s="19">
        <v>256.01</v>
      </c>
      <c r="G100" s="254">
        <f t="shared" si="7"/>
        <v>2519.1383999999998</v>
      </c>
      <c r="H100" s="20" t="str" cm="1">
        <f t="array" aca="1" ref="H100" ca="1">_FV(Ledger[[#This Row],[Stock]],"Ticker symbol",TRUE)</f>
        <v>F</v>
      </c>
      <c r="I100" s="303">
        <f t="shared" ca="1" si="5"/>
        <v>366</v>
      </c>
      <c r="J100" s="94" t="str">
        <f t="shared" ca="1" si="6"/>
        <v>LT GAIN</v>
      </c>
    </row>
    <row r="101" spans="1:10" x14ac:dyDescent="0.35">
      <c r="A101" s="12"/>
      <c r="B101" s="80">
        <v>43466</v>
      </c>
      <c r="C101" s="81" t="e" vm="3605">
        <v>#VALUE!</v>
      </c>
      <c r="D101" s="81" t="s">
        <v>12</v>
      </c>
      <c r="E101" s="255">
        <v>24.31</v>
      </c>
      <c r="F101" s="82">
        <v>22.18</v>
      </c>
      <c r="G101" s="255">
        <f t="shared" si="7"/>
        <v>539.19579999999996</v>
      </c>
      <c r="H101" s="83" t="str" cm="1">
        <f t="array" aca="1" ref="H101" ca="1">_FV(Ledger[[#This Row],[Stock]],"Ticker symbol",TRUE)</f>
        <v>HMC</v>
      </c>
      <c r="I101" s="303">
        <f t="shared" ca="1" si="5"/>
        <v>2652</v>
      </c>
      <c r="J101" s="94" t="str">
        <f t="shared" ca="1" si="6"/>
        <v>LT GAIN</v>
      </c>
    </row>
    <row r="102" spans="1:10" x14ac:dyDescent="0.35">
      <c r="A102" s="12"/>
      <c r="B102" s="17">
        <v>43831</v>
      </c>
      <c r="C102" s="18" t="e" vm="3605">
        <v>#VALUE!</v>
      </c>
      <c r="D102" s="18" t="s">
        <v>12</v>
      </c>
      <c r="E102" s="254">
        <v>27.78</v>
      </c>
      <c r="F102" s="19">
        <v>19.41</v>
      </c>
      <c r="G102" s="254">
        <f t="shared" si="7"/>
        <v>539.20979999999997</v>
      </c>
      <c r="H102" s="20" t="str" cm="1">
        <f t="array" aca="1" ref="H102" ca="1">_FV(Ledger[[#This Row],[Stock]],"Ticker symbol",TRUE)</f>
        <v>HMC</v>
      </c>
      <c r="I102" s="303">
        <f t="shared" ca="1" si="5"/>
        <v>2287</v>
      </c>
      <c r="J102" s="94" t="str">
        <f t="shared" ca="1" si="6"/>
        <v>LT GAIN</v>
      </c>
    </row>
    <row r="103" spans="1:10" x14ac:dyDescent="0.35">
      <c r="A103" s="12"/>
      <c r="B103" s="80">
        <v>44197</v>
      </c>
      <c r="C103" s="81" t="e" vm="3605">
        <v>#VALUE!</v>
      </c>
      <c r="D103" s="81" t="s">
        <v>12</v>
      </c>
      <c r="E103" s="255">
        <v>27.39</v>
      </c>
      <c r="F103" s="82">
        <v>19.690000000000001</v>
      </c>
      <c r="G103" s="255">
        <f t="shared" si="7"/>
        <v>539.30910000000006</v>
      </c>
      <c r="H103" s="83" t="str" cm="1">
        <f t="array" aca="1" ref="H103" ca="1">_FV(Ledger[[#This Row],[Stock]],"Ticker symbol",TRUE)</f>
        <v>HMC</v>
      </c>
      <c r="I103" s="303">
        <f t="shared" ca="1" si="5"/>
        <v>1921</v>
      </c>
      <c r="J103" s="94" t="str">
        <f t="shared" ca="1" si="6"/>
        <v>LT GAIN</v>
      </c>
    </row>
    <row r="104" spans="1:10" x14ac:dyDescent="0.35">
      <c r="A104" s="12"/>
      <c r="B104" s="17">
        <v>44562</v>
      </c>
      <c r="C104" s="18" t="e" vm="3605">
        <v>#VALUE!</v>
      </c>
      <c r="D104" s="18" t="s">
        <v>140</v>
      </c>
      <c r="E104" s="254">
        <v>29.3</v>
      </c>
      <c r="F104" s="19">
        <v>18.41</v>
      </c>
      <c r="G104" s="254">
        <f t="shared" si="7"/>
        <v>539.41300000000001</v>
      </c>
      <c r="H104" s="20" t="str" cm="1">
        <f t="array" aca="1" ref="H104" ca="1">_FV(Ledger[[#This Row],[Stock]],"Ticker symbol",TRUE)</f>
        <v>HMC</v>
      </c>
      <c r="I104" s="303">
        <f t="shared" ca="1" si="5"/>
        <v>365</v>
      </c>
      <c r="J104" s="94" t="str">
        <f t="shared" ca="1" si="6"/>
        <v>ST GAIN · HIGH TAX</v>
      </c>
    </row>
    <row r="105" spans="1:10" x14ac:dyDescent="0.35">
      <c r="A105" s="12"/>
      <c r="B105" s="80">
        <v>44927</v>
      </c>
      <c r="C105" s="81" t="e" vm="3605">
        <v>#VALUE!</v>
      </c>
      <c r="D105" s="81" t="s">
        <v>12</v>
      </c>
      <c r="E105" s="255">
        <v>23.71</v>
      </c>
      <c r="F105" s="82">
        <v>22.73</v>
      </c>
      <c r="G105" s="255">
        <f t="shared" si="7"/>
        <v>538.92830000000004</v>
      </c>
      <c r="H105" s="83" t="str" cm="1">
        <f t="array" aca="1" ref="H105" ca="1">_FV(Ledger[[#This Row],[Stock]],"Ticker symbol",TRUE)</f>
        <v>HMC</v>
      </c>
      <c r="I105" s="303">
        <f t="shared" ca="1" si="5"/>
        <v>1191</v>
      </c>
      <c r="J105" s="94" t="str">
        <f t="shared" ca="1" si="6"/>
        <v>LT GAIN</v>
      </c>
    </row>
    <row r="106" spans="1:10" x14ac:dyDescent="0.35">
      <c r="A106" s="12"/>
      <c r="B106" s="17">
        <v>45292</v>
      </c>
      <c r="C106" s="18" t="e" vm="3605">
        <v>#VALUE!</v>
      </c>
      <c r="D106" s="18" t="s">
        <v>12</v>
      </c>
      <c r="E106" s="254">
        <v>30.89</v>
      </c>
      <c r="F106" s="19">
        <v>69.83</v>
      </c>
      <c r="G106" s="254">
        <f t="shared" si="7"/>
        <v>2157.0486999999998</v>
      </c>
      <c r="H106" s="20" t="str" cm="1">
        <f t="array" aca="1" ref="H106" ca="1">_FV(Ledger[[#This Row],[Stock]],"Ticker symbol",TRUE)</f>
        <v>HMC</v>
      </c>
      <c r="I106" s="303">
        <f t="shared" ca="1" si="5"/>
        <v>826</v>
      </c>
      <c r="J106" s="94" t="str">
        <f t="shared" ca="1" si="6"/>
        <v>LT GAIN</v>
      </c>
    </row>
    <row r="107" spans="1:10" x14ac:dyDescent="0.35">
      <c r="A107" s="12"/>
      <c r="B107" s="80">
        <v>45658</v>
      </c>
      <c r="C107" s="81" t="e" vm="3605">
        <v>#VALUE!</v>
      </c>
      <c r="D107" s="81" t="s">
        <v>140</v>
      </c>
      <c r="E107" s="255">
        <v>26.29</v>
      </c>
      <c r="F107" s="82">
        <v>86.2</v>
      </c>
      <c r="G107" s="255">
        <f t="shared" si="7"/>
        <v>2266.1979999999999</v>
      </c>
      <c r="H107" s="83" t="str" cm="1">
        <f t="array" aca="1" ref="H107" ca="1">_FV(Ledger[[#This Row],[Stock]],"Ticker symbol",TRUE)</f>
        <v>HMC</v>
      </c>
      <c r="I107" s="303">
        <f t="shared" ca="1" si="5"/>
        <v>366</v>
      </c>
      <c r="J107" s="94" t="str">
        <f t="shared" ca="1" si="6"/>
        <v>LT GAIN</v>
      </c>
    </row>
    <row r="108" spans="1:10" x14ac:dyDescent="0.35">
      <c r="A108" s="12"/>
      <c r="B108" s="17">
        <v>43466</v>
      </c>
      <c r="C108" s="18" t="e" vm="3606">
        <v>#VALUE!</v>
      </c>
      <c r="D108" s="18" t="s">
        <v>12</v>
      </c>
      <c r="E108" s="254">
        <v>117.51</v>
      </c>
      <c r="F108" s="19">
        <v>4.3499999999999996</v>
      </c>
      <c r="G108" s="254">
        <f t="shared" si="7"/>
        <v>511.16849999999999</v>
      </c>
      <c r="H108" s="20" t="str" cm="1">
        <f t="array" aca="1" ref="H108" ca="1">_FV(Ledger[[#This Row],[Stock]],"Ticker symbol",TRUE)</f>
        <v>TM</v>
      </c>
      <c r="I108" s="303">
        <f t="shared" ca="1" si="5"/>
        <v>2652</v>
      </c>
      <c r="J108" s="94" t="str">
        <f t="shared" ca="1" si="6"/>
        <v>LT GAIN</v>
      </c>
    </row>
    <row r="109" spans="1:10" x14ac:dyDescent="0.35">
      <c r="A109" s="12"/>
      <c r="B109" s="80">
        <v>43831</v>
      </c>
      <c r="C109" s="81" t="e" vm="3606">
        <v>#VALUE!</v>
      </c>
      <c r="D109" s="81" t="s">
        <v>12</v>
      </c>
      <c r="E109" s="255">
        <v>136.27000000000001</v>
      </c>
      <c r="F109" s="82">
        <v>3.75</v>
      </c>
      <c r="G109" s="255">
        <f t="shared" si="7"/>
        <v>511.01250000000005</v>
      </c>
      <c r="H109" s="83" t="str" cm="1">
        <f t="array" aca="1" ref="H109" ca="1">_FV(Ledger[[#This Row],[Stock]],"Ticker symbol",TRUE)</f>
        <v>TM</v>
      </c>
      <c r="I109" s="303">
        <f t="shared" ca="1" si="5"/>
        <v>2287</v>
      </c>
      <c r="J109" s="94" t="str">
        <f t="shared" ca="1" si="6"/>
        <v>LT GAIN</v>
      </c>
    </row>
    <row r="110" spans="1:10" x14ac:dyDescent="0.35">
      <c r="A110" s="12"/>
      <c r="B110" s="17">
        <v>44197</v>
      </c>
      <c r="C110" s="18" t="e" vm="3606">
        <v>#VALUE!</v>
      </c>
      <c r="D110" s="18" t="s">
        <v>12</v>
      </c>
      <c r="E110" s="254">
        <v>147.44999999999999</v>
      </c>
      <c r="F110" s="19">
        <v>3.46</v>
      </c>
      <c r="G110" s="254">
        <f t="shared" si="7"/>
        <v>510.17699999999996</v>
      </c>
      <c r="H110" s="20" t="str" cm="1">
        <f t="array" aca="1" ref="H110" ca="1">_FV(Ledger[[#This Row],[Stock]],"Ticker symbol",TRUE)</f>
        <v>TM</v>
      </c>
      <c r="I110" s="303">
        <f t="shared" ca="1" si="5"/>
        <v>1921</v>
      </c>
      <c r="J110" s="94" t="str">
        <f t="shared" ca="1" si="6"/>
        <v>LT GAIN</v>
      </c>
    </row>
    <row r="111" spans="1:10" x14ac:dyDescent="0.35">
      <c r="A111" s="12"/>
      <c r="B111" s="80">
        <v>44562</v>
      </c>
      <c r="C111" s="81" t="e" vm="3606">
        <v>#VALUE!</v>
      </c>
      <c r="D111" s="81" t="s">
        <v>140</v>
      </c>
      <c r="E111" s="255">
        <v>196.42</v>
      </c>
      <c r="F111" s="82">
        <v>2.6</v>
      </c>
      <c r="G111" s="255">
        <f t="shared" si="7"/>
        <v>510.69200000000001</v>
      </c>
      <c r="H111" s="83" t="str" cm="1">
        <f t="array" aca="1" ref="H111" ca="1">_FV(Ledger[[#This Row],[Stock]],"Ticker symbol",TRUE)</f>
        <v>TM</v>
      </c>
      <c r="I111" s="303">
        <f t="shared" ca="1" si="5"/>
        <v>365</v>
      </c>
      <c r="J111" s="94" t="str">
        <f t="shared" ca="1" si="6"/>
        <v>ST GAIN · HIGH TAX</v>
      </c>
    </row>
    <row r="112" spans="1:10" x14ac:dyDescent="0.35">
      <c r="A112" s="12"/>
      <c r="B112" s="17">
        <v>44927</v>
      </c>
      <c r="C112" s="18" t="e" vm="3606">
        <v>#VALUE!</v>
      </c>
      <c r="D112" s="18" t="s">
        <v>12</v>
      </c>
      <c r="E112" s="254">
        <v>135.75</v>
      </c>
      <c r="F112" s="19">
        <v>3.76</v>
      </c>
      <c r="G112" s="254">
        <f t="shared" si="7"/>
        <v>510.41999999999996</v>
      </c>
      <c r="H112" s="20" t="str" cm="1">
        <f t="array" aca="1" ref="H112" ca="1">_FV(Ledger[[#This Row],[Stock]],"Ticker symbol",TRUE)</f>
        <v>TM</v>
      </c>
      <c r="I112" s="303">
        <f t="shared" ca="1" si="5"/>
        <v>1191</v>
      </c>
      <c r="J112" s="94" t="str">
        <f t="shared" ca="1" si="6"/>
        <v>LT GAIN</v>
      </c>
    </row>
    <row r="113" spans="1:10" x14ac:dyDescent="0.35">
      <c r="A113" s="12"/>
      <c r="B113" s="80">
        <v>45292</v>
      </c>
      <c r="C113" s="81" t="e" vm="3606">
        <v>#VALUE!</v>
      </c>
      <c r="D113" s="81" t="s">
        <v>12</v>
      </c>
      <c r="E113" s="255">
        <v>183.07</v>
      </c>
      <c r="F113" s="82">
        <v>11.16</v>
      </c>
      <c r="G113" s="255">
        <f t="shared" si="7"/>
        <v>2043.0611999999999</v>
      </c>
      <c r="H113" s="83" t="str" cm="1">
        <f t="array" aca="1" ref="H113" ca="1">_FV(Ledger[[#This Row],[Stock]],"Ticker symbol",TRUE)</f>
        <v>TM</v>
      </c>
      <c r="I113" s="303">
        <f t="shared" ca="1" si="5"/>
        <v>826</v>
      </c>
      <c r="J113" s="94" t="str">
        <f t="shared" ca="1" si="6"/>
        <v>LT GAIN</v>
      </c>
    </row>
    <row r="114" spans="1:10" x14ac:dyDescent="0.35">
      <c r="A114" s="12"/>
      <c r="B114" s="21">
        <v>45658</v>
      </c>
      <c r="C114" s="22" t="e" vm="3606">
        <v>#VALUE!</v>
      </c>
      <c r="D114" s="22" t="s">
        <v>140</v>
      </c>
      <c r="E114" s="256">
        <v>170.54</v>
      </c>
      <c r="F114" s="23">
        <v>12.59</v>
      </c>
      <c r="G114" s="256">
        <f t="shared" si="7"/>
        <v>2147.0985999999998</v>
      </c>
      <c r="H114" s="24" t="str" cm="1">
        <f t="array" aca="1" ref="H114" ca="1">_FV(Ledger[[#This Row],[Stock]],"Ticker symbol",TRUE)</f>
        <v>TM</v>
      </c>
      <c r="I114" s="303">
        <f t="shared" ca="1" si="5"/>
        <v>366</v>
      </c>
      <c r="J114" s="94" t="str">
        <f t="shared" ca="1" si="6"/>
        <v>LT GAIN</v>
      </c>
    </row>
    <row r="115" spans="1:10" x14ac:dyDescent="0.35">
      <c r="H115" s="11"/>
    </row>
  </sheetData>
  <phoneticPr fontId="2" type="noConversion"/>
  <dataValidations count="3">
    <dataValidation type="decimal" operator="greaterThanOrEqual" allowBlank="1" showInputMessage="1" showErrorMessage="1" errorTitle="Invalid Price" error="Price must be ≥ 0. Negative prices violate trade integrity (CFA Standards of Practice, Standard III)." sqref="E3:E114" xr:uid="{7FB816C0-3983-47E7-B7C9-DB6AE812AEE3}">
      <formula1>0</formula1>
    </dataValidation>
    <dataValidation type="decimal" operator="greaterThanOrEqual" allowBlank="1" showInputMessage="1" showErrorMessage="1" errorTitle="Invalid Units" error="Units must be ≥ 0. Short positions require separate designation (CFA Level I, Equity Investments)." sqref="F3:F114" xr:uid="{ED9A2EB7-BFF2-4732-B87F-15DA3BECD8CA}">
      <formula1>0</formula1>
    </dataValidation>
    <dataValidation type="list" allowBlank="1" showInputMessage="1" showErrorMessage="1" errorTitle="Invalid Transaction Type" error="Transaction type must be 'Buy' or 'Sell'." sqref="D3:D114" xr:uid="{AC9817DB-DB23-43FD-BB99-44D90A3E6A12}">
      <formula1>"Buy,Sell"</formula1>
    </dataValidation>
  </dataValidations>
  <pageMargins left="0.7" right="0.7" top="0.75" bottom="0.75" header="0.3" footer="0.3"/>
  <pageSetup orientation="portrait"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6CED-9030-4E1B-A0A1-7EEB8AF39DC9}">
  <dimension ref="A1:IQ25"/>
  <sheetViews>
    <sheetView topLeftCell="C1" workbookViewId="0">
      <selection activeCell="F32" sqref="F32"/>
    </sheetView>
  </sheetViews>
  <sheetFormatPr defaultRowHeight="14.5" x14ac:dyDescent="0.35"/>
  <cols>
    <col min="1" max="1" width="22.1796875" bestFit="1" customWidth="1"/>
    <col min="2" max="2" width="45.54296875" bestFit="1" customWidth="1"/>
    <col min="3" max="3" width="8.90625" bestFit="1" customWidth="1"/>
  </cols>
  <sheetData>
    <row r="1" spans="1:251" x14ac:dyDescent="0.35">
      <c r="A1" s="2" t="s">
        <v>7</v>
      </c>
      <c r="B1" t="e" vm="1">
        <v>#VALUE!</v>
      </c>
    </row>
    <row r="3" spans="1:251" x14ac:dyDescent="0.35">
      <c r="A3" s="2" t="s">
        <v>34</v>
      </c>
      <c r="B3" s="2" t="s">
        <v>24</v>
      </c>
    </row>
    <row r="4" spans="1:251" x14ac:dyDescent="0.35">
      <c r="A4" t="s">
        <v>35</v>
      </c>
      <c r="B4" t="s">
        <v>14</v>
      </c>
      <c r="C4" cm="1" vm="442">
        <f t="array" aca="1" ref="C4:IQ4" ca="1">TRANSPOSE(_xlfn.STOCKHISTORY(A4&amp;":"&amp;B4,TODAY()-365,TODAY(),0,0,1))</f>
        <v>83.64</v>
      </c>
      <c r="D4" vm="443">
        <f ca="1"/>
        <v>78.209999999999994</v>
      </c>
      <c r="E4" vm="444">
        <f ca="1"/>
        <v>96.84</v>
      </c>
      <c r="F4" vm="445">
        <f ca="1"/>
        <v>88.7</v>
      </c>
      <c r="G4" vm="446">
        <f ca="1"/>
        <v>93.4</v>
      </c>
      <c r="H4" vm="447">
        <f ca="1"/>
        <v>94.5</v>
      </c>
      <c r="I4" vm="448">
        <f ca="1"/>
        <v>95.29</v>
      </c>
      <c r="J4" vm="449">
        <f ca="1"/>
        <v>88.29</v>
      </c>
      <c r="K4" vm="450">
        <f ca="1"/>
        <v>87.5</v>
      </c>
      <c r="L4" vm="451">
        <f ca="1"/>
        <v>85.56</v>
      </c>
      <c r="M4" vm="452">
        <f ca="1"/>
        <v>86.26</v>
      </c>
      <c r="N4" vm="453">
        <f ca="1"/>
        <v>90.39</v>
      </c>
      <c r="O4" vm="454">
        <f ca="1"/>
        <v>94.47</v>
      </c>
      <c r="P4" vm="455">
        <f ca="1"/>
        <v>96.644999999999996</v>
      </c>
      <c r="Q4" vm="456">
        <f ca="1"/>
        <v>96.39</v>
      </c>
      <c r="R4" vm="457">
        <f ca="1"/>
        <v>96.06</v>
      </c>
      <c r="S4" vm="458">
        <f ca="1"/>
        <v>97.35</v>
      </c>
      <c r="T4" vm="459">
        <f ca="1"/>
        <v>96.65</v>
      </c>
      <c r="U4" vm="460">
        <f ca="1"/>
        <v>98.8</v>
      </c>
      <c r="V4" vm="461">
        <f ca="1"/>
        <v>100.59</v>
      </c>
      <c r="W4" vm="462">
        <f ca="1"/>
        <v>98.62</v>
      </c>
      <c r="X4" vm="463">
        <f ca="1"/>
        <v>100.36</v>
      </c>
      <c r="Y4" vm="464">
        <f ca="1"/>
        <v>101.7</v>
      </c>
      <c r="Z4" vm="465">
        <f ca="1"/>
        <v>102.84</v>
      </c>
      <c r="AA4" vm="466">
        <f ca="1"/>
        <v>108.12</v>
      </c>
      <c r="AB4" vm="467">
        <f ca="1"/>
        <v>112.46</v>
      </c>
      <c r="AC4" vm="468">
        <f ca="1"/>
        <v>117.72</v>
      </c>
      <c r="AD4" vm="469">
        <f ca="1"/>
        <v>114.99</v>
      </c>
      <c r="AE4" vm="470">
        <f ca="1"/>
        <v>117.17</v>
      </c>
      <c r="AF4" vm="471">
        <f ca="1"/>
        <v>114.74</v>
      </c>
      <c r="AG4" vm="472">
        <f ca="1"/>
        <v>113.51</v>
      </c>
      <c r="AH4" vm="473">
        <f ca="1"/>
        <v>112.06</v>
      </c>
      <c r="AI4" vm="474">
        <f ca="1"/>
        <v>110.71</v>
      </c>
      <c r="AJ4" vm="475">
        <f ca="1"/>
        <v>110.31</v>
      </c>
      <c r="AK4" vm="476">
        <f ca="1"/>
        <v>114.56</v>
      </c>
      <c r="AL4" vm="477">
        <f ca="1"/>
        <v>112.86</v>
      </c>
      <c r="AM4" vm="478">
        <f ca="1"/>
        <v>113.03</v>
      </c>
      <c r="AN4" vm="479">
        <f ca="1"/>
        <v>110.73</v>
      </c>
      <c r="AO4" vm="480">
        <f ca="1"/>
        <v>114.63</v>
      </c>
      <c r="AP4" vm="481">
        <f ca="1"/>
        <v>117.31</v>
      </c>
      <c r="AQ4" vm="482">
        <f ca="1"/>
        <v>118.58</v>
      </c>
      <c r="AR4" vm="483">
        <f ca="1"/>
        <v>115.69</v>
      </c>
      <c r="AS4" vm="484">
        <f ca="1"/>
        <v>116.19</v>
      </c>
      <c r="AT4" vm="485">
        <f ca="1"/>
        <v>121.73</v>
      </c>
      <c r="AU4" vm="486">
        <f ca="1"/>
        <v>123.24</v>
      </c>
      <c r="AV4" vm="487">
        <f ca="1"/>
        <v>121.14</v>
      </c>
      <c r="AW4" vm="488">
        <f ca="1"/>
        <v>118.5</v>
      </c>
      <c r="AX4" vm="489">
        <f ca="1"/>
        <v>116.16</v>
      </c>
      <c r="AY4" vm="490">
        <f ca="1"/>
        <v>126.39</v>
      </c>
      <c r="AZ4" vm="491">
        <f ca="1"/>
        <v>127.1</v>
      </c>
      <c r="BA4" vm="492">
        <f ca="1"/>
        <v>126.79</v>
      </c>
      <c r="BB4" vm="493">
        <f ca="1"/>
        <v>128.24</v>
      </c>
      <c r="BC4" vm="494">
        <f ca="1"/>
        <v>129.58000000000001</v>
      </c>
      <c r="BD4" vm="495">
        <f ca="1"/>
        <v>138.43</v>
      </c>
      <c r="BE4" vm="496">
        <f ca="1"/>
        <v>143.4</v>
      </c>
      <c r="BF4" vm="497">
        <f ca="1"/>
        <v>143.68</v>
      </c>
      <c r="BG4" vm="498">
        <f ca="1"/>
        <v>143.81</v>
      </c>
      <c r="BH4" vm="499">
        <f ca="1"/>
        <v>141.9</v>
      </c>
      <c r="BI4" vm="500">
        <f ca="1"/>
        <v>136.11000000000001</v>
      </c>
      <c r="BJ4" vm="501">
        <f ca="1"/>
        <v>138.52000000000001</v>
      </c>
      <c r="BK4" vm="502">
        <f ca="1"/>
        <v>137.91</v>
      </c>
      <c r="BL4" vm="503">
        <f ca="1"/>
        <v>134.80000000000001</v>
      </c>
      <c r="BM4" vm="504">
        <f ca="1"/>
        <v>137.82</v>
      </c>
      <c r="BN4" vm="505">
        <f ca="1"/>
        <v>138.41</v>
      </c>
      <c r="BO4" vm="506">
        <f ca="1"/>
        <v>144.16</v>
      </c>
      <c r="BP4" vm="507">
        <f ca="1"/>
        <v>146.41999999999999</v>
      </c>
      <c r="BQ4" vm="508">
        <f ca="1"/>
        <v>146.24</v>
      </c>
      <c r="BR4" vm="509">
        <f ca="1"/>
        <v>155.61000000000001</v>
      </c>
      <c r="BS4" vm="510">
        <f ca="1"/>
        <v>160.08000000000001</v>
      </c>
      <c r="BT4" vm="511">
        <f ca="1"/>
        <v>160.41</v>
      </c>
      <c r="BU4" vm="512">
        <f ca="1"/>
        <v>156.99</v>
      </c>
      <c r="BV4" vm="82">
        <f ca="1"/>
        <v>157</v>
      </c>
      <c r="BW4" vm="513">
        <f ca="1"/>
        <v>154.72</v>
      </c>
      <c r="BX4" vm="514">
        <f ca="1"/>
        <v>158.65</v>
      </c>
      <c r="BY4" vm="515">
        <f ca="1"/>
        <v>162.12</v>
      </c>
      <c r="BZ4" vm="516">
        <f ca="1"/>
        <v>166.47</v>
      </c>
      <c r="CA4" vm="517">
        <f ca="1"/>
        <v>173.66</v>
      </c>
      <c r="CB4" vm="518">
        <f ca="1"/>
        <v>177.44</v>
      </c>
      <c r="CC4" vm="519">
        <f ca="1"/>
        <v>179.51</v>
      </c>
      <c r="CD4" vm="520">
        <f ca="1"/>
        <v>176.31</v>
      </c>
      <c r="CE4" vm="521">
        <f ca="1"/>
        <v>171.7</v>
      </c>
      <c r="CF4" vm="522">
        <f ca="1"/>
        <v>176.78</v>
      </c>
      <c r="CG4" vm="523">
        <f ca="1"/>
        <v>174.31</v>
      </c>
      <c r="CH4" vm="524">
        <f ca="1"/>
        <v>163.12</v>
      </c>
      <c r="CI4" vm="143">
        <f ca="1"/>
        <v>172.4</v>
      </c>
      <c r="CJ4" vm="525">
        <f ca="1"/>
        <v>172.76</v>
      </c>
      <c r="CK4" vm="526">
        <f ca="1"/>
        <v>172.28</v>
      </c>
      <c r="CL4" vm="527">
        <f ca="1"/>
        <v>174.95</v>
      </c>
      <c r="CM4" vm="528">
        <f ca="1"/>
        <v>184.42</v>
      </c>
      <c r="CN4" vm="529">
        <f ca="1"/>
        <v>180.95</v>
      </c>
      <c r="CO4" vm="530">
        <f ca="1"/>
        <v>177.51</v>
      </c>
      <c r="CP4" vm="531">
        <f ca="1"/>
        <v>176.14</v>
      </c>
      <c r="CQ4" vm="532">
        <f ca="1"/>
        <v>166.55</v>
      </c>
      <c r="CR4" vm="533">
        <f ca="1"/>
        <v>165.2</v>
      </c>
      <c r="CS4" vm="534">
        <f ca="1"/>
        <v>163.71</v>
      </c>
      <c r="CT4" vm="535">
        <f ca="1"/>
        <v>167.76</v>
      </c>
      <c r="CU4" vm="536">
        <f ca="1"/>
        <v>163.36000000000001</v>
      </c>
      <c r="CV4" vm="537">
        <f ca="1"/>
        <v>166.62</v>
      </c>
      <c r="CW4" vm="538">
        <f ca="1"/>
        <v>167.13</v>
      </c>
      <c r="CX4" vm="539">
        <f ca="1"/>
        <v>168.58</v>
      </c>
      <c r="CY4" vm="540">
        <f ca="1"/>
        <v>162.63</v>
      </c>
      <c r="CZ4" vm="541">
        <f ca="1"/>
        <v>162.32</v>
      </c>
      <c r="DA4" vm="542">
        <f ca="1"/>
        <v>162.13</v>
      </c>
      <c r="DB4" vm="543">
        <f ca="1"/>
        <v>161.79</v>
      </c>
      <c r="DC4" vm="544">
        <f ca="1"/>
        <v>151.13999999999999</v>
      </c>
      <c r="DD4" vm="545">
        <f ca="1"/>
        <v>151.41</v>
      </c>
      <c r="DE4" vm="546">
        <f ca="1"/>
        <v>155.82</v>
      </c>
      <c r="DF4" vm="547">
        <f ca="1"/>
        <v>159.54</v>
      </c>
      <c r="DG4" vm="548">
        <f ca="1"/>
        <v>155.66999999999999</v>
      </c>
      <c r="DH4" vm="549">
        <f ca="1"/>
        <v>158.57</v>
      </c>
      <c r="DI4" vm="550">
        <f ca="1"/>
        <v>161.16</v>
      </c>
      <c r="DJ4" vm="551">
        <f ca="1"/>
        <v>160.46</v>
      </c>
      <c r="DK4" vm="552">
        <f ca="1"/>
        <v>159.16</v>
      </c>
      <c r="DL4" vm="553">
        <f ca="1"/>
        <v>157.91999999999999</v>
      </c>
      <c r="DM4" vm="554">
        <f ca="1"/>
        <v>157.38999999999999</v>
      </c>
      <c r="DN4" vm="555">
        <f ca="1"/>
        <v>159.79</v>
      </c>
      <c r="DO4" vm="556">
        <f ca="1"/>
        <v>160.9</v>
      </c>
      <c r="DP4" vm="557">
        <f ca="1"/>
        <v>160.88</v>
      </c>
      <c r="DQ4" vm="558">
        <f ca="1"/>
        <v>161.27000000000001</v>
      </c>
      <c r="DR4" vm="559">
        <f ca="1"/>
        <v>159.46</v>
      </c>
      <c r="DS4" vm="560">
        <f ca="1"/>
        <v>161.36000000000001</v>
      </c>
      <c r="DT4" vm="543">
        <f ca="1"/>
        <v>161.79</v>
      </c>
      <c r="DU4" vm="561">
        <f ca="1"/>
        <v>164.01</v>
      </c>
      <c r="DV4" vm="562">
        <f ca="1"/>
        <v>169.73</v>
      </c>
      <c r="DW4" vm="563">
        <f ca="1"/>
        <v>164.67</v>
      </c>
      <c r="DX4" vm="564">
        <f ca="1"/>
        <v>203.71</v>
      </c>
      <c r="DY4" vm="565">
        <f ca="1"/>
        <v>211.51</v>
      </c>
      <c r="DZ4" vm="566">
        <f ca="1"/>
        <v>235.56</v>
      </c>
      <c r="EA4" vm="567">
        <f ca="1"/>
        <v>232.89</v>
      </c>
      <c r="EB4" vm="568">
        <f ca="1"/>
        <v>214.9</v>
      </c>
      <c r="EC4" vm="569">
        <f ca="1"/>
        <v>216.42</v>
      </c>
      <c r="ED4" vm="570">
        <f ca="1"/>
        <v>218.09</v>
      </c>
      <c r="EE4" vm="571">
        <f ca="1"/>
        <v>238.6</v>
      </c>
      <c r="EF4" vm="572">
        <f ca="1"/>
        <v>234.56</v>
      </c>
      <c r="EG4" vm="573">
        <f ca="1"/>
        <v>233.08</v>
      </c>
      <c r="EH4" vm="574">
        <f ca="1"/>
        <v>240.56</v>
      </c>
      <c r="EI4" vm="575">
        <f ca="1"/>
        <v>238.03</v>
      </c>
      <c r="EJ4" vm="576">
        <f ca="1"/>
        <v>230.23</v>
      </c>
      <c r="EK4" vm="577">
        <f ca="1"/>
        <v>234.99</v>
      </c>
      <c r="EL4" vm="578">
        <f ca="1"/>
        <v>252.92</v>
      </c>
      <c r="EM4" vm="579">
        <f ca="1"/>
        <v>259.67</v>
      </c>
      <c r="EN4" vm="580">
        <f ca="1"/>
        <v>258.01</v>
      </c>
      <c r="EO4" vm="581">
        <f ca="1"/>
        <v>264.33</v>
      </c>
      <c r="EP4" vm="582">
        <f ca="1"/>
        <v>254.84</v>
      </c>
      <c r="EQ4" vm="583">
        <f ca="1"/>
        <v>256.12</v>
      </c>
      <c r="ER4" vm="584">
        <f ca="1"/>
        <v>259.64999999999998</v>
      </c>
      <c r="ES4" vm="585">
        <f ca="1"/>
        <v>250.05</v>
      </c>
      <c r="ET4" vm="586">
        <f ca="1"/>
        <v>256.33</v>
      </c>
      <c r="EU4" vm="587">
        <f ca="1"/>
        <v>237.7</v>
      </c>
      <c r="EV4" vm="588">
        <f ca="1"/>
        <v>233.54</v>
      </c>
      <c r="EW4" vm="589">
        <f ca="1"/>
        <v>243.98</v>
      </c>
      <c r="EX4" vm="590">
        <f ca="1"/>
        <v>237.52</v>
      </c>
      <c r="EY4" vm="591">
        <f ca="1"/>
        <v>258.89</v>
      </c>
      <c r="EZ4" vm="592">
        <f ca="1"/>
        <v>247.96</v>
      </c>
      <c r="FA4" vm="593">
        <f ca="1"/>
        <v>246.81</v>
      </c>
      <c r="FB4" vm="594">
        <f ca="1"/>
        <v>240.52</v>
      </c>
      <c r="FC4" vm="595">
        <f ca="1"/>
        <v>230.29</v>
      </c>
      <c r="FD4" vm="596">
        <f ca="1"/>
        <v>223.55</v>
      </c>
      <c r="FE4" vm="597">
        <f ca="1"/>
        <v>206.02</v>
      </c>
      <c r="FF4" vm="598">
        <f ca="1"/>
        <v>203.78</v>
      </c>
      <c r="FG4" vm="599">
        <f ca="1"/>
        <v>215.05</v>
      </c>
      <c r="FH4" vm="600">
        <f ca="1"/>
        <v>206.13</v>
      </c>
      <c r="FI4" vm="601">
        <f ca="1"/>
        <v>214.24</v>
      </c>
      <c r="FJ4" vm="602">
        <f ca="1"/>
        <v>217.53</v>
      </c>
      <c r="FK4" vm="603">
        <f ca="1"/>
        <v>219.76</v>
      </c>
      <c r="FL4" vm="604">
        <f ca="1"/>
        <v>215.24</v>
      </c>
      <c r="FM4" vm="605">
        <f ca="1"/>
        <v>217.6</v>
      </c>
      <c r="FN4" vm="606">
        <f ca="1"/>
        <v>215.98</v>
      </c>
      <c r="FO4" vm="607">
        <f ca="1"/>
        <v>217.97</v>
      </c>
      <c r="FP4" vm="608">
        <f ca="1"/>
        <v>221.11</v>
      </c>
      <c r="FQ4" vm="609">
        <f ca="1"/>
        <v>221.62</v>
      </c>
      <c r="FR4" vm="610">
        <f ca="1"/>
        <v>221.42</v>
      </c>
      <c r="FS4" vm="611">
        <f ca="1"/>
        <v>221.43</v>
      </c>
      <c r="FT4" vm="612">
        <f ca="1"/>
        <v>210.78</v>
      </c>
      <c r="FU4" vm="613">
        <f ca="1"/>
        <v>207.58</v>
      </c>
      <c r="FV4" vm="614">
        <f ca="1"/>
        <v>209.17</v>
      </c>
      <c r="FW4" vm="615">
        <f ca="1"/>
        <v>198.11</v>
      </c>
      <c r="FX4" vm="616">
        <f ca="1"/>
        <v>201.06</v>
      </c>
      <c r="FY4" vm="617">
        <f ca="1"/>
        <v>213.43</v>
      </c>
      <c r="FZ4" vm="618">
        <f ca="1"/>
        <v>214.95</v>
      </c>
      <c r="GA4" vm="568">
        <f ca="1"/>
        <v>214.9</v>
      </c>
      <c r="GB4" vm="619">
        <f ca="1"/>
        <v>215.04</v>
      </c>
      <c r="GC4" vm="620">
        <f ca="1"/>
        <v>214.99</v>
      </c>
      <c r="GD4" vm="621">
        <f ca="1"/>
        <v>215.61</v>
      </c>
      <c r="GE4" vm="622">
        <f ca="1"/>
        <v>215.34</v>
      </c>
      <c r="GF4" vm="623">
        <f ca="1"/>
        <v>214.16</v>
      </c>
      <c r="GG4" vm="624">
        <f ca="1"/>
        <v>223.47</v>
      </c>
      <c r="GH4" vm="625">
        <f ca="1"/>
        <v>221.08</v>
      </c>
      <c r="GI4" vm="626">
        <f ca="1"/>
        <v>214.35</v>
      </c>
      <c r="GJ4" vm="267">
        <f ca="1"/>
        <v>210.02</v>
      </c>
      <c r="GK4" vm="627">
        <f ca="1"/>
        <v>204.68</v>
      </c>
      <c r="GL4" vm="628">
        <f ca="1"/>
        <v>203.17</v>
      </c>
      <c r="GM4" vm="629">
        <f ca="1"/>
        <v>207.69</v>
      </c>
      <c r="GN4" vm="630">
        <f ca="1"/>
        <v>220.97</v>
      </c>
      <c r="GO4" vm="631">
        <f ca="1"/>
        <v>223.6</v>
      </c>
      <c r="GP4" vm="632">
        <f ca="1"/>
        <v>227.92</v>
      </c>
      <c r="GQ4" vm="633">
        <f ca="1"/>
        <v>231.83</v>
      </c>
      <c r="GR4" vm="634">
        <f ca="1"/>
        <v>231.92</v>
      </c>
      <c r="GS4" vm="635">
        <f ca="1"/>
        <v>249.8</v>
      </c>
      <c r="GT4" vm="636">
        <f ca="1"/>
        <v>253.73</v>
      </c>
      <c r="GU4" vm="637">
        <f ca="1"/>
        <v>259.68</v>
      </c>
      <c r="GV4" vm="638">
        <f ca="1"/>
        <v>251.31</v>
      </c>
      <c r="GW4" vm="639">
        <f ca="1"/>
        <v>252.03</v>
      </c>
      <c r="GX4" vm="640">
        <f ca="1"/>
        <v>252.74</v>
      </c>
      <c r="GY4" vm="641">
        <f ca="1"/>
        <v>252.18</v>
      </c>
      <c r="GZ4" vm="642">
        <f ca="1"/>
        <v>236.73</v>
      </c>
      <c r="HA4" vm="643">
        <f ca="1"/>
        <v>246.27</v>
      </c>
      <c r="HB4" vm="644">
        <f ca="1"/>
        <v>242.11</v>
      </c>
      <c r="HC4" vm="645">
        <f ca="1"/>
        <v>200.19</v>
      </c>
      <c r="HD4" vm="197">
        <f ca="1"/>
        <v>192.5</v>
      </c>
      <c r="HE4" vm="646">
        <f ca="1"/>
        <v>208.44</v>
      </c>
      <c r="HF4" vm="647">
        <f ca="1"/>
        <v>216</v>
      </c>
      <c r="HG4" vm="648">
        <f ca="1"/>
        <v>213.57</v>
      </c>
      <c r="HH4" vm="649">
        <f ca="1"/>
        <v>213.58</v>
      </c>
      <c r="HI4" vm="650">
        <f ca="1"/>
        <v>205.94</v>
      </c>
      <c r="HJ4" vm="651">
        <f ca="1"/>
        <v>207.32</v>
      </c>
      <c r="HK4" vm="652">
        <f ca="1"/>
        <v>203.08</v>
      </c>
      <c r="HL4" vm="653">
        <f ca="1"/>
        <v>200.12</v>
      </c>
      <c r="HM4" vm="654">
        <f ca="1"/>
        <v>203.37</v>
      </c>
      <c r="HN4" vm="655">
        <f ca="1"/>
        <v>200.15</v>
      </c>
      <c r="HO4" vm="656">
        <f ca="1"/>
        <v>196.6</v>
      </c>
      <c r="HP4" vm="657">
        <f ca="1"/>
        <v>213.84</v>
      </c>
      <c r="HQ4" vm="658">
        <f ca="1"/>
        <v>210.86</v>
      </c>
      <c r="HR4" vm="659">
        <f ca="1"/>
        <v>203.68</v>
      </c>
      <c r="HS4" vm="236">
        <f ca="1"/>
        <v>200.21</v>
      </c>
      <c r="HT4" vm="660">
        <f ca="1"/>
        <v>198.62</v>
      </c>
      <c r="HU4" vm="661">
        <f ca="1"/>
        <v>190.95</v>
      </c>
      <c r="HV4" vm="662">
        <f ca="1"/>
        <v>202.07</v>
      </c>
      <c r="HW4" vm="663">
        <f ca="1"/>
        <v>199.45</v>
      </c>
      <c r="HX4" vm="664">
        <f ca="1"/>
        <v>192.43</v>
      </c>
      <c r="HY4" vm="665">
        <f ca="1"/>
        <v>202.68</v>
      </c>
      <c r="HZ4" vm="666">
        <f ca="1"/>
        <v>203.23</v>
      </c>
      <c r="IA4" vm="667">
        <f ca="1"/>
        <v>204.83</v>
      </c>
      <c r="IB4" vm="668">
        <f ca="1"/>
        <v>197.74</v>
      </c>
      <c r="IC4" vm="669">
        <f ca="1"/>
        <v>193.39</v>
      </c>
      <c r="ID4" vm="250">
        <f ca="1"/>
        <v>196.58</v>
      </c>
      <c r="IE4" vm="670">
        <f ca="1"/>
        <v>196.31</v>
      </c>
      <c r="IF4" vm="671">
        <f ca="1"/>
        <v>199.46</v>
      </c>
      <c r="IG4" vm="672">
        <f ca="1"/>
        <v>205.27</v>
      </c>
      <c r="IH4" vm="673">
        <f ca="1"/>
        <v>201.33</v>
      </c>
      <c r="II4" vm="665">
        <f ca="1"/>
        <v>202.68</v>
      </c>
      <c r="IJ4" vm="674">
        <f ca="1"/>
        <v>205.37</v>
      </c>
      <c r="IK4" vm="675">
        <f ca="1"/>
        <v>220.27</v>
      </c>
      <c r="IL4" vm="676">
        <f ca="1"/>
        <v>203.77</v>
      </c>
      <c r="IM4" vm="677">
        <f ca="1"/>
        <v>201.99</v>
      </c>
      <c r="IN4" vm="678">
        <f ca="1"/>
        <v>196.04</v>
      </c>
      <c r="IO4" vm="679">
        <f ca="1"/>
        <v>203.43</v>
      </c>
      <c r="IP4" vm="680">
        <f ca="1"/>
        <v>210.21</v>
      </c>
      <c r="IQ4" vm="681">
        <f ca="1"/>
        <v>217.5</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3608">
        <f ca="1"/>
        <v>38877220</v>
      </c>
      <c r="C7" vm="3609">
        <f ca="1"/>
        <v>189.36</v>
      </c>
      <c r="D7" vm="3610">
        <f ca="1"/>
        <v>202.97</v>
      </c>
      <c r="E7" vm="3611">
        <f ca="1"/>
        <v>189.02</v>
      </c>
      <c r="F7" vm="665">
        <f ca="1"/>
        <v>202.68</v>
      </c>
    </row>
    <row r="8" spans="1:251" x14ac:dyDescent="0.35">
      <c r="A8" vm="3612">
        <f ca="1"/>
        <v>46091</v>
      </c>
      <c r="B8" vm="3613">
        <f ca="1"/>
        <v>29139162</v>
      </c>
      <c r="C8" vm="3614">
        <f ca="1"/>
        <v>202.51</v>
      </c>
      <c r="D8" vm="3615">
        <f ca="1"/>
        <v>206.59</v>
      </c>
      <c r="E8" vm="3616">
        <f ca="1"/>
        <v>202.2</v>
      </c>
      <c r="F8" vm="666">
        <f ca="1"/>
        <v>203.23</v>
      </c>
    </row>
    <row r="9" spans="1:251" x14ac:dyDescent="0.35">
      <c r="A9" vm="3617">
        <f ca="1"/>
        <v>46092</v>
      </c>
      <c r="B9" vm="3618">
        <f ca="1"/>
        <v>23076366</v>
      </c>
      <c r="C9" vm="3619">
        <f ca="1"/>
        <v>205.11</v>
      </c>
      <c r="D9" vm="3620">
        <f ca="1"/>
        <v>209.21</v>
      </c>
      <c r="E9" vm="3621">
        <f ca="1"/>
        <v>203.63</v>
      </c>
      <c r="F9" vm="667">
        <f ca="1"/>
        <v>204.83</v>
      </c>
    </row>
    <row r="10" spans="1:251" x14ac:dyDescent="0.35">
      <c r="A10" vm="3622">
        <f ca="1"/>
        <v>46093</v>
      </c>
      <c r="B10" vm="3623">
        <f ca="1"/>
        <v>28886913</v>
      </c>
      <c r="C10" vm="3624">
        <f ca="1"/>
        <v>202.82499999999999</v>
      </c>
      <c r="D10" vm="3625">
        <f ca="1"/>
        <v>203.62</v>
      </c>
      <c r="E10" vm="3626">
        <f ca="1"/>
        <v>196.67</v>
      </c>
      <c r="F10" vm="668">
        <f ca="1"/>
        <v>197.74</v>
      </c>
    </row>
    <row r="11" spans="1:251" x14ac:dyDescent="0.35">
      <c r="A11" vm="3627">
        <f ca="1"/>
        <v>46094</v>
      </c>
      <c r="B11" vm="3628">
        <f ca="1"/>
        <v>27561888</v>
      </c>
      <c r="C11" vm="615">
        <f ca="1"/>
        <v>198.11</v>
      </c>
      <c r="D11" vm="3629">
        <f ca="1"/>
        <v>199.68</v>
      </c>
      <c r="E11" vm="3630">
        <f ca="1"/>
        <v>192.27</v>
      </c>
      <c r="F11" vm="669">
        <f ca="1"/>
        <v>193.39</v>
      </c>
    </row>
    <row r="12" spans="1:251" x14ac:dyDescent="0.35">
      <c r="A12" vm="3631">
        <f ca="1"/>
        <v>46097</v>
      </c>
      <c r="B12" vm="3632">
        <f ca="1"/>
        <v>30285170</v>
      </c>
      <c r="C12" vm="3633">
        <f ca="1"/>
        <v>194.97499999999999</v>
      </c>
      <c r="D12" vm="3634">
        <f ca="1"/>
        <v>200.17</v>
      </c>
      <c r="E12" vm="3635">
        <f ca="1"/>
        <v>194.8</v>
      </c>
      <c r="F12" vm="250">
        <f ca="1"/>
        <v>196.58</v>
      </c>
    </row>
    <row r="13" spans="1:251" x14ac:dyDescent="0.35">
      <c r="A13" vm="3636">
        <f ca="1"/>
        <v>46098</v>
      </c>
      <c r="B13" vm="3637">
        <f ca="1"/>
        <v>22779675</v>
      </c>
      <c r="C13" vm="3638">
        <f ca="1"/>
        <v>196.68</v>
      </c>
      <c r="D13" vm="3639">
        <f ca="1"/>
        <v>199.21</v>
      </c>
      <c r="E13" vm="3640">
        <f ca="1"/>
        <v>195.26</v>
      </c>
      <c r="F13" vm="670">
        <f ca="1"/>
        <v>196.31</v>
      </c>
    </row>
    <row r="14" spans="1:251" x14ac:dyDescent="0.35">
      <c r="A14" vm="3641">
        <f ca="1"/>
        <v>46099</v>
      </c>
      <c r="B14" vm="3642">
        <f ca="1"/>
        <v>28569135</v>
      </c>
      <c r="C14" vm="3643">
        <f ca="1"/>
        <v>196</v>
      </c>
      <c r="D14" vm="3644">
        <f ca="1"/>
        <v>202.86</v>
      </c>
      <c r="E14" vm="2127">
        <f ca="1"/>
        <v>195.75</v>
      </c>
      <c r="F14" vm="671">
        <f ca="1"/>
        <v>199.46</v>
      </c>
    </row>
    <row r="15" spans="1:251" x14ac:dyDescent="0.35">
      <c r="A15" vm="3645">
        <f ca="1"/>
        <v>46100</v>
      </c>
      <c r="B15" vm="3646">
        <f ca="1"/>
        <v>32245329</v>
      </c>
      <c r="C15" vm="3647">
        <f ca="1"/>
        <v>195.03200000000001</v>
      </c>
      <c r="D15" vm="3648">
        <f ca="1"/>
        <v>205.88</v>
      </c>
      <c r="E15" vm="3649">
        <f ca="1"/>
        <v>192.83</v>
      </c>
      <c r="F15" vm="672">
        <f ca="1"/>
        <v>205.27</v>
      </c>
    </row>
    <row r="16" spans="1:251" x14ac:dyDescent="0.35">
      <c r="A16" vm="3650">
        <f ca="1"/>
        <v>46101</v>
      </c>
      <c r="B16" vm="3651">
        <f ca="1"/>
        <v>37265103</v>
      </c>
      <c r="C16" vm="3652">
        <f ca="1"/>
        <v>204.88499999999999</v>
      </c>
      <c r="D16" vm="3653">
        <f ca="1"/>
        <v>206.3</v>
      </c>
      <c r="E16" vm="3654">
        <f ca="1"/>
        <v>198.26</v>
      </c>
      <c r="F16" vm="673">
        <f ca="1"/>
        <v>201.33</v>
      </c>
    </row>
    <row r="17" spans="1:6" x14ac:dyDescent="0.35">
      <c r="A17" vm="3655">
        <f ca="1"/>
        <v>46104</v>
      </c>
      <c r="B17" vm="3656">
        <f ca="1"/>
        <v>31857752</v>
      </c>
      <c r="C17" vm="3657">
        <f ca="1"/>
        <v>206.39500000000001</v>
      </c>
      <c r="D17" vm="3658">
        <f ca="1"/>
        <v>209.10900000000001</v>
      </c>
      <c r="E17" vm="3659">
        <f ca="1"/>
        <v>201.71</v>
      </c>
      <c r="F17" vm="665">
        <f ca="1"/>
        <v>202.68</v>
      </c>
    </row>
    <row r="18" spans="1:6" x14ac:dyDescent="0.35">
      <c r="A18" vm="3660">
        <f ca="1"/>
        <v>46105</v>
      </c>
      <c r="B18" vm="3661">
        <f ca="1"/>
        <v>27258849</v>
      </c>
      <c r="C18" vm="3662">
        <f ca="1"/>
        <v>201.39</v>
      </c>
      <c r="D18" vm="3663">
        <f ca="1"/>
        <v>206.43</v>
      </c>
      <c r="E18" vm="3664">
        <f ca="1"/>
        <v>200.13</v>
      </c>
      <c r="F18" vm="674">
        <f ca="1"/>
        <v>205.37</v>
      </c>
    </row>
    <row r="19" spans="1:6" x14ac:dyDescent="0.35">
      <c r="A19" vm="3665">
        <f ca="1"/>
        <v>46106</v>
      </c>
      <c r="B19" vm="3666">
        <f ca="1"/>
        <v>48518269</v>
      </c>
      <c r="C19" vm="3667">
        <f ca="1"/>
        <v>211.505</v>
      </c>
      <c r="D19" vm="3668">
        <f ca="1"/>
        <v>221.33</v>
      </c>
      <c r="E19" vm="3667">
        <f ca="1"/>
        <v>211.505</v>
      </c>
      <c r="F19" vm="675">
        <f ca="1"/>
        <v>220.27</v>
      </c>
    </row>
    <row r="20" spans="1:6" x14ac:dyDescent="0.35">
      <c r="A20" vm="3669">
        <f ca="1"/>
        <v>46107</v>
      </c>
      <c r="B20" vm="3670">
        <f ca="1"/>
        <v>49212976</v>
      </c>
      <c r="C20" vm="3671">
        <f ca="1"/>
        <v>217.97900000000001</v>
      </c>
      <c r="D20" vm="3672">
        <f ca="1"/>
        <v>221</v>
      </c>
      <c r="E20" vm="679">
        <f ca="1"/>
        <v>203.43</v>
      </c>
      <c r="F20" vm="676">
        <f ca="1"/>
        <v>203.77</v>
      </c>
    </row>
    <row r="21" spans="1:6" x14ac:dyDescent="0.35">
      <c r="A21" vm="3673">
        <f ca="1"/>
        <v>46108</v>
      </c>
      <c r="B21" vm="3674">
        <f ca="1"/>
        <v>29206578</v>
      </c>
      <c r="C21" vm="3675">
        <f ca="1"/>
        <v>201.77</v>
      </c>
      <c r="D21" vm="3676">
        <f ca="1"/>
        <v>203.26990000000001</v>
      </c>
      <c r="E21" vm="3677">
        <f ca="1"/>
        <v>197.69</v>
      </c>
      <c r="F21" vm="677">
        <f ca="1"/>
        <v>201.99</v>
      </c>
    </row>
    <row r="22" spans="1:6" x14ac:dyDescent="0.35">
      <c r="A22" vm="3678">
        <f ca="1"/>
        <v>46111</v>
      </c>
      <c r="B22" vm="3679">
        <f ca="1"/>
        <v>41053298</v>
      </c>
      <c r="C22" vm="3680">
        <f ca="1"/>
        <v>204.95</v>
      </c>
      <c r="D22" vm="3681">
        <f ca="1"/>
        <v>208.43</v>
      </c>
      <c r="E22" vm="3682">
        <f ca="1"/>
        <v>192.86500000000001</v>
      </c>
      <c r="F22" vm="678">
        <f ca="1"/>
        <v>196.04</v>
      </c>
    </row>
    <row r="23" spans="1:6" x14ac:dyDescent="0.35">
      <c r="A23" vm="3683">
        <f ca="1"/>
        <v>46112</v>
      </c>
      <c r="B23" vm="3684">
        <f ca="1"/>
        <v>42318748</v>
      </c>
      <c r="C23" vm="3685">
        <f ca="1"/>
        <v>198.05</v>
      </c>
      <c r="D23" vm="3686">
        <f ca="1"/>
        <v>204</v>
      </c>
      <c r="E23" vm="3687">
        <f ca="1"/>
        <v>196.41</v>
      </c>
      <c r="F23" vm="679">
        <f ca="1"/>
        <v>203.43</v>
      </c>
    </row>
    <row r="24" spans="1:6" x14ac:dyDescent="0.35">
      <c r="A24" vm="3688">
        <f ca="1"/>
        <v>46113</v>
      </c>
      <c r="B24" vm="3689">
        <f ca="1"/>
        <v>40835794</v>
      </c>
      <c r="C24" vm="3690">
        <f ca="1"/>
        <v>207.58500000000001</v>
      </c>
      <c r="D24" vm="3691">
        <f ca="1"/>
        <v>213.83</v>
      </c>
      <c r="E24" vm="3692">
        <f ca="1"/>
        <v>205.84</v>
      </c>
      <c r="F24" vm="680">
        <f ca="1"/>
        <v>210.21</v>
      </c>
    </row>
    <row r="25" spans="1:6" x14ac:dyDescent="0.35">
      <c r="A25" vm="3693">
        <f ca="1"/>
        <v>46114</v>
      </c>
      <c r="B25" vm="3694">
        <f ca="1"/>
        <v>38463484</v>
      </c>
      <c r="C25" vm="3695">
        <f ca="1"/>
        <v>204.05</v>
      </c>
      <c r="D25" vm="3696">
        <f ca="1"/>
        <v>217.78</v>
      </c>
      <c r="E25" vm="2137">
        <f ca="1"/>
        <v>200.62</v>
      </c>
      <c r="F25" vm="681">
        <f ca="1"/>
        <v>217.5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ECA4E-DCBB-4280-AAF8-932B1D246000}">
  <dimension ref="A1:IQ25"/>
  <sheetViews>
    <sheetView topLeftCell="C1" workbookViewId="0">
      <selection activeCell="R32" sqref="R32"/>
    </sheetView>
  </sheetViews>
  <sheetFormatPr defaultRowHeight="14.5" x14ac:dyDescent="0.35"/>
  <cols>
    <col min="1" max="1" width="22.1796875" bestFit="1" customWidth="1"/>
    <col min="2" max="2" width="42.7265625" bestFit="1" customWidth="1"/>
  </cols>
  <sheetData>
    <row r="1" spans="1:251" x14ac:dyDescent="0.35">
      <c r="A1" s="2" t="s">
        <v>7</v>
      </c>
      <c r="B1" t="e" vm="3">
        <v>#VALUE!</v>
      </c>
    </row>
    <row r="3" spans="1:251" x14ac:dyDescent="0.35">
      <c r="A3" s="2" t="s">
        <v>34</v>
      </c>
      <c r="B3" s="2" t="s">
        <v>24</v>
      </c>
    </row>
    <row r="4" spans="1:251" x14ac:dyDescent="0.35">
      <c r="A4" t="s">
        <v>36</v>
      </c>
      <c r="B4" t="s">
        <v>16</v>
      </c>
      <c r="C4" cm="1" vm="3697">
        <f t="array" aca="1" ref="C4:IQ4" ca="1">TRANSPOSE(_xlfn.STOCKHISTORY(A4&amp;":"&amp;B4,TODAY()-365,TODAY(),0,0,1))</f>
        <v>105.1438</v>
      </c>
      <c r="D4" vm="3698">
        <f ca="1"/>
        <v>98.585999999999999</v>
      </c>
      <c r="E4" vm="3699">
        <f ca="1"/>
        <v>103.9533</v>
      </c>
      <c r="F4" vm="3700">
        <f ca="1"/>
        <v>103.358</v>
      </c>
      <c r="G4" vm="3701">
        <f ca="1"/>
        <v>106.88</v>
      </c>
      <c r="H4" vm="3702">
        <f ca="1"/>
        <v>113.07080000000001</v>
      </c>
      <c r="I4" vm="3703">
        <f ca="1"/>
        <v>111.39409999999999</v>
      </c>
      <c r="J4" vm="3704">
        <f ca="1"/>
        <v>105.90770000000001</v>
      </c>
      <c r="K4" vm="3705">
        <f ca="1"/>
        <v>108.011</v>
      </c>
      <c r="L4" vm="3706">
        <f ca="1"/>
        <v>109.2809</v>
      </c>
      <c r="M4" vm="3707">
        <f ca="1"/>
        <v>114.9657</v>
      </c>
      <c r="N4" vm="3708">
        <f ca="1"/>
        <v>118.0313</v>
      </c>
      <c r="O4" vm="3709">
        <f ca="1"/>
        <v>118.3488</v>
      </c>
      <c r="P4" vm="3710">
        <f ca="1"/>
        <v>119.331</v>
      </c>
      <c r="Q4" vm="3711">
        <f ca="1"/>
        <v>117.4361</v>
      </c>
      <c r="R4" vm="3712">
        <f ca="1"/>
        <v>117.94199999999999</v>
      </c>
      <c r="S4" vm="3713">
        <f ca="1"/>
        <v>118.4877</v>
      </c>
      <c r="T4" vm="3714">
        <f ca="1"/>
        <v>119.57899999999999</v>
      </c>
      <c r="U4" vm="3715">
        <f ca="1"/>
        <v>124.76779999999999</v>
      </c>
      <c r="V4" vm="3716">
        <f ca="1"/>
        <v>125.5714</v>
      </c>
      <c r="W4" vm="3717">
        <f ca="1"/>
        <v>126.6528</v>
      </c>
      <c r="X4" vm="3718">
        <f ca="1"/>
        <v>122.2577</v>
      </c>
      <c r="Y4" vm="3719">
        <f ca="1"/>
        <v>124.7975</v>
      </c>
      <c r="Z4" vm="3720">
        <f ca="1"/>
        <v>124.3411</v>
      </c>
      <c r="AA4" vm="3721">
        <f ca="1"/>
        <v>131.5042</v>
      </c>
      <c r="AB4" vm="3722">
        <f ca="1"/>
        <v>130.6113</v>
      </c>
      <c r="AC4" vm="3723">
        <f ca="1"/>
        <v>132.9923</v>
      </c>
      <c r="AD4" vm="3724">
        <f ca="1"/>
        <v>122.9224</v>
      </c>
      <c r="AE4" vm="3725">
        <f ca="1"/>
        <v>122.4859</v>
      </c>
      <c r="AF4" vm="3726">
        <f ca="1"/>
        <v>121.9898</v>
      </c>
      <c r="AG4" vm="3727">
        <f ca="1"/>
        <v>124.1725</v>
      </c>
      <c r="AH4" vm="3728">
        <f ca="1"/>
        <v>122.61490000000001</v>
      </c>
      <c r="AI4" vm="3729">
        <f ca="1"/>
        <v>120.5215</v>
      </c>
      <c r="AJ4" vm="3730">
        <f ca="1"/>
        <v>119.7774</v>
      </c>
      <c r="AK4" vm="3731">
        <f ca="1"/>
        <v>118.577</v>
      </c>
      <c r="AL4" vm="3732">
        <f ca="1"/>
        <v>115.8189</v>
      </c>
      <c r="AM4" vm="3733">
        <f ca="1"/>
        <v>116.25539999999999</v>
      </c>
      <c r="AN4" vm="3734">
        <f ca="1"/>
        <v>112.9418</v>
      </c>
      <c r="AO4" vm="3735">
        <f ca="1"/>
        <v>113.8446</v>
      </c>
      <c r="AP4" vm="3736">
        <f ca="1"/>
        <v>114.0629</v>
      </c>
      <c r="AQ4" vm="3737">
        <f ca="1"/>
        <v>118.50749999999999</v>
      </c>
      <c r="AR4" vm="3738">
        <f ca="1"/>
        <v>119.01349999999999</v>
      </c>
      <c r="AS4" vm="3739">
        <f ca="1"/>
        <v>118.43810000000001</v>
      </c>
      <c r="AT4" vm="3729">
        <f ca="1"/>
        <v>120.5215</v>
      </c>
      <c r="AU4" vm="3740">
        <f ca="1"/>
        <v>120.91840000000001</v>
      </c>
      <c r="AV4" vm="3741">
        <f ca="1"/>
        <v>119.3806</v>
      </c>
      <c r="AW4" vm="3742">
        <f ca="1"/>
        <v>116.62</v>
      </c>
      <c r="AX4" vm="3743">
        <f ca="1"/>
        <v>112.87</v>
      </c>
      <c r="AY4" vm="3744">
        <f ca="1"/>
        <v>115.96</v>
      </c>
      <c r="AZ4" vm="3745">
        <f ca="1"/>
        <v>115.03</v>
      </c>
      <c r="BA4" vm="3746">
        <f ca="1"/>
        <v>113.49</v>
      </c>
      <c r="BB4" vm="3747">
        <f ca="1"/>
        <v>113.01</v>
      </c>
      <c r="BC4" vm="3748">
        <f ca="1"/>
        <v>113.09</v>
      </c>
      <c r="BD4" vm="3749">
        <f ca="1"/>
        <v>117.01</v>
      </c>
      <c r="BE4" vm="3750">
        <f ca="1"/>
        <v>114.55</v>
      </c>
      <c r="BF4" vm="3751">
        <f ca="1"/>
        <v>113.93</v>
      </c>
      <c r="BG4" vm="3752">
        <f ca="1"/>
        <v>114.08</v>
      </c>
      <c r="BH4" vm="1627">
        <f ca="1"/>
        <v>113.41</v>
      </c>
      <c r="BI4" vm="3753">
        <f ca="1"/>
        <v>113.97</v>
      </c>
      <c r="BJ4" vm="474">
        <f ca="1"/>
        <v>110.71</v>
      </c>
      <c r="BK4" vm="3754">
        <f ca="1"/>
        <v>108.7</v>
      </c>
      <c r="BL4" vm="3755">
        <f ca="1"/>
        <v>106.27</v>
      </c>
      <c r="BM4" vm="3756">
        <f ca="1"/>
        <v>107.99</v>
      </c>
      <c r="BN4" vm="3757">
        <f ca="1"/>
        <v>103.83</v>
      </c>
      <c r="BO4" vm="3758">
        <f ca="1"/>
        <v>106.64</v>
      </c>
      <c r="BP4" vm="1550">
        <f ca="1"/>
        <v>106.72</v>
      </c>
      <c r="BQ4" vm="3759">
        <f ca="1"/>
        <v>108.22</v>
      </c>
      <c r="BR4" vm="3760">
        <f ca="1"/>
        <v>116.97</v>
      </c>
      <c r="BS4" vm="3761">
        <f ca="1"/>
        <v>115.73</v>
      </c>
      <c r="BT4" vm="3762">
        <f ca="1"/>
        <v>117.3</v>
      </c>
      <c r="BU4" vm="3763">
        <f ca="1"/>
        <v>120.23</v>
      </c>
      <c r="BV4" vm="3764">
        <f ca="1"/>
        <v>120.27</v>
      </c>
      <c r="BW4" vm="3765">
        <f ca="1"/>
        <v>120.71</v>
      </c>
      <c r="BX4" vm="3766">
        <f ca="1"/>
        <v>122.58</v>
      </c>
      <c r="BY4" vm="3767">
        <f ca="1"/>
        <v>121.15</v>
      </c>
      <c r="BZ4" vm="3768">
        <f ca="1"/>
        <v>120.03</v>
      </c>
      <c r="CA4" vm="1595">
        <f ca="1"/>
        <v>122.15</v>
      </c>
      <c r="CB4" vm="3544">
        <f ca="1"/>
        <v>119.36</v>
      </c>
      <c r="CC4" vm="3769">
        <f ca="1"/>
        <v>117.38</v>
      </c>
      <c r="CD4" vm="3770">
        <f ca="1"/>
        <v>120.63</v>
      </c>
      <c r="CE4" vm="3771">
        <f ca="1"/>
        <v>117.07</v>
      </c>
      <c r="CF4" vm="3772">
        <f ca="1"/>
        <v>117.5</v>
      </c>
      <c r="CG4" vm="3773">
        <f ca="1"/>
        <v>117.04</v>
      </c>
      <c r="CH4" vm="3774">
        <f ca="1"/>
        <v>120.86</v>
      </c>
      <c r="CI4" vm="3775">
        <f ca="1"/>
        <v>120.96</v>
      </c>
      <c r="CJ4" vm="3539">
        <f ca="1"/>
        <v>120.36</v>
      </c>
      <c r="CK4" vm="3776">
        <f ca="1"/>
        <v>118.64</v>
      </c>
      <c r="CL4" vm="3777">
        <f ca="1"/>
        <v>122.42</v>
      </c>
      <c r="CM4" vm="3778">
        <f ca="1"/>
        <v>126.86</v>
      </c>
      <c r="CN4" vm="3779">
        <f ca="1"/>
        <v>122.28</v>
      </c>
      <c r="CO4" vm="3780">
        <f ca="1"/>
        <v>121.26</v>
      </c>
      <c r="CP4" vm="19">
        <f ca="1"/>
        <v>121.4</v>
      </c>
      <c r="CQ4" vm="3781">
        <f ca="1"/>
        <v>119.99</v>
      </c>
      <c r="CR4" vm="3782">
        <f ca="1"/>
        <v>119.49</v>
      </c>
      <c r="CS4" vm="1563">
        <f ca="1"/>
        <v>118.09</v>
      </c>
      <c r="CT4" vm="3783">
        <f ca="1"/>
        <v>122.94</v>
      </c>
      <c r="CU4" vm="3784">
        <f ca="1"/>
        <v>124.35</v>
      </c>
      <c r="CV4" vm="3785">
        <f ca="1"/>
        <v>124.19</v>
      </c>
      <c r="CW4" vm="3786">
        <f ca="1"/>
        <v>122.23</v>
      </c>
      <c r="CX4" vm="3787">
        <f ca="1"/>
        <v>119.57</v>
      </c>
      <c r="CY4" vm="3788">
        <f ca="1"/>
        <v>135</v>
      </c>
      <c r="CZ4" vm="3789">
        <f ca="1"/>
        <v>138.55000000000001</v>
      </c>
      <c r="DA4" vm="3790">
        <f ca="1"/>
        <v>136.44999999999999</v>
      </c>
      <c r="DB4" vm="3791">
        <f ca="1"/>
        <v>130.91999999999999</v>
      </c>
      <c r="DC4" vm="3792">
        <f ca="1"/>
        <v>135.58000000000001</v>
      </c>
      <c r="DD4" vm="3793">
        <f ca="1"/>
        <v>141.19999999999999</v>
      </c>
      <c r="DE4" vm="3794">
        <f ca="1"/>
        <v>147.1</v>
      </c>
      <c r="DF4" vm="3795">
        <f ca="1"/>
        <v>143.93</v>
      </c>
      <c r="DG4" vm="3796">
        <f ca="1"/>
        <v>155.44</v>
      </c>
      <c r="DH4" vm="3797">
        <f ca="1"/>
        <v>155.06</v>
      </c>
      <c r="DI4" vm="3798">
        <f ca="1"/>
        <v>158.04</v>
      </c>
      <c r="DJ4" vm="3799">
        <f ca="1"/>
        <v>162.21</v>
      </c>
      <c r="DK4" vm="3800">
        <f ca="1"/>
        <v>166.17</v>
      </c>
      <c r="DL4" vm="3801">
        <f ca="1"/>
        <v>162.47999999999999</v>
      </c>
      <c r="DM4" vm="3802">
        <f ca="1"/>
        <v>162.81</v>
      </c>
      <c r="DN4" vm="3803">
        <f ca="1"/>
        <v>164.25</v>
      </c>
      <c r="DO4" vm="3804">
        <f ca="1"/>
        <v>163.08000000000001</v>
      </c>
      <c r="DP4" vm="3805">
        <f ca="1"/>
        <v>176.44</v>
      </c>
      <c r="DQ4" vm="3806">
        <f ca="1"/>
        <v>175.47</v>
      </c>
      <c r="DR4" vm="3807">
        <f ca="1"/>
        <v>171.91</v>
      </c>
      <c r="DS4" vm="3808">
        <f ca="1"/>
        <v>179.9</v>
      </c>
      <c r="DT4" vm="3809">
        <f ca="1"/>
        <v>178.73</v>
      </c>
      <c r="DU4" vm="3810">
        <f ca="1"/>
        <v>182.78</v>
      </c>
      <c r="DV4" vm="3811">
        <f ca="1"/>
        <v>189.34</v>
      </c>
      <c r="DW4" vm="3812">
        <f ca="1"/>
        <v>188.03</v>
      </c>
      <c r="DX4" vm="3813">
        <f ca="1"/>
        <v>187.22</v>
      </c>
      <c r="DY4" vm="3814">
        <f ca="1"/>
        <v>181.33</v>
      </c>
      <c r="DZ4" vm="927">
        <f ca="1"/>
        <v>181.12</v>
      </c>
      <c r="EA4" vm="3815">
        <f ca="1"/>
        <v>173.68</v>
      </c>
      <c r="EB4" vm="3816">
        <f ca="1"/>
        <v>159.01</v>
      </c>
      <c r="EC4" vm="2076">
        <f ca="1"/>
        <v>166.81</v>
      </c>
      <c r="ED4" vm="3817">
        <f ca="1"/>
        <v>162.86000000000001</v>
      </c>
      <c r="EE4" vm="3818">
        <f ca="1"/>
        <v>165.91</v>
      </c>
      <c r="EF4" vm="3819">
        <f ca="1"/>
        <v>165.09</v>
      </c>
      <c r="EG4" vm="3820">
        <f ca="1"/>
        <v>167.05</v>
      </c>
      <c r="EH4" vm="3821">
        <f ca="1"/>
        <v>173.47</v>
      </c>
      <c r="EI4" vm="3822">
        <f ca="1"/>
        <v>166.67</v>
      </c>
      <c r="EJ4" vm="3823">
        <f ca="1"/>
        <v>165.86</v>
      </c>
      <c r="EK4" vm="3824">
        <f ca="1"/>
        <v>171.9</v>
      </c>
      <c r="EL4" vm="3825">
        <f ca="1"/>
        <v>174.7</v>
      </c>
      <c r="EM4" vm="3826">
        <f ca="1"/>
        <v>179.45</v>
      </c>
      <c r="EN4" vm="3827">
        <f ca="1"/>
        <v>176.72</v>
      </c>
      <c r="EO4" vm="3828">
        <f ca="1"/>
        <v>179.97</v>
      </c>
      <c r="EP4" vm="3829">
        <f ca="1"/>
        <v>173.93</v>
      </c>
      <c r="EQ4" vm="3830">
        <f ca="1"/>
        <v>170.43</v>
      </c>
      <c r="ER4" vm="3831">
        <f ca="1"/>
        <v>167.69</v>
      </c>
      <c r="ES4" vm="3832">
        <f ca="1"/>
        <v>164.3</v>
      </c>
      <c r="ET4" vm="3833">
        <f ca="1"/>
        <v>164.82</v>
      </c>
      <c r="EU4" vm="3834">
        <f ca="1"/>
        <v>167.61</v>
      </c>
      <c r="EV4" vm="3835">
        <f ca="1"/>
        <v>166.34</v>
      </c>
      <c r="EW4" vm="3836">
        <f ca="1"/>
        <v>165.89</v>
      </c>
      <c r="EX4" vm="102">
        <f ca="1"/>
        <v>160.80000000000001</v>
      </c>
      <c r="EY4" vm="3837">
        <f ca="1"/>
        <v>157.91</v>
      </c>
      <c r="EZ4" vm="3838">
        <f ca="1"/>
        <v>159.84</v>
      </c>
      <c r="FA4" vm="87">
        <f ca="1"/>
        <v>153.80000000000001</v>
      </c>
      <c r="FB4" vm="3839">
        <f ca="1"/>
        <v>157.71</v>
      </c>
      <c r="FC4" vm="3840">
        <f ca="1"/>
        <v>159.72</v>
      </c>
      <c r="FD4" vm="3841">
        <f ca="1"/>
        <v>158.88999999999999</v>
      </c>
      <c r="FE4" vm="3842">
        <f ca="1"/>
        <v>153.28</v>
      </c>
      <c r="FF4" vm="3843">
        <f ca="1"/>
        <v>152.93</v>
      </c>
      <c r="FG4" vm="3844">
        <f ca="1"/>
        <v>160.72999999999999</v>
      </c>
      <c r="FH4" vm="3845">
        <f ca="1"/>
        <v>157.01</v>
      </c>
      <c r="FI4" vm="78">
        <f ca="1"/>
        <v>157.6</v>
      </c>
      <c r="FJ4" vm="3846">
        <f ca="1"/>
        <v>157.30000000000001</v>
      </c>
      <c r="FK4" vm="3847">
        <f ca="1"/>
        <v>164.26</v>
      </c>
      <c r="FL4" vm="3848">
        <f ca="1"/>
        <v>161.13</v>
      </c>
      <c r="FM4" vm="3849">
        <f ca="1"/>
        <v>158.08000000000001</v>
      </c>
      <c r="FN4" vm="3850">
        <f ca="1"/>
        <v>157.44</v>
      </c>
      <c r="FO4" vm="3851">
        <f ca="1"/>
        <v>158.32</v>
      </c>
      <c r="FP4" vm="3852">
        <f ca="1"/>
        <v>158.13</v>
      </c>
      <c r="FQ4" vm="3853">
        <f ca="1"/>
        <v>155.96</v>
      </c>
      <c r="FR4" vm="3854">
        <f ca="1"/>
        <v>158.82</v>
      </c>
      <c r="FS4" vm="3855">
        <f ca="1"/>
        <v>156.9</v>
      </c>
      <c r="FT4" vm="3856">
        <f ca="1"/>
        <v>155.68</v>
      </c>
      <c r="FU4" vm="3857">
        <f ca="1"/>
        <v>150.09</v>
      </c>
      <c r="FV4" vm="3858">
        <f ca="1"/>
        <v>149.29</v>
      </c>
      <c r="FW4" vm="3859">
        <f ca="1"/>
        <v>147.09</v>
      </c>
      <c r="FX4" vm="3860">
        <f ca="1"/>
        <v>147.32</v>
      </c>
      <c r="FY4" vm="3861">
        <f ca="1"/>
        <v>149.79</v>
      </c>
      <c r="FZ4" vm="3862">
        <f ca="1"/>
        <v>150.96</v>
      </c>
      <c r="GA4" vm="3863">
        <f ca="1"/>
        <v>151.22999999999999</v>
      </c>
      <c r="GB4" vm="3864">
        <f ca="1"/>
        <v>150.06</v>
      </c>
      <c r="GC4" vm="3865">
        <f ca="1"/>
        <v>152.24</v>
      </c>
      <c r="GD4" vm="1789">
        <f ca="1"/>
        <v>148.49</v>
      </c>
      <c r="GE4" vm="3866">
        <f ca="1"/>
        <v>147.36000000000001</v>
      </c>
      <c r="GF4" vm="2057">
        <f ca="1"/>
        <v>146.58000000000001</v>
      </c>
      <c r="GG4" vm="3867">
        <f ca="1"/>
        <v>155.74</v>
      </c>
      <c r="GH4" vm="3868">
        <f ca="1"/>
        <v>156.26</v>
      </c>
      <c r="GI4" vm="70">
        <f ca="1"/>
        <v>150.9</v>
      </c>
      <c r="GJ4" vm="1792">
        <f ca="1"/>
        <v>146.75</v>
      </c>
      <c r="GK4" vm="3869">
        <f ca="1"/>
        <v>154.47</v>
      </c>
      <c r="GL4" vm="3862">
        <f ca="1"/>
        <v>150.96</v>
      </c>
      <c r="GM4" vm="3870">
        <f ca="1"/>
        <v>166.31</v>
      </c>
      <c r="GN4" vm="3871">
        <f ca="1"/>
        <v>167.01</v>
      </c>
      <c r="GO4" vm="3872">
        <f ca="1"/>
        <v>169.9</v>
      </c>
      <c r="GP4" vm="3873">
        <f ca="1"/>
        <v>170.93</v>
      </c>
      <c r="GQ4" vm="2077">
        <f ca="1"/>
        <v>165.4</v>
      </c>
      <c r="GR4" vm="3874">
        <f ca="1"/>
        <v>162.38999999999999</v>
      </c>
      <c r="GS4" vm="3875">
        <f ca="1"/>
        <v>168.67</v>
      </c>
      <c r="GT4" vm="3876">
        <f ca="1"/>
        <v>177.18</v>
      </c>
      <c r="GU4" vm="3877">
        <f ca="1"/>
        <v>173.23</v>
      </c>
      <c r="GV4" vm="2996">
        <f ca="1"/>
        <v>171.37</v>
      </c>
      <c r="GW4" vm="3878">
        <f ca="1"/>
        <v>172.72</v>
      </c>
      <c r="GX4" vm="3879">
        <f ca="1"/>
        <v>175.66</v>
      </c>
      <c r="GY4" vm="3880">
        <f ca="1"/>
        <v>174.25</v>
      </c>
      <c r="GZ4" vm="3881">
        <f ca="1"/>
        <v>169.56</v>
      </c>
      <c r="HA4" vm="3882">
        <f ca="1"/>
        <v>168.39</v>
      </c>
      <c r="HB4" vm="3883">
        <f ca="1"/>
        <v>163.65</v>
      </c>
      <c r="HC4" vm="3884">
        <f ca="1"/>
        <v>159.13999999999999</v>
      </c>
      <c r="HD4" vm="3885">
        <f ca="1"/>
        <v>157.76</v>
      </c>
      <c r="HE4" vm="3886">
        <f ca="1"/>
        <v>162.51</v>
      </c>
      <c r="HF4" vm="3887">
        <f ca="1"/>
        <v>163</v>
      </c>
      <c r="HG4" vm="3888">
        <f ca="1"/>
        <v>166.51</v>
      </c>
      <c r="HH4" vm="3889">
        <f ca="1"/>
        <v>164.32</v>
      </c>
      <c r="HI4" vm="3890">
        <f ca="1"/>
        <v>158.72999999999999</v>
      </c>
      <c r="HJ4" vm="3891">
        <f ca="1"/>
        <v>155.72999999999999</v>
      </c>
      <c r="HK4" vm="3892">
        <f ca="1"/>
        <v>155.43</v>
      </c>
      <c r="HL4" vm="3893">
        <f ca="1"/>
        <v>155.77000000000001</v>
      </c>
      <c r="HM4" vm="3894">
        <f ca="1"/>
        <v>154.27000000000001</v>
      </c>
      <c r="HN4" vm="3895">
        <f ca="1"/>
        <v>154.44999999999999</v>
      </c>
      <c r="HO4" vm="1705">
        <f ca="1"/>
        <v>152.78</v>
      </c>
      <c r="HP4" vm="3896">
        <f ca="1"/>
        <v>153.11000000000001</v>
      </c>
      <c r="HQ4" vm="3897">
        <f ca="1"/>
        <v>152.28</v>
      </c>
      <c r="HR4" vm="3898">
        <f ca="1"/>
        <v>148.05000000000001</v>
      </c>
      <c r="HS4" vm="3899">
        <f ca="1"/>
        <v>144.11000000000001</v>
      </c>
      <c r="HT4" vm="3900">
        <f ca="1"/>
        <v>142.56</v>
      </c>
      <c r="HU4" vm="3901">
        <f ca="1"/>
        <v>135.59</v>
      </c>
      <c r="HV4" vm="3902">
        <f ca="1"/>
        <v>133.27000000000001</v>
      </c>
      <c r="HW4" vm="3903">
        <f ca="1"/>
        <v>130.35</v>
      </c>
      <c r="HX4" vm="3904">
        <f ca="1"/>
        <v>130.79</v>
      </c>
      <c r="HY4" vm="3905">
        <f ca="1"/>
        <v>132.63999999999999</v>
      </c>
      <c r="HZ4" vm="3906">
        <f ca="1"/>
        <v>136.85</v>
      </c>
      <c r="IA4" vm="3907">
        <f ca="1"/>
        <v>136.29</v>
      </c>
      <c r="IB4" vm="3908">
        <f ca="1"/>
        <v>134.19999999999999</v>
      </c>
      <c r="IC4" vm="3909">
        <f ca="1"/>
        <v>135.21</v>
      </c>
      <c r="ID4" vm="3910">
        <f ca="1"/>
        <v>136.71</v>
      </c>
      <c r="IE4" vm="3911">
        <f ca="1"/>
        <v>136.57</v>
      </c>
      <c r="IF4" vm="3912">
        <f ca="1"/>
        <v>134.43</v>
      </c>
      <c r="IG4" vm="3913">
        <f ca="1"/>
        <v>124.9</v>
      </c>
      <c r="IH4" vm="3914">
        <f ca="1"/>
        <v>122.41</v>
      </c>
      <c r="II4" vm="3915">
        <f ca="1"/>
        <v>126.06</v>
      </c>
      <c r="IJ4" vm="3916">
        <f ca="1"/>
        <v>125.48</v>
      </c>
      <c r="IK4" vm="3917">
        <f ca="1"/>
        <v>129.87</v>
      </c>
      <c r="IL4" vm="3918">
        <f ca="1"/>
        <v>125.41</v>
      </c>
      <c r="IM4" vm="1593">
        <f ca="1"/>
        <v>122.69</v>
      </c>
      <c r="IN4" vm="3580">
        <f ca="1"/>
        <v>121.98</v>
      </c>
      <c r="IO4" vm="3919">
        <f ca="1"/>
        <v>125.46</v>
      </c>
      <c r="IP4" vm="3920">
        <f ca="1"/>
        <v>123.73</v>
      </c>
      <c r="IQ4" vm="3584">
        <f ca="1"/>
        <v>122.05</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3921">
        <f ca="1"/>
        <v>10072449</v>
      </c>
      <c r="C7" vm="3922">
        <f ca="1"/>
        <v>130.24</v>
      </c>
      <c r="D7" vm="3923">
        <f ca="1"/>
        <v>132.91</v>
      </c>
      <c r="E7" vm="3924">
        <f ca="1"/>
        <v>128.55000000000001</v>
      </c>
      <c r="F7" vm="3905">
        <f ca="1"/>
        <v>132.63999999999999</v>
      </c>
    </row>
    <row r="8" spans="1:251" x14ac:dyDescent="0.35">
      <c r="A8" vm="3612">
        <f ca="1"/>
        <v>46091</v>
      </c>
      <c r="B8" vm="3925">
        <f ca="1"/>
        <v>15264286</v>
      </c>
      <c r="C8" vm="3926">
        <f ca="1"/>
        <v>135.71</v>
      </c>
      <c r="D8" vm="3927">
        <f ca="1"/>
        <v>139.22</v>
      </c>
      <c r="E8" vm="3928">
        <f ca="1"/>
        <v>134.56</v>
      </c>
      <c r="F8" vm="3906">
        <f ca="1"/>
        <v>136.85</v>
      </c>
    </row>
    <row r="9" spans="1:251" x14ac:dyDescent="0.35">
      <c r="A9" vm="3617">
        <f ca="1"/>
        <v>46092</v>
      </c>
      <c r="B9" vm="3929">
        <f ca="1"/>
        <v>6685065</v>
      </c>
      <c r="C9" vm="2962">
        <f ca="1"/>
        <v>135.57</v>
      </c>
      <c r="D9" vm="3930">
        <f ca="1"/>
        <v>136.74</v>
      </c>
      <c r="E9" vm="3931">
        <f ca="1"/>
        <v>134.82</v>
      </c>
      <c r="F9" vm="3907">
        <f ca="1"/>
        <v>136.29</v>
      </c>
    </row>
    <row r="10" spans="1:251" x14ac:dyDescent="0.35">
      <c r="A10" vm="3622">
        <f ca="1"/>
        <v>46093</v>
      </c>
      <c r="B10" vm="3932">
        <f ca="1"/>
        <v>7591786</v>
      </c>
      <c r="C10" vm="3933">
        <f ca="1"/>
        <v>135.38</v>
      </c>
      <c r="D10" vm="3934">
        <f ca="1"/>
        <v>136</v>
      </c>
      <c r="E10" vm="3935">
        <f ca="1"/>
        <v>133.44999999999999</v>
      </c>
      <c r="F10" vm="3908">
        <f ca="1"/>
        <v>134.19999999999999</v>
      </c>
    </row>
    <row r="11" spans="1:251" x14ac:dyDescent="0.35">
      <c r="A11" vm="3627">
        <f ca="1"/>
        <v>46094</v>
      </c>
      <c r="B11" vm="3936">
        <f ca="1"/>
        <v>6438401</v>
      </c>
      <c r="C11" vm="3937">
        <f ca="1"/>
        <v>136.07</v>
      </c>
      <c r="D11" vm="36">
        <f ca="1"/>
        <v>137.19999999999999</v>
      </c>
      <c r="E11" vm="3938">
        <f ca="1"/>
        <v>134.69999999999999</v>
      </c>
      <c r="F11" vm="3909">
        <f ca="1"/>
        <v>135.21</v>
      </c>
    </row>
    <row r="12" spans="1:251" x14ac:dyDescent="0.35">
      <c r="A12" vm="3631">
        <f ca="1"/>
        <v>46097</v>
      </c>
      <c r="B12" vm="3939">
        <f ca="1"/>
        <v>9972344</v>
      </c>
      <c r="C12" vm="3940">
        <f ca="1"/>
        <v>138.80000000000001</v>
      </c>
      <c r="D12" vm="3940">
        <f ca="1"/>
        <v>138.80000000000001</v>
      </c>
      <c r="E12" vm="3941">
        <f ca="1"/>
        <v>136.5</v>
      </c>
      <c r="F12" vm="3910">
        <f ca="1"/>
        <v>136.71</v>
      </c>
    </row>
    <row r="13" spans="1:251" x14ac:dyDescent="0.35">
      <c r="A13" vm="3636">
        <f ca="1"/>
        <v>46098</v>
      </c>
      <c r="B13" vm="3942">
        <f ca="1"/>
        <v>10005699</v>
      </c>
      <c r="C13" vm="3943">
        <f ca="1"/>
        <v>137.875</v>
      </c>
      <c r="D13" vm="3944">
        <f ca="1"/>
        <v>138.22</v>
      </c>
      <c r="E13" vm="3945">
        <f ca="1"/>
        <v>135.97</v>
      </c>
      <c r="F13" vm="3911">
        <f ca="1"/>
        <v>136.57</v>
      </c>
    </row>
    <row r="14" spans="1:251" x14ac:dyDescent="0.35">
      <c r="A14" vm="3641">
        <f ca="1"/>
        <v>46099</v>
      </c>
      <c r="B14" vm="3946">
        <f ca="1"/>
        <v>17158597</v>
      </c>
      <c r="C14" vm="3947">
        <f ca="1"/>
        <v>138.44499999999999</v>
      </c>
      <c r="D14" vm="3948">
        <f ca="1"/>
        <v>139.16</v>
      </c>
      <c r="E14" vm="3949">
        <f ca="1"/>
        <v>134.37</v>
      </c>
      <c r="F14" vm="3912">
        <f ca="1"/>
        <v>134.43</v>
      </c>
    </row>
    <row r="15" spans="1:251" x14ac:dyDescent="0.35">
      <c r="A15" vm="3645">
        <f ca="1"/>
        <v>46100</v>
      </c>
      <c r="B15" vm="3950">
        <f ca="1"/>
        <v>33440469</v>
      </c>
      <c r="C15" vm="3951">
        <f ca="1"/>
        <v>123.02</v>
      </c>
      <c r="D15" vm="3952">
        <f ca="1"/>
        <v>126.92</v>
      </c>
      <c r="E15" vm="3953">
        <f ca="1"/>
        <v>121.16</v>
      </c>
      <c r="F15" vm="3913">
        <f ca="1"/>
        <v>124.9</v>
      </c>
    </row>
    <row r="16" spans="1:251" x14ac:dyDescent="0.35">
      <c r="A16" vm="3650">
        <f ca="1"/>
        <v>46101</v>
      </c>
      <c r="B16" vm="3954">
        <f ca="1"/>
        <v>15479264</v>
      </c>
      <c r="C16" vm="3955">
        <f ca="1"/>
        <v>125.715</v>
      </c>
      <c r="D16" vm="3956">
        <f ca="1"/>
        <v>126.48</v>
      </c>
      <c r="E16" vm="3957">
        <f ca="1"/>
        <v>122.09</v>
      </c>
      <c r="F16" vm="3914">
        <f ca="1"/>
        <v>122.41</v>
      </c>
    </row>
    <row r="17" spans="1:6" x14ac:dyDescent="0.35">
      <c r="A17" vm="3655">
        <f ca="1"/>
        <v>46104</v>
      </c>
      <c r="B17" vm="3958">
        <f ca="1"/>
        <v>15583917</v>
      </c>
      <c r="C17" vm="486">
        <f ca="1"/>
        <v>123.24</v>
      </c>
      <c r="D17" vm="3959">
        <f ca="1"/>
        <v>127.27</v>
      </c>
      <c r="E17" vm="3960">
        <f ca="1"/>
        <v>123.1</v>
      </c>
      <c r="F17" vm="3915">
        <f ca="1"/>
        <v>126.06</v>
      </c>
    </row>
    <row r="18" spans="1:6" x14ac:dyDescent="0.35">
      <c r="A18" vm="3660">
        <f ca="1"/>
        <v>46105</v>
      </c>
      <c r="B18" vm="3961">
        <f ca="1"/>
        <v>8516233</v>
      </c>
      <c r="C18" vm="3962">
        <f ca="1"/>
        <v>124.36</v>
      </c>
      <c r="D18" vm="3566">
        <f ca="1"/>
        <v>125.75</v>
      </c>
      <c r="E18" vm="3963">
        <f ca="1"/>
        <v>123.92</v>
      </c>
      <c r="F18" vm="3916">
        <f ca="1"/>
        <v>125.48</v>
      </c>
    </row>
    <row r="19" spans="1:6" x14ac:dyDescent="0.35">
      <c r="A19" vm="3665">
        <f ca="1"/>
        <v>46106</v>
      </c>
      <c r="B19" vm="3964">
        <f ca="1"/>
        <v>12843020</v>
      </c>
      <c r="C19" vm="3965">
        <f ca="1"/>
        <v>129.47999999999999</v>
      </c>
      <c r="D19" vm="3966">
        <f ca="1"/>
        <v>130.65</v>
      </c>
      <c r="E19" vm="3967">
        <f ca="1"/>
        <v>128.34</v>
      </c>
      <c r="F19" vm="3917">
        <f ca="1"/>
        <v>129.87</v>
      </c>
    </row>
    <row r="20" spans="1:6" x14ac:dyDescent="0.35">
      <c r="A20" vm="3669">
        <f ca="1"/>
        <v>46107</v>
      </c>
      <c r="B20" vm="3968">
        <f ca="1"/>
        <v>9239994</v>
      </c>
      <c r="C20" vm="3969">
        <f ca="1"/>
        <v>126.72</v>
      </c>
      <c r="D20" vm="3970">
        <f ca="1"/>
        <v>127.05</v>
      </c>
      <c r="E20" vm="3971">
        <f ca="1"/>
        <v>124.59</v>
      </c>
      <c r="F20" vm="3918">
        <f ca="1"/>
        <v>125.41</v>
      </c>
    </row>
    <row r="21" spans="1:6" x14ac:dyDescent="0.35">
      <c r="A21" vm="3673">
        <f ca="1"/>
        <v>46108</v>
      </c>
      <c r="B21" vm="3972">
        <f ca="1"/>
        <v>8104989</v>
      </c>
      <c r="C21" vm="3973">
        <f ca="1"/>
        <v>123.97</v>
      </c>
      <c r="D21" vm="3974">
        <f ca="1"/>
        <v>124.44</v>
      </c>
      <c r="E21" vm="3975">
        <f ca="1"/>
        <v>122.23009999999999</v>
      </c>
      <c r="F21" vm="1593">
        <f ca="1"/>
        <v>122.69</v>
      </c>
    </row>
    <row r="22" spans="1:6" x14ac:dyDescent="0.35">
      <c r="A22" vm="3678">
        <f ca="1"/>
        <v>46111</v>
      </c>
      <c r="B22" vm="3976">
        <f ca="1"/>
        <v>7226650</v>
      </c>
      <c r="C22" vm="3977">
        <f ca="1"/>
        <v>123.28</v>
      </c>
      <c r="D22" vm="3978">
        <f ca="1"/>
        <v>123.78</v>
      </c>
      <c r="E22" vm="3979">
        <f ca="1"/>
        <v>121.55</v>
      </c>
      <c r="F22" vm="3580">
        <f ca="1"/>
        <v>121.98</v>
      </c>
    </row>
    <row r="23" spans="1:6" x14ac:dyDescent="0.35">
      <c r="A23" vm="3683">
        <f ca="1"/>
        <v>46112</v>
      </c>
      <c r="B23" vm="3980">
        <f ca="1"/>
        <v>9486079</v>
      </c>
      <c r="C23" vm="3981">
        <f ca="1"/>
        <v>121.99</v>
      </c>
      <c r="D23" vm="3982">
        <f ca="1"/>
        <v>125.78</v>
      </c>
      <c r="E23" vm="3983">
        <f ca="1"/>
        <v>121.38</v>
      </c>
      <c r="F23" vm="3919">
        <f ca="1"/>
        <v>125.46</v>
      </c>
    </row>
    <row r="24" spans="1:6" x14ac:dyDescent="0.35">
      <c r="A24" vm="3688">
        <f ca="1"/>
        <v>46113</v>
      </c>
      <c r="B24" vm="3984">
        <f ca="1"/>
        <v>10297423</v>
      </c>
      <c r="C24" vm="3916">
        <f ca="1"/>
        <v>125.48</v>
      </c>
      <c r="D24" vm="490">
        <f ca="1"/>
        <v>126.39</v>
      </c>
      <c r="E24" vm="3985">
        <f ca="1"/>
        <v>123.12</v>
      </c>
      <c r="F24" vm="3920">
        <f ca="1"/>
        <v>123.73</v>
      </c>
    </row>
    <row r="25" spans="1:6" x14ac:dyDescent="0.35">
      <c r="A25" vm="3693">
        <f ca="1"/>
        <v>46114</v>
      </c>
      <c r="B25" vm="3986">
        <f ca="1"/>
        <v>8830234</v>
      </c>
      <c r="C25" vm="3764">
        <f ca="1"/>
        <v>120.27</v>
      </c>
      <c r="D25" vm="3987">
        <f ca="1"/>
        <v>122.8479</v>
      </c>
      <c r="E25" vm="3988">
        <f ca="1"/>
        <v>120.14</v>
      </c>
      <c r="F25" vm="3584">
        <f ca="1"/>
        <v>122.05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2EB3-64B3-4EE6-A5A7-A826216243BE}">
  <dimension ref="A1:IQ25"/>
  <sheetViews>
    <sheetView topLeftCell="D1" workbookViewId="0">
      <selection activeCell="AD22" sqref="AD22"/>
    </sheetView>
  </sheetViews>
  <sheetFormatPr defaultRowHeight="14.5" x14ac:dyDescent="0.35"/>
  <cols>
    <col min="1" max="1" width="22.1796875" bestFit="1" customWidth="1"/>
    <col min="2" max="2" width="45.54296875" bestFit="1" customWidth="1"/>
  </cols>
  <sheetData>
    <row r="1" spans="1:251" x14ac:dyDescent="0.35">
      <c r="A1" s="2" t="s">
        <v>7</v>
      </c>
      <c r="B1" t="e" vm="8">
        <v>#VALUE!</v>
      </c>
    </row>
    <row r="3" spans="1:251" x14ac:dyDescent="0.35">
      <c r="A3" s="2" t="s">
        <v>34</v>
      </c>
      <c r="B3" s="2" t="s">
        <v>24</v>
      </c>
    </row>
    <row r="4" spans="1:251" x14ac:dyDescent="0.35">
      <c r="A4" t="s">
        <v>36</v>
      </c>
      <c r="B4" t="s">
        <v>21</v>
      </c>
      <c r="C4" cm="1" vm="3989">
        <f t="array" aca="1" ref="C4:IQ4" ca="1">TRANSPOSE(_xlfn.STOCKHISTORY(A4&amp;":"&amp;B4,TODAY()-365,TODAY(),0,0,1))</f>
        <v>35.58</v>
      </c>
      <c r="D4" vm="3990">
        <f ca="1"/>
        <v>35.03</v>
      </c>
      <c r="E4" vm="3991">
        <f ca="1"/>
        <v>37.15</v>
      </c>
      <c r="F4" vm="3992">
        <f ca="1"/>
        <v>35.85</v>
      </c>
      <c r="G4" vm="3993">
        <f ca="1"/>
        <v>35.950000000000003</v>
      </c>
      <c r="H4" vm="3994">
        <f ca="1"/>
        <v>36.67</v>
      </c>
      <c r="I4" vm="3995">
        <f ca="1"/>
        <v>37.99</v>
      </c>
      <c r="J4" vm="3996">
        <f ca="1"/>
        <v>37.33</v>
      </c>
      <c r="K4" vm="3997">
        <f ca="1"/>
        <v>37.409999999999997</v>
      </c>
      <c r="L4" vm="3998">
        <f ca="1"/>
        <v>36.92</v>
      </c>
      <c r="M4" vm="3999">
        <f ca="1"/>
        <v>38.32</v>
      </c>
      <c r="N4" vm="4000">
        <f ca="1"/>
        <v>38.75</v>
      </c>
      <c r="O4" vm="4001">
        <f ca="1"/>
        <v>39.58</v>
      </c>
      <c r="P4" vm="4002">
        <f ca="1"/>
        <v>39.69</v>
      </c>
      <c r="Q4" vm="4003">
        <f ca="1"/>
        <v>39.78</v>
      </c>
      <c r="R4" vm="4004">
        <f ca="1"/>
        <v>39.99</v>
      </c>
      <c r="S4" vm="4005">
        <f ca="1"/>
        <v>39.880000000000003</v>
      </c>
      <c r="T4" vm="4006">
        <f ca="1"/>
        <v>40.17</v>
      </c>
      <c r="U4" vm="4007">
        <f ca="1"/>
        <v>41.07</v>
      </c>
      <c r="V4" vm="4008">
        <f ca="1"/>
        <v>41.12</v>
      </c>
      <c r="W4" vm="4009">
        <f ca="1"/>
        <v>40.840000000000003</v>
      </c>
      <c r="X4" vm="4010">
        <f ca="1"/>
        <v>40.93</v>
      </c>
      <c r="Y4" vm="4011">
        <f ca="1"/>
        <v>41.6</v>
      </c>
      <c r="Z4" vm="4012">
        <f ca="1"/>
        <v>41.79</v>
      </c>
      <c r="AA4" vm="4013">
        <f ca="1"/>
        <v>43.36</v>
      </c>
      <c r="AB4" vm="4014">
        <f ca="1"/>
        <v>44.28</v>
      </c>
      <c r="AC4" vm="4015">
        <f ca="1"/>
        <v>44.74</v>
      </c>
      <c r="AD4" vm="4016">
        <f ca="1"/>
        <v>44.38</v>
      </c>
      <c r="AE4" vm="4017">
        <f ca="1"/>
        <v>44.69</v>
      </c>
      <c r="AF4" vm="4018">
        <f ca="1"/>
        <v>44.77</v>
      </c>
      <c r="AG4" vm="4017">
        <f ca="1"/>
        <v>44.69</v>
      </c>
      <c r="AH4" vm="4019">
        <f ca="1"/>
        <v>43.25</v>
      </c>
      <c r="AI4" vm="4020">
        <f ca="1"/>
        <v>43.31</v>
      </c>
      <c r="AJ4" vm="4021">
        <f ca="1"/>
        <v>43.2</v>
      </c>
      <c r="AK4" vm="4022">
        <f ca="1"/>
        <v>44.22</v>
      </c>
      <c r="AL4" vm="4023">
        <f ca="1"/>
        <v>44.06</v>
      </c>
      <c r="AM4" vm="4024">
        <f ca="1"/>
        <v>44.24</v>
      </c>
      <c r="AN4" vm="4025">
        <f ca="1"/>
        <v>44.13</v>
      </c>
      <c r="AO4" vm="4026">
        <f ca="1"/>
        <v>44.08</v>
      </c>
      <c r="AP4" vm="4027">
        <f ca="1"/>
        <v>44.65</v>
      </c>
      <c r="AQ4" vm="4028">
        <f ca="1"/>
        <v>44.36</v>
      </c>
      <c r="AR4" vm="4016">
        <f ca="1"/>
        <v>44.38</v>
      </c>
      <c r="AS4" vm="4029">
        <f ca="1"/>
        <v>44.97</v>
      </c>
      <c r="AT4" vm="4030">
        <f ca="1"/>
        <v>44.87</v>
      </c>
      <c r="AU4" vm="4031">
        <f ca="1"/>
        <v>45.09</v>
      </c>
      <c r="AV4" vm="4032">
        <f ca="1"/>
        <v>44.73</v>
      </c>
      <c r="AW4" vm="4033">
        <f ca="1"/>
        <v>44.62</v>
      </c>
      <c r="AX4" vm="4034">
        <f ca="1"/>
        <v>44.09</v>
      </c>
      <c r="AY4" vm="4035">
        <f ca="1"/>
        <v>44.41</v>
      </c>
      <c r="AZ4" vm="4036">
        <f ca="1"/>
        <v>44.23</v>
      </c>
      <c r="BA4" vm="4037">
        <f ca="1"/>
        <v>45.06</v>
      </c>
      <c r="BB4" vm="4038">
        <f ca="1"/>
        <v>45.5</v>
      </c>
      <c r="BC4" vm="4039">
        <f ca="1"/>
        <v>46.3</v>
      </c>
      <c r="BD4" vm="4040">
        <f ca="1"/>
        <v>46.66</v>
      </c>
      <c r="BE4" vm="4041">
        <f ca="1"/>
        <v>46.85</v>
      </c>
      <c r="BF4" vm="4042">
        <f ca="1"/>
        <v>47.46</v>
      </c>
      <c r="BG4" vm="4043">
        <f ca="1"/>
        <v>47.12</v>
      </c>
      <c r="BH4" vm="4044">
        <f ca="1"/>
        <v>47.32</v>
      </c>
      <c r="BI4" vm="4045">
        <f ca="1"/>
        <v>48.15</v>
      </c>
      <c r="BJ4" vm="4046">
        <f ca="1"/>
        <v>48.71</v>
      </c>
      <c r="BK4" vm="4047">
        <f ca="1"/>
        <v>48.93</v>
      </c>
      <c r="BL4" vm="4048">
        <f ca="1"/>
        <v>48.66</v>
      </c>
      <c r="BM4" vm="4049">
        <f ca="1"/>
        <v>47.15</v>
      </c>
      <c r="BN4" vm="4050">
        <f ca="1"/>
        <v>46.84</v>
      </c>
      <c r="BO4" vm="4051">
        <f ca="1"/>
        <v>46.97</v>
      </c>
      <c r="BP4" vm="4052">
        <f ca="1"/>
        <v>46.73</v>
      </c>
      <c r="BQ4" vm="4053">
        <f ca="1"/>
        <v>47.07</v>
      </c>
      <c r="BR4" vm="4054">
        <f ca="1"/>
        <v>46.15</v>
      </c>
      <c r="BS4" vm="4055">
        <f ca="1"/>
        <v>46.03</v>
      </c>
      <c r="BT4" vm="4056">
        <f ca="1"/>
        <v>47.02</v>
      </c>
      <c r="BU4" vm="4044">
        <f ca="1"/>
        <v>47.32</v>
      </c>
      <c r="BV4" vm="4057">
        <f ca="1"/>
        <v>47.48</v>
      </c>
      <c r="BW4" vm="4058">
        <f ca="1"/>
        <v>47.77</v>
      </c>
      <c r="BX4" vm="4059">
        <f ca="1"/>
        <v>48.14</v>
      </c>
      <c r="BY4" vm="4060">
        <f ca="1"/>
        <v>48.39</v>
      </c>
      <c r="BZ4" vm="4061">
        <f ca="1"/>
        <v>48.45</v>
      </c>
      <c r="CA4" vm="4062">
        <f ca="1"/>
        <v>48.23</v>
      </c>
      <c r="CB4" vm="4063">
        <f ca="1"/>
        <v>47.95</v>
      </c>
      <c r="CC4" vm="4064">
        <f ca="1"/>
        <v>47.96</v>
      </c>
      <c r="CD4" vm="4065">
        <f ca="1"/>
        <v>47.27</v>
      </c>
      <c r="CE4" vm="4066">
        <f ca="1"/>
        <v>45.66</v>
      </c>
      <c r="CF4" vm="4067">
        <f ca="1"/>
        <v>45.85</v>
      </c>
      <c r="CG4" vm="4068">
        <f ca="1"/>
        <v>45.56</v>
      </c>
      <c r="CH4" vm="4069">
        <f ca="1"/>
        <v>45.42</v>
      </c>
      <c r="CI4" vm="4070">
        <f ca="1"/>
        <v>44.92</v>
      </c>
      <c r="CJ4" vm="4071">
        <f ca="1"/>
        <v>46.01</v>
      </c>
      <c r="CK4" vm="4072">
        <f ca="1"/>
        <v>46.16</v>
      </c>
      <c r="CL4" vm="4073">
        <f ca="1"/>
        <v>47.5</v>
      </c>
      <c r="CM4" vm="4074">
        <f ca="1"/>
        <v>47.24</v>
      </c>
      <c r="CN4" vm="4075">
        <f ca="1"/>
        <v>47.71</v>
      </c>
      <c r="CO4" vm="4076">
        <f ca="1"/>
        <v>46.94</v>
      </c>
      <c r="CP4" vm="4077">
        <f ca="1"/>
        <v>47.92</v>
      </c>
      <c r="CQ4" vm="4078">
        <f ca="1"/>
        <v>48.08</v>
      </c>
      <c r="CR4" vm="4079">
        <f ca="1"/>
        <v>48.35</v>
      </c>
      <c r="CS4" vm="4080">
        <f ca="1"/>
        <v>48.26</v>
      </c>
      <c r="CT4" vm="4081">
        <f ca="1"/>
        <v>49.48</v>
      </c>
      <c r="CU4" vm="4081">
        <f ca="1"/>
        <v>49.48</v>
      </c>
      <c r="CV4" vm="4082">
        <f ca="1"/>
        <v>50.25</v>
      </c>
      <c r="CW4" vm="4083">
        <f ca="1"/>
        <v>50.38</v>
      </c>
      <c r="CX4" vm="4084">
        <f ca="1"/>
        <v>50.49</v>
      </c>
      <c r="CY4" vm="4085">
        <f ca="1"/>
        <v>50.74</v>
      </c>
      <c r="CZ4" vm="4086">
        <f ca="1"/>
        <v>50.42</v>
      </c>
      <c r="DA4" vm="4087">
        <f ca="1"/>
        <v>50.06</v>
      </c>
      <c r="DB4" vm="4088">
        <f ca="1"/>
        <v>50.62</v>
      </c>
      <c r="DC4" vm="4089">
        <f ca="1"/>
        <v>49.77</v>
      </c>
      <c r="DD4" vm="4090">
        <f ca="1"/>
        <v>49.46</v>
      </c>
      <c r="DE4" vm="4091">
        <f ca="1"/>
        <v>50.29</v>
      </c>
      <c r="DF4" vm="4092">
        <f ca="1"/>
        <v>50.13</v>
      </c>
      <c r="DG4" vm="4093">
        <f ca="1"/>
        <v>50.75</v>
      </c>
      <c r="DH4" vm="4094">
        <f ca="1"/>
        <v>50.58</v>
      </c>
      <c r="DI4" vm="4095">
        <f ca="1"/>
        <v>50.59</v>
      </c>
      <c r="DJ4" vm="4096">
        <f ca="1"/>
        <v>50.66</v>
      </c>
      <c r="DK4" vm="4097">
        <f ca="1"/>
        <v>51.4</v>
      </c>
      <c r="DL4" vm="4098">
        <f ca="1"/>
        <v>52.13</v>
      </c>
      <c r="DM4" vm="4099">
        <f ca="1"/>
        <v>52.25</v>
      </c>
      <c r="DN4" vm="4100">
        <f ca="1"/>
        <v>51.92</v>
      </c>
      <c r="DO4" vm="4101">
        <f ca="1"/>
        <v>51.7</v>
      </c>
      <c r="DP4" vm="4101">
        <f ca="1"/>
        <v>51.7</v>
      </c>
      <c r="DQ4" vm="4102">
        <f ca="1"/>
        <v>51.85</v>
      </c>
      <c r="DR4" vm="4103">
        <f ca="1"/>
        <v>52.21</v>
      </c>
      <c r="DS4" vm="4104">
        <f ca="1"/>
        <v>52.42</v>
      </c>
      <c r="DT4" vm="4105">
        <f ca="1"/>
        <v>51.59</v>
      </c>
      <c r="DU4" vm="4106">
        <f ca="1"/>
        <v>50.68</v>
      </c>
      <c r="DV4" vm="4107">
        <f ca="1"/>
        <v>50.48</v>
      </c>
      <c r="DW4" vm="4108">
        <f ca="1"/>
        <v>50.64</v>
      </c>
      <c r="DX4" vm="4109">
        <f ca="1"/>
        <v>50.39</v>
      </c>
      <c r="DY4" vm="4091">
        <f ca="1"/>
        <v>50.29</v>
      </c>
      <c r="DZ4" vm="4110">
        <f ca="1"/>
        <v>49.84</v>
      </c>
      <c r="EA4" vm="4111">
        <f ca="1"/>
        <v>49.79</v>
      </c>
      <c r="EB4" vm="4112">
        <f ca="1"/>
        <v>48.65</v>
      </c>
      <c r="EC4" vm="4113">
        <f ca="1"/>
        <v>48.86</v>
      </c>
      <c r="ED4" vm="4114">
        <f ca="1"/>
        <v>50.09</v>
      </c>
      <c r="EE4" vm="4115">
        <f ca="1"/>
        <v>52.28</v>
      </c>
      <c r="EF4" vm="4116">
        <f ca="1"/>
        <v>50.44</v>
      </c>
      <c r="EG4" vm="4117">
        <f ca="1"/>
        <v>51.28</v>
      </c>
      <c r="EH4" vm="4118">
        <f ca="1"/>
        <v>52.04</v>
      </c>
      <c r="EI4" vm="4119">
        <f ca="1"/>
        <v>51.52</v>
      </c>
      <c r="EJ4" vm="4120">
        <f ca="1"/>
        <v>51.1</v>
      </c>
      <c r="EK4" vm="4121">
        <f ca="1"/>
        <v>51.76</v>
      </c>
      <c r="EL4" vm="4122">
        <f ca="1"/>
        <v>52.57</v>
      </c>
      <c r="EM4" vm="4123">
        <f ca="1"/>
        <v>53.02</v>
      </c>
      <c r="EN4" vm="4124">
        <f ca="1"/>
        <v>52.87</v>
      </c>
      <c r="EO4" vm="4125">
        <f ca="1"/>
        <v>52.58</v>
      </c>
      <c r="EP4" vm="4126">
        <f ca="1"/>
        <v>53.03</v>
      </c>
      <c r="EQ4" vm="4127">
        <f ca="1"/>
        <v>53.45</v>
      </c>
      <c r="ER4" vm="4128">
        <f ca="1"/>
        <v>53.56</v>
      </c>
      <c r="ES4" vm="4129">
        <f ca="1"/>
        <v>53.54</v>
      </c>
      <c r="ET4" vm="4130">
        <f ca="1"/>
        <v>52.45</v>
      </c>
      <c r="EU4" vm="4131">
        <f ca="1"/>
        <v>53.29</v>
      </c>
      <c r="EV4" vm="4132">
        <f ca="1"/>
        <v>53.2</v>
      </c>
      <c r="EW4" vm="4133">
        <f ca="1"/>
        <v>53.42</v>
      </c>
      <c r="EX4" vm="4134">
        <f ca="1"/>
        <v>53.63</v>
      </c>
      <c r="EY4" vm="4135">
        <f ca="1"/>
        <v>54.11</v>
      </c>
      <c r="EZ4" vm="4124">
        <f ca="1"/>
        <v>52.87</v>
      </c>
      <c r="FA4" vm="4136">
        <f ca="1"/>
        <v>52.61</v>
      </c>
      <c r="FB4" vm="4137">
        <f ca="1"/>
        <v>51.48</v>
      </c>
      <c r="FC4" vm="4138">
        <f ca="1"/>
        <v>51.64</v>
      </c>
      <c r="FD4" vm="4139">
        <f ca="1"/>
        <v>52.02</v>
      </c>
      <c r="FE4" vm="4140">
        <f ca="1"/>
        <v>51</v>
      </c>
      <c r="FF4" vm="4141">
        <f ca="1"/>
        <v>51.56</v>
      </c>
      <c r="FG4" vm="4142">
        <f ca="1"/>
        <v>51.93</v>
      </c>
      <c r="FH4" vm="4143">
        <f ca="1"/>
        <v>52.48</v>
      </c>
      <c r="FI4" vm="4144">
        <f ca="1"/>
        <v>52.99</v>
      </c>
      <c r="FJ4" vm="4145">
        <f ca="1"/>
        <v>53.65</v>
      </c>
      <c r="FK4" vm="4146">
        <f ca="1"/>
        <v>53.24</v>
      </c>
      <c r="FL4" vm="4147">
        <f ca="1"/>
        <v>53.19</v>
      </c>
      <c r="FM4" vm="4148">
        <f ca="1"/>
        <v>54.09</v>
      </c>
      <c r="FN4" vm="4149">
        <f ca="1"/>
        <v>54.16</v>
      </c>
      <c r="FO4" vm="4150">
        <f ca="1"/>
        <v>53.95</v>
      </c>
      <c r="FP4" vm="4151">
        <f ca="1"/>
        <v>53.9</v>
      </c>
      <c r="FQ4" vm="4129">
        <f ca="1"/>
        <v>53.54</v>
      </c>
      <c r="FR4" vm="4152">
        <f ca="1"/>
        <v>54.08</v>
      </c>
      <c r="FS4" vm="4153">
        <f ca="1"/>
        <v>54.56</v>
      </c>
      <c r="FT4" vm="4154">
        <f ca="1"/>
        <v>55.14</v>
      </c>
      <c r="FU4" vm="4155">
        <f ca="1"/>
        <v>55.33</v>
      </c>
      <c r="FV4" vm="4156">
        <f ca="1"/>
        <v>54.81</v>
      </c>
      <c r="FW4" vm="4157">
        <f ca="1"/>
        <v>54.55</v>
      </c>
      <c r="FX4" vm="4158">
        <f ca="1"/>
        <v>54.26</v>
      </c>
      <c r="FY4" vm="4159">
        <f ca="1"/>
        <v>55.27</v>
      </c>
      <c r="FZ4" vm="4160">
        <f ca="1"/>
        <v>55.88</v>
      </c>
      <c r="GA4" vm="4161">
        <f ca="1"/>
        <v>55.97</v>
      </c>
      <c r="GB4" vm="4162">
        <f ca="1"/>
        <v>56.25</v>
      </c>
      <c r="GC4" vm="4163">
        <f ca="1"/>
        <v>56.17</v>
      </c>
      <c r="GD4" vm="4164">
        <f ca="1"/>
        <v>55.35</v>
      </c>
      <c r="GE4" vm="4165">
        <f ca="1"/>
        <v>55.28</v>
      </c>
      <c r="GF4" vm="4166">
        <f ca="1"/>
        <v>55</v>
      </c>
      <c r="GG4" vm="4167">
        <f ca="1"/>
        <v>55.95</v>
      </c>
      <c r="GH4" vm="4168">
        <f ca="1"/>
        <v>56.89</v>
      </c>
      <c r="GI4" vm="4169">
        <f ca="1"/>
        <v>57.25</v>
      </c>
      <c r="GJ4" vm="4170">
        <f ca="1"/>
        <v>55.64</v>
      </c>
      <c r="GK4" vm="4171">
        <f ca="1"/>
        <v>56.18</v>
      </c>
      <c r="GL4" vm="4172">
        <f ca="1"/>
        <v>55.85</v>
      </c>
      <c r="GM4" vm="4173">
        <f ca="1"/>
        <v>55.19</v>
      </c>
      <c r="GN4" vm="4174">
        <f ca="1"/>
        <v>54.54</v>
      </c>
      <c r="GO4" vm="4143">
        <f ca="1"/>
        <v>52.48</v>
      </c>
      <c r="GP4" vm="4175">
        <f ca="1"/>
        <v>52.59</v>
      </c>
      <c r="GQ4" vm="4176">
        <f ca="1"/>
        <v>52.97</v>
      </c>
      <c r="GR4" vm="4177">
        <f ca="1"/>
        <v>52.1</v>
      </c>
      <c r="GS4" vm="4178">
        <f ca="1"/>
        <v>52.07</v>
      </c>
      <c r="GT4" vm="4130">
        <f ca="1"/>
        <v>52.45</v>
      </c>
      <c r="GU4" vm="4179">
        <f ca="1"/>
        <v>51.72</v>
      </c>
      <c r="GV4" vm="4139">
        <f ca="1"/>
        <v>52.02</v>
      </c>
      <c r="GW4" vm="4180">
        <f ca="1"/>
        <v>52.17</v>
      </c>
      <c r="GX4" vm="4181">
        <f ca="1"/>
        <v>51.81</v>
      </c>
      <c r="GY4" vm="4182">
        <f ca="1"/>
        <v>53.08</v>
      </c>
      <c r="GZ4" vm="4132">
        <f ca="1"/>
        <v>53.2</v>
      </c>
      <c r="HA4" vm="4183">
        <f ca="1"/>
        <v>54.03</v>
      </c>
      <c r="HB4" vm="4184">
        <f ca="1"/>
        <v>54.45</v>
      </c>
      <c r="HC4" vm="4185">
        <f ca="1"/>
        <v>55.38</v>
      </c>
      <c r="HD4" vm="4186">
        <f ca="1"/>
        <v>54.94</v>
      </c>
      <c r="HE4" vm="4187">
        <f ca="1"/>
        <v>56.53</v>
      </c>
      <c r="HF4" vm="4188">
        <f ca="1"/>
        <v>56.41</v>
      </c>
      <c r="HG4" vm="4189">
        <f ca="1"/>
        <v>55.39</v>
      </c>
      <c r="HH4" vm="4190">
        <f ca="1"/>
        <v>53.85</v>
      </c>
      <c r="HI4" vm="4191">
        <f ca="1"/>
        <v>52.52</v>
      </c>
      <c r="HJ4" vm="4192">
        <f ca="1"/>
        <v>52.55</v>
      </c>
      <c r="HK4" vm="4193">
        <f ca="1"/>
        <v>52.74</v>
      </c>
      <c r="HL4" vm="4194">
        <f ca="1"/>
        <v>53.36</v>
      </c>
      <c r="HM4" vm="4195">
        <f ca="1"/>
        <v>52.77</v>
      </c>
      <c r="HN4" vm="4196">
        <f ca="1"/>
        <v>53.06</v>
      </c>
      <c r="HO4" vm="4197">
        <f ca="1"/>
        <v>51.07</v>
      </c>
      <c r="HP4" vm="4198">
        <f ca="1"/>
        <v>50.41</v>
      </c>
      <c r="HQ4" vm="4199">
        <f ca="1"/>
        <v>51.69</v>
      </c>
      <c r="HR4" vm="4200">
        <f ca="1"/>
        <v>52.3</v>
      </c>
      <c r="HS4" vm="4201">
        <f ca="1"/>
        <v>49.83</v>
      </c>
      <c r="HT4" vm="4202">
        <f ca="1"/>
        <v>49.81</v>
      </c>
      <c r="HU4" vm="4203">
        <f ca="1"/>
        <v>49.97</v>
      </c>
      <c r="HV4" vm="4204">
        <f ca="1"/>
        <v>50.3</v>
      </c>
      <c r="HW4" vm="4202">
        <f ca="1"/>
        <v>49.81</v>
      </c>
      <c r="HX4" vm="4205">
        <f ca="1"/>
        <v>48.64</v>
      </c>
      <c r="HY4" vm="4206">
        <f ca="1"/>
        <v>47.9</v>
      </c>
      <c r="HZ4" vm="4207">
        <f ca="1"/>
        <v>48.56</v>
      </c>
      <c r="IA4" vm="4208">
        <f ca="1"/>
        <v>48.52</v>
      </c>
      <c r="IB4" vm="4209">
        <f ca="1"/>
        <v>47.13</v>
      </c>
      <c r="IC4" vm="4210">
        <f ca="1"/>
        <v>46.72</v>
      </c>
      <c r="ID4" vm="4211">
        <f ca="1"/>
        <v>47.06</v>
      </c>
      <c r="IE4" vm="4212">
        <f ca="1"/>
        <v>47.28</v>
      </c>
      <c r="IF4" vm="4213">
        <f ca="1"/>
        <v>46.83</v>
      </c>
      <c r="IG4" vm="4214">
        <f ca="1"/>
        <v>47.01</v>
      </c>
      <c r="IH4" vm="4215">
        <f ca="1"/>
        <v>47.16</v>
      </c>
      <c r="II4" vm="4216">
        <f ca="1"/>
        <v>47.52</v>
      </c>
      <c r="IJ4" vm="4059">
        <f ca="1"/>
        <v>48.14</v>
      </c>
      <c r="IK4" vm="4217">
        <f ca="1"/>
        <v>48.75</v>
      </c>
      <c r="IL4" vm="4218">
        <f ca="1"/>
        <v>48.24</v>
      </c>
      <c r="IM4" vm="4051">
        <f ca="1"/>
        <v>46.97</v>
      </c>
      <c r="IN4" vm="4219">
        <f ca="1"/>
        <v>47.23</v>
      </c>
      <c r="IO4" vm="4217">
        <f ca="1"/>
        <v>48.75</v>
      </c>
      <c r="IP4" vm="4220">
        <f ca="1"/>
        <v>49.27</v>
      </c>
      <c r="IQ4" vm="4221">
        <f ca="1"/>
        <v>49.38</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4222">
        <f ca="1"/>
        <v>62752798</v>
      </c>
      <c r="C7" vm="4223">
        <f ca="1"/>
        <v>47.94</v>
      </c>
      <c r="D7" vm="4045">
        <f ca="1"/>
        <v>48.15</v>
      </c>
      <c r="E7" vm="4224">
        <f ca="1"/>
        <v>46.77</v>
      </c>
      <c r="F7" vm="4206">
        <f ca="1"/>
        <v>47.9</v>
      </c>
    </row>
    <row r="8" spans="1:251" x14ac:dyDescent="0.35">
      <c r="A8" vm="3612">
        <f ca="1"/>
        <v>46091</v>
      </c>
      <c r="B8" vm="4225">
        <f ca="1"/>
        <v>50271136</v>
      </c>
      <c r="C8" vm="4226">
        <f ca="1"/>
        <v>48.28</v>
      </c>
      <c r="D8" vm="4227">
        <f ca="1"/>
        <v>49.15</v>
      </c>
      <c r="E8" vm="4228">
        <f ca="1"/>
        <v>47.594999999999999</v>
      </c>
      <c r="F8" vm="4207">
        <f ca="1"/>
        <v>48.56</v>
      </c>
    </row>
    <row r="9" spans="1:251" x14ac:dyDescent="0.35">
      <c r="A9" vm="3617">
        <f ca="1"/>
        <v>46092</v>
      </c>
      <c r="B9" vm="4229">
        <f ca="1"/>
        <v>42185812</v>
      </c>
      <c r="C9" vm="4230">
        <f ca="1"/>
        <v>48.36</v>
      </c>
      <c r="D9" vm="4112">
        <f ca="1"/>
        <v>48.65</v>
      </c>
      <c r="E9" vm="4231">
        <f ca="1"/>
        <v>47.78</v>
      </c>
      <c r="F9" vm="4208">
        <f ca="1"/>
        <v>48.52</v>
      </c>
    </row>
    <row r="10" spans="1:251" x14ac:dyDescent="0.35">
      <c r="A10" vm="3622">
        <f ca="1"/>
        <v>46093</v>
      </c>
      <c r="B10" vm="4232">
        <f ca="1"/>
        <v>58354534</v>
      </c>
      <c r="C10" vm="4233">
        <f ca="1"/>
        <v>47.7</v>
      </c>
      <c r="D10" vm="4234">
        <f ca="1"/>
        <v>47.782400000000003</v>
      </c>
      <c r="E10" vm="4235">
        <f ca="1"/>
        <v>46.79</v>
      </c>
      <c r="F10" vm="4209">
        <f ca="1"/>
        <v>47.13</v>
      </c>
    </row>
    <row r="11" spans="1:251" x14ac:dyDescent="0.35">
      <c r="A11" vm="3627">
        <f ca="1"/>
        <v>46094</v>
      </c>
      <c r="B11" vm="4236">
        <f ca="1"/>
        <v>45473073</v>
      </c>
      <c r="C11" vm="4216">
        <f ca="1"/>
        <v>47.52</v>
      </c>
      <c r="D11" vm="4237">
        <f ca="1"/>
        <v>47.820099999999996</v>
      </c>
      <c r="E11" vm="4238">
        <f ca="1"/>
        <v>46.655000000000001</v>
      </c>
      <c r="F11" vm="4210">
        <f ca="1"/>
        <v>46.72</v>
      </c>
    </row>
    <row r="12" spans="1:251" x14ac:dyDescent="0.35">
      <c r="A12" vm="3631">
        <f ca="1"/>
        <v>46097</v>
      </c>
      <c r="B12" vm="4239">
        <f ca="1"/>
        <v>38055608</v>
      </c>
      <c r="C12" vm="4043">
        <f ca="1"/>
        <v>47.12</v>
      </c>
      <c r="D12" vm="4240">
        <f ca="1"/>
        <v>47.68</v>
      </c>
      <c r="E12" vm="4241">
        <f ca="1"/>
        <v>46.900100000000002</v>
      </c>
      <c r="F12" vm="4211">
        <f ca="1"/>
        <v>47.06</v>
      </c>
    </row>
    <row r="13" spans="1:251" x14ac:dyDescent="0.35">
      <c r="A13" vm="3636">
        <f ca="1"/>
        <v>46098</v>
      </c>
      <c r="B13" vm="4242">
        <f ca="1"/>
        <v>33427815</v>
      </c>
      <c r="C13" vm="4243">
        <f ca="1"/>
        <v>47.66</v>
      </c>
      <c r="D13" vm="4078">
        <f ca="1"/>
        <v>48.08</v>
      </c>
      <c r="E13" vm="4244">
        <f ca="1"/>
        <v>47.2</v>
      </c>
      <c r="F13" vm="4212">
        <f ca="1"/>
        <v>47.28</v>
      </c>
    </row>
    <row r="14" spans="1:251" x14ac:dyDescent="0.35">
      <c r="A14" vm="3641">
        <f ca="1"/>
        <v>46099</v>
      </c>
      <c r="B14" vm="4245">
        <f ca="1"/>
        <v>40251811</v>
      </c>
      <c r="C14" vm="4246">
        <f ca="1"/>
        <v>47.22</v>
      </c>
      <c r="D14" vm="4247">
        <f ca="1"/>
        <v>47.88</v>
      </c>
      <c r="E14" vm="4248">
        <f ca="1"/>
        <v>46.69</v>
      </c>
      <c r="F14" vm="4213">
        <f ca="1"/>
        <v>46.83</v>
      </c>
    </row>
    <row r="15" spans="1:251" x14ac:dyDescent="0.35">
      <c r="A15" vm="3645">
        <f ca="1"/>
        <v>46100</v>
      </c>
      <c r="B15" vm="4249">
        <f ca="1"/>
        <v>38601377</v>
      </c>
      <c r="C15" vm="4250">
        <f ca="1"/>
        <v>46.42</v>
      </c>
      <c r="D15" vm="4251">
        <f ca="1"/>
        <v>47.19</v>
      </c>
      <c r="E15" vm="4252">
        <f ca="1"/>
        <v>46.115000000000002</v>
      </c>
      <c r="F15" vm="4214">
        <f ca="1"/>
        <v>47.01</v>
      </c>
    </row>
    <row r="16" spans="1:251" x14ac:dyDescent="0.35">
      <c r="A16" vm="3650">
        <f ca="1"/>
        <v>46101</v>
      </c>
      <c r="B16" vm="4253">
        <f ca="1"/>
        <v>78060881</v>
      </c>
      <c r="C16" vm="4209">
        <f ca="1"/>
        <v>47.13</v>
      </c>
      <c r="D16" vm="4042">
        <f ca="1"/>
        <v>47.46</v>
      </c>
      <c r="E16" vm="4254">
        <f ca="1"/>
        <v>46.685000000000002</v>
      </c>
      <c r="F16" vm="4215">
        <f ca="1"/>
        <v>47.16</v>
      </c>
    </row>
    <row r="17" spans="1:6" x14ac:dyDescent="0.35">
      <c r="A17" vm="3655">
        <f ca="1"/>
        <v>46104</v>
      </c>
      <c r="B17" vm="4255">
        <f ca="1"/>
        <v>42333241</v>
      </c>
      <c r="C17" vm="4256">
        <f ca="1"/>
        <v>48.34</v>
      </c>
      <c r="D17" vm="4060">
        <f ca="1"/>
        <v>48.39</v>
      </c>
      <c r="E17" vm="4057">
        <f ca="1"/>
        <v>47.48</v>
      </c>
      <c r="F17" vm="4216">
        <f ca="1"/>
        <v>47.52</v>
      </c>
    </row>
    <row r="18" spans="1:6" x14ac:dyDescent="0.35">
      <c r="A18" vm="3660">
        <f ca="1"/>
        <v>46105</v>
      </c>
      <c r="B18" vm="4257">
        <f ca="1"/>
        <v>39804103</v>
      </c>
      <c r="C18" vm="4258">
        <f ca="1"/>
        <v>47.05</v>
      </c>
      <c r="D18" vm="4259">
        <f ca="1"/>
        <v>48.46</v>
      </c>
      <c r="E18" vm="4056">
        <f ca="1"/>
        <v>47.02</v>
      </c>
      <c r="F18" vm="4059">
        <f ca="1"/>
        <v>48.14</v>
      </c>
    </row>
    <row r="19" spans="1:6" x14ac:dyDescent="0.35">
      <c r="A19" vm="3665">
        <f ca="1"/>
        <v>46106</v>
      </c>
      <c r="B19" vm="4260">
        <f ca="1"/>
        <v>29988292</v>
      </c>
      <c r="C19" vm="4208">
        <f ca="1"/>
        <v>48.52</v>
      </c>
      <c r="D19" vm="4261">
        <f ca="1"/>
        <v>49.11</v>
      </c>
      <c r="E19" vm="4262">
        <f ca="1"/>
        <v>48.18</v>
      </c>
      <c r="F19" vm="4217">
        <f ca="1"/>
        <v>48.75</v>
      </c>
    </row>
    <row r="20" spans="1:6" x14ac:dyDescent="0.35">
      <c r="A20" vm="3669">
        <f ca="1"/>
        <v>46107</v>
      </c>
      <c r="B20" vm="4263">
        <f ca="1"/>
        <v>32502597</v>
      </c>
      <c r="C20" vm="4046">
        <f ca="1"/>
        <v>48.71</v>
      </c>
      <c r="D20" vm="4264">
        <f ca="1"/>
        <v>48.869900000000001</v>
      </c>
      <c r="E20" vm="4265">
        <f ca="1"/>
        <v>48.024999999999999</v>
      </c>
      <c r="F20" vm="4218">
        <f ca="1"/>
        <v>48.24</v>
      </c>
    </row>
    <row r="21" spans="1:6" x14ac:dyDescent="0.35">
      <c r="A21" vm="3673">
        <f ca="1"/>
        <v>46108</v>
      </c>
      <c r="B21" vm="4266">
        <f ca="1"/>
        <v>36781861</v>
      </c>
      <c r="C21" vm="4267">
        <f ca="1"/>
        <v>48.07</v>
      </c>
      <c r="D21" vm="4268">
        <f ca="1"/>
        <v>48.25</v>
      </c>
      <c r="E21" vm="4050">
        <f ca="1"/>
        <v>46.84</v>
      </c>
      <c r="F21" vm="4051">
        <f ca="1"/>
        <v>46.97</v>
      </c>
    </row>
    <row r="22" spans="1:6" x14ac:dyDescent="0.35">
      <c r="A22" vm="3678">
        <f ca="1"/>
        <v>46111</v>
      </c>
      <c r="B22" vm="4269">
        <f ca="1"/>
        <v>43375850</v>
      </c>
      <c r="C22" vm="4270">
        <f ca="1"/>
        <v>47.55</v>
      </c>
      <c r="D22" vm="4271">
        <f ca="1"/>
        <v>47.854999999999997</v>
      </c>
      <c r="E22" vm="4272">
        <f ca="1"/>
        <v>46.93</v>
      </c>
      <c r="F22" vm="4219">
        <f ca="1"/>
        <v>47.23</v>
      </c>
    </row>
    <row r="23" spans="1:6" x14ac:dyDescent="0.35">
      <c r="A23" vm="3683">
        <f ca="1"/>
        <v>46112</v>
      </c>
      <c r="B23" vm="4273">
        <f ca="1"/>
        <v>49060591</v>
      </c>
      <c r="C23" vm="4240">
        <f ca="1"/>
        <v>47.68</v>
      </c>
      <c r="D23" vm="4274">
        <f ca="1"/>
        <v>48.77</v>
      </c>
      <c r="E23" vm="4275">
        <f ca="1"/>
        <v>47.37</v>
      </c>
      <c r="F23" vm="4217">
        <f ca="1"/>
        <v>48.75</v>
      </c>
    </row>
    <row r="24" spans="1:6" x14ac:dyDescent="0.35">
      <c r="A24" vm="3688">
        <f ca="1"/>
        <v>46113</v>
      </c>
      <c r="B24" vm="4276">
        <f ca="1"/>
        <v>32947016</v>
      </c>
      <c r="C24" vm="4277">
        <f ca="1"/>
        <v>49.7</v>
      </c>
      <c r="D24" vm="4278">
        <f ca="1"/>
        <v>50.05</v>
      </c>
      <c r="E24" vm="4279">
        <f ca="1"/>
        <v>48.774999999999999</v>
      </c>
      <c r="F24" vm="4220">
        <f ca="1"/>
        <v>49.27</v>
      </c>
    </row>
    <row r="25" spans="1:6" x14ac:dyDescent="0.35">
      <c r="A25" vm="3693">
        <f ca="1"/>
        <v>46114</v>
      </c>
      <c r="B25" vm="4280">
        <f ca="1"/>
        <v>27548242</v>
      </c>
      <c r="C25" vm="4217">
        <f ca="1"/>
        <v>48.75</v>
      </c>
      <c r="D25" vm="4281">
        <f ca="1"/>
        <v>49.564999999999998</v>
      </c>
      <c r="E25" vm="4282">
        <f ca="1"/>
        <v>48.16</v>
      </c>
      <c r="F25" vm="4221">
        <f ca="1"/>
        <v>49.38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B7BCD-514D-4E61-850C-2C8C93AD811E}">
  <dimension ref="A1:IQ25"/>
  <sheetViews>
    <sheetView workbookViewId="0">
      <selection activeCell="H34" sqref="H34"/>
    </sheetView>
  </sheetViews>
  <sheetFormatPr defaultRowHeight="14.5" x14ac:dyDescent="0.35"/>
  <cols>
    <col min="1" max="1" width="22.1796875" bestFit="1" customWidth="1"/>
    <col min="2" max="2" width="49.54296875" bestFit="1" customWidth="1"/>
  </cols>
  <sheetData>
    <row r="1" spans="1:251" x14ac:dyDescent="0.35">
      <c r="A1" s="2" t="s">
        <v>7</v>
      </c>
      <c r="B1" t="e" vm="10">
        <v>#VALUE!</v>
      </c>
    </row>
    <row r="3" spans="1:251" x14ac:dyDescent="0.35">
      <c r="A3" s="2" t="s">
        <v>34</v>
      </c>
      <c r="B3" s="2" t="s">
        <v>24</v>
      </c>
    </row>
    <row r="4" spans="1:251" x14ac:dyDescent="0.35">
      <c r="A4" t="s">
        <v>35</v>
      </c>
      <c r="B4" t="s">
        <v>23</v>
      </c>
      <c r="C4" cm="1" vm="4283">
        <f t="array" aca="1" ref="C4:IQ4" ca="1">TRANSPOSE(_xlfn.STOCKHISTORY(A4&amp;":"&amp;B4,TODAY()-365,TODAY(),0,0,1))</f>
        <v>908.13</v>
      </c>
      <c r="D4" vm="4284">
        <f ca="1"/>
        <v>908.75</v>
      </c>
      <c r="E4" vm="4285">
        <f ca="1"/>
        <v>965.19</v>
      </c>
      <c r="F4" vm="4286">
        <f ca="1"/>
        <v>964.31</v>
      </c>
      <c r="G4" vm="4287">
        <f ca="1"/>
        <v>963.41</v>
      </c>
      <c r="H4" vm="4288">
        <f ca="1"/>
        <v>979.32</v>
      </c>
      <c r="I4" vm="4289">
        <f ca="1"/>
        <v>976.92</v>
      </c>
      <c r="J4" vm="4290">
        <f ca="1"/>
        <v>967.75</v>
      </c>
      <c r="K4" vm="4291">
        <f ca="1"/>
        <v>994.5</v>
      </c>
      <c r="L4" vm="4292">
        <f ca="1"/>
        <v>957.77</v>
      </c>
      <c r="M4" vm="4293">
        <f ca="1"/>
        <v>979.23</v>
      </c>
      <c r="N4" vm="4294">
        <f ca="1"/>
        <v>975.84</v>
      </c>
      <c r="O4" vm="4295">
        <f ca="1"/>
        <v>975.48</v>
      </c>
      <c r="P4" vm="4296">
        <f ca="1"/>
        <v>977.16</v>
      </c>
      <c r="Q4" vm="4297">
        <f ca="1"/>
        <v>978.54</v>
      </c>
      <c r="R4" vm="4298">
        <f ca="1"/>
        <v>991.7</v>
      </c>
      <c r="S4" vm="4291">
        <f ca="1"/>
        <v>994.5</v>
      </c>
      <c r="T4" vm="4299">
        <f ca="1"/>
        <v>999.04</v>
      </c>
      <c r="U4" vm="4300">
        <f ca="1"/>
        <v>1008.3</v>
      </c>
      <c r="V4" vm="4301">
        <f ca="1"/>
        <v>1014.89</v>
      </c>
      <c r="W4" vm="4302">
        <f ca="1"/>
        <v>1010.5</v>
      </c>
      <c r="X4" vm="4303">
        <f ca="1"/>
        <v>1007.15</v>
      </c>
      <c r="Y4" vm="4304">
        <f ca="1"/>
        <v>1007.71</v>
      </c>
      <c r="Z4" vm="4305">
        <f ca="1"/>
        <v>1008.09</v>
      </c>
      <c r="AA4" vm="4306">
        <f ca="1"/>
        <v>1016.15</v>
      </c>
      <c r="AB4" vm="4307">
        <f ca="1"/>
        <v>999.03</v>
      </c>
      <c r="AC4" vm="4308">
        <f ca="1"/>
        <v>991.54</v>
      </c>
      <c r="AD4" vm="4309">
        <f ca="1"/>
        <v>1010.47</v>
      </c>
      <c r="AE4" vm="4310">
        <f ca="1"/>
        <v>1025.83</v>
      </c>
      <c r="AF4" vm="4311">
        <f ca="1"/>
        <v>1034.3399999999999</v>
      </c>
      <c r="AG4" vm="4312">
        <f ca="1"/>
        <v>1036.82</v>
      </c>
      <c r="AH4" vm="4313">
        <f ca="1"/>
        <v>1025.3</v>
      </c>
      <c r="AI4" vm="4314">
        <f ca="1"/>
        <v>1018.13</v>
      </c>
      <c r="AJ4" vm="4315">
        <f ca="1"/>
        <v>1008.5</v>
      </c>
      <c r="AK4" vm="4316">
        <f ca="1"/>
        <v>1017.79</v>
      </c>
      <c r="AL4" vm="4317">
        <f ca="1"/>
        <v>1013.14</v>
      </c>
      <c r="AM4" vm="4318">
        <f ca="1"/>
        <v>1008.74</v>
      </c>
      <c r="AN4" vm="4319">
        <f ca="1"/>
        <v>1040.18</v>
      </c>
      <c r="AO4" vm="4320">
        <f ca="1"/>
        <v>1056.8499999999999</v>
      </c>
      <c r="AP4" vm="4321">
        <f ca="1"/>
        <v>1055.5899999999999</v>
      </c>
      <c r="AQ4" vm="4322">
        <f ca="1"/>
        <v>1051.69</v>
      </c>
      <c r="AR4" vm="4323">
        <f ca="1"/>
        <v>1010.81</v>
      </c>
      <c r="AS4" vm="4324">
        <f ca="1"/>
        <v>1014.94</v>
      </c>
      <c r="AT4" vm="4325">
        <f ca="1"/>
        <v>1006.18</v>
      </c>
      <c r="AU4" vm="4326">
        <f ca="1"/>
        <v>1007.27</v>
      </c>
      <c r="AV4" vm="4327">
        <f ca="1"/>
        <v>996.78</v>
      </c>
      <c r="AW4" vm="4328">
        <f ca="1"/>
        <v>1002.71</v>
      </c>
      <c r="AX4" vm="4329">
        <f ca="1"/>
        <v>990.21</v>
      </c>
      <c r="AY4" vm="4330">
        <f ca="1"/>
        <v>984.36</v>
      </c>
      <c r="AZ4" vm="4331">
        <f ca="1"/>
        <v>977.72</v>
      </c>
      <c r="BA4" vm="4332">
        <f ca="1"/>
        <v>974.9</v>
      </c>
      <c r="BB4" vm="4333">
        <f ca="1"/>
        <v>980.29</v>
      </c>
      <c r="BC4" vm="4334">
        <f ca="1"/>
        <v>1004.48</v>
      </c>
      <c r="BD4" vm="4335">
        <f ca="1"/>
        <v>1001.92</v>
      </c>
      <c r="BE4" vm="4336">
        <f ca="1"/>
        <v>986.54</v>
      </c>
      <c r="BF4" vm="4337">
        <f ca="1"/>
        <v>982.91</v>
      </c>
      <c r="BG4" vm="4338">
        <f ca="1"/>
        <v>985.14</v>
      </c>
      <c r="BH4" vm="4339">
        <f ca="1"/>
        <v>989.94</v>
      </c>
      <c r="BI4" vm="4340">
        <f ca="1"/>
        <v>985.96</v>
      </c>
      <c r="BJ4" vm="4341">
        <f ca="1"/>
        <v>982.36</v>
      </c>
      <c r="BK4" vm="4342">
        <f ca="1"/>
        <v>987.02</v>
      </c>
      <c r="BL4" vm="4343">
        <f ca="1"/>
        <v>992.18</v>
      </c>
      <c r="BM4" vm="4344">
        <f ca="1"/>
        <v>985.84</v>
      </c>
      <c r="BN4" vm="4345">
        <f ca="1"/>
        <v>982.09</v>
      </c>
      <c r="BO4" vm="4346">
        <f ca="1"/>
        <v>970.17</v>
      </c>
      <c r="BP4" vm="4347">
        <f ca="1"/>
        <v>970.33</v>
      </c>
      <c r="BQ4" vm="4348">
        <f ca="1"/>
        <v>980.91</v>
      </c>
      <c r="BR4" vm="4349">
        <f ca="1"/>
        <v>967.68</v>
      </c>
      <c r="BS4" vm="4350">
        <f ca="1"/>
        <v>951.37</v>
      </c>
      <c r="BT4" vm="4351">
        <f ca="1"/>
        <v>953.91</v>
      </c>
      <c r="BU4" vm="4352">
        <f ca="1"/>
        <v>950.95</v>
      </c>
      <c r="BV4" vm="4353">
        <f ca="1"/>
        <v>947.56</v>
      </c>
      <c r="BW4" vm="4354">
        <f ca="1"/>
        <v>941.61</v>
      </c>
      <c r="BX4" vm="4355">
        <f ca="1"/>
        <v>941.19</v>
      </c>
      <c r="BY4" vm="4356">
        <f ca="1"/>
        <v>933.8</v>
      </c>
      <c r="BZ4" vm="4357">
        <f ca="1"/>
        <v>935.48</v>
      </c>
      <c r="CA4" vm="4358">
        <f ca="1"/>
        <v>933.99</v>
      </c>
      <c r="CB4" vm="4359">
        <f ca="1"/>
        <v>934.57</v>
      </c>
      <c r="CC4" vm="4360">
        <f ca="1"/>
        <v>927.51</v>
      </c>
      <c r="CD4" vm="4361">
        <f ca="1"/>
        <v>939.64</v>
      </c>
      <c r="CE4" vm="4362">
        <f ca="1"/>
        <v>952.52</v>
      </c>
      <c r="CF4" vm="4363">
        <f ca="1"/>
        <v>955.37</v>
      </c>
      <c r="CG4" vm="4364">
        <f ca="1"/>
        <v>943.63</v>
      </c>
      <c r="CH4" vm="4365">
        <f ca="1"/>
        <v>968.56</v>
      </c>
      <c r="CI4" vm="4366">
        <f ca="1"/>
        <v>977.45</v>
      </c>
      <c r="CJ4" vm="4367">
        <f ca="1"/>
        <v>980.98</v>
      </c>
      <c r="CK4" vm="4368">
        <f ca="1"/>
        <v>988.74</v>
      </c>
      <c r="CL4" vm="4369">
        <f ca="1"/>
        <v>991.25</v>
      </c>
      <c r="CM4" vm="4370">
        <f ca="1"/>
        <v>978.85</v>
      </c>
      <c r="CN4" vm="4371">
        <f ca="1"/>
        <v>975.39</v>
      </c>
      <c r="CO4" vm="4372">
        <f ca="1"/>
        <v>972.04</v>
      </c>
      <c r="CP4" vm="4373">
        <f ca="1"/>
        <v>979.35</v>
      </c>
      <c r="CQ4" vm="4374">
        <f ca="1"/>
        <v>980.85</v>
      </c>
      <c r="CR4" vm="4375">
        <f ca="1"/>
        <v>994.57</v>
      </c>
      <c r="CS4" vm="4376">
        <f ca="1"/>
        <v>969.68</v>
      </c>
      <c r="CT4" vm="4377">
        <f ca="1"/>
        <v>958.54</v>
      </c>
      <c r="CU4" vm="4378">
        <f ca="1"/>
        <v>941.58</v>
      </c>
      <c r="CV4" vm="4379">
        <f ca="1"/>
        <v>941.34</v>
      </c>
      <c r="CW4" vm="4380">
        <f ca="1"/>
        <v>949.52</v>
      </c>
      <c r="CX4" vm="4381">
        <f ca="1"/>
        <v>944.96</v>
      </c>
      <c r="CY4" vm="4382">
        <f ca="1"/>
        <v>943.32</v>
      </c>
      <c r="CZ4" vm="4383">
        <f ca="1"/>
        <v>938.82</v>
      </c>
      <c r="DA4" vm="4384">
        <f ca="1"/>
        <v>949.78</v>
      </c>
      <c r="DB4" vm="4385">
        <f ca="1"/>
        <v>955.9</v>
      </c>
      <c r="DC4" vm="4386">
        <f ca="1"/>
        <v>963.48</v>
      </c>
      <c r="DD4" vm="4387">
        <f ca="1"/>
        <v>971.85</v>
      </c>
      <c r="DE4" vm="4388">
        <f ca="1"/>
        <v>979.25</v>
      </c>
      <c r="DF4" vm="4389">
        <f ca="1"/>
        <v>956.29</v>
      </c>
      <c r="DG4" vm="4390">
        <f ca="1"/>
        <v>964.32</v>
      </c>
      <c r="DH4" vm="4391">
        <f ca="1"/>
        <v>967.9</v>
      </c>
      <c r="DI4" vm="4392">
        <f ca="1"/>
        <v>960.1</v>
      </c>
      <c r="DJ4" vm="4393">
        <f ca="1"/>
        <v>952.07</v>
      </c>
      <c r="DK4" vm="4394">
        <f ca="1"/>
        <v>963.03</v>
      </c>
      <c r="DL4" vm="4395">
        <f ca="1"/>
        <v>952.36</v>
      </c>
      <c r="DM4" vm="4396">
        <f ca="1"/>
        <v>951.16</v>
      </c>
      <c r="DN4" vm="1374">
        <f ca="1"/>
        <v>943.26</v>
      </c>
      <c r="DO4" vm="4397">
        <f ca="1"/>
        <v>943.6</v>
      </c>
      <c r="DP4" vm="4398">
        <f ca="1"/>
        <v>945.27</v>
      </c>
      <c r="DQ4" vm="4399">
        <f ca="1"/>
        <v>943.31</v>
      </c>
      <c r="DR4" vm="4400">
        <f ca="1"/>
        <v>915.95</v>
      </c>
      <c r="DS4" vm="4401">
        <f ca="1"/>
        <v>916.87</v>
      </c>
      <c r="DT4" vm="4402">
        <f ca="1"/>
        <v>925.63</v>
      </c>
      <c r="DU4" vm="4403">
        <f ca="1"/>
        <v>917.34</v>
      </c>
      <c r="DV4" vm="4404">
        <f ca="1"/>
        <v>916.77</v>
      </c>
      <c r="DW4" vm="4405">
        <f ca="1"/>
        <v>915.38</v>
      </c>
      <c r="DX4" vm="4406">
        <f ca="1"/>
        <v>910.94</v>
      </c>
      <c r="DY4" vm="4407">
        <f ca="1"/>
        <v>914.8</v>
      </c>
      <c r="DZ4" vm="4407">
        <f ca="1"/>
        <v>914.8</v>
      </c>
      <c r="EA4" vm="4408">
        <f ca="1"/>
        <v>942.89</v>
      </c>
      <c r="EB4" vm="4409">
        <f ca="1"/>
        <v>930.01</v>
      </c>
      <c r="EC4" vm="4410">
        <f ca="1"/>
        <v>935.56</v>
      </c>
      <c r="ED4" vm="4411">
        <f ca="1"/>
        <v>946.51</v>
      </c>
      <c r="EE4" vm="4412">
        <f ca="1"/>
        <v>954.99</v>
      </c>
      <c r="EF4" vm="4413">
        <f ca="1"/>
        <v>925.62</v>
      </c>
      <c r="EG4" vm="4414">
        <f ca="1"/>
        <v>936.33</v>
      </c>
      <c r="EH4" vm="4415">
        <f ca="1"/>
        <v>936.11</v>
      </c>
      <c r="EI4" vm="4416">
        <f ca="1"/>
        <v>937.5</v>
      </c>
      <c r="EJ4" vm="4417">
        <f ca="1"/>
        <v>944.68</v>
      </c>
      <c r="EK4" vm="4418">
        <f ca="1"/>
        <v>942.05</v>
      </c>
      <c r="EL4" vm="4419">
        <f ca="1"/>
        <v>932.14</v>
      </c>
      <c r="EM4" vm="4420">
        <f ca="1"/>
        <v>929.85</v>
      </c>
      <c r="EN4" vm="4421">
        <f ca="1"/>
        <v>924.16</v>
      </c>
      <c r="EO4" vm="4422">
        <f ca="1"/>
        <v>912.42</v>
      </c>
      <c r="EP4" vm="4423">
        <f ca="1"/>
        <v>920.18</v>
      </c>
      <c r="EQ4" vm="4424">
        <f ca="1"/>
        <v>911.45</v>
      </c>
      <c r="ER4" vm="4425">
        <f ca="1"/>
        <v>928.04</v>
      </c>
      <c r="ES4" vm="4426">
        <f ca="1"/>
        <v>940.74</v>
      </c>
      <c r="ET4" vm="4427">
        <f ca="1"/>
        <v>935.03</v>
      </c>
      <c r="EU4" vm="4428">
        <f ca="1"/>
        <v>923.58</v>
      </c>
      <c r="EV4" vm="4429">
        <f ca="1"/>
        <v>922.74</v>
      </c>
      <c r="EW4" vm="4430">
        <f ca="1"/>
        <v>915.56</v>
      </c>
      <c r="EX4" vm="4431">
        <f ca="1"/>
        <v>913.86</v>
      </c>
      <c r="EY4" vm="4432">
        <f ca="1"/>
        <v>914</v>
      </c>
      <c r="EZ4" vm="4433">
        <f ca="1"/>
        <v>925.08</v>
      </c>
      <c r="FA4" vm="4434">
        <f ca="1"/>
        <v>922.98</v>
      </c>
      <c r="FB4" vm="4435">
        <f ca="1"/>
        <v>912.59</v>
      </c>
      <c r="FC4" vm="4436">
        <f ca="1"/>
        <v>895.08</v>
      </c>
      <c r="FD4" vm="4437">
        <f ca="1"/>
        <v>890.6</v>
      </c>
      <c r="FE4" vm="4438">
        <f ca="1"/>
        <v>893.29</v>
      </c>
      <c r="FF4" vm="4439">
        <f ca="1"/>
        <v>899.01</v>
      </c>
      <c r="FG4" vm="4440">
        <f ca="1"/>
        <v>886.12</v>
      </c>
      <c r="FH4" vm="4441">
        <f ca="1"/>
        <v>894.33</v>
      </c>
      <c r="FI4" vm="4442">
        <f ca="1"/>
        <v>908.26</v>
      </c>
      <c r="FJ4" vm="4443">
        <f ca="1"/>
        <v>913.59</v>
      </c>
      <c r="FK4" vm="4444">
        <f ca="1"/>
        <v>911.96</v>
      </c>
      <c r="FL4" vm="4445">
        <f ca="1"/>
        <v>922.03</v>
      </c>
      <c r="FM4" vm="4446">
        <f ca="1"/>
        <v>922.26</v>
      </c>
      <c r="FN4" vm="4447">
        <f ca="1"/>
        <v>895.85500000000002</v>
      </c>
      <c r="FO4" vm="4448">
        <f ca="1"/>
        <v>894.68</v>
      </c>
      <c r="FP4" vm="4449">
        <f ca="1"/>
        <v>887.52</v>
      </c>
      <c r="FQ4" vm="1145">
        <f ca="1"/>
        <v>888.44</v>
      </c>
      <c r="FR4" vm="4450">
        <f ca="1"/>
        <v>874.41</v>
      </c>
      <c r="FS4" vm="4451">
        <f ca="1"/>
        <v>884.48</v>
      </c>
      <c r="FT4" vm="4452">
        <f ca="1"/>
        <v>884.47</v>
      </c>
      <c r="FU4" vm="4453">
        <f ca="1"/>
        <v>860.56</v>
      </c>
      <c r="FV4" vm="4454">
        <f ca="1"/>
        <v>860.39</v>
      </c>
      <c r="FW4" vm="4455">
        <f ca="1"/>
        <v>862.65</v>
      </c>
      <c r="FX4" vm="4456">
        <f ca="1"/>
        <v>857.59</v>
      </c>
      <c r="FY4" vm="4457">
        <f ca="1"/>
        <v>855.62</v>
      </c>
      <c r="FZ4" vm="4458">
        <f ca="1"/>
        <v>850</v>
      </c>
      <c r="GA4" vm="4459">
        <f ca="1"/>
        <v>854.79</v>
      </c>
      <c r="GB4" vm="4460">
        <f ca="1"/>
        <v>871.86</v>
      </c>
      <c r="GC4" vm="4461">
        <f ca="1"/>
        <v>873.35</v>
      </c>
      <c r="GD4" vm="4462">
        <f ca="1"/>
        <v>867.84</v>
      </c>
      <c r="GE4" vm="4463">
        <f ca="1"/>
        <v>865.65</v>
      </c>
      <c r="GF4" vm="4464">
        <f ca="1"/>
        <v>862.34</v>
      </c>
      <c r="GG4" vm="4465">
        <f ca="1"/>
        <v>854.5</v>
      </c>
      <c r="GH4" vm="4466">
        <f ca="1"/>
        <v>875.74</v>
      </c>
      <c r="GI4" vm="4467">
        <f ca="1"/>
        <v>889.1</v>
      </c>
      <c r="GJ4" vm="4468">
        <f ca="1"/>
        <v>882.58</v>
      </c>
      <c r="GK4" vm="4469">
        <f ca="1"/>
        <v>915.31</v>
      </c>
      <c r="GL4" vm="4470">
        <f ca="1"/>
        <v>924.88</v>
      </c>
      <c r="GM4" vm="4471">
        <f ca="1"/>
        <v>943.08</v>
      </c>
      <c r="GN4" vm="4472">
        <f ca="1"/>
        <v>941.93</v>
      </c>
      <c r="GO4" vm="4473">
        <f ca="1"/>
        <v>950.98</v>
      </c>
      <c r="GP4" vm="4474">
        <f ca="1"/>
        <v>956.75</v>
      </c>
      <c r="GQ4" vm="4475">
        <f ca="1"/>
        <v>963.61</v>
      </c>
      <c r="GR4" vm="4476">
        <f ca="1"/>
        <v>964.26</v>
      </c>
      <c r="GS4" vm="4477">
        <f ca="1"/>
        <v>982.86</v>
      </c>
      <c r="GT4" vm="4478">
        <f ca="1"/>
        <v>976.17</v>
      </c>
      <c r="GU4" vm="4479">
        <f ca="1"/>
        <v>983.25</v>
      </c>
      <c r="GV4" vm="4480">
        <f ca="1"/>
        <v>977.67</v>
      </c>
      <c r="GW4" vm="4481">
        <f ca="1"/>
        <v>970.28</v>
      </c>
      <c r="GX4" vm="4482">
        <f ca="1"/>
        <v>960.78</v>
      </c>
      <c r="GY4" vm="4483">
        <f ca="1"/>
        <v>952.89</v>
      </c>
      <c r="GZ4" vm="4484">
        <f ca="1"/>
        <v>940.25</v>
      </c>
      <c r="HA4" vm="4485">
        <f ca="1"/>
        <v>968.36</v>
      </c>
      <c r="HB4" vm="4486">
        <f ca="1"/>
        <v>977.92</v>
      </c>
      <c r="HC4" vm="4487">
        <f ca="1"/>
        <v>978.35</v>
      </c>
      <c r="HD4" vm="4488">
        <f ca="1"/>
        <v>989.29</v>
      </c>
      <c r="HE4" vm="4489">
        <f ca="1"/>
        <v>1001.16</v>
      </c>
      <c r="HF4" vm="4490">
        <f ca="1"/>
        <v>997.59</v>
      </c>
      <c r="HG4" vm="4491">
        <f ca="1"/>
        <v>971.23</v>
      </c>
      <c r="HH4" vm="4492">
        <f ca="1"/>
        <v>978.14</v>
      </c>
      <c r="HI4" vm="4493">
        <f ca="1"/>
        <v>998.86</v>
      </c>
      <c r="HJ4" vm="4494">
        <f ca="1"/>
        <v>1018.48</v>
      </c>
      <c r="HK4" vm="4495">
        <f ca="1"/>
        <v>1012.05</v>
      </c>
      <c r="HL4" vm="4496">
        <f ca="1"/>
        <v>996.08</v>
      </c>
      <c r="HM4" vm="4497">
        <f ca="1"/>
        <v>987.82</v>
      </c>
      <c r="HN4" vm="4498">
        <f ca="1"/>
        <v>985.27</v>
      </c>
      <c r="HO4" vm="4499">
        <f ca="1"/>
        <v>986.02</v>
      </c>
      <c r="HP4" vm="4500">
        <f ca="1"/>
        <v>998.43</v>
      </c>
      <c r="HQ4" vm="4501">
        <f ca="1"/>
        <v>994.76</v>
      </c>
      <c r="HR4" vm="4502">
        <f ca="1"/>
        <v>986.74</v>
      </c>
      <c r="HS4" vm="4503">
        <f ca="1"/>
        <v>1010.79</v>
      </c>
      <c r="HT4" vm="4504">
        <f ca="1"/>
        <v>1002.77</v>
      </c>
      <c r="HU4" vm="4505">
        <f ca="1"/>
        <v>1007.77</v>
      </c>
      <c r="HV4" vm="4506">
        <f ca="1"/>
        <v>1006.74</v>
      </c>
      <c r="HW4" vm="4507">
        <f ca="1"/>
        <v>982.57</v>
      </c>
      <c r="HX4" vm="4508">
        <f ca="1"/>
        <v>998.1</v>
      </c>
      <c r="HY4" vm="4509">
        <f ca="1"/>
        <v>1005.3</v>
      </c>
      <c r="HZ4" vm="4510">
        <f ca="1"/>
        <v>997.36</v>
      </c>
      <c r="IA4" vm="4511">
        <f ca="1"/>
        <v>992.23</v>
      </c>
      <c r="IB4" vm="4512">
        <f ca="1"/>
        <v>1003.32</v>
      </c>
      <c r="IC4" vm="4513">
        <f ca="1"/>
        <v>1008.43</v>
      </c>
      <c r="ID4" vm="4514">
        <f ca="1"/>
        <v>1001.74</v>
      </c>
      <c r="IE4" vm="4515">
        <f ca="1"/>
        <v>996.16</v>
      </c>
      <c r="IF4" vm="4516">
        <f ca="1"/>
        <v>979.92</v>
      </c>
      <c r="IG4" vm="4517">
        <f ca="1"/>
        <v>974.78</v>
      </c>
      <c r="IH4" vm="4518">
        <f ca="1"/>
        <v>972.33</v>
      </c>
      <c r="II4" vm="4519">
        <f ca="1"/>
        <v>965.73</v>
      </c>
      <c r="IJ4" vm="4520">
        <f ca="1"/>
        <v>973.82</v>
      </c>
      <c r="IK4" vm="4521">
        <f ca="1"/>
        <v>974.86</v>
      </c>
      <c r="IL4" vm="4522">
        <f ca="1"/>
        <v>979.65</v>
      </c>
      <c r="IM4" vm="4523">
        <f ca="1"/>
        <v>983.86</v>
      </c>
      <c r="IN4" vm="4524">
        <f ca="1"/>
        <v>996.58</v>
      </c>
      <c r="IO4" vm="4525">
        <f ca="1"/>
        <v>996.43</v>
      </c>
      <c r="IP4" vm="4526">
        <f ca="1"/>
        <v>996.56</v>
      </c>
      <c r="IQ4" vm="4527">
        <f ca="1"/>
        <v>1014.96</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4528">
        <f ca="1"/>
        <v>2348212</v>
      </c>
      <c r="C7" vm="4529">
        <f ca="1"/>
        <v>999.63</v>
      </c>
      <c r="D7" vm="4530">
        <f ca="1"/>
        <v>1007.41</v>
      </c>
      <c r="E7" vm="4531">
        <f ca="1"/>
        <v>987.99</v>
      </c>
      <c r="F7" vm="4509">
        <f ca="1"/>
        <v>1005.3</v>
      </c>
    </row>
    <row r="8" spans="1:251" x14ac:dyDescent="0.35">
      <c r="A8" vm="3612">
        <f ca="1"/>
        <v>46091</v>
      </c>
      <c r="B8" vm="4532">
        <f ca="1"/>
        <v>1613381</v>
      </c>
      <c r="C8" vm="4533">
        <f ca="1"/>
        <v>1000.5</v>
      </c>
      <c r="D8" vm="4534">
        <f ca="1"/>
        <v>1010.1</v>
      </c>
      <c r="E8" vm="4535">
        <f ca="1"/>
        <v>996</v>
      </c>
      <c r="F8" vm="4510">
        <f ca="1"/>
        <v>997.36</v>
      </c>
    </row>
    <row r="9" spans="1:251" x14ac:dyDescent="0.35">
      <c r="A9" vm="3617">
        <f ca="1"/>
        <v>46092</v>
      </c>
      <c r="B9" vm="4536">
        <f ca="1"/>
        <v>1262006</v>
      </c>
      <c r="C9" vm="4537">
        <f ca="1"/>
        <v>996.32</v>
      </c>
      <c r="D9" vm="4538">
        <f ca="1"/>
        <v>997.39</v>
      </c>
      <c r="E9" vm="4539">
        <f ca="1"/>
        <v>987.89</v>
      </c>
      <c r="F9" vm="4511">
        <f ca="1"/>
        <v>992.23</v>
      </c>
    </row>
    <row r="10" spans="1:251" x14ac:dyDescent="0.35">
      <c r="A10" vm="3622">
        <f ca="1"/>
        <v>46093</v>
      </c>
      <c r="B10" vm="4540">
        <f ca="1"/>
        <v>1669248</v>
      </c>
      <c r="C10" vm="4541">
        <f ca="1"/>
        <v>988.61</v>
      </c>
      <c r="D10" vm="4542">
        <f ca="1"/>
        <v>1006.21</v>
      </c>
      <c r="E10" vm="4543">
        <f ca="1"/>
        <v>984</v>
      </c>
      <c r="F10" vm="4512">
        <f ca="1"/>
        <v>1003.32</v>
      </c>
    </row>
    <row r="11" spans="1:251" x14ac:dyDescent="0.35">
      <c r="A11" vm="3627">
        <f ca="1"/>
        <v>46094</v>
      </c>
      <c r="B11" vm="4544">
        <f ca="1"/>
        <v>1469672</v>
      </c>
      <c r="C11" vm="4545">
        <f ca="1"/>
        <v>1005.9</v>
      </c>
      <c r="D11" vm="4546">
        <f ca="1"/>
        <v>1012.83</v>
      </c>
      <c r="E11" vm="4547">
        <f ca="1"/>
        <v>1002</v>
      </c>
      <c r="F11" vm="4513">
        <f ca="1"/>
        <v>1008.43</v>
      </c>
    </row>
    <row r="12" spans="1:251" x14ac:dyDescent="0.35">
      <c r="A12" vm="3631">
        <f ca="1"/>
        <v>46097</v>
      </c>
      <c r="B12" vm="4548">
        <f ca="1"/>
        <v>1243752</v>
      </c>
      <c r="C12" vm="4302">
        <f ca="1"/>
        <v>1010.5</v>
      </c>
      <c r="D12" vm="4549">
        <f ca="1"/>
        <v>1012.65</v>
      </c>
      <c r="E12" vm="4550">
        <f ca="1"/>
        <v>995.43010000000004</v>
      </c>
      <c r="F12" vm="4514">
        <f ca="1"/>
        <v>1001.74</v>
      </c>
    </row>
    <row r="13" spans="1:251" x14ac:dyDescent="0.35">
      <c r="A13" vm="3636">
        <f ca="1"/>
        <v>46098</v>
      </c>
      <c r="B13" vm="4551">
        <f ca="1"/>
        <v>1210414</v>
      </c>
      <c r="C13" vm="4552">
        <f ca="1"/>
        <v>1006.49</v>
      </c>
      <c r="D13" vm="4553">
        <f ca="1"/>
        <v>1008.095</v>
      </c>
      <c r="E13" vm="4554">
        <f ca="1"/>
        <v>994.75</v>
      </c>
      <c r="F13" vm="4515">
        <f ca="1"/>
        <v>996.16</v>
      </c>
    </row>
    <row r="14" spans="1:251" x14ac:dyDescent="0.35">
      <c r="A14" vm="3641">
        <f ca="1"/>
        <v>46099</v>
      </c>
      <c r="B14" vm="4555">
        <f ca="1"/>
        <v>1434421</v>
      </c>
      <c r="C14" vm="4556">
        <f ca="1"/>
        <v>990.37</v>
      </c>
      <c r="D14" vm="4557">
        <f ca="1"/>
        <v>993.9819</v>
      </c>
      <c r="E14" vm="4492">
        <f ca="1"/>
        <v>978.14</v>
      </c>
      <c r="F14" vm="4516">
        <f ca="1"/>
        <v>979.92</v>
      </c>
    </row>
    <row r="15" spans="1:251" x14ac:dyDescent="0.35">
      <c r="A15" vm="3645">
        <f ca="1"/>
        <v>46100</v>
      </c>
      <c r="B15" vm="4558">
        <f ca="1"/>
        <v>1340173</v>
      </c>
      <c r="C15" vm="4344">
        <f ca="1"/>
        <v>985.84</v>
      </c>
      <c r="D15" vm="4559">
        <f ca="1"/>
        <v>988.79</v>
      </c>
      <c r="E15" vm="4560">
        <f ca="1"/>
        <v>970.41</v>
      </c>
      <c r="F15" vm="4517">
        <f ca="1"/>
        <v>974.78</v>
      </c>
    </row>
    <row r="16" spans="1:251" x14ac:dyDescent="0.35">
      <c r="A16" vm="3650">
        <f ca="1"/>
        <v>46101</v>
      </c>
      <c r="B16" vm="4561">
        <f ca="1"/>
        <v>2621555</v>
      </c>
      <c r="C16" vm="4562">
        <f ca="1"/>
        <v>975.08</v>
      </c>
      <c r="D16" vm="4563">
        <f ca="1"/>
        <v>980.76</v>
      </c>
      <c r="E16" vm="4564">
        <f ca="1"/>
        <v>970.54</v>
      </c>
      <c r="F16" vm="4518">
        <f ca="1"/>
        <v>972.33</v>
      </c>
    </row>
    <row r="17" spans="1:6" x14ac:dyDescent="0.35">
      <c r="A17" vm="3655">
        <f ca="1"/>
        <v>46104</v>
      </c>
      <c r="B17" vm="4565">
        <f ca="1"/>
        <v>1779094</v>
      </c>
      <c r="C17" vm="4566">
        <f ca="1"/>
        <v>985.66499999999996</v>
      </c>
      <c r="D17" vm="4567">
        <f ca="1"/>
        <v>986.64</v>
      </c>
      <c r="E17" vm="4568">
        <f ca="1"/>
        <v>964.53</v>
      </c>
      <c r="F17" vm="4519">
        <f ca="1"/>
        <v>965.73</v>
      </c>
    </row>
    <row r="18" spans="1:6" x14ac:dyDescent="0.35">
      <c r="A18" vm="3660">
        <f ca="1"/>
        <v>46105</v>
      </c>
      <c r="B18" vm="4569">
        <f ca="1"/>
        <v>1259325</v>
      </c>
      <c r="C18" vm="4570">
        <f ca="1"/>
        <v>962.06</v>
      </c>
      <c r="D18" vm="4571">
        <f ca="1"/>
        <v>981.28</v>
      </c>
      <c r="E18" vm="4572">
        <f ca="1"/>
        <v>961</v>
      </c>
      <c r="F18" vm="4520">
        <f ca="1"/>
        <v>973.82</v>
      </c>
    </row>
    <row r="19" spans="1:6" x14ac:dyDescent="0.35">
      <c r="A19" vm="3665">
        <f ca="1"/>
        <v>46106</v>
      </c>
      <c r="B19" vm="4573">
        <f ca="1"/>
        <v>1067386</v>
      </c>
      <c r="C19" vm="4574">
        <f ca="1"/>
        <v>978</v>
      </c>
      <c r="D19" vm="4575">
        <f ca="1"/>
        <v>980.81</v>
      </c>
      <c r="E19" vm="4576">
        <f ca="1"/>
        <v>968.05039999999997</v>
      </c>
      <c r="F19" vm="4521">
        <f ca="1"/>
        <v>974.86</v>
      </c>
    </row>
    <row r="20" spans="1:6" x14ac:dyDescent="0.35">
      <c r="A20" vm="3669">
        <f ca="1"/>
        <v>46107</v>
      </c>
      <c r="B20" vm="4577">
        <f ca="1"/>
        <v>1498250</v>
      </c>
      <c r="C20" vm="4578">
        <f ca="1"/>
        <v>975.69</v>
      </c>
      <c r="D20" vm="4579">
        <f ca="1"/>
        <v>987.19</v>
      </c>
      <c r="E20" vm="4580">
        <f ca="1"/>
        <v>972.7201</v>
      </c>
      <c r="F20" vm="4522">
        <f ca="1"/>
        <v>979.65</v>
      </c>
    </row>
    <row r="21" spans="1:6" x14ac:dyDescent="0.35">
      <c r="A21" vm="3673">
        <f ca="1"/>
        <v>46108</v>
      </c>
      <c r="B21" vm="4581">
        <f ca="1"/>
        <v>1540925</v>
      </c>
      <c r="C21" vm="4582">
        <f ca="1"/>
        <v>982.01499999999999</v>
      </c>
      <c r="D21" vm="4583">
        <f ca="1"/>
        <v>987.11</v>
      </c>
      <c r="E21" vm="4584">
        <f ca="1"/>
        <v>978.11</v>
      </c>
      <c r="F21" vm="4523">
        <f ca="1"/>
        <v>983.86</v>
      </c>
    </row>
    <row r="22" spans="1:6" x14ac:dyDescent="0.35">
      <c r="A22" vm="3678">
        <f ca="1"/>
        <v>46111</v>
      </c>
      <c r="B22" vm="4585">
        <f ca="1"/>
        <v>2129129</v>
      </c>
      <c r="C22" vm="4586">
        <f ca="1"/>
        <v>987.65</v>
      </c>
      <c r="D22" vm="4587">
        <f ca="1"/>
        <v>1005.54</v>
      </c>
      <c r="E22" vm="4588">
        <f ca="1"/>
        <v>985.01</v>
      </c>
      <c r="F22" vm="4524">
        <f ca="1"/>
        <v>996.58</v>
      </c>
    </row>
    <row r="23" spans="1:6" x14ac:dyDescent="0.35">
      <c r="A23" vm="3683">
        <f ca="1"/>
        <v>46112</v>
      </c>
      <c r="B23" vm="4589">
        <f ca="1"/>
        <v>2447853</v>
      </c>
      <c r="C23" vm="4590">
        <f ca="1"/>
        <v>997</v>
      </c>
      <c r="D23" vm="4591">
        <f ca="1"/>
        <v>1008.6</v>
      </c>
      <c r="E23" vm="4592">
        <f ca="1"/>
        <v>985.85</v>
      </c>
      <c r="F23" vm="4525">
        <f ca="1"/>
        <v>996.43</v>
      </c>
    </row>
    <row r="24" spans="1:6" x14ac:dyDescent="0.35">
      <c r="A24" vm="3688">
        <f ca="1"/>
        <v>46113</v>
      </c>
      <c r="B24" vm="4593">
        <f ca="1"/>
        <v>1769848</v>
      </c>
      <c r="C24" vm="4594">
        <f ca="1"/>
        <v>995.02499999999998</v>
      </c>
      <c r="D24" vm="4595">
        <f ca="1"/>
        <v>1003.13</v>
      </c>
      <c r="E24" vm="4596">
        <f ca="1"/>
        <v>990.59</v>
      </c>
      <c r="F24" vm="4526">
        <f ca="1"/>
        <v>996.56</v>
      </c>
    </row>
    <row r="25" spans="1:6" x14ac:dyDescent="0.35">
      <c r="A25" vm="3693">
        <f ca="1"/>
        <v>46114</v>
      </c>
      <c r="B25" vm="4597">
        <f ca="1"/>
        <v>1828612</v>
      </c>
      <c r="C25" vm="4598">
        <f ca="1"/>
        <v>1008</v>
      </c>
      <c r="D25" vm="4599">
        <f ca="1"/>
        <v>1016</v>
      </c>
      <c r="E25" vm="4600">
        <f ca="1"/>
        <v>999.21</v>
      </c>
      <c r="F25" vm="4527">
        <f ca="1"/>
        <v>1014.96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1A16-245F-41CD-BD17-30CAA45B1D8B}">
  <dimension ref="A1:IQ25"/>
  <sheetViews>
    <sheetView workbookViewId="0">
      <selection activeCell="H34" sqref="H34"/>
    </sheetView>
  </sheetViews>
  <sheetFormatPr defaultRowHeight="14.5" x14ac:dyDescent="0.35"/>
  <cols>
    <col min="1" max="1" width="22.1796875" bestFit="1" customWidth="1"/>
    <col min="2" max="2" width="39.81640625" bestFit="1" customWidth="1"/>
  </cols>
  <sheetData>
    <row r="1" spans="1:251" x14ac:dyDescent="0.35">
      <c r="A1" s="2" t="s">
        <v>7</v>
      </c>
      <c r="B1" t="e" vm="4">
        <v>#VALUE!</v>
      </c>
    </row>
    <row r="3" spans="1:251" x14ac:dyDescent="0.35">
      <c r="A3" s="2" t="s">
        <v>34</v>
      </c>
      <c r="B3" s="2" t="s">
        <v>24</v>
      </c>
    </row>
    <row r="4" spans="1:251" x14ac:dyDescent="0.35">
      <c r="A4" t="s">
        <v>36</v>
      </c>
      <c r="B4" t="s">
        <v>17</v>
      </c>
      <c r="C4" cm="1" vm="4601">
        <f t="array" aca="1" ref="C4:IQ4" ca="1">TRANSPOSE(_xlfn.STOCKHISTORY(A4&amp;":"&amp;B4,TODAY()-365,TODAY(),0,0,1))</f>
        <v>75</v>
      </c>
      <c r="D4" vm="4602">
        <f ca="1"/>
        <v>72.59</v>
      </c>
      <c r="E4" vm="4603">
        <f ca="1"/>
        <v>84.19</v>
      </c>
      <c r="F4" vm="4604">
        <f ca="1"/>
        <v>78.94</v>
      </c>
      <c r="G4" vm="4605">
        <f ca="1"/>
        <v>81.93</v>
      </c>
      <c r="H4" vm="4606">
        <f ca="1"/>
        <v>85.19</v>
      </c>
      <c r="I4" vm="4607">
        <f ca="1"/>
        <v>85.49</v>
      </c>
      <c r="J4" vm="4608">
        <f ca="1"/>
        <v>83.36</v>
      </c>
      <c r="K4" vm="4609">
        <f ca="1"/>
        <v>84.8</v>
      </c>
      <c r="L4" vm="4610">
        <f ca="1"/>
        <v>82.39</v>
      </c>
      <c r="M4" vm="4611">
        <f ca="1"/>
        <v>84.08</v>
      </c>
      <c r="N4" vm="4612">
        <f ca="1"/>
        <v>89.16</v>
      </c>
      <c r="O4" vm="3433">
        <f ca="1"/>
        <v>94.4</v>
      </c>
      <c r="P4" vm="4613">
        <f ca="1"/>
        <v>94.89</v>
      </c>
      <c r="Q4" vm="454">
        <f ca="1"/>
        <v>94.47</v>
      </c>
      <c r="R4" vm="4614">
        <f ca="1"/>
        <v>93.78</v>
      </c>
      <c r="S4" vm="4615">
        <f ca="1"/>
        <v>91.76</v>
      </c>
      <c r="T4" vm="4616">
        <f ca="1"/>
        <v>91.95</v>
      </c>
      <c r="U4" vm="4617">
        <f ca="1"/>
        <v>94.59</v>
      </c>
      <c r="V4" vm="4618">
        <f ca="1"/>
        <v>94.36</v>
      </c>
      <c r="W4" vm="4619">
        <f ca="1"/>
        <v>93.95</v>
      </c>
      <c r="X4" vm="4620">
        <f ca="1"/>
        <v>95.79</v>
      </c>
      <c r="Y4" vm="4621">
        <f ca="1"/>
        <v>96.22</v>
      </c>
      <c r="Z4" vm="4622">
        <f ca="1"/>
        <v>95.91</v>
      </c>
      <c r="AA4" vm="1505">
        <f ca="1"/>
        <v>103.42</v>
      </c>
      <c r="AB4" vm="4623">
        <f ca="1"/>
        <v>107.85</v>
      </c>
      <c r="AC4" vm="4624">
        <f ca="1"/>
        <v>111.02</v>
      </c>
      <c r="AD4" vm="4625">
        <f ca="1"/>
        <v>110.87</v>
      </c>
      <c r="AE4" vm="4626">
        <f ca="1"/>
        <v>114.19</v>
      </c>
      <c r="AF4" vm="4627">
        <f ca="1"/>
        <v>114.28</v>
      </c>
      <c r="AG4" vm="4628">
        <f ca="1"/>
        <v>114.23</v>
      </c>
      <c r="AH4" vm="4629">
        <f ca="1"/>
        <v>111.93</v>
      </c>
      <c r="AI4" vm="4630">
        <f ca="1"/>
        <v>111.95</v>
      </c>
      <c r="AJ4" vm="4631">
        <f ca="1"/>
        <v>112.11</v>
      </c>
      <c r="AK4" vm="4632">
        <f ca="1"/>
        <v>113.99</v>
      </c>
      <c r="AL4" vm="4633">
        <f ca="1"/>
        <v>113.77</v>
      </c>
      <c r="AM4" vm="4634">
        <f ca="1"/>
        <v>113.63</v>
      </c>
      <c r="AN4" vm="4635">
        <f ca="1"/>
        <v>111.27</v>
      </c>
      <c r="AO4" vm="4636">
        <f ca="1"/>
        <v>108.08</v>
      </c>
      <c r="AP4" vm="4637">
        <f ca="1"/>
        <v>111.9</v>
      </c>
      <c r="AQ4" vm="4638">
        <f ca="1"/>
        <v>112.7</v>
      </c>
      <c r="AR4" vm="4639">
        <f ca="1"/>
        <v>111.82</v>
      </c>
      <c r="AS4" vm="4640">
        <f ca="1"/>
        <v>113.75</v>
      </c>
      <c r="AT4" vm="4641">
        <f ca="1"/>
        <v>114.22</v>
      </c>
      <c r="AU4" vm="4642">
        <f ca="1"/>
        <v>113.25</v>
      </c>
      <c r="AV4" vm="4643">
        <f ca="1"/>
        <v>111.24</v>
      </c>
      <c r="AW4" vm="4644">
        <f ca="1"/>
        <v>113.4</v>
      </c>
      <c r="AX4" vm="1604">
        <f ca="1"/>
        <v>109.56</v>
      </c>
      <c r="AY4" vm="1623">
        <f ca="1"/>
        <v>113.74</v>
      </c>
      <c r="AZ4" vm="4645">
        <f ca="1"/>
        <v>115.93</v>
      </c>
      <c r="BA4" vm="4646">
        <f ca="1"/>
        <v>116.56</v>
      </c>
      <c r="BB4" vm="4647">
        <f ca="1"/>
        <v>119.37</v>
      </c>
      <c r="BC4" vm="4648">
        <f ca="1"/>
        <v>118.02</v>
      </c>
      <c r="BD4" vm="4649">
        <f ca="1"/>
        <v>120.59</v>
      </c>
      <c r="BE4" vm="4650">
        <f ca="1"/>
        <v>120.46</v>
      </c>
      <c r="BF4" vm="4651">
        <f ca="1"/>
        <v>125.98</v>
      </c>
      <c r="BG4" vm="4652">
        <f ca="1"/>
        <v>123.99</v>
      </c>
      <c r="BH4" vm="4653">
        <f ca="1"/>
        <v>122.6</v>
      </c>
      <c r="BI4" vm="485">
        <f ca="1"/>
        <v>121.73</v>
      </c>
      <c r="BJ4" vm="4654">
        <f ca="1"/>
        <v>123.48</v>
      </c>
      <c r="BK4" vm="4655">
        <f ca="1"/>
        <v>125.22</v>
      </c>
      <c r="BL4" vm="4656">
        <f ca="1"/>
        <v>124.77</v>
      </c>
      <c r="BM4" vm="4657">
        <f ca="1"/>
        <v>124.39</v>
      </c>
      <c r="BN4" vm="4658">
        <f ca="1"/>
        <v>126.63</v>
      </c>
      <c r="BO4" vm="3569">
        <f ca="1"/>
        <v>127.91</v>
      </c>
      <c r="BP4" vm="4659">
        <f ca="1"/>
        <v>126.83</v>
      </c>
      <c r="BQ4" vm="4660">
        <f ca="1"/>
        <v>125.67</v>
      </c>
      <c r="BR4" vm="4661">
        <f ca="1"/>
        <v>125.69</v>
      </c>
      <c r="BS4" vm="4662">
        <f ca="1"/>
        <v>123.57</v>
      </c>
      <c r="BT4" vm="4663">
        <f ca="1"/>
        <v>123.88</v>
      </c>
      <c r="BU4" vm="4664">
        <f ca="1"/>
        <v>131.24</v>
      </c>
      <c r="BV4" vm="4665">
        <f ca="1"/>
        <v>128.96</v>
      </c>
      <c r="BW4" vm="4666">
        <f ca="1"/>
        <v>124.33</v>
      </c>
      <c r="BX4" vm="4667">
        <f ca="1"/>
        <v>127.22</v>
      </c>
      <c r="BY4" vm="4668">
        <f ca="1"/>
        <v>128.35</v>
      </c>
      <c r="BZ4" vm="4669">
        <f ca="1"/>
        <v>131.22</v>
      </c>
      <c r="CA4" vm="4670">
        <f ca="1"/>
        <v>133.86000000000001</v>
      </c>
      <c r="CB4" vm="4671">
        <f ca="1"/>
        <v>133.51</v>
      </c>
      <c r="CC4" vm="4672">
        <f ca="1"/>
        <v>133.54</v>
      </c>
      <c r="CD4" vm="4673">
        <f ca="1"/>
        <v>132.69</v>
      </c>
      <c r="CE4" vm="4674">
        <f ca="1"/>
        <v>127.32</v>
      </c>
      <c r="CF4" vm="4675">
        <f ca="1"/>
        <v>130.22999999999999</v>
      </c>
      <c r="CG4" vm="4676">
        <f ca="1"/>
        <v>130.47999999999999</v>
      </c>
      <c r="CH4" vm="4677">
        <f ca="1"/>
        <v>128.13999999999999</v>
      </c>
      <c r="CI4" vm="4678">
        <f ca="1"/>
        <v>133.93</v>
      </c>
      <c r="CJ4" vm="4679">
        <f ca="1"/>
        <v>137.61000000000001</v>
      </c>
      <c r="CK4" vm="4680">
        <f ca="1"/>
        <v>138.32</v>
      </c>
      <c r="CL4" vm="4681">
        <f ca="1"/>
        <v>141.63999999999999</v>
      </c>
      <c r="CM4" vm="4682">
        <f ca="1"/>
        <v>139.13999999999999</v>
      </c>
      <c r="CN4" vm="4683">
        <f ca="1"/>
        <v>138.86000000000001</v>
      </c>
      <c r="CO4" vm="4684">
        <f ca="1"/>
        <v>138.28</v>
      </c>
      <c r="CP4" vm="4685">
        <f ca="1"/>
        <v>138.13</v>
      </c>
      <c r="CQ4" vm="4686">
        <f ca="1"/>
        <v>135.19999999999999</v>
      </c>
      <c r="CR4" vm="4687">
        <f ca="1"/>
        <v>128.47999999999999</v>
      </c>
      <c r="CS4" vm="4688">
        <f ca="1"/>
        <v>127.83</v>
      </c>
      <c r="CT4" vm="4689">
        <f ca="1"/>
        <v>130.84</v>
      </c>
      <c r="CU4" vm="4690">
        <f ca="1"/>
        <v>131.01</v>
      </c>
      <c r="CV4" vm="4691">
        <f ca="1"/>
        <v>130.99</v>
      </c>
      <c r="CW4" vm="4692">
        <f ca="1"/>
        <v>132.5</v>
      </c>
      <c r="CX4" vm="4693">
        <f ca="1"/>
        <v>134.05000000000001</v>
      </c>
      <c r="CY4" vm="1595">
        <f ca="1"/>
        <v>122.15</v>
      </c>
      <c r="CZ4" vm="3775">
        <f ca="1"/>
        <v>120.96</v>
      </c>
      <c r="DA4" vm="4694">
        <f ca="1"/>
        <v>124.02</v>
      </c>
      <c r="DB4" vm="4695">
        <f ca="1"/>
        <v>126.67</v>
      </c>
      <c r="DC4" vm="4696">
        <f ca="1"/>
        <v>124.83</v>
      </c>
      <c r="DD4" vm="2957">
        <f ca="1"/>
        <v>123</v>
      </c>
      <c r="DE4" vm="4697">
        <f ca="1"/>
        <v>121.29</v>
      </c>
      <c r="DF4" vm="4698">
        <f ca="1"/>
        <v>124.45</v>
      </c>
      <c r="DG4" vm="4699">
        <f ca="1"/>
        <v>125.37</v>
      </c>
      <c r="DH4" vm="4700">
        <f ca="1"/>
        <v>125.04</v>
      </c>
      <c r="DI4" vm="4701">
        <f ca="1"/>
        <v>126.8</v>
      </c>
      <c r="DJ4" vm="4702">
        <f ca="1"/>
        <v>127.68</v>
      </c>
      <c r="DK4" vm="4703">
        <f ca="1"/>
        <v>130.34</v>
      </c>
      <c r="DL4" vm="4704">
        <f ca="1"/>
        <v>132.11000000000001</v>
      </c>
      <c r="DM4" vm="4705">
        <f ca="1"/>
        <v>131.94</v>
      </c>
      <c r="DN4" vm="4706">
        <f ca="1"/>
        <v>135.69</v>
      </c>
      <c r="DO4" vm="4707">
        <f ca="1"/>
        <v>134.34</v>
      </c>
      <c r="DP4" vm="4708">
        <f ca="1"/>
        <v>132.09</v>
      </c>
      <c r="DQ4" vm="4709">
        <f ca="1"/>
        <v>130.96</v>
      </c>
      <c r="DR4" vm="4710">
        <f ca="1"/>
        <v>130.76</v>
      </c>
      <c r="DS4" vm="4711">
        <f ca="1"/>
        <v>133.9</v>
      </c>
      <c r="DT4" vm="4712">
        <f ca="1"/>
        <v>141.77000000000001</v>
      </c>
      <c r="DU4" vm="1694">
        <f ca="1"/>
        <v>149.68</v>
      </c>
      <c r="DV4" vm="4713">
        <f ca="1"/>
        <v>147.37</v>
      </c>
      <c r="DW4" vm="4714">
        <f ca="1"/>
        <v>140.74</v>
      </c>
      <c r="DX4" vm="4715">
        <f ca="1"/>
        <v>145.76</v>
      </c>
      <c r="DY4" vm="4716">
        <f ca="1"/>
        <v>150.87</v>
      </c>
      <c r="DZ4" vm="4717">
        <f ca="1"/>
        <v>164.53</v>
      </c>
      <c r="EA4" vm="4718">
        <f ca="1"/>
        <v>155.94999999999999</v>
      </c>
      <c r="EB4" vm="4719">
        <f ca="1"/>
        <v>150.57</v>
      </c>
      <c r="EC4" vm="83">
        <f ca="1"/>
        <v>153.4</v>
      </c>
      <c r="ED4" vm="4720">
        <f ca="1"/>
        <v>148.77000000000001</v>
      </c>
      <c r="EE4" vm="4721">
        <f ca="1"/>
        <v>153.69999999999999</v>
      </c>
      <c r="EF4" vm="4722">
        <f ca="1"/>
        <v>151.31</v>
      </c>
      <c r="EG4" vm="4723">
        <f ca="1"/>
        <v>149.59</v>
      </c>
      <c r="EH4" vm="4724">
        <f ca="1"/>
        <v>147.87</v>
      </c>
      <c r="EI4" vm="4725">
        <f ca="1"/>
        <v>149.43</v>
      </c>
      <c r="EJ4" vm="4726">
        <f ca="1"/>
        <v>150.13</v>
      </c>
      <c r="EK4" vm="4727">
        <f ca="1"/>
        <v>154.22999999999999</v>
      </c>
      <c r="EL4" vm="4728">
        <f ca="1"/>
        <v>158.63999999999999</v>
      </c>
      <c r="EM4" vm="4729">
        <f ca="1"/>
        <v>162.19</v>
      </c>
      <c r="EN4" vm="4730">
        <f ca="1"/>
        <v>164.88</v>
      </c>
      <c r="EO4" vm="4731">
        <f ca="1"/>
        <v>163.6</v>
      </c>
      <c r="EP4" vm="4732">
        <f ca="1"/>
        <v>161.01</v>
      </c>
      <c r="EQ4" vm="4733">
        <f ca="1"/>
        <v>162.01</v>
      </c>
      <c r="ER4" vm="4734">
        <f ca="1"/>
        <v>160.11000000000001</v>
      </c>
      <c r="ES4" vm="4735">
        <f ca="1"/>
        <v>154.63999999999999</v>
      </c>
      <c r="ET4" vm="1801">
        <f ca="1"/>
        <v>152.41</v>
      </c>
      <c r="EU4" vm="4736">
        <f ca="1"/>
        <v>149.18</v>
      </c>
      <c r="EV4" vm="55">
        <f ca="1"/>
        <v>146.69999999999999</v>
      </c>
      <c r="EW4" vm="4737">
        <f ca="1"/>
        <v>142.69</v>
      </c>
      <c r="EX4" vm="4738">
        <f ca="1"/>
        <v>138.76</v>
      </c>
      <c r="EY4" vm="4739">
        <f ca="1"/>
        <v>140.71</v>
      </c>
      <c r="EZ4" vm="4740">
        <f ca="1"/>
        <v>133.94</v>
      </c>
      <c r="FA4" vm="4741">
        <f ca="1"/>
        <v>133.76</v>
      </c>
      <c r="FB4" vm="4742">
        <f ca="1"/>
        <v>122.48</v>
      </c>
      <c r="FC4" vm="1593">
        <f ca="1"/>
        <v>122.69</v>
      </c>
      <c r="FD4" vm="4743">
        <f ca="1"/>
        <v>119.38</v>
      </c>
      <c r="FE4" vm="4744">
        <f ca="1"/>
        <v>117.4</v>
      </c>
      <c r="FF4" vm="4745">
        <f ca="1"/>
        <v>122.51</v>
      </c>
      <c r="FG4" vm="4667">
        <f ca="1"/>
        <v>127.22</v>
      </c>
      <c r="FH4" vm="4746">
        <f ca="1"/>
        <v>125.92</v>
      </c>
      <c r="FI4" vm="4747">
        <f ca="1"/>
        <v>133.26</v>
      </c>
      <c r="FJ4" vm="4748">
        <f ca="1"/>
        <v>133.35</v>
      </c>
      <c r="FK4" vm="4708">
        <f ca="1"/>
        <v>132.09</v>
      </c>
      <c r="FL4" vm="4749">
        <f ca="1"/>
        <v>135.94999999999999</v>
      </c>
      <c r="FM4" vm="4750">
        <f ca="1"/>
        <v>133.63</v>
      </c>
      <c r="FN4" vm="4751">
        <f ca="1"/>
        <v>138.99</v>
      </c>
      <c r="FO4" vm="4752">
        <f ca="1"/>
        <v>138.91</v>
      </c>
      <c r="FP4" vm="4753">
        <f ca="1"/>
        <v>140.41</v>
      </c>
      <c r="FQ4" vm="3944">
        <f ca="1"/>
        <v>138.22</v>
      </c>
      <c r="FR4" vm="4754">
        <f ca="1"/>
        <v>140.63</v>
      </c>
      <c r="FS4" vm="4755">
        <f ca="1"/>
        <v>138.6</v>
      </c>
      <c r="FT4" vm="4756">
        <f ca="1"/>
        <v>129.97999999999999</v>
      </c>
      <c r="FU4" vm="4757">
        <f ca="1"/>
        <v>130.51</v>
      </c>
      <c r="FV4" vm="4758">
        <f ca="1"/>
        <v>133.75</v>
      </c>
      <c r="FW4" vm="4759">
        <f ca="1"/>
        <v>127.89</v>
      </c>
      <c r="FX4" vm="3783">
        <f ca="1"/>
        <v>122.94</v>
      </c>
      <c r="FY4" vm="4760">
        <f ca="1"/>
        <v>126.42</v>
      </c>
      <c r="FZ4" vm="4761">
        <f ca="1"/>
        <v>126.61</v>
      </c>
      <c r="GA4" vm="4762">
        <f ca="1"/>
        <v>127.62</v>
      </c>
      <c r="GB4" vm="4763">
        <f ca="1"/>
        <v>128.38</v>
      </c>
      <c r="GC4" vm="4764">
        <f ca="1"/>
        <v>129.24</v>
      </c>
      <c r="GD4" vm="4765">
        <f ca="1"/>
        <v>127.46</v>
      </c>
      <c r="GE4" vm="4766">
        <f ca="1"/>
        <v>127.92</v>
      </c>
      <c r="GF4" vm="4767">
        <f ca="1"/>
        <v>125.88</v>
      </c>
      <c r="GG4" vm="4768">
        <f ca="1"/>
        <v>127.8</v>
      </c>
      <c r="GH4" vm="4769">
        <f ca="1"/>
        <v>124.01</v>
      </c>
      <c r="GI4" vm="4770">
        <f ca="1"/>
        <v>123.93</v>
      </c>
      <c r="GJ4" vm="4771">
        <f ca="1"/>
        <v>120.07</v>
      </c>
      <c r="GK4" vm="488">
        <f ca="1"/>
        <v>118.5</v>
      </c>
      <c r="GL4" vm="4772">
        <f ca="1"/>
        <v>120.62</v>
      </c>
      <c r="GM4" vm="4773">
        <f ca="1"/>
        <v>120.47</v>
      </c>
      <c r="GN4" vm="4774">
        <f ca="1"/>
        <v>119.66</v>
      </c>
      <c r="GO4" vm="4775">
        <f ca="1"/>
        <v>118.69</v>
      </c>
      <c r="GP4" vm="4774">
        <f ca="1"/>
        <v>119.66</v>
      </c>
      <c r="GQ4" vm="4776">
        <f ca="1"/>
        <v>120.53</v>
      </c>
      <c r="GR4" vm="4777">
        <f ca="1"/>
        <v>111.07</v>
      </c>
      <c r="GS4" vm="4778">
        <f ca="1"/>
        <v>113.26</v>
      </c>
      <c r="GT4" vm="470">
        <f ca="1"/>
        <v>117.17</v>
      </c>
      <c r="GU4" vm="4779">
        <f ca="1"/>
        <v>115.43</v>
      </c>
      <c r="GV4" vm="4645">
        <f ca="1"/>
        <v>115.93</v>
      </c>
      <c r="GW4" vm="4780">
        <f ca="1"/>
        <v>114.66</v>
      </c>
      <c r="GX4" vm="4781">
        <f ca="1"/>
        <v>117.32</v>
      </c>
      <c r="GY4" vm="4782">
        <f ca="1"/>
        <v>118.49</v>
      </c>
      <c r="GZ4" vm="4783">
        <f ca="1"/>
        <v>114.44</v>
      </c>
      <c r="HA4" vm="4784">
        <f ca="1"/>
        <v>119.16</v>
      </c>
      <c r="HB4" vm="4785">
        <f ca="1"/>
        <v>117.15</v>
      </c>
      <c r="HC4" vm="4786">
        <f ca="1"/>
        <v>122.04</v>
      </c>
      <c r="HD4" vm="4787">
        <f ca="1"/>
        <v>115.39</v>
      </c>
      <c r="HE4" vm="4788">
        <f ca="1"/>
        <v>121.05</v>
      </c>
      <c r="HF4" vm="4789">
        <f ca="1"/>
        <v>120.91</v>
      </c>
      <c r="HG4" vm="4790">
        <f ca="1"/>
        <v>126.01</v>
      </c>
      <c r="HH4" vm="4791">
        <f ca="1"/>
        <v>124.16</v>
      </c>
      <c r="HI4" vm="4792">
        <f ca="1"/>
        <v>112.82</v>
      </c>
      <c r="HJ4" vm="4793">
        <f ca="1"/>
        <v>117.49</v>
      </c>
      <c r="HK4" vm="4794">
        <f ca="1"/>
        <v>116.09</v>
      </c>
      <c r="HL4" vm="4795">
        <f ca="1"/>
        <v>116.78</v>
      </c>
      <c r="HM4" vm="4796">
        <f ca="1"/>
        <v>119.06</v>
      </c>
      <c r="HN4" vm="4797">
        <f ca="1"/>
        <v>122.27</v>
      </c>
      <c r="HO4" vm="3551">
        <f ca="1"/>
        <v>119.14</v>
      </c>
      <c r="HP4" vm="4798">
        <f ca="1"/>
        <v>119.78</v>
      </c>
      <c r="HQ4" vm="4654">
        <f ca="1"/>
        <v>123.48</v>
      </c>
      <c r="HR4" vm="4799">
        <f ca="1"/>
        <v>121.45</v>
      </c>
      <c r="HS4" vm="4800">
        <f ca="1"/>
        <v>148.08000000000001</v>
      </c>
      <c r="HT4" vm="1745">
        <f ca="1"/>
        <v>153.55000000000001</v>
      </c>
      <c r="HU4" vm="4801">
        <f ca="1"/>
        <v>145.18</v>
      </c>
      <c r="HV4" vm="3794">
        <f ca="1"/>
        <v>147.1</v>
      </c>
      <c r="HW4" vm="4802">
        <f ca="1"/>
        <v>146.52000000000001</v>
      </c>
      <c r="HX4" vm="4803">
        <f ca="1"/>
        <v>146.47999999999999</v>
      </c>
      <c r="HY4" vm="4804">
        <f ca="1"/>
        <v>146.51</v>
      </c>
      <c r="HZ4" vm="4805">
        <f ca="1"/>
        <v>143.80000000000001</v>
      </c>
      <c r="IA4" vm="4713">
        <f ca="1"/>
        <v>147.37</v>
      </c>
      <c r="IB4" vm="4806">
        <f ca="1"/>
        <v>149.91</v>
      </c>
      <c r="IC4" vm="4807">
        <f ca="1"/>
        <v>151.62</v>
      </c>
      <c r="ID4" vm="1804">
        <f ca="1"/>
        <v>156.54</v>
      </c>
      <c r="IE4" vm="4808">
        <f ca="1"/>
        <v>153.01</v>
      </c>
      <c r="IF4" vm="4809">
        <f ca="1"/>
        <v>149.21</v>
      </c>
      <c r="IG4" vm="4810">
        <f ca="1"/>
        <v>156.76</v>
      </c>
      <c r="IH4" vm="4811">
        <f ca="1"/>
        <v>157.66999999999999</v>
      </c>
      <c r="II4" vm="4812">
        <f ca="1"/>
        <v>164.59</v>
      </c>
      <c r="IJ4" vm="2107">
        <f ca="1"/>
        <v>176.91</v>
      </c>
      <c r="IK4" vm="4813">
        <f ca="1"/>
        <v>184.01</v>
      </c>
      <c r="IL4" vm="4814">
        <f ca="1"/>
        <v>175.82</v>
      </c>
      <c r="IM4" vm="4815">
        <f ca="1"/>
        <v>171.81</v>
      </c>
      <c r="IN4" vm="4816">
        <f ca="1"/>
        <v>164.66</v>
      </c>
      <c r="IO4" vm="4817">
        <f ca="1"/>
        <v>164.13</v>
      </c>
      <c r="IP4" vm="4818">
        <f ca="1"/>
        <v>169.38</v>
      </c>
      <c r="IQ4" vm="4819">
        <f ca="1"/>
        <v>174.37</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4820">
        <f ca="1"/>
        <v>7400609</v>
      </c>
      <c r="C7" vm="4821">
        <f ca="1"/>
        <v>144.6</v>
      </c>
      <c r="D7" vm="55">
        <f ca="1"/>
        <v>146.69999999999999</v>
      </c>
      <c r="E7" vm="4822">
        <f ca="1"/>
        <v>141.36000000000001</v>
      </c>
      <c r="F7" vm="4804">
        <f ca="1"/>
        <v>146.51</v>
      </c>
    </row>
    <row r="8" spans="1:251" x14ac:dyDescent="0.35">
      <c r="A8" vm="3612">
        <f ca="1"/>
        <v>46091</v>
      </c>
      <c r="B8" vm="4823">
        <f ca="1"/>
        <v>7518682</v>
      </c>
      <c r="C8" vm="4824">
        <f ca="1"/>
        <v>146.285</v>
      </c>
      <c r="D8" vm="4825">
        <f ca="1"/>
        <v>146.88999999999999</v>
      </c>
      <c r="E8" vm="4826">
        <f ca="1"/>
        <v>137.495</v>
      </c>
      <c r="F8" vm="4805">
        <f ca="1"/>
        <v>143.80000000000001</v>
      </c>
    </row>
    <row r="9" spans="1:251" x14ac:dyDescent="0.35">
      <c r="A9" vm="3617">
        <f ca="1"/>
        <v>46092</v>
      </c>
      <c r="B9" vm="4827">
        <f ca="1"/>
        <v>5405664</v>
      </c>
      <c r="C9" vm="4828">
        <f ca="1"/>
        <v>145.66</v>
      </c>
      <c r="D9" vm="4829">
        <f ca="1"/>
        <v>149.4699</v>
      </c>
      <c r="E9" vm="4830">
        <f ca="1"/>
        <v>145.15</v>
      </c>
      <c r="F9" vm="4713">
        <f ca="1"/>
        <v>147.37</v>
      </c>
    </row>
    <row r="10" spans="1:251" x14ac:dyDescent="0.35">
      <c r="A10" vm="3622">
        <f ca="1"/>
        <v>46093</v>
      </c>
      <c r="B10" vm="4831">
        <f ca="1"/>
        <v>7340868</v>
      </c>
      <c r="C10" vm="4832">
        <f ca="1"/>
        <v>147.15</v>
      </c>
      <c r="D10" vm="4833">
        <f ca="1"/>
        <v>151.85</v>
      </c>
      <c r="E10" vm="4834">
        <f ca="1"/>
        <v>147.08500000000001</v>
      </c>
      <c r="F10" vm="4806">
        <f ca="1"/>
        <v>149.91</v>
      </c>
    </row>
    <row r="11" spans="1:251" x14ac:dyDescent="0.35">
      <c r="A11" vm="3627">
        <f ca="1"/>
        <v>46094</v>
      </c>
      <c r="B11" vm="4835">
        <f ca="1"/>
        <v>6441089</v>
      </c>
      <c r="C11" vm="4836">
        <f ca="1"/>
        <v>151</v>
      </c>
      <c r="D11" vm="4837">
        <f ca="1"/>
        <v>152.94999999999999</v>
      </c>
      <c r="E11" vm="4838">
        <f ca="1"/>
        <v>146.82</v>
      </c>
      <c r="F11" vm="4807">
        <f ca="1"/>
        <v>151.62</v>
      </c>
    </row>
    <row r="12" spans="1:251" x14ac:dyDescent="0.35">
      <c r="A12" vm="3631">
        <f ca="1"/>
        <v>46097</v>
      </c>
      <c r="B12" vm="4839">
        <f ca="1"/>
        <v>7923360</v>
      </c>
      <c r="C12" vm="4840">
        <f ca="1"/>
        <v>153.05000000000001</v>
      </c>
      <c r="D12" vm="79">
        <f ca="1"/>
        <v>157.80000000000001</v>
      </c>
      <c r="E12" vm="4841">
        <f ca="1"/>
        <v>152.68</v>
      </c>
      <c r="F12" vm="1804">
        <f ca="1"/>
        <v>156.54</v>
      </c>
    </row>
    <row r="13" spans="1:251" x14ac:dyDescent="0.35">
      <c r="A13" vm="3636">
        <f ca="1"/>
        <v>46098</v>
      </c>
      <c r="B13" vm="4842">
        <f ca="1"/>
        <v>6675798</v>
      </c>
      <c r="C13" vm="4843">
        <f ca="1"/>
        <v>154.75</v>
      </c>
      <c r="D13" vm="1769">
        <f ca="1"/>
        <v>155.02000000000001</v>
      </c>
      <c r="E13" vm="4844">
        <f ca="1"/>
        <v>151.80000000000001</v>
      </c>
      <c r="F13" vm="4808">
        <f ca="1"/>
        <v>153.01</v>
      </c>
    </row>
    <row r="14" spans="1:251" x14ac:dyDescent="0.35">
      <c r="A14" vm="3641">
        <f ca="1"/>
        <v>46099</v>
      </c>
      <c r="B14" vm="4845">
        <f ca="1"/>
        <v>5460722</v>
      </c>
      <c r="C14" vm="4846">
        <f ca="1"/>
        <v>152.71</v>
      </c>
      <c r="D14" vm="1769">
        <f ca="1"/>
        <v>155.02000000000001</v>
      </c>
      <c r="E14" vm="4847">
        <f ca="1"/>
        <v>148.93</v>
      </c>
      <c r="F14" vm="4809">
        <f ca="1"/>
        <v>149.21</v>
      </c>
    </row>
    <row r="15" spans="1:251" x14ac:dyDescent="0.35">
      <c r="A15" vm="3645">
        <f ca="1"/>
        <v>46100</v>
      </c>
      <c r="B15" vm="4848">
        <f ca="1"/>
        <v>7715340</v>
      </c>
      <c r="C15" vm="4849">
        <f ca="1"/>
        <v>146.58500000000001</v>
      </c>
      <c r="D15" vm="4850">
        <f ca="1"/>
        <v>157.07</v>
      </c>
      <c r="E15" vm="4851">
        <f ca="1"/>
        <v>146.57</v>
      </c>
      <c r="F15" vm="4810">
        <f ca="1"/>
        <v>156.76</v>
      </c>
    </row>
    <row r="16" spans="1:251" x14ac:dyDescent="0.35">
      <c r="A16" vm="3650">
        <f ca="1"/>
        <v>46101</v>
      </c>
      <c r="B16" vm="4852">
        <f ca="1"/>
        <v>23135869</v>
      </c>
      <c r="C16" vm="4853">
        <f ca="1"/>
        <v>163.5</v>
      </c>
      <c r="D16" vm="3872">
        <f ca="1"/>
        <v>169.9</v>
      </c>
      <c r="E16" vm="4811">
        <f ca="1"/>
        <v>157.66999999999999</v>
      </c>
      <c r="F16" vm="4811">
        <f ca="1"/>
        <v>157.66999999999999</v>
      </c>
    </row>
    <row r="17" spans="1:6" x14ac:dyDescent="0.35">
      <c r="A17" vm="3655">
        <f ca="1"/>
        <v>46104</v>
      </c>
      <c r="B17" vm="4854">
        <f ca="1"/>
        <v>10721325</v>
      </c>
      <c r="C17" vm="1720">
        <f ca="1"/>
        <v>159.24</v>
      </c>
      <c r="D17" vm="4855">
        <f ca="1"/>
        <v>165.42</v>
      </c>
      <c r="E17" vm="4856">
        <f ca="1"/>
        <v>158.63</v>
      </c>
      <c r="F17" vm="4812">
        <f ca="1"/>
        <v>164.59</v>
      </c>
    </row>
    <row r="18" spans="1:6" x14ac:dyDescent="0.35">
      <c r="A18" vm="3660">
        <f ca="1"/>
        <v>46105</v>
      </c>
      <c r="B18" vm="4857">
        <f ca="1"/>
        <v>15886495</v>
      </c>
      <c r="C18" vm="4858">
        <f ca="1"/>
        <v>163.62</v>
      </c>
      <c r="D18" vm="4859">
        <f ca="1"/>
        <v>178.31</v>
      </c>
      <c r="E18" vm="4860">
        <f ca="1"/>
        <v>163.37</v>
      </c>
      <c r="F18" vm="2107">
        <f ca="1"/>
        <v>176.91</v>
      </c>
    </row>
    <row r="19" spans="1:6" x14ac:dyDescent="0.35">
      <c r="A19" vm="3665">
        <f ca="1"/>
        <v>46106</v>
      </c>
      <c r="B19" vm="4861">
        <f ca="1"/>
        <v>11330772</v>
      </c>
      <c r="C19" vm="4862">
        <f ca="1"/>
        <v>177.76</v>
      </c>
      <c r="D19" vm="3104">
        <f ca="1"/>
        <v>184.86</v>
      </c>
      <c r="E19" vm="4863">
        <f ca="1"/>
        <v>177.62</v>
      </c>
      <c r="F19" vm="4813">
        <f ca="1"/>
        <v>184.01</v>
      </c>
    </row>
    <row r="20" spans="1:6" x14ac:dyDescent="0.35">
      <c r="A20" vm="3669">
        <f ca="1"/>
        <v>46107</v>
      </c>
      <c r="B20" vm="4864">
        <f ca="1"/>
        <v>11061283</v>
      </c>
      <c r="C20" vm="4865">
        <f ca="1"/>
        <v>182.71</v>
      </c>
      <c r="D20" vm="931">
        <f ca="1"/>
        <v>186.39</v>
      </c>
      <c r="E20" vm="4866">
        <f ca="1"/>
        <v>175.55</v>
      </c>
      <c r="F20" vm="4814">
        <f ca="1"/>
        <v>175.82</v>
      </c>
    </row>
    <row r="21" spans="1:6" x14ac:dyDescent="0.35">
      <c r="A21" vm="3673">
        <f ca="1"/>
        <v>46108</v>
      </c>
      <c r="B21" vm="4867">
        <f ca="1"/>
        <v>8011470</v>
      </c>
      <c r="C21" vm="4868">
        <f ca="1"/>
        <v>175.13</v>
      </c>
      <c r="D21" vm="3091">
        <f ca="1"/>
        <v>176.29</v>
      </c>
      <c r="E21" vm="4869">
        <f ca="1"/>
        <v>170.345</v>
      </c>
      <c r="F21" vm="4815">
        <f ca="1"/>
        <v>171.81</v>
      </c>
    </row>
    <row r="22" spans="1:6" x14ac:dyDescent="0.35">
      <c r="A22" vm="3678">
        <f ca="1"/>
        <v>46111</v>
      </c>
      <c r="B22" vm="4870">
        <f ca="1"/>
        <v>10135271</v>
      </c>
      <c r="C22" vm="4871">
        <f ca="1"/>
        <v>172.77</v>
      </c>
      <c r="D22" vm="4872">
        <f ca="1"/>
        <v>174</v>
      </c>
      <c r="E22" vm="3801">
        <f ca="1"/>
        <v>162.47999999999999</v>
      </c>
      <c r="F22" vm="4816">
        <f ca="1"/>
        <v>164.66</v>
      </c>
    </row>
    <row r="23" spans="1:6" x14ac:dyDescent="0.35">
      <c r="A23" vm="3683">
        <f ca="1"/>
        <v>46112</v>
      </c>
      <c r="B23" vm="4873">
        <f ca="1"/>
        <v>13713718</v>
      </c>
      <c r="C23" vm="4874">
        <f ca="1"/>
        <v>164.29</v>
      </c>
      <c r="D23" vm="4875">
        <f ca="1"/>
        <v>167.99</v>
      </c>
      <c r="E23" vm="2059">
        <f ca="1"/>
        <v>155.37</v>
      </c>
      <c r="F23" vm="4817">
        <f ca="1"/>
        <v>164.13</v>
      </c>
    </row>
    <row r="24" spans="1:6" x14ac:dyDescent="0.35">
      <c r="A24" vm="3688">
        <f ca="1"/>
        <v>46113</v>
      </c>
      <c r="B24" vm="4876">
        <f ca="1"/>
        <v>7311128</v>
      </c>
      <c r="C24" vm="4877">
        <f ca="1"/>
        <v>166.98</v>
      </c>
      <c r="D24" vm="4878">
        <f ca="1"/>
        <v>171.33</v>
      </c>
      <c r="E24" vm="4879">
        <f ca="1"/>
        <v>164.76</v>
      </c>
      <c r="F24" vm="4818">
        <f ca="1"/>
        <v>169.38</v>
      </c>
    </row>
    <row r="25" spans="1:6" x14ac:dyDescent="0.35">
      <c r="A25" vm="3693">
        <f ca="1"/>
        <v>46114</v>
      </c>
      <c r="B25" vm="4880">
        <f ca="1"/>
        <v>5217126</v>
      </c>
      <c r="C25" vm="4881">
        <f ca="1"/>
        <v>166.99</v>
      </c>
      <c r="D25" vm="4819">
        <f ca="1"/>
        <v>174.37</v>
      </c>
      <c r="E25" vm="4882">
        <f ca="1"/>
        <v>166.495</v>
      </c>
      <c r="F25" vm="4819">
        <f ca="1"/>
        <v>174.37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54C31-E866-47D7-8651-97EAB5F022F6}">
  <dimension ref="A1:IQ25"/>
  <sheetViews>
    <sheetView workbookViewId="0">
      <selection activeCell="H34" sqref="H34"/>
    </sheetView>
  </sheetViews>
  <sheetFormatPr defaultRowHeight="14.5" x14ac:dyDescent="0.35"/>
  <cols>
    <col min="1" max="1" width="22.1796875" bestFit="1" customWidth="1"/>
    <col min="2" max="2" width="42.08984375" bestFit="1" customWidth="1"/>
  </cols>
  <sheetData>
    <row r="1" spans="1:251" x14ac:dyDescent="0.35">
      <c r="A1" s="2" t="s">
        <v>7</v>
      </c>
      <c r="B1" t="e" vm="6">
        <v>#VALUE!</v>
      </c>
    </row>
    <row r="3" spans="1:251" x14ac:dyDescent="0.35">
      <c r="A3" s="2" t="s">
        <v>34</v>
      </c>
      <c r="B3" s="2" t="s">
        <v>24</v>
      </c>
    </row>
    <row r="4" spans="1:251" x14ac:dyDescent="0.35">
      <c r="A4" t="s">
        <v>36</v>
      </c>
      <c r="B4" t="s">
        <v>19</v>
      </c>
      <c r="C4" cm="1" vm="4883">
        <f t="array" aca="1" ref="C4:IQ4" ca="1">TRANSPOSE(_xlfn.STOCKHISTORY(A4&amp;":"&amp;B4,TODAY()-365,TODAY(),0,0,1))</f>
        <v>102.94</v>
      </c>
      <c r="D4" vm="4884">
        <f ca="1"/>
        <v>100.77</v>
      </c>
      <c r="E4" vm="4885">
        <f ca="1"/>
        <v>105.8</v>
      </c>
      <c r="F4" vm="4886">
        <f ca="1"/>
        <v>99.93</v>
      </c>
      <c r="G4" vm="4887">
        <f ca="1"/>
        <v>103.14</v>
      </c>
      <c r="H4" vm="4888">
        <f ca="1"/>
        <v>103.39</v>
      </c>
      <c r="I4" vm="4889">
        <f ca="1"/>
        <v>103.1</v>
      </c>
      <c r="J4" vm="4890">
        <f ca="1"/>
        <v>104.19</v>
      </c>
      <c r="K4" vm="4891">
        <f ca="1"/>
        <v>106.92</v>
      </c>
      <c r="L4" vm="4892">
        <f ca="1"/>
        <v>105.35</v>
      </c>
      <c r="M4" vm="4893">
        <f ca="1"/>
        <v>108.3</v>
      </c>
      <c r="N4" vm="4894">
        <f ca="1"/>
        <v>107.37</v>
      </c>
      <c r="O4" vm="4895">
        <f ca="1"/>
        <v>108.63</v>
      </c>
      <c r="P4" vm="4896">
        <f ca="1"/>
        <v>108.57</v>
      </c>
      <c r="Q4" vm="4895">
        <f ca="1"/>
        <v>108.63</v>
      </c>
      <c r="R4" vm="4897">
        <f ca="1"/>
        <v>108.36</v>
      </c>
      <c r="S4" vm="4898">
        <f ca="1"/>
        <v>105.63</v>
      </c>
      <c r="T4" vm="4899">
        <f ca="1"/>
        <v>105.78</v>
      </c>
      <c r="U4" vm="4900">
        <f ca="1"/>
        <v>106.21</v>
      </c>
      <c r="V4" vm="4901">
        <f ca="1"/>
        <v>103.27</v>
      </c>
      <c r="W4" vm="4902">
        <f ca="1"/>
        <v>104.71</v>
      </c>
      <c r="X4" vm="4903">
        <f ca="1"/>
        <v>104.61</v>
      </c>
      <c r="Y4" vm="4904">
        <f ca="1"/>
        <v>106.07</v>
      </c>
      <c r="Z4" vm="4905">
        <f ca="1"/>
        <v>107.31</v>
      </c>
      <c r="AA4" vm="4906">
        <f ca="1"/>
        <v>109.16</v>
      </c>
      <c r="AB4" vm="4907">
        <f ca="1"/>
        <v>109.46</v>
      </c>
      <c r="AC4" vm="4908">
        <f ca="1"/>
        <v>108.48</v>
      </c>
      <c r="AD4" vm="4909">
        <f ca="1"/>
        <v>108.58</v>
      </c>
      <c r="AE4" vm="4910">
        <f ca="1"/>
        <v>108.19</v>
      </c>
      <c r="AF4" vm="3486">
        <f ca="1"/>
        <v>106.47</v>
      </c>
      <c r="AG4" vm="4911">
        <f ca="1"/>
        <v>104.95</v>
      </c>
      <c r="AH4" vm="4912">
        <f ca="1"/>
        <v>103.66</v>
      </c>
      <c r="AI4" vm="4913">
        <f ca="1"/>
        <v>102.97</v>
      </c>
      <c r="AJ4" vm="4914">
        <f ca="1"/>
        <v>103.03</v>
      </c>
      <c r="AK4" vm="4915">
        <f ca="1"/>
        <v>103.52</v>
      </c>
      <c r="AL4" vm="1504">
        <f ca="1"/>
        <v>102.11</v>
      </c>
      <c r="AM4" vm="4916">
        <f ca="1"/>
        <v>102.69</v>
      </c>
      <c r="AN4" vm="4917">
        <f ca="1"/>
        <v>102.3</v>
      </c>
      <c r="AO4" vm="3473">
        <f ca="1"/>
        <v>103.05</v>
      </c>
      <c r="AP4" vm="4918">
        <f ca="1"/>
        <v>103.8</v>
      </c>
      <c r="AQ4" vm="4917">
        <f ca="1"/>
        <v>102.3</v>
      </c>
      <c r="AR4" vm="4919">
        <f ca="1"/>
        <v>101.83</v>
      </c>
      <c r="AS4" vm="3468">
        <f ca="1"/>
        <v>104.27</v>
      </c>
      <c r="AT4" vm="4920">
        <f ca="1"/>
        <v>104.97</v>
      </c>
      <c r="AU4" vm="4921">
        <f ca="1"/>
        <v>107.22</v>
      </c>
      <c r="AV4" vm="4922">
        <f ca="1"/>
        <v>109.31</v>
      </c>
      <c r="AW4" vm="4923">
        <f ca="1"/>
        <v>109.73</v>
      </c>
      <c r="AX4" vm="4924">
        <f ca="1"/>
        <v>112.12</v>
      </c>
      <c r="AY4" vm="4925">
        <f ca="1"/>
        <v>112.48</v>
      </c>
      <c r="AZ4" vm="4926">
        <f ca="1"/>
        <v>114</v>
      </c>
      <c r="BA4" vm="4927">
        <f ca="1"/>
        <v>113.19</v>
      </c>
      <c r="BB4" vm="4928">
        <f ca="1"/>
        <v>114.7</v>
      </c>
      <c r="BC4" vm="1556">
        <f ca="1"/>
        <v>111.74</v>
      </c>
      <c r="BD4" vm="4929">
        <f ca="1"/>
        <v>108.34</v>
      </c>
      <c r="BE4" vm="4930">
        <f ca="1"/>
        <v>108.37</v>
      </c>
      <c r="BF4" vm="4931">
        <f ca="1"/>
        <v>109.99</v>
      </c>
      <c r="BG4" vm="4932">
        <f ca="1"/>
        <v>109.38</v>
      </c>
      <c r="BH4" vm="4933">
        <f ca="1"/>
        <v>107.8</v>
      </c>
      <c r="BI4" vm="4934">
        <f ca="1"/>
        <v>109.24</v>
      </c>
      <c r="BJ4" vm="4935">
        <f ca="1"/>
        <v>111.05</v>
      </c>
      <c r="BK4" vm="2941">
        <f ca="1"/>
        <v>112.2</v>
      </c>
      <c r="BL4" vm="4936">
        <f ca="1"/>
        <v>111.11</v>
      </c>
      <c r="BM4" vm="4626">
        <f ca="1"/>
        <v>114.19</v>
      </c>
      <c r="BN4" vm="4937">
        <f ca="1"/>
        <v>113.8</v>
      </c>
      <c r="BO4" vm="4938">
        <f ca="1"/>
        <v>114.93</v>
      </c>
      <c r="BP4" vm="4779">
        <f ca="1"/>
        <v>115.43</v>
      </c>
      <c r="BQ4" vm="4939">
        <f ca="1"/>
        <v>113.92</v>
      </c>
      <c r="BR4" vm="4940">
        <f ca="1"/>
        <v>112.91</v>
      </c>
      <c r="BS4" vm="4941">
        <f ca="1"/>
        <v>112.23</v>
      </c>
      <c r="BT4" vm="4942">
        <f ca="1"/>
        <v>111.66</v>
      </c>
      <c r="BU4" vm="4943">
        <f ca="1"/>
        <v>107.77</v>
      </c>
      <c r="BV4" vm="4944">
        <f ca="1"/>
        <v>108.05</v>
      </c>
      <c r="BW4" vm="4945">
        <f ca="1"/>
        <v>108.54</v>
      </c>
      <c r="BX4" vm="4946">
        <f ca="1"/>
        <v>109.93</v>
      </c>
      <c r="BY4" vm="4947">
        <f ca="1"/>
        <v>110.79</v>
      </c>
      <c r="BZ4" vm="4948">
        <f ca="1"/>
        <v>110.4</v>
      </c>
      <c r="CA4" vm="4949">
        <f ca="1"/>
        <v>111.44</v>
      </c>
      <c r="CB4" vm="4950">
        <f ca="1"/>
        <v>112.88</v>
      </c>
      <c r="CC4" vm="4637">
        <f ca="1"/>
        <v>111.9</v>
      </c>
      <c r="CD4" vm="1622">
        <f ca="1"/>
        <v>111.64</v>
      </c>
      <c r="CE4" vm="4951">
        <f ca="1"/>
        <v>109.64</v>
      </c>
      <c r="CF4" vm="4894">
        <f ca="1"/>
        <v>107.37</v>
      </c>
      <c r="CG4" vm="4952">
        <f ca="1"/>
        <v>107.24</v>
      </c>
      <c r="CH4" vm="4953">
        <f ca="1"/>
        <v>106.51</v>
      </c>
      <c r="CI4" vm="4954">
        <f ca="1"/>
        <v>105.95</v>
      </c>
      <c r="CJ4" vm="4955">
        <f ca="1"/>
        <v>106.8</v>
      </c>
      <c r="CK4" vm="4956">
        <f ca="1"/>
        <v>105.83</v>
      </c>
      <c r="CL4" vm="4957">
        <f ca="1"/>
        <v>106.13</v>
      </c>
      <c r="CM4" vm="4958">
        <f ca="1"/>
        <v>107.6</v>
      </c>
      <c r="CN4" vm="1625">
        <f ca="1"/>
        <v>107.38</v>
      </c>
      <c r="CO4" vm="4959">
        <f ca="1"/>
        <v>106.49</v>
      </c>
      <c r="CP4" vm="1550">
        <f ca="1"/>
        <v>106.72</v>
      </c>
      <c r="CQ4" vm="4960">
        <f ca="1"/>
        <v>107.42</v>
      </c>
      <c r="CR4" vm="4961">
        <f ca="1"/>
        <v>108.53</v>
      </c>
      <c r="CS4" vm="4962">
        <f ca="1"/>
        <v>109.23</v>
      </c>
      <c r="CT4" vm="1559">
        <f ca="1"/>
        <v>111.28</v>
      </c>
      <c r="CU4" vm="1556">
        <f ca="1"/>
        <v>111.74</v>
      </c>
      <c r="CV4" vm="4963">
        <f ca="1"/>
        <v>111.49</v>
      </c>
      <c r="CW4" vm="4964">
        <f ca="1"/>
        <v>112.75</v>
      </c>
      <c r="CX4" vm="4965">
        <f ca="1"/>
        <v>113.35</v>
      </c>
      <c r="CY4" vm="4966">
        <f ca="1"/>
        <v>114.29</v>
      </c>
      <c r="CZ4" vm="4967">
        <f ca="1"/>
        <v>114.69</v>
      </c>
      <c r="DA4" vm="4968">
        <f ca="1"/>
        <v>111.91</v>
      </c>
      <c r="DB4" vm="4969">
        <f ca="1"/>
        <v>112.4</v>
      </c>
      <c r="DC4" vm="4962">
        <f ca="1"/>
        <v>109.23</v>
      </c>
      <c r="DD4" vm="1620">
        <f ca="1"/>
        <v>109.85</v>
      </c>
      <c r="DE4" vm="4970">
        <f ca="1"/>
        <v>110.65</v>
      </c>
      <c r="DF4" vm="4971">
        <f ca="1"/>
        <v>112.5</v>
      </c>
      <c r="DG4" vm="4972">
        <f ca="1"/>
        <v>112.14</v>
      </c>
      <c r="DH4" vm="4973">
        <f ca="1"/>
        <v>112.16</v>
      </c>
      <c r="DI4" vm="4974">
        <f ca="1"/>
        <v>112.35</v>
      </c>
      <c r="DJ4" vm="4975">
        <f ca="1"/>
        <v>114.68</v>
      </c>
      <c r="DK4" vm="4976">
        <f ca="1"/>
        <v>115.29</v>
      </c>
      <c r="DL4" vm="3751">
        <f ca="1"/>
        <v>113.93</v>
      </c>
      <c r="DM4" vm="4792">
        <f ca="1"/>
        <v>112.82</v>
      </c>
      <c r="DN4" vm="4977">
        <f ca="1"/>
        <v>112.02</v>
      </c>
      <c r="DO4" vm="4978">
        <f ca="1"/>
        <v>113.95</v>
      </c>
      <c r="DP4" vm="476">
        <f ca="1"/>
        <v>114.56</v>
      </c>
      <c r="DQ4" vm="4979">
        <f ca="1"/>
        <v>115.59</v>
      </c>
      <c r="DR4" vm="4980">
        <f ca="1"/>
        <v>117.22</v>
      </c>
      <c r="DS4" vm="4641">
        <f ca="1"/>
        <v>114.22</v>
      </c>
      <c r="DT4" vm="4964">
        <f ca="1"/>
        <v>112.75</v>
      </c>
      <c r="DU4" vm="4981">
        <f ca="1"/>
        <v>111.99</v>
      </c>
      <c r="DV4" vm="4982">
        <f ca="1"/>
        <v>111.29</v>
      </c>
      <c r="DW4" vm="4778">
        <f ca="1"/>
        <v>113.26</v>
      </c>
      <c r="DX4" vm="1586">
        <f ca="1"/>
        <v>114.2</v>
      </c>
      <c r="DY4" vm="4983">
        <f ca="1"/>
        <v>114.26</v>
      </c>
      <c r="DZ4" vm="4984">
        <f ca="1"/>
        <v>114.02</v>
      </c>
      <c r="EA4" vm="4940">
        <f ca="1"/>
        <v>112.91</v>
      </c>
      <c r="EB4" vm="479">
        <f ca="1"/>
        <v>110.73</v>
      </c>
      <c r="EC4" vm="4985">
        <f ca="1"/>
        <v>112.24</v>
      </c>
      <c r="ED4" vm="4986">
        <f ca="1"/>
        <v>112.29</v>
      </c>
      <c r="EE4" vm="2950">
        <f ca="1"/>
        <v>111.61</v>
      </c>
      <c r="EF4" vm="4987">
        <f ca="1"/>
        <v>110.64</v>
      </c>
      <c r="EG4" vm="4985">
        <f ca="1"/>
        <v>112.24</v>
      </c>
      <c r="EH4" vm="4638">
        <f ca="1"/>
        <v>112.7</v>
      </c>
      <c r="EI4" vm="3534">
        <f ca="1"/>
        <v>112.71</v>
      </c>
      <c r="EJ4" vm="4988">
        <f ca="1"/>
        <v>114.71</v>
      </c>
      <c r="EK4" vm="4989">
        <f ca="1"/>
        <v>115.98</v>
      </c>
      <c r="EL4" vm="4787">
        <f ca="1"/>
        <v>115.39</v>
      </c>
      <c r="EM4" vm="4990">
        <f ca="1"/>
        <v>115.94</v>
      </c>
      <c r="EN4" vm="3745">
        <f ca="1"/>
        <v>115.03</v>
      </c>
      <c r="EO4" vm="4991">
        <f ca="1"/>
        <v>116.45</v>
      </c>
      <c r="EP4" vm="4967">
        <f ca="1"/>
        <v>114.69</v>
      </c>
      <c r="EQ4" vm="3527">
        <f ca="1"/>
        <v>114.36</v>
      </c>
      <c r="ER4" vm="4992">
        <f ca="1"/>
        <v>113.76</v>
      </c>
      <c r="ES4" vm="4993">
        <f ca="1"/>
        <v>114.14</v>
      </c>
      <c r="ET4" vm="4994">
        <f ca="1"/>
        <v>113.68</v>
      </c>
      <c r="EU4" vm="2951">
        <f ca="1"/>
        <v>114.5</v>
      </c>
      <c r="EV4" vm="4980">
        <f ca="1"/>
        <v>117.22</v>
      </c>
      <c r="EW4" vm="4995">
        <f ca="1"/>
        <v>118.22</v>
      </c>
      <c r="EX4" vm="4798">
        <f ca="1"/>
        <v>119.78</v>
      </c>
      <c r="EY4" vm="4996">
        <f ca="1"/>
        <v>118.12</v>
      </c>
      <c r="EZ4" vm="4997">
        <f ca="1"/>
        <v>118.79</v>
      </c>
      <c r="FA4" vm="4998">
        <f ca="1"/>
        <v>119.29</v>
      </c>
      <c r="FB4" vm="4999">
        <f ca="1"/>
        <v>117.68</v>
      </c>
      <c r="FC4" vm="5000">
        <f ca="1"/>
        <v>119.03</v>
      </c>
      <c r="FD4" vm="5001">
        <f ca="1"/>
        <v>117.35</v>
      </c>
      <c r="FE4" vm="5002">
        <f ca="1"/>
        <v>117.02</v>
      </c>
      <c r="FF4" vm="5003">
        <f ca="1"/>
        <v>117.08</v>
      </c>
      <c r="FG4" vm="5004">
        <f ca="1"/>
        <v>115.97</v>
      </c>
      <c r="FH4" vm="5005">
        <f ca="1"/>
        <v>114.51</v>
      </c>
      <c r="FI4" vm="5006">
        <f ca="1"/>
        <v>114.77</v>
      </c>
      <c r="FJ4" vm="5007">
        <f ca="1"/>
        <v>115.92</v>
      </c>
      <c r="FK4" vm="5008">
        <f ca="1"/>
        <v>116.63</v>
      </c>
      <c r="FL4" vm="5009">
        <f ca="1"/>
        <v>115.38</v>
      </c>
      <c r="FM4" vm="5010">
        <f ca="1"/>
        <v>117.8</v>
      </c>
      <c r="FN4" vm="5011">
        <f ca="1"/>
        <v>117.14</v>
      </c>
      <c r="FO4" vm="5012">
        <f ca="1"/>
        <v>116.54</v>
      </c>
      <c r="FP4" vm="4989">
        <f ca="1"/>
        <v>115.98</v>
      </c>
      <c r="FQ4" vm="5013">
        <f ca="1"/>
        <v>118.25</v>
      </c>
      <c r="FR4" vm="5014">
        <f ca="1"/>
        <v>119.54</v>
      </c>
      <c r="FS4" vm="5014">
        <f ca="1"/>
        <v>119.54</v>
      </c>
      <c r="FT4" vm="5015">
        <f ca="1"/>
        <v>118.82</v>
      </c>
      <c r="FU4" vm="5016">
        <f ca="1"/>
        <v>117.76</v>
      </c>
      <c r="FV4" vm="4975">
        <f ca="1"/>
        <v>114.68</v>
      </c>
      <c r="FW4" vm="3550">
        <f ca="1"/>
        <v>117.41</v>
      </c>
      <c r="FX4" vm="5012">
        <f ca="1"/>
        <v>116.54</v>
      </c>
      <c r="FY4" vm="1569">
        <f ca="1"/>
        <v>116.69</v>
      </c>
      <c r="FZ4" vm="5017">
        <f ca="1"/>
        <v>118.15</v>
      </c>
      <c r="GA4" vm="5018">
        <f ca="1"/>
        <v>119.42</v>
      </c>
      <c r="GB4" vm="5019">
        <f ca="1"/>
        <v>119.22</v>
      </c>
      <c r="GC4" vm="5020">
        <f ca="1"/>
        <v>119.11</v>
      </c>
      <c r="GD4" vm="4776">
        <f ca="1"/>
        <v>120.53</v>
      </c>
      <c r="GE4" vm="5021">
        <f ca="1"/>
        <v>120.99</v>
      </c>
      <c r="GF4" vm="5022">
        <f ca="1"/>
        <v>120.34</v>
      </c>
      <c r="GG4" vm="5023">
        <f ca="1"/>
        <v>122.65</v>
      </c>
      <c r="GH4" vm="5024">
        <f ca="1"/>
        <v>125.36</v>
      </c>
      <c r="GI4" vm="4788">
        <f ca="1"/>
        <v>121.05</v>
      </c>
      <c r="GJ4" vm="4782">
        <f ca="1"/>
        <v>118.49</v>
      </c>
      <c r="GK4" vm="5025">
        <f ca="1"/>
        <v>122.91</v>
      </c>
      <c r="GL4" vm="5026">
        <f ca="1"/>
        <v>124.61</v>
      </c>
      <c r="GM4" vm="5027">
        <f ca="1"/>
        <v>124.03</v>
      </c>
      <c r="GN4" vm="5028">
        <f ca="1"/>
        <v>126.54</v>
      </c>
      <c r="GO4" vm="5029">
        <f ca="1"/>
        <v>130.19999999999999</v>
      </c>
      <c r="GP4" vm="5030">
        <f ca="1"/>
        <v>129.13</v>
      </c>
      <c r="GQ4" vm="5031">
        <f ca="1"/>
        <v>129.88999999999999</v>
      </c>
      <c r="GR4" vm="5032">
        <f ca="1"/>
        <v>130.46</v>
      </c>
      <c r="GS4" vm="5033">
        <f ca="1"/>
        <v>133.61000000000001</v>
      </c>
      <c r="GT4" vm="3558">
        <f ca="1"/>
        <v>133.63999999999999</v>
      </c>
      <c r="GU4" vm="5034">
        <f ca="1"/>
        <v>134.97</v>
      </c>
      <c r="GV4" vm="5035">
        <f ca="1"/>
        <v>134.84</v>
      </c>
      <c r="GW4" vm="5036">
        <f ca="1"/>
        <v>136.83000000000001</v>
      </c>
      <c r="GX4" vm="5037">
        <f ca="1"/>
        <v>137.58000000000001</v>
      </c>
      <c r="GY4" vm="5038">
        <f ca="1"/>
        <v>140.51</v>
      </c>
      <c r="GZ4" vm="50">
        <f ca="1"/>
        <v>141.4</v>
      </c>
      <c r="HA4" vm="5039">
        <f ca="1"/>
        <v>138.4</v>
      </c>
      <c r="HB4" vm="5040">
        <f ca="1"/>
        <v>143.72999999999999</v>
      </c>
      <c r="HC4" vm="5041">
        <f ca="1"/>
        <v>147.59</v>
      </c>
      <c r="HD4" vm="5042">
        <f ca="1"/>
        <v>146.08000000000001</v>
      </c>
      <c r="HE4" vm="5043">
        <f ca="1"/>
        <v>149.05000000000001</v>
      </c>
      <c r="HF4" vm="5044">
        <f ca="1"/>
        <v>151.21</v>
      </c>
      <c r="HG4" vm="1785">
        <f ca="1"/>
        <v>151.59</v>
      </c>
      <c r="HH4" vm="1759">
        <f ca="1"/>
        <v>155.56</v>
      </c>
      <c r="HI4" vm="5045">
        <f ca="1"/>
        <v>149.93</v>
      </c>
      <c r="HJ4" vm="5046">
        <f ca="1"/>
        <v>148.44999999999999</v>
      </c>
      <c r="HK4" vm="5047">
        <f ca="1"/>
        <v>146.19</v>
      </c>
      <c r="HL4" vm="5048">
        <f ca="1"/>
        <v>150.68</v>
      </c>
      <c r="HM4" vm="5049">
        <f ca="1"/>
        <v>150.97</v>
      </c>
      <c r="HN4" vm="5050">
        <f ca="1"/>
        <v>147.28</v>
      </c>
      <c r="HO4" vm="5051">
        <f ca="1"/>
        <v>150.76</v>
      </c>
      <c r="HP4" vm="5052">
        <f ca="1"/>
        <v>149.26</v>
      </c>
      <c r="HQ4" vm="5053">
        <f ca="1"/>
        <v>149.06</v>
      </c>
      <c r="HR4" vm="5054">
        <f ca="1"/>
        <v>148.54</v>
      </c>
      <c r="HS4" vm="5055">
        <f ca="1"/>
        <v>152.5</v>
      </c>
      <c r="HT4" vm="5056">
        <f ca="1"/>
        <v>154.22</v>
      </c>
      <c r="HU4" vm="5057">
        <f ca="1"/>
        <v>151.83000000000001</v>
      </c>
      <c r="HV4" vm="5058">
        <f ca="1"/>
        <v>149.82</v>
      </c>
      <c r="HW4" vm="5051">
        <f ca="1"/>
        <v>150.76</v>
      </c>
      <c r="HX4" vm="5044">
        <f ca="1"/>
        <v>151.21</v>
      </c>
      <c r="HY4" vm="5059">
        <f ca="1"/>
        <v>150.44</v>
      </c>
      <c r="HZ4" vm="5060">
        <f ca="1"/>
        <v>148.13</v>
      </c>
      <c r="IA4" vm="5061">
        <f ca="1"/>
        <v>151.58000000000001</v>
      </c>
      <c r="IB4" vm="5062">
        <f ca="1"/>
        <v>153.53</v>
      </c>
      <c r="IC4" vm="5063">
        <f ca="1"/>
        <v>156.12</v>
      </c>
      <c r="ID4" vm="5064">
        <f ca="1"/>
        <v>157.22999999999999</v>
      </c>
      <c r="IE4" vm="5065">
        <f ca="1"/>
        <v>158.81</v>
      </c>
      <c r="IF4" vm="5066">
        <f ca="1"/>
        <v>157.59</v>
      </c>
      <c r="IG4" vm="5067">
        <f ca="1"/>
        <v>158.16</v>
      </c>
      <c r="IH4" vm="5068">
        <f ca="1"/>
        <v>159.66999999999999</v>
      </c>
      <c r="II4" vm="3848">
        <f ca="1"/>
        <v>161.13</v>
      </c>
      <c r="IJ4" vm="5069">
        <f ca="1"/>
        <v>165.38</v>
      </c>
      <c r="IK4" vm="5070">
        <f ca="1"/>
        <v>163.26</v>
      </c>
      <c r="IL4" vm="5071">
        <f ca="1"/>
        <v>165.43</v>
      </c>
      <c r="IM4" vm="5072">
        <f ca="1"/>
        <v>170.99</v>
      </c>
      <c r="IN4" vm="5073">
        <f ca="1"/>
        <v>171.47</v>
      </c>
      <c r="IO4" vm="5074">
        <f ca="1"/>
        <v>169.66</v>
      </c>
      <c r="IP4" vm="5075">
        <f ca="1"/>
        <v>160.78</v>
      </c>
      <c r="IQ4" vm="5076">
        <f ca="1"/>
        <v>160.69</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5077">
        <f ca="1"/>
        <v>25532656</v>
      </c>
      <c r="C7" vm="5078">
        <f ca="1"/>
        <v>152.01499999999999</v>
      </c>
      <c r="D7" vm="5079">
        <f ca="1"/>
        <v>153.88990000000001</v>
      </c>
      <c r="E7" vm="5080">
        <f ca="1"/>
        <v>149.47</v>
      </c>
      <c r="F7" vm="5059">
        <f ca="1"/>
        <v>150.44</v>
      </c>
    </row>
    <row r="8" spans="1:251" x14ac:dyDescent="0.35">
      <c r="A8" vm="3612">
        <f ca="1"/>
        <v>46091</v>
      </c>
      <c r="B8" vm="5081">
        <f ca="1"/>
        <v>19617590</v>
      </c>
      <c r="C8" vm="5082">
        <f ca="1"/>
        <v>149.25</v>
      </c>
      <c r="D8" vm="5083">
        <f ca="1"/>
        <v>150.4</v>
      </c>
      <c r="E8" vm="53">
        <f ca="1"/>
        <v>147.69999999999999</v>
      </c>
      <c r="F8" vm="5060">
        <f ca="1"/>
        <v>148.13</v>
      </c>
    </row>
    <row r="9" spans="1:251" x14ac:dyDescent="0.35">
      <c r="A9" vm="3617">
        <f ca="1"/>
        <v>46092</v>
      </c>
      <c r="B9" vm="5084">
        <f ca="1"/>
        <v>15297412</v>
      </c>
      <c r="C9" vm="5085">
        <f ca="1"/>
        <v>147.99</v>
      </c>
      <c r="D9" vm="5086">
        <f ca="1"/>
        <v>151.81</v>
      </c>
      <c r="E9" vm="5087">
        <f ca="1"/>
        <v>147.66</v>
      </c>
      <c r="F9" vm="5061">
        <f ca="1"/>
        <v>151.58000000000001</v>
      </c>
    </row>
    <row r="10" spans="1:251" x14ac:dyDescent="0.35">
      <c r="A10" vm="3622">
        <f ca="1"/>
        <v>46093</v>
      </c>
      <c r="B10" vm="5088">
        <f ca="1"/>
        <v>26053965</v>
      </c>
      <c r="C10" vm="5089">
        <f ca="1"/>
        <v>152.26499999999999</v>
      </c>
      <c r="D10" vm="5090">
        <f ca="1"/>
        <v>155</v>
      </c>
      <c r="E10" vm="5091">
        <f ca="1"/>
        <v>151.63</v>
      </c>
      <c r="F10" vm="5062">
        <f ca="1"/>
        <v>153.53</v>
      </c>
    </row>
    <row r="11" spans="1:251" x14ac:dyDescent="0.35">
      <c r="A11" vm="3627">
        <f ca="1"/>
        <v>46094</v>
      </c>
      <c r="B11" vm="5092">
        <f ca="1"/>
        <v>22414094</v>
      </c>
      <c r="C11" vm="75">
        <f ca="1"/>
        <v>154.30000000000001</v>
      </c>
      <c r="D11" vm="5093">
        <f ca="1"/>
        <v>156.88999999999999</v>
      </c>
      <c r="E11" vm="5094">
        <f ca="1"/>
        <v>152.97499999999999</v>
      </c>
      <c r="F11" vm="5063">
        <f ca="1"/>
        <v>156.12</v>
      </c>
    </row>
    <row r="12" spans="1:251" x14ac:dyDescent="0.35">
      <c r="A12" vm="3631">
        <f ca="1"/>
        <v>46097</v>
      </c>
      <c r="B12" vm="5095">
        <f ca="1"/>
        <v>22835633</v>
      </c>
      <c r="C12" vm="97">
        <f ca="1"/>
        <v>156</v>
      </c>
      <c r="D12" vm="5096">
        <f ca="1"/>
        <v>157.78</v>
      </c>
      <c r="E12" vm="5097">
        <f ca="1"/>
        <v>154.76</v>
      </c>
      <c r="F12" vm="5064">
        <f ca="1"/>
        <v>157.22999999999999</v>
      </c>
    </row>
    <row r="13" spans="1:251" x14ac:dyDescent="0.35">
      <c r="A13" vm="3636">
        <f ca="1"/>
        <v>46098</v>
      </c>
      <c r="B13" vm="5098">
        <f ca="1"/>
        <v>21592171</v>
      </c>
      <c r="C13" vm="1730">
        <f ca="1"/>
        <v>158.25</v>
      </c>
      <c r="D13" vm="5099">
        <f ca="1"/>
        <v>160.44999999999999</v>
      </c>
      <c r="E13" vm="100">
        <f ca="1"/>
        <v>156.80000000000001</v>
      </c>
      <c r="F13" vm="5065">
        <f ca="1"/>
        <v>158.81</v>
      </c>
    </row>
    <row r="14" spans="1:251" x14ac:dyDescent="0.35">
      <c r="A14" vm="3641">
        <f ca="1"/>
        <v>46099</v>
      </c>
      <c r="B14" vm="5100">
        <f ca="1"/>
        <v>18947142</v>
      </c>
      <c r="C14" vm="5101">
        <f ca="1"/>
        <v>159.66</v>
      </c>
      <c r="D14" vm="5102">
        <f ca="1"/>
        <v>160.18</v>
      </c>
      <c r="E14" vm="5103">
        <f ca="1"/>
        <v>157.53</v>
      </c>
      <c r="F14" vm="5066">
        <f ca="1"/>
        <v>157.59</v>
      </c>
    </row>
    <row r="15" spans="1:251" x14ac:dyDescent="0.35">
      <c r="A15" vm="3645">
        <f ca="1"/>
        <v>46100</v>
      </c>
      <c r="B15" vm="5104">
        <f ca="1"/>
        <v>27082733</v>
      </c>
      <c r="C15" vm="5105">
        <f ca="1"/>
        <v>158.26</v>
      </c>
      <c r="D15" vm="5106">
        <f ca="1"/>
        <v>159.56</v>
      </c>
      <c r="E15" vm="1697">
        <f ca="1"/>
        <v>154.84</v>
      </c>
      <c r="F15" vm="5067">
        <f ca="1"/>
        <v>158.16</v>
      </c>
    </row>
    <row r="16" spans="1:251" x14ac:dyDescent="0.35">
      <c r="A16" vm="3650">
        <f ca="1"/>
        <v>46101</v>
      </c>
      <c r="B16" vm="5107">
        <f ca="1"/>
        <v>53942142</v>
      </c>
      <c r="C16" vm="5108">
        <f ca="1"/>
        <v>159.35</v>
      </c>
      <c r="D16" vm="5109">
        <f ca="1"/>
        <v>162.44</v>
      </c>
      <c r="E16" vm="94">
        <f ca="1"/>
        <v>159.1</v>
      </c>
      <c r="F16" vm="5068">
        <f ca="1"/>
        <v>159.66999999999999</v>
      </c>
    </row>
    <row r="17" spans="1:6" x14ac:dyDescent="0.35">
      <c r="A17" vm="3655">
        <f ca="1"/>
        <v>46104</v>
      </c>
      <c r="B17" vm="5110">
        <f ca="1"/>
        <v>25021288</v>
      </c>
      <c r="C17" vm="5111">
        <f ca="1"/>
        <v>156.11500000000001</v>
      </c>
      <c r="D17" vm="5112">
        <f ca="1"/>
        <v>161.41999999999999</v>
      </c>
      <c r="E17" vm="1769">
        <f ca="1"/>
        <v>155.02000000000001</v>
      </c>
      <c r="F17" vm="3848">
        <f ca="1"/>
        <v>161.13</v>
      </c>
    </row>
    <row r="18" spans="1:6" x14ac:dyDescent="0.35">
      <c r="A18" vm="3660">
        <f ca="1"/>
        <v>46105</v>
      </c>
      <c r="B18" vm="5113">
        <f ca="1"/>
        <v>26131824</v>
      </c>
      <c r="C18" vm="5114">
        <f ca="1"/>
        <v>161.71</v>
      </c>
      <c r="D18" vm="5115">
        <f ca="1"/>
        <v>167.48</v>
      </c>
      <c r="E18" vm="5116">
        <f ca="1"/>
        <v>161.25</v>
      </c>
      <c r="F18" vm="5069">
        <f ca="1"/>
        <v>165.38</v>
      </c>
    </row>
    <row r="19" spans="1:6" x14ac:dyDescent="0.35">
      <c r="A19" vm="3665">
        <f ca="1"/>
        <v>46106</v>
      </c>
      <c r="B19" vm="5117">
        <f ca="1"/>
        <v>17192333</v>
      </c>
      <c r="C19" vm="1809">
        <f ca="1"/>
        <v>163.87</v>
      </c>
      <c r="D19" vm="5118">
        <f ca="1"/>
        <v>165</v>
      </c>
      <c r="E19" vm="5119">
        <f ca="1"/>
        <v>162.93</v>
      </c>
      <c r="F19" vm="5070">
        <f ca="1"/>
        <v>163.26</v>
      </c>
    </row>
    <row r="20" spans="1:6" x14ac:dyDescent="0.35">
      <c r="A20" vm="3669">
        <f ca="1"/>
        <v>46107</v>
      </c>
      <c r="B20" vm="5120">
        <f ca="1"/>
        <v>18625249</v>
      </c>
      <c r="C20" vm="5121">
        <f ca="1"/>
        <v>164.09</v>
      </c>
      <c r="D20" vm="5122">
        <f ca="1"/>
        <v>165.68</v>
      </c>
      <c r="E20" vm="2067">
        <f ca="1"/>
        <v>162.06</v>
      </c>
      <c r="F20" vm="5071">
        <f ca="1"/>
        <v>165.43</v>
      </c>
    </row>
    <row r="21" spans="1:6" x14ac:dyDescent="0.35">
      <c r="A21" vm="3673">
        <f ca="1"/>
        <v>46108</v>
      </c>
      <c r="B21" vm="5123">
        <f ca="1"/>
        <v>30338313</v>
      </c>
      <c r="C21" vm="5124">
        <f ca="1"/>
        <v>165.58</v>
      </c>
      <c r="D21" vm="5125">
        <f ca="1"/>
        <v>171.23</v>
      </c>
      <c r="E21" vm="5126">
        <f ca="1"/>
        <v>164.8</v>
      </c>
      <c r="F21" vm="5072">
        <f ca="1"/>
        <v>170.99</v>
      </c>
    </row>
    <row r="22" spans="1:6" x14ac:dyDescent="0.35">
      <c r="A22" vm="3678">
        <f ca="1"/>
        <v>46111</v>
      </c>
      <c r="B22" vm="5127">
        <f ca="1"/>
        <v>29813504</v>
      </c>
      <c r="C22" vm="5128">
        <f ca="1"/>
        <v>172.505</v>
      </c>
      <c r="D22" vm="5129">
        <f ca="1"/>
        <v>176.41</v>
      </c>
      <c r="E22" vm="5130">
        <f ca="1"/>
        <v>171.05</v>
      </c>
      <c r="F22" vm="5073">
        <f ca="1"/>
        <v>171.47</v>
      </c>
    </row>
    <row r="23" spans="1:6" x14ac:dyDescent="0.35">
      <c r="A23" vm="3683">
        <f ca="1"/>
        <v>46112</v>
      </c>
      <c r="B23" vm="5131">
        <f ca="1"/>
        <v>32006724</v>
      </c>
      <c r="C23" vm="5132">
        <f ca="1"/>
        <v>172.67</v>
      </c>
      <c r="D23" vm="5133">
        <f ca="1"/>
        <v>174.38</v>
      </c>
      <c r="E23" vm="5134">
        <f ca="1"/>
        <v>165.97</v>
      </c>
      <c r="F23" vm="5074">
        <f ca="1"/>
        <v>169.66</v>
      </c>
    </row>
    <row r="24" spans="1:6" x14ac:dyDescent="0.35">
      <c r="A24" vm="3688">
        <f ca="1"/>
        <v>46113</v>
      </c>
      <c r="B24" vm="5135">
        <f ca="1"/>
        <v>37927639</v>
      </c>
      <c r="C24" vm="5136">
        <f ca="1"/>
        <v>165.77</v>
      </c>
      <c r="D24" vm="5137">
        <f ca="1"/>
        <v>168</v>
      </c>
      <c r="E24" vm="5138">
        <f ca="1"/>
        <v>159.53</v>
      </c>
      <c r="F24" vm="5075">
        <f ca="1"/>
        <v>160.78</v>
      </c>
    </row>
    <row r="25" spans="1:6" x14ac:dyDescent="0.35">
      <c r="A25" vm="3693">
        <f ca="1"/>
        <v>46114</v>
      </c>
      <c r="B25" vm="5139">
        <f ca="1"/>
        <v>25377657</v>
      </c>
      <c r="C25" vm="5140">
        <f ca="1"/>
        <v>164.49</v>
      </c>
      <c r="D25" vm="5141">
        <f ca="1"/>
        <v>166.9</v>
      </c>
      <c r="E25" vm="5142">
        <f ca="1"/>
        <v>159.59</v>
      </c>
      <c r="F25" vm="5076">
        <f ca="1"/>
        <v>160.69</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7193F-3C71-4AB0-9C4D-6288989F20C7}">
  <dimension ref="A1:IQ25"/>
  <sheetViews>
    <sheetView workbookViewId="0">
      <selection activeCell="H34" sqref="H34"/>
    </sheetView>
  </sheetViews>
  <sheetFormatPr defaultRowHeight="14.5" x14ac:dyDescent="0.35"/>
  <cols>
    <col min="1" max="1" width="22.1796875" bestFit="1" customWidth="1"/>
    <col min="2" max="2" width="41.08984375" bestFit="1" customWidth="1"/>
  </cols>
  <sheetData>
    <row r="1" spans="1:251" x14ac:dyDescent="0.35">
      <c r="A1" s="2" t="s">
        <v>7</v>
      </c>
      <c r="B1" t="e" vm="7">
        <v>#VALUE!</v>
      </c>
    </row>
    <row r="3" spans="1:251" x14ac:dyDescent="0.35">
      <c r="A3" s="2" t="s">
        <v>34</v>
      </c>
      <c r="B3" s="2" t="s">
        <v>24</v>
      </c>
    </row>
    <row r="4" spans="1:251" x14ac:dyDescent="0.35">
      <c r="A4" t="s">
        <v>36</v>
      </c>
      <c r="B4" t="s">
        <v>20</v>
      </c>
      <c r="C4" cm="1" vm="5143">
        <f t="array" aca="1" ref="C4:IQ4" ca="1">TRANSPOSE(_xlfn.STOCKHISTORY(A4&amp;":"&amp;B4,TODAY()-365,TODAY(),0,0,1))</f>
        <v>43.53</v>
      </c>
      <c r="D4" vm="5144">
        <f ca="1"/>
        <v>42.48</v>
      </c>
      <c r="E4" vm="5145">
        <f ca="1"/>
        <v>45.74</v>
      </c>
      <c r="F4" vm="5146">
        <f ca="1"/>
        <v>43.73</v>
      </c>
      <c r="G4" vm="5147">
        <f ca="1"/>
        <v>43.63</v>
      </c>
      <c r="H4" vm="5148">
        <f ca="1"/>
        <v>45.14</v>
      </c>
      <c r="I4" vm="5149">
        <f ca="1"/>
        <v>44.54</v>
      </c>
      <c r="J4" vm="4022">
        <f ca="1"/>
        <v>44.22</v>
      </c>
      <c r="K4" vm="5150">
        <f ca="1"/>
        <v>44.57</v>
      </c>
      <c r="L4" vm="5151">
        <f ca="1"/>
        <v>44.39</v>
      </c>
      <c r="M4" vm="5152">
        <f ca="1"/>
        <v>45.16</v>
      </c>
      <c r="N4" vm="5153">
        <f ca="1"/>
        <v>45.84</v>
      </c>
      <c r="O4" vm="5154">
        <f ca="1"/>
        <v>46.88</v>
      </c>
      <c r="P4" vm="5155">
        <f ca="1"/>
        <v>47.11</v>
      </c>
      <c r="Q4" vm="4074">
        <f ca="1"/>
        <v>47.24</v>
      </c>
      <c r="R4" vm="4076">
        <f ca="1"/>
        <v>46.94</v>
      </c>
      <c r="S4" vm="5156">
        <f ca="1"/>
        <v>45.24</v>
      </c>
      <c r="T4" vm="5157">
        <f ca="1"/>
        <v>45.05</v>
      </c>
      <c r="U4" vm="5158">
        <f ca="1"/>
        <v>45.3</v>
      </c>
      <c r="V4" vm="5159">
        <f ca="1"/>
        <v>45.38</v>
      </c>
      <c r="W4" vm="5160">
        <f ca="1"/>
        <v>45.46</v>
      </c>
      <c r="X4" vm="5161">
        <f ca="1"/>
        <v>45.47</v>
      </c>
      <c r="Y4" vm="5162">
        <f ca="1"/>
        <v>47.35</v>
      </c>
      <c r="Z4" vm="4073">
        <f ca="1"/>
        <v>47.5</v>
      </c>
      <c r="AA4" vm="5163">
        <f ca="1"/>
        <v>49.61</v>
      </c>
      <c r="AB4" vm="5164">
        <f ca="1"/>
        <v>50.46</v>
      </c>
      <c r="AC4" vm="5165">
        <f ca="1"/>
        <v>50.31</v>
      </c>
      <c r="AD4" vm="5166">
        <f ca="1"/>
        <v>50.12</v>
      </c>
      <c r="AE4" vm="5167">
        <f ca="1"/>
        <v>50.37</v>
      </c>
      <c r="AF4" vm="5168">
        <f ca="1"/>
        <v>50.03</v>
      </c>
      <c r="AG4" vm="5169">
        <f ca="1"/>
        <v>50.21</v>
      </c>
      <c r="AH4" vm="5170">
        <f ca="1"/>
        <v>49.37</v>
      </c>
      <c r="AI4" vm="5171">
        <f ca="1"/>
        <v>49.28</v>
      </c>
      <c r="AJ4" vm="5172">
        <f ca="1"/>
        <v>48.69</v>
      </c>
      <c r="AK4" vm="5173">
        <f ca="1"/>
        <v>49.09</v>
      </c>
      <c r="AL4" vm="5174">
        <f ca="1"/>
        <v>48.13</v>
      </c>
      <c r="AM4" vm="5175">
        <f ca="1"/>
        <v>48.59</v>
      </c>
      <c r="AN4" vm="5163">
        <f ca="1"/>
        <v>49.61</v>
      </c>
      <c r="AO4" vm="5176">
        <f ca="1"/>
        <v>47.69</v>
      </c>
      <c r="AP4" vm="5177">
        <f ca="1"/>
        <v>49.06</v>
      </c>
      <c r="AQ4" vm="5178">
        <f ca="1"/>
        <v>47.67</v>
      </c>
      <c r="AR4" vm="5179">
        <f ca="1"/>
        <v>47.25</v>
      </c>
      <c r="AS4" vm="5180">
        <f ca="1"/>
        <v>47.47</v>
      </c>
      <c r="AT4" vm="5181">
        <f ca="1"/>
        <v>47.93</v>
      </c>
      <c r="AU4" vm="4047">
        <f ca="1"/>
        <v>48.93</v>
      </c>
      <c r="AV4" vm="5182">
        <f ca="1"/>
        <v>49.87</v>
      </c>
      <c r="AW4" vm="5183">
        <f ca="1"/>
        <v>49.26</v>
      </c>
      <c r="AX4" vm="4112">
        <f ca="1"/>
        <v>48.65</v>
      </c>
      <c r="AY4" vm="4220">
        <f ca="1"/>
        <v>49.27</v>
      </c>
      <c r="AZ4" vm="4226">
        <f ca="1"/>
        <v>48.28</v>
      </c>
      <c r="BA4" vm="5184">
        <f ca="1"/>
        <v>48.09</v>
      </c>
      <c r="BB4" vm="5185">
        <f ca="1"/>
        <v>48.2</v>
      </c>
      <c r="BC4" vm="4208">
        <f ca="1"/>
        <v>48.52</v>
      </c>
      <c r="BD4" vm="5186">
        <f ca="1"/>
        <v>49</v>
      </c>
      <c r="BE4" vm="5174">
        <f ca="1"/>
        <v>48.13</v>
      </c>
      <c r="BF4" vm="5187">
        <f ca="1"/>
        <v>49.16</v>
      </c>
      <c r="BG4" vm="5188">
        <f ca="1"/>
        <v>49.68</v>
      </c>
      <c r="BH4" vm="5189">
        <f ca="1"/>
        <v>49.21</v>
      </c>
      <c r="BI4" vm="5190">
        <f ca="1"/>
        <v>52.03</v>
      </c>
      <c r="BJ4" vm="5191">
        <f ca="1"/>
        <v>52.68</v>
      </c>
      <c r="BK4" vm="5192">
        <f ca="1"/>
        <v>52.89</v>
      </c>
      <c r="BL4" vm="5193">
        <f ca="1"/>
        <v>51.82</v>
      </c>
      <c r="BM4" vm="5194">
        <f ca="1"/>
        <v>52.19</v>
      </c>
      <c r="BN4" vm="4122">
        <f ca="1"/>
        <v>52.57</v>
      </c>
      <c r="BO4" vm="5195">
        <f ca="1"/>
        <v>53.15</v>
      </c>
      <c r="BP4" vm="5196">
        <f ca="1"/>
        <v>53.39</v>
      </c>
      <c r="BQ4" vm="5197">
        <f ca="1"/>
        <v>53.33</v>
      </c>
      <c r="BR4" vm="5198">
        <f ca="1"/>
        <v>52.71</v>
      </c>
      <c r="BS4" vm="5199">
        <f ca="1"/>
        <v>53.18</v>
      </c>
      <c r="BT4" vm="5200">
        <f ca="1"/>
        <v>53.21</v>
      </c>
      <c r="BU4" vm="5201">
        <f ca="1"/>
        <v>53.22</v>
      </c>
      <c r="BV4" vm="5200">
        <f ca="1"/>
        <v>53.21</v>
      </c>
      <c r="BW4" vm="5202">
        <f ca="1"/>
        <v>48.89</v>
      </c>
      <c r="BX4" vm="5203">
        <f ca="1"/>
        <v>53.13</v>
      </c>
      <c r="BY4" vm="5204">
        <f ca="1"/>
        <v>52.34</v>
      </c>
      <c r="BZ4" vm="5205">
        <f ca="1"/>
        <v>53.4</v>
      </c>
      <c r="CA4" vm="4127">
        <f ca="1"/>
        <v>53.45</v>
      </c>
      <c r="CB4" vm="5206">
        <f ca="1"/>
        <v>52.11</v>
      </c>
      <c r="CC4" vm="5206">
        <f ca="1"/>
        <v>52.11</v>
      </c>
      <c r="CD4" vm="5207">
        <f ca="1"/>
        <v>53.34</v>
      </c>
      <c r="CE4" vm="5208">
        <f ca="1"/>
        <v>52.53</v>
      </c>
      <c r="CF4" vm="4195">
        <f ca="1"/>
        <v>52.77</v>
      </c>
      <c r="CG4" vm="4125">
        <f ca="1"/>
        <v>52.58</v>
      </c>
      <c r="CH4" vm="5209">
        <f ca="1"/>
        <v>52.47</v>
      </c>
      <c r="CI4" vm="5210">
        <f ca="1"/>
        <v>52.95</v>
      </c>
      <c r="CJ4" vm="5211">
        <f ca="1"/>
        <v>53.53</v>
      </c>
      <c r="CK4" vm="5212">
        <f ca="1"/>
        <v>54.01</v>
      </c>
      <c r="CL4" vm="4149">
        <f ca="1"/>
        <v>54.16</v>
      </c>
      <c r="CM4" vm="5213">
        <f ca="1"/>
        <v>55.58</v>
      </c>
      <c r="CN4" vm="5214">
        <f ca="1"/>
        <v>56.42</v>
      </c>
      <c r="CO4" vm="5215">
        <f ca="1"/>
        <v>56.31</v>
      </c>
      <c r="CP4" vm="5216">
        <f ca="1"/>
        <v>56.23</v>
      </c>
      <c r="CQ4" vm="5217">
        <f ca="1"/>
        <v>57.06</v>
      </c>
      <c r="CR4" vm="5218">
        <f ca="1"/>
        <v>56.77</v>
      </c>
      <c r="CS4" vm="5219">
        <f ca="1"/>
        <v>56.51</v>
      </c>
      <c r="CT4" vm="5220">
        <f ca="1"/>
        <v>58.37</v>
      </c>
      <c r="CU4" vm="5221">
        <f ca="1"/>
        <v>58.28</v>
      </c>
      <c r="CV4" vm="5222">
        <f ca="1"/>
        <v>58.8</v>
      </c>
      <c r="CW4" vm="5223">
        <f ca="1"/>
        <v>58.75</v>
      </c>
      <c r="CX4" vm="5224">
        <f ca="1"/>
        <v>58.49</v>
      </c>
      <c r="CY4" vm="5225">
        <f ca="1"/>
        <v>58.59</v>
      </c>
      <c r="CZ4" vm="5226">
        <f ca="1"/>
        <v>58.53</v>
      </c>
      <c r="DA4" vm="5227">
        <f ca="1"/>
        <v>57.75</v>
      </c>
      <c r="DB4" vm="5228">
        <f ca="1"/>
        <v>58.15</v>
      </c>
      <c r="DC4" vm="5229">
        <f ca="1"/>
        <v>58.27</v>
      </c>
      <c r="DD4" vm="5230">
        <f ca="1"/>
        <v>58.2</v>
      </c>
      <c r="DE4" vm="5231">
        <f ca="1"/>
        <v>58.01</v>
      </c>
      <c r="DF4" vm="5232">
        <f ca="1"/>
        <v>57.34</v>
      </c>
      <c r="DG4" vm="5233">
        <f ca="1"/>
        <v>58.71</v>
      </c>
      <c r="DH4" vm="5234">
        <f ca="1"/>
        <v>58.5</v>
      </c>
      <c r="DI4" vm="5235">
        <f ca="1"/>
        <v>58.95</v>
      </c>
      <c r="DJ4" vm="5236">
        <f ca="1"/>
        <v>58.46</v>
      </c>
      <c r="DK4" vm="5237">
        <f ca="1"/>
        <v>58.73</v>
      </c>
      <c r="DL4" vm="5238">
        <f ca="1"/>
        <v>59.26</v>
      </c>
      <c r="DM4" vm="5239">
        <f ca="1"/>
        <v>58.98</v>
      </c>
      <c r="DN4" vm="5240">
        <f ca="1"/>
        <v>58.88</v>
      </c>
      <c r="DO4" vm="5241">
        <f ca="1"/>
        <v>58.58</v>
      </c>
      <c r="DP4" vm="5242">
        <f ca="1"/>
        <v>59.92</v>
      </c>
      <c r="DQ4" vm="5243">
        <f ca="1"/>
        <v>60.59</v>
      </c>
      <c r="DR4" vm="5244">
        <f ca="1"/>
        <v>61.24</v>
      </c>
      <c r="DS4" vm="5245">
        <f ca="1"/>
        <v>61.12</v>
      </c>
      <c r="DT4" vm="5246">
        <f ca="1"/>
        <v>60.97</v>
      </c>
      <c r="DU4" vm="5247">
        <f ca="1"/>
        <v>61.34</v>
      </c>
      <c r="DV4" vm="5248">
        <f ca="1"/>
        <v>59.36</v>
      </c>
      <c r="DW4" vm="5249">
        <f ca="1"/>
        <v>60.13</v>
      </c>
      <c r="DX4" vm="5250">
        <f ca="1"/>
        <v>58.19</v>
      </c>
      <c r="DY4" vm="5251">
        <f ca="1"/>
        <v>57.26</v>
      </c>
      <c r="DZ4" vm="5252">
        <f ca="1"/>
        <v>56.4</v>
      </c>
      <c r="EA4" vm="5253">
        <f ca="1"/>
        <v>55.92</v>
      </c>
      <c r="EB4" vm="4164">
        <f ca="1"/>
        <v>55.35</v>
      </c>
      <c r="EC4" vm="5254">
        <f ca="1"/>
        <v>55.62</v>
      </c>
      <c r="ED4" vm="5255">
        <f ca="1"/>
        <v>57.15</v>
      </c>
      <c r="EE4" vm="5256">
        <f ca="1"/>
        <v>57.8</v>
      </c>
      <c r="EF4" vm="5232">
        <f ca="1"/>
        <v>57.34</v>
      </c>
      <c r="EG4" vm="5257">
        <f ca="1"/>
        <v>58.38</v>
      </c>
      <c r="EH4" vm="5258">
        <f ca="1"/>
        <v>58</v>
      </c>
      <c r="EI4" vm="5259">
        <f ca="1"/>
        <v>66.62</v>
      </c>
      <c r="EJ4" vm="5260">
        <f ca="1"/>
        <v>67.31</v>
      </c>
      <c r="EK4" vm="5261">
        <f ca="1"/>
        <v>66.849999999999994</v>
      </c>
      <c r="EL4" vm="5262">
        <f ca="1"/>
        <v>69.66</v>
      </c>
      <c r="EM4" vm="5263">
        <f ca="1"/>
        <v>69.38</v>
      </c>
      <c r="EN4" vm="5264">
        <f ca="1"/>
        <v>69.87</v>
      </c>
      <c r="EO4" vm="5265">
        <f ca="1"/>
        <v>69.13</v>
      </c>
      <c r="EP4" vm="5266">
        <f ca="1"/>
        <v>68.67</v>
      </c>
      <c r="EQ4" vm="5267">
        <f ca="1"/>
        <v>69.09</v>
      </c>
      <c r="ER4" vm="5268">
        <f ca="1"/>
        <v>68.22</v>
      </c>
      <c r="ES4" vm="5269">
        <f ca="1"/>
        <v>66.87</v>
      </c>
      <c r="ET4" vm="5270">
        <f ca="1"/>
        <v>68.77</v>
      </c>
      <c r="EU4" vm="5271">
        <f ca="1"/>
        <v>68.84</v>
      </c>
      <c r="EV4" vm="5272">
        <f ca="1"/>
        <v>70.75</v>
      </c>
      <c r="EW4" vm="5273">
        <f ca="1"/>
        <v>71.05</v>
      </c>
      <c r="EX4" vm="5274">
        <f ca="1"/>
        <v>71.22</v>
      </c>
      <c r="EY4" vm="5275">
        <f ca="1"/>
        <v>71.84</v>
      </c>
      <c r="EZ4" vm="5276">
        <f ca="1"/>
        <v>71.89</v>
      </c>
      <c r="FA4" vm="5277">
        <f ca="1"/>
        <v>70.52</v>
      </c>
      <c r="FB4" vm="5278">
        <f ca="1"/>
        <v>67.91</v>
      </c>
      <c r="FC4" vm="5279">
        <f ca="1"/>
        <v>67.930000000000007</v>
      </c>
      <c r="FD4" vm="5280">
        <f ca="1"/>
        <v>68.5</v>
      </c>
      <c r="FE4" vm="5281">
        <f ca="1"/>
        <v>68.040000000000006</v>
      </c>
      <c r="FF4" vm="5282">
        <f ca="1"/>
        <v>70.33</v>
      </c>
      <c r="FG4" vm="5283">
        <f ca="1"/>
        <v>71</v>
      </c>
      <c r="FH4" vm="5284">
        <f ca="1"/>
        <v>72.78</v>
      </c>
      <c r="FI4" vm="5285">
        <f ca="1"/>
        <v>72.81</v>
      </c>
      <c r="FJ4" vm="5286">
        <f ca="1"/>
        <v>73.52</v>
      </c>
      <c r="FK4" vm="5287">
        <f ca="1"/>
        <v>72.95</v>
      </c>
      <c r="FL4" vm="5288">
        <f ca="1"/>
        <v>73.66</v>
      </c>
      <c r="FM4" vm="5289">
        <f ca="1"/>
        <v>74.69</v>
      </c>
      <c r="FN4" vm="1414">
        <f ca="1"/>
        <v>75.290000000000006</v>
      </c>
      <c r="FO4" vm="5290">
        <f ca="1"/>
        <v>76.05</v>
      </c>
      <c r="FP4" vm="5291">
        <f ca="1"/>
        <v>75.709999999999994</v>
      </c>
      <c r="FQ4" vm="5292">
        <f ca="1"/>
        <v>77.16</v>
      </c>
      <c r="FR4" vm="5293">
        <f ca="1"/>
        <v>80.8</v>
      </c>
      <c r="FS4" vm="5294">
        <f ca="1"/>
        <v>80.849999999999994</v>
      </c>
      <c r="FT4" vm="5295">
        <f ca="1"/>
        <v>80.89</v>
      </c>
      <c r="FU4" vm="5296">
        <f ca="1"/>
        <v>81.98</v>
      </c>
      <c r="FV4" vm="5297">
        <f ca="1"/>
        <v>81.760000000000005</v>
      </c>
      <c r="FW4" vm="5298">
        <f ca="1"/>
        <v>80.510000000000005</v>
      </c>
      <c r="FX4" vm="5299">
        <f ca="1"/>
        <v>81.17</v>
      </c>
      <c r="FY4" vm="5300">
        <f ca="1"/>
        <v>82.35</v>
      </c>
      <c r="FZ4" vm="5301">
        <f ca="1"/>
        <v>83.03</v>
      </c>
      <c r="GA4" vm="5302">
        <f ca="1"/>
        <v>82.75</v>
      </c>
      <c r="GB4" vm="5303">
        <f ca="1"/>
        <v>82.88</v>
      </c>
      <c r="GC4" vm="5304">
        <f ca="1"/>
        <v>83.06</v>
      </c>
      <c r="GD4" vm="5305">
        <f ca="1"/>
        <v>82.93</v>
      </c>
      <c r="GE4" vm="5306">
        <f ca="1"/>
        <v>82.33</v>
      </c>
      <c r="GF4" vm="5307">
        <f ca="1"/>
        <v>81.319999999999993</v>
      </c>
      <c r="GG4" vm="5308">
        <f ca="1"/>
        <v>80.98</v>
      </c>
      <c r="GH4" vm="5309">
        <f ca="1"/>
        <v>83.15</v>
      </c>
      <c r="GI4" vm="5310">
        <f ca="1"/>
        <v>82.18</v>
      </c>
      <c r="GJ4" vm="5311">
        <f ca="1"/>
        <v>81.91</v>
      </c>
      <c r="GK4" vm="5312">
        <f ca="1"/>
        <v>85.13</v>
      </c>
      <c r="GL4" vm="5313">
        <f ca="1"/>
        <v>82.87</v>
      </c>
      <c r="GM4" vm="5314">
        <f ca="1"/>
        <v>82.9</v>
      </c>
      <c r="GN4" vm="5315">
        <f ca="1"/>
        <v>83.24</v>
      </c>
      <c r="GO4" vm="5316">
        <f ca="1"/>
        <v>81.23</v>
      </c>
      <c r="GP4" vm="5317">
        <f ca="1"/>
        <v>80.91</v>
      </c>
      <c r="GQ4" vm="5318">
        <f ca="1"/>
        <v>80.819999999999993</v>
      </c>
      <c r="GR4" vm="5319">
        <f ca="1"/>
        <v>77.81</v>
      </c>
      <c r="GS4" vm="5320">
        <f ca="1"/>
        <v>80.930000000000007</v>
      </c>
      <c r="GT4" vm="1440">
        <f ca="1"/>
        <v>81.14</v>
      </c>
      <c r="GU4" vm="5321">
        <f ca="1"/>
        <v>79.680000000000007</v>
      </c>
      <c r="GV4" vm="5322">
        <f ca="1"/>
        <v>79.430000000000007</v>
      </c>
      <c r="GW4" vm="5323">
        <f ca="1"/>
        <v>86.38</v>
      </c>
      <c r="GX4" vm="5324">
        <f ca="1"/>
        <v>84.9</v>
      </c>
      <c r="GY4" vm="452">
        <f ca="1"/>
        <v>86.26</v>
      </c>
      <c r="GZ4" vm="5325">
        <f ca="1"/>
        <v>84</v>
      </c>
      <c r="HA4" vm="5326">
        <f ca="1"/>
        <v>84.27</v>
      </c>
      <c r="HB4" vm="5327">
        <f ca="1"/>
        <v>85.71</v>
      </c>
      <c r="HC4" vm="5328">
        <f ca="1"/>
        <v>86.29</v>
      </c>
      <c r="HD4" vm="5329">
        <f ca="1"/>
        <v>83.3</v>
      </c>
      <c r="HE4" vm="5330">
        <f ca="1"/>
        <v>84.24</v>
      </c>
      <c r="HF4" vm="5331">
        <f ca="1"/>
        <v>80.680000000000007</v>
      </c>
      <c r="HG4" vm="5332">
        <f ca="1"/>
        <v>80.27</v>
      </c>
      <c r="HH4" vm="5333">
        <f ca="1"/>
        <v>79.819999999999993</v>
      </c>
      <c r="HI4" vm="5334">
        <f ca="1"/>
        <v>79.930000000000007</v>
      </c>
      <c r="HJ4" vm="5335">
        <f ca="1"/>
        <v>81.08</v>
      </c>
      <c r="HK4" vm="5336">
        <f ca="1"/>
        <v>81.22</v>
      </c>
      <c r="HL4" vm="5337">
        <f ca="1"/>
        <v>83.67</v>
      </c>
      <c r="HM4" vm="5338">
        <f ca="1"/>
        <v>81.47</v>
      </c>
      <c r="HN4" vm="5339">
        <f ca="1"/>
        <v>81.510000000000005</v>
      </c>
      <c r="HO4" vm="5340">
        <f ca="1"/>
        <v>79.66</v>
      </c>
      <c r="HP4" vm="5341">
        <f ca="1"/>
        <v>81.290000000000006</v>
      </c>
      <c r="HQ4" vm="5342">
        <f ca="1"/>
        <v>82.43</v>
      </c>
      <c r="HR4" vm="5343">
        <f ca="1"/>
        <v>80.790000000000006</v>
      </c>
      <c r="HS4" vm="5344">
        <f ca="1"/>
        <v>78.709999999999994</v>
      </c>
      <c r="HT4" vm="5345">
        <f ca="1"/>
        <v>77.760000000000005</v>
      </c>
      <c r="HU4" vm="5346">
        <f ca="1"/>
        <v>77.27</v>
      </c>
      <c r="HV4" vm="5347">
        <f ca="1"/>
        <v>78.599999999999994</v>
      </c>
      <c r="HW4" vm="5348">
        <f ca="1"/>
        <v>76.2</v>
      </c>
      <c r="HX4" vm="5349">
        <f ca="1"/>
        <v>75.209999999999994</v>
      </c>
      <c r="HY4" vm="5289">
        <f ca="1"/>
        <v>74.69</v>
      </c>
      <c r="HZ4" vm="5350">
        <f ca="1"/>
        <v>74.930000000000007</v>
      </c>
      <c r="IA4" vm="5351">
        <f ca="1"/>
        <v>74.790000000000006</v>
      </c>
      <c r="IB4" vm="5352">
        <f ca="1"/>
        <v>73.45</v>
      </c>
      <c r="IC4" vm="5353">
        <f ca="1"/>
        <v>72.39</v>
      </c>
      <c r="ID4" vm="5287">
        <f ca="1"/>
        <v>72.95</v>
      </c>
      <c r="IE4" vm="5354">
        <f ca="1"/>
        <v>74.040000000000006</v>
      </c>
      <c r="IF4" vm="5355">
        <f ca="1"/>
        <v>73.53</v>
      </c>
      <c r="IG4" vm="5356">
        <f ca="1"/>
        <v>73.790000000000006</v>
      </c>
      <c r="IH4" vm="5285">
        <f ca="1"/>
        <v>72.81</v>
      </c>
      <c r="II4" vm="1416">
        <f ca="1"/>
        <v>75.72</v>
      </c>
      <c r="IJ4" vm="5357">
        <f ca="1"/>
        <v>76.569999999999993</v>
      </c>
      <c r="IK4" vm="5358">
        <f ca="1"/>
        <v>76.61</v>
      </c>
      <c r="IL4" vm="5359">
        <f ca="1"/>
        <v>75.599999999999994</v>
      </c>
      <c r="IM4" vm="5360">
        <f ca="1"/>
        <v>72.98</v>
      </c>
      <c r="IN4" vm="5361">
        <f ca="1"/>
        <v>72.760000000000005</v>
      </c>
      <c r="IO4" vm="5362">
        <f ca="1"/>
        <v>74.5</v>
      </c>
      <c r="IP4" vm="5363">
        <f ca="1"/>
        <v>75.040000000000006</v>
      </c>
      <c r="IQ4" vm="5364">
        <f ca="1"/>
        <v>72.540000000000006</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5365">
        <f ca="1"/>
        <v>8829631</v>
      </c>
      <c r="C7" vm="5366">
        <f ca="1"/>
        <v>73.400000000000006</v>
      </c>
      <c r="D7" vm="5367">
        <f ca="1"/>
        <v>74.7</v>
      </c>
      <c r="E7" vm="5368">
        <f ca="1"/>
        <v>71.921999999999997</v>
      </c>
      <c r="F7" vm="5289">
        <f ca="1"/>
        <v>74.69</v>
      </c>
    </row>
    <row r="8" spans="1:251" x14ac:dyDescent="0.35">
      <c r="A8" vm="3612">
        <f ca="1"/>
        <v>46091</v>
      </c>
      <c r="B8" vm="5369">
        <f ca="1"/>
        <v>8915571</v>
      </c>
      <c r="C8" vm="5370">
        <f ca="1"/>
        <v>74.84</v>
      </c>
      <c r="D8" vm="5371">
        <f ca="1"/>
        <v>77.2</v>
      </c>
      <c r="E8" vm="5370">
        <f ca="1"/>
        <v>74.84</v>
      </c>
      <c r="F8" vm="5350">
        <f ca="1"/>
        <v>74.930000000000007</v>
      </c>
    </row>
    <row r="9" spans="1:251" x14ac:dyDescent="0.35">
      <c r="A9" vm="3617">
        <f ca="1"/>
        <v>46092</v>
      </c>
      <c r="B9" vm="5372">
        <f ca="1"/>
        <v>5637485</v>
      </c>
      <c r="C9" vm="5373">
        <f ca="1"/>
        <v>75.459999999999994</v>
      </c>
      <c r="D9" vm="5374">
        <f ca="1"/>
        <v>76.58</v>
      </c>
      <c r="E9" vm="5375">
        <f ca="1"/>
        <v>74.37</v>
      </c>
      <c r="F9" vm="5351">
        <f ca="1"/>
        <v>74.790000000000006</v>
      </c>
    </row>
    <row r="10" spans="1:251" x14ac:dyDescent="0.35">
      <c r="A10" vm="3622">
        <f ca="1"/>
        <v>46093</v>
      </c>
      <c r="B10" vm="5376">
        <f ca="1"/>
        <v>7340971</v>
      </c>
      <c r="C10" vm="5377">
        <f ca="1"/>
        <v>73.239999999999995</v>
      </c>
      <c r="D10" vm="5378">
        <f ca="1"/>
        <v>74.02</v>
      </c>
      <c r="E10" vm="5379">
        <f ca="1"/>
        <v>73.099999999999994</v>
      </c>
      <c r="F10" vm="5352">
        <f ca="1"/>
        <v>73.45</v>
      </c>
    </row>
    <row r="11" spans="1:251" x14ac:dyDescent="0.35">
      <c r="A11" vm="3627">
        <f ca="1"/>
        <v>46094</v>
      </c>
      <c r="B11" vm="5380">
        <f ca="1"/>
        <v>7229709</v>
      </c>
      <c r="C11" vm="5381">
        <f ca="1"/>
        <v>73.59</v>
      </c>
      <c r="D11" vm="5382">
        <f ca="1"/>
        <v>73.94</v>
      </c>
      <c r="E11" vm="5383">
        <f ca="1"/>
        <v>72.09</v>
      </c>
      <c r="F11" vm="5353">
        <f ca="1"/>
        <v>72.39</v>
      </c>
    </row>
    <row r="12" spans="1:251" x14ac:dyDescent="0.35">
      <c r="A12" vm="3631">
        <f ca="1"/>
        <v>46097</v>
      </c>
      <c r="B12" vm="5384">
        <f ca="1"/>
        <v>7471711</v>
      </c>
      <c r="C12" vm="5385">
        <f ca="1"/>
        <v>73.319999999999993</v>
      </c>
      <c r="D12" vm="5386">
        <f ca="1"/>
        <v>73.849999999999994</v>
      </c>
      <c r="E12" vm="5387">
        <f ca="1"/>
        <v>72.430000000000007</v>
      </c>
      <c r="F12" vm="5287">
        <f ca="1"/>
        <v>72.95</v>
      </c>
    </row>
    <row r="13" spans="1:251" x14ac:dyDescent="0.35">
      <c r="A13" vm="3636">
        <f ca="1"/>
        <v>46098</v>
      </c>
      <c r="B13" vm="5388">
        <f ca="1"/>
        <v>4690135</v>
      </c>
      <c r="C13" vm="5381">
        <f ca="1"/>
        <v>73.59</v>
      </c>
      <c r="D13" vm="5389">
        <f ca="1"/>
        <v>74.569999999999993</v>
      </c>
      <c r="E13" vm="5390">
        <f ca="1"/>
        <v>73.545000000000002</v>
      </c>
      <c r="F13" vm="5354">
        <f ca="1"/>
        <v>74.040000000000006</v>
      </c>
    </row>
    <row r="14" spans="1:251" x14ac:dyDescent="0.35">
      <c r="A14" vm="3641">
        <f ca="1"/>
        <v>46099</v>
      </c>
      <c r="B14" vm="5391">
        <f ca="1"/>
        <v>6000865</v>
      </c>
      <c r="C14" vm="5355">
        <f ca="1"/>
        <v>73.53</v>
      </c>
      <c r="D14" vm="5392">
        <f ca="1"/>
        <v>74.81</v>
      </c>
      <c r="E14" vm="5393">
        <f ca="1"/>
        <v>73.415000000000006</v>
      </c>
      <c r="F14" vm="5355">
        <f ca="1"/>
        <v>73.53</v>
      </c>
    </row>
    <row r="15" spans="1:251" x14ac:dyDescent="0.35">
      <c r="A15" vm="3645">
        <f ca="1"/>
        <v>46100</v>
      </c>
      <c r="B15" vm="5394">
        <f ca="1"/>
        <v>9495200</v>
      </c>
      <c r="C15" vm="5395">
        <f ca="1"/>
        <v>72.5</v>
      </c>
      <c r="D15" vm="5396">
        <f ca="1"/>
        <v>74.400000000000006</v>
      </c>
      <c r="E15" vm="5395">
        <f ca="1"/>
        <v>72.5</v>
      </c>
      <c r="F15" vm="5356">
        <f ca="1"/>
        <v>73.790000000000006</v>
      </c>
    </row>
    <row r="16" spans="1:251" x14ac:dyDescent="0.35">
      <c r="A16" vm="3650">
        <f ca="1"/>
        <v>46101</v>
      </c>
      <c r="B16" vm="5397">
        <f ca="1"/>
        <v>17760032</v>
      </c>
      <c r="C16" vm="5286">
        <f ca="1"/>
        <v>73.52</v>
      </c>
      <c r="D16" vm="5398">
        <f ca="1"/>
        <v>73.900000000000006</v>
      </c>
      <c r="E16" vm="5399">
        <f ca="1"/>
        <v>72.094999999999999</v>
      </c>
      <c r="F16" vm="5285">
        <f ca="1"/>
        <v>72.81</v>
      </c>
    </row>
    <row r="17" spans="1:6" x14ac:dyDescent="0.35">
      <c r="A17" vm="3655">
        <f ca="1"/>
        <v>46104</v>
      </c>
      <c r="B17" vm="5400">
        <f ca="1"/>
        <v>7694773</v>
      </c>
      <c r="C17" vm="5401">
        <f ca="1"/>
        <v>74.75</v>
      </c>
      <c r="D17" vm="5402">
        <f ca="1"/>
        <v>76.849999999999994</v>
      </c>
      <c r="E17" vm="5403">
        <f ca="1"/>
        <v>74.599999999999994</v>
      </c>
      <c r="F17" vm="1416">
        <f ca="1"/>
        <v>75.72</v>
      </c>
    </row>
    <row r="18" spans="1:6" x14ac:dyDescent="0.35">
      <c r="A18" vm="3660">
        <f ca="1"/>
        <v>46105</v>
      </c>
      <c r="B18" vm="5404">
        <f ca="1"/>
        <v>7122238</v>
      </c>
      <c r="C18" vm="5405">
        <f ca="1"/>
        <v>74.98</v>
      </c>
      <c r="D18" vm="5406">
        <f ca="1"/>
        <v>76.87</v>
      </c>
      <c r="E18" vm="5407">
        <f ca="1"/>
        <v>74.77</v>
      </c>
      <c r="F18" vm="5357">
        <f ca="1"/>
        <v>76.569999999999993</v>
      </c>
    </row>
    <row r="19" spans="1:6" x14ac:dyDescent="0.35">
      <c r="A19" vm="3665">
        <f ca="1"/>
        <v>46106</v>
      </c>
      <c r="B19" vm="5408">
        <f ca="1"/>
        <v>7191117</v>
      </c>
      <c r="C19" vm="5409">
        <f ca="1"/>
        <v>77.900000000000006</v>
      </c>
      <c r="D19" vm="5410">
        <f ca="1"/>
        <v>78.290000000000006</v>
      </c>
      <c r="E19" vm="5411">
        <f ca="1"/>
        <v>76.39</v>
      </c>
      <c r="F19" vm="5358">
        <f ca="1"/>
        <v>76.61</v>
      </c>
    </row>
    <row r="20" spans="1:6" x14ac:dyDescent="0.35">
      <c r="A20" vm="3669">
        <f ca="1"/>
        <v>46107</v>
      </c>
      <c r="B20" vm="5412">
        <f ca="1"/>
        <v>8471308</v>
      </c>
      <c r="C20" vm="5413">
        <f ca="1"/>
        <v>75.97</v>
      </c>
      <c r="D20" vm="5414">
        <f ca="1"/>
        <v>77.17</v>
      </c>
      <c r="E20" vm="5415">
        <f ca="1"/>
        <v>74.905000000000001</v>
      </c>
      <c r="F20" vm="5359">
        <f ca="1"/>
        <v>75.599999999999994</v>
      </c>
    </row>
    <row r="21" spans="1:6" x14ac:dyDescent="0.35">
      <c r="A21" vm="3673">
        <f ca="1"/>
        <v>46108</v>
      </c>
      <c r="B21" vm="5416">
        <f ca="1"/>
        <v>7563228</v>
      </c>
      <c r="C21" vm="5349">
        <f ca="1"/>
        <v>75.209999999999994</v>
      </c>
      <c r="D21" vm="5417">
        <f ca="1"/>
        <v>75.260000000000005</v>
      </c>
      <c r="E21" vm="5418">
        <f ca="1"/>
        <v>72.680000000000007</v>
      </c>
      <c r="F21" vm="5360">
        <f ca="1"/>
        <v>72.98</v>
      </c>
    </row>
    <row r="22" spans="1:6" x14ac:dyDescent="0.35">
      <c r="A22" vm="3678">
        <f ca="1"/>
        <v>46111</v>
      </c>
      <c r="B22" vm="5419">
        <f ca="1"/>
        <v>7192312</v>
      </c>
      <c r="C22" vm="5420">
        <f ca="1"/>
        <v>73.709999999999994</v>
      </c>
      <c r="D22" vm="5421">
        <f ca="1"/>
        <v>74.23</v>
      </c>
      <c r="E22" vm="5422">
        <f ca="1"/>
        <v>72.42</v>
      </c>
      <c r="F22" vm="5361">
        <f ca="1"/>
        <v>72.760000000000005</v>
      </c>
    </row>
    <row r="23" spans="1:6" x14ac:dyDescent="0.35">
      <c r="A23" vm="3683">
        <f ca="1"/>
        <v>46112</v>
      </c>
      <c r="B23" vm="5423">
        <f ca="1"/>
        <v>5778164</v>
      </c>
      <c r="C23" vm="5424">
        <f ca="1"/>
        <v>74.05</v>
      </c>
      <c r="D23" vm="5425">
        <f ca="1"/>
        <v>75.09</v>
      </c>
      <c r="E23" vm="5426">
        <f ca="1"/>
        <v>73.405000000000001</v>
      </c>
      <c r="F23" vm="5362">
        <f ca="1"/>
        <v>74.5</v>
      </c>
    </row>
    <row r="24" spans="1:6" x14ac:dyDescent="0.35">
      <c r="A24" vm="3688">
        <f ca="1"/>
        <v>46113</v>
      </c>
      <c r="B24" vm="5427">
        <f ca="1"/>
        <v>5147737</v>
      </c>
      <c r="C24" vm="5428">
        <f ca="1"/>
        <v>75.2</v>
      </c>
      <c r="D24" vm="5429">
        <f ca="1"/>
        <v>75.87</v>
      </c>
      <c r="E24" vm="5430">
        <f ca="1"/>
        <v>74.715000000000003</v>
      </c>
      <c r="F24" vm="5363">
        <f ca="1"/>
        <v>75.040000000000006</v>
      </c>
    </row>
    <row r="25" spans="1:6" x14ac:dyDescent="0.35">
      <c r="A25" vm="3693">
        <f ca="1"/>
        <v>46114</v>
      </c>
      <c r="B25" vm="5431">
        <f ca="1"/>
        <v>8182839</v>
      </c>
      <c r="C25" vm="5432">
        <f ca="1"/>
        <v>73.34</v>
      </c>
      <c r="D25" vm="5433">
        <f ca="1"/>
        <v>73.680000000000007</v>
      </c>
      <c r="E25" vm="5434">
        <f ca="1"/>
        <v>71.67</v>
      </c>
      <c r="F25" vm="5364">
        <f ca="1"/>
        <v>72.540000000000006</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ADC9-135B-46D7-B042-B085CECDA510}">
  <dimension ref="A1:IQ25"/>
  <sheetViews>
    <sheetView workbookViewId="0">
      <selection activeCell="H34" sqref="H34"/>
    </sheetView>
  </sheetViews>
  <sheetFormatPr defaultRowHeight="14.5" x14ac:dyDescent="0.35"/>
  <cols>
    <col min="1" max="1" width="22.1796875" bestFit="1" customWidth="1"/>
    <col min="2" max="2" width="46.08984375" bestFit="1" customWidth="1"/>
  </cols>
  <sheetData>
    <row r="1" spans="1:251" x14ac:dyDescent="0.35">
      <c r="A1" s="2" t="s">
        <v>7</v>
      </c>
      <c r="B1" t="e" vm="9">
        <v>#VALUE!</v>
      </c>
    </row>
    <row r="3" spans="1:251" x14ac:dyDescent="0.35">
      <c r="A3" s="2" t="s">
        <v>34</v>
      </c>
      <c r="B3" s="2" t="s">
        <v>24</v>
      </c>
    </row>
    <row r="4" spans="1:251" x14ac:dyDescent="0.35">
      <c r="A4" t="s">
        <v>36</v>
      </c>
      <c r="B4" t="s">
        <v>22</v>
      </c>
      <c r="C4" cm="1" vm="5435">
        <f t="array" aca="1" ref="C4:IQ4" ca="1">TRANSPOSE(_xlfn.STOCKHISTORY(A4&amp;":"&amp;B4,TODAY()-365,TODAY(),0,0,1))</f>
        <v>430.82</v>
      </c>
      <c r="D4" vm="5436">
        <f ca="1"/>
        <v>443.36</v>
      </c>
      <c r="E4" vm="5437">
        <f ca="1"/>
        <v>462.24</v>
      </c>
      <c r="F4" vm="5438">
        <f ca="1"/>
        <v>463.7</v>
      </c>
      <c r="G4" vm="5439">
        <f ca="1"/>
        <v>474.9</v>
      </c>
      <c r="H4" vm="5440">
        <f ca="1"/>
        <v>475.34</v>
      </c>
      <c r="I4" vm="5441">
        <f ca="1"/>
        <v>469.58</v>
      </c>
      <c r="J4" vm="5442">
        <f ca="1"/>
        <v>477.08</v>
      </c>
      <c r="K4" vm="5443">
        <f ca="1"/>
        <v>464.08</v>
      </c>
      <c r="L4" vm="5444">
        <f ca="1"/>
        <v>458.33</v>
      </c>
      <c r="M4" vm="5445">
        <f ca="1"/>
        <v>462.08</v>
      </c>
      <c r="N4" vm="5446">
        <f ca="1"/>
        <v>463.55</v>
      </c>
      <c r="O4" vm="5447">
        <f ca="1"/>
        <v>466.81</v>
      </c>
      <c r="P4" vm="5448">
        <f ca="1"/>
        <v>477.64</v>
      </c>
      <c r="Q4" vm="5449">
        <f ca="1"/>
        <v>476.29</v>
      </c>
      <c r="R4" vm="5450">
        <f ca="1"/>
        <v>475.88</v>
      </c>
      <c r="S4" vm="5451">
        <f ca="1"/>
        <v>477.75</v>
      </c>
      <c r="T4" vm="5452">
        <f ca="1"/>
        <v>477.72</v>
      </c>
      <c r="U4" vm="5453">
        <f ca="1"/>
        <v>472.8</v>
      </c>
      <c r="V4" vm="5454">
        <f ca="1"/>
        <v>471.56</v>
      </c>
      <c r="W4" vm="5455">
        <f ca="1"/>
        <v>468.21</v>
      </c>
      <c r="X4" vm="5456">
        <f ca="1"/>
        <v>471.32</v>
      </c>
      <c r="Y4" vm="5457">
        <f ca="1"/>
        <v>474.53</v>
      </c>
      <c r="Z4" vm="5458">
        <f ca="1"/>
        <v>473.52</v>
      </c>
      <c r="AA4" vm="5459">
        <f ca="1"/>
        <v>473.16</v>
      </c>
      <c r="AB4" vm="5460">
        <f ca="1"/>
        <v>459.83</v>
      </c>
      <c r="AC4" vm="5461">
        <f ca="1"/>
        <v>449.18</v>
      </c>
      <c r="AD4" vm="5462">
        <f ca="1"/>
        <v>465.14</v>
      </c>
      <c r="AE4" vm="5463">
        <f ca="1"/>
        <v>468.32</v>
      </c>
      <c r="AF4" vm="5464">
        <f ca="1"/>
        <v>473.06</v>
      </c>
      <c r="AG4" vm="5465">
        <f ca="1"/>
        <v>475.82</v>
      </c>
      <c r="AH4" vm="5466">
        <f ca="1"/>
        <v>470.28</v>
      </c>
      <c r="AI4" vm="5467">
        <f ca="1"/>
        <v>470.45</v>
      </c>
      <c r="AJ4" vm="5468">
        <f ca="1"/>
        <v>468.88</v>
      </c>
      <c r="AK4" vm="5469">
        <f ca="1"/>
        <v>476.85</v>
      </c>
      <c r="AL4" vm="5470">
        <f ca="1"/>
        <v>469.98</v>
      </c>
      <c r="AM4" vm="5471">
        <f ca="1"/>
        <v>473.69</v>
      </c>
      <c r="AN4" vm="5472">
        <f ca="1"/>
        <v>482.38</v>
      </c>
      <c r="AO4" vm="5473">
        <f ca="1"/>
        <v>478.82</v>
      </c>
      <c r="AP4" vm="5474">
        <f ca="1"/>
        <v>480.17</v>
      </c>
      <c r="AQ4" vm="5475">
        <f ca="1"/>
        <v>482.21</v>
      </c>
      <c r="AR4" vm="5476">
        <f ca="1"/>
        <v>478.03</v>
      </c>
      <c r="AS4" vm="5477">
        <f ca="1"/>
        <v>481.69</v>
      </c>
      <c r="AT4" vm="5478">
        <f ca="1"/>
        <v>480.83</v>
      </c>
      <c r="AU4" vm="5479">
        <f ca="1"/>
        <v>476.9</v>
      </c>
      <c r="AV4" vm="5480">
        <f ca="1"/>
        <v>456.6</v>
      </c>
      <c r="AW4" vm="5481">
        <f ca="1"/>
        <v>469.27</v>
      </c>
      <c r="AX4" vm="5482">
        <f ca="1"/>
        <v>486.45</v>
      </c>
      <c r="AY4" vm="5483">
        <f ca="1"/>
        <v>467.06</v>
      </c>
      <c r="AZ4" vm="5484">
        <f ca="1"/>
        <v>479.34</v>
      </c>
      <c r="BA4" vm="5485">
        <f ca="1"/>
        <v>468.6</v>
      </c>
      <c r="BB4" vm="5486">
        <f ca="1"/>
        <v>470.56</v>
      </c>
      <c r="BC4" vm="5487">
        <f ca="1"/>
        <v>472.46</v>
      </c>
      <c r="BD4" vm="5488">
        <f ca="1"/>
        <v>460.2</v>
      </c>
      <c r="BE4" vm="5489">
        <f ca="1"/>
        <v>458.39</v>
      </c>
      <c r="BF4" vm="5490">
        <f ca="1"/>
        <v>457.9</v>
      </c>
      <c r="BG4" vm="5491">
        <f ca="1"/>
        <v>458.59</v>
      </c>
      <c r="BH4" vm="5492">
        <f ca="1"/>
        <v>463.14</v>
      </c>
      <c r="BI4" vm="5493">
        <f ca="1"/>
        <v>465.94</v>
      </c>
      <c r="BJ4" vm="5494">
        <f ca="1"/>
        <v>462.55</v>
      </c>
      <c r="BK4" vm="5495">
        <f ca="1"/>
        <v>462.52</v>
      </c>
      <c r="BL4" vm="5496">
        <f ca="1"/>
        <v>469.06</v>
      </c>
      <c r="BM4" vm="5497">
        <f ca="1"/>
        <v>463.01</v>
      </c>
      <c r="BN4" vm="5498">
        <f ca="1"/>
        <v>463.06</v>
      </c>
      <c r="BO4" vm="5499">
        <f ca="1"/>
        <v>464.31</v>
      </c>
      <c r="BP4" vm="5500">
        <f ca="1"/>
        <v>467.51</v>
      </c>
      <c r="BQ4" vm="5501">
        <f ca="1"/>
        <v>473.57</v>
      </c>
      <c r="BR4" vm="5502">
        <f ca="1"/>
        <v>470.12</v>
      </c>
      <c r="BS4" vm="5503">
        <f ca="1"/>
        <v>471.47</v>
      </c>
      <c r="BT4" vm="5504">
        <f ca="1"/>
        <v>469.2</v>
      </c>
      <c r="BU4" vm="5505">
        <f ca="1"/>
        <v>463.96</v>
      </c>
      <c r="BV4" vm="5506">
        <f ca="1"/>
        <v>460.53</v>
      </c>
      <c r="BW4" vm="5507">
        <f ca="1"/>
        <v>410.74</v>
      </c>
      <c r="BX4" vm="5508">
        <f ca="1"/>
        <v>419.39</v>
      </c>
      <c r="BY4" vm="5509">
        <f ca="1"/>
        <v>420.55</v>
      </c>
      <c r="BZ4" vm="5510">
        <f ca="1"/>
        <v>421.17</v>
      </c>
      <c r="CA4" vm="5511">
        <f ca="1"/>
        <v>421.34</v>
      </c>
      <c r="CB4" vm="5512">
        <f ca="1"/>
        <v>420.13</v>
      </c>
      <c r="CC4" vm="5513">
        <f ca="1"/>
        <v>418.68</v>
      </c>
      <c r="CD4" vm="5514">
        <f ca="1"/>
        <v>420.98</v>
      </c>
      <c r="CE4" vm="5515">
        <f ca="1"/>
        <v>421.01</v>
      </c>
      <c r="CF4" vm="5516">
        <f ca="1"/>
        <v>423.7</v>
      </c>
      <c r="CG4" vm="5517">
        <f ca="1"/>
        <v>428.24</v>
      </c>
      <c r="CH4" vm="5518">
        <f ca="1"/>
        <v>434.85</v>
      </c>
      <c r="CI4" vm="5519">
        <f ca="1"/>
        <v>430.75</v>
      </c>
      <c r="CJ4" vm="5520">
        <f ca="1"/>
        <v>425.63</v>
      </c>
      <c r="CK4" vm="5521">
        <f ca="1"/>
        <v>426.26</v>
      </c>
      <c r="CL4" vm="5522">
        <f ca="1"/>
        <v>431.56</v>
      </c>
      <c r="CM4" vm="5523">
        <f ca="1"/>
        <v>442.57</v>
      </c>
      <c r="CN4" vm="5524">
        <f ca="1"/>
        <v>437.32</v>
      </c>
      <c r="CO4" vm="5525">
        <f ca="1"/>
        <v>437.56</v>
      </c>
      <c r="CP4" vm="5526">
        <f ca="1"/>
        <v>440.64</v>
      </c>
      <c r="CQ4" vm="5527">
        <f ca="1"/>
        <v>441.1</v>
      </c>
      <c r="CR4" vm="5528">
        <f ca="1"/>
        <v>446</v>
      </c>
      <c r="CS4" vm="5529">
        <f ca="1"/>
        <v>447.2</v>
      </c>
      <c r="CT4" vm="5530">
        <f ca="1"/>
        <v>446.2</v>
      </c>
      <c r="CU4" vm="5531">
        <f ca="1"/>
        <v>447.72</v>
      </c>
      <c r="CV4" vm="5532">
        <f ca="1"/>
        <v>455.46</v>
      </c>
      <c r="CW4" vm="5533">
        <f ca="1"/>
        <v>454.47</v>
      </c>
      <c r="CX4" vm="5534">
        <f ca="1"/>
        <v>456.18</v>
      </c>
      <c r="CY4" vm="5535">
        <f ca="1"/>
        <v>455.63</v>
      </c>
      <c r="CZ4" vm="5536">
        <f ca="1"/>
        <v>452.5</v>
      </c>
      <c r="DA4" vm="5537">
        <f ca="1"/>
        <v>449.06</v>
      </c>
      <c r="DB4" vm="5538">
        <f ca="1"/>
        <v>456.85</v>
      </c>
      <c r="DC4" vm="5539">
        <f ca="1"/>
        <v>463.9</v>
      </c>
      <c r="DD4" vm="5540">
        <f ca="1"/>
        <v>459.11</v>
      </c>
      <c r="DE4" vm="5541">
        <f ca="1"/>
        <v>457.06</v>
      </c>
      <c r="DF4" vm="5542">
        <f ca="1"/>
        <v>463.87</v>
      </c>
      <c r="DG4" vm="5543">
        <f ca="1"/>
        <v>470.73</v>
      </c>
      <c r="DH4" vm="5544">
        <f ca="1"/>
        <v>471.31</v>
      </c>
      <c r="DI4" vm="5545">
        <f ca="1"/>
        <v>473.25</v>
      </c>
      <c r="DJ4" vm="5546">
        <f ca="1"/>
        <v>474.32</v>
      </c>
      <c r="DK4" vm="5547">
        <f ca="1"/>
        <v>473.12</v>
      </c>
      <c r="DL4" vm="5548">
        <f ca="1"/>
        <v>473.62</v>
      </c>
      <c r="DM4" vm="5549">
        <f ca="1"/>
        <v>472.94</v>
      </c>
      <c r="DN4" vm="5550">
        <f ca="1"/>
        <v>480.39</v>
      </c>
      <c r="DO4" vm="5551">
        <f ca="1"/>
        <v>486.67</v>
      </c>
      <c r="DP4" vm="5552">
        <f ca="1"/>
        <v>486.25</v>
      </c>
      <c r="DQ4" vm="5553">
        <f ca="1"/>
        <v>484.34</v>
      </c>
      <c r="DR4" vm="5554">
        <f ca="1"/>
        <v>487.44</v>
      </c>
      <c r="DS4" vm="5555">
        <f ca="1"/>
        <v>491.98</v>
      </c>
      <c r="DT4" vm="5556">
        <f ca="1"/>
        <v>499.21</v>
      </c>
      <c r="DU4" vm="5557">
        <f ca="1"/>
        <v>499</v>
      </c>
      <c r="DV4" vm="5558">
        <f ca="1"/>
        <v>499.36</v>
      </c>
      <c r="DW4" vm="5559">
        <f ca="1"/>
        <v>504.49</v>
      </c>
      <c r="DX4" vm="5560">
        <f ca="1"/>
        <v>514.24</v>
      </c>
      <c r="DY4" vm="5561">
        <f ca="1"/>
        <v>511.07</v>
      </c>
      <c r="DZ4" vm="5562">
        <f ca="1"/>
        <v>514.02</v>
      </c>
      <c r="EA4" vm="5563">
        <f ca="1"/>
        <v>507.76</v>
      </c>
      <c r="EB4" vm="5564">
        <f ca="1"/>
        <v>505.05</v>
      </c>
      <c r="EC4" vm="5565">
        <f ca="1"/>
        <v>503.83</v>
      </c>
      <c r="ED4" vm="5566">
        <f ca="1"/>
        <v>505.18</v>
      </c>
      <c r="EE4" vm="5567">
        <f ca="1"/>
        <v>499.41</v>
      </c>
      <c r="EF4" vm="5568">
        <f ca="1"/>
        <v>493.25</v>
      </c>
      <c r="EG4" vm="5569">
        <f ca="1"/>
        <v>495.15</v>
      </c>
      <c r="EH4" vm="5570">
        <f ca="1"/>
        <v>505.9</v>
      </c>
      <c r="EI4" vm="5571">
        <f ca="1"/>
        <v>489.5</v>
      </c>
      <c r="EJ4" vm="5572">
        <f ca="1"/>
        <v>487.14</v>
      </c>
      <c r="EK4" vm="5573">
        <f ca="1"/>
        <v>488.05</v>
      </c>
      <c r="EL4" vm="5574">
        <f ca="1"/>
        <v>485.41</v>
      </c>
      <c r="EM4" vm="5575">
        <f ca="1"/>
        <v>486.91</v>
      </c>
      <c r="EN4" vm="5576">
        <f ca="1"/>
        <v>485.77</v>
      </c>
      <c r="EO4" vm="5577">
        <f ca="1"/>
        <v>485.33</v>
      </c>
      <c r="EP4" vm="5578">
        <f ca="1"/>
        <v>489.72</v>
      </c>
      <c r="EQ4" vm="5579">
        <f ca="1"/>
        <v>491.88</v>
      </c>
      <c r="ER4" vm="5580">
        <f ca="1"/>
        <v>487.94</v>
      </c>
      <c r="ES4" vm="5581">
        <f ca="1"/>
        <v>484.98</v>
      </c>
      <c r="ET4" vm="5582">
        <f ca="1"/>
        <v>473.14</v>
      </c>
      <c r="EU4" vm="5583">
        <f ca="1"/>
        <v>468.92</v>
      </c>
      <c r="EV4" vm="5584">
        <f ca="1"/>
        <v>458.35</v>
      </c>
      <c r="EW4" vm="5585">
        <f ca="1"/>
        <v>452.1</v>
      </c>
      <c r="EX4" vm="5586">
        <f ca="1"/>
        <v>457.07</v>
      </c>
      <c r="EY4" vm="5587">
        <f ca="1"/>
        <v>457.04</v>
      </c>
      <c r="EZ4" vm="5588">
        <f ca="1"/>
        <v>455.85</v>
      </c>
      <c r="FA4" vm="5589">
        <f ca="1"/>
        <v>465.77</v>
      </c>
      <c r="FB4" vm="5590">
        <f ca="1"/>
        <v>470.78</v>
      </c>
      <c r="FC4" vm="5591">
        <f ca="1"/>
        <v>474.72</v>
      </c>
      <c r="FD4" vm="5592">
        <f ca="1"/>
        <v>469.91</v>
      </c>
      <c r="FE4" vm="5593">
        <f ca="1"/>
        <v>468.26</v>
      </c>
      <c r="FF4" vm="5594">
        <f ca="1"/>
        <v>460.78</v>
      </c>
      <c r="FG4" vm="5595">
        <f ca="1"/>
        <v>451.06</v>
      </c>
      <c r="FH4" vm="5596">
        <f ca="1"/>
        <v>452.41</v>
      </c>
      <c r="FI4" vm="5597">
        <f ca="1"/>
        <v>454.16</v>
      </c>
      <c r="FJ4" vm="5598">
        <f ca="1"/>
        <v>457.86</v>
      </c>
      <c r="FK4" vm="5599">
        <f ca="1"/>
        <v>439.19</v>
      </c>
      <c r="FL4" vm="5600">
        <f ca="1"/>
        <v>441.82</v>
      </c>
      <c r="FM4" vm="5601">
        <f ca="1"/>
        <v>446.8</v>
      </c>
      <c r="FN4" vm="5602">
        <f ca="1"/>
        <v>448.35</v>
      </c>
      <c r="FO4" vm="5603">
        <f ca="1"/>
        <v>452.2</v>
      </c>
      <c r="FP4" vm="5604">
        <f ca="1"/>
        <v>465.38</v>
      </c>
      <c r="FQ4" vm="5605">
        <f ca="1"/>
        <v>466.89</v>
      </c>
      <c r="FR4" vm="5606">
        <f ca="1"/>
        <v>467.94</v>
      </c>
      <c r="FS4" vm="5607">
        <f ca="1"/>
        <v>474.88</v>
      </c>
      <c r="FT4" vm="5608">
        <f ca="1"/>
        <v>480.25</v>
      </c>
      <c r="FU4" vm="5609">
        <f ca="1"/>
        <v>484.42</v>
      </c>
      <c r="FV4" vm="5610">
        <f ca="1"/>
        <v>477.06</v>
      </c>
      <c r="FW4" vm="5611">
        <f ca="1"/>
        <v>474.79</v>
      </c>
      <c r="FX4" vm="5612">
        <f ca="1"/>
        <v>470.14</v>
      </c>
      <c r="FY4" vm="5613">
        <f ca="1"/>
        <v>474.13</v>
      </c>
      <c r="FZ4" vm="5614">
        <f ca="1"/>
        <v>483.57</v>
      </c>
      <c r="GA4" vm="5615">
        <f ca="1"/>
        <v>482.55</v>
      </c>
      <c r="GB4" vm="5616">
        <f ca="1"/>
        <v>485.75</v>
      </c>
      <c r="GC4" vm="5617">
        <f ca="1"/>
        <v>483.03</v>
      </c>
      <c r="GD4" vm="5618">
        <f ca="1"/>
        <v>488.87</v>
      </c>
      <c r="GE4" vm="5619">
        <f ca="1"/>
        <v>488</v>
      </c>
      <c r="GF4" vm="5620">
        <f ca="1"/>
        <v>483.67</v>
      </c>
      <c r="GG4" vm="5621">
        <f ca="1"/>
        <v>497.07</v>
      </c>
      <c r="GH4" vm="5622">
        <f ca="1"/>
        <v>511.57</v>
      </c>
      <c r="GI4" vm="5623">
        <f ca="1"/>
        <v>522.04</v>
      </c>
      <c r="GJ4" vm="5624">
        <f ca="1"/>
        <v>496.87</v>
      </c>
      <c r="GK4" vm="5625">
        <f ca="1"/>
        <v>518.44000000000005</v>
      </c>
      <c r="GL4" vm="5626">
        <f ca="1"/>
        <v>542.91999999999996</v>
      </c>
      <c r="GM4" vm="5627">
        <f ca="1"/>
        <v>551.24</v>
      </c>
      <c r="GN4" vm="5628">
        <f ca="1"/>
        <v>558.29999999999995</v>
      </c>
      <c r="GO4" vm="5629">
        <f ca="1"/>
        <v>572.70000000000005</v>
      </c>
      <c r="GP4" vm="5630">
        <f ca="1"/>
        <v>577.89</v>
      </c>
      <c r="GQ4" vm="5631">
        <f ca="1"/>
        <v>582.42999999999995</v>
      </c>
      <c r="GR4" vm="5632">
        <f ca="1"/>
        <v>576.05999999999995</v>
      </c>
      <c r="GS4" vm="5633">
        <f ca="1"/>
        <v>586.23</v>
      </c>
      <c r="GT4" vm="5634">
        <f ca="1"/>
        <v>593.91</v>
      </c>
      <c r="GU4" vm="5635">
        <f ca="1"/>
        <v>590.82000000000005</v>
      </c>
      <c r="GV4" vm="5636">
        <f ca="1"/>
        <v>581.66</v>
      </c>
      <c r="GW4" vm="5637">
        <f ca="1"/>
        <v>594.95000000000005</v>
      </c>
      <c r="GX4" vm="5638">
        <f ca="1"/>
        <v>597.27</v>
      </c>
      <c r="GY4" vm="5639">
        <f ca="1"/>
        <v>622.51</v>
      </c>
      <c r="GZ4" vm="5640">
        <f ca="1"/>
        <v>634.22</v>
      </c>
      <c r="HA4" vm="5641">
        <f ca="1"/>
        <v>636</v>
      </c>
      <c r="HB4" vm="5642">
        <f ca="1"/>
        <v>628.26</v>
      </c>
      <c r="HC4" vm="5643">
        <f ca="1"/>
        <v>602.76</v>
      </c>
      <c r="HD4" vm="5644">
        <f ca="1"/>
        <v>609.17999999999995</v>
      </c>
      <c r="HE4" vm="5645">
        <f ca="1"/>
        <v>623.58000000000004</v>
      </c>
      <c r="HF4" vm="5646">
        <f ca="1"/>
        <v>638.29</v>
      </c>
      <c r="HG4" vm="5647">
        <f ca="1"/>
        <v>629.55999999999995</v>
      </c>
      <c r="HH4" vm="5648">
        <f ca="1"/>
        <v>628.70000000000005</v>
      </c>
      <c r="HI4" vm="5649">
        <f ca="1"/>
        <v>637.42999999999995</v>
      </c>
      <c r="HJ4" vm="5650">
        <f ca="1"/>
        <v>652.58000000000004</v>
      </c>
      <c r="HK4" vm="5651">
        <f ca="1"/>
        <v>649.58000000000004</v>
      </c>
      <c r="HL4" vm="2902">
        <f ca="1"/>
        <v>649.80999999999995</v>
      </c>
      <c r="HM4" vm="5652">
        <f ca="1"/>
        <v>666.51</v>
      </c>
      <c r="HN4" vm="5653">
        <f ca="1"/>
        <v>658.26</v>
      </c>
      <c r="HO4" vm="2876">
        <f ca="1"/>
        <v>660.62</v>
      </c>
      <c r="HP4" vm="5654">
        <f ca="1"/>
        <v>664.43</v>
      </c>
      <c r="HQ4" vm="5655">
        <f ca="1"/>
        <v>647.5</v>
      </c>
      <c r="HR4" vm="5656">
        <f ca="1"/>
        <v>641.63</v>
      </c>
      <c r="HS4" vm="5657">
        <f ca="1"/>
        <v>658.08</v>
      </c>
      <c r="HT4" vm="5658">
        <f ca="1"/>
        <v>676.7</v>
      </c>
      <c r="HU4" vm="5659">
        <f ca="1"/>
        <v>667.82</v>
      </c>
      <c r="HV4" vm="5660">
        <f ca="1"/>
        <v>664.48</v>
      </c>
      <c r="HW4" vm="5661">
        <f ca="1"/>
        <v>655</v>
      </c>
      <c r="HX4" vm="5662">
        <f ca="1"/>
        <v>671.77</v>
      </c>
      <c r="HY4" vm="5663">
        <f ca="1"/>
        <v>664.15</v>
      </c>
      <c r="HZ4" vm="5664">
        <f ca="1"/>
        <v>651.22</v>
      </c>
      <c r="IA4" vm="5665">
        <f ca="1"/>
        <v>649.47</v>
      </c>
      <c r="IB4" vm="5666">
        <f ca="1"/>
        <v>652.83000000000004</v>
      </c>
      <c r="IC4" vm="5667">
        <f ca="1"/>
        <v>646</v>
      </c>
      <c r="ID4" vm="5668">
        <f ca="1"/>
        <v>645.20000000000005</v>
      </c>
      <c r="IE4" vm="5669">
        <f ca="1"/>
        <v>636.33000000000004</v>
      </c>
      <c r="IF4" vm="5670">
        <f ca="1"/>
        <v>642.28</v>
      </c>
      <c r="IG4" vm="5671">
        <f ca="1"/>
        <v>637.51</v>
      </c>
      <c r="IH4" vm="5672">
        <f ca="1"/>
        <v>627.42999999999995</v>
      </c>
      <c r="II4" vm="5673">
        <f ca="1"/>
        <v>616.25</v>
      </c>
      <c r="IJ4" vm="5674">
        <f ca="1"/>
        <v>610.16999999999996</v>
      </c>
      <c r="IK4" vm="5675">
        <f ca="1"/>
        <v>624.20000000000005</v>
      </c>
      <c r="IL4" vm="5676">
        <f ca="1"/>
        <v>627.33000000000004</v>
      </c>
      <c r="IM4" vm="5677">
        <f ca="1"/>
        <v>615.84</v>
      </c>
      <c r="IN4" vm="5678">
        <f ca="1"/>
        <v>598.57000000000005</v>
      </c>
      <c r="IO4" vm="5679">
        <f ca="1"/>
        <v>604.39</v>
      </c>
      <c r="IP4" vm="5680">
        <f ca="1"/>
        <v>617.64</v>
      </c>
      <c r="IQ4" vm="5681">
        <f ca="1"/>
        <v>622.79</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5682">
        <f ca="1"/>
        <v>2369743</v>
      </c>
      <c r="C7" vm="5683">
        <f ca="1"/>
        <v>675.58</v>
      </c>
      <c r="D7" vm="5684">
        <f ca="1"/>
        <v>676.07500000000005</v>
      </c>
      <c r="E7" vm="5685">
        <f ca="1"/>
        <v>657.34500000000003</v>
      </c>
      <c r="F7" vm="5663">
        <f ca="1"/>
        <v>664.15</v>
      </c>
    </row>
    <row r="8" spans="1:251" x14ac:dyDescent="0.35">
      <c r="A8" vm="3612">
        <f ca="1"/>
        <v>46091</v>
      </c>
      <c r="B8" vm="5686">
        <f ca="1"/>
        <v>1653018</v>
      </c>
      <c r="C8" vm="5687">
        <f ca="1"/>
        <v>657.95</v>
      </c>
      <c r="D8" vm="5688">
        <f ca="1"/>
        <v>659.89</v>
      </c>
      <c r="E8" vm="5689">
        <f ca="1"/>
        <v>646.20000000000005</v>
      </c>
      <c r="F8" vm="5664">
        <f ca="1"/>
        <v>651.22</v>
      </c>
    </row>
    <row r="9" spans="1:251" x14ac:dyDescent="0.35">
      <c r="A9" vm="3617">
        <f ca="1"/>
        <v>46092</v>
      </c>
      <c r="B9" vm="5690">
        <f ca="1"/>
        <v>1365219</v>
      </c>
      <c r="C9" vm="5691">
        <f ca="1"/>
        <v>645.32000000000005</v>
      </c>
      <c r="D9" vm="5692">
        <f ca="1"/>
        <v>656.99990000000003</v>
      </c>
      <c r="E9" vm="5693">
        <f ca="1"/>
        <v>644.13</v>
      </c>
      <c r="F9" vm="5665">
        <f ca="1"/>
        <v>649.47</v>
      </c>
    </row>
    <row r="10" spans="1:251" x14ac:dyDescent="0.35">
      <c r="A10" vm="3622">
        <f ca="1"/>
        <v>46093</v>
      </c>
      <c r="B10" vm="5694">
        <f ca="1"/>
        <v>1411169</v>
      </c>
      <c r="C10" vm="5695">
        <f ca="1"/>
        <v>651.95000000000005</v>
      </c>
      <c r="D10" vm="5696">
        <f ca="1"/>
        <v>661</v>
      </c>
      <c r="E10" vm="5697">
        <f ca="1"/>
        <v>646.63</v>
      </c>
      <c r="F10" vm="5666">
        <f ca="1"/>
        <v>652.83000000000004</v>
      </c>
    </row>
    <row r="11" spans="1:251" x14ac:dyDescent="0.35">
      <c r="A11" vm="3627">
        <f ca="1"/>
        <v>46094</v>
      </c>
      <c r="B11" vm="5698">
        <f ca="1"/>
        <v>1071344</v>
      </c>
      <c r="C11" vm="5699">
        <f ca="1"/>
        <v>652.66999999999996</v>
      </c>
      <c r="D11" vm="5700">
        <f ca="1"/>
        <v>660</v>
      </c>
      <c r="E11" vm="5701">
        <f ca="1"/>
        <v>640.5</v>
      </c>
      <c r="F11" vm="5667">
        <f ca="1"/>
        <v>646</v>
      </c>
    </row>
    <row r="12" spans="1:251" x14ac:dyDescent="0.35">
      <c r="A12" vm="3631">
        <f ca="1"/>
        <v>46097</v>
      </c>
      <c r="B12" vm="5702">
        <f ca="1"/>
        <v>1180980</v>
      </c>
      <c r="C12" vm="5703">
        <f ca="1"/>
        <v>645.22500000000002</v>
      </c>
      <c r="D12" vm="5704">
        <f ca="1"/>
        <v>651.54999999999995</v>
      </c>
      <c r="E12" vm="5705">
        <f ca="1"/>
        <v>639</v>
      </c>
      <c r="F12" vm="5668">
        <f ca="1"/>
        <v>645.20000000000005</v>
      </c>
    </row>
    <row r="13" spans="1:251" x14ac:dyDescent="0.35">
      <c r="A13" vm="3636">
        <f ca="1"/>
        <v>46098</v>
      </c>
      <c r="B13" vm="5706">
        <f ca="1"/>
        <v>1389066</v>
      </c>
      <c r="C13" vm="5707">
        <f ca="1"/>
        <v>644.96</v>
      </c>
      <c r="D13" vm="5708">
        <f ca="1"/>
        <v>645</v>
      </c>
      <c r="E13" vm="5709">
        <f ca="1"/>
        <v>632.78899999999999</v>
      </c>
      <c r="F13" vm="5669">
        <f ca="1"/>
        <v>636.33000000000004</v>
      </c>
    </row>
    <row r="14" spans="1:251" x14ac:dyDescent="0.35">
      <c r="A14" vm="3641">
        <f ca="1"/>
        <v>46099</v>
      </c>
      <c r="B14" vm="5710">
        <f ca="1"/>
        <v>1026183</v>
      </c>
      <c r="C14" vm="5711">
        <f ca="1"/>
        <v>641.11</v>
      </c>
      <c r="D14" vm="5712">
        <f ca="1"/>
        <v>645.85</v>
      </c>
      <c r="E14" vm="5713">
        <f ca="1"/>
        <v>636.45000000000005</v>
      </c>
      <c r="F14" vm="5670">
        <f ca="1"/>
        <v>642.28</v>
      </c>
    </row>
    <row r="15" spans="1:251" x14ac:dyDescent="0.35">
      <c r="A15" vm="3645">
        <f ca="1"/>
        <v>46100</v>
      </c>
      <c r="B15" vm="5714">
        <f ca="1"/>
        <v>1540841</v>
      </c>
      <c r="C15" vm="5715">
        <f ca="1"/>
        <v>639.05999999999995</v>
      </c>
      <c r="D15" vm="5716">
        <f ca="1"/>
        <v>640</v>
      </c>
      <c r="E15" vm="5717">
        <f ca="1"/>
        <v>623.75</v>
      </c>
      <c r="F15" vm="5671">
        <f ca="1"/>
        <v>637.51</v>
      </c>
    </row>
    <row r="16" spans="1:251" x14ac:dyDescent="0.35">
      <c r="A16" vm="3650">
        <f ca="1"/>
        <v>46101</v>
      </c>
      <c r="B16" vm="5718">
        <f ca="1"/>
        <v>6511253</v>
      </c>
      <c r="C16" vm="5719">
        <f ca="1"/>
        <v>635.86</v>
      </c>
      <c r="D16" vm="5720">
        <f ca="1"/>
        <v>638.50990000000002</v>
      </c>
      <c r="E16" vm="5721">
        <f ca="1"/>
        <v>622.37</v>
      </c>
      <c r="F16" vm="5672">
        <f ca="1"/>
        <v>627.42999999999995</v>
      </c>
    </row>
    <row r="17" spans="1:6" x14ac:dyDescent="0.35">
      <c r="A17" vm="3655">
        <f ca="1"/>
        <v>46104</v>
      </c>
      <c r="B17" vm="5722">
        <f ca="1"/>
        <v>1386641</v>
      </c>
      <c r="C17" vm="5723">
        <f ca="1"/>
        <v>629.07000000000005</v>
      </c>
      <c r="D17" vm="5724">
        <f ca="1"/>
        <v>629.65790000000004</v>
      </c>
      <c r="E17" vm="5725">
        <f ca="1"/>
        <v>610.63</v>
      </c>
      <c r="F17" vm="5673">
        <f ca="1"/>
        <v>616.25</v>
      </c>
    </row>
    <row r="18" spans="1:6" x14ac:dyDescent="0.35">
      <c r="A18" vm="3660">
        <f ca="1"/>
        <v>46105</v>
      </c>
      <c r="B18" vm="5726">
        <f ca="1"/>
        <v>1078188</v>
      </c>
      <c r="C18" vm="5727">
        <f ca="1"/>
        <v>612.95000000000005</v>
      </c>
      <c r="D18" vm="5728">
        <f ca="1"/>
        <v>615.29999999999995</v>
      </c>
      <c r="E18" vm="5729">
        <f ca="1"/>
        <v>605.00009999999997</v>
      </c>
      <c r="F18" vm="5674">
        <f ca="1"/>
        <v>610.16999999999996</v>
      </c>
    </row>
    <row r="19" spans="1:6" x14ac:dyDescent="0.35">
      <c r="A19" vm="3665">
        <f ca="1"/>
        <v>46106</v>
      </c>
      <c r="B19" vm="5730">
        <f ca="1"/>
        <v>1190275</v>
      </c>
      <c r="C19" vm="5731">
        <f ca="1"/>
        <v>612.5</v>
      </c>
      <c r="D19" vm="5732">
        <f ca="1"/>
        <v>626.92999999999995</v>
      </c>
      <c r="E19" vm="5733">
        <f ca="1"/>
        <v>612.41999999999996</v>
      </c>
      <c r="F19" vm="5675">
        <f ca="1"/>
        <v>624.20000000000005</v>
      </c>
    </row>
    <row r="20" spans="1:6" x14ac:dyDescent="0.35">
      <c r="A20" vm="3669">
        <f ca="1"/>
        <v>46107</v>
      </c>
      <c r="B20" vm="5734">
        <f ca="1"/>
        <v>1262434</v>
      </c>
      <c r="C20" vm="5735">
        <f ca="1"/>
        <v>619.79999999999995</v>
      </c>
      <c r="D20" vm="5736">
        <f ca="1"/>
        <v>632.91999999999996</v>
      </c>
      <c r="E20" vm="5735">
        <f ca="1"/>
        <v>619.79999999999995</v>
      </c>
      <c r="F20" vm="5676">
        <f ca="1"/>
        <v>627.33000000000004</v>
      </c>
    </row>
    <row r="21" spans="1:6" x14ac:dyDescent="0.35">
      <c r="A21" vm="3673">
        <f ca="1"/>
        <v>46108</v>
      </c>
      <c r="B21" vm="5737">
        <f ca="1"/>
        <v>1061125</v>
      </c>
      <c r="C21" vm="5738">
        <f ca="1"/>
        <v>625.70000000000005</v>
      </c>
      <c r="D21" vm="5739">
        <f ca="1"/>
        <v>631.44500000000005</v>
      </c>
      <c r="E21" vm="5740">
        <f ca="1"/>
        <v>613.65509999999995</v>
      </c>
      <c r="F21" vm="5677">
        <f ca="1"/>
        <v>615.84</v>
      </c>
    </row>
    <row r="22" spans="1:6" x14ac:dyDescent="0.35">
      <c r="A22" vm="3678">
        <f ca="1"/>
        <v>46111</v>
      </c>
      <c r="B22" vm="5741">
        <f ca="1"/>
        <v>1849318</v>
      </c>
      <c r="C22" vm="5742">
        <f ca="1"/>
        <v>621.03</v>
      </c>
      <c r="D22" vm="5743">
        <f ca="1"/>
        <v>623.32000000000005</v>
      </c>
      <c r="E22" vm="5744">
        <f ca="1"/>
        <v>593.88</v>
      </c>
      <c r="F22" vm="5678">
        <f ca="1"/>
        <v>598.57000000000005</v>
      </c>
    </row>
    <row r="23" spans="1:6" x14ac:dyDescent="0.35">
      <c r="A23" vm="3683">
        <f ca="1"/>
        <v>46112</v>
      </c>
      <c r="B23" vm="5745">
        <f ca="1"/>
        <v>1327800</v>
      </c>
      <c r="C23" vm="5746">
        <f ca="1"/>
        <v>604.5</v>
      </c>
      <c r="D23" vm="5747">
        <f ca="1"/>
        <v>610</v>
      </c>
      <c r="E23" vm="5748">
        <f ca="1"/>
        <v>598.70000000000005</v>
      </c>
      <c r="F23" vm="5679">
        <f ca="1"/>
        <v>604.39</v>
      </c>
    </row>
    <row r="24" spans="1:6" x14ac:dyDescent="0.35">
      <c r="A24" vm="3688">
        <f ca="1"/>
        <v>46113</v>
      </c>
      <c r="B24" vm="5749">
        <f ca="1"/>
        <v>1118050</v>
      </c>
      <c r="C24" vm="5750">
        <f ca="1"/>
        <v>608.82000000000005</v>
      </c>
      <c r="D24" vm="5751">
        <f ca="1"/>
        <v>619.1</v>
      </c>
      <c r="E24" vm="5752">
        <f ca="1"/>
        <v>606.11</v>
      </c>
      <c r="F24" vm="5680">
        <f ca="1"/>
        <v>617.64</v>
      </c>
    </row>
    <row r="25" spans="1:6" x14ac:dyDescent="0.35">
      <c r="A25" vm="3693">
        <f ca="1"/>
        <v>46114</v>
      </c>
      <c r="B25" vm="5753">
        <f ca="1"/>
        <v>1116763</v>
      </c>
      <c r="C25" vm="5754">
        <f ca="1"/>
        <v>616.70000000000005</v>
      </c>
      <c r="D25" vm="5755">
        <f ca="1"/>
        <v>626.51</v>
      </c>
      <c r="E25" vm="5756">
        <f ca="1"/>
        <v>616.01</v>
      </c>
      <c r="F25" vm="5681">
        <f ca="1"/>
        <v>622.79</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65AD-C78D-4CDE-9913-EBF14C38630E}">
  <dimension ref="A1:IQ25"/>
  <sheetViews>
    <sheetView workbookViewId="0">
      <selection activeCell="H34" sqref="H34"/>
    </sheetView>
  </sheetViews>
  <sheetFormatPr defaultRowHeight="14.5" x14ac:dyDescent="0.35"/>
  <cols>
    <col min="1" max="1" width="22.1796875" bestFit="1" customWidth="1"/>
    <col min="2" max="2" width="41.36328125" bestFit="1" customWidth="1"/>
  </cols>
  <sheetData>
    <row r="1" spans="1:251" x14ac:dyDescent="0.35">
      <c r="A1" s="2" t="s">
        <v>7</v>
      </c>
      <c r="B1" t="e" vm="2">
        <v>#VALUE!</v>
      </c>
    </row>
    <row r="3" spans="1:251" x14ac:dyDescent="0.35">
      <c r="A3" s="2" t="s">
        <v>34</v>
      </c>
      <c r="B3" s="2" t="s">
        <v>24</v>
      </c>
    </row>
    <row r="4" spans="1:251" x14ac:dyDescent="0.35">
      <c r="A4" t="s">
        <v>35</v>
      </c>
      <c r="B4" t="s">
        <v>15</v>
      </c>
      <c r="C4" cm="1" vm="5757">
        <f t="array" aca="1" ref="C4:IQ4" ca="1">TRANSPOSE(_xlfn.STOCKHISTORY(A4&amp;":"&amp;B4,TODAY()-365,TODAY(),0,0,1))</f>
        <v>357.86</v>
      </c>
      <c r="D4" vm="5758">
        <f ca="1"/>
        <v>354.56</v>
      </c>
      <c r="E4" vm="5759">
        <f ca="1"/>
        <v>390.49</v>
      </c>
      <c r="F4" vm="5760">
        <f ca="1"/>
        <v>381.35</v>
      </c>
      <c r="G4" vm="5761">
        <f ca="1"/>
        <v>388.45</v>
      </c>
      <c r="H4" vm="5762">
        <f ca="1"/>
        <v>387.81</v>
      </c>
      <c r="I4" vm="5763">
        <f ca="1"/>
        <v>385.73</v>
      </c>
      <c r="J4" vm="5764">
        <f ca="1"/>
        <v>371.61</v>
      </c>
      <c r="K4" vm="5765">
        <f ca="1"/>
        <v>367.78</v>
      </c>
      <c r="L4" vm="5766">
        <f ca="1"/>
        <v>359.12</v>
      </c>
      <c r="M4" vm="5767">
        <f ca="1"/>
        <v>366.82</v>
      </c>
      <c r="N4" vm="5768">
        <f ca="1"/>
        <v>374.39</v>
      </c>
      <c r="O4" vm="5769">
        <f ca="1"/>
        <v>387.3</v>
      </c>
      <c r="P4" vm="5770">
        <f ca="1"/>
        <v>391.85</v>
      </c>
      <c r="Q4" vm="5771">
        <f ca="1"/>
        <v>391.16</v>
      </c>
      <c r="R4" vm="5772">
        <f ca="1"/>
        <v>394.04</v>
      </c>
      <c r="S4" vm="5773">
        <f ca="1"/>
        <v>395.26</v>
      </c>
      <c r="T4" vm="5774">
        <f ca="1"/>
        <v>425.4</v>
      </c>
      <c r="U4" vm="5775">
        <f ca="1"/>
        <v>435.28</v>
      </c>
      <c r="V4" vm="5776">
        <f ca="1"/>
        <v>436.17</v>
      </c>
      <c r="W4" vm="5777">
        <f ca="1"/>
        <v>433.31</v>
      </c>
      <c r="X4" vm="5778">
        <f ca="1"/>
        <v>433.35</v>
      </c>
      <c r="Y4" vm="5779">
        <f ca="1"/>
        <v>438.17</v>
      </c>
      <c r="Z4" vm="5780">
        <f ca="1"/>
        <v>438.73</v>
      </c>
      <c r="AA4" vm="5781">
        <f ca="1"/>
        <v>449.26</v>
      </c>
      <c r="AB4" vm="5782">
        <f ca="1"/>
        <v>449.14</v>
      </c>
      <c r="AC4" vm="5783">
        <f ca="1"/>
        <v>452.94</v>
      </c>
      <c r="AD4" vm="5784">
        <f ca="1"/>
        <v>453.13</v>
      </c>
      <c r="AE4" vm="5785">
        <f ca="1"/>
        <v>454.27</v>
      </c>
      <c r="AF4" vm="5786">
        <f ca="1"/>
        <v>458.87</v>
      </c>
      <c r="AG4" vm="5787">
        <f ca="1"/>
        <v>458.17</v>
      </c>
      <c r="AH4" vm="5788">
        <f ca="1"/>
        <v>452.57</v>
      </c>
      <c r="AI4" vm="5789">
        <f ca="1"/>
        <v>454.86</v>
      </c>
      <c r="AJ4" vm="5790">
        <f ca="1"/>
        <v>450.18</v>
      </c>
      <c r="AK4" vm="5791">
        <f ca="1"/>
        <v>460.69</v>
      </c>
      <c r="AL4" vm="5792">
        <f ca="1"/>
        <v>457.36</v>
      </c>
      <c r="AM4" vm="5793">
        <f ca="1"/>
        <v>458.68</v>
      </c>
      <c r="AN4" vm="5794">
        <f ca="1"/>
        <v>460.36</v>
      </c>
      <c r="AO4" vm="5795">
        <f ca="1"/>
        <v>461.97</v>
      </c>
      <c r="AP4" vm="5796">
        <f ca="1"/>
        <v>462.97</v>
      </c>
      <c r="AQ4" vm="5542">
        <f ca="1"/>
        <v>463.87</v>
      </c>
      <c r="AR4" vm="5797">
        <f ca="1"/>
        <v>467.68</v>
      </c>
      <c r="AS4" vm="5798">
        <f ca="1"/>
        <v>470.38</v>
      </c>
      <c r="AT4" vm="5799">
        <f ca="1"/>
        <v>472.75</v>
      </c>
      <c r="AU4" vm="5800">
        <f ca="1"/>
        <v>470.92</v>
      </c>
      <c r="AV4" vm="5801">
        <f ca="1"/>
        <v>472.62</v>
      </c>
      <c r="AW4" vm="5802">
        <f ca="1"/>
        <v>478.87</v>
      </c>
      <c r="AX4" vm="5803">
        <f ca="1"/>
        <v>474.96</v>
      </c>
      <c r="AY4" vm="5804">
        <f ca="1"/>
        <v>479.14</v>
      </c>
      <c r="AZ4" vm="5805">
        <f ca="1"/>
        <v>478.04</v>
      </c>
      <c r="BA4" vm="5806">
        <f ca="1"/>
        <v>480.24</v>
      </c>
      <c r="BB4" vm="5807">
        <f ca="1"/>
        <v>477.4</v>
      </c>
      <c r="BC4" vm="5808">
        <f ca="1"/>
        <v>486</v>
      </c>
      <c r="BD4" vm="5809">
        <f ca="1"/>
        <v>490.11</v>
      </c>
      <c r="BE4" vm="5810">
        <f ca="1"/>
        <v>492.27</v>
      </c>
      <c r="BF4" vm="5811">
        <f ca="1"/>
        <v>497.45</v>
      </c>
      <c r="BG4" vm="5812">
        <f ca="1"/>
        <v>495.94</v>
      </c>
      <c r="BH4" vm="5813">
        <f ca="1"/>
        <v>497.41</v>
      </c>
      <c r="BI4" vm="5814">
        <f ca="1"/>
        <v>492.05</v>
      </c>
      <c r="BJ4" vm="5815">
        <f ca="1"/>
        <v>491.09</v>
      </c>
      <c r="BK4" vm="5816">
        <f ca="1"/>
        <v>498.84</v>
      </c>
      <c r="BL4" vm="5817">
        <f ca="1"/>
        <v>497.72</v>
      </c>
      <c r="BM4" vm="5818">
        <f ca="1"/>
        <v>496.62</v>
      </c>
      <c r="BN4" vm="5819">
        <f ca="1"/>
        <v>503.51</v>
      </c>
      <c r="BO4" vm="2696">
        <f ca="1"/>
        <v>501.48</v>
      </c>
      <c r="BP4" vm="5820">
        <f ca="1"/>
        <v>503.32</v>
      </c>
      <c r="BQ4" vm="5821">
        <f ca="1"/>
        <v>503.02</v>
      </c>
      <c r="BR4" vm="5822">
        <f ca="1"/>
        <v>505.82</v>
      </c>
      <c r="BS4" vm="5823">
        <f ca="1"/>
        <v>505.62</v>
      </c>
      <c r="BT4" vm="5824">
        <f ca="1"/>
        <v>511.7</v>
      </c>
      <c r="BU4" vm="5825">
        <f ca="1"/>
        <v>510.05</v>
      </c>
      <c r="BV4" vm="5826">
        <f ca="1"/>
        <v>510.06</v>
      </c>
      <c r="BW4" vm="5827">
        <f ca="1"/>
        <v>505.27</v>
      </c>
      <c r="BX4" vm="5828">
        <f ca="1"/>
        <v>505.87</v>
      </c>
      <c r="BY4" vm="5829">
        <f ca="1"/>
        <v>510.88</v>
      </c>
      <c r="BZ4" vm="5830">
        <f ca="1"/>
        <v>513.71</v>
      </c>
      <c r="CA4" vm="5831">
        <f ca="1"/>
        <v>512.5</v>
      </c>
      <c r="CB4" vm="5832">
        <f ca="1"/>
        <v>512.57000000000005</v>
      </c>
      <c r="CC4" vm="5833">
        <f ca="1"/>
        <v>513.24</v>
      </c>
      <c r="CD4" vm="5834">
        <f ca="1"/>
        <v>533.5</v>
      </c>
      <c r="CE4" vm="5835">
        <f ca="1"/>
        <v>524.11</v>
      </c>
      <c r="CF4" vm="5836">
        <f ca="1"/>
        <v>535.64</v>
      </c>
      <c r="CG4" vm="5837">
        <f ca="1"/>
        <v>527.75</v>
      </c>
      <c r="CH4" vm="5838">
        <f ca="1"/>
        <v>524.94000000000005</v>
      </c>
      <c r="CI4" vm="5839">
        <f ca="1"/>
        <v>520.84</v>
      </c>
      <c r="CJ4" vm="5623">
        <f ca="1"/>
        <v>522.04</v>
      </c>
      <c r="CK4" vm="5840">
        <f ca="1"/>
        <v>521.77</v>
      </c>
      <c r="CL4" vm="5841">
        <f ca="1"/>
        <v>529.24</v>
      </c>
      <c r="CM4" vm="5842">
        <f ca="1"/>
        <v>520.58000000000004</v>
      </c>
      <c r="CN4" vm="5843">
        <f ca="1"/>
        <v>522.48</v>
      </c>
      <c r="CO4" vm="5844">
        <f ca="1"/>
        <v>520.16999999999996</v>
      </c>
      <c r="CP4" vm="5845">
        <f ca="1"/>
        <v>517.1</v>
      </c>
      <c r="CQ4" vm="5846">
        <f ca="1"/>
        <v>509.77</v>
      </c>
      <c r="CR4" vm="5847">
        <f ca="1"/>
        <v>505.72</v>
      </c>
      <c r="CS4" vm="5848">
        <f ca="1"/>
        <v>504.24</v>
      </c>
      <c r="CT4" vm="5849">
        <f ca="1"/>
        <v>507.23</v>
      </c>
      <c r="CU4" vm="5850">
        <f ca="1"/>
        <v>504.26</v>
      </c>
      <c r="CV4" vm="5851">
        <f ca="1"/>
        <v>502.04</v>
      </c>
      <c r="CW4" vm="5852">
        <f ca="1"/>
        <v>506.74</v>
      </c>
      <c r="CX4" vm="5853">
        <f ca="1"/>
        <v>509.64</v>
      </c>
      <c r="CY4" vm="5854">
        <f ca="1"/>
        <v>506.69</v>
      </c>
      <c r="CZ4" vm="5855">
        <f ca="1"/>
        <v>505.12</v>
      </c>
      <c r="DA4" vm="5856">
        <f ca="1"/>
        <v>505.35</v>
      </c>
      <c r="DB4" vm="5857">
        <f ca="1"/>
        <v>507.97</v>
      </c>
      <c r="DC4" vm="5858">
        <f ca="1"/>
        <v>495</v>
      </c>
      <c r="DD4" vm="5859">
        <f ca="1"/>
        <v>498.2</v>
      </c>
      <c r="DE4" vm="5860">
        <f ca="1"/>
        <v>498.41</v>
      </c>
      <c r="DF4" vm="5861">
        <f ca="1"/>
        <v>500.37</v>
      </c>
      <c r="DG4" vm="5862">
        <f ca="1"/>
        <v>501.01</v>
      </c>
      <c r="DH4" vm="5863">
        <f ca="1"/>
        <v>509.9</v>
      </c>
      <c r="DI4" vm="5864">
        <f ca="1"/>
        <v>515.36</v>
      </c>
      <c r="DJ4" vm="5865">
        <f ca="1"/>
        <v>509.04</v>
      </c>
      <c r="DK4" vm="5866">
        <f ca="1"/>
        <v>510.02</v>
      </c>
      <c r="DL4" vm="5867">
        <f ca="1"/>
        <v>508.45</v>
      </c>
      <c r="DM4" vm="5868">
        <f ca="1"/>
        <v>517.92999999999995</v>
      </c>
      <c r="DN4" vm="5869">
        <f ca="1"/>
        <v>514.45000000000005</v>
      </c>
      <c r="DO4" vm="5870">
        <f ca="1"/>
        <v>509.23</v>
      </c>
      <c r="DP4" vm="5871">
        <f ca="1"/>
        <v>510.15</v>
      </c>
      <c r="DQ4" vm="5872">
        <f ca="1"/>
        <v>507.03</v>
      </c>
      <c r="DR4" vm="5873">
        <f ca="1"/>
        <v>511.46</v>
      </c>
      <c r="DS4" vm="5874">
        <f ca="1"/>
        <v>514.6</v>
      </c>
      <c r="DT4" vm="5875">
        <f ca="1"/>
        <v>517.95000000000005</v>
      </c>
      <c r="DU4" vm="5876">
        <f ca="1"/>
        <v>519.71</v>
      </c>
      <c r="DV4" vm="5877">
        <f ca="1"/>
        <v>515.74</v>
      </c>
      <c r="DW4" vm="5878">
        <f ca="1"/>
        <v>517.35</v>
      </c>
      <c r="DX4" vm="5879">
        <f ca="1"/>
        <v>528.57000000000005</v>
      </c>
      <c r="DY4" vm="5880">
        <f ca="1"/>
        <v>523.98</v>
      </c>
      <c r="DZ4" vm="5881">
        <f ca="1"/>
        <v>524.85</v>
      </c>
      <c r="EA4" vm="5882">
        <f ca="1"/>
        <v>522.4</v>
      </c>
      <c r="EB4" vm="5883">
        <f ca="1"/>
        <v>510.96</v>
      </c>
      <c r="EC4" vm="5884">
        <f ca="1"/>
        <v>514.04999999999995</v>
      </c>
      <c r="ED4" vm="5885">
        <f ca="1"/>
        <v>513.57000000000005</v>
      </c>
      <c r="EE4" vm="5886">
        <f ca="1"/>
        <v>513.42999999999995</v>
      </c>
      <c r="EF4" vm="5887">
        <f ca="1"/>
        <v>511.61</v>
      </c>
      <c r="EG4" vm="5888">
        <f ca="1"/>
        <v>513.58000000000004</v>
      </c>
      <c r="EH4" vm="5889">
        <f ca="1"/>
        <v>516.79</v>
      </c>
      <c r="EI4" vm="5890">
        <f ca="1"/>
        <v>517.66</v>
      </c>
      <c r="EJ4" vm="5891">
        <f ca="1"/>
        <v>520.54</v>
      </c>
      <c r="EK4" vm="5892">
        <f ca="1"/>
        <v>520.55999999999995</v>
      </c>
      <c r="EL4" vm="5893">
        <f ca="1"/>
        <v>523.61</v>
      </c>
      <c r="EM4" vm="5894">
        <f ca="1"/>
        <v>531.52</v>
      </c>
      <c r="EN4" vm="5895">
        <f ca="1"/>
        <v>542.07000000000005</v>
      </c>
      <c r="EO4" vm="5896">
        <f ca="1"/>
        <v>541.54999999999995</v>
      </c>
      <c r="EP4" vm="5897">
        <f ca="1"/>
        <v>525.76</v>
      </c>
      <c r="EQ4" vm="5898">
        <f ca="1"/>
        <v>517.80999999999995</v>
      </c>
      <c r="ER4" vm="5899">
        <f ca="1"/>
        <v>517.03</v>
      </c>
      <c r="ES4" vm="5900">
        <f ca="1"/>
        <v>514.33000000000004</v>
      </c>
      <c r="ET4" vm="5901">
        <f ca="1"/>
        <v>507.16</v>
      </c>
      <c r="EU4" vm="5902">
        <f ca="1"/>
        <v>497.1</v>
      </c>
      <c r="EV4" vm="5903">
        <f ca="1"/>
        <v>496.82</v>
      </c>
      <c r="EW4" vm="5904">
        <f ca="1"/>
        <v>506</v>
      </c>
      <c r="EX4" vm="5905">
        <f ca="1"/>
        <v>508.68</v>
      </c>
      <c r="EY4" vm="5906">
        <f ca="1"/>
        <v>511.14</v>
      </c>
      <c r="EZ4" vm="5907">
        <f ca="1"/>
        <v>503.29</v>
      </c>
      <c r="FA4" vm="5908">
        <f ca="1"/>
        <v>510.18</v>
      </c>
      <c r="FB4" vm="5909">
        <f ca="1"/>
        <v>507.49</v>
      </c>
      <c r="FC4" vm="5910">
        <f ca="1"/>
        <v>493.79</v>
      </c>
      <c r="FD4" vm="5911">
        <f ca="1"/>
        <v>487.12</v>
      </c>
      <c r="FE4" vm="5912">
        <f ca="1"/>
        <v>478.43</v>
      </c>
      <c r="FF4" vm="5913">
        <f ca="1"/>
        <v>472.12</v>
      </c>
      <c r="FG4" vm="5914">
        <f ca="1"/>
        <v>474</v>
      </c>
      <c r="FH4" vm="5915">
        <f ca="1"/>
        <v>476.99</v>
      </c>
      <c r="FI4" vm="5916">
        <f ca="1"/>
        <v>485.5</v>
      </c>
      <c r="FJ4" vm="5917">
        <f ca="1"/>
        <v>492.01</v>
      </c>
      <c r="FK4" vm="5918">
        <f ca="1"/>
        <v>486.74</v>
      </c>
      <c r="FL4" vm="5919">
        <f ca="1"/>
        <v>490</v>
      </c>
      <c r="FM4" vm="5920">
        <f ca="1"/>
        <v>477.73</v>
      </c>
      <c r="FN4" vm="5921">
        <f ca="1"/>
        <v>480.84</v>
      </c>
      <c r="FO4" vm="5922">
        <f ca="1"/>
        <v>483.16</v>
      </c>
      <c r="FP4" vm="5923">
        <f ca="1"/>
        <v>491.02</v>
      </c>
      <c r="FQ4" vm="5924">
        <f ca="1"/>
        <v>492.02</v>
      </c>
      <c r="FR4" vm="5925">
        <f ca="1"/>
        <v>478.56</v>
      </c>
      <c r="FS4" vm="5926">
        <f ca="1"/>
        <v>483.47</v>
      </c>
      <c r="FT4" vm="5927">
        <f ca="1"/>
        <v>478.53</v>
      </c>
      <c r="FU4" vm="5928">
        <f ca="1"/>
        <v>474.82</v>
      </c>
      <c r="FV4" vm="5929">
        <f ca="1"/>
        <v>476.39</v>
      </c>
      <c r="FW4" vm="5930">
        <f ca="1"/>
        <v>476.12</v>
      </c>
      <c r="FX4" vm="5931">
        <f ca="1"/>
        <v>483.98</v>
      </c>
      <c r="FY4" vm="5932">
        <f ca="1"/>
        <v>485.92</v>
      </c>
      <c r="FZ4" vm="5933">
        <f ca="1"/>
        <v>484.92</v>
      </c>
      <c r="GA4" vm="5934">
        <f ca="1"/>
        <v>486.85</v>
      </c>
      <c r="GB4" vm="5935">
        <f ca="1"/>
        <v>488.02</v>
      </c>
      <c r="GC4" vm="5936">
        <f ca="1"/>
        <v>487.71</v>
      </c>
      <c r="GD4" vm="5937">
        <f ca="1"/>
        <v>487.1</v>
      </c>
      <c r="GE4" vm="5938">
        <f ca="1"/>
        <v>487.48</v>
      </c>
      <c r="GF4" vm="5939">
        <f ca="1"/>
        <v>483.62</v>
      </c>
      <c r="GG4" vm="5549">
        <f ca="1"/>
        <v>472.94</v>
      </c>
      <c r="GH4" vm="5940">
        <f ca="1"/>
        <v>472.85</v>
      </c>
      <c r="GI4" vm="5941">
        <f ca="1"/>
        <v>478.51</v>
      </c>
      <c r="GJ4" vm="5926">
        <f ca="1"/>
        <v>483.47</v>
      </c>
      <c r="GK4" vm="5942">
        <f ca="1"/>
        <v>478.11</v>
      </c>
      <c r="GL4" vm="5943">
        <f ca="1"/>
        <v>479.28</v>
      </c>
      <c r="GM4" vm="5944">
        <f ca="1"/>
        <v>477.18</v>
      </c>
      <c r="GN4" vm="5945">
        <f ca="1"/>
        <v>470.67</v>
      </c>
      <c r="GO4" vm="5946">
        <f ca="1"/>
        <v>459.38</v>
      </c>
      <c r="GP4" vm="5947">
        <f ca="1"/>
        <v>456.66</v>
      </c>
      <c r="GQ4" vm="5948">
        <f ca="1"/>
        <v>459.86</v>
      </c>
      <c r="GR4" vm="5949">
        <f ca="1"/>
        <v>454.52</v>
      </c>
      <c r="GS4" vm="5950">
        <f ca="1"/>
        <v>444.11</v>
      </c>
      <c r="GT4" vm="5951">
        <f ca="1"/>
        <v>451.14</v>
      </c>
      <c r="GU4" vm="5952">
        <f ca="1"/>
        <v>465.95</v>
      </c>
      <c r="GV4" vm="5466">
        <f ca="1"/>
        <v>470.28</v>
      </c>
      <c r="GW4" vm="5953">
        <f ca="1"/>
        <v>480.58</v>
      </c>
      <c r="GX4" vm="5954">
        <f ca="1"/>
        <v>481.63</v>
      </c>
      <c r="GY4" vm="5955">
        <f ca="1"/>
        <v>433.5</v>
      </c>
      <c r="GZ4" vm="5956">
        <f ca="1"/>
        <v>430.29</v>
      </c>
      <c r="HA4" vm="5957">
        <f ca="1"/>
        <v>423.37</v>
      </c>
      <c r="HB4" vm="5958">
        <f ca="1"/>
        <v>411.21</v>
      </c>
      <c r="HC4" vm="5959">
        <f ca="1"/>
        <v>414.19</v>
      </c>
      <c r="HD4" vm="5960">
        <f ca="1"/>
        <v>393.67</v>
      </c>
      <c r="HE4" vm="5961">
        <f ca="1"/>
        <v>401.14</v>
      </c>
      <c r="HF4" vm="5962">
        <f ca="1"/>
        <v>413.6</v>
      </c>
      <c r="HG4" vm="5963">
        <f ca="1"/>
        <v>413.27</v>
      </c>
      <c r="HH4" vm="5964">
        <f ca="1"/>
        <v>404.37</v>
      </c>
      <c r="HI4" vm="5965">
        <f ca="1"/>
        <v>401.84</v>
      </c>
      <c r="HJ4" vm="5966">
        <f ca="1"/>
        <v>401.32</v>
      </c>
      <c r="HK4" vm="5967">
        <f ca="1"/>
        <v>396.86</v>
      </c>
      <c r="HL4" vm="5968">
        <f ca="1"/>
        <v>399.6</v>
      </c>
      <c r="HM4" vm="5969">
        <f ca="1"/>
        <v>398.46</v>
      </c>
      <c r="HN4" vm="5970">
        <f ca="1"/>
        <v>397.23</v>
      </c>
      <c r="HO4" vm="5971">
        <f ca="1"/>
        <v>384.47</v>
      </c>
      <c r="HP4" vm="5972">
        <f ca="1"/>
        <v>389</v>
      </c>
      <c r="HQ4" vm="5973">
        <f ca="1"/>
        <v>400.6</v>
      </c>
      <c r="HR4" vm="5974">
        <f ca="1"/>
        <v>401.72</v>
      </c>
      <c r="HS4" vm="5975">
        <f ca="1"/>
        <v>392.74</v>
      </c>
      <c r="HT4" vm="5976">
        <f ca="1"/>
        <v>398.55</v>
      </c>
      <c r="HU4" vm="5977">
        <f ca="1"/>
        <v>403.93</v>
      </c>
      <c r="HV4" vm="5978">
        <f ca="1"/>
        <v>405.2</v>
      </c>
      <c r="HW4" vm="5979">
        <f ca="1"/>
        <v>410.68</v>
      </c>
      <c r="HX4" vm="5980">
        <f ca="1"/>
        <v>408.96</v>
      </c>
      <c r="HY4" vm="5981">
        <f ca="1"/>
        <v>409.41</v>
      </c>
      <c r="HZ4" vm="5982">
        <f ca="1"/>
        <v>405.76</v>
      </c>
      <c r="IA4" vm="5983">
        <f ca="1"/>
        <v>404.88</v>
      </c>
      <c r="IB4" vm="5984">
        <f ca="1"/>
        <v>401.86</v>
      </c>
      <c r="IC4" vm="5985">
        <f ca="1"/>
        <v>395.55</v>
      </c>
      <c r="ID4" vm="5986">
        <f ca="1"/>
        <v>399.95</v>
      </c>
      <c r="IE4" vm="5987">
        <f ca="1"/>
        <v>399.41</v>
      </c>
      <c r="IF4" vm="5988">
        <f ca="1"/>
        <v>391.79</v>
      </c>
      <c r="IG4" vm="5989">
        <f ca="1"/>
        <v>389.02</v>
      </c>
      <c r="IH4" vm="5990">
        <f ca="1"/>
        <v>381.87</v>
      </c>
      <c r="II4" vm="5991">
        <f ca="1"/>
        <v>383</v>
      </c>
      <c r="IJ4" vm="5992">
        <f ca="1"/>
        <v>372.74</v>
      </c>
      <c r="IK4" vm="5993">
        <f ca="1"/>
        <v>371.04</v>
      </c>
      <c r="IL4" vm="5994">
        <f ca="1"/>
        <v>365.97</v>
      </c>
      <c r="IM4" vm="5995">
        <f ca="1"/>
        <v>356.77</v>
      </c>
      <c r="IN4" vm="5996">
        <f ca="1"/>
        <v>358.96</v>
      </c>
      <c r="IO4" vm="5997">
        <f ca="1"/>
        <v>370.17</v>
      </c>
      <c r="IP4" vm="5998">
        <f ca="1"/>
        <v>369.37</v>
      </c>
      <c r="IQ4" vm="5999">
        <f ca="1"/>
        <v>373.46</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6000">
        <f ca="1"/>
        <v>30131854</v>
      </c>
      <c r="C7" vm="6001">
        <f ca="1"/>
        <v>404.91500000000002</v>
      </c>
      <c r="D7" vm="6002">
        <f ca="1"/>
        <v>410.21</v>
      </c>
      <c r="E7" vm="6003">
        <f ca="1"/>
        <v>403.5</v>
      </c>
      <c r="F7" vm="5981">
        <f ca="1"/>
        <v>409.41</v>
      </c>
    </row>
    <row r="8" spans="1:251" x14ac:dyDescent="0.35">
      <c r="A8" vm="3612">
        <f ca="1"/>
        <v>46091</v>
      </c>
      <c r="B8" vm="6004">
        <f ca="1"/>
        <v>31706375</v>
      </c>
      <c r="C8" vm="6005">
        <f ca="1"/>
        <v>410.03</v>
      </c>
      <c r="D8" vm="6006">
        <f ca="1"/>
        <v>410.2</v>
      </c>
      <c r="E8" vm="6007">
        <f ca="1"/>
        <v>402.93</v>
      </c>
      <c r="F8" vm="5982">
        <f ca="1"/>
        <v>405.76</v>
      </c>
    </row>
    <row r="9" spans="1:251" x14ac:dyDescent="0.35">
      <c r="A9" vm="3617">
        <f ca="1"/>
        <v>46092</v>
      </c>
      <c r="B9" vm="6008">
        <f ca="1"/>
        <v>25512139</v>
      </c>
      <c r="C9" vm="6009">
        <f ca="1"/>
        <v>405.57</v>
      </c>
      <c r="D9" vm="6010">
        <f ca="1"/>
        <v>409.01</v>
      </c>
      <c r="E9" vm="6011">
        <f ca="1"/>
        <v>401.59</v>
      </c>
      <c r="F9" vm="5983">
        <f ca="1"/>
        <v>404.88</v>
      </c>
    </row>
    <row r="10" spans="1:251" x14ac:dyDescent="0.35">
      <c r="A10" vm="3622">
        <f ca="1"/>
        <v>46093</v>
      </c>
      <c r="B10" vm="6012">
        <f ca="1"/>
        <v>27263886</v>
      </c>
      <c r="C10" vm="6013">
        <f ca="1"/>
        <v>404.63</v>
      </c>
      <c r="D10" vm="6014">
        <f ca="1"/>
        <v>406.12</v>
      </c>
      <c r="E10" vm="6015">
        <f ca="1"/>
        <v>401.71</v>
      </c>
      <c r="F10" vm="5984">
        <f ca="1"/>
        <v>401.86</v>
      </c>
    </row>
    <row r="11" spans="1:251" x14ac:dyDescent="0.35">
      <c r="A11" vm="3627">
        <f ca="1"/>
        <v>46094</v>
      </c>
      <c r="B11" vm="6016">
        <f ca="1"/>
        <v>26848000</v>
      </c>
      <c r="C11" vm="6017">
        <f ca="1"/>
        <v>401</v>
      </c>
      <c r="D11" vm="6018">
        <f ca="1"/>
        <v>404.8</v>
      </c>
      <c r="E11" vm="6019">
        <f ca="1"/>
        <v>394.25</v>
      </c>
      <c r="F11" vm="5985">
        <f ca="1"/>
        <v>395.55</v>
      </c>
    </row>
    <row r="12" spans="1:251" x14ac:dyDescent="0.35">
      <c r="A12" vm="3631">
        <f ca="1"/>
        <v>46097</v>
      </c>
      <c r="B12" vm="6020">
        <f ca="1"/>
        <v>27733721</v>
      </c>
      <c r="C12" vm="6021">
        <f ca="1"/>
        <v>398.07</v>
      </c>
      <c r="D12" vm="6022">
        <f ca="1"/>
        <v>400.63</v>
      </c>
      <c r="E12" vm="6023">
        <f ca="1"/>
        <v>394.79</v>
      </c>
      <c r="F12" vm="5986">
        <f ca="1"/>
        <v>399.95</v>
      </c>
    </row>
    <row r="13" spans="1:251" x14ac:dyDescent="0.35">
      <c r="A13" vm="3636">
        <f ca="1"/>
        <v>46098</v>
      </c>
      <c r="B13" vm="6024">
        <f ca="1"/>
        <v>26228279</v>
      </c>
      <c r="C13" vm="6025">
        <f ca="1"/>
        <v>400.27</v>
      </c>
      <c r="D13" vm="6026">
        <f ca="1"/>
        <v>404.4</v>
      </c>
      <c r="E13" vm="6027">
        <f ca="1"/>
        <v>397.745</v>
      </c>
      <c r="F13" vm="5987">
        <f ca="1"/>
        <v>399.41</v>
      </c>
    </row>
    <row r="14" spans="1:251" x14ac:dyDescent="0.35">
      <c r="A14" vm="3641">
        <f ca="1"/>
        <v>46099</v>
      </c>
      <c r="B14" vm="6028">
        <f ca="1"/>
        <v>25908484</v>
      </c>
      <c r="C14" vm="6029">
        <f ca="1"/>
        <v>397.125</v>
      </c>
      <c r="D14" vm="6030">
        <f ca="1"/>
        <v>398</v>
      </c>
      <c r="E14" vm="6031">
        <f ca="1"/>
        <v>391</v>
      </c>
      <c r="F14" vm="5988">
        <f ca="1"/>
        <v>391.79</v>
      </c>
    </row>
    <row r="15" spans="1:251" x14ac:dyDescent="0.35">
      <c r="A15" vm="3645">
        <f ca="1"/>
        <v>46100</v>
      </c>
      <c r="B15" vm="6032">
        <f ca="1"/>
        <v>25138772</v>
      </c>
      <c r="C15" vm="6033">
        <f ca="1"/>
        <v>390.1</v>
      </c>
      <c r="D15" vm="6034">
        <f ca="1"/>
        <v>392.49</v>
      </c>
      <c r="E15" vm="6035">
        <f ca="1"/>
        <v>387.06</v>
      </c>
      <c r="F15" vm="5989">
        <f ca="1"/>
        <v>389.02</v>
      </c>
    </row>
    <row r="16" spans="1:251" x14ac:dyDescent="0.35">
      <c r="A16" vm="3650">
        <f ca="1"/>
        <v>46101</v>
      </c>
      <c r="B16" vm="6036">
        <f ca="1"/>
        <v>50853154</v>
      </c>
      <c r="C16" vm="6037">
        <f ca="1"/>
        <v>386.79</v>
      </c>
      <c r="D16" vm="6038">
        <f ca="1"/>
        <v>387</v>
      </c>
      <c r="E16" vm="6039">
        <f ca="1"/>
        <v>380.12</v>
      </c>
      <c r="F16" vm="5990">
        <f ca="1"/>
        <v>381.87</v>
      </c>
    </row>
    <row r="17" spans="1:6" x14ac:dyDescent="0.35">
      <c r="A17" vm="3655">
        <f ca="1"/>
        <v>46104</v>
      </c>
      <c r="B17" vm="6040">
        <f ca="1"/>
        <v>29680059</v>
      </c>
      <c r="C17" vm="6041">
        <f ca="1"/>
        <v>383.9</v>
      </c>
      <c r="D17" vm="6042">
        <f ca="1"/>
        <v>387.21</v>
      </c>
      <c r="E17" vm="6043">
        <f ca="1"/>
        <v>381.68</v>
      </c>
      <c r="F17" vm="5991">
        <f ca="1"/>
        <v>383</v>
      </c>
    </row>
    <row r="18" spans="1:6" x14ac:dyDescent="0.35">
      <c r="A18" vm="3660">
        <f ca="1"/>
        <v>46105</v>
      </c>
      <c r="B18" vm="6044">
        <f ca="1"/>
        <v>42733625</v>
      </c>
      <c r="C18" vm="6045">
        <f ca="1"/>
        <v>382.36</v>
      </c>
      <c r="D18" vm="6046">
        <f ca="1"/>
        <v>382.47</v>
      </c>
      <c r="E18" vm="6047">
        <f ca="1"/>
        <v>371.85</v>
      </c>
      <c r="F18" vm="5992">
        <f ca="1"/>
        <v>372.74</v>
      </c>
    </row>
    <row r="19" spans="1:6" x14ac:dyDescent="0.35">
      <c r="A19" vm="3665">
        <f ca="1"/>
        <v>46106</v>
      </c>
      <c r="B19" vm="6048">
        <f ca="1"/>
        <v>31181163</v>
      </c>
      <c r="C19" vm="6049">
        <f ca="1"/>
        <v>376.92</v>
      </c>
      <c r="D19" vm="6050">
        <f ca="1"/>
        <v>377.06</v>
      </c>
      <c r="E19" vm="6051">
        <f ca="1"/>
        <v>369.63</v>
      </c>
      <c r="F19" vm="5993">
        <f ca="1"/>
        <v>371.04</v>
      </c>
    </row>
    <row r="20" spans="1:6" x14ac:dyDescent="0.35">
      <c r="A20" vm="3669">
        <f ca="1"/>
        <v>46107</v>
      </c>
      <c r="B20" vm="6052">
        <f ca="1"/>
        <v>36836574</v>
      </c>
      <c r="C20" vm="6053">
        <f ca="1"/>
        <v>370.815</v>
      </c>
      <c r="D20" vm="6054">
        <f ca="1"/>
        <v>374.7199</v>
      </c>
      <c r="E20" vm="6055">
        <f ca="1"/>
        <v>365.19</v>
      </c>
      <c r="F20" vm="5994">
        <f ca="1"/>
        <v>365.97</v>
      </c>
    </row>
    <row r="21" spans="1:6" x14ac:dyDescent="0.35">
      <c r="A21" vm="3673">
        <f ca="1"/>
        <v>46108</v>
      </c>
      <c r="B21" vm="6056">
        <f ca="1"/>
        <v>37883400</v>
      </c>
      <c r="C21" vm="6057">
        <f ca="1"/>
        <v>361.9</v>
      </c>
      <c r="D21" vm="6058">
        <f ca="1"/>
        <v>362.45</v>
      </c>
      <c r="E21" vm="6059">
        <f ca="1"/>
        <v>356.51</v>
      </c>
      <c r="F21" vm="5995">
        <f ca="1"/>
        <v>356.77</v>
      </c>
    </row>
    <row r="22" spans="1:6" x14ac:dyDescent="0.35">
      <c r="A22" vm="3678">
        <f ca="1"/>
        <v>46111</v>
      </c>
      <c r="B22" vm="6060">
        <f ca="1"/>
        <v>44797002</v>
      </c>
      <c r="C22" vm="6061">
        <f ca="1"/>
        <v>361.89499999999998</v>
      </c>
      <c r="D22" vm="6062">
        <f ca="1"/>
        <v>365.36</v>
      </c>
      <c r="E22" vm="6063">
        <f ca="1"/>
        <v>356.28</v>
      </c>
      <c r="F22" vm="5996">
        <f ca="1"/>
        <v>358.96</v>
      </c>
    </row>
    <row r="23" spans="1:6" x14ac:dyDescent="0.35">
      <c r="A23" vm="3683">
        <f ca="1"/>
        <v>46112</v>
      </c>
      <c r="B23" vm="6064">
        <f ca="1"/>
        <v>45244365</v>
      </c>
      <c r="C23" vm="6065">
        <f ca="1"/>
        <v>364.55</v>
      </c>
      <c r="D23" vm="6066">
        <f ca="1"/>
        <v>372.9</v>
      </c>
      <c r="E23" vm="6067">
        <f ca="1"/>
        <v>363.07</v>
      </c>
      <c r="F23" vm="5997">
        <f ca="1"/>
        <v>370.17</v>
      </c>
    </row>
    <row r="24" spans="1:6" x14ac:dyDescent="0.35">
      <c r="A24" vm="3688">
        <f ca="1"/>
        <v>46113</v>
      </c>
      <c r="B24" vm="6068">
        <f ca="1"/>
        <v>29417206</v>
      </c>
      <c r="C24" vm="6069">
        <f ca="1"/>
        <v>373.49</v>
      </c>
      <c r="D24" vm="6070">
        <f ca="1"/>
        <v>373.99</v>
      </c>
      <c r="E24" vm="6071">
        <f ca="1"/>
        <v>368.2</v>
      </c>
      <c r="F24" vm="5998">
        <f ca="1"/>
        <v>369.37</v>
      </c>
    </row>
    <row r="25" spans="1:6" x14ac:dyDescent="0.35">
      <c r="A25" vm="3693">
        <f ca="1"/>
        <v>46114</v>
      </c>
      <c r="B25" vm="6072">
        <f ca="1"/>
        <v>24099067</v>
      </c>
      <c r="C25" vm="6073">
        <f ca="1"/>
        <v>367.20499999999998</v>
      </c>
      <c r="D25" vm="6074">
        <f ca="1"/>
        <v>373.64</v>
      </c>
      <c r="E25" vm="6075">
        <f ca="1"/>
        <v>364.15</v>
      </c>
      <c r="F25" vm="5999">
        <f ca="1"/>
        <v>373.46</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71C9-3FA4-426E-95DA-6AA08732B3C0}">
  <dimension ref="A1:IQ25"/>
  <sheetViews>
    <sheetView topLeftCell="A10" workbookViewId="0">
      <selection activeCell="V38" sqref="V38"/>
    </sheetView>
  </sheetViews>
  <sheetFormatPr defaultRowHeight="14.5" x14ac:dyDescent="0.35"/>
  <cols>
    <col min="1" max="1" width="22.1796875" bestFit="1" customWidth="1"/>
    <col min="2" max="2" width="45.7265625" bestFit="1" customWidth="1"/>
  </cols>
  <sheetData>
    <row r="1" spans="1:251" x14ac:dyDescent="0.35">
      <c r="A1" s="2" t="s">
        <v>7</v>
      </c>
      <c r="B1" t="e" vm="5">
        <v>#VALUE!</v>
      </c>
    </row>
    <row r="3" spans="1:251" x14ac:dyDescent="0.35">
      <c r="A3" s="2" t="s">
        <v>34</v>
      </c>
      <c r="B3" s="2" t="s">
        <v>24</v>
      </c>
    </row>
    <row r="4" spans="1:251" x14ac:dyDescent="0.35">
      <c r="A4" t="s">
        <v>36</v>
      </c>
      <c r="B4" t="s">
        <v>18</v>
      </c>
      <c r="C4" cm="1" vm="6076">
        <f t="array" aca="1" ref="C4:IQ4" ca="1">TRANSPOSE(_xlfn.STOCKHISTORY(A4&amp;":"&amp;B4,TODAY()-365,TODAY(),0,0,1))</f>
        <v>465.51</v>
      </c>
      <c r="D4" vm="6077">
        <f ca="1"/>
        <v>462.22</v>
      </c>
      <c r="E4" vm="6078">
        <f ca="1"/>
        <v>516.87</v>
      </c>
      <c r="F4" vm="6079">
        <f ca="1"/>
        <v>489.8</v>
      </c>
      <c r="G4" vm="6080">
        <f ca="1"/>
        <v>494.44</v>
      </c>
      <c r="H4" vm="6081">
        <f ca="1"/>
        <v>503.98</v>
      </c>
      <c r="I4" vm="6082">
        <f ca="1"/>
        <v>507.89</v>
      </c>
      <c r="J4" vm="6083">
        <f ca="1"/>
        <v>499.05</v>
      </c>
      <c r="K4" vm="6084">
        <f ca="1"/>
        <v>509.49</v>
      </c>
      <c r="L4" vm="6085">
        <f ca="1"/>
        <v>501.36</v>
      </c>
      <c r="M4" vm="6086">
        <f ca="1"/>
        <v>519.99</v>
      </c>
      <c r="N4" vm="6087">
        <f ca="1"/>
        <v>529.30999999999995</v>
      </c>
      <c r="O4" vm="6088">
        <f ca="1"/>
        <v>545.37</v>
      </c>
      <c r="P4" vm="6089">
        <f ca="1"/>
        <v>544.86</v>
      </c>
      <c r="Q4" vm="6090">
        <f ca="1"/>
        <v>546.4</v>
      </c>
      <c r="R4" vm="6091">
        <f ca="1"/>
        <v>548.91999999999996</v>
      </c>
      <c r="S4" vm="6092">
        <f ca="1"/>
        <v>547.54999999999995</v>
      </c>
      <c r="T4" vm="6093">
        <f ca="1"/>
        <v>553.83000000000004</v>
      </c>
      <c r="U4" vm="6094">
        <f ca="1"/>
        <v>566.1</v>
      </c>
      <c r="V4" vm="6095">
        <f ca="1"/>
        <v>559.55999999999995</v>
      </c>
      <c r="W4" vm="6096">
        <f ca="1"/>
        <v>549.36</v>
      </c>
      <c r="X4" vm="6097">
        <f ca="1"/>
        <v>551.91999999999996</v>
      </c>
      <c r="Y4" vm="6098">
        <f ca="1"/>
        <v>565.70000000000005</v>
      </c>
      <c r="Z4" vm="6099">
        <f ca="1"/>
        <v>567.1</v>
      </c>
      <c r="AA4" vm="6100">
        <f ca="1"/>
        <v>591.34</v>
      </c>
      <c r="AB4" vm="6101">
        <f ca="1"/>
        <v>603.80999999999995</v>
      </c>
      <c r="AC4" vm="6102">
        <f ca="1"/>
        <v>611.6</v>
      </c>
      <c r="AD4" vm="6103">
        <f ca="1"/>
        <v>615.9</v>
      </c>
      <c r="AE4" vm="6104">
        <f ca="1"/>
        <v>619.03</v>
      </c>
      <c r="AF4" vm="6105">
        <f ca="1"/>
        <v>612.29999999999995</v>
      </c>
      <c r="AG4" vm="6106">
        <f ca="1"/>
        <v>606.52</v>
      </c>
      <c r="AH4" vm="6107">
        <f ca="1"/>
        <v>593.46</v>
      </c>
      <c r="AI4" vm="6108">
        <f ca="1"/>
        <v>598.23</v>
      </c>
      <c r="AJ4" vm="6109">
        <f ca="1"/>
        <v>598.54</v>
      </c>
      <c r="AK4" vm="6110">
        <f ca="1"/>
        <v>615.73</v>
      </c>
      <c r="AL4" vm="6111">
        <f ca="1"/>
        <v>608.44000000000005</v>
      </c>
      <c r="AM4" vm="6112">
        <f ca="1"/>
        <v>604.86</v>
      </c>
      <c r="AN4" vm="6113">
        <f ca="1"/>
        <v>600.45000000000005</v>
      </c>
      <c r="AO4" vm="6114">
        <f ca="1"/>
        <v>598.72</v>
      </c>
      <c r="AP4" vm="6115">
        <f ca="1"/>
        <v>603.83000000000004</v>
      </c>
      <c r="AQ4" vm="6116">
        <f ca="1"/>
        <v>599.21</v>
      </c>
      <c r="AR4" vm="6117">
        <f ca="1"/>
        <v>605.88</v>
      </c>
      <c r="AS4" vm="6118">
        <f ca="1"/>
        <v>614</v>
      </c>
      <c r="AT4" vm="6119">
        <f ca="1"/>
        <v>613.52</v>
      </c>
      <c r="AU4" vm="6120">
        <f ca="1"/>
        <v>614.87</v>
      </c>
      <c r="AV4" vm="6121">
        <f ca="1"/>
        <v>624.16999999999996</v>
      </c>
      <c r="AW4" vm="6122">
        <f ca="1"/>
        <v>625.11</v>
      </c>
      <c r="AX4" vm="6123">
        <f ca="1"/>
        <v>613.54</v>
      </c>
      <c r="AY4" vm="6124">
        <f ca="1"/>
        <v>627.85</v>
      </c>
      <c r="AZ4" vm="6125">
        <f ca="1"/>
        <v>624.64</v>
      </c>
      <c r="BA4" vm="6126">
        <f ca="1"/>
        <v>635.24</v>
      </c>
      <c r="BB4" vm="6127">
        <f ca="1"/>
        <v>640.79999999999995</v>
      </c>
      <c r="BC4" vm="6128">
        <f ca="1"/>
        <v>646.88</v>
      </c>
      <c r="BD4" vm="6129">
        <f ca="1"/>
        <v>662.11</v>
      </c>
      <c r="BE4" vm="6130">
        <f ca="1"/>
        <v>669.87</v>
      </c>
      <c r="BF4" vm="6131">
        <f ca="1"/>
        <v>687.16</v>
      </c>
      <c r="BG4" vm="6132">
        <f ca="1"/>
        <v>690.81</v>
      </c>
      <c r="BH4" vm="6133">
        <f ca="1"/>
        <v>707.75</v>
      </c>
      <c r="BI4" vm="6134">
        <f ca="1"/>
        <v>706.46</v>
      </c>
      <c r="BJ4" vm="6135">
        <f ca="1"/>
        <v>715.89</v>
      </c>
      <c r="BK4" vm="6136">
        <f ca="1"/>
        <v>723.68</v>
      </c>
      <c r="BL4" vm="6137">
        <f ca="1"/>
        <v>710.93</v>
      </c>
      <c r="BM4" vm="6138">
        <f ca="1"/>
        <v>697.28</v>
      </c>
      <c r="BN4" vm="6139">
        <f ca="1"/>
        <v>696.56</v>
      </c>
      <c r="BO4" vm="6140">
        <f ca="1"/>
        <v>709.12</v>
      </c>
      <c r="BP4" vm="6141">
        <f ca="1"/>
        <v>704.95</v>
      </c>
      <c r="BQ4" vm="6142">
        <f ca="1"/>
        <v>713.3</v>
      </c>
      <c r="BR4" vm="6143">
        <f ca="1"/>
        <v>702.51</v>
      </c>
      <c r="BS4" vm="6144">
        <f ca="1"/>
        <v>708.82</v>
      </c>
      <c r="BT4" vm="6145">
        <f ca="1"/>
        <v>705.84</v>
      </c>
      <c r="BU4" vm="6146">
        <f ca="1"/>
        <v>708.26</v>
      </c>
      <c r="BV4" vm="6147">
        <f ca="1"/>
        <v>706</v>
      </c>
      <c r="BW4" vm="6148">
        <f ca="1"/>
        <v>700.41</v>
      </c>
      <c r="BX4" vm="6149">
        <f ca="1"/>
        <v>717.52</v>
      </c>
      <c r="BY4" vm="6150">
        <f ca="1"/>
        <v>719.18</v>
      </c>
      <c r="BZ4" vm="6151">
        <f ca="1"/>
        <v>728.98</v>
      </c>
      <c r="CA4" vm="6152">
        <f ca="1"/>
        <v>723.65</v>
      </c>
      <c r="CB4" vm="6153">
        <f ca="1"/>
        <v>731.98</v>
      </c>
      <c r="CC4" vm="6154">
        <f ca="1"/>
        <v>730.75</v>
      </c>
      <c r="CD4" vm="6155">
        <f ca="1"/>
        <v>723.59</v>
      </c>
      <c r="CE4" vm="6156">
        <f ca="1"/>
        <v>709.57</v>
      </c>
      <c r="CF4" vm="6157">
        <f ca="1"/>
        <v>726.03</v>
      </c>
      <c r="CG4" vm="6158">
        <f ca="1"/>
        <v>720.91</v>
      </c>
      <c r="CH4" vm="6159">
        <f ca="1"/>
        <v>724.74</v>
      </c>
      <c r="CI4" vm="6160">
        <f ca="1"/>
        <v>719.74</v>
      </c>
      <c r="CJ4" vm="6161">
        <f ca="1"/>
        <v>721.27</v>
      </c>
      <c r="CK4" vm="6162">
        <f ca="1"/>
        <v>719.24</v>
      </c>
      <c r="CL4" vm="6163">
        <f ca="1"/>
        <v>743.38</v>
      </c>
      <c r="CM4" vm="6164">
        <f ca="1"/>
        <v>744.69</v>
      </c>
      <c r="CN4" vm="6165">
        <f ca="1"/>
        <v>747.2</v>
      </c>
      <c r="CO4" vm="6166">
        <f ca="1"/>
        <v>730.72</v>
      </c>
      <c r="CP4" vm="6167">
        <f ca="1"/>
        <v>730.96</v>
      </c>
      <c r="CQ4" vm="6168">
        <f ca="1"/>
        <v>721.38</v>
      </c>
      <c r="CR4" vm="6169">
        <f ca="1"/>
        <v>720.68</v>
      </c>
      <c r="CS4" vm="6170">
        <f ca="1"/>
        <v>715.95</v>
      </c>
      <c r="CT4" vm="6171">
        <f ca="1"/>
        <v>741.89</v>
      </c>
      <c r="CU4" vm="6172">
        <f ca="1"/>
        <v>738.79</v>
      </c>
      <c r="CV4" vm="6173">
        <f ca="1"/>
        <v>748.95</v>
      </c>
      <c r="CW4" vm="6174">
        <f ca="1"/>
        <v>749.67</v>
      </c>
      <c r="CX4" vm="6175">
        <f ca="1"/>
        <v>751.22</v>
      </c>
      <c r="CY4" vm="6176">
        <f ca="1"/>
        <v>745.25</v>
      </c>
      <c r="CZ4" vm="6177">
        <f ca="1"/>
        <v>730.85</v>
      </c>
      <c r="DA4" vm="6178">
        <f ca="1"/>
        <v>730.56</v>
      </c>
      <c r="DB4" vm="6179">
        <f ca="1"/>
        <v>748.9</v>
      </c>
      <c r="DC4" vm="6180">
        <f ca="1"/>
        <v>738.21</v>
      </c>
      <c r="DD4" vm="6181">
        <f ca="1"/>
        <v>741.85</v>
      </c>
      <c r="DE4" vm="6182">
        <f ca="1"/>
        <v>763.92</v>
      </c>
      <c r="DF4" vm="6183">
        <f ca="1"/>
        <v>769.58</v>
      </c>
      <c r="DG4" vm="6184">
        <f ca="1"/>
        <v>784.73</v>
      </c>
      <c r="DH4" vm="6185">
        <f ca="1"/>
        <v>780.06</v>
      </c>
      <c r="DI4" vm="6186">
        <f ca="1"/>
        <v>786.76</v>
      </c>
      <c r="DJ4" vm="6187">
        <f ca="1"/>
        <v>785.53</v>
      </c>
      <c r="DK4" vm="6188">
        <f ca="1"/>
        <v>794.22</v>
      </c>
      <c r="DL4" vm="6189">
        <f ca="1"/>
        <v>804.31</v>
      </c>
      <c r="DM4" vm="6190">
        <f ca="1"/>
        <v>805</v>
      </c>
      <c r="DN4" vm="6191">
        <f ca="1"/>
        <v>805.56</v>
      </c>
      <c r="DO4" vm="6192">
        <f ca="1"/>
        <v>806.32</v>
      </c>
      <c r="DP4" vm="6193">
        <f ca="1"/>
        <v>792.43</v>
      </c>
      <c r="DQ4" vm="6194">
        <f ca="1"/>
        <v>794.76</v>
      </c>
      <c r="DR4" vm="6195">
        <f ca="1"/>
        <v>802.51</v>
      </c>
      <c r="DS4" vm="6196">
        <f ca="1"/>
        <v>804.12</v>
      </c>
      <c r="DT4" vm="6197">
        <f ca="1"/>
        <v>796.35</v>
      </c>
      <c r="DU4" vm="6198">
        <f ca="1"/>
        <v>785.51</v>
      </c>
      <c r="DV4" vm="6199">
        <f ca="1"/>
        <v>779.38</v>
      </c>
      <c r="DW4" vm="6200">
        <f ca="1"/>
        <v>789.98</v>
      </c>
      <c r="DX4" vm="6201">
        <f ca="1"/>
        <v>796.78</v>
      </c>
      <c r="DY4" vm="6202">
        <f ca="1"/>
        <v>789.65</v>
      </c>
      <c r="DZ4" vm="6203">
        <f ca="1"/>
        <v>776.51</v>
      </c>
      <c r="EA4" vm="6204">
        <f ca="1"/>
        <v>779.96</v>
      </c>
      <c r="EB4" vm="6205">
        <f ca="1"/>
        <v>764.36</v>
      </c>
      <c r="EC4" vm="6206">
        <f ca="1"/>
        <v>786.78</v>
      </c>
      <c r="ED4" vm="6207">
        <f ca="1"/>
        <v>770.76</v>
      </c>
      <c r="EE4" vm="6208">
        <f ca="1"/>
        <v>767.93</v>
      </c>
      <c r="EF4" vm="6209">
        <f ca="1"/>
        <v>758.09</v>
      </c>
      <c r="EG4" vm="6210">
        <f ca="1"/>
        <v>750.77</v>
      </c>
      <c r="EH4" vm="6211">
        <f ca="1"/>
        <v>763.32</v>
      </c>
      <c r="EI4" vm="6212">
        <f ca="1"/>
        <v>758.98</v>
      </c>
      <c r="EJ4" vm="6213">
        <f ca="1"/>
        <v>744.6</v>
      </c>
      <c r="EK4" vm="6214">
        <f ca="1"/>
        <v>750.78</v>
      </c>
      <c r="EL4" vm="6215">
        <f ca="1"/>
        <v>783.88</v>
      </c>
      <c r="EM4" vm="6216">
        <f ca="1"/>
        <v>789.99</v>
      </c>
      <c r="EN4" vm="6217">
        <f ca="1"/>
        <v>792.09</v>
      </c>
      <c r="EO4" vm="6218">
        <f ca="1"/>
        <v>783.06</v>
      </c>
      <c r="EP4" vm="6219">
        <f ca="1"/>
        <v>790.16</v>
      </c>
      <c r="EQ4" vm="6220">
        <f ca="1"/>
        <v>789.37</v>
      </c>
      <c r="ER4" vm="6221">
        <f ca="1"/>
        <v>785.52</v>
      </c>
      <c r="ES4" vm="6222">
        <f ca="1"/>
        <v>790.83</v>
      </c>
      <c r="ET4" vm="6223">
        <f ca="1"/>
        <v>793.09</v>
      </c>
      <c r="EU4" vm="6224">
        <f ca="1"/>
        <v>787.58</v>
      </c>
      <c r="EV4" vm="6225">
        <f ca="1"/>
        <v>786.34</v>
      </c>
      <c r="EW4" vm="6226">
        <f ca="1"/>
        <v>797.2</v>
      </c>
      <c r="EX4" vm="6227">
        <f ca="1"/>
        <v>810.31</v>
      </c>
      <c r="EY4" vm="6228">
        <f ca="1"/>
        <v>838.97</v>
      </c>
      <c r="EZ4" vm="6229">
        <f ca="1"/>
        <v>805.5</v>
      </c>
      <c r="FA4" vm="6230">
        <f ca="1"/>
        <v>790.91</v>
      </c>
      <c r="FB4" vm="6231">
        <f ca="1"/>
        <v>775.56</v>
      </c>
      <c r="FC4" vm="6232">
        <f ca="1"/>
        <v>776.3</v>
      </c>
      <c r="FD4" vm="6233">
        <f ca="1"/>
        <v>785.99</v>
      </c>
      <c r="FE4" vm="6234">
        <f ca="1"/>
        <v>773.7</v>
      </c>
      <c r="FF4" vm="6235">
        <f ca="1"/>
        <v>774.03</v>
      </c>
      <c r="FG4" vm="6236">
        <f ca="1"/>
        <v>790.71</v>
      </c>
      <c r="FH4" vm="6237">
        <f ca="1"/>
        <v>802.32</v>
      </c>
      <c r="FI4" vm="6238">
        <f ca="1"/>
        <v>816.01</v>
      </c>
      <c r="FJ4" vm="6239">
        <f ca="1"/>
        <v>826.04</v>
      </c>
      <c r="FK4" vm="6240">
        <f ca="1"/>
        <v>810.86</v>
      </c>
      <c r="FL4" vm="6241">
        <f ca="1"/>
        <v>815.21</v>
      </c>
      <c r="FM4" vm="6242">
        <f ca="1"/>
        <v>836.57</v>
      </c>
      <c r="FN4" vm="6243">
        <f ca="1"/>
        <v>837.83</v>
      </c>
      <c r="FO4" vm="6244">
        <f ca="1"/>
        <v>854.56</v>
      </c>
      <c r="FP4" vm="6245">
        <f ca="1"/>
        <v>866.69</v>
      </c>
      <c r="FQ4" vm="6246">
        <f ca="1"/>
        <v>876.58</v>
      </c>
      <c r="FR4" vm="6247">
        <f ca="1"/>
        <v>889.24</v>
      </c>
      <c r="FS4" vm="6248">
        <f ca="1"/>
        <v>911.03</v>
      </c>
      <c r="FT4" vm="6249">
        <f ca="1"/>
        <v>887.96</v>
      </c>
      <c r="FU4" vm="6250">
        <f ca="1"/>
        <v>889.59</v>
      </c>
      <c r="FV4" vm="6251">
        <f ca="1"/>
        <v>879.15</v>
      </c>
      <c r="FW4" vm="6252">
        <f ca="1"/>
        <v>872.33</v>
      </c>
      <c r="FX4" vm="6253">
        <f ca="1"/>
        <v>876.3</v>
      </c>
      <c r="FY4" vm="6254">
        <f ca="1"/>
        <v>893.48</v>
      </c>
      <c r="FZ4" vm="6255">
        <f ca="1"/>
        <v>899</v>
      </c>
      <c r="GA4" vm="6256">
        <f ca="1"/>
        <v>901.71</v>
      </c>
      <c r="GB4" vm="6257">
        <f ca="1"/>
        <v>910.78</v>
      </c>
      <c r="GC4" vm="6258">
        <f ca="1"/>
        <v>907.04</v>
      </c>
      <c r="GD4" vm="6259">
        <f ca="1"/>
        <v>892.18</v>
      </c>
      <c r="GE4" vm="6260">
        <f ca="1"/>
        <v>884.42</v>
      </c>
      <c r="GF4" vm="6261">
        <f ca="1"/>
        <v>879</v>
      </c>
      <c r="GG4" vm="6262">
        <f ca="1"/>
        <v>914.34</v>
      </c>
      <c r="GH4" vm="6263">
        <f ca="1"/>
        <v>948.44</v>
      </c>
      <c r="GI4" vm="6264">
        <f ca="1"/>
        <v>955.47</v>
      </c>
      <c r="GJ4" vm="6265">
        <f ca="1"/>
        <v>941.02</v>
      </c>
      <c r="GK4" vm="6266">
        <f ca="1"/>
        <v>934.83</v>
      </c>
      <c r="GL4" vm="6267">
        <f ca="1"/>
        <v>938.98</v>
      </c>
      <c r="GM4" vm="6268">
        <f ca="1"/>
        <v>949.55</v>
      </c>
      <c r="GN4" vm="6269">
        <f ca="1"/>
        <v>938.15</v>
      </c>
      <c r="GO4" vm="6270">
        <f ca="1"/>
        <v>932.67</v>
      </c>
      <c r="GP4" vm="6271">
        <f ca="1"/>
        <v>975.86</v>
      </c>
      <c r="GQ4" vm="6272">
        <f ca="1"/>
        <v>962</v>
      </c>
      <c r="GR4" vm="6273">
        <f ca="1"/>
        <v>943.37</v>
      </c>
      <c r="GS4" vm="6274">
        <f ca="1"/>
        <v>953.01</v>
      </c>
      <c r="GT4" vm="6275">
        <f ca="1"/>
        <v>954.65</v>
      </c>
      <c r="GU4" vm="6276">
        <f ca="1"/>
        <v>918.88</v>
      </c>
      <c r="GV4" vm="6277">
        <f ca="1"/>
        <v>931.86</v>
      </c>
      <c r="GW4" vm="6278">
        <f ca="1"/>
        <v>929.72</v>
      </c>
      <c r="GX4" vm="6279">
        <f ca="1"/>
        <v>936.81</v>
      </c>
      <c r="GY4" vm="6280">
        <f ca="1"/>
        <v>940.12</v>
      </c>
      <c r="GZ4" vm="6281">
        <f ca="1"/>
        <v>935.41</v>
      </c>
      <c r="HA4" vm="6282">
        <f ca="1"/>
        <v>946.33</v>
      </c>
      <c r="HB4" vm="6283">
        <f ca="1"/>
        <v>938.99</v>
      </c>
      <c r="HC4" vm="6284">
        <f ca="1"/>
        <v>913.3</v>
      </c>
      <c r="HD4" vm="6285">
        <f ca="1"/>
        <v>890.41</v>
      </c>
      <c r="HE4" vm="6286">
        <f ca="1"/>
        <v>928.75</v>
      </c>
      <c r="HF4" vm="6287">
        <f ca="1"/>
        <v>943.62</v>
      </c>
      <c r="HG4" vm="6288">
        <f ca="1"/>
        <v>948.99</v>
      </c>
      <c r="HH4" vm="6289">
        <f ca="1"/>
        <v>944.59</v>
      </c>
      <c r="HI4" vm="6290">
        <f ca="1"/>
        <v>904.55</v>
      </c>
      <c r="HJ4" vm="6291">
        <f ca="1"/>
        <v>905.14</v>
      </c>
      <c r="HK4" vm="6292">
        <f ca="1"/>
        <v>916.04</v>
      </c>
      <c r="HL4" vm="6293">
        <f ca="1"/>
        <v>933.73</v>
      </c>
      <c r="HM4" vm="6294">
        <f ca="1"/>
        <v>916.65</v>
      </c>
      <c r="HN4" vm="6295">
        <f ca="1"/>
        <v>922.24</v>
      </c>
      <c r="HO4" vm="6296">
        <f ca="1"/>
        <v>892.31</v>
      </c>
      <c r="HP4" vm="6297">
        <f ca="1"/>
        <v>902.27</v>
      </c>
      <c r="HQ4" vm="6298">
        <f ca="1"/>
        <v>921.38</v>
      </c>
      <c r="HR4" vm="6299">
        <f ca="1"/>
        <v>929</v>
      </c>
      <c r="HS4" vm="6300">
        <f ca="1"/>
        <v>859.57</v>
      </c>
      <c r="HT4" vm="6301">
        <f ca="1"/>
        <v>861.7</v>
      </c>
      <c r="HU4" vm="6302">
        <f ca="1"/>
        <v>862.58</v>
      </c>
      <c r="HV4" vm="6303">
        <f ca="1"/>
        <v>867.25</v>
      </c>
      <c r="HW4" vm="6304">
        <f ca="1"/>
        <v>835.46</v>
      </c>
      <c r="HX4" vm="6305">
        <f ca="1"/>
        <v>821.42</v>
      </c>
      <c r="HY4" vm="6306">
        <f ca="1"/>
        <v>832.03</v>
      </c>
      <c r="HZ4" vm="6307">
        <f ca="1"/>
        <v>833.81</v>
      </c>
      <c r="IA4" vm="6308">
        <f ca="1"/>
        <v>823.76</v>
      </c>
      <c r="IB4" vm="6309">
        <f ca="1"/>
        <v>787.52</v>
      </c>
      <c r="IC4" vm="6310">
        <f ca="1"/>
        <v>782.21</v>
      </c>
      <c r="ID4" vm="6311">
        <f ca="1"/>
        <v>794.77</v>
      </c>
      <c r="IE4" vm="6312">
        <f ca="1"/>
        <v>807.04</v>
      </c>
      <c r="IF4" vm="6313">
        <f ca="1"/>
        <v>805.48</v>
      </c>
      <c r="IG4" vm="6314">
        <f ca="1"/>
        <v>809.5</v>
      </c>
      <c r="IH4" vm="6315">
        <f ca="1"/>
        <v>813.53</v>
      </c>
      <c r="II4" vm="6316">
        <f ca="1"/>
        <v>831.27</v>
      </c>
      <c r="IJ4" vm="6317">
        <f ca="1"/>
        <v>835.72</v>
      </c>
      <c r="IK4" vm="6318">
        <f ca="1"/>
        <v>841.84</v>
      </c>
      <c r="IL4" vm="6319">
        <f ca="1"/>
        <v>822.64</v>
      </c>
      <c r="IM4" vm="6320">
        <f ca="1"/>
        <v>802.89</v>
      </c>
      <c r="IN4" vm="6321">
        <f ca="1"/>
        <v>807.6</v>
      </c>
      <c r="IO4" vm="6322">
        <f ca="1"/>
        <v>845.99</v>
      </c>
      <c r="IP4" vm="6323">
        <f ca="1"/>
        <v>860.21</v>
      </c>
      <c r="IQ4" vm="6324">
        <f ca="1"/>
        <v>863.04</v>
      </c>
    </row>
    <row r="6" spans="1:251" x14ac:dyDescent="0.35">
      <c r="A6" t="str" cm="1">
        <f t="array" aca="1" ref="A6:F25" ca="1">_xlfn.STOCKHISTORY(A4&amp;":"&amp;B4,TODAY()-30,TODAY(),0,1,0,5,2,3,4,1)</f>
        <v>Date</v>
      </c>
      <c r="B6" t="str">
        <f ca="1"/>
        <v>Volume</v>
      </c>
      <c r="C6" t="str">
        <f ca="1"/>
        <v>Open</v>
      </c>
      <c r="D6" t="str">
        <f ca="1"/>
        <v>High</v>
      </c>
      <c r="E6" t="str">
        <f ca="1"/>
        <v>Low</v>
      </c>
      <c r="F6" t="str">
        <f ca="1"/>
        <v>Close</v>
      </c>
    </row>
    <row r="7" spans="1:251" x14ac:dyDescent="0.35">
      <c r="A7" vm="3607">
        <f ca="1"/>
        <v>46090</v>
      </c>
      <c r="B7" vm="6325">
        <f ca="1"/>
        <v>3258185</v>
      </c>
      <c r="C7" vm="6326">
        <f ca="1"/>
        <v>810</v>
      </c>
      <c r="D7" vm="6327">
        <f ca="1"/>
        <v>836.68</v>
      </c>
      <c r="E7" vm="6328">
        <f ca="1"/>
        <v>795</v>
      </c>
      <c r="F7" vm="6306">
        <f ca="1"/>
        <v>832.03</v>
      </c>
    </row>
    <row r="8" spans="1:251" x14ac:dyDescent="0.35">
      <c r="A8" vm="3612">
        <f ca="1"/>
        <v>46091</v>
      </c>
      <c r="B8" vm="6329">
        <f ca="1"/>
        <v>1871901</v>
      </c>
      <c r="C8" vm="6330">
        <f ca="1"/>
        <v>834.68</v>
      </c>
      <c r="D8" vm="6331">
        <f ca="1"/>
        <v>846.09</v>
      </c>
      <c r="E8" vm="6332">
        <f ca="1"/>
        <v>826.35</v>
      </c>
      <c r="F8" vm="6307">
        <f ca="1"/>
        <v>833.81</v>
      </c>
    </row>
    <row r="9" spans="1:251" x14ac:dyDescent="0.35">
      <c r="A9" vm="3617">
        <f ca="1"/>
        <v>46092</v>
      </c>
      <c r="B9" vm="6333">
        <f ca="1"/>
        <v>2236531</v>
      </c>
      <c r="C9" vm="6334">
        <f ca="1"/>
        <v>829.95</v>
      </c>
      <c r="D9" vm="6335">
        <f ca="1"/>
        <v>832.80250000000001</v>
      </c>
      <c r="E9" vm="6336">
        <f ca="1"/>
        <v>810.54</v>
      </c>
      <c r="F9" vm="6308">
        <f ca="1"/>
        <v>823.76</v>
      </c>
    </row>
    <row r="10" spans="1:251" x14ac:dyDescent="0.35">
      <c r="A10" vm="3622">
        <f ca="1"/>
        <v>46093</v>
      </c>
      <c r="B10" vm="6337">
        <f ca="1"/>
        <v>3533042</v>
      </c>
      <c r="C10" vm="6338">
        <f ca="1"/>
        <v>805.32</v>
      </c>
      <c r="D10" vm="6339">
        <f ca="1"/>
        <v>807.21</v>
      </c>
      <c r="E10" vm="6340">
        <f ca="1"/>
        <v>784.1</v>
      </c>
      <c r="F10" vm="6309">
        <f ca="1"/>
        <v>787.52</v>
      </c>
    </row>
    <row r="11" spans="1:251" x14ac:dyDescent="0.35">
      <c r="A11" vm="3627">
        <f ca="1"/>
        <v>46094</v>
      </c>
      <c r="B11" vm="6341">
        <f ca="1"/>
        <v>2567411</v>
      </c>
      <c r="C11" vm="6342">
        <f ca="1"/>
        <v>789.36</v>
      </c>
      <c r="D11" vm="6343">
        <f ca="1"/>
        <v>798</v>
      </c>
      <c r="E11" vm="6344">
        <f ca="1"/>
        <v>780.5</v>
      </c>
      <c r="F11" vm="6310">
        <f ca="1"/>
        <v>782.21</v>
      </c>
    </row>
    <row r="12" spans="1:251" x14ac:dyDescent="0.35">
      <c r="A12" vm="3631">
        <f ca="1"/>
        <v>46097</v>
      </c>
      <c r="B12" vm="6345">
        <f ca="1"/>
        <v>2082689</v>
      </c>
      <c r="C12" vm="6346">
        <f ca="1"/>
        <v>792</v>
      </c>
      <c r="D12" vm="6347">
        <f ca="1"/>
        <v>805.45500000000004</v>
      </c>
      <c r="E12" vm="2775">
        <f ca="1"/>
        <v>790</v>
      </c>
      <c r="F12" vm="6311">
        <f ca="1"/>
        <v>794.77</v>
      </c>
    </row>
    <row r="13" spans="1:251" x14ac:dyDescent="0.35">
      <c r="A13" vm="3636">
        <f ca="1"/>
        <v>46098</v>
      </c>
      <c r="B13" vm="6348">
        <f ca="1"/>
        <v>1955568</v>
      </c>
      <c r="C13" vm="6349">
        <f ca="1"/>
        <v>806.3</v>
      </c>
      <c r="D13" vm="6350">
        <f ca="1"/>
        <v>820.44</v>
      </c>
      <c r="E13" vm="6351">
        <f ca="1"/>
        <v>803.47</v>
      </c>
      <c r="F13" vm="6312">
        <f ca="1"/>
        <v>807.04</v>
      </c>
    </row>
    <row r="14" spans="1:251" x14ac:dyDescent="0.35">
      <c r="A14" vm="3641">
        <f ca="1"/>
        <v>46099</v>
      </c>
      <c r="B14" vm="6352">
        <f ca="1"/>
        <v>1541291</v>
      </c>
      <c r="C14" vm="6353">
        <f ca="1"/>
        <v>801</v>
      </c>
      <c r="D14" vm="6354">
        <f ca="1"/>
        <v>816.19</v>
      </c>
      <c r="E14" vm="6353">
        <f ca="1"/>
        <v>801</v>
      </c>
      <c r="F14" vm="6313">
        <f ca="1"/>
        <v>805.48</v>
      </c>
    </row>
    <row r="15" spans="1:251" x14ac:dyDescent="0.35">
      <c r="A15" vm="3645">
        <f ca="1"/>
        <v>46100</v>
      </c>
      <c r="B15" vm="6355">
        <f ca="1"/>
        <v>1765919</v>
      </c>
      <c r="C15" vm="6356">
        <f ca="1"/>
        <v>792.93</v>
      </c>
      <c r="D15" vm="6357">
        <f ca="1"/>
        <v>816.18</v>
      </c>
      <c r="E15" vm="6358">
        <f ca="1"/>
        <v>790.59</v>
      </c>
      <c r="F15" vm="6314">
        <f ca="1"/>
        <v>809.5</v>
      </c>
    </row>
    <row r="16" spans="1:251" x14ac:dyDescent="0.35">
      <c r="A16" vm="3650">
        <f ca="1"/>
        <v>46101</v>
      </c>
      <c r="B16" vm="6359">
        <f ca="1"/>
        <v>3918407</v>
      </c>
      <c r="C16" vm="6360">
        <f ca="1"/>
        <v>807</v>
      </c>
      <c r="D16" vm="6361">
        <f ca="1"/>
        <v>827.23</v>
      </c>
      <c r="E16" vm="6362">
        <f ca="1"/>
        <v>804.92650000000003</v>
      </c>
      <c r="F16" vm="6315">
        <f ca="1"/>
        <v>813.53</v>
      </c>
    </row>
    <row r="17" spans="1:6" x14ac:dyDescent="0.35">
      <c r="A17" vm="3655">
        <f ca="1"/>
        <v>46104</v>
      </c>
      <c r="B17" vm="6363">
        <f ca="1"/>
        <v>2190280</v>
      </c>
      <c r="C17" vm="6364">
        <f ca="1"/>
        <v>833</v>
      </c>
      <c r="D17" vm="6365">
        <f ca="1"/>
        <v>849.53</v>
      </c>
      <c r="E17" vm="6366">
        <f ca="1"/>
        <v>829</v>
      </c>
      <c r="F17" vm="6316">
        <f ca="1"/>
        <v>831.27</v>
      </c>
    </row>
    <row r="18" spans="1:6" x14ac:dyDescent="0.35">
      <c r="A18" vm="3660">
        <f ca="1"/>
        <v>46105</v>
      </c>
      <c r="B18" vm="6367">
        <f ca="1"/>
        <v>1656051</v>
      </c>
      <c r="C18" vm="6368">
        <f ca="1"/>
        <v>824.93</v>
      </c>
      <c r="D18" vm="6369">
        <f ca="1"/>
        <v>844.5</v>
      </c>
      <c r="E18" vm="6370">
        <f ca="1"/>
        <v>818</v>
      </c>
      <c r="F18" vm="6317">
        <f ca="1"/>
        <v>835.72</v>
      </c>
    </row>
    <row r="19" spans="1:6" x14ac:dyDescent="0.35">
      <c r="A19" vm="3665">
        <f ca="1"/>
        <v>46106</v>
      </c>
      <c r="B19" vm="6371">
        <f ca="1"/>
        <v>1628908</v>
      </c>
      <c r="C19" vm="6372">
        <f ca="1"/>
        <v>845.01</v>
      </c>
      <c r="D19" vm="6373">
        <f ca="1"/>
        <v>854.75</v>
      </c>
      <c r="E19" vm="6374">
        <f ca="1"/>
        <v>833.90009999999995</v>
      </c>
      <c r="F19" vm="6318">
        <f ca="1"/>
        <v>841.84</v>
      </c>
    </row>
    <row r="20" spans="1:6" x14ac:dyDescent="0.35">
      <c r="A20" vm="3669">
        <f ca="1"/>
        <v>46107</v>
      </c>
      <c r="B20" vm="6375">
        <f ca="1"/>
        <v>2052166</v>
      </c>
      <c r="C20" vm="6376">
        <f ca="1"/>
        <v>833.79</v>
      </c>
      <c r="D20" vm="6377">
        <f ca="1"/>
        <v>844.8</v>
      </c>
      <c r="E20" vm="6378">
        <f ca="1"/>
        <v>816.11</v>
      </c>
      <c r="F20" vm="6319">
        <f ca="1"/>
        <v>822.64</v>
      </c>
    </row>
    <row r="21" spans="1:6" x14ac:dyDescent="0.35">
      <c r="A21" vm="3673">
        <f ca="1"/>
        <v>46108</v>
      </c>
      <c r="B21" vm="6379">
        <f ca="1"/>
        <v>2106773</v>
      </c>
      <c r="C21" vm="6380">
        <f ca="1"/>
        <v>813.67</v>
      </c>
      <c r="D21" vm="6381">
        <f ca="1"/>
        <v>817.1</v>
      </c>
      <c r="E21" vm="6382">
        <f ca="1"/>
        <v>797.78</v>
      </c>
      <c r="F21" vm="6320">
        <f ca="1"/>
        <v>802.89</v>
      </c>
    </row>
    <row r="22" spans="1:6" x14ac:dyDescent="0.35">
      <c r="A22" vm="3678">
        <f ca="1"/>
        <v>46111</v>
      </c>
      <c r="B22" vm="6383">
        <f ca="1"/>
        <v>1621403</v>
      </c>
      <c r="C22" vm="6384">
        <f ca="1"/>
        <v>811.12</v>
      </c>
      <c r="D22" vm="6385">
        <f ca="1"/>
        <v>818.63250000000005</v>
      </c>
      <c r="E22" vm="6386">
        <f ca="1"/>
        <v>801.88</v>
      </c>
      <c r="F22" vm="6321">
        <f ca="1"/>
        <v>807.6</v>
      </c>
    </row>
    <row r="23" spans="1:6" x14ac:dyDescent="0.35">
      <c r="A23" vm="3683">
        <f ca="1"/>
        <v>46112</v>
      </c>
      <c r="B23" vm="6387">
        <f ca="1"/>
        <v>2689828</v>
      </c>
      <c r="C23" vm="6388">
        <f ca="1"/>
        <v>823.9</v>
      </c>
      <c r="D23" vm="6389">
        <f ca="1"/>
        <v>848.5</v>
      </c>
      <c r="E23" vm="6326">
        <f ca="1"/>
        <v>810</v>
      </c>
      <c r="F23" vm="6322">
        <f ca="1"/>
        <v>845.99</v>
      </c>
    </row>
    <row r="24" spans="1:6" x14ac:dyDescent="0.35">
      <c r="A24" vm="3688">
        <f ca="1"/>
        <v>46113</v>
      </c>
      <c r="B24" vm="6390">
        <f ca="1"/>
        <v>1803625</v>
      </c>
      <c r="C24" vm="6391">
        <f ca="1"/>
        <v>859.95</v>
      </c>
      <c r="D24" vm="6392">
        <f ca="1"/>
        <v>870.2</v>
      </c>
      <c r="E24" vm="6393">
        <f ca="1"/>
        <v>850.15</v>
      </c>
      <c r="F24" vm="6323">
        <f ca="1"/>
        <v>860.21</v>
      </c>
    </row>
    <row r="25" spans="1:6" x14ac:dyDescent="0.35">
      <c r="A25" vm="3693">
        <f ca="1"/>
        <v>46114</v>
      </c>
      <c r="B25" vm="6394">
        <f ca="1"/>
        <v>1717678</v>
      </c>
      <c r="C25" vm="6395">
        <f ca="1"/>
        <v>838.39</v>
      </c>
      <c r="D25" vm="6396">
        <f ca="1"/>
        <v>867.3</v>
      </c>
      <c r="E25" vm="6397">
        <f ca="1"/>
        <v>831</v>
      </c>
      <c r="F25" vm="6324">
        <f ca="1"/>
        <v>863.04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Skills Matrix</vt:lpstr>
      <vt:lpstr>README</vt:lpstr>
      <vt:lpstr>Validation</vt:lpstr>
      <vt:lpstr>Optimization</vt:lpstr>
      <vt:lpstr>Dashboard</vt:lpstr>
      <vt:lpstr>WL Dashboard</vt:lpstr>
      <vt:lpstr>Analytics</vt:lpstr>
      <vt:lpstr>Risk Analytics</vt:lpstr>
      <vt:lpstr>Watchlist</vt:lpstr>
      <vt:lpstr>Sparkline</vt:lpstr>
      <vt:lpstr>Ledger</vt:lpstr>
      <vt:lpstr>AMD</vt:lpstr>
      <vt:lpstr>BABA</vt:lpstr>
      <vt:lpstr>BAC</vt:lpstr>
      <vt:lpstr>COST</vt:lpstr>
      <vt:lpstr>DELL</vt:lpstr>
      <vt:lpstr>XOM</vt:lpstr>
      <vt:lpstr>GM</vt:lpstr>
      <vt:lpstr>LMT</vt:lpstr>
      <vt:lpstr>MSFT</vt:lpstr>
      <vt:lpstr>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alven yuka</dc:creator>
  <cp:lastModifiedBy>alven yuka</cp:lastModifiedBy>
  <cp:lastPrinted>2026-04-06T11:22:31Z</cp:lastPrinted>
  <dcterms:created xsi:type="dcterms:W3CDTF">2026-01-19T18:13:22Z</dcterms:created>
  <dcterms:modified xsi:type="dcterms:W3CDTF">2026-04-06T15:47:03Z</dcterms:modified>
</cp:coreProperties>
</file>